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9585" yWindow="-165" windowWidth="4605" windowHeight="8445"/>
  </bookViews>
  <sheets>
    <sheet name="Intro Checker" sheetId="8" r:id="rId1"/>
    <sheet name="RTA Manager" sheetId="4" state="hidden" r:id="rId2"/>
    <sheet name="Settings" sheetId="3" state="hidden" r:id="rId3"/>
    <sheet name="RTAimport" sheetId="5" state="hidden" r:id="rId4"/>
    <sheet name="Report" sheetId="7" state="hidden" r:id="rId5"/>
    <sheet name="PriorityLoad" sheetId="9" state="hidden" r:id="rId6"/>
  </sheets>
  <functionGroups builtInGroupCount="17"/>
  <definedNames>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Manager'!$W:$X,'RTA Manager'!$V:$V,'RTA Manager'!$S:$U</definedName>
    <definedName name="DIcode">Settings!$D$17:$M$17</definedName>
    <definedName name="Digital_Infrastructure_Names" localSheetId="2" hidden="1">Settings!$E$29:$E$46</definedName>
    <definedName name="DIlab">Settings!$D$16:$M$16</definedName>
    <definedName name="DIlt">Settings!$D$20:$E$20</definedName>
    <definedName name="DIplt">Settings!$D$19:$E$19</definedName>
    <definedName name="DIstate">Settings!$D$18:$M$18</definedName>
    <definedName name="DItype">Settings!$D$15:$M$15</definedName>
    <definedName name="FCcode">Settings!$D$11:$M$11</definedName>
    <definedName name="FClab">Settings!$D$10:$M$10</definedName>
    <definedName name="FClt">Settings!$D$14:$E$14</definedName>
    <definedName name="FCplt">Settings!$D$13:$E$13</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Settings!$C$29:$C$54</definedName>
    <definedName name="pltRange">Settings!#REF!</definedName>
    <definedName name="PMcode">Settings!$D$5:$M$5</definedName>
    <definedName name="PMlab">Settings!$D$4:$M$4</definedName>
    <definedName name="PMlt">Settings!$D$8:$E$8</definedName>
    <definedName name="PMplt">Settings!$D$7:$E$7</definedName>
    <definedName name="PMstate">Settings!$D$6:$M$6</definedName>
    <definedName name="PMThide">'RTA Manager'!$E$6:$E$1338,'RTA Manager'!$I$6:$I$1338,'RTA Manager'!$K$6:$Q$1338,Main[[Type]:[Code]]</definedName>
    <definedName name="PMtype">Settings!$D$3:$M$3</definedName>
    <definedName name="_xlnm.Print_Area" localSheetId="1">'RTA Manager'!$A$5:$R$81</definedName>
    <definedName name="schedHide">'RTA Manager'!$M:$P</definedName>
    <definedName name="Scode">Settings!$D$23:$M$23</definedName>
    <definedName name="sheetViewMode">Settings!$Q$3</definedName>
    <definedName name="Slab">Settings!$D$22:$M$22</definedName>
    <definedName name="Slt">Settings!$D$26:$E$26</definedName>
    <definedName name="Software_Names" localSheetId="2" hidden="1">Settings!$F$29:$F$38</definedName>
    <definedName name="sortCol">Settings!$O$11</definedName>
    <definedName name="sortOrder">Settings!$Q$11</definedName>
    <definedName name="Splt">Settings!$D$25:$E$25</definedName>
    <definedName name="Sstate">Settings!$D$24:$M$24</definedName>
    <definedName name="Stype">Settings!$D$21:$M$21</definedName>
    <definedName name="Unique_Depts" localSheetId="2" hidden="1">Settings!$G$28:$G$39</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Manager'!$B$5:$W$1338</definedName>
  </definedNames>
  <calcPr calcId="145621"/>
</workbook>
</file>

<file path=xl/calcChain.xml><?xml version="1.0" encoding="utf-8"?>
<calcChain xmlns="http://schemas.openxmlformats.org/spreadsheetml/2006/main">
  <c r="H136" i="4" l="1"/>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104"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69"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6"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100" i="4"/>
  <c r="H361" i="4"/>
  <c r="H362" i="4"/>
  <c r="H363" i="4"/>
  <c r="H364" i="4"/>
  <c r="H365" i="4"/>
  <c r="H366" i="4"/>
  <c r="H367" i="4"/>
  <c r="H368" i="4"/>
  <c r="H369" i="4"/>
  <c r="H61"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80" i="4"/>
  <c r="H127" i="4"/>
  <c r="H85" i="4"/>
  <c r="H606" i="4"/>
  <c r="H607" i="4"/>
  <c r="H608" i="4"/>
  <c r="H609" i="4"/>
  <c r="H610" i="4"/>
  <c r="H611" i="4"/>
  <c r="H612" i="4"/>
  <c r="H613" i="4"/>
  <c r="H614" i="4"/>
  <c r="H119"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90"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105"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107" i="4"/>
  <c r="H39" i="4"/>
  <c r="H812" i="4"/>
  <c r="H813" i="4"/>
  <c r="H814" i="4"/>
  <c r="H815" i="4"/>
  <c r="H816" i="4"/>
  <c r="H817" i="4"/>
  <c r="H818" i="4"/>
  <c r="H819" i="4"/>
  <c r="H820" i="4"/>
  <c r="H133"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7"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108"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73" i="4"/>
  <c r="H978" i="4"/>
  <c r="H979" i="4"/>
  <c r="H980" i="4"/>
  <c r="H981" i="4"/>
  <c r="H982" i="4"/>
  <c r="H983" i="4"/>
  <c r="H60"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8" i="4"/>
  <c r="H1048" i="4"/>
  <c r="H1049" i="4"/>
  <c r="H1050" i="4"/>
  <c r="H1051" i="4"/>
  <c r="H1052" i="4"/>
  <c r="H1053" i="4"/>
  <c r="H16" i="4"/>
  <c r="H1054" i="4"/>
  <c r="H1055" i="4"/>
  <c r="H1056" i="4"/>
  <c r="H1057" i="4"/>
  <c r="H1058" i="4"/>
  <c r="H1059" i="4"/>
  <c r="H1060" i="4"/>
  <c r="H1061" i="4"/>
  <c r="H1062" i="4"/>
  <c r="H1063" i="4"/>
  <c r="H1064" i="4"/>
  <c r="H1065" i="4"/>
  <c r="H1066" i="4"/>
  <c r="H121" i="4"/>
  <c r="H1067" i="4"/>
  <c r="H1068" i="4"/>
  <c r="H1069" i="4"/>
  <c r="H1070" i="4"/>
  <c r="H1071" i="4"/>
  <c r="H1072" i="4"/>
  <c r="H1073" i="4"/>
  <c r="H1074" i="4"/>
  <c r="H1075" i="4"/>
  <c r="H1076" i="4"/>
  <c r="H1077" i="4"/>
  <c r="H97" i="4"/>
  <c r="H1078" i="4"/>
  <c r="H1079" i="4"/>
  <c r="H1080" i="4"/>
  <c r="H1081" i="4"/>
  <c r="H1082" i="4"/>
  <c r="H1083" i="4"/>
  <c r="H1084" i="4"/>
  <c r="H1085" i="4"/>
  <c r="H1086" i="4"/>
  <c r="H1087" i="4"/>
  <c r="H1088" i="4"/>
  <c r="H1089" i="4"/>
  <c r="H1090" i="4"/>
  <c r="H1091" i="4"/>
  <c r="H1092" i="4"/>
  <c r="H1093" i="4"/>
  <c r="H1094" i="4"/>
  <c r="H1095" i="4"/>
  <c r="H1096" i="4"/>
  <c r="H1097" i="4"/>
  <c r="H1098" i="4"/>
  <c r="H1099" i="4"/>
  <c r="H111" i="4"/>
  <c r="H1100" i="4"/>
  <c r="H1101" i="4"/>
  <c r="H1102" i="4"/>
  <c r="H50" i="4"/>
  <c r="H1103" i="4"/>
  <c r="H1104"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7" i="4"/>
  <c r="H1158" i="4"/>
  <c r="H1159" i="4"/>
  <c r="H1160" i="4"/>
  <c r="H74" i="4"/>
  <c r="H1161" i="4"/>
  <c r="H1162" i="4"/>
  <c r="H1163" i="4"/>
  <c r="H1164" i="4"/>
  <c r="H1165" i="4"/>
  <c r="H1166" i="4"/>
  <c r="H1167" i="4"/>
  <c r="H1168" i="4"/>
  <c r="H1169" i="4"/>
  <c r="H1170" i="4"/>
  <c r="H17" i="4"/>
  <c r="H1171" i="4"/>
  <c r="H134" i="4"/>
  <c r="H70" i="4"/>
  <c r="H1172" i="4"/>
  <c r="H1173" i="4"/>
  <c r="H1174" i="4"/>
  <c r="H1175" i="4"/>
  <c r="H1176" i="4"/>
  <c r="H1177" i="4"/>
  <c r="H1178" i="4"/>
  <c r="H1179" i="4"/>
  <c r="H1180" i="4"/>
  <c r="H1181" i="4"/>
  <c r="H1182" i="4"/>
  <c r="H1183" i="4"/>
  <c r="H81" i="4"/>
  <c r="H1184" i="4"/>
  <c r="H125" i="4"/>
  <c r="H66" i="4"/>
  <c r="H101" i="4"/>
  <c r="H1185" i="4"/>
  <c r="H1186" i="4"/>
  <c r="H113"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09" i="4"/>
  <c r="H9" i="4"/>
  <c r="H1210" i="4"/>
  <c r="H1211" i="4"/>
  <c r="H1212" i="4"/>
  <c r="H1213" i="4"/>
  <c r="H118" i="4"/>
  <c r="H1214" i="4"/>
  <c r="H1215" i="4"/>
  <c r="H1216" i="4"/>
  <c r="H1217" i="4"/>
  <c r="H1218" i="4"/>
  <c r="H1219" i="4"/>
  <c r="H1220" i="4"/>
  <c r="H1221" i="4"/>
  <c r="H1222" i="4"/>
  <c r="H1223" i="4"/>
  <c r="H1224" i="4"/>
  <c r="H1225" i="4"/>
  <c r="H123" i="4"/>
  <c r="H1226" i="4"/>
  <c r="H1227" i="4"/>
  <c r="H1228" i="4"/>
  <c r="H1229" i="4"/>
  <c r="H1230" i="4"/>
  <c r="H1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31" i="4"/>
  <c r="H1280" i="4"/>
  <c r="H1281" i="4"/>
  <c r="H1282" i="4"/>
  <c r="H1283" i="4"/>
  <c r="H11" i="4"/>
  <c r="H1284" i="4"/>
  <c r="H1285" i="4"/>
  <c r="H67" i="4"/>
  <c r="H1286" i="4"/>
  <c r="H53" i="4"/>
  <c r="H15" i="4"/>
  <c r="H1287" i="4"/>
  <c r="H1288" i="4"/>
  <c r="H132" i="4"/>
  <c r="H129" i="4"/>
  <c r="H1289" i="4"/>
  <c r="H1290" i="4"/>
  <c r="H91" i="4"/>
  <c r="H1291" i="4"/>
  <c r="H51" i="4"/>
  <c r="H12" i="4"/>
  <c r="H1292" i="4"/>
  <c r="H1293" i="4"/>
  <c r="H78" i="4"/>
  <c r="H18" i="4"/>
  <c r="H19" i="4"/>
  <c r="H42" i="4"/>
  <c r="H92" i="4"/>
  <c r="H1294" i="4"/>
  <c r="H1295" i="4"/>
  <c r="H1296" i="4"/>
  <c r="H41" i="4"/>
  <c r="H62" i="4"/>
  <c r="H1297" i="4"/>
  <c r="H1298" i="4"/>
  <c r="H1299" i="4"/>
  <c r="H71" i="4"/>
  <c r="H120" i="4"/>
  <c r="H124" i="4"/>
  <c r="H126" i="4"/>
  <c r="H128" i="4"/>
  <c r="H122" i="4"/>
  <c r="H1300" i="4"/>
  <c r="H1301" i="4"/>
  <c r="H1302" i="4"/>
  <c r="H93" i="4"/>
  <c r="H29" i="4"/>
  <c r="H1303" i="4"/>
  <c r="H1304" i="4"/>
  <c r="H33" i="4"/>
  <c r="H23" i="4"/>
  <c r="H1305" i="4"/>
  <c r="H35" i="4"/>
  <c r="H115" i="4"/>
  <c r="H1306" i="4"/>
  <c r="H1307" i="4"/>
  <c r="H1308" i="4"/>
  <c r="H88" i="4"/>
  <c r="H1309" i="4"/>
  <c r="H130" i="4"/>
  <c r="H63" i="4"/>
  <c r="H72" i="4"/>
  <c r="H1310" i="4"/>
  <c r="H1311" i="4"/>
  <c r="H57" i="4"/>
  <c r="H45" i="4"/>
  <c r="H55" i="4"/>
  <c r="H37" i="4"/>
  <c r="H1312" i="4"/>
  <c r="H26" i="4"/>
  <c r="H64" i="4"/>
  <c r="H24" i="4"/>
  <c r="H86" i="4"/>
  <c r="H83" i="4"/>
  <c r="H82" i="4"/>
  <c r="H1313" i="4"/>
  <c r="H1314" i="4"/>
  <c r="H98" i="4"/>
  <c r="H25" i="4"/>
  <c r="H84" i="4"/>
  <c r="H43" i="4"/>
  <c r="H1315" i="4"/>
  <c r="H89" i="4"/>
  <c r="H95" i="4"/>
  <c r="H27" i="4"/>
  <c r="H30" i="4"/>
  <c r="H1316" i="4"/>
  <c r="H87" i="4"/>
  <c r="H36" i="4"/>
  <c r="H68" i="4"/>
  <c r="H65" i="4"/>
  <c r="H1317" i="4"/>
  <c r="H1318" i="4"/>
  <c r="H38" i="4"/>
  <c r="H135" i="4"/>
  <c r="H13" i="4"/>
  <c r="H58" i="4"/>
  <c r="H75" i="4"/>
  <c r="H1319" i="4"/>
  <c r="H1320" i="4"/>
  <c r="H1321" i="4"/>
  <c r="H1322" i="4"/>
  <c r="H94" i="4"/>
  <c r="H1323" i="4"/>
  <c r="H46" i="4"/>
  <c r="H47" i="4"/>
  <c r="H1324" i="4"/>
  <c r="H1325" i="4"/>
  <c r="H48" i="4"/>
  <c r="H1326" i="4"/>
  <c r="H1327" i="4"/>
  <c r="H1328" i="4"/>
  <c r="H31" i="4"/>
  <c r="H1329" i="4"/>
  <c r="H1330" i="4"/>
  <c r="H116" i="4"/>
  <c r="H76" i="4"/>
  <c r="H34" i="4"/>
  <c r="H1331" i="4"/>
  <c r="H114" i="4"/>
  <c r="H21" i="4"/>
  <c r="H79" i="4"/>
  <c r="H102" i="4"/>
  <c r="H28" i="4"/>
  <c r="H1332" i="4"/>
  <c r="H59" i="4"/>
  <c r="H106" i="4"/>
  <c r="H99" i="4"/>
  <c r="H49" i="4"/>
  <c r="H103" i="4"/>
  <c r="H56" i="4"/>
  <c r="H14" i="4"/>
  <c r="H112" i="4"/>
  <c r="H20" i="4"/>
  <c r="H52" i="4"/>
  <c r="H1333" i="4"/>
  <c r="H110" i="4"/>
  <c r="H32" i="4"/>
  <c r="H22" i="4"/>
  <c r="H54" i="4"/>
  <c r="H77" i="4"/>
  <c r="H1334" i="4"/>
  <c r="H40" i="4"/>
  <c r="H1335" i="4"/>
  <c r="H44" i="4"/>
  <c r="H1336" i="4"/>
  <c r="H1337" i="4"/>
  <c r="H1338" i="4"/>
  <c r="H96"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104"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69"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6"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100" i="4"/>
  <c r="M361" i="4"/>
  <c r="M362" i="4"/>
  <c r="M363" i="4"/>
  <c r="M364" i="4"/>
  <c r="M365" i="4"/>
  <c r="M366" i="4"/>
  <c r="M367" i="4"/>
  <c r="M368" i="4"/>
  <c r="M369" i="4"/>
  <c r="M61"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80" i="4"/>
  <c r="M127" i="4"/>
  <c r="M85" i="4"/>
  <c r="M606" i="4"/>
  <c r="M607" i="4"/>
  <c r="M608" i="4"/>
  <c r="M609" i="4"/>
  <c r="M610" i="4"/>
  <c r="M611" i="4"/>
  <c r="M612" i="4"/>
  <c r="M613" i="4"/>
  <c r="M614" i="4"/>
  <c r="M119"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90"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105"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107" i="4"/>
  <c r="M39" i="4"/>
  <c r="M812" i="4"/>
  <c r="M813" i="4"/>
  <c r="M814" i="4"/>
  <c r="M815" i="4"/>
  <c r="M816" i="4"/>
  <c r="M817" i="4"/>
  <c r="M818" i="4"/>
  <c r="M819" i="4"/>
  <c r="M820" i="4"/>
  <c r="M133"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7"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108"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73" i="4"/>
  <c r="M978" i="4"/>
  <c r="M979" i="4"/>
  <c r="M980" i="4"/>
  <c r="M981" i="4"/>
  <c r="M982" i="4"/>
  <c r="M983" i="4"/>
  <c r="M60" i="4"/>
  <c r="M984"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8" i="4"/>
  <c r="M1048" i="4"/>
  <c r="M1049" i="4"/>
  <c r="M1050" i="4"/>
  <c r="M1051" i="4"/>
  <c r="M1052" i="4"/>
  <c r="M1053" i="4"/>
  <c r="M16" i="4"/>
  <c r="M1054" i="4"/>
  <c r="M1055" i="4"/>
  <c r="M1056" i="4"/>
  <c r="M1057" i="4"/>
  <c r="M1058" i="4"/>
  <c r="M1059" i="4"/>
  <c r="M1060" i="4"/>
  <c r="M1061" i="4"/>
  <c r="M1062" i="4"/>
  <c r="M1063" i="4"/>
  <c r="M1064" i="4"/>
  <c r="M1065" i="4"/>
  <c r="M1066" i="4"/>
  <c r="M121" i="4"/>
  <c r="M1067" i="4"/>
  <c r="M1068" i="4"/>
  <c r="M1069" i="4"/>
  <c r="M1070" i="4"/>
  <c r="M1071" i="4"/>
  <c r="M1072" i="4"/>
  <c r="M1073" i="4"/>
  <c r="M1074" i="4"/>
  <c r="M1075" i="4"/>
  <c r="M1076" i="4"/>
  <c r="M1077" i="4"/>
  <c r="M97" i="4"/>
  <c r="M1078" i="4"/>
  <c r="M1079" i="4"/>
  <c r="M1080" i="4"/>
  <c r="M1081" i="4"/>
  <c r="M1082" i="4"/>
  <c r="M1083" i="4"/>
  <c r="M1084" i="4"/>
  <c r="M1085" i="4"/>
  <c r="M1086" i="4"/>
  <c r="M1087" i="4"/>
  <c r="M1088" i="4"/>
  <c r="M1089" i="4"/>
  <c r="M1090" i="4"/>
  <c r="M1091" i="4"/>
  <c r="M1092" i="4"/>
  <c r="M1093" i="4"/>
  <c r="M1094" i="4"/>
  <c r="M1095" i="4"/>
  <c r="M1096" i="4"/>
  <c r="M1097" i="4"/>
  <c r="M1098" i="4"/>
  <c r="M1099" i="4"/>
  <c r="M111" i="4"/>
  <c r="M1100" i="4"/>
  <c r="M1101" i="4"/>
  <c r="M1102" i="4"/>
  <c r="M50" i="4"/>
  <c r="M1103" i="4"/>
  <c r="M1104"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7" i="4"/>
  <c r="M1158" i="4"/>
  <c r="M1159" i="4"/>
  <c r="M1160" i="4"/>
  <c r="M74" i="4"/>
  <c r="M1161" i="4"/>
  <c r="M1162" i="4"/>
  <c r="M1163" i="4"/>
  <c r="M1164" i="4"/>
  <c r="M1165" i="4"/>
  <c r="M1166" i="4"/>
  <c r="M1167" i="4"/>
  <c r="M1168" i="4"/>
  <c r="M1169" i="4"/>
  <c r="M1170" i="4"/>
  <c r="M17" i="4"/>
  <c r="M1171" i="4"/>
  <c r="M134" i="4"/>
  <c r="M70" i="4"/>
  <c r="M1172" i="4"/>
  <c r="M1173" i="4"/>
  <c r="M1174" i="4"/>
  <c r="M1175" i="4"/>
  <c r="M1176" i="4"/>
  <c r="M1177" i="4"/>
  <c r="M1178" i="4"/>
  <c r="M1179" i="4"/>
  <c r="M1180" i="4"/>
  <c r="M1181" i="4"/>
  <c r="M1182" i="4"/>
  <c r="M1183" i="4"/>
  <c r="M81" i="4"/>
  <c r="M1184" i="4"/>
  <c r="M125" i="4"/>
  <c r="M66" i="4"/>
  <c r="M101" i="4"/>
  <c r="M1185" i="4"/>
  <c r="M1186" i="4"/>
  <c r="M113" i="4"/>
  <c r="M1187" i="4"/>
  <c r="M1188" i="4"/>
  <c r="M1189" i="4"/>
  <c r="M1190" i="4"/>
  <c r="M1191" i="4"/>
  <c r="M1192" i="4"/>
  <c r="M1193" i="4"/>
  <c r="M1194" i="4"/>
  <c r="M1195" i="4"/>
  <c r="M1196" i="4"/>
  <c r="M1197" i="4"/>
  <c r="M1198" i="4"/>
  <c r="M1199" i="4"/>
  <c r="M1200" i="4"/>
  <c r="M1201" i="4"/>
  <c r="M1202" i="4"/>
  <c r="M1203" i="4"/>
  <c r="M1204" i="4"/>
  <c r="M1205" i="4"/>
  <c r="M1206" i="4"/>
  <c r="M1207" i="4"/>
  <c r="M1208" i="4"/>
  <c r="M1209" i="4"/>
  <c r="M109" i="4"/>
  <c r="M9" i="4"/>
  <c r="M1210" i="4"/>
  <c r="M1211" i="4"/>
  <c r="M1212" i="4"/>
  <c r="M1213" i="4"/>
  <c r="M118" i="4"/>
  <c r="M1214" i="4"/>
  <c r="M1215" i="4"/>
  <c r="M1216" i="4"/>
  <c r="M1217" i="4"/>
  <c r="M1218" i="4"/>
  <c r="M1219" i="4"/>
  <c r="M1220" i="4"/>
  <c r="M1221" i="4"/>
  <c r="M1222" i="4"/>
  <c r="M1223" i="4"/>
  <c r="M1224" i="4"/>
  <c r="M1225" i="4"/>
  <c r="M123" i="4"/>
  <c r="M1226" i="4"/>
  <c r="M1227" i="4"/>
  <c r="M1228" i="4"/>
  <c r="M1229" i="4"/>
  <c r="M1230" i="4"/>
  <c r="M1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31" i="4"/>
  <c r="M1280" i="4"/>
  <c r="M1281" i="4"/>
  <c r="M1282" i="4"/>
  <c r="M1283" i="4"/>
  <c r="M11" i="4"/>
  <c r="M1284" i="4"/>
  <c r="M1285" i="4"/>
  <c r="M67" i="4"/>
  <c r="M1286" i="4"/>
  <c r="M53" i="4"/>
  <c r="M15" i="4"/>
  <c r="M1287" i="4"/>
  <c r="M1288" i="4"/>
  <c r="M132" i="4"/>
  <c r="M129" i="4"/>
  <c r="M1289" i="4"/>
  <c r="M1290" i="4"/>
  <c r="M91" i="4"/>
  <c r="M1291" i="4"/>
  <c r="M51" i="4"/>
  <c r="M12" i="4"/>
  <c r="M1292" i="4"/>
  <c r="M1293" i="4"/>
  <c r="M78" i="4"/>
  <c r="M18" i="4"/>
  <c r="M19" i="4"/>
  <c r="M42" i="4"/>
  <c r="M92" i="4"/>
  <c r="M1294" i="4"/>
  <c r="M1295" i="4"/>
  <c r="M1296" i="4"/>
  <c r="M41" i="4"/>
  <c r="M62" i="4"/>
  <c r="M1297" i="4"/>
  <c r="M1298" i="4"/>
  <c r="M1299" i="4"/>
  <c r="M71" i="4"/>
  <c r="M120" i="4"/>
  <c r="M124" i="4"/>
  <c r="M126" i="4"/>
  <c r="M128" i="4"/>
  <c r="M122" i="4"/>
  <c r="M1300" i="4"/>
  <c r="M1301" i="4"/>
  <c r="M1302" i="4"/>
  <c r="M93" i="4"/>
  <c r="M29" i="4"/>
  <c r="M1303" i="4"/>
  <c r="M1304" i="4"/>
  <c r="M33" i="4"/>
  <c r="M23" i="4"/>
  <c r="M1305" i="4"/>
  <c r="M35" i="4"/>
  <c r="M115" i="4"/>
  <c r="M1306" i="4"/>
  <c r="M1307" i="4"/>
  <c r="M1308" i="4"/>
  <c r="M88" i="4"/>
  <c r="M1309" i="4"/>
  <c r="M130" i="4"/>
  <c r="M63" i="4"/>
  <c r="M72" i="4"/>
  <c r="M1310" i="4"/>
  <c r="M1311" i="4"/>
  <c r="M57" i="4"/>
  <c r="M45" i="4"/>
  <c r="M55" i="4"/>
  <c r="M37" i="4"/>
  <c r="M1312" i="4"/>
  <c r="M26" i="4"/>
  <c r="M64" i="4"/>
  <c r="M24" i="4"/>
  <c r="M86" i="4"/>
  <c r="M83" i="4"/>
  <c r="M82" i="4"/>
  <c r="M1313" i="4"/>
  <c r="M1314" i="4"/>
  <c r="M98" i="4"/>
  <c r="M25" i="4"/>
  <c r="M84" i="4"/>
  <c r="M43" i="4"/>
  <c r="M1315" i="4"/>
  <c r="M89" i="4"/>
  <c r="M95" i="4"/>
  <c r="M27" i="4"/>
  <c r="M30" i="4"/>
  <c r="M1316" i="4"/>
  <c r="M87" i="4"/>
  <c r="M36" i="4"/>
  <c r="M68" i="4"/>
  <c r="M65" i="4"/>
  <c r="M1317" i="4"/>
  <c r="M1318" i="4"/>
  <c r="M38" i="4"/>
  <c r="M135" i="4"/>
  <c r="M13" i="4"/>
  <c r="M58" i="4"/>
  <c r="M75" i="4"/>
  <c r="M1319" i="4"/>
  <c r="M1320" i="4"/>
  <c r="M1321" i="4"/>
  <c r="M1322" i="4"/>
  <c r="M94" i="4"/>
  <c r="M1323" i="4"/>
  <c r="M46" i="4"/>
  <c r="M47" i="4"/>
  <c r="M1324" i="4"/>
  <c r="M1325" i="4"/>
  <c r="M48" i="4"/>
  <c r="M1326" i="4"/>
  <c r="M1327" i="4"/>
  <c r="M1328" i="4"/>
  <c r="M31" i="4"/>
  <c r="M1329" i="4"/>
  <c r="M1330" i="4"/>
  <c r="M116" i="4"/>
  <c r="M76" i="4"/>
  <c r="M34" i="4"/>
  <c r="M1331" i="4"/>
  <c r="M114" i="4"/>
  <c r="M21" i="4"/>
  <c r="M79" i="4"/>
  <c r="M102" i="4"/>
  <c r="M28" i="4"/>
  <c r="M1332" i="4"/>
  <c r="M59" i="4"/>
  <c r="M106" i="4"/>
  <c r="M99" i="4"/>
  <c r="M49" i="4"/>
  <c r="M103" i="4"/>
  <c r="M56" i="4"/>
  <c r="M14" i="4"/>
  <c r="M112" i="4"/>
  <c r="M20" i="4"/>
  <c r="M52" i="4"/>
  <c r="M1333" i="4"/>
  <c r="M110" i="4"/>
  <c r="M32" i="4"/>
  <c r="M22" i="4"/>
  <c r="M54" i="4"/>
  <c r="M77" i="4"/>
  <c r="M1334" i="4"/>
  <c r="M40" i="4"/>
  <c r="M1335" i="4"/>
  <c r="M44" i="4"/>
  <c r="M1336" i="4"/>
  <c r="M1337" i="4"/>
  <c r="M1338" i="4"/>
  <c r="M96"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104"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69"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6"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100" i="4"/>
  <c r="N361" i="4"/>
  <c r="N362" i="4"/>
  <c r="N363" i="4"/>
  <c r="N364" i="4"/>
  <c r="N365" i="4"/>
  <c r="N366" i="4"/>
  <c r="N367" i="4"/>
  <c r="N368" i="4"/>
  <c r="N369" i="4"/>
  <c r="N61"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80" i="4"/>
  <c r="N127" i="4"/>
  <c r="N85" i="4"/>
  <c r="N606" i="4"/>
  <c r="N607" i="4"/>
  <c r="N608" i="4"/>
  <c r="N609" i="4"/>
  <c r="N610" i="4"/>
  <c r="N611" i="4"/>
  <c r="N612" i="4"/>
  <c r="N613" i="4"/>
  <c r="N614" i="4"/>
  <c r="N119"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90"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105"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107" i="4"/>
  <c r="N39" i="4"/>
  <c r="N812" i="4"/>
  <c r="N813" i="4"/>
  <c r="N814" i="4"/>
  <c r="N815" i="4"/>
  <c r="N816" i="4"/>
  <c r="N817" i="4"/>
  <c r="N818" i="4"/>
  <c r="N819" i="4"/>
  <c r="N820" i="4"/>
  <c r="N133"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7"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108"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73" i="4"/>
  <c r="N978" i="4"/>
  <c r="N979" i="4"/>
  <c r="N980" i="4"/>
  <c r="N981" i="4"/>
  <c r="N982" i="4"/>
  <c r="N983" i="4"/>
  <c r="N60" i="4"/>
  <c r="N984" i="4"/>
  <c r="N985" i="4"/>
  <c r="N986" i="4"/>
  <c r="N987"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8" i="4"/>
  <c r="N1048" i="4"/>
  <c r="N1049" i="4"/>
  <c r="N1050" i="4"/>
  <c r="N1051" i="4"/>
  <c r="N1052" i="4"/>
  <c r="N1053" i="4"/>
  <c r="N16" i="4"/>
  <c r="N1054" i="4"/>
  <c r="N1055" i="4"/>
  <c r="N1056" i="4"/>
  <c r="N1057" i="4"/>
  <c r="N1058" i="4"/>
  <c r="N1059" i="4"/>
  <c r="N1060" i="4"/>
  <c r="N1061" i="4"/>
  <c r="N1062" i="4"/>
  <c r="N1063" i="4"/>
  <c r="N1064" i="4"/>
  <c r="N1065" i="4"/>
  <c r="N1066" i="4"/>
  <c r="N121" i="4"/>
  <c r="N1067" i="4"/>
  <c r="N1068" i="4"/>
  <c r="N1069" i="4"/>
  <c r="N1070" i="4"/>
  <c r="N1071" i="4"/>
  <c r="N1072" i="4"/>
  <c r="N1073" i="4"/>
  <c r="N1074" i="4"/>
  <c r="N1075" i="4"/>
  <c r="N1076" i="4"/>
  <c r="N1077" i="4"/>
  <c r="N97" i="4"/>
  <c r="N1078" i="4"/>
  <c r="N1079" i="4"/>
  <c r="N1080" i="4"/>
  <c r="N1081" i="4"/>
  <c r="N1082" i="4"/>
  <c r="N1083" i="4"/>
  <c r="N1084" i="4"/>
  <c r="N1085" i="4"/>
  <c r="N1086" i="4"/>
  <c r="N1087" i="4"/>
  <c r="N1088" i="4"/>
  <c r="N1089" i="4"/>
  <c r="N1090" i="4"/>
  <c r="N1091" i="4"/>
  <c r="N1092" i="4"/>
  <c r="N1093" i="4"/>
  <c r="N1094" i="4"/>
  <c r="N1095" i="4"/>
  <c r="N1096" i="4"/>
  <c r="N1097" i="4"/>
  <c r="N1098" i="4"/>
  <c r="N1099" i="4"/>
  <c r="N111" i="4"/>
  <c r="N1100" i="4"/>
  <c r="N1101" i="4"/>
  <c r="N1102" i="4"/>
  <c r="N50" i="4"/>
  <c r="N1103" i="4"/>
  <c r="N1104" i="4"/>
  <c r="N1105" i="4"/>
  <c r="N1106" i="4"/>
  <c r="N1107" i="4"/>
  <c r="N1108" i="4"/>
  <c r="N1109" i="4"/>
  <c r="N1110" i="4"/>
  <c r="N1111" i="4"/>
  <c r="N1112" i="4"/>
  <c r="N1113" i="4"/>
  <c r="N1114" i="4"/>
  <c r="N1115"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7" i="4"/>
  <c r="N1158" i="4"/>
  <c r="N1159" i="4"/>
  <c r="N1160" i="4"/>
  <c r="N74" i="4"/>
  <c r="N1161" i="4"/>
  <c r="N1162" i="4"/>
  <c r="N1163" i="4"/>
  <c r="N1164" i="4"/>
  <c r="N1165" i="4"/>
  <c r="N1166" i="4"/>
  <c r="N1167" i="4"/>
  <c r="N1168" i="4"/>
  <c r="N1169" i="4"/>
  <c r="N1170" i="4"/>
  <c r="N17" i="4"/>
  <c r="N1171" i="4"/>
  <c r="N134" i="4"/>
  <c r="N70" i="4"/>
  <c r="N1172" i="4"/>
  <c r="N1173" i="4"/>
  <c r="N1174" i="4"/>
  <c r="N1175" i="4"/>
  <c r="N1176" i="4"/>
  <c r="N1177" i="4"/>
  <c r="N1178" i="4"/>
  <c r="N1179" i="4"/>
  <c r="N1180" i="4"/>
  <c r="N1181" i="4"/>
  <c r="N1182" i="4"/>
  <c r="N1183" i="4"/>
  <c r="N81" i="4"/>
  <c r="N1184" i="4"/>
  <c r="N125" i="4"/>
  <c r="N66" i="4"/>
  <c r="N101" i="4"/>
  <c r="N1185" i="4"/>
  <c r="N1186" i="4"/>
  <c r="N113" i="4"/>
  <c r="N1187" i="4"/>
  <c r="N1188" i="4"/>
  <c r="N1189" i="4"/>
  <c r="N1190" i="4"/>
  <c r="N1191" i="4"/>
  <c r="N1192" i="4"/>
  <c r="N1193" i="4"/>
  <c r="N1194" i="4"/>
  <c r="N1195" i="4"/>
  <c r="N1196" i="4"/>
  <c r="N1197" i="4"/>
  <c r="N1198" i="4"/>
  <c r="N1199" i="4"/>
  <c r="N1200" i="4"/>
  <c r="N1201" i="4"/>
  <c r="N1202" i="4"/>
  <c r="N1203" i="4"/>
  <c r="N1204" i="4"/>
  <c r="N1205" i="4"/>
  <c r="N1206" i="4"/>
  <c r="N1207" i="4"/>
  <c r="N1208" i="4"/>
  <c r="N1209" i="4"/>
  <c r="N109" i="4"/>
  <c r="N9" i="4"/>
  <c r="N1210" i="4"/>
  <c r="N1211" i="4"/>
  <c r="N1212" i="4"/>
  <c r="N1213" i="4"/>
  <c r="N118" i="4"/>
  <c r="N1214" i="4"/>
  <c r="N1215" i="4"/>
  <c r="N1216" i="4"/>
  <c r="N1217" i="4"/>
  <c r="N1218" i="4"/>
  <c r="N1219" i="4"/>
  <c r="N1220" i="4"/>
  <c r="N1221" i="4"/>
  <c r="N1222" i="4"/>
  <c r="N1223" i="4"/>
  <c r="N1224" i="4"/>
  <c r="N1225" i="4"/>
  <c r="N123" i="4"/>
  <c r="N1226" i="4"/>
  <c r="N1227" i="4"/>
  <c r="N1228" i="4"/>
  <c r="N1229" i="4"/>
  <c r="N1230" i="4"/>
  <c r="N10" i="4"/>
  <c r="N1231" i="4"/>
  <c r="N1232"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277" i="4"/>
  <c r="N1278" i="4"/>
  <c r="N1279" i="4"/>
  <c r="N131" i="4"/>
  <c r="N1280" i="4"/>
  <c r="N1281" i="4"/>
  <c r="N1282" i="4"/>
  <c r="N1283" i="4"/>
  <c r="N11" i="4"/>
  <c r="N1284" i="4"/>
  <c r="N1285" i="4"/>
  <c r="N67" i="4"/>
  <c r="N1286" i="4"/>
  <c r="N53" i="4"/>
  <c r="N15" i="4"/>
  <c r="N1287" i="4"/>
  <c r="N1288" i="4"/>
  <c r="N132" i="4"/>
  <c r="N129" i="4"/>
  <c r="N1289" i="4"/>
  <c r="N1290" i="4"/>
  <c r="N91" i="4"/>
  <c r="N1291" i="4"/>
  <c r="N51" i="4"/>
  <c r="N12" i="4"/>
  <c r="N1292" i="4"/>
  <c r="N1293" i="4"/>
  <c r="N78" i="4"/>
  <c r="N18" i="4"/>
  <c r="N19" i="4"/>
  <c r="N42" i="4"/>
  <c r="N92" i="4"/>
  <c r="N1294" i="4"/>
  <c r="N1295" i="4"/>
  <c r="N1296" i="4"/>
  <c r="N41" i="4"/>
  <c r="N62" i="4"/>
  <c r="N1297" i="4"/>
  <c r="N1298" i="4"/>
  <c r="N1299" i="4"/>
  <c r="N71" i="4"/>
  <c r="N120" i="4"/>
  <c r="N124" i="4"/>
  <c r="N126" i="4"/>
  <c r="N128" i="4"/>
  <c r="N122" i="4"/>
  <c r="N1300" i="4"/>
  <c r="N1301" i="4"/>
  <c r="N1302" i="4"/>
  <c r="N93" i="4"/>
  <c r="N29" i="4"/>
  <c r="N1303" i="4"/>
  <c r="N1304" i="4"/>
  <c r="N33" i="4"/>
  <c r="N23" i="4"/>
  <c r="N1305" i="4"/>
  <c r="N35" i="4"/>
  <c r="N115" i="4"/>
  <c r="N1306" i="4"/>
  <c r="N1307" i="4"/>
  <c r="N1308" i="4"/>
  <c r="N88" i="4"/>
  <c r="N1309" i="4"/>
  <c r="N130" i="4"/>
  <c r="N63" i="4"/>
  <c r="N72" i="4"/>
  <c r="N1310" i="4"/>
  <c r="N1311" i="4"/>
  <c r="N57" i="4"/>
  <c r="N45" i="4"/>
  <c r="N55" i="4"/>
  <c r="N37" i="4"/>
  <c r="N1312" i="4"/>
  <c r="N26" i="4"/>
  <c r="N64" i="4"/>
  <c r="N24" i="4"/>
  <c r="N86" i="4"/>
  <c r="N83" i="4"/>
  <c r="N82" i="4"/>
  <c r="N1313" i="4"/>
  <c r="N1314" i="4"/>
  <c r="N98" i="4"/>
  <c r="N25" i="4"/>
  <c r="N84" i="4"/>
  <c r="N43" i="4"/>
  <c r="N1315" i="4"/>
  <c r="N89" i="4"/>
  <c r="N95" i="4"/>
  <c r="N27" i="4"/>
  <c r="N30" i="4"/>
  <c r="N1316" i="4"/>
  <c r="N87" i="4"/>
  <c r="N36" i="4"/>
  <c r="N68" i="4"/>
  <c r="N65" i="4"/>
  <c r="N1317" i="4"/>
  <c r="N1318" i="4"/>
  <c r="N38" i="4"/>
  <c r="N135" i="4"/>
  <c r="N13" i="4"/>
  <c r="N58" i="4"/>
  <c r="N75" i="4"/>
  <c r="N1319" i="4"/>
  <c r="N1320" i="4"/>
  <c r="N1321" i="4"/>
  <c r="N1322" i="4"/>
  <c r="N94" i="4"/>
  <c r="N1323" i="4"/>
  <c r="N46" i="4"/>
  <c r="N47" i="4"/>
  <c r="N1324" i="4"/>
  <c r="N1325" i="4"/>
  <c r="N48" i="4"/>
  <c r="N1326" i="4"/>
  <c r="N1327" i="4"/>
  <c r="N1328" i="4"/>
  <c r="N31" i="4"/>
  <c r="N1329" i="4"/>
  <c r="N1330" i="4"/>
  <c r="N116" i="4"/>
  <c r="N76" i="4"/>
  <c r="N34" i="4"/>
  <c r="N1331" i="4"/>
  <c r="N114" i="4"/>
  <c r="N21" i="4"/>
  <c r="N79" i="4"/>
  <c r="N102" i="4"/>
  <c r="N28" i="4"/>
  <c r="N1332" i="4"/>
  <c r="N59" i="4"/>
  <c r="N106" i="4"/>
  <c r="N99" i="4"/>
  <c r="N49" i="4"/>
  <c r="N103" i="4"/>
  <c r="N56" i="4"/>
  <c r="N14" i="4"/>
  <c r="N112" i="4"/>
  <c r="N20" i="4"/>
  <c r="N52" i="4"/>
  <c r="N1333" i="4"/>
  <c r="N110" i="4"/>
  <c r="N32" i="4"/>
  <c r="N22" i="4"/>
  <c r="N54" i="4"/>
  <c r="N77" i="4"/>
  <c r="N1334" i="4"/>
  <c r="N40" i="4"/>
  <c r="N1335" i="4"/>
  <c r="N44" i="4"/>
  <c r="N1336" i="4"/>
  <c r="N1337" i="4"/>
  <c r="N1338" i="4"/>
  <c r="N96"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104"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69"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6"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100" i="4"/>
  <c r="O361" i="4"/>
  <c r="O362" i="4"/>
  <c r="O363" i="4"/>
  <c r="O364" i="4"/>
  <c r="O365" i="4"/>
  <c r="O366" i="4"/>
  <c r="O367" i="4"/>
  <c r="O368" i="4"/>
  <c r="O369" i="4"/>
  <c r="O61"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80" i="4"/>
  <c r="O127" i="4"/>
  <c r="O85" i="4"/>
  <c r="O606" i="4"/>
  <c r="O607" i="4"/>
  <c r="O608" i="4"/>
  <c r="O609" i="4"/>
  <c r="O610" i="4"/>
  <c r="O611" i="4"/>
  <c r="O612" i="4"/>
  <c r="O613" i="4"/>
  <c r="O614" i="4"/>
  <c r="O119"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90"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105"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107" i="4"/>
  <c r="O39" i="4"/>
  <c r="O812" i="4"/>
  <c r="O813" i="4"/>
  <c r="O814" i="4"/>
  <c r="O815" i="4"/>
  <c r="O816" i="4"/>
  <c r="O817" i="4"/>
  <c r="O818" i="4"/>
  <c r="O819" i="4"/>
  <c r="O820" i="4"/>
  <c r="O133"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7"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108"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73" i="4"/>
  <c r="O978" i="4"/>
  <c r="O979" i="4"/>
  <c r="O980" i="4"/>
  <c r="O981" i="4"/>
  <c r="O982" i="4"/>
  <c r="O983" i="4"/>
  <c r="O60" i="4"/>
  <c r="O984" i="4"/>
  <c r="O985"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8" i="4"/>
  <c r="O1048" i="4"/>
  <c r="O1049" i="4"/>
  <c r="O1050" i="4"/>
  <c r="O1051" i="4"/>
  <c r="O1052" i="4"/>
  <c r="O1053" i="4"/>
  <c r="O16" i="4"/>
  <c r="O1054" i="4"/>
  <c r="O1055" i="4"/>
  <c r="O1056" i="4"/>
  <c r="O1057" i="4"/>
  <c r="O1058" i="4"/>
  <c r="O1059" i="4"/>
  <c r="O1060" i="4"/>
  <c r="O1061" i="4"/>
  <c r="O1062" i="4"/>
  <c r="O1063" i="4"/>
  <c r="O1064" i="4"/>
  <c r="O1065" i="4"/>
  <c r="O1066" i="4"/>
  <c r="O121" i="4"/>
  <c r="O1067" i="4"/>
  <c r="O1068" i="4"/>
  <c r="O1069" i="4"/>
  <c r="O1070" i="4"/>
  <c r="O1071" i="4"/>
  <c r="O1072" i="4"/>
  <c r="O1073" i="4"/>
  <c r="O1074" i="4"/>
  <c r="O1075" i="4"/>
  <c r="O1076" i="4"/>
  <c r="O1077" i="4"/>
  <c r="O97" i="4"/>
  <c r="O1078" i="4"/>
  <c r="O1079" i="4"/>
  <c r="O1080" i="4"/>
  <c r="O1081" i="4"/>
  <c r="O1082" i="4"/>
  <c r="O1083" i="4"/>
  <c r="O1084" i="4"/>
  <c r="O1085" i="4"/>
  <c r="O1086" i="4"/>
  <c r="O1087" i="4"/>
  <c r="O1088" i="4"/>
  <c r="O1089" i="4"/>
  <c r="O1090" i="4"/>
  <c r="O1091" i="4"/>
  <c r="O1092" i="4"/>
  <c r="O1093" i="4"/>
  <c r="O1094" i="4"/>
  <c r="O1095" i="4"/>
  <c r="O1096" i="4"/>
  <c r="O1097" i="4"/>
  <c r="O1098" i="4"/>
  <c r="O1099" i="4"/>
  <c r="O111" i="4"/>
  <c r="O1100" i="4"/>
  <c r="O1101" i="4"/>
  <c r="O1102" i="4"/>
  <c r="O50" i="4"/>
  <c r="O1103" i="4"/>
  <c r="O1104"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7" i="4"/>
  <c r="O1158" i="4"/>
  <c r="O1159" i="4"/>
  <c r="O1160" i="4"/>
  <c r="O74" i="4"/>
  <c r="O1161" i="4"/>
  <c r="O1162" i="4"/>
  <c r="O1163" i="4"/>
  <c r="O1164" i="4"/>
  <c r="O1165" i="4"/>
  <c r="O1166" i="4"/>
  <c r="O1167" i="4"/>
  <c r="O1168" i="4"/>
  <c r="O1169" i="4"/>
  <c r="O1170" i="4"/>
  <c r="O17" i="4"/>
  <c r="O1171" i="4"/>
  <c r="O134" i="4"/>
  <c r="O70" i="4"/>
  <c r="O1172" i="4"/>
  <c r="O1173" i="4"/>
  <c r="O1174" i="4"/>
  <c r="O1175" i="4"/>
  <c r="O1176" i="4"/>
  <c r="O1177" i="4"/>
  <c r="O1178" i="4"/>
  <c r="O1179" i="4"/>
  <c r="O1180" i="4"/>
  <c r="O1181" i="4"/>
  <c r="O1182" i="4"/>
  <c r="O1183" i="4"/>
  <c r="O81" i="4"/>
  <c r="O1184" i="4"/>
  <c r="O125" i="4"/>
  <c r="O66" i="4"/>
  <c r="O101" i="4"/>
  <c r="O1185" i="4"/>
  <c r="O1186" i="4"/>
  <c r="O113" i="4"/>
  <c r="O1187" i="4"/>
  <c r="O1188" i="4"/>
  <c r="O1189" i="4"/>
  <c r="O1190" i="4"/>
  <c r="O1191" i="4"/>
  <c r="O1192" i="4"/>
  <c r="O1193" i="4"/>
  <c r="O1194" i="4"/>
  <c r="O1195" i="4"/>
  <c r="O1196" i="4"/>
  <c r="O1197" i="4"/>
  <c r="O1198" i="4"/>
  <c r="O1199" i="4"/>
  <c r="O1200" i="4"/>
  <c r="O1201" i="4"/>
  <c r="O1202" i="4"/>
  <c r="O1203" i="4"/>
  <c r="O1204" i="4"/>
  <c r="O1205" i="4"/>
  <c r="O1206" i="4"/>
  <c r="O1207" i="4"/>
  <c r="O1208" i="4"/>
  <c r="O1209" i="4"/>
  <c r="O109" i="4"/>
  <c r="O9" i="4"/>
  <c r="O1210" i="4"/>
  <c r="O1211" i="4"/>
  <c r="O1212" i="4"/>
  <c r="O1213" i="4"/>
  <c r="O118" i="4"/>
  <c r="O1214" i="4"/>
  <c r="O1215" i="4"/>
  <c r="O1216" i="4"/>
  <c r="O1217" i="4"/>
  <c r="O1218" i="4"/>
  <c r="O1219" i="4"/>
  <c r="O1220" i="4"/>
  <c r="O1221" i="4"/>
  <c r="O1222" i="4"/>
  <c r="O1223" i="4"/>
  <c r="O1224" i="4"/>
  <c r="O1225" i="4"/>
  <c r="O123" i="4"/>
  <c r="O1226" i="4"/>
  <c r="O1227" i="4"/>
  <c r="O1228" i="4"/>
  <c r="O1229" i="4"/>
  <c r="O1230" i="4"/>
  <c r="O1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31" i="4"/>
  <c r="O1280" i="4"/>
  <c r="O1281" i="4"/>
  <c r="O1282" i="4"/>
  <c r="O1283" i="4"/>
  <c r="O11" i="4"/>
  <c r="O1284" i="4"/>
  <c r="O1285" i="4"/>
  <c r="O67" i="4"/>
  <c r="O1286" i="4"/>
  <c r="O53" i="4"/>
  <c r="O15" i="4"/>
  <c r="O1287" i="4"/>
  <c r="O1288" i="4"/>
  <c r="O132" i="4"/>
  <c r="O129" i="4"/>
  <c r="O1289" i="4"/>
  <c r="O1290" i="4"/>
  <c r="O91" i="4"/>
  <c r="O1291" i="4"/>
  <c r="O51" i="4"/>
  <c r="O12" i="4"/>
  <c r="O1292" i="4"/>
  <c r="O1293" i="4"/>
  <c r="O78" i="4"/>
  <c r="O18" i="4"/>
  <c r="O19" i="4"/>
  <c r="O42" i="4"/>
  <c r="O92" i="4"/>
  <c r="O1294" i="4"/>
  <c r="O1295" i="4"/>
  <c r="O1296" i="4"/>
  <c r="O41" i="4"/>
  <c r="O62" i="4"/>
  <c r="O1297" i="4"/>
  <c r="O1298" i="4"/>
  <c r="O1299" i="4"/>
  <c r="O71" i="4"/>
  <c r="O120" i="4"/>
  <c r="O124" i="4"/>
  <c r="O126" i="4"/>
  <c r="O128" i="4"/>
  <c r="O122" i="4"/>
  <c r="O1300" i="4"/>
  <c r="O1301" i="4"/>
  <c r="O1302" i="4"/>
  <c r="O93" i="4"/>
  <c r="O29" i="4"/>
  <c r="O1303" i="4"/>
  <c r="O1304" i="4"/>
  <c r="O33" i="4"/>
  <c r="O23" i="4"/>
  <c r="O1305" i="4"/>
  <c r="O35" i="4"/>
  <c r="O115" i="4"/>
  <c r="O1306" i="4"/>
  <c r="O1307" i="4"/>
  <c r="O1308" i="4"/>
  <c r="O88" i="4"/>
  <c r="O1309" i="4"/>
  <c r="O130" i="4"/>
  <c r="O63" i="4"/>
  <c r="O72" i="4"/>
  <c r="O1310" i="4"/>
  <c r="O1311" i="4"/>
  <c r="O57" i="4"/>
  <c r="O45" i="4"/>
  <c r="O55" i="4"/>
  <c r="O37" i="4"/>
  <c r="O1312" i="4"/>
  <c r="O26" i="4"/>
  <c r="O64" i="4"/>
  <c r="O24" i="4"/>
  <c r="O86" i="4"/>
  <c r="O83" i="4"/>
  <c r="O82" i="4"/>
  <c r="O1313" i="4"/>
  <c r="O1314" i="4"/>
  <c r="O98" i="4"/>
  <c r="O25" i="4"/>
  <c r="O84" i="4"/>
  <c r="O43" i="4"/>
  <c r="O1315" i="4"/>
  <c r="O89" i="4"/>
  <c r="O95" i="4"/>
  <c r="O27" i="4"/>
  <c r="O30" i="4"/>
  <c r="O1316" i="4"/>
  <c r="O87" i="4"/>
  <c r="O36" i="4"/>
  <c r="O68" i="4"/>
  <c r="O65" i="4"/>
  <c r="O1317" i="4"/>
  <c r="O1318" i="4"/>
  <c r="O38" i="4"/>
  <c r="O135" i="4"/>
  <c r="O13" i="4"/>
  <c r="O58" i="4"/>
  <c r="O75" i="4"/>
  <c r="O1319" i="4"/>
  <c r="O1320" i="4"/>
  <c r="O1321" i="4"/>
  <c r="O1322" i="4"/>
  <c r="O94" i="4"/>
  <c r="O1323" i="4"/>
  <c r="O46" i="4"/>
  <c r="O47" i="4"/>
  <c r="O1324" i="4"/>
  <c r="O1325" i="4"/>
  <c r="O48" i="4"/>
  <c r="O1326" i="4"/>
  <c r="O1327" i="4"/>
  <c r="O1328" i="4"/>
  <c r="O31" i="4"/>
  <c r="O1329" i="4"/>
  <c r="O1330" i="4"/>
  <c r="O116" i="4"/>
  <c r="O76" i="4"/>
  <c r="O34" i="4"/>
  <c r="O1331" i="4"/>
  <c r="O114" i="4"/>
  <c r="O21" i="4"/>
  <c r="O79" i="4"/>
  <c r="O102" i="4"/>
  <c r="O28" i="4"/>
  <c r="O1332" i="4"/>
  <c r="O59" i="4"/>
  <c r="O106" i="4"/>
  <c r="O99" i="4"/>
  <c r="O49" i="4"/>
  <c r="O103" i="4"/>
  <c r="O56" i="4"/>
  <c r="O14" i="4"/>
  <c r="O112" i="4"/>
  <c r="O20" i="4"/>
  <c r="O52" i="4"/>
  <c r="O1333" i="4"/>
  <c r="O110" i="4"/>
  <c r="O32" i="4"/>
  <c r="O22" i="4"/>
  <c r="O54" i="4"/>
  <c r="O77" i="4"/>
  <c r="O1334" i="4"/>
  <c r="O40" i="4"/>
  <c r="O1335" i="4"/>
  <c r="O44" i="4"/>
  <c r="O1336" i="4"/>
  <c r="O1337" i="4"/>
  <c r="O1338" i="4"/>
  <c r="O96"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104"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69"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6"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100" i="4"/>
  <c r="P361" i="4"/>
  <c r="P362" i="4"/>
  <c r="P363" i="4"/>
  <c r="P364" i="4"/>
  <c r="P365" i="4"/>
  <c r="P366" i="4"/>
  <c r="P367" i="4"/>
  <c r="P368" i="4"/>
  <c r="P369" i="4"/>
  <c r="P61"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80" i="4"/>
  <c r="P127" i="4"/>
  <c r="P85" i="4"/>
  <c r="P606" i="4"/>
  <c r="P607" i="4"/>
  <c r="P608" i="4"/>
  <c r="P609" i="4"/>
  <c r="P610" i="4"/>
  <c r="P611" i="4"/>
  <c r="P612" i="4"/>
  <c r="P613" i="4"/>
  <c r="P614" i="4"/>
  <c r="P119"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90"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105"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107" i="4"/>
  <c r="P39" i="4"/>
  <c r="P812" i="4"/>
  <c r="P813" i="4"/>
  <c r="P814" i="4"/>
  <c r="P815" i="4"/>
  <c r="P816" i="4"/>
  <c r="P817" i="4"/>
  <c r="P818" i="4"/>
  <c r="P819" i="4"/>
  <c r="P820" i="4"/>
  <c r="P133"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7"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108"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73" i="4"/>
  <c r="P978" i="4"/>
  <c r="P979" i="4"/>
  <c r="P980" i="4"/>
  <c r="P981" i="4"/>
  <c r="P982" i="4"/>
  <c r="P983" i="4"/>
  <c r="P60" i="4"/>
  <c r="P984" i="4"/>
  <c r="P985" i="4"/>
  <c r="P986" i="4"/>
  <c r="P987"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8" i="4"/>
  <c r="P1048" i="4"/>
  <c r="P1049" i="4"/>
  <c r="P1050" i="4"/>
  <c r="P1051" i="4"/>
  <c r="P1052" i="4"/>
  <c r="P1053" i="4"/>
  <c r="P16" i="4"/>
  <c r="P1054" i="4"/>
  <c r="P1055" i="4"/>
  <c r="P1056" i="4"/>
  <c r="P1057" i="4"/>
  <c r="P1058" i="4"/>
  <c r="P1059" i="4"/>
  <c r="P1060" i="4"/>
  <c r="P1061" i="4"/>
  <c r="P1062" i="4"/>
  <c r="P1063" i="4"/>
  <c r="P1064" i="4"/>
  <c r="P1065" i="4"/>
  <c r="P1066" i="4"/>
  <c r="P121" i="4"/>
  <c r="P1067" i="4"/>
  <c r="P1068" i="4"/>
  <c r="P1069" i="4"/>
  <c r="P1070" i="4"/>
  <c r="P1071" i="4"/>
  <c r="P1072" i="4"/>
  <c r="P1073" i="4"/>
  <c r="P1074" i="4"/>
  <c r="P1075" i="4"/>
  <c r="P1076" i="4"/>
  <c r="P1077" i="4"/>
  <c r="P97" i="4"/>
  <c r="P1078" i="4"/>
  <c r="P1079" i="4"/>
  <c r="P1080" i="4"/>
  <c r="P1081" i="4"/>
  <c r="P1082" i="4"/>
  <c r="P1083" i="4"/>
  <c r="P1084" i="4"/>
  <c r="P1085" i="4"/>
  <c r="P1086" i="4"/>
  <c r="P1087" i="4"/>
  <c r="P1088" i="4"/>
  <c r="P1089" i="4"/>
  <c r="P1090" i="4"/>
  <c r="P1091" i="4"/>
  <c r="P1092" i="4"/>
  <c r="P1093" i="4"/>
  <c r="P1094" i="4"/>
  <c r="P1095" i="4"/>
  <c r="P1096" i="4"/>
  <c r="P1097" i="4"/>
  <c r="P1098" i="4"/>
  <c r="P1099" i="4"/>
  <c r="P111" i="4"/>
  <c r="P1100" i="4"/>
  <c r="P1101" i="4"/>
  <c r="P1102" i="4"/>
  <c r="P50" i="4"/>
  <c r="P1103" i="4"/>
  <c r="P1104" i="4"/>
  <c r="P1105" i="4"/>
  <c r="P1106" i="4"/>
  <c r="P1107" i="4"/>
  <c r="P1108" i="4"/>
  <c r="P1109" i="4"/>
  <c r="P1110" i="4"/>
  <c r="P1111" i="4"/>
  <c r="P1112" i="4"/>
  <c r="P1113" i="4"/>
  <c r="P1114" i="4"/>
  <c r="P1115"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7" i="4"/>
  <c r="P1158" i="4"/>
  <c r="P1159" i="4"/>
  <c r="P1160" i="4"/>
  <c r="P74" i="4"/>
  <c r="P1161" i="4"/>
  <c r="P1162" i="4"/>
  <c r="P1163" i="4"/>
  <c r="P1164" i="4"/>
  <c r="P1165" i="4"/>
  <c r="P1166" i="4"/>
  <c r="P1167" i="4"/>
  <c r="P1168" i="4"/>
  <c r="P1169" i="4"/>
  <c r="P1170" i="4"/>
  <c r="P17" i="4"/>
  <c r="P1171" i="4"/>
  <c r="P134" i="4"/>
  <c r="P70" i="4"/>
  <c r="P1172" i="4"/>
  <c r="P1173" i="4"/>
  <c r="P1174" i="4"/>
  <c r="P1175" i="4"/>
  <c r="P1176" i="4"/>
  <c r="P1177" i="4"/>
  <c r="P1178" i="4"/>
  <c r="P1179" i="4"/>
  <c r="P1180" i="4"/>
  <c r="P1181" i="4"/>
  <c r="P1182" i="4"/>
  <c r="P1183" i="4"/>
  <c r="P81" i="4"/>
  <c r="P1184" i="4"/>
  <c r="P125" i="4"/>
  <c r="P66" i="4"/>
  <c r="P101" i="4"/>
  <c r="P1185" i="4"/>
  <c r="P1186" i="4"/>
  <c r="P113" i="4"/>
  <c r="P1187" i="4"/>
  <c r="P1188" i="4"/>
  <c r="P1189" i="4"/>
  <c r="P1190" i="4"/>
  <c r="P1191" i="4"/>
  <c r="P1192" i="4"/>
  <c r="P1193" i="4"/>
  <c r="P1194" i="4"/>
  <c r="P1195" i="4"/>
  <c r="P1196" i="4"/>
  <c r="P1197" i="4"/>
  <c r="P1198" i="4"/>
  <c r="P1199" i="4"/>
  <c r="P1200" i="4"/>
  <c r="P1201" i="4"/>
  <c r="P1202" i="4"/>
  <c r="P1203" i="4"/>
  <c r="P1204" i="4"/>
  <c r="P1205" i="4"/>
  <c r="P1206" i="4"/>
  <c r="P1207" i="4"/>
  <c r="P1208" i="4"/>
  <c r="P1209" i="4"/>
  <c r="P109" i="4"/>
  <c r="P9" i="4"/>
  <c r="P1210" i="4"/>
  <c r="P1211" i="4"/>
  <c r="P1212" i="4"/>
  <c r="P1213" i="4"/>
  <c r="P118" i="4"/>
  <c r="P1214" i="4"/>
  <c r="P1215" i="4"/>
  <c r="P1216" i="4"/>
  <c r="P1217" i="4"/>
  <c r="P1218" i="4"/>
  <c r="P1219" i="4"/>
  <c r="P1220" i="4"/>
  <c r="P1221" i="4"/>
  <c r="P1222" i="4"/>
  <c r="P1223" i="4"/>
  <c r="P1224" i="4"/>
  <c r="P1225" i="4"/>
  <c r="P123" i="4"/>
  <c r="P1226" i="4"/>
  <c r="P1227" i="4"/>
  <c r="P1228" i="4"/>
  <c r="P1229" i="4"/>
  <c r="P1230" i="4"/>
  <c r="P10" i="4"/>
  <c r="P1231" i="4"/>
  <c r="P1232"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277" i="4"/>
  <c r="P1278" i="4"/>
  <c r="P1279" i="4"/>
  <c r="P131" i="4"/>
  <c r="P1280" i="4"/>
  <c r="P1281" i="4"/>
  <c r="P1282" i="4"/>
  <c r="P1283" i="4"/>
  <c r="P11" i="4"/>
  <c r="P1284" i="4"/>
  <c r="P1285" i="4"/>
  <c r="P67" i="4"/>
  <c r="P1286" i="4"/>
  <c r="P53" i="4"/>
  <c r="P15" i="4"/>
  <c r="P1287" i="4"/>
  <c r="P1288" i="4"/>
  <c r="P132" i="4"/>
  <c r="P129" i="4"/>
  <c r="P1289" i="4"/>
  <c r="P1290" i="4"/>
  <c r="P91" i="4"/>
  <c r="P1291" i="4"/>
  <c r="P51" i="4"/>
  <c r="P12" i="4"/>
  <c r="P1292" i="4"/>
  <c r="P1293" i="4"/>
  <c r="P78" i="4"/>
  <c r="P18" i="4"/>
  <c r="P19" i="4"/>
  <c r="P42" i="4"/>
  <c r="P92" i="4"/>
  <c r="P1294" i="4"/>
  <c r="P1295" i="4"/>
  <c r="P1296" i="4"/>
  <c r="P41" i="4"/>
  <c r="P62" i="4"/>
  <c r="P1297" i="4"/>
  <c r="P1298" i="4"/>
  <c r="P1299" i="4"/>
  <c r="P71" i="4"/>
  <c r="P120" i="4"/>
  <c r="P124" i="4"/>
  <c r="P126" i="4"/>
  <c r="P128" i="4"/>
  <c r="P122" i="4"/>
  <c r="P1300" i="4"/>
  <c r="P1301" i="4"/>
  <c r="P1302" i="4"/>
  <c r="P93" i="4"/>
  <c r="P29" i="4"/>
  <c r="P1303" i="4"/>
  <c r="P1304" i="4"/>
  <c r="P33" i="4"/>
  <c r="P23" i="4"/>
  <c r="P1305" i="4"/>
  <c r="P35" i="4"/>
  <c r="P115" i="4"/>
  <c r="P1306" i="4"/>
  <c r="P1307" i="4"/>
  <c r="P1308" i="4"/>
  <c r="P88" i="4"/>
  <c r="P1309" i="4"/>
  <c r="P130" i="4"/>
  <c r="P63" i="4"/>
  <c r="P72" i="4"/>
  <c r="P1310" i="4"/>
  <c r="P1311" i="4"/>
  <c r="P57" i="4"/>
  <c r="P45" i="4"/>
  <c r="P55" i="4"/>
  <c r="P37" i="4"/>
  <c r="P1312" i="4"/>
  <c r="P26" i="4"/>
  <c r="P64" i="4"/>
  <c r="P24" i="4"/>
  <c r="P86" i="4"/>
  <c r="P83" i="4"/>
  <c r="P82" i="4"/>
  <c r="P1313" i="4"/>
  <c r="P1314" i="4"/>
  <c r="P98" i="4"/>
  <c r="P25" i="4"/>
  <c r="P84" i="4"/>
  <c r="P43" i="4"/>
  <c r="P1315" i="4"/>
  <c r="P89" i="4"/>
  <c r="P95" i="4"/>
  <c r="P27" i="4"/>
  <c r="P30" i="4"/>
  <c r="P1316" i="4"/>
  <c r="P87" i="4"/>
  <c r="P36" i="4"/>
  <c r="P68" i="4"/>
  <c r="P65" i="4"/>
  <c r="P1317" i="4"/>
  <c r="P1318" i="4"/>
  <c r="P38" i="4"/>
  <c r="P135" i="4"/>
  <c r="P13" i="4"/>
  <c r="P58" i="4"/>
  <c r="P75" i="4"/>
  <c r="P1319" i="4"/>
  <c r="P1320" i="4"/>
  <c r="P1321" i="4"/>
  <c r="P1322" i="4"/>
  <c r="P94" i="4"/>
  <c r="P1323" i="4"/>
  <c r="P46" i="4"/>
  <c r="P47" i="4"/>
  <c r="P1324" i="4"/>
  <c r="P1325" i="4"/>
  <c r="P48" i="4"/>
  <c r="P1326" i="4"/>
  <c r="P1327" i="4"/>
  <c r="P1328" i="4"/>
  <c r="P31" i="4"/>
  <c r="P1329" i="4"/>
  <c r="P1330" i="4"/>
  <c r="P116" i="4"/>
  <c r="P76" i="4"/>
  <c r="P34" i="4"/>
  <c r="P1331" i="4"/>
  <c r="P114" i="4"/>
  <c r="P21" i="4"/>
  <c r="P79" i="4"/>
  <c r="P102" i="4"/>
  <c r="P28" i="4"/>
  <c r="P1332" i="4"/>
  <c r="P59" i="4"/>
  <c r="P106" i="4"/>
  <c r="P99" i="4"/>
  <c r="P49" i="4"/>
  <c r="P103" i="4"/>
  <c r="P56" i="4"/>
  <c r="P14" i="4"/>
  <c r="P112" i="4"/>
  <c r="P20" i="4"/>
  <c r="P52" i="4"/>
  <c r="P1333" i="4"/>
  <c r="P110" i="4"/>
  <c r="P32" i="4"/>
  <c r="P22" i="4"/>
  <c r="P54" i="4"/>
  <c r="P77" i="4"/>
  <c r="P1334" i="4"/>
  <c r="P40" i="4"/>
  <c r="P1335" i="4"/>
  <c r="P44" i="4"/>
  <c r="P1336" i="4"/>
  <c r="P1337" i="4"/>
  <c r="P1338" i="4"/>
  <c r="P96" i="4"/>
  <c r="A136" i="4"/>
  <c r="A140" i="4"/>
  <c r="A144" i="4"/>
  <c r="A148" i="4"/>
  <c r="A152" i="4"/>
  <c r="A156" i="4"/>
  <c r="A160" i="4"/>
  <c r="A164" i="4"/>
  <c r="A168" i="4"/>
  <c r="A172" i="4"/>
  <c r="A176" i="4"/>
  <c r="A180" i="4"/>
  <c r="A184" i="4"/>
  <c r="A188" i="4"/>
  <c r="A192" i="4"/>
  <c r="A196" i="4"/>
  <c r="A200" i="4"/>
  <c r="A204" i="4"/>
  <c r="A208" i="4"/>
  <c r="A211" i="4"/>
  <c r="A215" i="4"/>
  <c r="A219" i="4"/>
  <c r="A223" i="4"/>
  <c r="A227" i="4"/>
  <c r="A231" i="4"/>
  <c r="A235" i="4"/>
  <c r="A239" i="4"/>
  <c r="A243" i="4"/>
  <c r="A246" i="4"/>
  <c r="A250" i="4"/>
  <c r="A254" i="4"/>
  <c r="A258" i="4"/>
  <c r="A262" i="4"/>
  <c r="A266" i="4"/>
  <c r="A270" i="4"/>
  <c r="A274" i="4"/>
  <c r="A278" i="4"/>
  <c r="A282" i="4"/>
  <c r="A286" i="4"/>
  <c r="A290" i="4"/>
  <c r="A294" i="4"/>
  <c r="A298" i="4"/>
  <c r="A302" i="4"/>
  <c r="A306" i="4"/>
  <c r="A310" i="4"/>
  <c r="A313" i="4"/>
  <c r="A317" i="4"/>
  <c r="A321" i="4"/>
  <c r="A325" i="4"/>
  <c r="A329" i="4"/>
  <c r="A333" i="4"/>
  <c r="A337" i="4"/>
  <c r="A341" i="4"/>
  <c r="A345" i="4"/>
  <c r="A349" i="4"/>
  <c r="A353" i="4"/>
  <c r="A357" i="4"/>
  <c r="A100" i="4"/>
  <c r="A364" i="4"/>
  <c r="A368" i="4"/>
  <c r="A371" i="4"/>
  <c r="A375" i="4"/>
  <c r="A379" i="4"/>
  <c r="A383" i="4"/>
  <c r="A387" i="4"/>
  <c r="A391" i="4"/>
  <c r="A395" i="4"/>
  <c r="A399" i="4"/>
  <c r="A403" i="4"/>
  <c r="A407" i="4"/>
  <c r="A411" i="4"/>
  <c r="A415" i="4"/>
  <c r="A419" i="4"/>
  <c r="A423"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127" i="4"/>
  <c r="A608" i="4"/>
  <c r="A612" i="4"/>
  <c r="A615" i="4"/>
  <c r="A619" i="4"/>
  <c r="A623" i="4"/>
  <c r="A627" i="4"/>
  <c r="A631" i="4"/>
  <c r="A137" i="4"/>
  <c r="A141" i="4"/>
  <c r="A145" i="4"/>
  <c r="A149" i="4"/>
  <c r="A153" i="4"/>
  <c r="A157" i="4"/>
  <c r="A161" i="4"/>
  <c r="A165" i="4"/>
  <c r="A169" i="4"/>
  <c r="A173" i="4"/>
  <c r="A177" i="4"/>
  <c r="A181" i="4"/>
  <c r="A185" i="4"/>
  <c r="A189" i="4"/>
  <c r="A193" i="4"/>
  <c r="A197" i="4"/>
  <c r="A201" i="4"/>
  <c r="A205" i="4"/>
  <c r="A209" i="4"/>
  <c r="A212" i="4"/>
  <c r="A216" i="4"/>
  <c r="A220" i="4"/>
  <c r="A224" i="4"/>
  <c r="A228" i="4"/>
  <c r="A232" i="4"/>
  <c r="A236" i="4"/>
  <c r="A240" i="4"/>
  <c r="A244" i="4"/>
  <c r="A247" i="4"/>
  <c r="A251" i="4"/>
  <c r="A255" i="4"/>
  <c r="A259" i="4"/>
  <c r="A263" i="4"/>
  <c r="A267" i="4"/>
  <c r="A271" i="4"/>
  <c r="A275" i="4"/>
  <c r="A279" i="4"/>
  <c r="A283" i="4"/>
  <c r="A287" i="4"/>
  <c r="A291" i="4"/>
  <c r="A295" i="4"/>
  <c r="A299" i="4"/>
  <c r="A303" i="4"/>
  <c r="A307" i="4"/>
  <c r="A6" i="4"/>
  <c r="A314" i="4"/>
  <c r="A318" i="4"/>
  <c r="A322" i="4"/>
  <c r="A326" i="4"/>
  <c r="A330" i="4"/>
  <c r="A334" i="4"/>
  <c r="A338" i="4"/>
  <c r="A342" i="4"/>
  <c r="A346" i="4"/>
  <c r="A350" i="4"/>
  <c r="A354" i="4"/>
  <c r="A358" i="4"/>
  <c r="A361" i="4"/>
  <c r="A365" i="4"/>
  <c r="A369" i="4"/>
  <c r="A372" i="4"/>
  <c r="A376" i="4"/>
  <c r="A380" i="4"/>
  <c r="A384" i="4"/>
  <c r="A388" i="4"/>
  <c r="A392" i="4"/>
  <c r="A396" i="4"/>
  <c r="A400" i="4"/>
  <c r="A404" i="4"/>
  <c r="A408" i="4"/>
  <c r="A412" i="4"/>
  <c r="A416" i="4"/>
  <c r="A420" i="4"/>
  <c r="A424"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588" i="4"/>
  <c r="A592" i="4"/>
  <c r="A596" i="4"/>
  <c r="A600" i="4"/>
  <c r="A604" i="4"/>
  <c r="A85" i="4"/>
  <c r="A609" i="4"/>
  <c r="A613" i="4"/>
  <c r="A616" i="4"/>
  <c r="A620" i="4"/>
  <c r="A624" i="4"/>
  <c r="A628" i="4"/>
  <c r="A632" i="4"/>
  <c r="A138" i="4"/>
  <c r="A146" i="4"/>
  <c r="A154" i="4"/>
  <c r="A162" i="4"/>
  <c r="A170" i="4"/>
  <c r="A178" i="4"/>
  <c r="A186" i="4"/>
  <c r="A194" i="4"/>
  <c r="A202" i="4"/>
  <c r="A104" i="4"/>
  <c r="A217" i="4"/>
  <c r="A225" i="4"/>
  <c r="A233" i="4"/>
  <c r="A241" i="4"/>
  <c r="A248" i="4"/>
  <c r="A256" i="4"/>
  <c r="A264" i="4"/>
  <c r="A272" i="4"/>
  <c r="A280" i="4"/>
  <c r="A288" i="4"/>
  <c r="A296" i="4"/>
  <c r="A304" i="4"/>
  <c r="A311" i="4"/>
  <c r="A319" i="4"/>
  <c r="A327" i="4"/>
  <c r="A335" i="4"/>
  <c r="A343" i="4"/>
  <c r="A351" i="4"/>
  <c r="A359" i="4"/>
  <c r="A366" i="4"/>
  <c r="A373" i="4"/>
  <c r="A381" i="4"/>
  <c r="A389" i="4"/>
  <c r="A397" i="4"/>
  <c r="A405" i="4"/>
  <c r="A413" i="4"/>
  <c r="A421" i="4"/>
  <c r="A429" i="4"/>
  <c r="A437" i="4"/>
  <c r="A445" i="4"/>
  <c r="A453" i="4"/>
  <c r="A461" i="4"/>
  <c r="A469" i="4"/>
  <c r="A477" i="4"/>
  <c r="A485" i="4"/>
  <c r="A493" i="4"/>
  <c r="A501" i="4"/>
  <c r="A509" i="4"/>
  <c r="A517" i="4"/>
  <c r="A525" i="4"/>
  <c r="A533" i="4"/>
  <c r="A541" i="4"/>
  <c r="A549" i="4"/>
  <c r="A557" i="4"/>
  <c r="A565" i="4"/>
  <c r="A573" i="4"/>
  <c r="A581" i="4"/>
  <c r="A589" i="4"/>
  <c r="A597" i="4"/>
  <c r="A605" i="4"/>
  <c r="A610" i="4"/>
  <c r="A617" i="4"/>
  <c r="A625" i="4"/>
  <c r="A633" i="4"/>
  <c r="A637" i="4"/>
  <c r="A641" i="4"/>
  <c r="A645" i="4"/>
  <c r="A649" i="4"/>
  <c r="A652" i="4"/>
  <c r="A656" i="4"/>
  <c r="A660" i="4"/>
  <c r="A664" i="4"/>
  <c r="A668" i="4"/>
  <c r="A672" i="4"/>
  <c r="A676" i="4"/>
  <c r="A680" i="4"/>
  <c r="A105" i="4"/>
  <c r="A687" i="4"/>
  <c r="A691" i="4"/>
  <c r="A695" i="4"/>
  <c r="A699" i="4"/>
  <c r="A703" i="4"/>
  <c r="A707" i="4"/>
  <c r="A711" i="4"/>
  <c r="A715" i="4"/>
  <c r="A719" i="4"/>
  <c r="A723" i="4"/>
  <c r="A727" i="4"/>
  <c r="A731" i="4"/>
  <c r="A735" i="4"/>
  <c r="A739" i="4"/>
  <c r="A743" i="4"/>
  <c r="A747" i="4"/>
  <c r="A751" i="4"/>
  <c r="A755" i="4"/>
  <c r="A759" i="4"/>
  <c r="A763" i="4"/>
  <c r="A767" i="4"/>
  <c r="A771" i="4"/>
  <c r="A775" i="4"/>
  <c r="A779" i="4"/>
  <c r="A783" i="4"/>
  <c r="A787" i="4"/>
  <c r="A791" i="4"/>
  <c r="A795" i="4"/>
  <c r="A799" i="4"/>
  <c r="A803" i="4"/>
  <c r="A807" i="4"/>
  <c r="A811" i="4"/>
  <c r="A813" i="4"/>
  <c r="A817" i="4"/>
  <c r="A133" i="4"/>
  <c r="A824" i="4"/>
  <c r="A828" i="4"/>
  <c r="A832" i="4"/>
  <c r="A836" i="4"/>
  <c r="A840" i="4"/>
  <c r="A844" i="4"/>
  <c r="A848" i="4"/>
  <c r="A852" i="4"/>
  <c r="A855" i="4"/>
  <c r="A859" i="4"/>
  <c r="A863" i="4"/>
  <c r="A867" i="4"/>
  <c r="A871" i="4"/>
  <c r="A875" i="4"/>
  <c r="A879" i="4"/>
  <c r="A883" i="4"/>
  <c r="A887" i="4"/>
  <c r="A891" i="4"/>
  <c r="A895" i="4"/>
  <c r="A899" i="4"/>
  <c r="A903" i="4"/>
  <c r="A907" i="4"/>
  <c r="A911" i="4"/>
  <c r="A915" i="4"/>
  <c r="A919" i="4"/>
  <c r="A923" i="4"/>
  <c r="A927" i="4"/>
  <c r="A931" i="4"/>
  <c r="A935" i="4"/>
  <c r="A939" i="4"/>
  <c r="A943" i="4"/>
  <c r="A947" i="4"/>
  <c r="A950" i="4"/>
  <c r="A954" i="4"/>
  <c r="A958" i="4"/>
  <c r="A962" i="4"/>
  <c r="A966" i="4"/>
  <c r="A970" i="4"/>
  <c r="A974" i="4"/>
  <c r="A73" i="4"/>
  <c r="A981" i="4"/>
  <c r="A984" i="4"/>
  <c r="A988" i="4"/>
  <c r="A992" i="4"/>
  <c r="A996" i="4"/>
  <c r="A1000" i="4"/>
  <c r="A1004" i="4"/>
  <c r="A1008" i="4"/>
  <c r="A1012" i="4"/>
  <c r="A1016" i="4"/>
  <c r="A1020" i="4"/>
  <c r="A1024" i="4"/>
  <c r="A1028" i="4"/>
  <c r="A1032" i="4"/>
  <c r="A1036" i="4"/>
  <c r="A1040" i="4"/>
  <c r="A1044" i="4"/>
  <c r="A8" i="4"/>
  <c r="A1051" i="4"/>
  <c r="A1054" i="4"/>
  <c r="A1058" i="4"/>
  <c r="A1062" i="4"/>
  <c r="A1066" i="4"/>
  <c r="A1069" i="4"/>
  <c r="A1073" i="4"/>
  <c r="A1077" i="4"/>
  <c r="A1080" i="4"/>
  <c r="A1084" i="4"/>
  <c r="A1088" i="4"/>
  <c r="A1092" i="4"/>
  <c r="A1096" i="4"/>
  <c r="A111" i="4"/>
  <c r="A50" i="4"/>
  <c r="A1106" i="4"/>
  <c r="A1110" i="4"/>
  <c r="A1114" i="4"/>
  <c r="A1118" i="4"/>
  <c r="A1122" i="4"/>
  <c r="A1126" i="4"/>
  <c r="A1130" i="4"/>
  <c r="A1134" i="4"/>
  <c r="A1138" i="4"/>
  <c r="A1142" i="4"/>
  <c r="A1146" i="4"/>
  <c r="A1150" i="4"/>
  <c r="A1154" i="4"/>
  <c r="A117" i="4"/>
  <c r="A74" i="4"/>
  <c r="A1164" i="4"/>
  <c r="A1168" i="4"/>
  <c r="A1171" i="4"/>
  <c r="A1173" i="4"/>
  <c r="A1177" i="4"/>
  <c r="A1181" i="4"/>
  <c r="A1184" i="4"/>
  <c r="A1185" i="4"/>
  <c r="A1188" i="4"/>
  <c r="A1192" i="4"/>
  <c r="A1196" i="4"/>
  <c r="A1200" i="4"/>
  <c r="A1204" i="4"/>
  <c r="A1208" i="4"/>
  <c r="A1210" i="4"/>
  <c r="A118" i="4"/>
  <c r="A1217" i="4"/>
  <c r="A1221" i="4"/>
  <c r="A1225" i="4"/>
  <c r="A1228" i="4"/>
  <c r="A1231" i="4"/>
  <c r="A1235" i="4"/>
  <c r="A1239" i="4"/>
  <c r="A1243" i="4"/>
  <c r="A1247" i="4"/>
  <c r="A1251" i="4"/>
  <c r="A1255" i="4"/>
  <c r="A1259" i="4"/>
  <c r="A1263" i="4"/>
  <c r="A1267" i="4"/>
  <c r="A1271" i="4"/>
  <c r="A1275" i="4"/>
  <c r="A1279" i="4"/>
  <c r="A1282" i="4"/>
  <c r="A1285" i="4"/>
  <c r="A15" i="4"/>
  <c r="A129" i="4"/>
  <c r="A1291" i="4"/>
  <c r="A1293" i="4"/>
  <c r="A42" i="4"/>
  <c r="A1296" i="4"/>
  <c r="A1298" i="4"/>
  <c r="A124" i="4"/>
  <c r="A1300" i="4"/>
  <c r="A29" i="4"/>
  <c r="A23" i="4"/>
  <c r="A1306" i="4"/>
  <c r="A1309" i="4"/>
  <c r="A139" i="4"/>
  <c r="A147" i="4"/>
  <c r="A155" i="4"/>
  <c r="A163" i="4"/>
  <c r="A171" i="4"/>
  <c r="A179" i="4"/>
  <c r="A187" i="4"/>
  <c r="A195" i="4"/>
  <c r="A203" i="4"/>
  <c r="A210" i="4"/>
  <c r="A218" i="4"/>
  <c r="A226" i="4"/>
  <c r="A234" i="4"/>
  <c r="A242" i="4"/>
  <c r="A249" i="4"/>
  <c r="A257" i="4"/>
  <c r="A265" i="4"/>
  <c r="A273" i="4"/>
  <c r="A281" i="4"/>
  <c r="A289" i="4"/>
  <c r="A297" i="4"/>
  <c r="A305" i="4"/>
  <c r="A312" i="4"/>
  <c r="A320" i="4"/>
  <c r="A328" i="4"/>
  <c r="A336" i="4"/>
  <c r="A344" i="4"/>
  <c r="A352" i="4"/>
  <c r="A360" i="4"/>
  <c r="A367" i="4"/>
  <c r="A374" i="4"/>
  <c r="A382" i="4"/>
  <c r="A390" i="4"/>
  <c r="A398" i="4"/>
  <c r="A406" i="4"/>
  <c r="A414" i="4"/>
  <c r="A422" i="4"/>
  <c r="A430" i="4"/>
  <c r="A438" i="4"/>
  <c r="A446" i="4"/>
  <c r="A454" i="4"/>
  <c r="A462" i="4"/>
  <c r="A470" i="4"/>
  <c r="A478" i="4"/>
  <c r="A486" i="4"/>
  <c r="A494" i="4"/>
  <c r="A502" i="4"/>
  <c r="A510" i="4"/>
  <c r="A518" i="4"/>
  <c r="A526" i="4"/>
  <c r="A534" i="4"/>
  <c r="A542" i="4"/>
  <c r="A550" i="4"/>
  <c r="A558" i="4"/>
  <c r="A566" i="4"/>
  <c r="A574" i="4"/>
  <c r="A582" i="4"/>
  <c r="A590" i="4"/>
  <c r="A598" i="4"/>
  <c r="A80" i="4"/>
  <c r="A611" i="4"/>
  <c r="A618" i="4"/>
  <c r="A626" i="4"/>
  <c r="A634" i="4"/>
  <c r="A638" i="4"/>
  <c r="A642" i="4"/>
  <c r="A646" i="4"/>
  <c r="A90" i="4"/>
  <c r="A653" i="4"/>
  <c r="A657" i="4"/>
  <c r="A661" i="4"/>
  <c r="A665" i="4"/>
  <c r="A669" i="4"/>
  <c r="A673" i="4"/>
  <c r="A677" i="4"/>
  <c r="A681" i="4"/>
  <c r="A684" i="4"/>
  <c r="A688" i="4"/>
  <c r="A692" i="4"/>
  <c r="A696" i="4"/>
  <c r="A700" i="4"/>
  <c r="A704" i="4"/>
  <c r="A708" i="4"/>
  <c r="A712" i="4"/>
  <c r="A716" i="4"/>
  <c r="A720" i="4"/>
  <c r="A724" i="4"/>
  <c r="A728" i="4"/>
  <c r="A732" i="4"/>
  <c r="A736" i="4"/>
  <c r="A740" i="4"/>
  <c r="A744" i="4"/>
  <c r="A748" i="4"/>
  <c r="A752" i="4"/>
  <c r="A756" i="4"/>
  <c r="A760" i="4"/>
  <c r="A764" i="4"/>
  <c r="A768" i="4"/>
  <c r="A772" i="4"/>
  <c r="A776" i="4"/>
  <c r="A780" i="4"/>
  <c r="A784" i="4"/>
  <c r="A788" i="4"/>
  <c r="A792" i="4"/>
  <c r="A796" i="4"/>
  <c r="A800" i="4"/>
  <c r="A804" i="4"/>
  <c r="A808" i="4"/>
  <c r="A107" i="4"/>
  <c r="A814" i="4"/>
  <c r="A818" i="4"/>
  <c r="A821" i="4"/>
  <c r="A825" i="4"/>
  <c r="A829" i="4"/>
  <c r="A833" i="4"/>
  <c r="A837" i="4"/>
  <c r="A841" i="4"/>
  <c r="A845" i="4"/>
  <c r="A849" i="4"/>
  <c r="A853" i="4"/>
  <c r="A856" i="4"/>
  <c r="A860" i="4"/>
  <c r="A864" i="4"/>
  <c r="A868" i="4"/>
  <c r="A872" i="4"/>
  <c r="A876" i="4"/>
  <c r="A880" i="4"/>
  <c r="A884" i="4"/>
  <c r="A888" i="4"/>
  <c r="A892" i="4"/>
  <c r="A896" i="4"/>
  <c r="A900" i="4"/>
  <c r="A904" i="4"/>
  <c r="A908" i="4"/>
  <c r="A912" i="4"/>
  <c r="A916" i="4"/>
  <c r="A920" i="4"/>
  <c r="A924" i="4"/>
  <c r="A928" i="4"/>
  <c r="A932" i="4"/>
  <c r="A936" i="4"/>
  <c r="A940" i="4"/>
  <c r="A944" i="4"/>
  <c r="A948" i="4"/>
  <c r="A951" i="4"/>
  <c r="A955" i="4"/>
  <c r="A959" i="4"/>
  <c r="A963" i="4"/>
  <c r="A967" i="4"/>
  <c r="A971" i="4"/>
  <c r="A975" i="4"/>
  <c r="A978" i="4"/>
  <c r="A982" i="4"/>
  <c r="A985" i="4"/>
  <c r="A989" i="4"/>
  <c r="A993" i="4"/>
  <c r="A997" i="4"/>
  <c r="A1001" i="4"/>
  <c r="A1005" i="4"/>
  <c r="A1009" i="4"/>
  <c r="A1013" i="4"/>
  <c r="A1017" i="4"/>
  <c r="A1021" i="4"/>
  <c r="A1025" i="4"/>
  <c r="A1029" i="4"/>
  <c r="A1033" i="4"/>
  <c r="A1037" i="4"/>
  <c r="A1041" i="4"/>
  <c r="A1045" i="4"/>
  <c r="A1048" i="4"/>
  <c r="A1052" i="4"/>
  <c r="A1055" i="4"/>
  <c r="A1059" i="4"/>
  <c r="A1063" i="4"/>
  <c r="A121" i="4"/>
  <c r="A1070" i="4"/>
  <c r="A1074" i="4"/>
  <c r="A97" i="4"/>
  <c r="A1081" i="4"/>
  <c r="A1085" i="4"/>
  <c r="A1089" i="4"/>
  <c r="A1093" i="4"/>
  <c r="A1097" i="4"/>
  <c r="A1100" i="4"/>
  <c r="A1103" i="4"/>
  <c r="A1107" i="4"/>
  <c r="A1111" i="4"/>
  <c r="A1115" i="4"/>
  <c r="A1119" i="4"/>
  <c r="A1123" i="4"/>
  <c r="A1127" i="4"/>
  <c r="A1131" i="4"/>
  <c r="A1135" i="4"/>
  <c r="A1139" i="4"/>
  <c r="A1143" i="4"/>
  <c r="A1147" i="4"/>
  <c r="A1151" i="4"/>
  <c r="A1155" i="4"/>
  <c r="A1158" i="4"/>
  <c r="A1161" i="4"/>
  <c r="A1165" i="4"/>
  <c r="A1169" i="4"/>
  <c r="A134" i="4"/>
  <c r="A1174" i="4"/>
  <c r="A1178" i="4"/>
  <c r="A1182" i="4"/>
  <c r="A125" i="4"/>
  <c r="A1186" i="4"/>
  <c r="A1189" i="4"/>
  <c r="A1193" i="4"/>
  <c r="A1197" i="4"/>
  <c r="A1201" i="4"/>
  <c r="A1205" i="4"/>
  <c r="A1209" i="4"/>
  <c r="A1211" i="4"/>
  <c r="A1214" i="4"/>
  <c r="A1218" i="4"/>
  <c r="A1222" i="4"/>
  <c r="A123" i="4"/>
  <c r="A1229" i="4"/>
  <c r="A1232" i="4"/>
  <c r="A1236" i="4"/>
  <c r="A1240" i="4"/>
  <c r="A1244" i="4"/>
  <c r="A1248" i="4"/>
  <c r="A1252" i="4"/>
  <c r="A1256" i="4"/>
  <c r="A1260" i="4"/>
  <c r="A1264" i="4"/>
  <c r="A1268" i="4"/>
  <c r="A1272" i="4"/>
  <c r="A1276" i="4"/>
  <c r="A131" i="4"/>
  <c r="A1283" i="4"/>
  <c r="A67" i="4"/>
  <c r="A1287" i="4"/>
  <c r="A1289" i="4"/>
  <c r="A51" i="4"/>
  <c r="A78" i="4"/>
  <c r="A92" i="4"/>
  <c r="A41" i="4"/>
  <c r="A1299" i="4"/>
  <c r="A126" i="4"/>
  <c r="A1301" i="4"/>
  <c r="A1303" i="4"/>
  <c r="A1305" i="4"/>
  <c r="A1307" i="4"/>
  <c r="A130" i="4"/>
  <c r="A1311" i="4"/>
  <c r="A37" i="4"/>
  <c r="A24" i="4"/>
  <c r="A1313" i="4"/>
  <c r="A84" i="4"/>
  <c r="A95" i="4"/>
  <c r="A87" i="4"/>
  <c r="A142" i="4"/>
  <c r="A158" i="4"/>
  <c r="A174" i="4"/>
  <c r="A190" i="4"/>
  <c r="A206" i="4"/>
  <c r="A221" i="4"/>
  <c r="A237" i="4"/>
  <c r="A252" i="4"/>
  <c r="A268" i="4"/>
  <c r="A284" i="4"/>
  <c r="A300" i="4"/>
  <c r="A315" i="4"/>
  <c r="A331" i="4"/>
  <c r="A347" i="4"/>
  <c r="A362" i="4"/>
  <c r="A377" i="4"/>
  <c r="A393" i="4"/>
  <c r="A409" i="4"/>
  <c r="A425" i="4"/>
  <c r="A441" i="4"/>
  <c r="A457" i="4"/>
  <c r="A473" i="4"/>
  <c r="A489" i="4"/>
  <c r="A505" i="4"/>
  <c r="A521" i="4"/>
  <c r="A537" i="4"/>
  <c r="A553" i="4"/>
  <c r="A569" i="4"/>
  <c r="A585" i="4"/>
  <c r="A601" i="4"/>
  <c r="A614" i="4"/>
  <c r="A629" i="4"/>
  <c r="A639" i="4"/>
  <c r="A647" i="4"/>
  <c r="A654" i="4"/>
  <c r="A662" i="4"/>
  <c r="A670" i="4"/>
  <c r="A678" i="4"/>
  <c r="A685" i="4"/>
  <c r="A693" i="4"/>
  <c r="A701" i="4"/>
  <c r="A709" i="4"/>
  <c r="A717" i="4"/>
  <c r="A725" i="4"/>
  <c r="A733" i="4"/>
  <c r="A741" i="4"/>
  <c r="A749" i="4"/>
  <c r="A757" i="4"/>
  <c r="A765" i="4"/>
  <c r="A773" i="4"/>
  <c r="A781" i="4"/>
  <c r="A789" i="4"/>
  <c r="A797" i="4"/>
  <c r="A805" i="4"/>
  <c r="A39" i="4"/>
  <c r="A819" i="4"/>
  <c r="A826" i="4"/>
  <c r="A834" i="4"/>
  <c r="A842" i="4"/>
  <c r="A850" i="4"/>
  <c r="A857" i="4"/>
  <c r="A865" i="4"/>
  <c r="A873" i="4"/>
  <c r="A881" i="4"/>
  <c r="A889" i="4"/>
  <c r="A897" i="4"/>
  <c r="A905" i="4"/>
  <c r="A913" i="4"/>
  <c r="A921" i="4"/>
  <c r="A929" i="4"/>
  <c r="A937" i="4"/>
  <c r="A945" i="4"/>
  <c r="A952" i="4"/>
  <c r="A960" i="4"/>
  <c r="A968" i="4"/>
  <c r="A976" i="4"/>
  <c r="A983" i="4"/>
  <c r="A990" i="4"/>
  <c r="A998" i="4"/>
  <c r="A1006" i="4"/>
  <c r="A1014" i="4"/>
  <c r="A1022" i="4"/>
  <c r="A1030" i="4"/>
  <c r="A1038" i="4"/>
  <c r="A1046" i="4"/>
  <c r="A1053" i="4"/>
  <c r="A1060" i="4"/>
  <c r="A1067" i="4"/>
  <c r="A1075" i="4"/>
  <c r="A1082" i="4"/>
  <c r="A1090" i="4"/>
  <c r="A1098" i="4"/>
  <c r="A1104" i="4"/>
  <c r="A1112" i="4"/>
  <c r="A1120" i="4"/>
  <c r="A1128" i="4"/>
  <c r="A1136" i="4"/>
  <c r="A1144" i="4"/>
  <c r="A1152" i="4"/>
  <c r="A1159" i="4"/>
  <c r="A1166" i="4"/>
  <c r="A70" i="4"/>
  <c r="A1179" i="4"/>
  <c r="A66" i="4"/>
  <c r="A1190" i="4"/>
  <c r="A1198" i="4"/>
  <c r="A1206" i="4"/>
  <c r="A1212" i="4"/>
  <c r="A1219" i="4"/>
  <c r="A1226" i="4"/>
  <c r="A1233" i="4"/>
  <c r="A1241" i="4"/>
  <c r="A1249" i="4"/>
  <c r="A1257" i="4"/>
  <c r="A1265" i="4"/>
  <c r="A1273" i="4"/>
  <c r="A1280" i="4"/>
  <c r="A1286" i="4"/>
  <c r="A1290" i="4"/>
  <c r="A18" i="4"/>
  <c r="A62" i="4"/>
  <c r="A128" i="4"/>
  <c r="A1304" i="4"/>
  <c r="A1308" i="4"/>
  <c r="A1310" i="4"/>
  <c r="A1312" i="4"/>
  <c r="A83" i="4"/>
  <c r="A25" i="4"/>
  <c r="A27" i="4"/>
  <c r="A68" i="4"/>
  <c r="A38" i="4"/>
  <c r="A75" i="4"/>
  <c r="A1322" i="4"/>
  <c r="A47" i="4"/>
  <c r="A1326" i="4"/>
  <c r="A1329" i="4"/>
  <c r="A34" i="4"/>
  <c r="A79" i="4"/>
  <c r="A59" i="4"/>
  <c r="A103" i="4"/>
  <c r="A20" i="4"/>
  <c r="A32" i="4"/>
  <c r="A1334" i="4"/>
  <c r="A1336" i="4"/>
  <c r="G136" i="4"/>
  <c r="G140" i="4"/>
  <c r="G144" i="4"/>
  <c r="G148" i="4"/>
  <c r="G152" i="4"/>
  <c r="G156" i="4"/>
  <c r="G160" i="4"/>
  <c r="G164" i="4"/>
  <c r="G168" i="4"/>
  <c r="G172" i="4"/>
  <c r="G176" i="4"/>
  <c r="G180" i="4"/>
  <c r="G184" i="4"/>
  <c r="G188" i="4"/>
  <c r="G192" i="4"/>
  <c r="G196" i="4"/>
  <c r="G200" i="4"/>
  <c r="G204" i="4"/>
  <c r="G208" i="4"/>
  <c r="G211" i="4"/>
  <c r="G215" i="4"/>
  <c r="G219" i="4"/>
  <c r="G223" i="4"/>
  <c r="G227" i="4"/>
  <c r="G231" i="4"/>
  <c r="G235" i="4"/>
  <c r="G239" i="4"/>
  <c r="G243" i="4"/>
  <c r="G246" i="4"/>
  <c r="G250" i="4"/>
  <c r="G254" i="4"/>
  <c r="G258" i="4"/>
  <c r="G262" i="4"/>
  <c r="G266" i="4"/>
  <c r="G270" i="4"/>
  <c r="G274" i="4"/>
  <c r="G278" i="4"/>
  <c r="G282" i="4"/>
  <c r="G286" i="4"/>
  <c r="G290" i="4"/>
  <c r="G294" i="4"/>
  <c r="G298" i="4"/>
  <c r="G302" i="4"/>
  <c r="G306" i="4"/>
  <c r="G310" i="4"/>
  <c r="G313" i="4"/>
  <c r="G317" i="4"/>
  <c r="G321" i="4"/>
  <c r="G325" i="4"/>
  <c r="G329" i="4"/>
  <c r="G333" i="4"/>
  <c r="G337" i="4"/>
  <c r="G341" i="4"/>
  <c r="G345" i="4"/>
  <c r="G349" i="4"/>
  <c r="G353" i="4"/>
  <c r="G357" i="4"/>
  <c r="G100" i="4"/>
  <c r="G364" i="4"/>
  <c r="G368" i="4"/>
  <c r="G371" i="4"/>
  <c r="G375" i="4"/>
  <c r="G379" i="4"/>
  <c r="G383" i="4"/>
  <c r="G387" i="4"/>
  <c r="G391" i="4"/>
  <c r="G395" i="4"/>
  <c r="G399" i="4"/>
  <c r="G403" i="4"/>
  <c r="G407" i="4"/>
  <c r="G411" i="4"/>
  <c r="G415" i="4"/>
  <c r="G419" i="4"/>
  <c r="G423" i="4"/>
  <c r="G427" i="4"/>
  <c r="G431"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A143" i="4"/>
  <c r="A159" i="4"/>
  <c r="A175" i="4"/>
  <c r="A191" i="4"/>
  <c r="A207" i="4"/>
  <c r="A222" i="4"/>
  <c r="A238" i="4"/>
  <c r="A253" i="4"/>
  <c r="A269" i="4"/>
  <c r="A285" i="4"/>
  <c r="A301" i="4"/>
  <c r="A316" i="4"/>
  <c r="A332" i="4"/>
  <c r="A348" i="4"/>
  <c r="A363" i="4"/>
  <c r="A378" i="4"/>
  <c r="A394" i="4"/>
  <c r="A410" i="4"/>
  <c r="A426" i="4"/>
  <c r="A442" i="4"/>
  <c r="A458" i="4"/>
  <c r="A474" i="4"/>
  <c r="A490" i="4"/>
  <c r="A506" i="4"/>
  <c r="A522" i="4"/>
  <c r="A538" i="4"/>
  <c r="A554" i="4"/>
  <c r="A570" i="4"/>
  <c r="A586" i="4"/>
  <c r="A602" i="4"/>
  <c r="A119" i="4"/>
  <c r="A630" i="4"/>
  <c r="A640" i="4"/>
  <c r="A648" i="4"/>
  <c r="A655" i="4"/>
  <c r="A663" i="4"/>
  <c r="A671" i="4"/>
  <c r="A679" i="4"/>
  <c r="A686" i="4"/>
  <c r="A694" i="4"/>
  <c r="A702" i="4"/>
  <c r="A710" i="4"/>
  <c r="A718" i="4"/>
  <c r="A726" i="4"/>
  <c r="A734" i="4"/>
  <c r="A742" i="4"/>
  <c r="A750" i="4"/>
  <c r="A758" i="4"/>
  <c r="A766" i="4"/>
  <c r="A774" i="4"/>
  <c r="A782" i="4"/>
  <c r="A790" i="4"/>
  <c r="A798" i="4"/>
  <c r="A806" i="4"/>
  <c r="A812" i="4"/>
  <c r="A820" i="4"/>
  <c r="A827" i="4"/>
  <c r="A835" i="4"/>
  <c r="A843" i="4"/>
  <c r="A851" i="4"/>
  <c r="A858" i="4"/>
  <c r="A866" i="4"/>
  <c r="A874" i="4"/>
  <c r="A882" i="4"/>
  <c r="A890" i="4"/>
  <c r="A898" i="4"/>
  <c r="A906" i="4"/>
  <c r="A914" i="4"/>
  <c r="A922" i="4"/>
  <c r="A930" i="4"/>
  <c r="A938" i="4"/>
  <c r="A946" i="4"/>
  <c r="A953" i="4"/>
  <c r="A961" i="4"/>
  <c r="A969" i="4"/>
  <c r="A977" i="4"/>
  <c r="A60" i="4"/>
  <c r="A991" i="4"/>
  <c r="A999" i="4"/>
  <c r="A1007" i="4"/>
  <c r="A1015" i="4"/>
  <c r="A1023" i="4"/>
  <c r="A1031" i="4"/>
  <c r="A1039" i="4"/>
  <c r="A1047" i="4"/>
  <c r="A16" i="4"/>
  <c r="A1061" i="4"/>
  <c r="A1068" i="4"/>
  <c r="A1076" i="4"/>
  <c r="A1083" i="4"/>
  <c r="A1091" i="4"/>
  <c r="A1099" i="4"/>
  <c r="A1105" i="4"/>
  <c r="A1113" i="4"/>
  <c r="A1121" i="4"/>
  <c r="A1129" i="4"/>
  <c r="A1137" i="4"/>
  <c r="A1145" i="4"/>
  <c r="A1153" i="4"/>
  <c r="A1160" i="4"/>
  <c r="A1167" i="4"/>
  <c r="A1172" i="4"/>
  <c r="A1180" i="4"/>
  <c r="A101" i="4"/>
  <c r="A1191" i="4"/>
  <c r="A1199" i="4"/>
  <c r="A1207" i="4"/>
  <c r="A1213" i="4"/>
  <c r="A1220" i="4"/>
  <c r="A1227" i="4"/>
  <c r="A1234" i="4"/>
  <c r="A1242" i="4"/>
  <c r="A1250" i="4"/>
  <c r="A1258" i="4"/>
  <c r="A1266" i="4"/>
  <c r="A1274" i="4"/>
  <c r="A1281" i="4"/>
  <c r="A53" i="4"/>
  <c r="A91" i="4"/>
  <c r="A19" i="4"/>
  <c r="A1297" i="4"/>
  <c r="A122" i="4"/>
  <c r="A33" i="4"/>
  <c r="A88" i="4"/>
  <c r="A57" i="4"/>
  <c r="A26" i="4"/>
  <c r="A82" i="4"/>
  <c r="A43" i="4"/>
  <c r="A30" i="4"/>
  <c r="A65" i="4"/>
  <c r="A135" i="4"/>
  <c r="A1319" i="4"/>
  <c r="A94" i="4"/>
  <c r="A1324" i="4"/>
  <c r="A1327" i="4"/>
  <c r="A1330" i="4"/>
  <c r="A1331" i="4"/>
  <c r="A102" i="4"/>
  <c r="A106" i="4"/>
  <c r="A56" i="4"/>
  <c r="A52" i="4"/>
  <c r="A22" i="4"/>
  <c r="A40" i="4"/>
  <c r="A1337" i="4"/>
  <c r="G137" i="4"/>
  <c r="G141" i="4"/>
  <c r="G145" i="4"/>
  <c r="G149" i="4"/>
  <c r="G153" i="4"/>
  <c r="G157" i="4"/>
  <c r="G161" i="4"/>
  <c r="G165" i="4"/>
  <c r="G169" i="4"/>
  <c r="G173" i="4"/>
  <c r="G177" i="4"/>
  <c r="G181" i="4"/>
  <c r="G185" i="4"/>
  <c r="G189" i="4"/>
  <c r="G193" i="4"/>
  <c r="G197" i="4"/>
  <c r="G201" i="4"/>
  <c r="G205" i="4"/>
  <c r="G209" i="4"/>
  <c r="G212" i="4"/>
  <c r="G216" i="4"/>
  <c r="G220" i="4"/>
  <c r="G224" i="4"/>
  <c r="G228" i="4"/>
  <c r="G232" i="4"/>
  <c r="G236" i="4"/>
  <c r="G240" i="4"/>
  <c r="G244" i="4"/>
  <c r="G247" i="4"/>
  <c r="G251" i="4"/>
  <c r="G255" i="4"/>
  <c r="G259" i="4"/>
  <c r="G263" i="4"/>
  <c r="G267" i="4"/>
  <c r="G271" i="4"/>
  <c r="G275" i="4"/>
  <c r="G279" i="4"/>
  <c r="G283" i="4"/>
  <c r="G287" i="4"/>
  <c r="G291" i="4"/>
  <c r="G295" i="4"/>
  <c r="G299" i="4"/>
  <c r="G303" i="4"/>
  <c r="G307" i="4"/>
  <c r="G6" i="4"/>
  <c r="G314" i="4"/>
  <c r="G318" i="4"/>
  <c r="G322" i="4"/>
  <c r="G326" i="4"/>
  <c r="G330" i="4"/>
  <c r="G334" i="4"/>
  <c r="G338" i="4"/>
  <c r="G342" i="4"/>
  <c r="G346" i="4"/>
  <c r="G350" i="4"/>
  <c r="G354" i="4"/>
  <c r="G358" i="4"/>
  <c r="G361" i="4"/>
  <c r="G365" i="4"/>
  <c r="G369" i="4"/>
  <c r="G372" i="4"/>
  <c r="G376" i="4"/>
  <c r="G380" i="4"/>
  <c r="G384" i="4"/>
  <c r="G388" i="4"/>
  <c r="G392" i="4"/>
  <c r="G396" i="4"/>
  <c r="G400" i="4"/>
  <c r="G404" i="4"/>
  <c r="G408" i="4"/>
  <c r="G412" i="4"/>
  <c r="G416" i="4"/>
  <c r="G420" i="4"/>
  <c r="G424" i="4"/>
  <c r="G428" i="4"/>
  <c r="G432" i="4"/>
  <c r="G436" i="4"/>
  <c r="G440" i="4"/>
  <c r="G444" i="4"/>
  <c r="G448" i="4"/>
  <c r="G452"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4" i="4"/>
  <c r="G85" i="4"/>
  <c r="G609" i="4"/>
  <c r="G613" i="4"/>
  <c r="G616" i="4"/>
  <c r="G620" i="4"/>
  <c r="G624" i="4"/>
  <c r="G628" i="4"/>
  <c r="G632" i="4"/>
  <c r="G636" i="4"/>
  <c r="G640" i="4"/>
  <c r="G644" i="4"/>
  <c r="G648" i="4"/>
  <c r="G651" i="4"/>
  <c r="G655" i="4"/>
  <c r="G659" i="4"/>
  <c r="G663" i="4"/>
  <c r="G667" i="4"/>
  <c r="A150" i="4"/>
  <c r="A182" i="4"/>
  <c r="A213" i="4"/>
  <c r="A245" i="4"/>
  <c r="A276" i="4"/>
  <c r="A308" i="4"/>
  <c r="A339" i="4"/>
  <c r="A61" i="4"/>
  <c r="A401" i="4"/>
  <c r="A433" i="4"/>
  <c r="A465" i="4"/>
  <c r="A497" i="4"/>
  <c r="A529" i="4"/>
  <c r="A561" i="4"/>
  <c r="A593" i="4"/>
  <c r="A621" i="4"/>
  <c r="A643" i="4"/>
  <c r="A658" i="4"/>
  <c r="A674" i="4"/>
  <c r="A689" i="4"/>
  <c r="A705" i="4"/>
  <c r="A721" i="4"/>
  <c r="A737" i="4"/>
  <c r="A753" i="4"/>
  <c r="A769" i="4"/>
  <c r="A785" i="4"/>
  <c r="A801" i="4"/>
  <c r="A815" i="4"/>
  <c r="A830" i="4"/>
  <c r="A846" i="4"/>
  <c r="A861" i="4"/>
  <c r="A877" i="4"/>
  <c r="A893" i="4"/>
  <c r="A909" i="4"/>
  <c r="A925" i="4"/>
  <c r="A941" i="4"/>
  <c r="A956" i="4"/>
  <c r="A972" i="4"/>
  <c r="A986" i="4"/>
  <c r="A1002" i="4"/>
  <c r="A1018" i="4"/>
  <c r="A1034" i="4"/>
  <c r="A1049" i="4"/>
  <c r="A1064" i="4"/>
  <c r="A1078" i="4"/>
  <c r="A1094" i="4"/>
  <c r="A1108" i="4"/>
  <c r="A1124" i="4"/>
  <c r="A1140" i="4"/>
  <c r="A1156" i="4"/>
  <c r="A1170" i="4"/>
  <c r="A1183" i="4"/>
  <c r="A1194" i="4"/>
  <c r="A109" i="4"/>
  <c r="A1223" i="4"/>
  <c r="A1237" i="4"/>
  <c r="A1253" i="4"/>
  <c r="A1269" i="4"/>
  <c r="A11" i="4"/>
  <c r="A12" i="4"/>
  <c r="A71" i="4"/>
  <c r="A35" i="4"/>
  <c r="A45" i="4"/>
  <c r="A1314" i="4"/>
  <c r="A1316" i="4"/>
  <c r="A13" i="4"/>
  <c r="A1323" i="4"/>
  <c r="A1328" i="4"/>
  <c r="A114" i="4"/>
  <c r="A99" i="4"/>
  <c r="A1333" i="4"/>
  <c r="A1335" i="4"/>
  <c r="G138" i="4"/>
  <c r="G146" i="4"/>
  <c r="G154" i="4"/>
  <c r="G162" i="4"/>
  <c r="G170" i="4"/>
  <c r="G178" i="4"/>
  <c r="G186" i="4"/>
  <c r="G194" i="4"/>
  <c r="G202" i="4"/>
  <c r="G104" i="4"/>
  <c r="G217" i="4"/>
  <c r="G225" i="4"/>
  <c r="G233" i="4"/>
  <c r="G241" i="4"/>
  <c r="G248" i="4"/>
  <c r="G256" i="4"/>
  <c r="G264" i="4"/>
  <c r="G272" i="4"/>
  <c r="G280" i="4"/>
  <c r="G288" i="4"/>
  <c r="G296" i="4"/>
  <c r="G304" i="4"/>
  <c r="G311" i="4"/>
  <c r="G319" i="4"/>
  <c r="G327" i="4"/>
  <c r="G335" i="4"/>
  <c r="G343" i="4"/>
  <c r="G351" i="4"/>
  <c r="G359" i="4"/>
  <c r="G366" i="4"/>
  <c r="G373" i="4"/>
  <c r="G381" i="4"/>
  <c r="G389" i="4"/>
  <c r="G397" i="4"/>
  <c r="G405" i="4"/>
  <c r="G413" i="4"/>
  <c r="G421" i="4"/>
  <c r="G429" i="4"/>
  <c r="G437" i="4"/>
  <c r="G445" i="4"/>
  <c r="G453" i="4"/>
  <c r="G461" i="4"/>
  <c r="G469" i="4"/>
  <c r="G477" i="4"/>
  <c r="G485" i="4"/>
  <c r="G493" i="4"/>
  <c r="G501" i="4"/>
  <c r="G509" i="4"/>
  <c r="G517" i="4"/>
  <c r="G525" i="4"/>
  <c r="G533" i="4"/>
  <c r="G541" i="4"/>
  <c r="G549" i="4"/>
  <c r="G557" i="4"/>
  <c r="G565" i="4"/>
  <c r="G573" i="4"/>
  <c r="G578" i="4"/>
  <c r="G583" i="4"/>
  <c r="G589" i="4"/>
  <c r="G594" i="4"/>
  <c r="G599" i="4"/>
  <c r="G605" i="4"/>
  <c r="G607" i="4"/>
  <c r="G612" i="4"/>
  <c r="G617" i="4"/>
  <c r="G622" i="4"/>
  <c r="G627" i="4"/>
  <c r="G633" i="4"/>
  <c r="G638" i="4"/>
  <c r="G643" i="4"/>
  <c r="G649" i="4"/>
  <c r="G653" i="4"/>
  <c r="G658" i="4"/>
  <c r="G664" i="4"/>
  <c r="G669" i="4"/>
  <c r="G673" i="4"/>
  <c r="G677" i="4"/>
  <c r="G681" i="4"/>
  <c r="G684" i="4"/>
  <c r="G688" i="4"/>
  <c r="G692" i="4"/>
  <c r="G696" i="4"/>
  <c r="G700" i="4"/>
  <c r="G704" i="4"/>
  <c r="G708" i="4"/>
  <c r="G712" i="4"/>
  <c r="G716" i="4"/>
  <c r="G720" i="4"/>
  <c r="G724" i="4"/>
  <c r="G728" i="4"/>
  <c r="G732" i="4"/>
  <c r="G736" i="4"/>
  <c r="G740" i="4"/>
  <c r="G744" i="4"/>
  <c r="G748" i="4"/>
  <c r="G752" i="4"/>
  <c r="G756" i="4"/>
  <c r="G760" i="4"/>
  <c r="G764" i="4"/>
  <c r="G768" i="4"/>
  <c r="G772" i="4"/>
  <c r="G776" i="4"/>
  <c r="G780" i="4"/>
  <c r="G784" i="4"/>
  <c r="G788" i="4"/>
  <c r="G792" i="4"/>
  <c r="G796" i="4"/>
  <c r="G800" i="4"/>
  <c r="G804" i="4"/>
  <c r="G808" i="4"/>
  <c r="G107" i="4"/>
  <c r="G814" i="4"/>
  <c r="G818" i="4"/>
  <c r="G821" i="4"/>
  <c r="G825" i="4"/>
  <c r="G829" i="4"/>
  <c r="G833" i="4"/>
  <c r="G837" i="4"/>
  <c r="G841" i="4"/>
  <c r="G845" i="4"/>
  <c r="G849" i="4"/>
  <c r="G853" i="4"/>
  <c r="G856" i="4"/>
  <c r="G860" i="4"/>
  <c r="G864" i="4"/>
  <c r="G868" i="4"/>
  <c r="G872" i="4"/>
  <c r="G876" i="4"/>
  <c r="G880" i="4"/>
  <c r="G884" i="4"/>
  <c r="G888" i="4"/>
  <c r="G892" i="4"/>
  <c r="G896" i="4"/>
  <c r="G900" i="4"/>
  <c r="G904" i="4"/>
  <c r="G908" i="4"/>
  <c r="G912" i="4"/>
  <c r="G916" i="4"/>
  <c r="G920" i="4"/>
  <c r="G924" i="4"/>
  <c r="G928" i="4"/>
  <c r="G932" i="4"/>
  <c r="G936" i="4"/>
  <c r="G940" i="4"/>
  <c r="G944" i="4"/>
  <c r="G948" i="4"/>
  <c r="G951" i="4"/>
  <c r="G955" i="4"/>
  <c r="G959" i="4"/>
  <c r="G963" i="4"/>
  <c r="G967" i="4"/>
  <c r="G971" i="4"/>
  <c r="G975" i="4"/>
  <c r="G978" i="4"/>
  <c r="G982" i="4"/>
  <c r="G985" i="4"/>
  <c r="G989" i="4"/>
  <c r="G993" i="4"/>
  <c r="G997" i="4"/>
  <c r="G1001" i="4"/>
  <c r="G1005" i="4"/>
  <c r="G1009" i="4"/>
  <c r="G1013" i="4"/>
  <c r="G1017" i="4"/>
  <c r="G1021" i="4"/>
  <c r="G1025" i="4"/>
  <c r="G1029" i="4"/>
  <c r="G1033" i="4"/>
  <c r="G1037" i="4"/>
  <c r="G1041" i="4"/>
  <c r="G1045" i="4"/>
  <c r="G1048" i="4"/>
  <c r="G1052" i="4"/>
  <c r="G1055" i="4"/>
  <c r="G1059" i="4"/>
  <c r="G1063" i="4"/>
  <c r="G121" i="4"/>
  <c r="G1070" i="4"/>
  <c r="G1074" i="4"/>
  <c r="G97" i="4"/>
  <c r="G1081" i="4"/>
  <c r="G1085" i="4"/>
  <c r="G1089" i="4"/>
  <c r="G1093" i="4"/>
  <c r="G1097" i="4"/>
  <c r="G1100" i="4"/>
  <c r="G1103" i="4"/>
  <c r="G1107" i="4"/>
  <c r="G1111" i="4"/>
  <c r="G1115" i="4"/>
  <c r="G1119" i="4"/>
  <c r="G1123" i="4"/>
  <c r="G1127" i="4"/>
  <c r="G1131" i="4"/>
  <c r="G1135" i="4"/>
  <c r="G1139" i="4"/>
  <c r="G1143" i="4"/>
  <c r="G1147" i="4"/>
  <c r="G1151" i="4"/>
  <c r="G1155" i="4"/>
  <c r="G1158" i="4"/>
  <c r="G1161" i="4"/>
  <c r="G1165" i="4"/>
  <c r="G1169" i="4"/>
  <c r="G134" i="4"/>
  <c r="G1174" i="4"/>
  <c r="G1178" i="4"/>
  <c r="G1182" i="4"/>
  <c r="G125" i="4"/>
  <c r="G1186" i="4"/>
  <c r="G1189" i="4"/>
  <c r="G1193" i="4"/>
  <c r="G1197" i="4"/>
  <c r="G1201" i="4"/>
  <c r="G1205" i="4"/>
  <c r="G1209" i="4"/>
  <c r="G1211" i="4"/>
  <c r="G1214" i="4"/>
  <c r="G1218" i="4"/>
  <c r="G1222" i="4"/>
  <c r="G123" i="4"/>
  <c r="G1229" i="4"/>
  <c r="G1232" i="4"/>
  <c r="G1236" i="4"/>
  <c r="G1240" i="4"/>
  <c r="G1244" i="4"/>
  <c r="G1248" i="4"/>
  <c r="G1252" i="4"/>
  <c r="G1256" i="4"/>
  <c r="G1260" i="4"/>
  <c r="G1264" i="4"/>
  <c r="G1268" i="4"/>
  <c r="G1272" i="4"/>
  <c r="G1276" i="4"/>
  <c r="G131" i="4"/>
  <c r="G1283" i="4"/>
  <c r="G67" i="4"/>
  <c r="G1287" i="4"/>
  <c r="G1289" i="4"/>
  <c r="G51" i="4"/>
  <c r="G78" i="4"/>
  <c r="G92" i="4"/>
  <c r="G41" i="4"/>
  <c r="G1299" i="4"/>
  <c r="G126" i="4"/>
  <c r="G1301" i="4"/>
  <c r="G1303" i="4"/>
  <c r="G1305" i="4"/>
  <c r="G1307" i="4"/>
  <c r="G130" i="4"/>
  <c r="G1311" i="4"/>
  <c r="G37" i="4"/>
  <c r="G24" i="4"/>
  <c r="G1313" i="4"/>
  <c r="G84" i="4"/>
  <c r="G95" i="4"/>
  <c r="G87" i="4"/>
  <c r="G1317" i="4"/>
  <c r="G13" i="4"/>
  <c r="G1320" i="4"/>
  <c r="G1323" i="4"/>
  <c r="G1325" i="4"/>
  <c r="G1328" i="4"/>
  <c r="G116" i="4"/>
  <c r="G114" i="4"/>
  <c r="G28" i="4"/>
  <c r="G99" i="4"/>
  <c r="G14" i="4"/>
  <c r="G1333" i="4"/>
  <c r="G54" i="4"/>
  <c r="G1335" i="4"/>
  <c r="G1338" i="4"/>
  <c r="A151" i="4"/>
  <c r="A183" i="4"/>
  <c r="A214" i="4"/>
  <c r="A69" i="4"/>
  <c r="A277" i="4"/>
  <c r="A309" i="4"/>
  <c r="A340" i="4"/>
  <c r="A370" i="4"/>
  <c r="A402" i="4"/>
  <c r="A434" i="4"/>
  <c r="A466" i="4"/>
  <c r="A498" i="4"/>
  <c r="A530" i="4"/>
  <c r="A562" i="4"/>
  <c r="A594" i="4"/>
  <c r="A622" i="4"/>
  <c r="A644" i="4"/>
  <c r="A659" i="4"/>
  <c r="A675" i="4"/>
  <c r="A690" i="4"/>
  <c r="A706" i="4"/>
  <c r="A722" i="4"/>
  <c r="A738" i="4"/>
  <c r="A754" i="4"/>
  <c r="A770" i="4"/>
  <c r="A786" i="4"/>
  <c r="A802" i="4"/>
  <c r="A816" i="4"/>
  <c r="A831" i="4"/>
  <c r="A847" i="4"/>
  <c r="A862" i="4"/>
  <c r="A878" i="4"/>
  <c r="A894" i="4"/>
  <c r="A910" i="4"/>
  <c r="A926" i="4"/>
  <c r="A942" i="4"/>
  <c r="A957" i="4"/>
  <c r="A973" i="4"/>
  <c r="A987" i="4"/>
  <c r="A1003" i="4"/>
  <c r="A1019" i="4"/>
  <c r="A1035" i="4"/>
  <c r="A1050" i="4"/>
  <c r="A1065" i="4"/>
  <c r="A1079" i="4"/>
  <c r="A1095" i="4"/>
  <c r="A1109" i="4"/>
  <c r="A1125" i="4"/>
  <c r="A1141" i="4"/>
  <c r="A1157" i="4"/>
  <c r="A17" i="4"/>
  <c r="A81" i="4"/>
  <c r="A1195" i="4"/>
  <c r="A9" i="4"/>
  <c r="A1224" i="4"/>
  <c r="A1238" i="4"/>
  <c r="A1254" i="4"/>
  <c r="A1270" i="4"/>
  <c r="A1284" i="4"/>
  <c r="A1292" i="4"/>
  <c r="A120" i="4"/>
  <c r="A115" i="4"/>
  <c r="A55" i="4"/>
  <c r="A98" i="4"/>
  <c r="A36" i="4"/>
  <c r="A58" i="4"/>
  <c r="A46" i="4"/>
  <c r="A31" i="4"/>
  <c r="A21" i="4"/>
  <c r="A49" i="4"/>
  <c r="A110" i="4"/>
  <c r="A44" i="4"/>
  <c r="G139" i="4"/>
  <c r="G147" i="4"/>
  <c r="G155" i="4"/>
  <c r="G163" i="4"/>
  <c r="G171" i="4"/>
  <c r="G179" i="4"/>
  <c r="G187" i="4"/>
  <c r="G195" i="4"/>
  <c r="G203" i="4"/>
  <c r="G210" i="4"/>
  <c r="G218" i="4"/>
  <c r="G226" i="4"/>
  <c r="G234" i="4"/>
  <c r="G242" i="4"/>
  <c r="G249" i="4"/>
  <c r="G257" i="4"/>
  <c r="G265" i="4"/>
  <c r="G273" i="4"/>
  <c r="G281" i="4"/>
  <c r="G289" i="4"/>
  <c r="G297" i="4"/>
  <c r="G305" i="4"/>
  <c r="G312" i="4"/>
  <c r="G320" i="4"/>
  <c r="G328" i="4"/>
  <c r="G336" i="4"/>
  <c r="G344" i="4"/>
  <c r="G352" i="4"/>
  <c r="G360" i="4"/>
  <c r="G367" i="4"/>
  <c r="G374" i="4"/>
  <c r="G382" i="4"/>
  <c r="G390" i="4"/>
  <c r="G398" i="4"/>
  <c r="G406" i="4"/>
  <c r="G414" i="4"/>
  <c r="G422" i="4"/>
  <c r="G430" i="4"/>
  <c r="G438" i="4"/>
  <c r="G446" i="4"/>
  <c r="G454" i="4"/>
  <c r="G462" i="4"/>
  <c r="G470" i="4"/>
  <c r="G478" i="4"/>
  <c r="G486" i="4"/>
  <c r="G494" i="4"/>
  <c r="G502" i="4"/>
  <c r="G510" i="4"/>
  <c r="G518" i="4"/>
  <c r="G526" i="4"/>
  <c r="G534" i="4"/>
  <c r="G542" i="4"/>
  <c r="G550" i="4"/>
  <c r="G558" i="4"/>
  <c r="G566" i="4"/>
  <c r="G574" i="4"/>
  <c r="G579" i="4"/>
  <c r="G585" i="4"/>
  <c r="G590" i="4"/>
  <c r="G595" i="4"/>
  <c r="G601" i="4"/>
  <c r="G80" i="4"/>
  <c r="G608" i="4"/>
  <c r="G614" i="4"/>
  <c r="G618" i="4"/>
  <c r="G623" i="4"/>
  <c r="G629" i="4"/>
  <c r="G634" i="4"/>
  <c r="G639" i="4"/>
  <c r="G645" i="4"/>
  <c r="G90" i="4"/>
  <c r="G654" i="4"/>
  <c r="G660" i="4"/>
  <c r="G665" i="4"/>
  <c r="G670" i="4"/>
  <c r="G674" i="4"/>
  <c r="G678" i="4"/>
  <c r="G682" i="4"/>
  <c r="G685" i="4"/>
  <c r="G689" i="4"/>
  <c r="G693" i="4"/>
  <c r="G697" i="4"/>
  <c r="G701" i="4"/>
  <c r="G705" i="4"/>
  <c r="G709" i="4"/>
  <c r="G713" i="4"/>
  <c r="G717" i="4"/>
  <c r="G721" i="4"/>
  <c r="G725" i="4"/>
  <c r="G729" i="4"/>
  <c r="G733" i="4"/>
  <c r="G737" i="4"/>
  <c r="G741" i="4"/>
  <c r="G745" i="4"/>
  <c r="G749" i="4"/>
  <c r="G753" i="4"/>
  <c r="G757" i="4"/>
  <c r="G761" i="4"/>
  <c r="G765" i="4"/>
  <c r="G769" i="4"/>
  <c r="G773" i="4"/>
  <c r="G777" i="4"/>
  <c r="G781" i="4"/>
  <c r="G785" i="4"/>
  <c r="G789" i="4"/>
  <c r="G793" i="4"/>
  <c r="G797" i="4"/>
  <c r="G801" i="4"/>
  <c r="G805" i="4"/>
  <c r="G809" i="4"/>
  <c r="G39" i="4"/>
  <c r="G815" i="4"/>
  <c r="G819" i="4"/>
  <c r="G822" i="4"/>
  <c r="G826" i="4"/>
  <c r="G830" i="4"/>
  <c r="G834" i="4"/>
  <c r="G838" i="4"/>
  <c r="G842" i="4"/>
  <c r="G846" i="4"/>
  <c r="G850" i="4"/>
  <c r="G7" i="4"/>
  <c r="G857" i="4"/>
  <c r="G861" i="4"/>
  <c r="G865" i="4"/>
  <c r="G869" i="4"/>
  <c r="G873" i="4"/>
  <c r="G877" i="4"/>
  <c r="G881" i="4"/>
  <c r="G885" i="4"/>
  <c r="G889" i="4"/>
  <c r="G893" i="4"/>
  <c r="G897" i="4"/>
  <c r="G901" i="4"/>
  <c r="G905" i="4"/>
  <c r="G909" i="4"/>
  <c r="G913" i="4"/>
  <c r="G917" i="4"/>
  <c r="G921" i="4"/>
  <c r="G925" i="4"/>
  <c r="G929" i="4"/>
  <c r="G933" i="4"/>
  <c r="G937" i="4"/>
  <c r="G941" i="4"/>
  <c r="G945" i="4"/>
  <c r="G949" i="4"/>
  <c r="G952" i="4"/>
  <c r="G956" i="4"/>
  <c r="G960" i="4"/>
  <c r="G964" i="4"/>
  <c r="G968" i="4"/>
  <c r="G972" i="4"/>
  <c r="G976" i="4"/>
  <c r="G979" i="4"/>
  <c r="G983" i="4"/>
  <c r="G986" i="4"/>
  <c r="G990" i="4"/>
  <c r="G994" i="4"/>
  <c r="G998" i="4"/>
  <c r="G1002" i="4"/>
  <c r="G1006" i="4"/>
  <c r="G1010" i="4"/>
  <c r="G1014" i="4"/>
  <c r="G1018" i="4"/>
  <c r="G1022" i="4"/>
  <c r="G1026" i="4"/>
  <c r="G1030" i="4"/>
  <c r="G1034" i="4"/>
  <c r="G1038" i="4"/>
  <c r="G1042" i="4"/>
  <c r="G1046" i="4"/>
  <c r="G1049" i="4"/>
  <c r="G1053" i="4"/>
  <c r="G1056" i="4"/>
  <c r="G1060" i="4"/>
  <c r="G1064" i="4"/>
  <c r="G1067" i="4"/>
  <c r="G1071" i="4"/>
  <c r="G1075" i="4"/>
  <c r="G1078" i="4"/>
  <c r="G1082" i="4"/>
  <c r="G1086" i="4"/>
  <c r="G1090" i="4"/>
  <c r="G1094" i="4"/>
  <c r="G1098" i="4"/>
  <c r="G1101" i="4"/>
  <c r="G1104" i="4"/>
  <c r="G1108" i="4"/>
  <c r="G1112" i="4"/>
  <c r="G1116" i="4"/>
  <c r="G1120" i="4"/>
  <c r="G1124" i="4"/>
  <c r="G1128" i="4"/>
  <c r="G1132" i="4"/>
  <c r="G1136" i="4"/>
  <c r="G1140" i="4"/>
  <c r="G1144" i="4"/>
  <c r="G1148" i="4"/>
  <c r="G1152" i="4"/>
  <c r="G1156" i="4"/>
  <c r="G1159" i="4"/>
  <c r="G1162" i="4"/>
  <c r="G1166" i="4"/>
  <c r="G1170" i="4"/>
  <c r="G70" i="4"/>
  <c r="G1175" i="4"/>
  <c r="G1179" i="4"/>
  <c r="G1183" i="4"/>
  <c r="G66" i="4"/>
  <c r="G113" i="4"/>
  <c r="G1190" i="4"/>
  <c r="G1194" i="4"/>
  <c r="G1198" i="4"/>
  <c r="G1202" i="4"/>
  <c r="G1206" i="4"/>
  <c r="G109" i="4"/>
  <c r="G1212" i="4"/>
  <c r="G1215" i="4"/>
  <c r="G1219" i="4"/>
  <c r="G1223" i="4"/>
  <c r="G1226" i="4"/>
  <c r="G1230" i="4"/>
  <c r="G1233" i="4"/>
  <c r="G1237" i="4"/>
  <c r="G1241" i="4"/>
  <c r="G1245" i="4"/>
  <c r="G1249" i="4"/>
  <c r="G1253" i="4"/>
  <c r="G1257" i="4"/>
  <c r="G1261" i="4"/>
  <c r="G1265" i="4"/>
  <c r="G1269" i="4"/>
  <c r="G1273" i="4"/>
  <c r="G1277" i="4"/>
  <c r="G1280" i="4"/>
  <c r="G11" i="4"/>
  <c r="G1286" i="4"/>
  <c r="G1288" i="4"/>
  <c r="G1290" i="4"/>
  <c r="G12" i="4"/>
  <c r="G18" i="4"/>
  <c r="G1294" i="4"/>
  <c r="G62" i="4"/>
  <c r="G71" i="4"/>
  <c r="G128" i="4"/>
  <c r="G1302" i="4"/>
  <c r="G1304" i="4"/>
  <c r="G35" i="4"/>
  <c r="G1308" i="4"/>
  <c r="G63" i="4"/>
  <c r="G57" i="4"/>
  <c r="G1312" i="4"/>
  <c r="G86" i="4"/>
  <c r="G1314" i="4"/>
  <c r="G43" i="4"/>
  <c r="G27" i="4"/>
  <c r="G36" i="4"/>
  <c r="G1318" i="4"/>
  <c r="G58" i="4"/>
  <c r="G1321" i="4"/>
  <c r="G46" i="4"/>
  <c r="G48" i="4"/>
  <c r="G31" i="4"/>
  <c r="G76" i="4"/>
  <c r="G21" i="4"/>
  <c r="G1332" i="4"/>
  <c r="G49" i="4"/>
  <c r="G112" i="4"/>
  <c r="G110" i="4"/>
  <c r="G77" i="4"/>
  <c r="G44" i="4"/>
  <c r="G96" i="4"/>
  <c r="A167" i="4"/>
  <c r="A199" i="4"/>
  <c r="A230" i="4"/>
  <c r="A261" i="4"/>
  <c r="A293" i="4"/>
  <c r="A324" i="4"/>
  <c r="A356" i="4"/>
  <c r="A386" i="4"/>
  <c r="A418" i="4"/>
  <c r="A450" i="4"/>
  <c r="A482" i="4"/>
  <c r="A514" i="4"/>
  <c r="A546" i="4"/>
  <c r="A578" i="4"/>
  <c r="A607" i="4"/>
  <c r="A636" i="4"/>
  <c r="A651" i="4"/>
  <c r="A667" i="4"/>
  <c r="A683" i="4"/>
  <c r="A698" i="4"/>
  <c r="A714" i="4"/>
  <c r="A730" i="4"/>
  <c r="A746" i="4"/>
  <c r="A762" i="4"/>
  <c r="A778" i="4"/>
  <c r="A794" i="4"/>
  <c r="A810" i="4"/>
  <c r="A823" i="4"/>
  <c r="A839" i="4"/>
  <c r="A854" i="4"/>
  <c r="A870" i="4"/>
  <c r="A886" i="4"/>
  <c r="A902" i="4"/>
  <c r="A918" i="4"/>
  <c r="A934" i="4"/>
  <c r="A108" i="4"/>
  <c r="A965" i="4"/>
  <c r="A980" i="4"/>
  <c r="A995" i="4"/>
  <c r="A1011" i="4"/>
  <c r="A1027" i="4"/>
  <c r="A1043" i="4"/>
  <c r="A1057" i="4"/>
  <c r="A1072" i="4"/>
  <c r="A1087" i="4"/>
  <c r="A1102" i="4"/>
  <c r="A1117" i="4"/>
  <c r="A1133" i="4"/>
  <c r="A1149" i="4"/>
  <c r="A1163" i="4"/>
  <c r="A1176" i="4"/>
  <c r="A1187" i="4"/>
  <c r="A1203" i="4"/>
  <c r="A1216" i="4"/>
  <c r="A10" i="4"/>
  <c r="A1246" i="4"/>
  <c r="A1262" i="4"/>
  <c r="A1278" i="4"/>
  <c r="A132" i="4"/>
  <c r="A1295" i="4"/>
  <c r="A93" i="4"/>
  <c r="A72" i="4"/>
  <c r="A86" i="4"/>
  <c r="A89" i="4"/>
  <c r="A1318" i="4"/>
  <c r="A1321" i="4"/>
  <c r="A48" i="4"/>
  <c r="A76" i="4"/>
  <c r="A1332" i="4"/>
  <c r="A112" i="4"/>
  <c r="A77" i="4"/>
  <c r="A96" i="4"/>
  <c r="G143" i="4"/>
  <c r="G151" i="4"/>
  <c r="G159" i="4"/>
  <c r="G167" i="4"/>
  <c r="G175" i="4"/>
  <c r="G183" i="4"/>
  <c r="G191" i="4"/>
  <c r="G199" i="4"/>
  <c r="G207" i="4"/>
  <c r="G214" i="4"/>
  <c r="G222" i="4"/>
  <c r="G230" i="4"/>
  <c r="G238" i="4"/>
  <c r="G69" i="4"/>
  <c r="G253" i="4"/>
  <c r="G261" i="4"/>
  <c r="G269" i="4"/>
  <c r="G277" i="4"/>
  <c r="G285" i="4"/>
  <c r="G293" i="4"/>
  <c r="G301" i="4"/>
  <c r="G309" i="4"/>
  <c r="G316" i="4"/>
  <c r="G324" i="4"/>
  <c r="G332" i="4"/>
  <c r="G340" i="4"/>
  <c r="G348" i="4"/>
  <c r="G356" i="4"/>
  <c r="G363" i="4"/>
  <c r="G370" i="4"/>
  <c r="G378" i="4"/>
  <c r="G386" i="4"/>
  <c r="G394" i="4"/>
  <c r="G402" i="4"/>
  <c r="G410" i="4"/>
  <c r="G418" i="4"/>
  <c r="G426" i="4"/>
  <c r="G434" i="4"/>
  <c r="G442" i="4"/>
  <c r="G450" i="4"/>
  <c r="G458" i="4"/>
  <c r="G466" i="4"/>
  <c r="G474" i="4"/>
  <c r="G482" i="4"/>
  <c r="G490" i="4"/>
  <c r="G498" i="4"/>
  <c r="G506" i="4"/>
  <c r="G514" i="4"/>
  <c r="G522" i="4"/>
  <c r="G530" i="4"/>
  <c r="G538" i="4"/>
  <c r="G546" i="4"/>
  <c r="G554" i="4"/>
  <c r="G562" i="4"/>
  <c r="G570" i="4"/>
  <c r="A166" i="4"/>
  <c r="A292" i="4"/>
  <c r="A417" i="4"/>
  <c r="A545" i="4"/>
  <c r="A650" i="4"/>
  <c r="A713" i="4"/>
  <c r="A777" i="4"/>
  <c r="A838" i="4"/>
  <c r="A901" i="4"/>
  <c r="A964" i="4"/>
  <c r="A1026" i="4"/>
  <c r="A1086" i="4"/>
  <c r="A1148" i="4"/>
  <c r="A1202" i="4"/>
  <c r="A1261" i="4"/>
  <c r="A1302" i="4"/>
  <c r="A1317" i="4"/>
  <c r="A28" i="4"/>
  <c r="G142" i="4"/>
  <c r="G174" i="4"/>
  <c r="G206" i="4"/>
  <c r="G237" i="4"/>
  <c r="G268" i="4"/>
  <c r="G300" i="4"/>
  <c r="G331" i="4"/>
  <c r="G362" i="4"/>
  <c r="G393" i="4"/>
  <c r="G425" i="4"/>
  <c r="G457" i="4"/>
  <c r="G489" i="4"/>
  <c r="G521" i="4"/>
  <c r="G553" i="4"/>
  <c r="G577" i="4"/>
  <c r="G587" i="4"/>
  <c r="G598" i="4"/>
  <c r="G606" i="4"/>
  <c r="G615" i="4"/>
  <c r="G626" i="4"/>
  <c r="G637" i="4"/>
  <c r="G647" i="4"/>
  <c r="G657" i="4"/>
  <c r="G668" i="4"/>
  <c r="G676" i="4"/>
  <c r="G105" i="4"/>
  <c r="G691" i="4"/>
  <c r="G699" i="4"/>
  <c r="G707" i="4"/>
  <c r="G715" i="4"/>
  <c r="G723" i="4"/>
  <c r="G731" i="4"/>
  <c r="G739" i="4"/>
  <c r="G747" i="4"/>
  <c r="G755" i="4"/>
  <c r="G763" i="4"/>
  <c r="G771" i="4"/>
  <c r="G779" i="4"/>
  <c r="G787" i="4"/>
  <c r="G795" i="4"/>
  <c r="G803" i="4"/>
  <c r="G811" i="4"/>
  <c r="G817" i="4"/>
  <c r="G824" i="4"/>
  <c r="G832" i="4"/>
  <c r="G840" i="4"/>
  <c r="G848" i="4"/>
  <c r="G855" i="4"/>
  <c r="G863" i="4"/>
  <c r="G871" i="4"/>
  <c r="G879" i="4"/>
  <c r="G887" i="4"/>
  <c r="G895" i="4"/>
  <c r="G903" i="4"/>
  <c r="G911" i="4"/>
  <c r="G919" i="4"/>
  <c r="G927" i="4"/>
  <c r="G935" i="4"/>
  <c r="G943" i="4"/>
  <c r="G950" i="4"/>
  <c r="G958" i="4"/>
  <c r="G966" i="4"/>
  <c r="G974" i="4"/>
  <c r="G981" i="4"/>
  <c r="G988" i="4"/>
  <c r="G996" i="4"/>
  <c r="G1004" i="4"/>
  <c r="G1012" i="4"/>
  <c r="G1020" i="4"/>
  <c r="G1028" i="4"/>
  <c r="G1036" i="4"/>
  <c r="G1044" i="4"/>
  <c r="G1051" i="4"/>
  <c r="G1058" i="4"/>
  <c r="G1066" i="4"/>
  <c r="G1073" i="4"/>
  <c r="G1080" i="4"/>
  <c r="G1088" i="4"/>
  <c r="G1096" i="4"/>
  <c r="G50" i="4"/>
  <c r="G1110" i="4"/>
  <c r="G1118" i="4"/>
  <c r="G1126" i="4"/>
  <c r="G1134" i="4"/>
  <c r="G1142" i="4"/>
  <c r="G1150" i="4"/>
  <c r="G117" i="4"/>
  <c r="G1164" i="4"/>
  <c r="G1171" i="4"/>
  <c r="G1177" i="4"/>
  <c r="G1184" i="4"/>
  <c r="G1188" i="4"/>
  <c r="G1196" i="4"/>
  <c r="G1204" i="4"/>
  <c r="G1210" i="4"/>
  <c r="G1217" i="4"/>
  <c r="G1225" i="4"/>
  <c r="G1231" i="4"/>
  <c r="G1239" i="4"/>
  <c r="G1247" i="4"/>
  <c r="G1255" i="4"/>
  <c r="G1263" i="4"/>
  <c r="G1271" i="4"/>
  <c r="G1279" i="4"/>
  <c r="G1285" i="4"/>
  <c r="G129" i="4"/>
  <c r="G1293" i="4"/>
  <c r="G1296" i="4"/>
  <c r="G124" i="4"/>
  <c r="G29" i="4"/>
  <c r="G1306" i="4"/>
  <c r="G1310" i="4"/>
  <c r="G64" i="4"/>
  <c r="G25" i="4"/>
  <c r="G1316" i="4"/>
  <c r="G135" i="4"/>
  <c r="G94" i="4"/>
  <c r="G1327" i="4"/>
  <c r="G1331" i="4"/>
  <c r="G106" i="4"/>
  <c r="G52" i="4"/>
  <c r="G40" i="4"/>
  <c r="A323" i="4"/>
  <c r="A1277" i="4"/>
  <c r="A1320" i="4"/>
  <c r="G150" i="4"/>
  <c r="G245" i="4"/>
  <c r="G308" i="4"/>
  <c r="G61" i="4"/>
  <c r="G433" i="4"/>
  <c r="G497" i="4"/>
  <c r="G581" i="4"/>
  <c r="G602" i="4"/>
  <c r="G610" i="4"/>
  <c r="G630" i="4"/>
  <c r="G650" i="4"/>
  <c r="G671" i="4"/>
  <c r="G686" i="4"/>
  <c r="G702" i="4"/>
  <c r="G718" i="4"/>
  <c r="G734" i="4"/>
  <c r="G750" i="4"/>
  <c r="G766" i="4"/>
  <c r="G782" i="4"/>
  <c r="G798" i="4"/>
  <c r="G812" i="4"/>
  <c r="G827" i="4"/>
  <c r="G843" i="4"/>
  <c r="G858" i="4"/>
  <c r="G874" i="4"/>
  <c r="G890" i="4"/>
  <c r="G906" i="4"/>
  <c r="G922" i="4"/>
  <c r="G938" i="4"/>
  <c r="G953" i="4"/>
  <c r="G969" i="4"/>
  <c r="G977" i="4"/>
  <c r="G991" i="4"/>
  <c r="G1007" i="4"/>
  <c r="G1023" i="4"/>
  <c r="G1039" i="4"/>
  <c r="G16" i="4"/>
  <c r="G1068" i="4"/>
  <c r="G1083" i="4"/>
  <c r="G1099" i="4"/>
  <c r="G1113" i="4"/>
  <c r="G1129" i="4"/>
  <c r="G1145" i="4"/>
  <c r="G1167" i="4"/>
  <c r="G1180" i="4"/>
  <c r="G101" i="4"/>
  <c r="G1199" i="4"/>
  <c r="G1213" i="4"/>
  <c r="G1227" i="4"/>
  <c r="G1242" i="4"/>
  <c r="G1258" i="4"/>
  <c r="G1274" i="4"/>
  <c r="G53" i="4"/>
  <c r="G19" i="4"/>
  <c r="G122" i="4"/>
  <c r="G88" i="4"/>
  <c r="G83" i="4"/>
  <c r="G68" i="4"/>
  <c r="G47" i="4"/>
  <c r="G79" i="4"/>
  <c r="G32" i="4"/>
  <c r="A355" i="4"/>
  <c r="A994" i="4"/>
  <c r="A1116" i="4"/>
  <c r="A1230" i="4"/>
  <c r="A64" i="4"/>
  <c r="A54" i="4"/>
  <c r="G190" i="4"/>
  <c r="G252" i="4"/>
  <c r="G315" i="4"/>
  <c r="G377" i="4"/>
  <c r="G441" i="4"/>
  <c r="G505" i="4"/>
  <c r="G569" i="4"/>
  <c r="G593" i="4"/>
  <c r="G611" i="4"/>
  <c r="G631" i="4"/>
  <c r="G662" i="4"/>
  <c r="G680" i="4"/>
  <c r="G695" i="4"/>
  <c r="G711" i="4"/>
  <c r="G727" i="4"/>
  <c r="G743" i="4"/>
  <c r="G767" i="4"/>
  <c r="G783" i="4"/>
  <c r="G799" i="4"/>
  <c r="G813" i="4"/>
  <c r="G828" i="4"/>
  <c r="G844" i="4"/>
  <c r="G859" i="4"/>
  <c r="G875" i="4"/>
  <c r="G899" i="4"/>
  <c r="A260" i="4"/>
  <c r="A385" i="4"/>
  <c r="A513" i="4"/>
  <c r="A635" i="4"/>
  <c r="A697" i="4"/>
  <c r="A761" i="4"/>
  <c r="A822" i="4"/>
  <c r="A885" i="4"/>
  <c r="A949" i="4"/>
  <c r="A1010" i="4"/>
  <c r="A1071" i="4"/>
  <c r="A1132" i="4"/>
  <c r="A113" i="4"/>
  <c r="A1245" i="4"/>
  <c r="A1294" i="4"/>
  <c r="A1315" i="4"/>
  <c r="A116" i="4"/>
  <c r="A1338" i="4"/>
  <c r="G166" i="4"/>
  <c r="G198" i="4"/>
  <c r="G229" i="4"/>
  <c r="G260" i="4"/>
  <c r="G292" i="4"/>
  <c r="G323" i="4"/>
  <c r="G355" i="4"/>
  <c r="G385" i="4"/>
  <c r="G417" i="4"/>
  <c r="G449" i="4"/>
  <c r="G481" i="4"/>
  <c r="G513" i="4"/>
  <c r="G545" i="4"/>
  <c r="G575" i="4"/>
  <c r="G586" i="4"/>
  <c r="G597" i="4"/>
  <c r="G127" i="4"/>
  <c r="G119" i="4"/>
  <c r="G625" i="4"/>
  <c r="G635" i="4"/>
  <c r="G646" i="4"/>
  <c r="G656" i="4"/>
  <c r="G666" i="4"/>
  <c r="G675" i="4"/>
  <c r="G683" i="4"/>
  <c r="G690" i="4"/>
  <c r="G698" i="4"/>
  <c r="G706" i="4"/>
  <c r="G714" i="4"/>
  <c r="G722" i="4"/>
  <c r="G730" i="4"/>
  <c r="G738" i="4"/>
  <c r="G746" i="4"/>
  <c r="G754" i="4"/>
  <c r="G762" i="4"/>
  <c r="G770" i="4"/>
  <c r="G778" i="4"/>
  <c r="G786" i="4"/>
  <c r="G794" i="4"/>
  <c r="G802" i="4"/>
  <c r="G810" i="4"/>
  <c r="G816" i="4"/>
  <c r="G823" i="4"/>
  <c r="G831" i="4"/>
  <c r="G839" i="4"/>
  <c r="G847" i="4"/>
  <c r="G854" i="4"/>
  <c r="G862" i="4"/>
  <c r="G870" i="4"/>
  <c r="G878" i="4"/>
  <c r="G886" i="4"/>
  <c r="G894" i="4"/>
  <c r="G902" i="4"/>
  <c r="G910" i="4"/>
  <c r="G918" i="4"/>
  <c r="G926" i="4"/>
  <c r="G934" i="4"/>
  <c r="G942" i="4"/>
  <c r="G108" i="4"/>
  <c r="G957" i="4"/>
  <c r="G965" i="4"/>
  <c r="G973" i="4"/>
  <c r="G980" i="4"/>
  <c r="G987" i="4"/>
  <c r="G995" i="4"/>
  <c r="G1003" i="4"/>
  <c r="G1011" i="4"/>
  <c r="G1019" i="4"/>
  <c r="G1027" i="4"/>
  <c r="G1035" i="4"/>
  <c r="G1043" i="4"/>
  <c r="G1050" i="4"/>
  <c r="G1057" i="4"/>
  <c r="G1065" i="4"/>
  <c r="G1072" i="4"/>
  <c r="G1079" i="4"/>
  <c r="G1087" i="4"/>
  <c r="G1095" i="4"/>
  <c r="G1102" i="4"/>
  <c r="G1109" i="4"/>
  <c r="G1117" i="4"/>
  <c r="G1125" i="4"/>
  <c r="G1133" i="4"/>
  <c r="G1141" i="4"/>
  <c r="G1149" i="4"/>
  <c r="G1157" i="4"/>
  <c r="G1163" i="4"/>
  <c r="G17" i="4"/>
  <c r="G1176" i="4"/>
  <c r="G81" i="4"/>
  <c r="G1187" i="4"/>
  <c r="G1195" i="4"/>
  <c r="G1203" i="4"/>
  <c r="G9" i="4"/>
  <c r="G1216" i="4"/>
  <c r="G1224" i="4"/>
  <c r="G10" i="4"/>
  <c r="G1238" i="4"/>
  <c r="G1246" i="4"/>
  <c r="G1254" i="4"/>
  <c r="G1262" i="4"/>
  <c r="G1270" i="4"/>
  <c r="G1278" i="4"/>
  <c r="G1284" i="4"/>
  <c r="G132" i="4"/>
  <c r="G1292" i="4"/>
  <c r="G1295" i="4"/>
  <c r="G120" i="4"/>
  <c r="G93" i="4"/>
  <c r="G115" i="4"/>
  <c r="G72" i="4"/>
  <c r="G26" i="4"/>
  <c r="G98" i="4"/>
  <c r="G30" i="4"/>
  <c r="G38" i="4"/>
  <c r="G1322" i="4"/>
  <c r="G1326" i="4"/>
  <c r="G34" i="4"/>
  <c r="G59" i="4"/>
  <c r="G20" i="4"/>
  <c r="G1334" i="4"/>
  <c r="A198" i="4"/>
  <c r="A449" i="4"/>
  <c r="A577" i="4"/>
  <c r="A666" i="4"/>
  <c r="A729" i="4"/>
  <c r="A793" i="4"/>
  <c r="A7" i="4"/>
  <c r="A917" i="4"/>
  <c r="A979" i="4"/>
  <c r="A1042" i="4"/>
  <c r="A1101" i="4"/>
  <c r="A1162" i="4"/>
  <c r="A1215" i="4"/>
  <c r="A63" i="4"/>
  <c r="A14" i="4"/>
  <c r="G182" i="4"/>
  <c r="G213" i="4"/>
  <c r="G276" i="4"/>
  <c r="G339" i="4"/>
  <c r="G401" i="4"/>
  <c r="G465" i="4"/>
  <c r="G529" i="4"/>
  <c r="G561" i="4"/>
  <c r="G591" i="4"/>
  <c r="G619" i="4"/>
  <c r="G641" i="4"/>
  <c r="G661" i="4"/>
  <c r="G679" i="4"/>
  <c r="G694" i="4"/>
  <c r="G710" i="4"/>
  <c r="G726" i="4"/>
  <c r="G742" i="4"/>
  <c r="G758" i="4"/>
  <c r="G774" i="4"/>
  <c r="G790" i="4"/>
  <c r="G806" i="4"/>
  <c r="G820" i="4"/>
  <c r="G835" i="4"/>
  <c r="G851" i="4"/>
  <c r="G866" i="4"/>
  <c r="G882" i="4"/>
  <c r="G898" i="4"/>
  <c r="G914" i="4"/>
  <c r="G930" i="4"/>
  <c r="G946" i="4"/>
  <c r="G961" i="4"/>
  <c r="G60" i="4"/>
  <c r="G999" i="4"/>
  <c r="G1015" i="4"/>
  <c r="G1031" i="4"/>
  <c r="G1047" i="4"/>
  <c r="G1061" i="4"/>
  <c r="G1076" i="4"/>
  <c r="G1091" i="4"/>
  <c r="G1105" i="4"/>
  <c r="G1121" i="4"/>
  <c r="G1137" i="4"/>
  <c r="G1153" i="4"/>
  <c r="G1160" i="4"/>
  <c r="G1172" i="4"/>
  <c r="G1191" i="4"/>
  <c r="G1207" i="4"/>
  <c r="G1220" i="4"/>
  <c r="G1234" i="4"/>
  <c r="G1250" i="4"/>
  <c r="G1266" i="4"/>
  <c r="G1281" i="4"/>
  <c r="G91" i="4"/>
  <c r="G1297" i="4"/>
  <c r="G33" i="4"/>
  <c r="G45" i="4"/>
  <c r="G1315" i="4"/>
  <c r="G75" i="4"/>
  <c r="G1329" i="4"/>
  <c r="G103" i="4"/>
  <c r="G1336" i="4"/>
  <c r="A229" i="4"/>
  <c r="A481" i="4"/>
  <c r="A606" i="4"/>
  <c r="A682" i="4"/>
  <c r="A745" i="4"/>
  <c r="A809" i="4"/>
  <c r="A869" i="4"/>
  <c r="A933" i="4"/>
  <c r="A1056" i="4"/>
  <c r="A1175" i="4"/>
  <c r="A1288" i="4"/>
  <c r="A1325" i="4"/>
  <c r="G158" i="4"/>
  <c r="G221" i="4"/>
  <c r="G284" i="4"/>
  <c r="G347" i="4"/>
  <c r="G409" i="4"/>
  <c r="G473" i="4"/>
  <c r="G537" i="4"/>
  <c r="G582" i="4"/>
  <c r="G603" i="4"/>
  <c r="G621" i="4"/>
  <c r="G642" i="4"/>
  <c r="G652" i="4"/>
  <c r="G672" i="4"/>
  <c r="G687" i="4"/>
  <c r="G703" i="4"/>
  <c r="G719" i="4"/>
  <c r="G735" i="4"/>
  <c r="G751" i="4"/>
  <c r="G759" i="4"/>
  <c r="G775" i="4"/>
  <c r="G791" i="4"/>
  <c r="G807" i="4"/>
  <c r="G133" i="4"/>
  <c r="G836" i="4"/>
  <c r="G852" i="4"/>
  <c r="G867" i="4"/>
  <c r="G883" i="4"/>
  <c r="G891" i="4"/>
  <c r="G907" i="4"/>
  <c r="G939" i="4"/>
  <c r="G970" i="4"/>
  <c r="G1000" i="4"/>
  <c r="G1032" i="4"/>
  <c r="G1062" i="4"/>
  <c r="G1092" i="4"/>
  <c r="G1122" i="4"/>
  <c r="G1154" i="4"/>
  <c r="G1181" i="4"/>
  <c r="G1208" i="4"/>
  <c r="G1235" i="4"/>
  <c r="G1267" i="4"/>
  <c r="G1291" i="4"/>
  <c r="G23" i="4"/>
  <c r="G89" i="4"/>
  <c r="G1330" i="4"/>
  <c r="G1337" i="4"/>
  <c r="G915" i="4"/>
  <c r="G73" i="4"/>
  <c r="G1008" i="4"/>
  <c r="G1040" i="4"/>
  <c r="G1069" i="4"/>
  <c r="G111" i="4"/>
  <c r="G1130" i="4"/>
  <c r="G74" i="4"/>
  <c r="G118" i="4"/>
  <c r="G1275" i="4"/>
  <c r="G1309" i="4"/>
  <c r="G102" i="4"/>
  <c r="G923" i="4"/>
  <c r="G954" i="4"/>
  <c r="G984" i="4"/>
  <c r="G1016" i="4"/>
  <c r="G8" i="4"/>
  <c r="G1077" i="4"/>
  <c r="G1106" i="4"/>
  <c r="G1138" i="4"/>
  <c r="G1168" i="4"/>
  <c r="G1192" i="4"/>
  <c r="G1221" i="4"/>
  <c r="G1251" i="4"/>
  <c r="G1282" i="4"/>
  <c r="G1298" i="4"/>
  <c r="G55" i="4"/>
  <c r="G1319" i="4"/>
  <c r="G56" i="4"/>
  <c r="G931" i="4"/>
  <c r="G962" i="4"/>
  <c r="G992" i="4"/>
  <c r="G1024" i="4"/>
  <c r="G1054" i="4"/>
  <c r="G1084" i="4"/>
  <c r="G1114" i="4"/>
  <c r="G1146" i="4"/>
  <c r="G1173" i="4"/>
  <c r="G1200" i="4"/>
  <c r="G1228" i="4"/>
  <c r="G1259" i="4"/>
  <c r="G15" i="4"/>
  <c r="G1300" i="4"/>
  <c r="G82" i="4"/>
  <c r="G1324" i="4"/>
  <c r="G22" i="4"/>
  <c r="G947" i="4"/>
  <c r="G1185" i="4"/>
  <c r="G1243" i="4"/>
  <c r="G42" i="4"/>
  <c r="G65"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ocuments and Settings\hb52875\My Documents\My Data Sources\WD RTA Manager Queries\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<sst xmlns="http://schemas.openxmlformats.org/spreadsheetml/2006/main" count="14932" uniqueCount="3177">
  <si>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</si>
  <si>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</si>
  <si>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</si>
  <si>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</si>
  <si>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</si>
  <si>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</si>
  <si>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</si>
  <si>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</si>
  <si>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</si>
  <si>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</si>
  <si>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</si>
  <si>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</si>
  <si>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</si>
  <si>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</si>
  <si>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</si>
  <si>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</si>
  <si>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</si>
  <si>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</si>
  <si>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</si>
  <si>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</si>
  <si>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</si>
  <si>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</si>
  <si>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</si>
  <si>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</si>
  <si>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</si>
  <si>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</si>
  <si>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</si>
  <si>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</si>
  <si>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</si>
  <si>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</si>
  <si>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</si>
  <si>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</si>
  <si>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</si>
  <si>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</si>
  <si>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</si>
  <si>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</si>
  <si>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</si>
  <si>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</si>
  <si>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</si>
  <si>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</si>
  <si>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</si>
  <si>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</si>
  <si>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</si>
  <si>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</si>
  <si>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</si>
  <si>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</si>
  <si>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</si>
  <si>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</si>
  <si>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</si>
  <si>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</si>
  <si>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</si>
  <si>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</si>
  <si>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</si>
  <si>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</si>
  <si>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</si>
  <si>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</si>
  <si>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</si>
  <si>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</si>
  <si>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</si>
  <si>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</si>
  <si>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</si>
  <si>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</si>
  <si>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</si>
  <si>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</si>
  <si>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</si>
  <si>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</si>
  <si>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</si>
  <si>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</si>
  <si>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</si>
  <si>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</si>
  <si>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</si>
  <si>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</si>
  <si>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</si>
  <si>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</si>
  <si>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</si>
  <si>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</si>
  <si>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</si>
  <si>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</si>
  <si>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</si>
  <si>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</si>
  <si>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</si>
  <si>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</si>
  <si>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</si>
  <si>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</si>
  <si>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</si>
  <si>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</si>
  <si>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</si>
  <si>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</si>
  <si>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</si>
  <si>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</si>
  <si>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</si>
  <si>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</si>
  <si>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</si>
  <si>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</si>
  <si>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</si>
  <si>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</si>
  <si>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</si>
  <si>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</si>
  <si>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</si>
  <si>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</si>
  <si>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</si>
  <si>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</si>
  <si>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</si>
  <si>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</si>
  <si>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</si>
  <si>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</si>
  <si>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</si>
  <si>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</si>
  <si>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</si>
  <si>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</si>
  <si>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</si>
  <si>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</si>
  <si>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</si>
  <si>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</si>
  <si>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</si>
  <si>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</si>
  <si>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</si>
  <si>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</si>
  <si>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</si>
  <si>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</si>
  <si>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</si>
  <si>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</si>
  <si>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</si>
  <si>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</si>
  <si>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</si>
  <si>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</si>
  <si>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</si>
  <si>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</si>
  <si>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</si>
  <si>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</si>
  <si>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</si>
  <si>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</si>
  <si>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</si>
  <si>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</si>
  <si>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</si>
  <si>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</si>
  <si>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</si>
  <si>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</si>
  <si>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</si>
  <si>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</si>
  <si>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</si>
  <si>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</si>
  <si>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</si>
  <si>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</si>
  <si>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</si>
  <si>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</si>
  <si>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</si>
  <si>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</si>
  <si>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</si>
  <si>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</si>
  <si>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</si>
  <si>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</si>
  <si>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</si>
  <si>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</si>
  <si>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</si>
  <si>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</si>
  <si>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</si>
  <si>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</si>
  <si>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</si>
  <si>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</si>
  <si>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</si>
  <si>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</si>
  <si>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</si>
  <si>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</si>
  <si>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</si>
  <si>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</si>
  <si>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</si>
  <si>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</si>
  <si>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</si>
  <si>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</si>
  <si>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</si>
  <si>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</si>
  <si>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</si>
  <si>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</si>
  <si>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</si>
  <si>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</si>
  <si>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</si>
  <si>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</si>
  <si>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</si>
  <si>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</si>
  <si>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</si>
  <si>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</si>
  <si>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</si>
  <si>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</si>
  <si>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</si>
  <si>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</si>
  <si>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</si>
  <si>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</si>
  <si>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</si>
  <si>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</si>
  <si>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</si>
  <si>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</si>
  <si>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</si>
  <si>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</si>
  <si>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</si>
  <si>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</si>
  <si>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</si>
  <si>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</si>
  <si>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</si>
  <si>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</si>
  <si>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</si>
  <si>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</si>
  <si>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</si>
  <si>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</si>
  <si>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</si>
  <si>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</si>
  <si>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</si>
  <si>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</si>
  <si>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</si>
  <si>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</si>
  <si>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</si>
  <si>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</si>
  <si>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</si>
  <si>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</si>
  <si>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</si>
  <si>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</si>
  <si>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</si>
  <si>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</si>
  <si>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</si>
  <si>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</si>
  <si>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</si>
  <si>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</si>
  <si>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</si>
  <si>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</si>
  <si>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</si>
  <si>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</si>
  <si>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</si>
  <si>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</si>
  <si>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</si>
  <si>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</si>
  <si>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</si>
  <si>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</si>
  <si>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</si>
  <si>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</si>
  <si>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</si>
  <si>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</si>
  <si>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</si>
  <si>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</si>
  <si>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</si>
  <si>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</si>
  <si>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</si>
  <si>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</si>
  <si>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</si>
  <si>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</si>
  <si>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</si>
  <si>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</si>
  <si>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</si>
  <si>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</si>
  <si>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</si>
  <si>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</si>
  <si>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</si>
  <si>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</si>
  <si>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</si>
  <si>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</si>
  <si>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</si>
  <si>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</si>
  <si>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</si>
  <si>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</si>
  <si>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</si>
  <si>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</si>
  <si>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</si>
  <si>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</si>
  <si>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</si>
  <si>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</si>
  <si>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</si>
  <si>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</si>
  <si>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</si>
  <si>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</si>
  <si>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</si>
  <si>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</si>
  <si>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</si>
  <si>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</si>
  <si>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</si>
  <si>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</si>
  <si>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</si>
  <si>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</si>
  <si>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</si>
  <si>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</si>
  <si>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</si>
  <si>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</si>
  <si>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</si>
  <si>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</si>
  <si>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</si>
  <si>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</si>
  <si>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</si>
  <si>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</si>
  <si>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</si>
  <si>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</si>
  <si>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</si>
  <si>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</si>
  <si>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</si>
  <si>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</si>
  <si>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</si>
  <si>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</si>
  <si>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</si>
  <si>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</si>
  <si>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</si>
  <si>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</si>
  <si>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</si>
  <si>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</si>
  <si>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</si>
  <si>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</si>
  <si>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</si>
  <si>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</si>
  <si>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</si>
  <si>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</si>
  <si>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</si>
  <si>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</si>
  <si>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</si>
  <si>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</si>
  <si>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</si>
  <si>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</si>
  <si>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</si>
  <si>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</si>
  <si>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</si>
  <si>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</si>
  <si>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</si>
  <si>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</si>
  <si>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</si>
  <si>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</si>
  <si>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</si>
  <si>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</si>
  <si>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</si>
  <si>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</si>
  <si>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</si>
  <si>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</si>
  <si>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</si>
  <si>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</si>
  <si>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</si>
  <si>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</si>
  <si>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</si>
  <si>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</si>
  <si>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</si>
  <si>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</si>
  <si>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</si>
  <si>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</si>
  <si>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</si>
  <si>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</si>
  <si>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</si>
  <si>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</si>
  <si>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</si>
  <si>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</si>
  <si>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</si>
  <si>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</si>
  <si>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</si>
  <si>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</si>
  <si>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</si>
  <si>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</si>
  <si>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</si>
  <si>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</si>
  <si>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</si>
  <si>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</si>
  <si>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</si>
  <si>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</si>
  <si>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</si>
  <si>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</si>
  <si>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</si>
  <si>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</si>
  <si>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</si>
  <si>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</si>
  <si>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</si>
  <si>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</si>
  <si>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</si>
  <si>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</si>
  <si>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</si>
  <si>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</si>
  <si>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</si>
  <si>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</si>
  <si>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</si>
  <si>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</si>
  <si>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</si>
  <si>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</si>
  <si>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</si>
  <si>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</si>
  <si>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</si>
  <si>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</si>
  <si>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</si>
  <si>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</si>
  <si>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</si>
  <si>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</si>
  <si>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</si>
  <si>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</si>
  <si>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</si>
  <si>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</si>
  <si>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</si>
  <si>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</si>
  <si>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</si>
  <si>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</si>
  <si>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</si>
  <si>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</si>
  <si>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</si>
  <si>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</si>
  <si>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</si>
  <si>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</si>
  <si>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</si>
  <si>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</si>
  <si>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</si>
  <si>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</si>
  <si>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</si>
  <si>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</si>
  <si>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</si>
  <si>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</si>
  <si>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</si>
  <si>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</si>
  <si>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</si>
  <si>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</si>
  <si>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</si>
  <si>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</si>
  <si>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</si>
  <si>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</si>
  <si>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</si>
  <si>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</si>
  <si>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</si>
  <si>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</si>
  <si>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</si>
  <si>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</si>
  <si>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</si>
  <si>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</si>
  <si>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</si>
  <si>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</si>
  <si>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</si>
  <si>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</si>
  <si>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</si>
  <si>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</si>
  <si>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</si>
  <si>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</si>
  <si>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</si>
  <si>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</si>
  <si>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</si>
  <si>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</si>
  <si>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</si>
  <si>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</si>
  <si>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</si>
  <si>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</si>
  <si>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</si>
  <si>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</si>
  <si>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</si>
  <si>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</si>
  <si>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</si>
  <si>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</si>
  <si>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</si>
  <si>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</si>
  <si>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</si>
  <si>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</si>
  <si>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</si>
  <si>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</si>
  <si>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</si>
  <si>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</si>
  <si>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</si>
  <si>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</si>
  <si>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</si>
  <si>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</si>
  <si>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</si>
  <si>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</si>
  <si>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</si>
  <si>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</si>
  <si>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</si>
  <si>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</si>
  <si>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</si>
  <si>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</si>
  <si>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</si>
  <si>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</si>
  <si>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</si>
  <si>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</si>
  <si>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</si>
  <si>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</si>
  <si>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</si>
  <si>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</si>
  <si>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</si>
  <si>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</si>
  <si>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</si>
  <si>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</si>
  <si>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</si>
  <si>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</si>
  <si>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</si>
  <si>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</si>
  <si>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</si>
  <si>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</si>
  <si>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</si>
  <si>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</si>
  <si>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</si>
  <si>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</si>
  <si>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</si>
  <si>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</si>
  <si>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</si>
  <si>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</si>
  <si>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</si>
  <si>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</si>
  <si>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</si>
  <si>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</si>
  <si>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</si>
  <si>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</si>
  <si>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</si>
  <si>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</si>
  <si>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</si>
  <si>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</si>
  <si>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</si>
  <si>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</si>
  <si>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</si>
  <si>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</si>
  <si>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</si>
  <si>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</si>
  <si>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</si>
  <si>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</si>
  <si>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</si>
  <si>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</si>
  <si>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</si>
  <si>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</si>
  <si>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</si>
  <si>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</si>
  <si>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</si>
  <si>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</si>
  <si>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</si>
  <si>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</si>
  <si>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</si>
  <si>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</si>
  <si>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</si>
  <si>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</si>
  <si>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</si>
  <si>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</si>
  <si>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</si>
  <si>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</si>
  <si>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</si>
  <si>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</si>
  <si>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</si>
  <si>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</si>
  <si>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</si>
  <si>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</si>
  <si>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</si>
  <si>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</si>
  <si>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</si>
  <si>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</si>
  <si>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</si>
  <si>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</si>
  <si>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</si>
  <si>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</si>
  <si>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</si>
  <si>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</si>
  <si>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</si>
  <si>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</si>
  <si>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</si>
  <si>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</si>
  <si>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</si>
  <si>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</si>
  <si>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</si>
  <si>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</si>
  <si>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</si>
  <si>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</si>
  <si>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</si>
  <si>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</si>
  <si>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</si>
  <si>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</si>
  <si>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</si>
  <si>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</si>
  <si>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</si>
  <si>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</si>
  <si>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</si>
  <si>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</si>
  <si>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</si>
  <si>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</si>
  <si>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</si>
  <si>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</si>
  <si>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</si>
  <si>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</si>
  <si>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</si>
  <si>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</si>
  <si>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</si>
  <si>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</si>
  <si>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</si>
  <si>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</si>
  <si>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</si>
  <si>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</si>
  <si>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</si>
  <si>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</si>
  <si>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</si>
  <si>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</si>
  <si>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</si>
  <si>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</si>
  <si>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</si>
  <si>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</si>
  <si>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</si>
  <si>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</si>
  <si>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</si>
  <si>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</si>
  <si>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</si>
  <si>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</si>
  <si>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</si>
  <si>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</si>
  <si>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</si>
  <si>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</si>
  <si>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</si>
  <si>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</si>
  <si>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</si>
  <si>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</si>
  <si>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</si>
  <si>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</si>
  <si>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</si>
  <si>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</si>
  <si>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</si>
  <si>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</si>
  <si>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</si>
  <si>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</si>
  <si>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</si>
  <si>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</si>
  <si>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</si>
  <si>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</si>
  <si>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</si>
  <si>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</si>
  <si>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</si>
  <si>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</si>
  <si>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</si>
  <si>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</si>
  <si>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</si>
  <si>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</si>
  <si>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</si>
  <si>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</si>
  <si>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</si>
  <si>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</si>
  <si>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</si>
  <si>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</si>
  <si>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</si>
  <si>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</si>
  <si>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</si>
  <si>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</si>
  <si>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</si>
  <si>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</si>
  <si>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</si>
  <si>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</si>
  <si>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</si>
  <si>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</si>
  <si>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</si>
  <si>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</si>
  <si>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</si>
  <si>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</si>
  <si>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</si>
  <si>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</si>
  <si>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</si>
  <si>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</si>
  <si>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</si>
  <si>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</si>
  <si>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</si>
  <si>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</si>
  <si>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</si>
  <si>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</si>
  <si>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</si>
  <si>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</si>
  <si>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</si>
  <si>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</si>
  <si>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</si>
  <si>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</si>
  <si>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</si>
  <si>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</si>
  <si>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</si>
  <si>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</si>
  <si>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</si>
  <si>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</si>
  <si>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</si>
  <si>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</si>
  <si>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</si>
  <si>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</si>
  <si>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</si>
  <si>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</si>
  <si>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</si>
  <si>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</si>
  <si>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</si>
  <si>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</si>
  <si>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</si>
  <si>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</si>
  <si>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</si>
  <si>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</si>
  <si>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</si>
  <si>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</si>
  <si>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</si>
  <si>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</si>
  <si>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</si>
  <si>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</si>
  <si>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</si>
  <si>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</si>
  <si>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</si>
  <si>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</si>
  <si>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</si>
  <si>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</si>
  <si>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</si>
  <si>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</si>
  <si>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</si>
  <si>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</si>
  <si>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</si>
  <si>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</si>
  <si>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</si>
  <si>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</si>
  <si>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</si>
  <si>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</si>
  <si>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</si>
  <si>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</si>
  <si>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</si>
  <si>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</si>
  <si>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</si>
  <si>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</si>
  <si>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</si>
  <si>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</si>
  <si>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</si>
  <si>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</si>
  <si>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</si>
  <si>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</si>
  <si>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</si>
  <si>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</si>
  <si>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</si>
  <si>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</si>
  <si>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</si>
  <si>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</si>
  <si>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</si>
  <si>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</si>
  <si>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</si>
  <si>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</si>
  <si>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</si>
  <si>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</si>
  <si>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</si>
  <si>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</si>
  <si>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</si>
  <si>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</si>
  <si>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</si>
  <si>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</si>
  <si>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</si>
  <si>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</si>
  <si>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</si>
  <si>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</si>
  <si>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</si>
  <si>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</si>
  <si>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</si>
  <si>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</si>
  <si>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</si>
  <si>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</si>
  <si>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</si>
  <si>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</si>
  <si>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</si>
  <si>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</si>
  <si>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</si>
  <si>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</si>
  <si>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</si>
  <si>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</si>
  <si>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</si>
  <si>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</si>
  <si>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</si>
  <si>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</si>
  <si>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</si>
  <si>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</si>
  <si>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</si>
  <si>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</si>
  <si>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CREATE NEW PARTS; THESE NUMBERS ARE NOT IN CWI OR SAP. NEED DRAWINGS FOR ITEMS 1 AND 2. (SEE ATTACHED EMAIL.)
1.	Resettable Straddle = 028007-00
2.	Flow Check Valve Assy = 290FV0275000
3.	Crossover = 031099-00
4.	Location Tool Spacer = 020881-AE</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</si>
  <si>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</si>
  <si>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</si>
  <si>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</si>
  <si>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</si>
  <si>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</si>
  <si>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</si>
  <si>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</si>
  <si>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</si>
  <si>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</si>
  <si>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</si>
  <si>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</si>
  <si>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</si>
  <si>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</si>
  <si>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</si>
  <si>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</si>
  <si>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</si>
  <si>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</si>
  <si>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</si>
  <si>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</si>
  <si>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</si>
  <si>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</si>
  <si>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</si>
  <si>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</si>
  <si>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</si>
  <si>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</si>
  <si>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</si>
  <si>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</si>
  <si>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</si>
  <si>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</si>
  <si>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</si>
  <si>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</si>
  <si>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</si>
  <si>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</si>
  <si>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</si>
  <si>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</si>
  <si>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</si>
  <si>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</si>
  <si>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</si>
  <si>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</si>
  <si>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</si>
  <si>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</si>
  <si>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</si>
  <si>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</si>
  <si>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</si>
  <si>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</si>
  <si>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</si>
  <si>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</si>
  <si>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</si>
  <si>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</si>
  <si>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</si>
  <si>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</si>
  <si>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</si>
  <si>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</si>
  <si>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</si>
  <si>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</si>
  <si>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</si>
  <si>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</si>
  <si>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</si>
  <si>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</si>
  <si>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</si>
  <si>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</si>
  <si>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</si>
  <si>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</si>
  <si>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</si>
  <si>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</si>
  <si>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</si>
  <si>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</si>
  <si>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</si>
  <si>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</si>
  <si>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</si>
  <si>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</si>
  <si>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</si>
  <si>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</si>
  <si>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</si>
  <si>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</si>
  <si>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</si>
  <si>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</si>
  <si>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</si>
  <si>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</si>
  <si>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</si>
  <si>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</si>
  <si>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</si>
  <si>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</si>
  <si>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</si>
  <si>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</si>
  <si>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</si>
  <si>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</si>
  <si>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</si>
  <si>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</si>
  <si>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</si>
  <si>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</si>
  <si>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</si>
  <si>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</si>
  <si>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</si>
  <si>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</si>
  <si>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</si>
  <si>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</si>
  <si>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</si>
  <si>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</si>
  <si>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</si>
  <si>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</si>
  <si>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</si>
  <si>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</si>
  <si>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</si>
  <si>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</si>
  <si>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</si>
  <si>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</si>
  <si>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</si>
  <si>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</si>
  <si>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</si>
  <si>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Bumper sub ID has interference fit with mating adapter sub.  Adapter sub is has standard OD dimension of 5.505, bumper has ID of 5.500-5.515.
Need to revise dwg. 312766-01-01 Rev. A to move ID dimension to ~5.510-5.525.</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</si>
  <si>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</si>
  <si>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</si>
  <si>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</si>
  <si>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</si>
  <si>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</si>
  <si>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</si>
  <si>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</si>
  <si>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</si>
  <si>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</si>
  <si>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</si>
  <si>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</si>
  <si>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</si>
  <si>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</si>
  <si>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</si>
  <si>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</si>
  <si>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</si>
  <si>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</si>
  <si>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</si>
  <si>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</si>
  <si>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</si>
  <si>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</si>
  <si>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</si>
  <si>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</si>
  <si>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</si>
  <si>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</si>
  <si>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</si>
  <si>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</si>
  <si>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</si>
  <si>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</si>
  <si>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</si>
  <si>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</si>
  <si>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</si>
  <si>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</si>
  <si>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</si>
  <si>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</si>
  <si>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</si>
  <si>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</si>
  <si>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</si>
  <si>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</si>
  <si>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</si>
  <si>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</si>
  <si>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</si>
  <si>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</si>
  <si>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</si>
  <si>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</si>
  <si>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</si>
  <si>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</si>
  <si>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</si>
  <si>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</si>
  <si>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</si>
  <si>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</si>
  <si>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</si>
  <si>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</si>
  <si>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</si>
  <si>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</si>
  <si>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</si>
  <si>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</si>
  <si>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</si>
  <si>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</si>
  <si>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</si>
  <si>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</si>
  <si>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</si>
  <si>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</si>
  <si>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</si>
  <si>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</si>
  <si>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</si>
  <si>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</si>
  <si>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</si>
  <si>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</si>
  <si>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</si>
  <si>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</si>
  <si>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</si>
  <si>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</si>
  <si>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</si>
  <si>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</si>
  <si>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</si>
  <si>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</si>
  <si>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</si>
  <si>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</si>
  <si>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</si>
  <si>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</si>
  <si>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</si>
  <si>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</si>
  <si>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</si>
  <si>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</si>
  <si>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</si>
  <si>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</si>
  <si>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</si>
  <si>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</si>
  <si>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</si>
  <si>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</si>
  <si>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</si>
  <si>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</si>
  <si>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</si>
  <si>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</si>
  <si>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</si>
  <si>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</si>
  <si>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</si>
  <si>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</si>
  <si>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</si>
  <si>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</si>
  <si>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COPI</t>
  </si>
  <si>
    <t>Qualification of Aqualink 300F for COPI Bawal project.</t>
  </si>
  <si>
    <t>1: Qualification to be done in Carrollton. CWI migration/part number creation RTA 658680.  4/14/11 DM</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</si>
  <si>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</si>
  <si>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</si>
  <si>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</si>
  <si>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</si>
  <si>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</si>
  <si>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Qualification of McDermid HW720R hydraulic fluid.
Petrobraas Guara completion will be using this fluid for its subsea completion equipment, and therefore using it to operate the downhole valves.  We will need to urgently get this fluid in testing parallel to manufacturing and assembling the equipment.
Fluid can use the same test plan as the Transagua HT2 and Brayco SV3 (330F)</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</si>
  <si>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</si>
  <si>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Qualification of Transaqua HT2 and Castrol Brayco Micronic SV3 hydraulic fluid for 5.5 circulation valve.  Valve design on RTA 643972.
Qualification to be done in Carrollton.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</si>
  <si>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</si>
  <si>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</si>
  <si>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</si>
  <si>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</si>
  <si>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</si>
  <si>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</si>
  <si>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</si>
  <si>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</si>
  <si>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</si>
  <si>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</si>
  <si>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</si>
  <si>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</si>
  <si>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</si>
  <si>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</si>
  <si>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</si>
  <si>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</si>
  <si>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</si>
  <si>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</si>
  <si>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</si>
  <si>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</si>
  <si>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</si>
  <si>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</si>
  <si>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</si>
  <si>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</si>
  <si>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</si>
  <si>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</si>
  <si>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</si>
  <si>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</si>
  <si>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</si>
  <si>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</si>
  <si>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</si>
  <si>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</si>
  <si>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</si>
  <si>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</si>
  <si>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</si>
  <si>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</si>
  <si>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</si>
  <si>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</si>
  <si>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</si>
  <si>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</si>
  <si>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PMplt</t>
  </si>
  <si>
    <t>PMlt</t>
  </si>
  <si>
    <t>FCtype</t>
  </si>
  <si>
    <t>FCcode</t>
  </si>
  <si>
    <t>FCstate</t>
  </si>
  <si>
    <t>FCplt</t>
  </si>
  <si>
    <t>FClt</t>
  </si>
  <si>
    <t>DItype</t>
  </si>
  <si>
    <t>DIcode</t>
  </si>
  <si>
    <t>DIstate</t>
  </si>
  <si>
    <t>DIplt</t>
  </si>
  <si>
    <t>DIlt</t>
  </si>
  <si>
    <t>Stype</t>
  </si>
  <si>
    <t>Scode</t>
  </si>
  <si>
    <t>Sstate</t>
  </si>
  <si>
    <t>Splt</t>
  </si>
  <si>
    <t>Slt</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</si>
  <si>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</si>
  <si>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</si>
  <si>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</si>
  <si>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</si>
  <si>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</si>
  <si>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</si>
  <si>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</si>
  <si>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</si>
  <si>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</si>
  <si>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</si>
  <si>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</si>
  <si>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</si>
  <si>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</si>
  <si>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</si>
  <si>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</si>
  <si>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</si>
  <si>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</si>
  <si>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</si>
  <si>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</si>
  <si>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</si>
  <si>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</si>
  <si>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</si>
  <si>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</si>
  <si>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</si>
  <si>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</si>
  <si>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</si>
  <si>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</si>
  <si>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</si>
  <si>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</si>
  <si>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</si>
  <si>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</si>
  <si>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</si>
  <si>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</si>
  <si>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</si>
  <si>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668693</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</si>
  <si>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</si>
  <si>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</si>
  <si>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</si>
  <si>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</si>
  <si>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</si>
  <si>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</si>
  <si>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</si>
  <si>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</si>
  <si>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</si>
  <si>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</si>
  <si>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</si>
  <si>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</si>
  <si>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</si>
  <si>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</si>
  <si>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</si>
  <si>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</si>
  <si>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</si>
  <si>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</si>
  <si>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</si>
  <si>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</si>
  <si>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</si>
  <si>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</si>
  <si>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</si>
  <si>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</si>
  <si>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</si>
  <si>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</si>
  <si>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</si>
  <si>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</si>
  <si>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</si>
  <si>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</si>
  <si>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</si>
  <si>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</si>
  <si>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</si>
  <si>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</si>
  <si>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</si>
  <si>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</si>
  <si>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</si>
  <si>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</si>
  <si>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</si>
  <si>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</si>
  <si>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</si>
  <si>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</si>
  <si>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</si>
  <si>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</si>
  <si>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</si>
  <si>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</si>
  <si>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</si>
  <si>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</si>
  <si>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</si>
  <si>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</si>
  <si>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</si>
  <si>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</si>
  <si>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</si>
  <si>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</si>
  <si>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</si>
  <si>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</si>
  <si>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</si>
  <si>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</si>
  <si>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</si>
  <si>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</si>
  <si>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</si>
  <si>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</si>
  <si>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</si>
  <si>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</si>
  <si>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</si>
  <si>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</si>
  <si>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</si>
  <si>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</si>
  <si>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</si>
  <si>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</si>
  <si>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</si>
  <si>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</si>
  <si>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</si>
  <si>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</si>
  <si>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</si>
  <si>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</si>
  <si>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</si>
  <si>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</si>
  <si>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</si>
  <si>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</si>
  <si>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</si>
  <si>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</si>
  <si>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</si>
  <si>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</si>
  <si>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</si>
  <si>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</si>
  <si>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</si>
  <si>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</si>
  <si>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</si>
  <si>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</si>
  <si>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</si>
  <si>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</si>
  <si>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</si>
  <si>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</si>
  <si>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</si>
  <si>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</si>
  <si>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</si>
  <si>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</si>
  <si>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</si>
  <si>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</si>
  <si>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</si>
  <si>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</si>
  <si>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</si>
  <si>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</si>
  <si>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</si>
  <si>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</si>
  <si>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</si>
  <si>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</si>
  <si>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</si>
  <si>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</si>
  <si>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</si>
  <si>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</si>
  <si>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</si>
  <si>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</si>
  <si>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</si>
  <si>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</si>
  <si>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</si>
  <si>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</si>
  <si>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</si>
  <si>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</si>
  <si>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</si>
  <si>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</si>
  <si>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</si>
  <si>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</si>
  <si>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</si>
  <si>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</si>
  <si>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</si>
  <si>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</si>
  <si>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</si>
  <si>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</si>
  <si>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</si>
  <si>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</si>
  <si>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</si>
  <si>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</si>
  <si>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</si>
  <si>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</si>
  <si>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</si>
  <si>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</si>
  <si>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</si>
  <si>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</si>
  <si>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</si>
  <si>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</si>
  <si>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</si>
  <si>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</si>
  <si>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</si>
  <si>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</si>
  <si>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</si>
  <si>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</si>
  <si>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</si>
  <si>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</si>
  <si>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</si>
  <si>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</si>
  <si>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627101</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</si>
  <si>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</si>
  <si>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</si>
  <si>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</si>
  <si>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</si>
  <si>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</si>
  <si>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</si>
  <si>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</si>
  <si>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</si>
  <si>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</si>
  <si>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</si>
  <si>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</si>
  <si>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</si>
  <si>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</si>
  <si>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</si>
  <si>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</si>
  <si>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</si>
  <si>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</si>
  <si>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</si>
  <si>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</si>
  <si>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</si>
  <si>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</si>
  <si>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</si>
  <si>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</si>
  <si>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</si>
  <si>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</si>
  <si>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</si>
  <si>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</si>
  <si>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</si>
  <si>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</si>
  <si>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</si>
  <si>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</si>
  <si>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</si>
  <si>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</si>
  <si>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</si>
  <si>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</si>
  <si>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</si>
  <si>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</si>
  <si>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</si>
  <si>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</si>
  <si>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</si>
  <si>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</si>
  <si>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</si>
  <si>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</si>
  <si>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</si>
  <si>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</si>
  <si>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</si>
  <si>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</si>
  <si>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</si>
  <si>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</si>
  <si>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</si>
  <si>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</si>
  <si>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</si>
  <si>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</si>
  <si>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</si>
  <si>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</si>
  <si>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</si>
  <si>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</si>
  <si>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</si>
  <si>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</si>
  <si>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</si>
  <si>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</si>
  <si>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</si>
  <si>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</si>
  <si>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</si>
  <si>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</si>
  <si>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</si>
  <si>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</si>
  <si>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</si>
  <si>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</si>
  <si>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</si>
  <si>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</si>
  <si>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</si>
  <si>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</si>
  <si>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</si>
  <si>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</si>
  <si>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</si>
  <si>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</si>
  <si>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</si>
  <si>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</si>
  <si>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</si>
  <si>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</si>
  <si>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</si>
  <si>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</si>
  <si>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</si>
  <si>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</si>
  <si>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</si>
  <si>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</si>
  <si>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</si>
  <si>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</si>
  <si>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</si>
  <si>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</si>
  <si>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</si>
  <si>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</si>
  <si>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</si>
  <si>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</si>
  <si>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</si>
  <si>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</si>
  <si>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</si>
  <si>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</si>
  <si>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</si>
  <si>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</si>
  <si>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</si>
  <si>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</si>
  <si>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</si>
  <si>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</si>
  <si>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</si>
  <si>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</si>
  <si>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</si>
  <si>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</si>
  <si>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</si>
  <si>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</si>
  <si>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</si>
  <si>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</si>
  <si>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</si>
  <si>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</si>
  <si>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</si>
  <si>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</si>
  <si>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</si>
  <si>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</si>
  <si>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</si>
  <si>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</si>
  <si>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</si>
  <si>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</si>
  <si>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</si>
  <si>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</si>
  <si>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</si>
  <si>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</si>
  <si>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</si>
  <si>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</si>
  <si>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</si>
  <si>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</si>
  <si>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</si>
  <si>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</si>
  <si>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</si>
  <si>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</si>
  <si>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</si>
  <si>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</si>
  <si>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</si>
  <si>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</si>
  <si>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</si>
  <si>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</si>
  <si>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</si>
  <si>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</si>
  <si>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</si>
  <si>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</si>
  <si>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</si>
  <si>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</si>
  <si>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</si>
  <si>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</si>
  <si>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</si>
  <si>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</si>
  <si>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</si>
  <si>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</si>
  <si>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</si>
  <si>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</si>
  <si>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</si>
  <si>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</si>
  <si>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</si>
  <si>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</si>
  <si>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667163</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</si>
  <si>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</si>
  <si>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</si>
  <si>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</si>
  <si>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</si>
  <si>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</si>
  <si>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</si>
  <si>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</si>
  <si>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</si>
  <si>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</si>
  <si>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</si>
  <si>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</si>
  <si>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</si>
  <si>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</si>
  <si>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</si>
  <si>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</si>
  <si>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</si>
  <si>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</si>
  <si>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</si>
  <si>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</si>
  <si>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</si>
  <si>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</si>
  <si>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</si>
  <si>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</si>
  <si>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</si>
  <si>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</si>
  <si>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</si>
  <si>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</si>
  <si>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</si>
  <si>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</si>
  <si>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</si>
  <si>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</si>
  <si>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</si>
  <si>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</si>
  <si>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</si>
  <si>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</si>
  <si>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</si>
  <si>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</si>
  <si>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</si>
  <si>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</si>
  <si>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</si>
  <si>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</si>
  <si>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</si>
  <si>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</si>
  <si>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</si>
  <si>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</si>
  <si>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</si>
  <si>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</si>
  <si>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</si>
  <si>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</si>
  <si>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</si>
  <si>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</si>
  <si>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</si>
  <si>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</si>
  <si>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</si>
  <si>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</si>
  <si>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</si>
  <si>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</si>
  <si>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</si>
  <si>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</si>
  <si>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</si>
  <si>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</si>
  <si>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</si>
  <si>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</si>
  <si>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</si>
  <si>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</si>
  <si>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</si>
  <si>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</si>
  <si>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</si>
  <si>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</si>
  <si>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</si>
  <si>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</si>
  <si>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</si>
  <si>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</si>
  <si>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</si>
  <si>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</si>
  <si>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</si>
  <si>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</si>
  <si>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</si>
  <si>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</si>
  <si>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</si>
  <si>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</si>
  <si>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</si>
  <si>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</si>
  <si>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</si>
  <si>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</si>
  <si>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</si>
  <si>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</si>
  <si>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</si>
  <si>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</si>
  <si>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</si>
  <si>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</si>
  <si>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</si>
  <si>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</si>
  <si>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</si>
  <si>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</si>
  <si>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</si>
  <si>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</si>
  <si>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</si>
  <si>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</si>
  <si>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</si>
  <si>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</si>
  <si>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</si>
  <si>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</si>
  <si>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</si>
  <si>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</si>
  <si>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</si>
  <si>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</si>
  <si>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</si>
  <si>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</si>
  <si>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</si>
  <si>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</si>
  <si>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</si>
  <si>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</si>
  <si>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</si>
  <si>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</si>
  <si>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</si>
  <si>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</si>
  <si>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</si>
  <si>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</si>
  <si>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</si>
  <si>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</si>
  <si>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</si>
  <si>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</si>
  <si>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</si>
  <si>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</si>
  <si>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</si>
  <si>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</si>
  <si>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</si>
  <si>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</si>
  <si>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</si>
  <si>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</si>
  <si>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</si>
  <si>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</si>
  <si>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</si>
  <si>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</si>
  <si>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</si>
  <si>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</si>
  <si>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</si>
  <si>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</si>
  <si>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</si>
  <si>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</si>
  <si>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</si>
  <si>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</si>
  <si>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</si>
  <si>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</si>
  <si>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</si>
  <si>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</si>
  <si>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</si>
  <si>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</si>
  <si>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</si>
  <si>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</si>
  <si>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</si>
  <si>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</si>
  <si>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</si>
  <si>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</si>
  <si>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</si>
  <si>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</si>
  <si>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</si>
  <si>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</si>
  <si>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</si>
  <si>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</si>
  <si>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</si>
  <si>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</si>
  <si>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</si>
  <si>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</si>
  <si>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</si>
  <si>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</si>
  <si>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</si>
  <si>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</si>
  <si>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</si>
  <si>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</si>
  <si>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</si>
  <si>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</si>
  <si>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</si>
  <si>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</si>
  <si>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</si>
  <si>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</si>
  <si>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</si>
  <si>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</si>
  <si>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</si>
  <si>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</si>
  <si>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</si>
  <si>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</si>
  <si>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</si>
  <si>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</si>
  <si>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</si>
  <si>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</si>
  <si>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</si>
  <si>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</si>
  <si>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</si>
  <si>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</si>
  <si>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</si>
  <si>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</si>
  <si>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</si>
  <si>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</si>
  <si>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</si>
  <si>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</si>
  <si>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</si>
  <si>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</si>
  <si>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</si>
  <si>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</si>
  <si>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</si>
  <si>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</si>
  <si>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</si>
  <si>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</si>
  <si>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</si>
  <si>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</si>
  <si>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</si>
  <si>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</si>
  <si>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</si>
  <si>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</si>
  <si>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</si>
  <si>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</si>
  <si>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</si>
  <si>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</si>
  <si>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</si>
  <si>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</si>
  <si>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</si>
  <si>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</si>
  <si>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</si>
  <si>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</si>
  <si>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</si>
  <si>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</si>
  <si>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</si>
  <si>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</si>
  <si>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</si>
  <si>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</si>
  <si>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</si>
  <si>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</si>
  <si>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</si>
  <si>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</si>
  <si>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</si>
  <si>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</si>
  <si>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</si>
  <si>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</si>
  <si>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</si>
  <si>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</si>
  <si>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</si>
  <si>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</si>
  <si>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</si>
  <si>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</si>
  <si>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</si>
  <si>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</si>
  <si>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</si>
  <si>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</si>
  <si>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</si>
  <si>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</si>
  <si>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</si>
  <si>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</si>
  <si>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</si>
  <si>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</si>
  <si>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</si>
  <si>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</si>
  <si>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</si>
  <si>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</si>
  <si>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</si>
  <si>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</si>
  <si>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</si>
  <si>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</si>
  <si>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</si>
  <si>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</si>
  <si>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</si>
  <si>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</si>
  <si>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</si>
  <si>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</si>
  <si>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</si>
  <si>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</si>
  <si>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</si>
  <si>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</si>
  <si>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</si>
  <si>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</si>
  <si>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</si>
  <si>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</si>
  <si>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</si>
  <si>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</si>
  <si>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</si>
  <si>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</si>
  <si>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</si>
  <si>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</si>
  <si>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</si>
  <si>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</si>
  <si>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</si>
  <si>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</si>
  <si>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</si>
  <si>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</si>
  <si>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</si>
  <si>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</si>
  <si>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</si>
  <si>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</si>
  <si>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</si>
  <si>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</si>
  <si>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</si>
  <si>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</si>
  <si>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</si>
  <si>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</si>
  <si>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</si>
  <si>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</si>
  <si>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</si>
  <si>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</si>
  <si>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</si>
  <si>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</si>
  <si>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</si>
  <si>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</si>
  <si>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</si>
  <si>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</si>
  <si>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</si>
  <si>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</si>
  <si>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</si>
  <si>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</si>
  <si>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</si>
  <si>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</si>
  <si>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</si>
  <si>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</si>
  <si>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</si>
  <si>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</si>
  <si>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</si>
  <si>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</si>
  <si>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</si>
  <si>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</si>
  <si>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</si>
  <si>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</si>
  <si>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</si>
  <si>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</si>
  <si>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</si>
  <si>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</si>
  <si>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</si>
  <si>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</si>
  <si>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</si>
  <si>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</si>
  <si>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</si>
  <si>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</si>
  <si>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</si>
  <si>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</si>
  <si>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</si>
  <si>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</si>
  <si>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</si>
  <si>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</si>
  <si>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</si>
  <si>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</si>
  <si>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</si>
  <si>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667852</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</si>
  <si>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</si>
  <si>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</si>
  <si>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</si>
  <si>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</si>
  <si>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</si>
  <si>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</si>
  <si>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</si>
  <si>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</si>
  <si>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</si>
  <si>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</si>
  <si>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</si>
  <si>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</si>
  <si>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</si>
  <si>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</si>
  <si>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</si>
  <si>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</si>
  <si>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</si>
  <si>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</si>
  <si>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</si>
  <si>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</si>
  <si>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</si>
  <si>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</si>
  <si>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</si>
  <si>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</si>
  <si>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</si>
  <si>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</si>
  <si>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</si>
  <si>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</si>
  <si>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</si>
  <si>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</si>
  <si>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</si>
  <si>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</si>
  <si>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</si>
  <si>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</si>
  <si>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</si>
  <si>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</si>
  <si>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</si>
  <si>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</si>
  <si>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</si>
  <si>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</si>
  <si>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</si>
  <si>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</si>
  <si>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</si>
  <si>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</si>
  <si>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</si>
  <si>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</si>
  <si>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</si>
  <si>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</si>
  <si>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</si>
  <si>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</si>
  <si>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</si>
  <si>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</si>
  <si>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</si>
  <si>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</si>
  <si>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</si>
  <si>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</si>
  <si>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</si>
  <si>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</si>
  <si>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</si>
  <si>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</si>
  <si>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</si>
  <si>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</si>
  <si>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</si>
  <si>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</si>
  <si>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</si>
  <si>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</si>
  <si>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</si>
  <si>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</si>
  <si>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</si>
  <si>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</si>
  <si>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</si>
  <si>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</si>
  <si>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</si>
  <si>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</si>
  <si>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</si>
  <si>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</si>
  <si>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</si>
  <si>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</si>
  <si>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</si>
  <si>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</si>
  <si>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</si>
  <si>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</si>
  <si>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</si>
  <si>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</si>
  <si>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</si>
  <si>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</si>
  <si>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</si>
  <si>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</si>
  <si>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</si>
  <si>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</si>
  <si>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</si>
  <si>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</si>
  <si>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</si>
  <si>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</si>
  <si>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</si>
  <si>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</si>
  <si>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</si>
  <si>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</si>
  <si>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</si>
  <si>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</si>
  <si>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</si>
  <si>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</si>
  <si>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</si>
  <si>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</si>
  <si>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</si>
  <si>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</si>
  <si>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</si>
  <si>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</si>
  <si>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</si>
  <si>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</si>
  <si>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</si>
  <si>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</si>
  <si>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</si>
  <si>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</si>
  <si>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</si>
  <si>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</si>
  <si>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</si>
  <si>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</si>
  <si>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</si>
  <si>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</si>
  <si>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</si>
  <si>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</si>
  <si>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</si>
  <si>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680162</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</si>
  <si>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</si>
  <si>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</si>
  <si>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</si>
  <si>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</si>
  <si>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</si>
  <si>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</si>
  <si>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</si>
  <si>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</si>
  <si>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</si>
  <si>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</si>
  <si>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</si>
  <si>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</si>
  <si>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</si>
  <si>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</si>
  <si>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</si>
  <si>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</si>
  <si>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</si>
  <si>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</si>
  <si>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</si>
  <si>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</si>
  <si>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</si>
  <si>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</si>
  <si>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</si>
  <si>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</si>
  <si>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</si>
  <si>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</si>
  <si>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</si>
  <si>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</si>
  <si>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</si>
  <si>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</si>
  <si>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</si>
  <si>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</si>
  <si>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</si>
  <si>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</si>
  <si>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</si>
  <si>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</si>
  <si>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</si>
  <si>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</si>
  <si>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</si>
  <si>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</si>
  <si>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</si>
  <si>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</si>
  <si>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</si>
  <si>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</si>
  <si>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</si>
  <si>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</si>
  <si>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</si>
  <si>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</si>
  <si>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</si>
  <si>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</si>
  <si>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</si>
  <si>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</si>
  <si>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</si>
  <si>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</si>
  <si>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</si>
  <si>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</si>
  <si>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</si>
  <si>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</si>
  <si>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</si>
  <si>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</si>
  <si>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</si>
  <si>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</si>
  <si>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</si>
  <si>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</si>
  <si>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</si>
  <si>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</si>
  <si>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</si>
  <si>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</si>
  <si>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</si>
  <si>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</si>
  <si>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</si>
  <si>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</si>
  <si>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</si>
  <si>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</si>
  <si>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</si>
  <si>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</si>
  <si>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</si>
  <si>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653912</t>
  </si>
  <si>
    <t>514302</t>
  </si>
  <si>
    <t>673797</t>
  </si>
  <si>
    <t>613047</t>
  </si>
  <si>
    <t>622806</t>
  </si>
  <si>
    <t>669478</t>
  </si>
  <si>
    <t>666603</t>
  </si>
  <si>
    <t>671221</t>
  </si>
  <si>
    <t>659194</t>
  </si>
  <si>
    <t>627852</t>
  </si>
  <si>
    <t>664801</t>
  </si>
  <si>
    <t>673291</t>
  </si>
  <si>
    <t>671607</t>
  </si>
  <si>
    <t>678617</t>
  </si>
  <si>
    <t>659326</t>
  </si>
  <si>
    <t>661903</t>
  </si>
  <si>
    <t>666702</t>
  </si>
  <si>
    <t>679658</t>
  </si>
  <si>
    <t>686635</t>
  </si>
  <si>
    <t>663259</t>
  </si>
  <si>
    <t>538472</t>
  </si>
  <si>
    <t>688792</t>
  </si>
  <si>
    <t>557734</t>
  </si>
  <si>
    <t>687815</t>
  </si>
  <si>
    <t>634690</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</si>
  <si>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</si>
  <si>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</si>
  <si>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</si>
  <si>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</si>
  <si>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</si>
  <si>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</si>
  <si>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</si>
  <si>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</si>
  <si>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</si>
  <si>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</si>
  <si>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</si>
  <si>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</si>
  <si>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</si>
  <si>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</si>
  <si>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</si>
  <si>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</si>
  <si>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</si>
  <si>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</si>
  <si>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</si>
  <si>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</si>
  <si>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</si>
  <si>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</si>
  <si>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</si>
  <si>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</si>
  <si>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</si>
  <si>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</si>
  <si>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</si>
  <si>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</si>
  <si>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</si>
  <si>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</si>
  <si>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</si>
  <si>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</si>
  <si>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</si>
  <si>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</si>
  <si>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</si>
  <si>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</si>
  <si>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</si>
  <si>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</si>
  <si>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</si>
  <si>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</si>
  <si>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</si>
  <si>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</si>
  <si>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</si>
  <si>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</si>
  <si>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</si>
  <si>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</si>
  <si>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</si>
  <si>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</si>
  <si>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</si>
  <si>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</si>
  <si>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</si>
  <si>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</si>
  <si>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</si>
  <si>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</si>
  <si>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</si>
  <si>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</si>
  <si>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</si>
  <si>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</si>
  <si>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</si>
  <si>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</si>
  <si>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</si>
  <si>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</si>
  <si>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</si>
  <si>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</si>
  <si>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</si>
  <si>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</si>
  <si>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</si>
  <si>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</si>
  <si>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</si>
  <si>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</si>
  <si>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693965</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</si>
  <si>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</si>
  <si>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</si>
  <si>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</si>
  <si>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</si>
  <si>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</si>
  <si>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</si>
  <si>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</si>
  <si>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</si>
  <si>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</si>
  <si>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</si>
  <si>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</si>
  <si>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</si>
  <si>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</si>
  <si>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</si>
  <si>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</si>
  <si>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</si>
  <si>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</si>
  <si>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</si>
  <si>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</si>
  <si>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</si>
  <si>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</si>
  <si>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</si>
  <si>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</si>
  <si>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</si>
  <si>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</si>
  <si>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</si>
  <si>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</si>
  <si>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</si>
  <si>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</si>
  <si>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</si>
  <si>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</si>
  <si>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</si>
  <si>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</si>
  <si>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</si>
  <si>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</si>
  <si>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</si>
  <si>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</si>
  <si>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</si>
  <si>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</si>
  <si>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</si>
  <si>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</si>
  <si>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</si>
  <si>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</si>
  <si>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</si>
  <si>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</si>
  <si>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</si>
  <si>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</si>
  <si>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</si>
  <si>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</si>
  <si>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</si>
  <si>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</si>
  <si>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</si>
  <si>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</si>
  <si>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</si>
  <si>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</si>
  <si>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</si>
  <si>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</si>
  <si>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</si>
  <si>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</si>
  <si>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</si>
  <si>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</si>
  <si>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</si>
  <si>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</si>
  <si>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</si>
  <si>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</si>
  <si>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</si>
  <si>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</si>
  <si>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</si>
  <si>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</si>
  <si>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</si>
  <si>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</si>
  <si>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</si>
  <si>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</si>
  <si>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</si>
  <si>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</si>
  <si>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</si>
  <si>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</si>
  <si>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   From the main Excel menu, go to Excel Options</t>
  </si>
  <si>
    <t>-   In the 'Trust Center' tab click 'Trust Center Settings'</t>
  </si>
  <si>
    <t>-   In 'Macro Settings' choose 'Enable all macros' and</t>
  </si>
  <si>
    <t>700105</t>
  </si>
  <si>
    <t>700181</t>
  </si>
  <si>
    <t>RTA CREATION FOR NEW WA FOR ROCKNI VAN CLEIF</t>
  </si>
  <si>
    <t>700190</t>
  </si>
  <si>
    <t>Rockni Van Clief</t>
  </si>
  <si>
    <t xml:space="preserve">     in 'External Connections' choose 'Enable all Data Connections'</t>
  </si>
  <si>
    <t>**TIP: To permanently set these permissions:</t>
  </si>
  <si>
    <t>Cole Grandjean</t>
  </si>
  <si>
    <t xml:space="preserve">  *Remember that Macros and External Content must be enabled in order to use this sheet*</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</si>
  <si>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</si>
  <si>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</si>
  <si>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</si>
  <si>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</si>
  <si>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</si>
  <si>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</si>
  <si>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</si>
  <si>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</si>
  <si>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</si>
  <si>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</si>
  <si>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35:</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</si>
  <si>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</si>
  <si>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</si>
  <si>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</si>
  <si>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</si>
  <si>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</si>
  <si>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</si>
  <si>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</si>
  <si>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</si>
  <si>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</si>
  <si>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</si>
  <si>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</si>
  <si>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</si>
  <si>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</si>
  <si>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</si>
  <si>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</si>
  <si>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</si>
  <si>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</si>
  <si>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</si>
  <si>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</si>
  <si>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</si>
  <si>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</si>
  <si>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</si>
  <si>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</si>
  <si>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</si>
  <si>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</si>
  <si>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</si>
  <si>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</si>
  <si>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</si>
  <si>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</si>
  <si>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</si>
  <si>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</si>
  <si>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</si>
  <si>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</si>
  <si>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</si>
  <si>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</si>
  <si>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</si>
  <si>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</si>
  <si>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</si>
  <si>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</si>
  <si>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</si>
  <si>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</si>
  <si>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</si>
  <si>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</si>
  <si>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</si>
  <si>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</si>
  <si>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</si>
  <si>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</si>
  <si>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</si>
  <si>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</si>
  <si>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</si>
  <si>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</si>
  <si>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</si>
  <si>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</si>
  <si>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</si>
  <si>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</si>
  <si>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</si>
  <si>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</si>
  <si>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</si>
  <si>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</si>
  <si>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</si>
  <si>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</si>
  <si>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</si>
  <si>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</si>
  <si>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</si>
  <si>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</si>
  <si>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</si>
  <si>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</si>
  <si>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</si>
  <si>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</si>
  <si>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</si>
  <si>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</si>
  <si>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</si>
  <si>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</si>
  <si>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</si>
  <si>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</si>
  <si>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</si>
  <si>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</si>
  <si>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</si>
  <si>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</si>
  <si>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</si>
  <si>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</si>
  <si>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</si>
  <si>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</si>
  <si>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</si>
  <si>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</si>
  <si>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</si>
  <si>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</si>
  <si>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</si>
  <si>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</si>
  <si>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</si>
  <si>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</si>
  <si>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</si>
  <si>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</si>
  <si>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</si>
  <si>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</si>
  <si>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</si>
  <si>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</si>
  <si>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</si>
  <si>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BP Algeria</t>
  </si>
  <si>
    <t>705154</t>
  </si>
  <si>
    <t>707805</t>
  </si>
  <si>
    <t>Turkish Petroleum</t>
  </si>
  <si>
    <t>ECR TO CREATE AS BUILT DRAWINGS FOR 71CO647 FOUR WELL MODULAR SAFETY SYSTEM FOR TURKISH PETROLEUM</t>
  </si>
  <si>
    <t>705274</t>
  </si>
  <si>
    <t>Shell (305389)</t>
  </si>
  <si>
    <t>707803</t>
  </si>
  <si>
    <t>ECR TO CREATE AS BUILT DRAWINGS FOR 71CO646 FOR TURKISH PETROLEUM</t>
  </si>
  <si>
    <t>A Routine Is currently running (1=true)</t>
  </si>
  <si>
    <t>Diable Full Screen Option</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</si>
  <si>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</si>
  <si>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</si>
  <si>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</si>
  <si>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</si>
  <si>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</si>
  <si>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</si>
  <si>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</si>
  <si>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</si>
  <si>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</si>
  <si>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</si>
  <si>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</si>
  <si>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</si>
  <si>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</si>
  <si>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</si>
  <si>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</si>
  <si>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</si>
  <si>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</si>
  <si>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</si>
  <si>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</si>
  <si>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</si>
  <si>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</si>
  <si>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</si>
  <si>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</si>
  <si>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</si>
  <si>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</si>
  <si>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</si>
  <si>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</si>
  <si>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</si>
  <si>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</si>
  <si>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</si>
  <si>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</si>
  <si>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</si>
  <si>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</si>
  <si>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</si>
  <si>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</si>
  <si>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</si>
  <si>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</si>
  <si>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</si>
  <si>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</si>
  <si>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</si>
  <si>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710908</t>
  </si>
  <si>
    <t>Part 1. Requesting ES-A-505 Rev. C has a dissasembly section added to the assembly procedures for proper documentation of rework. 
Part 2. The flow of the ES-A-505 Rev. C does not reflect current shop practice. Step 6 and 7 on page 4 and pic on page 5 are now assembled after step 11 due to an assembly sleeve created by engineering.The flow of the build should look like step 1,2,3,4,5,8,9,10,11,7,12,6 and 13 for ES-A-505 Rev.C.Any questions please contact Christopher Vancamp</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</si>
  <si>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</si>
  <si>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</si>
  <si>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</si>
  <si>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</si>
  <si>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</si>
  <si>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710515</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</si>
  <si>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</si>
  <si>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</si>
  <si>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</si>
  <si>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</si>
  <si>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</si>
  <si>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</si>
  <si>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</si>
  <si>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HS On-Off interval Control Valve, this is to be the new low cost design. To suit SmartPlex Clamp.
09/01/2011 - DESIGN HOLD BY: SCOTT HOADLEY.</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</si>
  <si>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</si>
  <si>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</si>
  <si>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</si>
  <si>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</si>
  <si>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</si>
  <si>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</si>
  <si>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</si>
  <si>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</si>
  <si>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</si>
  <si>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</si>
  <si>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</si>
  <si>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</si>
  <si>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</si>
  <si>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</si>
  <si>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</si>
  <si>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</si>
  <si>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</si>
  <si>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</si>
  <si>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</si>
  <si>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</si>
  <si>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</si>
  <si>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</si>
  <si>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</si>
  <si>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</si>
  <si>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</si>
  <si>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</si>
  <si>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</si>
  <si>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</si>
  <si>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</si>
  <si>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</si>
  <si>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</si>
  <si>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</si>
  <si>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</si>
  <si>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</si>
  <si>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</si>
  <si>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</si>
  <si>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</si>
  <si>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</si>
  <si>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</si>
  <si>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</si>
  <si>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</si>
  <si>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</si>
  <si>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</si>
  <si>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</si>
  <si>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</si>
  <si>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</si>
  <si>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</si>
  <si>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</si>
  <si>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</si>
  <si>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</si>
  <si>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</si>
  <si>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</si>
  <si>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</si>
  <si>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</si>
  <si>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</si>
  <si>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</si>
  <si>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</si>
  <si>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</si>
  <si>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</si>
  <si>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</si>
  <si>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</si>
  <si>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</si>
  <si>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</si>
  <si>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</si>
  <si>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</si>
  <si>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</si>
  <si>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717227</t>
  </si>
  <si>
    <t>BP Luanda Angola</t>
  </si>
  <si>
    <t>717215</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</si>
  <si>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</si>
  <si>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</si>
  <si>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</si>
  <si>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</si>
  <si>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</si>
  <si>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717347</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</si>
  <si>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</si>
  <si>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</si>
  <si>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</si>
  <si>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</si>
  <si>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</si>
  <si>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</si>
  <si>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</si>
  <si>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</si>
  <si>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717930</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</si>
  <si>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</si>
  <si>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</si>
  <si>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</si>
  <si>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</si>
  <si>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</si>
  <si>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</si>
  <si>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</si>
  <si>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</si>
  <si>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</si>
  <si>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</si>
  <si>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</si>
  <si>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718494</t>
  </si>
  <si>
    <t>718367</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</si>
  <si>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</si>
  <si>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</si>
  <si>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</si>
  <si>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</si>
  <si>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</si>
  <si>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</si>
  <si>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</si>
  <si>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</si>
  <si>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</si>
  <si>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</si>
  <si>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Create EDS for 102010086.  Put it in CWI when complete.
---
7/18/2011 - CHECKING COMPLETE, FORWARD TO RAMEEN FOR APPROVAL</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</si>
  <si>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</si>
  <si>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</si>
  <si>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</si>
  <si>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</si>
  <si>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</si>
  <si>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</si>
  <si>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</si>
  <si>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</si>
  <si>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</si>
  <si>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719081</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</si>
  <si>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</si>
  <si>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</si>
  <si>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</si>
  <si>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</si>
  <si>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</si>
  <si>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</si>
  <si>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t>
  </si>
  <si>
    <t>2011-10-04 WM - THE PROJECT IS ON HOLD UNTIL COMPLETION OF GAUGE PROTECTION R00000676065. THE CIRCUIT IS BEING FINALIZED FOR DEVELOPMENT.</t>
  </si>
  <si>
    <t>2011-10-04 WM - THE ZENER DIODE DIE CHANGE HAS BEEN COMBINED WITH TESTING OF ZTX453.  THE TEST IS ONGOING AND THE EXPERIMENTAL PROCEDURE WILL BE RELEASED AFTER ALL SAMPLES FAIL.  THE RELIABILITY INFORMATION AT CONCLUSION OF TEST WILL BE ANALYZED FOR ANY POSSIBLE USE AS PART OF PRODUCT QUALIFICATION REPORT.  THE HOT PLATE TEST HAS BEEN COMPLETED AND PME-EP-00092.  THE LONG TERM OVEN TEST WILL BE DOCUMENTED IN PME-EP-00093.  THE DUE DATE HAS BEEN REVISED TO JAN 2012 TO ENSURE THAT ALL SAMPLES FAIL.  THE PROJECT PLAN WILL BE UPDATED AND LOADED IN CWI.</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</si>
  <si>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</si>
  <si>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</si>
  <si>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</si>
  <si>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</si>
  <si>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</si>
  <si>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</si>
  <si>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736520</t>
  </si>
  <si>
    <t>UPDATE PARTS:
PN 102081472  
PN 102081473  
TO UNOBSOLETE PARTS SO THEY CAN BE RECEIVED IN TO STOCK THEN REOBSOLETE THE PARTS</t>
  </si>
  <si>
    <t>730954</t>
  </si>
  <si>
    <t>FMC Houston</t>
  </si>
  <si>
    <t>736074</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</si>
  <si>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</si>
  <si>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</si>
  <si>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</si>
  <si>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</si>
  <si>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</si>
  <si>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</si>
  <si>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</si>
  <si>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</si>
  <si>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</si>
  <si>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</si>
  <si>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</si>
  <si>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</si>
  <si>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</si>
  <si>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</si>
  <si>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</si>
  <si>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</si>
  <si>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</si>
  <si>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</si>
  <si>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</si>
  <si>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Shell Popeye</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</si>
  <si>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</si>
  <si>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</si>
  <si>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</si>
  <si>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</si>
  <si>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724461</t>
  </si>
  <si>
    <t>SAP 102053559 Commodity 236H000735U5O00
Please replace the bottom connecction for the above reference valve with a 3.5in 9.3PPF Tenaris hydril CS Pin / material ES-MA-18-9 (4140). Contact PLM for additional info</t>
  </si>
  <si>
    <t>728690</t>
  </si>
  <si>
    <t>OBSOLETE ES-SP-23 STANDARD OBJECT AND CREATE ES-SP-23 SPECIFICATION OBJECT.
------
11/2/2011 ST - SENT TO R. BAKHTIARY FOR APPROVAL</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</si>
  <si>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</si>
  <si>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</si>
  <si>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</si>
  <si>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</si>
  <si>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t>
  </si>
  <si>
    <t>734944</t>
  </si>
  <si>
    <t>Statoil Fast Track</t>
  </si>
  <si>
    <t>Ref. 7in TLC assy (235AC2107000-SB2)
Except:
- number of slots: 2 slots 90deg apart. Each w/4x.25 lines.
- threads to be 7in 29LB Vam Top Box x Pin
- material to be 25Cr</t>
  </si>
  <si>
    <t>13: SPLT=182 @@</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</si>
  <si>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</si>
  <si>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</si>
  <si>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</si>
  <si>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</si>
  <si>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</si>
  <si>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</si>
  <si>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</si>
  <si>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</si>
  <si>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</si>
  <si>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</si>
  <si>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</si>
  <si>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</si>
  <si>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</si>
  <si>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</si>
  <si>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</si>
  <si>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</si>
  <si>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</si>
  <si>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</si>
  <si>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</si>
  <si>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</si>
  <si>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</si>
  <si>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</si>
  <si>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724455</t>
  </si>
  <si>
    <t>SAP 102056909 Commodity 215HA0350051
Please change the bottom connection of the above reference valve to a 3.5 in 9.2 PPF NEW VAM Pin / Material ES-MA-46-2 (NI ALY 718)</t>
  </si>
  <si>
    <t>731186</t>
  </si>
  <si>
    <t>Request for creating a SAP number for elctronic part in SHS.Item is a ADAM ethernet switch, 6520i.</t>
  </si>
  <si>
    <t>730946</t>
  </si>
  <si>
    <t>Cameron GmbH</t>
  </si>
  <si>
    <t>Need FAR for RMA 821 MN 597467 wo 103757386</t>
  </si>
  <si>
    <t>732963</t>
  </si>
  <si>
    <t>ECR - PACKER ENVELOPE GENERATIONS FOR EXISTING HF1 PRODUCTS.  TASK WILL INCLUDE ALL REQUIRED DOCUMENTS PLUS THE PUBLISHED ENVELOPE IN A PDF FORMAT.  PART II:
722HF1702611
722HF1703204
722HF1703232
722HF1703233
722HF1764500
IGNORE ALL NEW VAM THREADS</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</si>
  <si>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</si>
  <si>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</si>
  <si>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</si>
  <si>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721795</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</si>
  <si>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</si>
  <si>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736188</t>
  </si>
  <si>
    <t>UPDATE DRAWING 315588-00-01 TO LATEST STANDARDS. REMOVE KOLSTERISING NOTE AS IT IS NOT IMPLEMENTED IN THE CURRENT DESIGN.</t>
  </si>
  <si>
    <t>CBM project: Drawing update/migration from Domino to CWI per attached legend.
TSG NOTES 10-27-11 TO TSG FOR REVIEW AND RELEASE SO PARTS CAN BE BACKFILLED J. CALLAWAY</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</si>
  <si>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</si>
  <si>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</si>
  <si>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</si>
  <si>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</si>
  <si>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</si>
  <si>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</si>
  <si>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</si>
  <si>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</si>
  <si>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t>
  </si>
  <si>
    <t>732991</t>
  </si>
  <si>
    <t>SHELL BRAZIL</t>
  </si>
  <si>
    <t>Change Top Thread to 4 1/2-12.6lb/ft VAMTOP box. Change Bottom Thread to 4 1/2-12.6 lb/ft VAMTOP pin. Add SE1 quality plan. 
Note: Client Request pre-released SAP numbers to release the PO. 
Project: BC-10 (Second fase)_ BR11176.
111511 PRE-RELEASE SE1 TOP LEVEL QUALITY PART - REQUESTED BY LORENZZO BREDA MINASSA (D. MOE) FOR SHELL BRAZIL BC-10 PURCHASE ORDER - PRE-RELEASED SAP MN MN 102104964, REFERENCE NUMBER 9290-6XXX-SE1 (GMC)</t>
  </si>
  <si>
    <t>SPLT=112  Assign to James Class B  11/28/11 DM</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</si>
  <si>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</si>
  <si>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</si>
  <si>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</si>
  <si>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</si>
  <si>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</si>
  <si>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</si>
  <si>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</si>
  <si>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</si>
  <si>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</si>
  <si>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</si>
  <si>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</si>
  <si>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731318</t>
  </si>
  <si>
    <t>MN 590680
Please add the FMJ assy and test procedure ES-A-433 to the Reference Objects in the BOM.
Please add pdf file of W.300899-00-00.DWG to the Definition Objects.
Also noticed the Basic Material field says Carpenter.  Probably should say 718 Nickel Alloy, as the jam nuts are the major material inthe assembly.</t>
  </si>
  <si>
    <t>734083</t>
  </si>
  <si>
    <t>14: SPLT=182 @@</t>
  </si>
  <si>
    <t>733921</t>
  </si>
  <si>
    <t>NSC Chornomornaftogaz</t>
  </si>
  <si>
    <t>Review attached Control Panel designs.  create new halliburton designed panels with same or equal inputs and outputs.  Bid Due date has not been advised at this time.</t>
  </si>
  <si>
    <t>Waiting for requirements document from field.  Dana to follow up.  11/28/11 DM</t>
  </si>
  <si>
    <t>736667</t>
  </si>
  <si>
    <t>Ref.part 216HAP1035U3O00SB2 (3-1/2 HS Valve with Accupulse and PSA),
Except:
- Customised flow trim (see attachment)
- 2 off External slots for FMJ splices
- Bypass for 1 off 1/4in 0,035 WT line
- Change material to 13Cr</t>
  </si>
  <si>
    <t>30: SPLT=168 @@</t>
  </si>
  <si>
    <t>728962</t>
  </si>
  <si>
    <t>ADTI-Stella</t>
  </si>
  <si>
    <t>4.5 12.6ppf, 13Cr 80K, JFE Bear Gauge Mandrel. 
To accomodate ROC-175, 1.125 OD, 0-16KPSIA GAUGE, Dual Redundant Gauge P/N 9381-6076 SAP 101868151
Max OD 7in 32lb
Casg Size 4 1/2 15.1
Metallurgy  13Cr 80Ksi
Connection  JFE Bear x JFE Bear
Min ID  5.969
2011-11-28 WM: Assign to James Class B 11/28/11 DM</t>
  </si>
  <si>
    <t>SPLT=112 Emailed field for AIS date.  11/2/11 DM  Need drawing for customer review and mn for PO. Completion date is 6/2012.  11/23/2011 DM  Assign to James Class B 11/28/11 DM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</si>
  <si>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</si>
  <si>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</si>
  <si>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</si>
  <si>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</si>
  <si>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734505</t>
  </si>
  <si>
    <t>Request for creating a 9-5/8 x 5.5 Splice sub assembly (13 Cr) with 3x Hydraulic splices, 1x Control line protector, 1x 11mm X 11mm Flatpack and 1x Third party Splice. Please refer to attached files.
This request is similar to RTA584665 (MN 101912520 but to fit inside a different size casing.</t>
  </si>
  <si>
    <t>15: SPLT=140 @@</t>
  </si>
  <si>
    <t>ECR - HF1 Packer procedure ES-A-491, pg 15, header for internal body test requires additional information. To have clear instructions please add if applicable. We do not perform a full body test during normal FAT. This causes confusion with 3rd party inspectors in production. If applicable would help clarify this section. See attachment pg 15, hi-lite yellow.
-----------------------------------------------------------IN ENGINEERING DESIGN-A. BERRET_10/24/2011--------------END</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</si>
  <si>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</si>
  <si>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</si>
  <si>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</si>
  <si>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</si>
  <si>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ECR - PACKER ENVELOPE GENERATIONS FOR EXISTING HF1 PRODUCTS.  TASK WILL INCLUDE ALL REQUIRED DOCUMENTS PLUS THE PUBLISHED ENVELOPE IN A PDF FORMAT.  PART II:
722HF1702305 - PENDING RTA 714312
722HF1702607 - PENDING RTA 714312
722HF1702608 - PENDING RTA 714312
IGNORE ALL NEW VAM THREADS</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</si>
  <si>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</si>
  <si>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</si>
  <si>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</si>
  <si>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</si>
  <si>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</si>
  <si>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</si>
  <si>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</si>
  <si>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</si>
  <si>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</si>
  <si>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</si>
  <si>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</si>
  <si>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</si>
  <si>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</si>
  <si>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</si>
  <si>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734828</t>
  </si>
  <si>
    <t>Statoil Snorre B</t>
  </si>
  <si>
    <t>4: SPLT=182 @@</t>
  </si>
  <si>
    <t>ECR D00503211 Drawing should have a (2x) on dimension 7.050.
See attached email.
-----------------------------------------------------------IN ENGINEERING DESIGN-A.BERRET_10/17/2011---------------END
RTA WILL BE CANCELLED, BECAUSE REQUEST WAS COMPLETED ON RTA 718435 (OEWUMI 21OCT11)</t>
  </si>
  <si>
    <t>734840</t>
  </si>
  <si>
    <t>5: SPLT=182 @@</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</si>
  <si>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</si>
  <si>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</si>
  <si>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</si>
  <si>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</si>
  <si>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</si>
  <si>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729367</t>
  </si>
  <si>
    <t>Same As: 9290-6693; GGE MDRL ASSY,3 1/2-9.30,DBL ROC,0.75 OD
Except: Referring to RTA 729043, I need a 2.875 in sub ported to tubing for the snorkel tube. This sub will be placed above the 2.875 in shrouded ICV
Tech Start Date is in the past
Project Name: Angsi E11 &amp; E12
Special Quality Plan Required?: No
Material: (7) 13 CR 80 MY 22HRC (ES-MA-58-7)
Mating Infomation:
Run Below item with RTA Number 729043
2011-11-28 WM:  Assign to Sam Class B</t>
  </si>
  <si>
    <t>728784</t>
  </si>
  <si>
    <t>M/N-101832304, 101936041, 590974, 590976, 590986, 590991, Drawing W.302696-00-00 Rev.S
The drawing has been updated to current standards but not all the BOMs associated with it have been updated for the coating find numbers 0805 and 0806. BOMs for 101983634 and 590984 are correct and do not need update.</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</si>
  <si>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</si>
  <si>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</si>
  <si>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</si>
  <si>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</si>
  <si>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</si>
  <si>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</si>
  <si>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</si>
  <si>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720878</t>
  </si>
  <si>
    <t>UPDATE  PART DESCRIPTION TO READ 25CR INSTEAD OF 13CR
REMOVE MATERIAL DESCRIPTION FROM THE PRINT</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</si>
  <si>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</si>
  <si>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</si>
  <si>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</si>
  <si>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</si>
  <si>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</si>
  <si>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</si>
  <si>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</si>
  <si>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</si>
  <si>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</si>
  <si>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</si>
  <si>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</si>
  <si>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</si>
  <si>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</si>
  <si>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</si>
  <si>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</si>
  <si>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</si>
  <si>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</si>
  <si>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</si>
  <si>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</si>
  <si>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</si>
  <si>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</si>
  <si>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</si>
  <si>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</si>
  <si>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</si>
  <si>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OBSOLETE 589280 (W.028PQS252006) AND REPLACE WITH 588885 (030PQS252006)
-----------------------------------------------------------IN ENGINEERING DESIGN-A.BERRET_10/17/2010---------------END
-----------------------------------------------------------
IN DRAFTING. FOLDER ASSIGENED TO CHETAN L. FOR BOM DRAWING UPDATE-A.BERRET_10/25/2011------------------------------END</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</si>
  <si>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</si>
  <si>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</si>
  <si>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</si>
  <si>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</si>
  <si>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</si>
  <si>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</si>
  <si>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</si>
  <si>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736087</t>
  </si>
  <si>
    <t>736635</t>
  </si>
  <si>
    <t>Ref.part 105XO0453505-ST0 (3 1/2 - 4 1/2 Crossover),
Except for:
- 4 1/2in threads to be 12,6LB/FT Vam Top Pin
- Quality Plan to be SB2</t>
  </si>
  <si>
    <t>34: SPLT=182 @@</t>
  </si>
  <si>
    <t>729043</t>
  </si>
  <si>
    <t>Same As: 9290-6693; GGE MDRL ASSY,3 1/2-9.30,DBL ROC,0.75 OD
Except: 2 dual sensor gauges. 1 ported to annulus and tubing. 1 having snorkel tube all the way down to lower ICV ported to tubing and into shroud. Threads, 3.5 in K Fox 9.2 ppf. bypass for control lines to Upper and Lower ICVs
Tech Start Date is in the past
Project Name: Angsi E11 &amp; E12
Special Quality Plan Required?: No
Material: (7) 13 CR 80 MY 22HRC (ES-MA-58-7)
Mating Infomation:
Run Above item with RTA Number R00000729041
Run Above item with RTA Number R00000729042
2011-11-28 WM: Assign to Sam Class B</t>
  </si>
  <si>
    <t>735049</t>
  </si>
  <si>
    <t>Add pressure rating to Purchase Specification for MN 102102659</t>
  </si>
  <si>
    <t>724865</t>
  </si>
  <si>
    <t>736493</t>
  </si>
  <si>
    <t>Regarding SAP MN 590680 (ref no. W.300899-00) and other relevant sizes / material variants, Quality request to add the following specifications:
ES-I-125 for additional hardness testing and ES-I-30 for Dye Penetrant
The specifications should be added to the following components:
- Primary Jam Nut: W.300955-02
- Secondary Jam Nut: W.31017-JL
- Tertiary Jam Nut: 304457-JL
- Front Ferrule: W.030588-00
- Rear Ferrule: W.030587-00
- Ferrule Set: W.300449-00
Note: A-150 is not specified in ES-I-125, can it be added to ensure an additional hardness is performed on the raw material for the ferrules consistently.</t>
  </si>
  <si>
    <t>736379</t>
  </si>
  <si>
    <t>UPLOAD CWI the procedure 7403-5140 referenced in the CPI ATTACHED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</si>
  <si>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</si>
  <si>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</si>
  <si>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</si>
  <si>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</si>
  <si>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</si>
  <si>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</si>
  <si>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</si>
  <si>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</si>
  <si>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</si>
  <si>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</si>
  <si>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</si>
  <si>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</si>
  <si>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</si>
  <si>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</si>
  <si>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732940</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</si>
  <si>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</si>
  <si>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</si>
  <si>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</si>
  <si>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</si>
  <si>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</si>
  <si>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</si>
  <si>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</si>
  <si>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</si>
  <si>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</si>
  <si>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</si>
  <si>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</si>
  <si>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</si>
  <si>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</si>
  <si>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</si>
  <si>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</si>
  <si>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</si>
  <si>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</si>
  <si>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726258</t>
  </si>
  <si>
    <t>Contacted submitter and confirmed that work can begin once T Nilsen returns from Norway.  Aswin will contact Terje and Nick to determine what course to take.  10/24/11 DM  J Flygare to verify temperature threshhold that flags a value invalid.  11/14/11 DM</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</si>
  <si>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</si>
  <si>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</si>
  <si>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</si>
  <si>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</si>
  <si>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</si>
  <si>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</si>
  <si>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</si>
  <si>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</si>
  <si>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</si>
  <si>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</si>
  <si>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</si>
  <si>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</si>
  <si>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</si>
  <si>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</si>
  <si>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</si>
  <si>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</si>
  <si>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</si>
  <si>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</si>
  <si>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</si>
  <si>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</si>
  <si>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</si>
  <si>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</si>
  <si>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</si>
  <si>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</si>
  <si>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735481</t>
  </si>
  <si>
    <t>Request for creating 3.50 HS Digipulse integrations with HSB style valves. Please see attached document for requirements.</t>
  </si>
  <si>
    <t>728620</t>
  </si>
  <si>
    <t>MFGR SPEC - Create documentation for Eagle Downhole Solutions Extention with bushing for traveling block, MFGR PN 110804-00. This extention is used for the vise in MFG to hold smaller parts.</t>
  </si>
  <si>
    <t>735006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</si>
  <si>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</si>
  <si>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</si>
  <si>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</si>
  <si>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</si>
  <si>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</si>
  <si>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</si>
  <si>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</si>
  <si>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</si>
  <si>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</si>
  <si>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</si>
  <si>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</si>
  <si>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</si>
  <si>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736606</t>
  </si>
  <si>
    <t>Flatpack: 
Four Core Hydraulic (Easy Strip) Flatpack,TT240
Supplier: Tube-Tec</t>
  </si>
  <si>
    <t>736608</t>
  </si>
  <si>
    <t>Flatpack: 
Trippel Core Hydraulic (Easy Strip) Flatpack,TT240
Supplier: Tube-Tec</t>
  </si>
  <si>
    <t>736672</t>
  </si>
  <si>
    <t>Ref.part 722HF1965341-SB2 (9-5/8 HF1 Prod.Packer),
Except:
- All parts which are made of S13Cr to be made of 13Cr</t>
  </si>
  <si>
    <t>29: SPLT=210 @@</t>
  </si>
  <si>
    <t>736673</t>
  </si>
  <si>
    <t>Ref.part 235SFC965511-SB2 (9655 Splice Clamp),
Except:
- All parts which are made of 25Cr to be made of 13Cr</t>
  </si>
  <si>
    <t>31: SPLT=182 @@</t>
  </si>
  <si>
    <t>736679</t>
  </si>
  <si>
    <t>Ref.part 022083-18-SB2 (7055 Shrouded Crossover),
Except:
- All parts which are made of 25Cr to be made of 13Cr</t>
  </si>
  <si>
    <t>32: SPLT=182 @@</t>
  </si>
  <si>
    <t>736632</t>
  </si>
  <si>
    <t>Ref.part D00410010-GD-SB2 (3 1/2in Bullnose),
Except for:
- Size to be 4 1/2in
- Threads to be 4 1/2in 12,6LB/FT Vam Top Box</t>
  </si>
  <si>
    <t>33: SPLT=182 @@</t>
  </si>
  <si>
    <t>736641</t>
  </si>
  <si>
    <t>Ref.part 235SFC703527-SB2 (7035 Splice Clamp),
Except:
- Change material to 13Cr</t>
  </si>
  <si>
    <t>35: SPLT=182 @@</t>
  </si>
  <si>
    <t>736639</t>
  </si>
  <si>
    <t>Ref.part 9290-6819-SB2 (3 1/2 Gauge Mandrel Assembly),
Including ROC-P gauge and Dual Block (for pos.sensor).
Feed-thru.</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</si>
  <si>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</si>
  <si>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</si>
  <si>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</si>
  <si>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</si>
  <si>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</si>
  <si>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730623</t>
  </si>
  <si>
    <t>ECR - REVISE 9-5/8 53 LB MC1 PACKER AS PER ATTACHED TASK.  REVISE SCREW LOCATED ON ITEM 41 TO 1/4-20-3/8SCREW. 
ATTACH FREE-FLOATING TASK 610299   TO RTA (OE 07NOV11)</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</si>
  <si>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</si>
  <si>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</si>
  <si>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</si>
  <si>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</si>
  <si>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Need 4-1/2in, 15.1ppf, S-13Cr100, ROC-175 Gauge Mandrel with Vam DRS Pin x Pin connection, bypass slot at 1.25W x .82D. Dual ROC-175 Gauges side by side, both redundant ported to tubular. Needs to work with 3rd part TEC-598418.
Customer:  Shell
Project:   Habanero
Quality:   SE1</t>
  </si>
  <si>
    <t>SPLT=126</t>
  </si>
  <si>
    <t>732970</t>
  </si>
  <si>
    <t>Next Generation ICV development
See requirements document.</t>
  </si>
  <si>
    <t>736693</t>
  </si>
  <si>
    <t>Ref.part 235SF0967011-SB2  (9670 Splice Clamp Assy),
Except:
- All parts which are made of 25Cr to be made of 13Cr</t>
  </si>
  <si>
    <t>736611</t>
  </si>
  <si>
    <t>Flatpack: 
Dual Core Hydraulic (Easy Strip) Flatpack,TT240
Supplier: Tube-Tec</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</si>
  <si>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</si>
  <si>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</si>
  <si>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</si>
  <si>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</si>
  <si>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</si>
  <si>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</si>
  <si>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Emailed submitter for AIS date and requirements document.  11/28/11 DM</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</si>
  <si>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</si>
  <si>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</si>
  <si>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</si>
  <si>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</si>
  <si>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</si>
  <si>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</si>
  <si>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t>
  </si>
  <si>
    <t>730819</t>
  </si>
  <si>
    <t>P1411</t>
  </si>
  <si>
    <t>736534</t>
  </si>
  <si>
    <t>Adco</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</si>
  <si>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</si>
  <si>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</si>
  <si>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</si>
  <si>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</si>
  <si>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730541</t>
  </si>
  <si>
    <t>M/N-101984891 Drawing 309484-08-01
Please add critical component specification ES-MP-255 to the BOM.</t>
  </si>
  <si>
    <t>732986</t>
  </si>
  <si>
    <t>Change material to 1% CHROME 80Ksi. Change Top Thread to 5 1/2-20.0lb/ft VAMTOP box. Change Bottom Thread to 5 1/2-20.0 lb/ft VAMTOP pin. Remove the by pass slots. Add SE1 quality plan. 
Note: Client Request pre-released SAP numbers to release the PO.
Project: BC-10 (Second fase)_ BR11176
111511PRE-RELEASE SE1 TOP LEVEL QUALITY PART; REQUESTED BY LORENZZO BREDA MINASSA (D.MOE)FOR SHELL BRAZIL BC-10 PROJECT PURCHASE ORDER - PRE-RELEASED SAP MN 102105010, REFERENCE NUMBER 9290-6XX-SE1 (GMC)</t>
  </si>
  <si>
    <t>732444</t>
  </si>
  <si>
    <t>ECR-316892-00-01. ON SHEET 2 AT SECTION E-E,DETAIL F ,CHANGE THRU HOLES TO .4 MIN. SCREW ONLY GOES IN AROUND .3. TAPS ARE NOT LONG ENOUGH TO GO THRU</t>
  </si>
  <si>
    <t>732445</t>
  </si>
  <si>
    <t>727512</t>
  </si>
  <si>
    <t>ELEC Modbus Specification for Panex: During recent testing with FMC, a review of specification document for Modbus for IWIS cards indicated that the specification document is missing the information on Panex gauge registers.  Either the existing Modbus specification or a new one needs to generated documenting information for Panex gauges.</t>
  </si>
  <si>
    <t>ECR - Consumable kit, 588702, for 9 5/8 HF1 Packer, MN 596631, has a qty of 12 set screws, MN 588285, on the BOM. The correct quantity is 16 to assemble the packer. Change the quantity to 16.
TSG NOTES-------------------------------------------------
081911 TSG RECD FOR PROCESSING (GMC)
-------------------------------------------------------END
-----------------------------------------------------------FOLDER RETURNED TO PAUL JAMES FOR FURTHER DISTRIBUTIUON. A.BERRET_08/15/2011
-----------------------------------------------------------
FOLDER RETURNED TO A. BERRET BY PAUL JAMES FOR MINOR CORRECTIONS AS PER TSG NOTES_A.BERRET_10/31/2011--------END
-----------------------------------------------------------FOLDER RETURNED TO P. HAINES FOR APPROVAL-A. BERRET_11/15/2011</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</si>
  <si>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</si>
  <si>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</si>
  <si>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</si>
  <si>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</si>
  <si>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</si>
  <si>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</si>
  <si>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</si>
  <si>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</si>
  <si>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</si>
  <si>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736486</t>
  </si>
  <si>
    <t>729049</t>
  </si>
  <si>
    <t>20: SPLT=168 @@  No special quality requirements per attached email from submitter.  11/18/11 DM</t>
  </si>
  <si>
    <t>736637</t>
  </si>
  <si>
    <t>Ref.part 9290-6819-SB2 (3 1/2 Gauge Mandrel Assembly),
Including ROC-P gauge and Dual Block (for pos.sensor).
No feed-thru.</t>
  </si>
  <si>
    <t>SPLT=168  Changed order qty per submitter RTA attached.  11/30/11 DM</t>
  </si>
  <si>
    <t>720845</t>
  </si>
  <si>
    <t>PETROBRAS BRAZIL</t>
  </si>
  <si>
    <t>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</si>
  <si>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44: SPLT=168  No customer PO until end of year. May need to VSF long lead items once this is received. Design waiting for development of 4.5 multi-function ftg kit which is udnerway. Email attached.  10/13/11 DM</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</si>
  <si>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</si>
  <si>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</si>
  <si>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</si>
  <si>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</si>
  <si>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19: SPLT=98  @@ Attached updated requirements document reflecting thread changes to Tenaris Blue.  11/17/11 DM</t>
  </si>
  <si>
    <t>736590</t>
  </si>
  <si>
    <t>Flatpack: 
Five Core Hydraulic (Easy Strip) Flatpack,TT240
Supplier: Tube-Tec</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</si>
  <si>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</si>
  <si>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</si>
  <si>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</si>
  <si>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</si>
  <si>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</si>
  <si>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Generate new MN and drawing for a 4.750 ECCENTRIC SEAL STACK ASSEMBLY WITH MULTI-LINE FEEDTHRU (4) similar to MN 101996875 (296SF0472801) with a seal area length: 40in. Material: L80 13%Cr; 80 MY Equivalent, Threads: 2.875 in 9.2ppf Vam Top Box x Vam Top Pin</t>
  </si>
  <si>
    <t>SPLT=98  Emailed submitter for AIS date, customer, and project.  11/23/ 11DM</t>
  </si>
  <si>
    <t>734447</t>
  </si>
  <si>
    <t>2.875in HVC-ICV as per MN 101798455 but with Flow Trim MN 101798447 (311239-07. Threaded 2.875in 9.2ppf Vam Top Box x Vam Top Pin. L80 13% Cr,80 MY Equivalent. The customization requires Accu-Pulse Integration as well.</t>
  </si>
  <si>
    <t>SPLT=168  Emailed submitter for AIS date, requirements document, customer name, and project name.  11/30/11 DM</t>
  </si>
  <si>
    <t>730948</t>
  </si>
  <si>
    <t>732059</t>
  </si>
  <si>
    <t>ECR - PRODUCTION LABEL 102045152.  Revise existing mfg spec to crete new label stock for label PN 102045152. This change modifies label stock from green to bright yellow. Also add revision letter to label artwork. Artwork and mfg spec attached for use with Task Auth. Any questions please contact Paul Lively 11/7/11</t>
  </si>
  <si>
    <t>734514</t>
  </si>
  <si>
    <t>728372</t>
  </si>
  <si>
    <t>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t>
  </si>
  <si>
    <t>731916</t>
  </si>
  <si>
    <t>UPDATE DRAWING 026483-04-01 TO MEET HCT STANDARDS</t>
  </si>
  <si>
    <t>735014</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</si>
  <si>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t>
  </si>
  <si>
    <t>735016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</si>
  <si>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</si>
  <si>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</si>
  <si>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</si>
  <si>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</si>
  <si>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</si>
  <si>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</si>
  <si>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</si>
  <si>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</si>
  <si>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734504</t>
  </si>
  <si>
    <t>Request for creating a 9-5/8 x 4.5 Splice sub assembly (13 Cr) with 3x Hydraulic splices, 1x Control line protector, 1x 11mm X 11mm Flatpack and 1x Third party Splice. Please refer to attached files.
This request is similar to RTA584665 (MN 101912520 but to fit inside a different size casing.</t>
  </si>
  <si>
    <t>16: SPLT=140 @@</t>
  </si>
  <si>
    <t>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t>
  </si>
  <si>
    <t>ES-T-709 requires updating with the current selection of hydraulic fluids available for use with WellDynamics hydraulic equipment; e.g., Brayco SV3, LV3, Mobil Aero, etc.
I would also reword the title to something more inclusive of our hydraulic systems.
-----------------------------------------------------------FOLDER RETURNED TO P. JAMES FOR APPROVAL-A. BERRET_11/08/2011---------------------------------------END</t>
  </si>
  <si>
    <t>732973</t>
  </si>
  <si>
    <t>ECR - PACKER ENVELOPE GENERATIONS FOR EXISTING HF1 PRODUCTS.  TASK WILL INCLUDE ALL REQUIRED DOCUMENTS PLUS THE PUBLISHED ENVELOPE IN A PDF FORMAT.  PART IV:
722HF1702940
722HF1702942
722HF1702943
722HF1702944
722HF1703231
722HF1702941
IGNORE ALL NEW VAM THREADS</t>
  </si>
  <si>
    <t>736083</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</si>
  <si>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t>
  </si>
  <si>
    <t>36: SPLT=140 Chgd to customization Code 1 as Brunei is waiting to order per attached email from field.  11/15/11 DM</t>
  </si>
  <si>
    <t>728440</t>
  </si>
  <si>
    <t>Need 4-1/2in, 15.1ppf, S-13Cr110, ROC-D Gauge Mandrel with Vam DRS Pin x Pin connection, bypass slot at 1.25W x .82D. Dual ROC Gauge side by side, both redundant ported to tubular. Need to work with 3rd party TEC-598418.
Customer:  Shell
Project:   Habanero
Quality:   SE1</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</si>
  <si>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</si>
  <si>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</si>
  <si>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</si>
  <si>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</si>
  <si>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</si>
  <si>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</si>
  <si>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</si>
  <si>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</si>
  <si>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</si>
  <si>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734838</t>
  </si>
  <si>
    <t>6: SPLT=182 @@</t>
  </si>
  <si>
    <t>Document ES-A-442 Rev. C has redundant steps located on page 13 and 14. Steps in question are 6.42 and 6.43. Requesting the removal of step 6.42 from page 14 and 
renumbering steps 6.43, 6.44 and 6.45 to reflect the deletion of step 6.42. The Bold instructions on page 13 will need to be changed such as step A should call out -follow steps 6.39-6.41. Step B should be changed to -please do step 6.39 and omit steps 6.40-6.42. File attached for example. If question send email. Christopher Vancamp
-----------------------------------------------------------IN ENGINEERING DESIGN_A. BERRET_10/24/2011--------------END
-----------------------------------------------------------
FOLDER RETURNED TO P. JAMES FOR APPROVAL-A. BERRET_11/07/2011---------------------------------------END</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</si>
  <si>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</si>
  <si>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</si>
  <si>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</si>
  <si>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</si>
  <si>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</si>
  <si>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</si>
  <si>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</si>
  <si>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</si>
  <si>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</si>
  <si>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</si>
  <si>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</si>
  <si>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</si>
  <si>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</si>
  <si>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</si>
  <si>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</si>
  <si>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ELEC - ROC-200 AND ROC-H HYBRIDS AND GAUGES NEED TO BE QUALIFIED AGAIN DUE TO THE RECENT CHANGE OF ZTX-453 DIE GEOMETRY.  AT LEAST TWO SEALED HYBRIDS PLUS ONE UNSEALED HYBRID SHOULD BE ORDERED FOR HOT PLATE TEST.  GAUGES SHOULD BE ORDERED IF THE HOT PLATE TEST IS SUCCESSFUL. QUALIFICATION REPORTS WILL BE UPDATED AT THE END OF THE TEST.
2011-10-04 ASWIN BALASUBRAMANIAN: THE SCOPE OF THE RTA HAS BEEN EXTENDED TO INCLUDE QUALIFICATION OF CONSTANT CURRENT DIODE AND ZTX453 AT 240C.
ZEWO  103442235
Network:  HTWD601609 M001
10/17/11 WM  FAR to be completed by end of month.
10/31/11 WM Failure analysis has been completed and failure information has been detailed in experimental procedure.  The EP is under review.  The failure modes is common between all gauges that have failed.  10/31 AB
11/07/11 WM - The document is still under review.  The RTA will be closed after the review.  11/07/11 AB</t>
  </si>
  <si>
    <t>Checking</t>
  </si>
  <si>
    <t>43: SPLT=112  Well cancelled.  Design far enough along it will be completed for future needs. 4/18/11 DM</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</si>
  <si>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</si>
  <si>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</si>
  <si>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</si>
  <si>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</si>
  <si>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</si>
  <si>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t>
  </si>
  <si>
    <t>DH Chemical Injection Mandrel-5.5in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</si>
  <si>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t>
  </si>
  <si>
    <t>2: SPLT=182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t>
  </si>
  <si>
    <t>Safety System-Quote Only-Update Drawings per Evaluation Letter
Aramco Ref. no. 6200525690, Technical Evaluation Letter from Aramco dated 7/5/11.  Please update drawings as per this letter.  Ref Quote no. 21610712
10/17/11 WM  Customer still evaluating materials.
2011-11-07, WM:  The second evaluation letter has been completed by Robert and needs to be reviewed by Ted the morning of 11/8.</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</si>
  <si>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t>
  </si>
  <si>
    <t>37: SPLT=126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t>
  </si>
  <si>
    <t>40: SPLT=84 On design hold waiting for designs by Carrollton FC. RTA 707224-718 Landing Nipple, 707227-718 Lock Mandrel, 707231-718 Equalizing Valve/Prong.  8/22/11 DM Pushed out AIS date and TRDD per P James.  9/20/11 DM</t>
  </si>
  <si>
    <t>39: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</si>
  <si>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25CR Metalurgy and rated to 10K</t>
  </si>
  <si>
    <t>38: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</si>
  <si>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4140 Metalurgy and rated to 10K</t>
  </si>
  <si>
    <t>41: SPLT=84 On design hold waiting for designs by Carrollton FC. RTA 707224-718 Landing Nipple, 707227-718 Lock Mandrel, 707231-718 Equalizing Valve/Prong.  8/22/11 DM Pushed out AIS date and TRDD per P James.  9/20/11 DM</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</si>
  <si>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</si>
  <si>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t>
  </si>
  <si>
    <t>ELEC Modify the existing PAU MN 597320 (9555-6041) with additional option to be powered with a cable connected to a car charger.
---
See attached email re: Modify the existing PAU MN 597320 (9555-6041) with additional 4-20mA analog output connections
10/17/11 WM  Dana to ask region to enter demand for the standard PAU, this will be changed to new material number upon release.  Engineering deliverables : 1) Modification procedure of existing PAU- T Nilsen by 10/31 2) New upper level part number completely built out K Daves by 11/30/11 Evaluate possibility of tech hold after demand is entered.
11/07/11 WM The modification procedure along with a new part number will be released by 11/14.  The build of PAU in CWI will be covered in the development project in queue.  11/07/11 AB
11/21/11 WM The final drawing is in progress and will be delivered to TSG today.
2011/11/28 WM Aswin to update assembly with additional card.  Existing part number ready for demand.  RTA will close  once Aswin finishes. Robert S to communicate with field to load demand.</t>
  </si>
  <si>
    <t>DH Gauge Mandrel-4.5in Blank Pin ROC Single Gauge Mandrel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</si>
  <si>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t>
  </si>
  <si>
    <t>42: SPLT=126 @@ Pushed AIS and TRDD per P James.  9/20/11 DM</t>
  </si>
  <si>
    <t>Halliburton bottom hole gauge mandrel part number 101844878
need a second slot for a dual flat pack control line 1/4 x 1/4 dims 18mm x 12mm this line will be run from below the BHG to above the BHG on up to the surface.
Customer:  BP Angola
Quality:   BP1
------
10/06/2011 J. SEALE - DESIGN AND DRAFTING COMPLETE SENDING TO S. TEHVEN FOR CHECKING
------
10/17/11 WM  Dana to follow up on AIS date.
------
10/18/2011 ST - SENT BACK TO J. SEALE FOR CORRECTIONS
------
10/19/2011 J. SEALE - SENDING BACK TO S. TEHVEN FOR FINAL CHECK.
------
10/20/2011 ST - SENT TO R. BAKHTIARY FOR APPROVAL</t>
  </si>
  <si>
    <t>For BP PSVM project for producer wells only.
Halliburton Chemical Injection Sub part number 101847892
Increase control line slot to handle a dual encapsualted control line flat pack. dims are 18mm x 12 mm with 1/4 x 1/4 in CLs
Customer:  BP Angola
Quality:   BP1
-------
10/04/2011 J. SEALE - DESIGN COMPLETE
10/05/2011 J. SEALE - DRAFTING COMPLETE SENDING TO S. TEHVEN FOR CHECKING
------
10/25/2011 ST - SENT TO J. SEALE FOR CHECKING
------
10/26/2011 J. SEALE - FINISHED CORRECTION, SENDING BACK TO S. TEHVEN FOR FINAL CHECKING / APPROVAL
------
10/26/2011 ST - SENT TO R. BAKHTIARY FOR APPROVAL</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</si>
  <si>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</si>
  <si>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</si>
  <si>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</si>
  <si>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</si>
  <si>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</si>
  <si>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Statoil/FMC</t>
  </si>
  <si>
    <t>ELEC Statoil/FMC have asked that we configure the DHI212/9670-6062 I/F card to communicate with Panex gauges.  Terje Nilsen has been in communication with FMC and Chris Naden regarding this issue.  Martin Staelens now has a Panex simulator which can be used for this purpose
10/17/2011 WM  Assign to T Nilsen Class B
11/07/11 WM Terje has provided trip report.  The trip report will be released as part of RTA.  A revised software will be released for reading PANEX temperature counts.  11/07/11 AB
2011/11/28 WM Aswin/Terje to revise and release software by end of week prior to RTA release.  11/28/11 DM</t>
  </si>
  <si>
    <t>724202</t>
  </si>
  <si>
    <t>Suncor</t>
  </si>
  <si>
    <t>721359</t>
  </si>
  <si>
    <t>Need valve ref: 215PA0350004 SH1 / 602725 with the following changes :1) Change base material from 25% Cr to Super 13% Cr 110KSI.2) Change QAP to SB2
Customer:  Statoil
Project:   Oseberg Sor F-8
Quality:   SB2</t>
  </si>
  <si>
    <t>24: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</si>
  <si>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724494</t>
  </si>
  <si>
    <t>SAP 102092782 Commodity 226HA00735U5O01
Please change the bottom connection for the above referenc valve to 3 1/2-9.30 API EUE 8RD Pin / material 4140</t>
  </si>
  <si>
    <t>SPLT=0</t>
  </si>
  <si>
    <t>Etisalat GPRS Radio Modem and Antenna for ADCO Perm Downhole Gauges Project
Customer:  ADCO
Project:     ASAB
Quality:     AD1
10/17/11 WM Assign to James Kelley Class B  Ted/Robert still need to review requirements. Dana to email Craig &amp; Bruce and confirm AIS date and priority for all ADCO rtas.
2011-11-07, WM:  RTA reassigned to Dan.</t>
  </si>
  <si>
    <t>Daniel Clements</t>
  </si>
  <si>
    <t>3: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t>
  </si>
  <si>
    <t>Solar Power system(with poles) for ADCO BB 617
Customer:  ADCO
Project:  ASAB
Quality:  AD1
10/17/11 WM Assign to James Kelley Class B  Ted/Robert still need to review requirements. Dana to email Craig &amp; Bruce and confirm AIS date and priority for all ADCO rtas.
2011-11-07, WM:  RTA reassigned to Dan.</t>
  </si>
  <si>
    <t>4: SPLT=84  Get better requirements from field and confirm AIS date.  10/3/11 DM RSmith/T Soules to review requirements.  10/10/11 DM Emailed field regarding confirmation of AIS date. Email attached.  10/24/11 DM  Changed AIS date per PMT discussion.  11/3/11 DM  SolarCraft leadtime is 8 weeks.  Leadtime fo 12 weeks used to allow for order processing and logistics.  11/7/11 MS  Revised AIS date per attached email from Craig Yeats.  11/17/11 DM  Waiting for conference call w/Bruce Gavin and client to discuss modem requirements.  11/28/11 DM</t>
  </si>
  <si>
    <t>724857</t>
  </si>
  <si>
    <t>Need valve ref: 215PA0550004 SH1 / 602727 with the following changes :
1) Change base material from 25% Cr to Super 13% Cr 110KSI.
2) Change treads from 5,5 20 Vam Top to 5.5 26 Vam Top HC at top and bottom connection
3) Change QAP to SB2
Customer:  Statoil
Project:   Oseberg Sor F-8
Quality:   SB2</t>
  </si>
  <si>
    <t>22: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</si>
  <si>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724853</t>
  </si>
  <si>
    <t>Need packer ref: 722HF1106504-SH1 - 602441 with the following changes:
1) Change base material from 13% Cr to Super 13%Cr 110KSI.
2) Change QAP to SB2-3) Change treads from 5,5 23 Vam Top HC to 5,5 26 Vam Top HC bottom and top connections Box x Pin
Customer:  Statoil
Project:   Oseberg Sor F-8
Quality:   SB2</t>
  </si>
  <si>
    <t>23: SPLT=168 @@ Emailed submitter to verify AIS date...see attached email.  11/3/11 DM  Revised AIS date per attached email from submitter.  11/16/11 DM</t>
  </si>
  <si>
    <t>728343</t>
  </si>
  <si>
    <t>Sai Karthik Rajaraman</t>
  </si>
  <si>
    <t>731920</t>
  </si>
  <si>
    <t>725804</t>
  </si>
  <si>
    <t>Same As: 235SF0965557-SB2; SUB,SPLC,9655,S13CR,12.5K,5 1/2-2 -SB2
Except: 1 Change treads from 5 1/2 23 Vam Top HC to 5 1/2 26 Vam Top HC
Tech Start Date is in the past
Project Name: Oseberg S??r F-8
Special Quality Plan Required?: Yes
Quality Plan Identifier: SB2
Material: (11) Super 13 CR 110 MY 32 HRC (ES-MA-134-_)
Mating Infomation:</t>
  </si>
  <si>
    <t>28: SPLT=140 @@  Emailed submitter to verify AIS date...see attached email.  11/3/11 DM  Revised AIS date per attached email from submitter.  11/16/11 DM</t>
  </si>
  <si>
    <t>725808</t>
  </si>
  <si>
    <t>Same As: 235CR0703502-SB2; ASSY,3.5 CRP CLMP,3.50-9.20 VAMTOP -SB2
Except: 1 Change base material from 25Cr to Super 13Cr 110KSI
Tech Start Date is in the past
Project Name: Oseberg S??r F-8
Special Quality Plan Required?: Yes
Quality Plan Identifier: SB2
Material: (11) Super 13 CR 110 MY 32 HRC (ES-MA-134-_)
Mating Infomation:</t>
  </si>
  <si>
    <t>27: SPLT=140 @@  Emailed submitter to verify AIS date...see attached email.  11/3/11 DM  Revised AIS date per attached email from submitter.  11/16/11 DM</t>
  </si>
  <si>
    <t>727979</t>
  </si>
  <si>
    <t>725200</t>
  </si>
  <si>
    <t>ExxonMobil - ENL</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</si>
  <si>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t>
  </si>
  <si>
    <t>5: SPLT=N/A    Dan/Josh to be ready for vendor quote by 12/9.  11/28/11 DM</t>
  </si>
  <si>
    <t>723526</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</si>
  <si>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</si>
  <si>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</si>
  <si>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</si>
  <si>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</si>
  <si>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</si>
  <si>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726767</t>
  </si>
  <si>
    <t>10: SPLT=140 @@ Revised AIS date per C McKays attached email. Required requirements document from submitter by email.  10/26/11 DM</t>
  </si>
  <si>
    <t>725803</t>
  </si>
  <si>
    <t>25: SPLT=140 @@ Emailed submitter re: requirements document.  11/1/11 DM  Recd and attached requirement document.  11/2/11 DM  Emailed submitter to verify AIS date...see attached email.  11/3/11 DM Revised AIS date per attached email from submitter.  11/16/11 DM  Task 7258056 does not have a description.  Please add description to clarify and enable approval.  P.H. 11/17/2011</t>
  </si>
  <si>
    <t>723556</t>
  </si>
  <si>
    <t>727122</t>
  </si>
  <si>
    <t>Same As: 215HA0550018; VLV, HVC, INTEGRATION, ACCUPULSE, 5-1/2,
Except: 5.5 in HVC ICV 13Cr, Tenaris Blue Box x Pin, water injection well, choking carbide trim 31153735
Project Name: MR6 (M2A)
Special Quality Plan Required?: No
Material: (7) 13 CR 80 MY 22HRC (ES-MA-58-7)
Mating Infomation:</t>
  </si>
  <si>
    <t>17: SPLT=126 @@ Emailed submitter and requested a requirements document.  10/27/11 DM  Recd and attached requirements document.  11/2/11 DM</t>
  </si>
  <si>
    <t>728613</t>
  </si>
  <si>
    <t>Well Dynamics</t>
  </si>
  <si>
    <t>Slick joint tool used to screw on the Upper retaining ring to the slick joint</t>
  </si>
  <si>
    <t>47:</t>
  </si>
  <si>
    <t>727116</t>
  </si>
  <si>
    <t>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</si>
  <si>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18: SPLT=126 @@  Emailed submitter to request requirements document.  10/27/11 DM Recd and attached requirements document.  11/2/11 DM  Attached updated requirements document reflecting thread changes to Tenaris Blue.  11/17/11 DM</t>
  </si>
  <si>
    <t>727108</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</si>
  <si>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t>
  </si>
  <si>
    <t>Dan working on design and will contact SIRA for ATEX certification once design is complete.  11/28/11 DM</t>
  </si>
  <si>
    <t>726755</t>
  </si>
  <si>
    <t>7: SPLT=168 @@ Revised AIS date per C McKays attached email. Requested requirements document from submitter by email.  10/26/11 DM</t>
  </si>
  <si>
    <t>726862</t>
  </si>
  <si>
    <t>Control System - 4 ICV, 2 Well Automated 
System Part Number Needed so as to order ASAP. Also required along with the SHS is the provision of a bracket so that 1 x XPIO QT+ can be installed along with the system.
Multi-valve system.
2011-11-07, WM:  Dan is evaluating requirements.
2011-11-21, Dan created Part and Eng Drawing and attached Draft Autocad dwg and BOM. New Drawing num- D00577686, SAP 102106951.</t>
  </si>
  <si>
    <t>1:  Dan to complete design and Jim to review by 12/2/11 DM</t>
  </si>
  <si>
    <t>726761</t>
  </si>
  <si>
    <t>8: SPLT=168  @@ Revised AIS date per C McKays attached email. Requested requirements document from submitter by email.  10/26/11 DM</t>
  </si>
  <si>
    <t>728615</t>
  </si>
  <si>
    <t>One pair of custom fixtures used to assist in the torque of all check valves for the chemical injection mandrels.</t>
  </si>
  <si>
    <t>728617</t>
  </si>
  <si>
    <t>9-5/8 inch packer straddle for upper body setting port pressure test</t>
  </si>
  <si>
    <t>729213</t>
  </si>
  <si>
    <t>OMV Yemen</t>
  </si>
  <si>
    <t>Safety System 
Same As: 71SSS1; SFTY SYS STD RTA DESIGN REQ
Except: 1/2 inch NPT Nipple x 1/4 Swagelok/tube with a bore size large to feed thru 1/4 inch tube,  Swagelok no. INC 400 1 8BT, 3/8 inch NPT nipple x 1/4 inch sadgelok/tube with a bore size large to feed thru 1/4 inch tube, Swagelok no. INC 400 1 6BT, 1/4 inch NPT Bottom Conn x 10,000 PSIG pressure gauge 2 1/2 inch GF, McDaniel no. K6KP GF, 1/4 inch NPT Female x 1/4 NPT female needle valve, Swagelok no. SS 1 RF4, 1/4 inch NPT female connection TEE piece, Swagelok no. SS 4 T 10K
Project Name: 
Special Quality Plan Required?: No
Material: 
Technical Support Deliverables:
Preliminary Design Specifications
Reference Assembly Drawing
Reserve SAP Material Number
2011-11-07, WM:  This is for spare parts only.  Jay does not foresee an order in the immediate future.  RTA to be assigned to Hakeem, Class B.</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</si>
  <si>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</si>
  <si>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</si>
  <si>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</si>
  <si>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</si>
  <si>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</si>
  <si>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731319</t>
  </si>
  <si>
    <t>1/4 INCH NPT BOTTOM CONN X  10000 PSIG PRESSURE GAUGE 2 1/2 INCH GF, MCDANIEL P/N KPPB-GF</t>
  </si>
  <si>
    <t>Hakeem to make minor changes then push to Ted for approval by 12/2.  11/28/11 DM</t>
  </si>
  <si>
    <t>733846</t>
  </si>
  <si>
    <t>FIELD LOCATION MADE CHANGES TO SAFETY SYSTEM 71CO651. THE CHANGES ARE LISTED IN THE DOCUMENTS ATTACHED. THESE CHANGES ARE TO BE INCORPORATED INTO 71CO651 REVESION B ENGINEERING UPDATE</t>
  </si>
  <si>
    <t>728324</t>
  </si>
  <si>
    <t>Same As: 235SF0967013-SB2; CLMP,SPLC,9670,13CR,7-29.00 VAMTOP -SB2
Except: 1. Remove Roxar splice and add Roc S splice in same groove
2. Move 3/8 x 1/4 FMJ Splice. ref attached drawing.
3. Change top and bottom treads to 7 32 ppf Vam Top HC
Tech Start Date is in the past
Project Name: Oseberg S??r
Special Quality Plan Required?: Yes
Quality Plan Identifier: SB2
Material: (7) 13 CR 80 MY 22HRC (ES-MA-58-7)
Mating Infomation:</t>
  </si>
  <si>
    <t>26: SPLT=140 @@ Recd and attached requirements document.  11/2/11 DM  Emailed submitter to verify AIS date...see attached email.  11/3/11 DM Revised AIS date per attached email from submitter.  11/16/11 DM</t>
  </si>
  <si>
    <t>734018</t>
  </si>
  <si>
    <t>734014</t>
  </si>
  <si>
    <t>REQUEST FOR CREATING A SAP NUMBER FOR ELCTRONIC PART IN SHS. ITEM IS PTX 7801 200 PSI 30 FEET CABLE WITH ATEX CERT.</t>
  </si>
  <si>
    <t>734016</t>
  </si>
  <si>
    <t>734015</t>
  </si>
  <si>
    <t>REQUEST FOR CREATING A SAP NUMBER FOR ELCTRONIC PART IN SHS. ITEM IS PTX 7801 125 MBAR (LT-1) 40 FEET CABLE WITH ATEX CERT.</t>
  </si>
  <si>
    <t>SPLT=N/A</t>
  </si>
  <si>
    <t>731191</t>
  </si>
  <si>
    <t>REQUEST FOR CREATING A SAP NUMBER FOR AN ELECTRONIC COMPONENT IN THE SHS/WCM. ITEM IS A CONTROL MICROSYSTEMS SCADAPACK BATTERY, 3V</t>
  </si>
  <si>
    <t>731193</t>
  </si>
  <si>
    <t>REQUEST FOR CREATING A SAP NUMBER FOR A HYDAC ADAPTER USED WITH ACCUMULATOR CHARGING KIT TO CHARGE A HYDAC ACCUMULATOR WITH N2.</t>
  </si>
  <si>
    <t>725682</t>
  </si>
  <si>
    <t>733914</t>
  </si>
  <si>
    <t>731192</t>
  </si>
  <si>
    <t>731190</t>
  </si>
  <si>
    <t>REQUEST FOR CREATING A SAP NUMBER FOR AN ACCUMULATOR CHARGING KIT USED TO PRE-CHARGE THE ACCUMULATOR IN THE SHS. ITEM DESCRIPTION IS ACCUMULATOR CHARGING KIT WITH GAUGES UP TO 3K PSI</t>
  </si>
  <si>
    <t>731183</t>
  </si>
  <si>
    <t>REQUEST FOR CREATING A SAP NUMBER FOR ELCTRONIC PART IN SHS.ITEM IS A ADAM ETHERNET SWITCH, 6520I.</t>
  </si>
  <si>
    <t>731187</t>
  </si>
  <si>
    <t>728809</t>
  </si>
  <si>
    <t>28:</t>
  </si>
  <si>
    <t>20:  splt=N/A</t>
  </si>
  <si>
    <t>18:</t>
  </si>
  <si>
    <t>736893</t>
  </si>
  <si>
    <t>ECR - The BOM in CWI for punch mandrel, MN 102054316, is incorrect. It is short 2 each back-up rings, item 8, MN 102030296. Drawing 9290-6773 shows 4 each back-up rings installed in detail D, item 8. The BOM calls for a qty of 2 each.</t>
  </si>
  <si>
    <t>21: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</si>
  <si>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PMT</t>
  </si>
  <si>
    <t>10: SPLT=N/A  R Thornburg to attach drwgs to RTA.  Ted to approve ltr and drwgs.  7/25/11 DM R Smith/T Soules to approve drwgs and ltr 8/19.  8/15/11 DM  Submitted to customer waiting for response. Contact J Bissell to inquire regarding response.  8/29/11 DM Still waiting for approval of ltr from Dan Gibson with SaudiAramco. 9/12/11 DM Ditto 9/19/11 DM  9/25/11 WM Quoted in Feb...not awarded yet. Jay contacting Peter to visit customer and get resolution.  DM Recd responses from Aramco 10/6.  R Thornburg/T Soules to review.  10/10/11 DM  J Bissell contacting R Thornburg for response to SaudiAramco questions.  10/24/11 DM  Ted to review letter and push approval through.  11/14/11 DM R Thornburg to load approved letter in CWI and send to Ted for approval.  11/28/11 DM</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</si>
  <si>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t>
  </si>
  <si>
    <t>17:  AIS date? Assign to J Kelley Code B.  10/10/11 DM Review in process.  10/24/11 DM</t>
  </si>
  <si>
    <t>16: SPLT=N/A  Hakeem to make minor changes and push through.  11/28/11 DM</t>
  </si>
  <si>
    <t>12:</t>
  </si>
  <si>
    <t>11:</t>
  </si>
  <si>
    <t>12: SPLT=168 @@</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</si>
  <si>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</si>
  <si>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</si>
  <si>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t>
  </si>
  <si>
    <t>736993</t>
  </si>
  <si>
    <t>Create SAP MN for the attached 5.5in TR-SSSV Clamp, TubeTec Ref A5500-26A-M1-L and A5500-26A-M1-L for 44 x 12 mm flatpack.</t>
  </si>
  <si>
    <t>737356</t>
  </si>
  <si>
    <t>THIS RTA MODYFIES THE LENGHT OF ANCHOR SUB SAP 593620. LENGTH WAS: 60 IN, IS: 44 IN AS PER RTA 726800.  SEE ATTACHED CORRESPONDENT</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</si>
  <si>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t>
  </si>
  <si>
    <t>737000</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</si>
  <si>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</si>
  <si>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</si>
  <si>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</si>
  <si>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</si>
  <si>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737309</t>
  </si>
  <si>
    <t>736977</t>
  </si>
  <si>
    <t>REQ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</si>
  <si>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737261</t>
  </si>
  <si>
    <t>Statoil Fast Track Hyme</t>
  </si>
  <si>
    <t>13.1 SPLT=182</t>
  </si>
  <si>
    <t>35.1: SPLT=126 @@</t>
  </si>
  <si>
    <t>Statoil Oseberg F8</t>
  </si>
  <si>
    <t>Statoil Fst Trk Hyme</t>
  </si>
  <si>
    <t>Shrouded X Over
Same as SAP 101967324,
Except for: 
- 7in thread to be 29PPF Vam Top</t>
  </si>
  <si>
    <t>Same As: 235SF0703541-SB2; CLMP,SPLC,7035,13CR,3 1/2-9.20 VAM -SB2
Except: 1 Change base material from 25Cr to Super 13Cr 110KSI
2 Remove Roxar splice and add FMJ splice body in same groove
3 Remove Y block and add Roc S splice body in same groove
Tech Start Date is in the past
Project Name: Oseberg S??r F-8
Special Quality Plan Required?: Yes
Quality Plan Identifier: SB2
Material: (11) Super 13 CR 110 MY 32 HRC (ES-MA-134-_)
Mating Infomation:
RTA ON HOLD AND CAN BE LOCATED BY O.E. (01DEC11)</t>
  </si>
  <si>
    <t>ICV   Same as SAP 102005591,
Except for: 
- no PSA 
- Flow Trim to be 315955-HCD (see attachment)</t>
  </si>
  <si>
    <t>REQUEST FOR CREATING A SAP NUMBER FOR ELCTRONIC PART IN SHS. ITEM IS PTX 7801 100 MBAR (LT-2) 40 FOOT CABLE WITH ATEX CERT.</t>
  </si>
  <si>
    <t>REQUEST FOR CREATING A SAP NUMBER FOR AN ELECTRONIC COMPONENT IN THE SHS/WCM. ITEM IS A CONTROL MICROSYSTEMS SCADAPACK FUSE</t>
  </si>
  <si>
    <t>REQUEST FOR CREATING A SAP NUMBER FOR ELCTRONIC PART IN SHS. ITEM IS A LEVEL TRANSMITTER PTX 7801 6K PSI 30 FOOT CABLE W/ ATEX CERT</t>
  </si>
  <si>
    <t>35.1: SPLT=168</t>
  </si>
  <si>
    <t>Statoil F T Visund S</t>
  </si>
  <si>
    <t>Norway</t>
  </si>
  <si>
    <t>1: SPLT=15</t>
  </si>
  <si>
    <t>Shrouded X Over
Need following changes to M/N 101789075:
Maximum concentric OD: 6in.
Statoil QP SB-2
25% Cr</t>
  </si>
  <si>
    <t>737021</t>
  </si>
  <si>
    <t>Same As: 71SSS1; SFTY SYS STD RTA DESIGN REQ
Except: Prepare Aramco NMR 602 paperwork for Aramco PO No 4503296149 and 4503342062, our order no. 8040697
and submit to Aramco Houston by Dec. 2.
Project Name: 
Special Quality Plan Required?: No
Material: 
Technical Support Deliverables:
Preliminary Design Specifications
Reference Assembly Drawing</t>
  </si>
  <si>
    <t>21: SPLT=168 @@ No special quality plan required per attached email from submitter.  11/18/11 DM  AIS date confirmed with submitter per attached email.  11/18/11 DM Mike Ski working on flow trim data...see attached email.  12/1/11 DM</t>
  </si>
  <si>
    <t>2.2: SPLT=15</t>
  </si>
  <si>
    <t>TLC  Need following changers to M/N 101875875 (eccentric TLC):
Redesign one of the wedges to accomodate 1 single   bumper 8mm. This refers to the left side wedge according to attachement.
Remove wedges number 2 to incorporate 2 bypass slots (each 36 x 12 mm)
Include crossover sub 589023
Customer:  Statoil
Project:   Snorre B
Quality:   SB2</t>
  </si>
  <si>
    <t>Taper Lock Clamp
Need following changers to M/N 101875875 (eccentric TLC):
Add one wedge to accomodate 1 single and bumper 8mm to the left according to attachement.
Include crossover sub 589023. Statoil QA plan SB2.</t>
  </si>
  <si>
    <t>2.1: SPLT=15</t>
  </si>
  <si>
    <t>Statoil Troll</t>
  </si>
  <si>
    <t>Splice Sub  Same As: 235SF0967009-SB2; SUB,SPLC,9670,13% CR,5K,7-26.00  - SB2
Except: NOR1142   ER09186
Please submit to WD4=WD Accessory Equipment
Need clamp splice: 235SF0967009SB2 / 101887088 with the following changes:
1 Add one extra 1/4 FMJ splice body. Total 5 ea hyd cl + 1 ea Roc S splice
Project Name: Troll O-25
Special Quality Plan Required?: Yes
Quality Plan Identifier: SB2
Material: 
Mating Infomation:</t>
  </si>
  <si>
    <t>Spl Clmp Assy   NEED A NEW PART Ref. 235SF0967011-SB2 (9670 Splice Clamp Assy)
Except for:
- material to be 13Cr</t>
  </si>
  <si>
    <t>Create SAP MN for the attached Flatpack
Incorporating 4 each 0.25 in OD x 0.049 in WT Alloy 825 welded &amp; floating plug drawn annealed tubes respectively colour-coded with ink prior to encapsulation PLUS 1 each free-issue 0.25 in OD TEC Cable.
Encapsulated as 44mm x 12mm in TT270 thermoplastic, suitable for maximum 280??F hydrocarbon &amp; brine service.
upplied as a single continuous length 
Secondary (post encapsulation) chart recorded pressure testing at 15,000 psi with Castrol Transaqua HT fluid.
Flushed to NAS 1638 Class 6 with Castrol Transaqua HT fluid.</t>
  </si>
  <si>
    <t>SPLT=112 Emailed submitter for AIS date, requirements doc, customer and project info.  12/2/11 DM</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</si>
  <si>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</si>
  <si>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</si>
  <si>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Statoil FT Visund S</t>
  </si>
  <si>
    <t>737549</t>
  </si>
  <si>
    <t>M/N-588280, Drawing W.018885-00-00 Rev.2
The BOM shows coating AC-C-024-B Phosphate, please change the coating to B-011 QPQ to reflect what is called out on the drawing.</t>
  </si>
  <si>
    <t>DR  SPLICE SUB ASSY,QTY 4 SPLICE W/CNTRL LINE PROTECTORS, QTY 1 BY PASS- SPLICE SUB ASSY; SIMILAR TO THE PRESENT MN 590378 - 235SF0965540. THREADED 5.5 IN 20 PPF HUNTING FOX BOX x 5.5 IN 20 PPF NS-CC PIN. MATL: 13% CR; 80 MY</t>
  </si>
  <si>
    <t>SPLT=140 Emailed submitter for AIS date, customer,project, and requirements document.  11/28/11 DM Emailed followup to customer.  12/2/2011 DM</t>
  </si>
  <si>
    <t>DR  Modify ACCUPULSE NON-ACTIVE MNFLD 5-1/2, 1 EXT BY-PASS, 1 SPLICE (DRW 313956-00-01) adding a splice line, this modification will be relevant to the 215HA0550012 5.5 in HVC; MN 589805
Customer: Burullus Egypt, Project: Saphire South Central</t>
  </si>
  <si>
    <t>This RTA is to perform a customization in the Chemical Injection Mandrel assy SAP:102026128;
FINAL DESIGN REQUIREMENTS: Change the material to 25CR-7NI-4MO 80KSI; Change quality plan to PQ-2.
PROJECT NAME: BSM 9&amp;11_BR11158
QUALITY PLAN REQUIRED?: YES
QUALITY PLAN IDENTIFIER: PQ2 PETROBRAS BRAZIL (TYPE B)
------
11/2/2011 ST - SENT TO J. SEALE FOR CHECKING
------
11/18/2011 J. SEALE - CHECKING COMPLETE, NEED MODELS UPLOADED TO CWI.
------
11/23/2011 ST - SENT TO R. BAKHTIARY FOR APPROVAL
=-=-=-=-=-=-=-=-=
12/2/2011 RB - Spoke with Lorenzzo and he would like to reduce the overall length of this mandrel by shortenning the box/pin. We can do this by removing 1 of the thread re-cuts. Seding back to design. Changing AIS date to 7/1/2012 per Lorenzzo</t>
  </si>
  <si>
    <t>This RTA is to perform a customization in the Chemical Injection Mandrel assy SAP:102013066;
FINAL DESIGN REQUIREMENTS: Change the material to 25CR-7NI-4MO 80KSI; Change quality plan to PQ-2.
PROJECT NAME: BSM 9&amp;11_BR11158
QUALITY PLAN REQUIRED?: YES
QUALITY PLAN IDENTIFIER: PQ2 PETROBRAS BRAZIL (TYPE B)
------
11/4/2011 ST - SENT TO J. SEALE FOR CHECKING
------
11/21/2011 JS - SENT BACK TO S. TEHVEN FOR CORRECTIONS
------
11/23/2011 ST - SENT TO R. BAKHTIARY FOR APPROVAL
=-=-=-=-=-=-=-=-=
12/2/2011 RB - Spoke with Lorenzzo and he would like to reduce the overall length of this mandrel by shortenning the box/pin. We can do this by removing 1 of the thread re-cuts. Seding back to design.Changing AIS date to 7/1/2012 per Lorenzzo</t>
  </si>
  <si>
    <t>REQUEST FOR CREATING A SAP NUMBER FOR ELECTRONIC PART IN SHS. ITEM IS ABC-2-R, CERAMIC FUSE 2 AMP.</t>
  </si>
  <si>
    <t>Modify MN 102092115 to show a 4 in drum shaft instead of a 3 in drum shaft.  need urgently, so we can get material on order.
TSG NOTES 120211 RCVD. FILE FOR PROCESSING. (KEN) END.</t>
  </si>
  <si>
    <t>Shell Glider 5</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</si>
  <si>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(KEN) END</t>
  </si>
  <si>
    <t>SPLT=168</t>
  </si>
  <si>
    <t>SPLT=168 Assign to James Class B  11/28/11 DM</t>
  </si>
  <si>
    <t>2: SPLT=15  Emailed submitter for spool info.  12/2/2011 DM</t>
  </si>
  <si>
    <t>Sheet Control</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</si>
  <si>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</si>
  <si>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</si>
  <si>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REVISE CLAMP 9450-7004 TO ADD ANGLE TO SECTION B-B, AND REMOVE THE DEPTH CALLOUT ON THE COUNTER-BORE CALLOUT.
2011-12-05, WM:  Work complete, ready for approval.</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</si>
  <si>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</si>
  <si>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CREATE NEW PART FOR ATTACHED E MAIL REQUEST
Part 102067480 ref 9450-7004-GB-New Component part
Part 102067471 ref 9293-6786- New Mandrel Assy
102067470 ref 9290-6786- New Gauge Mandrel Assy
2011-12-05, WM:  Assign to James, Class A.  This is just a material change on the clamp.  Dana to review AIS date, SPLT.</t>
  </si>
  <si>
    <t>Assign to James, Class A.  Review AIS and SPLT.  12/5/11 DM</t>
  </si>
  <si>
    <t>Need Gauge ref: 9290-6593-SB2  - 101875081 with the following changes:
1) Change base material from 25% Cr to Super 13% Cr 110KSI.
2) Change to dual mandrel with splitter block and individual position sensor (ref: Martin Staelens)
3) Change treads from 5.5 20 Vam Top HC to 5.5 26 Vam Top HC
Customer: Statoil
Project:  Oseberg Sor F-8
Quality:  SB2
2011-11-07, WM:  Design cannot be started until ROC-P is complete.
2011-11-21, WM:  ROC-P design complete, pending design review.  Once finalized, design will move forward.  Dana to assign to Mark, Class B, due date 12/15.
2011-11-28, WM:  ROC-P almost complete, design to begin this week.  Change assigment to Sam.
2011-12-05, WM:  Dana to assign to Sam, Class B, due date 12/19.
Design review completed on ROC-P last week.  Reassigned to James.  James is starting on mandrel design and should be complete by Wednesday.</t>
  </si>
  <si>
    <t>737968</t>
  </si>
  <si>
    <t>QGC</t>
  </si>
  <si>
    <t>Set up 71CO P/N and SAP P/N for the following panel design no. 71ZZ2900</t>
  </si>
  <si>
    <t>Need EFDs for PN-101905152. Chemical Injection Mandrel Assembly for Shell Popeye scheduled for 12-8-11
2011-12-05, WM:  Assign to Rameen, Class A.</t>
  </si>
  <si>
    <t>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t>
  </si>
  <si>
    <t>Need EFDs for PN-101904348. Gauge Mandrel for Shell Popeye scheduled for 12-8-11
2011-12-05, WM:  Assign to Rameen, Class A.</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</si>
  <si>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</si>
  <si>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737783</t>
  </si>
  <si>
    <t>Request for creating a new SAP number for a 1-Line, .25 in. OD x .049 in. wall thickness flatpack (with safety strip) with Mobil Aero HF (Red Oil). Please see attached sheet for specifications.
This is a third party item.</t>
  </si>
  <si>
    <t>737782</t>
  </si>
  <si>
    <t>Request for creating a new SAP number for a 5-Line, .25 in. OD x .049 in. wall thickness flatpack (with safety strip) with Castrol Brayco Micronic LV3. Please see attached sheet for specifications.
This is a third party item.</t>
  </si>
  <si>
    <t>737780</t>
  </si>
  <si>
    <t>Request for creating a new SAP number for a 1-Line, .25 in. OD x .049 in. wall thickness flatpack (with safety strip) with Castrol Brayco Micronic LV3. Please see attached sheet for specifications.
This is a third party item.</t>
  </si>
  <si>
    <t>737781</t>
  </si>
  <si>
    <t>Request for creating a new SAP number for a 4-Line, .25 in. OD x .049 in. wall thickness flatpack (with safety strip) with Castrol Brayco Micronic LV3. Please see attached sheet for specifications.
This is a third party item.</t>
  </si>
  <si>
    <t>737779</t>
  </si>
  <si>
    <t>Request for creating a new SAP number for a 3-Line, .25 in. OD x .049 in. wall thickness flatpack (with safety strip) with Red oil. Please see attached sheet for specifications.
This is a third party item.</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</si>
  <si>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</si>
  <si>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</si>
  <si>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</si>
  <si>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</si>
  <si>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</si>
  <si>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</si>
  <si>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t>
  </si>
  <si>
    <t>DH Chemical Injection Mandrel 5.5 in Tenaris Blue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t>
  </si>
  <si>
    <t>Same As: 9290-6603-SB2; GGE MDRL ASSY,3.5 INCH-9.2PPF,ROC--SB2
Except: Need Gauge ref: 9290-6603-SB2  /  101873003 with the following changes :
1 Change base material from 25 Cr to Super 13 Cr 110KSI.
2 Change to dual mandrel with splitter block and individual position sensor ref: Martin Staelens
-----
Tech Start Date is in the past
Project Name: Oseber sor F-08
Special Quality Plan Required?: SB2
Material: (11) Super 13 CR 110 MY 32 HRC (ES-MA-134-_)
10/17/11 WM  Position sensor module required by Electrical team.  Once complete mechanical design can be done.  125C target temp- must use ROC-M.  WDT diode must be changed.  Assign to Kenny Code C
2011-11-07, WM:  Design cannot be started until ROC-P desgin is established.
2011-11-28, WM:  ROC-P almost complete, design to begin this week.  Change assigment to Sam.
2011-11-21, WM:  ROC-P design complete, pending design review.  Once finalized, design will move forward.
2011-12-05, WM:  Design review completed on ROC-P last week.  Reassigned to James.  James is starting on mandrel design and should be complete by Wednesday.</t>
  </si>
  <si>
    <t>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t>
  </si>
  <si>
    <t>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t>
  </si>
  <si>
    <t>Need Gauge ref: 9290-6595-SB2  / 101874030 with the following changes:1) Change base material from 25% Cr to Super 13% Cr 110KSI.2) Change to dual mandrel with splitter block and individual position sensor (ref: Martin Staelens)
Customer:  Statoil
Project:   Oseberg Sor F-8
Quality:   SB2
2011-11-07, WM:  Mandrel design cannot be completed until ROC-P design is completed.
2011-11-21, WM:  ROC-P design complete, pending design review.  Once finalized, design will move forward.  Dana to assign to Mark, Class B, due date 12/15.
2011-11-28, WM:  ROC-P almost complete, design to begin this week.  Change assigment to Sam.
2011-12-05, WM:  Design review completed on ROC-P last week.  Reassigned to James.  James is starting on mandrel design and should be complete by Wednesday.</t>
  </si>
  <si>
    <t>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t>
  </si>
  <si>
    <t>Need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t>
  </si>
  <si>
    <t>Ref. 7in TLC assy (235AC2107000-SB2)
Except:
- threads to be 7in 29LB Vam Top Box x Pin
- material to be 13Cr
IN ENGINEERING FOR CHECKING. A. BERRET_12/02/2011 END
ENG. CHECK COMPLETED. FOLDER RETURNED TO P. JAMES_A. BERRET_12/05/2011)_END</t>
  </si>
  <si>
    <t>1:  SPLT=NA  Assign to Rameen, Class A. 12/5/11 DM</t>
  </si>
  <si>
    <t>2:  Assign to Rameen, Class A.</t>
  </si>
  <si>
    <t>3: SPLT=126  @@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t>
  </si>
  <si>
    <t>4: SPLT=112  @@ Dana to follow-up on AIS date and obtain SPLT from manufacturing.  Assign to Mark, class C. 10/31/2011 MS Moved up priority per PMT discussion.  11/3/11 DM Added requirements document from submitter.  11/3/11 DM</t>
  </si>
  <si>
    <t>5:  SPLT=126  @@ Dana to assign to Mark, Class B.  11/21 DM</t>
  </si>
  <si>
    <t>6:  SPLT=120 @@ Assign to Aswin in WD3 8/22/11 DM Pushed AIS date due to attached email. 9/20/11 DM    2011-09-27, WM - The PAU already includes a car charger.  However, it does not have 4-20 mA outputs.  RTA was verbally reviewed between Matt and Robert and Robert would like them to use an XPIO if possible.  Dana needs to review the requirements with Robert/submitter and cancel if needed.  RTA work is on hold until then. Emailed submitter copying Robert and advised he consult R Smith to evaluate.  9/29/11 DM R Smith to contact field and discuss options.  10/10/11 DM  Dana to contact field to find out if they want to return existing PAU for modification (2 wks) or if they have time to order new (14 wks). Update AIS date.  10/24/11 DM.  Aswin to update assembly with additional card.  Existing part number ready for demand.  RTA will close  once Aswin finishes. Robert S to communicate with field to load demand.  11/28/11 DM</t>
  </si>
  <si>
    <t>7: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t>
  </si>
  <si>
    <t>8: SPLT=98  @@ T Nilsen in Norway troubleshooting.  10/24/11 DM  Emailed submitter for AIS date.  10/26/11 DM  Modified AIS date per email from submitter.  10/27/11 DM Deleted AIS date per attached email from C McKay. 11/3/11 DM Software tested and accepted by customer.  RTA should close in the next couple of weeks.  11/14/11 DM  Aswin/Terje to revise and release software by end of week prior to RTA release.  11/28/11 DM</t>
  </si>
  <si>
    <t>9: SPLT=112 @@ See Colins attached email regarding design.  11/3/11 DM  Assign to Sam Class B  11/28/11 DM</t>
  </si>
  <si>
    <t>10: SPLT=112  @@ Assign to Sam Class B  11/28/11 DM</t>
  </si>
  <si>
    <t>11:  SPLT=126 @@ Emailed submitter re:  quality requirements and requirements doc.  9/29/11 DM Recd and attached requirements doc.  9/30/11 DM  2011-10-03, WM:  Jim and Matt to review requirements and outline plan.  ASIC tstg in progress, direction to be decided by end of Oct.  10/10/11 DM  Matt/Jim to determine course for position sensor.  Project kick-off scheduled for 10/27.  10/24/11 DM Emailed submitter to verify AIS date...see attached email.  11/3/11 DM  Revised AIS date per attached email from submitter.  11/16/11 DM  ROC-P almost complete, design to begin this week.  11/28/11 DM</t>
  </si>
  <si>
    <t>12: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t>
  </si>
  <si>
    <t>13: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  Dana to assign to Sam, Class B, due date 12/19.  12/5/11 DM</t>
  </si>
  <si>
    <t>14: SPLT=112   Emailed submitter for design clarification. Will place in design hold if info is not provided by EOD 5/25.  5/24/11 DM No order pending.  In design- priority pushed to end of list.  6/1/11 DM 6/27/2011 - Design &amp; drawings complete to ROC-150 specification, forward to Rameen for checking. MG Emailed submitter and told him a this point SPLT pushed AIS date to Feb 2012.  Recd email in return stating that date will be fine at the moment. A McLauchlan and C Quinton will be meeting with customer in early October to finalize order. Email attached.  9/21/11 DM    2011-09-26, WM - Due to Kenny leaving, Sam will check and Rameen approve.  To cover any shortfalls, Rameen will have Paul James or Damon Trahan review prior to approval.  2011-10-03, WM:  On schedule. In checking.  10/10/11 DM  Spoke with A. McLauchlan after his return from region and we should have confirmation of AIS date 10/19.  10/18/11 DM Emailed C Quinton for AIS verfication following customer mtg.  10/25/11 DM  To TSG 11/28.  11/28/11 DM</t>
  </si>
  <si>
    <t>15: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t>
  </si>
  <si>
    <t>16: SPLT=0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t>
  </si>
  <si>
    <t>17: SPLT=126 2011-10-03, WM:  Assign to James, Class B, Standard lead time.  Dana to determine AIS date. Define requirement waiting for quality plan info from submitter.  10/5/2011 DM Recd quality info from submitter 10/10/11 DM AIS date confirmed by submitter. 10/18/11 DM  Moved AIS date per C McKays attached email.  10/25/11 DM</t>
  </si>
  <si>
    <t>18: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t>
  </si>
  <si>
    <t>19: SPLT=98  2011-10-03, WM:  Assign to James, Class B, standard lead time.  Dana to follow-up on AIS date. Emailed submitter for quality plan info. Email attached.  10/5/11 DM  Emailed submitter to verify completion date.  10/7/11 DM  Design complete, going to ckg. 10/10/11 DM Submitter has equipment to last through April and wants to order equipment for rest of year.  Email attached.  Moved AIS date to 5/1.  10/10/11 DM</t>
  </si>
  <si>
    <t>20: SPLT=126 @@ Emailed submitter for AIS date.  11/1/11 DM  Adding AIS date per attached email from submitter.  11/2/11 DM  Assign to Sam Class B  11/28/11 DM</t>
  </si>
  <si>
    <t>22: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</si>
  <si>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23:  SPLT=126 Assign to Sam, Class B 10/31/11</t>
  </si>
  <si>
    <t>24:  SPLT=126 Assign to Sam, Class B 10/31/11</t>
  </si>
  <si>
    <t>25: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</si>
  <si>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27:  SPLT=112 @@ Assign to James, Class B and review AIS date.  11/21 DM  Review AIS date, submitted inside LT.  12/5/11 DM</t>
  </si>
  <si>
    <t>12/5/2011 Permanent Monitoring RTA Priorities List</t>
  </si>
  <si>
    <t>703289</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</si>
  <si>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t>
  </si>
  <si>
    <t>26: SPLT= 154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</si>
  <si>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738014</t>
  </si>
  <si>
    <t>SHFCP</t>
  </si>
  <si>
    <t>INJECTION LINE SEAMLESS
5/8 x .049, INC825, 3700m</t>
  </si>
  <si>
    <t>Emailed field for requirements document and AIS date.  12/5/11 DM</t>
  </si>
  <si>
    <t>738008</t>
  </si>
  <si>
    <t>KOC</t>
  </si>
  <si>
    <t>Need to modify junction boxes to alleviate space issues as well as conform to customer requests.</t>
  </si>
  <si>
    <t>pm</t>
  </si>
  <si>
    <t>ELEC MN 102094512, 102094513, 102094514, 102094476 NEED TO HAVE SUMMIT ELECTRIC SUPPLY ADDED TO THE MANUFACTURERS SPEC SHEET.
MN 102095963 NEEDS TO HAVE INDUSTRIAL EQUIPMENT ADDED TO THE MANUFACTURERS SPEC SHEET (PER K. PEGODA SEE ATTACHED EMAIL).
2011-11-21 WM The MFG SPEC will be updated with a secondary source.
2011-12-05 WM: The MFG SPEC will be updated and released by 2011-12-16.</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</si>
  <si>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t>
  </si>
  <si>
    <t>ELEC RTA TO CREATE TEMPLATE FOR AMS PM GAUGE INTEGRATIONS
2011-11-21 WM Work has been started and templates are under review.  The project plan will be updated to reflect RTA number.
2011-12-05 WM: The RTA will be picked back up after ROC-P and Woodside requirements are met.</t>
  </si>
  <si>
    <t>ELEC NE Canada team advised that when they were running the gauges past mudline and the temperatures became close to zero (or below zero), the PDX software showed  - invalid - readings.  The gauges were actually measuring the temperature correctly and were logging the data with good temp and pressure values.  But the display was showing the - invalid - giving the wrong impression to the crew and causing a lot of concern and potential downtime while troubleshooting took place.  It sounds like it is a problem with the software at close to zero deg C temps.  The same change required might be necessary for the XPIO/UACU software too.
11/07/11 A decision on final values will be made and software will be updated.  11/07/11 AB
2011-12-05 WM: PLM has informed that PDX software has to be updated to show the values returned by gauge.  The ECR will be placed in WIP later this month.</t>
  </si>
  <si>
    <t>736489</t>
  </si>
  <si>
    <t>634112</t>
  </si>
  <si>
    <t>ICV   Same as SAP 101969572,
Except for: 
- no PSA 
- Flow Trim to be 311537-HCD (see attachment)
HAVING PROBLEMS PROMOTING VALVE DUE TO PROTOTYPE O-RING ASSEMBLY MODEL IN VALVE ASSEMBLY MODEL.  NEED DESIGNER/CAPE TO REVIEW THIS PLUS IT IS TIED TO NORTH BELT FACILITY (OEWUMI 03DEC11)
Customer: Statoil
Quality:  SB2</t>
  </si>
  <si>
    <t>ELEC - Need FAR for RMA 822 MN 597467 wo 103757388
2011-11-21 WM The interface card is undergoing troubleshooting at PCBA lab.  The FAR will be released as soon as issue is identified.
2011-12-05 WM: The interface card is with Engineering to undergo further troubleshooting.  An FAR will be issued at the end of troubleshooting.</t>
  </si>
  <si>
    <t>Pamela Forester</t>
  </si>
  <si>
    <t>ELEC - Need FAR for RMA 775 MN 597484 wo 103679589
2011-11-21 WM The interface card is undergoing troubleshooting at PCBA lab.  The FAR will be released as soon as issue is identified.
2011-12-05 WM: The interface card is with Engineering to undergo further troubleshooting.  An FAR will be issued at the end of troubleshooting.</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</si>
  <si>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</si>
  <si>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2011-09-27, WM - ASIC wafers have been procured.  Prototype test fixtures for the ASIC are in progress.  Quartzdyne is currently completing analog testing.  Hybrid substrate has been ordered.  Hai needs to update the project plan and attach it to the RTA.  
2011-10-04 WM - THE LATEST PROJECT PLAN WILL BE ATTACHED TO THE RTA.  PMOS TEST FOR FEEDTHRU SWITCHING WAS STARTED 2011-09-29.  DIFFERENCE AMPLIFIER MANUFACTURED BY TI HAS BEEN ASSEMBLED FOR TESTING.  THE TEST WILL BE COMMISSIONED THIS WEEK. 
2011-10-10 AB - ASIC TEST KIT HAS BEEN SHIPPED TO QUARTZDYNE.  A PROJECT PLAN HAS BEEN UPDATED AND UPLOADED IN CWI.  THE DESIGN SPECIFICATION IS COVERED PARTIALLY AS PART OF FIRMWARE SPEC, A NEW DOCUMENT WILL BE COMPLETED IN DOCUMENT RELEASE STATE.
2011-10-17 WM  Proto bd in process following AEM power supply bds.  Goal to order proto bds by 10/28 
2011-10-24 WM Quartzdyne successfully communicated with ASIC.  Rest of analog and logic testing will continue. 
2011-10-31 WM Quartzdyne is completing full function tests on the ASIC using a breadboard setup.  Ambient verification should be completed 11/15.  The proto board for ROC-X hybrid test is on hold until Quartzdyne makes a call on connector.
11/07/11 WM - PO is reaching its limit.  Quartzdyne will be funding the rest of the development costs.  The TX connection internal to ASIC was found to be not functional.  A bug report is being compiled.  ROC-X BOM is being built in CWI.  11/07/11 AB
11/14/11 WM - Design specifications are in progress for transducer simulator, gauge simulator and production assembly/test software. 11/14/11 AB
2011-11-21 WM The bug report is on track for delivery in first week of December.  The transducer simulator options will be explored at the same time.
2011-12-05 WM: A memo was generated and circulated to management.  Transducer simulator options are being evaluated with Quartzdyne.  A discussion woth software group will be held to completed later this week to determine scope of test software.</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</si>
  <si>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t>
  </si>
  <si>
    <t>WellDynamics - Convert Flowmeter 9290-6559-HW1 from Sp/Cal 0-150c 10K ROC D to Sp/Cal 0-150c, 0-10,000psi ROC150.  Include BOM for mandrel level and gauge level with special quality HW1.
Customer:  Husky
Quality:  HW1
---------
2011-08-08 Weekly Meeting: Tech Revised date pushed to 8/26.
10/17/11 WM  Ckg should be complete 10/21 then to P Haines for Venturi review, back to Rameen for approval.
------
10/20/2011 ST - SENT BACK TO M. GUY FOR CORRECTIONS
------
11/1/2011 MG - Corrections complete, forwarded to Sam for checking.
11/2/2011 ST - SENT TO R. BAKHTIARY FOR APPROVAL
2011-11-28 WM:  To TSG today.
----
12/1/2011 RB - RTA must be returned to engineering &amp; demoted in order to meet new CWI standards/requirements (loading all solidworks models &amp; drawings)
2011-12-05, WM:  Updated completed per TSG requirements.  Going to TSG today.
--- 
12/5/2011 RB - RTA COMPLETE. SENDING TO TSG</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</si>
</sst>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b/>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sz val="11"/>
      <color theme="0" tint="-0.499984740745262"/>
      <name val="Arial"/>
      <family val="2"/>
    </font>
    <font>
      <sz val="11"/>
      <color theme="1" tint="0.499984740745262"/>
      <name val="Arial"/>
      <family val="2"/>
    </font>
    <font>
      <b/>
      <sz val="26"/>
      <color theme="1" tint="0.34998626667073579"/>
      <name val="Arial"/>
      <family val="2"/>
    </font>
    <font>
      <sz val="11"/>
      <color theme="1" tint="0.34998626667073579"/>
      <name val="Arial"/>
      <family val="2"/>
    </font>
    <font>
      <b/>
      <sz val="14"/>
      <color theme="1" tint="0.34998626667073579"/>
      <name val="Arial"/>
      <family val="2"/>
    </font>
    <font>
      <b/>
      <sz val="11"/>
      <color theme="1" tint="0.34998626667073579"/>
      <name val="Arial"/>
      <family val="2"/>
    </font>
    <font>
      <sz val="11"/>
      <color theme="1"/>
      <name val="Century Gothic"/>
    </font>
    <font>
      <sz val="12"/>
      <color theme="0"/>
      <name val="Century Gothic"/>
      <family val="2"/>
    </font>
  </fonts>
  <fills count="12">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mediumGray">
        <fgColor auto="1"/>
        <bgColor theme="1" tint="0.34998626667073579"/>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54">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n">
        <color auto="1"/>
      </left>
      <right/>
      <top/>
      <bottom style="thick">
        <color auto="1"/>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s>
  <cellStyleXfs count="1">
    <xf numFmtId="0" fontId="0" fillId="0" borderId="0"/>
  </cellStyleXfs>
  <cellXfs count="168">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8" xfId="0" applyFont="1" applyFill="1" applyBorder="1" applyAlignment="1">
      <alignment horizontal="center" vertical="center" wrapText="1"/>
    </xf>
    <xf numFmtId="0" fontId="7" fillId="0" borderId="28" xfId="0" applyFont="1" applyBorder="1" applyAlignment="1">
      <alignment horizontal="center" vertical="center" wrapText="1"/>
    </xf>
    <xf numFmtId="0" fontId="7" fillId="0" borderId="28" xfId="0" applyFont="1" applyFill="1" applyBorder="1" applyAlignment="1">
      <alignment horizontal="center" vertical="center" wrapText="1"/>
    </xf>
    <xf numFmtId="0" fontId="7" fillId="0" borderId="28" xfId="0" applyFont="1" applyBorder="1" applyAlignment="1">
      <alignment horizontal="center" vertical="center"/>
    </xf>
    <xf numFmtId="0" fontId="9" fillId="5" borderId="12"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3"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4" xfId="0" applyFont="1" applyFill="1" applyBorder="1" applyAlignment="1">
      <alignment horizontal="center" vertical="center"/>
    </xf>
    <xf numFmtId="0" fontId="9" fillId="5" borderId="8" xfId="0" applyFont="1" applyFill="1" applyBorder="1" applyAlignment="1">
      <alignment horizontal="center"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8" fillId="3" borderId="17" xfId="0" applyFont="1" applyFill="1" applyBorder="1" applyAlignment="1">
      <alignment horizontal="right" vertical="center"/>
    </xf>
    <xf numFmtId="0" fontId="9" fillId="6" borderId="24" xfId="0" applyFont="1" applyFill="1" applyBorder="1" applyAlignment="1">
      <alignment horizontal="center" vertical="center"/>
    </xf>
    <xf numFmtId="0" fontId="9" fillId="6" borderId="25" xfId="0" applyFont="1" applyFill="1" applyBorder="1" applyAlignment="1">
      <alignment horizontal="center" vertical="center"/>
    </xf>
    <xf numFmtId="0" fontId="9" fillId="6" borderId="26"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19" xfId="0" applyFont="1" applyFill="1" applyBorder="1" applyAlignment="1">
      <alignment horizontal="center" vertical="center"/>
    </xf>
    <xf numFmtId="0" fontId="9" fillId="6" borderId="20" xfId="0" applyFont="1" applyFill="1" applyBorder="1" applyAlignment="1">
      <alignment horizontal="center" vertical="center"/>
    </xf>
    <xf numFmtId="0" fontId="0" fillId="0" borderId="0" xfId="0" applyFill="1" applyBorder="1" applyAlignment="1">
      <alignment horizontal="center" vertical="center" wrapText="1"/>
    </xf>
    <xf numFmtId="0" fontId="9" fillId="6" borderId="0" xfId="0" applyFont="1" applyFill="1" applyBorder="1" applyAlignment="1">
      <alignment horizontal="center" vertical="center"/>
    </xf>
    <xf numFmtId="0" fontId="9" fillId="6" borderId="18" xfId="0" applyFont="1" applyFill="1" applyBorder="1" applyAlignment="1">
      <alignment horizontal="center" vertical="center"/>
    </xf>
    <xf numFmtId="1" fontId="9" fillId="5" borderId="13" xfId="0" applyNumberFormat="1" applyFont="1" applyFill="1" applyBorder="1" applyAlignment="1">
      <alignment horizontal="center" vertical="center"/>
    </xf>
    <xf numFmtId="1" fontId="9" fillId="5" borderId="6" xfId="0" applyNumberFormat="1" applyFont="1" applyFill="1" applyBorder="1" applyAlignment="1">
      <alignment horizontal="center" vertical="center"/>
    </xf>
    <xf numFmtId="1" fontId="9" fillId="5" borderId="14" xfId="0" applyNumberFormat="1" applyFont="1" applyFill="1" applyBorder="1" applyAlignment="1">
      <alignment horizontal="center" vertical="center"/>
    </xf>
    <xf numFmtId="1" fontId="9" fillId="5" borderId="8" xfId="0" applyNumberFormat="1" applyFont="1" applyFill="1" applyBorder="1" applyAlignment="1">
      <alignment horizontal="center" vertical="center"/>
    </xf>
    <xf numFmtId="0" fontId="9" fillId="5" borderId="32" xfId="0" applyFont="1" applyFill="1" applyBorder="1" applyAlignment="1">
      <alignment horizontal="center" vertical="center"/>
    </xf>
    <xf numFmtId="0" fontId="9" fillId="5" borderId="33" xfId="0" applyFont="1" applyFill="1" applyBorder="1" applyAlignment="1">
      <alignment horizontal="center" vertical="center"/>
    </xf>
    <xf numFmtId="0" fontId="9" fillId="5" borderId="34"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7" borderId="0" xfId="0" applyFill="1" applyAlignment="1">
      <alignment wrapText="1"/>
    </xf>
    <xf numFmtId="0" fontId="15"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8" fillId="8" borderId="0" xfId="0" applyFont="1" applyFill="1" applyProtection="1"/>
    <xf numFmtId="14" fontId="18" fillId="8" borderId="0" xfId="0" applyNumberFormat="1" applyFont="1" applyFill="1" applyProtection="1"/>
    <xf numFmtId="0" fontId="0" fillId="8" borderId="0" xfId="0" applyFill="1" applyProtection="1"/>
    <xf numFmtId="14" fontId="0" fillId="8" borderId="0" xfId="0" applyNumberFormat="1" applyFill="1" applyProtection="1"/>
    <xf numFmtId="14" fontId="0" fillId="8" borderId="0" xfId="0" applyNumberFormat="1" applyFill="1" applyBorder="1" applyProtection="1"/>
    <xf numFmtId="0" fontId="18" fillId="8" borderId="40" xfId="0" applyFont="1" applyFill="1" applyBorder="1" applyProtection="1"/>
    <xf numFmtId="0" fontId="0" fillId="8" borderId="40" xfId="0" applyFill="1" applyBorder="1" applyProtection="1"/>
    <xf numFmtId="0" fontId="0" fillId="8" borderId="39" xfId="0" applyFill="1" applyBorder="1" applyProtection="1"/>
    <xf numFmtId="0" fontId="10" fillId="8" borderId="0" xfId="0" applyFont="1" applyFill="1" applyBorder="1" applyAlignment="1" applyProtection="1">
      <alignment horizontal="center" vertical="center"/>
      <protection locked="0"/>
    </xf>
    <xf numFmtId="0" fontId="0" fillId="8" borderId="0" xfId="0" applyFont="1" applyFill="1" applyProtection="1">
      <protection locked="0"/>
    </xf>
    <xf numFmtId="0" fontId="0" fillId="8" borderId="0" xfId="0" applyFont="1" applyFill="1" applyAlignment="1" applyProtection="1">
      <alignment vertical="center"/>
      <protection locked="0"/>
    </xf>
    <xf numFmtId="0" fontId="0" fillId="8" borderId="0" xfId="0" applyFont="1" applyFill="1" applyAlignment="1" applyProtection="1">
      <alignment horizontal="center" vertical="center"/>
      <protection locked="0"/>
    </xf>
    <xf numFmtId="14" fontId="0" fillId="8" borderId="0" xfId="0" applyNumberFormat="1" applyFont="1" applyFill="1" applyProtection="1">
      <protection locked="0"/>
    </xf>
    <xf numFmtId="0" fontId="0" fillId="8" borderId="0" xfId="0" applyFont="1" applyFill="1"/>
    <xf numFmtId="0" fontId="1" fillId="8" borderId="0" xfId="0" applyFont="1" applyFill="1" applyProtection="1">
      <protection locked="0"/>
    </xf>
    <xf numFmtId="0" fontId="20" fillId="10" borderId="38" xfId="0" applyFont="1" applyFill="1" applyBorder="1" applyAlignment="1" applyProtection="1">
      <alignment horizontal="center" vertical="center"/>
    </xf>
    <xf numFmtId="0" fontId="21" fillId="9" borderId="42" xfId="0" applyFont="1" applyFill="1" applyBorder="1" applyAlignment="1">
      <alignment horizontal="center" vertical="center" wrapText="1"/>
    </xf>
    <xf numFmtId="0" fontId="13" fillId="8" borderId="0" xfId="0" applyFont="1" applyFill="1"/>
    <xf numFmtId="0" fontId="14" fillId="8" borderId="0" xfId="0" applyFont="1" applyFill="1"/>
    <xf numFmtId="0" fontId="13" fillId="8" borderId="0" xfId="0" applyFont="1" applyFill="1" applyAlignment="1">
      <alignment horizontal="left" vertical="center"/>
    </xf>
    <xf numFmtId="0" fontId="24" fillId="8" borderId="0" xfId="0" applyFont="1" applyFill="1"/>
    <xf numFmtId="0" fontId="0" fillId="0" borderId="0" xfId="0" applyBorder="1" applyAlignment="1">
      <alignment horizontal="left" vertical="top" wrapText="1"/>
    </xf>
    <xf numFmtId="0" fontId="25" fillId="8" borderId="0" xfId="0" applyFont="1" applyFill="1"/>
    <xf numFmtId="0" fontId="27" fillId="8" borderId="0" xfId="0" applyFont="1" applyFill="1"/>
    <xf numFmtId="0" fontId="28" fillId="8" borderId="0" xfId="0" applyFont="1" applyFill="1"/>
    <xf numFmtId="0" fontId="29" fillId="8" borderId="0" xfId="0" applyFont="1" applyFill="1"/>
    <xf numFmtId="0" fontId="29" fillId="8" borderId="0" xfId="0" applyFont="1" applyFill="1" applyAlignment="1"/>
    <xf numFmtId="0" fontId="27" fillId="8" borderId="0" xfId="0" applyFont="1" applyFill="1" applyAlignment="1"/>
    <xf numFmtId="0" fontId="29" fillId="8" borderId="0" xfId="0" quotePrefix="1" applyFont="1" applyFill="1" applyAlignment="1">
      <alignment horizontal="left" vertical="center"/>
    </xf>
    <xf numFmtId="0" fontId="27" fillId="8" borderId="0" xfId="0" applyFont="1" applyFill="1" applyAlignment="1">
      <alignment horizontal="left" vertical="center"/>
    </xf>
    <xf numFmtId="0" fontId="29" fillId="8" borderId="0" xfId="0" applyFont="1" applyFill="1" applyAlignment="1">
      <alignment horizontal="left" vertical="center"/>
    </xf>
    <xf numFmtId="0" fontId="29" fillId="8" borderId="0" xfId="0" applyFont="1" applyFill="1" applyAlignment="1">
      <alignment vertical="top"/>
    </xf>
    <xf numFmtId="0" fontId="29" fillId="8" borderId="0" xfId="0" applyFont="1" applyFill="1" applyAlignment="1">
      <alignment horizontal="left" vertical="center" wrapText="1"/>
    </xf>
    <xf numFmtId="0" fontId="27" fillId="8" borderId="0" xfId="0" applyFont="1" applyFill="1" applyAlignment="1">
      <alignment horizontal="left" vertical="center" wrapText="1"/>
    </xf>
    <xf numFmtId="0" fontId="21" fillId="9" borderId="45" xfId="0" applyFont="1" applyFill="1" applyBorder="1" applyAlignment="1">
      <alignment horizontal="center" vertical="center" wrapText="1"/>
    </xf>
    <xf numFmtId="0" fontId="22" fillId="9" borderId="45" xfId="0" applyFont="1" applyFill="1" applyBorder="1" applyAlignment="1">
      <alignment horizontal="center" vertical="center" wrapText="1"/>
    </xf>
    <xf numFmtId="0" fontId="21" fillId="9" borderId="42" xfId="0" applyFont="1" applyFill="1" applyBorder="1" applyAlignment="1">
      <alignment horizontal="center" vertical="top" wrapText="1"/>
    </xf>
    <xf numFmtId="0" fontId="21" fillId="9" borderId="45" xfId="0" applyFont="1" applyFill="1" applyBorder="1" applyAlignment="1" applyProtection="1">
      <alignment horizontal="center" vertical="center" wrapText="1"/>
    </xf>
    <xf numFmtId="0" fontId="21" fillId="9" borderId="46" xfId="0" applyFont="1" applyFill="1" applyBorder="1" applyAlignment="1">
      <alignment horizontal="center" vertical="center" wrapText="1"/>
    </xf>
    <xf numFmtId="0" fontId="31" fillId="9" borderId="47" xfId="0" applyFont="1" applyFill="1" applyBorder="1" applyAlignment="1">
      <alignment horizontal="center" vertical="center" wrapText="1"/>
    </xf>
    <xf numFmtId="0" fontId="21" fillId="9" borderId="44" xfId="0" applyFont="1" applyFill="1" applyBorder="1" applyAlignment="1">
      <alignment horizontal="center" vertical="top" wrapText="1"/>
    </xf>
    <xf numFmtId="0" fontId="21" fillId="9" borderId="43" xfId="0" applyFont="1" applyFill="1" applyBorder="1" applyAlignment="1">
      <alignment horizontal="center" vertical="top" wrapText="1"/>
    </xf>
    <xf numFmtId="0" fontId="23" fillId="0" borderId="49" xfId="0" applyFont="1" applyFill="1" applyBorder="1" applyAlignment="1" applyProtection="1">
      <alignment horizontal="center" vertical="top" wrapText="1"/>
      <protection locked="0"/>
    </xf>
    <xf numFmtId="0" fontId="23" fillId="0" borderId="49" xfId="0" applyFont="1" applyFill="1" applyBorder="1" applyAlignment="1" applyProtection="1">
      <alignment horizontal="left" vertical="top" wrapText="1"/>
      <protection locked="0"/>
    </xf>
    <xf numFmtId="14" fontId="23" fillId="0" borderId="49" xfId="0" applyNumberFormat="1" applyFont="1" applyFill="1" applyBorder="1" applyAlignment="1" applyProtection="1">
      <alignment horizontal="center" vertical="top" wrapText="1"/>
      <protection locked="0"/>
    </xf>
    <xf numFmtId="0" fontId="23" fillId="0" borderId="49" xfId="0" applyNumberFormat="1" applyFont="1" applyFill="1" applyBorder="1" applyAlignment="1" applyProtection="1">
      <alignment horizontal="center" vertical="top" wrapText="1"/>
    </xf>
    <xf numFmtId="1" fontId="23" fillId="0" borderId="49" xfId="0" applyNumberFormat="1" applyFont="1" applyFill="1" applyBorder="1" applyAlignment="1" applyProtection="1">
      <alignment horizontal="center" vertical="top" wrapText="1"/>
    </xf>
    <xf numFmtId="14" fontId="23" fillId="0" borderId="49" xfId="0" applyNumberFormat="1" applyFont="1" applyFill="1" applyBorder="1" applyAlignment="1" applyProtection="1">
      <alignment horizontal="center" vertical="top" wrapText="1"/>
    </xf>
    <xf numFmtId="0" fontId="23" fillId="0" borderId="48" xfId="0" applyFont="1" applyFill="1" applyBorder="1" applyAlignment="1" applyProtection="1">
      <alignment horizontal="center" vertical="top" wrapText="1"/>
      <protection locked="0"/>
    </xf>
    <xf numFmtId="49" fontId="23" fillId="0" borderId="48" xfId="0" applyNumberFormat="1" applyFont="1" applyFill="1" applyBorder="1" applyAlignment="1" applyProtection="1">
      <alignment horizontal="center" vertical="top" wrapText="1"/>
      <protection locked="0"/>
    </xf>
    <xf numFmtId="49" fontId="23" fillId="0" borderId="49" xfId="0" applyNumberFormat="1" applyFont="1" applyFill="1" applyBorder="1" applyAlignment="1" applyProtection="1">
      <alignment horizontal="center" vertical="top" wrapText="1"/>
      <protection locked="0"/>
    </xf>
    <xf numFmtId="1" fontId="23" fillId="0" borderId="49" xfId="0" applyNumberFormat="1" applyFont="1" applyFill="1" applyBorder="1" applyAlignment="1" applyProtection="1">
      <alignment horizontal="center" vertical="top" wrapText="1"/>
      <protection locked="0"/>
    </xf>
    <xf numFmtId="49" fontId="23" fillId="0" borderId="49" xfId="0" quotePrefix="1" applyNumberFormat="1" applyFont="1" applyFill="1" applyBorder="1" applyAlignment="1" applyProtection="1">
      <alignment horizontal="center" vertical="top" wrapText="1"/>
      <protection locked="0"/>
    </xf>
    <xf numFmtId="0" fontId="23" fillId="0" borderId="49" xfId="0" applyFont="1" applyBorder="1" applyAlignment="1">
      <alignment horizontal="center" vertical="top" wrapText="1"/>
    </xf>
    <xf numFmtId="0" fontId="23" fillId="0" borderId="49" xfId="0" applyFont="1" applyBorder="1" applyAlignment="1">
      <alignment horizontal="left" vertical="top" wrapText="1"/>
    </xf>
    <xf numFmtId="14" fontId="23" fillId="0" borderId="49" xfId="0" applyNumberFormat="1" applyFont="1" applyBorder="1" applyAlignment="1">
      <alignment horizontal="center" vertical="top" wrapText="1"/>
    </xf>
    <xf numFmtId="1" fontId="23" fillId="0" borderId="49" xfId="0" applyNumberFormat="1" applyFont="1" applyBorder="1" applyAlignment="1">
      <alignment horizontal="center" vertical="top" wrapText="1"/>
    </xf>
    <xf numFmtId="14" fontId="23" fillId="0" borderId="49" xfId="0" applyNumberFormat="1" applyFont="1" applyBorder="1" applyAlignment="1" applyProtection="1">
      <alignment horizontal="center" vertical="top" wrapText="1"/>
    </xf>
    <xf numFmtId="49" fontId="23" fillId="0" borderId="49" xfId="0" applyNumberFormat="1" applyFont="1" applyBorder="1" applyAlignment="1">
      <alignment horizontal="center" vertical="top" wrapText="1"/>
    </xf>
    <xf numFmtId="0" fontId="30" fillId="0" borderId="50" xfId="0" applyFont="1" applyBorder="1" applyAlignment="1">
      <alignment horizontal="center" vertical="top" wrapText="1"/>
    </xf>
    <xf numFmtId="0" fontId="30" fillId="0" borderId="50" xfId="0" applyFont="1" applyBorder="1" applyAlignment="1">
      <alignment horizontal="left" vertical="top" wrapText="1"/>
    </xf>
    <xf numFmtId="14" fontId="30" fillId="0" borderId="50" xfId="0" applyNumberFormat="1" applyFont="1" applyBorder="1" applyAlignment="1">
      <alignment horizontal="center" vertical="top" wrapText="1"/>
    </xf>
    <xf numFmtId="1" fontId="30" fillId="0" borderId="50" xfId="0" applyNumberFormat="1" applyFont="1" applyBorder="1" applyAlignment="1">
      <alignment horizontal="center" vertical="top" wrapText="1"/>
    </xf>
    <xf numFmtId="14" fontId="30" fillId="0" borderId="50" xfId="0" applyNumberFormat="1" applyFont="1" applyBorder="1" applyAlignment="1" applyProtection="1">
      <alignment horizontal="center" vertical="top" wrapText="1"/>
    </xf>
    <xf numFmtId="49" fontId="30" fillId="0" borderId="50" xfId="0" applyNumberFormat="1" applyFont="1" applyBorder="1" applyAlignment="1">
      <alignment horizontal="center" vertical="top" wrapText="1"/>
    </xf>
    <xf numFmtId="0" fontId="23" fillId="11" borderId="48" xfId="0" applyNumberFormat="1" applyFont="1" applyFill="1" applyBorder="1" applyAlignment="1" applyProtection="1">
      <alignment horizontal="center" vertical="top" wrapText="1"/>
    </xf>
    <xf numFmtId="0" fontId="23" fillId="11" borderId="49" xfId="0" applyNumberFormat="1" applyFont="1" applyFill="1" applyBorder="1" applyAlignment="1" applyProtection="1">
      <alignment horizontal="center" vertical="top" wrapText="1"/>
    </xf>
    <xf numFmtId="0" fontId="23" fillId="11" borderId="49" xfId="0" applyFont="1" applyFill="1" applyBorder="1" applyAlignment="1">
      <alignment horizontal="center" vertical="top" wrapText="1"/>
    </xf>
    <xf numFmtId="0" fontId="23" fillId="11" borderId="50" xfId="0" applyFont="1" applyFill="1" applyBorder="1" applyAlignment="1">
      <alignment horizontal="center" vertical="top" wrapText="1"/>
    </xf>
    <xf numFmtId="0" fontId="23" fillId="11" borderId="51" xfId="0" applyFont="1" applyFill="1" applyBorder="1" applyAlignment="1" applyProtection="1">
      <alignment horizontal="center" vertical="top" wrapText="1"/>
      <protection locked="0"/>
    </xf>
    <xf numFmtId="0" fontId="23" fillId="11" borderId="52" xfId="0" applyFont="1" applyFill="1" applyBorder="1" applyAlignment="1" applyProtection="1">
      <alignment horizontal="center" vertical="top" wrapText="1"/>
      <protection locked="0"/>
    </xf>
    <xf numFmtId="0" fontId="23" fillId="11" borderId="53" xfId="0" applyFont="1" applyFill="1" applyBorder="1" applyAlignment="1" applyProtection="1">
      <alignment horizontal="center" vertical="top" wrapText="1"/>
      <protection locked="0"/>
    </xf>
    <xf numFmtId="0" fontId="30" fillId="11" borderId="49" xfId="0" applyFont="1" applyFill="1" applyBorder="1" applyAlignment="1">
      <alignment horizontal="center" vertical="top" wrapText="1"/>
    </xf>
    <xf numFmtId="0" fontId="30" fillId="11" borderId="52" xfId="0" applyFont="1" applyFill="1" applyBorder="1" applyAlignment="1" applyProtection="1">
      <alignment horizontal="center" vertical="top" wrapText="1"/>
      <protection locked="0"/>
    </xf>
    <xf numFmtId="0" fontId="30" fillId="0" borderId="49" xfId="0" applyFont="1" applyBorder="1" applyAlignment="1">
      <alignment horizontal="center" vertical="top" wrapText="1"/>
    </xf>
    <xf numFmtId="0" fontId="30" fillId="0" borderId="49" xfId="0" applyFont="1" applyBorder="1" applyAlignment="1">
      <alignment horizontal="left" vertical="top" wrapText="1"/>
    </xf>
    <xf numFmtId="14" fontId="30" fillId="0" borderId="49" xfId="0" applyNumberFormat="1" applyFont="1" applyBorder="1" applyAlignment="1">
      <alignment horizontal="center" vertical="top" wrapText="1"/>
    </xf>
    <xf numFmtId="1" fontId="30" fillId="0" borderId="49" xfId="0" applyNumberFormat="1" applyFont="1" applyBorder="1" applyAlignment="1">
      <alignment horizontal="center" vertical="top" wrapText="1"/>
    </xf>
    <xf numFmtId="14" fontId="30" fillId="0" borderId="49" xfId="0" applyNumberFormat="1" applyFont="1" applyBorder="1" applyAlignment="1" applyProtection="1">
      <alignment horizontal="center" vertical="top" wrapText="1"/>
    </xf>
    <xf numFmtId="49" fontId="30" fillId="0" borderId="49" xfId="0" applyNumberFormat="1" applyFont="1" applyBorder="1" applyAlignment="1">
      <alignment horizontal="center" vertical="top" wrapText="1"/>
    </xf>
    <xf numFmtId="0" fontId="26" fillId="8" borderId="0" xfId="0" applyFont="1" applyFill="1" applyAlignment="1">
      <alignment horizontal="center" vertical="center"/>
    </xf>
    <xf numFmtId="0" fontId="16" fillId="8" borderId="0" xfId="0" applyFont="1" applyFill="1" applyAlignment="1">
      <alignment horizontal="center" vertical="center"/>
    </xf>
    <xf numFmtId="0" fontId="17" fillId="8" borderId="0" xfId="0" applyFont="1" applyFill="1" applyBorder="1" applyAlignment="1" applyProtection="1">
      <alignment horizontal="left" vertical="center"/>
      <protection locked="0"/>
    </xf>
    <xf numFmtId="0" fontId="17" fillId="8" borderId="0" xfId="0" applyFont="1" applyFill="1" applyBorder="1" applyAlignment="1" applyProtection="1">
      <alignment horizontal="center" vertical="center"/>
      <protection locked="0"/>
    </xf>
    <xf numFmtId="0" fontId="19" fillId="10" borderId="7" xfId="0" applyFont="1" applyFill="1" applyBorder="1" applyAlignment="1" applyProtection="1">
      <alignment horizontal="center" vertical="center"/>
    </xf>
    <xf numFmtId="0" fontId="19" fillId="10" borderId="37" xfId="0" applyFont="1" applyFill="1" applyBorder="1" applyAlignment="1" applyProtection="1">
      <alignment horizontal="center" vertical="center"/>
    </xf>
    <xf numFmtId="0" fontId="0" fillId="8" borderId="39" xfId="0" applyFont="1" applyFill="1" applyBorder="1" applyAlignment="1" applyProtection="1">
      <alignment horizontal="center"/>
    </xf>
    <xf numFmtId="0" fontId="0" fillId="8" borderId="40" xfId="0" applyFont="1" applyFill="1" applyBorder="1" applyAlignment="1" applyProtection="1">
      <alignment horizontal="center"/>
    </xf>
    <xf numFmtId="0" fontId="0" fillId="8" borderId="25" xfId="0" applyFont="1" applyFill="1" applyBorder="1" applyAlignment="1" applyProtection="1">
      <alignment horizontal="center"/>
    </xf>
    <xf numFmtId="0" fontId="0" fillId="8" borderId="41" xfId="0" applyFont="1" applyFill="1" applyBorder="1" applyAlignment="1" applyProtection="1">
      <alignment horizontal="center"/>
    </xf>
    <xf numFmtId="0" fontId="0" fillId="8" borderId="0" xfId="0" applyFont="1" applyFill="1" applyBorder="1" applyAlignment="1" applyProtection="1">
      <alignment horizontal="center"/>
    </xf>
    <xf numFmtId="0" fontId="0" fillId="8" borderId="36" xfId="0" applyFont="1" applyFill="1" applyBorder="1" applyAlignment="1" applyProtection="1">
      <alignment horizontal="center"/>
    </xf>
    <xf numFmtId="0" fontId="0" fillId="5" borderId="19" xfId="0" applyFill="1" applyBorder="1" applyAlignment="1">
      <alignment horizontal="center" vertical="center" wrapText="1"/>
    </xf>
    <xf numFmtId="0" fontId="0" fillId="2" borderId="35" xfId="0" applyFill="1" applyBorder="1" applyAlignment="1">
      <alignment horizontal="center" vertical="center" wrapText="1"/>
    </xf>
    <xf numFmtId="0" fontId="11" fillId="2" borderId="9"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2" fillId="0" borderId="0" xfId="0" applyFont="1" applyAlignment="1">
      <alignment horizontal="center" vertical="center" wrapText="1"/>
    </xf>
  </cellXfs>
  <cellStyles count="1">
    <cellStyle name="Normal" xfId="0" builtinId="0"/>
  </cellStyles>
  <dxfs count="101">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30" formatCode="@"/>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 formatCode="0"/>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left"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style="thin">
          <color theme="0"/>
        </top>
        <bottom/>
        <vertical/>
        <horizontal/>
      </border>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top style="thin">
          <color theme="0"/>
        </top>
        <bottom/>
        <vertical/>
        <horizontal/>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b val="0"/>
        <i val="0"/>
        <color rgb="FFD55653"/>
      </font>
    </dxf>
    <dxf>
      <font>
        <b val="0"/>
        <i/>
        <color theme="0" tint="-0.499984740745262"/>
      </font>
    </dxf>
    <dxf>
      <font>
        <color theme="0"/>
      </font>
      <fill>
        <patternFill>
          <bgColor rgb="FFD86966"/>
        </patternFill>
      </fill>
    </dxf>
    <dxf>
      <font>
        <color theme="1"/>
      </font>
      <fill>
        <patternFill>
          <bgColor rgb="FFFFFFD1"/>
        </patternFill>
      </fill>
    </dxf>
    <dxf>
      <fill>
        <patternFill>
          <bgColor rgb="FFC0E391"/>
        </patternFill>
      </fill>
    </dxf>
    <dxf>
      <font>
        <color theme="0"/>
      </font>
      <fill>
        <patternFill>
          <bgColor rgb="FFD46966"/>
        </patternFill>
      </fill>
    </dxf>
    <dxf>
      <font>
        <b val="0"/>
        <i val="0"/>
        <color rgb="FFD14643"/>
      </font>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4">
      <tableStyleElement type="wholeTable" dxfId="93"/>
      <tableStyleElement type="headerRow" dxfId="92"/>
      <tableStyleElement type="totalRow" dxfId="91"/>
      <tableStyleElement type="firstRowStripe" dxfId="90"/>
    </tableStyle>
    <tableStyle name="TableStyleMedium16 2" pivot="0" count="7">
      <tableStyleElement type="wholeTable" dxfId="89"/>
      <tableStyleElement type="headerRow" dxfId="88"/>
      <tableStyleElement type="totalRow" dxfId="87"/>
      <tableStyleElement type="firstColumn" dxfId="86"/>
      <tableStyleElement type="lastColumn" dxfId="85"/>
      <tableStyleElement type="firstRowStripe" dxfId="84"/>
      <tableStyleElement type="firstColumnStripe" dxfId="83"/>
    </tableStyle>
    <tableStyle name="TableStyleMedium22 2" pivot="0" count="7">
      <tableStyleElement type="wholeTable" dxfId="82"/>
      <tableStyleElement type="headerRow" dxfId="81"/>
      <tableStyleElement type="totalRow" dxfId="80"/>
      <tableStyleElement type="firstColumn" dxfId="79"/>
      <tableStyleElement type="lastColumn" dxfId="78"/>
      <tableStyleElement type="firstRowStripe" dxfId="77"/>
      <tableStyleElement type="firstColumnStripe" dxfId="76"/>
    </tableStyle>
    <tableStyle name="TableStyleMedium23 2" pivot="0" count="8">
      <tableStyleElement type="wholeTable" dxfId="75"/>
      <tableStyleElement type="headerRow" dxfId="74"/>
      <tableStyleElement type="totalRow" dxfId="73"/>
      <tableStyleElement type="firstColumn" dxfId="72"/>
      <tableStyleElement type="lastColumn" dxfId="71"/>
      <tableStyleElement type="firstRowStripe" dxfId="70"/>
      <tableStyleElement type="firstColumnStripe" dxfId="69"/>
      <tableStyleElement type="secondColumnStripe" dxfId="68"/>
    </tableStyle>
  </tableStyles>
  <colors>
    <mruColors>
      <color rgb="FFE4E4E4"/>
      <color rgb="FFD14643"/>
      <color rgb="FF73A2DB"/>
      <color rgb="FFE8E8E8"/>
      <color rgb="FFF0F0F0"/>
      <color rgb="FFD36767"/>
      <color rgb="FFD55653"/>
      <color rgb="FFD46966"/>
      <color rgb="FFD86966"/>
      <color rgb="FF91B6E3"/>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462328</xdr:colOff>
      <xdr:row>0</xdr:row>
      <xdr:rowOff>0</xdr:rowOff>
    </xdr:from>
    <xdr:to>
      <xdr:col>11</xdr:col>
      <xdr:colOff>235324</xdr:colOff>
      <xdr:row>7</xdr:row>
      <xdr:rowOff>42133</xdr:rowOff>
    </xdr:to>
    <xdr:pic>
      <xdr:nvPicPr>
        <xdr:cNvPr id="2" name="Picture 1" descr="Copy of WD RTA sheet header.jpg"/>
        <xdr:cNvPicPr>
          <a:picLocks noChangeAspect="1"/>
        </xdr:cNvPicPr>
      </xdr:nvPicPr>
      <xdr:blipFill>
        <a:blip xmlns:r="http://schemas.openxmlformats.org/officeDocument/2006/relationships" r:embed="rId1" cstate="print"/>
        <a:stretch>
          <a:fillRect/>
        </a:stretch>
      </xdr:blipFill>
      <xdr:spPr>
        <a:xfrm>
          <a:off x="675240" y="0"/>
          <a:ext cx="6855113" cy="1308398"/>
        </a:xfrm>
        <a:prstGeom prst="roundRect">
          <a:avLst>
            <a:gd name="adj" fmla="val 8594"/>
          </a:avLst>
        </a:prstGeom>
        <a:solidFill>
          <a:srgbClr val="FFFFFF">
            <a:shade val="85000"/>
          </a:srgbClr>
        </a:solidFill>
        <a:ln>
          <a:noFill/>
        </a:ln>
        <a:effectLst>
          <a:reflection blurRad="6350" stA="9000" endPos="90000" dir="5400000" sy="-100000" algn="bl" rotWithShape="0"/>
        </a:effectLst>
      </xdr:spPr>
    </xdr:pic>
    <xdr:clientData/>
  </xdr:twoCellAnchor>
  <mc:AlternateContent xmlns:mc="http://schemas.openxmlformats.org/markup-compatibility/2006">
    <mc:Choice xmlns:a14="http://schemas.microsoft.com/office/drawing/2010/main" Requires="a14">
      <xdr:twoCellAnchor editAs="oneCell">
        <xdr:from>
          <xdr:col>10</xdr:col>
          <xdr:colOff>542925</xdr:colOff>
          <xdr:row>5</xdr:row>
          <xdr:rowOff>47625</xdr:rowOff>
        </xdr:from>
        <xdr:to>
          <xdr:col>11</xdr:col>
          <xdr:colOff>104775</xdr:colOff>
          <xdr:row>6</xdr:row>
          <xdr:rowOff>104775</xdr:rowOff>
        </xdr:to>
        <xdr:sp macro="" textlink="">
          <xdr:nvSpPr>
            <xdr:cNvPr id="2051" name="sheetRev"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219075</xdr:rowOff>
        </xdr:from>
        <xdr:to>
          <xdr:col>7</xdr:col>
          <xdr:colOff>209550</xdr:colOff>
          <xdr:row>27</xdr:row>
          <xdr:rowOff>95250</xdr:rowOff>
        </xdr:to>
        <xdr:sp macro="" textlink="">
          <xdr:nvSpPr>
            <xdr:cNvPr id="2052" name="CommandButton1"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133350</xdr:colOff>
          <xdr:row>0</xdr:row>
          <xdr:rowOff>66675</xdr:rowOff>
        </xdr:from>
        <xdr:to>
          <xdr:col>3</xdr:col>
          <xdr:colOff>2819400</xdr:colOff>
          <xdr:row>1</xdr:row>
          <xdr:rowOff>152400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714375</xdr:rowOff>
        </xdr:from>
        <xdr:to>
          <xdr:col>2</xdr:col>
          <xdr:colOff>971550</xdr:colOff>
          <xdr:row>3</xdr:row>
          <xdr:rowOff>104775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971550</xdr:colOff>
          <xdr:row>2</xdr:row>
          <xdr:rowOff>647700</xdr:rowOff>
        </xdr:from>
        <xdr:to>
          <xdr:col>2</xdr:col>
          <xdr:colOff>1352550</xdr:colOff>
          <xdr:row>3</xdr:row>
          <xdr:rowOff>123825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361950</xdr:rowOff>
        </xdr:from>
        <xdr:to>
          <xdr:col>2</xdr:col>
          <xdr:colOff>1314450</xdr:colOff>
          <xdr:row>1</xdr:row>
          <xdr:rowOff>666750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733425</xdr:rowOff>
        </xdr:from>
        <xdr:to>
          <xdr:col>2</xdr:col>
          <xdr:colOff>1314450</xdr:colOff>
          <xdr:row>2</xdr:row>
          <xdr:rowOff>219075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47625</xdr:colOff>
          <xdr:row>2</xdr:row>
          <xdr:rowOff>276225</xdr:rowOff>
        </xdr:from>
        <xdr:to>
          <xdr:col>2</xdr:col>
          <xdr:colOff>1285875</xdr:colOff>
          <xdr:row>2</xdr:row>
          <xdr:rowOff>590550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xdr:row>
          <xdr:rowOff>76200</xdr:rowOff>
        </xdr:from>
        <xdr:to>
          <xdr:col>2</xdr:col>
          <xdr:colOff>1352550</xdr:colOff>
          <xdr:row>1</xdr:row>
          <xdr:rowOff>333375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29" unboundColumnsLeft="1">
    <queryTableFields count="23">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W1338" tableType="queryTable" totalsRowShown="0" headerRowDxfId="60" dataDxfId="58" headerRowBorderDxfId="59">
  <sortState ref="A6:W1338">
    <sortCondition ref="A5:A1338"/>
  </sortState>
  <tableColumns count="23">
    <tableColumn id="17" uniqueName="17" name=" " queryTableFieldId="17" dataDxfId="22">
      <calculatedColumnFormula>IF(priority(Main[[#This Row],[Comments]])&lt;&gt;0, priority(Main[[#This Row],[Comments]]),"")</calculatedColumnFormula>
    </tableColumn>
    <tableColumn id="1" uniqueName="1" name="RTA" queryTableFieldId="1" dataDxfId="21"/>
    <tableColumn id="2" uniqueName="2" name="Customer" queryTableFieldId="2" dataDxfId="20"/>
    <tableColumn id="3" uniqueName="3" name="Description" queryTableFieldId="3" dataDxfId="19"/>
    <tableColumn id="4" uniqueName="4" name="Submitted" queryTableFieldId="4" dataDxfId="18"/>
    <tableColumn id="5" uniqueName="5" name="In Stock Date" queryTableFieldId="5" dataDxfId="17"/>
    <tableColumn id="19" uniqueName="19" name="Standard Production Lead Time" queryTableFieldId="19" dataDxfId="16">
      <calculatedColumnFormula>IF(stdProdLT(Main[[#This Row],[Comments]])=0.1,"N/A",IF(stdProdLT(Main[[#This Row],[Comments]])=0,"",stdProdLT(Main[[#This Row],[Comments]])))</calculatedColumnFormula>
    </tableColumn>
    <tableColumn id="18" uniqueName="18" name="Remaining Production Lead Time" queryTableFieldId="18" dataDxfId="15">
      <calculatedColumnFormula>IF(AND(Main[[#This Row],[In Stock Date]]&lt;&gt;"",Main[[#This Row],[Revised Due Date]]&lt;&gt;""),Main[[#This Row],[In Stock Date]]-Main[[#This Row],[Revised Due Date]],"")</calculatedColumnFormula>
    </tableColumn>
    <tableColumn id="6" uniqueName="6" name="Assigned To" queryTableFieldId="6" dataDxfId="14"/>
    <tableColumn id="7" uniqueName="7" name="Current Status" queryTableFieldId="7" dataDxfId="13"/>
    <tableColumn id="12" uniqueName="12" name="Class" queryTableFieldId="12" dataDxfId="12"/>
    <tableColumn id="9" uniqueName="9" name="Tech Start Date" queryTableFieldId="9" dataDxfId="11"/>
    <tableColumn id="22" uniqueName="22" name="Design" queryTableFieldId="23" dataDxfId="10">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9">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8">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7">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6"/>
    <tableColumn id="11" uniqueName="11" name="Revised Due Date" queryTableFieldId="11" dataDxfId="5"/>
    <tableColumn id="13" uniqueName="13" name="Type" queryTableFieldId="13" dataDxfId="4"/>
    <tableColumn id="14" uniqueName="14" name="Comments" queryTableFieldId="14" dataDxfId="3"/>
    <tableColumn id="15" uniqueName="15" name="State" queryTableFieldId="15" dataDxfId="2"/>
    <tableColumn id="8" uniqueName="8" name="Lab Office" queryTableFieldId="8" dataDxfId="1"/>
    <tableColumn id="16" uniqueName="16" name="Code" queryTableFieldId="16" dataDxfId="0"/>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4" tableType="queryTable" headerRowCount="0" totalsRowShown="0" headerRowDxfId="57" dataDxfId="56">
  <tableColumns count="1">
    <tableColumn id="1" uniqueName="1" name="Assigned To" queryTableFieldId="1" headerRowDxfId="55" dataDxfId="23"/>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54" dataDxfId="53">
  <tableColumns count="1">
    <tableColumn id="1" uniqueName="1" name="Assigned To" queryTableFieldId="1" headerRowDxfId="52" dataDxfId="24"/>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1" dataDxfId="50">
  <tableColumns count="1">
    <tableColumn id="1" uniqueName="1" name="Assigned To" queryTableFieldId="1" headerRowDxfId="49" dataDxfId="25"/>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48" dataDxfId="26"/>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47">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46" dataDxfId="45">
  <autoFilter ref="I28:I36"/>
  <sortState ref="I29:I36">
    <sortCondition ref="I2:I10"/>
  </sortState>
  <tableColumns count="1">
    <tableColumn id="1" uniqueName="1" name="State" queryTableFieldId="1" dataDxfId="27"/>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4">
  <autoFilter ref="J28:J35"/>
  <sortState ref="J29:J35">
    <sortCondition ref="J24:J31"/>
  </sortState>
  <tableColumns count="1">
    <tableColumn id="1" uniqueName="1" name="Code" queryTableFieldId="2" dataDxfId="28"/>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3" dataDxfId="42" tableBorderDxfId="41">
  <autoFilter ref="H28:H36"/>
  <tableColumns count="1">
    <tableColumn id="1" uniqueName="1" name="Type" queryTableFieldId="1" dataDxfId="29"/>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0">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39" dataDxfId="38">
  <tableColumns count="8">
    <tableColumn id="1" name="#" dataDxfId="37"/>
    <tableColumn id="2" name="RTA" dataDxfId="36"/>
    <tableColumn id="3" name="Customer" dataDxfId="35"/>
    <tableColumn id="4" name="Description" dataDxfId="34"/>
    <tableColumn id="5" name="Available In Stock" dataDxfId="33"/>
    <tableColumn id="11" name="Assigned To" dataDxfId="32"/>
    <tableColumn id="8" name="Status" dataDxfId="31"/>
    <tableColumn id="9" name="Tech Rev'd Due Date" dataDxfId="3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L28"/>
  <sheetViews>
    <sheetView tabSelected="1" zoomScaleNormal="100" workbookViewId="0"/>
  </sheetViews>
  <sheetFormatPr defaultRowHeight="14.25"/>
  <cols>
    <col min="1" max="1" width="2.75" style="74" customWidth="1"/>
    <col min="2" max="2" width="9.5" style="74" customWidth="1"/>
    <col min="3" max="3" width="9.75" style="74" customWidth="1"/>
    <col min="4" max="4" width="8" style="74" customWidth="1"/>
    <col min="5" max="9" width="9.5" style="74" customWidth="1"/>
    <col min="10" max="16384" width="9" style="74"/>
  </cols>
  <sheetData>
    <row r="2" spans="2:12">
      <c r="C2" s="138" t="s">
        <v>2124</v>
      </c>
      <c r="D2" s="138"/>
      <c r="E2" s="138"/>
      <c r="F2" s="138"/>
      <c r="G2" s="138"/>
      <c r="H2" s="138"/>
      <c r="I2" s="138"/>
      <c r="J2" s="138"/>
      <c r="K2" s="138"/>
    </row>
    <row r="3" spans="2:12">
      <c r="C3" s="138"/>
      <c r="D3" s="138"/>
      <c r="E3" s="138"/>
      <c r="F3" s="138"/>
      <c r="G3" s="138"/>
      <c r="H3" s="138"/>
      <c r="I3" s="138"/>
      <c r="J3" s="138"/>
      <c r="K3" s="138"/>
    </row>
    <row r="4" spans="2:12" ht="15" customHeight="1">
      <c r="C4" s="138"/>
      <c r="D4" s="138"/>
      <c r="E4" s="138"/>
      <c r="F4" s="138"/>
      <c r="G4" s="138"/>
      <c r="H4" s="138"/>
      <c r="I4" s="138"/>
      <c r="J4" s="138"/>
      <c r="K4" s="138"/>
    </row>
    <row r="5" spans="2:12" ht="14.25" customHeight="1">
      <c r="C5" s="138"/>
      <c r="D5" s="138"/>
      <c r="E5" s="138"/>
      <c r="F5" s="138"/>
      <c r="G5" s="138"/>
      <c r="H5" s="138"/>
      <c r="I5" s="138"/>
      <c r="J5" s="138"/>
      <c r="K5" s="138"/>
    </row>
    <row r="6" spans="2:12" ht="14.25" customHeight="1">
      <c r="C6" s="138"/>
      <c r="D6" s="138"/>
      <c r="E6" s="138"/>
      <c r="F6" s="138"/>
      <c r="G6" s="138"/>
      <c r="H6" s="138"/>
      <c r="I6" s="138"/>
      <c r="J6" s="138"/>
      <c r="K6" s="138"/>
    </row>
    <row r="7" spans="2:12" ht="14.25" customHeight="1"/>
    <row r="8" spans="2:12" ht="14.25" customHeight="1"/>
    <row r="9" spans="2:12" ht="14.25" customHeight="1"/>
    <row r="10" spans="2:12" ht="14.25" customHeight="1"/>
    <row r="11" spans="2:12" ht="14.25" customHeight="1"/>
    <row r="12" spans="2:12" ht="14.25" customHeight="1"/>
    <row r="13" spans="2:12" ht="14.25" customHeight="1"/>
    <row r="14" spans="2:12" ht="6.75" customHeight="1"/>
    <row r="15" spans="2:12" ht="6.75" customHeight="1">
      <c r="B15" s="79"/>
      <c r="C15" s="79"/>
      <c r="D15" s="79"/>
      <c r="E15" s="79"/>
      <c r="F15" s="79"/>
      <c r="G15" s="79"/>
      <c r="H15" s="79"/>
      <c r="I15" s="79"/>
      <c r="J15" s="79"/>
      <c r="K15" s="79"/>
      <c r="L15" s="79"/>
    </row>
    <row r="16" spans="2:12" ht="33.75">
      <c r="B16" s="137" t="s">
        <v>2091</v>
      </c>
      <c r="C16" s="137"/>
      <c r="D16" s="137"/>
      <c r="E16" s="137"/>
      <c r="F16" s="137"/>
      <c r="G16" s="137"/>
      <c r="H16" s="137"/>
      <c r="I16" s="137"/>
      <c r="J16" s="137"/>
      <c r="K16" s="137"/>
      <c r="L16" s="137"/>
    </row>
    <row r="17" spans="1:12">
      <c r="B17" s="80"/>
      <c r="C17" s="80"/>
      <c r="D17" s="80"/>
      <c r="E17" s="80"/>
      <c r="F17" s="80"/>
      <c r="G17" s="80"/>
      <c r="H17" s="80"/>
      <c r="I17" s="80"/>
      <c r="J17" s="80"/>
      <c r="K17" s="80"/>
      <c r="L17" s="80"/>
    </row>
    <row r="18" spans="1:12" ht="14.25" customHeight="1">
      <c r="B18" s="81" t="s">
        <v>2103</v>
      </c>
      <c r="C18" s="80"/>
      <c r="D18" s="82"/>
      <c r="E18" s="82"/>
      <c r="F18" s="82"/>
      <c r="G18" s="82"/>
      <c r="H18" s="82"/>
      <c r="I18" s="82"/>
      <c r="J18" s="82"/>
      <c r="K18" s="80"/>
      <c r="L18" s="80"/>
    </row>
    <row r="19" spans="1:12" s="75" customFormat="1" ht="21" customHeight="1">
      <c r="A19" s="74"/>
      <c r="B19" s="80"/>
      <c r="C19" s="80"/>
      <c r="D19" s="80"/>
      <c r="E19" s="80"/>
      <c r="F19" s="80"/>
      <c r="G19" s="80"/>
      <c r="H19" s="80"/>
      <c r="I19" s="80"/>
      <c r="J19" s="80"/>
      <c r="K19" s="82"/>
      <c r="L19" s="82"/>
    </row>
    <row r="20" spans="1:12" ht="14.25" customHeight="1">
      <c r="B20" s="80"/>
      <c r="C20" s="80"/>
      <c r="D20" s="83" t="s">
        <v>2101</v>
      </c>
      <c r="E20" s="83"/>
      <c r="F20" s="83"/>
      <c r="G20" s="83"/>
      <c r="H20" s="83"/>
      <c r="I20" s="83"/>
      <c r="J20" s="84"/>
      <c r="K20" s="84"/>
      <c r="L20" s="80"/>
    </row>
    <row r="21" spans="1:12" ht="24" customHeight="1">
      <c r="B21" s="80"/>
      <c r="C21" s="80"/>
      <c r="D21" s="82"/>
      <c r="E21" s="85" t="s">
        <v>2092</v>
      </c>
      <c r="F21" s="82"/>
      <c r="G21" s="82"/>
      <c r="H21" s="82"/>
      <c r="I21" s="82"/>
      <c r="J21" s="80"/>
      <c r="K21" s="80"/>
      <c r="L21" s="80"/>
    </row>
    <row r="22" spans="1:12" s="76" customFormat="1" ht="25.5" customHeight="1">
      <c r="B22" s="86"/>
      <c r="C22" s="86"/>
      <c r="D22" s="87"/>
      <c r="E22" s="85" t="s">
        <v>2093</v>
      </c>
      <c r="F22" s="87"/>
      <c r="G22" s="87"/>
      <c r="H22" s="87"/>
      <c r="I22" s="87"/>
      <c r="J22" s="86"/>
      <c r="K22" s="86"/>
      <c r="L22" s="86"/>
    </row>
    <row r="23" spans="1:12" s="76" customFormat="1" ht="15">
      <c r="B23" s="86"/>
      <c r="C23" s="86"/>
      <c r="D23" s="87"/>
      <c r="E23" s="85" t="s">
        <v>2094</v>
      </c>
      <c r="F23" s="87"/>
      <c r="G23" s="87"/>
      <c r="H23" s="87"/>
      <c r="I23" s="87"/>
      <c r="J23" s="86"/>
      <c r="K23" s="86"/>
      <c r="L23" s="86"/>
    </row>
    <row r="24" spans="1:12" s="76" customFormat="1" ht="20.25" customHeight="1">
      <c r="B24" s="86"/>
      <c r="C24" s="86"/>
      <c r="D24" s="87"/>
      <c r="E24" s="88" t="s">
        <v>2100</v>
      </c>
      <c r="F24" s="89"/>
      <c r="G24" s="89"/>
      <c r="H24" s="89"/>
      <c r="I24" s="89"/>
      <c r="J24" s="90"/>
      <c r="K24" s="86"/>
      <c r="L24" s="86"/>
    </row>
    <row r="25" spans="1:12" ht="20.25" customHeight="1">
      <c r="B25" s="77"/>
      <c r="C25" s="77"/>
      <c r="D25" s="77"/>
      <c r="E25" s="77"/>
      <c r="F25" s="77"/>
      <c r="G25" s="77"/>
      <c r="H25" s="77"/>
      <c r="I25" s="77"/>
      <c r="J25" s="77"/>
      <c r="K25" s="77"/>
      <c r="L25" s="77"/>
    </row>
    <row r="26" spans="1:12" ht="14.25" customHeight="1"/>
    <row r="27" spans="1:12" ht="14.25" customHeight="1"/>
    <row r="28" spans="1:12" ht="14.25" customHeight="1"/>
  </sheetData>
  <dataConsolidate/>
  <mergeCells count="2">
    <mergeCell ref="B16:L16"/>
    <mergeCell ref="C2:K6"/>
  </mergeCells>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5</xdr:col>
                <xdr:colOff>419100</xdr:colOff>
                <xdr:row>24</xdr:row>
                <xdr:rowOff>219075</xdr:rowOff>
              </from>
              <to>
                <xdr:col>7</xdr:col>
                <xdr:colOff>209550</xdr:colOff>
                <xdr:row>27</xdr:row>
                <xdr:rowOff>95250</xdr:rowOff>
              </to>
            </anchor>
          </controlPr>
        </control>
      </mc:Choice>
      <mc:Fallback>
        <control shapeId="2052" r:id="rId4" name="CommandButton1"/>
      </mc:Fallback>
    </mc:AlternateContent>
    <mc:AlternateContent xmlns:mc="http://schemas.openxmlformats.org/markup-compatibility/2006">
      <mc:Choice Requires="x14">
        <control shapeId="2051" r:id="rId6" name="sheetRev">
          <controlPr defaultSize="0" autoLine="0" r:id="rId7">
            <anchor moveWithCells="1">
              <from>
                <xdr:col>10</xdr:col>
                <xdr:colOff>542925</xdr:colOff>
                <xdr:row>5</xdr:row>
                <xdr:rowOff>47625</xdr:rowOff>
              </from>
              <to>
                <xdr:col>11</xdr:col>
                <xdr:colOff>104775</xdr:colOff>
                <xdr:row>6</xdr:row>
                <xdr:rowOff>104775</xdr:rowOff>
              </to>
            </anchor>
          </controlPr>
        </control>
      </mc:Choice>
      <mc:Fallback>
        <control shapeId="205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338"/>
  <sheetViews>
    <sheetView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68" customWidth="1"/>
    <col min="2" max="2" width="9.25" style="66" customWidth="1"/>
    <col min="3" max="3" width="18.25" style="66" customWidth="1"/>
    <col min="4" max="4" width="38.5" style="66" customWidth="1"/>
    <col min="5" max="5" width="11.375" style="66" hidden="1" customWidth="1"/>
    <col min="6" max="6" width="12.625" style="66" customWidth="1"/>
    <col min="7" max="8" width="10.625" style="66" customWidth="1"/>
    <col min="9" max="9" width="20.125" style="66" hidden="1" customWidth="1"/>
    <col min="10" max="10" width="17.875" style="66" customWidth="1"/>
    <col min="11" max="11" width="8" style="66" hidden="1" customWidth="1"/>
    <col min="12" max="12" width="12.25" style="69" hidden="1" customWidth="1"/>
    <col min="13" max="16" width="13.5" style="69" hidden="1" customWidth="1"/>
    <col min="17" max="17" width="12.875" style="70" hidden="1" customWidth="1"/>
    <col min="18" max="18" width="12.625" style="69" customWidth="1"/>
    <col min="19" max="19" width="17.375" style="66" hidden="1" customWidth="1"/>
    <col min="20" max="20" width="31" style="66" hidden="1" customWidth="1"/>
    <col min="21" max="21" width="13.375" style="66" hidden="1" customWidth="1"/>
    <col min="22" max="22" width="11.5" style="66" hidden="1" customWidth="1"/>
    <col min="23" max="23" width="6.375" style="66" hidden="1" customWidth="1"/>
    <col min="24" max="24" width="13.875" style="66" customWidth="1"/>
    <col min="25" max="25" width="5.875" style="66" customWidth="1"/>
    <col min="26" max="26" width="7.75" style="66" customWidth="1"/>
    <col min="27" max="27" width="5.75" style="66" customWidth="1"/>
    <col min="28" max="28" width="22.375" style="66" customWidth="1"/>
    <col min="29" max="16384" width="9" style="66"/>
  </cols>
  <sheetData>
    <row r="1" spans="1:31" s="59" customFormat="1" ht="21" customHeight="1">
      <c r="A1" s="141" t="s">
        <v>3086</v>
      </c>
      <c r="B1" s="142"/>
      <c r="C1" s="72" t="s">
        <v>3087</v>
      </c>
      <c r="D1" s="64"/>
      <c r="L1" s="60"/>
      <c r="M1" s="60"/>
      <c r="N1" s="60"/>
      <c r="O1" s="60"/>
      <c r="P1" s="60"/>
      <c r="Q1" s="60"/>
    </row>
    <row r="2" spans="1:31" s="59" customFormat="1" ht="64.5" customHeight="1">
      <c r="A2" s="145"/>
      <c r="B2" s="146"/>
      <c r="C2" s="143"/>
      <c r="D2" s="63"/>
      <c r="L2" s="60"/>
      <c r="M2" s="60"/>
      <c r="N2" s="60"/>
      <c r="O2" s="60"/>
      <c r="P2" s="60"/>
      <c r="Q2" s="60"/>
    </row>
    <row r="3" spans="1:31" s="59" customFormat="1" ht="69" customHeight="1">
      <c r="A3" s="147"/>
      <c r="B3" s="148"/>
      <c r="C3" s="144"/>
      <c r="D3" s="63"/>
      <c r="L3" s="60"/>
      <c r="M3" s="61"/>
      <c r="N3" s="60"/>
      <c r="O3" s="60"/>
      <c r="P3" s="60"/>
      <c r="Q3" s="60"/>
    </row>
    <row r="4" spans="1:31" s="57" customFormat="1" ht="18" customHeight="1">
      <c r="A4" s="147"/>
      <c r="B4" s="148"/>
      <c r="C4" s="144"/>
      <c r="D4" s="62"/>
      <c r="L4" s="58"/>
      <c r="M4" s="58"/>
      <c r="N4" s="58"/>
      <c r="O4" s="58"/>
      <c r="P4" s="58"/>
      <c r="Q4" s="58"/>
    </row>
    <row r="5" spans="1:31" s="65" customFormat="1" ht="42" customHeight="1">
      <c r="A5" s="73" t="s">
        <v>86</v>
      </c>
      <c r="B5" s="96" t="s">
        <v>986</v>
      </c>
      <c r="C5" s="95" t="s">
        <v>1033</v>
      </c>
      <c r="D5" s="91" t="s">
        <v>0</v>
      </c>
      <c r="E5" s="91" t="s">
        <v>7</v>
      </c>
      <c r="F5" s="91" t="s">
        <v>1034</v>
      </c>
      <c r="G5" s="92" t="s">
        <v>2011</v>
      </c>
      <c r="H5" s="92" t="s">
        <v>2012</v>
      </c>
      <c r="I5" s="91" t="s">
        <v>1961</v>
      </c>
      <c r="J5" s="91" t="s">
        <v>1035</v>
      </c>
      <c r="K5" s="91" t="s">
        <v>989</v>
      </c>
      <c r="L5" s="91" t="s">
        <v>1036</v>
      </c>
      <c r="M5" s="94" t="s">
        <v>987</v>
      </c>
      <c r="N5" s="94" t="s">
        <v>988</v>
      </c>
      <c r="O5" s="94" t="s">
        <v>1000</v>
      </c>
      <c r="P5" s="94" t="s">
        <v>1001</v>
      </c>
      <c r="Q5" s="92" t="s">
        <v>1037</v>
      </c>
      <c r="R5" s="91" t="s">
        <v>1960</v>
      </c>
      <c r="S5" s="97" t="s">
        <v>990</v>
      </c>
      <c r="T5" s="93" t="s">
        <v>2</v>
      </c>
      <c r="U5" s="93" t="s">
        <v>3</v>
      </c>
      <c r="V5" s="93" t="s">
        <v>1</v>
      </c>
      <c r="W5" s="98" t="s">
        <v>1038</v>
      </c>
      <c r="X5" s="139"/>
      <c r="Y5" s="140"/>
      <c r="Z5" s="140"/>
      <c r="AA5" s="140"/>
      <c r="AB5" s="140"/>
      <c r="AC5" s="140"/>
      <c r="AD5" s="140"/>
      <c r="AE5" s="140"/>
    </row>
    <row r="6" spans="1:31" ht="18.600000000000001" customHeight="1">
      <c r="A6" s="122">
        <f>IF(priority(Main[[#This Row],[Comments]])&lt;&gt;0, priority(Main[[#This Row],[Comments]]),"")</f>
        <v>1</v>
      </c>
      <c r="B6" s="126" t="s">
        <v>1203</v>
      </c>
      <c r="C6" s="99" t="s">
        <v>138</v>
      </c>
      <c r="D6" s="100" t="s">
        <v>227</v>
      </c>
      <c r="E6" s="101"/>
      <c r="F6" s="101">
        <v>40770</v>
      </c>
      <c r="G6" s="102" t="str">
        <f>IF(stdProdLT(Main[[#This Row],[Comments]])=0.1,"N/A",IF(stdProdLT(Main[[#This Row],[Comments]])=0,"",stdProdLT(Main[[#This Row],[Comments]])))</f>
        <v/>
      </c>
      <c r="H6" s="103" t="str">
        <f>IF(AND(Main[[#This Row],[In Stock Date]]&lt;&gt;"",Main[[#This Row],[Revised Due Date]]&lt;&gt;""),Main[[#This Row],[In Stock Date]]-Main[[#This Row],[Revised Due Date]],"")</f>
        <v/>
      </c>
      <c r="I6" s="99" t="s">
        <v>4</v>
      </c>
      <c r="J6" s="99" t="s">
        <v>28</v>
      </c>
      <c r="K6" s="99" t="s">
        <v>1974</v>
      </c>
      <c r="L6" s="101"/>
      <c r="M6" s="104" t="str">
        <f>IF(Main[[#This Row],[Tech Start Date]]&lt;1/1/1990,"",IF(Main[[#This Row],[Class]]="C",WORKDAY(Main[[#This Row],[Tech Start Date]],9),IF(Main[[#This Row],[Class]]="B", WORKDAY(Main[[#This Row],[Tech Start Date]],6),IF(Main[[#This Row],[Class]]="A",WORKDAY(Main[[#This Row],[Tech Start Date]],2),""))))</f>
        <v/>
      </c>
      <c r="N6" s="104" t="str">
        <f>IF(Main[[#This Row],[Tech Start Date]]&lt;1/1/1990,"",IF(Main[[#This Row],[Class]]="C",WORKDAY(Main[[#This Row],[Tech Start Date]],19),IF(Main[[#This Row],[Class]]="B", WORKDAY(Main[[#This Row],[Tech Start Date]],12),IF(Main[[#This Row],[Class]]="A",WORKDAY(Main[[#This Row],[Tech Start Date]],4),""))))</f>
        <v/>
      </c>
      <c r="O6" s="104" t="str">
        <f>IF(Main[[#This Row],[Tech Start Date]]&lt;1/1/1990,"",IF(Main[[#This Row],[Class]]="C",WORKDAY(Main[[#This Row],[Tech Start Date]],23),IF(Main[[#This Row],[Class]]="B", WORKDAY(Main[[#This Row],[Tech Start Date]],15),IF(Main[[#This Row],[Class]]="A",WORKDAY(Main[[#This Row],[Tech Start Date]],5),""))))</f>
        <v/>
      </c>
      <c r="P6" s="104" t="str">
        <f>IF(Main[[#This Row],[Tech Start Date]]&lt;1/1/1990,"",IF(Main[[#This Row],[Class]]="C",WORKDAY(Main[[#This Row],[Tech Start Date]],28),IF(Main[[#This Row],[Class]]="B", WORKDAY(Main[[#This Row],[Tech Start Date]],19),IF(Main[[#This Row],[Class]]="A",WORKDAY(Main[[#This Row],[Tech Start Date]],9),""))))</f>
        <v/>
      </c>
      <c r="Q6" s="101">
        <v>40585</v>
      </c>
      <c r="R6" s="101"/>
      <c r="S6" s="105" t="s">
        <v>11</v>
      </c>
      <c r="T6" s="106" t="s">
        <v>228</v>
      </c>
      <c r="U6" s="105" t="s">
        <v>14</v>
      </c>
      <c r="V6" s="105" t="s">
        <v>1963</v>
      </c>
      <c r="W6" s="105" t="s">
        <v>1967</v>
      </c>
    </row>
    <row r="7" spans="1:31" ht="18.600000000000001" customHeight="1">
      <c r="A7" s="123">
        <f>IF(priority(Main[[#This Row],[Comments]])&lt;&gt;0, priority(Main[[#This Row],[Comments]]),"")</f>
        <v>1</v>
      </c>
      <c r="B7" s="127" t="s">
        <v>1216</v>
      </c>
      <c r="C7" s="99" t="s">
        <v>72</v>
      </c>
      <c r="D7" s="100" t="s">
        <v>243</v>
      </c>
      <c r="E7" s="101">
        <v>40461.111585648148</v>
      </c>
      <c r="F7" s="101"/>
      <c r="G7" s="102" t="str">
        <f>IF(stdProdLT(Main[[#This Row],[Comments]])=0.1,"N/A",IF(stdProdLT(Main[[#This Row],[Comments]])=0,"",stdProdLT(Main[[#This Row],[Comments]])))</f>
        <v/>
      </c>
      <c r="H7" s="103" t="str">
        <f>IF(AND(Main[[#This Row],[In Stock Date]]&lt;&gt;"",Main[[#This Row],[Revised Due Date]]&lt;&gt;""),Main[[#This Row],[In Stock Date]]-Main[[#This Row],[Revised Due Date]],"")</f>
        <v/>
      </c>
      <c r="I7" s="99" t="s">
        <v>74</v>
      </c>
      <c r="J7" s="99" t="s">
        <v>4</v>
      </c>
      <c r="K7" s="99" t="s">
        <v>1974</v>
      </c>
      <c r="L7" s="101"/>
      <c r="M7" s="104" t="str">
        <f>IF(Main[[#This Row],[Tech Start Date]]&lt;1/1/1990,"",IF(Main[[#This Row],[Class]]="C",WORKDAY(Main[[#This Row],[Tech Start Date]],9),IF(Main[[#This Row],[Class]]="B", WORKDAY(Main[[#This Row],[Tech Start Date]],6),IF(Main[[#This Row],[Class]]="A",WORKDAY(Main[[#This Row],[Tech Start Date]],2),""))))</f>
        <v/>
      </c>
      <c r="N7" s="104" t="str">
        <f>IF(Main[[#This Row],[Tech Start Date]]&lt;1/1/1990,"",IF(Main[[#This Row],[Class]]="C",WORKDAY(Main[[#This Row],[Tech Start Date]],19),IF(Main[[#This Row],[Class]]="B", WORKDAY(Main[[#This Row],[Tech Start Date]],12),IF(Main[[#This Row],[Class]]="A",WORKDAY(Main[[#This Row],[Tech Start Date]],4),""))))</f>
        <v/>
      </c>
      <c r="O7" s="104" t="str">
        <f>IF(Main[[#This Row],[Tech Start Date]]&lt;1/1/1990,"",IF(Main[[#This Row],[Class]]="C",WORKDAY(Main[[#This Row],[Tech Start Date]],23),IF(Main[[#This Row],[Class]]="B", WORKDAY(Main[[#This Row],[Tech Start Date]],15),IF(Main[[#This Row],[Class]]="A",WORKDAY(Main[[#This Row],[Tech Start Date]],5),""))))</f>
        <v/>
      </c>
      <c r="P7" s="104" t="str">
        <f>IF(Main[[#This Row],[Tech Start Date]]&lt;1/1/1990,"",IF(Main[[#This Row],[Class]]="C",WORKDAY(Main[[#This Row],[Tech Start Date]],28),IF(Main[[#This Row],[Class]]="B", WORKDAY(Main[[#This Row],[Tech Start Date]],19),IF(Main[[#This Row],[Class]]="A",WORKDAY(Main[[#This Row],[Tech Start Date]],9),""))))</f>
        <v/>
      </c>
      <c r="Q7" s="101"/>
      <c r="R7" s="101">
        <v>40836</v>
      </c>
      <c r="S7" s="99" t="s">
        <v>17</v>
      </c>
      <c r="T7" s="107" t="s">
        <v>244</v>
      </c>
      <c r="U7" s="99" t="s">
        <v>29</v>
      </c>
      <c r="V7" s="99" t="s">
        <v>1965</v>
      </c>
      <c r="W7" s="99" t="s">
        <v>1970</v>
      </c>
    </row>
    <row r="8" spans="1:31" ht="18.600000000000001" customHeight="1">
      <c r="A8" s="123">
        <f>IF(priority(Main[[#This Row],[Comments]])&lt;&gt;0, priority(Main[[#This Row],[Comments]]),"")</f>
        <v>1</v>
      </c>
      <c r="B8" s="127" t="s">
        <v>1077</v>
      </c>
      <c r="C8" s="99" t="s">
        <v>72</v>
      </c>
      <c r="D8" s="100" t="s">
        <v>73</v>
      </c>
      <c r="E8" s="101">
        <v>40461.12232638889</v>
      </c>
      <c r="F8" s="101"/>
      <c r="G8" s="102" t="str">
        <f>IF(stdProdLT(Main[[#This Row],[Comments]])=0.1,"N/A",IF(stdProdLT(Main[[#This Row],[Comments]])=0,"",stdProdLT(Main[[#This Row],[Comments]])))</f>
        <v/>
      </c>
      <c r="H8" s="103" t="str">
        <f>IF(AND(Main[[#This Row],[In Stock Date]]&lt;&gt;"",Main[[#This Row],[Revised Due Date]]&lt;&gt;""),Main[[#This Row],[In Stock Date]]-Main[[#This Row],[Revised Due Date]],"")</f>
        <v/>
      </c>
      <c r="I8" s="99" t="s">
        <v>74</v>
      </c>
      <c r="J8" s="99" t="s">
        <v>75</v>
      </c>
      <c r="K8" s="99" t="s">
        <v>1974</v>
      </c>
      <c r="L8" s="101"/>
      <c r="M8" s="104" t="str">
        <f>IF(Main[[#This Row],[Tech Start Date]]&lt;1/1/1990,"",IF(Main[[#This Row],[Class]]="C",WORKDAY(Main[[#This Row],[Tech Start Date]],9),IF(Main[[#This Row],[Class]]="B", WORKDAY(Main[[#This Row],[Tech Start Date]],6),IF(Main[[#This Row],[Class]]="A",WORKDAY(Main[[#This Row],[Tech Start Date]],2),""))))</f>
        <v/>
      </c>
      <c r="N8" s="104" t="str">
        <f>IF(Main[[#This Row],[Tech Start Date]]&lt;1/1/1990,"",IF(Main[[#This Row],[Class]]="C",WORKDAY(Main[[#This Row],[Tech Start Date]],19),IF(Main[[#This Row],[Class]]="B", WORKDAY(Main[[#This Row],[Tech Start Date]],12),IF(Main[[#This Row],[Class]]="A",WORKDAY(Main[[#This Row],[Tech Start Date]],4),""))))</f>
        <v/>
      </c>
      <c r="O8" s="104" t="str">
        <f>IF(Main[[#This Row],[Tech Start Date]]&lt;1/1/1990,"",IF(Main[[#This Row],[Class]]="C",WORKDAY(Main[[#This Row],[Tech Start Date]],23),IF(Main[[#This Row],[Class]]="B", WORKDAY(Main[[#This Row],[Tech Start Date]],15),IF(Main[[#This Row],[Class]]="A",WORKDAY(Main[[#This Row],[Tech Start Date]],5),""))))</f>
        <v/>
      </c>
      <c r="P8" s="104" t="str">
        <f>IF(Main[[#This Row],[Tech Start Date]]&lt;1/1/1990,"",IF(Main[[#This Row],[Class]]="C",WORKDAY(Main[[#This Row],[Tech Start Date]],28),IF(Main[[#This Row],[Class]]="B", WORKDAY(Main[[#This Row],[Tech Start Date]],19),IF(Main[[#This Row],[Class]]="A",WORKDAY(Main[[#This Row],[Tech Start Date]],9),""))))</f>
        <v/>
      </c>
      <c r="Q8" s="101"/>
      <c r="R8" s="101">
        <v>40849</v>
      </c>
      <c r="S8" s="99" t="s">
        <v>17</v>
      </c>
      <c r="T8" s="107" t="s">
        <v>76</v>
      </c>
      <c r="U8" s="99" t="s">
        <v>29</v>
      </c>
      <c r="V8" s="99" t="s">
        <v>1965</v>
      </c>
      <c r="W8" s="99" t="s">
        <v>1970</v>
      </c>
    </row>
    <row r="9" spans="1:31" ht="18.600000000000001" customHeight="1">
      <c r="A9" s="123">
        <f>IF(priority(Main[[#This Row],[Comments]])&lt;&gt;0, priority(Main[[#This Row],[Comments]]),"")</f>
        <v>1</v>
      </c>
      <c r="B9" s="127" t="s">
        <v>3167</v>
      </c>
      <c r="C9" s="99" t="s">
        <v>2437</v>
      </c>
      <c r="D9" s="100" t="s">
        <v>3097</v>
      </c>
      <c r="E9" s="101">
        <v>40876.599826388891</v>
      </c>
      <c r="F9" s="101"/>
      <c r="G9" s="102" t="str">
        <f>IF(stdProdLT(Main[[#This Row],[Comments]])=0.1,"N/A",IF(stdProdLT(Main[[#This Row],[Comments]])=0,"",stdProdLT(Main[[#This Row],[Comments]])))</f>
        <v>N/A</v>
      </c>
      <c r="H9" s="103" t="str">
        <f>IF(AND(Main[[#This Row],[In Stock Date]]&lt;&gt;"",Main[[#This Row],[Revised Due Date]]&lt;&gt;""),Main[[#This Row],[In Stock Date]]-Main[[#This Row],[Revised Due Date]],"")</f>
        <v/>
      </c>
      <c r="I9" s="99" t="s">
        <v>4</v>
      </c>
      <c r="J9" s="99" t="s">
        <v>4</v>
      </c>
      <c r="K9" s="99" t="s">
        <v>4</v>
      </c>
      <c r="L9" s="101"/>
      <c r="M9" s="104" t="str">
        <f>IF(Main[[#This Row],[Tech Start Date]]&lt;1/1/1990,"",IF(Main[[#This Row],[Class]]="C",WORKDAY(Main[[#This Row],[Tech Start Date]],9),IF(Main[[#This Row],[Class]]="B", WORKDAY(Main[[#This Row],[Tech Start Date]],6),IF(Main[[#This Row],[Class]]="A",WORKDAY(Main[[#This Row],[Tech Start Date]],2),""))))</f>
        <v/>
      </c>
      <c r="N9" s="104" t="str">
        <f>IF(Main[[#This Row],[Tech Start Date]]&lt;1/1/1990,"",IF(Main[[#This Row],[Class]]="C",WORKDAY(Main[[#This Row],[Tech Start Date]],19),IF(Main[[#This Row],[Class]]="B", WORKDAY(Main[[#This Row],[Tech Start Date]],12),IF(Main[[#This Row],[Class]]="A",WORKDAY(Main[[#This Row],[Tech Start Date]],4),""))))</f>
        <v/>
      </c>
      <c r="O9" s="104" t="str">
        <f>IF(Main[[#This Row],[Tech Start Date]]&lt;1/1/1990,"",IF(Main[[#This Row],[Class]]="C",WORKDAY(Main[[#This Row],[Tech Start Date]],23),IF(Main[[#This Row],[Class]]="B", WORKDAY(Main[[#This Row],[Tech Start Date]],15),IF(Main[[#This Row],[Class]]="A",WORKDAY(Main[[#This Row],[Tech Start Date]],5),""))))</f>
        <v/>
      </c>
      <c r="P9" s="104" t="str">
        <f>IF(Main[[#This Row],[Tech Start Date]]&lt;1/1/1990,"",IF(Main[[#This Row],[Class]]="C",WORKDAY(Main[[#This Row],[Tech Start Date]],28),IF(Main[[#This Row],[Class]]="B", WORKDAY(Main[[#This Row],[Tech Start Date]],19),IF(Main[[#This Row],[Class]]="A",WORKDAY(Main[[#This Row],[Tech Start Date]],9),""))))</f>
        <v/>
      </c>
      <c r="Q9" s="101">
        <v>40878</v>
      </c>
      <c r="R9" s="101"/>
      <c r="S9" s="99" t="s">
        <v>4</v>
      </c>
      <c r="T9" s="107" t="s">
        <v>3126</v>
      </c>
      <c r="U9" s="99" t="s">
        <v>7</v>
      </c>
      <c r="V9" s="99" t="s">
        <v>1962</v>
      </c>
      <c r="W9" s="99" t="s">
        <v>1964</v>
      </c>
    </row>
    <row r="10" spans="1:31" ht="18.600000000000001" customHeight="1">
      <c r="A10" s="123">
        <f>IF(priority(Main[[#This Row],[Comments]])&lt;&gt;0, priority(Main[[#This Row],[Comments]]),"")</f>
        <v>1</v>
      </c>
      <c r="B10" s="127" t="s">
        <v>3168</v>
      </c>
      <c r="C10" s="99" t="s">
        <v>19</v>
      </c>
      <c r="D10" s="100" t="s">
        <v>2867</v>
      </c>
      <c r="E10" s="101">
        <v>40487.36078703704</v>
      </c>
      <c r="F10" s="101"/>
      <c r="G10" s="102" t="str">
        <f>IF(stdProdLT(Main[[#This Row],[Comments]])=0.1,"N/A",IF(stdProdLT(Main[[#This Row],[Comments]])=0,"",stdProdLT(Main[[#This Row],[Comments]])))</f>
        <v/>
      </c>
      <c r="H10" s="103" t="str">
        <f>IF(AND(Main[[#This Row],[In Stock Date]]&lt;&gt;"",Main[[#This Row],[Revised Due Date]]&lt;&gt;""),Main[[#This Row],[In Stock Date]]-Main[[#This Row],[Revised Due Date]],"")</f>
        <v/>
      </c>
      <c r="I10" s="99" t="s">
        <v>2071</v>
      </c>
      <c r="J10" s="99" t="s">
        <v>28</v>
      </c>
      <c r="K10" s="99" t="s">
        <v>1974</v>
      </c>
      <c r="L10" s="101"/>
      <c r="M10" s="104" t="str">
        <f>IF(Main[[#This Row],[Tech Start Date]]&lt;1/1/1990,"",IF(Main[[#This Row],[Class]]="C",WORKDAY(Main[[#This Row],[Tech Start Date]],9),IF(Main[[#This Row],[Class]]="B", WORKDAY(Main[[#This Row],[Tech Start Date]],6),IF(Main[[#This Row],[Class]]="A",WORKDAY(Main[[#This Row],[Tech Start Date]],2),""))))</f>
        <v/>
      </c>
      <c r="N10" s="104" t="str">
        <f>IF(Main[[#This Row],[Tech Start Date]]&lt;1/1/1990,"",IF(Main[[#This Row],[Class]]="C",WORKDAY(Main[[#This Row],[Tech Start Date]],19),IF(Main[[#This Row],[Class]]="B", WORKDAY(Main[[#This Row],[Tech Start Date]],12),IF(Main[[#This Row],[Class]]="A",WORKDAY(Main[[#This Row],[Tech Start Date]],4),""))))</f>
        <v/>
      </c>
      <c r="O10" s="104" t="str">
        <f>IF(Main[[#This Row],[Tech Start Date]]&lt;1/1/1990,"",IF(Main[[#This Row],[Class]]="C",WORKDAY(Main[[#This Row],[Tech Start Date]],23),IF(Main[[#This Row],[Class]]="B", WORKDAY(Main[[#This Row],[Tech Start Date]],15),IF(Main[[#This Row],[Class]]="A",WORKDAY(Main[[#This Row],[Tech Start Date]],5),""))))</f>
        <v/>
      </c>
      <c r="P10" s="104" t="str">
        <f>IF(Main[[#This Row],[Tech Start Date]]&lt;1/1/1990,"",IF(Main[[#This Row],[Class]]="C",WORKDAY(Main[[#This Row],[Tech Start Date]],28),IF(Main[[#This Row],[Class]]="B", WORKDAY(Main[[#This Row],[Tech Start Date]],19),IF(Main[[#This Row],[Class]]="A",WORKDAY(Main[[#This Row],[Tech Start Date]],9),""))))</f>
        <v/>
      </c>
      <c r="Q10" s="101">
        <v>40862</v>
      </c>
      <c r="R10" s="101">
        <v>40862</v>
      </c>
      <c r="S10" s="99" t="s">
        <v>17</v>
      </c>
      <c r="T10" s="107" t="s">
        <v>2868</v>
      </c>
      <c r="U10" s="99" t="s">
        <v>29</v>
      </c>
      <c r="V10" s="99" t="s">
        <v>1977</v>
      </c>
      <c r="W10" s="99" t="s">
        <v>1970</v>
      </c>
    </row>
    <row r="11" spans="1:31" ht="18.600000000000001" customHeight="1">
      <c r="A11" s="123">
        <f>IF(priority(Main[[#This Row],[Comments]])&lt;&gt;0, priority(Main[[#This Row],[Comments]]),"")</f>
        <v>1</v>
      </c>
      <c r="B11" s="127" t="s">
        <v>1925</v>
      </c>
      <c r="C11" s="99" t="s">
        <v>949</v>
      </c>
      <c r="D11" s="100" t="s">
        <v>950</v>
      </c>
      <c r="E11" s="101"/>
      <c r="F11" s="101">
        <v>40787</v>
      </c>
      <c r="G11" s="102" t="str">
        <f>IF(stdProdLT(Main[[#This Row],[Comments]])=0.1,"N/A",IF(stdProdLT(Main[[#This Row],[Comments]])=0,"",stdProdLT(Main[[#This Row],[Comments]])))</f>
        <v/>
      </c>
      <c r="H11" s="103">
        <f>IF(AND(Main[[#This Row],[In Stock Date]]&lt;&gt;"",Main[[#This Row],[Revised Due Date]]&lt;&gt;""),Main[[#This Row],[In Stock Date]]-Main[[#This Row],[Revised Due Date]],"")</f>
        <v>91</v>
      </c>
      <c r="I11" s="99" t="s">
        <v>495</v>
      </c>
      <c r="J11" s="99" t="s">
        <v>70</v>
      </c>
      <c r="K11" s="99" t="s">
        <v>1971</v>
      </c>
      <c r="L11" s="101">
        <v>40658</v>
      </c>
      <c r="M11" s="104">
        <f>IF(Main[[#This Row],[Tech Start Date]]&lt;1/1/1990,"",IF(Main[[#This Row],[Class]]="C",WORKDAY(Main[[#This Row],[Tech Start Date]],9),IF(Main[[#This Row],[Class]]="B", WORKDAY(Main[[#This Row],[Tech Start Date]],6),IF(Main[[#This Row],[Class]]="A",WORKDAY(Main[[#This Row],[Tech Start Date]],2),""))))</f>
        <v>40660</v>
      </c>
      <c r="N11" s="104">
        <f>IF(Main[[#This Row],[Tech Start Date]]&lt;1/1/1990,"",IF(Main[[#This Row],[Class]]="C",WORKDAY(Main[[#This Row],[Tech Start Date]],19),IF(Main[[#This Row],[Class]]="B", WORKDAY(Main[[#This Row],[Tech Start Date]],12),IF(Main[[#This Row],[Class]]="A",WORKDAY(Main[[#This Row],[Tech Start Date]],4),""))))</f>
        <v>40662</v>
      </c>
      <c r="O11" s="104">
        <f>IF(Main[[#This Row],[Tech Start Date]]&lt;1/1/1990,"",IF(Main[[#This Row],[Class]]="C",WORKDAY(Main[[#This Row],[Tech Start Date]],23),IF(Main[[#This Row],[Class]]="B", WORKDAY(Main[[#This Row],[Tech Start Date]],15),IF(Main[[#This Row],[Class]]="A",WORKDAY(Main[[#This Row],[Tech Start Date]],5),""))))</f>
        <v>40665</v>
      </c>
      <c r="P11" s="104">
        <f>IF(Main[[#This Row],[Tech Start Date]]&lt;1/1/1990,"",IF(Main[[#This Row],[Class]]="C",WORKDAY(Main[[#This Row],[Tech Start Date]],28),IF(Main[[#This Row],[Class]]="B", WORKDAY(Main[[#This Row],[Tech Start Date]],19),IF(Main[[#This Row],[Class]]="A",WORKDAY(Main[[#This Row],[Tech Start Date]],9),""))))</f>
        <v>40669</v>
      </c>
      <c r="Q11" s="101">
        <v>40696</v>
      </c>
      <c r="R11" s="101">
        <v>40696</v>
      </c>
      <c r="S11" s="99" t="s">
        <v>11</v>
      </c>
      <c r="T11" s="107" t="s">
        <v>951</v>
      </c>
      <c r="U11" s="99" t="s">
        <v>14</v>
      </c>
      <c r="V11" s="99" t="s">
        <v>1965</v>
      </c>
      <c r="W11" s="99" t="s">
        <v>1968</v>
      </c>
    </row>
    <row r="12" spans="1:31" ht="18.600000000000001" customHeight="1">
      <c r="A12" s="123">
        <f>IF(priority(Main[[#This Row],[Comments]])&lt;&gt;0, priority(Main[[#This Row],[Comments]]),"")</f>
        <v>1</v>
      </c>
      <c r="B12" s="127" t="s">
        <v>1930</v>
      </c>
      <c r="C12" s="99" t="s">
        <v>961</v>
      </c>
      <c r="D12" s="100" t="s">
        <v>962</v>
      </c>
      <c r="E12" s="101">
        <v>40647.670324074075</v>
      </c>
      <c r="F12" s="101">
        <v>40709</v>
      </c>
      <c r="G12" s="102" t="str">
        <f>IF(stdProdLT(Main[[#This Row],[Comments]])=0.1,"N/A",IF(stdProdLT(Main[[#This Row],[Comments]])=0,"",stdProdLT(Main[[#This Row],[Comments]])))</f>
        <v/>
      </c>
      <c r="H12" s="103">
        <f>IF(AND(Main[[#This Row],[In Stock Date]]&lt;&gt;"",Main[[#This Row],[Revised Due Date]]&lt;&gt;""),Main[[#This Row],[In Stock Date]]-Main[[#This Row],[Revised Due Date]],"")</f>
        <v>-128</v>
      </c>
      <c r="I12" s="99" t="s">
        <v>437</v>
      </c>
      <c r="J12" s="99" t="s">
        <v>28</v>
      </c>
      <c r="K12" s="99" t="s">
        <v>1974</v>
      </c>
      <c r="L12" s="101">
        <v>40708</v>
      </c>
      <c r="M12" s="104" t="str">
        <f>IF(Main[[#This Row],[Tech Start Date]]&lt;1/1/1990,"",IF(Main[[#This Row],[Class]]="C",WORKDAY(Main[[#This Row],[Tech Start Date]],9),IF(Main[[#This Row],[Class]]="B", WORKDAY(Main[[#This Row],[Tech Start Date]],6),IF(Main[[#This Row],[Class]]="A",WORKDAY(Main[[#This Row],[Tech Start Date]],2),""))))</f>
        <v/>
      </c>
      <c r="N12" s="104" t="str">
        <f>IF(Main[[#This Row],[Tech Start Date]]&lt;1/1/1990,"",IF(Main[[#This Row],[Class]]="C",WORKDAY(Main[[#This Row],[Tech Start Date]],19),IF(Main[[#This Row],[Class]]="B", WORKDAY(Main[[#This Row],[Tech Start Date]],12),IF(Main[[#This Row],[Class]]="A",WORKDAY(Main[[#This Row],[Tech Start Date]],4),""))))</f>
        <v/>
      </c>
      <c r="O12" s="104" t="str">
        <f>IF(Main[[#This Row],[Tech Start Date]]&lt;1/1/1990,"",IF(Main[[#This Row],[Class]]="C",WORKDAY(Main[[#This Row],[Tech Start Date]],23),IF(Main[[#This Row],[Class]]="B", WORKDAY(Main[[#This Row],[Tech Start Date]],15),IF(Main[[#This Row],[Class]]="A",WORKDAY(Main[[#This Row],[Tech Start Date]],5),""))))</f>
        <v/>
      </c>
      <c r="P12" s="104" t="str">
        <f>IF(Main[[#This Row],[Tech Start Date]]&lt;1/1/1990,"",IF(Main[[#This Row],[Class]]="C",WORKDAY(Main[[#This Row],[Tech Start Date]],28),IF(Main[[#This Row],[Class]]="B", WORKDAY(Main[[#This Row],[Tech Start Date]],19),IF(Main[[#This Row],[Class]]="A",WORKDAY(Main[[#This Row],[Tech Start Date]],9),""))))</f>
        <v/>
      </c>
      <c r="Q12" s="101">
        <v>40709</v>
      </c>
      <c r="R12" s="101">
        <v>40837</v>
      </c>
      <c r="S12" s="99" t="s">
        <v>17</v>
      </c>
      <c r="T12" s="107" t="s">
        <v>963</v>
      </c>
      <c r="U12" s="99" t="s">
        <v>29</v>
      </c>
      <c r="V12" s="99" t="s">
        <v>1965</v>
      </c>
      <c r="W12" s="99" t="s">
        <v>1970</v>
      </c>
    </row>
    <row r="13" spans="1:31" ht="18.600000000000001" customHeight="1">
      <c r="A13" s="123">
        <f>IF(priority(Main[[#This Row],[Comments]])&lt;&gt;0, priority(Main[[#This Row],[Comments]]),"")</f>
        <v>1</v>
      </c>
      <c r="B13" s="127" t="s">
        <v>2965</v>
      </c>
      <c r="C13" s="99" t="s">
        <v>33</v>
      </c>
      <c r="D13" s="100" t="s">
        <v>2966</v>
      </c>
      <c r="E13" s="101">
        <v>40842.371076388888</v>
      </c>
      <c r="F13" s="101">
        <v>40966</v>
      </c>
      <c r="G13" s="102" t="str">
        <f>IF(stdProdLT(Main[[#This Row],[Comments]])=0.1,"N/A",IF(stdProdLT(Main[[#This Row],[Comments]])=0,"",stdProdLT(Main[[#This Row],[Comments]])))</f>
        <v/>
      </c>
      <c r="H13" s="103">
        <f>IF(AND(Main[[#This Row],[In Stock Date]]&lt;&gt;"",Main[[#This Row],[Revised Due Date]]&lt;&gt;""),Main[[#This Row],[In Stock Date]]-Main[[#This Row],[Revised Due Date]],"")</f>
        <v>81</v>
      </c>
      <c r="I13" s="99" t="s">
        <v>2915</v>
      </c>
      <c r="J13" s="99" t="s">
        <v>28</v>
      </c>
      <c r="K13" s="99" t="s">
        <v>1975</v>
      </c>
      <c r="L13" s="101">
        <v>40849</v>
      </c>
      <c r="M13" s="104">
        <f>IF(Main[[#This Row],[Tech Start Date]]&lt;1/1/1990,"",IF(Main[[#This Row],[Class]]="C",WORKDAY(Main[[#This Row],[Tech Start Date]],9),IF(Main[[#This Row],[Class]]="B", WORKDAY(Main[[#This Row],[Tech Start Date]],6),IF(Main[[#This Row],[Class]]="A",WORKDAY(Main[[#This Row],[Tech Start Date]],2),""))))</f>
        <v>40862</v>
      </c>
      <c r="N13" s="104">
        <f>IF(Main[[#This Row],[Tech Start Date]]&lt;1/1/1990,"",IF(Main[[#This Row],[Class]]="C",WORKDAY(Main[[#This Row],[Tech Start Date]],19),IF(Main[[#This Row],[Class]]="B", WORKDAY(Main[[#This Row],[Tech Start Date]],12),IF(Main[[#This Row],[Class]]="A",WORKDAY(Main[[#This Row],[Tech Start Date]],4),""))))</f>
        <v>40876</v>
      </c>
      <c r="O13" s="104">
        <f>IF(Main[[#This Row],[Tech Start Date]]&lt;1/1/1990,"",IF(Main[[#This Row],[Class]]="C",WORKDAY(Main[[#This Row],[Tech Start Date]],23),IF(Main[[#This Row],[Class]]="B", WORKDAY(Main[[#This Row],[Tech Start Date]],15),IF(Main[[#This Row],[Class]]="A",WORKDAY(Main[[#This Row],[Tech Start Date]],5),""))))</f>
        <v>40882</v>
      </c>
      <c r="P13" s="104">
        <f>IF(Main[[#This Row],[Tech Start Date]]&lt;1/1/1990,"",IF(Main[[#This Row],[Class]]="C",WORKDAY(Main[[#This Row],[Tech Start Date]],28),IF(Main[[#This Row],[Class]]="B", WORKDAY(Main[[#This Row],[Tech Start Date]],19),IF(Main[[#This Row],[Class]]="A",WORKDAY(Main[[#This Row],[Tech Start Date]],9),""))))</f>
        <v>40889</v>
      </c>
      <c r="Q13" s="101">
        <v>40857</v>
      </c>
      <c r="R13" s="101">
        <v>40885</v>
      </c>
      <c r="S13" s="99" t="s">
        <v>11</v>
      </c>
      <c r="T13" s="107" t="s">
        <v>2967</v>
      </c>
      <c r="U13" s="99" t="s">
        <v>29</v>
      </c>
      <c r="V13" s="99" t="s">
        <v>1963</v>
      </c>
      <c r="W13" s="99" t="s">
        <v>1967</v>
      </c>
    </row>
    <row r="14" spans="1:31" ht="18.600000000000001" customHeight="1">
      <c r="A14" s="123">
        <f>IF(priority(Main[[#This Row],[Comments]])&lt;&gt;0, priority(Main[[#This Row],[Comments]]),"")</f>
        <v>1</v>
      </c>
      <c r="B14" s="127" t="s">
        <v>2742</v>
      </c>
      <c r="C14" s="99" t="s">
        <v>3054</v>
      </c>
      <c r="D14" s="100" t="s">
        <v>2743</v>
      </c>
      <c r="E14" s="101">
        <v>40877.18246527778</v>
      </c>
      <c r="F14" s="101">
        <v>40884</v>
      </c>
      <c r="G14" s="102">
        <f>IF(stdProdLT(Main[[#This Row],[Comments]])=0.1,"N/A",IF(stdProdLT(Main[[#This Row],[Comments]])=0,"",stdProdLT(Main[[#This Row],[Comments]])))</f>
        <v>15</v>
      </c>
      <c r="H14" s="103">
        <f>IF(AND(Main[[#This Row],[In Stock Date]]&lt;&gt;"",Main[[#This Row],[Revised Due Date]]&lt;&gt;""),Main[[#This Row],[In Stock Date]]-Main[[#This Row],[Revised Due Date]],"")</f>
        <v>-9</v>
      </c>
      <c r="I14" s="99" t="s">
        <v>536</v>
      </c>
      <c r="J14" s="99" t="s">
        <v>52</v>
      </c>
      <c r="K14" s="99" t="s">
        <v>1971</v>
      </c>
      <c r="L14" s="101">
        <v>40878</v>
      </c>
      <c r="M14" s="104">
        <f>IF(Main[[#This Row],[Tech Start Date]]&lt;1/1/1990,"",IF(Main[[#This Row],[Class]]="C",WORKDAY(Main[[#This Row],[Tech Start Date]],9),IF(Main[[#This Row],[Class]]="B", WORKDAY(Main[[#This Row],[Tech Start Date]],6),IF(Main[[#This Row],[Class]]="A",WORKDAY(Main[[#This Row],[Tech Start Date]],2),""))))</f>
        <v>40882</v>
      </c>
      <c r="N14" s="104">
        <f>IF(Main[[#This Row],[Tech Start Date]]&lt;1/1/1990,"",IF(Main[[#This Row],[Class]]="C",WORKDAY(Main[[#This Row],[Tech Start Date]],19),IF(Main[[#This Row],[Class]]="B", WORKDAY(Main[[#This Row],[Tech Start Date]],12),IF(Main[[#This Row],[Class]]="A",WORKDAY(Main[[#This Row],[Tech Start Date]],4),""))))</f>
        <v>40884</v>
      </c>
      <c r="O14" s="104">
        <f>IF(Main[[#This Row],[Tech Start Date]]&lt;1/1/1990,"",IF(Main[[#This Row],[Class]]="C",WORKDAY(Main[[#This Row],[Tech Start Date]],23),IF(Main[[#This Row],[Class]]="B", WORKDAY(Main[[#This Row],[Tech Start Date]],15),IF(Main[[#This Row],[Class]]="A",WORKDAY(Main[[#This Row],[Tech Start Date]],5),""))))</f>
        <v>40885</v>
      </c>
      <c r="P14" s="104">
        <f>IF(Main[[#This Row],[Tech Start Date]]&lt;1/1/1990,"",IF(Main[[#This Row],[Class]]="C",WORKDAY(Main[[#This Row],[Tech Start Date]],28),IF(Main[[#This Row],[Class]]="B", WORKDAY(Main[[#This Row],[Tech Start Date]],19),IF(Main[[#This Row],[Class]]="A",WORKDAY(Main[[#This Row],[Tech Start Date]],9),""))))</f>
        <v>40891</v>
      </c>
      <c r="Q14" s="101">
        <v>40881</v>
      </c>
      <c r="R14" s="101">
        <v>40893</v>
      </c>
      <c r="S14" s="99" t="s">
        <v>11</v>
      </c>
      <c r="T14" s="107" t="s">
        <v>3055</v>
      </c>
      <c r="U14" s="99" t="s">
        <v>29</v>
      </c>
      <c r="V14" s="99" t="s">
        <v>1972</v>
      </c>
      <c r="W14" s="99" t="s">
        <v>1970</v>
      </c>
    </row>
    <row r="15" spans="1:31" ht="18.600000000000001" customHeight="1">
      <c r="A15" s="123">
        <f>IF(priority(Main[[#This Row],[Comments]])&lt;&gt;0, priority(Main[[#This Row],[Comments]]),"")</f>
        <v>1.01</v>
      </c>
      <c r="B15" s="127" t="s">
        <v>1924</v>
      </c>
      <c r="C15" s="99" t="s">
        <v>113</v>
      </c>
      <c r="D15" s="100" t="s">
        <v>3116</v>
      </c>
      <c r="E15" s="101">
        <v>40633.588854166665</v>
      </c>
      <c r="F15" s="101">
        <v>40674</v>
      </c>
      <c r="G15" s="102" t="str">
        <f>IF(stdProdLT(Main[[#This Row],[Comments]])=0.1,"N/A",IF(stdProdLT(Main[[#This Row],[Comments]])=0,"",stdProdLT(Main[[#This Row],[Comments]])))</f>
        <v/>
      </c>
      <c r="H15" s="103">
        <f>IF(AND(Main[[#This Row],[In Stock Date]]&lt;&gt;"",Main[[#This Row],[Revised Due Date]]&lt;&gt;""),Main[[#This Row],[In Stock Date]]-Main[[#This Row],[Revised Due Date]],"")</f>
        <v>-234</v>
      </c>
      <c r="I15" s="99" t="s">
        <v>955</v>
      </c>
      <c r="J15" s="99" t="s">
        <v>28</v>
      </c>
      <c r="K15" s="99" t="s">
        <v>1974</v>
      </c>
      <c r="L15" s="101">
        <v>40666</v>
      </c>
      <c r="M15" s="104" t="str">
        <f>IF(Main[[#This Row],[Tech Start Date]]&lt;1/1/1990,"",IF(Main[[#This Row],[Class]]="C",WORKDAY(Main[[#This Row],[Tech Start Date]],9),IF(Main[[#This Row],[Class]]="B", WORKDAY(Main[[#This Row],[Tech Start Date]],6),IF(Main[[#This Row],[Class]]="A",WORKDAY(Main[[#This Row],[Tech Start Date]],2),""))))</f>
        <v/>
      </c>
      <c r="N15" s="104" t="str">
        <f>IF(Main[[#This Row],[Tech Start Date]]&lt;1/1/1990,"",IF(Main[[#This Row],[Class]]="C",WORKDAY(Main[[#This Row],[Tech Start Date]],19),IF(Main[[#This Row],[Class]]="B", WORKDAY(Main[[#This Row],[Tech Start Date]],12),IF(Main[[#This Row],[Class]]="A",WORKDAY(Main[[#This Row],[Tech Start Date]],4),""))))</f>
        <v/>
      </c>
      <c r="O15" s="104" t="str">
        <f>IF(Main[[#This Row],[Tech Start Date]]&lt;1/1/1990,"",IF(Main[[#This Row],[Class]]="C",WORKDAY(Main[[#This Row],[Tech Start Date]],23),IF(Main[[#This Row],[Class]]="B", WORKDAY(Main[[#This Row],[Tech Start Date]],15),IF(Main[[#This Row],[Class]]="A",WORKDAY(Main[[#This Row],[Tech Start Date]],5),""))))</f>
        <v/>
      </c>
      <c r="P15" s="104" t="str">
        <f>IF(Main[[#This Row],[Tech Start Date]]&lt;1/1/1990,"",IF(Main[[#This Row],[Class]]="C",WORKDAY(Main[[#This Row],[Tech Start Date]],28),IF(Main[[#This Row],[Class]]="B", WORKDAY(Main[[#This Row],[Tech Start Date]],19),IF(Main[[#This Row],[Class]]="A",WORKDAY(Main[[#This Row],[Tech Start Date]],9),""))))</f>
        <v/>
      </c>
      <c r="Q15" s="101">
        <v>40939</v>
      </c>
      <c r="R15" s="101">
        <v>40908</v>
      </c>
      <c r="S15" s="99" t="s">
        <v>17</v>
      </c>
      <c r="T15" s="107" t="s">
        <v>2876</v>
      </c>
      <c r="U15" s="99" t="s">
        <v>29</v>
      </c>
      <c r="V15" s="99" t="s">
        <v>1962</v>
      </c>
      <c r="W15" s="99" t="s">
        <v>1973</v>
      </c>
    </row>
    <row r="16" spans="1:31" ht="18.600000000000001" customHeight="1">
      <c r="A16" s="123">
        <f>IF(priority(Main[[#This Row],[Comments]])&lt;&gt;0, priority(Main[[#This Row],[Comments]]),"")</f>
        <v>2</v>
      </c>
      <c r="B16" s="127" t="s">
        <v>1189</v>
      </c>
      <c r="C16" s="99" t="s">
        <v>19</v>
      </c>
      <c r="D16" s="100" t="s">
        <v>2578</v>
      </c>
      <c r="E16" s="101">
        <v>40487.363657407404</v>
      </c>
      <c r="F16" s="101"/>
      <c r="G16" s="102" t="str">
        <f>IF(stdProdLT(Main[[#This Row],[Comments]])=0.1,"N/A",IF(stdProdLT(Main[[#This Row],[Comments]])=0,"",stdProdLT(Main[[#This Row],[Comments]])))</f>
        <v/>
      </c>
      <c r="H16" s="103" t="str">
        <f>IF(AND(Main[[#This Row],[In Stock Date]]&lt;&gt;"",Main[[#This Row],[Revised Due Date]]&lt;&gt;""),Main[[#This Row],[In Stock Date]]-Main[[#This Row],[Revised Due Date]],"")</f>
        <v/>
      </c>
      <c r="I16" s="99" t="s">
        <v>2071</v>
      </c>
      <c r="J16" s="99" t="s">
        <v>28</v>
      </c>
      <c r="K16" s="99" t="s">
        <v>4</v>
      </c>
      <c r="L16" s="101"/>
      <c r="M16" s="104" t="str">
        <f>IF(Main[[#This Row],[Tech Start Date]]&lt;1/1/1990,"",IF(Main[[#This Row],[Class]]="C",WORKDAY(Main[[#This Row],[Tech Start Date]],9),IF(Main[[#This Row],[Class]]="B", WORKDAY(Main[[#This Row],[Tech Start Date]],6),IF(Main[[#This Row],[Class]]="A",WORKDAY(Main[[#This Row],[Tech Start Date]],2),""))))</f>
        <v/>
      </c>
      <c r="N16" s="104" t="str">
        <f>IF(Main[[#This Row],[Tech Start Date]]&lt;1/1/1990,"",IF(Main[[#This Row],[Class]]="C",WORKDAY(Main[[#This Row],[Tech Start Date]],19),IF(Main[[#This Row],[Class]]="B", WORKDAY(Main[[#This Row],[Tech Start Date]],12),IF(Main[[#This Row],[Class]]="A",WORKDAY(Main[[#This Row],[Tech Start Date]],4),""))))</f>
        <v/>
      </c>
      <c r="O16" s="104" t="str">
        <f>IF(Main[[#This Row],[Tech Start Date]]&lt;1/1/1990,"",IF(Main[[#This Row],[Class]]="C",WORKDAY(Main[[#This Row],[Tech Start Date]],23),IF(Main[[#This Row],[Class]]="B", WORKDAY(Main[[#This Row],[Tech Start Date]],15),IF(Main[[#This Row],[Class]]="A",WORKDAY(Main[[#This Row],[Tech Start Date]],5),""))))</f>
        <v/>
      </c>
      <c r="P16" s="104" t="str">
        <f>IF(Main[[#This Row],[Tech Start Date]]&lt;1/1/1990,"",IF(Main[[#This Row],[Class]]="C",WORKDAY(Main[[#This Row],[Tech Start Date]],28),IF(Main[[#This Row],[Class]]="B", WORKDAY(Main[[#This Row],[Tech Start Date]],19),IF(Main[[#This Row],[Class]]="A",WORKDAY(Main[[#This Row],[Tech Start Date]],9),""))))</f>
        <v/>
      </c>
      <c r="Q16" s="101">
        <v>40862</v>
      </c>
      <c r="R16" s="101">
        <v>40862</v>
      </c>
      <c r="S16" s="99" t="s">
        <v>17</v>
      </c>
      <c r="T16" s="107" t="s">
        <v>2579</v>
      </c>
      <c r="U16" s="99" t="s">
        <v>29</v>
      </c>
      <c r="V16" s="99" t="s">
        <v>1977</v>
      </c>
      <c r="W16" s="99" t="s">
        <v>1964</v>
      </c>
    </row>
    <row r="17" spans="1:30" ht="18.600000000000001" customHeight="1">
      <c r="A17" s="123">
        <f>IF(priority(Main[[#This Row],[Comments]])&lt;&gt;0, priority(Main[[#This Row],[Comments]]),"")</f>
        <v>2</v>
      </c>
      <c r="B17" s="127" t="s">
        <v>2785</v>
      </c>
      <c r="C17" s="99" t="s">
        <v>2437</v>
      </c>
      <c r="D17" s="100" t="s">
        <v>3099</v>
      </c>
      <c r="E17" s="101">
        <v>40876.595868055556</v>
      </c>
      <c r="F17" s="101"/>
      <c r="G17" s="102" t="str">
        <f>IF(stdProdLT(Main[[#This Row],[Comments]])=0.1,"N/A",IF(stdProdLT(Main[[#This Row],[Comments]])=0,"",stdProdLT(Main[[#This Row],[Comments]])))</f>
        <v/>
      </c>
      <c r="H17" s="103" t="str">
        <f>IF(AND(Main[[#This Row],[In Stock Date]]&lt;&gt;"",Main[[#This Row],[Revised Due Date]]&lt;&gt;""),Main[[#This Row],[In Stock Date]]-Main[[#This Row],[Revised Due Date]],"")</f>
        <v/>
      </c>
      <c r="I17" s="99" t="s">
        <v>4</v>
      </c>
      <c r="J17" s="99" t="s">
        <v>4</v>
      </c>
      <c r="K17" s="99" t="s">
        <v>4</v>
      </c>
      <c r="L17" s="101"/>
      <c r="M17" s="104" t="str">
        <f>IF(Main[[#This Row],[Tech Start Date]]&lt;1/1/1990,"",IF(Main[[#This Row],[Class]]="C",WORKDAY(Main[[#This Row],[Tech Start Date]],9),IF(Main[[#This Row],[Class]]="B", WORKDAY(Main[[#This Row],[Tech Start Date]],6),IF(Main[[#This Row],[Class]]="A",WORKDAY(Main[[#This Row],[Tech Start Date]],2),""))))</f>
        <v/>
      </c>
      <c r="N17" s="104" t="str">
        <f>IF(Main[[#This Row],[Tech Start Date]]&lt;1/1/1990,"",IF(Main[[#This Row],[Class]]="C",WORKDAY(Main[[#This Row],[Tech Start Date]],19),IF(Main[[#This Row],[Class]]="B", WORKDAY(Main[[#This Row],[Tech Start Date]],12),IF(Main[[#This Row],[Class]]="A",WORKDAY(Main[[#This Row],[Tech Start Date]],4),""))))</f>
        <v/>
      </c>
      <c r="O17" s="104" t="str">
        <f>IF(Main[[#This Row],[Tech Start Date]]&lt;1/1/1990,"",IF(Main[[#This Row],[Class]]="C",WORKDAY(Main[[#This Row],[Tech Start Date]],23),IF(Main[[#This Row],[Class]]="B", WORKDAY(Main[[#This Row],[Tech Start Date]],15),IF(Main[[#This Row],[Class]]="A",WORKDAY(Main[[#This Row],[Tech Start Date]],5),""))))</f>
        <v/>
      </c>
      <c r="P17" s="104" t="str">
        <f>IF(Main[[#This Row],[Tech Start Date]]&lt;1/1/1990,"",IF(Main[[#This Row],[Class]]="C",WORKDAY(Main[[#This Row],[Tech Start Date]],28),IF(Main[[#This Row],[Class]]="B", WORKDAY(Main[[#This Row],[Tech Start Date]],19),IF(Main[[#This Row],[Class]]="A",WORKDAY(Main[[#This Row],[Tech Start Date]],9),""))))</f>
        <v/>
      </c>
      <c r="Q17" s="101"/>
      <c r="R17" s="101"/>
      <c r="S17" s="99" t="s">
        <v>4</v>
      </c>
      <c r="T17" s="107" t="s">
        <v>3127</v>
      </c>
      <c r="U17" s="99" t="s">
        <v>7</v>
      </c>
      <c r="V17" s="99" t="s">
        <v>1962</v>
      </c>
      <c r="W17" s="99" t="s">
        <v>1964</v>
      </c>
    </row>
    <row r="18" spans="1:30" ht="18.600000000000001" customHeight="1">
      <c r="A18" s="123">
        <f>IF(priority(Main[[#This Row],[Comments]])&lt;&gt;0, priority(Main[[#This Row],[Comments]]),"")</f>
        <v>2</v>
      </c>
      <c r="B18" s="127" t="s">
        <v>1486</v>
      </c>
      <c r="C18" s="99" t="s">
        <v>304</v>
      </c>
      <c r="D18" s="100" t="s">
        <v>2880</v>
      </c>
      <c r="E18" s="101">
        <v>40682.310381944444</v>
      </c>
      <c r="F18" s="101">
        <v>40977</v>
      </c>
      <c r="G18" s="102">
        <f>IF(stdProdLT(Main[[#This Row],[Comments]])=0.1,"N/A",IF(stdProdLT(Main[[#This Row],[Comments]])=0,"",stdProdLT(Main[[#This Row],[Comments]])))</f>
        <v>182</v>
      </c>
      <c r="H18" s="103">
        <f>IF(AND(Main[[#This Row],[In Stock Date]]&lt;&gt;"",Main[[#This Row],[Revised Due Date]]&lt;&gt;""),Main[[#This Row],[In Stock Date]]-Main[[#This Row],[Revised Due Date]],"")</f>
        <v>91</v>
      </c>
      <c r="I18" s="99" t="s">
        <v>2112</v>
      </c>
      <c r="J18" s="99" t="s">
        <v>28</v>
      </c>
      <c r="K18" s="99" t="s">
        <v>1975</v>
      </c>
      <c r="L18" s="101">
        <v>40725</v>
      </c>
      <c r="M18" s="104">
        <f>IF(Main[[#This Row],[Tech Start Date]]&lt;1/1/1990,"",IF(Main[[#This Row],[Class]]="C",WORKDAY(Main[[#This Row],[Tech Start Date]],9),IF(Main[[#This Row],[Class]]="B", WORKDAY(Main[[#This Row],[Tech Start Date]],6),IF(Main[[#This Row],[Class]]="A",WORKDAY(Main[[#This Row],[Tech Start Date]],2),""))))</f>
        <v>40738</v>
      </c>
      <c r="N18" s="104">
        <f>IF(Main[[#This Row],[Tech Start Date]]&lt;1/1/1990,"",IF(Main[[#This Row],[Class]]="C",WORKDAY(Main[[#This Row],[Tech Start Date]],19),IF(Main[[#This Row],[Class]]="B", WORKDAY(Main[[#This Row],[Tech Start Date]],12),IF(Main[[#This Row],[Class]]="A",WORKDAY(Main[[#This Row],[Tech Start Date]],4),""))))</f>
        <v>40752</v>
      </c>
      <c r="O18" s="104">
        <f>IF(Main[[#This Row],[Tech Start Date]]&lt;1/1/1990,"",IF(Main[[#This Row],[Class]]="C",WORKDAY(Main[[#This Row],[Tech Start Date]],23),IF(Main[[#This Row],[Class]]="B", WORKDAY(Main[[#This Row],[Tech Start Date]],15),IF(Main[[#This Row],[Class]]="A",WORKDAY(Main[[#This Row],[Tech Start Date]],5),""))))</f>
        <v>40758</v>
      </c>
      <c r="P18" s="104">
        <f>IF(Main[[#This Row],[Tech Start Date]]&lt;1/1/1990,"",IF(Main[[#This Row],[Class]]="C",WORKDAY(Main[[#This Row],[Tech Start Date]],28),IF(Main[[#This Row],[Class]]="B", WORKDAY(Main[[#This Row],[Tech Start Date]],19),IF(Main[[#This Row],[Class]]="A",WORKDAY(Main[[#This Row],[Tech Start Date]],9),""))))</f>
        <v>40765</v>
      </c>
      <c r="Q18" s="101">
        <v>40712</v>
      </c>
      <c r="R18" s="101">
        <v>40886</v>
      </c>
      <c r="S18" s="99" t="s">
        <v>11</v>
      </c>
      <c r="T18" s="107" t="s">
        <v>2881</v>
      </c>
      <c r="U18" s="99" t="s">
        <v>29</v>
      </c>
      <c r="V18" s="99" t="s">
        <v>1963</v>
      </c>
      <c r="W18" s="99" t="s">
        <v>1973</v>
      </c>
    </row>
    <row r="19" spans="1:30" ht="18.600000000000001" customHeight="1">
      <c r="A19" s="123">
        <f>IF(priority(Main[[#This Row],[Comments]])&lt;&gt;0, priority(Main[[#This Row],[Comments]]),"")</f>
        <v>2</v>
      </c>
      <c r="B19" s="127" t="s">
        <v>2104</v>
      </c>
      <c r="C19" s="99" t="s">
        <v>304</v>
      </c>
      <c r="D19" s="100" t="s">
        <v>2403</v>
      </c>
      <c r="E19" s="101">
        <v>40682.272986111115</v>
      </c>
      <c r="F19" s="101">
        <v>40909</v>
      </c>
      <c r="G19" s="102">
        <f>IF(stdProdLT(Main[[#This Row],[Comments]])=0.1,"N/A",IF(stdProdLT(Main[[#This Row],[Comments]])=0,"",stdProdLT(Main[[#This Row],[Comments]])))</f>
        <v>182</v>
      </c>
      <c r="H19" s="103">
        <f>IF(AND(Main[[#This Row],[In Stock Date]]&lt;&gt;"",Main[[#This Row],[Revised Due Date]]&lt;&gt;""),Main[[#This Row],[In Stock Date]]-Main[[#This Row],[Revised Due Date]],"")</f>
        <v>78</v>
      </c>
      <c r="I19" s="99" t="s">
        <v>967</v>
      </c>
      <c r="J19" s="99" t="s">
        <v>28</v>
      </c>
      <c r="K19" s="99" t="s">
        <v>1975</v>
      </c>
      <c r="L19" s="101">
        <v>40725</v>
      </c>
      <c r="M19" s="104">
        <f>IF(Main[[#This Row],[Tech Start Date]]&lt;1/1/1990,"",IF(Main[[#This Row],[Class]]="C",WORKDAY(Main[[#This Row],[Tech Start Date]],9),IF(Main[[#This Row],[Class]]="B", WORKDAY(Main[[#This Row],[Tech Start Date]],6),IF(Main[[#This Row],[Class]]="A",WORKDAY(Main[[#This Row],[Tech Start Date]],2),""))))</f>
        <v>40738</v>
      </c>
      <c r="N19" s="104">
        <f>IF(Main[[#This Row],[Tech Start Date]]&lt;1/1/1990,"",IF(Main[[#This Row],[Class]]="C",WORKDAY(Main[[#This Row],[Tech Start Date]],19),IF(Main[[#This Row],[Class]]="B", WORKDAY(Main[[#This Row],[Tech Start Date]],12),IF(Main[[#This Row],[Class]]="A",WORKDAY(Main[[#This Row],[Tech Start Date]],4),""))))</f>
        <v>40752</v>
      </c>
      <c r="O19" s="104">
        <f>IF(Main[[#This Row],[Tech Start Date]]&lt;1/1/1990,"",IF(Main[[#This Row],[Class]]="C",WORKDAY(Main[[#This Row],[Tech Start Date]],23),IF(Main[[#This Row],[Class]]="B", WORKDAY(Main[[#This Row],[Tech Start Date]],15),IF(Main[[#This Row],[Class]]="A",WORKDAY(Main[[#This Row],[Tech Start Date]],5),""))))</f>
        <v>40758</v>
      </c>
      <c r="P19" s="104">
        <f>IF(Main[[#This Row],[Tech Start Date]]&lt;1/1/1990,"",IF(Main[[#This Row],[Class]]="C",WORKDAY(Main[[#This Row],[Tech Start Date]],28),IF(Main[[#This Row],[Class]]="B", WORKDAY(Main[[#This Row],[Tech Start Date]],19),IF(Main[[#This Row],[Class]]="A",WORKDAY(Main[[#This Row],[Tech Start Date]],9),""))))</f>
        <v>40765</v>
      </c>
      <c r="Q19" s="101">
        <v>40724</v>
      </c>
      <c r="R19" s="101">
        <v>40831</v>
      </c>
      <c r="S19" s="99" t="s">
        <v>17</v>
      </c>
      <c r="T19" s="107" t="s">
        <v>2278</v>
      </c>
      <c r="U19" s="99" t="s">
        <v>29</v>
      </c>
      <c r="V19" s="99" t="s">
        <v>1963</v>
      </c>
      <c r="W19" s="99" t="s">
        <v>1967</v>
      </c>
    </row>
    <row r="20" spans="1:30" ht="18.600000000000001" customHeight="1">
      <c r="A20" s="123">
        <f>IF(priority(Main[[#This Row],[Comments]])&lt;&gt;0, priority(Main[[#This Row],[Comments]]),"")</f>
        <v>2</v>
      </c>
      <c r="B20" s="127" t="s">
        <v>2800</v>
      </c>
      <c r="C20" s="99" t="s">
        <v>3054</v>
      </c>
      <c r="D20" s="100" t="s">
        <v>2801</v>
      </c>
      <c r="E20" s="101">
        <v>40877.1484375</v>
      </c>
      <c r="F20" s="101">
        <v>40884</v>
      </c>
      <c r="G20" s="102">
        <f>IF(stdProdLT(Main[[#This Row],[Comments]])=0.1,"N/A",IF(stdProdLT(Main[[#This Row],[Comments]])=0,"",stdProdLT(Main[[#This Row],[Comments]])))</f>
        <v>15</v>
      </c>
      <c r="H20" s="103">
        <f>IF(AND(Main[[#This Row],[In Stock Date]]&lt;&gt;"",Main[[#This Row],[Revised Due Date]]&lt;&gt;""),Main[[#This Row],[In Stock Date]]-Main[[#This Row],[Revised Due Date]],"")</f>
        <v>-9</v>
      </c>
      <c r="I20" s="99" t="s">
        <v>536</v>
      </c>
      <c r="J20" s="99" t="s">
        <v>52</v>
      </c>
      <c r="K20" s="99" t="s">
        <v>1971</v>
      </c>
      <c r="L20" s="101">
        <v>40878</v>
      </c>
      <c r="M20" s="104">
        <f>IF(Main[[#This Row],[Tech Start Date]]&lt;1/1/1990,"",IF(Main[[#This Row],[Class]]="C",WORKDAY(Main[[#This Row],[Tech Start Date]],9),IF(Main[[#This Row],[Class]]="B", WORKDAY(Main[[#This Row],[Tech Start Date]],6),IF(Main[[#This Row],[Class]]="A",WORKDAY(Main[[#This Row],[Tech Start Date]],2),""))))</f>
        <v>40882</v>
      </c>
      <c r="N20" s="104">
        <f>IF(Main[[#This Row],[Tech Start Date]]&lt;1/1/1990,"",IF(Main[[#This Row],[Class]]="C",WORKDAY(Main[[#This Row],[Tech Start Date]],19),IF(Main[[#This Row],[Class]]="B", WORKDAY(Main[[#This Row],[Tech Start Date]],12),IF(Main[[#This Row],[Class]]="A",WORKDAY(Main[[#This Row],[Tech Start Date]],4),""))))</f>
        <v>40884</v>
      </c>
      <c r="O20" s="104">
        <f>IF(Main[[#This Row],[Tech Start Date]]&lt;1/1/1990,"",IF(Main[[#This Row],[Class]]="C",WORKDAY(Main[[#This Row],[Tech Start Date]],23),IF(Main[[#This Row],[Class]]="B", WORKDAY(Main[[#This Row],[Tech Start Date]],15),IF(Main[[#This Row],[Class]]="A",WORKDAY(Main[[#This Row],[Tech Start Date]],5),""))))</f>
        <v>40885</v>
      </c>
      <c r="P20" s="104">
        <f>IF(Main[[#This Row],[Tech Start Date]]&lt;1/1/1990,"",IF(Main[[#This Row],[Class]]="C",WORKDAY(Main[[#This Row],[Tech Start Date]],28),IF(Main[[#This Row],[Class]]="B", WORKDAY(Main[[#This Row],[Tech Start Date]],19),IF(Main[[#This Row],[Class]]="A",WORKDAY(Main[[#This Row],[Tech Start Date]],9),""))))</f>
        <v>40891</v>
      </c>
      <c r="Q20" s="101">
        <v>40881</v>
      </c>
      <c r="R20" s="101">
        <v>40893</v>
      </c>
      <c r="S20" s="99" t="s">
        <v>11</v>
      </c>
      <c r="T20" s="107" t="s">
        <v>3085</v>
      </c>
      <c r="U20" s="99" t="s">
        <v>29</v>
      </c>
      <c r="V20" s="99" t="s">
        <v>1965</v>
      </c>
      <c r="W20" s="99" t="s">
        <v>1970</v>
      </c>
    </row>
    <row r="21" spans="1:30" ht="18.600000000000001" customHeight="1">
      <c r="A21" s="123">
        <f>IF(priority(Main[[#This Row],[Comments]])&lt;&gt;0, priority(Main[[#This Row],[Comments]]),"")</f>
        <v>2.1</v>
      </c>
      <c r="B21" s="127" t="s">
        <v>2706</v>
      </c>
      <c r="C21" s="99" t="s">
        <v>3054</v>
      </c>
      <c r="D21" s="100" t="s">
        <v>2707</v>
      </c>
      <c r="E21" s="101">
        <v>40877.179502314815</v>
      </c>
      <c r="F21" s="101">
        <v>40884</v>
      </c>
      <c r="G21" s="102">
        <f>IF(stdProdLT(Main[[#This Row],[Comments]])=0.1,"N/A",IF(stdProdLT(Main[[#This Row],[Comments]])=0,"",stdProdLT(Main[[#This Row],[Comments]])))</f>
        <v>15</v>
      </c>
      <c r="H21" s="103">
        <f>IF(AND(Main[[#This Row],[In Stock Date]]&lt;&gt;"",Main[[#This Row],[Revised Due Date]]&lt;&gt;""),Main[[#This Row],[In Stock Date]]-Main[[#This Row],[Revised Due Date]],"")</f>
        <v>-9</v>
      </c>
      <c r="I21" s="99" t="s">
        <v>536</v>
      </c>
      <c r="J21" s="99" t="s">
        <v>52</v>
      </c>
      <c r="K21" s="108" t="s">
        <v>1971</v>
      </c>
      <c r="L21" s="101">
        <v>40878</v>
      </c>
      <c r="M21" s="104">
        <f>IF(Main[[#This Row],[Tech Start Date]]&lt;1/1/1990,"",IF(Main[[#This Row],[Class]]="C",WORKDAY(Main[[#This Row],[Tech Start Date]],9),IF(Main[[#This Row],[Class]]="B", WORKDAY(Main[[#This Row],[Tech Start Date]],6),IF(Main[[#This Row],[Class]]="A",WORKDAY(Main[[#This Row],[Tech Start Date]],2),""))))</f>
        <v>40882</v>
      </c>
      <c r="N21" s="104">
        <f>IF(Main[[#This Row],[Tech Start Date]]&lt;1/1/1990,"",IF(Main[[#This Row],[Class]]="C",WORKDAY(Main[[#This Row],[Tech Start Date]],19),IF(Main[[#This Row],[Class]]="B", WORKDAY(Main[[#This Row],[Tech Start Date]],12),IF(Main[[#This Row],[Class]]="A",WORKDAY(Main[[#This Row],[Tech Start Date]],4),""))))</f>
        <v>40884</v>
      </c>
      <c r="O21" s="104">
        <f>IF(Main[[#This Row],[Tech Start Date]]&lt;1/1/1990,"",IF(Main[[#This Row],[Class]]="C",WORKDAY(Main[[#This Row],[Tech Start Date]],23),IF(Main[[#This Row],[Class]]="B", WORKDAY(Main[[#This Row],[Tech Start Date]],15),IF(Main[[#This Row],[Class]]="A",WORKDAY(Main[[#This Row],[Tech Start Date]],5),""))))</f>
        <v>40885</v>
      </c>
      <c r="P21" s="104">
        <f>IF(Main[[#This Row],[Tech Start Date]]&lt;1/1/1990,"",IF(Main[[#This Row],[Class]]="C",WORKDAY(Main[[#This Row],[Tech Start Date]],28),IF(Main[[#This Row],[Class]]="B", WORKDAY(Main[[#This Row],[Tech Start Date]],19),IF(Main[[#This Row],[Class]]="A",WORKDAY(Main[[#This Row],[Tech Start Date]],9),""))))</f>
        <v>40891</v>
      </c>
      <c r="Q21" s="101">
        <v>40881</v>
      </c>
      <c r="R21" s="101">
        <v>40893</v>
      </c>
      <c r="S21" s="99" t="s">
        <v>11</v>
      </c>
      <c r="T21" s="107" t="s">
        <v>3063</v>
      </c>
      <c r="U21" s="99" t="s">
        <v>29</v>
      </c>
      <c r="V21" s="99" t="s">
        <v>1972</v>
      </c>
      <c r="W21" s="99" t="s">
        <v>1970</v>
      </c>
    </row>
    <row r="22" spans="1:30" ht="18.600000000000001" customHeight="1">
      <c r="A22" s="123">
        <f>IF(priority(Main[[#This Row],[Comments]])&lt;&gt;0, priority(Main[[#This Row],[Comments]]),"")</f>
        <v>2.2000000000000002</v>
      </c>
      <c r="B22" s="127" t="s">
        <v>2704</v>
      </c>
      <c r="C22" s="99" t="s">
        <v>3054</v>
      </c>
      <c r="D22" s="100" t="s">
        <v>2705</v>
      </c>
      <c r="E22" s="101">
        <v>40877.174097222225</v>
      </c>
      <c r="F22" s="101">
        <v>40884</v>
      </c>
      <c r="G22" s="102">
        <f>IF(stdProdLT(Main[[#This Row],[Comments]])=0.1,"N/A",IF(stdProdLT(Main[[#This Row],[Comments]])=0,"",stdProdLT(Main[[#This Row],[Comments]])))</f>
        <v>15</v>
      </c>
      <c r="H22" s="103">
        <f>IF(AND(Main[[#This Row],[In Stock Date]]&lt;&gt;"",Main[[#This Row],[Revised Due Date]]&lt;&gt;""),Main[[#This Row],[In Stock Date]]-Main[[#This Row],[Revised Due Date]],"")</f>
        <v>-9</v>
      </c>
      <c r="I22" s="99" t="s">
        <v>536</v>
      </c>
      <c r="J22" s="99" t="s">
        <v>52</v>
      </c>
      <c r="K22" s="108" t="s">
        <v>1971</v>
      </c>
      <c r="L22" s="101">
        <v>40878</v>
      </c>
      <c r="M22" s="104">
        <f>IF(Main[[#This Row],[Tech Start Date]]&lt;1/1/1990,"",IF(Main[[#This Row],[Class]]="C",WORKDAY(Main[[#This Row],[Tech Start Date]],9),IF(Main[[#This Row],[Class]]="B", WORKDAY(Main[[#This Row],[Tech Start Date]],6),IF(Main[[#This Row],[Class]]="A",WORKDAY(Main[[#This Row],[Tech Start Date]],2),""))))</f>
        <v>40882</v>
      </c>
      <c r="N22" s="104">
        <f>IF(Main[[#This Row],[Tech Start Date]]&lt;1/1/1990,"",IF(Main[[#This Row],[Class]]="C",WORKDAY(Main[[#This Row],[Tech Start Date]],19),IF(Main[[#This Row],[Class]]="B", WORKDAY(Main[[#This Row],[Tech Start Date]],12),IF(Main[[#This Row],[Class]]="A",WORKDAY(Main[[#This Row],[Tech Start Date]],4),""))))</f>
        <v>40884</v>
      </c>
      <c r="O22" s="104">
        <f>IF(Main[[#This Row],[Tech Start Date]]&lt;1/1/1990,"",IF(Main[[#This Row],[Class]]="C",WORKDAY(Main[[#This Row],[Tech Start Date]],23),IF(Main[[#This Row],[Class]]="B", WORKDAY(Main[[#This Row],[Tech Start Date]],15),IF(Main[[#This Row],[Class]]="A",WORKDAY(Main[[#This Row],[Tech Start Date]],5),""))))</f>
        <v>40885</v>
      </c>
      <c r="P22" s="104">
        <f>IF(Main[[#This Row],[Tech Start Date]]&lt;1/1/1990,"",IF(Main[[#This Row],[Class]]="C",WORKDAY(Main[[#This Row],[Tech Start Date]],28),IF(Main[[#This Row],[Class]]="B", WORKDAY(Main[[#This Row],[Tech Start Date]],19),IF(Main[[#This Row],[Class]]="A",WORKDAY(Main[[#This Row],[Tech Start Date]],9),""))))</f>
        <v>40891</v>
      </c>
      <c r="Q22" s="101">
        <v>40881</v>
      </c>
      <c r="R22" s="101">
        <v>40893</v>
      </c>
      <c r="S22" s="99" t="s">
        <v>11</v>
      </c>
      <c r="T22" s="107" t="s">
        <v>3060</v>
      </c>
      <c r="U22" s="99" t="s">
        <v>29</v>
      </c>
      <c r="V22" s="99" t="s">
        <v>1972</v>
      </c>
      <c r="W22" s="99" t="s">
        <v>1970</v>
      </c>
    </row>
    <row r="23" spans="1:30" ht="18.600000000000001" customHeight="1">
      <c r="A23" s="123">
        <f>IF(priority(Main[[#This Row],[Comments]])&lt;&gt;0, priority(Main[[#This Row],[Comments]]),"")</f>
        <v>3</v>
      </c>
      <c r="B23" s="127" t="s">
        <v>2218</v>
      </c>
      <c r="C23" s="99" t="s">
        <v>2219</v>
      </c>
      <c r="D23" s="100" t="s">
        <v>3117</v>
      </c>
      <c r="E23" s="101">
        <v>40770.33797453704</v>
      </c>
      <c r="F23" s="101">
        <v>40954</v>
      </c>
      <c r="G23" s="102">
        <f>IF(stdProdLT(Main[[#This Row],[Comments]])=0.1,"N/A",IF(stdProdLT(Main[[#This Row],[Comments]])=0,"",stdProdLT(Main[[#This Row],[Comments]])))</f>
        <v>126</v>
      </c>
      <c r="H23" s="103">
        <f>IF(AND(Main[[#This Row],[In Stock Date]]&lt;&gt;"",Main[[#This Row],[Revised Due Date]]&lt;&gt;""),Main[[#This Row],[In Stock Date]]-Main[[#This Row],[Revised Due Date]],"")</f>
        <v>63</v>
      </c>
      <c r="I23" s="99" t="s">
        <v>911</v>
      </c>
      <c r="J23" s="99" t="s">
        <v>21</v>
      </c>
      <c r="K23" s="99" t="s">
        <v>1975</v>
      </c>
      <c r="L23" s="101">
        <v>40778</v>
      </c>
      <c r="M23" s="104">
        <f>IF(Main[[#This Row],[Tech Start Date]]&lt;1/1/1990,"",IF(Main[[#This Row],[Class]]="C",WORKDAY(Main[[#This Row],[Tech Start Date]],9),IF(Main[[#This Row],[Class]]="B", WORKDAY(Main[[#This Row],[Tech Start Date]],6),IF(Main[[#This Row],[Class]]="A",WORKDAY(Main[[#This Row],[Tech Start Date]],2),""))))</f>
        <v>40791</v>
      </c>
      <c r="N23" s="104">
        <f>IF(Main[[#This Row],[Tech Start Date]]&lt;1/1/1990,"",IF(Main[[#This Row],[Class]]="C",WORKDAY(Main[[#This Row],[Tech Start Date]],19),IF(Main[[#This Row],[Class]]="B", WORKDAY(Main[[#This Row],[Tech Start Date]],12),IF(Main[[#This Row],[Class]]="A",WORKDAY(Main[[#This Row],[Tech Start Date]],4),""))))</f>
        <v>40805</v>
      </c>
      <c r="O23" s="104">
        <f>IF(Main[[#This Row],[Tech Start Date]]&lt;1/1/1990,"",IF(Main[[#This Row],[Class]]="C",WORKDAY(Main[[#This Row],[Tech Start Date]],23),IF(Main[[#This Row],[Class]]="B", WORKDAY(Main[[#This Row],[Tech Start Date]],15),IF(Main[[#This Row],[Class]]="A",WORKDAY(Main[[#This Row],[Tech Start Date]],5),""))))</f>
        <v>40809</v>
      </c>
      <c r="P23" s="104">
        <f>IF(Main[[#This Row],[Tech Start Date]]&lt;1/1/1990,"",IF(Main[[#This Row],[Class]]="C",WORKDAY(Main[[#This Row],[Tech Start Date]],28),IF(Main[[#This Row],[Class]]="B", WORKDAY(Main[[#This Row],[Tech Start Date]],19),IF(Main[[#This Row],[Class]]="A",WORKDAY(Main[[#This Row],[Tech Start Date]],9),""))))</f>
        <v>40816</v>
      </c>
      <c r="Q23" s="101">
        <v>40802</v>
      </c>
      <c r="R23" s="101">
        <v>40891</v>
      </c>
      <c r="S23" s="99" t="s">
        <v>11</v>
      </c>
      <c r="T23" s="107" t="s">
        <v>3128</v>
      </c>
      <c r="U23" s="99" t="s">
        <v>29</v>
      </c>
      <c r="V23" s="99" t="s">
        <v>1962</v>
      </c>
      <c r="W23" s="99" t="s">
        <v>1968</v>
      </c>
    </row>
    <row r="24" spans="1:30" ht="18.600000000000001" customHeight="1">
      <c r="A24" s="123">
        <f>IF(priority(Main[[#This Row],[Comments]])&lt;&gt;0, priority(Main[[#This Row],[Comments]]),"")</f>
        <v>3</v>
      </c>
      <c r="B24" s="127" t="s">
        <v>2355</v>
      </c>
      <c r="C24" s="99" t="s">
        <v>524</v>
      </c>
      <c r="D24" s="100" t="s">
        <v>2914</v>
      </c>
      <c r="E24" s="101">
        <v>40812.552488425928</v>
      </c>
      <c r="F24" s="101">
        <v>41030</v>
      </c>
      <c r="G24" s="102" t="str">
        <f>IF(stdProdLT(Main[[#This Row],[Comments]])=0.1,"N/A",IF(stdProdLT(Main[[#This Row],[Comments]])=0,"",stdProdLT(Main[[#This Row],[Comments]])))</f>
        <v/>
      </c>
      <c r="H24" s="103">
        <f>IF(AND(Main[[#This Row],[In Stock Date]]&lt;&gt;"",Main[[#This Row],[Revised Due Date]]&lt;&gt;""),Main[[#This Row],[In Stock Date]]-Main[[#This Row],[Revised Due Date]],"")</f>
        <v>139</v>
      </c>
      <c r="I24" s="99" t="s">
        <v>2915</v>
      </c>
      <c r="J24" s="99" t="s">
        <v>28</v>
      </c>
      <c r="K24" s="99" t="s">
        <v>1969</v>
      </c>
      <c r="L24" s="101">
        <v>40835</v>
      </c>
      <c r="M24" s="104">
        <f>IF(Main[[#This Row],[Tech Start Date]]&lt;1/1/1990,"",IF(Main[[#This Row],[Class]]="C",WORKDAY(Main[[#This Row],[Tech Start Date]],9),IF(Main[[#This Row],[Class]]="B", WORKDAY(Main[[#This Row],[Tech Start Date]],6),IF(Main[[#This Row],[Class]]="A",WORKDAY(Main[[#This Row],[Tech Start Date]],2),""))))</f>
        <v>40843</v>
      </c>
      <c r="N24" s="104">
        <f>IF(Main[[#This Row],[Tech Start Date]]&lt;1/1/1990,"",IF(Main[[#This Row],[Class]]="C",WORKDAY(Main[[#This Row],[Tech Start Date]],19),IF(Main[[#This Row],[Class]]="B", WORKDAY(Main[[#This Row],[Tech Start Date]],12),IF(Main[[#This Row],[Class]]="A",WORKDAY(Main[[#This Row],[Tech Start Date]],4),""))))</f>
        <v>40851</v>
      </c>
      <c r="O24" s="104">
        <f>IF(Main[[#This Row],[Tech Start Date]]&lt;1/1/1990,"",IF(Main[[#This Row],[Class]]="C",WORKDAY(Main[[#This Row],[Tech Start Date]],23),IF(Main[[#This Row],[Class]]="B", WORKDAY(Main[[#This Row],[Tech Start Date]],15),IF(Main[[#This Row],[Class]]="A",WORKDAY(Main[[#This Row],[Tech Start Date]],5),""))))</f>
        <v>40856</v>
      </c>
      <c r="P24" s="104">
        <f>IF(Main[[#This Row],[Tech Start Date]]&lt;1/1/1990,"",IF(Main[[#This Row],[Class]]="C",WORKDAY(Main[[#This Row],[Tech Start Date]],28),IF(Main[[#This Row],[Class]]="B", WORKDAY(Main[[#This Row],[Tech Start Date]],19),IF(Main[[#This Row],[Class]]="A",WORKDAY(Main[[#This Row],[Tech Start Date]],9),""))))</f>
        <v>40862</v>
      </c>
      <c r="Q24" s="101">
        <v>40816</v>
      </c>
      <c r="R24" s="101">
        <v>40891</v>
      </c>
      <c r="S24" s="99" t="s">
        <v>11</v>
      </c>
      <c r="T24" s="107" t="s">
        <v>2916</v>
      </c>
      <c r="U24" s="99" t="s">
        <v>29</v>
      </c>
      <c r="V24" s="99" t="s">
        <v>1963</v>
      </c>
      <c r="W24" s="99" t="s">
        <v>1970</v>
      </c>
    </row>
    <row r="25" spans="1:30" ht="18.600000000000001" customHeight="1">
      <c r="A25" s="123">
        <f>IF(priority(Main[[#This Row],[Comments]])&lt;&gt;0, priority(Main[[#This Row],[Comments]]),"")</f>
        <v>3</v>
      </c>
      <c r="B25" s="127" t="s">
        <v>1935</v>
      </c>
      <c r="C25" s="99" t="s">
        <v>966</v>
      </c>
      <c r="D25" s="100" t="s">
        <v>2940</v>
      </c>
      <c r="E25" s="101">
        <v>40694.711041666669</v>
      </c>
      <c r="F25" s="101"/>
      <c r="G25" s="102" t="str">
        <f>IF(stdProdLT(Main[[#This Row],[Comments]])=0.1,"N/A",IF(stdProdLT(Main[[#This Row],[Comments]])=0,"",stdProdLT(Main[[#This Row],[Comments]])))</f>
        <v/>
      </c>
      <c r="H25" s="103" t="str">
        <f>IF(AND(Main[[#This Row],[In Stock Date]]&lt;&gt;"",Main[[#This Row],[Revised Due Date]]&lt;&gt;""),Main[[#This Row],[In Stock Date]]-Main[[#This Row],[Revised Due Date]],"")</f>
        <v/>
      </c>
      <c r="I25" s="99" t="s">
        <v>967</v>
      </c>
      <c r="J25" s="99" t="s">
        <v>28</v>
      </c>
      <c r="K25" s="108" t="s">
        <v>1974</v>
      </c>
      <c r="L25" s="101">
        <v>40848</v>
      </c>
      <c r="M25" s="104" t="str">
        <f>IF(Main[[#This Row],[Tech Start Date]]&lt;1/1/1990,"",IF(Main[[#This Row],[Class]]="C",WORKDAY(Main[[#This Row],[Tech Start Date]],9),IF(Main[[#This Row],[Class]]="B", WORKDAY(Main[[#This Row],[Tech Start Date]],6),IF(Main[[#This Row],[Class]]="A",WORKDAY(Main[[#This Row],[Tech Start Date]],2),""))))</f>
        <v/>
      </c>
      <c r="N25" s="104" t="str">
        <f>IF(Main[[#This Row],[Tech Start Date]]&lt;1/1/1990,"",IF(Main[[#This Row],[Class]]="C",WORKDAY(Main[[#This Row],[Tech Start Date]],19),IF(Main[[#This Row],[Class]]="B", WORKDAY(Main[[#This Row],[Tech Start Date]],12),IF(Main[[#This Row],[Class]]="A",WORKDAY(Main[[#This Row],[Tech Start Date]],4),""))))</f>
        <v/>
      </c>
      <c r="O25" s="104" t="str">
        <f>IF(Main[[#This Row],[Tech Start Date]]&lt;1/1/1990,"",IF(Main[[#This Row],[Class]]="C",WORKDAY(Main[[#This Row],[Tech Start Date]],23),IF(Main[[#This Row],[Class]]="B", WORKDAY(Main[[#This Row],[Tech Start Date]],15),IF(Main[[#This Row],[Class]]="A",WORKDAY(Main[[#This Row],[Tech Start Date]],5),""))))</f>
        <v/>
      </c>
      <c r="P25" s="104" t="str">
        <f>IF(Main[[#This Row],[Tech Start Date]]&lt;1/1/1990,"",IF(Main[[#This Row],[Class]]="C",WORKDAY(Main[[#This Row],[Tech Start Date]],28),IF(Main[[#This Row],[Class]]="B", WORKDAY(Main[[#This Row],[Tech Start Date]],19),IF(Main[[#This Row],[Class]]="A",WORKDAY(Main[[#This Row],[Tech Start Date]],9),""))))</f>
        <v/>
      </c>
      <c r="Q25" s="101">
        <v>40729</v>
      </c>
      <c r="R25" s="101"/>
      <c r="S25" s="99" t="s">
        <v>17</v>
      </c>
      <c r="T25" s="107" t="s">
        <v>2941</v>
      </c>
      <c r="U25" s="99" t="s">
        <v>29</v>
      </c>
      <c r="V25" s="99" t="s">
        <v>1977</v>
      </c>
      <c r="W25" s="99" t="s">
        <v>1970</v>
      </c>
    </row>
    <row r="26" spans="1:30" ht="18.600000000000001" customHeight="1">
      <c r="A26" s="123">
        <f>IF(priority(Main[[#This Row],[Comments]])&lt;&gt;0, priority(Main[[#This Row],[Comments]]),"")</f>
        <v>4</v>
      </c>
      <c r="B26" s="127" t="s">
        <v>2354</v>
      </c>
      <c r="C26" s="99" t="s">
        <v>524</v>
      </c>
      <c r="D26" s="100" t="s">
        <v>2917</v>
      </c>
      <c r="E26" s="101">
        <v>40812.55064814815</v>
      </c>
      <c r="F26" s="101">
        <v>41030</v>
      </c>
      <c r="G26" s="102">
        <f>IF(stdProdLT(Main[[#This Row],[Comments]])=0.1,"N/A",IF(stdProdLT(Main[[#This Row],[Comments]])=0,"",stdProdLT(Main[[#This Row],[Comments]])))</f>
        <v>84</v>
      </c>
      <c r="H26" s="103">
        <f>IF(AND(Main[[#This Row],[In Stock Date]]&lt;&gt;"",Main[[#This Row],[Revised Due Date]]&lt;&gt;""),Main[[#This Row],[In Stock Date]]-Main[[#This Row],[Revised Due Date]],"")</f>
        <v>139</v>
      </c>
      <c r="I26" s="99" t="s">
        <v>2915</v>
      </c>
      <c r="J26" s="99" t="s">
        <v>28</v>
      </c>
      <c r="K26" s="99" t="s">
        <v>1969</v>
      </c>
      <c r="L26" s="101">
        <v>40835</v>
      </c>
      <c r="M26" s="104">
        <f>IF(Main[[#This Row],[Tech Start Date]]&lt;1/1/1990,"",IF(Main[[#This Row],[Class]]="C",WORKDAY(Main[[#This Row],[Tech Start Date]],9),IF(Main[[#This Row],[Class]]="B", WORKDAY(Main[[#This Row],[Tech Start Date]],6),IF(Main[[#This Row],[Class]]="A",WORKDAY(Main[[#This Row],[Tech Start Date]],2),""))))</f>
        <v>40843</v>
      </c>
      <c r="N26" s="104">
        <f>IF(Main[[#This Row],[Tech Start Date]]&lt;1/1/1990,"",IF(Main[[#This Row],[Class]]="C",WORKDAY(Main[[#This Row],[Tech Start Date]],19),IF(Main[[#This Row],[Class]]="B", WORKDAY(Main[[#This Row],[Tech Start Date]],12),IF(Main[[#This Row],[Class]]="A",WORKDAY(Main[[#This Row],[Tech Start Date]],4),""))))</f>
        <v>40851</v>
      </c>
      <c r="O26" s="104">
        <f>IF(Main[[#This Row],[Tech Start Date]]&lt;1/1/1990,"",IF(Main[[#This Row],[Class]]="C",WORKDAY(Main[[#This Row],[Tech Start Date]],23),IF(Main[[#This Row],[Class]]="B", WORKDAY(Main[[#This Row],[Tech Start Date]],15),IF(Main[[#This Row],[Class]]="A",WORKDAY(Main[[#This Row],[Tech Start Date]],5),""))))</f>
        <v>40856</v>
      </c>
      <c r="P26" s="104">
        <f>IF(Main[[#This Row],[Tech Start Date]]&lt;1/1/1990,"",IF(Main[[#This Row],[Class]]="C",WORKDAY(Main[[#This Row],[Tech Start Date]],28),IF(Main[[#This Row],[Class]]="B", WORKDAY(Main[[#This Row],[Tech Start Date]],19),IF(Main[[#This Row],[Class]]="A",WORKDAY(Main[[#This Row],[Tech Start Date]],9),""))))</f>
        <v>40862</v>
      </c>
      <c r="Q26" s="101">
        <v>40816</v>
      </c>
      <c r="R26" s="101">
        <v>40891</v>
      </c>
      <c r="S26" s="99" t="s">
        <v>11</v>
      </c>
      <c r="T26" s="107" t="s">
        <v>2918</v>
      </c>
      <c r="U26" s="99" t="s">
        <v>29</v>
      </c>
      <c r="V26" s="99" t="s">
        <v>1963</v>
      </c>
      <c r="W26" s="99" t="s">
        <v>1970</v>
      </c>
    </row>
    <row r="27" spans="1:30" ht="18.600000000000001" customHeight="1">
      <c r="A27" s="123">
        <f>IF(priority(Main[[#This Row],[Comments]])&lt;&gt;0, priority(Main[[#This Row],[Comments]]),"")</f>
        <v>4</v>
      </c>
      <c r="B27" s="127" t="s">
        <v>2934</v>
      </c>
      <c r="C27" s="99" t="s">
        <v>2797</v>
      </c>
      <c r="D27" s="100" t="s">
        <v>3121</v>
      </c>
      <c r="E27" s="101">
        <v>40847.264097222222</v>
      </c>
      <c r="F27" s="101">
        <v>40983</v>
      </c>
      <c r="G27" s="102">
        <f>IF(stdProdLT(Main[[#This Row],[Comments]])=0.1,"N/A",IF(stdProdLT(Main[[#This Row],[Comments]])=0,"",stdProdLT(Main[[#This Row],[Comments]])))</f>
        <v>112</v>
      </c>
      <c r="H27" s="103">
        <f>IF(AND(Main[[#This Row],[In Stock Date]]&lt;&gt;"",Main[[#This Row],[Revised Due Date]]&lt;&gt;""),Main[[#This Row],[In Stock Date]]-Main[[#This Row],[Revised Due Date]],"")</f>
        <v>83</v>
      </c>
      <c r="I27" s="99" t="s">
        <v>929</v>
      </c>
      <c r="J27" s="99" t="s">
        <v>28</v>
      </c>
      <c r="K27" s="99" t="s">
        <v>1975</v>
      </c>
      <c r="L27" s="101">
        <v>40848</v>
      </c>
      <c r="M27" s="104">
        <f>IF(Main[[#This Row],[Tech Start Date]]&lt;1/1/1990,"",IF(Main[[#This Row],[Class]]="C",WORKDAY(Main[[#This Row],[Tech Start Date]],9),IF(Main[[#This Row],[Class]]="B", WORKDAY(Main[[#This Row],[Tech Start Date]],6),IF(Main[[#This Row],[Class]]="A",WORKDAY(Main[[#This Row],[Tech Start Date]],2),""))))</f>
        <v>40861</v>
      </c>
      <c r="N27" s="104">
        <f>IF(Main[[#This Row],[Tech Start Date]]&lt;1/1/1990,"",IF(Main[[#This Row],[Class]]="C",WORKDAY(Main[[#This Row],[Tech Start Date]],19),IF(Main[[#This Row],[Class]]="B", WORKDAY(Main[[#This Row],[Tech Start Date]],12),IF(Main[[#This Row],[Class]]="A",WORKDAY(Main[[#This Row],[Tech Start Date]],4),""))))</f>
        <v>40875</v>
      </c>
      <c r="O27" s="104">
        <f>IF(Main[[#This Row],[Tech Start Date]]&lt;1/1/1990,"",IF(Main[[#This Row],[Class]]="C",WORKDAY(Main[[#This Row],[Tech Start Date]],23),IF(Main[[#This Row],[Class]]="B", WORKDAY(Main[[#This Row],[Tech Start Date]],15),IF(Main[[#This Row],[Class]]="A",WORKDAY(Main[[#This Row],[Tech Start Date]],5),""))))</f>
        <v>40879</v>
      </c>
      <c r="P27" s="104">
        <f>IF(Main[[#This Row],[Tech Start Date]]&lt;1/1/1990,"",IF(Main[[#This Row],[Class]]="C",WORKDAY(Main[[#This Row],[Tech Start Date]],28),IF(Main[[#This Row],[Class]]="B", WORKDAY(Main[[#This Row],[Tech Start Date]],19),IF(Main[[#This Row],[Class]]="A",WORKDAY(Main[[#This Row],[Tech Start Date]],9),""))))</f>
        <v>40886</v>
      </c>
      <c r="Q27" s="101">
        <v>40885</v>
      </c>
      <c r="R27" s="101">
        <v>40900</v>
      </c>
      <c r="S27" s="99" t="s">
        <v>11</v>
      </c>
      <c r="T27" s="107" t="s">
        <v>3129</v>
      </c>
      <c r="U27" s="99" t="s">
        <v>29</v>
      </c>
      <c r="V27" s="99" t="s">
        <v>1962</v>
      </c>
      <c r="W27" s="99" t="s">
        <v>1970</v>
      </c>
    </row>
    <row r="28" spans="1:30" ht="18.600000000000001" customHeight="1">
      <c r="A28" s="123">
        <f>IF(priority(Main[[#This Row],[Comments]])&lt;&gt;0, priority(Main[[#This Row],[Comments]]),"")</f>
        <v>4</v>
      </c>
      <c r="B28" s="127" t="s">
        <v>2560</v>
      </c>
      <c r="C28" s="99" t="s">
        <v>2561</v>
      </c>
      <c r="D28" s="100" t="s">
        <v>3056</v>
      </c>
      <c r="E28" s="101">
        <v>40869.10083333333</v>
      </c>
      <c r="F28" s="101">
        <v>40969</v>
      </c>
      <c r="G28" s="102">
        <f>IF(stdProdLT(Main[[#This Row],[Comments]])=0.1,"N/A",IF(stdProdLT(Main[[#This Row],[Comments]])=0,"",stdProdLT(Main[[#This Row],[Comments]])))</f>
        <v>182</v>
      </c>
      <c r="H28" s="103">
        <f>IF(AND(Main[[#This Row],[In Stock Date]]&lt;&gt;"",Main[[#This Row],[Revised Due Date]]&lt;&gt;""),Main[[#This Row],[In Stock Date]]-Main[[#This Row],[Revised Due Date]],"")</f>
        <v>70</v>
      </c>
      <c r="I28" s="99" t="s">
        <v>242</v>
      </c>
      <c r="J28" s="99" t="s">
        <v>28</v>
      </c>
      <c r="K28" s="99" t="s">
        <v>1971</v>
      </c>
      <c r="L28" s="101">
        <v>40878</v>
      </c>
      <c r="M28" s="104">
        <f>IF(Main[[#This Row],[Tech Start Date]]&lt;1/1/1990,"",IF(Main[[#This Row],[Class]]="C",WORKDAY(Main[[#This Row],[Tech Start Date]],9),IF(Main[[#This Row],[Class]]="B", WORKDAY(Main[[#This Row],[Tech Start Date]],6),IF(Main[[#This Row],[Class]]="A",WORKDAY(Main[[#This Row],[Tech Start Date]],2),""))))</f>
        <v>40882</v>
      </c>
      <c r="N28" s="104">
        <f>IF(Main[[#This Row],[Tech Start Date]]&lt;1/1/1990,"",IF(Main[[#This Row],[Class]]="C",WORKDAY(Main[[#This Row],[Tech Start Date]],19),IF(Main[[#This Row],[Class]]="B", WORKDAY(Main[[#This Row],[Tech Start Date]],12),IF(Main[[#This Row],[Class]]="A",WORKDAY(Main[[#This Row],[Tech Start Date]],4),""))))</f>
        <v>40884</v>
      </c>
      <c r="O28" s="104">
        <f>IF(Main[[#This Row],[Tech Start Date]]&lt;1/1/1990,"",IF(Main[[#This Row],[Class]]="C",WORKDAY(Main[[#This Row],[Tech Start Date]],23),IF(Main[[#This Row],[Class]]="B", WORKDAY(Main[[#This Row],[Tech Start Date]],15),IF(Main[[#This Row],[Class]]="A",WORKDAY(Main[[#This Row],[Tech Start Date]],5),""))))</f>
        <v>40885</v>
      </c>
      <c r="P28" s="104">
        <f>IF(Main[[#This Row],[Tech Start Date]]&lt;1/1/1990,"",IF(Main[[#This Row],[Class]]="C",WORKDAY(Main[[#This Row],[Tech Start Date]],28),IF(Main[[#This Row],[Class]]="B", WORKDAY(Main[[#This Row],[Tech Start Date]],19),IF(Main[[#This Row],[Class]]="A",WORKDAY(Main[[#This Row],[Tech Start Date]],9),""))))</f>
        <v>40891</v>
      </c>
      <c r="Q28" s="101">
        <v>40877</v>
      </c>
      <c r="R28" s="101">
        <v>40899</v>
      </c>
      <c r="S28" s="99" t="s">
        <v>11</v>
      </c>
      <c r="T28" s="107" t="s">
        <v>2562</v>
      </c>
      <c r="U28" s="99" t="s">
        <v>29</v>
      </c>
      <c r="V28" s="99" t="s">
        <v>1965</v>
      </c>
      <c r="W28" s="99" t="s">
        <v>1970</v>
      </c>
    </row>
    <row r="29" spans="1:30" ht="18.600000000000001" customHeight="1">
      <c r="A29" s="123">
        <f>IF(priority(Main[[#This Row],[Comments]])&lt;&gt;0, priority(Main[[#This Row],[Comments]]),"")</f>
        <v>5</v>
      </c>
      <c r="B29" s="127" t="s">
        <v>2208</v>
      </c>
      <c r="C29" s="99" t="s">
        <v>2077</v>
      </c>
      <c r="D29" s="100" t="s">
        <v>2209</v>
      </c>
      <c r="E29" s="101"/>
      <c r="F29" s="101">
        <v>40771</v>
      </c>
      <c r="G29" s="102">
        <f>IF(stdProdLT(Main[[#This Row],[Comments]])=0.1,"N/A",IF(stdProdLT(Main[[#This Row],[Comments]])=0,"",stdProdLT(Main[[#This Row],[Comments]])))</f>
        <v>154</v>
      </c>
      <c r="H29" s="103">
        <f>IF(AND(Main[[#This Row],[In Stock Date]]&lt;&gt;"",Main[[#This Row],[Revised Due Date]]&lt;&gt;""),Main[[#This Row],[In Stock Date]]-Main[[#This Row],[Revised Due Date]],"")</f>
        <v>-44</v>
      </c>
      <c r="I29" s="99" t="s">
        <v>959</v>
      </c>
      <c r="J29" s="99" t="s">
        <v>28</v>
      </c>
      <c r="K29" s="108" t="s">
        <v>1975</v>
      </c>
      <c r="L29" s="101">
        <v>40772</v>
      </c>
      <c r="M29" s="104">
        <f>IF(Main[[#This Row],[Tech Start Date]]&lt;1/1/1990,"",IF(Main[[#This Row],[Class]]="C",WORKDAY(Main[[#This Row],[Tech Start Date]],9),IF(Main[[#This Row],[Class]]="B", WORKDAY(Main[[#This Row],[Tech Start Date]],6),IF(Main[[#This Row],[Class]]="A",WORKDAY(Main[[#This Row],[Tech Start Date]],2),""))))</f>
        <v>40785</v>
      </c>
      <c r="N29" s="104">
        <f>IF(Main[[#This Row],[Tech Start Date]]&lt;1/1/1990,"",IF(Main[[#This Row],[Class]]="C",WORKDAY(Main[[#This Row],[Tech Start Date]],19),IF(Main[[#This Row],[Class]]="B", WORKDAY(Main[[#This Row],[Tech Start Date]],12),IF(Main[[#This Row],[Class]]="A",WORKDAY(Main[[#This Row],[Tech Start Date]],4),""))))</f>
        <v>40799</v>
      </c>
      <c r="O29" s="104">
        <f>IF(Main[[#This Row],[Tech Start Date]]&lt;1/1/1990,"",IF(Main[[#This Row],[Class]]="C",WORKDAY(Main[[#This Row],[Tech Start Date]],23),IF(Main[[#This Row],[Class]]="B", WORKDAY(Main[[#This Row],[Tech Start Date]],15),IF(Main[[#This Row],[Class]]="A",WORKDAY(Main[[#This Row],[Tech Start Date]],5),""))))</f>
        <v>40805</v>
      </c>
      <c r="P29" s="104">
        <f>IF(Main[[#This Row],[Tech Start Date]]&lt;1/1/1990,"",IF(Main[[#This Row],[Class]]="C",WORKDAY(Main[[#This Row],[Tech Start Date]],28),IF(Main[[#This Row],[Class]]="B", WORKDAY(Main[[#This Row],[Tech Start Date]],19),IF(Main[[#This Row],[Class]]="A",WORKDAY(Main[[#This Row],[Tech Start Date]],9),""))))</f>
        <v>40812</v>
      </c>
      <c r="Q29" s="101">
        <v>40771</v>
      </c>
      <c r="R29" s="101">
        <v>40815</v>
      </c>
      <c r="S29" s="99" t="s">
        <v>11</v>
      </c>
      <c r="T29" s="107" t="s">
        <v>2210</v>
      </c>
      <c r="U29" s="99" t="s">
        <v>14</v>
      </c>
      <c r="V29" s="99" t="s">
        <v>1963</v>
      </c>
      <c r="W29" s="99" t="s">
        <v>1970</v>
      </c>
    </row>
    <row r="30" spans="1:30" ht="18.600000000000001" customHeight="1">
      <c r="A30" s="123">
        <f>IF(priority(Main[[#This Row],[Comments]])&lt;&gt;0, priority(Main[[#This Row],[Comments]]),"")</f>
        <v>5</v>
      </c>
      <c r="B30" s="127" t="s">
        <v>2935</v>
      </c>
      <c r="C30" s="99" t="s">
        <v>2936</v>
      </c>
      <c r="D30" s="100" t="s">
        <v>2937</v>
      </c>
      <c r="E30" s="101">
        <v>40835.462650462963</v>
      </c>
      <c r="F30" s="101">
        <v>40909</v>
      </c>
      <c r="G30" s="102" t="str">
        <f>IF(stdProdLT(Main[[#This Row],[Comments]])=0.1,"N/A",IF(stdProdLT(Main[[#This Row],[Comments]])=0,"",stdProdLT(Main[[#This Row],[Comments]])))</f>
        <v>N/A</v>
      </c>
      <c r="H30" s="103">
        <f>IF(AND(Main[[#This Row],[In Stock Date]]&lt;&gt;"",Main[[#This Row],[Revised Due Date]]&lt;&gt;""),Main[[#This Row],[In Stock Date]]-Main[[#This Row],[Revised Due Date]],"")</f>
        <v>16</v>
      </c>
      <c r="I30" s="99" t="s">
        <v>2915</v>
      </c>
      <c r="J30" s="99" t="s">
        <v>28</v>
      </c>
      <c r="K30" s="99" t="s">
        <v>1975</v>
      </c>
      <c r="L30" s="101">
        <v>40848</v>
      </c>
      <c r="M30" s="104">
        <f>IF(Main[[#This Row],[Tech Start Date]]&lt;1/1/1990,"",IF(Main[[#This Row],[Class]]="C",WORKDAY(Main[[#This Row],[Tech Start Date]],9),IF(Main[[#This Row],[Class]]="B", WORKDAY(Main[[#This Row],[Tech Start Date]],6),IF(Main[[#This Row],[Class]]="A",WORKDAY(Main[[#This Row],[Tech Start Date]],2),""))))</f>
        <v>40861</v>
      </c>
      <c r="N30" s="104">
        <f>IF(Main[[#This Row],[Tech Start Date]]&lt;1/1/1990,"",IF(Main[[#This Row],[Class]]="C",WORKDAY(Main[[#This Row],[Tech Start Date]],19),IF(Main[[#This Row],[Class]]="B", WORKDAY(Main[[#This Row],[Tech Start Date]],12),IF(Main[[#This Row],[Class]]="A",WORKDAY(Main[[#This Row],[Tech Start Date]],4),""))))</f>
        <v>40875</v>
      </c>
      <c r="O30" s="104">
        <f>IF(Main[[#This Row],[Tech Start Date]]&lt;1/1/1990,"",IF(Main[[#This Row],[Class]]="C",WORKDAY(Main[[#This Row],[Tech Start Date]],23),IF(Main[[#This Row],[Class]]="B", WORKDAY(Main[[#This Row],[Tech Start Date]],15),IF(Main[[#This Row],[Class]]="A",WORKDAY(Main[[#This Row],[Tech Start Date]],5),""))))</f>
        <v>40879</v>
      </c>
      <c r="P30" s="104">
        <f>IF(Main[[#This Row],[Tech Start Date]]&lt;1/1/1990,"",IF(Main[[#This Row],[Class]]="C",WORKDAY(Main[[#This Row],[Tech Start Date]],28),IF(Main[[#This Row],[Class]]="B", WORKDAY(Main[[#This Row],[Tech Start Date]],19),IF(Main[[#This Row],[Class]]="A",WORKDAY(Main[[#This Row],[Tech Start Date]],9),""))))</f>
        <v>40886</v>
      </c>
      <c r="Q30" s="101">
        <v>40857</v>
      </c>
      <c r="R30" s="101">
        <v>40893</v>
      </c>
      <c r="S30" s="99" t="s">
        <v>11</v>
      </c>
      <c r="T30" s="107" t="s">
        <v>2938</v>
      </c>
      <c r="U30" s="99" t="s">
        <v>29</v>
      </c>
      <c r="V30" s="99" t="s">
        <v>1963</v>
      </c>
      <c r="W30" s="99" t="s">
        <v>1964</v>
      </c>
    </row>
    <row r="31" spans="1:30" ht="18.600000000000001" customHeight="1">
      <c r="A31" s="123">
        <f>IF(priority(Main[[#This Row],[Comments]])&lt;&gt;0, priority(Main[[#This Row],[Comments]]),"")</f>
        <v>5</v>
      </c>
      <c r="B31" s="127" t="s">
        <v>3002</v>
      </c>
      <c r="C31" s="99" t="s">
        <v>2219</v>
      </c>
      <c r="D31" s="100" t="s">
        <v>3123</v>
      </c>
      <c r="E31" s="101">
        <v>40864.570104166669</v>
      </c>
      <c r="F31" s="101">
        <v>40954</v>
      </c>
      <c r="G31" s="102">
        <f>IF(stdProdLT(Main[[#This Row],[Comments]])=0.1,"N/A",IF(stdProdLT(Main[[#This Row],[Comments]])=0,"",stdProdLT(Main[[#This Row],[Comments]])))</f>
        <v>126</v>
      </c>
      <c r="H31" s="103">
        <f>IF(AND(Main[[#This Row],[In Stock Date]]&lt;&gt;"",Main[[#This Row],[Revised Due Date]]&lt;&gt;""),Main[[#This Row],[In Stock Date]]-Main[[#This Row],[Revised Due Date]],"")</f>
        <v>50</v>
      </c>
      <c r="I31" s="99" t="s">
        <v>126</v>
      </c>
      <c r="J31" s="99" t="s">
        <v>21</v>
      </c>
      <c r="K31" s="99" t="s">
        <v>1969</v>
      </c>
      <c r="L31" s="101">
        <v>40869</v>
      </c>
      <c r="M31" s="104">
        <f>IF(Main[[#This Row],[Tech Start Date]]&lt;1/1/1990,"",IF(Main[[#This Row],[Class]]="C",WORKDAY(Main[[#This Row],[Tech Start Date]],9),IF(Main[[#This Row],[Class]]="B", WORKDAY(Main[[#This Row],[Tech Start Date]],6),IF(Main[[#This Row],[Class]]="A",WORKDAY(Main[[#This Row],[Tech Start Date]],2),""))))</f>
        <v>40877</v>
      </c>
      <c r="N31" s="104">
        <f>IF(Main[[#This Row],[Tech Start Date]]&lt;1/1/1990,"",IF(Main[[#This Row],[Class]]="C",WORKDAY(Main[[#This Row],[Tech Start Date]],19),IF(Main[[#This Row],[Class]]="B", WORKDAY(Main[[#This Row],[Tech Start Date]],12),IF(Main[[#This Row],[Class]]="A",WORKDAY(Main[[#This Row],[Tech Start Date]],4),""))))</f>
        <v>40885</v>
      </c>
      <c r="O31" s="104">
        <f>IF(Main[[#This Row],[Tech Start Date]]&lt;1/1/1990,"",IF(Main[[#This Row],[Class]]="C",WORKDAY(Main[[#This Row],[Tech Start Date]],23),IF(Main[[#This Row],[Class]]="B", WORKDAY(Main[[#This Row],[Tech Start Date]],15),IF(Main[[#This Row],[Class]]="A",WORKDAY(Main[[#This Row],[Tech Start Date]],5),""))))</f>
        <v>40890</v>
      </c>
      <c r="P31" s="104">
        <f>IF(Main[[#This Row],[Tech Start Date]]&lt;1/1/1990,"",IF(Main[[#This Row],[Class]]="C",WORKDAY(Main[[#This Row],[Tech Start Date]],28),IF(Main[[#This Row],[Class]]="B", WORKDAY(Main[[#This Row],[Tech Start Date]],19),IF(Main[[#This Row],[Class]]="A",WORKDAY(Main[[#This Row],[Tech Start Date]],9),""))))</f>
        <v>40896</v>
      </c>
      <c r="Q31" s="101">
        <v>40904</v>
      </c>
      <c r="R31" s="101">
        <v>40904</v>
      </c>
      <c r="S31" s="99" t="s">
        <v>11</v>
      </c>
      <c r="T31" s="107" t="s">
        <v>3130</v>
      </c>
      <c r="U31" s="99" t="s">
        <v>29</v>
      </c>
      <c r="V31" s="99" t="s">
        <v>1962</v>
      </c>
      <c r="W31" s="99" t="s">
        <v>1968</v>
      </c>
    </row>
    <row r="32" spans="1:30" ht="18.600000000000001" customHeight="1">
      <c r="A32" s="123">
        <f>IF(priority(Main[[#This Row],[Comments]])&lt;&gt;0, priority(Main[[#This Row],[Comments]]),"")</f>
        <v>5</v>
      </c>
      <c r="B32" s="127" t="s">
        <v>2564</v>
      </c>
      <c r="C32" s="99" t="s">
        <v>2561</v>
      </c>
      <c r="D32" s="100" t="s">
        <v>3062</v>
      </c>
      <c r="E32" s="101">
        <v>40869.126736111109</v>
      </c>
      <c r="F32" s="101">
        <v>40969</v>
      </c>
      <c r="G32" s="102">
        <f>IF(stdProdLT(Main[[#This Row],[Comments]])=0.1,"N/A",IF(stdProdLT(Main[[#This Row],[Comments]])=0,"",stdProdLT(Main[[#This Row],[Comments]])))</f>
        <v>182</v>
      </c>
      <c r="H32" s="103">
        <f>IF(AND(Main[[#This Row],[In Stock Date]]&lt;&gt;"",Main[[#This Row],[Revised Due Date]]&lt;&gt;""),Main[[#This Row],[In Stock Date]]-Main[[#This Row],[Revised Due Date]],"")</f>
        <v>70</v>
      </c>
      <c r="I32" s="99" t="s">
        <v>242</v>
      </c>
      <c r="J32" s="99" t="s">
        <v>28</v>
      </c>
      <c r="K32" s="99" t="s">
        <v>1971</v>
      </c>
      <c r="L32" s="101">
        <v>40878</v>
      </c>
      <c r="M32" s="104">
        <f>IF(Main[[#This Row],[Tech Start Date]]&lt;1/1/1990,"",IF(Main[[#This Row],[Class]]="C",WORKDAY(Main[[#This Row],[Tech Start Date]],9),IF(Main[[#This Row],[Class]]="B", WORKDAY(Main[[#This Row],[Tech Start Date]],6),IF(Main[[#This Row],[Class]]="A",WORKDAY(Main[[#This Row],[Tech Start Date]],2),""))))</f>
        <v>40882</v>
      </c>
      <c r="N32" s="104">
        <f>IF(Main[[#This Row],[Tech Start Date]]&lt;1/1/1990,"",IF(Main[[#This Row],[Class]]="C",WORKDAY(Main[[#This Row],[Tech Start Date]],19),IF(Main[[#This Row],[Class]]="B", WORKDAY(Main[[#This Row],[Tech Start Date]],12),IF(Main[[#This Row],[Class]]="A",WORKDAY(Main[[#This Row],[Tech Start Date]],4),""))))</f>
        <v>40884</v>
      </c>
      <c r="O32" s="104">
        <f>IF(Main[[#This Row],[Tech Start Date]]&lt;1/1/1990,"",IF(Main[[#This Row],[Class]]="C",WORKDAY(Main[[#This Row],[Tech Start Date]],23),IF(Main[[#This Row],[Class]]="B", WORKDAY(Main[[#This Row],[Tech Start Date]],15),IF(Main[[#This Row],[Class]]="A",WORKDAY(Main[[#This Row],[Tech Start Date]],5),""))))</f>
        <v>40885</v>
      </c>
      <c r="P32" s="104">
        <f>IF(Main[[#This Row],[Tech Start Date]]&lt;1/1/1990,"",IF(Main[[#This Row],[Class]]="C",WORKDAY(Main[[#This Row],[Tech Start Date]],28),IF(Main[[#This Row],[Class]]="B", WORKDAY(Main[[#This Row],[Tech Start Date]],19),IF(Main[[#This Row],[Class]]="A",WORKDAY(Main[[#This Row],[Tech Start Date]],9),""))))</f>
        <v>40891</v>
      </c>
      <c r="Q32" s="101"/>
      <c r="R32" s="101">
        <v>40899</v>
      </c>
      <c r="S32" s="99" t="s">
        <v>11</v>
      </c>
      <c r="T32" s="107" t="s">
        <v>2565</v>
      </c>
      <c r="U32" s="99" t="s">
        <v>29</v>
      </c>
      <c r="V32" s="99" t="s">
        <v>1972</v>
      </c>
      <c r="W32" s="99" t="s">
        <v>1970</v>
      </c>
      <c r="AD32" s="67"/>
    </row>
    <row r="33" spans="1:28" ht="18.600000000000001" customHeight="1">
      <c r="A33" s="123">
        <f>IF(priority(Main[[#This Row],[Comments]])&lt;&gt;0, priority(Main[[#This Row],[Comments]]),"")</f>
        <v>6</v>
      </c>
      <c r="B33" s="127" t="s">
        <v>2214</v>
      </c>
      <c r="C33" s="99" t="s">
        <v>2213</v>
      </c>
      <c r="D33" s="100" t="s">
        <v>2893</v>
      </c>
      <c r="E33" s="101">
        <v>40769.443738425929</v>
      </c>
      <c r="F33" s="101">
        <v>40831</v>
      </c>
      <c r="G33" s="102">
        <f>IF(stdProdLT(Main[[#This Row],[Comments]])=0.1,"N/A",IF(stdProdLT(Main[[#This Row],[Comments]])=0,"",stdProdLT(Main[[#This Row],[Comments]])))</f>
        <v>120</v>
      </c>
      <c r="H33" s="103">
        <f>IF(AND(Main[[#This Row],[In Stock Date]]&lt;&gt;"",Main[[#This Row],[Revised Due Date]]&lt;&gt;""),Main[[#This Row],[In Stock Date]]-Main[[#This Row],[Revised Due Date]],"")</f>
        <v>-52</v>
      </c>
      <c r="I33" s="99" t="s">
        <v>893</v>
      </c>
      <c r="J33" s="99" t="s">
        <v>28</v>
      </c>
      <c r="K33" s="99" t="s">
        <v>1971</v>
      </c>
      <c r="L33" s="101">
        <v>40778</v>
      </c>
      <c r="M33" s="104">
        <f>IF(Main[[#This Row],[Tech Start Date]]&lt;1/1/1990,"",IF(Main[[#This Row],[Class]]="C",WORKDAY(Main[[#This Row],[Tech Start Date]],9),IF(Main[[#This Row],[Class]]="B", WORKDAY(Main[[#This Row],[Tech Start Date]],6),IF(Main[[#This Row],[Class]]="A",WORKDAY(Main[[#This Row],[Tech Start Date]],2),""))))</f>
        <v>40780</v>
      </c>
      <c r="N33" s="104">
        <f>IF(Main[[#This Row],[Tech Start Date]]&lt;1/1/1990,"",IF(Main[[#This Row],[Class]]="C",WORKDAY(Main[[#This Row],[Tech Start Date]],19),IF(Main[[#This Row],[Class]]="B", WORKDAY(Main[[#This Row],[Tech Start Date]],12),IF(Main[[#This Row],[Class]]="A",WORKDAY(Main[[#This Row],[Tech Start Date]],4),""))))</f>
        <v>40784</v>
      </c>
      <c r="O33" s="104">
        <f>IF(Main[[#This Row],[Tech Start Date]]&lt;1/1/1990,"",IF(Main[[#This Row],[Class]]="C",WORKDAY(Main[[#This Row],[Tech Start Date]],23),IF(Main[[#This Row],[Class]]="B", WORKDAY(Main[[#This Row],[Tech Start Date]],15),IF(Main[[#This Row],[Class]]="A",WORKDAY(Main[[#This Row],[Tech Start Date]],5),""))))</f>
        <v>40785</v>
      </c>
      <c r="P33" s="104">
        <f>IF(Main[[#This Row],[Tech Start Date]]&lt;1/1/1990,"",IF(Main[[#This Row],[Class]]="C",WORKDAY(Main[[#This Row],[Tech Start Date]],28),IF(Main[[#This Row],[Class]]="B", WORKDAY(Main[[#This Row],[Tech Start Date]],19),IF(Main[[#This Row],[Class]]="A",WORKDAY(Main[[#This Row],[Tech Start Date]],9),""))))</f>
        <v>40791</v>
      </c>
      <c r="Q33" s="101">
        <v>40776</v>
      </c>
      <c r="R33" s="101">
        <v>40883</v>
      </c>
      <c r="S33" s="99" t="s">
        <v>11</v>
      </c>
      <c r="T33" s="107" t="s">
        <v>3131</v>
      </c>
      <c r="U33" s="99" t="s">
        <v>29</v>
      </c>
      <c r="V33" s="99" t="s">
        <v>1962</v>
      </c>
      <c r="W33" s="99" t="s">
        <v>1970</v>
      </c>
    </row>
    <row r="34" spans="1:28" ht="18.600000000000001" customHeight="1">
      <c r="A34" s="123">
        <f>IF(priority(Main[[#This Row],[Comments]])&lt;&gt;0, priority(Main[[#This Row],[Comments]]),"")</f>
        <v>6</v>
      </c>
      <c r="B34" s="127" t="s">
        <v>2852</v>
      </c>
      <c r="C34" s="99" t="s">
        <v>2561</v>
      </c>
      <c r="D34" s="100" t="s">
        <v>3061</v>
      </c>
      <c r="E34" s="101">
        <v>40869.123263888891</v>
      </c>
      <c r="F34" s="101">
        <v>40969</v>
      </c>
      <c r="G34" s="102">
        <f>IF(stdProdLT(Main[[#This Row],[Comments]])=0.1,"N/A",IF(stdProdLT(Main[[#This Row],[Comments]])=0,"",stdProdLT(Main[[#This Row],[Comments]])))</f>
        <v>182</v>
      </c>
      <c r="H34" s="103">
        <f>IF(AND(Main[[#This Row],[In Stock Date]]&lt;&gt;"",Main[[#This Row],[Revised Due Date]]&lt;&gt;""),Main[[#This Row],[In Stock Date]]-Main[[#This Row],[Revised Due Date]],"")</f>
        <v>70</v>
      </c>
      <c r="I34" s="99" t="s">
        <v>242</v>
      </c>
      <c r="J34" s="99" t="s">
        <v>28</v>
      </c>
      <c r="K34" s="99" t="s">
        <v>1971</v>
      </c>
      <c r="L34" s="101">
        <v>40878</v>
      </c>
      <c r="M34" s="104">
        <f>IF(Main[[#This Row],[Tech Start Date]]&lt;1/1/1990,"",IF(Main[[#This Row],[Class]]="C",WORKDAY(Main[[#This Row],[Tech Start Date]],9),IF(Main[[#This Row],[Class]]="B", WORKDAY(Main[[#This Row],[Tech Start Date]],6),IF(Main[[#This Row],[Class]]="A",WORKDAY(Main[[#This Row],[Tech Start Date]],2),""))))</f>
        <v>40882</v>
      </c>
      <c r="N34" s="104">
        <f>IF(Main[[#This Row],[Tech Start Date]]&lt;1/1/1990,"",IF(Main[[#This Row],[Class]]="C",WORKDAY(Main[[#This Row],[Tech Start Date]],19),IF(Main[[#This Row],[Class]]="B", WORKDAY(Main[[#This Row],[Tech Start Date]],12),IF(Main[[#This Row],[Class]]="A",WORKDAY(Main[[#This Row],[Tech Start Date]],4),""))))</f>
        <v>40884</v>
      </c>
      <c r="O34" s="104">
        <f>IF(Main[[#This Row],[Tech Start Date]]&lt;1/1/1990,"",IF(Main[[#This Row],[Class]]="C",WORKDAY(Main[[#This Row],[Tech Start Date]],23),IF(Main[[#This Row],[Class]]="B", WORKDAY(Main[[#This Row],[Tech Start Date]],15),IF(Main[[#This Row],[Class]]="A",WORKDAY(Main[[#This Row],[Tech Start Date]],5),""))))</f>
        <v>40885</v>
      </c>
      <c r="P34" s="104">
        <f>IF(Main[[#This Row],[Tech Start Date]]&lt;1/1/1990,"",IF(Main[[#This Row],[Class]]="C",WORKDAY(Main[[#This Row],[Tech Start Date]],28),IF(Main[[#This Row],[Class]]="B", WORKDAY(Main[[#This Row],[Tech Start Date]],19),IF(Main[[#This Row],[Class]]="A",WORKDAY(Main[[#This Row],[Tech Start Date]],9),""))))</f>
        <v>40891</v>
      </c>
      <c r="Q34" s="101">
        <v>40882</v>
      </c>
      <c r="R34" s="101">
        <v>40899</v>
      </c>
      <c r="S34" s="99" t="s">
        <v>11</v>
      </c>
      <c r="T34" s="107" t="s">
        <v>2853</v>
      </c>
      <c r="U34" s="99" t="s">
        <v>29</v>
      </c>
      <c r="V34" s="99" t="s">
        <v>1965</v>
      </c>
      <c r="W34" s="99" t="s">
        <v>1968</v>
      </c>
      <c r="AB34" s="71"/>
    </row>
    <row r="35" spans="1:28" ht="18.600000000000001" customHeight="1">
      <c r="A35" s="123">
        <f>IF(priority(Main[[#This Row],[Comments]])&lt;&gt;0, priority(Main[[#This Row],[Comments]]),"")</f>
        <v>7</v>
      </c>
      <c r="B35" s="127" t="s">
        <v>2281</v>
      </c>
      <c r="C35" s="99" t="s">
        <v>2282</v>
      </c>
      <c r="D35" s="100" t="s">
        <v>2894</v>
      </c>
      <c r="E35" s="101">
        <v>40786.584108796298</v>
      </c>
      <c r="F35" s="101">
        <v>40940</v>
      </c>
      <c r="G35" s="102">
        <f>IF(stdProdLT(Main[[#This Row],[Comments]])=0.1,"N/A",IF(stdProdLT(Main[[#This Row],[Comments]])=0,"",stdProdLT(Main[[#This Row],[Comments]])))</f>
        <v>112</v>
      </c>
      <c r="H35" s="103">
        <f>IF(AND(Main[[#This Row],[In Stock Date]]&lt;&gt;"",Main[[#This Row],[Revised Due Date]]&lt;&gt;""),Main[[#This Row],[In Stock Date]]-Main[[#This Row],[Revised Due Date]],"")</f>
        <v>54</v>
      </c>
      <c r="I35" s="99" t="s">
        <v>955</v>
      </c>
      <c r="J35" s="99" t="s">
        <v>28</v>
      </c>
      <c r="K35" s="99" t="s">
        <v>1969</v>
      </c>
      <c r="L35" s="101">
        <v>40792</v>
      </c>
      <c r="M35" s="104">
        <f>IF(Main[[#This Row],[Tech Start Date]]&lt;1/1/1990,"",IF(Main[[#This Row],[Class]]="C",WORKDAY(Main[[#This Row],[Tech Start Date]],9),IF(Main[[#This Row],[Class]]="B", WORKDAY(Main[[#This Row],[Tech Start Date]],6),IF(Main[[#This Row],[Class]]="A",WORKDAY(Main[[#This Row],[Tech Start Date]],2),""))))</f>
        <v>40800</v>
      </c>
      <c r="N35" s="104">
        <f>IF(Main[[#This Row],[Tech Start Date]]&lt;1/1/1990,"",IF(Main[[#This Row],[Class]]="C",WORKDAY(Main[[#This Row],[Tech Start Date]],19),IF(Main[[#This Row],[Class]]="B", WORKDAY(Main[[#This Row],[Tech Start Date]],12),IF(Main[[#This Row],[Class]]="A",WORKDAY(Main[[#This Row],[Tech Start Date]],4),""))))</f>
        <v>40808</v>
      </c>
      <c r="O35" s="104">
        <f>IF(Main[[#This Row],[Tech Start Date]]&lt;1/1/1990,"",IF(Main[[#This Row],[Class]]="C",WORKDAY(Main[[#This Row],[Tech Start Date]],23),IF(Main[[#This Row],[Class]]="B", WORKDAY(Main[[#This Row],[Tech Start Date]],15),IF(Main[[#This Row],[Class]]="A",WORKDAY(Main[[#This Row],[Tech Start Date]],5),""))))</f>
        <v>40813</v>
      </c>
      <c r="P35" s="104">
        <f>IF(Main[[#This Row],[Tech Start Date]]&lt;1/1/1990,"",IF(Main[[#This Row],[Class]]="C",WORKDAY(Main[[#This Row],[Tech Start Date]],28),IF(Main[[#This Row],[Class]]="B", WORKDAY(Main[[#This Row],[Tech Start Date]],19),IF(Main[[#This Row],[Class]]="A",WORKDAY(Main[[#This Row],[Tech Start Date]],9),""))))</f>
        <v>40819</v>
      </c>
      <c r="Q35" s="101">
        <v>40792</v>
      </c>
      <c r="R35" s="101">
        <v>40886</v>
      </c>
      <c r="S35" s="99" t="s">
        <v>11</v>
      </c>
      <c r="T35" s="107" t="s">
        <v>3132</v>
      </c>
      <c r="U35" s="99" t="s">
        <v>540</v>
      </c>
      <c r="V35" s="99" t="s">
        <v>1962</v>
      </c>
      <c r="W35" s="99" t="s">
        <v>1967</v>
      </c>
    </row>
    <row r="36" spans="1:28" ht="18.600000000000001" customHeight="1">
      <c r="A36" s="123">
        <f>IF(priority(Main[[#This Row],[Comments]])&lt;&gt;0, priority(Main[[#This Row],[Comments]]),"")</f>
        <v>7</v>
      </c>
      <c r="B36" s="127" t="s">
        <v>2963</v>
      </c>
      <c r="C36" s="99" t="s">
        <v>3045</v>
      </c>
      <c r="D36" s="100" t="s">
        <v>3048</v>
      </c>
      <c r="E36" s="101">
        <v>40842.0390162037</v>
      </c>
      <c r="F36" s="101">
        <v>40983</v>
      </c>
      <c r="G36" s="102">
        <f>IF(stdProdLT(Main[[#This Row],[Comments]])=0.1,"N/A",IF(stdProdLT(Main[[#This Row],[Comments]])=0,"",stdProdLT(Main[[#This Row],[Comments]])))</f>
        <v>168</v>
      </c>
      <c r="H36" s="103">
        <f>IF(AND(Main[[#This Row],[In Stock Date]]&lt;&gt;"",Main[[#This Row],[Revised Due Date]]&lt;&gt;""),Main[[#This Row],[In Stock Date]]-Main[[#This Row],[Revised Due Date]],"")</f>
        <v>85</v>
      </c>
      <c r="I36" s="99" t="s">
        <v>495</v>
      </c>
      <c r="J36" s="99" t="s">
        <v>2029</v>
      </c>
      <c r="K36" s="99" t="s">
        <v>1975</v>
      </c>
      <c r="L36" s="101">
        <v>40849</v>
      </c>
      <c r="M36" s="104">
        <f>IF(Main[[#This Row],[Tech Start Date]]&lt;1/1/1990,"",IF(Main[[#This Row],[Class]]="C",WORKDAY(Main[[#This Row],[Tech Start Date]],9),IF(Main[[#This Row],[Class]]="B", WORKDAY(Main[[#This Row],[Tech Start Date]],6),IF(Main[[#This Row],[Class]]="A",WORKDAY(Main[[#This Row],[Tech Start Date]],2),""))))</f>
        <v>40862</v>
      </c>
      <c r="N36" s="104">
        <f>IF(Main[[#This Row],[Tech Start Date]]&lt;1/1/1990,"",IF(Main[[#This Row],[Class]]="C",WORKDAY(Main[[#This Row],[Tech Start Date]],19),IF(Main[[#This Row],[Class]]="B", WORKDAY(Main[[#This Row],[Tech Start Date]],12),IF(Main[[#This Row],[Class]]="A",WORKDAY(Main[[#This Row],[Tech Start Date]],4),""))))</f>
        <v>40876</v>
      </c>
      <c r="O36" s="104">
        <f>IF(Main[[#This Row],[Tech Start Date]]&lt;1/1/1990,"",IF(Main[[#This Row],[Class]]="C",WORKDAY(Main[[#This Row],[Tech Start Date]],23),IF(Main[[#This Row],[Class]]="B", WORKDAY(Main[[#This Row],[Tech Start Date]],15),IF(Main[[#This Row],[Class]]="A",WORKDAY(Main[[#This Row],[Tech Start Date]],5),""))))</f>
        <v>40882</v>
      </c>
      <c r="P36" s="104">
        <f>IF(Main[[#This Row],[Tech Start Date]]&lt;1/1/1990,"",IF(Main[[#This Row],[Class]]="C",WORKDAY(Main[[#This Row],[Tech Start Date]],28),IF(Main[[#This Row],[Class]]="B", WORKDAY(Main[[#This Row],[Tech Start Date]],19),IF(Main[[#This Row],[Class]]="A",WORKDAY(Main[[#This Row],[Tech Start Date]],9),""))))</f>
        <v>40889</v>
      </c>
      <c r="Q36" s="101">
        <v>40878</v>
      </c>
      <c r="R36" s="101">
        <v>40898</v>
      </c>
      <c r="S36" s="99" t="s">
        <v>11</v>
      </c>
      <c r="T36" s="107" t="s">
        <v>2964</v>
      </c>
      <c r="U36" s="99" t="s">
        <v>29</v>
      </c>
      <c r="V36" s="99" t="s">
        <v>1965</v>
      </c>
      <c r="W36" s="99" t="s">
        <v>1968</v>
      </c>
    </row>
    <row r="37" spans="1:28" ht="18.600000000000001" customHeight="1">
      <c r="A37" s="123">
        <f>IF(priority(Main[[#This Row],[Comments]])&lt;&gt;0, priority(Main[[#This Row],[Comments]]),"")</f>
        <v>8</v>
      </c>
      <c r="B37" s="127" t="s">
        <v>2397</v>
      </c>
      <c r="C37" s="99" t="s">
        <v>2904</v>
      </c>
      <c r="D37" s="100" t="s">
        <v>2905</v>
      </c>
      <c r="E37" s="101">
        <v>40816.661724537036</v>
      </c>
      <c r="F37" s="101">
        <v>40830</v>
      </c>
      <c r="G37" s="102">
        <f>IF(stdProdLT(Main[[#This Row],[Comments]])=0.1,"N/A",IF(stdProdLT(Main[[#This Row],[Comments]])=0,"",stdProdLT(Main[[#This Row],[Comments]])))</f>
        <v>98</v>
      </c>
      <c r="H37" s="103">
        <f>IF(AND(Main[[#This Row],[In Stock Date]]&lt;&gt;"",Main[[#This Row],[Revised Due Date]]&lt;&gt;""),Main[[#This Row],[In Stock Date]]-Main[[#This Row],[Revised Due Date]],"")</f>
        <v>-52</v>
      </c>
      <c r="I37" s="99" t="s">
        <v>992</v>
      </c>
      <c r="J37" s="99" t="s">
        <v>28</v>
      </c>
      <c r="K37" s="99" t="s">
        <v>1969</v>
      </c>
      <c r="L37" s="101">
        <v>40834</v>
      </c>
      <c r="M37" s="104">
        <f>IF(Main[[#This Row],[Tech Start Date]]&lt;1/1/1990,"",IF(Main[[#This Row],[Class]]="C",WORKDAY(Main[[#This Row],[Tech Start Date]],9),IF(Main[[#This Row],[Class]]="B", WORKDAY(Main[[#This Row],[Tech Start Date]],6),IF(Main[[#This Row],[Class]]="A",WORKDAY(Main[[#This Row],[Tech Start Date]],2),""))))</f>
        <v>40842</v>
      </c>
      <c r="N37" s="104">
        <f>IF(Main[[#This Row],[Tech Start Date]]&lt;1/1/1990,"",IF(Main[[#This Row],[Class]]="C",WORKDAY(Main[[#This Row],[Tech Start Date]],19),IF(Main[[#This Row],[Class]]="B", WORKDAY(Main[[#This Row],[Tech Start Date]],12),IF(Main[[#This Row],[Class]]="A",WORKDAY(Main[[#This Row],[Tech Start Date]],4),""))))</f>
        <v>40850</v>
      </c>
      <c r="O37" s="104">
        <f>IF(Main[[#This Row],[Tech Start Date]]&lt;1/1/1990,"",IF(Main[[#This Row],[Class]]="C",WORKDAY(Main[[#This Row],[Tech Start Date]],23),IF(Main[[#This Row],[Class]]="B", WORKDAY(Main[[#This Row],[Tech Start Date]],15),IF(Main[[#This Row],[Class]]="A",WORKDAY(Main[[#This Row],[Tech Start Date]],5),""))))</f>
        <v>40855</v>
      </c>
      <c r="P37" s="104">
        <f>IF(Main[[#This Row],[Tech Start Date]]&lt;1/1/1990,"",IF(Main[[#This Row],[Class]]="C",WORKDAY(Main[[#This Row],[Tech Start Date]],28),IF(Main[[#This Row],[Class]]="B", WORKDAY(Main[[#This Row],[Tech Start Date]],19),IF(Main[[#This Row],[Class]]="A",WORKDAY(Main[[#This Row],[Tech Start Date]],9),""))))</f>
        <v>40861</v>
      </c>
      <c r="Q37" s="101">
        <v>40830</v>
      </c>
      <c r="R37" s="101">
        <v>40882</v>
      </c>
      <c r="S37" s="99" t="s">
        <v>11</v>
      </c>
      <c r="T37" s="107" t="s">
        <v>3133</v>
      </c>
      <c r="U37" s="99" t="s">
        <v>29</v>
      </c>
      <c r="V37" s="99" t="s">
        <v>1962</v>
      </c>
      <c r="W37" s="99" t="s">
        <v>1968</v>
      </c>
    </row>
    <row r="38" spans="1:28" ht="18.600000000000001" customHeight="1">
      <c r="A38" s="123">
        <f>IF(priority(Main[[#This Row],[Comments]])&lt;&gt;0, priority(Main[[#This Row],[Comments]]),"")</f>
        <v>8</v>
      </c>
      <c r="B38" s="127" t="s">
        <v>2968</v>
      </c>
      <c r="C38" s="99" t="s">
        <v>3045</v>
      </c>
      <c r="D38" s="100" t="s">
        <v>3169</v>
      </c>
      <c r="E38" s="101">
        <v>40842.092060185183</v>
      </c>
      <c r="F38" s="101">
        <v>40983</v>
      </c>
      <c r="G38" s="102">
        <f>IF(stdProdLT(Main[[#This Row],[Comments]])=0.1,"N/A",IF(stdProdLT(Main[[#This Row],[Comments]])=0,"",stdProdLT(Main[[#This Row],[Comments]])))</f>
        <v>168</v>
      </c>
      <c r="H38" s="103">
        <f>IF(AND(Main[[#This Row],[In Stock Date]]&lt;&gt;"",Main[[#This Row],[Revised Due Date]]&lt;&gt;""),Main[[#This Row],[In Stock Date]]-Main[[#This Row],[Revised Due Date]],"")</f>
        <v>85</v>
      </c>
      <c r="I38" s="99" t="s">
        <v>30</v>
      </c>
      <c r="J38" s="99" t="s">
        <v>21</v>
      </c>
      <c r="K38" s="99" t="s">
        <v>1975</v>
      </c>
      <c r="L38" s="101">
        <v>40849</v>
      </c>
      <c r="M38" s="104">
        <f>IF(Main[[#This Row],[Tech Start Date]]&lt;1/1/1990,"",IF(Main[[#This Row],[Class]]="C",WORKDAY(Main[[#This Row],[Tech Start Date]],9),IF(Main[[#This Row],[Class]]="B", WORKDAY(Main[[#This Row],[Tech Start Date]],6),IF(Main[[#This Row],[Class]]="A",WORKDAY(Main[[#This Row],[Tech Start Date]],2),""))))</f>
        <v>40862</v>
      </c>
      <c r="N38" s="104">
        <f>IF(Main[[#This Row],[Tech Start Date]]&lt;1/1/1990,"",IF(Main[[#This Row],[Class]]="C",WORKDAY(Main[[#This Row],[Tech Start Date]],19),IF(Main[[#This Row],[Class]]="B", WORKDAY(Main[[#This Row],[Tech Start Date]],12),IF(Main[[#This Row],[Class]]="A",WORKDAY(Main[[#This Row],[Tech Start Date]],4),""))))</f>
        <v>40876</v>
      </c>
      <c r="O38" s="104">
        <f>IF(Main[[#This Row],[Tech Start Date]]&lt;1/1/1990,"",IF(Main[[#This Row],[Class]]="C",WORKDAY(Main[[#This Row],[Tech Start Date]],23),IF(Main[[#This Row],[Class]]="B", WORKDAY(Main[[#This Row],[Tech Start Date]],15),IF(Main[[#This Row],[Class]]="A",WORKDAY(Main[[#This Row],[Tech Start Date]],5),""))))</f>
        <v>40882</v>
      </c>
      <c r="P38" s="104">
        <f>IF(Main[[#This Row],[Tech Start Date]]&lt;1/1/1990,"",IF(Main[[#This Row],[Class]]="C",WORKDAY(Main[[#This Row],[Tech Start Date]],28),IF(Main[[#This Row],[Class]]="B", WORKDAY(Main[[#This Row],[Tech Start Date]],19),IF(Main[[#This Row],[Class]]="A",WORKDAY(Main[[#This Row],[Tech Start Date]],9),""))))</f>
        <v>40889</v>
      </c>
      <c r="Q38" s="101">
        <v>40878</v>
      </c>
      <c r="R38" s="101">
        <v>40898</v>
      </c>
      <c r="S38" s="99" t="s">
        <v>11</v>
      </c>
      <c r="T38" s="107" t="s">
        <v>2969</v>
      </c>
      <c r="U38" s="99" t="s">
        <v>29</v>
      </c>
      <c r="V38" s="99" t="s">
        <v>1965</v>
      </c>
      <c r="W38" s="99" t="s">
        <v>1968</v>
      </c>
    </row>
    <row r="39" spans="1:28" ht="18.600000000000001" customHeight="1">
      <c r="A39" s="123">
        <f>IF(priority(Main[[#This Row],[Comments]])&lt;&gt;0, priority(Main[[#This Row],[Comments]]),"")</f>
        <v>9</v>
      </c>
      <c r="B39" s="127" t="s">
        <v>2161</v>
      </c>
      <c r="C39" s="99" t="s">
        <v>53</v>
      </c>
      <c r="D39" s="100" t="s">
        <v>2162</v>
      </c>
      <c r="E39" s="101"/>
      <c r="F39" s="101">
        <v>40789</v>
      </c>
      <c r="G39" s="102">
        <f>IF(stdProdLT(Main[[#This Row],[Comments]])=0.1,"N/A",IF(stdProdLT(Main[[#This Row],[Comments]])=0,"",stdProdLT(Main[[#This Row],[Comments]])))</f>
        <v>42</v>
      </c>
      <c r="H39" s="103">
        <f>IF(AND(Main[[#This Row],[In Stock Date]]&lt;&gt;"",Main[[#This Row],[Revised Due Date]]&lt;&gt;""),Main[[#This Row],[In Stock Date]]-Main[[#This Row],[Revised Due Date]],"")</f>
        <v>1</v>
      </c>
      <c r="I39" s="99" t="s">
        <v>959</v>
      </c>
      <c r="J39" s="99" t="s">
        <v>28</v>
      </c>
      <c r="K39" s="99" t="s">
        <v>4</v>
      </c>
      <c r="L39" s="101"/>
      <c r="M39" s="104" t="str">
        <f>IF(Main[[#This Row],[Tech Start Date]]&lt;1/1/1990,"",IF(Main[[#This Row],[Class]]="C",WORKDAY(Main[[#This Row],[Tech Start Date]],9),IF(Main[[#This Row],[Class]]="B", WORKDAY(Main[[#This Row],[Tech Start Date]],6),IF(Main[[#This Row],[Class]]="A",WORKDAY(Main[[#This Row],[Tech Start Date]],2),""))))</f>
        <v/>
      </c>
      <c r="N39" s="104" t="str">
        <f>IF(Main[[#This Row],[Tech Start Date]]&lt;1/1/1990,"",IF(Main[[#This Row],[Class]]="C",WORKDAY(Main[[#This Row],[Tech Start Date]],19),IF(Main[[#This Row],[Class]]="B", WORKDAY(Main[[#This Row],[Tech Start Date]],12),IF(Main[[#This Row],[Class]]="A",WORKDAY(Main[[#This Row],[Tech Start Date]],4),""))))</f>
        <v/>
      </c>
      <c r="O39" s="104" t="str">
        <f>IF(Main[[#This Row],[Tech Start Date]]&lt;1/1/1990,"",IF(Main[[#This Row],[Class]]="C",WORKDAY(Main[[#This Row],[Tech Start Date]],23),IF(Main[[#This Row],[Class]]="B", WORKDAY(Main[[#This Row],[Tech Start Date]],15),IF(Main[[#This Row],[Class]]="A",WORKDAY(Main[[#This Row],[Tech Start Date]],5),""))))</f>
        <v/>
      </c>
      <c r="P39" s="104" t="str">
        <f>IF(Main[[#This Row],[Tech Start Date]]&lt;1/1/1990,"",IF(Main[[#This Row],[Class]]="C",WORKDAY(Main[[#This Row],[Tech Start Date]],28),IF(Main[[#This Row],[Class]]="B", WORKDAY(Main[[#This Row],[Tech Start Date]],19),IF(Main[[#This Row],[Class]]="A",WORKDAY(Main[[#This Row],[Tech Start Date]],9),""))))</f>
        <v/>
      </c>
      <c r="Q39" s="101"/>
      <c r="R39" s="101">
        <v>40788</v>
      </c>
      <c r="S39" s="99" t="s">
        <v>11</v>
      </c>
      <c r="T39" s="107" t="s">
        <v>2163</v>
      </c>
      <c r="U39" s="99" t="s">
        <v>14</v>
      </c>
      <c r="V39" s="99" t="s">
        <v>1963</v>
      </c>
      <c r="W39" s="99" t="s">
        <v>1964</v>
      </c>
    </row>
    <row r="40" spans="1:28" ht="18.600000000000001" customHeight="1">
      <c r="A40" s="123">
        <f>IF(priority(Main[[#This Row],[Comments]])&lt;&gt;0, priority(Main[[#This Row],[Comments]]),"")</f>
        <v>9</v>
      </c>
      <c r="B40" s="127" t="s">
        <v>2620</v>
      </c>
      <c r="C40" s="99" t="s">
        <v>2456</v>
      </c>
      <c r="D40" s="100" t="s">
        <v>2621</v>
      </c>
      <c r="E40" s="101">
        <v>40850.123391203706</v>
      </c>
      <c r="F40" s="101">
        <v>41008</v>
      </c>
      <c r="G40" s="102">
        <f>IF(stdProdLT(Main[[#This Row],[Comments]])=0.1,"N/A",IF(stdProdLT(Main[[#This Row],[Comments]])=0,"",stdProdLT(Main[[#This Row],[Comments]])))</f>
        <v>112</v>
      </c>
      <c r="H40" s="103">
        <f>IF(AND(Main[[#This Row],[In Stock Date]]&lt;&gt;"",Main[[#This Row],[Revised Due Date]]&lt;&gt;""),Main[[#This Row],[In Stock Date]]-Main[[#This Row],[Revised Due Date]],"")</f>
        <v>98</v>
      </c>
      <c r="I40" s="99" t="s">
        <v>955</v>
      </c>
      <c r="J40" s="99" t="s">
        <v>28</v>
      </c>
      <c r="K40" s="99" t="s">
        <v>1969</v>
      </c>
      <c r="L40" s="101">
        <v>40879</v>
      </c>
      <c r="M40" s="104">
        <f>IF(Main[[#This Row],[Tech Start Date]]&lt;1/1/1990,"",IF(Main[[#This Row],[Class]]="C",WORKDAY(Main[[#This Row],[Tech Start Date]],9),IF(Main[[#This Row],[Class]]="B", WORKDAY(Main[[#This Row],[Tech Start Date]],6),IF(Main[[#This Row],[Class]]="A",WORKDAY(Main[[#This Row],[Tech Start Date]],2),""))))</f>
        <v>40889</v>
      </c>
      <c r="N40" s="104">
        <f>IF(Main[[#This Row],[Tech Start Date]]&lt;1/1/1990,"",IF(Main[[#This Row],[Class]]="C",WORKDAY(Main[[#This Row],[Tech Start Date]],19),IF(Main[[#This Row],[Class]]="B", WORKDAY(Main[[#This Row],[Tech Start Date]],12),IF(Main[[#This Row],[Class]]="A",WORKDAY(Main[[#This Row],[Tech Start Date]],4),""))))</f>
        <v>40897</v>
      </c>
      <c r="O40" s="104">
        <f>IF(Main[[#This Row],[Tech Start Date]]&lt;1/1/1990,"",IF(Main[[#This Row],[Class]]="C",WORKDAY(Main[[#This Row],[Tech Start Date]],23),IF(Main[[#This Row],[Class]]="B", WORKDAY(Main[[#This Row],[Tech Start Date]],15),IF(Main[[#This Row],[Class]]="A",WORKDAY(Main[[#This Row],[Tech Start Date]],5),""))))</f>
        <v>40900</v>
      </c>
      <c r="P40" s="104">
        <f>IF(Main[[#This Row],[Tech Start Date]]&lt;1/1/1990,"",IF(Main[[#This Row],[Class]]="C",WORKDAY(Main[[#This Row],[Tech Start Date]],28),IF(Main[[#This Row],[Class]]="B", WORKDAY(Main[[#This Row],[Tech Start Date]],19),IF(Main[[#This Row],[Class]]="A",WORKDAY(Main[[#This Row],[Tech Start Date]],9),""))))</f>
        <v>40906</v>
      </c>
      <c r="Q40" s="101">
        <v>40812</v>
      </c>
      <c r="R40" s="101">
        <v>40910</v>
      </c>
      <c r="S40" s="99" t="s">
        <v>11</v>
      </c>
      <c r="T40" s="107" t="s">
        <v>3134</v>
      </c>
      <c r="U40" s="99" t="s">
        <v>29</v>
      </c>
      <c r="V40" s="99" t="s">
        <v>1962</v>
      </c>
      <c r="W40" s="99" t="s">
        <v>1970</v>
      </c>
    </row>
    <row r="41" spans="1:28" ht="18.600000000000001" customHeight="1">
      <c r="A41" s="123">
        <f>IF(priority(Main[[#This Row],[Comments]])&lt;&gt;0, priority(Main[[#This Row],[Comments]]),"")</f>
        <v>9.1</v>
      </c>
      <c r="B41" s="127" t="s">
        <v>2038</v>
      </c>
      <c r="C41" s="99" t="s">
        <v>2039</v>
      </c>
      <c r="D41" s="100" t="s">
        <v>2040</v>
      </c>
      <c r="E41" s="101"/>
      <c r="F41" s="101"/>
      <c r="G41" s="102" t="str">
        <f>IF(stdProdLT(Main[[#This Row],[Comments]])=0.1,"N/A",IF(stdProdLT(Main[[#This Row],[Comments]])=0,"",stdProdLT(Main[[#This Row],[Comments]])))</f>
        <v/>
      </c>
      <c r="H41" s="103" t="str">
        <f>IF(AND(Main[[#This Row],[In Stock Date]]&lt;&gt;"",Main[[#This Row],[Revised Due Date]]&lt;&gt;""),Main[[#This Row],[In Stock Date]]-Main[[#This Row],[Revised Due Date]],"")</f>
        <v/>
      </c>
      <c r="I41" s="99" t="s">
        <v>959</v>
      </c>
      <c r="J41" s="99" t="s">
        <v>28</v>
      </c>
      <c r="K41" s="99" t="s">
        <v>4</v>
      </c>
      <c r="L41" s="101">
        <v>40745</v>
      </c>
      <c r="M41" s="104" t="str">
        <f>IF(Main[[#This Row],[Tech Start Date]]&lt;1/1/1990,"",IF(Main[[#This Row],[Class]]="C",WORKDAY(Main[[#This Row],[Tech Start Date]],9),IF(Main[[#This Row],[Class]]="B", WORKDAY(Main[[#This Row],[Tech Start Date]],6),IF(Main[[#This Row],[Class]]="A",WORKDAY(Main[[#This Row],[Tech Start Date]],2),""))))</f>
        <v/>
      </c>
      <c r="N41" s="104" t="str">
        <f>IF(Main[[#This Row],[Tech Start Date]]&lt;1/1/1990,"",IF(Main[[#This Row],[Class]]="C",WORKDAY(Main[[#This Row],[Tech Start Date]],19),IF(Main[[#This Row],[Class]]="B", WORKDAY(Main[[#This Row],[Tech Start Date]],12),IF(Main[[#This Row],[Class]]="A",WORKDAY(Main[[#This Row],[Tech Start Date]],4),""))))</f>
        <v/>
      </c>
      <c r="O41" s="104" t="str">
        <f>IF(Main[[#This Row],[Tech Start Date]]&lt;1/1/1990,"",IF(Main[[#This Row],[Class]]="C",WORKDAY(Main[[#This Row],[Tech Start Date]],23),IF(Main[[#This Row],[Class]]="B", WORKDAY(Main[[#This Row],[Tech Start Date]],15),IF(Main[[#This Row],[Class]]="A",WORKDAY(Main[[#This Row],[Tech Start Date]],5),""))))</f>
        <v/>
      </c>
      <c r="P41" s="104" t="str">
        <f>IF(Main[[#This Row],[Tech Start Date]]&lt;1/1/1990,"",IF(Main[[#This Row],[Class]]="C",WORKDAY(Main[[#This Row],[Tech Start Date]],28),IF(Main[[#This Row],[Class]]="B", WORKDAY(Main[[#This Row],[Tech Start Date]],19),IF(Main[[#This Row],[Class]]="A",WORKDAY(Main[[#This Row],[Tech Start Date]],9),""))))</f>
        <v/>
      </c>
      <c r="Q41" s="101"/>
      <c r="R41" s="101"/>
      <c r="S41" s="99" t="s">
        <v>11</v>
      </c>
      <c r="T41" s="107" t="s">
        <v>2041</v>
      </c>
      <c r="U41" s="99" t="s">
        <v>14</v>
      </c>
      <c r="V41" s="99" t="s">
        <v>1963</v>
      </c>
      <c r="W41" s="99" t="s">
        <v>1964</v>
      </c>
    </row>
    <row r="42" spans="1:28" ht="18.600000000000001" customHeight="1">
      <c r="A42" s="123">
        <f>IF(priority(Main[[#This Row],[Comments]])&lt;&gt;0, priority(Main[[#This Row],[Comments]]),"")</f>
        <v>10</v>
      </c>
      <c r="B42" s="127" t="s">
        <v>2014</v>
      </c>
      <c r="C42" s="99" t="s">
        <v>53</v>
      </c>
      <c r="D42" s="100" t="s">
        <v>2882</v>
      </c>
      <c r="E42" s="101">
        <v>40730.363298611112</v>
      </c>
      <c r="F42" s="101">
        <v>40846</v>
      </c>
      <c r="G42" s="102" t="str">
        <f>IF(stdProdLT(Main[[#This Row],[Comments]])=0.1,"N/A",IF(stdProdLT(Main[[#This Row],[Comments]])=0,"",stdProdLT(Main[[#This Row],[Comments]])))</f>
        <v>N/A</v>
      </c>
      <c r="H42" s="103">
        <f>IF(AND(Main[[#This Row],[In Stock Date]]&lt;&gt;"",Main[[#This Row],[Revised Due Date]]&lt;&gt;""),Main[[#This Row],[In Stock Date]]-Main[[#This Row],[Revised Due Date]],"")</f>
        <v>-40</v>
      </c>
      <c r="I42" s="99" t="s">
        <v>959</v>
      </c>
      <c r="J42" s="99" t="s">
        <v>28</v>
      </c>
      <c r="K42" s="99" t="s">
        <v>1969</v>
      </c>
      <c r="L42" s="101">
        <v>40730</v>
      </c>
      <c r="M42" s="104">
        <f>IF(Main[[#This Row],[Tech Start Date]]&lt;1/1/1990,"",IF(Main[[#This Row],[Class]]="C",WORKDAY(Main[[#This Row],[Tech Start Date]],9),IF(Main[[#This Row],[Class]]="B", WORKDAY(Main[[#This Row],[Tech Start Date]],6),IF(Main[[#This Row],[Class]]="A",WORKDAY(Main[[#This Row],[Tech Start Date]],2),""))))</f>
        <v>40738</v>
      </c>
      <c r="N42" s="104">
        <f>IF(Main[[#This Row],[Tech Start Date]]&lt;1/1/1990,"",IF(Main[[#This Row],[Class]]="C",WORKDAY(Main[[#This Row],[Tech Start Date]],19),IF(Main[[#This Row],[Class]]="B", WORKDAY(Main[[#This Row],[Tech Start Date]],12),IF(Main[[#This Row],[Class]]="A",WORKDAY(Main[[#This Row],[Tech Start Date]],4),""))))</f>
        <v>40746</v>
      </c>
      <c r="O42" s="104">
        <f>IF(Main[[#This Row],[Tech Start Date]]&lt;1/1/1990,"",IF(Main[[#This Row],[Class]]="C",WORKDAY(Main[[#This Row],[Tech Start Date]],23),IF(Main[[#This Row],[Class]]="B", WORKDAY(Main[[#This Row],[Tech Start Date]],15),IF(Main[[#This Row],[Class]]="A",WORKDAY(Main[[#This Row],[Tech Start Date]],5),""))))</f>
        <v>40751</v>
      </c>
      <c r="P42" s="104">
        <f>IF(Main[[#This Row],[Tech Start Date]]&lt;1/1/1990,"",IF(Main[[#This Row],[Class]]="C",WORKDAY(Main[[#This Row],[Tech Start Date]],28),IF(Main[[#This Row],[Class]]="B", WORKDAY(Main[[#This Row],[Tech Start Date]],19),IF(Main[[#This Row],[Class]]="A",WORKDAY(Main[[#This Row],[Tech Start Date]],9),""))))</f>
        <v>40757</v>
      </c>
      <c r="Q42" s="101"/>
      <c r="R42" s="101">
        <v>40886</v>
      </c>
      <c r="S42" s="99" t="s">
        <v>11</v>
      </c>
      <c r="T42" s="107" t="s">
        <v>3017</v>
      </c>
      <c r="U42" s="99" t="s">
        <v>29</v>
      </c>
      <c r="V42" s="99" t="s">
        <v>1963</v>
      </c>
      <c r="W42" s="99" t="s">
        <v>1964</v>
      </c>
    </row>
    <row r="43" spans="1:28" ht="18.600000000000001" customHeight="1">
      <c r="A43" s="123">
        <f>IF(priority(Main[[#This Row],[Comments]])&lt;&gt;0, priority(Main[[#This Row],[Comments]]),"")</f>
        <v>10</v>
      </c>
      <c r="B43" s="127" t="s">
        <v>2945</v>
      </c>
      <c r="C43" s="99" t="s">
        <v>3045</v>
      </c>
      <c r="D43" s="100" t="s">
        <v>3046</v>
      </c>
      <c r="E43" s="101">
        <v>40842.129513888889</v>
      </c>
      <c r="F43" s="101">
        <v>40983</v>
      </c>
      <c r="G43" s="102">
        <f>IF(stdProdLT(Main[[#This Row],[Comments]])=0.1,"N/A",IF(stdProdLT(Main[[#This Row],[Comments]])=0,"",stdProdLT(Main[[#This Row],[Comments]])))</f>
        <v>140</v>
      </c>
      <c r="H43" s="103">
        <f>IF(AND(Main[[#This Row],[In Stock Date]]&lt;&gt;"",Main[[#This Row],[Revised Due Date]]&lt;&gt;""),Main[[#This Row],[In Stock Date]]-Main[[#This Row],[Revised Due Date]],"")</f>
        <v>100</v>
      </c>
      <c r="I43" s="99" t="s">
        <v>435</v>
      </c>
      <c r="J43" s="99" t="s">
        <v>52</v>
      </c>
      <c r="K43" s="99" t="s">
        <v>1969</v>
      </c>
      <c r="L43" s="101">
        <v>40848</v>
      </c>
      <c r="M43" s="104">
        <f>IF(Main[[#This Row],[Tech Start Date]]&lt;1/1/1990,"",IF(Main[[#This Row],[Class]]="C",WORKDAY(Main[[#This Row],[Tech Start Date]],9),IF(Main[[#This Row],[Class]]="B", WORKDAY(Main[[#This Row],[Tech Start Date]],6),IF(Main[[#This Row],[Class]]="A",WORKDAY(Main[[#This Row],[Tech Start Date]],2),""))))</f>
        <v>40856</v>
      </c>
      <c r="N43" s="104">
        <f>IF(Main[[#This Row],[Tech Start Date]]&lt;1/1/1990,"",IF(Main[[#This Row],[Class]]="C",WORKDAY(Main[[#This Row],[Tech Start Date]],19),IF(Main[[#This Row],[Class]]="B", WORKDAY(Main[[#This Row],[Tech Start Date]],12),IF(Main[[#This Row],[Class]]="A",WORKDAY(Main[[#This Row],[Tech Start Date]],4),""))))</f>
        <v>40864</v>
      </c>
      <c r="O43" s="104">
        <f>IF(Main[[#This Row],[Tech Start Date]]&lt;1/1/1990,"",IF(Main[[#This Row],[Class]]="C",WORKDAY(Main[[#This Row],[Tech Start Date]],23),IF(Main[[#This Row],[Class]]="B", WORKDAY(Main[[#This Row],[Tech Start Date]],15),IF(Main[[#This Row],[Class]]="A",WORKDAY(Main[[#This Row],[Tech Start Date]],5),""))))</f>
        <v>40869</v>
      </c>
      <c r="P43" s="104">
        <f>IF(Main[[#This Row],[Tech Start Date]]&lt;1/1/1990,"",IF(Main[[#This Row],[Class]]="C",WORKDAY(Main[[#This Row],[Tech Start Date]],28),IF(Main[[#This Row],[Class]]="B", WORKDAY(Main[[#This Row],[Tech Start Date]],19),IF(Main[[#This Row],[Class]]="A",WORKDAY(Main[[#This Row],[Tech Start Date]],9),""))))</f>
        <v>40875</v>
      </c>
      <c r="Q43" s="101">
        <v>40878</v>
      </c>
      <c r="R43" s="101">
        <v>40883</v>
      </c>
      <c r="S43" s="99" t="s">
        <v>11</v>
      </c>
      <c r="T43" s="107" t="s">
        <v>2946</v>
      </c>
      <c r="U43" s="99" t="s">
        <v>29</v>
      </c>
      <c r="V43" s="99" t="s">
        <v>1972</v>
      </c>
      <c r="W43" s="99" t="s">
        <v>1968</v>
      </c>
    </row>
    <row r="44" spans="1:28" ht="18.600000000000001" customHeight="1">
      <c r="A44" s="123">
        <f>IF(priority(Main[[#This Row],[Comments]])&lt;&gt;0, priority(Main[[#This Row],[Comments]]),"")</f>
        <v>10</v>
      </c>
      <c r="B44" s="127" t="s">
        <v>2571</v>
      </c>
      <c r="C44" s="99" t="s">
        <v>2456</v>
      </c>
      <c r="D44" s="100" t="s">
        <v>2572</v>
      </c>
      <c r="E44" s="101">
        <v>40850.897800925923</v>
      </c>
      <c r="F44" s="101">
        <v>41008</v>
      </c>
      <c r="G44" s="102">
        <f>IF(stdProdLT(Main[[#This Row],[Comments]])=0.1,"N/A",IF(stdProdLT(Main[[#This Row],[Comments]])=0,"",stdProdLT(Main[[#This Row],[Comments]])))</f>
        <v>112</v>
      </c>
      <c r="H44" s="103">
        <f>IF(AND(Main[[#This Row],[In Stock Date]]&lt;&gt;"",Main[[#This Row],[Revised Due Date]]&lt;&gt;""),Main[[#This Row],[In Stock Date]]-Main[[#This Row],[Revised Due Date]],"")</f>
        <v>98</v>
      </c>
      <c r="I44" s="99" t="s">
        <v>955</v>
      </c>
      <c r="J44" s="99" t="s">
        <v>28</v>
      </c>
      <c r="K44" s="99" t="s">
        <v>1969</v>
      </c>
      <c r="L44" s="101">
        <v>40879</v>
      </c>
      <c r="M44" s="104">
        <f>IF(Main[[#This Row],[Tech Start Date]]&lt;1/1/1990,"",IF(Main[[#This Row],[Class]]="C",WORKDAY(Main[[#This Row],[Tech Start Date]],9),IF(Main[[#This Row],[Class]]="B", WORKDAY(Main[[#This Row],[Tech Start Date]],6),IF(Main[[#This Row],[Class]]="A",WORKDAY(Main[[#This Row],[Tech Start Date]],2),""))))</f>
        <v>40889</v>
      </c>
      <c r="N44" s="104">
        <f>IF(Main[[#This Row],[Tech Start Date]]&lt;1/1/1990,"",IF(Main[[#This Row],[Class]]="C",WORKDAY(Main[[#This Row],[Tech Start Date]],19),IF(Main[[#This Row],[Class]]="B", WORKDAY(Main[[#This Row],[Tech Start Date]],12),IF(Main[[#This Row],[Class]]="A",WORKDAY(Main[[#This Row],[Tech Start Date]],4),""))))</f>
        <v>40897</v>
      </c>
      <c r="O44" s="104">
        <f>IF(Main[[#This Row],[Tech Start Date]]&lt;1/1/1990,"",IF(Main[[#This Row],[Class]]="C",WORKDAY(Main[[#This Row],[Tech Start Date]],23),IF(Main[[#This Row],[Class]]="B", WORKDAY(Main[[#This Row],[Tech Start Date]],15),IF(Main[[#This Row],[Class]]="A",WORKDAY(Main[[#This Row],[Tech Start Date]],5),""))))</f>
        <v>40900</v>
      </c>
      <c r="P44" s="104">
        <f>IF(Main[[#This Row],[Tech Start Date]]&lt;1/1/1990,"",IF(Main[[#This Row],[Class]]="C",WORKDAY(Main[[#This Row],[Tech Start Date]],28),IF(Main[[#This Row],[Class]]="B", WORKDAY(Main[[#This Row],[Tech Start Date]],19),IF(Main[[#This Row],[Class]]="A",WORKDAY(Main[[#This Row],[Tech Start Date]],9),""))))</f>
        <v>40906</v>
      </c>
      <c r="Q44" s="101">
        <v>40812</v>
      </c>
      <c r="R44" s="101">
        <v>40910</v>
      </c>
      <c r="S44" s="99" t="s">
        <v>11</v>
      </c>
      <c r="T44" s="107" t="s">
        <v>3135</v>
      </c>
      <c r="U44" s="99" t="s">
        <v>29</v>
      </c>
      <c r="V44" s="99" t="s">
        <v>1962</v>
      </c>
      <c r="W44" s="99" t="s">
        <v>1970</v>
      </c>
    </row>
    <row r="45" spans="1:28" ht="18.600000000000001" customHeight="1">
      <c r="A45" s="123">
        <f>IF(priority(Main[[#This Row],[Comments]])&lt;&gt;0, priority(Main[[#This Row],[Comments]]),"")</f>
        <v>11</v>
      </c>
      <c r="B45" s="127" t="s">
        <v>2375</v>
      </c>
      <c r="C45" s="99" t="s">
        <v>3071</v>
      </c>
      <c r="D45" s="100" t="s">
        <v>3119</v>
      </c>
      <c r="E45" s="101">
        <v>40815.375868055555</v>
      </c>
      <c r="F45" s="101">
        <v>41014</v>
      </c>
      <c r="G45" s="102">
        <f>IF(stdProdLT(Main[[#This Row],[Comments]])=0.1,"N/A",IF(stdProdLT(Main[[#This Row],[Comments]])=0,"",stdProdLT(Main[[#This Row],[Comments]])))</f>
        <v>126</v>
      </c>
      <c r="H45" s="103">
        <f>IF(AND(Main[[#This Row],[In Stock Date]]&lt;&gt;"",Main[[#This Row],[Revised Due Date]]&lt;&gt;""),Main[[#This Row],[In Stock Date]]-Main[[#This Row],[Revised Due Date]],"")</f>
        <v>118</v>
      </c>
      <c r="I45" s="99" t="s">
        <v>568</v>
      </c>
      <c r="J45" s="99" t="s">
        <v>28</v>
      </c>
      <c r="K45" s="99" t="s">
        <v>1975</v>
      </c>
      <c r="L45" s="101">
        <v>40834</v>
      </c>
      <c r="M45" s="104">
        <f>IF(Main[[#This Row],[Tech Start Date]]&lt;1/1/1990,"",IF(Main[[#This Row],[Class]]="C",WORKDAY(Main[[#This Row],[Tech Start Date]],9),IF(Main[[#This Row],[Class]]="B", WORKDAY(Main[[#This Row],[Tech Start Date]],6),IF(Main[[#This Row],[Class]]="A",WORKDAY(Main[[#This Row],[Tech Start Date]],2),""))))</f>
        <v>40847</v>
      </c>
      <c r="N45" s="104">
        <f>IF(Main[[#This Row],[Tech Start Date]]&lt;1/1/1990,"",IF(Main[[#This Row],[Class]]="C",WORKDAY(Main[[#This Row],[Tech Start Date]],19),IF(Main[[#This Row],[Class]]="B", WORKDAY(Main[[#This Row],[Tech Start Date]],12),IF(Main[[#This Row],[Class]]="A",WORKDAY(Main[[#This Row],[Tech Start Date]],4),""))))</f>
        <v>40861</v>
      </c>
      <c r="O45" s="104">
        <f>IF(Main[[#This Row],[Tech Start Date]]&lt;1/1/1990,"",IF(Main[[#This Row],[Class]]="C",WORKDAY(Main[[#This Row],[Tech Start Date]],23),IF(Main[[#This Row],[Class]]="B", WORKDAY(Main[[#This Row],[Tech Start Date]],15),IF(Main[[#This Row],[Class]]="A",WORKDAY(Main[[#This Row],[Tech Start Date]],5),""))))</f>
        <v>40865</v>
      </c>
      <c r="P45" s="104">
        <f>IF(Main[[#This Row],[Tech Start Date]]&lt;1/1/1990,"",IF(Main[[#This Row],[Class]]="C",WORKDAY(Main[[#This Row],[Tech Start Date]],28),IF(Main[[#This Row],[Class]]="B", WORKDAY(Main[[#This Row],[Tech Start Date]],19),IF(Main[[#This Row],[Class]]="A",WORKDAY(Main[[#This Row],[Tech Start Date]],9),""))))</f>
        <v>40872</v>
      </c>
      <c r="Q45" s="101">
        <v>40773</v>
      </c>
      <c r="R45" s="101">
        <v>40896</v>
      </c>
      <c r="S45" s="99" t="s">
        <v>11</v>
      </c>
      <c r="T45" s="107" t="s">
        <v>3136</v>
      </c>
      <c r="U45" s="99" t="s">
        <v>29</v>
      </c>
      <c r="V45" s="99" t="s">
        <v>1962</v>
      </c>
      <c r="W45" s="99" t="s">
        <v>1968</v>
      </c>
    </row>
    <row r="46" spans="1:28" ht="18.600000000000001" customHeight="1">
      <c r="A46" s="123">
        <f>IF(priority(Main[[#This Row],[Comments]])&lt;&gt;0, priority(Main[[#This Row],[Comments]]),"")</f>
        <v>11</v>
      </c>
      <c r="B46" s="127" t="s">
        <v>2990</v>
      </c>
      <c r="C46" s="99" t="s">
        <v>72</v>
      </c>
      <c r="D46" s="100" t="s">
        <v>3079</v>
      </c>
      <c r="E46" s="101">
        <v>40864.833043981482</v>
      </c>
      <c r="F46" s="101"/>
      <c r="G46" s="102" t="str">
        <f>IF(stdProdLT(Main[[#This Row],[Comments]])=0.1,"N/A",IF(stdProdLT(Main[[#This Row],[Comments]])=0,"",stdProdLT(Main[[#This Row],[Comments]])))</f>
        <v/>
      </c>
      <c r="H46" s="103" t="str">
        <f>IF(AND(Main[[#This Row],[In Stock Date]]&lt;&gt;"",Main[[#This Row],[Revised Due Date]]&lt;&gt;""),Main[[#This Row],[In Stock Date]]-Main[[#This Row],[Revised Due Date]],"")</f>
        <v/>
      </c>
      <c r="I46" s="99" t="s">
        <v>2324</v>
      </c>
      <c r="J46" s="99" t="s">
        <v>28</v>
      </c>
      <c r="K46" s="108" t="s">
        <v>1971</v>
      </c>
      <c r="L46" s="101">
        <v>40865</v>
      </c>
      <c r="M46" s="104">
        <f>IF(Main[[#This Row],[Tech Start Date]]&lt;1/1/1990,"",IF(Main[[#This Row],[Class]]="C",WORKDAY(Main[[#This Row],[Tech Start Date]],9),IF(Main[[#This Row],[Class]]="B", WORKDAY(Main[[#This Row],[Tech Start Date]],6),IF(Main[[#This Row],[Class]]="A",WORKDAY(Main[[#This Row],[Tech Start Date]],2),""))))</f>
        <v>40869</v>
      </c>
      <c r="N46" s="104">
        <f>IF(Main[[#This Row],[Tech Start Date]]&lt;1/1/1990,"",IF(Main[[#This Row],[Class]]="C",WORKDAY(Main[[#This Row],[Tech Start Date]],19),IF(Main[[#This Row],[Class]]="B", WORKDAY(Main[[#This Row],[Tech Start Date]],12),IF(Main[[#This Row],[Class]]="A",WORKDAY(Main[[#This Row],[Tech Start Date]],4),""))))</f>
        <v>40871</v>
      </c>
      <c r="O46" s="104">
        <f>IF(Main[[#This Row],[Tech Start Date]]&lt;1/1/1990,"",IF(Main[[#This Row],[Class]]="C",WORKDAY(Main[[#This Row],[Tech Start Date]],23),IF(Main[[#This Row],[Class]]="B", WORKDAY(Main[[#This Row],[Tech Start Date]],15),IF(Main[[#This Row],[Class]]="A",WORKDAY(Main[[#This Row],[Tech Start Date]],5),""))))</f>
        <v>40872</v>
      </c>
      <c r="P46" s="104">
        <f>IF(Main[[#This Row],[Tech Start Date]]&lt;1/1/1990,"",IF(Main[[#This Row],[Class]]="C",WORKDAY(Main[[#This Row],[Tech Start Date]],28),IF(Main[[#This Row],[Class]]="B", WORKDAY(Main[[#This Row],[Tech Start Date]],19),IF(Main[[#This Row],[Class]]="A",WORKDAY(Main[[#This Row],[Tech Start Date]],9),""))))</f>
        <v>40878</v>
      </c>
      <c r="Q46" s="101">
        <v>40882</v>
      </c>
      <c r="R46" s="101">
        <v>40886</v>
      </c>
      <c r="S46" s="99" t="s">
        <v>11</v>
      </c>
      <c r="T46" s="107" t="s">
        <v>3022</v>
      </c>
      <c r="U46" s="99" t="s">
        <v>29</v>
      </c>
      <c r="V46" s="99" t="s">
        <v>1963</v>
      </c>
      <c r="W46" s="99" t="s">
        <v>1967</v>
      </c>
    </row>
    <row r="47" spans="1:28" ht="18.600000000000001" customHeight="1">
      <c r="A47" s="123">
        <f>IF(priority(Main[[#This Row],[Comments]])&lt;&gt;0, priority(Main[[#This Row],[Comments]]),"")</f>
        <v>12</v>
      </c>
      <c r="B47" s="127" t="s">
        <v>2993</v>
      </c>
      <c r="C47" s="99" t="s">
        <v>72</v>
      </c>
      <c r="D47" s="100" t="s">
        <v>3049</v>
      </c>
      <c r="E47" s="101">
        <v>40864.817141203705</v>
      </c>
      <c r="F47" s="101"/>
      <c r="G47" s="102" t="str">
        <f>IF(stdProdLT(Main[[#This Row],[Comments]])=0.1,"N/A",IF(stdProdLT(Main[[#This Row],[Comments]])=0,"",stdProdLT(Main[[#This Row],[Comments]])))</f>
        <v/>
      </c>
      <c r="H47" s="103" t="str">
        <f>IF(AND(Main[[#This Row],[In Stock Date]]&lt;&gt;"",Main[[#This Row],[Revised Due Date]]&lt;&gt;""),Main[[#This Row],[In Stock Date]]-Main[[#This Row],[Revised Due Date]],"")</f>
        <v/>
      </c>
      <c r="I47" s="99" t="s">
        <v>2324</v>
      </c>
      <c r="J47" s="99" t="s">
        <v>28</v>
      </c>
      <c r="K47" s="99" t="s">
        <v>1971</v>
      </c>
      <c r="L47" s="101">
        <v>40865</v>
      </c>
      <c r="M47" s="104">
        <f>IF(Main[[#This Row],[Tech Start Date]]&lt;1/1/1990,"",IF(Main[[#This Row],[Class]]="C",WORKDAY(Main[[#This Row],[Tech Start Date]],9),IF(Main[[#This Row],[Class]]="B", WORKDAY(Main[[#This Row],[Tech Start Date]],6),IF(Main[[#This Row],[Class]]="A",WORKDAY(Main[[#This Row],[Tech Start Date]],2),""))))</f>
        <v>40869</v>
      </c>
      <c r="N47" s="104">
        <f>IF(Main[[#This Row],[Tech Start Date]]&lt;1/1/1990,"",IF(Main[[#This Row],[Class]]="C",WORKDAY(Main[[#This Row],[Tech Start Date]],19),IF(Main[[#This Row],[Class]]="B", WORKDAY(Main[[#This Row],[Tech Start Date]],12),IF(Main[[#This Row],[Class]]="A",WORKDAY(Main[[#This Row],[Tech Start Date]],4),""))))</f>
        <v>40871</v>
      </c>
      <c r="O47" s="104">
        <f>IF(Main[[#This Row],[Tech Start Date]]&lt;1/1/1990,"",IF(Main[[#This Row],[Class]]="C",WORKDAY(Main[[#This Row],[Tech Start Date]],23),IF(Main[[#This Row],[Class]]="B", WORKDAY(Main[[#This Row],[Tech Start Date]],15),IF(Main[[#This Row],[Class]]="A",WORKDAY(Main[[#This Row],[Tech Start Date]],5),""))))</f>
        <v>40872</v>
      </c>
      <c r="P47" s="104">
        <f>IF(Main[[#This Row],[Tech Start Date]]&lt;1/1/1990,"",IF(Main[[#This Row],[Class]]="C",WORKDAY(Main[[#This Row],[Tech Start Date]],28),IF(Main[[#This Row],[Class]]="B", WORKDAY(Main[[#This Row],[Tech Start Date]],19),IF(Main[[#This Row],[Class]]="A",WORKDAY(Main[[#This Row],[Tech Start Date]],9),""))))</f>
        <v>40878</v>
      </c>
      <c r="Q47" s="101"/>
      <c r="R47" s="101">
        <v>40886</v>
      </c>
      <c r="S47" s="99" t="s">
        <v>11</v>
      </c>
      <c r="T47" s="107" t="s">
        <v>3021</v>
      </c>
      <c r="U47" s="99" t="s">
        <v>29</v>
      </c>
      <c r="V47" s="99" t="s">
        <v>1963</v>
      </c>
      <c r="W47" s="99" t="s">
        <v>1967</v>
      </c>
    </row>
    <row r="48" spans="1:28" ht="18.600000000000001" customHeight="1">
      <c r="A48" s="123">
        <f>IF(priority(Main[[#This Row],[Comments]])&lt;&gt;0, priority(Main[[#This Row],[Comments]]),"")</f>
        <v>12</v>
      </c>
      <c r="B48" s="127" t="s">
        <v>3001</v>
      </c>
      <c r="C48" s="99" t="s">
        <v>3071</v>
      </c>
      <c r="D48" s="100" t="s">
        <v>3122</v>
      </c>
      <c r="E48" s="101">
        <v>40836.684050925927</v>
      </c>
      <c r="F48" s="101">
        <v>41014</v>
      </c>
      <c r="G48" s="102">
        <f>IF(stdProdLT(Main[[#This Row],[Comments]])=0.1,"N/A",IF(stdProdLT(Main[[#This Row],[Comments]])=0,"",stdProdLT(Main[[#This Row],[Comments]])))</f>
        <v>126</v>
      </c>
      <c r="H48" s="103">
        <f>IF(AND(Main[[#This Row],[In Stock Date]]&lt;&gt;"",Main[[#This Row],[Revised Due Date]]&lt;&gt;""),Main[[#This Row],[In Stock Date]]-Main[[#This Row],[Revised Due Date]],"")</f>
        <v>118</v>
      </c>
      <c r="I48" s="99" t="s">
        <v>568</v>
      </c>
      <c r="J48" s="99" t="s">
        <v>28</v>
      </c>
      <c r="K48" s="99" t="s">
        <v>1969</v>
      </c>
      <c r="L48" s="101">
        <v>40869</v>
      </c>
      <c r="M48" s="104">
        <f>IF(Main[[#This Row],[Tech Start Date]]&lt;1/1/1990,"",IF(Main[[#This Row],[Class]]="C",WORKDAY(Main[[#This Row],[Tech Start Date]],9),IF(Main[[#This Row],[Class]]="B", WORKDAY(Main[[#This Row],[Tech Start Date]],6),IF(Main[[#This Row],[Class]]="A",WORKDAY(Main[[#This Row],[Tech Start Date]],2),""))))</f>
        <v>40877</v>
      </c>
      <c r="N48" s="104">
        <f>IF(Main[[#This Row],[Tech Start Date]]&lt;1/1/1990,"",IF(Main[[#This Row],[Class]]="C",WORKDAY(Main[[#This Row],[Tech Start Date]],19),IF(Main[[#This Row],[Class]]="B", WORKDAY(Main[[#This Row],[Tech Start Date]],12),IF(Main[[#This Row],[Class]]="A",WORKDAY(Main[[#This Row],[Tech Start Date]],4),""))))</f>
        <v>40885</v>
      </c>
      <c r="O48" s="104">
        <f>IF(Main[[#This Row],[Tech Start Date]]&lt;1/1/1990,"",IF(Main[[#This Row],[Class]]="C",WORKDAY(Main[[#This Row],[Tech Start Date]],23),IF(Main[[#This Row],[Class]]="B", WORKDAY(Main[[#This Row],[Tech Start Date]],15),IF(Main[[#This Row],[Class]]="A",WORKDAY(Main[[#This Row],[Tech Start Date]],5),""))))</f>
        <v>40890</v>
      </c>
      <c r="P48" s="104">
        <f>IF(Main[[#This Row],[Tech Start Date]]&lt;1/1/1990,"",IF(Main[[#This Row],[Class]]="C",WORKDAY(Main[[#This Row],[Tech Start Date]],28),IF(Main[[#This Row],[Class]]="B", WORKDAY(Main[[#This Row],[Tech Start Date]],19),IF(Main[[#This Row],[Class]]="A",WORKDAY(Main[[#This Row],[Tech Start Date]],9),""))))</f>
        <v>40896</v>
      </c>
      <c r="Q48" s="101"/>
      <c r="R48" s="101">
        <v>40896</v>
      </c>
      <c r="S48" s="99" t="s">
        <v>11</v>
      </c>
      <c r="T48" s="107" t="s">
        <v>3137</v>
      </c>
      <c r="U48" s="99" t="s">
        <v>29</v>
      </c>
      <c r="V48" s="99" t="s">
        <v>1962</v>
      </c>
      <c r="W48" s="99" t="s">
        <v>1968</v>
      </c>
    </row>
    <row r="49" spans="1:23" ht="18.600000000000001" customHeight="1">
      <c r="A49" s="123">
        <f>IF(priority(Main[[#This Row],[Comments]])&lt;&gt;0, priority(Main[[#This Row],[Comments]]),"")</f>
        <v>12</v>
      </c>
      <c r="B49" s="127" t="s">
        <v>2815</v>
      </c>
      <c r="C49" s="99" t="s">
        <v>3045</v>
      </c>
      <c r="D49" s="100" t="s">
        <v>3125</v>
      </c>
      <c r="E49" s="101">
        <v>40868.046643518515</v>
      </c>
      <c r="F49" s="101">
        <v>40983</v>
      </c>
      <c r="G49" s="102">
        <f>IF(stdProdLT(Main[[#This Row],[Comments]])=0.1,"N/A",IF(stdProdLT(Main[[#This Row],[Comments]])=0,"",stdProdLT(Main[[#This Row],[Comments]])))</f>
        <v>168</v>
      </c>
      <c r="H49" s="103">
        <f>IF(AND(Main[[#This Row],[In Stock Date]]&lt;&gt;"",Main[[#This Row],[Revised Due Date]]&lt;&gt;""),Main[[#This Row],[In Stock Date]]-Main[[#This Row],[Revised Due Date]],"")</f>
        <v>84</v>
      </c>
      <c r="I49" s="99" t="s">
        <v>536</v>
      </c>
      <c r="J49" s="99" t="s">
        <v>70</v>
      </c>
      <c r="K49" s="99" t="s">
        <v>1971</v>
      </c>
      <c r="L49" s="101">
        <v>40878</v>
      </c>
      <c r="M49" s="104">
        <f>IF(Main[[#This Row],[Tech Start Date]]&lt;1/1/1990,"",IF(Main[[#This Row],[Class]]="C",WORKDAY(Main[[#This Row],[Tech Start Date]],9),IF(Main[[#This Row],[Class]]="B", WORKDAY(Main[[#This Row],[Tech Start Date]],6),IF(Main[[#This Row],[Class]]="A",WORKDAY(Main[[#This Row],[Tech Start Date]],2),""))))</f>
        <v>40882</v>
      </c>
      <c r="N49" s="104">
        <f>IF(Main[[#This Row],[Tech Start Date]]&lt;1/1/1990,"",IF(Main[[#This Row],[Class]]="C",WORKDAY(Main[[#This Row],[Tech Start Date]],19),IF(Main[[#This Row],[Class]]="B", WORKDAY(Main[[#This Row],[Tech Start Date]],12),IF(Main[[#This Row],[Class]]="A",WORKDAY(Main[[#This Row],[Tech Start Date]],4),""))))</f>
        <v>40884</v>
      </c>
      <c r="O49" s="104">
        <f>IF(Main[[#This Row],[Tech Start Date]]&lt;1/1/1990,"",IF(Main[[#This Row],[Class]]="C",WORKDAY(Main[[#This Row],[Tech Start Date]],23),IF(Main[[#This Row],[Class]]="B", WORKDAY(Main[[#This Row],[Tech Start Date]],15),IF(Main[[#This Row],[Class]]="A",WORKDAY(Main[[#This Row],[Tech Start Date]],5),""))))</f>
        <v>40885</v>
      </c>
      <c r="P49" s="104">
        <f>IF(Main[[#This Row],[Tech Start Date]]&lt;1/1/1990,"",IF(Main[[#This Row],[Class]]="C",WORKDAY(Main[[#This Row],[Tech Start Date]],28),IF(Main[[#This Row],[Class]]="B", WORKDAY(Main[[#This Row],[Tech Start Date]],19),IF(Main[[#This Row],[Class]]="A",WORKDAY(Main[[#This Row],[Tech Start Date]],9),""))))</f>
        <v>40891</v>
      </c>
      <c r="Q49" s="101">
        <v>40878</v>
      </c>
      <c r="R49" s="101">
        <v>40899</v>
      </c>
      <c r="S49" s="99" t="s">
        <v>11</v>
      </c>
      <c r="T49" s="107" t="s">
        <v>3023</v>
      </c>
      <c r="U49" s="99" t="s">
        <v>29</v>
      </c>
      <c r="V49" s="99" t="s">
        <v>1972</v>
      </c>
      <c r="W49" s="99" t="s">
        <v>1968</v>
      </c>
    </row>
    <row r="50" spans="1:23" ht="18.600000000000001" customHeight="1">
      <c r="A50" s="123">
        <f>IF(priority(Main[[#This Row],[Comments]])&lt;&gt;0, priority(Main[[#This Row],[Comments]]),"")</f>
        <v>13</v>
      </c>
      <c r="B50" s="127" t="s">
        <v>2624</v>
      </c>
      <c r="C50" s="99" t="s">
        <v>3071</v>
      </c>
      <c r="D50" s="100" t="s">
        <v>3093</v>
      </c>
      <c r="E50" s="101">
        <v>40834.583020833335</v>
      </c>
      <c r="F50" s="101">
        <v>41014</v>
      </c>
      <c r="G50" s="102">
        <f>IF(stdProdLT(Main[[#This Row],[Comments]])=0.1,"N/A",IF(stdProdLT(Main[[#This Row],[Comments]])=0,"",stdProdLT(Main[[#This Row],[Comments]])))</f>
        <v>126</v>
      </c>
      <c r="H50" s="103" t="str">
        <f>IF(AND(Main[[#This Row],[In Stock Date]]&lt;&gt;"",Main[[#This Row],[Revised Due Date]]&lt;&gt;""),Main[[#This Row],[In Stock Date]]-Main[[#This Row],[Revised Due Date]],"")</f>
        <v/>
      </c>
      <c r="I50" s="99" t="s">
        <v>4</v>
      </c>
      <c r="J50" s="99" t="s">
        <v>4</v>
      </c>
      <c r="K50" s="99" t="s">
        <v>4</v>
      </c>
      <c r="L50" s="101"/>
      <c r="M50" s="104" t="str">
        <f>IF(Main[[#This Row],[Tech Start Date]]&lt;1/1/1990,"",IF(Main[[#This Row],[Class]]="C",WORKDAY(Main[[#This Row],[Tech Start Date]],9),IF(Main[[#This Row],[Class]]="B", WORKDAY(Main[[#This Row],[Tech Start Date]],6),IF(Main[[#This Row],[Class]]="A",WORKDAY(Main[[#This Row],[Tech Start Date]],2),""))))</f>
        <v/>
      </c>
      <c r="N50" s="104" t="str">
        <f>IF(Main[[#This Row],[Tech Start Date]]&lt;1/1/1990,"",IF(Main[[#This Row],[Class]]="C",WORKDAY(Main[[#This Row],[Tech Start Date]],19),IF(Main[[#This Row],[Class]]="B", WORKDAY(Main[[#This Row],[Tech Start Date]],12),IF(Main[[#This Row],[Class]]="A",WORKDAY(Main[[#This Row],[Tech Start Date]],4),""))))</f>
        <v/>
      </c>
      <c r="O50" s="104" t="str">
        <f>IF(Main[[#This Row],[Tech Start Date]]&lt;1/1/1990,"",IF(Main[[#This Row],[Class]]="C",WORKDAY(Main[[#This Row],[Tech Start Date]],23),IF(Main[[#This Row],[Class]]="B", WORKDAY(Main[[#This Row],[Tech Start Date]],15),IF(Main[[#This Row],[Class]]="A",WORKDAY(Main[[#This Row],[Tech Start Date]],5),""))))</f>
        <v/>
      </c>
      <c r="P50" s="104" t="str">
        <f>IF(Main[[#This Row],[Tech Start Date]]&lt;1/1/1990,"",IF(Main[[#This Row],[Class]]="C",WORKDAY(Main[[#This Row],[Tech Start Date]],28),IF(Main[[#This Row],[Class]]="B", WORKDAY(Main[[#This Row],[Tech Start Date]],19),IF(Main[[#This Row],[Class]]="A",WORKDAY(Main[[#This Row],[Tech Start Date]],9),""))))</f>
        <v/>
      </c>
      <c r="Q50" s="101"/>
      <c r="R50" s="101"/>
      <c r="S50" s="99" t="s">
        <v>11</v>
      </c>
      <c r="T50" s="107" t="s">
        <v>3138</v>
      </c>
      <c r="U50" s="99" t="s">
        <v>7</v>
      </c>
      <c r="V50" s="99" t="s">
        <v>1962</v>
      </c>
      <c r="W50" s="99" t="s">
        <v>1968</v>
      </c>
    </row>
    <row r="51" spans="1:23" ht="18.600000000000001" customHeight="1">
      <c r="A51" s="123">
        <f>IF(priority(Main[[#This Row],[Comments]])&lt;&gt;0, priority(Main[[#This Row],[Comments]]),"")</f>
        <v>13</v>
      </c>
      <c r="B51" s="127" t="s">
        <v>1942</v>
      </c>
      <c r="C51" s="99" t="s">
        <v>830</v>
      </c>
      <c r="D51" s="100" t="s">
        <v>2013</v>
      </c>
      <c r="E51" s="101"/>
      <c r="F51" s="101">
        <v>40767</v>
      </c>
      <c r="G51" s="102" t="str">
        <f>IF(stdProdLT(Main[[#This Row],[Comments]])=0.1,"N/A",IF(stdProdLT(Main[[#This Row],[Comments]])=0,"",stdProdLT(Main[[#This Row],[Comments]])))</f>
        <v/>
      </c>
      <c r="H51" s="103">
        <f>IF(AND(Main[[#This Row],[In Stock Date]]&lt;&gt;"",Main[[#This Row],[Revised Due Date]]&lt;&gt;""),Main[[#This Row],[In Stock Date]]-Main[[#This Row],[Revised Due Date]],"")</f>
        <v>21</v>
      </c>
      <c r="I51" s="99" t="s">
        <v>959</v>
      </c>
      <c r="J51" s="99" t="s">
        <v>28</v>
      </c>
      <c r="K51" s="99" t="s">
        <v>1971</v>
      </c>
      <c r="L51" s="101">
        <v>40704</v>
      </c>
      <c r="M51" s="104">
        <f>IF(Main[[#This Row],[Tech Start Date]]&lt;1/1/1990,"",IF(Main[[#This Row],[Class]]="C",WORKDAY(Main[[#This Row],[Tech Start Date]],9),IF(Main[[#This Row],[Class]]="B", WORKDAY(Main[[#This Row],[Tech Start Date]],6),IF(Main[[#This Row],[Class]]="A",WORKDAY(Main[[#This Row],[Tech Start Date]],2),""))))</f>
        <v>40708</v>
      </c>
      <c r="N51" s="104">
        <f>IF(Main[[#This Row],[Tech Start Date]]&lt;1/1/1990,"",IF(Main[[#This Row],[Class]]="C",WORKDAY(Main[[#This Row],[Tech Start Date]],19),IF(Main[[#This Row],[Class]]="B", WORKDAY(Main[[#This Row],[Tech Start Date]],12),IF(Main[[#This Row],[Class]]="A",WORKDAY(Main[[#This Row],[Tech Start Date]],4),""))))</f>
        <v>40710</v>
      </c>
      <c r="O51" s="104">
        <f>IF(Main[[#This Row],[Tech Start Date]]&lt;1/1/1990,"",IF(Main[[#This Row],[Class]]="C",WORKDAY(Main[[#This Row],[Tech Start Date]],23),IF(Main[[#This Row],[Class]]="B", WORKDAY(Main[[#This Row],[Tech Start Date]],15),IF(Main[[#This Row],[Class]]="A",WORKDAY(Main[[#This Row],[Tech Start Date]],5),""))))</f>
        <v>40711</v>
      </c>
      <c r="P51" s="104">
        <f>IF(Main[[#This Row],[Tech Start Date]]&lt;1/1/1990,"",IF(Main[[#This Row],[Class]]="C",WORKDAY(Main[[#This Row],[Tech Start Date]],28),IF(Main[[#This Row],[Class]]="B", WORKDAY(Main[[#This Row],[Tech Start Date]],19),IF(Main[[#This Row],[Class]]="A",WORKDAY(Main[[#This Row],[Tech Start Date]],9),""))))</f>
        <v>40717</v>
      </c>
      <c r="Q51" s="101"/>
      <c r="R51" s="101">
        <v>40746</v>
      </c>
      <c r="S51" s="99" t="s">
        <v>11</v>
      </c>
      <c r="T51" s="107" t="s">
        <v>2056</v>
      </c>
      <c r="U51" s="99" t="s">
        <v>14</v>
      </c>
      <c r="V51" s="99" t="s">
        <v>1963</v>
      </c>
      <c r="W51" s="99" t="s">
        <v>1970</v>
      </c>
    </row>
    <row r="52" spans="1:23" ht="18.600000000000001" customHeight="1">
      <c r="A52" s="123">
        <f>IF(priority(Main[[#This Row],[Comments]])&lt;&gt;0, priority(Main[[#This Row],[Comments]]),"")</f>
        <v>13</v>
      </c>
      <c r="B52" s="127" t="s">
        <v>2451</v>
      </c>
      <c r="C52" s="99" t="s">
        <v>3045</v>
      </c>
      <c r="D52" s="100" t="s">
        <v>2453</v>
      </c>
      <c r="E52" s="101">
        <v>40869.394097222219</v>
      </c>
      <c r="F52" s="101">
        <v>40983</v>
      </c>
      <c r="G52" s="102">
        <f>IF(stdProdLT(Main[[#This Row],[Comments]])=0.1,"N/A",IF(stdProdLT(Main[[#This Row],[Comments]])=0,"",stdProdLT(Main[[#This Row],[Comments]])))</f>
        <v>182</v>
      </c>
      <c r="H52" s="103">
        <f>IF(AND(Main[[#This Row],[In Stock Date]]&lt;&gt;"",Main[[#This Row],[Revised Due Date]]&lt;&gt;""),Main[[#This Row],[In Stock Date]]-Main[[#This Row],[Revised Due Date]],"")</f>
        <v>84</v>
      </c>
      <c r="I52" s="99" t="s">
        <v>435</v>
      </c>
      <c r="J52" s="99" t="s">
        <v>70</v>
      </c>
      <c r="K52" s="99" t="s">
        <v>1971</v>
      </c>
      <c r="L52" s="101">
        <v>40878</v>
      </c>
      <c r="M52" s="104">
        <f>IF(Main[[#This Row],[Tech Start Date]]&lt;1/1/1990,"",IF(Main[[#This Row],[Class]]="C",WORKDAY(Main[[#This Row],[Tech Start Date]],9),IF(Main[[#This Row],[Class]]="B", WORKDAY(Main[[#This Row],[Tech Start Date]],6),IF(Main[[#This Row],[Class]]="A",WORKDAY(Main[[#This Row],[Tech Start Date]],2),""))))</f>
        <v>40882</v>
      </c>
      <c r="N52" s="104">
        <f>IF(Main[[#This Row],[Tech Start Date]]&lt;1/1/1990,"",IF(Main[[#This Row],[Class]]="C",WORKDAY(Main[[#This Row],[Tech Start Date]],19),IF(Main[[#This Row],[Class]]="B", WORKDAY(Main[[#This Row],[Tech Start Date]],12),IF(Main[[#This Row],[Class]]="A",WORKDAY(Main[[#This Row],[Tech Start Date]],4),""))))</f>
        <v>40884</v>
      </c>
      <c r="O52" s="104">
        <f>IF(Main[[#This Row],[Tech Start Date]]&lt;1/1/1990,"",IF(Main[[#This Row],[Class]]="C",WORKDAY(Main[[#This Row],[Tech Start Date]],23),IF(Main[[#This Row],[Class]]="B", WORKDAY(Main[[#This Row],[Tech Start Date]],15),IF(Main[[#This Row],[Class]]="A",WORKDAY(Main[[#This Row],[Tech Start Date]],5),""))))</f>
        <v>40885</v>
      </c>
      <c r="P52" s="104">
        <f>IF(Main[[#This Row],[Tech Start Date]]&lt;1/1/1990,"",IF(Main[[#This Row],[Class]]="C",WORKDAY(Main[[#This Row],[Tech Start Date]],28),IF(Main[[#This Row],[Class]]="B", WORKDAY(Main[[#This Row],[Tech Start Date]],19),IF(Main[[#This Row],[Class]]="A",WORKDAY(Main[[#This Row],[Tech Start Date]],9),""))))</f>
        <v>40891</v>
      </c>
      <c r="Q52" s="101">
        <v>40878</v>
      </c>
      <c r="R52" s="101">
        <v>40899</v>
      </c>
      <c r="S52" s="99" t="s">
        <v>11</v>
      </c>
      <c r="T52" s="107" t="s">
        <v>2454</v>
      </c>
      <c r="U52" s="99" t="s">
        <v>29</v>
      </c>
      <c r="V52" s="99" t="s">
        <v>1972</v>
      </c>
      <c r="W52" s="99" t="s">
        <v>1968</v>
      </c>
    </row>
    <row r="53" spans="1:23" ht="18.600000000000001" customHeight="1">
      <c r="A53" s="123">
        <f>IF(priority(Main[[#This Row],[Comments]])&lt;&gt;0, priority(Main[[#This Row],[Comments]]),"")</f>
        <v>14</v>
      </c>
      <c r="B53" s="127" t="s">
        <v>1943</v>
      </c>
      <c r="C53" s="99" t="s">
        <v>79</v>
      </c>
      <c r="D53" s="100" t="s">
        <v>3176</v>
      </c>
      <c r="E53" s="101">
        <v>40490.480590277781</v>
      </c>
      <c r="F53" s="101">
        <v>40999</v>
      </c>
      <c r="G53" s="102">
        <f>IF(stdProdLT(Main[[#This Row],[Comments]])=0.1,"N/A",IF(stdProdLT(Main[[#This Row],[Comments]])=0,"",stdProdLT(Main[[#This Row],[Comments]])))</f>
        <v>112</v>
      </c>
      <c r="H53" s="103">
        <f>IF(AND(Main[[#This Row],[In Stock Date]]&lt;&gt;"",Main[[#This Row],[Revised Due Date]]&lt;&gt;""),Main[[#This Row],[In Stock Date]]-Main[[#This Row],[Revised Due Date]],"")</f>
        <v>113</v>
      </c>
      <c r="I53" s="99" t="s">
        <v>311</v>
      </c>
      <c r="J53" s="99" t="s">
        <v>75</v>
      </c>
      <c r="K53" s="99" t="s">
        <v>1975</v>
      </c>
      <c r="L53" s="101">
        <v>40666</v>
      </c>
      <c r="M53" s="104">
        <f>IF(Main[[#This Row],[Tech Start Date]]&lt;1/1/1990,"",IF(Main[[#This Row],[Class]]="C",WORKDAY(Main[[#This Row],[Tech Start Date]],9),IF(Main[[#This Row],[Class]]="B", WORKDAY(Main[[#This Row],[Tech Start Date]],6),IF(Main[[#This Row],[Class]]="A",WORKDAY(Main[[#This Row],[Tech Start Date]],2),""))))</f>
        <v>40679</v>
      </c>
      <c r="N53" s="104">
        <f>IF(Main[[#This Row],[Tech Start Date]]&lt;1/1/1990,"",IF(Main[[#This Row],[Class]]="C",WORKDAY(Main[[#This Row],[Tech Start Date]],19),IF(Main[[#This Row],[Class]]="B", WORKDAY(Main[[#This Row],[Tech Start Date]],12),IF(Main[[#This Row],[Class]]="A",WORKDAY(Main[[#This Row],[Tech Start Date]],4),""))))</f>
        <v>40693</v>
      </c>
      <c r="O53" s="104">
        <f>IF(Main[[#This Row],[Tech Start Date]]&lt;1/1/1990,"",IF(Main[[#This Row],[Class]]="C",WORKDAY(Main[[#This Row],[Tech Start Date]],23),IF(Main[[#This Row],[Class]]="B", WORKDAY(Main[[#This Row],[Tech Start Date]],15),IF(Main[[#This Row],[Class]]="A",WORKDAY(Main[[#This Row],[Tech Start Date]],5),""))))</f>
        <v>40697</v>
      </c>
      <c r="P53" s="104">
        <f>IF(Main[[#This Row],[Tech Start Date]]&lt;1/1/1990,"",IF(Main[[#This Row],[Class]]="C",WORKDAY(Main[[#This Row],[Tech Start Date]],28),IF(Main[[#This Row],[Class]]="B", WORKDAY(Main[[#This Row],[Tech Start Date]],19),IF(Main[[#This Row],[Class]]="A",WORKDAY(Main[[#This Row],[Tech Start Date]],9),""))))</f>
        <v>40704</v>
      </c>
      <c r="Q53" s="101">
        <v>40701</v>
      </c>
      <c r="R53" s="101">
        <v>40886</v>
      </c>
      <c r="S53" s="99" t="s">
        <v>11</v>
      </c>
      <c r="T53" s="107" t="s">
        <v>3139</v>
      </c>
      <c r="U53" s="99" t="s">
        <v>29</v>
      </c>
      <c r="V53" s="99" t="s">
        <v>1962</v>
      </c>
      <c r="W53" s="99" t="s">
        <v>1973</v>
      </c>
    </row>
    <row r="54" spans="1:23" ht="18.600000000000001" customHeight="1">
      <c r="A54" s="123">
        <f>IF(priority(Main[[#This Row],[Comments]])&lt;&gt;0, priority(Main[[#This Row],[Comments]]),"")</f>
        <v>14</v>
      </c>
      <c r="B54" s="127" t="s">
        <v>2520</v>
      </c>
      <c r="C54" s="99" t="s">
        <v>3064</v>
      </c>
      <c r="D54" s="100" t="s">
        <v>3065</v>
      </c>
      <c r="E54" s="101">
        <v>40865.312094907407</v>
      </c>
      <c r="F54" s="101">
        <v>40986</v>
      </c>
      <c r="G54" s="102">
        <f>IF(stdProdLT(Main[[#This Row],[Comments]])=0.1,"N/A",IF(stdProdLT(Main[[#This Row],[Comments]])=0,"",stdProdLT(Main[[#This Row],[Comments]])))</f>
        <v>182</v>
      </c>
      <c r="H54" s="103">
        <f>IF(AND(Main[[#This Row],[In Stock Date]]&lt;&gt;"",Main[[#This Row],[Revised Due Date]]&lt;&gt;""),Main[[#This Row],[In Stock Date]]-Main[[#This Row],[Revised Due Date]],"")</f>
        <v>87</v>
      </c>
      <c r="I54" s="99" t="s">
        <v>435</v>
      </c>
      <c r="J54" s="99" t="s">
        <v>70</v>
      </c>
      <c r="K54" s="108" t="s">
        <v>1971</v>
      </c>
      <c r="L54" s="101">
        <v>40878</v>
      </c>
      <c r="M54" s="104">
        <f>IF(Main[[#This Row],[Tech Start Date]]&lt;1/1/1990,"",IF(Main[[#This Row],[Class]]="C",WORKDAY(Main[[#This Row],[Tech Start Date]],9),IF(Main[[#This Row],[Class]]="B", WORKDAY(Main[[#This Row],[Tech Start Date]],6),IF(Main[[#This Row],[Class]]="A",WORKDAY(Main[[#This Row],[Tech Start Date]],2),""))))</f>
        <v>40882</v>
      </c>
      <c r="N54" s="104">
        <f>IF(Main[[#This Row],[Tech Start Date]]&lt;1/1/1990,"",IF(Main[[#This Row],[Class]]="C",WORKDAY(Main[[#This Row],[Tech Start Date]],19),IF(Main[[#This Row],[Class]]="B", WORKDAY(Main[[#This Row],[Tech Start Date]],12),IF(Main[[#This Row],[Class]]="A",WORKDAY(Main[[#This Row],[Tech Start Date]],4),""))))</f>
        <v>40884</v>
      </c>
      <c r="O54" s="104">
        <f>IF(Main[[#This Row],[Tech Start Date]]&lt;1/1/1990,"",IF(Main[[#This Row],[Class]]="C",WORKDAY(Main[[#This Row],[Tech Start Date]],23),IF(Main[[#This Row],[Class]]="B", WORKDAY(Main[[#This Row],[Tech Start Date]],15),IF(Main[[#This Row],[Class]]="A",WORKDAY(Main[[#This Row],[Tech Start Date]],5),""))))</f>
        <v>40885</v>
      </c>
      <c r="P54" s="104">
        <f>IF(Main[[#This Row],[Tech Start Date]]&lt;1/1/1990,"",IF(Main[[#This Row],[Class]]="C",WORKDAY(Main[[#This Row],[Tech Start Date]],28),IF(Main[[#This Row],[Class]]="B", WORKDAY(Main[[#This Row],[Tech Start Date]],19),IF(Main[[#This Row],[Class]]="A",WORKDAY(Main[[#This Row],[Tech Start Date]],9),""))))</f>
        <v>40891</v>
      </c>
      <c r="Q54" s="101">
        <v>40921</v>
      </c>
      <c r="R54" s="101">
        <v>40899</v>
      </c>
      <c r="S54" s="99" t="s">
        <v>11</v>
      </c>
      <c r="T54" s="107" t="s">
        <v>2521</v>
      </c>
      <c r="U54" s="99" t="s">
        <v>29</v>
      </c>
      <c r="V54" s="99" t="s">
        <v>1972</v>
      </c>
      <c r="W54" s="99" t="s">
        <v>1973</v>
      </c>
    </row>
    <row r="55" spans="1:23" ht="18.600000000000001" customHeight="1">
      <c r="A55" s="123">
        <f>IF(priority(Main[[#This Row],[Comments]])&lt;&gt;0, priority(Main[[#This Row],[Comments]]),"")</f>
        <v>15</v>
      </c>
      <c r="B55" s="127" t="s">
        <v>2906</v>
      </c>
      <c r="C55" s="99" t="s">
        <v>2907</v>
      </c>
      <c r="D55" s="100" t="s">
        <v>3120</v>
      </c>
      <c r="E55" s="101">
        <v>40833.303182870368</v>
      </c>
      <c r="F55" s="101">
        <v>40855</v>
      </c>
      <c r="G55" s="102" t="str">
        <f>IF(stdProdLT(Main[[#This Row],[Comments]])=0.1,"N/A",IF(stdProdLT(Main[[#This Row],[Comments]])=0,"",stdProdLT(Main[[#This Row],[Comments]])))</f>
        <v>N/A</v>
      </c>
      <c r="H55" s="103">
        <f>IF(AND(Main[[#This Row],[In Stock Date]]&lt;&gt;"",Main[[#This Row],[Revised Due Date]]&lt;&gt;""),Main[[#This Row],[In Stock Date]]-Main[[#This Row],[Revised Due Date]],"")</f>
        <v>-52</v>
      </c>
      <c r="I55" s="99" t="s">
        <v>955</v>
      </c>
      <c r="J55" s="99" t="s">
        <v>28</v>
      </c>
      <c r="K55" s="99" t="s">
        <v>1971</v>
      </c>
      <c r="L55" s="101">
        <v>40834</v>
      </c>
      <c r="M55" s="104">
        <f>IF(Main[[#This Row],[Tech Start Date]]&lt;1/1/1990,"",IF(Main[[#This Row],[Class]]="C",WORKDAY(Main[[#This Row],[Tech Start Date]],9),IF(Main[[#This Row],[Class]]="B", WORKDAY(Main[[#This Row],[Tech Start Date]],6),IF(Main[[#This Row],[Class]]="A",WORKDAY(Main[[#This Row],[Tech Start Date]],2),""))))</f>
        <v>40836</v>
      </c>
      <c r="N55" s="104">
        <f>IF(Main[[#This Row],[Tech Start Date]]&lt;1/1/1990,"",IF(Main[[#This Row],[Class]]="C",WORKDAY(Main[[#This Row],[Tech Start Date]],19),IF(Main[[#This Row],[Class]]="B", WORKDAY(Main[[#This Row],[Tech Start Date]],12),IF(Main[[#This Row],[Class]]="A",WORKDAY(Main[[#This Row],[Tech Start Date]],4),""))))</f>
        <v>40840</v>
      </c>
      <c r="O55" s="104">
        <f>IF(Main[[#This Row],[Tech Start Date]]&lt;1/1/1990,"",IF(Main[[#This Row],[Class]]="C",WORKDAY(Main[[#This Row],[Tech Start Date]],23),IF(Main[[#This Row],[Class]]="B", WORKDAY(Main[[#This Row],[Tech Start Date]],15),IF(Main[[#This Row],[Class]]="A",WORKDAY(Main[[#This Row],[Tech Start Date]],5),""))))</f>
        <v>40841</v>
      </c>
      <c r="P55" s="104">
        <f>IF(Main[[#This Row],[Tech Start Date]]&lt;1/1/1990,"",IF(Main[[#This Row],[Class]]="C",WORKDAY(Main[[#This Row],[Tech Start Date]],28),IF(Main[[#This Row],[Class]]="B", WORKDAY(Main[[#This Row],[Tech Start Date]],19),IF(Main[[#This Row],[Class]]="A",WORKDAY(Main[[#This Row],[Tech Start Date]],9),""))))</f>
        <v>40847</v>
      </c>
      <c r="Q55" s="101">
        <v>40855</v>
      </c>
      <c r="R55" s="101">
        <v>40907</v>
      </c>
      <c r="S55" s="99" t="s">
        <v>11</v>
      </c>
      <c r="T55" s="107" t="s">
        <v>3140</v>
      </c>
      <c r="U55" s="99" t="s">
        <v>29</v>
      </c>
      <c r="V55" s="99" t="s">
        <v>1962</v>
      </c>
      <c r="W55" s="99" t="s">
        <v>1964</v>
      </c>
    </row>
    <row r="56" spans="1:23" ht="18.600000000000001" customHeight="1">
      <c r="A56" s="123">
        <f>IF(priority(Main[[#This Row],[Comments]])&lt;&gt;0, priority(Main[[#This Row],[Comments]]),"")</f>
        <v>15</v>
      </c>
      <c r="B56" s="127" t="s">
        <v>2537</v>
      </c>
      <c r="C56" s="99" t="s">
        <v>72</v>
      </c>
      <c r="D56" s="100" t="s">
        <v>2538</v>
      </c>
      <c r="E56" s="101">
        <v>40867.937222222223</v>
      </c>
      <c r="F56" s="101">
        <v>41000</v>
      </c>
      <c r="G56" s="102">
        <f>IF(stdProdLT(Main[[#This Row],[Comments]])=0.1,"N/A",IF(stdProdLT(Main[[#This Row],[Comments]])=0,"",stdProdLT(Main[[#This Row],[Comments]])))</f>
        <v>140</v>
      </c>
      <c r="H56" s="103">
        <f>IF(AND(Main[[#This Row],[In Stock Date]]&lt;&gt;"",Main[[#This Row],[Revised Due Date]]&lt;&gt;""),Main[[#This Row],[In Stock Date]]-Main[[#This Row],[Revised Due Date]],"")</f>
        <v>107</v>
      </c>
      <c r="I56" s="99" t="s">
        <v>131</v>
      </c>
      <c r="J56" s="99" t="s">
        <v>70</v>
      </c>
      <c r="K56" s="108" t="s">
        <v>1971</v>
      </c>
      <c r="L56" s="101">
        <v>40878</v>
      </c>
      <c r="M56" s="104">
        <f>IF(Main[[#This Row],[Tech Start Date]]&lt;1/1/1990,"",IF(Main[[#This Row],[Class]]="C",WORKDAY(Main[[#This Row],[Tech Start Date]],9),IF(Main[[#This Row],[Class]]="B", WORKDAY(Main[[#This Row],[Tech Start Date]],6),IF(Main[[#This Row],[Class]]="A",WORKDAY(Main[[#This Row],[Tech Start Date]],2),""))))</f>
        <v>40882</v>
      </c>
      <c r="N56" s="104">
        <f>IF(Main[[#This Row],[Tech Start Date]]&lt;1/1/1990,"",IF(Main[[#This Row],[Class]]="C",WORKDAY(Main[[#This Row],[Tech Start Date]],19),IF(Main[[#This Row],[Class]]="B", WORKDAY(Main[[#This Row],[Tech Start Date]],12),IF(Main[[#This Row],[Class]]="A",WORKDAY(Main[[#This Row],[Tech Start Date]],4),""))))</f>
        <v>40884</v>
      </c>
      <c r="O56" s="104">
        <f>IF(Main[[#This Row],[Tech Start Date]]&lt;1/1/1990,"",IF(Main[[#This Row],[Class]]="C",WORKDAY(Main[[#This Row],[Tech Start Date]],23),IF(Main[[#This Row],[Class]]="B", WORKDAY(Main[[#This Row],[Tech Start Date]],15),IF(Main[[#This Row],[Class]]="A",WORKDAY(Main[[#This Row],[Tech Start Date]],5),""))))</f>
        <v>40885</v>
      </c>
      <c r="P56" s="104">
        <f>IF(Main[[#This Row],[Tech Start Date]]&lt;1/1/1990,"",IF(Main[[#This Row],[Class]]="C",WORKDAY(Main[[#This Row],[Tech Start Date]],28),IF(Main[[#This Row],[Class]]="B", WORKDAY(Main[[#This Row],[Tech Start Date]],19),IF(Main[[#This Row],[Class]]="A",WORKDAY(Main[[#This Row],[Tech Start Date]],9),""))))</f>
        <v>40891</v>
      </c>
      <c r="Q56" s="101"/>
      <c r="R56" s="101">
        <v>40893</v>
      </c>
      <c r="S56" s="99" t="s">
        <v>11</v>
      </c>
      <c r="T56" s="107" t="s">
        <v>2539</v>
      </c>
      <c r="U56" s="99" t="s">
        <v>29</v>
      </c>
      <c r="V56" s="99" t="s">
        <v>1972</v>
      </c>
      <c r="W56" s="99" t="s">
        <v>1970</v>
      </c>
    </row>
    <row r="57" spans="1:23" ht="18.600000000000001" customHeight="1">
      <c r="A57" s="123">
        <f>IF(priority(Main[[#This Row],[Comments]])&lt;&gt;0, priority(Main[[#This Row],[Comments]]),"")</f>
        <v>16</v>
      </c>
      <c r="B57" s="127" t="s">
        <v>2370</v>
      </c>
      <c r="C57" s="99" t="s">
        <v>2371</v>
      </c>
      <c r="D57" s="100" t="s">
        <v>3118</v>
      </c>
      <c r="E57" s="101">
        <v>40814.583657407406</v>
      </c>
      <c r="F57" s="101">
        <v>40939</v>
      </c>
      <c r="G57" s="102" t="str">
        <f>IF(stdProdLT(Main[[#This Row],[Comments]])=0.1,"N/A",IF(stdProdLT(Main[[#This Row],[Comments]])=0,"",stdProdLT(Main[[#This Row],[Comments]])))</f>
        <v>N/A</v>
      </c>
      <c r="H57" s="103">
        <f>IF(AND(Main[[#This Row],[In Stock Date]]&lt;&gt;"",Main[[#This Row],[Revised Due Date]]&lt;&gt;""),Main[[#This Row],[In Stock Date]]-Main[[#This Row],[Revised Due Date]],"")</f>
        <v>32</v>
      </c>
      <c r="I57" s="99" t="s">
        <v>568</v>
      </c>
      <c r="J57" s="99" t="s">
        <v>28</v>
      </c>
      <c r="K57" s="99" t="s">
        <v>1975</v>
      </c>
      <c r="L57" s="101">
        <v>40828</v>
      </c>
      <c r="M57" s="104">
        <f>IF(Main[[#This Row],[Tech Start Date]]&lt;1/1/1990,"",IF(Main[[#This Row],[Class]]="C",WORKDAY(Main[[#This Row],[Tech Start Date]],9),IF(Main[[#This Row],[Class]]="B", WORKDAY(Main[[#This Row],[Tech Start Date]],6),IF(Main[[#This Row],[Class]]="A",WORKDAY(Main[[#This Row],[Tech Start Date]],2),""))))</f>
        <v>40841</v>
      </c>
      <c r="N57" s="104">
        <f>IF(Main[[#This Row],[Tech Start Date]]&lt;1/1/1990,"",IF(Main[[#This Row],[Class]]="C",WORKDAY(Main[[#This Row],[Tech Start Date]],19),IF(Main[[#This Row],[Class]]="B", WORKDAY(Main[[#This Row],[Tech Start Date]],12),IF(Main[[#This Row],[Class]]="A",WORKDAY(Main[[#This Row],[Tech Start Date]],4),""))))</f>
        <v>40855</v>
      </c>
      <c r="O57" s="104">
        <f>IF(Main[[#This Row],[Tech Start Date]]&lt;1/1/1990,"",IF(Main[[#This Row],[Class]]="C",WORKDAY(Main[[#This Row],[Tech Start Date]],23),IF(Main[[#This Row],[Class]]="B", WORKDAY(Main[[#This Row],[Tech Start Date]],15),IF(Main[[#This Row],[Class]]="A",WORKDAY(Main[[#This Row],[Tech Start Date]],5),""))))</f>
        <v>40861</v>
      </c>
      <c r="P57" s="104">
        <f>IF(Main[[#This Row],[Tech Start Date]]&lt;1/1/1990,"",IF(Main[[#This Row],[Class]]="C",WORKDAY(Main[[#This Row],[Tech Start Date]],28),IF(Main[[#This Row],[Class]]="B", WORKDAY(Main[[#This Row],[Tech Start Date]],19),IF(Main[[#This Row],[Class]]="A",WORKDAY(Main[[#This Row],[Tech Start Date]],9),""))))</f>
        <v>40868</v>
      </c>
      <c r="Q57" s="101">
        <v>40876</v>
      </c>
      <c r="R57" s="101">
        <v>40907</v>
      </c>
      <c r="S57" s="99" t="s">
        <v>11</v>
      </c>
      <c r="T57" s="107" t="s">
        <v>3141</v>
      </c>
      <c r="U57" s="99" t="s">
        <v>29</v>
      </c>
      <c r="V57" s="99" t="s">
        <v>1962</v>
      </c>
      <c r="W57" s="99" t="s">
        <v>1968</v>
      </c>
    </row>
    <row r="58" spans="1:23" ht="18.600000000000001" customHeight="1">
      <c r="A58" s="123">
        <f>IF(priority(Main[[#This Row],[Comments]])&lt;&gt;0, priority(Main[[#This Row],[Comments]]),"")</f>
        <v>16</v>
      </c>
      <c r="B58" s="127" t="s">
        <v>2974</v>
      </c>
      <c r="C58" s="99" t="s">
        <v>2975</v>
      </c>
      <c r="D58" s="100" t="s">
        <v>2976</v>
      </c>
      <c r="E58" s="101">
        <v>40850.457199074073</v>
      </c>
      <c r="F58" s="101"/>
      <c r="G58" s="102" t="str">
        <f>IF(stdProdLT(Main[[#This Row],[Comments]])=0.1,"N/A",IF(stdProdLT(Main[[#This Row],[Comments]])=0,"",stdProdLT(Main[[#This Row],[Comments]])))</f>
        <v>N/A</v>
      </c>
      <c r="H58" s="103" t="str">
        <f>IF(AND(Main[[#This Row],[In Stock Date]]&lt;&gt;"",Main[[#This Row],[Revised Due Date]]&lt;&gt;""),Main[[#This Row],[In Stock Date]]-Main[[#This Row],[Revised Due Date]],"")</f>
        <v/>
      </c>
      <c r="I58" s="99" t="s">
        <v>2324</v>
      </c>
      <c r="J58" s="99" t="s">
        <v>28</v>
      </c>
      <c r="K58" s="99" t="s">
        <v>1971</v>
      </c>
      <c r="L58" s="101">
        <v>40854</v>
      </c>
      <c r="M58" s="104">
        <f>IF(Main[[#This Row],[Tech Start Date]]&lt;1/1/1990,"",IF(Main[[#This Row],[Class]]="C",WORKDAY(Main[[#This Row],[Tech Start Date]],9),IF(Main[[#This Row],[Class]]="B", WORKDAY(Main[[#This Row],[Tech Start Date]],6),IF(Main[[#This Row],[Class]]="A",WORKDAY(Main[[#This Row],[Tech Start Date]],2),""))))</f>
        <v>40856</v>
      </c>
      <c r="N58" s="104">
        <f>IF(Main[[#This Row],[Tech Start Date]]&lt;1/1/1990,"",IF(Main[[#This Row],[Class]]="C",WORKDAY(Main[[#This Row],[Tech Start Date]],19),IF(Main[[#This Row],[Class]]="B", WORKDAY(Main[[#This Row],[Tech Start Date]],12),IF(Main[[#This Row],[Class]]="A",WORKDAY(Main[[#This Row],[Tech Start Date]],4),""))))</f>
        <v>40858</v>
      </c>
      <c r="O58" s="104">
        <f>IF(Main[[#This Row],[Tech Start Date]]&lt;1/1/1990,"",IF(Main[[#This Row],[Class]]="C",WORKDAY(Main[[#This Row],[Tech Start Date]],23),IF(Main[[#This Row],[Class]]="B", WORKDAY(Main[[#This Row],[Tech Start Date]],15),IF(Main[[#This Row],[Class]]="A",WORKDAY(Main[[#This Row],[Tech Start Date]],5),""))))</f>
        <v>40861</v>
      </c>
      <c r="P58" s="104">
        <f>IF(Main[[#This Row],[Tech Start Date]]&lt;1/1/1990,"",IF(Main[[#This Row],[Class]]="C",WORKDAY(Main[[#This Row],[Tech Start Date]],28),IF(Main[[#This Row],[Class]]="B", WORKDAY(Main[[#This Row],[Tech Start Date]],19),IF(Main[[#This Row],[Class]]="A",WORKDAY(Main[[#This Row],[Tech Start Date]],9),""))))</f>
        <v>40865</v>
      </c>
      <c r="Q58" s="101">
        <v>40869</v>
      </c>
      <c r="R58" s="101">
        <v>40882</v>
      </c>
      <c r="S58" s="99" t="s">
        <v>11</v>
      </c>
      <c r="T58" s="107" t="s">
        <v>3020</v>
      </c>
      <c r="U58" s="99" t="s">
        <v>29</v>
      </c>
      <c r="V58" s="99" t="s">
        <v>1963</v>
      </c>
      <c r="W58" s="99" t="s">
        <v>1967</v>
      </c>
    </row>
    <row r="59" spans="1:23" ht="18.600000000000001" customHeight="1">
      <c r="A59" s="123">
        <f>IF(priority(Main[[#This Row],[Comments]])&lt;&gt;0, priority(Main[[#This Row],[Comments]]),"")</f>
        <v>16</v>
      </c>
      <c r="B59" s="127" t="s">
        <v>2831</v>
      </c>
      <c r="C59" s="99" t="s">
        <v>72</v>
      </c>
      <c r="D59" s="100" t="s">
        <v>2832</v>
      </c>
      <c r="E59" s="101">
        <v>40867.93037037037</v>
      </c>
      <c r="F59" s="101">
        <v>41000</v>
      </c>
      <c r="G59" s="102">
        <f>IF(stdProdLT(Main[[#This Row],[Comments]])=0.1,"N/A",IF(stdProdLT(Main[[#This Row],[Comments]])=0,"",stdProdLT(Main[[#This Row],[Comments]])))</f>
        <v>140</v>
      </c>
      <c r="H59" s="103">
        <f>IF(AND(Main[[#This Row],[In Stock Date]]&lt;&gt;"",Main[[#This Row],[Revised Due Date]]&lt;&gt;""),Main[[#This Row],[In Stock Date]]-Main[[#This Row],[Revised Due Date]],"")</f>
        <v>107</v>
      </c>
      <c r="I59" s="99" t="s">
        <v>131</v>
      </c>
      <c r="J59" s="99" t="s">
        <v>70</v>
      </c>
      <c r="K59" s="108" t="s">
        <v>1971</v>
      </c>
      <c r="L59" s="101">
        <v>40878</v>
      </c>
      <c r="M59" s="104">
        <f>IF(Main[[#This Row],[Tech Start Date]]&lt;1/1/1990,"",IF(Main[[#This Row],[Class]]="C",WORKDAY(Main[[#This Row],[Tech Start Date]],9),IF(Main[[#This Row],[Class]]="B", WORKDAY(Main[[#This Row],[Tech Start Date]],6),IF(Main[[#This Row],[Class]]="A",WORKDAY(Main[[#This Row],[Tech Start Date]],2),""))))</f>
        <v>40882</v>
      </c>
      <c r="N59" s="104">
        <f>IF(Main[[#This Row],[Tech Start Date]]&lt;1/1/1990,"",IF(Main[[#This Row],[Class]]="C",WORKDAY(Main[[#This Row],[Tech Start Date]],19),IF(Main[[#This Row],[Class]]="B", WORKDAY(Main[[#This Row],[Tech Start Date]],12),IF(Main[[#This Row],[Class]]="A",WORKDAY(Main[[#This Row],[Tech Start Date]],4),""))))</f>
        <v>40884</v>
      </c>
      <c r="O59" s="104">
        <f>IF(Main[[#This Row],[Tech Start Date]]&lt;1/1/1990,"",IF(Main[[#This Row],[Class]]="C",WORKDAY(Main[[#This Row],[Tech Start Date]],23),IF(Main[[#This Row],[Class]]="B", WORKDAY(Main[[#This Row],[Tech Start Date]],15),IF(Main[[#This Row],[Class]]="A",WORKDAY(Main[[#This Row],[Tech Start Date]],5),""))))</f>
        <v>40885</v>
      </c>
      <c r="P59" s="104">
        <f>IF(Main[[#This Row],[Tech Start Date]]&lt;1/1/1990,"",IF(Main[[#This Row],[Class]]="C",WORKDAY(Main[[#This Row],[Tech Start Date]],28),IF(Main[[#This Row],[Class]]="B", WORKDAY(Main[[#This Row],[Tech Start Date]],19),IF(Main[[#This Row],[Class]]="A",WORKDAY(Main[[#This Row],[Tech Start Date]],9),""))))</f>
        <v>40891</v>
      </c>
      <c r="Q59" s="101"/>
      <c r="R59" s="101">
        <v>40893</v>
      </c>
      <c r="S59" s="99" t="s">
        <v>11</v>
      </c>
      <c r="T59" s="107" t="s">
        <v>2833</v>
      </c>
      <c r="U59" s="99" t="s">
        <v>29</v>
      </c>
      <c r="V59" s="99" t="s">
        <v>1972</v>
      </c>
      <c r="W59" s="99" t="s">
        <v>1970</v>
      </c>
    </row>
    <row r="60" spans="1:23" ht="18.600000000000001" customHeight="1">
      <c r="A60" s="123">
        <f>IF(priority(Main[[#This Row],[Comments]])&lt;&gt;0, priority(Main[[#This Row],[Comments]]),"")</f>
        <v>16.2</v>
      </c>
      <c r="B60" s="127" t="s">
        <v>2534</v>
      </c>
      <c r="C60" s="99" t="s">
        <v>31</v>
      </c>
      <c r="D60" s="100" t="s">
        <v>2535</v>
      </c>
      <c r="E60" s="101"/>
      <c r="F60" s="101">
        <v>41000</v>
      </c>
      <c r="G60" s="102">
        <f>IF(stdProdLT(Main[[#This Row],[Comments]])=0.1,"N/A",IF(stdProdLT(Main[[#This Row],[Comments]])=0,"",stdProdLT(Main[[#This Row],[Comments]])))</f>
        <v>140</v>
      </c>
      <c r="H60" s="103" t="str">
        <f>IF(AND(Main[[#This Row],[In Stock Date]]&lt;&gt;"",Main[[#This Row],[Revised Due Date]]&lt;&gt;""),Main[[#This Row],[In Stock Date]]-Main[[#This Row],[Revised Due Date]],"")</f>
        <v/>
      </c>
      <c r="I60" s="99" t="s">
        <v>4</v>
      </c>
      <c r="J60" s="99" t="s">
        <v>4</v>
      </c>
      <c r="K60" s="99" t="s">
        <v>4</v>
      </c>
      <c r="L60" s="101"/>
      <c r="M60" s="104" t="str">
        <f>IF(Main[[#This Row],[Tech Start Date]]&lt;1/1/1990,"",IF(Main[[#This Row],[Class]]="C",WORKDAY(Main[[#This Row],[Tech Start Date]],9),IF(Main[[#This Row],[Class]]="B", WORKDAY(Main[[#This Row],[Tech Start Date]],6),IF(Main[[#This Row],[Class]]="A",WORKDAY(Main[[#This Row],[Tech Start Date]],2),""))))</f>
        <v/>
      </c>
      <c r="N60" s="104" t="str">
        <f>IF(Main[[#This Row],[Tech Start Date]]&lt;1/1/1990,"",IF(Main[[#This Row],[Class]]="C",WORKDAY(Main[[#This Row],[Tech Start Date]],19),IF(Main[[#This Row],[Class]]="B", WORKDAY(Main[[#This Row],[Tech Start Date]],12),IF(Main[[#This Row],[Class]]="A",WORKDAY(Main[[#This Row],[Tech Start Date]],4),""))))</f>
        <v/>
      </c>
      <c r="O60" s="104" t="str">
        <f>IF(Main[[#This Row],[Tech Start Date]]&lt;1/1/1990,"",IF(Main[[#This Row],[Class]]="C",WORKDAY(Main[[#This Row],[Tech Start Date]],23),IF(Main[[#This Row],[Class]]="B", WORKDAY(Main[[#This Row],[Tech Start Date]],15),IF(Main[[#This Row],[Class]]="A",WORKDAY(Main[[#This Row],[Tech Start Date]],5),""))))</f>
        <v/>
      </c>
      <c r="P60" s="104" t="str">
        <f>IF(Main[[#This Row],[Tech Start Date]]&lt;1/1/1990,"",IF(Main[[#This Row],[Class]]="C",WORKDAY(Main[[#This Row],[Tech Start Date]],28),IF(Main[[#This Row],[Class]]="B", WORKDAY(Main[[#This Row],[Tech Start Date]],19),IF(Main[[#This Row],[Class]]="A",WORKDAY(Main[[#This Row],[Tech Start Date]],9),""))))</f>
        <v/>
      </c>
      <c r="Q60" s="101">
        <v>40916</v>
      </c>
      <c r="R60" s="101"/>
      <c r="S60" s="99" t="s">
        <v>11</v>
      </c>
      <c r="T60" s="107" t="s">
        <v>2536</v>
      </c>
      <c r="U60" s="99" t="s">
        <v>14</v>
      </c>
      <c r="V60" s="99" t="s">
        <v>1972</v>
      </c>
      <c r="W60" s="99" t="s">
        <v>1968</v>
      </c>
    </row>
    <row r="61" spans="1:23" ht="18.600000000000001" customHeight="1">
      <c r="A61" s="123">
        <f>IF(priority(Main[[#This Row],[Comments]])&lt;&gt;0, priority(Main[[#This Row],[Comments]]),"")</f>
        <v>17</v>
      </c>
      <c r="B61" s="127" t="s">
        <v>1257</v>
      </c>
      <c r="C61" s="99" t="s">
        <v>33</v>
      </c>
      <c r="D61" s="100" t="s">
        <v>331</v>
      </c>
      <c r="E61" s="101"/>
      <c r="F61" s="101">
        <v>40695</v>
      </c>
      <c r="G61" s="102" t="str">
        <f>IF(stdProdLT(Main[[#This Row],[Comments]])=0.1,"N/A",IF(stdProdLT(Main[[#This Row],[Comments]])=0,"",stdProdLT(Main[[#This Row],[Comments]])))</f>
        <v/>
      </c>
      <c r="H61" s="103" t="str">
        <f>IF(AND(Main[[#This Row],[In Stock Date]]&lt;&gt;"",Main[[#This Row],[Revised Due Date]]&lt;&gt;""),Main[[#This Row],[In Stock Date]]-Main[[#This Row],[Revised Due Date]],"")</f>
        <v/>
      </c>
      <c r="I61" s="99" t="s">
        <v>108</v>
      </c>
      <c r="J61" s="99" t="s">
        <v>28</v>
      </c>
      <c r="K61" s="99" t="s">
        <v>4</v>
      </c>
      <c r="L61" s="101"/>
      <c r="M61" s="104" t="str">
        <f>IF(Main[[#This Row],[Tech Start Date]]&lt;1/1/1990,"",IF(Main[[#This Row],[Class]]="C",WORKDAY(Main[[#This Row],[Tech Start Date]],9),IF(Main[[#This Row],[Class]]="B", WORKDAY(Main[[#This Row],[Tech Start Date]],6),IF(Main[[#This Row],[Class]]="A",WORKDAY(Main[[#This Row],[Tech Start Date]],2),""))))</f>
        <v/>
      </c>
      <c r="N61" s="104" t="str">
        <f>IF(Main[[#This Row],[Tech Start Date]]&lt;1/1/1990,"",IF(Main[[#This Row],[Class]]="C",WORKDAY(Main[[#This Row],[Tech Start Date]],19),IF(Main[[#This Row],[Class]]="B", WORKDAY(Main[[#This Row],[Tech Start Date]],12),IF(Main[[#This Row],[Class]]="A",WORKDAY(Main[[#This Row],[Tech Start Date]],4),""))))</f>
        <v/>
      </c>
      <c r="O61" s="104" t="str">
        <f>IF(Main[[#This Row],[Tech Start Date]]&lt;1/1/1990,"",IF(Main[[#This Row],[Class]]="C",WORKDAY(Main[[#This Row],[Tech Start Date]],23),IF(Main[[#This Row],[Class]]="B", WORKDAY(Main[[#This Row],[Tech Start Date]],15),IF(Main[[#This Row],[Class]]="A",WORKDAY(Main[[#This Row],[Tech Start Date]],5),""))))</f>
        <v/>
      </c>
      <c r="P61" s="104" t="str">
        <f>IF(Main[[#This Row],[Tech Start Date]]&lt;1/1/1990,"",IF(Main[[#This Row],[Class]]="C",WORKDAY(Main[[#This Row],[Tech Start Date]],28),IF(Main[[#This Row],[Class]]="B", WORKDAY(Main[[#This Row],[Tech Start Date]],19),IF(Main[[#This Row],[Class]]="A",WORKDAY(Main[[#This Row],[Tech Start Date]],9),""))))</f>
        <v/>
      </c>
      <c r="Q61" s="101">
        <v>40695</v>
      </c>
      <c r="R61" s="101"/>
      <c r="S61" s="99" t="s">
        <v>11</v>
      </c>
      <c r="T61" s="107" t="s">
        <v>332</v>
      </c>
      <c r="U61" s="99" t="s">
        <v>14</v>
      </c>
      <c r="V61" s="99" t="s">
        <v>1963</v>
      </c>
      <c r="W61" s="99" t="s">
        <v>1967</v>
      </c>
    </row>
    <row r="62" spans="1:23" ht="18.600000000000001" customHeight="1">
      <c r="A62" s="123">
        <f>IF(priority(Main[[#This Row],[Comments]])&lt;&gt;0, priority(Main[[#This Row],[Comments]]),"")</f>
        <v>17</v>
      </c>
      <c r="B62" s="127" t="s">
        <v>2076</v>
      </c>
      <c r="C62" s="99" t="s">
        <v>2077</v>
      </c>
      <c r="D62" s="100" t="s">
        <v>2199</v>
      </c>
      <c r="E62" s="101"/>
      <c r="F62" s="101">
        <v>40752</v>
      </c>
      <c r="G62" s="102">
        <f>IF(stdProdLT(Main[[#This Row],[Comments]])=0.1,"N/A",IF(stdProdLT(Main[[#This Row],[Comments]])=0,"",stdProdLT(Main[[#This Row],[Comments]])))</f>
        <v>42</v>
      </c>
      <c r="H62" s="103">
        <f>IF(AND(Main[[#This Row],[In Stock Date]]&lt;&gt;"",Main[[#This Row],[Revised Due Date]]&lt;&gt;""),Main[[#This Row],[In Stock Date]]-Main[[#This Row],[Revised Due Date]],"")</f>
        <v>-32</v>
      </c>
      <c r="I62" s="99" t="s">
        <v>979</v>
      </c>
      <c r="J62" s="99" t="s">
        <v>28</v>
      </c>
      <c r="K62" s="108" t="s">
        <v>1969</v>
      </c>
      <c r="L62" s="101">
        <v>40745</v>
      </c>
      <c r="M62" s="104">
        <f>IF(Main[[#This Row],[Tech Start Date]]&lt;1/1/1990,"",IF(Main[[#This Row],[Class]]="C",WORKDAY(Main[[#This Row],[Tech Start Date]],9),IF(Main[[#This Row],[Class]]="B", WORKDAY(Main[[#This Row],[Tech Start Date]],6),IF(Main[[#This Row],[Class]]="A",WORKDAY(Main[[#This Row],[Tech Start Date]],2),""))))</f>
        <v>40753</v>
      </c>
      <c r="N62" s="104">
        <f>IF(Main[[#This Row],[Tech Start Date]]&lt;1/1/1990,"",IF(Main[[#This Row],[Class]]="C",WORKDAY(Main[[#This Row],[Tech Start Date]],19),IF(Main[[#This Row],[Class]]="B", WORKDAY(Main[[#This Row],[Tech Start Date]],12),IF(Main[[#This Row],[Class]]="A",WORKDAY(Main[[#This Row],[Tech Start Date]],4),""))))</f>
        <v>40763</v>
      </c>
      <c r="O62" s="104">
        <f>IF(Main[[#This Row],[Tech Start Date]]&lt;1/1/1990,"",IF(Main[[#This Row],[Class]]="C",WORKDAY(Main[[#This Row],[Tech Start Date]],23),IF(Main[[#This Row],[Class]]="B", WORKDAY(Main[[#This Row],[Tech Start Date]],15),IF(Main[[#This Row],[Class]]="A",WORKDAY(Main[[#This Row],[Tech Start Date]],5),""))))</f>
        <v>40766</v>
      </c>
      <c r="P62" s="104">
        <f>IF(Main[[#This Row],[Tech Start Date]]&lt;1/1/1990,"",IF(Main[[#This Row],[Class]]="C",WORKDAY(Main[[#This Row],[Tech Start Date]],28),IF(Main[[#This Row],[Class]]="B", WORKDAY(Main[[#This Row],[Tech Start Date]],19),IF(Main[[#This Row],[Class]]="A",WORKDAY(Main[[#This Row],[Tech Start Date]],9),""))))</f>
        <v>40772</v>
      </c>
      <c r="Q62" s="101">
        <v>40752</v>
      </c>
      <c r="R62" s="101">
        <v>40784</v>
      </c>
      <c r="S62" s="99" t="s">
        <v>11</v>
      </c>
      <c r="T62" s="107" t="s">
        <v>2200</v>
      </c>
      <c r="U62" s="99" t="s">
        <v>14</v>
      </c>
      <c r="V62" s="99" t="s">
        <v>1963</v>
      </c>
      <c r="W62" s="99" t="s">
        <v>1964</v>
      </c>
    </row>
    <row r="63" spans="1:23" ht="18.600000000000001" customHeight="1">
      <c r="A63" s="123">
        <f>IF(priority(Main[[#This Row],[Comments]])&lt;&gt;0, priority(Main[[#This Row],[Comments]]),"")</f>
        <v>17</v>
      </c>
      <c r="B63" s="127" t="s">
        <v>2346</v>
      </c>
      <c r="C63" s="99" t="s">
        <v>2347</v>
      </c>
      <c r="D63" s="100" t="s">
        <v>2897</v>
      </c>
      <c r="E63" s="101">
        <v>40826.471261574072</v>
      </c>
      <c r="F63" s="101">
        <v>41060</v>
      </c>
      <c r="G63" s="102">
        <f>IF(stdProdLT(Main[[#This Row],[Comments]])=0.1,"N/A",IF(stdProdLT(Main[[#This Row],[Comments]])=0,"",stdProdLT(Main[[#This Row],[Comments]])))</f>
        <v>126</v>
      </c>
      <c r="H63" s="103">
        <f>IF(AND(Main[[#This Row],[In Stock Date]]&lt;&gt;"",Main[[#This Row],[Revised Due Date]]&lt;&gt;""),Main[[#This Row],[In Stock Date]]-Main[[#This Row],[Revised Due Date]],"")</f>
        <v>153</v>
      </c>
      <c r="I63" s="99" t="s">
        <v>929</v>
      </c>
      <c r="J63" s="99" t="s">
        <v>52</v>
      </c>
      <c r="K63" s="108" t="s">
        <v>1969</v>
      </c>
      <c r="L63" s="101">
        <v>40820</v>
      </c>
      <c r="M63" s="104">
        <f>IF(Main[[#This Row],[Tech Start Date]]&lt;1/1/1990,"",IF(Main[[#This Row],[Class]]="C",WORKDAY(Main[[#This Row],[Tech Start Date]],9),IF(Main[[#This Row],[Class]]="B", WORKDAY(Main[[#This Row],[Tech Start Date]],6),IF(Main[[#This Row],[Class]]="A",WORKDAY(Main[[#This Row],[Tech Start Date]],2),""))))</f>
        <v>40828</v>
      </c>
      <c r="N63" s="104">
        <f>IF(Main[[#This Row],[Tech Start Date]]&lt;1/1/1990,"",IF(Main[[#This Row],[Class]]="C",WORKDAY(Main[[#This Row],[Tech Start Date]],19),IF(Main[[#This Row],[Class]]="B", WORKDAY(Main[[#This Row],[Tech Start Date]],12),IF(Main[[#This Row],[Class]]="A",WORKDAY(Main[[#This Row],[Tech Start Date]],4),""))))</f>
        <v>40836</v>
      </c>
      <c r="O63" s="104">
        <f>IF(Main[[#This Row],[Tech Start Date]]&lt;1/1/1990,"",IF(Main[[#This Row],[Class]]="C",WORKDAY(Main[[#This Row],[Tech Start Date]],23),IF(Main[[#This Row],[Class]]="B", WORKDAY(Main[[#This Row],[Tech Start Date]],15),IF(Main[[#This Row],[Class]]="A",WORKDAY(Main[[#This Row],[Tech Start Date]],5),""))))</f>
        <v>40841</v>
      </c>
      <c r="P63" s="104">
        <f>IF(Main[[#This Row],[Tech Start Date]]&lt;1/1/1990,"",IF(Main[[#This Row],[Class]]="C",WORKDAY(Main[[#This Row],[Tech Start Date]],28),IF(Main[[#This Row],[Class]]="B", WORKDAY(Main[[#This Row],[Tech Start Date]],19),IF(Main[[#This Row],[Class]]="A",WORKDAY(Main[[#This Row],[Tech Start Date]],9),""))))</f>
        <v>40847</v>
      </c>
      <c r="Q63" s="101">
        <v>40833</v>
      </c>
      <c r="R63" s="101">
        <v>40907</v>
      </c>
      <c r="S63" s="99" t="s">
        <v>11</v>
      </c>
      <c r="T63" s="107" t="s">
        <v>3142</v>
      </c>
      <c r="U63" s="99" t="s">
        <v>29</v>
      </c>
      <c r="V63" s="99" t="s">
        <v>1962</v>
      </c>
      <c r="W63" s="99" t="s">
        <v>1968</v>
      </c>
    </row>
    <row r="64" spans="1:23" ht="18.600000000000001" customHeight="1">
      <c r="A64" s="123">
        <f>IF(priority(Main[[#This Row],[Comments]])&lt;&gt;0, priority(Main[[#This Row],[Comments]]),"")</f>
        <v>17</v>
      </c>
      <c r="B64" s="127" t="s">
        <v>1196</v>
      </c>
      <c r="C64" s="99" t="s">
        <v>4</v>
      </c>
      <c r="D64" s="100" t="s">
        <v>220</v>
      </c>
      <c r="E64" s="101">
        <v>40820.439050925925</v>
      </c>
      <c r="F64" s="101">
        <v>40724</v>
      </c>
      <c r="G64" s="102" t="str">
        <f>IF(stdProdLT(Main[[#This Row],[Comments]])=0.1,"N/A",IF(stdProdLT(Main[[#This Row],[Comments]])=0,"",stdProdLT(Main[[#This Row],[Comments]])))</f>
        <v/>
      </c>
      <c r="H64" s="103">
        <f>IF(AND(Main[[#This Row],[In Stock Date]]&lt;&gt;"",Main[[#This Row],[Revised Due Date]]&lt;&gt;""),Main[[#This Row],[In Stock Date]]-Main[[#This Row],[Revised Due Date]],"")</f>
        <v>-162</v>
      </c>
      <c r="I64" s="99" t="s">
        <v>960</v>
      </c>
      <c r="J64" s="99" t="s">
        <v>28</v>
      </c>
      <c r="K64" s="99" t="s">
        <v>1969</v>
      </c>
      <c r="L64" s="101">
        <v>40835</v>
      </c>
      <c r="M64" s="104">
        <f>IF(Main[[#This Row],[Tech Start Date]]&lt;1/1/1990,"",IF(Main[[#This Row],[Class]]="C",WORKDAY(Main[[#This Row],[Tech Start Date]],9),IF(Main[[#This Row],[Class]]="B", WORKDAY(Main[[#This Row],[Tech Start Date]],6),IF(Main[[#This Row],[Class]]="A",WORKDAY(Main[[#This Row],[Tech Start Date]],2),""))))</f>
        <v>40843</v>
      </c>
      <c r="N64" s="104">
        <f>IF(Main[[#This Row],[Tech Start Date]]&lt;1/1/1990,"",IF(Main[[#This Row],[Class]]="C",WORKDAY(Main[[#This Row],[Tech Start Date]],19),IF(Main[[#This Row],[Class]]="B", WORKDAY(Main[[#This Row],[Tech Start Date]],12),IF(Main[[#This Row],[Class]]="A",WORKDAY(Main[[#This Row],[Tech Start Date]],4),""))))</f>
        <v>40851</v>
      </c>
      <c r="O64" s="104">
        <f>IF(Main[[#This Row],[Tech Start Date]]&lt;1/1/1990,"",IF(Main[[#This Row],[Class]]="C",WORKDAY(Main[[#This Row],[Tech Start Date]],23),IF(Main[[#This Row],[Class]]="B", WORKDAY(Main[[#This Row],[Tech Start Date]],15),IF(Main[[#This Row],[Class]]="A",WORKDAY(Main[[#This Row],[Tech Start Date]],5),""))))</f>
        <v>40856</v>
      </c>
      <c r="P64" s="104">
        <f>IF(Main[[#This Row],[Tech Start Date]]&lt;1/1/1990,"",IF(Main[[#This Row],[Class]]="C",WORKDAY(Main[[#This Row],[Tech Start Date]],28),IF(Main[[#This Row],[Class]]="B", WORKDAY(Main[[#This Row],[Tech Start Date]],19),IF(Main[[#This Row],[Class]]="A",WORKDAY(Main[[#This Row],[Tech Start Date]],9),""))))</f>
        <v>40862</v>
      </c>
      <c r="Q64" s="101">
        <v>40724</v>
      </c>
      <c r="R64" s="101">
        <v>40886</v>
      </c>
      <c r="S64" s="99" t="s">
        <v>11</v>
      </c>
      <c r="T64" s="107" t="s">
        <v>3019</v>
      </c>
      <c r="U64" s="99" t="s">
        <v>29</v>
      </c>
      <c r="V64" s="99" t="s">
        <v>1963</v>
      </c>
      <c r="W64" s="99" t="s">
        <v>1970</v>
      </c>
    </row>
    <row r="65" spans="1:23" ht="18.600000000000001" customHeight="1">
      <c r="A65" s="123">
        <f>IF(priority(Main[[#This Row],[Comments]])&lt;&gt;0, priority(Main[[#This Row],[Comments]]),"")</f>
        <v>17</v>
      </c>
      <c r="B65" s="127" t="s">
        <v>2950</v>
      </c>
      <c r="C65" s="99" t="s">
        <v>2797</v>
      </c>
      <c r="D65" s="100" t="s">
        <v>2951</v>
      </c>
      <c r="E65" s="101">
        <v>40843.117893518516</v>
      </c>
      <c r="F65" s="101">
        <v>41000</v>
      </c>
      <c r="G65" s="102">
        <f>IF(stdProdLT(Main[[#This Row],[Comments]])=0.1,"N/A",IF(stdProdLT(Main[[#This Row],[Comments]])=0,"",stdProdLT(Main[[#This Row],[Comments]])))</f>
        <v>126</v>
      </c>
      <c r="H65" s="103">
        <f>IF(AND(Main[[#This Row],[In Stock Date]]&lt;&gt;"",Main[[#This Row],[Revised Due Date]]&lt;&gt;""),Main[[#This Row],[In Stock Date]]-Main[[#This Row],[Revised Due Date]],"")</f>
        <v>108</v>
      </c>
      <c r="I65" s="99" t="s">
        <v>242</v>
      </c>
      <c r="J65" s="99" t="s">
        <v>21</v>
      </c>
      <c r="K65" s="99" t="s">
        <v>1975</v>
      </c>
      <c r="L65" s="101">
        <v>40849</v>
      </c>
      <c r="M65" s="104">
        <f>IF(Main[[#This Row],[Tech Start Date]]&lt;1/1/1990,"",IF(Main[[#This Row],[Class]]="C",WORKDAY(Main[[#This Row],[Tech Start Date]],9),IF(Main[[#This Row],[Class]]="B", WORKDAY(Main[[#This Row],[Tech Start Date]],6),IF(Main[[#This Row],[Class]]="A",WORKDAY(Main[[#This Row],[Tech Start Date]],2),""))))</f>
        <v>40862</v>
      </c>
      <c r="N65" s="104">
        <f>IF(Main[[#This Row],[Tech Start Date]]&lt;1/1/1990,"",IF(Main[[#This Row],[Class]]="C",WORKDAY(Main[[#This Row],[Tech Start Date]],19),IF(Main[[#This Row],[Class]]="B", WORKDAY(Main[[#This Row],[Tech Start Date]],12),IF(Main[[#This Row],[Class]]="A",WORKDAY(Main[[#This Row],[Tech Start Date]],4),""))))</f>
        <v>40876</v>
      </c>
      <c r="O65" s="104">
        <f>IF(Main[[#This Row],[Tech Start Date]]&lt;1/1/1990,"",IF(Main[[#This Row],[Class]]="C",WORKDAY(Main[[#This Row],[Tech Start Date]],23),IF(Main[[#This Row],[Class]]="B", WORKDAY(Main[[#This Row],[Tech Start Date]],15),IF(Main[[#This Row],[Class]]="A",WORKDAY(Main[[#This Row],[Tech Start Date]],5),""))))</f>
        <v>40882</v>
      </c>
      <c r="P65" s="104">
        <f>IF(Main[[#This Row],[Tech Start Date]]&lt;1/1/1990,"",IF(Main[[#This Row],[Class]]="C",WORKDAY(Main[[#This Row],[Tech Start Date]],28),IF(Main[[#This Row],[Class]]="B", WORKDAY(Main[[#This Row],[Tech Start Date]],19),IF(Main[[#This Row],[Class]]="A",WORKDAY(Main[[#This Row],[Tech Start Date]],9),""))))</f>
        <v>40889</v>
      </c>
      <c r="Q65" s="101">
        <v>40880</v>
      </c>
      <c r="R65" s="101">
        <v>40892</v>
      </c>
      <c r="S65" s="99" t="s">
        <v>11</v>
      </c>
      <c r="T65" s="107" t="s">
        <v>2952</v>
      </c>
      <c r="U65" s="99" t="s">
        <v>29</v>
      </c>
      <c r="V65" s="99" t="s">
        <v>1965</v>
      </c>
      <c r="W65" s="99" t="s">
        <v>1970</v>
      </c>
    </row>
    <row r="66" spans="1:23" ht="18.600000000000001" customHeight="1">
      <c r="A66" s="123">
        <f>IF(priority(Main[[#This Row],[Comments]])&lt;&gt;0, priority(Main[[#This Row],[Comments]]),"")</f>
        <v>18</v>
      </c>
      <c r="B66" s="127" t="s">
        <v>1268</v>
      </c>
      <c r="C66" s="99" t="s">
        <v>299</v>
      </c>
      <c r="D66" s="100" t="s">
        <v>2393</v>
      </c>
      <c r="E66" s="101">
        <v>40466.671342592592</v>
      </c>
      <c r="F66" s="101"/>
      <c r="G66" s="102" t="str">
        <f>IF(stdProdLT(Main[[#This Row],[Comments]])=0.1,"N/A",IF(stdProdLT(Main[[#This Row],[Comments]])=0,"",stdProdLT(Main[[#This Row],[Comments]])))</f>
        <v/>
      </c>
      <c r="H66" s="103" t="str">
        <f>IF(AND(Main[[#This Row],[In Stock Date]]&lt;&gt;"",Main[[#This Row],[Revised Due Date]]&lt;&gt;""),Main[[#This Row],[In Stock Date]]-Main[[#This Row],[Revised Due Date]],"")</f>
        <v/>
      </c>
      <c r="I66" s="99" t="s">
        <v>4</v>
      </c>
      <c r="J66" s="99" t="s">
        <v>28</v>
      </c>
      <c r="K66" s="108" t="s">
        <v>4</v>
      </c>
      <c r="L66" s="101"/>
      <c r="M66" s="104" t="str">
        <f>IF(Main[[#This Row],[Tech Start Date]]&lt;1/1/1990,"",IF(Main[[#This Row],[Class]]="C",WORKDAY(Main[[#This Row],[Tech Start Date]],9),IF(Main[[#This Row],[Class]]="B", WORKDAY(Main[[#This Row],[Tech Start Date]],6),IF(Main[[#This Row],[Class]]="A",WORKDAY(Main[[#This Row],[Tech Start Date]],2),""))))</f>
        <v/>
      </c>
      <c r="N66" s="104" t="str">
        <f>IF(Main[[#This Row],[Tech Start Date]]&lt;1/1/1990,"",IF(Main[[#This Row],[Class]]="C",WORKDAY(Main[[#This Row],[Tech Start Date]],19),IF(Main[[#This Row],[Class]]="B", WORKDAY(Main[[#This Row],[Tech Start Date]],12),IF(Main[[#This Row],[Class]]="A",WORKDAY(Main[[#This Row],[Tech Start Date]],4),""))))</f>
        <v/>
      </c>
      <c r="O66" s="104" t="str">
        <f>IF(Main[[#This Row],[Tech Start Date]]&lt;1/1/1990,"",IF(Main[[#This Row],[Class]]="C",WORKDAY(Main[[#This Row],[Tech Start Date]],23),IF(Main[[#This Row],[Class]]="B", WORKDAY(Main[[#This Row],[Tech Start Date]],15),IF(Main[[#This Row],[Class]]="A",WORKDAY(Main[[#This Row],[Tech Start Date]],5),""))))</f>
        <v/>
      </c>
      <c r="P66" s="104" t="str">
        <f>IF(Main[[#This Row],[Tech Start Date]]&lt;1/1/1990,"",IF(Main[[#This Row],[Class]]="C",WORKDAY(Main[[#This Row],[Tech Start Date]],28),IF(Main[[#This Row],[Class]]="B", WORKDAY(Main[[#This Row],[Tech Start Date]],19),IF(Main[[#This Row],[Class]]="A",WORKDAY(Main[[#This Row],[Tech Start Date]],9),""))))</f>
        <v/>
      </c>
      <c r="Q66" s="101"/>
      <c r="R66" s="101"/>
      <c r="S66" s="99" t="s">
        <v>6</v>
      </c>
      <c r="T66" s="107" t="s">
        <v>3012</v>
      </c>
      <c r="U66" s="99" t="s">
        <v>7</v>
      </c>
      <c r="V66" s="99" t="s">
        <v>1962</v>
      </c>
      <c r="W66" s="99" t="s">
        <v>1970</v>
      </c>
    </row>
    <row r="67" spans="1:23" ht="18.600000000000001" customHeight="1">
      <c r="A67" s="123">
        <f>IF(priority(Main[[#This Row],[Comments]])&lt;&gt;0, priority(Main[[#This Row],[Comments]]),"")</f>
        <v>18</v>
      </c>
      <c r="B67" s="127" t="s">
        <v>1929</v>
      </c>
      <c r="C67" s="99" t="s">
        <v>957</v>
      </c>
      <c r="D67" s="100" t="s">
        <v>2878</v>
      </c>
      <c r="E67" s="101">
        <v>40617.624050925922</v>
      </c>
      <c r="F67" s="101">
        <v>40967</v>
      </c>
      <c r="G67" s="102">
        <f>IF(stdProdLT(Main[[#This Row],[Comments]])=0.1,"N/A",IF(stdProdLT(Main[[#This Row],[Comments]])=0,"",stdProdLT(Main[[#This Row],[Comments]])))</f>
        <v>112</v>
      </c>
      <c r="H67" s="103">
        <f>IF(AND(Main[[#This Row],[In Stock Date]]&lt;&gt;"",Main[[#This Row],[Revised Due Date]]&lt;&gt;""),Main[[#This Row],[In Stock Date]]-Main[[#This Row],[Revised Due Date]],"")</f>
        <v>90</v>
      </c>
      <c r="I67" s="99" t="s">
        <v>568</v>
      </c>
      <c r="J67" s="99" t="s">
        <v>28</v>
      </c>
      <c r="K67" s="108" t="s">
        <v>1975</v>
      </c>
      <c r="L67" s="101">
        <v>40666</v>
      </c>
      <c r="M67" s="104">
        <f>IF(Main[[#This Row],[Tech Start Date]]&lt;1/1/1990,"",IF(Main[[#This Row],[Class]]="C",WORKDAY(Main[[#This Row],[Tech Start Date]],9),IF(Main[[#This Row],[Class]]="B", WORKDAY(Main[[#This Row],[Tech Start Date]],6),IF(Main[[#This Row],[Class]]="A",WORKDAY(Main[[#This Row],[Tech Start Date]],2),""))))</f>
        <v>40679</v>
      </c>
      <c r="N67" s="104">
        <f>IF(Main[[#This Row],[Tech Start Date]]&lt;1/1/1990,"",IF(Main[[#This Row],[Class]]="C",WORKDAY(Main[[#This Row],[Tech Start Date]],19),IF(Main[[#This Row],[Class]]="B", WORKDAY(Main[[#This Row],[Tech Start Date]],12),IF(Main[[#This Row],[Class]]="A",WORKDAY(Main[[#This Row],[Tech Start Date]],4),""))))</f>
        <v>40693</v>
      </c>
      <c r="O67" s="104">
        <f>IF(Main[[#This Row],[Tech Start Date]]&lt;1/1/1990,"",IF(Main[[#This Row],[Class]]="C",WORKDAY(Main[[#This Row],[Tech Start Date]],23),IF(Main[[#This Row],[Class]]="B", WORKDAY(Main[[#This Row],[Tech Start Date]],15),IF(Main[[#This Row],[Class]]="A",WORKDAY(Main[[#This Row],[Tech Start Date]],5),""))))</f>
        <v>40697</v>
      </c>
      <c r="P67" s="104">
        <f>IF(Main[[#This Row],[Tech Start Date]]&lt;1/1/1990,"",IF(Main[[#This Row],[Class]]="C",WORKDAY(Main[[#This Row],[Tech Start Date]],28),IF(Main[[#This Row],[Class]]="B", WORKDAY(Main[[#This Row],[Tech Start Date]],19),IF(Main[[#This Row],[Class]]="A",WORKDAY(Main[[#This Row],[Tech Start Date]],9),""))))</f>
        <v>40704</v>
      </c>
      <c r="Q67" s="101">
        <v>40767</v>
      </c>
      <c r="R67" s="101">
        <v>40877</v>
      </c>
      <c r="S67" s="99" t="s">
        <v>11</v>
      </c>
      <c r="T67" s="107" t="s">
        <v>3143</v>
      </c>
      <c r="U67" s="99" t="s">
        <v>540</v>
      </c>
      <c r="V67" s="99" t="s">
        <v>1962</v>
      </c>
      <c r="W67" s="99" t="s">
        <v>1970</v>
      </c>
    </row>
    <row r="68" spans="1:23" ht="18.600000000000001" customHeight="1">
      <c r="A68" s="123">
        <f>IF(priority(Main[[#This Row],[Comments]])&lt;&gt;0, priority(Main[[#This Row],[Comments]]),"")</f>
        <v>18</v>
      </c>
      <c r="B68" s="127" t="s">
        <v>2957</v>
      </c>
      <c r="C68" s="99" t="s">
        <v>2797</v>
      </c>
      <c r="D68" s="100" t="s">
        <v>2958</v>
      </c>
      <c r="E68" s="101">
        <v>40843.101504629631</v>
      </c>
      <c r="F68" s="101">
        <v>41000</v>
      </c>
      <c r="G68" s="102">
        <f>IF(stdProdLT(Main[[#This Row],[Comments]])=0.1,"N/A",IF(stdProdLT(Main[[#This Row],[Comments]])=0,"",stdProdLT(Main[[#This Row],[Comments]])))</f>
        <v>126</v>
      </c>
      <c r="H68" s="103">
        <f>IF(AND(Main[[#This Row],[In Stock Date]]&lt;&gt;"",Main[[#This Row],[Revised Due Date]]&lt;&gt;""),Main[[#This Row],[In Stock Date]]-Main[[#This Row],[Revised Due Date]],"")</f>
        <v>108</v>
      </c>
      <c r="I68" s="99" t="s">
        <v>173</v>
      </c>
      <c r="J68" s="99" t="s">
        <v>70</v>
      </c>
      <c r="K68" s="99" t="s">
        <v>1975</v>
      </c>
      <c r="L68" s="101">
        <v>40849</v>
      </c>
      <c r="M68" s="104">
        <f>IF(Main[[#This Row],[Tech Start Date]]&lt;1/1/1990,"",IF(Main[[#This Row],[Class]]="C",WORKDAY(Main[[#This Row],[Tech Start Date]],9),IF(Main[[#This Row],[Class]]="B", WORKDAY(Main[[#This Row],[Tech Start Date]],6),IF(Main[[#This Row],[Class]]="A",WORKDAY(Main[[#This Row],[Tech Start Date]],2),""))))</f>
        <v>40862</v>
      </c>
      <c r="N68" s="104">
        <f>IF(Main[[#This Row],[Tech Start Date]]&lt;1/1/1990,"",IF(Main[[#This Row],[Class]]="C",WORKDAY(Main[[#This Row],[Tech Start Date]],19),IF(Main[[#This Row],[Class]]="B", WORKDAY(Main[[#This Row],[Tech Start Date]],12),IF(Main[[#This Row],[Class]]="A",WORKDAY(Main[[#This Row],[Tech Start Date]],4),""))))</f>
        <v>40876</v>
      </c>
      <c r="O68" s="104">
        <f>IF(Main[[#This Row],[Tech Start Date]]&lt;1/1/1990,"",IF(Main[[#This Row],[Class]]="C",WORKDAY(Main[[#This Row],[Tech Start Date]],23),IF(Main[[#This Row],[Class]]="B", WORKDAY(Main[[#This Row],[Tech Start Date]],15),IF(Main[[#This Row],[Class]]="A",WORKDAY(Main[[#This Row],[Tech Start Date]],5),""))))</f>
        <v>40882</v>
      </c>
      <c r="P68" s="104">
        <f>IF(Main[[#This Row],[Tech Start Date]]&lt;1/1/1990,"",IF(Main[[#This Row],[Class]]="C",WORKDAY(Main[[#This Row],[Tech Start Date]],28),IF(Main[[#This Row],[Class]]="B", WORKDAY(Main[[#This Row],[Tech Start Date]],19),IF(Main[[#This Row],[Class]]="A",WORKDAY(Main[[#This Row],[Tech Start Date]],9),""))))</f>
        <v>40889</v>
      </c>
      <c r="Q68" s="101">
        <v>40881</v>
      </c>
      <c r="R68" s="101">
        <v>40892</v>
      </c>
      <c r="S68" s="99" t="s">
        <v>11</v>
      </c>
      <c r="T68" s="107" t="s">
        <v>2959</v>
      </c>
      <c r="U68" s="99" t="s">
        <v>29</v>
      </c>
      <c r="V68" s="99" t="s">
        <v>1965</v>
      </c>
      <c r="W68" s="99" t="s">
        <v>1970</v>
      </c>
    </row>
    <row r="69" spans="1:23" ht="18.600000000000001" customHeight="1">
      <c r="A69" s="123">
        <f>IF(priority(Main[[#This Row],[Comments]])&lt;&gt;0, priority(Main[[#This Row],[Comments]]),"")</f>
        <v>19</v>
      </c>
      <c r="B69" s="127" t="s">
        <v>1620</v>
      </c>
      <c r="C69" s="99" t="s">
        <v>122</v>
      </c>
      <c r="D69" s="100" t="s">
        <v>670</v>
      </c>
      <c r="E69" s="101"/>
      <c r="F69" s="101">
        <v>40704</v>
      </c>
      <c r="G69" s="102" t="str">
        <f>IF(stdProdLT(Main[[#This Row],[Comments]])=0.1,"N/A",IF(stdProdLT(Main[[#This Row],[Comments]])=0,"",stdProdLT(Main[[#This Row],[Comments]])))</f>
        <v/>
      </c>
      <c r="H69" s="103" t="str">
        <f>IF(AND(Main[[#This Row],[In Stock Date]]&lt;&gt;"",Main[[#This Row],[Revised Due Date]]&lt;&gt;""),Main[[#This Row],[In Stock Date]]-Main[[#This Row],[Revised Due Date]],"")</f>
        <v/>
      </c>
      <c r="I69" s="99" t="s">
        <v>4</v>
      </c>
      <c r="J69" s="99" t="s">
        <v>28</v>
      </c>
      <c r="K69" s="99" t="s">
        <v>1971</v>
      </c>
      <c r="L69" s="101"/>
      <c r="M69" s="104" t="str">
        <f>IF(Main[[#This Row],[Tech Start Date]]&lt;1/1/1990,"",IF(Main[[#This Row],[Class]]="C",WORKDAY(Main[[#This Row],[Tech Start Date]],9),IF(Main[[#This Row],[Class]]="B", WORKDAY(Main[[#This Row],[Tech Start Date]],6),IF(Main[[#This Row],[Class]]="A",WORKDAY(Main[[#This Row],[Tech Start Date]],2),""))))</f>
        <v/>
      </c>
      <c r="N69" s="104" t="str">
        <f>IF(Main[[#This Row],[Tech Start Date]]&lt;1/1/1990,"",IF(Main[[#This Row],[Class]]="C",WORKDAY(Main[[#This Row],[Tech Start Date]],19),IF(Main[[#This Row],[Class]]="B", WORKDAY(Main[[#This Row],[Tech Start Date]],12),IF(Main[[#This Row],[Class]]="A",WORKDAY(Main[[#This Row],[Tech Start Date]],4),""))))</f>
        <v/>
      </c>
      <c r="O69" s="104" t="str">
        <f>IF(Main[[#This Row],[Tech Start Date]]&lt;1/1/1990,"",IF(Main[[#This Row],[Class]]="C",WORKDAY(Main[[#This Row],[Tech Start Date]],23),IF(Main[[#This Row],[Class]]="B", WORKDAY(Main[[#This Row],[Tech Start Date]],15),IF(Main[[#This Row],[Class]]="A",WORKDAY(Main[[#This Row],[Tech Start Date]],5),""))))</f>
        <v/>
      </c>
      <c r="P69" s="104" t="str">
        <f>IF(Main[[#This Row],[Tech Start Date]]&lt;1/1/1990,"",IF(Main[[#This Row],[Class]]="C",WORKDAY(Main[[#This Row],[Tech Start Date]],28),IF(Main[[#This Row],[Class]]="B", WORKDAY(Main[[#This Row],[Tech Start Date]],19),IF(Main[[#This Row],[Class]]="A",WORKDAY(Main[[#This Row],[Tech Start Date]],9),""))))</f>
        <v/>
      </c>
      <c r="Q69" s="101">
        <v>40704</v>
      </c>
      <c r="R69" s="101"/>
      <c r="S69" s="99" t="s">
        <v>11</v>
      </c>
      <c r="T69" s="107" t="s">
        <v>2030</v>
      </c>
      <c r="U69" s="99" t="s">
        <v>14</v>
      </c>
      <c r="V69" s="99" t="s">
        <v>1962</v>
      </c>
      <c r="W69" s="99" t="s">
        <v>1964</v>
      </c>
    </row>
    <row r="70" spans="1:23" ht="18.600000000000001" customHeight="1">
      <c r="A70" s="123">
        <f>IF(priority(Main[[#This Row],[Comments]])&lt;&gt;0, priority(Main[[#This Row],[Comments]]),"")</f>
        <v>19</v>
      </c>
      <c r="B70" s="127" t="s">
        <v>2796</v>
      </c>
      <c r="C70" s="99" t="s">
        <v>2797</v>
      </c>
      <c r="D70" s="100" t="s">
        <v>2798</v>
      </c>
      <c r="E70" s="101">
        <v>40857.997499999998</v>
      </c>
      <c r="F70" s="101">
        <v>40998</v>
      </c>
      <c r="G70" s="102">
        <f>IF(stdProdLT(Main[[#This Row],[Comments]])=0.1,"N/A",IF(stdProdLT(Main[[#This Row],[Comments]])=0,"",stdProdLT(Main[[#This Row],[Comments]])))</f>
        <v>98</v>
      </c>
      <c r="H70" s="103" t="str">
        <f>IF(AND(Main[[#This Row],[In Stock Date]]&lt;&gt;"",Main[[#This Row],[Revised Due Date]]&lt;&gt;""),Main[[#This Row],[In Stock Date]]-Main[[#This Row],[Revised Due Date]],"")</f>
        <v/>
      </c>
      <c r="I70" s="99" t="s">
        <v>4</v>
      </c>
      <c r="J70" s="99" t="s">
        <v>4</v>
      </c>
      <c r="K70" s="108" t="s">
        <v>4</v>
      </c>
      <c r="L70" s="101"/>
      <c r="M70" s="104" t="str">
        <f>IF(Main[[#This Row],[Tech Start Date]]&lt;1/1/1990,"",IF(Main[[#This Row],[Class]]="C",WORKDAY(Main[[#This Row],[Tech Start Date]],9),IF(Main[[#This Row],[Class]]="B", WORKDAY(Main[[#This Row],[Tech Start Date]],6),IF(Main[[#This Row],[Class]]="A",WORKDAY(Main[[#This Row],[Tech Start Date]],2),""))))</f>
        <v/>
      </c>
      <c r="N70" s="104" t="str">
        <f>IF(Main[[#This Row],[Tech Start Date]]&lt;1/1/1990,"",IF(Main[[#This Row],[Class]]="C",WORKDAY(Main[[#This Row],[Tech Start Date]],19),IF(Main[[#This Row],[Class]]="B", WORKDAY(Main[[#This Row],[Tech Start Date]],12),IF(Main[[#This Row],[Class]]="A",WORKDAY(Main[[#This Row],[Tech Start Date]],4),""))))</f>
        <v/>
      </c>
      <c r="O70" s="104" t="str">
        <f>IF(Main[[#This Row],[Tech Start Date]]&lt;1/1/1990,"",IF(Main[[#This Row],[Class]]="C",WORKDAY(Main[[#This Row],[Tech Start Date]],23),IF(Main[[#This Row],[Class]]="B", WORKDAY(Main[[#This Row],[Tech Start Date]],15),IF(Main[[#This Row],[Class]]="A",WORKDAY(Main[[#This Row],[Tech Start Date]],5),""))))</f>
        <v/>
      </c>
      <c r="P70" s="104" t="str">
        <f>IF(Main[[#This Row],[Tech Start Date]]&lt;1/1/1990,"",IF(Main[[#This Row],[Class]]="C",WORKDAY(Main[[#This Row],[Tech Start Date]],28),IF(Main[[#This Row],[Class]]="B", WORKDAY(Main[[#This Row],[Tech Start Date]],19),IF(Main[[#This Row],[Class]]="A",WORKDAY(Main[[#This Row],[Tech Start Date]],9),""))))</f>
        <v/>
      </c>
      <c r="Q70" s="101">
        <v>40879</v>
      </c>
      <c r="R70" s="101"/>
      <c r="S70" s="99" t="s">
        <v>11</v>
      </c>
      <c r="T70" s="107" t="s">
        <v>2799</v>
      </c>
      <c r="U70" s="99" t="s">
        <v>7</v>
      </c>
      <c r="V70" s="99" t="s">
        <v>1972</v>
      </c>
      <c r="W70" s="99" t="s">
        <v>1970</v>
      </c>
    </row>
    <row r="71" spans="1:23" ht="18.600000000000001" customHeight="1">
      <c r="A71" s="123">
        <f>IF(priority(Main[[#This Row],[Comments]])&lt;&gt;0, priority(Main[[#This Row],[Comments]]),"")</f>
        <v>19</v>
      </c>
      <c r="B71" s="127" t="s">
        <v>2046</v>
      </c>
      <c r="C71" s="99" t="s">
        <v>53</v>
      </c>
      <c r="D71" s="100" t="s">
        <v>2883</v>
      </c>
      <c r="E71" s="101">
        <v>40735.69803240741</v>
      </c>
      <c r="F71" s="101">
        <v>40836</v>
      </c>
      <c r="G71" s="102" t="str">
        <f>IF(stdProdLT(Main[[#This Row],[Comments]])=0.1,"N/A",IF(stdProdLT(Main[[#This Row],[Comments]])=0,"",stdProdLT(Main[[#This Row],[Comments]])))</f>
        <v>N/A</v>
      </c>
      <c r="H71" s="103">
        <f>IF(AND(Main[[#This Row],[In Stock Date]]&lt;&gt;"",Main[[#This Row],[Revised Due Date]]&lt;&gt;""),Main[[#This Row],[In Stock Date]]-Main[[#This Row],[Revised Due Date]],"")</f>
        <v>-71</v>
      </c>
      <c r="I71" s="99" t="s">
        <v>959</v>
      </c>
      <c r="J71" s="99" t="s">
        <v>28</v>
      </c>
      <c r="K71" s="99" t="s">
        <v>1969</v>
      </c>
      <c r="L71" s="101">
        <v>40756</v>
      </c>
      <c r="M71" s="104">
        <f>IF(Main[[#This Row],[Tech Start Date]]&lt;1/1/1990,"",IF(Main[[#This Row],[Class]]="C",WORKDAY(Main[[#This Row],[Tech Start Date]],9),IF(Main[[#This Row],[Class]]="B", WORKDAY(Main[[#This Row],[Tech Start Date]],6),IF(Main[[#This Row],[Class]]="A",WORKDAY(Main[[#This Row],[Tech Start Date]],2),""))))</f>
        <v>40764</v>
      </c>
      <c r="N71" s="104">
        <f>IF(Main[[#This Row],[Tech Start Date]]&lt;1/1/1990,"",IF(Main[[#This Row],[Class]]="C",WORKDAY(Main[[#This Row],[Tech Start Date]],19),IF(Main[[#This Row],[Class]]="B", WORKDAY(Main[[#This Row],[Tech Start Date]],12),IF(Main[[#This Row],[Class]]="A",WORKDAY(Main[[#This Row],[Tech Start Date]],4),""))))</f>
        <v>40772</v>
      </c>
      <c r="O71" s="104">
        <f>IF(Main[[#This Row],[Tech Start Date]]&lt;1/1/1990,"",IF(Main[[#This Row],[Class]]="C",WORKDAY(Main[[#This Row],[Tech Start Date]],23),IF(Main[[#This Row],[Class]]="B", WORKDAY(Main[[#This Row],[Tech Start Date]],15),IF(Main[[#This Row],[Class]]="A",WORKDAY(Main[[#This Row],[Tech Start Date]],5),""))))</f>
        <v>40777</v>
      </c>
      <c r="P71" s="104">
        <f>IF(Main[[#This Row],[Tech Start Date]]&lt;1/1/1990,"",IF(Main[[#This Row],[Class]]="C",WORKDAY(Main[[#This Row],[Tech Start Date]],28),IF(Main[[#This Row],[Class]]="B", WORKDAY(Main[[#This Row],[Tech Start Date]],19),IF(Main[[#This Row],[Class]]="A",WORKDAY(Main[[#This Row],[Tech Start Date]],9),""))))</f>
        <v>40781</v>
      </c>
      <c r="Q71" s="101"/>
      <c r="R71" s="101">
        <v>40907</v>
      </c>
      <c r="S71" s="99" t="s">
        <v>11</v>
      </c>
      <c r="T71" s="107" t="s">
        <v>3018</v>
      </c>
      <c r="U71" s="99" t="s">
        <v>7</v>
      </c>
      <c r="V71" s="99" t="s">
        <v>1963</v>
      </c>
      <c r="W71" s="99" t="s">
        <v>1964</v>
      </c>
    </row>
    <row r="72" spans="1:23" ht="18.600000000000001" customHeight="1">
      <c r="A72" s="123">
        <f>IF(priority(Main[[#This Row],[Comments]])&lt;&gt;0, priority(Main[[#This Row],[Comments]]),"")</f>
        <v>19</v>
      </c>
      <c r="B72" s="127" t="s">
        <v>2348</v>
      </c>
      <c r="C72" s="99" t="s">
        <v>95</v>
      </c>
      <c r="D72" s="100" t="s">
        <v>2898</v>
      </c>
      <c r="E72" s="101">
        <v>40823.58494212963</v>
      </c>
      <c r="F72" s="101">
        <v>41030</v>
      </c>
      <c r="G72" s="102">
        <f>IF(stdProdLT(Main[[#This Row],[Comments]])=0.1,"N/A",IF(stdProdLT(Main[[#This Row],[Comments]])=0,"",stdProdLT(Main[[#This Row],[Comments]])))</f>
        <v>98</v>
      </c>
      <c r="H72" s="103">
        <f>IF(AND(Main[[#This Row],[In Stock Date]]&lt;&gt;"",Main[[#This Row],[Revised Due Date]]&lt;&gt;""),Main[[#This Row],[In Stock Date]]-Main[[#This Row],[Revised Due Date]],"")</f>
        <v>130</v>
      </c>
      <c r="I72" s="99" t="s">
        <v>929</v>
      </c>
      <c r="J72" s="99" t="s">
        <v>52</v>
      </c>
      <c r="K72" s="99" t="s">
        <v>1969</v>
      </c>
      <c r="L72" s="101">
        <v>40820</v>
      </c>
      <c r="M72" s="104">
        <f>IF(Main[[#This Row],[Tech Start Date]]&lt;1/1/1990,"",IF(Main[[#This Row],[Class]]="C",WORKDAY(Main[[#This Row],[Tech Start Date]],9),IF(Main[[#This Row],[Class]]="B", WORKDAY(Main[[#This Row],[Tech Start Date]],6),IF(Main[[#This Row],[Class]]="A",WORKDAY(Main[[#This Row],[Tech Start Date]],2),""))))</f>
        <v>40828</v>
      </c>
      <c r="N72" s="104">
        <f>IF(Main[[#This Row],[Tech Start Date]]&lt;1/1/1990,"",IF(Main[[#This Row],[Class]]="C",WORKDAY(Main[[#This Row],[Tech Start Date]],19),IF(Main[[#This Row],[Class]]="B", WORKDAY(Main[[#This Row],[Tech Start Date]],12),IF(Main[[#This Row],[Class]]="A",WORKDAY(Main[[#This Row],[Tech Start Date]],4),""))))</f>
        <v>40836</v>
      </c>
      <c r="O72" s="104">
        <f>IF(Main[[#This Row],[Tech Start Date]]&lt;1/1/1990,"",IF(Main[[#This Row],[Class]]="C",WORKDAY(Main[[#This Row],[Tech Start Date]],23),IF(Main[[#This Row],[Class]]="B", WORKDAY(Main[[#This Row],[Tech Start Date]],15),IF(Main[[#This Row],[Class]]="A",WORKDAY(Main[[#This Row],[Tech Start Date]],5),""))))</f>
        <v>40841</v>
      </c>
      <c r="P72" s="104">
        <f>IF(Main[[#This Row],[Tech Start Date]]&lt;1/1/1990,"",IF(Main[[#This Row],[Class]]="C",WORKDAY(Main[[#This Row],[Tech Start Date]],28),IF(Main[[#This Row],[Class]]="B", WORKDAY(Main[[#This Row],[Tech Start Date]],19),IF(Main[[#This Row],[Class]]="A",WORKDAY(Main[[#This Row],[Tech Start Date]],9),""))))</f>
        <v>40847</v>
      </c>
      <c r="Q72" s="101"/>
      <c r="R72" s="101">
        <v>40900</v>
      </c>
      <c r="S72" s="99" t="s">
        <v>11</v>
      </c>
      <c r="T72" s="107" t="s">
        <v>3144</v>
      </c>
      <c r="U72" s="99" t="s">
        <v>29</v>
      </c>
      <c r="V72" s="99" t="s">
        <v>1962</v>
      </c>
      <c r="W72" s="99" t="s">
        <v>1968</v>
      </c>
    </row>
    <row r="73" spans="1:23" ht="18.600000000000001" customHeight="1">
      <c r="A73" s="123">
        <f>IF(priority(Main[[#This Row],[Comments]])&lt;&gt;0, priority(Main[[#This Row],[Comments]]),"")</f>
        <v>20</v>
      </c>
      <c r="B73" s="127" t="s">
        <v>1949</v>
      </c>
      <c r="C73" s="99" t="s">
        <v>975</v>
      </c>
      <c r="D73" s="100" t="s">
        <v>2090</v>
      </c>
      <c r="E73" s="101"/>
      <c r="F73" s="101"/>
      <c r="G73" s="102">
        <f>IF(stdProdLT(Main[[#This Row],[Comments]])=0.1,"N/A",IF(stdProdLT(Main[[#This Row],[Comments]])=0,"",stdProdLT(Main[[#This Row],[Comments]])))</f>
        <v>112</v>
      </c>
      <c r="H73" s="103" t="str">
        <f>IF(AND(Main[[#This Row],[In Stock Date]]&lt;&gt;"",Main[[#This Row],[Revised Due Date]]&lt;&gt;""),Main[[#This Row],[In Stock Date]]-Main[[#This Row],[Revised Due Date]],"")</f>
        <v/>
      </c>
      <c r="I73" s="99" t="s">
        <v>50</v>
      </c>
      <c r="J73" s="99" t="s">
        <v>52</v>
      </c>
      <c r="K73" s="99" t="s">
        <v>1975</v>
      </c>
      <c r="L73" s="101"/>
      <c r="M73" s="104" t="str">
        <f>IF(Main[[#This Row],[Tech Start Date]]&lt;1/1/1990,"",IF(Main[[#This Row],[Class]]="C",WORKDAY(Main[[#This Row],[Tech Start Date]],9),IF(Main[[#This Row],[Class]]="B", WORKDAY(Main[[#This Row],[Tech Start Date]],6),IF(Main[[#This Row],[Class]]="A",WORKDAY(Main[[#This Row],[Tech Start Date]],2),""))))</f>
        <v/>
      </c>
      <c r="N73" s="104" t="str">
        <f>IF(Main[[#This Row],[Tech Start Date]]&lt;1/1/1990,"",IF(Main[[#This Row],[Class]]="C",WORKDAY(Main[[#This Row],[Tech Start Date]],19),IF(Main[[#This Row],[Class]]="B", WORKDAY(Main[[#This Row],[Tech Start Date]],12),IF(Main[[#This Row],[Class]]="A",WORKDAY(Main[[#This Row],[Tech Start Date]],4),""))))</f>
        <v/>
      </c>
      <c r="O73" s="104" t="str">
        <f>IF(Main[[#This Row],[Tech Start Date]]&lt;1/1/1990,"",IF(Main[[#This Row],[Class]]="C",WORKDAY(Main[[#This Row],[Tech Start Date]],23),IF(Main[[#This Row],[Class]]="B", WORKDAY(Main[[#This Row],[Tech Start Date]],15),IF(Main[[#This Row],[Class]]="A",WORKDAY(Main[[#This Row],[Tech Start Date]],5),""))))</f>
        <v/>
      </c>
      <c r="P73" s="104" t="str">
        <f>IF(Main[[#This Row],[Tech Start Date]]&lt;1/1/1990,"",IF(Main[[#This Row],[Class]]="C",WORKDAY(Main[[#This Row],[Tech Start Date]],28),IF(Main[[#This Row],[Class]]="B", WORKDAY(Main[[#This Row],[Tech Start Date]],19),IF(Main[[#This Row],[Class]]="A",WORKDAY(Main[[#This Row],[Tech Start Date]],9),""))))</f>
        <v/>
      </c>
      <c r="Q73" s="101">
        <v>40598</v>
      </c>
      <c r="R73" s="101">
        <v>40786</v>
      </c>
      <c r="S73" s="99" t="s">
        <v>11</v>
      </c>
      <c r="T73" s="107" t="s">
        <v>2186</v>
      </c>
      <c r="U73" s="99" t="s">
        <v>14</v>
      </c>
      <c r="V73" s="99" t="s">
        <v>1963</v>
      </c>
      <c r="W73" s="99" t="s">
        <v>1964</v>
      </c>
    </row>
    <row r="74" spans="1:23" ht="18.600000000000001" customHeight="1">
      <c r="A74" s="123">
        <f>IF(priority(Main[[#This Row],[Comments]])&lt;&gt;0, priority(Main[[#This Row],[Comments]]),"")</f>
        <v>20</v>
      </c>
      <c r="B74" s="127" t="s">
        <v>2003</v>
      </c>
      <c r="C74" s="99" t="s">
        <v>4</v>
      </c>
      <c r="D74" s="100" t="s">
        <v>2344</v>
      </c>
      <c r="E74" s="101">
        <v>40722.471516203703</v>
      </c>
      <c r="F74" s="101"/>
      <c r="G74" s="102" t="str">
        <f>IF(stdProdLT(Main[[#This Row],[Comments]])=0.1,"N/A",IF(stdProdLT(Main[[#This Row],[Comments]])=0,"",stdProdLT(Main[[#This Row],[Comments]])))</f>
        <v>N/A</v>
      </c>
      <c r="H74" s="103" t="str">
        <f>IF(AND(Main[[#This Row],[In Stock Date]]&lt;&gt;"",Main[[#This Row],[Revised Due Date]]&lt;&gt;""),Main[[#This Row],[In Stock Date]]-Main[[#This Row],[Revised Due Date]],"")</f>
        <v/>
      </c>
      <c r="I74" s="99" t="s">
        <v>929</v>
      </c>
      <c r="J74" s="99" t="s">
        <v>21</v>
      </c>
      <c r="K74" s="108" t="s">
        <v>1971</v>
      </c>
      <c r="L74" s="101"/>
      <c r="M74" s="104" t="str">
        <f>IF(Main[[#This Row],[Tech Start Date]]&lt;1/1/1990,"",IF(Main[[#This Row],[Class]]="C",WORKDAY(Main[[#This Row],[Tech Start Date]],9),IF(Main[[#This Row],[Class]]="B", WORKDAY(Main[[#This Row],[Tech Start Date]],6),IF(Main[[#This Row],[Class]]="A",WORKDAY(Main[[#This Row],[Tech Start Date]],2),""))))</f>
        <v/>
      </c>
      <c r="N74" s="104" t="str">
        <f>IF(Main[[#This Row],[Tech Start Date]]&lt;1/1/1990,"",IF(Main[[#This Row],[Class]]="C",WORKDAY(Main[[#This Row],[Tech Start Date]],19),IF(Main[[#This Row],[Class]]="B", WORKDAY(Main[[#This Row],[Tech Start Date]],12),IF(Main[[#This Row],[Class]]="A",WORKDAY(Main[[#This Row],[Tech Start Date]],4),""))))</f>
        <v/>
      </c>
      <c r="O74" s="104" t="str">
        <f>IF(Main[[#This Row],[Tech Start Date]]&lt;1/1/1990,"",IF(Main[[#This Row],[Class]]="C",WORKDAY(Main[[#This Row],[Tech Start Date]],23),IF(Main[[#This Row],[Class]]="B", WORKDAY(Main[[#This Row],[Tech Start Date]],15),IF(Main[[#This Row],[Class]]="A",WORKDAY(Main[[#This Row],[Tech Start Date]],5),""))))</f>
        <v/>
      </c>
      <c r="P74" s="104" t="str">
        <f>IF(Main[[#This Row],[Tech Start Date]]&lt;1/1/1990,"",IF(Main[[#This Row],[Class]]="C",WORKDAY(Main[[#This Row],[Tech Start Date]],28),IF(Main[[#This Row],[Class]]="B", WORKDAY(Main[[#This Row],[Tech Start Date]],19),IF(Main[[#This Row],[Class]]="A",WORKDAY(Main[[#This Row],[Tech Start Date]],9),""))))</f>
        <v/>
      </c>
      <c r="Q74" s="101">
        <v>40753</v>
      </c>
      <c r="R74" s="101">
        <v>40756</v>
      </c>
      <c r="S74" s="99" t="s">
        <v>6</v>
      </c>
      <c r="T74" s="107" t="s">
        <v>3011</v>
      </c>
      <c r="U74" s="99" t="s">
        <v>29</v>
      </c>
      <c r="V74" s="99" t="s">
        <v>1962</v>
      </c>
      <c r="W74" s="99" t="s">
        <v>1966</v>
      </c>
    </row>
    <row r="75" spans="1:23" ht="18.600000000000001" customHeight="1">
      <c r="A75" s="123">
        <f>IF(priority(Main[[#This Row],[Comments]])&lt;&gt;0, priority(Main[[#This Row],[Comments]]),"")</f>
        <v>20</v>
      </c>
      <c r="B75" s="127" t="s">
        <v>2977</v>
      </c>
      <c r="C75" s="99" t="s">
        <v>53</v>
      </c>
      <c r="D75" s="100" t="s">
        <v>2978</v>
      </c>
      <c r="E75" s="101"/>
      <c r="F75" s="101"/>
      <c r="G75" s="102" t="str">
        <f>IF(stdProdLT(Main[[#This Row],[Comments]])=0.1,"N/A",IF(stdProdLT(Main[[#This Row],[Comments]])=0,"",stdProdLT(Main[[#This Row],[Comments]])))</f>
        <v>N/A</v>
      </c>
      <c r="H75" s="103" t="str">
        <f>IF(AND(Main[[#This Row],[In Stock Date]]&lt;&gt;"",Main[[#This Row],[Revised Due Date]]&lt;&gt;""),Main[[#This Row],[In Stock Date]]-Main[[#This Row],[Revised Due Date]],"")</f>
        <v/>
      </c>
      <c r="I75" s="99" t="s">
        <v>959</v>
      </c>
      <c r="J75" s="99" t="s">
        <v>28</v>
      </c>
      <c r="K75" s="108" t="s">
        <v>1969</v>
      </c>
      <c r="L75" s="101">
        <v>40854</v>
      </c>
      <c r="M75" s="104">
        <f>IF(Main[[#This Row],[Tech Start Date]]&lt;1/1/1990,"",IF(Main[[#This Row],[Class]]="C",WORKDAY(Main[[#This Row],[Tech Start Date]],9),IF(Main[[#This Row],[Class]]="B", WORKDAY(Main[[#This Row],[Tech Start Date]],6),IF(Main[[#This Row],[Class]]="A",WORKDAY(Main[[#This Row],[Tech Start Date]],2),""))))</f>
        <v>40862</v>
      </c>
      <c r="N75" s="104">
        <f>IF(Main[[#This Row],[Tech Start Date]]&lt;1/1/1990,"",IF(Main[[#This Row],[Class]]="C",WORKDAY(Main[[#This Row],[Tech Start Date]],19),IF(Main[[#This Row],[Class]]="B", WORKDAY(Main[[#This Row],[Tech Start Date]],12),IF(Main[[#This Row],[Class]]="A",WORKDAY(Main[[#This Row],[Tech Start Date]],4),""))))</f>
        <v>40870</v>
      </c>
      <c r="O75" s="104">
        <f>IF(Main[[#This Row],[Tech Start Date]]&lt;1/1/1990,"",IF(Main[[#This Row],[Class]]="C",WORKDAY(Main[[#This Row],[Tech Start Date]],23),IF(Main[[#This Row],[Class]]="B", WORKDAY(Main[[#This Row],[Tech Start Date]],15),IF(Main[[#This Row],[Class]]="A",WORKDAY(Main[[#This Row],[Tech Start Date]],5),""))))</f>
        <v>40875</v>
      </c>
      <c r="P75" s="104">
        <f>IF(Main[[#This Row],[Tech Start Date]]&lt;1/1/1990,"",IF(Main[[#This Row],[Class]]="C",WORKDAY(Main[[#This Row],[Tech Start Date]],28),IF(Main[[#This Row],[Class]]="B", WORKDAY(Main[[#This Row],[Tech Start Date]],19),IF(Main[[#This Row],[Class]]="A",WORKDAY(Main[[#This Row],[Tech Start Date]],9),""))))</f>
        <v>40879</v>
      </c>
      <c r="Q75" s="101">
        <v>40883</v>
      </c>
      <c r="R75" s="101">
        <v>40877</v>
      </c>
      <c r="S75" s="99" t="s">
        <v>11</v>
      </c>
      <c r="T75" s="107" t="s">
        <v>2979</v>
      </c>
      <c r="U75" s="99" t="s">
        <v>14</v>
      </c>
      <c r="V75" s="99" t="s">
        <v>1963</v>
      </c>
      <c r="W75" s="99" t="s">
        <v>1964</v>
      </c>
    </row>
    <row r="76" spans="1:23" ht="18.600000000000001" customHeight="1">
      <c r="A76" s="123">
        <f>IF(priority(Main[[#This Row],[Comments]])&lt;&gt;0, priority(Main[[#This Row],[Comments]]),"")</f>
        <v>20</v>
      </c>
      <c r="B76" s="127" t="s">
        <v>2786</v>
      </c>
      <c r="C76" s="99" t="s">
        <v>2456</v>
      </c>
      <c r="D76" s="100" t="s">
        <v>2457</v>
      </c>
      <c r="E76" s="101">
        <v>40850.148009259261</v>
      </c>
      <c r="F76" s="101">
        <v>41008</v>
      </c>
      <c r="G76" s="102">
        <f>IF(stdProdLT(Main[[#This Row],[Comments]])=0.1,"N/A",IF(stdProdLT(Main[[#This Row],[Comments]])=0,"",stdProdLT(Main[[#This Row],[Comments]])))</f>
        <v>168</v>
      </c>
      <c r="H76" s="103">
        <f>IF(AND(Main[[#This Row],[In Stock Date]]&lt;&gt;"",Main[[#This Row],[Revised Due Date]]&lt;&gt;""),Main[[#This Row],[In Stock Date]]-Main[[#This Row],[Revised Due Date]],"")</f>
        <v>101</v>
      </c>
      <c r="I76" s="99" t="s">
        <v>44</v>
      </c>
      <c r="J76" s="99" t="s">
        <v>28</v>
      </c>
      <c r="K76" s="99" t="s">
        <v>1969</v>
      </c>
      <c r="L76" s="101">
        <v>40878</v>
      </c>
      <c r="M76" s="104">
        <f>IF(Main[[#This Row],[Tech Start Date]]&lt;1/1/1990,"",IF(Main[[#This Row],[Class]]="C",WORKDAY(Main[[#This Row],[Tech Start Date]],9),IF(Main[[#This Row],[Class]]="B", WORKDAY(Main[[#This Row],[Tech Start Date]],6),IF(Main[[#This Row],[Class]]="A",WORKDAY(Main[[#This Row],[Tech Start Date]],2),""))))</f>
        <v>40886</v>
      </c>
      <c r="N76" s="104">
        <f>IF(Main[[#This Row],[Tech Start Date]]&lt;1/1/1990,"",IF(Main[[#This Row],[Class]]="C",WORKDAY(Main[[#This Row],[Tech Start Date]],19),IF(Main[[#This Row],[Class]]="B", WORKDAY(Main[[#This Row],[Tech Start Date]],12),IF(Main[[#This Row],[Class]]="A",WORKDAY(Main[[#This Row],[Tech Start Date]],4),""))))</f>
        <v>40896</v>
      </c>
      <c r="O76" s="104">
        <f>IF(Main[[#This Row],[Tech Start Date]]&lt;1/1/1990,"",IF(Main[[#This Row],[Class]]="C",WORKDAY(Main[[#This Row],[Tech Start Date]],23),IF(Main[[#This Row],[Class]]="B", WORKDAY(Main[[#This Row],[Tech Start Date]],15),IF(Main[[#This Row],[Class]]="A",WORKDAY(Main[[#This Row],[Tech Start Date]],5),""))))</f>
        <v>40899</v>
      </c>
      <c r="P76" s="104">
        <f>IF(Main[[#This Row],[Tech Start Date]]&lt;1/1/1990,"",IF(Main[[#This Row],[Class]]="C",WORKDAY(Main[[#This Row],[Tech Start Date]],28),IF(Main[[#This Row],[Class]]="B", WORKDAY(Main[[#This Row],[Tech Start Date]],19),IF(Main[[#This Row],[Class]]="A",WORKDAY(Main[[#This Row],[Tech Start Date]],9),""))))</f>
        <v>40905</v>
      </c>
      <c r="Q76" s="101"/>
      <c r="R76" s="101">
        <v>40907</v>
      </c>
      <c r="S76" s="99" t="s">
        <v>11</v>
      </c>
      <c r="T76" s="107" t="s">
        <v>2787</v>
      </c>
      <c r="U76" s="99" t="s">
        <v>29</v>
      </c>
      <c r="V76" s="99" t="s">
        <v>1965</v>
      </c>
      <c r="W76" s="99" t="s">
        <v>1970</v>
      </c>
    </row>
    <row r="77" spans="1:23" ht="18.600000000000001" customHeight="1">
      <c r="A77" s="123">
        <f>IF(priority(Main[[#This Row],[Comments]])&lt;&gt;0, priority(Main[[#This Row],[Comments]]),"")</f>
        <v>20</v>
      </c>
      <c r="B77" s="127" t="s">
        <v>2816</v>
      </c>
      <c r="C77" s="99" t="s">
        <v>3081</v>
      </c>
      <c r="D77" s="100" t="s">
        <v>2817</v>
      </c>
      <c r="E77" s="101">
        <v>40848.383587962962</v>
      </c>
      <c r="F77" s="101">
        <v>40995</v>
      </c>
      <c r="G77" s="102">
        <f>IF(stdProdLT(Main[[#This Row],[Comments]])=0.1,"N/A",IF(stdProdLT(Main[[#This Row],[Comments]])=0,"",stdProdLT(Main[[#This Row],[Comments]])))</f>
        <v>126</v>
      </c>
      <c r="H77" s="103">
        <f>IF(AND(Main[[#This Row],[In Stock Date]]&lt;&gt;"",Main[[#This Row],[Revised Due Date]]&lt;&gt;""),Main[[#This Row],[In Stock Date]]-Main[[#This Row],[Revised Due Date]],"")</f>
        <v>81</v>
      </c>
      <c r="I77" s="99" t="s">
        <v>955</v>
      </c>
      <c r="J77" s="99" t="s">
        <v>28</v>
      </c>
      <c r="K77" s="108" t="s">
        <v>1969</v>
      </c>
      <c r="L77" s="101">
        <v>40879</v>
      </c>
      <c r="M77" s="104">
        <f>IF(Main[[#This Row],[Tech Start Date]]&lt;1/1/1990,"",IF(Main[[#This Row],[Class]]="C",WORKDAY(Main[[#This Row],[Tech Start Date]],9),IF(Main[[#This Row],[Class]]="B", WORKDAY(Main[[#This Row],[Tech Start Date]],6),IF(Main[[#This Row],[Class]]="A",WORKDAY(Main[[#This Row],[Tech Start Date]],2),""))))</f>
        <v>40889</v>
      </c>
      <c r="N77" s="104">
        <f>IF(Main[[#This Row],[Tech Start Date]]&lt;1/1/1990,"",IF(Main[[#This Row],[Class]]="C",WORKDAY(Main[[#This Row],[Tech Start Date]],19),IF(Main[[#This Row],[Class]]="B", WORKDAY(Main[[#This Row],[Tech Start Date]],12),IF(Main[[#This Row],[Class]]="A",WORKDAY(Main[[#This Row],[Tech Start Date]],4),""))))</f>
        <v>40897</v>
      </c>
      <c r="O77" s="104">
        <f>IF(Main[[#This Row],[Tech Start Date]]&lt;1/1/1990,"",IF(Main[[#This Row],[Class]]="C",WORKDAY(Main[[#This Row],[Tech Start Date]],23),IF(Main[[#This Row],[Class]]="B", WORKDAY(Main[[#This Row],[Tech Start Date]],15),IF(Main[[#This Row],[Class]]="A",WORKDAY(Main[[#This Row],[Tech Start Date]],5),""))))</f>
        <v>40900</v>
      </c>
      <c r="P77" s="104">
        <f>IF(Main[[#This Row],[Tech Start Date]]&lt;1/1/1990,"",IF(Main[[#This Row],[Class]]="C",WORKDAY(Main[[#This Row],[Tech Start Date]],28),IF(Main[[#This Row],[Class]]="B", WORKDAY(Main[[#This Row],[Tech Start Date]],19),IF(Main[[#This Row],[Class]]="A",WORKDAY(Main[[#This Row],[Tech Start Date]],9),""))))</f>
        <v>40906</v>
      </c>
      <c r="Q77" s="101"/>
      <c r="R77" s="101">
        <v>40914</v>
      </c>
      <c r="S77" s="99" t="s">
        <v>11</v>
      </c>
      <c r="T77" s="107" t="s">
        <v>3145</v>
      </c>
      <c r="U77" s="99" t="s">
        <v>29</v>
      </c>
      <c r="V77" s="99" t="s">
        <v>1962</v>
      </c>
      <c r="W77" s="99" t="s">
        <v>1968</v>
      </c>
    </row>
    <row r="78" spans="1:23" ht="18.600000000000001" customHeight="1">
      <c r="A78" s="123">
        <f>IF(priority(Main[[#This Row],[Comments]])&lt;&gt;0, priority(Main[[#This Row],[Comments]]),"")</f>
        <v>21</v>
      </c>
      <c r="B78" s="127" t="s">
        <v>1951</v>
      </c>
      <c r="C78" s="99" t="s">
        <v>113</v>
      </c>
      <c r="D78" s="100" t="s">
        <v>2879</v>
      </c>
      <c r="E78" s="101">
        <v>40709.602083333331</v>
      </c>
      <c r="F78" s="101">
        <v>41091</v>
      </c>
      <c r="G78" s="102">
        <f>IF(stdProdLT(Main[[#This Row],[Comments]])=0.1,"N/A",IF(stdProdLT(Main[[#This Row],[Comments]])=0,"",stdProdLT(Main[[#This Row],[Comments]])))</f>
        <v>126</v>
      </c>
      <c r="H78" s="103">
        <f>IF(AND(Main[[#This Row],[In Stock Date]]&lt;&gt;"",Main[[#This Row],[Revised Due Date]]&lt;&gt;""),Main[[#This Row],[In Stock Date]]-Main[[#This Row],[Revised Due Date]],"")</f>
        <v>205</v>
      </c>
      <c r="I78" s="99" t="s">
        <v>568</v>
      </c>
      <c r="J78" s="99" t="s">
        <v>28</v>
      </c>
      <c r="K78" s="108" t="s">
        <v>1975</v>
      </c>
      <c r="L78" s="101">
        <v>40709</v>
      </c>
      <c r="M78" s="104">
        <f>IF(Main[[#This Row],[Tech Start Date]]&lt;1/1/1990,"",IF(Main[[#This Row],[Class]]="C",WORKDAY(Main[[#This Row],[Tech Start Date]],9),IF(Main[[#This Row],[Class]]="B", WORKDAY(Main[[#This Row],[Tech Start Date]],6),IF(Main[[#This Row],[Class]]="A",WORKDAY(Main[[#This Row],[Tech Start Date]],2),""))))</f>
        <v>40722</v>
      </c>
      <c r="N78" s="104">
        <f>IF(Main[[#This Row],[Tech Start Date]]&lt;1/1/1990,"",IF(Main[[#This Row],[Class]]="C",WORKDAY(Main[[#This Row],[Tech Start Date]],19),IF(Main[[#This Row],[Class]]="B", WORKDAY(Main[[#This Row],[Tech Start Date]],12),IF(Main[[#This Row],[Class]]="A",WORKDAY(Main[[#This Row],[Tech Start Date]],4),""))))</f>
        <v>40736</v>
      </c>
      <c r="O78" s="104">
        <f>IF(Main[[#This Row],[Tech Start Date]]&lt;1/1/1990,"",IF(Main[[#This Row],[Class]]="C",WORKDAY(Main[[#This Row],[Tech Start Date]],23),IF(Main[[#This Row],[Class]]="B", WORKDAY(Main[[#This Row],[Tech Start Date]],15),IF(Main[[#This Row],[Class]]="A",WORKDAY(Main[[#This Row],[Tech Start Date]],5),""))))</f>
        <v>40742</v>
      </c>
      <c r="P78" s="104">
        <f>IF(Main[[#This Row],[Tech Start Date]]&lt;1/1/1990,"",IF(Main[[#This Row],[Class]]="C",WORKDAY(Main[[#This Row],[Tech Start Date]],28),IF(Main[[#This Row],[Class]]="B", WORKDAY(Main[[#This Row],[Tech Start Date]],19),IF(Main[[#This Row],[Class]]="A",WORKDAY(Main[[#This Row],[Tech Start Date]],9),""))))</f>
        <v>40749</v>
      </c>
      <c r="Q78" s="101"/>
      <c r="R78" s="101">
        <v>40886</v>
      </c>
      <c r="S78" s="99" t="s">
        <v>11</v>
      </c>
      <c r="T78" s="107" t="s">
        <v>3015</v>
      </c>
      <c r="U78" s="99" t="s">
        <v>540</v>
      </c>
      <c r="V78" s="99" t="s">
        <v>1962</v>
      </c>
      <c r="W78" s="99" t="s">
        <v>1973</v>
      </c>
    </row>
    <row r="79" spans="1:23" ht="18.600000000000001" customHeight="1">
      <c r="A79" s="123">
        <f>IF(priority(Main[[#This Row],[Comments]])&lt;&gt;0, priority(Main[[#This Row],[Comments]]),"")</f>
        <v>21</v>
      </c>
      <c r="B79" s="127" t="s">
        <v>2665</v>
      </c>
      <c r="C79" s="99" t="s">
        <v>2456</v>
      </c>
      <c r="D79" s="100" t="s">
        <v>2666</v>
      </c>
      <c r="E79" s="101">
        <v>40850.123124999998</v>
      </c>
      <c r="F79" s="101">
        <v>41008</v>
      </c>
      <c r="G79" s="102">
        <f>IF(stdProdLT(Main[[#This Row],[Comments]])=0.1,"N/A",IF(stdProdLT(Main[[#This Row],[Comments]])=0,"",stdProdLT(Main[[#This Row],[Comments]])))</f>
        <v>168</v>
      </c>
      <c r="H79" s="103">
        <f>IF(AND(Main[[#This Row],[In Stock Date]]&lt;&gt;"",Main[[#This Row],[Revised Due Date]]&lt;&gt;""),Main[[#This Row],[In Stock Date]]-Main[[#This Row],[Revised Due Date]],"")</f>
        <v>101</v>
      </c>
      <c r="I79" s="99" t="s">
        <v>44</v>
      </c>
      <c r="J79" s="99" t="s">
        <v>28</v>
      </c>
      <c r="K79" s="99" t="s">
        <v>1969</v>
      </c>
      <c r="L79" s="101">
        <v>40878</v>
      </c>
      <c r="M79" s="104">
        <f>IF(Main[[#This Row],[Tech Start Date]]&lt;1/1/1990,"",IF(Main[[#This Row],[Class]]="C",WORKDAY(Main[[#This Row],[Tech Start Date]],9),IF(Main[[#This Row],[Class]]="B", WORKDAY(Main[[#This Row],[Tech Start Date]],6),IF(Main[[#This Row],[Class]]="A",WORKDAY(Main[[#This Row],[Tech Start Date]],2),""))))</f>
        <v>40886</v>
      </c>
      <c r="N79" s="104">
        <f>IF(Main[[#This Row],[Tech Start Date]]&lt;1/1/1990,"",IF(Main[[#This Row],[Class]]="C",WORKDAY(Main[[#This Row],[Tech Start Date]],19),IF(Main[[#This Row],[Class]]="B", WORKDAY(Main[[#This Row],[Tech Start Date]],12),IF(Main[[#This Row],[Class]]="A",WORKDAY(Main[[#This Row],[Tech Start Date]],4),""))))</f>
        <v>40896</v>
      </c>
      <c r="O79" s="104">
        <f>IF(Main[[#This Row],[Tech Start Date]]&lt;1/1/1990,"",IF(Main[[#This Row],[Class]]="C",WORKDAY(Main[[#This Row],[Tech Start Date]],23),IF(Main[[#This Row],[Class]]="B", WORKDAY(Main[[#This Row],[Tech Start Date]],15),IF(Main[[#This Row],[Class]]="A",WORKDAY(Main[[#This Row],[Tech Start Date]],5),""))))</f>
        <v>40899</v>
      </c>
      <c r="P79" s="104">
        <f>IF(Main[[#This Row],[Tech Start Date]]&lt;1/1/1990,"",IF(Main[[#This Row],[Class]]="C",WORKDAY(Main[[#This Row],[Tech Start Date]],28),IF(Main[[#This Row],[Class]]="B", WORKDAY(Main[[#This Row],[Tech Start Date]],19),IF(Main[[#This Row],[Class]]="A",WORKDAY(Main[[#This Row],[Tech Start Date]],9),""))))</f>
        <v>40905</v>
      </c>
      <c r="Q79" s="101">
        <v>40826</v>
      </c>
      <c r="R79" s="101">
        <v>40907</v>
      </c>
      <c r="S79" s="99" t="s">
        <v>11</v>
      </c>
      <c r="T79" s="107" t="s">
        <v>3059</v>
      </c>
      <c r="U79" s="99" t="s">
        <v>29</v>
      </c>
      <c r="V79" s="99" t="s">
        <v>1965</v>
      </c>
      <c r="W79" s="99" t="s">
        <v>1970</v>
      </c>
    </row>
    <row r="80" spans="1:23" ht="18.600000000000001" customHeight="1">
      <c r="A80" s="123">
        <f>IF(priority(Main[[#This Row],[Comments]])&lt;&gt;0, priority(Main[[#This Row],[Comments]]),"")</f>
        <v>22</v>
      </c>
      <c r="B80" s="127" t="s">
        <v>1720</v>
      </c>
      <c r="C80" s="99" t="s">
        <v>4</v>
      </c>
      <c r="D80" s="100" t="s">
        <v>2391</v>
      </c>
      <c r="E80" s="101">
        <v>40715.570891203701</v>
      </c>
      <c r="F80" s="101"/>
      <c r="G80" s="102" t="str">
        <f>IF(stdProdLT(Main[[#This Row],[Comments]])=0.1,"N/A",IF(stdProdLT(Main[[#This Row],[Comments]])=0,"",stdProdLT(Main[[#This Row],[Comments]])))</f>
        <v>N/A</v>
      </c>
      <c r="H80" s="103" t="str">
        <f>IF(AND(Main[[#This Row],[In Stock Date]]&lt;&gt;"",Main[[#This Row],[Revised Due Date]]&lt;&gt;""),Main[[#This Row],[In Stock Date]]-Main[[#This Row],[Revised Due Date]],"")</f>
        <v/>
      </c>
      <c r="I80" s="99" t="s">
        <v>929</v>
      </c>
      <c r="J80" s="99" t="s">
        <v>52</v>
      </c>
      <c r="K80" s="99" t="s">
        <v>4</v>
      </c>
      <c r="L80" s="101"/>
      <c r="M80" s="104" t="str">
        <f>IF(Main[[#This Row],[Tech Start Date]]&lt;1/1/1990,"",IF(Main[[#This Row],[Class]]="C",WORKDAY(Main[[#This Row],[Tech Start Date]],9),IF(Main[[#This Row],[Class]]="B", WORKDAY(Main[[#This Row],[Tech Start Date]],6),IF(Main[[#This Row],[Class]]="A",WORKDAY(Main[[#This Row],[Tech Start Date]],2),""))))</f>
        <v/>
      </c>
      <c r="N80" s="104" t="str">
        <f>IF(Main[[#This Row],[Tech Start Date]]&lt;1/1/1990,"",IF(Main[[#This Row],[Class]]="C",WORKDAY(Main[[#This Row],[Tech Start Date]],19),IF(Main[[#This Row],[Class]]="B", WORKDAY(Main[[#This Row],[Tech Start Date]],12),IF(Main[[#This Row],[Class]]="A",WORKDAY(Main[[#This Row],[Tech Start Date]],4),""))))</f>
        <v/>
      </c>
      <c r="O80" s="104" t="str">
        <f>IF(Main[[#This Row],[Tech Start Date]]&lt;1/1/1990,"",IF(Main[[#This Row],[Class]]="C",WORKDAY(Main[[#This Row],[Tech Start Date]],23),IF(Main[[#This Row],[Class]]="B", WORKDAY(Main[[#This Row],[Tech Start Date]],15),IF(Main[[#This Row],[Class]]="A",WORKDAY(Main[[#This Row],[Tech Start Date]],5),""))))</f>
        <v/>
      </c>
      <c r="P80" s="104" t="str">
        <f>IF(Main[[#This Row],[Tech Start Date]]&lt;1/1/1990,"",IF(Main[[#This Row],[Class]]="C",WORKDAY(Main[[#This Row],[Tech Start Date]],28),IF(Main[[#This Row],[Class]]="B", WORKDAY(Main[[#This Row],[Tech Start Date]],19),IF(Main[[#This Row],[Class]]="A",WORKDAY(Main[[#This Row],[Tech Start Date]],9),""))))</f>
        <v/>
      </c>
      <c r="Q80" s="101">
        <v>40733</v>
      </c>
      <c r="R80" s="101">
        <v>40756</v>
      </c>
      <c r="S80" s="99" t="s">
        <v>6</v>
      </c>
      <c r="T80" s="107" t="s">
        <v>2784</v>
      </c>
      <c r="U80" s="99" t="s">
        <v>29</v>
      </c>
      <c r="V80" s="99" t="s">
        <v>1962</v>
      </c>
      <c r="W80" s="99" t="s">
        <v>1966</v>
      </c>
    </row>
    <row r="81" spans="1:23" ht="18.600000000000001" customHeight="1">
      <c r="A81" s="123">
        <f>IF(priority(Main[[#This Row],[Comments]])&lt;&gt;0, priority(Main[[#This Row],[Comments]]),"")</f>
        <v>22</v>
      </c>
      <c r="B81" s="127" t="s">
        <v>1697</v>
      </c>
      <c r="C81" s="99" t="s">
        <v>122</v>
      </c>
      <c r="D81" s="100" t="s">
        <v>2834</v>
      </c>
      <c r="E81" s="101">
        <v>40828.408333333333</v>
      </c>
      <c r="F81" s="101">
        <v>41061</v>
      </c>
      <c r="G81" s="102">
        <f>IF(stdProdLT(Main[[#This Row],[Comments]])=0.1,"N/A",IF(stdProdLT(Main[[#This Row],[Comments]])=0,"",stdProdLT(Main[[#This Row],[Comments]])))</f>
        <v>126</v>
      </c>
      <c r="H81" s="103" t="str">
        <f>IF(AND(Main[[#This Row],[In Stock Date]]&lt;&gt;"",Main[[#This Row],[Revised Due Date]]&lt;&gt;""),Main[[#This Row],[In Stock Date]]-Main[[#This Row],[Revised Due Date]],"")</f>
        <v/>
      </c>
      <c r="I81" s="99" t="s">
        <v>4</v>
      </c>
      <c r="J81" s="99" t="s">
        <v>28</v>
      </c>
      <c r="K81" s="99" t="s">
        <v>1975</v>
      </c>
      <c r="L81" s="101"/>
      <c r="M81" s="104" t="str">
        <f>IF(Main[[#This Row],[Tech Start Date]]&lt;1/1/1990,"",IF(Main[[#This Row],[Class]]="C",WORKDAY(Main[[#This Row],[Tech Start Date]],9),IF(Main[[#This Row],[Class]]="B", WORKDAY(Main[[#This Row],[Tech Start Date]],6),IF(Main[[#This Row],[Class]]="A",WORKDAY(Main[[#This Row],[Tech Start Date]],2),""))))</f>
        <v/>
      </c>
      <c r="N81" s="104" t="str">
        <f>IF(Main[[#This Row],[Tech Start Date]]&lt;1/1/1990,"",IF(Main[[#This Row],[Class]]="C",WORKDAY(Main[[#This Row],[Tech Start Date]],19),IF(Main[[#This Row],[Class]]="B", WORKDAY(Main[[#This Row],[Tech Start Date]],12),IF(Main[[#This Row],[Class]]="A",WORKDAY(Main[[#This Row],[Tech Start Date]],4),""))))</f>
        <v/>
      </c>
      <c r="O81" s="104" t="str">
        <f>IF(Main[[#This Row],[Tech Start Date]]&lt;1/1/1990,"",IF(Main[[#This Row],[Class]]="C",WORKDAY(Main[[#This Row],[Tech Start Date]],23),IF(Main[[#This Row],[Class]]="B", WORKDAY(Main[[#This Row],[Tech Start Date]],15),IF(Main[[#This Row],[Class]]="A",WORKDAY(Main[[#This Row],[Tech Start Date]],5),""))))</f>
        <v/>
      </c>
      <c r="P81" s="104" t="str">
        <f>IF(Main[[#This Row],[Tech Start Date]]&lt;1/1/1990,"",IF(Main[[#This Row],[Class]]="C",WORKDAY(Main[[#This Row],[Tech Start Date]],28),IF(Main[[#This Row],[Class]]="B", WORKDAY(Main[[#This Row],[Tech Start Date]],19),IF(Main[[#This Row],[Class]]="A",WORKDAY(Main[[#This Row],[Tech Start Date]],9),""))))</f>
        <v/>
      </c>
      <c r="Q81" s="101">
        <v>40711</v>
      </c>
      <c r="R81" s="101"/>
      <c r="S81" s="99" t="s">
        <v>11</v>
      </c>
      <c r="T81" s="107" t="s">
        <v>3146</v>
      </c>
      <c r="U81" s="99" t="s">
        <v>7</v>
      </c>
      <c r="V81" s="99" t="s">
        <v>1962</v>
      </c>
      <c r="W81" s="99" t="s">
        <v>1964</v>
      </c>
    </row>
    <row r="82" spans="1:23" ht="18.600000000000001" customHeight="1">
      <c r="A82" s="123">
        <f>IF(priority(Main[[#This Row],[Comments]])&lt;&gt;0, priority(Main[[#This Row],[Comments]]),"")</f>
        <v>22</v>
      </c>
      <c r="B82" s="127" t="s">
        <v>2919</v>
      </c>
      <c r="C82" s="99" t="s">
        <v>3044</v>
      </c>
      <c r="D82" s="100" t="s">
        <v>2920</v>
      </c>
      <c r="E82" s="101">
        <v>40834.57916666667</v>
      </c>
      <c r="F82" s="101">
        <v>41014</v>
      </c>
      <c r="G82" s="102">
        <f>IF(stdProdLT(Main[[#This Row],[Comments]])=0.1,"N/A",IF(stdProdLT(Main[[#This Row],[Comments]])=0,"",stdProdLT(Main[[#This Row],[Comments]])))</f>
        <v>168</v>
      </c>
      <c r="H82" s="103">
        <f>IF(AND(Main[[#This Row],[In Stock Date]]&lt;&gt;"",Main[[#This Row],[Revised Due Date]]&lt;&gt;""),Main[[#This Row],[In Stock Date]]-Main[[#This Row],[Revised Due Date]],"")</f>
        <v>118</v>
      </c>
      <c r="I82" s="99" t="s">
        <v>495</v>
      </c>
      <c r="J82" s="99" t="s">
        <v>70</v>
      </c>
      <c r="K82" s="99" t="s">
        <v>1969</v>
      </c>
      <c r="L82" s="101">
        <v>40835</v>
      </c>
      <c r="M82" s="104">
        <f>IF(Main[[#This Row],[Tech Start Date]]&lt;1/1/1990,"",IF(Main[[#This Row],[Class]]="C",WORKDAY(Main[[#This Row],[Tech Start Date]],9),IF(Main[[#This Row],[Class]]="B", WORKDAY(Main[[#This Row],[Tech Start Date]],6),IF(Main[[#This Row],[Class]]="A",WORKDAY(Main[[#This Row],[Tech Start Date]],2),""))))</f>
        <v>40843</v>
      </c>
      <c r="N82" s="104">
        <f>IF(Main[[#This Row],[Tech Start Date]]&lt;1/1/1990,"",IF(Main[[#This Row],[Class]]="C",WORKDAY(Main[[#This Row],[Tech Start Date]],19),IF(Main[[#This Row],[Class]]="B", WORKDAY(Main[[#This Row],[Tech Start Date]],12),IF(Main[[#This Row],[Class]]="A",WORKDAY(Main[[#This Row],[Tech Start Date]],4),""))))</f>
        <v>40851</v>
      </c>
      <c r="O82" s="104">
        <f>IF(Main[[#This Row],[Tech Start Date]]&lt;1/1/1990,"",IF(Main[[#This Row],[Class]]="C",WORKDAY(Main[[#This Row],[Tech Start Date]],23),IF(Main[[#This Row],[Class]]="B", WORKDAY(Main[[#This Row],[Tech Start Date]],15),IF(Main[[#This Row],[Class]]="A",WORKDAY(Main[[#This Row],[Tech Start Date]],5),""))))</f>
        <v>40856</v>
      </c>
      <c r="P82" s="104">
        <f>IF(Main[[#This Row],[Tech Start Date]]&lt;1/1/1990,"",IF(Main[[#This Row],[Class]]="C",WORKDAY(Main[[#This Row],[Tech Start Date]],28),IF(Main[[#This Row],[Class]]="B", WORKDAY(Main[[#This Row],[Tech Start Date]],19),IF(Main[[#This Row],[Class]]="A",WORKDAY(Main[[#This Row],[Tech Start Date]],9),""))))</f>
        <v>40862</v>
      </c>
      <c r="Q82" s="101">
        <v>40870</v>
      </c>
      <c r="R82" s="101">
        <v>40896</v>
      </c>
      <c r="S82" s="99" t="s">
        <v>11</v>
      </c>
      <c r="T82" s="107" t="s">
        <v>2921</v>
      </c>
      <c r="U82" s="99" t="s">
        <v>29</v>
      </c>
      <c r="V82" s="99" t="s">
        <v>1965</v>
      </c>
      <c r="W82" s="99" t="s">
        <v>1968</v>
      </c>
    </row>
    <row r="83" spans="1:23" ht="18.600000000000001" customHeight="1">
      <c r="A83" s="123">
        <f>IF(priority(Main[[#This Row],[Comments]])&lt;&gt;0, priority(Main[[#This Row],[Comments]]),"")</f>
        <v>23</v>
      </c>
      <c r="B83" s="127" t="s">
        <v>2922</v>
      </c>
      <c r="C83" s="99" t="s">
        <v>3044</v>
      </c>
      <c r="D83" s="100" t="s">
        <v>2923</v>
      </c>
      <c r="E83" s="101">
        <v>40834.573761574073</v>
      </c>
      <c r="F83" s="101">
        <v>41014</v>
      </c>
      <c r="G83" s="102">
        <f>IF(stdProdLT(Main[[#This Row],[Comments]])=0.1,"N/A",IF(stdProdLT(Main[[#This Row],[Comments]])=0,"",stdProdLT(Main[[#This Row],[Comments]])))</f>
        <v>168</v>
      </c>
      <c r="H83" s="103">
        <f>IF(AND(Main[[#This Row],[In Stock Date]]&lt;&gt;"",Main[[#This Row],[Revised Due Date]]&lt;&gt;""),Main[[#This Row],[In Stock Date]]-Main[[#This Row],[Revised Due Date]],"")</f>
        <v>144</v>
      </c>
      <c r="I83" s="99" t="s">
        <v>81</v>
      </c>
      <c r="J83" s="99" t="s">
        <v>52</v>
      </c>
      <c r="K83" s="99" t="s">
        <v>1969</v>
      </c>
      <c r="L83" s="101">
        <v>40835</v>
      </c>
      <c r="M83" s="104">
        <f>IF(Main[[#This Row],[Tech Start Date]]&lt;1/1/1990,"",IF(Main[[#This Row],[Class]]="C",WORKDAY(Main[[#This Row],[Tech Start Date]],9),IF(Main[[#This Row],[Class]]="B", WORKDAY(Main[[#This Row],[Tech Start Date]],6),IF(Main[[#This Row],[Class]]="A",WORKDAY(Main[[#This Row],[Tech Start Date]],2),""))))</f>
        <v>40843</v>
      </c>
      <c r="N83" s="104">
        <f>IF(Main[[#This Row],[Tech Start Date]]&lt;1/1/1990,"",IF(Main[[#This Row],[Class]]="C",WORKDAY(Main[[#This Row],[Tech Start Date]],19),IF(Main[[#This Row],[Class]]="B", WORKDAY(Main[[#This Row],[Tech Start Date]],12),IF(Main[[#This Row],[Class]]="A",WORKDAY(Main[[#This Row],[Tech Start Date]],4),""))))</f>
        <v>40851</v>
      </c>
      <c r="O83" s="104">
        <f>IF(Main[[#This Row],[Tech Start Date]]&lt;1/1/1990,"",IF(Main[[#This Row],[Class]]="C",WORKDAY(Main[[#This Row],[Tech Start Date]],23),IF(Main[[#This Row],[Class]]="B", WORKDAY(Main[[#This Row],[Tech Start Date]],15),IF(Main[[#This Row],[Class]]="A",WORKDAY(Main[[#This Row],[Tech Start Date]],5),""))))</f>
        <v>40856</v>
      </c>
      <c r="P83" s="104">
        <f>IF(Main[[#This Row],[Tech Start Date]]&lt;1/1/1990,"",IF(Main[[#This Row],[Class]]="C",WORKDAY(Main[[#This Row],[Tech Start Date]],28),IF(Main[[#This Row],[Class]]="B", WORKDAY(Main[[#This Row],[Tech Start Date]],19),IF(Main[[#This Row],[Class]]="A",WORKDAY(Main[[#This Row],[Tech Start Date]],9),""))))</f>
        <v>40862</v>
      </c>
      <c r="Q83" s="101">
        <v>40870</v>
      </c>
      <c r="R83" s="101">
        <v>40870</v>
      </c>
      <c r="S83" s="99" t="s">
        <v>11</v>
      </c>
      <c r="T83" s="107" t="s">
        <v>2924</v>
      </c>
      <c r="U83" s="99" t="s">
        <v>29</v>
      </c>
      <c r="V83" s="99" t="s">
        <v>1965</v>
      </c>
      <c r="W83" s="99" t="s">
        <v>1968</v>
      </c>
    </row>
    <row r="84" spans="1:23" ht="18.600000000000001" customHeight="1">
      <c r="A84" s="123">
        <f>IF(priority(Main[[#This Row],[Comments]])&lt;&gt;0, priority(Main[[#This Row],[Comments]]),"")</f>
        <v>23</v>
      </c>
      <c r="B84" s="127" t="s">
        <v>2939</v>
      </c>
      <c r="C84" s="99" t="s">
        <v>58</v>
      </c>
      <c r="D84" s="100" t="s">
        <v>3077</v>
      </c>
      <c r="E84" s="101">
        <v>40829.585555555554</v>
      </c>
      <c r="F84" s="101">
        <v>41091</v>
      </c>
      <c r="G84" s="102">
        <f>IF(stdProdLT(Main[[#This Row],[Comments]])=0.1,"N/A",IF(stdProdLT(Main[[#This Row],[Comments]])=0,"",stdProdLT(Main[[#This Row],[Comments]])))</f>
        <v>126</v>
      </c>
      <c r="H84" s="103">
        <f>IF(AND(Main[[#This Row],[In Stock Date]]&lt;&gt;"",Main[[#This Row],[Revised Due Date]]&lt;&gt;""),Main[[#This Row],[In Stock Date]]-Main[[#This Row],[Revised Due Date]],"")</f>
        <v>191</v>
      </c>
      <c r="I84" s="99" t="s">
        <v>955</v>
      </c>
      <c r="J84" s="99" t="s">
        <v>52</v>
      </c>
      <c r="K84" s="99" t="s">
        <v>1969</v>
      </c>
      <c r="L84" s="101">
        <v>40848</v>
      </c>
      <c r="M84" s="104">
        <f>IF(Main[[#This Row],[Tech Start Date]]&lt;1/1/1990,"",IF(Main[[#This Row],[Class]]="C",WORKDAY(Main[[#This Row],[Tech Start Date]],9),IF(Main[[#This Row],[Class]]="B", WORKDAY(Main[[#This Row],[Tech Start Date]],6),IF(Main[[#This Row],[Class]]="A",WORKDAY(Main[[#This Row],[Tech Start Date]],2),""))))</f>
        <v>40856</v>
      </c>
      <c r="N84" s="104">
        <f>IF(Main[[#This Row],[Tech Start Date]]&lt;1/1/1990,"",IF(Main[[#This Row],[Class]]="C",WORKDAY(Main[[#This Row],[Tech Start Date]],19),IF(Main[[#This Row],[Class]]="B", WORKDAY(Main[[#This Row],[Tech Start Date]],12),IF(Main[[#This Row],[Class]]="A",WORKDAY(Main[[#This Row],[Tech Start Date]],4),""))))</f>
        <v>40864</v>
      </c>
      <c r="O84" s="104">
        <f>IF(Main[[#This Row],[Tech Start Date]]&lt;1/1/1990,"",IF(Main[[#This Row],[Class]]="C",WORKDAY(Main[[#This Row],[Tech Start Date]],23),IF(Main[[#This Row],[Class]]="B", WORKDAY(Main[[#This Row],[Tech Start Date]],15),IF(Main[[#This Row],[Class]]="A",WORKDAY(Main[[#This Row],[Tech Start Date]],5),""))))</f>
        <v>40869</v>
      </c>
      <c r="P84" s="104">
        <f>IF(Main[[#This Row],[Tech Start Date]]&lt;1/1/1990,"",IF(Main[[#This Row],[Class]]="C",WORKDAY(Main[[#This Row],[Tech Start Date]],28),IF(Main[[#This Row],[Class]]="B", WORKDAY(Main[[#This Row],[Tech Start Date]],19),IF(Main[[#This Row],[Class]]="A",WORKDAY(Main[[#This Row],[Tech Start Date]],9),""))))</f>
        <v>40875</v>
      </c>
      <c r="Q84" s="101">
        <v>40900</v>
      </c>
      <c r="R84" s="101">
        <v>40900</v>
      </c>
      <c r="S84" s="99" t="s">
        <v>11</v>
      </c>
      <c r="T84" s="107" t="s">
        <v>3147</v>
      </c>
      <c r="U84" s="99" t="s">
        <v>29</v>
      </c>
      <c r="V84" s="99" t="s">
        <v>1962</v>
      </c>
      <c r="W84" s="99" t="s">
        <v>1973</v>
      </c>
    </row>
    <row r="85" spans="1:23" ht="18.600000000000001" customHeight="1">
      <c r="A85" s="123">
        <f>IF(priority(Main[[#This Row],[Comments]])&lt;&gt;0, priority(Main[[#This Row],[Comments]]),"")</f>
        <v>24</v>
      </c>
      <c r="B85" s="127" t="s">
        <v>1595</v>
      </c>
      <c r="C85" s="99" t="s">
        <v>4</v>
      </c>
      <c r="D85" s="100" t="s">
        <v>2381</v>
      </c>
      <c r="E85" s="101">
        <v>40710.712175925924</v>
      </c>
      <c r="F85" s="101"/>
      <c r="G85" s="102" t="str">
        <f>IF(stdProdLT(Main[[#This Row],[Comments]])=0.1,"N/A",IF(stdProdLT(Main[[#This Row],[Comments]])=0,"",stdProdLT(Main[[#This Row],[Comments]])))</f>
        <v>N/A</v>
      </c>
      <c r="H85" s="103" t="str">
        <f>IF(AND(Main[[#This Row],[In Stock Date]]&lt;&gt;"",Main[[#This Row],[Revised Due Date]]&lt;&gt;""),Main[[#This Row],[In Stock Date]]-Main[[#This Row],[Revised Due Date]],"")</f>
        <v/>
      </c>
      <c r="I85" s="99" t="s">
        <v>929</v>
      </c>
      <c r="J85" s="99" t="s">
        <v>4</v>
      </c>
      <c r="K85" s="99" t="s">
        <v>4</v>
      </c>
      <c r="L85" s="101"/>
      <c r="M85" s="104" t="str">
        <f>IF(Main[[#This Row],[Tech Start Date]]&lt;1/1/1990,"",IF(Main[[#This Row],[Class]]="C",WORKDAY(Main[[#This Row],[Tech Start Date]],9),IF(Main[[#This Row],[Class]]="B", WORKDAY(Main[[#This Row],[Tech Start Date]],6),IF(Main[[#This Row],[Class]]="A",WORKDAY(Main[[#This Row],[Tech Start Date]],2),""))))</f>
        <v/>
      </c>
      <c r="N85" s="104" t="str">
        <f>IF(Main[[#This Row],[Tech Start Date]]&lt;1/1/1990,"",IF(Main[[#This Row],[Class]]="C",WORKDAY(Main[[#This Row],[Tech Start Date]],19),IF(Main[[#This Row],[Class]]="B", WORKDAY(Main[[#This Row],[Tech Start Date]],12),IF(Main[[#This Row],[Class]]="A",WORKDAY(Main[[#This Row],[Tech Start Date]],4),""))))</f>
        <v/>
      </c>
      <c r="O85" s="104" t="str">
        <f>IF(Main[[#This Row],[Tech Start Date]]&lt;1/1/1990,"",IF(Main[[#This Row],[Class]]="C",WORKDAY(Main[[#This Row],[Tech Start Date]],23),IF(Main[[#This Row],[Class]]="B", WORKDAY(Main[[#This Row],[Tech Start Date]],15),IF(Main[[#This Row],[Class]]="A",WORKDAY(Main[[#This Row],[Tech Start Date]],5),""))))</f>
        <v/>
      </c>
      <c r="P85" s="104" t="str">
        <f>IF(Main[[#This Row],[Tech Start Date]]&lt;1/1/1990,"",IF(Main[[#This Row],[Class]]="C",WORKDAY(Main[[#This Row],[Tech Start Date]],28),IF(Main[[#This Row],[Class]]="B", WORKDAY(Main[[#This Row],[Tech Start Date]],19),IF(Main[[#This Row],[Class]]="A",WORKDAY(Main[[#This Row],[Tech Start Date]],9),""))))</f>
        <v/>
      </c>
      <c r="Q85" s="101"/>
      <c r="R85" s="101">
        <v>40756</v>
      </c>
      <c r="S85" s="99" t="s">
        <v>6</v>
      </c>
      <c r="T85" s="107" t="s">
        <v>2336</v>
      </c>
      <c r="U85" s="99" t="s">
        <v>29</v>
      </c>
      <c r="V85" s="99" t="s">
        <v>1962</v>
      </c>
      <c r="W85" s="99" t="s">
        <v>1966</v>
      </c>
    </row>
    <row r="86" spans="1:23" ht="18.600000000000001" customHeight="1">
      <c r="A86" s="123">
        <f>IF(priority(Main[[#This Row],[Comments]])&lt;&gt;0, priority(Main[[#This Row],[Comments]]),"")</f>
        <v>24</v>
      </c>
      <c r="B86" s="127" t="s">
        <v>2908</v>
      </c>
      <c r="C86" s="99" t="s">
        <v>3044</v>
      </c>
      <c r="D86" s="100" t="s">
        <v>2909</v>
      </c>
      <c r="E86" s="101">
        <v>40822.618564814817</v>
      </c>
      <c r="F86" s="101">
        <v>41014</v>
      </c>
      <c r="G86" s="102">
        <f>IF(stdProdLT(Main[[#This Row],[Comments]])=0.1,"N/A",IF(stdProdLT(Main[[#This Row],[Comments]])=0,"",stdProdLT(Main[[#This Row],[Comments]])))</f>
        <v>168</v>
      </c>
      <c r="H86" s="103">
        <f>IF(AND(Main[[#This Row],[In Stock Date]]&lt;&gt;"",Main[[#This Row],[Revised Due Date]]&lt;&gt;""),Main[[#This Row],[In Stock Date]]-Main[[#This Row],[Revised Due Date]],"")</f>
        <v>118</v>
      </c>
      <c r="I86" s="99" t="s">
        <v>495</v>
      </c>
      <c r="J86" s="99" t="s">
        <v>70</v>
      </c>
      <c r="K86" s="99" t="s">
        <v>1969</v>
      </c>
      <c r="L86" s="101">
        <v>40835</v>
      </c>
      <c r="M86" s="104">
        <f>IF(Main[[#This Row],[Tech Start Date]]&lt;1/1/1990,"",IF(Main[[#This Row],[Class]]="C",WORKDAY(Main[[#This Row],[Tech Start Date]],9),IF(Main[[#This Row],[Class]]="B", WORKDAY(Main[[#This Row],[Tech Start Date]],6),IF(Main[[#This Row],[Class]]="A",WORKDAY(Main[[#This Row],[Tech Start Date]],2),""))))</f>
        <v>40843</v>
      </c>
      <c r="N86" s="104">
        <f>IF(Main[[#This Row],[Tech Start Date]]&lt;1/1/1990,"",IF(Main[[#This Row],[Class]]="C",WORKDAY(Main[[#This Row],[Tech Start Date]],19),IF(Main[[#This Row],[Class]]="B", WORKDAY(Main[[#This Row],[Tech Start Date]],12),IF(Main[[#This Row],[Class]]="A",WORKDAY(Main[[#This Row],[Tech Start Date]],4),""))))</f>
        <v>40851</v>
      </c>
      <c r="O86" s="104">
        <f>IF(Main[[#This Row],[Tech Start Date]]&lt;1/1/1990,"",IF(Main[[#This Row],[Class]]="C",WORKDAY(Main[[#This Row],[Tech Start Date]],23),IF(Main[[#This Row],[Class]]="B", WORKDAY(Main[[#This Row],[Tech Start Date]],15),IF(Main[[#This Row],[Class]]="A",WORKDAY(Main[[#This Row],[Tech Start Date]],5),""))))</f>
        <v>40856</v>
      </c>
      <c r="P86" s="104">
        <f>IF(Main[[#This Row],[Tech Start Date]]&lt;1/1/1990,"",IF(Main[[#This Row],[Class]]="C",WORKDAY(Main[[#This Row],[Tech Start Date]],28),IF(Main[[#This Row],[Class]]="B", WORKDAY(Main[[#This Row],[Tech Start Date]],19),IF(Main[[#This Row],[Class]]="A",WORKDAY(Main[[#This Row],[Tech Start Date]],9),""))))</f>
        <v>40862</v>
      </c>
      <c r="Q86" s="101">
        <v>40870</v>
      </c>
      <c r="R86" s="101">
        <v>40896</v>
      </c>
      <c r="S86" s="99" t="s">
        <v>11</v>
      </c>
      <c r="T86" s="107" t="s">
        <v>2910</v>
      </c>
      <c r="U86" s="99" t="s">
        <v>29</v>
      </c>
      <c r="V86" s="99" t="s">
        <v>1965</v>
      </c>
      <c r="W86" s="99" t="s">
        <v>1968</v>
      </c>
    </row>
    <row r="87" spans="1:23" ht="18.600000000000001" customHeight="1">
      <c r="A87" s="123">
        <f>IF(priority(Main[[#This Row],[Comments]])&lt;&gt;0, priority(Main[[#This Row],[Comments]]),"")</f>
        <v>24</v>
      </c>
      <c r="B87" s="127" t="s">
        <v>2949</v>
      </c>
      <c r="C87" s="99" t="s">
        <v>58</v>
      </c>
      <c r="D87" s="100" t="s">
        <v>3078</v>
      </c>
      <c r="E87" s="101">
        <v>40829.598877314813</v>
      </c>
      <c r="F87" s="101">
        <v>41091</v>
      </c>
      <c r="G87" s="102">
        <f>IF(stdProdLT(Main[[#This Row],[Comments]])=0.1,"N/A",IF(stdProdLT(Main[[#This Row],[Comments]])=0,"",stdProdLT(Main[[#This Row],[Comments]])))</f>
        <v>126</v>
      </c>
      <c r="H87" s="103">
        <f>IF(AND(Main[[#This Row],[In Stock Date]]&lt;&gt;"",Main[[#This Row],[Revised Due Date]]&lt;&gt;""),Main[[#This Row],[In Stock Date]]-Main[[#This Row],[Revised Due Date]],"")</f>
        <v>191</v>
      </c>
      <c r="I87" s="99" t="s">
        <v>955</v>
      </c>
      <c r="J87" s="99" t="s">
        <v>28</v>
      </c>
      <c r="K87" s="99" t="s">
        <v>1969</v>
      </c>
      <c r="L87" s="101">
        <v>40849</v>
      </c>
      <c r="M87" s="104">
        <f>IF(Main[[#This Row],[Tech Start Date]]&lt;1/1/1990,"",IF(Main[[#This Row],[Class]]="C",WORKDAY(Main[[#This Row],[Tech Start Date]],9),IF(Main[[#This Row],[Class]]="B", WORKDAY(Main[[#This Row],[Tech Start Date]],6),IF(Main[[#This Row],[Class]]="A",WORKDAY(Main[[#This Row],[Tech Start Date]],2),""))))</f>
        <v>40857</v>
      </c>
      <c r="N87" s="104">
        <f>IF(Main[[#This Row],[Tech Start Date]]&lt;1/1/1990,"",IF(Main[[#This Row],[Class]]="C",WORKDAY(Main[[#This Row],[Tech Start Date]],19),IF(Main[[#This Row],[Class]]="B", WORKDAY(Main[[#This Row],[Tech Start Date]],12),IF(Main[[#This Row],[Class]]="A",WORKDAY(Main[[#This Row],[Tech Start Date]],4),""))))</f>
        <v>40865</v>
      </c>
      <c r="O87" s="104">
        <f>IF(Main[[#This Row],[Tech Start Date]]&lt;1/1/1990,"",IF(Main[[#This Row],[Class]]="C",WORKDAY(Main[[#This Row],[Tech Start Date]],23),IF(Main[[#This Row],[Class]]="B", WORKDAY(Main[[#This Row],[Tech Start Date]],15),IF(Main[[#This Row],[Class]]="A",WORKDAY(Main[[#This Row],[Tech Start Date]],5),""))))</f>
        <v>40870</v>
      </c>
      <c r="P87" s="104">
        <f>IF(Main[[#This Row],[Tech Start Date]]&lt;1/1/1990,"",IF(Main[[#This Row],[Class]]="C",WORKDAY(Main[[#This Row],[Tech Start Date]],28),IF(Main[[#This Row],[Class]]="B", WORKDAY(Main[[#This Row],[Tech Start Date]],19),IF(Main[[#This Row],[Class]]="A",WORKDAY(Main[[#This Row],[Tech Start Date]],9),""))))</f>
        <v>40876</v>
      </c>
      <c r="Q87" s="101">
        <v>40900</v>
      </c>
      <c r="R87" s="101">
        <v>40900</v>
      </c>
      <c r="S87" s="99" t="s">
        <v>11</v>
      </c>
      <c r="T87" s="107" t="s">
        <v>3148</v>
      </c>
      <c r="U87" s="99" t="s">
        <v>29</v>
      </c>
      <c r="V87" s="99" t="s">
        <v>1962</v>
      </c>
      <c r="W87" s="99" t="s">
        <v>1973</v>
      </c>
    </row>
    <row r="88" spans="1:23" ht="18.600000000000001" customHeight="1">
      <c r="A88" s="123">
        <f>IF(priority(Main[[#This Row],[Comments]])&lt;&gt;0, priority(Main[[#This Row],[Comments]]),"")</f>
        <v>25</v>
      </c>
      <c r="B88" s="127" t="s">
        <v>2137</v>
      </c>
      <c r="C88" s="99" t="s">
        <v>33</v>
      </c>
      <c r="D88" s="100" t="s">
        <v>2404</v>
      </c>
      <c r="E88" s="101">
        <v>40776.124837962961</v>
      </c>
      <c r="F88" s="101">
        <v>41007</v>
      </c>
      <c r="G88" s="102">
        <f>IF(stdProdLT(Main[[#This Row],[Comments]])=0.1,"N/A",IF(stdProdLT(Main[[#This Row],[Comments]])=0,"",stdProdLT(Main[[#This Row],[Comments]])))</f>
        <v>112</v>
      </c>
      <c r="H88" s="103">
        <f>IF(AND(Main[[#This Row],[In Stock Date]]&lt;&gt;"",Main[[#This Row],[Revised Due Date]]&lt;&gt;""),Main[[#This Row],[In Stock Date]]-Main[[#This Row],[Revised Due Date]],"")</f>
        <v>107</v>
      </c>
      <c r="I88" s="99" t="s">
        <v>929</v>
      </c>
      <c r="J88" s="99" t="s">
        <v>52</v>
      </c>
      <c r="K88" s="99" t="s">
        <v>1975</v>
      </c>
      <c r="L88" s="101">
        <v>40805</v>
      </c>
      <c r="M88" s="104">
        <f>IF(Main[[#This Row],[Tech Start Date]]&lt;1/1/1990,"",IF(Main[[#This Row],[Class]]="C",WORKDAY(Main[[#This Row],[Tech Start Date]],9),IF(Main[[#This Row],[Class]]="B", WORKDAY(Main[[#This Row],[Tech Start Date]],6),IF(Main[[#This Row],[Class]]="A",WORKDAY(Main[[#This Row],[Tech Start Date]],2),""))))</f>
        <v>40816</v>
      </c>
      <c r="N88" s="104">
        <f>IF(Main[[#This Row],[Tech Start Date]]&lt;1/1/1990,"",IF(Main[[#This Row],[Class]]="C",WORKDAY(Main[[#This Row],[Tech Start Date]],19),IF(Main[[#This Row],[Class]]="B", WORKDAY(Main[[#This Row],[Tech Start Date]],12),IF(Main[[#This Row],[Class]]="A",WORKDAY(Main[[#This Row],[Tech Start Date]],4),""))))</f>
        <v>40830</v>
      </c>
      <c r="O88" s="104">
        <f>IF(Main[[#This Row],[Tech Start Date]]&lt;1/1/1990,"",IF(Main[[#This Row],[Class]]="C",WORKDAY(Main[[#This Row],[Tech Start Date]],23),IF(Main[[#This Row],[Class]]="B", WORKDAY(Main[[#This Row],[Tech Start Date]],15),IF(Main[[#This Row],[Class]]="A",WORKDAY(Main[[#This Row],[Tech Start Date]],5),""))))</f>
        <v>40836</v>
      </c>
      <c r="P88" s="104">
        <f>IF(Main[[#This Row],[Tech Start Date]]&lt;1/1/1990,"",IF(Main[[#This Row],[Class]]="C",WORKDAY(Main[[#This Row],[Tech Start Date]],28),IF(Main[[#This Row],[Class]]="B", WORKDAY(Main[[#This Row],[Tech Start Date]],19),IF(Main[[#This Row],[Class]]="A",WORKDAY(Main[[#This Row],[Tech Start Date]],9),""))))</f>
        <v>40843</v>
      </c>
      <c r="Q88" s="101">
        <v>40811</v>
      </c>
      <c r="R88" s="101">
        <v>40900</v>
      </c>
      <c r="S88" s="99" t="s">
        <v>11</v>
      </c>
      <c r="T88" s="107" t="s">
        <v>3149</v>
      </c>
      <c r="U88" s="99" t="s">
        <v>29</v>
      </c>
      <c r="V88" s="99" t="s">
        <v>1962</v>
      </c>
      <c r="W88" s="99" t="s">
        <v>1967</v>
      </c>
    </row>
    <row r="89" spans="1:23" ht="18.600000000000001" customHeight="1">
      <c r="A89" s="123">
        <f>IF(priority(Main[[#This Row],[Comments]])&lt;&gt;0, priority(Main[[#This Row],[Comments]]),"")</f>
        <v>25</v>
      </c>
      <c r="B89" s="127" t="s">
        <v>2947</v>
      </c>
      <c r="C89" s="99" t="s">
        <v>3044</v>
      </c>
      <c r="D89" s="100" t="s">
        <v>3047</v>
      </c>
      <c r="E89" s="101">
        <v>40837.218958333331</v>
      </c>
      <c r="F89" s="101">
        <v>41014</v>
      </c>
      <c r="G89" s="102">
        <f>IF(stdProdLT(Main[[#This Row],[Comments]])=0.1,"N/A",IF(stdProdLT(Main[[#This Row],[Comments]])=0,"",stdProdLT(Main[[#This Row],[Comments]])))</f>
        <v>140</v>
      </c>
      <c r="H89" s="103">
        <f>IF(AND(Main[[#This Row],[In Stock Date]]&lt;&gt;"",Main[[#This Row],[Revised Due Date]]&lt;&gt;""),Main[[#This Row],[In Stock Date]]-Main[[#This Row],[Revised Due Date]],"")</f>
        <v>131</v>
      </c>
      <c r="I89" s="99" t="s">
        <v>81</v>
      </c>
      <c r="J89" s="99" t="s">
        <v>52</v>
      </c>
      <c r="K89" s="99" t="s">
        <v>1969</v>
      </c>
      <c r="L89" s="101">
        <v>40848</v>
      </c>
      <c r="M89" s="104">
        <f>IF(Main[[#This Row],[Tech Start Date]]&lt;1/1/1990,"",IF(Main[[#This Row],[Class]]="C",WORKDAY(Main[[#This Row],[Tech Start Date]],9),IF(Main[[#This Row],[Class]]="B", WORKDAY(Main[[#This Row],[Tech Start Date]],6),IF(Main[[#This Row],[Class]]="A",WORKDAY(Main[[#This Row],[Tech Start Date]],2),""))))</f>
        <v>40856</v>
      </c>
      <c r="N89" s="104">
        <f>IF(Main[[#This Row],[Tech Start Date]]&lt;1/1/1990,"",IF(Main[[#This Row],[Class]]="C",WORKDAY(Main[[#This Row],[Tech Start Date]],19),IF(Main[[#This Row],[Class]]="B", WORKDAY(Main[[#This Row],[Tech Start Date]],12),IF(Main[[#This Row],[Class]]="A",WORKDAY(Main[[#This Row],[Tech Start Date]],4),""))))</f>
        <v>40864</v>
      </c>
      <c r="O89" s="104">
        <f>IF(Main[[#This Row],[Tech Start Date]]&lt;1/1/1990,"",IF(Main[[#This Row],[Class]]="C",WORKDAY(Main[[#This Row],[Tech Start Date]],23),IF(Main[[#This Row],[Class]]="B", WORKDAY(Main[[#This Row],[Tech Start Date]],15),IF(Main[[#This Row],[Class]]="A",WORKDAY(Main[[#This Row],[Tech Start Date]],5),""))))</f>
        <v>40869</v>
      </c>
      <c r="P89" s="104">
        <f>IF(Main[[#This Row],[Tech Start Date]]&lt;1/1/1990,"",IF(Main[[#This Row],[Class]]="C",WORKDAY(Main[[#This Row],[Tech Start Date]],28),IF(Main[[#This Row],[Class]]="B", WORKDAY(Main[[#This Row],[Tech Start Date]],19),IF(Main[[#This Row],[Class]]="A",WORKDAY(Main[[#This Row],[Tech Start Date]],9),""))))</f>
        <v>40875</v>
      </c>
      <c r="Q89" s="101">
        <v>40860</v>
      </c>
      <c r="R89" s="101">
        <v>40883</v>
      </c>
      <c r="S89" s="99" t="s">
        <v>11</v>
      </c>
      <c r="T89" s="107" t="s">
        <v>2948</v>
      </c>
      <c r="U89" s="99" t="s">
        <v>29</v>
      </c>
      <c r="V89" s="99" t="s">
        <v>1972</v>
      </c>
      <c r="W89" s="99" t="s">
        <v>1968</v>
      </c>
    </row>
    <row r="90" spans="1:23" ht="18.600000000000001" customHeight="1">
      <c r="A90" s="123">
        <f>IF(priority(Main[[#This Row],[Comments]])&lt;&gt;0, priority(Main[[#This Row],[Comments]]),"")</f>
        <v>26</v>
      </c>
      <c r="B90" s="127" t="s">
        <v>1498</v>
      </c>
      <c r="C90" s="99" t="s">
        <v>4</v>
      </c>
      <c r="D90" s="100" t="s">
        <v>2395</v>
      </c>
      <c r="E90" s="101">
        <v>40702.622164351851</v>
      </c>
      <c r="F90" s="101"/>
      <c r="G90" s="102" t="str">
        <f>IF(stdProdLT(Main[[#This Row],[Comments]])=0.1,"N/A",IF(stdProdLT(Main[[#This Row],[Comments]])=0,"",stdProdLT(Main[[#This Row],[Comments]])))</f>
        <v>N/A</v>
      </c>
      <c r="H90" s="103" t="str">
        <f>IF(AND(Main[[#This Row],[In Stock Date]]&lt;&gt;"",Main[[#This Row],[Revised Due Date]]&lt;&gt;""),Main[[#This Row],[In Stock Date]]-Main[[#This Row],[Revised Due Date]],"")</f>
        <v/>
      </c>
      <c r="I90" s="99" t="s">
        <v>929</v>
      </c>
      <c r="J90" s="99" t="s">
        <v>52</v>
      </c>
      <c r="K90" s="99" t="s">
        <v>4</v>
      </c>
      <c r="L90" s="101"/>
      <c r="M90" s="104" t="str">
        <f>IF(Main[[#This Row],[Tech Start Date]]&lt;1/1/1990,"",IF(Main[[#This Row],[Class]]="C",WORKDAY(Main[[#This Row],[Tech Start Date]],9),IF(Main[[#This Row],[Class]]="B", WORKDAY(Main[[#This Row],[Tech Start Date]],6),IF(Main[[#This Row],[Class]]="A",WORKDAY(Main[[#This Row],[Tech Start Date]],2),""))))</f>
        <v/>
      </c>
      <c r="N90" s="104" t="str">
        <f>IF(Main[[#This Row],[Tech Start Date]]&lt;1/1/1990,"",IF(Main[[#This Row],[Class]]="C",WORKDAY(Main[[#This Row],[Tech Start Date]],19),IF(Main[[#This Row],[Class]]="B", WORKDAY(Main[[#This Row],[Tech Start Date]],12),IF(Main[[#This Row],[Class]]="A",WORKDAY(Main[[#This Row],[Tech Start Date]],4),""))))</f>
        <v/>
      </c>
      <c r="O90" s="104" t="str">
        <f>IF(Main[[#This Row],[Tech Start Date]]&lt;1/1/1990,"",IF(Main[[#This Row],[Class]]="C",WORKDAY(Main[[#This Row],[Tech Start Date]],23),IF(Main[[#This Row],[Class]]="B", WORKDAY(Main[[#This Row],[Tech Start Date]],15),IF(Main[[#This Row],[Class]]="A",WORKDAY(Main[[#This Row],[Tech Start Date]],5),""))))</f>
        <v/>
      </c>
      <c r="P90" s="104" t="str">
        <f>IF(Main[[#This Row],[Tech Start Date]]&lt;1/1/1990,"",IF(Main[[#This Row],[Class]]="C",WORKDAY(Main[[#This Row],[Tech Start Date]],28),IF(Main[[#This Row],[Class]]="B", WORKDAY(Main[[#This Row],[Tech Start Date]],19),IF(Main[[#This Row],[Class]]="A",WORKDAY(Main[[#This Row],[Tech Start Date]],9),""))))</f>
        <v/>
      </c>
      <c r="Q90" s="101"/>
      <c r="R90" s="101">
        <v>40756</v>
      </c>
      <c r="S90" s="99" t="s">
        <v>6</v>
      </c>
      <c r="T90" s="107" t="s">
        <v>2335</v>
      </c>
      <c r="U90" s="99" t="s">
        <v>29</v>
      </c>
      <c r="V90" s="99" t="s">
        <v>1962</v>
      </c>
      <c r="W90" s="99" t="s">
        <v>1966</v>
      </c>
    </row>
    <row r="91" spans="1:23" ht="18.600000000000001" customHeight="1">
      <c r="A91" s="123">
        <f>IF(priority(Main[[#This Row],[Comments]])&lt;&gt;0, priority(Main[[#This Row],[Comments]]),"")</f>
        <v>26</v>
      </c>
      <c r="B91" s="127" t="s">
        <v>1952</v>
      </c>
      <c r="C91" s="99" t="s">
        <v>977</v>
      </c>
      <c r="D91" s="100" t="s">
        <v>2074</v>
      </c>
      <c r="E91" s="101"/>
      <c r="F91" s="101"/>
      <c r="G91" s="102">
        <f>IF(stdProdLT(Main[[#This Row],[Comments]])=0.1,"N/A",IF(stdProdLT(Main[[#This Row],[Comments]])=0,"",stdProdLT(Main[[#This Row],[Comments]])))</f>
        <v>112</v>
      </c>
      <c r="H91" s="103" t="str">
        <f>IF(AND(Main[[#This Row],[In Stock Date]]&lt;&gt;"",Main[[#This Row],[Revised Due Date]]&lt;&gt;""),Main[[#This Row],[In Stock Date]]-Main[[#This Row],[Revised Due Date]],"")</f>
        <v/>
      </c>
      <c r="I91" s="99" t="s">
        <v>4</v>
      </c>
      <c r="J91" s="99" t="s">
        <v>52</v>
      </c>
      <c r="K91" s="99" t="s">
        <v>1975</v>
      </c>
      <c r="L91" s="101">
        <v>40694</v>
      </c>
      <c r="M91" s="104">
        <f>IF(Main[[#This Row],[Tech Start Date]]&lt;1/1/1990,"",IF(Main[[#This Row],[Class]]="C",WORKDAY(Main[[#This Row],[Tech Start Date]],9),IF(Main[[#This Row],[Class]]="B", WORKDAY(Main[[#This Row],[Tech Start Date]],6),IF(Main[[#This Row],[Class]]="A",WORKDAY(Main[[#This Row],[Tech Start Date]],2),""))))</f>
        <v>40707</v>
      </c>
      <c r="N91" s="104">
        <f>IF(Main[[#This Row],[Tech Start Date]]&lt;1/1/1990,"",IF(Main[[#This Row],[Class]]="C",WORKDAY(Main[[#This Row],[Tech Start Date]],19),IF(Main[[#This Row],[Class]]="B", WORKDAY(Main[[#This Row],[Tech Start Date]],12),IF(Main[[#This Row],[Class]]="A",WORKDAY(Main[[#This Row],[Tech Start Date]],4),""))))</f>
        <v>40721</v>
      </c>
      <c r="O91" s="104">
        <f>IF(Main[[#This Row],[Tech Start Date]]&lt;1/1/1990,"",IF(Main[[#This Row],[Class]]="C",WORKDAY(Main[[#This Row],[Tech Start Date]],23),IF(Main[[#This Row],[Class]]="B", WORKDAY(Main[[#This Row],[Tech Start Date]],15),IF(Main[[#This Row],[Class]]="A",WORKDAY(Main[[#This Row],[Tech Start Date]],5),""))))</f>
        <v>40725</v>
      </c>
      <c r="P91" s="104">
        <f>IF(Main[[#This Row],[Tech Start Date]]&lt;1/1/1990,"",IF(Main[[#This Row],[Class]]="C",WORKDAY(Main[[#This Row],[Tech Start Date]],28),IF(Main[[#This Row],[Class]]="B", WORKDAY(Main[[#This Row],[Tech Start Date]],19),IF(Main[[#This Row],[Class]]="A",WORKDAY(Main[[#This Row],[Tech Start Date]],9),""))))</f>
        <v>40732</v>
      </c>
      <c r="Q91" s="101">
        <v>40723</v>
      </c>
      <c r="R91" s="101">
        <v>40753</v>
      </c>
      <c r="S91" s="99" t="s">
        <v>11</v>
      </c>
      <c r="T91" s="107" t="s">
        <v>2055</v>
      </c>
      <c r="U91" s="99" t="s">
        <v>14</v>
      </c>
      <c r="V91" s="99" t="s">
        <v>1962</v>
      </c>
      <c r="W91" s="99" t="s">
        <v>1964</v>
      </c>
    </row>
    <row r="92" spans="1:23" ht="18.600000000000001" customHeight="1">
      <c r="A92" s="123">
        <f>IF(priority(Main[[#This Row],[Comments]])&lt;&gt;0, priority(Main[[#This Row],[Comments]]),"")</f>
        <v>26</v>
      </c>
      <c r="B92" s="127" t="s">
        <v>1472</v>
      </c>
      <c r="C92" s="99" t="s">
        <v>132</v>
      </c>
      <c r="D92" s="100" t="s">
        <v>2057</v>
      </c>
      <c r="E92" s="101"/>
      <c r="F92" s="101">
        <v>40939</v>
      </c>
      <c r="G92" s="102">
        <f>IF(stdProdLT(Main[[#This Row],[Comments]])=0.1,"N/A",IF(stdProdLT(Main[[#This Row],[Comments]])=0,"",stdProdLT(Main[[#This Row],[Comments]])))</f>
        <v>126</v>
      </c>
      <c r="H92" s="103">
        <f>IF(AND(Main[[#This Row],[In Stock Date]]&lt;&gt;"",Main[[#This Row],[Revised Due Date]]&lt;&gt;""),Main[[#This Row],[In Stock Date]]-Main[[#This Row],[Revised Due Date]],"")</f>
        <v>154</v>
      </c>
      <c r="I92" s="99" t="s">
        <v>126</v>
      </c>
      <c r="J92" s="99" t="s">
        <v>28</v>
      </c>
      <c r="K92" s="99" t="s">
        <v>1975</v>
      </c>
      <c r="L92" s="101">
        <v>40736</v>
      </c>
      <c r="M92" s="104">
        <f>IF(Main[[#This Row],[Tech Start Date]]&lt;1/1/1990,"",IF(Main[[#This Row],[Class]]="C",WORKDAY(Main[[#This Row],[Tech Start Date]],9),IF(Main[[#This Row],[Class]]="B", WORKDAY(Main[[#This Row],[Tech Start Date]],6),IF(Main[[#This Row],[Class]]="A",WORKDAY(Main[[#This Row],[Tech Start Date]],2),""))))</f>
        <v>40749</v>
      </c>
      <c r="N92" s="104">
        <f>IF(Main[[#This Row],[Tech Start Date]]&lt;1/1/1990,"",IF(Main[[#This Row],[Class]]="C",WORKDAY(Main[[#This Row],[Tech Start Date]],19),IF(Main[[#This Row],[Class]]="B", WORKDAY(Main[[#This Row],[Tech Start Date]],12),IF(Main[[#This Row],[Class]]="A",WORKDAY(Main[[#This Row],[Tech Start Date]],4),""))))</f>
        <v>40763</v>
      </c>
      <c r="O92" s="104">
        <f>IF(Main[[#This Row],[Tech Start Date]]&lt;1/1/1990,"",IF(Main[[#This Row],[Class]]="C",WORKDAY(Main[[#This Row],[Tech Start Date]],23),IF(Main[[#This Row],[Class]]="B", WORKDAY(Main[[#This Row],[Tech Start Date]],15),IF(Main[[#This Row],[Class]]="A",WORKDAY(Main[[#This Row],[Tech Start Date]],5),""))))</f>
        <v>40767</v>
      </c>
      <c r="P92" s="104">
        <f>IF(Main[[#This Row],[Tech Start Date]]&lt;1/1/1990,"",IF(Main[[#This Row],[Class]]="C",WORKDAY(Main[[#This Row],[Tech Start Date]],28),IF(Main[[#This Row],[Class]]="B", WORKDAY(Main[[#This Row],[Tech Start Date]],19),IF(Main[[#This Row],[Class]]="A",WORKDAY(Main[[#This Row],[Tech Start Date]],9),""))))</f>
        <v>40774</v>
      </c>
      <c r="Q92" s="101">
        <v>40799</v>
      </c>
      <c r="R92" s="101">
        <v>40785</v>
      </c>
      <c r="S92" s="99" t="s">
        <v>11</v>
      </c>
      <c r="T92" s="107" t="s">
        <v>2058</v>
      </c>
      <c r="U92" s="99" t="s">
        <v>14</v>
      </c>
      <c r="V92" s="99" t="s">
        <v>1962</v>
      </c>
      <c r="W92" s="99" t="s">
        <v>1973</v>
      </c>
    </row>
    <row r="93" spans="1:23" ht="18.600000000000001" customHeight="1">
      <c r="A93" s="123">
        <f>IF(priority(Main[[#This Row],[Comments]])&lt;&gt;0, priority(Main[[#This Row],[Comments]]),"")</f>
        <v>26</v>
      </c>
      <c r="B93" s="127" t="s">
        <v>3152</v>
      </c>
      <c r="C93" s="99" t="s">
        <v>116</v>
      </c>
      <c r="D93" s="100" t="s">
        <v>3153</v>
      </c>
      <c r="E93" s="101">
        <v>40763.500717592593</v>
      </c>
      <c r="F93" s="101">
        <v>41090</v>
      </c>
      <c r="G93" s="102">
        <f>IF(stdProdLT(Main[[#This Row],[Comments]])=0.1,"N/A",IF(stdProdLT(Main[[#This Row],[Comments]])=0,"",stdProdLT(Main[[#This Row],[Comments]])))</f>
        <v>154</v>
      </c>
      <c r="H93" s="103">
        <f>IF(AND(Main[[#This Row],[In Stock Date]]&lt;&gt;"",Main[[#This Row],[Revised Due Date]]&lt;&gt;""),Main[[#This Row],[In Stock Date]]-Main[[#This Row],[Revised Due Date]],"")</f>
        <v>182</v>
      </c>
      <c r="I93" s="99" t="s">
        <v>905</v>
      </c>
      <c r="J93" s="99" t="s">
        <v>28</v>
      </c>
      <c r="K93" s="99" t="s">
        <v>1975</v>
      </c>
      <c r="L93" s="101">
        <v>40772</v>
      </c>
      <c r="M93" s="104">
        <f>IF(Main[[#This Row],[Tech Start Date]]&lt;1/1/1990,"",IF(Main[[#This Row],[Class]]="C",WORKDAY(Main[[#This Row],[Tech Start Date]],9),IF(Main[[#This Row],[Class]]="B", WORKDAY(Main[[#This Row],[Tech Start Date]],6),IF(Main[[#This Row],[Class]]="A",WORKDAY(Main[[#This Row],[Tech Start Date]],2),""))))</f>
        <v>40785</v>
      </c>
      <c r="N93" s="104">
        <f>IF(Main[[#This Row],[Tech Start Date]]&lt;1/1/1990,"",IF(Main[[#This Row],[Class]]="C",WORKDAY(Main[[#This Row],[Tech Start Date]],19),IF(Main[[#This Row],[Class]]="B", WORKDAY(Main[[#This Row],[Tech Start Date]],12),IF(Main[[#This Row],[Class]]="A",WORKDAY(Main[[#This Row],[Tech Start Date]],4),""))))</f>
        <v>40799</v>
      </c>
      <c r="O93" s="104">
        <f>IF(Main[[#This Row],[Tech Start Date]]&lt;1/1/1990,"",IF(Main[[#This Row],[Class]]="C",WORKDAY(Main[[#This Row],[Tech Start Date]],23),IF(Main[[#This Row],[Class]]="B", WORKDAY(Main[[#This Row],[Tech Start Date]],15),IF(Main[[#This Row],[Class]]="A",WORKDAY(Main[[#This Row],[Tech Start Date]],5),""))))</f>
        <v>40805</v>
      </c>
      <c r="P93" s="104">
        <f>IF(Main[[#This Row],[Tech Start Date]]&lt;1/1/1990,"",IF(Main[[#This Row],[Class]]="C",WORKDAY(Main[[#This Row],[Tech Start Date]],28),IF(Main[[#This Row],[Class]]="B", WORKDAY(Main[[#This Row],[Tech Start Date]],19),IF(Main[[#This Row],[Class]]="A",WORKDAY(Main[[#This Row],[Tech Start Date]],9),""))))</f>
        <v>40812</v>
      </c>
      <c r="Q93" s="101">
        <v>40687</v>
      </c>
      <c r="R93" s="101">
        <v>40908</v>
      </c>
      <c r="S93" s="99" t="s">
        <v>11</v>
      </c>
      <c r="T93" s="107" t="s">
        <v>3154</v>
      </c>
      <c r="U93" s="99" t="s">
        <v>29</v>
      </c>
      <c r="V93" s="99" t="s">
        <v>1962</v>
      </c>
      <c r="W93" s="99" t="s">
        <v>1967</v>
      </c>
    </row>
    <row r="94" spans="1:23" ht="18.600000000000001" customHeight="1">
      <c r="A94" s="123">
        <f>IF(priority(Main[[#This Row],[Comments]])&lt;&gt;0, priority(Main[[#This Row],[Comments]]),"")</f>
        <v>26</v>
      </c>
      <c r="B94" s="127" t="s">
        <v>2987</v>
      </c>
      <c r="C94" s="99" t="s">
        <v>3044</v>
      </c>
      <c r="D94" s="100" t="s">
        <v>2988</v>
      </c>
      <c r="E94" s="101">
        <v>40848.333912037036</v>
      </c>
      <c r="F94" s="101">
        <v>41014</v>
      </c>
      <c r="G94" s="102">
        <f>IF(stdProdLT(Main[[#This Row],[Comments]])=0.1,"N/A",IF(stdProdLT(Main[[#This Row],[Comments]])=0,"",stdProdLT(Main[[#This Row],[Comments]])))</f>
        <v>140</v>
      </c>
      <c r="H94" s="103">
        <f>IF(AND(Main[[#This Row],[In Stock Date]]&lt;&gt;"",Main[[#This Row],[Revised Due Date]]&lt;&gt;""),Main[[#This Row],[In Stock Date]]-Main[[#This Row],[Revised Due Date]],"")</f>
        <v>115</v>
      </c>
      <c r="I94" s="99" t="s">
        <v>30</v>
      </c>
      <c r="J94" s="99" t="s">
        <v>52</v>
      </c>
      <c r="K94" s="99" t="s">
        <v>1969</v>
      </c>
      <c r="L94" s="101">
        <v>40864</v>
      </c>
      <c r="M94" s="104">
        <f>IF(Main[[#This Row],[Tech Start Date]]&lt;1/1/1990,"",IF(Main[[#This Row],[Class]]="C",WORKDAY(Main[[#This Row],[Tech Start Date]],9),IF(Main[[#This Row],[Class]]="B", WORKDAY(Main[[#This Row],[Tech Start Date]],6),IF(Main[[#This Row],[Class]]="A",WORKDAY(Main[[#This Row],[Tech Start Date]],2),""))))</f>
        <v>40872</v>
      </c>
      <c r="N94" s="104">
        <f>IF(Main[[#This Row],[Tech Start Date]]&lt;1/1/1990,"",IF(Main[[#This Row],[Class]]="C",WORKDAY(Main[[#This Row],[Tech Start Date]],19),IF(Main[[#This Row],[Class]]="B", WORKDAY(Main[[#This Row],[Tech Start Date]],12),IF(Main[[#This Row],[Class]]="A",WORKDAY(Main[[#This Row],[Tech Start Date]],4),""))))</f>
        <v>40882</v>
      </c>
      <c r="O94" s="104">
        <f>IF(Main[[#This Row],[Tech Start Date]]&lt;1/1/1990,"",IF(Main[[#This Row],[Class]]="C",WORKDAY(Main[[#This Row],[Tech Start Date]],23),IF(Main[[#This Row],[Class]]="B", WORKDAY(Main[[#This Row],[Tech Start Date]],15),IF(Main[[#This Row],[Class]]="A",WORKDAY(Main[[#This Row],[Tech Start Date]],5),""))))</f>
        <v>40885</v>
      </c>
      <c r="P94" s="104">
        <f>IF(Main[[#This Row],[Tech Start Date]]&lt;1/1/1990,"",IF(Main[[#This Row],[Class]]="C",WORKDAY(Main[[#This Row],[Tech Start Date]],28),IF(Main[[#This Row],[Class]]="B", WORKDAY(Main[[#This Row],[Tech Start Date]],19),IF(Main[[#This Row],[Class]]="A",WORKDAY(Main[[#This Row],[Tech Start Date]],9),""))))</f>
        <v>40891</v>
      </c>
      <c r="Q94" s="101">
        <v>40860</v>
      </c>
      <c r="R94" s="101">
        <v>40899</v>
      </c>
      <c r="S94" s="99" t="s">
        <v>11</v>
      </c>
      <c r="T94" s="107" t="s">
        <v>2989</v>
      </c>
      <c r="U94" s="99" t="s">
        <v>29</v>
      </c>
      <c r="V94" s="99" t="s">
        <v>1972</v>
      </c>
      <c r="W94" s="99" t="s">
        <v>1968</v>
      </c>
    </row>
    <row r="95" spans="1:23" ht="18.600000000000001" customHeight="1">
      <c r="A95" s="123">
        <f>IF(priority(Main[[#This Row],[Comments]])&lt;&gt;0, priority(Main[[#This Row],[Comments]]),"")</f>
        <v>27</v>
      </c>
      <c r="B95" s="127" t="s">
        <v>2931</v>
      </c>
      <c r="C95" s="99" t="s">
        <v>3044</v>
      </c>
      <c r="D95" s="100" t="s">
        <v>2932</v>
      </c>
      <c r="E95" s="101">
        <v>40837.219710648147</v>
      </c>
      <c r="F95" s="101">
        <v>41014</v>
      </c>
      <c r="G95" s="102">
        <f>IF(stdProdLT(Main[[#This Row],[Comments]])=0.1,"N/A",IF(stdProdLT(Main[[#This Row],[Comments]])=0,"",stdProdLT(Main[[#This Row],[Comments]])))</f>
        <v>140</v>
      </c>
      <c r="H95" s="103">
        <f>IF(AND(Main[[#This Row],[In Stock Date]]&lt;&gt;"",Main[[#This Row],[Revised Due Date]]&lt;&gt;""),Main[[#This Row],[In Stock Date]]-Main[[#This Row],[Revised Due Date]],"")</f>
        <v>131</v>
      </c>
      <c r="I95" s="99" t="s">
        <v>131</v>
      </c>
      <c r="J95" s="99" t="s">
        <v>70</v>
      </c>
      <c r="K95" s="99" t="s">
        <v>1971</v>
      </c>
      <c r="L95" s="101">
        <v>40848</v>
      </c>
      <c r="M95" s="104">
        <f>IF(Main[[#This Row],[Tech Start Date]]&lt;1/1/1990,"",IF(Main[[#This Row],[Class]]="C",WORKDAY(Main[[#This Row],[Tech Start Date]],9),IF(Main[[#This Row],[Class]]="B", WORKDAY(Main[[#This Row],[Tech Start Date]],6),IF(Main[[#This Row],[Class]]="A",WORKDAY(Main[[#This Row],[Tech Start Date]],2),""))))</f>
        <v>40850</v>
      </c>
      <c r="N95" s="104">
        <f>IF(Main[[#This Row],[Tech Start Date]]&lt;1/1/1990,"",IF(Main[[#This Row],[Class]]="C",WORKDAY(Main[[#This Row],[Tech Start Date]],19),IF(Main[[#This Row],[Class]]="B", WORKDAY(Main[[#This Row],[Tech Start Date]],12),IF(Main[[#This Row],[Class]]="A",WORKDAY(Main[[#This Row],[Tech Start Date]],4),""))))</f>
        <v>40854</v>
      </c>
      <c r="O95" s="104">
        <f>IF(Main[[#This Row],[Tech Start Date]]&lt;1/1/1990,"",IF(Main[[#This Row],[Class]]="C",WORKDAY(Main[[#This Row],[Tech Start Date]],23),IF(Main[[#This Row],[Class]]="B", WORKDAY(Main[[#This Row],[Tech Start Date]],15),IF(Main[[#This Row],[Class]]="A",WORKDAY(Main[[#This Row],[Tech Start Date]],5),""))))</f>
        <v>40855</v>
      </c>
      <c r="P95" s="104">
        <f>IF(Main[[#This Row],[Tech Start Date]]&lt;1/1/1990,"",IF(Main[[#This Row],[Class]]="C",WORKDAY(Main[[#This Row],[Tech Start Date]],28),IF(Main[[#This Row],[Class]]="B", WORKDAY(Main[[#This Row],[Tech Start Date]],19),IF(Main[[#This Row],[Class]]="A",WORKDAY(Main[[#This Row],[Tech Start Date]],9),""))))</f>
        <v>40861</v>
      </c>
      <c r="Q95" s="101">
        <v>40860</v>
      </c>
      <c r="R95" s="101">
        <v>40883</v>
      </c>
      <c r="S95" s="99" t="s">
        <v>11</v>
      </c>
      <c r="T95" s="107" t="s">
        <v>2933</v>
      </c>
      <c r="U95" s="99" t="s">
        <v>29</v>
      </c>
      <c r="V95" s="99" t="s">
        <v>1965</v>
      </c>
      <c r="W95" s="99" t="s">
        <v>1968</v>
      </c>
    </row>
    <row r="96" spans="1:23" ht="18.600000000000001" customHeight="1">
      <c r="A96" s="123">
        <f>IF(priority(Main[[#This Row],[Comments]])&lt;&gt;0, priority(Main[[#This Row],[Comments]]),"")</f>
        <v>27</v>
      </c>
      <c r="B96" s="127" t="s">
        <v>3009</v>
      </c>
      <c r="C96" s="99" t="s">
        <v>33</v>
      </c>
      <c r="D96" s="100" t="s">
        <v>3124</v>
      </c>
      <c r="E96" s="101">
        <v>40849.421423611115</v>
      </c>
      <c r="F96" s="101">
        <v>40877</v>
      </c>
      <c r="G96" s="102">
        <f>IF(stdProdLT(Main[[#This Row],[Comments]])=0.1,"N/A",IF(stdProdLT(Main[[#This Row],[Comments]])=0,"",stdProdLT(Main[[#This Row],[Comments]])))</f>
        <v>112</v>
      </c>
      <c r="H96" s="103">
        <f>IF(AND(Main[[#This Row],[In Stock Date]]&lt;&gt;"",Main[[#This Row],[Revised Due Date]]&lt;&gt;""),Main[[#This Row],[In Stock Date]]-Main[[#This Row],[Revised Due Date]],"")</f>
        <v>-22</v>
      </c>
      <c r="I96" s="99" t="s">
        <v>568</v>
      </c>
      <c r="J96" s="99" t="s">
        <v>28</v>
      </c>
      <c r="K96" s="99" t="s">
        <v>1969</v>
      </c>
      <c r="L96" s="101">
        <v>41235</v>
      </c>
      <c r="M96" s="104">
        <f>IF(Main[[#This Row],[Tech Start Date]]&lt;1/1/1990,"",IF(Main[[#This Row],[Class]]="C",WORKDAY(Main[[#This Row],[Tech Start Date]],9),IF(Main[[#This Row],[Class]]="B", WORKDAY(Main[[#This Row],[Tech Start Date]],6),IF(Main[[#This Row],[Class]]="A",WORKDAY(Main[[#This Row],[Tech Start Date]],2),""))))</f>
        <v>41243</v>
      </c>
      <c r="N96" s="104">
        <f>IF(Main[[#This Row],[Tech Start Date]]&lt;1/1/1990,"",IF(Main[[#This Row],[Class]]="C",WORKDAY(Main[[#This Row],[Tech Start Date]],19),IF(Main[[#This Row],[Class]]="B", WORKDAY(Main[[#This Row],[Tech Start Date]],12),IF(Main[[#This Row],[Class]]="A",WORKDAY(Main[[#This Row],[Tech Start Date]],4),""))))</f>
        <v>41253</v>
      </c>
      <c r="O96" s="104">
        <f>IF(Main[[#This Row],[Tech Start Date]]&lt;1/1/1990,"",IF(Main[[#This Row],[Class]]="C",WORKDAY(Main[[#This Row],[Tech Start Date]],23),IF(Main[[#This Row],[Class]]="B", WORKDAY(Main[[#This Row],[Tech Start Date]],15),IF(Main[[#This Row],[Class]]="A",WORKDAY(Main[[#This Row],[Tech Start Date]],5),""))))</f>
        <v>41256</v>
      </c>
      <c r="P96" s="104">
        <f>IF(Main[[#This Row],[Tech Start Date]]&lt;1/1/1990,"",IF(Main[[#This Row],[Class]]="C",WORKDAY(Main[[#This Row],[Tech Start Date]],28),IF(Main[[#This Row],[Class]]="B", WORKDAY(Main[[#This Row],[Tech Start Date]],19),IF(Main[[#This Row],[Class]]="A",WORKDAY(Main[[#This Row],[Tech Start Date]],9),""))))</f>
        <v>41262</v>
      </c>
      <c r="Q96" s="101">
        <v>40899</v>
      </c>
      <c r="R96" s="101">
        <v>40899</v>
      </c>
      <c r="S96" s="99" t="s">
        <v>11</v>
      </c>
      <c r="T96" s="107" t="s">
        <v>3150</v>
      </c>
      <c r="U96" s="99" t="s">
        <v>29</v>
      </c>
      <c r="V96" s="99" t="s">
        <v>1962</v>
      </c>
      <c r="W96" s="99" t="s">
        <v>1967</v>
      </c>
    </row>
    <row r="97" spans="1:23" ht="18.600000000000001" customHeight="1">
      <c r="A97" s="123">
        <f>IF(priority(Main[[#This Row],[Comments]])&lt;&gt;0, priority(Main[[#This Row],[Comments]]),"")</f>
        <v>28</v>
      </c>
      <c r="B97" s="127" t="s">
        <v>1048</v>
      </c>
      <c r="C97" s="99" t="s">
        <v>4</v>
      </c>
      <c r="D97" s="100" t="s">
        <v>2390</v>
      </c>
      <c r="E97" s="101">
        <v>40603.481041666666</v>
      </c>
      <c r="F97" s="101"/>
      <c r="G97" s="102" t="str">
        <f>IF(stdProdLT(Main[[#This Row],[Comments]])=0.1,"N/A",IF(stdProdLT(Main[[#This Row],[Comments]])=0,"",stdProdLT(Main[[#This Row],[Comments]])))</f>
        <v/>
      </c>
      <c r="H97" s="103" t="str">
        <f>IF(AND(Main[[#This Row],[In Stock Date]]&lt;&gt;"",Main[[#This Row],[Revised Due Date]]&lt;&gt;""),Main[[#This Row],[In Stock Date]]-Main[[#This Row],[Revised Due Date]],"")</f>
        <v/>
      </c>
      <c r="I97" s="99" t="s">
        <v>929</v>
      </c>
      <c r="J97" s="99" t="s">
        <v>52</v>
      </c>
      <c r="K97" s="99" t="s">
        <v>1971</v>
      </c>
      <c r="L97" s="101"/>
      <c r="M97" s="104" t="str">
        <f>IF(Main[[#This Row],[Tech Start Date]]&lt;1/1/1990,"",IF(Main[[#This Row],[Class]]="C",WORKDAY(Main[[#This Row],[Tech Start Date]],9),IF(Main[[#This Row],[Class]]="B", WORKDAY(Main[[#This Row],[Tech Start Date]],6),IF(Main[[#This Row],[Class]]="A",WORKDAY(Main[[#This Row],[Tech Start Date]],2),""))))</f>
        <v/>
      </c>
      <c r="N97" s="104" t="str">
        <f>IF(Main[[#This Row],[Tech Start Date]]&lt;1/1/1990,"",IF(Main[[#This Row],[Class]]="C",WORKDAY(Main[[#This Row],[Tech Start Date]],19),IF(Main[[#This Row],[Class]]="B", WORKDAY(Main[[#This Row],[Tech Start Date]],12),IF(Main[[#This Row],[Class]]="A",WORKDAY(Main[[#This Row],[Tech Start Date]],4),""))))</f>
        <v/>
      </c>
      <c r="O97" s="104" t="str">
        <f>IF(Main[[#This Row],[Tech Start Date]]&lt;1/1/1990,"",IF(Main[[#This Row],[Class]]="C",WORKDAY(Main[[#This Row],[Tech Start Date]],23),IF(Main[[#This Row],[Class]]="B", WORKDAY(Main[[#This Row],[Tech Start Date]],15),IF(Main[[#This Row],[Class]]="A",WORKDAY(Main[[#This Row],[Tech Start Date]],5),""))))</f>
        <v/>
      </c>
      <c r="P97" s="104" t="str">
        <f>IF(Main[[#This Row],[Tech Start Date]]&lt;1/1/1990,"",IF(Main[[#This Row],[Class]]="C",WORKDAY(Main[[#This Row],[Tech Start Date]],28),IF(Main[[#This Row],[Class]]="B", WORKDAY(Main[[#This Row],[Tech Start Date]],19),IF(Main[[#This Row],[Class]]="A",WORKDAY(Main[[#This Row],[Tech Start Date]],9),""))))</f>
        <v/>
      </c>
      <c r="Q97" s="101">
        <v>40637</v>
      </c>
      <c r="R97" s="101"/>
      <c r="S97" s="99" t="s">
        <v>6</v>
      </c>
      <c r="T97" s="107" t="s">
        <v>3010</v>
      </c>
      <c r="U97" s="99" t="s">
        <v>29</v>
      </c>
      <c r="V97" s="99" t="s">
        <v>1962</v>
      </c>
      <c r="W97" s="99" t="s">
        <v>1964</v>
      </c>
    </row>
    <row r="98" spans="1:23" ht="18.600000000000001" customHeight="1">
      <c r="A98" s="123">
        <f>IF(priority(Main[[#This Row],[Comments]])&lt;&gt;0, priority(Main[[#This Row],[Comments]]),"")</f>
        <v>28</v>
      </c>
      <c r="B98" s="127" t="s">
        <v>2928</v>
      </c>
      <c r="C98" s="99" t="s">
        <v>3044</v>
      </c>
      <c r="D98" s="100" t="s">
        <v>2929</v>
      </c>
      <c r="E98" s="101">
        <v>40837.218611111108</v>
      </c>
      <c r="F98" s="101">
        <v>41014</v>
      </c>
      <c r="G98" s="102">
        <f>IF(stdProdLT(Main[[#This Row],[Comments]])=0.1,"N/A",IF(stdProdLT(Main[[#This Row],[Comments]])=0,"",stdProdLT(Main[[#This Row],[Comments]])))</f>
        <v>140</v>
      </c>
      <c r="H98" s="103">
        <f>IF(AND(Main[[#This Row],[In Stock Date]]&lt;&gt;"",Main[[#This Row],[Revised Due Date]]&lt;&gt;""),Main[[#This Row],[In Stock Date]]-Main[[#This Row],[Revised Due Date]],"")</f>
        <v>131</v>
      </c>
      <c r="I98" s="99" t="s">
        <v>911</v>
      </c>
      <c r="J98" s="99" t="s">
        <v>52</v>
      </c>
      <c r="K98" s="99" t="s">
        <v>1969</v>
      </c>
      <c r="L98" s="101">
        <v>40848</v>
      </c>
      <c r="M98" s="104">
        <f>IF(Main[[#This Row],[Tech Start Date]]&lt;1/1/1990,"",IF(Main[[#This Row],[Class]]="C",WORKDAY(Main[[#This Row],[Tech Start Date]],9),IF(Main[[#This Row],[Class]]="B", WORKDAY(Main[[#This Row],[Tech Start Date]],6),IF(Main[[#This Row],[Class]]="A",WORKDAY(Main[[#This Row],[Tech Start Date]],2),""))))</f>
        <v>40856</v>
      </c>
      <c r="N98" s="104">
        <f>IF(Main[[#This Row],[Tech Start Date]]&lt;1/1/1990,"",IF(Main[[#This Row],[Class]]="C",WORKDAY(Main[[#This Row],[Tech Start Date]],19),IF(Main[[#This Row],[Class]]="B", WORKDAY(Main[[#This Row],[Tech Start Date]],12),IF(Main[[#This Row],[Class]]="A",WORKDAY(Main[[#This Row],[Tech Start Date]],4),""))))</f>
        <v>40864</v>
      </c>
      <c r="O98" s="104">
        <f>IF(Main[[#This Row],[Tech Start Date]]&lt;1/1/1990,"",IF(Main[[#This Row],[Class]]="C",WORKDAY(Main[[#This Row],[Tech Start Date]],23),IF(Main[[#This Row],[Class]]="B", WORKDAY(Main[[#This Row],[Tech Start Date]],15),IF(Main[[#This Row],[Class]]="A",WORKDAY(Main[[#This Row],[Tech Start Date]],5),""))))</f>
        <v>40869</v>
      </c>
      <c r="P98" s="104">
        <f>IF(Main[[#This Row],[Tech Start Date]]&lt;1/1/1990,"",IF(Main[[#This Row],[Class]]="C",WORKDAY(Main[[#This Row],[Tech Start Date]],28),IF(Main[[#This Row],[Class]]="B", WORKDAY(Main[[#This Row],[Tech Start Date]],19),IF(Main[[#This Row],[Class]]="A",WORKDAY(Main[[#This Row],[Tech Start Date]],9),""))))</f>
        <v>40875</v>
      </c>
      <c r="Q98" s="101">
        <v>40860</v>
      </c>
      <c r="R98" s="101">
        <v>40883</v>
      </c>
      <c r="S98" s="99" t="s">
        <v>11</v>
      </c>
      <c r="T98" s="107" t="s">
        <v>2930</v>
      </c>
      <c r="U98" s="99" t="s">
        <v>29</v>
      </c>
      <c r="V98" s="99" t="s">
        <v>1972</v>
      </c>
      <c r="W98" s="99" t="s">
        <v>1968</v>
      </c>
    </row>
    <row r="99" spans="1:23" ht="18.600000000000001" customHeight="1">
      <c r="A99" s="123">
        <f>IF(priority(Main[[#This Row],[Comments]])&lt;&gt;0, priority(Main[[#This Row],[Comments]]),"")</f>
        <v>29</v>
      </c>
      <c r="B99" s="127" t="s">
        <v>2708</v>
      </c>
      <c r="C99" s="99" t="s">
        <v>3053</v>
      </c>
      <c r="D99" s="100" t="s">
        <v>2709</v>
      </c>
      <c r="E99" s="101">
        <v>40877.359907407408</v>
      </c>
      <c r="F99" s="101">
        <v>41030</v>
      </c>
      <c r="G99" s="102">
        <f>IF(stdProdLT(Main[[#This Row],[Comments]])=0.1,"N/A",IF(stdProdLT(Main[[#This Row],[Comments]])=0,"",stdProdLT(Main[[#This Row],[Comments]])))</f>
        <v>210</v>
      </c>
      <c r="H99" s="103">
        <f>IF(AND(Main[[#This Row],[In Stock Date]]&lt;&gt;"",Main[[#This Row],[Revised Due Date]]&lt;&gt;""),Main[[#This Row],[In Stock Date]]-Main[[#This Row],[Revised Due Date]],"")</f>
        <v>117</v>
      </c>
      <c r="I99" s="99" t="s">
        <v>173</v>
      </c>
      <c r="J99" s="99" t="s">
        <v>70</v>
      </c>
      <c r="K99" s="99" t="s">
        <v>1969</v>
      </c>
      <c r="L99" s="101">
        <v>40878</v>
      </c>
      <c r="M99" s="104">
        <f>IF(Main[[#This Row],[Tech Start Date]]&lt;1/1/1990,"",IF(Main[[#This Row],[Class]]="C",WORKDAY(Main[[#This Row],[Tech Start Date]],9),IF(Main[[#This Row],[Class]]="B", WORKDAY(Main[[#This Row],[Tech Start Date]],6),IF(Main[[#This Row],[Class]]="A",WORKDAY(Main[[#This Row],[Tech Start Date]],2),""))))</f>
        <v>40886</v>
      </c>
      <c r="N99" s="104">
        <f>IF(Main[[#This Row],[Tech Start Date]]&lt;1/1/1990,"",IF(Main[[#This Row],[Class]]="C",WORKDAY(Main[[#This Row],[Tech Start Date]],19),IF(Main[[#This Row],[Class]]="B", WORKDAY(Main[[#This Row],[Tech Start Date]],12),IF(Main[[#This Row],[Class]]="A",WORKDAY(Main[[#This Row],[Tech Start Date]],4),""))))</f>
        <v>40896</v>
      </c>
      <c r="O99" s="104">
        <f>IF(Main[[#This Row],[Tech Start Date]]&lt;1/1/1990,"",IF(Main[[#This Row],[Class]]="C",WORKDAY(Main[[#This Row],[Tech Start Date]],23),IF(Main[[#This Row],[Class]]="B", WORKDAY(Main[[#This Row],[Tech Start Date]],15),IF(Main[[#This Row],[Class]]="A",WORKDAY(Main[[#This Row],[Tech Start Date]],5),""))))</f>
        <v>40899</v>
      </c>
      <c r="P99" s="104">
        <f>IF(Main[[#This Row],[Tech Start Date]]&lt;1/1/1990,"",IF(Main[[#This Row],[Class]]="C",WORKDAY(Main[[#This Row],[Tech Start Date]],28),IF(Main[[#This Row],[Class]]="B", WORKDAY(Main[[#This Row],[Tech Start Date]],19),IF(Main[[#This Row],[Class]]="A",WORKDAY(Main[[#This Row],[Tech Start Date]],9),""))))</f>
        <v>40905</v>
      </c>
      <c r="Q99" s="101">
        <v>40923</v>
      </c>
      <c r="R99" s="101">
        <v>40913</v>
      </c>
      <c r="S99" s="99" t="s">
        <v>11</v>
      </c>
      <c r="T99" s="107" t="s">
        <v>2710</v>
      </c>
      <c r="U99" s="99" t="s">
        <v>29</v>
      </c>
      <c r="V99" s="99" t="s">
        <v>1965</v>
      </c>
      <c r="W99" s="99" t="s">
        <v>1968</v>
      </c>
    </row>
    <row r="100" spans="1:23" ht="18.600000000000001" customHeight="1">
      <c r="A100" s="123">
        <f>IF(priority(Main[[#This Row],[Comments]])&lt;&gt;0, priority(Main[[#This Row],[Comments]]),"")</f>
        <v>30</v>
      </c>
      <c r="B100" s="127" t="s">
        <v>1611</v>
      </c>
      <c r="C100" s="99" t="s">
        <v>2017</v>
      </c>
      <c r="D100" s="100" t="s">
        <v>662</v>
      </c>
      <c r="E100" s="101"/>
      <c r="F100" s="101"/>
      <c r="G100" s="102">
        <f>IF(stdProdLT(Main[[#This Row],[Comments]])=0.1,"N/A",IF(stdProdLT(Main[[#This Row],[Comments]])=0,"",stdProdLT(Main[[#This Row],[Comments]])))</f>
        <v>126</v>
      </c>
      <c r="H100" s="103" t="str">
        <f>IF(AND(Main[[#This Row],[In Stock Date]]&lt;&gt;"",Main[[#This Row],[Revised Due Date]]&lt;&gt;""),Main[[#This Row],[In Stock Date]]-Main[[#This Row],[Revised Due Date]],"")</f>
        <v/>
      </c>
      <c r="I100" s="99" t="s">
        <v>4</v>
      </c>
      <c r="J100" s="99" t="s">
        <v>4</v>
      </c>
      <c r="K100" s="99" t="s">
        <v>4</v>
      </c>
      <c r="L100" s="101"/>
      <c r="M100" s="104" t="str">
        <f>IF(Main[[#This Row],[Tech Start Date]]&lt;1/1/1990,"",IF(Main[[#This Row],[Class]]="C",WORKDAY(Main[[#This Row],[Tech Start Date]],9),IF(Main[[#This Row],[Class]]="B", WORKDAY(Main[[#This Row],[Tech Start Date]],6),IF(Main[[#This Row],[Class]]="A",WORKDAY(Main[[#This Row],[Tech Start Date]],2),""))))</f>
        <v/>
      </c>
      <c r="N100" s="104" t="str">
        <f>IF(Main[[#This Row],[Tech Start Date]]&lt;1/1/1990,"",IF(Main[[#This Row],[Class]]="C",WORKDAY(Main[[#This Row],[Tech Start Date]],19),IF(Main[[#This Row],[Class]]="B", WORKDAY(Main[[#This Row],[Tech Start Date]],12),IF(Main[[#This Row],[Class]]="A",WORKDAY(Main[[#This Row],[Tech Start Date]],4),""))))</f>
        <v/>
      </c>
      <c r="O100" s="104" t="str">
        <f>IF(Main[[#This Row],[Tech Start Date]]&lt;1/1/1990,"",IF(Main[[#This Row],[Class]]="C",WORKDAY(Main[[#This Row],[Tech Start Date]],23),IF(Main[[#This Row],[Class]]="B", WORKDAY(Main[[#This Row],[Tech Start Date]],15),IF(Main[[#This Row],[Class]]="A",WORKDAY(Main[[#This Row],[Tech Start Date]],5),""))))</f>
        <v/>
      </c>
      <c r="P100" s="104" t="str">
        <f>IF(Main[[#This Row],[Tech Start Date]]&lt;1/1/1990,"",IF(Main[[#This Row],[Class]]="C",WORKDAY(Main[[#This Row],[Tech Start Date]],28),IF(Main[[#This Row],[Class]]="B", WORKDAY(Main[[#This Row],[Tech Start Date]],19),IF(Main[[#This Row],[Class]]="A",WORKDAY(Main[[#This Row],[Tech Start Date]],9),""))))</f>
        <v/>
      </c>
      <c r="Q100" s="101">
        <v>40710</v>
      </c>
      <c r="R100" s="101">
        <v>40778</v>
      </c>
      <c r="S100" s="99" t="s">
        <v>11</v>
      </c>
      <c r="T100" s="107" t="s">
        <v>2018</v>
      </c>
      <c r="U100" s="99" t="s">
        <v>14</v>
      </c>
      <c r="V100" s="99" t="s">
        <v>1962</v>
      </c>
      <c r="W100" s="99" t="s">
        <v>1964</v>
      </c>
    </row>
    <row r="101" spans="1:23" ht="18.600000000000001" customHeight="1">
      <c r="A101" s="123">
        <f>IF(priority(Main[[#This Row],[Comments]])&lt;&gt;0, priority(Main[[#This Row],[Comments]]),"")</f>
        <v>30</v>
      </c>
      <c r="B101" s="127" t="s">
        <v>1061</v>
      </c>
      <c r="C101" s="99" t="s">
        <v>37</v>
      </c>
      <c r="D101" s="100" t="s">
        <v>2389</v>
      </c>
      <c r="E101" s="101">
        <v>40578.593101851853</v>
      </c>
      <c r="F101" s="101">
        <v>40603</v>
      </c>
      <c r="G101" s="102" t="str">
        <f>IF(stdProdLT(Main[[#This Row],[Comments]])=0.1,"N/A",IF(stdProdLT(Main[[#This Row],[Comments]])=0,"",stdProdLT(Main[[#This Row],[Comments]])))</f>
        <v/>
      </c>
      <c r="H101" s="103" t="str">
        <f>IF(AND(Main[[#This Row],[In Stock Date]]&lt;&gt;"",Main[[#This Row],[Revised Due Date]]&lt;&gt;""),Main[[#This Row],[In Stock Date]]-Main[[#This Row],[Revised Due Date]],"")</f>
        <v/>
      </c>
      <c r="I101" s="99" t="s">
        <v>50</v>
      </c>
      <c r="J101" s="99" t="s">
        <v>51</v>
      </c>
      <c r="K101" s="99" t="s">
        <v>1971</v>
      </c>
      <c r="L101" s="101"/>
      <c r="M101" s="104" t="str">
        <f>IF(Main[[#This Row],[Tech Start Date]]&lt;1/1/1990,"",IF(Main[[#This Row],[Class]]="C",WORKDAY(Main[[#This Row],[Tech Start Date]],9),IF(Main[[#This Row],[Class]]="B", WORKDAY(Main[[#This Row],[Tech Start Date]],6),IF(Main[[#This Row],[Class]]="A",WORKDAY(Main[[#This Row],[Tech Start Date]],2),""))))</f>
        <v/>
      </c>
      <c r="N101" s="104" t="str">
        <f>IF(Main[[#This Row],[Tech Start Date]]&lt;1/1/1990,"",IF(Main[[#This Row],[Class]]="C",WORKDAY(Main[[#This Row],[Tech Start Date]],19),IF(Main[[#This Row],[Class]]="B", WORKDAY(Main[[#This Row],[Tech Start Date]],12),IF(Main[[#This Row],[Class]]="A",WORKDAY(Main[[#This Row],[Tech Start Date]],4),""))))</f>
        <v/>
      </c>
      <c r="O101" s="104" t="str">
        <f>IF(Main[[#This Row],[Tech Start Date]]&lt;1/1/1990,"",IF(Main[[#This Row],[Class]]="C",WORKDAY(Main[[#This Row],[Tech Start Date]],23),IF(Main[[#This Row],[Class]]="B", WORKDAY(Main[[#This Row],[Tech Start Date]],15),IF(Main[[#This Row],[Class]]="A",WORKDAY(Main[[#This Row],[Tech Start Date]],5),""))))</f>
        <v/>
      </c>
      <c r="P101" s="104" t="str">
        <f>IF(Main[[#This Row],[Tech Start Date]]&lt;1/1/1990,"",IF(Main[[#This Row],[Class]]="C",WORKDAY(Main[[#This Row],[Tech Start Date]],28),IF(Main[[#This Row],[Class]]="B", WORKDAY(Main[[#This Row],[Tech Start Date]],19),IF(Main[[#This Row],[Class]]="A",WORKDAY(Main[[#This Row],[Tech Start Date]],9),""))))</f>
        <v/>
      </c>
      <c r="Q101" s="101">
        <v>40603</v>
      </c>
      <c r="R101" s="101"/>
      <c r="S101" s="99" t="s">
        <v>6</v>
      </c>
      <c r="T101" s="107" t="s">
        <v>2343</v>
      </c>
      <c r="U101" s="99" t="s">
        <v>29</v>
      </c>
      <c r="V101" s="99" t="s">
        <v>1962</v>
      </c>
      <c r="W101" s="99" t="s">
        <v>1973</v>
      </c>
    </row>
    <row r="102" spans="1:23" ht="18.600000000000001" customHeight="1">
      <c r="A102" s="123">
        <f>IF(priority(Main[[#This Row],[Comments]])&lt;&gt;0, priority(Main[[#This Row],[Comments]]),"")</f>
        <v>30</v>
      </c>
      <c r="B102" s="127" t="s">
        <v>2526</v>
      </c>
      <c r="C102" s="99" t="s">
        <v>3053</v>
      </c>
      <c r="D102" s="100" t="s">
        <v>2527</v>
      </c>
      <c r="E102" s="101">
        <v>40877.350543981483</v>
      </c>
      <c r="F102" s="101">
        <v>41030</v>
      </c>
      <c r="G102" s="102">
        <f>IF(stdProdLT(Main[[#This Row],[Comments]])=0.1,"N/A",IF(stdProdLT(Main[[#This Row],[Comments]])=0,"",stdProdLT(Main[[#This Row],[Comments]])))</f>
        <v>168</v>
      </c>
      <c r="H102" s="103">
        <f>IF(AND(Main[[#This Row],[In Stock Date]]&lt;&gt;"",Main[[#This Row],[Revised Due Date]]&lt;&gt;""),Main[[#This Row],[In Stock Date]]-Main[[#This Row],[Revised Due Date]],"")</f>
        <v>117</v>
      </c>
      <c r="I102" s="99" t="s">
        <v>30</v>
      </c>
      <c r="J102" s="99" t="s">
        <v>28</v>
      </c>
      <c r="K102" s="99" t="s">
        <v>1969</v>
      </c>
      <c r="L102" s="101">
        <v>40878</v>
      </c>
      <c r="M102" s="104">
        <f>IF(Main[[#This Row],[Tech Start Date]]&lt;1/1/1990,"",IF(Main[[#This Row],[Class]]="C",WORKDAY(Main[[#This Row],[Tech Start Date]],9),IF(Main[[#This Row],[Class]]="B", WORKDAY(Main[[#This Row],[Tech Start Date]],6),IF(Main[[#This Row],[Class]]="A",WORKDAY(Main[[#This Row],[Tech Start Date]],2),""))))</f>
        <v>40886</v>
      </c>
      <c r="N102" s="104">
        <f>IF(Main[[#This Row],[Tech Start Date]]&lt;1/1/1990,"",IF(Main[[#This Row],[Class]]="C",WORKDAY(Main[[#This Row],[Tech Start Date]],19),IF(Main[[#This Row],[Class]]="B", WORKDAY(Main[[#This Row],[Tech Start Date]],12),IF(Main[[#This Row],[Class]]="A",WORKDAY(Main[[#This Row],[Tech Start Date]],4),""))))</f>
        <v>40896</v>
      </c>
      <c r="O102" s="104">
        <f>IF(Main[[#This Row],[Tech Start Date]]&lt;1/1/1990,"",IF(Main[[#This Row],[Class]]="C",WORKDAY(Main[[#This Row],[Tech Start Date]],23),IF(Main[[#This Row],[Class]]="B", WORKDAY(Main[[#This Row],[Tech Start Date]],15),IF(Main[[#This Row],[Class]]="A",WORKDAY(Main[[#This Row],[Tech Start Date]],5),""))))</f>
        <v>40899</v>
      </c>
      <c r="P102" s="104">
        <f>IF(Main[[#This Row],[Tech Start Date]]&lt;1/1/1990,"",IF(Main[[#This Row],[Class]]="C",WORKDAY(Main[[#This Row],[Tech Start Date]],28),IF(Main[[#This Row],[Class]]="B", WORKDAY(Main[[#This Row],[Tech Start Date]],19),IF(Main[[#This Row],[Class]]="A",WORKDAY(Main[[#This Row],[Tech Start Date]],9),""))))</f>
        <v>40905</v>
      </c>
      <c r="Q102" s="101">
        <v>40923</v>
      </c>
      <c r="R102" s="101">
        <v>40913</v>
      </c>
      <c r="S102" s="99" t="s">
        <v>11</v>
      </c>
      <c r="T102" s="107" t="s">
        <v>2528</v>
      </c>
      <c r="U102" s="99" t="s">
        <v>29</v>
      </c>
      <c r="V102" s="99" t="s">
        <v>1965</v>
      </c>
      <c r="W102" s="99" t="s">
        <v>1968</v>
      </c>
    </row>
    <row r="103" spans="1:23" ht="18.600000000000001" customHeight="1">
      <c r="A103" s="123">
        <f>IF(priority(Main[[#This Row],[Comments]])&lt;&gt;0, priority(Main[[#This Row],[Comments]]),"")</f>
        <v>31</v>
      </c>
      <c r="B103" s="127" t="s">
        <v>2711</v>
      </c>
      <c r="C103" s="99" t="s">
        <v>3053</v>
      </c>
      <c r="D103" s="100" t="s">
        <v>2712</v>
      </c>
      <c r="E103" s="101">
        <v>40877.364317129628</v>
      </c>
      <c r="F103" s="101">
        <v>41030</v>
      </c>
      <c r="G103" s="102">
        <f>IF(stdProdLT(Main[[#This Row],[Comments]])=0.1,"N/A",IF(stdProdLT(Main[[#This Row],[Comments]])=0,"",stdProdLT(Main[[#This Row],[Comments]])))</f>
        <v>182</v>
      </c>
      <c r="H103" s="103">
        <f>IF(AND(Main[[#This Row],[In Stock Date]]&lt;&gt;"",Main[[#This Row],[Revised Due Date]]&lt;&gt;""),Main[[#This Row],[In Stock Date]]-Main[[#This Row],[Revised Due Date]],"")</f>
        <v>131</v>
      </c>
      <c r="I103" s="99" t="s">
        <v>131</v>
      </c>
      <c r="J103" s="99" t="s">
        <v>70</v>
      </c>
      <c r="K103" s="99" t="s">
        <v>1971</v>
      </c>
      <c r="L103" s="101">
        <v>40878</v>
      </c>
      <c r="M103" s="104">
        <f>IF(Main[[#This Row],[Tech Start Date]]&lt;1/1/1990,"",IF(Main[[#This Row],[Class]]="C",WORKDAY(Main[[#This Row],[Tech Start Date]],9),IF(Main[[#This Row],[Class]]="B", WORKDAY(Main[[#This Row],[Tech Start Date]],6),IF(Main[[#This Row],[Class]]="A",WORKDAY(Main[[#This Row],[Tech Start Date]],2),""))))</f>
        <v>40882</v>
      </c>
      <c r="N103" s="104">
        <f>IF(Main[[#This Row],[Tech Start Date]]&lt;1/1/1990,"",IF(Main[[#This Row],[Class]]="C",WORKDAY(Main[[#This Row],[Tech Start Date]],19),IF(Main[[#This Row],[Class]]="B", WORKDAY(Main[[#This Row],[Tech Start Date]],12),IF(Main[[#This Row],[Class]]="A",WORKDAY(Main[[#This Row],[Tech Start Date]],4),""))))</f>
        <v>40884</v>
      </c>
      <c r="O103" s="104">
        <f>IF(Main[[#This Row],[Tech Start Date]]&lt;1/1/1990,"",IF(Main[[#This Row],[Class]]="C",WORKDAY(Main[[#This Row],[Tech Start Date]],23),IF(Main[[#This Row],[Class]]="B", WORKDAY(Main[[#This Row],[Tech Start Date]],15),IF(Main[[#This Row],[Class]]="A",WORKDAY(Main[[#This Row],[Tech Start Date]],5),""))))</f>
        <v>40885</v>
      </c>
      <c r="P103" s="104">
        <f>IF(Main[[#This Row],[Tech Start Date]]&lt;1/1/1990,"",IF(Main[[#This Row],[Class]]="C",WORKDAY(Main[[#This Row],[Tech Start Date]],28),IF(Main[[#This Row],[Class]]="B", WORKDAY(Main[[#This Row],[Tech Start Date]],19),IF(Main[[#This Row],[Class]]="A",WORKDAY(Main[[#This Row],[Tech Start Date]],9),""))))</f>
        <v>40891</v>
      </c>
      <c r="Q103" s="101">
        <v>40923</v>
      </c>
      <c r="R103" s="101">
        <v>40899</v>
      </c>
      <c r="S103" s="99" t="s">
        <v>11</v>
      </c>
      <c r="T103" s="107" t="s">
        <v>2713</v>
      </c>
      <c r="U103" s="99" t="s">
        <v>29</v>
      </c>
      <c r="V103" s="99" t="s">
        <v>1972</v>
      </c>
      <c r="W103" s="99" t="s">
        <v>1968</v>
      </c>
    </row>
    <row r="104" spans="1:23" ht="18.600000000000001" customHeight="1">
      <c r="A104" s="123">
        <f>IF(priority(Main[[#This Row],[Comments]])&lt;&gt;0, priority(Main[[#This Row],[Comments]]),"")</f>
        <v>32</v>
      </c>
      <c r="B104" s="127" t="s">
        <v>1106</v>
      </c>
      <c r="C104" s="99" t="s">
        <v>116</v>
      </c>
      <c r="D104" s="100" t="s">
        <v>117</v>
      </c>
      <c r="E104" s="101"/>
      <c r="F104" s="101"/>
      <c r="G104" s="102" t="str">
        <f>IF(stdProdLT(Main[[#This Row],[Comments]])=0.1,"N/A",IF(stdProdLT(Main[[#This Row],[Comments]])=0,"",stdProdLT(Main[[#This Row],[Comments]])))</f>
        <v/>
      </c>
      <c r="H104" s="103" t="str">
        <f>IF(AND(Main[[#This Row],[In Stock Date]]&lt;&gt;"",Main[[#This Row],[Revised Due Date]]&lt;&gt;""),Main[[#This Row],[In Stock Date]]-Main[[#This Row],[Revised Due Date]],"")</f>
        <v/>
      </c>
      <c r="I104" s="99" t="s">
        <v>4</v>
      </c>
      <c r="J104" s="99" t="s">
        <v>4</v>
      </c>
      <c r="K104" s="99" t="s">
        <v>4</v>
      </c>
      <c r="L104" s="101"/>
      <c r="M104" s="104" t="str">
        <f>IF(Main[[#This Row],[Tech Start Date]]&lt;1/1/1990,"",IF(Main[[#This Row],[Class]]="C",WORKDAY(Main[[#This Row],[Tech Start Date]],9),IF(Main[[#This Row],[Class]]="B", WORKDAY(Main[[#This Row],[Tech Start Date]],6),IF(Main[[#This Row],[Class]]="A",WORKDAY(Main[[#This Row],[Tech Start Date]],2),""))))</f>
        <v/>
      </c>
      <c r="N104" s="104" t="str">
        <f>IF(Main[[#This Row],[Tech Start Date]]&lt;1/1/1990,"",IF(Main[[#This Row],[Class]]="C",WORKDAY(Main[[#This Row],[Tech Start Date]],19),IF(Main[[#This Row],[Class]]="B", WORKDAY(Main[[#This Row],[Tech Start Date]],12),IF(Main[[#This Row],[Class]]="A",WORKDAY(Main[[#This Row],[Tech Start Date]],4),""))))</f>
        <v/>
      </c>
      <c r="O104" s="104" t="str">
        <f>IF(Main[[#This Row],[Tech Start Date]]&lt;1/1/1990,"",IF(Main[[#This Row],[Class]]="C",WORKDAY(Main[[#This Row],[Tech Start Date]],23),IF(Main[[#This Row],[Class]]="B", WORKDAY(Main[[#This Row],[Tech Start Date]],15),IF(Main[[#This Row],[Class]]="A",WORKDAY(Main[[#This Row],[Tech Start Date]],5),""))))</f>
        <v/>
      </c>
      <c r="P104" s="104" t="str">
        <f>IF(Main[[#This Row],[Tech Start Date]]&lt;1/1/1990,"",IF(Main[[#This Row],[Class]]="C",WORKDAY(Main[[#This Row],[Tech Start Date]],28),IF(Main[[#This Row],[Class]]="B", WORKDAY(Main[[#This Row],[Tech Start Date]],19),IF(Main[[#This Row],[Class]]="A",WORKDAY(Main[[#This Row],[Tech Start Date]],9),""))))</f>
        <v/>
      </c>
      <c r="Q104" s="101">
        <v>40786</v>
      </c>
      <c r="R104" s="101"/>
      <c r="S104" s="99" t="s">
        <v>11</v>
      </c>
      <c r="T104" s="107" t="s">
        <v>118</v>
      </c>
      <c r="U104" s="99" t="s">
        <v>14</v>
      </c>
      <c r="V104" s="99" t="s">
        <v>1962</v>
      </c>
      <c r="W104" s="99" t="s">
        <v>1967</v>
      </c>
    </row>
    <row r="105" spans="1:23" ht="18.600000000000001" customHeight="1">
      <c r="A105" s="123">
        <f>IF(priority(Main[[#This Row],[Comments]])&lt;&gt;0, priority(Main[[#This Row],[Comments]]),"")</f>
        <v>32</v>
      </c>
      <c r="B105" s="127" t="s">
        <v>1098</v>
      </c>
      <c r="C105" s="99" t="s">
        <v>4</v>
      </c>
      <c r="D105" s="100" t="s">
        <v>2392</v>
      </c>
      <c r="E105" s="101">
        <v>40591.506215277775</v>
      </c>
      <c r="F105" s="101"/>
      <c r="G105" s="102" t="str">
        <f>IF(stdProdLT(Main[[#This Row],[Comments]])=0.1,"N/A",IF(stdProdLT(Main[[#This Row],[Comments]])=0,"",stdProdLT(Main[[#This Row],[Comments]])))</f>
        <v/>
      </c>
      <c r="H105" s="103" t="str">
        <f>IF(AND(Main[[#This Row],[In Stock Date]]&lt;&gt;"",Main[[#This Row],[Revised Due Date]]&lt;&gt;""),Main[[#This Row],[In Stock Date]]-Main[[#This Row],[Revised Due Date]],"")</f>
        <v/>
      </c>
      <c r="I105" s="99" t="s">
        <v>929</v>
      </c>
      <c r="J105" s="99" t="s">
        <v>52</v>
      </c>
      <c r="K105" s="99" t="s">
        <v>1971</v>
      </c>
      <c r="L105" s="101"/>
      <c r="M105" s="104" t="str">
        <f>IF(Main[[#This Row],[Tech Start Date]]&lt;1/1/1990,"",IF(Main[[#This Row],[Class]]="C",WORKDAY(Main[[#This Row],[Tech Start Date]],9),IF(Main[[#This Row],[Class]]="B", WORKDAY(Main[[#This Row],[Tech Start Date]],6),IF(Main[[#This Row],[Class]]="A",WORKDAY(Main[[#This Row],[Tech Start Date]],2),""))))</f>
        <v/>
      </c>
      <c r="N105" s="104" t="str">
        <f>IF(Main[[#This Row],[Tech Start Date]]&lt;1/1/1990,"",IF(Main[[#This Row],[Class]]="C",WORKDAY(Main[[#This Row],[Tech Start Date]],19),IF(Main[[#This Row],[Class]]="B", WORKDAY(Main[[#This Row],[Tech Start Date]],12),IF(Main[[#This Row],[Class]]="A",WORKDAY(Main[[#This Row],[Tech Start Date]],4),""))))</f>
        <v/>
      </c>
      <c r="O105" s="104" t="str">
        <f>IF(Main[[#This Row],[Tech Start Date]]&lt;1/1/1990,"",IF(Main[[#This Row],[Class]]="C",WORKDAY(Main[[#This Row],[Tech Start Date]],23),IF(Main[[#This Row],[Class]]="B", WORKDAY(Main[[#This Row],[Tech Start Date]],15),IF(Main[[#This Row],[Class]]="A",WORKDAY(Main[[#This Row],[Tech Start Date]],5),""))))</f>
        <v/>
      </c>
      <c r="P105" s="104" t="str">
        <f>IF(Main[[#This Row],[Tech Start Date]]&lt;1/1/1990,"",IF(Main[[#This Row],[Class]]="C",WORKDAY(Main[[#This Row],[Tech Start Date]],28),IF(Main[[#This Row],[Class]]="B", WORKDAY(Main[[#This Row],[Tech Start Date]],19),IF(Main[[#This Row],[Class]]="A",WORKDAY(Main[[#This Row],[Tech Start Date]],9),""))))</f>
        <v/>
      </c>
      <c r="Q105" s="101">
        <v>40605</v>
      </c>
      <c r="R105" s="101"/>
      <c r="S105" s="99" t="s">
        <v>6</v>
      </c>
      <c r="T105" s="107" t="s">
        <v>118</v>
      </c>
      <c r="U105" s="99" t="s">
        <v>29</v>
      </c>
      <c r="V105" s="99" t="s">
        <v>1962</v>
      </c>
      <c r="W105" s="99" t="s">
        <v>1964</v>
      </c>
    </row>
    <row r="106" spans="1:23" ht="18.600000000000001" customHeight="1">
      <c r="A106" s="123">
        <f>IF(priority(Main[[#This Row],[Comments]])&lt;&gt;0, priority(Main[[#This Row],[Comments]]),"")</f>
        <v>32</v>
      </c>
      <c r="B106" s="127" t="s">
        <v>2714</v>
      </c>
      <c r="C106" s="99" t="s">
        <v>3053</v>
      </c>
      <c r="D106" s="100" t="s">
        <v>2715</v>
      </c>
      <c r="E106" s="101">
        <v>40877.367951388886</v>
      </c>
      <c r="F106" s="101">
        <v>41030</v>
      </c>
      <c r="G106" s="102">
        <f>IF(stdProdLT(Main[[#This Row],[Comments]])=0.1,"N/A",IF(stdProdLT(Main[[#This Row],[Comments]])=0,"",stdProdLT(Main[[#This Row],[Comments]])))</f>
        <v>182</v>
      </c>
      <c r="H106" s="103">
        <f>IF(AND(Main[[#This Row],[In Stock Date]]&lt;&gt;"",Main[[#This Row],[Revised Due Date]]&lt;&gt;""),Main[[#This Row],[In Stock Date]]-Main[[#This Row],[Revised Due Date]],"")</f>
        <v>131</v>
      </c>
      <c r="I106" s="99" t="s">
        <v>435</v>
      </c>
      <c r="J106" s="99" t="s">
        <v>70</v>
      </c>
      <c r="K106" s="99" t="s">
        <v>1971</v>
      </c>
      <c r="L106" s="101">
        <v>40878</v>
      </c>
      <c r="M106" s="104">
        <f>IF(Main[[#This Row],[Tech Start Date]]&lt;1/1/1990,"",IF(Main[[#This Row],[Class]]="C",WORKDAY(Main[[#This Row],[Tech Start Date]],9),IF(Main[[#This Row],[Class]]="B", WORKDAY(Main[[#This Row],[Tech Start Date]],6),IF(Main[[#This Row],[Class]]="A",WORKDAY(Main[[#This Row],[Tech Start Date]],2),""))))</f>
        <v>40882</v>
      </c>
      <c r="N106" s="104">
        <f>IF(Main[[#This Row],[Tech Start Date]]&lt;1/1/1990,"",IF(Main[[#This Row],[Class]]="C",WORKDAY(Main[[#This Row],[Tech Start Date]],19),IF(Main[[#This Row],[Class]]="B", WORKDAY(Main[[#This Row],[Tech Start Date]],12),IF(Main[[#This Row],[Class]]="A",WORKDAY(Main[[#This Row],[Tech Start Date]],4),""))))</f>
        <v>40884</v>
      </c>
      <c r="O106" s="104">
        <f>IF(Main[[#This Row],[Tech Start Date]]&lt;1/1/1990,"",IF(Main[[#This Row],[Class]]="C",WORKDAY(Main[[#This Row],[Tech Start Date]],23),IF(Main[[#This Row],[Class]]="B", WORKDAY(Main[[#This Row],[Tech Start Date]],15),IF(Main[[#This Row],[Class]]="A",WORKDAY(Main[[#This Row],[Tech Start Date]],5),""))))</f>
        <v>40885</v>
      </c>
      <c r="P106" s="104">
        <f>IF(Main[[#This Row],[Tech Start Date]]&lt;1/1/1990,"",IF(Main[[#This Row],[Class]]="C",WORKDAY(Main[[#This Row],[Tech Start Date]],28),IF(Main[[#This Row],[Class]]="B", WORKDAY(Main[[#This Row],[Tech Start Date]],19),IF(Main[[#This Row],[Class]]="A",WORKDAY(Main[[#This Row],[Tech Start Date]],9),""))))</f>
        <v>40891</v>
      </c>
      <c r="Q106" s="101">
        <v>40923</v>
      </c>
      <c r="R106" s="101">
        <v>40899</v>
      </c>
      <c r="S106" s="99" t="s">
        <v>11</v>
      </c>
      <c r="T106" s="107" t="s">
        <v>2716</v>
      </c>
      <c r="U106" s="99" t="s">
        <v>29</v>
      </c>
      <c r="V106" s="99" t="s">
        <v>1972</v>
      </c>
      <c r="W106" s="99" t="s">
        <v>1968</v>
      </c>
    </row>
    <row r="107" spans="1:23" ht="18.600000000000001" customHeight="1">
      <c r="A107" s="123">
        <f>IF(priority(Main[[#This Row],[Comments]])&lt;&gt;0, priority(Main[[#This Row],[Comments]]),"")</f>
        <v>32.1</v>
      </c>
      <c r="B107" s="127" t="s">
        <v>2239</v>
      </c>
      <c r="C107" s="99" t="s">
        <v>2240</v>
      </c>
      <c r="D107" s="100" t="s">
        <v>2241</v>
      </c>
      <c r="E107" s="101"/>
      <c r="F107" s="101">
        <v>40795</v>
      </c>
      <c r="G107" s="102">
        <f>IF(stdProdLT(Main[[#This Row],[Comments]])=0.1,"N/A",IF(stdProdLT(Main[[#This Row],[Comments]])=0,"",stdProdLT(Main[[#This Row],[Comments]])))</f>
        <v>21</v>
      </c>
      <c r="H107" s="103" t="str">
        <f>IF(AND(Main[[#This Row],[In Stock Date]]&lt;&gt;"",Main[[#This Row],[Revised Due Date]]&lt;&gt;""),Main[[#This Row],[In Stock Date]]-Main[[#This Row],[Revised Due Date]],"")</f>
        <v/>
      </c>
      <c r="I107" s="99" t="s">
        <v>4</v>
      </c>
      <c r="J107" s="99" t="s">
        <v>4</v>
      </c>
      <c r="K107" s="99" t="s">
        <v>4</v>
      </c>
      <c r="L107" s="101"/>
      <c r="M107" s="104" t="str">
        <f>IF(Main[[#This Row],[Tech Start Date]]&lt;1/1/1990,"",IF(Main[[#This Row],[Class]]="C",WORKDAY(Main[[#This Row],[Tech Start Date]],9),IF(Main[[#This Row],[Class]]="B", WORKDAY(Main[[#This Row],[Tech Start Date]],6),IF(Main[[#This Row],[Class]]="A",WORKDAY(Main[[#This Row],[Tech Start Date]],2),""))))</f>
        <v/>
      </c>
      <c r="N107" s="104" t="str">
        <f>IF(Main[[#This Row],[Tech Start Date]]&lt;1/1/1990,"",IF(Main[[#This Row],[Class]]="C",WORKDAY(Main[[#This Row],[Tech Start Date]],19),IF(Main[[#This Row],[Class]]="B", WORKDAY(Main[[#This Row],[Tech Start Date]],12),IF(Main[[#This Row],[Class]]="A",WORKDAY(Main[[#This Row],[Tech Start Date]],4),""))))</f>
        <v/>
      </c>
      <c r="O107" s="104" t="str">
        <f>IF(Main[[#This Row],[Tech Start Date]]&lt;1/1/1990,"",IF(Main[[#This Row],[Class]]="C",WORKDAY(Main[[#This Row],[Tech Start Date]],23),IF(Main[[#This Row],[Class]]="B", WORKDAY(Main[[#This Row],[Tech Start Date]],15),IF(Main[[#This Row],[Class]]="A",WORKDAY(Main[[#This Row],[Tech Start Date]],5),""))))</f>
        <v/>
      </c>
      <c r="P107" s="104" t="str">
        <f>IF(Main[[#This Row],[Tech Start Date]]&lt;1/1/1990,"",IF(Main[[#This Row],[Class]]="C",WORKDAY(Main[[#This Row],[Tech Start Date]],28),IF(Main[[#This Row],[Class]]="B", WORKDAY(Main[[#This Row],[Tech Start Date]],19),IF(Main[[#This Row],[Class]]="A",WORKDAY(Main[[#This Row],[Tech Start Date]],9),""))))</f>
        <v/>
      </c>
      <c r="Q107" s="101">
        <v>40795</v>
      </c>
      <c r="R107" s="101"/>
      <c r="S107" s="99" t="s">
        <v>11</v>
      </c>
      <c r="T107" s="107" t="s">
        <v>2297</v>
      </c>
      <c r="U107" s="99" t="s">
        <v>14</v>
      </c>
      <c r="V107" s="99" t="s">
        <v>1962</v>
      </c>
      <c r="W107" s="99" t="s">
        <v>1967</v>
      </c>
    </row>
    <row r="108" spans="1:23" ht="18.600000000000001" customHeight="1">
      <c r="A108" s="123">
        <f>IF(priority(Main[[#This Row],[Comments]])&lt;&gt;0, priority(Main[[#This Row],[Comments]]),"")</f>
        <v>33</v>
      </c>
      <c r="B108" s="127" t="s">
        <v>1256</v>
      </c>
      <c r="C108" s="99" t="s">
        <v>116</v>
      </c>
      <c r="D108" s="100" t="s">
        <v>329</v>
      </c>
      <c r="E108" s="101"/>
      <c r="F108" s="101"/>
      <c r="G108" s="102" t="str">
        <f>IF(stdProdLT(Main[[#This Row],[Comments]])=0.1,"N/A",IF(stdProdLT(Main[[#This Row],[Comments]])=0,"",stdProdLT(Main[[#This Row],[Comments]])))</f>
        <v/>
      </c>
      <c r="H108" s="103" t="str">
        <f>IF(AND(Main[[#This Row],[In Stock Date]]&lt;&gt;"",Main[[#This Row],[Revised Due Date]]&lt;&gt;""),Main[[#This Row],[In Stock Date]]-Main[[#This Row],[Revised Due Date]],"")</f>
        <v/>
      </c>
      <c r="I108" s="99" t="s">
        <v>4</v>
      </c>
      <c r="J108" s="99" t="s">
        <v>4</v>
      </c>
      <c r="K108" s="99" t="s">
        <v>4</v>
      </c>
      <c r="L108" s="101"/>
      <c r="M108" s="104" t="str">
        <f>IF(Main[[#This Row],[Tech Start Date]]&lt;1/1/1990,"",IF(Main[[#This Row],[Class]]="C",WORKDAY(Main[[#This Row],[Tech Start Date]],9),IF(Main[[#This Row],[Class]]="B", WORKDAY(Main[[#This Row],[Tech Start Date]],6),IF(Main[[#This Row],[Class]]="A",WORKDAY(Main[[#This Row],[Tech Start Date]],2),""))))</f>
        <v/>
      </c>
      <c r="N108" s="104" t="str">
        <f>IF(Main[[#This Row],[Tech Start Date]]&lt;1/1/1990,"",IF(Main[[#This Row],[Class]]="C",WORKDAY(Main[[#This Row],[Tech Start Date]],19),IF(Main[[#This Row],[Class]]="B", WORKDAY(Main[[#This Row],[Tech Start Date]],12),IF(Main[[#This Row],[Class]]="A",WORKDAY(Main[[#This Row],[Tech Start Date]],4),""))))</f>
        <v/>
      </c>
      <c r="O108" s="104" t="str">
        <f>IF(Main[[#This Row],[Tech Start Date]]&lt;1/1/1990,"",IF(Main[[#This Row],[Class]]="C",WORKDAY(Main[[#This Row],[Tech Start Date]],23),IF(Main[[#This Row],[Class]]="B", WORKDAY(Main[[#This Row],[Tech Start Date]],15),IF(Main[[#This Row],[Class]]="A",WORKDAY(Main[[#This Row],[Tech Start Date]],5),""))))</f>
        <v/>
      </c>
      <c r="P108" s="104" t="str">
        <f>IF(Main[[#This Row],[Tech Start Date]]&lt;1/1/1990,"",IF(Main[[#This Row],[Class]]="C",WORKDAY(Main[[#This Row],[Tech Start Date]],28),IF(Main[[#This Row],[Class]]="B", WORKDAY(Main[[#This Row],[Tech Start Date]],19),IF(Main[[#This Row],[Class]]="A",WORKDAY(Main[[#This Row],[Tech Start Date]],9),""))))</f>
        <v/>
      </c>
      <c r="Q108" s="101"/>
      <c r="R108" s="101"/>
      <c r="S108" s="99" t="s">
        <v>11</v>
      </c>
      <c r="T108" s="107" t="s">
        <v>330</v>
      </c>
      <c r="U108" s="99" t="s">
        <v>14</v>
      </c>
      <c r="V108" s="99" t="s">
        <v>1962</v>
      </c>
      <c r="W108" s="99" t="s">
        <v>1967</v>
      </c>
    </row>
    <row r="109" spans="1:23" ht="18.600000000000001" customHeight="1">
      <c r="A109" s="123">
        <f>IF(priority(Main[[#This Row],[Comments]])&lt;&gt;0, priority(Main[[#This Row],[Comments]]),"")</f>
        <v>33</v>
      </c>
      <c r="B109" s="127" t="s">
        <v>1112</v>
      </c>
      <c r="C109" s="99" t="s">
        <v>122</v>
      </c>
      <c r="D109" s="100" t="s">
        <v>123</v>
      </c>
      <c r="E109" s="101">
        <v>40534.411678240744</v>
      </c>
      <c r="F109" s="101">
        <v>40541</v>
      </c>
      <c r="G109" s="102" t="str">
        <f>IF(stdProdLT(Main[[#This Row],[Comments]])=0.1,"N/A",IF(stdProdLT(Main[[#This Row],[Comments]])=0,"",stdProdLT(Main[[#This Row],[Comments]])))</f>
        <v/>
      </c>
      <c r="H109" s="103" t="str">
        <f>IF(AND(Main[[#This Row],[In Stock Date]]&lt;&gt;"",Main[[#This Row],[Revised Due Date]]&lt;&gt;""),Main[[#This Row],[In Stock Date]]-Main[[#This Row],[Revised Due Date]],"")</f>
        <v/>
      </c>
      <c r="I109" s="99" t="s">
        <v>4</v>
      </c>
      <c r="J109" s="99" t="s">
        <v>28</v>
      </c>
      <c r="K109" s="99" t="s">
        <v>1971</v>
      </c>
      <c r="L109" s="101"/>
      <c r="M109" s="104" t="str">
        <f>IF(Main[[#This Row],[Tech Start Date]]&lt;1/1/1990,"",IF(Main[[#This Row],[Class]]="C",WORKDAY(Main[[#This Row],[Tech Start Date]],9),IF(Main[[#This Row],[Class]]="B", WORKDAY(Main[[#This Row],[Tech Start Date]],6),IF(Main[[#This Row],[Class]]="A",WORKDAY(Main[[#This Row],[Tech Start Date]],2),""))))</f>
        <v/>
      </c>
      <c r="N109" s="104" t="str">
        <f>IF(Main[[#This Row],[Tech Start Date]]&lt;1/1/1990,"",IF(Main[[#This Row],[Class]]="C",WORKDAY(Main[[#This Row],[Tech Start Date]],19),IF(Main[[#This Row],[Class]]="B", WORKDAY(Main[[#This Row],[Tech Start Date]],12),IF(Main[[#This Row],[Class]]="A",WORKDAY(Main[[#This Row],[Tech Start Date]],4),""))))</f>
        <v/>
      </c>
      <c r="O109" s="104" t="str">
        <f>IF(Main[[#This Row],[Tech Start Date]]&lt;1/1/1990,"",IF(Main[[#This Row],[Class]]="C",WORKDAY(Main[[#This Row],[Tech Start Date]],23),IF(Main[[#This Row],[Class]]="B", WORKDAY(Main[[#This Row],[Tech Start Date]],15),IF(Main[[#This Row],[Class]]="A",WORKDAY(Main[[#This Row],[Tech Start Date]],5),""))))</f>
        <v/>
      </c>
      <c r="P109" s="104" t="str">
        <f>IF(Main[[#This Row],[Tech Start Date]]&lt;1/1/1990,"",IF(Main[[#This Row],[Class]]="C",WORKDAY(Main[[#This Row],[Tech Start Date]],28),IF(Main[[#This Row],[Class]]="B", WORKDAY(Main[[#This Row],[Tech Start Date]],19),IF(Main[[#This Row],[Class]]="A",WORKDAY(Main[[#This Row],[Tech Start Date]],9),""))))</f>
        <v/>
      </c>
      <c r="Q109" s="101">
        <v>40541</v>
      </c>
      <c r="R109" s="101"/>
      <c r="S109" s="99" t="s">
        <v>6</v>
      </c>
      <c r="T109" s="107" t="s">
        <v>330</v>
      </c>
      <c r="U109" s="99" t="s">
        <v>7</v>
      </c>
      <c r="V109" s="99" t="s">
        <v>1962</v>
      </c>
      <c r="W109" s="99" t="s">
        <v>1966</v>
      </c>
    </row>
    <row r="110" spans="1:23" ht="18.600000000000001" customHeight="1">
      <c r="A110" s="123">
        <f>IF(priority(Main[[#This Row],[Comments]])&lt;&gt;0, priority(Main[[#This Row],[Comments]]),"")</f>
        <v>33</v>
      </c>
      <c r="B110" s="127" t="s">
        <v>2717</v>
      </c>
      <c r="C110" s="99" t="s">
        <v>3053</v>
      </c>
      <c r="D110" s="100" t="s">
        <v>2718</v>
      </c>
      <c r="E110" s="101">
        <v>40877.297893518517</v>
      </c>
      <c r="F110" s="101">
        <v>41030</v>
      </c>
      <c r="G110" s="102">
        <f>IF(stdProdLT(Main[[#This Row],[Comments]])=0.1,"N/A",IF(stdProdLT(Main[[#This Row],[Comments]])=0,"",stdProdLT(Main[[#This Row],[Comments]])))</f>
        <v>182</v>
      </c>
      <c r="H110" s="103">
        <f>IF(AND(Main[[#This Row],[In Stock Date]]&lt;&gt;"",Main[[#This Row],[Revised Due Date]]&lt;&gt;""),Main[[#This Row],[In Stock Date]]-Main[[#This Row],[Revised Due Date]],"")</f>
        <v>131</v>
      </c>
      <c r="I110" s="99" t="s">
        <v>435</v>
      </c>
      <c r="J110" s="99" t="s">
        <v>70</v>
      </c>
      <c r="K110" s="99" t="s">
        <v>1971</v>
      </c>
      <c r="L110" s="101">
        <v>40878</v>
      </c>
      <c r="M110" s="104">
        <f>IF(Main[[#This Row],[Tech Start Date]]&lt;1/1/1990,"",IF(Main[[#This Row],[Class]]="C",WORKDAY(Main[[#This Row],[Tech Start Date]],9),IF(Main[[#This Row],[Class]]="B", WORKDAY(Main[[#This Row],[Tech Start Date]],6),IF(Main[[#This Row],[Class]]="A",WORKDAY(Main[[#This Row],[Tech Start Date]],2),""))))</f>
        <v>40882</v>
      </c>
      <c r="N110" s="104">
        <f>IF(Main[[#This Row],[Tech Start Date]]&lt;1/1/1990,"",IF(Main[[#This Row],[Class]]="C",WORKDAY(Main[[#This Row],[Tech Start Date]],19),IF(Main[[#This Row],[Class]]="B", WORKDAY(Main[[#This Row],[Tech Start Date]],12),IF(Main[[#This Row],[Class]]="A",WORKDAY(Main[[#This Row],[Tech Start Date]],4),""))))</f>
        <v>40884</v>
      </c>
      <c r="O110" s="104">
        <f>IF(Main[[#This Row],[Tech Start Date]]&lt;1/1/1990,"",IF(Main[[#This Row],[Class]]="C",WORKDAY(Main[[#This Row],[Tech Start Date]],23),IF(Main[[#This Row],[Class]]="B", WORKDAY(Main[[#This Row],[Tech Start Date]],15),IF(Main[[#This Row],[Class]]="A",WORKDAY(Main[[#This Row],[Tech Start Date]],5),""))))</f>
        <v>40885</v>
      </c>
      <c r="P110" s="104">
        <f>IF(Main[[#This Row],[Tech Start Date]]&lt;1/1/1990,"",IF(Main[[#This Row],[Class]]="C",WORKDAY(Main[[#This Row],[Tech Start Date]],28),IF(Main[[#This Row],[Class]]="B", WORKDAY(Main[[#This Row],[Tech Start Date]],19),IF(Main[[#This Row],[Class]]="A",WORKDAY(Main[[#This Row],[Tech Start Date]],9),""))))</f>
        <v>40891</v>
      </c>
      <c r="Q110" s="101">
        <v>40923</v>
      </c>
      <c r="R110" s="101">
        <v>40899</v>
      </c>
      <c r="S110" s="99" t="s">
        <v>11</v>
      </c>
      <c r="T110" s="107" t="s">
        <v>2719</v>
      </c>
      <c r="U110" s="99" t="s">
        <v>29</v>
      </c>
      <c r="V110" s="99" t="s">
        <v>1972</v>
      </c>
      <c r="W110" s="99" t="s">
        <v>1968</v>
      </c>
    </row>
    <row r="111" spans="1:23" ht="18.600000000000001" customHeight="1">
      <c r="A111" s="123">
        <f>IF(priority(Main[[#This Row],[Comments]])&lt;&gt;0, priority(Main[[#This Row],[Comments]]),"")</f>
        <v>34</v>
      </c>
      <c r="B111" s="127" t="s">
        <v>1134</v>
      </c>
      <c r="C111" s="99" t="s">
        <v>4</v>
      </c>
      <c r="D111" s="100" t="s">
        <v>2379</v>
      </c>
      <c r="E111" s="101">
        <v>40561.117199074077</v>
      </c>
      <c r="F111" s="101">
        <v>40592</v>
      </c>
      <c r="G111" s="102" t="str">
        <f>IF(stdProdLT(Main[[#This Row],[Comments]])=0.1,"N/A",IF(stdProdLT(Main[[#This Row],[Comments]])=0,"",stdProdLT(Main[[#This Row],[Comments]])))</f>
        <v/>
      </c>
      <c r="H111" s="103" t="str">
        <f>IF(AND(Main[[#This Row],[In Stock Date]]&lt;&gt;"",Main[[#This Row],[Revised Due Date]]&lt;&gt;""),Main[[#This Row],[In Stock Date]]-Main[[#This Row],[Revised Due Date]],"")</f>
        <v/>
      </c>
      <c r="I111" s="99" t="s">
        <v>929</v>
      </c>
      <c r="J111" s="99" t="s">
        <v>21</v>
      </c>
      <c r="K111" s="108" t="s">
        <v>1969</v>
      </c>
      <c r="L111" s="101"/>
      <c r="M111" s="104" t="str">
        <f>IF(Main[[#This Row],[Tech Start Date]]&lt;1/1/1990,"",IF(Main[[#This Row],[Class]]="C",WORKDAY(Main[[#This Row],[Tech Start Date]],9),IF(Main[[#This Row],[Class]]="B", WORKDAY(Main[[#This Row],[Tech Start Date]],6),IF(Main[[#This Row],[Class]]="A",WORKDAY(Main[[#This Row],[Tech Start Date]],2),""))))</f>
        <v/>
      </c>
      <c r="N111" s="104" t="str">
        <f>IF(Main[[#This Row],[Tech Start Date]]&lt;1/1/1990,"",IF(Main[[#This Row],[Class]]="C",WORKDAY(Main[[#This Row],[Tech Start Date]],19),IF(Main[[#This Row],[Class]]="B", WORKDAY(Main[[#This Row],[Tech Start Date]],12),IF(Main[[#This Row],[Class]]="A",WORKDAY(Main[[#This Row],[Tech Start Date]],4),""))))</f>
        <v/>
      </c>
      <c r="O111" s="104" t="str">
        <f>IF(Main[[#This Row],[Tech Start Date]]&lt;1/1/1990,"",IF(Main[[#This Row],[Class]]="C",WORKDAY(Main[[#This Row],[Tech Start Date]],23),IF(Main[[#This Row],[Class]]="B", WORKDAY(Main[[#This Row],[Tech Start Date]],15),IF(Main[[#This Row],[Class]]="A",WORKDAY(Main[[#This Row],[Tech Start Date]],5),""))))</f>
        <v/>
      </c>
      <c r="P111" s="104" t="str">
        <f>IF(Main[[#This Row],[Tech Start Date]]&lt;1/1/1990,"",IF(Main[[#This Row],[Class]]="C",WORKDAY(Main[[#This Row],[Tech Start Date]],28),IF(Main[[#This Row],[Class]]="B", WORKDAY(Main[[#This Row],[Tech Start Date]],19),IF(Main[[#This Row],[Class]]="A",WORKDAY(Main[[#This Row],[Tech Start Date]],9),""))))</f>
        <v/>
      </c>
      <c r="Q111" s="101">
        <v>40592</v>
      </c>
      <c r="R111" s="101"/>
      <c r="S111" s="99" t="s">
        <v>6</v>
      </c>
      <c r="T111" s="107" t="s">
        <v>2082</v>
      </c>
      <c r="U111" s="99" t="s">
        <v>29</v>
      </c>
      <c r="V111" s="99" t="s">
        <v>1962</v>
      </c>
      <c r="W111" s="99" t="s">
        <v>1964</v>
      </c>
    </row>
    <row r="112" spans="1:23" ht="18.600000000000001" customHeight="1">
      <c r="A112" s="123">
        <f>IF(priority(Main[[#This Row],[Comments]])&lt;&gt;0, priority(Main[[#This Row],[Comments]]),"")</f>
        <v>34</v>
      </c>
      <c r="B112" s="127" t="s">
        <v>2617</v>
      </c>
      <c r="C112" s="99" t="s">
        <v>3053</v>
      </c>
      <c r="D112" s="100" t="s">
        <v>2618</v>
      </c>
      <c r="E112" s="101">
        <v>40877.30159722222</v>
      </c>
      <c r="F112" s="101">
        <v>41030</v>
      </c>
      <c r="G112" s="102">
        <f>IF(stdProdLT(Main[[#This Row],[Comments]])=0.1,"N/A",IF(stdProdLT(Main[[#This Row],[Comments]])=0,"",stdProdLT(Main[[#This Row],[Comments]])))</f>
        <v>182</v>
      </c>
      <c r="H112" s="103">
        <f>IF(AND(Main[[#This Row],[In Stock Date]]&lt;&gt;"",Main[[#This Row],[Revised Due Date]]&lt;&gt;""),Main[[#This Row],[In Stock Date]]-Main[[#This Row],[Revised Due Date]],"")</f>
        <v>131</v>
      </c>
      <c r="I112" s="99" t="s">
        <v>131</v>
      </c>
      <c r="J112" s="99" t="s">
        <v>70</v>
      </c>
      <c r="K112" s="99" t="s">
        <v>1971</v>
      </c>
      <c r="L112" s="101">
        <v>40878</v>
      </c>
      <c r="M112" s="104">
        <f>IF(Main[[#This Row],[Tech Start Date]]&lt;1/1/1990,"",IF(Main[[#This Row],[Class]]="C",WORKDAY(Main[[#This Row],[Tech Start Date]],9),IF(Main[[#This Row],[Class]]="B", WORKDAY(Main[[#This Row],[Tech Start Date]],6),IF(Main[[#This Row],[Class]]="A",WORKDAY(Main[[#This Row],[Tech Start Date]],2),""))))</f>
        <v>40882</v>
      </c>
      <c r="N112" s="104">
        <f>IF(Main[[#This Row],[Tech Start Date]]&lt;1/1/1990,"",IF(Main[[#This Row],[Class]]="C",WORKDAY(Main[[#This Row],[Tech Start Date]],19),IF(Main[[#This Row],[Class]]="B", WORKDAY(Main[[#This Row],[Tech Start Date]],12),IF(Main[[#This Row],[Class]]="A",WORKDAY(Main[[#This Row],[Tech Start Date]],4),""))))</f>
        <v>40884</v>
      </c>
      <c r="O112" s="104">
        <f>IF(Main[[#This Row],[Tech Start Date]]&lt;1/1/1990,"",IF(Main[[#This Row],[Class]]="C",WORKDAY(Main[[#This Row],[Tech Start Date]],23),IF(Main[[#This Row],[Class]]="B", WORKDAY(Main[[#This Row],[Tech Start Date]],15),IF(Main[[#This Row],[Class]]="A",WORKDAY(Main[[#This Row],[Tech Start Date]],5),""))))</f>
        <v>40885</v>
      </c>
      <c r="P112" s="104">
        <f>IF(Main[[#This Row],[Tech Start Date]]&lt;1/1/1990,"",IF(Main[[#This Row],[Class]]="C",WORKDAY(Main[[#This Row],[Tech Start Date]],28),IF(Main[[#This Row],[Class]]="B", WORKDAY(Main[[#This Row],[Tech Start Date]],19),IF(Main[[#This Row],[Class]]="A",WORKDAY(Main[[#This Row],[Tech Start Date]],9),""))))</f>
        <v>40891</v>
      </c>
      <c r="Q112" s="101">
        <v>40923</v>
      </c>
      <c r="R112" s="101">
        <v>40899</v>
      </c>
      <c r="S112" s="99" t="s">
        <v>11</v>
      </c>
      <c r="T112" s="107" t="s">
        <v>2619</v>
      </c>
      <c r="U112" s="99" t="s">
        <v>29</v>
      </c>
      <c r="V112" s="99" t="s">
        <v>1972</v>
      </c>
      <c r="W112" s="99" t="s">
        <v>1968</v>
      </c>
    </row>
    <row r="113" spans="1:23" ht="18.600000000000001" customHeight="1">
      <c r="A113" s="123">
        <f>IF(priority(Main[[#This Row],[Comments]])&lt;&gt;0, priority(Main[[#This Row],[Comments]]),"")</f>
        <v>35</v>
      </c>
      <c r="B113" s="127" t="s">
        <v>1063</v>
      </c>
      <c r="C113" s="99" t="s">
        <v>4</v>
      </c>
      <c r="D113" s="100" t="s">
        <v>2387</v>
      </c>
      <c r="E113" s="101">
        <v>40631.454745370371</v>
      </c>
      <c r="F113" s="101"/>
      <c r="G113" s="102" t="str">
        <f>IF(stdProdLT(Main[[#This Row],[Comments]])=0.1,"N/A",IF(stdProdLT(Main[[#This Row],[Comments]])=0,"",stdProdLT(Main[[#This Row],[Comments]])))</f>
        <v/>
      </c>
      <c r="H113" s="103" t="str">
        <f>IF(AND(Main[[#This Row],[In Stock Date]]&lt;&gt;"",Main[[#This Row],[Revised Due Date]]&lt;&gt;""),Main[[#This Row],[In Stock Date]]-Main[[#This Row],[Revised Due Date]],"")</f>
        <v/>
      </c>
      <c r="I113" s="99" t="s">
        <v>929</v>
      </c>
      <c r="J113" s="99" t="s">
        <v>52</v>
      </c>
      <c r="K113" s="108" t="s">
        <v>4</v>
      </c>
      <c r="L113" s="101"/>
      <c r="M113" s="104" t="str">
        <f>IF(Main[[#This Row],[Tech Start Date]]&lt;1/1/1990,"",IF(Main[[#This Row],[Class]]="C",WORKDAY(Main[[#This Row],[Tech Start Date]],9),IF(Main[[#This Row],[Class]]="B", WORKDAY(Main[[#This Row],[Tech Start Date]],6),IF(Main[[#This Row],[Class]]="A",WORKDAY(Main[[#This Row],[Tech Start Date]],2),""))))</f>
        <v/>
      </c>
      <c r="N113" s="104" t="str">
        <f>IF(Main[[#This Row],[Tech Start Date]]&lt;1/1/1990,"",IF(Main[[#This Row],[Class]]="C",WORKDAY(Main[[#This Row],[Tech Start Date]],19),IF(Main[[#This Row],[Class]]="B", WORKDAY(Main[[#This Row],[Tech Start Date]],12),IF(Main[[#This Row],[Class]]="A",WORKDAY(Main[[#This Row],[Tech Start Date]],4),""))))</f>
        <v/>
      </c>
      <c r="O113" s="104" t="str">
        <f>IF(Main[[#This Row],[Tech Start Date]]&lt;1/1/1990,"",IF(Main[[#This Row],[Class]]="C",WORKDAY(Main[[#This Row],[Tech Start Date]],23),IF(Main[[#This Row],[Class]]="B", WORKDAY(Main[[#This Row],[Tech Start Date]],15),IF(Main[[#This Row],[Class]]="A",WORKDAY(Main[[#This Row],[Tech Start Date]],5),""))))</f>
        <v/>
      </c>
      <c r="P113" s="104" t="str">
        <f>IF(Main[[#This Row],[Tech Start Date]]&lt;1/1/1990,"",IF(Main[[#This Row],[Class]]="C",WORKDAY(Main[[#This Row],[Tech Start Date]],28),IF(Main[[#This Row],[Class]]="B", WORKDAY(Main[[#This Row],[Tech Start Date]],19),IF(Main[[#This Row],[Class]]="A",WORKDAY(Main[[#This Row],[Tech Start Date]],9),""))))</f>
        <v/>
      </c>
      <c r="Q113" s="101">
        <v>40637</v>
      </c>
      <c r="R113" s="101"/>
      <c r="S113" s="99" t="s">
        <v>6</v>
      </c>
      <c r="T113" s="107" t="s">
        <v>2114</v>
      </c>
      <c r="U113" s="99" t="s">
        <v>29</v>
      </c>
      <c r="V113" s="99" t="s">
        <v>1962</v>
      </c>
      <c r="W113" s="99" t="s">
        <v>1970</v>
      </c>
    </row>
    <row r="114" spans="1:23" ht="18.600000000000001" customHeight="1">
      <c r="A114" s="123">
        <f>IF(priority(Main[[#This Row],[Comments]])&lt;&gt;0, priority(Main[[#This Row],[Comments]]),"")</f>
        <v>35</v>
      </c>
      <c r="B114" s="127" t="s">
        <v>2720</v>
      </c>
      <c r="C114" s="99" t="s">
        <v>3053</v>
      </c>
      <c r="D114" s="100" t="s">
        <v>2721</v>
      </c>
      <c r="E114" s="101">
        <v>40877.342847222222</v>
      </c>
      <c r="F114" s="101">
        <v>41030</v>
      </c>
      <c r="G114" s="102">
        <f>IF(stdProdLT(Main[[#This Row],[Comments]])=0.1,"N/A",IF(stdProdLT(Main[[#This Row],[Comments]])=0,"",stdProdLT(Main[[#This Row],[Comments]])))</f>
        <v>182</v>
      </c>
      <c r="H114" s="103">
        <f>IF(AND(Main[[#This Row],[In Stock Date]]&lt;&gt;"",Main[[#This Row],[Revised Due Date]]&lt;&gt;""),Main[[#This Row],[In Stock Date]]-Main[[#This Row],[Revised Due Date]],"")</f>
        <v>131</v>
      </c>
      <c r="I114" s="99" t="s">
        <v>435</v>
      </c>
      <c r="J114" s="99" t="s">
        <v>70</v>
      </c>
      <c r="K114" s="99" t="s">
        <v>1971</v>
      </c>
      <c r="L114" s="101">
        <v>40878</v>
      </c>
      <c r="M114" s="104">
        <f>IF(Main[[#This Row],[Tech Start Date]]&lt;1/1/1990,"",IF(Main[[#This Row],[Class]]="C",WORKDAY(Main[[#This Row],[Tech Start Date]],9),IF(Main[[#This Row],[Class]]="B", WORKDAY(Main[[#This Row],[Tech Start Date]],6),IF(Main[[#This Row],[Class]]="A",WORKDAY(Main[[#This Row],[Tech Start Date]],2),""))))</f>
        <v>40882</v>
      </c>
      <c r="N114" s="104">
        <f>IF(Main[[#This Row],[Tech Start Date]]&lt;1/1/1990,"",IF(Main[[#This Row],[Class]]="C",WORKDAY(Main[[#This Row],[Tech Start Date]],19),IF(Main[[#This Row],[Class]]="B", WORKDAY(Main[[#This Row],[Tech Start Date]],12),IF(Main[[#This Row],[Class]]="A",WORKDAY(Main[[#This Row],[Tech Start Date]],4),""))))</f>
        <v>40884</v>
      </c>
      <c r="O114" s="104">
        <f>IF(Main[[#This Row],[Tech Start Date]]&lt;1/1/1990,"",IF(Main[[#This Row],[Class]]="C",WORKDAY(Main[[#This Row],[Tech Start Date]],23),IF(Main[[#This Row],[Class]]="B", WORKDAY(Main[[#This Row],[Tech Start Date]],15),IF(Main[[#This Row],[Class]]="A",WORKDAY(Main[[#This Row],[Tech Start Date]],5),""))))</f>
        <v>40885</v>
      </c>
      <c r="P114" s="104">
        <f>IF(Main[[#This Row],[Tech Start Date]]&lt;1/1/1990,"",IF(Main[[#This Row],[Class]]="C",WORKDAY(Main[[#This Row],[Tech Start Date]],28),IF(Main[[#This Row],[Class]]="B", WORKDAY(Main[[#This Row],[Tech Start Date]],19),IF(Main[[#This Row],[Class]]="A",WORKDAY(Main[[#This Row],[Tech Start Date]],9),""))))</f>
        <v>40891</v>
      </c>
      <c r="Q114" s="101">
        <v>40923</v>
      </c>
      <c r="R114" s="101">
        <v>40899</v>
      </c>
      <c r="S114" s="99" t="s">
        <v>11</v>
      </c>
      <c r="T114" s="107" t="s">
        <v>2722</v>
      </c>
      <c r="U114" s="99" t="s">
        <v>29</v>
      </c>
      <c r="V114" s="99" t="s">
        <v>1972</v>
      </c>
      <c r="W114" s="99" t="s">
        <v>1968</v>
      </c>
    </row>
    <row r="115" spans="1:23" ht="18.600000000000001" customHeight="1">
      <c r="A115" s="123">
        <f>IF(priority(Main[[#This Row],[Comments]])&lt;&gt;0, priority(Main[[#This Row],[Comments]]),"")</f>
        <v>35.1</v>
      </c>
      <c r="B115" s="127" t="s">
        <v>2323</v>
      </c>
      <c r="C115" s="99" t="s">
        <v>149</v>
      </c>
      <c r="D115" s="100" t="s">
        <v>3024</v>
      </c>
      <c r="E115" s="101">
        <v>40794.58861111111</v>
      </c>
      <c r="F115" s="101">
        <v>40953</v>
      </c>
      <c r="G115" s="102">
        <f>IF(stdProdLT(Main[[#This Row],[Comments]])=0.1,"N/A",IF(stdProdLT(Main[[#This Row],[Comments]])=0,"",stdProdLT(Main[[#This Row],[Comments]])))</f>
        <v>126</v>
      </c>
      <c r="H115" s="103">
        <f>IF(AND(Main[[#This Row],[In Stock Date]]&lt;&gt;"",Main[[#This Row],[Revised Due Date]]&lt;&gt;""),Main[[#This Row],[In Stock Date]]-Main[[#This Row],[Revised Due Date]],"")</f>
        <v>71</v>
      </c>
      <c r="I115" s="99" t="s">
        <v>81</v>
      </c>
      <c r="J115" s="99" t="s">
        <v>52</v>
      </c>
      <c r="K115" s="108" t="s">
        <v>1975</v>
      </c>
      <c r="L115" s="101">
        <v>40795</v>
      </c>
      <c r="M115" s="104">
        <f>IF(Main[[#This Row],[Tech Start Date]]&lt;1/1/1990,"",IF(Main[[#This Row],[Class]]="C",WORKDAY(Main[[#This Row],[Tech Start Date]],9),IF(Main[[#This Row],[Class]]="B", WORKDAY(Main[[#This Row],[Tech Start Date]],6),IF(Main[[#This Row],[Class]]="A",WORKDAY(Main[[#This Row],[Tech Start Date]],2),""))))</f>
        <v>40808</v>
      </c>
      <c r="N115" s="104">
        <f>IF(Main[[#This Row],[Tech Start Date]]&lt;1/1/1990,"",IF(Main[[#This Row],[Class]]="C",WORKDAY(Main[[#This Row],[Tech Start Date]],19),IF(Main[[#This Row],[Class]]="B", WORKDAY(Main[[#This Row],[Tech Start Date]],12),IF(Main[[#This Row],[Class]]="A",WORKDAY(Main[[#This Row],[Tech Start Date]],4),""))))</f>
        <v>40822</v>
      </c>
      <c r="O115" s="104">
        <f>IF(Main[[#This Row],[Tech Start Date]]&lt;1/1/1990,"",IF(Main[[#This Row],[Class]]="C",WORKDAY(Main[[#This Row],[Tech Start Date]],23),IF(Main[[#This Row],[Class]]="B", WORKDAY(Main[[#This Row],[Tech Start Date]],15),IF(Main[[#This Row],[Class]]="A",WORKDAY(Main[[#This Row],[Tech Start Date]],5),""))))</f>
        <v>40828</v>
      </c>
      <c r="P115" s="104">
        <f>IF(Main[[#This Row],[Tech Start Date]]&lt;1/1/1990,"",IF(Main[[#This Row],[Class]]="C",WORKDAY(Main[[#This Row],[Tech Start Date]],28),IF(Main[[#This Row],[Class]]="B", WORKDAY(Main[[#This Row],[Tech Start Date]],19),IF(Main[[#This Row],[Class]]="A",WORKDAY(Main[[#This Row],[Tech Start Date]],9),""))))</f>
        <v>40835</v>
      </c>
      <c r="Q115" s="101">
        <v>40840</v>
      </c>
      <c r="R115" s="101">
        <v>40882</v>
      </c>
      <c r="S115" s="99" t="s">
        <v>11</v>
      </c>
      <c r="T115" s="107" t="s">
        <v>3043</v>
      </c>
      <c r="U115" s="99" t="s">
        <v>29</v>
      </c>
      <c r="V115" s="99" t="s">
        <v>1965</v>
      </c>
      <c r="W115" s="99" t="s">
        <v>1967</v>
      </c>
    </row>
    <row r="116" spans="1:23" ht="18.600000000000001" customHeight="1">
      <c r="A116" s="123">
        <f>IF(priority(Main[[#This Row],[Comments]])&lt;&gt;0, priority(Main[[#This Row],[Comments]]),"")</f>
        <v>35.1</v>
      </c>
      <c r="B116" s="127" t="s">
        <v>2687</v>
      </c>
      <c r="C116" s="99" t="s">
        <v>72</v>
      </c>
      <c r="D116" s="100" t="s">
        <v>2688</v>
      </c>
      <c r="E116" s="101">
        <v>40871.083078703705</v>
      </c>
      <c r="F116" s="101">
        <v>41061</v>
      </c>
      <c r="G116" s="102">
        <f>IF(stdProdLT(Main[[#This Row],[Comments]])=0.1,"N/A",IF(stdProdLT(Main[[#This Row],[Comments]])=0,"",stdProdLT(Main[[#This Row],[Comments]])))</f>
        <v>168</v>
      </c>
      <c r="H116" s="103">
        <f>IF(AND(Main[[#This Row],[In Stock Date]]&lt;&gt;"",Main[[#This Row],[Revised Due Date]]&lt;&gt;""),Main[[#This Row],[In Stock Date]]-Main[[#This Row],[Revised Due Date]],"")</f>
        <v>505</v>
      </c>
      <c r="I116" s="99" t="s">
        <v>242</v>
      </c>
      <c r="J116" s="99" t="s">
        <v>28</v>
      </c>
      <c r="K116" s="99" t="s">
        <v>1975</v>
      </c>
      <c r="L116" s="101">
        <v>40878</v>
      </c>
      <c r="M116" s="104">
        <f>IF(Main[[#This Row],[Tech Start Date]]&lt;1/1/1990,"",IF(Main[[#This Row],[Class]]="C",WORKDAY(Main[[#This Row],[Tech Start Date]],9),IF(Main[[#This Row],[Class]]="B", WORKDAY(Main[[#This Row],[Tech Start Date]],6),IF(Main[[#This Row],[Class]]="A",WORKDAY(Main[[#This Row],[Tech Start Date]],2),""))))</f>
        <v>40891</v>
      </c>
      <c r="N116" s="104">
        <f>IF(Main[[#This Row],[Tech Start Date]]&lt;1/1/1990,"",IF(Main[[#This Row],[Class]]="C",WORKDAY(Main[[#This Row],[Tech Start Date]],19),IF(Main[[#This Row],[Class]]="B", WORKDAY(Main[[#This Row],[Tech Start Date]],12),IF(Main[[#This Row],[Class]]="A",WORKDAY(Main[[#This Row],[Tech Start Date]],4),""))))</f>
        <v>40905</v>
      </c>
      <c r="O116" s="104">
        <f>IF(Main[[#This Row],[Tech Start Date]]&lt;1/1/1990,"",IF(Main[[#This Row],[Class]]="C",WORKDAY(Main[[#This Row],[Tech Start Date]],23),IF(Main[[#This Row],[Class]]="B", WORKDAY(Main[[#This Row],[Tech Start Date]],15),IF(Main[[#This Row],[Class]]="A",WORKDAY(Main[[#This Row],[Tech Start Date]],5),""))))</f>
        <v>40911</v>
      </c>
      <c r="P116" s="104">
        <f>IF(Main[[#This Row],[Tech Start Date]]&lt;1/1/1990,"",IF(Main[[#This Row],[Class]]="C",WORKDAY(Main[[#This Row],[Tech Start Date]],28),IF(Main[[#This Row],[Class]]="B", WORKDAY(Main[[#This Row],[Tech Start Date]],19),IF(Main[[#This Row],[Class]]="A",WORKDAY(Main[[#This Row],[Tech Start Date]],9),""))))</f>
        <v>40918</v>
      </c>
      <c r="Q116" s="101"/>
      <c r="R116" s="101">
        <v>40556</v>
      </c>
      <c r="S116" s="99" t="s">
        <v>11</v>
      </c>
      <c r="T116" s="107" t="s">
        <v>3052</v>
      </c>
      <c r="U116" s="99" t="s">
        <v>29</v>
      </c>
      <c r="V116" s="99" t="s">
        <v>1965</v>
      </c>
      <c r="W116" s="99" t="s">
        <v>1967</v>
      </c>
    </row>
    <row r="117" spans="1:23" ht="18.600000000000001" customHeight="1">
      <c r="A117" s="123">
        <f>IF(priority(Main[[#This Row],[Comments]])&lt;&gt;0, priority(Main[[#This Row],[Comments]]),"")</f>
        <v>36</v>
      </c>
      <c r="B117" s="127" t="s">
        <v>1717</v>
      </c>
      <c r="C117" s="99" t="s">
        <v>72</v>
      </c>
      <c r="D117" s="100" t="s">
        <v>748</v>
      </c>
      <c r="E117" s="101">
        <v>40627.683692129627</v>
      </c>
      <c r="F117" s="101"/>
      <c r="G117" s="102">
        <f>IF(stdProdLT(Main[[#This Row],[Comments]])=0.1,"N/A",IF(stdProdLT(Main[[#This Row],[Comments]])=0,"",stdProdLT(Main[[#This Row],[Comments]])))</f>
        <v>140</v>
      </c>
      <c r="H117" s="103" t="str">
        <f>IF(AND(Main[[#This Row],[In Stock Date]]&lt;&gt;"",Main[[#This Row],[Revised Due Date]]&lt;&gt;""),Main[[#This Row],[In Stock Date]]-Main[[#This Row],[Revised Due Date]],"")</f>
        <v/>
      </c>
      <c r="I117" s="99" t="s">
        <v>131</v>
      </c>
      <c r="J117" s="99" t="s">
        <v>52</v>
      </c>
      <c r="K117" s="99" t="s">
        <v>1971</v>
      </c>
      <c r="L117" s="101"/>
      <c r="M117" s="104" t="str">
        <f>IF(Main[[#This Row],[Tech Start Date]]&lt;1/1/1990,"",IF(Main[[#This Row],[Class]]="C",WORKDAY(Main[[#This Row],[Tech Start Date]],9),IF(Main[[#This Row],[Class]]="B", WORKDAY(Main[[#This Row],[Tech Start Date]],6),IF(Main[[#This Row],[Class]]="A",WORKDAY(Main[[#This Row],[Tech Start Date]],2),""))))</f>
        <v/>
      </c>
      <c r="N117" s="104" t="str">
        <f>IF(Main[[#This Row],[Tech Start Date]]&lt;1/1/1990,"",IF(Main[[#This Row],[Class]]="C",WORKDAY(Main[[#This Row],[Tech Start Date]],19),IF(Main[[#This Row],[Class]]="B", WORKDAY(Main[[#This Row],[Tech Start Date]],12),IF(Main[[#This Row],[Class]]="A",WORKDAY(Main[[#This Row],[Tech Start Date]],4),""))))</f>
        <v/>
      </c>
      <c r="O117" s="104" t="str">
        <f>IF(Main[[#This Row],[Tech Start Date]]&lt;1/1/1990,"",IF(Main[[#This Row],[Class]]="C",WORKDAY(Main[[#This Row],[Tech Start Date]],23),IF(Main[[#This Row],[Class]]="B", WORKDAY(Main[[#This Row],[Tech Start Date]],15),IF(Main[[#This Row],[Class]]="A",WORKDAY(Main[[#This Row],[Tech Start Date]],5),""))))</f>
        <v/>
      </c>
      <c r="P117" s="104" t="str">
        <f>IF(Main[[#This Row],[Tech Start Date]]&lt;1/1/1990,"",IF(Main[[#This Row],[Class]]="C",WORKDAY(Main[[#This Row],[Tech Start Date]],28),IF(Main[[#This Row],[Class]]="B", WORKDAY(Main[[#This Row],[Tech Start Date]],19),IF(Main[[#This Row],[Class]]="A",WORKDAY(Main[[#This Row],[Tech Start Date]],9),""))))</f>
        <v/>
      </c>
      <c r="Q117" s="101"/>
      <c r="R117" s="101"/>
      <c r="S117" s="99" t="s">
        <v>11</v>
      </c>
      <c r="T117" s="107" t="s">
        <v>2840</v>
      </c>
      <c r="U117" s="99" t="s">
        <v>29</v>
      </c>
      <c r="V117" s="99" t="s">
        <v>1965</v>
      </c>
      <c r="W117" s="99" t="s">
        <v>1970</v>
      </c>
    </row>
    <row r="118" spans="1:23" ht="18.600000000000001" customHeight="1">
      <c r="A118" s="123">
        <f>IF(priority(Main[[#This Row],[Comments]])&lt;&gt;0, priority(Main[[#This Row],[Comments]]),"")</f>
        <v>36</v>
      </c>
      <c r="B118" s="127" t="s">
        <v>1243</v>
      </c>
      <c r="C118" s="99" t="s">
        <v>4</v>
      </c>
      <c r="D118" s="100" t="s">
        <v>272</v>
      </c>
      <c r="E118" s="101">
        <v>40681.617800925924</v>
      </c>
      <c r="F118" s="101"/>
      <c r="G118" s="102" t="str">
        <f>IF(stdProdLT(Main[[#This Row],[Comments]])=0.1,"N/A",IF(stdProdLT(Main[[#This Row],[Comments]])=0,"",stdProdLT(Main[[#This Row],[Comments]])))</f>
        <v/>
      </c>
      <c r="H118" s="103" t="str">
        <f>IF(AND(Main[[#This Row],[In Stock Date]]&lt;&gt;"",Main[[#This Row],[Revised Due Date]]&lt;&gt;""),Main[[#This Row],[In Stock Date]]-Main[[#This Row],[Revised Due Date]],"")</f>
        <v/>
      </c>
      <c r="I118" s="99" t="s">
        <v>4</v>
      </c>
      <c r="J118" s="99" t="s">
        <v>21</v>
      </c>
      <c r="K118" s="99" t="s">
        <v>4</v>
      </c>
      <c r="L118" s="101"/>
      <c r="M118" s="104" t="str">
        <f>IF(Main[[#This Row],[Tech Start Date]]&lt;1/1/1990,"",IF(Main[[#This Row],[Class]]="C",WORKDAY(Main[[#This Row],[Tech Start Date]],9),IF(Main[[#This Row],[Class]]="B", WORKDAY(Main[[#This Row],[Tech Start Date]],6),IF(Main[[#This Row],[Class]]="A",WORKDAY(Main[[#This Row],[Tech Start Date]],2),""))))</f>
        <v/>
      </c>
      <c r="N118" s="104" t="str">
        <f>IF(Main[[#This Row],[Tech Start Date]]&lt;1/1/1990,"",IF(Main[[#This Row],[Class]]="C",WORKDAY(Main[[#This Row],[Tech Start Date]],19),IF(Main[[#This Row],[Class]]="B", WORKDAY(Main[[#This Row],[Tech Start Date]],12),IF(Main[[#This Row],[Class]]="A",WORKDAY(Main[[#This Row],[Tech Start Date]],4),""))))</f>
        <v/>
      </c>
      <c r="O118" s="104" t="str">
        <f>IF(Main[[#This Row],[Tech Start Date]]&lt;1/1/1990,"",IF(Main[[#This Row],[Class]]="C",WORKDAY(Main[[#This Row],[Tech Start Date]],23),IF(Main[[#This Row],[Class]]="B", WORKDAY(Main[[#This Row],[Tech Start Date]],15),IF(Main[[#This Row],[Class]]="A",WORKDAY(Main[[#This Row],[Tech Start Date]],5),""))))</f>
        <v/>
      </c>
      <c r="P118" s="104" t="str">
        <f>IF(Main[[#This Row],[Tech Start Date]]&lt;1/1/1990,"",IF(Main[[#This Row],[Class]]="C",WORKDAY(Main[[#This Row],[Tech Start Date]],28),IF(Main[[#This Row],[Class]]="B", WORKDAY(Main[[#This Row],[Tech Start Date]],19),IF(Main[[#This Row],[Class]]="A",WORKDAY(Main[[#This Row],[Tech Start Date]],9),""))))</f>
        <v/>
      </c>
      <c r="Q118" s="101">
        <v>40710</v>
      </c>
      <c r="R118" s="101"/>
      <c r="S118" s="99" t="s">
        <v>6</v>
      </c>
      <c r="T118" s="107" t="s">
        <v>2345</v>
      </c>
      <c r="U118" s="99" t="s">
        <v>540</v>
      </c>
      <c r="V118" s="99" t="s">
        <v>1962</v>
      </c>
      <c r="W118" s="99" t="s">
        <v>1973</v>
      </c>
    </row>
    <row r="119" spans="1:23" ht="18.600000000000001" customHeight="1">
      <c r="A119" s="123">
        <f>IF(priority(Main[[#This Row],[Comments]])&lt;&gt;0, priority(Main[[#This Row],[Comments]]),"")</f>
        <v>37</v>
      </c>
      <c r="B119" s="127" t="s">
        <v>1206</v>
      </c>
      <c r="C119" s="99" t="s">
        <v>4</v>
      </c>
      <c r="D119" s="100" t="s">
        <v>230</v>
      </c>
      <c r="E119" s="101">
        <v>40567.332951388889</v>
      </c>
      <c r="F119" s="101">
        <v>40602</v>
      </c>
      <c r="G119" s="102" t="str">
        <f>IF(stdProdLT(Main[[#This Row],[Comments]])=0.1,"N/A",IF(stdProdLT(Main[[#This Row],[Comments]])=0,"",stdProdLT(Main[[#This Row],[Comments]])))</f>
        <v/>
      </c>
      <c r="H119" s="103" t="str">
        <f>IF(AND(Main[[#This Row],[In Stock Date]]&lt;&gt;"",Main[[#This Row],[Revised Due Date]]&lt;&gt;""),Main[[#This Row],[In Stock Date]]-Main[[#This Row],[Revised Due Date]],"")</f>
        <v/>
      </c>
      <c r="I119" s="99" t="s">
        <v>929</v>
      </c>
      <c r="J119" s="99" t="s">
        <v>52</v>
      </c>
      <c r="K119" s="99" t="s">
        <v>1971</v>
      </c>
      <c r="L119" s="101"/>
      <c r="M119" s="104" t="str">
        <f>IF(Main[[#This Row],[Tech Start Date]]&lt;1/1/1990,"",IF(Main[[#This Row],[Class]]="C",WORKDAY(Main[[#This Row],[Tech Start Date]],9),IF(Main[[#This Row],[Class]]="B", WORKDAY(Main[[#This Row],[Tech Start Date]],6),IF(Main[[#This Row],[Class]]="A",WORKDAY(Main[[#This Row],[Tech Start Date]],2),""))))</f>
        <v/>
      </c>
      <c r="N119" s="104" t="str">
        <f>IF(Main[[#This Row],[Tech Start Date]]&lt;1/1/1990,"",IF(Main[[#This Row],[Class]]="C",WORKDAY(Main[[#This Row],[Tech Start Date]],19),IF(Main[[#This Row],[Class]]="B", WORKDAY(Main[[#This Row],[Tech Start Date]],12),IF(Main[[#This Row],[Class]]="A",WORKDAY(Main[[#This Row],[Tech Start Date]],4),""))))</f>
        <v/>
      </c>
      <c r="O119" s="104" t="str">
        <f>IF(Main[[#This Row],[Tech Start Date]]&lt;1/1/1990,"",IF(Main[[#This Row],[Class]]="C",WORKDAY(Main[[#This Row],[Tech Start Date]],23),IF(Main[[#This Row],[Class]]="B", WORKDAY(Main[[#This Row],[Tech Start Date]],15),IF(Main[[#This Row],[Class]]="A",WORKDAY(Main[[#This Row],[Tech Start Date]],5),""))))</f>
        <v/>
      </c>
      <c r="P119" s="104" t="str">
        <f>IF(Main[[#This Row],[Tech Start Date]]&lt;1/1/1990,"",IF(Main[[#This Row],[Class]]="C",WORKDAY(Main[[#This Row],[Tech Start Date]],28),IF(Main[[#This Row],[Class]]="B", WORKDAY(Main[[#This Row],[Tech Start Date]],19),IF(Main[[#This Row],[Class]]="A",WORKDAY(Main[[#This Row],[Tech Start Date]],9),""))))</f>
        <v/>
      </c>
      <c r="Q119" s="101">
        <v>40602</v>
      </c>
      <c r="R119" s="101"/>
      <c r="S119" s="99" t="s">
        <v>6</v>
      </c>
      <c r="T119" s="107" t="s">
        <v>2083</v>
      </c>
      <c r="U119" s="99" t="s">
        <v>29</v>
      </c>
      <c r="V119" s="99" t="s">
        <v>1962</v>
      </c>
      <c r="W119" s="99" t="s">
        <v>1964</v>
      </c>
    </row>
    <row r="120" spans="1:23" ht="18.600000000000001" customHeight="1">
      <c r="A120" s="123">
        <f>IF(priority(Main[[#This Row],[Comments]])&lt;&gt;0, priority(Main[[#This Row],[Comments]]),"")</f>
        <v>37</v>
      </c>
      <c r="B120" s="127" t="s">
        <v>2068</v>
      </c>
      <c r="C120" s="99" t="s">
        <v>2045</v>
      </c>
      <c r="D120" s="100" t="s">
        <v>2279</v>
      </c>
      <c r="E120" s="101">
        <v>40744.420902777776</v>
      </c>
      <c r="F120" s="101">
        <v>40953</v>
      </c>
      <c r="G120" s="102">
        <f>IF(stdProdLT(Main[[#This Row],[Comments]])=0.1,"N/A",IF(stdProdLT(Main[[#This Row],[Comments]])=0,"",stdProdLT(Main[[#This Row],[Comments]])))</f>
        <v>126</v>
      </c>
      <c r="H120" s="103">
        <f>IF(AND(Main[[#This Row],[In Stock Date]]&lt;&gt;"",Main[[#This Row],[Revised Due Date]]&lt;&gt;""),Main[[#This Row],[In Stock Date]]-Main[[#This Row],[Revised Due Date]],"")</f>
        <v>160</v>
      </c>
      <c r="I120" s="99" t="s">
        <v>778</v>
      </c>
      <c r="J120" s="99" t="s">
        <v>52</v>
      </c>
      <c r="K120" s="108" t="s">
        <v>1975</v>
      </c>
      <c r="L120" s="101">
        <v>40758</v>
      </c>
      <c r="M120" s="104">
        <f>IF(Main[[#This Row],[Tech Start Date]]&lt;1/1/1990,"",IF(Main[[#This Row],[Class]]="C",WORKDAY(Main[[#This Row],[Tech Start Date]],9),IF(Main[[#This Row],[Class]]="B", WORKDAY(Main[[#This Row],[Tech Start Date]],6),IF(Main[[#This Row],[Class]]="A",WORKDAY(Main[[#This Row],[Tech Start Date]],2),""))))</f>
        <v>40771</v>
      </c>
      <c r="N120" s="104">
        <f>IF(Main[[#This Row],[Tech Start Date]]&lt;1/1/1990,"",IF(Main[[#This Row],[Class]]="C",WORKDAY(Main[[#This Row],[Tech Start Date]],19),IF(Main[[#This Row],[Class]]="B", WORKDAY(Main[[#This Row],[Tech Start Date]],12),IF(Main[[#This Row],[Class]]="A",WORKDAY(Main[[#This Row],[Tech Start Date]],4),""))))</f>
        <v>40785</v>
      </c>
      <c r="O120" s="104">
        <f>IF(Main[[#This Row],[Tech Start Date]]&lt;1/1/1990,"",IF(Main[[#This Row],[Class]]="C",WORKDAY(Main[[#This Row],[Tech Start Date]],23),IF(Main[[#This Row],[Class]]="B", WORKDAY(Main[[#This Row],[Tech Start Date]],15),IF(Main[[#This Row],[Class]]="A",WORKDAY(Main[[#This Row],[Tech Start Date]],5),""))))</f>
        <v>40791</v>
      </c>
      <c r="P120" s="104">
        <f>IF(Main[[#This Row],[Tech Start Date]]&lt;1/1/1990,"",IF(Main[[#This Row],[Class]]="C",WORKDAY(Main[[#This Row],[Tech Start Date]],28),IF(Main[[#This Row],[Class]]="B", WORKDAY(Main[[#This Row],[Tech Start Date]],19),IF(Main[[#This Row],[Class]]="A",WORKDAY(Main[[#This Row],[Tech Start Date]],9),""))))</f>
        <v>40798</v>
      </c>
      <c r="Q120" s="101">
        <v>40772</v>
      </c>
      <c r="R120" s="101">
        <v>40793</v>
      </c>
      <c r="S120" s="99" t="s">
        <v>11</v>
      </c>
      <c r="T120" s="107" t="s">
        <v>2884</v>
      </c>
      <c r="U120" s="99" t="s">
        <v>540</v>
      </c>
      <c r="V120" s="99" t="s">
        <v>1965</v>
      </c>
      <c r="W120" s="99" t="s">
        <v>1967</v>
      </c>
    </row>
    <row r="121" spans="1:23" ht="18.600000000000001" customHeight="1">
      <c r="A121" s="123">
        <f>IF(priority(Main[[#This Row],[Comments]])&lt;&gt;0, priority(Main[[#This Row],[Comments]]),"")</f>
        <v>38</v>
      </c>
      <c r="B121" s="127" t="s">
        <v>1261</v>
      </c>
      <c r="C121" s="99" t="s">
        <v>4</v>
      </c>
      <c r="D121" s="100" t="s">
        <v>2467</v>
      </c>
      <c r="E121" s="101">
        <v>40337.30976851852</v>
      </c>
      <c r="F121" s="101"/>
      <c r="G121" s="102" t="str">
        <f>IF(stdProdLT(Main[[#This Row],[Comments]])=0.1,"N/A",IF(stdProdLT(Main[[#This Row],[Comments]])=0,"",stdProdLT(Main[[#This Row],[Comments]])))</f>
        <v/>
      </c>
      <c r="H121" s="103" t="str">
        <f>IF(AND(Main[[#This Row],[In Stock Date]]&lt;&gt;"",Main[[#This Row],[Revised Due Date]]&lt;&gt;""),Main[[#This Row],[In Stock Date]]-Main[[#This Row],[Revised Due Date]],"")</f>
        <v/>
      </c>
      <c r="I121" s="99" t="s">
        <v>929</v>
      </c>
      <c r="J121" s="99" t="s">
        <v>52</v>
      </c>
      <c r="K121" s="99" t="s">
        <v>4</v>
      </c>
      <c r="L121" s="101"/>
      <c r="M121" s="104" t="str">
        <f>IF(Main[[#This Row],[Tech Start Date]]&lt;1/1/1990,"",IF(Main[[#This Row],[Class]]="C",WORKDAY(Main[[#This Row],[Tech Start Date]],9),IF(Main[[#This Row],[Class]]="B", WORKDAY(Main[[#This Row],[Tech Start Date]],6),IF(Main[[#This Row],[Class]]="A",WORKDAY(Main[[#This Row],[Tech Start Date]],2),""))))</f>
        <v/>
      </c>
      <c r="N121" s="104" t="str">
        <f>IF(Main[[#This Row],[Tech Start Date]]&lt;1/1/1990,"",IF(Main[[#This Row],[Class]]="C",WORKDAY(Main[[#This Row],[Tech Start Date]],19),IF(Main[[#This Row],[Class]]="B", WORKDAY(Main[[#This Row],[Tech Start Date]],12),IF(Main[[#This Row],[Class]]="A",WORKDAY(Main[[#This Row],[Tech Start Date]],4),""))))</f>
        <v/>
      </c>
      <c r="O121" s="104" t="str">
        <f>IF(Main[[#This Row],[Tech Start Date]]&lt;1/1/1990,"",IF(Main[[#This Row],[Class]]="C",WORKDAY(Main[[#This Row],[Tech Start Date]],23),IF(Main[[#This Row],[Class]]="B", WORKDAY(Main[[#This Row],[Tech Start Date]],15),IF(Main[[#This Row],[Class]]="A",WORKDAY(Main[[#This Row],[Tech Start Date]],5),""))))</f>
        <v/>
      </c>
      <c r="P121" s="104" t="str">
        <f>IF(Main[[#This Row],[Tech Start Date]]&lt;1/1/1990,"",IF(Main[[#This Row],[Class]]="C",WORKDAY(Main[[#This Row],[Tech Start Date]],28),IF(Main[[#This Row],[Class]]="B", WORKDAY(Main[[#This Row],[Tech Start Date]],19),IF(Main[[#This Row],[Class]]="A",WORKDAY(Main[[#This Row],[Tech Start Date]],9),""))))</f>
        <v/>
      </c>
      <c r="Q121" s="101">
        <v>40344</v>
      </c>
      <c r="R121" s="101"/>
      <c r="S121" s="99" t="s">
        <v>6</v>
      </c>
      <c r="T121" s="107" t="s">
        <v>2084</v>
      </c>
      <c r="U121" s="99" t="s">
        <v>29</v>
      </c>
      <c r="V121" s="99" t="s">
        <v>1962</v>
      </c>
      <c r="W121" s="99" t="s">
        <v>1966</v>
      </c>
    </row>
    <row r="122" spans="1:23" ht="18.600000000000001" customHeight="1">
      <c r="A122" s="123">
        <f>IF(priority(Main[[#This Row],[Comments]])&lt;&gt;0, priority(Main[[#This Row],[Comments]]),"")</f>
        <v>38</v>
      </c>
      <c r="B122" s="127" t="s">
        <v>2006</v>
      </c>
      <c r="C122" s="99" t="s">
        <v>116</v>
      </c>
      <c r="D122" s="100" t="s">
        <v>2887</v>
      </c>
      <c r="E122" s="101">
        <v>40722.573900462965</v>
      </c>
      <c r="F122" s="101">
        <v>41334</v>
      </c>
      <c r="G122" s="102">
        <f>IF(stdProdLT(Main[[#This Row],[Comments]])=0.1,"N/A",IF(stdProdLT(Main[[#This Row],[Comments]])=0,"",stdProdLT(Main[[#This Row],[Comments]])))</f>
        <v>84</v>
      </c>
      <c r="H122" s="103">
        <f>IF(AND(Main[[#This Row],[In Stock Date]]&lt;&gt;"",Main[[#This Row],[Revised Due Date]]&lt;&gt;""),Main[[#This Row],[In Stock Date]]-Main[[#This Row],[Revised Due Date]],"")</f>
        <v>452</v>
      </c>
      <c r="I122" s="99" t="s">
        <v>81</v>
      </c>
      <c r="J122" s="99" t="s">
        <v>21</v>
      </c>
      <c r="K122" s="99" t="s">
        <v>1975</v>
      </c>
      <c r="L122" s="101">
        <v>40767</v>
      </c>
      <c r="M122" s="104">
        <f>IF(Main[[#This Row],[Tech Start Date]]&lt;1/1/1990,"",IF(Main[[#This Row],[Class]]="C",WORKDAY(Main[[#This Row],[Tech Start Date]],9),IF(Main[[#This Row],[Class]]="B", WORKDAY(Main[[#This Row],[Tech Start Date]],6),IF(Main[[#This Row],[Class]]="A",WORKDAY(Main[[#This Row],[Tech Start Date]],2),""))))</f>
        <v>40780</v>
      </c>
      <c r="N122" s="104">
        <f>IF(Main[[#This Row],[Tech Start Date]]&lt;1/1/1990,"",IF(Main[[#This Row],[Class]]="C",WORKDAY(Main[[#This Row],[Tech Start Date]],19),IF(Main[[#This Row],[Class]]="B", WORKDAY(Main[[#This Row],[Tech Start Date]],12),IF(Main[[#This Row],[Class]]="A",WORKDAY(Main[[#This Row],[Tech Start Date]],4),""))))</f>
        <v>40794</v>
      </c>
      <c r="O122" s="104">
        <f>IF(Main[[#This Row],[Tech Start Date]]&lt;1/1/1990,"",IF(Main[[#This Row],[Class]]="C",WORKDAY(Main[[#This Row],[Tech Start Date]],23),IF(Main[[#This Row],[Class]]="B", WORKDAY(Main[[#This Row],[Tech Start Date]],15),IF(Main[[#This Row],[Class]]="A",WORKDAY(Main[[#This Row],[Tech Start Date]],5),""))))</f>
        <v>40800</v>
      </c>
      <c r="P122" s="104">
        <f>IF(Main[[#This Row],[Tech Start Date]]&lt;1/1/1990,"",IF(Main[[#This Row],[Class]]="C",WORKDAY(Main[[#This Row],[Tech Start Date]],28),IF(Main[[#This Row],[Class]]="B", WORKDAY(Main[[#This Row],[Tech Start Date]],19),IF(Main[[#This Row],[Class]]="A",WORKDAY(Main[[#This Row],[Tech Start Date]],9),""))))</f>
        <v>40807</v>
      </c>
      <c r="Q122" s="101">
        <v>41061</v>
      </c>
      <c r="R122" s="101">
        <v>40882</v>
      </c>
      <c r="S122" s="99" t="s">
        <v>11</v>
      </c>
      <c r="T122" s="107" t="s">
        <v>2888</v>
      </c>
      <c r="U122" s="99" t="s">
        <v>29</v>
      </c>
      <c r="V122" s="99" t="s">
        <v>1965</v>
      </c>
      <c r="W122" s="99" t="s">
        <v>1967</v>
      </c>
    </row>
    <row r="123" spans="1:23" ht="18.600000000000001" customHeight="1">
      <c r="A123" s="123">
        <f>IF(priority(Main[[#This Row],[Comments]])&lt;&gt;0, priority(Main[[#This Row],[Comments]]),"")</f>
        <v>39</v>
      </c>
      <c r="B123" s="127" t="s">
        <v>1439</v>
      </c>
      <c r="C123" s="99" t="s">
        <v>37</v>
      </c>
      <c r="D123" s="100" t="s">
        <v>491</v>
      </c>
      <c r="E123" s="101">
        <v>40682.478391203702</v>
      </c>
      <c r="F123" s="101"/>
      <c r="G123" s="102" t="str">
        <f>IF(stdProdLT(Main[[#This Row],[Comments]])=0.1,"N/A",IF(stdProdLT(Main[[#This Row],[Comments]])=0,"",stdProdLT(Main[[#This Row],[Comments]])))</f>
        <v/>
      </c>
      <c r="H123" s="103" t="str">
        <f>IF(AND(Main[[#This Row],[In Stock Date]]&lt;&gt;"",Main[[#This Row],[Revised Due Date]]&lt;&gt;""),Main[[#This Row],[In Stock Date]]-Main[[#This Row],[Revised Due Date]],"")</f>
        <v/>
      </c>
      <c r="I123" s="99" t="s">
        <v>4</v>
      </c>
      <c r="J123" s="99" t="s">
        <v>21</v>
      </c>
      <c r="K123" s="108" t="s">
        <v>4</v>
      </c>
      <c r="L123" s="101"/>
      <c r="M123" s="104" t="str">
        <f>IF(Main[[#This Row],[Tech Start Date]]&lt;1/1/1990,"",IF(Main[[#This Row],[Class]]="C",WORKDAY(Main[[#This Row],[Tech Start Date]],9),IF(Main[[#This Row],[Class]]="B", WORKDAY(Main[[#This Row],[Tech Start Date]],6),IF(Main[[#This Row],[Class]]="A",WORKDAY(Main[[#This Row],[Tech Start Date]],2),""))))</f>
        <v/>
      </c>
      <c r="N123" s="104" t="str">
        <f>IF(Main[[#This Row],[Tech Start Date]]&lt;1/1/1990,"",IF(Main[[#This Row],[Class]]="C",WORKDAY(Main[[#This Row],[Tech Start Date]],19),IF(Main[[#This Row],[Class]]="B", WORKDAY(Main[[#This Row],[Tech Start Date]],12),IF(Main[[#This Row],[Class]]="A",WORKDAY(Main[[#This Row],[Tech Start Date]],4),""))))</f>
        <v/>
      </c>
      <c r="O123" s="104" t="str">
        <f>IF(Main[[#This Row],[Tech Start Date]]&lt;1/1/1990,"",IF(Main[[#This Row],[Class]]="C",WORKDAY(Main[[#This Row],[Tech Start Date]],23),IF(Main[[#This Row],[Class]]="B", WORKDAY(Main[[#This Row],[Tech Start Date]],15),IF(Main[[#This Row],[Class]]="A",WORKDAY(Main[[#This Row],[Tech Start Date]],5),""))))</f>
        <v/>
      </c>
      <c r="P123" s="104" t="str">
        <f>IF(Main[[#This Row],[Tech Start Date]]&lt;1/1/1990,"",IF(Main[[#This Row],[Class]]="C",WORKDAY(Main[[#This Row],[Tech Start Date]],28),IF(Main[[#This Row],[Class]]="B", WORKDAY(Main[[#This Row],[Tech Start Date]],19),IF(Main[[#This Row],[Class]]="A",WORKDAY(Main[[#This Row],[Tech Start Date]],9),""))))</f>
        <v/>
      </c>
      <c r="Q123" s="101">
        <v>40696</v>
      </c>
      <c r="R123" s="101"/>
      <c r="S123" s="99" t="s">
        <v>6</v>
      </c>
      <c r="T123" s="107" t="s">
        <v>2085</v>
      </c>
      <c r="U123" s="99" t="s">
        <v>540</v>
      </c>
      <c r="V123" s="99" t="s">
        <v>1962</v>
      </c>
      <c r="W123" s="99" t="s">
        <v>1973</v>
      </c>
    </row>
    <row r="124" spans="1:23" ht="18.600000000000001" customHeight="1">
      <c r="A124" s="123">
        <f>IF(priority(Main[[#This Row],[Comments]])&lt;&gt;0, priority(Main[[#This Row],[Comments]]),"")</f>
        <v>39</v>
      </c>
      <c r="B124" s="127" t="s">
        <v>2008</v>
      </c>
      <c r="C124" s="99" t="s">
        <v>116</v>
      </c>
      <c r="D124" s="100" t="s">
        <v>2204</v>
      </c>
      <c r="E124" s="101">
        <v>40722.571018518516</v>
      </c>
      <c r="F124" s="101">
        <v>41334</v>
      </c>
      <c r="G124" s="102">
        <f>IF(stdProdLT(Main[[#This Row],[Comments]])=0.1,"N/A",IF(stdProdLT(Main[[#This Row],[Comments]])=0,"",stdProdLT(Main[[#This Row],[Comments]])))</f>
        <v>84</v>
      </c>
      <c r="H124" s="103">
        <f>IF(AND(Main[[#This Row],[In Stock Date]]&lt;&gt;"",Main[[#This Row],[Revised Due Date]]&lt;&gt;""),Main[[#This Row],[In Stock Date]]-Main[[#This Row],[Revised Due Date]],"")</f>
        <v>452</v>
      </c>
      <c r="I124" s="99" t="s">
        <v>81</v>
      </c>
      <c r="J124" s="99" t="s">
        <v>21</v>
      </c>
      <c r="K124" s="99" t="s">
        <v>1975</v>
      </c>
      <c r="L124" s="101">
        <v>40767</v>
      </c>
      <c r="M124" s="104">
        <f>IF(Main[[#This Row],[Tech Start Date]]&lt;1/1/1990,"",IF(Main[[#This Row],[Class]]="C",WORKDAY(Main[[#This Row],[Tech Start Date]],9),IF(Main[[#This Row],[Class]]="B", WORKDAY(Main[[#This Row],[Tech Start Date]],6),IF(Main[[#This Row],[Class]]="A",WORKDAY(Main[[#This Row],[Tech Start Date]],2),""))))</f>
        <v>40780</v>
      </c>
      <c r="N124" s="104">
        <f>IF(Main[[#This Row],[Tech Start Date]]&lt;1/1/1990,"",IF(Main[[#This Row],[Class]]="C",WORKDAY(Main[[#This Row],[Tech Start Date]],19),IF(Main[[#This Row],[Class]]="B", WORKDAY(Main[[#This Row],[Tech Start Date]],12),IF(Main[[#This Row],[Class]]="A",WORKDAY(Main[[#This Row],[Tech Start Date]],4),""))))</f>
        <v>40794</v>
      </c>
      <c r="O124" s="104">
        <f>IF(Main[[#This Row],[Tech Start Date]]&lt;1/1/1990,"",IF(Main[[#This Row],[Class]]="C",WORKDAY(Main[[#This Row],[Tech Start Date]],23),IF(Main[[#This Row],[Class]]="B", WORKDAY(Main[[#This Row],[Tech Start Date]],15),IF(Main[[#This Row],[Class]]="A",WORKDAY(Main[[#This Row],[Tech Start Date]],5),""))))</f>
        <v>40800</v>
      </c>
      <c r="P124" s="104">
        <f>IF(Main[[#This Row],[Tech Start Date]]&lt;1/1/1990,"",IF(Main[[#This Row],[Class]]="C",WORKDAY(Main[[#This Row],[Tech Start Date]],28),IF(Main[[#This Row],[Class]]="B", WORKDAY(Main[[#This Row],[Tech Start Date]],19),IF(Main[[#This Row],[Class]]="A",WORKDAY(Main[[#This Row],[Tech Start Date]],9),""))))</f>
        <v>40807</v>
      </c>
      <c r="Q124" s="101">
        <v>41061</v>
      </c>
      <c r="R124" s="101">
        <v>40882</v>
      </c>
      <c r="S124" s="99" t="s">
        <v>11</v>
      </c>
      <c r="T124" s="107" t="s">
        <v>2886</v>
      </c>
      <c r="U124" s="99" t="s">
        <v>29</v>
      </c>
      <c r="V124" s="99" t="s">
        <v>1965</v>
      </c>
      <c r="W124" s="99" t="s">
        <v>1967</v>
      </c>
    </row>
    <row r="125" spans="1:23" ht="18.600000000000001" customHeight="1">
      <c r="A125" s="123">
        <f>IF(priority(Main[[#This Row],[Comments]])&lt;&gt;0, priority(Main[[#This Row],[Comments]]),"")</f>
        <v>40</v>
      </c>
      <c r="B125" s="127" t="s">
        <v>1478</v>
      </c>
      <c r="C125" s="99" t="s">
        <v>4</v>
      </c>
      <c r="D125" s="100" t="s">
        <v>537</v>
      </c>
      <c r="E125" s="101">
        <v>40358.575729166667</v>
      </c>
      <c r="F125" s="101"/>
      <c r="G125" s="102" t="str">
        <f>IF(stdProdLT(Main[[#This Row],[Comments]])=0.1,"N/A",IF(stdProdLT(Main[[#This Row],[Comments]])=0,"",stdProdLT(Main[[#This Row],[Comments]])))</f>
        <v/>
      </c>
      <c r="H125" s="103" t="str">
        <f>IF(AND(Main[[#This Row],[In Stock Date]]&lt;&gt;"",Main[[#This Row],[Revised Due Date]]&lt;&gt;""),Main[[#This Row],[In Stock Date]]-Main[[#This Row],[Revised Due Date]],"")</f>
        <v/>
      </c>
      <c r="I125" s="99" t="s">
        <v>4</v>
      </c>
      <c r="J125" s="99" t="s">
        <v>21</v>
      </c>
      <c r="K125" s="99" t="s">
        <v>4</v>
      </c>
      <c r="L125" s="101"/>
      <c r="M125" s="104" t="str">
        <f>IF(Main[[#This Row],[Tech Start Date]]&lt;1/1/1990,"",IF(Main[[#This Row],[Class]]="C",WORKDAY(Main[[#This Row],[Tech Start Date]],9),IF(Main[[#This Row],[Class]]="B", WORKDAY(Main[[#This Row],[Tech Start Date]],6),IF(Main[[#This Row],[Class]]="A",WORKDAY(Main[[#This Row],[Tech Start Date]],2),""))))</f>
        <v/>
      </c>
      <c r="N125" s="104" t="str">
        <f>IF(Main[[#This Row],[Tech Start Date]]&lt;1/1/1990,"",IF(Main[[#This Row],[Class]]="C",WORKDAY(Main[[#This Row],[Tech Start Date]],19),IF(Main[[#This Row],[Class]]="B", WORKDAY(Main[[#This Row],[Tech Start Date]],12),IF(Main[[#This Row],[Class]]="A",WORKDAY(Main[[#This Row],[Tech Start Date]],4),""))))</f>
        <v/>
      </c>
      <c r="O125" s="104" t="str">
        <f>IF(Main[[#This Row],[Tech Start Date]]&lt;1/1/1990,"",IF(Main[[#This Row],[Class]]="C",WORKDAY(Main[[#This Row],[Tech Start Date]],23),IF(Main[[#This Row],[Class]]="B", WORKDAY(Main[[#This Row],[Tech Start Date]],15),IF(Main[[#This Row],[Class]]="A",WORKDAY(Main[[#This Row],[Tech Start Date]],5),""))))</f>
        <v/>
      </c>
      <c r="P125" s="104" t="str">
        <f>IF(Main[[#This Row],[Tech Start Date]]&lt;1/1/1990,"",IF(Main[[#This Row],[Class]]="C",WORKDAY(Main[[#This Row],[Tech Start Date]],28),IF(Main[[#This Row],[Class]]="B", WORKDAY(Main[[#This Row],[Tech Start Date]],19),IF(Main[[#This Row],[Class]]="A",WORKDAY(Main[[#This Row],[Tech Start Date]],9),""))))</f>
        <v/>
      </c>
      <c r="Q125" s="101">
        <v>40389</v>
      </c>
      <c r="R125" s="101"/>
      <c r="S125" s="99" t="s">
        <v>6</v>
      </c>
      <c r="T125" s="107" t="s">
        <v>2086</v>
      </c>
      <c r="U125" s="99" t="s">
        <v>7</v>
      </c>
      <c r="V125" s="99" t="s">
        <v>1962</v>
      </c>
      <c r="W125" s="99" t="s">
        <v>1966</v>
      </c>
    </row>
    <row r="126" spans="1:23" ht="18.600000000000001" customHeight="1">
      <c r="A126" s="123">
        <f>IF(priority(Main[[#This Row],[Comments]])&lt;&gt;0, priority(Main[[#This Row],[Comments]]),"")</f>
        <v>40</v>
      </c>
      <c r="B126" s="127" t="s">
        <v>2009</v>
      </c>
      <c r="C126" s="99" t="s">
        <v>116</v>
      </c>
      <c r="D126" s="100" t="s">
        <v>2205</v>
      </c>
      <c r="E126" s="101">
        <v>40722.572418981479</v>
      </c>
      <c r="F126" s="101">
        <v>41334</v>
      </c>
      <c r="G126" s="102">
        <f>IF(stdProdLT(Main[[#This Row],[Comments]])=0.1,"N/A",IF(stdProdLT(Main[[#This Row],[Comments]])=0,"",stdProdLT(Main[[#This Row],[Comments]])))</f>
        <v>84</v>
      </c>
      <c r="H126" s="103">
        <f>IF(AND(Main[[#This Row],[In Stock Date]]&lt;&gt;"",Main[[#This Row],[Revised Due Date]]&lt;&gt;""),Main[[#This Row],[In Stock Date]]-Main[[#This Row],[Revised Due Date]],"")</f>
        <v>452</v>
      </c>
      <c r="I126" s="99" t="s">
        <v>81</v>
      </c>
      <c r="J126" s="99" t="s">
        <v>21</v>
      </c>
      <c r="K126" s="99" t="s">
        <v>1975</v>
      </c>
      <c r="L126" s="101">
        <v>40767</v>
      </c>
      <c r="M126" s="104">
        <f>IF(Main[[#This Row],[Tech Start Date]]&lt;1/1/1990,"",IF(Main[[#This Row],[Class]]="C",WORKDAY(Main[[#This Row],[Tech Start Date]],9),IF(Main[[#This Row],[Class]]="B", WORKDAY(Main[[#This Row],[Tech Start Date]],6),IF(Main[[#This Row],[Class]]="A",WORKDAY(Main[[#This Row],[Tech Start Date]],2),""))))</f>
        <v>40780</v>
      </c>
      <c r="N126" s="104">
        <f>IF(Main[[#This Row],[Tech Start Date]]&lt;1/1/1990,"",IF(Main[[#This Row],[Class]]="C",WORKDAY(Main[[#This Row],[Tech Start Date]],19),IF(Main[[#This Row],[Class]]="B", WORKDAY(Main[[#This Row],[Tech Start Date]],12),IF(Main[[#This Row],[Class]]="A",WORKDAY(Main[[#This Row],[Tech Start Date]],4),""))))</f>
        <v>40794</v>
      </c>
      <c r="O126" s="104">
        <f>IF(Main[[#This Row],[Tech Start Date]]&lt;1/1/1990,"",IF(Main[[#This Row],[Class]]="C",WORKDAY(Main[[#This Row],[Tech Start Date]],23),IF(Main[[#This Row],[Class]]="B", WORKDAY(Main[[#This Row],[Tech Start Date]],15),IF(Main[[#This Row],[Class]]="A",WORKDAY(Main[[#This Row],[Tech Start Date]],5),""))))</f>
        <v>40800</v>
      </c>
      <c r="P126" s="104">
        <f>IF(Main[[#This Row],[Tech Start Date]]&lt;1/1/1990,"",IF(Main[[#This Row],[Class]]="C",WORKDAY(Main[[#This Row],[Tech Start Date]],28),IF(Main[[#This Row],[Class]]="B", WORKDAY(Main[[#This Row],[Tech Start Date]],19),IF(Main[[#This Row],[Class]]="A",WORKDAY(Main[[#This Row],[Tech Start Date]],9),""))))</f>
        <v>40807</v>
      </c>
      <c r="Q126" s="101">
        <v>41061</v>
      </c>
      <c r="R126" s="101">
        <v>40882</v>
      </c>
      <c r="S126" s="99" t="s">
        <v>11</v>
      </c>
      <c r="T126" s="107" t="s">
        <v>2885</v>
      </c>
      <c r="U126" s="99" t="s">
        <v>29</v>
      </c>
      <c r="V126" s="99" t="s">
        <v>1965</v>
      </c>
      <c r="W126" s="99" t="s">
        <v>1967</v>
      </c>
    </row>
    <row r="127" spans="1:23" ht="18.600000000000001" customHeight="1">
      <c r="A127" s="123">
        <f>IF(priority(Main[[#This Row],[Comments]])&lt;&gt;0, priority(Main[[#This Row],[Comments]]),"")</f>
        <v>41</v>
      </c>
      <c r="B127" s="127" t="s">
        <v>2050</v>
      </c>
      <c r="C127" s="99" t="s">
        <v>4</v>
      </c>
      <c r="D127" s="100" t="s">
        <v>2051</v>
      </c>
      <c r="E127" s="101">
        <v>40738.567210648151</v>
      </c>
      <c r="F127" s="101"/>
      <c r="G127" s="102" t="str">
        <f>IF(stdProdLT(Main[[#This Row],[Comments]])=0.1,"N/A",IF(stdProdLT(Main[[#This Row],[Comments]])=0,"",stdProdLT(Main[[#This Row],[Comments]])))</f>
        <v/>
      </c>
      <c r="H127" s="103" t="str">
        <f>IF(AND(Main[[#This Row],[In Stock Date]]&lt;&gt;"",Main[[#This Row],[Revised Due Date]]&lt;&gt;""),Main[[#This Row],[In Stock Date]]-Main[[#This Row],[Revised Due Date]],"")</f>
        <v/>
      </c>
      <c r="I127" s="99" t="s">
        <v>929</v>
      </c>
      <c r="J127" s="99" t="s">
        <v>52</v>
      </c>
      <c r="K127" s="99" t="s">
        <v>4</v>
      </c>
      <c r="L127" s="101"/>
      <c r="M127" s="104" t="str">
        <f>IF(Main[[#This Row],[Tech Start Date]]&lt;1/1/1990,"",IF(Main[[#This Row],[Class]]="C",WORKDAY(Main[[#This Row],[Tech Start Date]],9),IF(Main[[#This Row],[Class]]="B", WORKDAY(Main[[#This Row],[Tech Start Date]],6),IF(Main[[#This Row],[Class]]="A",WORKDAY(Main[[#This Row],[Tech Start Date]],2),""))))</f>
        <v/>
      </c>
      <c r="N127" s="104" t="str">
        <f>IF(Main[[#This Row],[Tech Start Date]]&lt;1/1/1990,"",IF(Main[[#This Row],[Class]]="C",WORKDAY(Main[[#This Row],[Tech Start Date]],19),IF(Main[[#This Row],[Class]]="B", WORKDAY(Main[[#This Row],[Tech Start Date]],12),IF(Main[[#This Row],[Class]]="A",WORKDAY(Main[[#This Row],[Tech Start Date]],4),""))))</f>
        <v/>
      </c>
      <c r="O127" s="104" t="str">
        <f>IF(Main[[#This Row],[Tech Start Date]]&lt;1/1/1990,"",IF(Main[[#This Row],[Class]]="C",WORKDAY(Main[[#This Row],[Tech Start Date]],23),IF(Main[[#This Row],[Class]]="B", WORKDAY(Main[[#This Row],[Tech Start Date]],15),IF(Main[[#This Row],[Class]]="A",WORKDAY(Main[[#This Row],[Tech Start Date]],5),""))))</f>
        <v/>
      </c>
      <c r="P127" s="104" t="str">
        <f>IF(Main[[#This Row],[Tech Start Date]]&lt;1/1/1990,"",IF(Main[[#This Row],[Class]]="C",WORKDAY(Main[[#This Row],[Tech Start Date]],28),IF(Main[[#This Row],[Class]]="B", WORKDAY(Main[[#This Row],[Tech Start Date]],19),IF(Main[[#This Row],[Class]]="A",WORKDAY(Main[[#This Row],[Tech Start Date]],9),""))))</f>
        <v/>
      </c>
      <c r="Q127" s="101">
        <v>40749</v>
      </c>
      <c r="R127" s="101"/>
      <c r="S127" s="99" t="s">
        <v>6</v>
      </c>
      <c r="T127" s="107" t="s">
        <v>2088</v>
      </c>
      <c r="U127" s="99" t="s">
        <v>29</v>
      </c>
      <c r="V127" s="99" t="s">
        <v>1962</v>
      </c>
      <c r="W127" s="99" t="s">
        <v>1968</v>
      </c>
    </row>
    <row r="128" spans="1:23" ht="18.600000000000001" customHeight="1">
      <c r="A128" s="123">
        <f>IF(priority(Main[[#This Row],[Comments]])&lt;&gt;0, priority(Main[[#This Row],[Comments]]),"")</f>
        <v>41</v>
      </c>
      <c r="B128" s="127" t="s">
        <v>2007</v>
      </c>
      <c r="C128" s="99" t="s">
        <v>116</v>
      </c>
      <c r="D128" s="100" t="s">
        <v>2889</v>
      </c>
      <c r="E128" s="101">
        <v>40722.573182870372</v>
      </c>
      <c r="F128" s="101">
        <v>41334</v>
      </c>
      <c r="G128" s="102">
        <f>IF(stdProdLT(Main[[#This Row],[Comments]])=0.1,"N/A",IF(stdProdLT(Main[[#This Row],[Comments]])=0,"",stdProdLT(Main[[#This Row],[Comments]])))</f>
        <v>84</v>
      </c>
      <c r="H128" s="103">
        <f>IF(AND(Main[[#This Row],[In Stock Date]]&lt;&gt;"",Main[[#This Row],[Revised Due Date]]&lt;&gt;""),Main[[#This Row],[In Stock Date]]-Main[[#This Row],[Revised Due Date]],"")</f>
        <v>452</v>
      </c>
      <c r="I128" s="99" t="s">
        <v>81</v>
      </c>
      <c r="J128" s="99" t="s">
        <v>21</v>
      </c>
      <c r="K128" s="99" t="s">
        <v>1975</v>
      </c>
      <c r="L128" s="101">
        <v>40767</v>
      </c>
      <c r="M128" s="104">
        <f>IF(Main[[#This Row],[Tech Start Date]]&lt;1/1/1990,"",IF(Main[[#This Row],[Class]]="C",WORKDAY(Main[[#This Row],[Tech Start Date]],9),IF(Main[[#This Row],[Class]]="B", WORKDAY(Main[[#This Row],[Tech Start Date]],6),IF(Main[[#This Row],[Class]]="A",WORKDAY(Main[[#This Row],[Tech Start Date]],2),""))))</f>
        <v>40780</v>
      </c>
      <c r="N128" s="104">
        <f>IF(Main[[#This Row],[Tech Start Date]]&lt;1/1/1990,"",IF(Main[[#This Row],[Class]]="C",WORKDAY(Main[[#This Row],[Tech Start Date]],19),IF(Main[[#This Row],[Class]]="B", WORKDAY(Main[[#This Row],[Tech Start Date]],12),IF(Main[[#This Row],[Class]]="A",WORKDAY(Main[[#This Row],[Tech Start Date]],4),""))))</f>
        <v>40794</v>
      </c>
      <c r="O128" s="104">
        <f>IF(Main[[#This Row],[Tech Start Date]]&lt;1/1/1990,"",IF(Main[[#This Row],[Class]]="C",WORKDAY(Main[[#This Row],[Tech Start Date]],23),IF(Main[[#This Row],[Class]]="B", WORKDAY(Main[[#This Row],[Tech Start Date]],15),IF(Main[[#This Row],[Class]]="A",WORKDAY(Main[[#This Row],[Tech Start Date]],5),""))))</f>
        <v>40800</v>
      </c>
      <c r="P128" s="104">
        <f>IF(Main[[#This Row],[Tech Start Date]]&lt;1/1/1990,"",IF(Main[[#This Row],[Class]]="C",WORKDAY(Main[[#This Row],[Tech Start Date]],28),IF(Main[[#This Row],[Class]]="B", WORKDAY(Main[[#This Row],[Tech Start Date]],19),IF(Main[[#This Row],[Class]]="A",WORKDAY(Main[[#This Row],[Tech Start Date]],9),""))))</f>
        <v>40807</v>
      </c>
      <c r="Q128" s="101">
        <v>41061</v>
      </c>
      <c r="R128" s="101">
        <v>40882</v>
      </c>
      <c r="S128" s="99" t="s">
        <v>11</v>
      </c>
      <c r="T128" s="107" t="s">
        <v>2890</v>
      </c>
      <c r="U128" s="99" t="s">
        <v>29</v>
      </c>
      <c r="V128" s="99" t="s">
        <v>1965</v>
      </c>
      <c r="W128" s="99" t="s">
        <v>1967</v>
      </c>
    </row>
    <row r="129" spans="1:23" ht="18.600000000000001" customHeight="1">
      <c r="A129" s="123">
        <f>IF(priority(Main[[#This Row],[Comments]])&lt;&gt;0, priority(Main[[#This Row],[Comments]]),"")</f>
        <v>42</v>
      </c>
      <c r="B129" s="127" t="s">
        <v>1931</v>
      </c>
      <c r="C129" s="99" t="s">
        <v>116</v>
      </c>
      <c r="D129" s="100" t="s">
        <v>2401</v>
      </c>
      <c r="E129" s="101">
        <v>40641.274907407409</v>
      </c>
      <c r="F129" s="101">
        <v>40714</v>
      </c>
      <c r="G129" s="102" t="str">
        <f>IF(stdProdLT(Main[[#This Row],[Comments]])=0.1,"N/A",IF(stdProdLT(Main[[#This Row],[Comments]])=0,"",stdProdLT(Main[[#This Row],[Comments]])))</f>
        <v/>
      </c>
      <c r="H129" s="103">
        <f>IF(AND(Main[[#This Row],[In Stock Date]]&lt;&gt;"",Main[[#This Row],[Revised Due Date]]&lt;&gt;""),Main[[#This Row],[In Stock Date]]-Main[[#This Row],[Revised Due Date]],"")</f>
        <v>0</v>
      </c>
      <c r="I129" s="99" t="s">
        <v>929</v>
      </c>
      <c r="J129" s="99" t="s">
        <v>21</v>
      </c>
      <c r="K129" s="99" t="s">
        <v>1975</v>
      </c>
      <c r="L129" s="101">
        <v>40679</v>
      </c>
      <c r="M129" s="104">
        <f>IF(Main[[#This Row],[Tech Start Date]]&lt;1/1/1990,"",IF(Main[[#This Row],[Class]]="C",WORKDAY(Main[[#This Row],[Tech Start Date]],9),IF(Main[[#This Row],[Class]]="B", WORKDAY(Main[[#This Row],[Tech Start Date]],6),IF(Main[[#This Row],[Class]]="A",WORKDAY(Main[[#This Row],[Tech Start Date]],2),""))))</f>
        <v>40690</v>
      </c>
      <c r="N129" s="104">
        <f>IF(Main[[#This Row],[Tech Start Date]]&lt;1/1/1990,"",IF(Main[[#This Row],[Class]]="C",WORKDAY(Main[[#This Row],[Tech Start Date]],19),IF(Main[[#This Row],[Class]]="B", WORKDAY(Main[[#This Row],[Tech Start Date]],12),IF(Main[[#This Row],[Class]]="A",WORKDAY(Main[[#This Row],[Tech Start Date]],4),""))))</f>
        <v>40704</v>
      </c>
      <c r="O129" s="104">
        <f>IF(Main[[#This Row],[Tech Start Date]]&lt;1/1/1990,"",IF(Main[[#This Row],[Class]]="C",WORKDAY(Main[[#This Row],[Tech Start Date]],23),IF(Main[[#This Row],[Class]]="B", WORKDAY(Main[[#This Row],[Tech Start Date]],15),IF(Main[[#This Row],[Class]]="A",WORKDAY(Main[[#This Row],[Tech Start Date]],5),""))))</f>
        <v>40710</v>
      </c>
      <c r="P129" s="104">
        <f>IF(Main[[#This Row],[Tech Start Date]]&lt;1/1/1990,"",IF(Main[[#This Row],[Class]]="C",WORKDAY(Main[[#This Row],[Tech Start Date]],28),IF(Main[[#This Row],[Class]]="B", WORKDAY(Main[[#This Row],[Tech Start Date]],19),IF(Main[[#This Row],[Class]]="A",WORKDAY(Main[[#This Row],[Tech Start Date]],9),""))))</f>
        <v>40717</v>
      </c>
      <c r="Q129" s="101">
        <v>40714</v>
      </c>
      <c r="R129" s="101">
        <v>40714</v>
      </c>
      <c r="S129" s="99" t="s">
        <v>6</v>
      </c>
      <c r="T129" s="107" t="s">
        <v>2089</v>
      </c>
      <c r="U129" s="99" t="s">
        <v>29</v>
      </c>
      <c r="V129" s="99" t="s">
        <v>1962</v>
      </c>
      <c r="W129" s="99" t="s">
        <v>1964</v>
      </c>
    </row>
    <row r="130" spans="1:23" ht="18.600000000000001" customHeight="1">
      <c r="A130" s="123">
        <f>IF(priority(Main[[#This Row],[Comments]])&lt;&gt;0, priority(Main[[#This Row],[Comments]]),"")</f>
        <v>42</v>
      </c>
      <c r="B130" s="127" t="s">
        <v>2290</v>
      </c>
      <c r="C130" s="99" t="s">
        <v>33</v>
      </c>
      <c r="D130" s="100" t="s">
        <v>2291</v>
      </c>
      <c r="E130" s="101">
        <v>40799.635092592594</v>
      </c>
      <c r="F130" s="101">
        <v>40973</v>
      </c>
      <c r="G130" s="102">
        <f>IF(stdProdLT(Main[[#This Row],[Comments]])=0.1,"N/A",IF(stdProdLT(Main[[#This Row],[Comments]])=0,"",stdProdLT(Main[[#This Row],[Comments]])))</f>
        <v>126</v>
      </c>
      <c r="H130" s="103">
        <f>IF(AND(Main[[#This Row],[In Stock Date]]&lt;&gt;"",Main[[#This Row],[Revised Due Date]]&lt;&gt;""),Main[[#This Row],[In Stock Date]]-Main[[#This Row],[Revised Due Date]],"")</f>
        <v>91</v>
      </c>
      <c r="I130" s="99" t="s">
        <v>81</v>
      </c>
      <c r="J130" s="99" t="s">
        <v>21</v>
      </c>
      <c r="K130" s="99" t="s">
        <v>1975</v>
      </c>
      <c r="L130" s="101">
        <v>40813</v>
      </c>
      <c r="M130" s="104">
        <f>IF(Main[[#This Row],[Tech Start Date]]&lt;1/1/1990,"",IF(Main[[#This Row],[Class]]="C",WORKDAY(Main[[#This Row],[Tech Start Date]],9),IF(Main[[#This Row],[Class]]="B", WORKDAY(Main[[#This Row],[Tech Start Date]],6),IF(Main[[#This Row],[Class]]="A",WORKDAY(Main[[#This Row],[Tech Start Date]],2),""))))</f>
        <v>40826</v>
      </c>
      <c r="N130" s="104">
        <f>IF(Main[[#This Row],[Tech Start Date]]&lt;1/1/1990,"",IF(Main[[#This Row],[Class]]="C",WORKDAY(Main[[#This Row],[Tech Start Date]],19),IF(Main[[#This Row],[Class]]="B", WORKDAY(Main[[#This Row],[Tech Start Date]],12),IF(Main[[#This Row],[Class]]="A",WORKDAY(Main[[#This Row],[Tech Start Date]],4),""))))</f>
        <v>40840</v>
      </c>
      <c r="O130" s="104">
        <f>IF(Main[[#This Row],[Tech Start Date]]&lt;1/1/1990,"",IF(Main[[#This Row],[Class]]="C",WORKDAY(Main[[#This Row],[Tech Start Date]],23),IF(Main[[#This Row],[Class]]="B", WORKDAY(Main[[#This Row],[Tech Start Date]],15),IF(Main[[#This Row],[Class]]="A",WORKDAY(Main[[#This Row],[Tech Start Date]],5),""))))</f>
        <v>40844</v>
      </c>
      <c r="P130" s="104">
        <f>IF(Main[[#This Row],[Tech Start Date]]&lt;1/1/1990,"",IF(Main[[#This Row],[Class]]="C",WORKDAY(Main[[#This Row],[Tech Start Date]],28),IF(Main[[#This Row],[Class]]="B", WORKDAY(Main[[#This Row],[Tech Start Date]],19),IF(Main[[#This Row],[Class]]="A",WORKDAY(Main[[#This Row],[Tech Start Date]],9),""))))</f>
        <v>40851</v>
      </c>
      <c r="Q130" s="101">
        <v>40907</v>
      </c>
      <c r="R130" s="101">
        <v>40882</v>
      </c>
      <c r="S130" s="99" t="s">
        <v>11</v>
      </c>
      <c r="T130" s="107" t="s">
        <v>2896</v>
      </c>
      <c r="U130" s="99" t="s">
        <v>29</v>
      </c>
      <c r="V130" s="99" t="s">
        <v>1965</v>
      </c>
      <c r="W130" s="99" t="s">
        <v>1967</v>
      </c>
    </row>
    <row r="131" spans="1:23" ht="18.600000000000001" customHeight="1">
      <c r="A131" s="123">
        <f>IF(priority(Main[[#This Row],[Comments]])&lt;&gt;0, priority(Main[[#This Row],[Comments]]),"")</f>
        <v>43</v>
      </c>
      <c r="B131" s="127" t="s">
        <v>1934</v>
      </c>
      <c r="C131" s="99" t="s">
        <v>116</v>
      </c>
      <c r="D131" s="100" t="s">
        <v>2197</v>
      </c>
      <c r="E131" s="101">
        <v>40606.548784722225</v>
      </c>
      <c r="F131" s="101">
        <v>41258</v>
      </c>
      <c r="G131" s="102">
        <f>IF(stdProdLT(Main[[#This Row],[Comments]])=0.1,"N/A",IF(stdProdLT(Main[[#This Row],[Comments]])=0,"",stdProdLT(Main[[#This Row],[Comments]])))</f>
        <v>112</v>
      </c>
      <c r="H131" s="103">
        <f>IF(AND(Main[[#This Row],[In Stock Date]]&lt;&gt;"",Main[[#This Row],[Revised Due Date]]&lt;&gt;""),Main[[#This Row],[In Stock Date]]-Main[[#This Row],[Revised Due Date]],"")</f>
        <v>376</v>
      </c>
      <c r="I131" s="99" t="s">
        <v>421</v>
      </c>
      <c r="J131" s="99" t="s">
        <v>2871</v>
      </c>
      <c r="K131" s="99" t="s">
        <v>1975</v>
      </c>
      <c r="L131" s="101">
        <v>40623</v>
      </c>
      <c r="M131" s="104">
        <f>IF(Main[[#This Row],[Tech Start Date]]&lt;1/1/1990,"",IF(Main[[#This Row],[Class]]="C",WORKDAY(Main[[#This Row],[Tech Start Date]],9),IF(Main[[#This Row],[Class]]="B", WORKDAY(Main[[#This Row],[Tech Start Date]],6),IF(Main[[#This Row],[Class]]="A",WORKDAY(Main[[#This Row],[Tech Start Date]],2),""))))</f>
        <v>40634</v>
      </c>
      <c r="N131" s="104">
        <f>IF(Main[[#This Row],[Tech Start Date]]&lt;1/1/1990,"",IF(Main[[#This Row],[Class]]="C",WORKDAY(Main[[#This Row],[Tech Start Date]],19),IF(Main[[#This Row],[Class]]="B", WORKDAY(Main[[#This Row],[Tech Start Date]],12),IF(Main[[#This Row],[Class]]="A",WORKDAY(Main[[#This Row],[Tech Start Date]],4),""))))</f>
        <v>40648</v>
      </c>
      <c r="O131" s="104">
        <f>IF(Main[[#This Row],[Tech Start Date]]&lt;1/1/1990,"",IF(Main[[#This Row],[Class]]="C",WORKDAY(Main[[#This Row],[Tech Start Date]],23),IF(Main[[#This Row],[Class]]="B", WORKDAY(Main[[#This Row],[Tech Start Date]],15),IF(Main[[#This Row],[Class]]="A",WORKDAY(Main[[#This Row],[Tech Start Date]],5),""))))</f>
        <v>40654</v>
      </c>
      <c r="P131" s="104">
        <f>IF(Main[[#This Row],[Tech Start Date]]&lt;1/1/1990,"",IF(Main[[#This Row],[Class]]="C",WORKDAY(Main[[#This Row],[Tech Start Date]],28),IF(Main[[#This Row],[Class]]="B", WORKDAY(Main[[#This Row],[Tech Start Date]],19),IF(Main[[#This Row],[Class]]="A",WORKDAY(Main[[#This Row],[Tech Start Date]],9),""))))</f>
        <v>40661</v>
      </c>
      <c r="Q131" s="101">
        <v>41082</v>
      </c>
      <c r="R131" s="101">
        <v>40882</v>
      </c>
      <c r="S131" s="99" t="s">
        <v>11</v>
      </c>
      <c r="T131" s="107" t="s">
        <v>2872</v>
      </c>
      <c r="U131" s="99" t="s">
        <v>29</v>
      </c>
      <c r="V131" s="99" t="s">
        <v>1965</v>
      </c>
      <c r="W131" s="99" t="s">
        <v>1967</v>
      </c>
    </row>
    <row r="132" spans="1:23" ht="18.600000000000001" customHeight="1">
      <c r="A132" s="123">
        <f>IF(priority(Main[[#This Row],[Comments]])&lt;&gt;0, priority(Main[[#This Row],[Comments]]),"")</f>
        <v>43</v>
      </c>
      <c r="B132" s="127" t="s">
        <v>1932</v>
      </c>
      <c r="C132" s="99" t="s">
        <v>116</v>
      </c>
      <c r="D132" s="100" t="s">
        <v>2402</v>
      </c>
      <c r="E132" s="101">
        <v>40668.56144675926</v>
      </c>
      <c r="F132" s="101">
        <v>40714</v>
      </c>
      <c r="G132" s="102" t="str">
        <f>IF(stdProdLT(Main[[#This Row],[Comments]])=0.1,"N/A",IF(stdProdLT(Main[[#This Row],[Comments]])=0,"",stdProdLT(Main[[#This Row],[Comments]])))</f>
        <v/>
      </c>
      <c r="H132" s="103">
        <f>IF(AND(Main[[#This Row],[In Stock Date]]&lt;&gt;"",Main[[#This Row],[Revised Due Date]]&lt;&gt;""),Main[[#This Row],[In Stock Date]]-Main[[#This Row],[Revised Due Date]],"")</f>
        <v>0</v>
      </c>
      <c r="I132" s="99" t="s">
        <v>929</v>
      </c>
      <c r="J132" s="99" t="s">
        <v>21</v>
      </c>
      <c r="K132" s="99" t="s">
        <v>1975</v>
      </c>
      <c r="L132" s="101">
        <v>40679</v>
      </c>
      <c r="M132" s="104">
        <f>IF(Main[[#This Row],[Tech Start Date]]&lt;1/1/1990,"",IF(Main[[#This Row],[Class]]="C",WORKDAY(Main[[#This Row],[Tech Start Date]],9),IF(Main[[#This Row],[Class]]="B", WORKDAY(Main[[#This Row],[Tech Start Date]],6),IF(Main[[#This Row],[Class]]="A",WORKDAY(Main[[#This Row],[Tech Start Date]],2),""))))</f>
        <v>40690</v>
      </c>
      <c r="N132" s="104">
        <f>IF(Main[[#This Row],[Tech Start Date]]&lt;1/1/1990,"",IF(Main[[#This Row],[Class]]="C",WORKDAY(Main[[#This Row],[Tech Start Date]],19),IF(Main[[#This Row],[Class]]="B", WORKDAY(Main[[#This Row],[Tech Start Date]],12),IF(Main[[#This Row],[Class]]="A",WORKDAY(Main[[#This Row],[Tech Start Date]],4),""))))</f>
        <v>40704</v>
      </c>
      <c r="O132" s="104">
        <f>IF(Main[[#This Row],[Tech Start Date]]&lt;1/1/1990,"",IF(Main[[#This Row],[Class]]="C",WORKDAY(Main[[#This Row],[Tech Start Date]],23),IF(Main[[#This Row],[Class]]="B", WORKDAY(Main[[#This Row],[Tech Start Date]],15),IF(Main[[#This Row],[Class]]="A",WORKDAY(Main[[#This Row],[Tech Start Date]],5),""))))</f>
        <v>40710</v>
      </c>
      <c r="P132" s="104">
        <f>IF(Main[[#This Row],[Tech Start Date]]&lt;1/1/1990,"",IF(Main[[#This Row],[Class]]="C",WORKDAY(Main[[#This Row],[Tech Start Date]],28),IF(Main[[#This Row],[Class]]="B", WORKDAY(Main[[#This Row],[Tech Start Date]],19),IF(Main[[#This Row],[Class]]="A",WORKDAY(Main[[#This Row],[Tech Start Date]],9),""))))</f>
        <v>40717</v>
      </c>
      <c r="Q132" s="101">
        <v>40714</v>
      </c>
      <c r="R132" s="101">
        <v>40714</v>
      </c>
      <c r="S132" s="99" t="s">
        <v>6</v>
      </c>
      <c r="T132" s="107" t="s">
        <v>2675</v>
      </c>
      <c r="U132" s="99" t="s">
        <v>29</v>
      </c>
      <c r="V132" s="99" t="s">
        <v>1962</v>
      </c>
      <c r="W132" s="99" t="s">
        <v>1964</v>
      </c>
    </row>
    <row r="133" spans="1:23" ht="18.600000000000001" customHeight="1">
      <c r="A133" s="123">
        <f>IF(priority(Main[[#This Row],[Comments]])&lt;&gt;0, priority(Main[[#This Row],[Comments]]),"")</f>
        <v>44</v>
      </c>
      <c r="B133" s="127" t="s">
        <v>2791</v>
      </c>
      <c r="C133" s="99" t="s">
        <v>2792</v>
      </c>
      <c r="D133" s="100" t="s">
        <v>2793</v>
      </c>
      <c r="E133" s="101">
        <v>40821.398842592593</v>
      </c>
      <c r="F133" s="101">
        <v>41024</v>
      </c>
      <c r="G133" s="102">
        <f>IF(stdProdLT(Main[[#This Row],[Comments]])=0.1,"N/A",IF(stdProdLT(Main[[#This Row],[Comments]])=0,"",stdProdLT(Main[[#This Row],[Comments]])))</f>
        <v>168</v>
      </c>
      <c r="H133" s="103" t="str">
        <f>IF(AND(Main[[#This Row],[In Stock Date]]&lt;&gt;"",Main[[#This Row],[Revised Due Date]]&lt;&gt;""),Main[[#This Row],[In Stock Date]]-Main[[#This Row],[Revised Due Date]],"")</f>
        <v/>
      </c>
      <c r="I133" s="99" t="s">
        <v>4</v>
      </c>
      <c r="J133" s="99" t="s">
        <v>4</v>
      </c>
      <c r="K133" s="108" t="s">
        <v>4</v>
      </c>
      <c r="L133" s="101"/>
      <c r="M133" s="104" t="str">
        <f>IF(Main[[#This Row],[Tech Start Date]]&lt;1/1/1990,"",IF(Main[[#This Row],[Class]]="C",WORKDAY(Main[[#This Row],[Tech Start Date]],9),IF(Main[[#This Row],[Class]]="B", WORKDAY(Main[[#This Row],[Tech Start Date]],6),IF(Main[[#This Row],[Class]]="A",WORKDAY(Main[[#This Row],[Tech Start Date]],2),""))))</f>
        <v/>
      </c>
      <c r="N133" s="104" t="str">
        <f>IF(Main[[#This Row],[Tech Start Date]]&lt;1/1/1990,"",IF(Main[[#This Row],[Class]]="C",WORKDAY(Main[[#This Row],[Tech Start Date]],19),IF(Main[[#This Row],[Class]]="B", WORKDAY(Main[[#This Row],[Tech Start Date]],12),IF(Main[[#This Row],[Class]]="A",WORKDAY(Main[[#This Row],[Tech Start Date]],4),""))))</f>
        <v/>
      </c>
      <c r="O133" s="104" t="str">
        <f>IF(Main[[#This Row],[Tech Start Date]]&lt;1/1/1990,"",IF(Main[[#This Row],[Class]]="C",WORKDAY(Main[[#This Row],[Tech Start Date]],23),IF(Main[[#This Row],[Class]]="B", WORKDAY(Main[[#This Row],[Tech Start Date]],15),IF(Main[[#This Row],[Class]]="A",WORKDAY(Main[[#This Row],[Tech Start Date]],5),""))))</f>
        <v/>
      </c>
      <c r="P133" s="104" t="str">
        <f>IF(Main[[#This Row],[Tech Start Date]]&lt;1/1/1990,"",IF(Main[[#This Row],[Class]]="C",WORKDAY(Main[[#This Row],[Tech Start Date]],28),IF(Main[[#This Row],[Class]]="B", WORKDAY(Main[[#This Row],[Tech Start Date]],19),IF(Main[[#This Row],[Class]]="A",WORKDAY(Main[[#This Row],[Tech Start Date]],9),""))))</f>
        <v/>
      </c>
      <c r="Q133" s="101">
        <v>40872</v>
      </c>
      <c r="R133" s="101"/>
      <c r="S133" s="99" t="s">
        <v>11</v>
      </c>
      <c r="T133" s="107" t="s">
        <v>2794</v>
      </c>
      <c r="U133" s="99" t="s">
        <v>29</v>
      </c>
      <c r="V133" s="99" t="s">
        <v>1965</v>
      </c>
      <c r="W133" s="99" t="s">
        <v>1967</v>
      </c>
    </row>
    <row r="134" spans="1:23" ht="18.600000000000001" customHeight="1">
      <c r="A134" s="123">
        <f>IF(priority(Main[[#This Row],[Comments]])&lt;&gt;0, priority(Main[[#This Row],[Comments]]),"")</f>
        <v>46</v>
      </c>
      <c r="B134" s="127" t="s">
        <v>2727</v>
      </c>
      <c r="C134" s="99" t="s">
        <v>2060</v>
      </c>
      <c r="D134" s="100" t="s">
        <v>2728</v>
      </c>
      <c r="E134" s="101"/>
      <c r="F134" s="101"/>
      <c r="G134" s="102">
        <f>IF(stdProdLT(Main[[#This Row],[Comments]])=0.1,"N/A",IF(stdProdLT(Main[[#This Row],[Comments]])=0,"",stdProdLT(Main[[#This Row],[Comments]])))</f>
        <v>168</v>
      </c>
      <c r="H134" s="103" t="str">
        <f>IF(AND(Main[[#This Row],[In Stock Date]]&lt;&gt;"",Main[[#This Row],[Revised Due Date]]&lt;&gt;""),Main[[#This Row],[In Stock Date]]-Main[[#This Row],[Revised Due Date]],"")</f>
        <v/>
      </c>
      <c r="I134" s="99" t="s">
        <v>4</v>
      </c>
      <c r="J134" s="99" t="s">
        <v>4</v>
      </c>
      <c r="K134" s="99" t="s">
        <v>4</v>
      </c>
      <c r="L134" s="101"/>
      <c r="M134" s="104" t="str">
        <f>IF(Main[[#This Row],[Tech Start Date]]&lt;1/1/1990,"",IF(Main[[#This Row],[Class]]="C",WORKDAY(Main[[#This Row],[Tech Start Date]],9),IF(Main[[#This Row],[Class]]="B", WORKDAY(Main[[#This Row],[Tech Start Date]],6),IF(Main[[#This Row],[Class]]="A",WORKDAY(Main[[#This Row],[Tech Start Date]],2),""))))</f>
        <v/>
      </c>
      <c r="N134" s="104" t="str">
        <f>IF(Main[[#This Row],[Tech Start Date]]&lt;1/1/1990,"",IF(Main[[#This Row],[Class]]="C",WORKDAY(Main[[#This Row],[Tech Start Date]],19),IF(Main[[#This Row],[Class]]="B", WORKDAY(Main[[#This Row],[Tech Start Date]],12),IF(Main[[#This Row],[Class]]="A",WORKDAY(Main[[#This Row],[Tech Start Date]],4),""))))</f>
        <v/>
      </c>
      <c r="O134" s="104" t="str">
        <f>IF(Main[[#This Row],[Tech Start Date]]&lt;1/1/1990,"",IF(Main[[#This Row],[Class]]="C",WORKDAY(Main[[#This Row],[Tech Start Date]],23),IF(Main[[#This Row],[Class]]="B", WORKDAY(Main[[#This Row],[Tech Start Date]],15),IF(Main[[#This Row],[Class]]="A",WORKDAY(Main[[#This Row],[Tech Start Date]],5),""))))</f>
        <v/>
      </c>
      <c r="P134" s="104" t="str">
        <f>IF(Main[[#This Row],[Tech Start Date]]&lt;1/1/1990,"",IF(Main[[#This Row],[Class]]="C",WORKDAY(Main[[#This Row],[Tech Start Date]],28),IF(Main[[#This Row],[Class]]="B", WORKDAY(Main[[#This Row],[Tech Start Date]],19),IF(Main[[#This Row],[Class]]="A",WORKDAY(Main[[#This Row],[Tech Start Date]],9),""))))</f>
        <v/>
      </c>
      <c r="Q134" s="101">
        <v>40874</v>
      </c>
      <c r="R134" s="101"/>
      <c r="S134" s="99" t="s">
        <v>11</v>
      </c>
      <c r="T134" s="107" t="s">
        <v>2729</v>
      </c>
      <c r="U134" s="99" t="s">
        <v>14</v>
      </c>
      <c r="V134" s="99" t="s">
        <v>1965</v>
      </c>
      <c r="W134" s="99" t="s">
        <v>1964</v>
      </c>
    </row>
    <row r="135" spans="1:23" ht="18.600000000000001" customHeight="1">
      <c r="A135" s="123">
        <f>IF(priority(Main[[#This Row],[Comments]])&lt;&gt;0, priority(Main[[#This Row],[Comments]]),"")</f>
        <v>47</v>
      </c>
      <c r="B135" s="127" t="s">
        <v>2953</v>
      </c>
      <c r="C135" s="99" t="s">
        <v>2954</v>
      </c>
      <c r="D135" s="100" t="s">
        <v>2955</v>
      </c>
      <c r="E135" s="101">
        <v>40848.70516203704</v>
      </c>
      <c r="F135" s="101">
        <v>40879</v>
      </c>
      <c r="G135" s="102" t="str">
        <f>IF(stdProdLT(Main[[#This Row],[Comments]])=0.1,"N/A",IF(stdProdLT(Main[[#This Row],[Comments]])=0,"",stdProdLT(Main[[#This Row],[Comments]])))</f>
        <v/>
      </c>
      <c r="H135" s="103">
        <f>IF(AND(Main[[#This Row],[In Stock Date]]&lt;&gt;"",Main[[#This Row],[Revised Due Date]]&lt;&gt;""),Main[[#This Row],[In Stock Date]]-Main[[#This Row],[Revised Due Date]],"")</f>
        <v>4</v>
      </c>
      <c r="I135" s="99" t="s">
        <v>69</v>
      </c>
      <c r="J135" s="99" t="s">
        <v>28</v>
      </c>
      <c r="K135" s="99" t="s">
        <v>1971</v>
      </c>
      <c r="L135" s="101">
        <v>40849</v>
      </c>
      <c r="M135" s="104">
        <f>IF(Main[[#This Row],[Tech Start Date]]&lt;1/1/1990,"",IF(Main[[#This Row],[Class]]="C",WORKDAY(Main[[#This Row],[Tech Start Date]],9),IF(Main[[#This Row],[Class]]="B", WORKDAY(Main[[#This Row],[Tech Start Date]],6),IF(Main[[#This Row],[Class]]="A",WORKDAY(Main[[#This Row],[Tech Start Date]],2),""))))</f>
        <v>40851</v>
      </c>
      <c r="N135" s="104">
        <f>IF(Main[[#This Row],[Tech Start Date]]&lt;1/1/1990,"",IF(Main[[#This Row],[Class]]="C",WORKDAY(Main[[#This Row],[Tech Start Date]],19),IF(Main[[#This Row],[Class]]="B", WORKDAY(Main[[#This Row],[Tech Start Date]],12),IF(Main[[#This Row],[Class]]="A",WORKDAY(Main[[#This Row],[Tech Start Date]],4),""))))</f>
        <v>40855</v>
      </c>
      <c r="O135" s="104">
        <f>IF(Main[[#This Row],[Tech Start Date]]&lt;1/1/1990,"",IF(Main[[#This Row],[Class]]="C",WORKDAY(Main[[#This Row],[Tech Start Date]],23),IF(Main[[#This Row],[Class]]="B", WORKDAY(Main[[#This Row],[Tech Start Date]],15),IF(Main[[#This Row],[Class]]="A",WORKDAY(Main[[#This Row],[Tech Start Date]],5),""))))</f>
        <v>40856</v>
      </c>
      <c r="P135" s="104">
        <f>IF(Main[[#This Row],[Tech Start Date]]&lt;1/1/1990,"",IF(Main[[#This Row],[Class]]="C",WORKDAY(Main[[#This Row],[Tech Start Date]],28),IF(Main[[#This Row],[Class]]="B", WORKDAY(Main[[#This Row],[Tech Start Date]],19),IF(Main[[#This Row],[Class]]="A",WORKDAY(Main[[#This Row],[Tech Start Date]],9),""))))</f>
        <v>40862</v>
      </c>
      <c r="Q135" s="101"/>
      <c r="R135" s="101">
        <v>40875</v>
      </c>
      <c r="S135" s="99" t="s">
        <v>11</v>
      </c>
      <c r="T135" s="107" t="s">
        <v>2956</v>
      </c>
      <c r="U135" s="99" t="s">
        <v>29</v>
      </c>
      <c r="V135" s="99" t="s">
        <v>1972</v>
      </c>
      <c r="W135" s="99" t="s">
        <v>1966</v>
      </c>
    </row>
    <row r="136" spans="1:23" ht="18.600000000000001" customHeight="1">
      <c r="A136" s="123" t="str">
        <f>IF(priority(Main[[#This Row],[Comments]])&lt;&gt;0, priority(Main[[#This Row],[Comments]]),"")</f>
        <v/>
      </c>
      <c r="B136" s="127" t="s">
        <v>1071</v>
      </c>
      <c r="C136" s="99" t="s">
        <v>4</v>
      </c>
      <c r="D136" s="100" t="s">
        <v>62</v>
      </c>
      <c r="E136" s="101"/>
      <c r="F136" s="101"/>
      <c r="G136" s="102" t="str">
        <f>IF(stdProdLT(Main[[#This Row],[Comments]])=0.1,"N/A",IF(stdProdLT(Main[[#This Row],[Comments]])=0,"",stdProdLT(Main[[#This Row],[Comments]])))</f>
        <v/>
      </c>
      <c r="H136" s="103" t="str">
        <f>IF(AND(Main[[#This Row],[In Stock Date]]&lt;&gt;"",Main[[#This Row],[Revised Due Date]]&lt;&gt;""),Main[[#This Row],[In Stock Date]]-Main[[#This Row],[Revised Due Date]],"")</f>
        <v/>
      </c>
      <c r="I136" s="99" t="s">
        <v>44</v>
      </c>
      <c r="J136" s="99" t="s">
        <v>28</v>
      </c>
      <c r="K136" s="99" t="s">
        <v>1971</v>
      </c>
      <c r="L136" s="101"/>
      <c r="M136" s="104" t="str">
        <f>IF(Main[[#This Row],[Tech Start Date]]&lt;1/1/1990,"",IF(Main[[#This Row],[Class]]="C",WORKDAY(Main[[#This Row],[Tech Start Date]],9),IF(Main[[#This Row],[Class]]="B", WORKDAY(Main[[#This Row],[Tech Start Date]],6),IF(Main[[#This Row],[Class]]="A",WORKDAY(Main[[#This Row],[Tech Start Date]],2),""))))</f>
        <v/>
      </c>
      <c r="N136" s="104" t="str">
        <f>IF(Main[[#This Row],[Tech Start Date]]&lt;1/1/1990,"",IF(Main[[#This Row],[Class]]="C",WORKDAY(Main[[#This Row],[Tech Start Date]],19),IF(Main[[#This Row],[Class]]="B", WORKDAY(Main[[#This Row],[Tech Start Date]],12),IF(Main[[#This Row],[Class]]="A",WORKDAY(Main[[#This Row],[Tech Start Date]],4),""))))</f>
        <v/>
      </c>
      <c r="O136" s="104" t="str">
        <f>IF(Main[[#This Row],[Tech Start Date]]&lt;1/1/1990,"",IF(Main[[#This Row],[Class]]="C",WORKDAY(Main[[#This Row],[Tech Start Date]],23),IF(Main[[#This Row],[Class]]="B", WORKDAY(Main[[#This Row],[Tech Start Date]],15),IF(Main[[#This Row],[Class]]="A",WORKDAY(Main[[#This Row],[Tech Start Date]],5),""))))</f>
        <v/>
      </c>
      <c r="P136" s="104" t="str">
        <f>IF(Main[[#This Row],[Tech Start Date]]&lt;1/1/1990,"",IF(Main[[#This Row],[Class]]="C",WORKDAY(Main[[#This Row],[Tech Start Date]],28),IF(Main[[#This Row],[Class]]="B", WORKDAY(Main[[#This Row],[Tech Start Date]],19),IF(Main[[#This Row],[Class]]="A",WORKDAY(Main[[#This Row],[Tech Start Date]],9),""))))</f>
        <v/>
      </c>
      <c r="Q136" s="101"/>
      <c r="R136" s="101"/>
      <c r="S136" s="99" t="s">
        <v>23</v>
      </c>
      <c r="T136" s="107" t="s">
        <v>4</v>
      </c>
      <c r="U136" s="99" t="s">
        <v>14</v>
      </c>
      <c r="V136" s="99" t="s">
        <v>1965</v>
      </c>
      <c r="W136" s="99" t="s">
        <v>1964</v>
      </c>
    </row>
    <row r="137" spans="1:23" ht="18.600000000000001" customHeight="1">
      <c r="A137" s="123" t="str">
        <f>IF(priority(Main[[#This Row],[Comments]])&lt;&gt;0, priority(Main[[#This Row],[Comments]]),"")</f>
        <v/>
      </c>
      <c r="B137" s="127" t="s">
        <v>1072</v>
      </c>
      <c r="C137" s="99" t="s">
        <v>63</v>
      </c>
      <c r="D137" s="100" t="s">
        <v>64</v>
      </c>
      <c r="E137" s="101"/>
      <c r="F137" s="101">
        <v>40513</v>
      </c>
      <c r="G137" s="102" t="str">
        <f>IF(stdProdLT(Main[[#This Row],[Comments]])=0.1,"N/A",IF(stdProdLT(Main[[#This Row],[Comments]])=0,"",stdProdLT(Main[[#This Row],[Comments]])))</f>
        <v/>
      </c>
      <c r="H137" s="103" t="str">
        <f>IF(AND(Main[[#This Row],[In Stock Date]]&lt;&gt;"",Main[[#This Row],[Revised Due Date]]&lt;&gt;""),Main[[#This Row],[In Stock Date]]-Main[[#This Row],[Revised Due Date]],"")</f>
        <v/>
      </c>
      <c r="I137" s="99" t="s">
        <v>65</v>
      </c>
      <c r="J137" s="99" t="s">
        <v>28</v>
      </c>
      <c r="K137" s="99" t="s">
        <v>4</v>
      </c>
      <c r="L137" s="101"/>
      <c r="M137" s="104" t="str">
        <f>IF(Main[[#This Row],[Tech Start Date]]&lt;1/1/1990,"",IF(Main[[#This Row],[Class]]="C",WORKDAY(Main[[#This Row],[Tech Start Date]],9),IF(Main[[#This Row],[Class]]="B", WORKDAY(Main[[#This Row],[Tech Start Date]],6),IF(Main[[#This Row],[Class]]="A",WORKDAY(Main[[#This Row],[Tech Start Date]],2),""))))</f>
        <v/>
      </c>
      <c r="N137" s="104" t="str">
        <f>IF(Main[[#This Row],[Tech Start Date]]&lt;1/1/1990,"",IF(Main[[#This Row],[Class]]="C",WORKDAY(Main[[#This Row],[Tech Start Date]],19),IF(Main[[#This Row],[Class]]="B", WORKDAY(Main[[#This Row],[Tech Start Date]],12),IF(Main[[#This Row],[Class]]="A",WORKDAY(Main[[#This Row],[Tech Start Date]],4),""))))</f>
        <v/>
      </c>
      <c r="O137" s="104" t="str">
        <f>IF(Main[[#This Row],[Tech Start Date]]&lt;1/1/1990,"",IF(Main[[#This Row],[Class]]="C",WORKDAY(Main[[#This Row],[Tech Start Date]],23),IF(Main[[#This Row],[Class]]="B", WORKDAY(Main[[#This Row],[Tech Start Date]],15),IF(Main[[#This Row],[Class]]="A",WORKDAY(Main[[#This Row],[Tech Start Date]],5),""))))</f>
        <v/>
      </c>
      <c r="P137" s="104" t="str">
        <f>IF(Main[[#This Row],[Tech Start Date]]&lt;1/1/1990,"",IF(Main[[#This Row],[Class]]="C",WORKDAY(Main[[#This Row],[Tech Start Date]],28),IF(Main[[#This Row],[Class]]="B", WORKDAY(Main[[#This Row],[Tech Start Date]],19),IF(Main[[#This Row],[Class]]="A",WORKDAY(Main[[#This Row],[Tech Start Date]],9),""))))</f>
        <v/>
      </c>
      <c r="Q137" s="101">
        <v>40513</v>
      </c>
      <c r="R137" s="101"/>
      <c r="S137" s="99" t="s">
        <v>11</v>
      </c>
      <c r="T137" s="107" t="s">
        <v>4</v>
      </c>
      <c r="U137" s="99" t="s">
        <v>14</v>
      </c>
      <c r="V137" s="99" t="s">
        <v>1965</v>
      </c>
      <c r="W137" s="99" t="s">
        <v>1967</v>
      </c>
    </row>
    <row r="138" spans="1:23" ht="18.600000000000001" customHeight="1">
      <c r="A138" s="123" t="str">
        <f>IF(priority(Main[[#This Row],[Comments]])&lt;&gt;0, priority(Main[[#This Row],[Comments]]),"")</f>
        <v/>
      </c>
      <c r="B138" s="127" t="s">
        <v>2108</v>
      </c>
      <c r="C138" s="99" t="s">
        <v>702</v>
      </c>
      <c r="D138" s="100" t="s">
        <v>2109</v>
      </c>
      <c r="E138" s="101"/>
      <c r="F138" s="101"/>
      <c r="G138" s="102" t="str">
        <f>IF(stdProdLT(Main[[#This Row],[Comments]])=0.1,"N/A",IF(stdProdLT(Main[[#This Row],[Comments]])=0,"",stdProdLT(Main[[#This Row],[Comments]])))</f>
        <v/>
      </c>
      <c r="H138" s="103" t="str">
        <f>IF(AND(Main[[#This Row],[In Stock Date]]&lt;&gt;"",Main[[#This Row],[Revised Due Date]]&lt;&gt;""),Main[[#This Row],[In Stock Date]]-Main[[#This Row],[Revised Due Date]],"")</f>
        <v/>
      </c>
      <c r="I138" s="99" t="s">
        <v>4</v>
      </c>
      <c r="J138" s="99" t="s">
        <v>4</v>
      </c>
      <c r="K138" s="99" t="s">
        <v>4</v>
      </c>
      <c r="L138" s="101"/>
      <c r="M138" s="104" t="str">
        <f>IF(Main[[#This Row],[Tech Start Date]]&lt;1/1/1990,"",IF(Main[[#This Row],[Class]]="C",WORKDAY(Main[[#This Row],[Tech Start Date]],9),IF(Main[[#This Row],[Class]]="B", WORKDAY(Main[[#This Row],[Tech Start Date]],6),IF(Main[[#This Row],[Class]]="A",WORKDAY(Main[[#This Row],[Tech Start Date]],2),""))))</f>
        <v/>
      </c>
      <c r="N138" s="104" t="str">
        <f>IF(Main[[#This Row],[Tech Start Date]]&lt;1/1/1990,"",IF(Main[[#This Row],[Class]]="C",WORKDAY(Main[[#This Row],[Tech Start Date]],19),IF(Main[[#This Row],[Class]]="B", WORKDAY(Main[[#This Row],[Tech Start Date]],12),IF(Main[[#This Row],[Class]]="A",WORKDAY(Main[[#This Row],[Tech Start Date]],4),""))))</f>
        <v/>
      </c>
      <c r="O138" s="104" t="str">
        <f>IF(Main[[#This Row],[Tech Start Date]]&lt;1/1/1990,"",IF(Main[[#This Row],[Class]]="C",WORKDAY(Main[[#This Row],[Tech Start Date]],23),IF(Main[[#This Row],[Class]]="B", WORKDAY(Main[[#This Row],[Tech Start Date]],15),IF(Main[[#This Row],[Class]]="A",WORKDAY(Main[[#This Row],[Tech Start Date]],5),""))))</f>
        <v/>
      </c>
      <c r="P138" s="104" t="str">
        <f>IF(Main[[#This Row],[Tech Start Date]]&lt;1/1/1990,"",IF(Main[[#This Row],[Class]]="C",WORKDAY(Main[[#This Row],[Tech Start Date]],28),IF(Main[[#This Row],[Class]]="B", WORKDAY(Main[[#This Row],[Tech Start Date]],19),IF(Main[[#This Row],[Class]]="A",WORKDAY(Main[[#This Row],[Tech Start Date]],9),""))))</f>
        <v/>
      </c>
      <c r="Q138" s="101">
        <v>40760</v>
      </c>
      <c r="R138" s="101"/>
      <c r="S138" s="99" t="s">
        <v>11</v>
      </c>
      <c r="T138" s="107" t="s">
        <v>4</v>
      </c>
      <c r="U138" s="99" t="s">
        <v>14</v>
      </c>
      <c r="V138" s="99" t="s">
        <v>1963</v>
      </c>
      <c r="W138" s="99" t="s">
        <v>1964</v>
      </c>
    </row>
    <row r="139" spans="1:23" ht="18.600000000000001" customHeight="1">
      <c r="A139" s="123" t="str">
        <f>IF(priority(Main[[#This Row],[Comments]])&lt;&gt;0, priority(Main[[#This Row],[Comments]]),"")</f>
        <v/>
      </c>
      <c r="B139" s="127" t="s">
        <v>1062</v>
      </c>
      <c r="C139" s="99" t="s">
        <v>53</v>
      </c>
      <c r="D139" s="100" t="s">
        <v>54</v>
      </c>
      <c r="E139" s="101"/>
      <c r="F139" s="101"/>
      <c r="G139" s="102" t="str">
        <f>IF(stdProdLT(Main[[#This Row],[Comments]])=0.1,"N/A",IF(stdProdLT(Main[[#This Row],[Comments]])=0,"",stdProdLT(Main[[#This Row],[Comments]])))</f>
        <v/>
      </c>
      <c r="H139" s="103" t="str">
        <f>IF(AND(Main[[#This Row],[In Stock Date]]&lt;&gt;"",Main[[#This Row],[Revised Due Date]]&lt;&gt;""),Main[[#This Row],[In Stock Date]]-Main[[#This Row],[Revised Due Date]],"")</f>
        <v/>
      </c>
      <c r="I139" s="99" t="s">
        <v>4</v>
      </c>
      <c r="J139" s="99" t="s">
        <v>28</v>
      </c>
      <c r="K139" s="99" t="s">
        <v>1975</v>
      </c>
      <c r="L139" s="101"/>
      <c r="M139" s="104" t="str">
        <f>IF(Main[[#This Row],[Tech Start Date]]&lt;1/1/1990,"",IF(Main[[#This Row],[Class]]="C",WORKDAY(Main[[#This Row],[Tech Start Date]],9),IF(Main[[#This Row],[Class]]="B", WORKDAY(Main[[#This Row],[Tech Start Date]],6),IF(Main[[#This Row],[Class]]="A",WORKDAY(Main[[#This Row],[Tech Start Date]],2),""))))</f>
        <v/>
      </c>
      <c r="N139" s="104" t="str">
        <f>IF(Main[[#This Row],[Tech Start Date]]&lt;1/1/1990,"",IF(Main[[#This Row],[Class]]="C",WORKDAY(Main[[#This Row],[Tech Start Date]],19),IF(Main[[#This Row],[Class]]="B", WORKDAY(Main[[#This Row],[Tech Start Date]],12),IF(Main[[#This Row],[Class]]="A",WORKDAY(Main[[#This Row],[Tech Start Date]],4),""))))</f>
        <v/>
      </c>
      <c r="O139" s="104" t="str">
        <f>IF(Main[[#This Row],[Tech Start Date]]&lt;1/1/1990,"",IF(Main[[#This Row],[Class]]="C",WORKDAY(Main[[#This Row],[Tech Start Date]],23),IF(Main[[#This Row],[Class]]="B", WORKDAY(Main[[#This Row],[Tech Start Date]],15),IF(Main[[#This Row],[Class]]="A",WORKDAY(Main[[#This Row],[Tech Start Date]],5),""))))</f>
        <v/>
      </c>
      <c r="P139" s="104" t="str">
        <f>IF(Main[[#This Row],[Tech Start Date]]&lt;1/1/1990,"",IF(Main[[#This Row],[Class]]="C",WORKDAY(Main[[#This Row],[Tech Start Date]],28),IF(Main[[#This Row],[Class]]="B", WORKDAY(Main[[#This Row],[Tech Start Date]],19),IF(Main[[#This Row],[Class]]="A",WORKDAY(Main[[#This Row],[Tech Start Date]],9),""))))</f>
        <v/>
      </c>
      <c r="Q139" s="101">
        <v>40626</v>
      </c>
      <c r="R139" s="101"/>
      <c r="S139" s="99" t="s">
        <v>11</v>
      </c>
      <c r="T139" s="107" t="s">
        <v>4</v>
      </c>
      <c r="U139" s="99" t="s">
        <v>14</v>
      </c>
      <c r="V139" s="99" t="s">
        <v>1963</v>
      </c>
      <c r="W139" s="99" t="s">
        <v>1964</v>
      </c>
    </row>
    <row r="140" spans="1:23" ht="18.600000000000001" customHeight="1">
      <c r="A140" s="123" t="str">
        <f>IF(priority(Main[[#This Row],[Comments]])&lt;&gt;0, priority(Main[[#This Row],[Comments]]),"")</f>
        <v/>
      </c>
      <c r="B140" s="127" t="s">
        <v>1064</v>
      </c>
      <c r="C140" s="99" t="s">
        <v>4</v>
      </c>
      <c r="D140" s="100" t="s">
        <v>55</v>
      </c>
      <c r="E140" s="101"/>
      <c r="F140" s="101"/>
      <c r="G140" s="102" t="str">
        <f>IF(stdProdLT(Main[[#This Row],[Comments]])=0.1,"N/A",IF(stdProdLT(Main[[#This Row],[Comments]])=0,"",stdProdLT(Main[[#This Row],[Comments]])))</f>
        <v/>
      </c>
      <c r="H140" s="103" t="str">
        <f>IF(AND(Main[[#This Row],[In Stock Date]]&lt;&gt;"",Main[[#This Row],[Revised Due Date]]&lt;&gt;""),Main[[#This Row],[In Stock Date]]-Main[[#This Row],[Revised Due Date]],"")</f>
        <v/>
      </c>
      <c r="I140" s="99" t="s">
        <v>4</v>
      </c>
      <c r="J140" s="99" t="s">
        <v>4</v>
      </c>
      <c r="K140" s="108" t="s">
        <v>4</v>
      </c>
      <c r="L140" s="101"/>
      <c r="M140" s="104" t="str">
        <f>IF(Main[[#This Row],[Tech Start Date]]&lt;1/1/1990,"",IF(Main[[#This Row],[Class]]="C",WORKDAY(Main[[#This Row],[Tech Start Date]],9),IF(Main[[#This Row],[Class]]="B", WORKDAY(Main[[#This Row],[Tech Start Date]],6),IF(Main[[#This Row],[Class]]="A",WORKDAY(Main[[#This Row],[Tech Start Date]],2),""))))</f>
        <v/>
      </c>
      <c r="N140" s="104" t="str">
        <f>IF(Main[[#This Row],[Tech Start Date]]&lt;1/1/1990,"",IF(Main[[#This Row],[Class]]="C",WORKDAY(Main[[#This Row],[Tech Start Date]],19),IF(Main[[#This Row],[Class]]="B", WORKDAY(Main[[#This Row],[Tech Start Date]],12),IF(Main[[#This Row],[Class]]="A",WORKDAY(Main[[#This Row],[Tech Start Date]],4),""))))</f>
        <v/>
      </c>
      <c r="O140" s="104" t="str">
        <f>IF(Main[[#This Row],[Tech Start Date]]&lt;1/1/1990,"",IF(Main[[#This Row],[Class]]="C",WORKDAY(Main[[#This Row],[Tech Start Date]],23),IF(Main[[#This Row],[Class]]="B", WORKDAY(Main[[#This Row],[Tech Start Date]],15),IF(Main[[#This Row],[Class]]="A",WORKDAY(Main[[#This Row],[Tech Start Date]],5),""))))</f>
        <v/>
      </c>
      <c r="P140" s="104" t="str">
        <f>IF(Main[[#This Row],[Tech Start Date]]&lt;1/1/1990,"",IF(Main[[#This Row],[Class]]="C",WORKDAY(Main[[#This Row],[Tech Start Date]],28),IF(Main[[#This Row],[Class]]="B", WORKDAY(Main[[#This Row],[Tech Start Date]],19),IF(Main[[#This Row],[Class]]="A",WORKDAY(Main[[#This Row],[Tech Start Date]],9),""))))</f>
        <v/>
      </c>
      <c r="Q140" s="101"/>
      <c r="R140" s="101"/>
      <c r="S140" s="99" t="s">
        <v>6</v>
      </c>
      <c r="T140" s="107" t="s">
        <v>4</v>
      </c>
      <c r="U140" s="99" t="s">
        <v>14</v>
      </c>
      <c r="V140" s="99" t="s">
        <v>1965</v>
      </c>
      <c r="W140" s="99" t="s">
        <v>1966</v>
      </c>
    </row>
    <row r="141" spans="1:23" ht="18.600000000000001" customHeight="1">
      <c r="A141" s="123" t="str">
        <f>IF(priority(Main[[#This Row],[Comments]])&lt;&gt;0, priority(Main[[#This Row],[Comments]]),"")</f>
        <v/>
      </c>
      <c r="B141" s="127" t="s">
        <v>1065</v>
      </c>
      <c r="C141" s="99" t="s">
        <v>4</v>
      </c>
      <c r="D141" s="100" t="s">
        <v>56</v>
      </c>
      <c r="E141" s="101"/>
      <c r="F141" s="101"/>
      <c r="G141" s="102" t="str">
        <f>IF(stdProdLT(Main[[#This Row],[Comments]])=0.1,"N/A",IF(stdProdLT(Main[[#This Row],[Comments]])=0,"",stdProdLT(Main[[#This Row],[Comments]])))</f>
        <v/>
      </c>
      <c r="H141" s="103" t="str">
        <f>IF(AND(Main[[#This Row],[In Stock Date]]&lt;&gt;"",Main[[#This Row],[Revised Due Date]]&lt;&gt;""),Main[[#This Row],[In Stock Date]]-Main[[#This Row],[Revised Due Date]],"")</f>
        <v/>
      </c>
      <c r="I141" s="99" t="s">
        <v>4</v>
      </c>
      <c r="J141" s="99" t="s">
        <v>4</v>
      </c>
      <c r="K141" s="99" t="s">
        <v>4</v>
      </c>
      <c r="L141" s="101"/>
      <c r="M141" s="104" t="str">
        <f>IF(Main[[#This Row],[Tech Start Date]]&lt;1/1/1990,"",IF(Main[[#This Row],[Class]]="C",WORKDAY(Main[[#This Row],[Tech Start Date]],9),IF(Main[[#This Row],[Class]]="B", WORKDAY(Main[[#This Row],[Tech Start Date]],6),IF(Main[[#This Row],[Class]]="A",WORKDAY(Main[[#This Row],[Tech Start Date]],2),""))))</f>
        <v/>
      </c>
      <c r="N141" s="104" t="str">
        <f>IF(Main[[#This Row],[Tech Start Date]]&lt;1/1/1990,"",IF(Main[[#This Row],[Class]]="C",WORKDAY(Main[[#This Row],[Tech Start Date]],19),IF(Main[[#This Row],[Class]]="B", WORKDAY(Main[[#This Row],[Tech Start Date]],12),IF(Main[[#This Row],[Class]]="A",WORKDAY(Main[[#This Row],[Tech Start Date]],4),""))))</f>
        <v/>
      </c>
      <c r="O141" s="104" t="str">
        <f>IF(Main[[#This Row],[Tech Start Date]]&lt;1/1/1990,"",IF(Main[[#This Row],[Class]]="C",WORKDAY(Main[[#This Row],[Tech Start Date]],23),IF(Main[[#This Row],[Class]]="B", WORKDAY(Main[[#This Row],[Tech Start Date]],15),IF(Main[[#This Row],[Class]]="A",WORKDAY(Main[[#This Row],[Tech Start Date]],5),""))))</f>
        <v/>
      </c>
      <c r="P141" s="104" t="str">
        <f>IF(Main[[#This Row],[Tech Start Date]]&lt;1/1/1990,"",IF(Main[[#This Row],[Class]]="C",WORKDAY(Main[[#This Row],[Tech Start Date]],28),IF(Main[[#This Row],[Class]]="B", WORKDAY(Main[[#This Row],[Tech Start Date]],19),IF(Main[[#This Row],[Class]]="A",WORKDAY(Main[[#This Row],[Tech Start Date]],9),""))))</f>
        <v/>
      </c>
      <c r="Q141" s="101"/>
      <c r="R141" s="101"/>
      <c r="S141" s="99" t="s">
        <v>49</v>
      </c>
      <c r="T141" s="107" t="s">
        <v>4</v>
      </c>
      <c r="U141" s="99" t="s">
        <v>14</v>
      </c>
      <c r="V141" s="99" t="s">
        <v>1965</v>
      </c>
      <c r="W141" s="99" t="s">
        <v>1966</v>
      </c>
    </row>
    <row r="142" spans="1:23" ht="18.600000000000001" customHeight="1">
      <c r="A142" s="123" t="str">
        <f>IF(priority(Main[[#This Row],[Comments]])&lt;&gt;0, priority(Main[[#This Row],[Comments]]),"")</f>
        <v/>
      </c>
      <c r="B142" s="127" t="s">
        <v>1066</v>
      </c>
      <c r="C142" s="99" t="s">
        <v>4</v>
      </c>
      <c r="D142" s="100" t="s">
        <v>57</v>
      </c>
      <c r="E142" s="101"/>
      <c r="F142" s="101"/>
      <c r="G142" s="102" t="str">
        <f>IF(stdProdLT(Main[[#This Row],[Comments]])=0.1,"N/A",IF(stdProdLT(Main[[#This Row],[Comments]])=0,"",stdProdLT(Main[[#This Row],[Comments]])))</f>
        <v/>
      </c>
      <c r="H142" s="103" t="str">
        <f>IF(AND(Main[[#This Row],[In Stock Date]]&lt;&gt;"",Main[[#This Row],[Revised Due Date]]&lt;&gt;""),Main[[#This Row],[In Stock Date]]-Main[[#This Row],[Revised Due Date]],"")</f>
        <v/>
      </c>
      <c r="I142" s="99" t="s">
        <v>4</v>
      </c>
      <c r="J142" s="99" t="s">
        <v>4</v>
      </c>
      <c r="K142" s="99" t="s">
        <v>4</v>
      </c>
      <c r="L142" s="101"/>
      <c r="M142" s="104" t="str">
        <f>IF(Main[[#This Row],[Tech Start Date]]&lt;1/1/1990,"",IF(Main[[#This Row],[Class]]="C",WORKDAY(Main[[#This Row],[Tech Start Date]],9),IF(Main[[#This Row],[Class]]="B", WORKDAY(Main[[#This Row],[Tech Start Date]],6),IF(Main[[#This Row],[Class]]="A",WORKDAY(Main[[#This Row],[Tech Start Date]],2),""))))</f>
        <v/>
      </c>
      <c r="N142" s="104" t="str">
        <f>IF(Main[[#This Row],[Tech Start Date]]&lt;1/1/1990,"",IF(Main[[#This Row],[Class]]="C",WORKDAY(Main[[#This Row],[Tech Start Date]],19),IF(Main[[#This Row],[Class]]="B", WORKDAY(Main[[#This Row],[Tech Start Date]],12),IF(Main[[#This Row],[Class]]="A",WORKDAY(Main[[#This Row],[Tech Start Date]],4),""))))</f>
        <v/>
      </c>
      <c r="O142" s="104" t="str">
        <f>IF(Main[[#This Row],[Tech Start Date]]&lt;1/1/1990,"",IF(Main[[#This Row],[Class]]="C",WORKDAY(Main[[#This Row],[Tech Start Date]],23),IF(Main[[#This Row],[Class]]="B", WORKDAY(Main[[#This Row],[Tech Start Date]],15),IF(Main[[#This Row],[Class]]="A",WORKDAY(Main[[#This Row],[Tech Start Date]],5),""))))</f>
        <v/>
      </c>
      <c r="P142" s="104" t="str">
        <f>IF(Main[[#This Row],[Tech Start Date]]&lt;1/1/1990,"",IF(Main[[#This Row],[Class]]="C",WORKDAY(Main[[#This Row],[Tech Start Date]],28),IF(Main[[#This Row],[Class]]="B", WORKDAY(Main[[#This Row],[Tech Start Date]],19),IF(Main[[#This Row],[Class]]="A",WORKDAY(Main[[#This Row],[Tech Start Date]],9),""))))</f>
        <v/>
      </c>
      <c r="Q142" s="101"/>
      <c r="R142" s="101"/>
      <c r="S142" s="99" t="s">
        <v>49</v>
      </c>
      <c r="T142" s="107" t="s">
        <v>4</v>
      </c>
      <c r="U142" s="99" t="s">
        <v>14</v>
      </c>
      <c r="V142" s="99" t="s">
        <v>1972</v>
      </c>
      <c r="W142" s="99" t="s">
        <v>1966</v>
      </c>
    </row>
    <row r="143" spans="1:23" ht="18.600000000000001" customHeight="1">
      <c r="A143" s="123" t="str">
        <f>IF(priority(Main[[#This Row],[Comments]])&lt;&gt;0, priority(Main[[#This Row],[Comments]]),"")</f>
        <v/>
      </c>
      <c r="B143" s="127" t="s">
        <v>1067</v>
      </c>
      <c r="C143" s="99" t="s">
        <v>58</v>
      </c>
      <c r="D143" s="100" t="s">
        <v>59</v>
      </c>
      <c r="E143" s="101"/>
      <c r="F143" s="101"/>
      <c r="G143" s="102" t="str">
        <f>IF(stdProdLT(Main[[#This Row],[Comments]])=0.1,"N/A",IF(stdProdLT(Main[[#This Row],[Comments]])=0,"",stdProdLT(Main[[#This Row],[Comments]])))</f>
        <v/>
      </c>
      <c r="H143" s="103" t="str">
        <f>IF(AND(Main[[#This Row],[In Stock Date]]&lt;&gt;"",Main[[#This Row],[Revised Due Date]]&lt;&gt;""),Main[[#This Row],[In Stock Date]]-Main[[#This Row],[Revised Due Date]],"")</f>
        <v/>
      </c>
      <c r="I143" s="99" t="s">
        <v>4</v>
      </c>
      <c r="J143" s="99" t="s">
        <v>4</v>
      </c>
      <c r="K143" s="99" t="s">
        <v>4</v>
      </c>
      <c r="L143" s="101"/>
      <c r="M143" s="104" t="str">
        <f>IF(Main[[#This Row],[Tech Start Date]]&lt;1/1/1990,"",IF(Main[[#This Row],[Class]]="C",WORKDAY(Main[[#This Row],[Tech Start Date]],9),IF(Main[[#This Row],[Class]]="B", WORKDAY(Main[[#This Row],[Tech Start Date]],6),IF(Main[[#This Row],[Class]]="A",WORKDAY(Main[[#This Row],[Tech Start Date]],2),""))))</f>
        <v/>
      </c>
      <c r="N143" s="104" t="str">
        <f>IF(Main[[#This Row],[Tech Start Date]]&lt;1/1/1990,"",IF(Main[[#This Row],[Class]]="C",WORKDAY(Main[[#This Row],[Tech Start Date]],19),IF(Main[[#This Row],[Class]]="B", WORKDAY(Main[[#This Row],[Tech Start Date]],12),IF(Main[[#This Row],[Class]]="A",WORKDAY(Main[[#This Row],[Tech Start Date]],4),""))))</f>
        <v/>
      </c>
      <c r="O143" s="104" t="str">
        <f>IF(Main[[#This Row],[Tech Start Date]]&lt;1/1/1990,"",IF(Main[[#This Row],[Class]]="C",WORKDAY(Main[[#This Row],[Tech Start Date]],23),IF(Main[[#This Row],[Class]]="B", WORKDAY(Main[[#This Row],[Tech Start Date]],15),IF(Main[[#This Row],[Class]]="A",WORKDAY(Main[[#This Row],[Tech Start Date]],5),""))))</f>
        <v/>
      </c>
      <c r="P143" s="104" t="str">
        <f>IF(Main[[#This Row],[Tech Start Date]]&lt;1/1/1990,"",IF(Main[[#This Row],[Class]]="C",WORKDAY(Main[[#This Row],[Tech Start Date]],28),IF(Main[[#This Row],[Class]]="B", WORKDAY(Main[[#This Row],[Tech Start Date]],19),IF(Main[[#This Row],[Class]]="A",WORKDAY(Main[[#This Row],[Tech Start Date]],9),""))))</f>
        <v/>
      </c>
      <c r="Q143" s="101"/>
      <c r="R143" s="101"/>
      <c r="S143" s="99" t="s">
        <v>11</v>
      </c>
      <c r="T143" s="107" t="s">
        <v>4</v>
      </c>
      <c r="U143" s="99" t="s">
        <v>14</v>
      </c>
      <c r="V143" s="99" t="s">
        <v>1963</v>
      </c>
      <c r="W143" s="99" t="s">
        <v>1967</v>
      </c>
    </row>
    <row r="144" spans="1:23" ht="18.600000000000001" customHeight="1">
      <c r="A144" s="123" t="str">
        <f>IF(priority(Main[[#This Row],[Comments]])&lt;&gt;0, priority(Main[[#This Row],[Comments]]),"")</f>
        <v/>
      </c>
      <c r="B144" s="127" t="s">
        <v>1068</v>
      </c>
      <c r="C144" s="99" t="s">
        <v>4</v>
      </c>
      <c r="D144" s="100" t="s">
        <v>60</v>
      </c>
      <c r="E144" s="101"/>
      <c r="F144" s="101"/>
      <c r="G144" s="102" t="str">
        <f>IF(stdProdLT(Main[[#This Row],[Comments]])=0.1,"N/A",IF(stdProdLT(Main[[#This Row],[Comments]])=0,"",stdProdLT(Main[[#This Row],[Comments]])))</f>
        <v/>
      </c>
      <c r="H144" s="103" t="str">
        <f>IF(AND(Main[[#This Row],[In Stock Date]]&lt;&gt;"",Main[[#This Row],[Revised Due Date]]&lt;&gt;""),Main[[#This Row],[In Stock Date]]-Main[[#This Row],[Revised Due Date]],"")</f>
        <v/>
      </c>
      <c r="I144" s="99" t="s">
        <v>4</v>
      </c>
      <c r="J144" s="99" t="s">
        <v>4</v>
      </c>
      <c r="K144" s="99" t="s">
        <v>4</v>
      </c>
      <c r="L144" s="101"/>
      <c r="M144" s="104" t="str">
        <f>IF(Main[[#This Row],[Tech Start Date]]&lt;1/1/1990,"",IF(Main[[#This Row],[Class]]="C",WORKDAY(Main[[#This Row],[Tech Start Date]],9),IF(Main[[#This Row],[Class]]="B", WORKDAY(Main[[#This Row],[Tech Start Date]],6),IF(Main[[#This Row],[Class]]="A",WORKDAY(Main[[#This Row],[Tech Start Date]],2),""))))</f>
        <v/>
      </c>
      <c r="N144" s="104" t="str">
        <f>IF(Main[[#This Row],[Tech Start Date]]&lt;1/1/1990,"",IF(Main[[#This Row],[Class]]="C",WORKDAY(Main[[#This Row],[Tech Start Date]],19),IF(Main[[#This Row],[Class]]="B", WORKDAY(Main[[#This Row],[Tech Start Date]],12),IF(Main[[#This Row],[Class]]="A",WORKDAY(Main[[#This Row],[Tech Start Date]],4),""))))</f>
        <v/>
      </c>
      <c r="O144" s="104" t="str">
        <f>IF(Main[[#This Row],[Tech Start Date]]&lt;1/1/1990,"",IF(Main[[#This Row],[Class]]="C",WORKDAY(Main[[#This Row],[Tech Start Date]],23),IF(Main[[#This Row],[Class]]="B", WORKDAY(Main[[#This Row],[Tech Start Date]],15),IF(Main[[#This Row],[Class]]="A",WORKDAY(Main[[#This Row],[Tech Start Date]],5),""))))</f>
        <v/>
      </c>
      <c r="P144" s="104" t="str">
        <f>IF(Main[[#This Row],[Tech Start Date]]&lt;1/1/1990,"",IF(Main[[#This Row],[Class]]="C",WORKDAY(Main[[#This Row],[Tech Start Date]],28),IF(Main[[#This Row],[Class]]="B", WORKDAY(Main[[#This Row],[Tech Start Date]],19),IF(Main[[#This Row],[Class]]="A",WORKDAY(Main[[#This Row],[Tech Start Date]],9),""))))</f>
        <v/>
      </c>
      <c r="Q144" s="101"/>
      <c r="R144" s="101"/>
      <c r="S144" s="99" t="s">
        <v>49</v>
      </c>
      <c r="T144" s="107" t="s">
        <v>4</v>
      </c>
      <c r="U144" s="99" t="s">
        <v>14</v>
      </c>
      <c r="V144" s="99" t="s">
        <v>1963</v>
      </c>
      <c r="W144" s="99" t="s">
        <v>1966</v>
      </c>
    </row>
    <row r="145" spans="1:23" ht="18.600000000000001" customHeight="1">
      <c r="A145" s="123" t="str">
        <f>IF(priority(Main[[#This Row],[Comments]])&lt;&gt;0, priority(Main[[#This Row],[Comments]]),"")</f>
        <v/>
      </c>
      <c r="B145" s="127" t="s">
        <v>2408</v>
      </c>
      <c r="C145" s="99" t="s">
        <v>4</v>
      </c>
      <c r="D145" s="100" t="s">
        <v>2409</v>
      </c>
      <c r="E145" s="101">
        <v>40841.712557870371</v>
      </c>
      <c r="F145" s="101"/>
      <c r="G145" s="102" t="str">
        <f>IF(stdProdLT(Main[[#This Row],[Comments]])=0.1,"N/A",IF(stdProdLT(Main[[#This Row],[Comments]])=0,"",stdProdLT(Main[[#This Row],[Comments]])))</f>
        <v/>
      </c>
      <c r="H145" s="103" t="str">
        <f>IF(AND(Main[[#This Row],[In Stock Date]]&lt;&gt;"",Main[[#This Row],[Revised Due Date]]&lt;&gt;""),Main[[#This Row],[In Stock Date]]-Main[[#This Row],[Revised Due Date]],"")</f>
        <v/>
      </c>
      <c r="I145" s="99" t="s">
        <v>929</v>
      </c>
      <c r="J145" s="99" t="s">
        <v>52</v>
      </c>
      <c r="K145" s="99" t="s">
        <v>4</v>
      </c>
      <c r="L145" s="101"/>
      <c r="M145" s="104" t="str">
        <f>IF(Main[[#This Row],[Tech Start Date]]&lt;1/1/1990,"",IF(Main[[#This Row],[Class]]="C",WORKDAY(Main[[#This Row],[Tech Start Date]],9),IF(Main[[#This Row],[Class]]="B", WORKDAY(Main[[#This Row],[Tech Start Date]],6),IF(Main[[#This Row],[Class]]="A",WORKDAY(Main[[#This Row],[Tech Start Date]],2),""))))</f>
        <v/>
      </c>
      <c r="N145" s="104" t="str">
        <f>IF(Main[[#This Row],[Tech Start Date]]&lt;1/1/1990,"",IF(Main[[#This Row],[Class]]="C",WORKDAY(Main[[#This Row],[Tech Start Date]],19),IF(Main[[#This Row],[Class]]="B", WORKDAY(Main[[#This Row],[Tech Start Date]],12),IF(Main[[#This Row],[Class]]="A",WORKDAY(Main[[#This Row],[Tech Start Date]],4),""))))</f>
        <v/>
      </c>
      <c r="O145" s="104" t="str">
        <f>IF(Main[[#This Row],[Tech Start Date]]&lt;1/1/1990,"",IF(Main[[#This Row],[Class]]="C",WORKDAY(Main[[#This Row],[Tech Start Date]],23),IF(Main[[#This Row],[Class]]="B", WORKDAY(Main[[#This Row],[Tech Start Date]],15),IF(Main[[#This Row],[Class]]="A",WORKDAY(Main[[#This Row],[Tech Start Date]],5),""))))</f>
        <v/>
      </c>
      <c r="P145" s="104" t="str">
        <f>IF(Main[[#This Row],[Tech Start Date]]&lt;1/1/1990,"",IF(Main[[#This Row],[Class]]="C",WORKDAY(Main[[#This Row],[Tech Start Date]],28),IF(Main[[#This Row],[Class]]="B", WORKDAY(Main[[#This Row],[Tech Start Date]],19),IF(Main[[#This Row],[Class]]="A",WORKDAY(Main[[#This Row],[Tech Start Date]],9),""))))</f>
        <v/>
      </c>
      <c r="Q145" s="101">
        <v>40856</v>
      </c>
      <c r="R145" s="101"/>
      <c r="S145" s="99" t="s">
        <v>6</v>
      </c>
      <c r="T145" s="107" t="s">
        <v>4</v>
      </c>
      <c r="U145" s="99" t="s">
        <v>29</v>
      </c>
      <c r="V145" s="99" t="s">
        <v>1962</v>
      </c>
      <c r="W145" s="99" t="s">
        <v>1970</v>
      </c>
    </row>
    <row r="146" spans="1:23" ht="18.600000000000001" customHeight="1">
      <c r="A146" s="123" t="str">
        <f>IF(priority(Main[[#This Row],[Comments]])&lt;&gt;0, priority(Main[[#This Row],[Comments]]),"")</f>
        <v/>
      </c>
      <c r="B146" s="127" t="s">
        <v>1070</v>
      </c>
      <c r="C146" s="99" t="s">
        <v>4</v>
      </c>
      <c r="D146" s="100" t="s">
        <v>61</v>
      </c>
      <c r="E146" s="101"/>
      <c r="F146" s="101"/>
      <c r="G146" s="102" t="str">
        <f>IF(stdProdLT(Main[[#This Row],[Comments]])=0.1,"N/A",IF(stdProdLT(Main[[#This Row],[Comments]])=0,"",stdProdLT(Main[[#This Row],[Comments]])))</f>
        <v/>
      </c>
      <c r="H146" s="103" t="str">
        <f>IF(AND(Main[[#This Row],[In Stock Date]]&lt;&gt;"",Main[[#This Row],[Revised Due Date]]&lt;&gt;""),Main[[#This Row],[In Stock Date]]-Main[[#This Row],[Revised Due Date]],"")</f>
        <v/>
      </c>
      <c r="I146" s="99" t="s">
        <v>4</v>
      </c>
      <c r="J146" s="99" t="s">
        <v>4</v>
      </c>
      <c r="K146" s="99" t="s">
        <v>4</v>
      </c>
      <c r="L146" s="101"/>
      <c r="M146" s="104" t="str">
        <f>IF(Main[[#This Row],[Tech Start Date]]&lt;1/1/1990,"",IF(Main[[#This Row],[Class]]="C",WORKDAY(Main[[#This Row],[Tech Start Date]],9),IF(Main[[#This Row],[Class]]="B", WORKDAY(Main[[#This Row],[Tech Start Date]],6),IF(Main[[#This Row],[Class]]="A",WORKDAY(Main[[#This Row],[Tech Start Date]],2),""))))</f>
        <v/>
      </c>
      <c r="N146" s="104" t="str">
        <f>IF(Main[[#This Row],[Tech Start Date]]&lt;1/1/1990,"",IF(Main[[#This Row],[Class]]="C",WORKDAY(Main[[#This Row],[Tech Start Date]],19),IF(Main[[#This Row],[Class]]="B", WORKDAY(Main[[#This Row],[Tech Start Date]],12),IF(Main[[#This Row],[Class]]="A",WORKDAY(Main[[#This Row],[Tech Start Date]],4),""))))</f>
        <v/>
      </c>
      <c r="O146" s="104" t="str">
        <f>IF(Main[[#This Row],[Tech Start Date]]&lt;1/1/1990,"",IF(Main[[#This Row],[Class]]="C",WORKDAY(Main[[#This Row],[Tech Start Date]],23),IF(Main[[#This Row],[Class]]="B", WORKDAY(Main[[#This Row],[Tech Start Date]],15),IF(Main[[#This Row],[Class]]="A",WORKDAY(Main[[#This Row],[Tech Start Date]],5),""))))</f>
        <v/>
      </c>
      <c r="P146" s="104" t="str">
        <f>IF(Main[[#This Row],[Tech Start Date]]&lt;1/1/1990,"",IF(Main[[#This Row],[Class]]="C",WORKDAY(Main[[#This Row],[Tech Start Date]],28),IF(Main[[#This Row],[Class]]="B", WORKDAY(Main[[#This Row],[Tech Start Date]],19),IF(Main[[#This Row],[Class]]="A",WORKDAY(Main[[#This Row],[Tech Start Date]],9),""))))</f>
        <v/>
      </c>
      <c r="Q146" s="101">
        <v>40564</v>
      </c>
      <c r="R146" s="101"/>
      <c r="S146" s="99" t="s">
        <v>23</v>
      </c>
      <c r="T146" s="107" t="s">
        <v>4</v>
      </c>
      <c r="U146" s="99" t="s">
        <v>12</v>
      </c>
      <c r="V146" s="99" t="s">
        <v>1965</v>
      </c>
      <c r="W146" s="99" t="s">
        <v>1966</v>
      </c>
    </row>
    <row r="147" spans="1:23" ht="18.600000000000001" customHeight="1">
      <c r="A147" s="123" t="str">
        <f>IF(priority(Main[[#This Row],[Comments]])&lt;&gt;0, priority(Main[[#This Row],[Comments]]),"")</f>
        <v/>
      </c>
      <c r="B147" s="127" t="s">
        <v>1073</v>
      </c>
      <c r="C147" s="99" t="s">
        <v>83</v>
      </c>
      <c r="D147" s="100" t="s">
        <v>84</v>
      </c>
      <c r="E147" s="101"/>
      <c r="F147" s="101"/>
      <c r="G147" s="102" t="str">
        <f>IF(stdProdLT(Main[[#This Row],[Comments]])=0.1,"N/A",IF(stdProdLT(Main[[#This Row],[Comments]])=0,"",stdProdLT(Main[[#This Row],[Comments]])))</f>
        <v/>
      </c>
      <c r="H147" s="103" t="str">
        <f>IF(AND(Main[[#This Row],[In Stock Date]]&lt;&gt;"",Main[[#This Row],[Revised Due Date]]&lt;&gt;""),Main[[#This Row],[In Stock Date]]-Main[[#This Row],[Revised Due Date]],"")</f>
        <v/>
      </c>
      <c r="I147" s="99" t="s">
        <v>4</v>
      </c>
      <c r="J147" s="99" t="s">
        <v>4</v>
      </c>
      <c r="K147" s="99" t="s">
        <v>4</v>
      </c>
      <c r="L147" s="101"/>
      <c r="M147" s="104" t="str">
        <f>IF(Main[[#This Row],[Tech Start Date]]&lt;1/1/1990,"",IF(Main[[#This Row],[Class]]="C",WORKDAY(Main[[#This Row],[Tech Start Date]],9),IF(Main[[#This Row],[Class]]="B", WORKDAY(Main[[#This Row],[Tech Start Date]],6),IF(Main[[#This Row],[Class]]="A",WORKDAY(Main[[#This Row],[Tech Start Date]],2),""))))</f>
        <v/>
      </c>
      <c r="N147" s="104" t="str">
        <f>IF(Main[[#This Row],[Tech Start Date]]&lt;1/1/1990,"",IF(Main[[#This Row],[Class]]="C",WORKDAY(Main[[#This Row],[Tech Start Date]],19),IF(Main[[#This Row],[Class]]="B", WORKDAY(Main[[#This Row],[Tech Start Date]],12),IF(Main[[#This Row],[Class]]="A",WORKDAY(Main[[#This Row],[Tech Start Date]],4),""))))</f>
        <v/>
      </c>
      <c r="O147" s="104" t="str">
        <f>IF(Main[[#This Row],[Tech Start Date]]&lt;1/1/1990,"",IF(Main[[#This Row],[Class]]="C",WORKDAY(Main[[#This Row],[Tech Start Date]],23),IF(Main[[#This Row],[Class]]="B", WORKDAY(Main[[#This Row],[Tech Start Date]],15),IF(Main[[#This Row],[Class]]="A",WORKDAY(Main[[#This Row],[Tech Start Date]],5),""))))</f>
        <v/>
      </c>
      <c r="P147" s="104" t="str">
        <f>IF(Main[[#This Row],[Tech Start Date]]&lt;1/1/1990,"",IF(Main[[#This Row],[Class]]="C",WORKDAY(Main[[#This Row],[Tech Start Date]],28),IF(Main[[#This Row],[Class]]="B", WORKDAY(Main[[#This Row],[Tech Start Date]],19),IF(Main[[#This Row],[Class]]="A",WORKDAY(Main[[#This Row],[Tech Start Date]],9),""))))</f>
        <v/>
      </c>
      <c r="Q147" s="101">
        <v>40259</v>
      </c>
      <c r="R147" s="101"/>
      <c r="S147" s="99" t="s">
        <v>11</v>
      </c>
      <c r="T147" s="107" t="s">
        <v>4</v>
      </c>
      <c r="U147" s="99" t="s">
        <v>14</v>
      </c>
      <c r="V147" s="99" t="s">
        <v>1962</v>
      </c>
      <c r="W147" s="99" t="s">
        <v>1973</v>
      </c>
    </row>
    <row r="148" spans="1:23" ht="18.600000000000001" customHeight="1">
      <c r="A148" s="123" t="str">
        <f>IF(priority(Main[[#This Row],[Comments]])&lt;&gt;0, priority(Main[[#This Row],[Comments]]),"")</f>
        <v/>
      </c>
      <c r="B148" s="127" t="s">
        <v>1788</v>
      </c>
      <c r="C148" s="99" t="s">
        <v>4</v>
      </c>
      <c r="D148" s="100" t="s">
        <v>2421</v>
      </c>
      <c r="E148" s="101"/>
      <c r="F148" s="101"/>
      <c r="G148" s="102" t="str">
        <f>IF(stdProdLT(Main[[#This Row],[Comments]])=0.1,"N/A",IF(stdProdLT(Main[[#This Row],[Comments]])=0,"",stdProdLT(Main[[#This Row],[Comments]])))</f>
        <v/>
      </c>
      <c r="H148" s="103" t="str">
        <f>IF(AND(Main[[#This Row],[In Stock Date]]&lt;&gt;"",Main[[#This Row],[Revised Due Date]]&lt;&gt;""),Main[[#This Row],[In Stock Date]]-Main[[#This Row],[Revised Due Date]],"")</f>
        <v/>
      </c>
      <c r="I148" s="99" t="s">
        <v>131</v>
      </c>
      <c r="J148" s="99" t="s">
        <v>70</v>
      </c>
      <c r="K148" s="99" t="s">
        <v>1971</v>
      </c>
      <c r="L148" s="101"/>
      <c r="M148" s="104" t="str">
        <f>IF(Main[[#This Row],[Tech Start Date]]&lt;1/1/1990,"",IF(Main[[#This Row],[Class]]="C",WORKDAY(Main[[#This Row],[Tech Start Date]],9),IF(Main[[#This Row],[Class]]="B", WORKDAY(Main[[#This Row],[Tech Start Date]],6),IF(Main[[#This Row],[Class]]="A",WORKDAY(Main[[#This Row],[Tech Start Date]],2),""))))</f>
        <v/>
      </c>
      <c r="N148" s="104" t="str">
        <f>IF(Main[[#This Row],[Tech Start Date]]&lt;1/1/1990,"",IF(Main[[#This Row],[Class]]="C",WORKDAY(Main[[#This Row],[Tech Start Date]],19),IF(Main[[#This Row],[Class]]="B", WORKDAY(Main[[#This Row],[Tech Start Date]],12),IF(Main[[#This Row],[Class]]="A",WORKDAY(Main[[#This Row],[Tech Start Date]],4),""))))</f>
        <v/>
      </c>
      <c r="O148" s="104" t="str">
        <f>IF(Main[[#This Row],[Tech Start Date]]&lt;1/1/1990,"",IF(Main[[#This Row],[Class]]="C",WORKDAY(Main[[#This Row],[Tech Start Date]],23),IF(Main[[#This Row],[Class]]="B", WORKDAY(Main[[#This Row],[Tech Start Date]],15),IF(Main[[#This Row],[Class]]="A",WORKDAY(Main[[#This Row],[Tech Start Date]],5),""))))</f>
        <v/>
      </c>
      <c r="P148" s="104" t="str">
        <f>IF(Main[[#This Row],[Tech Start Date]]&lt;1/1/1990,"",IF(Main[[#This Row],[Class]]="C",WORKDAY(Main[[#This Row],[Tech Start Date]],28),IF(Main[[#This Row],[Class]]="B", WORKDAY(Main[[#This Row],[Tech Start Date]],19),IF(Main[[#This Row],[Class]]="A",WORKDAY(Main[[#This Row],[Tech Start Date]],9),""))))</f>
        <v/>
      </c>
      <c r="Q148" s="101">
        <v>40786</v>
      </c>
      <c r="R148" s="101"/>
      <c r="S148" s="99" t="s">
        <v>6</v>
      </c>
      <c r="T148" s="107" t="s">
        <v>4</v>
      </c>
      <c r="U148" s="99" t="s">
        <v>14</v>
      </c>
      <c r="V148" s="99" t="s">
        <v>1965</v>
      </c>
      <c r="W148" s="99" t="s">
        <v>1966</v>
      </c>
    </row>
    <row r="149" spans="1:23" ht="18.600000000000001" customHeight="1">
      <c r="A149" s="123" t="str">
        <f>IF(priority(Main[[#This Row],[Comments]])&lt;&gt;0, priority(Main[[#This Row],[Comments]]),"")</f>
        <v/>
      </c>
      <c r="B149" s="127" t="s">
        <v>1994</v>
      </c>
      <c r="C149" s="99" t="s">
        <v>4</v>
      </c>
      <c r="D149" s="100" t="s">
        <v>2577</v>
      </c>
      <c r="E149" s="101">
        <v>40721.395208333335</v>
      </c>
      <c r="F149" s="101"/>
      <c r="G149" s="102" t="str">
        <f>IF(stdProdLT(Main[[#This Row],[Comments]])=0.1,"N/A",IF(stdProdLT(Main[[#This Row],[Comments]])=0,"",stdProdLT(Main[[#This Row],[Comments]])))</f>
        <v/>
      </c>
      <c r="H149" s="103" t="str">
        <f>IF(AND(Main[[#This Row],[In Stock Date]]&lt;&gt;"",Main[[#This Row],[Revised Due Date]]&lt;&gt;""),Main[[#This Row],[In Stock Date]]-Main[[#This Row],[Revised Due Date]],"")</f>
        <v/>
      </c>
      <c r="I149" s="99" t="s">
        <v>69</v>
      </c>
      <c r="J149" s="99" t="s">
        <v>21</v>
      </c>
      <c r="K149" s="108" t="s">
        <v>1971</v>
      </c>
      <c r="L149" s="101"/>
      <c r="M149" s="104" t="str">
        <f>IF(Main[[#This Row],[Tech Start Date]]&lt;1/1/1990,"",IF(Main[[#This Row],[Class]]="C",WORKDAY(Main[[#This Row],[Tech Start Date]],9),IF(Main[[#This Row],[Class]]="B", WORKDAY(Main[[#This Row],[Tech Start Date]],6),IF(Main[[#This Row],[Class]]="A",WORKDAY(Main[[#This Row],[Tech Start Date]],2),""))))</f>
        <v/>
      </c>
      <c r="N149" s="104" t="str">
        <f>IF(Main[[#This Row],[Tech Start Date]]&lt;1/1/1990,"",IF(Main[[#This Row],[Class]]="C",WORKDAY(Main[[#This Row],[Tech Start Date]],19),IF(Main[[#This Row],[Class]]="B", WORKDAY(Main[[#This Row],[Tech Start Date]],12),IF(Main[[#This Row],[Class]]="A",WORKDAY(Main[[#This Row],[Tech Start Date]],4),""))))</f>
        <v/>
      </c>
      <c r="O149" s="104" t="str">
        <f>IF(Main[[#This Row],[Tech Start Date]]&lt;1/1/1990,"",IF(Main[[#This Row],[Class]]="C",WORKDAY(Main[[#This Row],[Tech Start Date]],23),IF(Main[[#This Row],[Class]]="B", WORKDAY(Main[[#This Row],[Tech Start Date]],15),IF(Main[[#This Row],[Class]]="A",WORKDAY(Main[[#This Row],[Tech Start Date]],5),""))))</f>
        <v/>
      </c>
      <c r="P149" s="104" t="str">
        <f>IF(Main[[#This Row],[Tech Start Date]]&lt;1/1/1990,"",IF(Main[[#This Row],[Class]]="C",WORKDAY(Main[[#This Row],[Tech Start Date]],28),IF(Main[[#This Row],[Class]]="B", WORKDAY(Main[[#This Row],[Tech Start Date]],19),IF(Main[[#This Row],[Class]]="A",WORKDAY(Main[[#This Row],[Tech Start Date]],9),""))))</f>
        <v/>
      </c>
      <c r="Q149" s="101">
        <v>40753</v>
      </c>
      <c r="R149" s="101"/>
      <c r="S149" s="99" t="s">
        <v>6</v>
      </c>
      <c r="T149" s="107" t="s">
        <v>4</v>
      </c>
      <c r="U149" s="99" t="s">
        <v>29</v>
      </c>
      <c r="V149" s="99" t="s">
        <v>1965</v>
      </c>
      <c r="W149" s="99" t="s">
        <v>1966</v>
      </c>
    </row>
    <row r="150" spans="1:23" ht="18.600000000000001" customHeight="1">
      <c r="A150" s="123" t="str">
        <f>IF(priority(Main[[#This Row],[Comments]])&lt;&gt;0, priority(Main[[#This Row],[Comments]]),"")</f>
        <v/>
      </c>
      <c r="B150" s="127" t="s">
        <v>1074</v>
      </c>
      <c r="C150" s="99" t="s">
        <v>53</v>
      </c>
      <c r="D150" s="100" t="s">
        <v>66</v>
      </c>
      <c r="E150" s="101"/>
      <c r="F150" s="101"/>
      <c r="G150" s="102" t="str">
        <f>IF(stdProdLT(Main[[#This Row],[Comments]])=0.1,"N/A",IF(stdProdLT(Main[[#This Row],[Comments]])=0,"",stdProdLT(Main[[#This Row],[Comments]])))</f>
        <v/>
      </c>
      <c r="H150" s="103" t="str">
        <f>IF(AND(Main[[#This Row],[In Stock Date]]&lt;&gt;"",Main[[#This Row],[Revised Due Date]]&lt;&gt;""),Main[[#This Row],[In Stock Date]]-Main[[#This Row],[Revised Due Date]],"")</f>
        <v/>
      </c>
      <c r="I150" s="99" t="s">
        <v>4</v>
      </c>
      <c r="J150" s="99" t="s">
        <v>4</v>
      </c>
      <c r="K150" s="99" t="s">
        <v>4</v>
      </c>
      <c r="L150" s="101"/>
      <c r="M150" s="104" t="str">
        <f>IF(Main[[#This Row],[Tech Start Date]]&lt;1/1/1990,"",IF(Main[[#This Row],[Class]]="C",WORKDAY(Main[[#This Row],[Tech Start Date]],9),IF(Main[[#This Row],[Class]]="B", WORKDAY(Main[[#This Row],[Tech Start Date]],6),IF(Main[[#This Row],[Class]]="A",WORKDAY(Main[[#This Row],[Tech Start Date]],2),""))))</f>
        <v/>
      </c>
      <c r="N150" s="104" t="str">
        <f>IF(Main[[#This Row],[Tech Start Date]]&lt;1/1/1990,"",IF(Main[[#This Row],[Class]]="C",WORKDAY(Main[[#This Row],[Tech Start Date]],19),IF(Main[[#This Row],[Class]]="B", WORKDAY(Main[[#This Row],[Tech Start Date]],12),IF(Main[[#This Row],[Class]]="A",WORKDAY(Main[[#This Row],[Tech Start Date]],4),""))))</f>
        <v/>
      </c>
      <c r="O150" s="104" t="str">
        <f>IF(Main[[#This Row],[Tech Start Date]]&lt;1/1/1990,"",IF(Main[[#This Row],[Class]]="C",WORKDAY(Main[[#This Row],[Tech Start Date]],23),IF(Main[[#This Row],[Class]]="B", WORKDAY(Main[[#This Row],[Tech Start Date]],15),IF(Main[[#This Row],[Class]]="A",WORKDAY(Main[[#This Row],[Tech Start Date]],5),""))))</f>
        <v/>
      </c>
      <c r="P150" s="104" t="str">
        <f>IF(Main[[#This Row],[Tech Start Date]]&lt;1/1/1990,"",IF(Main[[#This Row],[Class]]="C",WORKDAY(Main[[#This Row],[Tech Start Date]],28),IF(Main[[#This Row],[Class]]="B", WORKDAY(Main[[#This Row],[Tech Start Date]],19),IF(Main[[#This Row],[Class]]="A",WORKDAY(Main[[#This Row],[Tech Start Date]],9),""))))</f>
        <v/>
      </c>
      <c r="Q150" s="101">
        <v>40667</v>
      </c>
      <c r="R150" s="101"/>
      <c r="S150" s="99" t="s">
        <v>11</v>
      </c>
      <c r="T150" s="107" t="s">
        <v>4</v>
      </c>
      <c r="U150" s="99" t="s">
        <v>14</v>
      </c>
      <c r="V150" s="99" t="s">
        <v>1963</v>
      </c>
      <c r="W150" s="99" t="s">
        <v>1964</v>
      </c>
    </row>
    <row r="151" spans="1:23" ht="18.600000000000001" customHeight="1">
      <c r="A151" s="123" t="str">
        <f>IF(priority(Main[[#This Row],[Comments]])&lt;&gt;0, priority(Main[[#This Row],[Comments]]),"")</f>
        <v/>
      </c>
      <c r="B151" s="127" t="s">
        <v>2080</v>
      </c>
      <c r="C151" s="99" t="s">
        <v>4</v>
      </c>
      <c r="D151" s="100" t="s">
        <v>2081</v>
      </c>
      <c r="E151" s="101">
        <v>40749.684224537035</v>
      </c>
      <c r="F151" s="101"/>
      <c r="G151" s="102" t="str">
        <f>IF(stdProdLT(Main[[#This Row],[Comments]])=0.1,"N/A",IF(stdProdLT(Main[[#This Row],[Comments]])=0,"",stdProdLT(Main[[#This Row],[Comments]])))</f>
        <v/>
      </c>
      <c r="H151" s="103" t="str">
        <f>IF(AND(Main[[#This Row],[In Stock Date]]&lt;&gt;"",Main[[#This Row],[Revised Due Date]]&lt;&gt;""),Main[[#This Row],[In Stock Date]]-Main[[#This Row],[Revised Due Date]],"")</f>
        <v/>
      </c>
      <c r="I151" s="99" t="s">
        <v>4</v>
      </c>
      <c r="J151" s="99" t="s">
        <v>4</v>
      </c>
      <c r="K151" s="99" t="s">
        <v>4</v>
      </c>
      <c r="L151" s="101"/>
      <c r="M151" s="104" t="str">
        <f>IF(Main[[#This Row],[Tech Start Date]]&lt;1/1/1990,"",IF(Main[[#This Row],[Class]]="C",WORKDAY(Main[[#This Row],[Tech Start Date]],9),IF(Main[[#This Row],[Class]]="B", WORKDAY(Main[[#This Row],[Tech Start Date]],6),IF(Main[[#This Row],[Class]]="A",WORKDAY(Main[[#This Row],[Tech Start Date]],2),""))))</f>
        <v/>
      </c>
      <c r="N151" s="104" t="str">
        <f>IF(Main[[#This Row],[Tech Start Date]]&lt;1/1/1990,"",IF(Main[[#This Row],[Class]]="C",WORKDAY(Main[[#This Row],[Tech Start Date]],19),IF(Main[[#This Row],[Class]]="B", WORKDAY(Main[[#This Row],[Tech Start Date]],12),IF(Main[[#This Row],[Class]]="A",WORKDAY(Main[[#This Row],[Tech Start Date]],4),""))))</f>
        <v/>
      </c>
      <c r="O151" s="104" t="str">
        <f>IF(Main[[#This Row],[Tech Start Date]]&lt;1/1/1990,"",IF(Main[[#This Row],[Class]]="C",WORKDAY(Main[[#This Row],[Tech Start Date]],23),IF(Main[[#This Row],[Class]]="B", WORKDAY(Main[[#This Row],[Tech Start Date]],15),IF(Main[[#This Row],[Class]]="A",WORKDAY(Main[[#This Row],[Tech Start Date]],5),""))))</f>
        <v/>
      </c>
      <c r="P151" s="104" t="str">
        <f>IF(Main[[#This Row],[Tech Start Date]]&lt;1/1/1990,"",IF(Main[[#This Row],[Class]]="C",WORKDAY(Main[[#This Row],[Tech Start Date]],28),IF(Main[[#This Row],[Class]]="B", WORKDAY(Main[[#This Row],[Tech Start Date]],19),IF(Main[[#This Row],[Class]]="A",WORKDAY(Main[[#This Row],[Tech Start Date]],9),""))))</f>
        <v/>
      </c>
      <c r="Q151" s="101">
        <v>40781</v>
      </c>
      <c r="R151" s="101"/>
      <c r="S151" s="99" t="s">
        <v>6</v>
      </c>
      <c r="T151" s="107" t="s">
        <v>4</v>
      </c>
      <c r="U151" s="99" t="s">
        <v>7</v>
      </c>
      <c r="V151" s="99" t="s">
        <v>1962</v>
      </c>
      <c r="W151" s="99" t="s">
        <v>4</v>
      </c>
    </row>
    <row r="152" spans="1:23" ht="18.600000000000001" customHeight="1">
      <c r="A152" s="123" t="str">
        <f>IF(priority(Main[[#This Row],[Comments]])&lt;&gt;0, priority(Main[[#This Row],[Comments]]),"")</f>
        <v/>
      </c>
      <c r="B152" s="127" t="s">
        <v>1085</v>
      </c>
      <c r="C152" s="99" t="s">
        <v>4</v>
      </c>
      <c r="D152" s="100" t="s">
        <v>85</v>
      </c>
      <c r="E152" s="101"/>
      <c r="F152" s="101"/>
      <c r="G152" s="102" t="str">
        <f>IF(stdProdLT(Main[[#This Row],[Comments]])=0.1,"N/A",IF(stdProdLT(Main[[#This Row],[Comments]])=0,"",stdProdLT(Main[[#This Row],[Comments]])))</f>
        <v/>
      </c>
      <c r="H152" s="103" t="str">
        <f>IF(AND(Main[[#This Row],[In Stock Date]]&lt;&gt;"",Main[[#This Row],[Revised Due Date]]&lt;&gt;""),Main[[#This Row],[In Stock Date]]-Main[[#This Row],[Revised Due Date]],"")</f>
        <v/>
      </c>
      <c r="I152" s="99" t="s">
        <v>4</v>
      </c>
      <c r="J152" s="99" t="s">
        <v>4</v>
      </c>
      <c r="K152" s="99" t="s">
        <v>4</v>
      </c>
      <c r="L152" s="101"/>
      <c r="M152" s="104" t="str">
        <f>IF(Main[[#This Row],[Tech Start Date]]&lt;1/1/1990,"",IF(Main[[#This Row],[Class]]="C",WORKDAY(Main[[#This Row],[Tech Start Date]],9),IF(Main[[#This Row],[Class]]="B", WORKDAY(Main[[#This Row],[Tech Start Date]],6),IF(Main[[#This Row],[Class]]="A",WORKDAY(Main[[#This Row],[Tech Start Date]],2),""))))</f>
        <v/>
      </c>
      <c r="N152" s="104" t="str">
        <f>IF(Main[[#This Row],[Tech Start Date]]&lt;1/1/1990,"",IF(Main[[#This Row],[Class]]="C",WORKDAY(Main[[#This Row],[Tech Start Date]],19),IF(Main[[#This Row],[Class]]="B", WORKDAY(Main[[#This Row],[Tech Start Date]],12),IF(Main[[#This Row],[Class]]="A",WORKDAY(Main[[#This Row],[Tech Start Date]],4),""))))</f>
        <v/>
      </c>
      <c r="O152" s="104" t="str">
        <f>IF(Main[[#This Row],[Tech Start Date]]&lt;1/1/1990,"",IF(Main[[#This Row],[Class]]="C",WORKDAY(Main[[#This Row],[Tech Start Date]],23),IF(Main[[#This Row],[Class]]="B", WORKDAY(Main[[#This Row],[Tech Start Date]],15),IF(Main[[#This Row],[Class]]="A",WORKDAY(Main[[#This Row],[Tech Start Date]],5),""))))</f>
        <v/>
      </c>
      <c r="P152" s="104" t="str">
        <f>IF(Main[[#This Row],[Tech Start Date]]&lt;1/1/1990,"",IF(Main[[#This Row],[Class]]="C",WORKDAY(Main[[#This Row],[Tech Start Date]],28),IF(Main[[#This Row],[Class]]="B", WORKDAY(Main[[#This Row],[Tech Start Date]],19),IF(Main[[#This Row],[Class]]="A",WORKDAY(Main[[#This Row],[Tech Start Date]],9),""))))</f>
        <v/>
      </c>
      <c r="Q152" s="101"/>
      <c r="R152" s="101"/>
      <c r="S152" s="99" t="s">
        <v>6</v>
      </c>
      <c r="T152" s="107" t="s">
        <v>4</v>
      </c>
      <c r="U152" s="99" t="s">
        <v>14</v>
      </c>
      <c r="V152" s="99" t="s">
        <v>1963</v>
      </c>
      <c r="W152" s="99" t="s">
        <v>1966</v>
      </c>
    </row>
    <row r="153" spans="1:23" ht="18.600000000000001" customHeight="1">
      <c r="A153" s="123" t="str">
        <f>IF(priority(Main[[#This Row],[Comments]])&lt;&gt;0, priority(Main[[#This Row],[Comments]]),"")</f>
        <v/>
      </c>
      <c r="B153" s="127" t="s">
        <v>1913</v>
      </c>
      <c r="C153" s="99" t="s">
        <v>4</v>
      </c>
      <c r="D153" s="100" t="s">
        <v>2632</v>
      </c>
      <c r="E153" s="101">
        <v>40352.443437499998</v>
      </c>
      <c r="F153" s="101"/>
      <c r="G153" s="102" t="str">
        <f>IF(stdProdLT(Main[[#This Row],[Comments]])=0.1,"N/A",IF(stdProdLT(Main[[#This Row],[Comments]])=0,"",stdProdLT(Main[[#This Row],[Comments]])))</f>
        <v/>
      </c>
      <c r="H153" s="103" t="str">
        <f>IF(AND(Main[[#This Row],[In Stock Date]]&lt;&gt;"",Main[[#This Row],[Revised Due Date]]&lt;&gt;""),Main[[#This Row],[In Stock Date]]-Main[[#This Row],[Revised Due Date]],"")</f>
        <v/>
      </c>
      <c r="I153" s="99" t="s">
        <v>719</v>
      </c>
      <c r="J153" s="99" t="s">
        <v>28</v>
      </c>
      <c r="K153" s="99" t="s">
        <v>1974</v>
      </c>
      <c r="L153" s="101"/>
      <c r="M153" s="104" t="str">
        <f>IF(Main[[#This Row],[Tech Start Date]]&lt;1/1/1990,"",IF(Main[[#This Row],[Class]]="C",WORKDAY(Main[[#This Row],[Tech Start Date]],9),IF(Main[[#This Row],[Class]]="B", WORKDAY(Main[[#This Row],[Tech Start Date]],6),IF(Main[[#This Row],[Class]]="A",WORKDAY(Main[[#This Row],[Tech Start Date]],2),""))))</f>
        <v/>
      </c>
      <c r="N153" s="104" t="str">
        <f>IF(Main[[#This Row],[Tech Start Date]]&lt;1/1/1990,"",IF(Main[[#This Row],[Class]]="C",WORKDAY(Main[[#This Row],[Tech Start Date]],19),IF(Main[[#This Row],[Class]]="B", WORKDAY(Main[[#This Row],[Tech Start Date]],12),IF(Main[[#This Row],[Class]]="A",WORKDAY(Main[[#This Row],[Tech Start Date]],4),""))))</f>
        <v/>
      </c>
      <c r="O153" s="104" t="str">
        <f>IF(Main[[#This Row],[Tech Start Date]]&lt;1/1/1990,"",IF(Main[[#This Row],[Class]]="C",WORKDAY(Main[[#This Row],[Tech Start Date]],23),IF(Main[[#This Row],[Class]]="B", WORKDAY(Main[[#This Row],[Tech Start Date]],15),IF(Main[[#This Row],[Class]]="A",WORKDAY(Main[[#This Row],[Tech Start Date]],5),""))))</f>
        <v/>
      </c>
      <c r="P153" s="104" t="str">
        <f>IF(Main[[#This Row],[Tech Start Date]]&lt;1/1/1990,"",IF(Main[[#This Row],[Class]]="C",WORKDAY(Main[[#This Row],[Tech Start Date]],28),IF(Main[[#This Row],[Class]]="B", WORKDAY(Main[[#This Row],[Tech Start Date]],19),IF(Main[[#This Row],[Class]]="A",WORKDAY(Main[[#This Row],[Tech Start Date]],9),""))))</f>
        <v/>
      </c>
      <c r="Q153" s="101">
        <v>40633</v>
      </c>
      <c r="R153" s="101">
        <v>41060</v>
      </c>
      <c r="S153" s="99" t="s">
        <v>17</v>
      </c>
      <c r="T153" s="107" t="s">
        <v>2633</v>
      </c>
      <c r="U153" s="99" t="s">
        <v>29</v>
      </c>
      <c r="V153" s="99" t="s">
        <v>1962</v>
      </c>
      <c r="W153" s="99" t="s">
        <v>1967</v>
      </c>
    </row>
    <row r="154" spans="1:23" ht="18.600000000000001" customHeight="1">
      <c r="A154" s="123" t="str">
        <f>IF(priority(Main[[#This Row],[Comments]])&lt;&gt;0, priority(Main[[#This Row],[Comments]]),"")</f>
        <v/>
      </c>
      <c r="B154" s="127" t="s">
        <v>2410</v>
      </c>
      <c r="C154" s="99" t="s">
        <v>4</v>
      </c>
      <c r="D154" s="100" t="s">
        <v>2411</v>
      </c>
      <c r="E154" s="101">
        <v>40828.669305555559</v>
      </c>
      <c r="F154" s="101"/>
      <c r="G154" s="102" t="str">
        <f>IF(stdProdLT(Main[[#This Row],[Comments]])=0.1,"N/A",IF(stdProdLT(Main[[#This Row],[Comments]])=0,"",stdProdLT(Main[[#This Row],[Comments]])))</f>
        <v/>
      </c>
      <c r="H154" s="103" t="str">
        <f>IF(AND(Main[[#This Row],[In Stock Date]]&lt;&gt;"",Main[[#This Row],[Revised Due Date]]&lt;&gt;""),Main[[#This Row],[In Stock Date]]-Main[[#This Row],[Revised Due Date]],"")</f>
        <v/>
      </c>
      <c r="I154" s="99" t="s">
        <v>4</v>
      </c>
      <c r="J154" s="99" t="s">
        <v>4</v>
      </c>
      <c r="K154" s="99" t="s">
        <v>4</v>
      </c>
      <c r="L154" s="101"/>
      <c r="M154" s="104" t="str">
        <f>IF(Main[[#This Row],[Tech Start Date]]&lt;1/1/1990,"",IF(Main[[#This Row],[Class]]="C",WORKDAY(Main[[#This Row],[Tech Start Date]],9),IF(Main[[#This Row],[Class]]="B", WORKDAY(Main[[#This Row],[Tech Start Date]],6),IF(Main[[#This Row],[Class]]="A",WORKDAY(Main[[#This Row],[Tech Start Date]],2),""))))</f>
        <v/>
      </c>
      <c r="N154" s="104" t="str">
        <f>IF(Main[[#This Row],[Tech Start Date]]&lt;1/1/1990,"",IF(Main[[#This Row],[Class]]="C",WORKDAY(Main[[#This Row],[Tech Start Date]],19),IF(Main[[#This Row],[Class]]="B", WORKDAY(Main[[#This Row],[Tech Start Date]],12),IF(Main[[#This Row],[Class]]="A",WORKDAY(Main[[#This Row],[Tech Start Date]],4),""))))</f>
        <v/>
      </c>
      <c r="O154" s="104" t="str">
        <f>IF(Main[[#This Row],[Tech Start Date]]&lt;1/1/1990,"",IF(Main[[#This Row],[Class]]="C",WORKDAY(Main[[#This Row],[Tech Start Date]],23),IF(Main[[#This Row],[Class]]="B", WORKDAY(Main[[#This Row],[Tech Start Date]],15),IF(Main[[#This Row],[Class]]="A",WORKDAY(Main[[#This Row],[Tech Start Date]],5),""))))</f>
        <v/>
      </c>
      <c r="P154" s="104" t="str">
        <f>IF(Main[[#This Row],[Tech Start Date]]&lt;1/1/1990,"",IF(Main[[#This Row],[Class]]="C",WORKDAY(Main[[#This Row],[Tech Start Date]],28),IF(Main[[#This Row],[Class]]="B", WORKDAY(Main[[#This Row],[Tech Start Date]],19),IF(Main[[#This Row],[Class]]="A",WORKDAY(Main[[#This Row],[Tech Start Date]],9),""))))</f>
        <v/>
      </c>
      <c r="Q154" s="101"/>
      <c r="R154" s="101"/>
      <c r="S154" s="99" t="s">
        <v>6</v>
      </c>
      <c r="T154" s="107" t="s">
        <v>4</v>
      </c>
      <c r="U154" s="99" t="s">
        <v>29</v>
      </c>
      <c r="V154" s="99" t="s">
        <v>1962</v>
      </c>
      <c r="W154" s="99" t="s">
        <v>1966</v>
      </c>
    </row>
    <row r="155" spans="1:23" ht="18.600000000000001" customHeight="1">
      <c r="A155" s="123" t="str">
        <f>IF(priority(Main[[#This Row],[Comments]])&lt;&gt;0, priority(Main[[#This Row],[Comments]]),"")</f>
        <v/>
      </c>
      <c r="B155" s="127" t="s">
        <v>1046</v>
      </c>
      <c r="C155" s="99" t="s">
        <v>26</v>
      </c>
      <c r="D155" s="100" t="s">
        <v>27</v>
      </c>
      <c r="E155" s="101"/>
      <c r="F155" s="101">
        <v>40563</v>
      </c>
      <c r="G155" s="102" t="str">
        <f>IF(stdProdLT(Main[[#This Row],[Comments]])=0.1,"N/A",IF(stdProdLT(Main[[#This Row],[Comments]])=0,"",stdProdLT(Main[[#This Row],[Comments]])))</f>
        <v/>
      </c>
      <c r="H155" s="103" t="str">
        <f>IF(AND(Main[[#This Row],[In Stock Date]]&lt;&gt;"",Main[[#This Row],[Revised Due Date]]&lt;&gt;""),Main[[#This Row],[In Stock Date]]-Main[[#This Row],[Revised Due Date]],"")</f>
        <v/>
      </c>
      <c r="I155" s="99" t="s">
        <v>4</v>
      </c>
      <c r="J155" s="99" t="s">
        <v>28</v>
      </c>
      <c r="K155" s="99" t="s">
        <v>1969</v>
      </c>
      <c r="L155" s="101"/>
      <c r="M155" s="104" t="str">
        <f>IF(Main[[#This Row],[Tech Start Date]]&lt;1/1/1990,"",IF(Main[[#This Row],[Class]]="C",WORKDAY(Main[[#This Row],[Tech Start Date]],9),IF(Main[[#This Row],[Class]]="B", WORKDAY(Main[[#This Row],[Tech Start Date]],6),IF(Main[[#This Row],[Class]]="A",WORKDAY(Main[[#This Row],[Tech Start Date]],2),""))))</f>
        <v/>
      </c>
      <c r="N155" s="104" t="str">
        <f>IF(Main[[#This Row],[Tech Start Date]]&lt;1/1/1990,"",IF(Main[[#This Row],[Class]]="C",WORKDAY(Main[[#This Row],[Tech Start Date]],19),IF(Main[[#This Row],[Class]]="B", WORKDAY(Main[[#This Row],[Tech Start Date]],12),IF(Main[[#This Row],[Class]]="A",WORKDAY(Main[[#This Row],[Tech Start Date]],4),""))))</f>
        <v/>
      </c>
      <c r="O155" s="104" t="str">
        <f>IF(Main[[#This Row],[Tech Start Date]]&lt;1/1/1990,"",IF(Main[[#This Row],[Class]]="C",WORKDAY(Main[[#This Row],[Tech Start Date]],23),IF(Main[[#This Row],[Class]]="B", WORKDAY(Main[[#This Row],[Tech Start Date]],15),IF(Main[[#This Row],[Class]]="A",WORKDAY(Main[[#This Row],[Tech Start Date]],5),""))))</f>
        <v/>
      </c>
      <c r="P155" s="104" t="str">
        <f>IF(Main[[#This Row],[Tech Start Date]]&lt;1/1/1990,"",IF(Main[[#This Row],[Class]]="C",WORKDAY(Main[[#This Row],[Tech Start Date]],28),IF(Main[[#This Row],[Class]]="B", WORKDAY(Main[[#This Row],[Tech Start Date]],19),IF(Main[[#This Row],[Class]]="A",WORKDAY(Main[[#This Row],[Tech Start Date]],9),""))))</f>
        <v/>
      </c>
      <c r="Q155" s="101">
        <v>40563</v>
      </c>
      <c r="R155" s="101"/>
      <c r="S155" s="99" t="s">
        <v>11</v>
      </c>
      <c r="T155" s="107" t="s">
        <v>4</v>
      </c>
      <c r="U155" s="99" t="s">
        <v>14</v>
      </c>
      <c r="V155" s="99" t="s">
        <v>1963</v>
      </c>
      <c r="W155" s="99" t="s">
        <v>1964</v>
      </c>
    </row>
    <row r="156" spans="1:23" ht="18.600000000000001" customHeight="1">
      <c r="A156" s="123" t="str">
        <f>IF(priority(Main[[#This Row],[Comments]])&lt;&gt;0, priority(Main[[#This Row],[Comments]]),"")</f>
        <v/>
      </c>
      <c r="B156" s="127" t="s">
        <v>1982</v>
      </c>
      <c r="C156" s="99" t="s">
        <v>4</v>
      </c>
      <c r="D156" s="100" t="s">
        <v>1983</v>
      </c>
      <c r="E156" s="101"/>
      <c r="F156" s="101">
        <v>40309</v>
      </c>
      <c r="G156" s="102" t="str">
        <f>IF(stdProdLT(Main[[#This Row],[Comments]])=0.1,"N/A",IF(stdProdLT(Main[[#This Row],[Comments]])=0,"",stdProdLT(Main[[#This Row],[Comments]])))</f>
        <v/>
      </c>
      <c r="H156" s="103" t="str">
        <f>IF(AND(Main[[#This Row],[In Stock Date]]&lt;&gt;"",Main[[#This Row],[Revised Due Date]]&lt;&gt;""),Main[[#This Row],[In Stock Date]]-Main[[#This Row],[Revised Due Date]],"")</f>
        <v/>
      </c>
      <c r="I156" s="99" t="s">
        <v>4</v>
      </c>
      <c r="J156" s="99" t="s">
        <v>4</v>
      </c>
      <c r="K156" s="108" t="s">
        <v>4</v>
      </c>
      <c r="L156" s="101"/>
      <c r="M156" s="104" t="str">
        <f>IF(Main[[#This Row],[Tech Start Date]]&lt;1/1/1990,"",IF(Main[[#This Row],[Class]]="C",WORKDAY(Main[[#This Row],[Tech Start Date]],9),IF(Main[[#This Row],[Class]]="B", WORKDAY(Main[[#This Row],[Tech Start Date]],6),IF(Main[[#This Row],[Class]]="A",WORKDAY(Main[[#This Row],[Tech Start Date]],2),""))))</f>
        <v/>
      </c>
      <c r="N156" s="104" t="str">
        <f>IF(Main[[#This Row],[Tech Start Date]]&lt;1/1/1990,"",IF(Main[[#This Row],[Class]]="C",WORKDAY(Main[[#This Row],[Tech Start Date]],19),IF(Main[[#This Row],[Class]]="B", WORKDAY(Main[[#This Row],[Tech Start Date]],12),IF(Main[[#This Row],[Class]]="A",WORKDAY(Main[[#This Row],[Tech Start Date]],4),""))))</f>
        <v/>
      </c>
      <c r="O156" s="104" t="str">
        <f>IF(Main[[#This Row],[Tech Start Date]]&lt;1/1/1990,"",IF(Main[[#This Row],[Class]]="C",WORKDAY(Main[[#This Row],[Tech Start Date]],23),IF(Main[[#This Row],[Class]]="B", WORKDAY(Main[[#This Row],[Tech Start Date]],15),IF(Main[[#This Row],[Class]]="A",WORKDAY(Main[[#This Row],[Tech Start Date]],5),""))))</f>
        <v/>
      </c>
      <c r="P156" s="104" t="str">
        <f>IF(Main[[#This Row],[Tech Start Date]]&lt;1/1/1990,"",IF(Main[[#This Row],[Class]]="C",WORKDAY(Main[[#This Row],[Tech Start Date]],28),IF(Main[[#This Row],[Class]]="B", WORKDAY(Main[[#This Row],[Tech Start Date]],19),IF(Main[[#This Row],[Class]]="A",WORKDAY(Main[[#This Row],[Tech Start Date]],9),""))))</f>
        <v/>
      </c>
      <c r="Q156" s="101">
        <v>40305</v>
      </c>
      <c r="R156" s="101"/>
      <c r="S156" s="99" t="s">
        <v>6</v>
      </c>
      <c r="T156" s="107" t="s">
        <v>4</v>
      </c>
      <c r="U156" s="99" t="s">
        <v>14</v>
      </c>
      <c r="V156" s="99" t="s">
        <v>1962</v>
      </c>
      <c r="W156" s="99" t="s">
        <v>1970</v>
      </c>
    </row>
    <row r="157" spans="1:23" ht="18.600000000000001" customHeight="1">
      <c r="A157" s="123" t="str">
        <f>IF(priority(Main[[#This Row],[Comments]])&lt;&gt;0, priority(Main[[#This Row],[Comments]]),"")</f>
        <v/>
      </c>
      <c r="B157" s="127" t="s">
        <v>1047</v>
      </c>
      <c r="C157" s="99" t="s">
        <v>4</v>
      </c>
      <c r="D157" s="100" t="s">
        <v>1996</v>
      </c>
      <c r="E157" s="101">
        <v>40130.654374999998</v>
      </c>
      <c r="F157" s="101"/>
      <c r="G157" s="102" t="str">
        <f>IF(stdProdLT(Main[[#This Row],[Comments]])=0.1,"N/A",IF(stdProdLT(Main[[#This Row],[Comments]])=0,"",stdProdLT(Main[[#This Row],[Comments]])))</f>
        <v/>
      </c>
      <c r="H157" s="103" t="str">
        <f>IF(AND(Main[[#This Row],[In Stock Date]]&lt;&gt;"",Main[[#This Row],[Revised Due Date]]&lt;&gt;""),Main[[#This Row],[In Stock Date]]-Main[[#This Row],[Revised Due Date]],"")</f>
        <v/>
      </c>
      <c r="I157" s="99" t="s">
        <v>4</v>
      </c>
      <c r="J157" s="99" t="s">
        <v>4</v>
      </c>
      <c r="K157" s="99" t="s">
        <v>4</v>
      </c>
      <c r="L157" s="101"/>
      <c r="M157" s="104" t="str">
        <f>IF(Main[[#This Row],[Tech Start Date]]&lt;1/1/1990,"",IF(Main[[#This Row],[Class]]="C",WORKDAY(Main[[#This Row],[Tech Start Date]],9),IF(Main[[#This Row],[Class]]="B", WORKDAY(Main[[#This Row],[Tech Start Date]],6),IF(Main[[#This Row],[Class]]="A",WORKDAY(Main[[#This Row],[Tech Start Date]],2),""))))</f>
        <v/>
      </c>
      <c r="N157" s="104" t="str">
        <f>IF(Main[[#This Row],[Tech Start Date]]&lt;1/1/1990,"",IF(Main[[#This Row],[Class]]="C",WORKDAY(Main[[#This Row],[Tech Start Date]],19),IF(Main[[#This Row],[Class]]="B", WORKDAY(Main[[#This Row],[Tech Start Date]],12),IF(Main[[#This Row],[Class]]="A",WORKDAY(Main[[#This Row],[Tech Start Date]],4),""))))</f>
        <v/>
      </c>
      <c r="O157" s="104" t="str">
        <f>IF(Main[[#This Row],[Tech Start Date]]&lt;1/1/1990,"",IF(Main[[#This Row],[Class]]="C",WORKDAY(Main[[#This Row],[Tech Start Date]],23),IF(Main[[#This Row],[Class]]="B", WORKDAY(Main[[#This Row],[Tech Start Date]],15),IF(Main[[#This Row],[Class]]="A",WORKDAY(Main[[#This Row],[Tech Start Date]],5),""))))</f>
        <v/>
      </c>
      <c r="P157" s="104" t="str">
        <f>IF(Main[[#This Row],[Tech Start Date]]&lt;1/1/1990,"",IF(Main[[#This Row],[Class]]="C",WORKDAY(Main[[#This Row],[Tech Start Date]],28),IF(Main[[#This Row],[Class]]="B", WORKDAY(Main[[#This Row],[Tech Start Date]],19),IF(Main[[#This Row],[Class]]="A",WORKDAY(Main[[#This Row],[Tech Start Date]],9),""))))</f>
        <v/>
      </c>
      <c r="Q157" s="101"/>
      <c r="R157" s="101"/>
      <c r="S157" s="99" t="s">
        <v>6</v>
      </c>
      <c r="T157" s="107" t="s">
        <v>4</v>
      </c>
      <c r="U157" s="99" t="s">
        <v>29</v>
      </c>
      <c r="V157" s="99" t="s">
        <v>1962</v>
      </c>
      <c r="W157" s="99" t="s">
        <v>1970</v>
      </c>
    </row>
    <row r="158" spans="1:23" ht="18.600000000000001" customHeight="1">
      <c r="A158" s="123" t="str">
        <f>IF(priority(Main[[#This Row],[Comments]])&lt;&gt;0, priority(Main[[#This Row],[Comments]]),"")</f>
        <v/>
      </c>
      <c r="B158" s="127" t="s">
        <v>1049</v>
      </c>
      <c r="C158" s="99" t="s">
        <v>31</v>
      </c>
      <c r="D158" s="100" t="s">
        <v>32</v>
      </c>
      <c r="E158" s="101"/>
      <c r="F158" s="101">
        <v>40634</v>
      </c>
      <c r="G158" s="102" t="str">
        <f>IF(stdProdLT(Main[[#This Row],[Comments]])=0.1,"N/A",IF(stdProdLT(Main[[#This Row],[Comments]])=0,"",stdProdLT(Main[[#This Row],[Comments]])))</f>
        <v/>
      </c>
      <c r="H158" s="103" t="str">
        <f>IF(AND(Main[[#This Row],[In Stock Date]]&lt;&gt;"",Main[[#This Row],[Revised Due Date]]&lt;&gt;""),Main[[#This Row],[In Stock Date]]-Main[[#This Row],[Revised Due Date]],"")</f>
        <v/>
      </c>
      <c r="I158" s="99" t="s">
        <v>4</v>
      </c>
      <c r="J158" s="99" t="s">
        <v>4</v>
      </c>
      <c r="K158" s="99" t="s">
        <v>4</v>
      </c>
      <c r="L158" s="101"/>
      <c r="M158" s="104" t="str">
        <f>IF(Main[[#This Row],[Tech Start Date]]&lt;1/1/1990,"",IF(Main[[#This Row],[Class]]="C",WORKDAY(Main[[#This Row],[Tech Start Date]],9),IF(Main[[#This Row],[Class]]="B", WORKDAY(Main[[#This Row],[Tech Start Date]],6),IF(Main[[#This Row],[Class]]="A",WORKDAY(Main[[#This Row],[Tech Start Date]],2),""))))</f>
        <v/>
      </c>
      <c r="N158" s="104" t="str">
        <f>IF(Main[[#This Row],[Tech Start Date]]&lt;1/1/1990,"",IF(Main[[#This Row],[Class]]="C",WORKDAY(Main[[#This Row],[Tech Start Date]],19),IF(Main[[#This Row],[Class]]="B", WORKDAY(Main[[#This Row],[Tech Start Date]],12),IF(Main[[#This Row],[Class]]="A",WORKDAY(Main[[#This Row],[Tech Start Date]],4),""))))</f>
        <v/>
      </c>
      <c r="O158" s="104" t="str">
        <f>IF(Main[[#This Row],[Tech Start Date]]&lt;1/1/1990,"",IF(Main[[#This Row],[Class]]="C",WORKDAY(Main[[#This Row],[Tech Start Date]],23),IF(Main[[#This Row],[Class]]="B", WORKDAY(Main[[#This Row],[Tech Start Date]],15),IF(Main[[#This Row],[Class]]="A",WORKDAY(Main[[#This Row],[Tech Start Date]],5),""))))</f>
        <v/>
      </c>
      <c r="P158" s="104" t="str">
        <f>IF(Main[[#This Row],[Tech Start Date]]&lt;1/1/1990,"",IF(Main[[#This Row],[Class]]="C",WORKDAY(Main[[#This Row],[Tech Start Date]],28),IF(Main[[#This Row],[Class]]="B", WORKDAY(Main[[#This Row],[Tech Start Date]],19),IF(Main[[#This Row],[Class]]="A",WORKDAY(Main[[#This Row],[Tech Start Date]],9),""))))</f>
        <v/>
      </c>
      <c r="Q158" s="101"/>
      <c r="R158" s="101"/>
      <c r="S158" s="99" t="s">
        <v>11</v>
      </c>
      <c r="T158" s="107" t="s">
        <v>4</v>
      </c>
      <c r="U158" s="99" t="s">
        <v>14</v>
      </c>
      <c r="V158" s="99" t="s">
        <v>1965</v>
      </c>
      <c r="W158" s="99" t="s">
        <v>1967</v>
      </c>
    </row>
    <row r="159" spans="1:23" ht="18.600000000000001" customHeight="1">
      <c r="A159" s="123" t="str">
        <f>IF(priority(Main[[#This Row],[Comments]])&lt;&gt;0, priority(Main[[#This Row],[Comments]]),"")</f>
        <v/>
      </c>
      <c r="B159" s="127" t="s">
        <v>1050</v>
      </c>
      <c r="C159" s="99" t="s">
        <v>33</v>
      </c>
      <c r="D159" s="100" t="s">
        <v>34</v>
      </c>
      <c r="E159" s="101"/>
      <c r="F159" s="101">
        <v>40764</v>
      </c>
      <c r="G159" s="102" t="str">
        <f>IF(stdProdLT(Main[[#This Row],[Comments]])=0.1,"N/A",IF(stdProdLT(Main[[#This Row],[Comments]])=0,"",stdProdLT(Main[[#This Row],[Comments]])))</f>
        <v/>
      </c>
      <c r="H159" s="103" t="str">
        <f>IF(AND(Main[[#This Row],[In Stock Date]]&lt;&gt;"",Main[[#This Row],[Revised Due Date]]&lt;&gt;""),Main[[#This Row],[In Stock Date]]-Main[[#This Row],[Revised Due Date]],"")</f>
        <v/>
      </c>
      <c r="I159" s="99" t="s">
        <v>4</v>
      </c>
      <c r="J159" s="99" t="s">
        <v>28</v>
      </c>
      <c r="K159" s="99" t="s">
        <v>1969</v>
      </c>
      <c r="L159" s="101"/>
      <c r="M159" s="104" t="str">
        <f>IF(Main[[#This Row],[Tech Start Date]]&lt;1/1/1990,"",IF(Main[[#This Row],[Class]]="C",WORKDAY(Main[[#This Row],[Tech Start Date]],9),IF(Main[[#This Row],[Class]]="B", WORKDAY(Main[[#This Row],[Tech Start Date]],6),IF(Main[[#This Row],[Class]]="A",WORKDAY(Main[[#This Row],[Tech Start Date]],2),""))))</f>
        <v/>
      </c>
      <c r="N159" s="104" t="str">
        <f>IF(Main[[#This Row],[Tech Start Date]]&lt;1/1/1990,"",IF(Main[[#This Row],[Class]]="C",WORKDAY(Main[[#This Row],[Tech Start Date]],19),IF(Main[[#This Row],[Class]]="B", WORKDAY(Main[[#This Row],[Tech Start Date]],12),IF(Main[[#This Row],[Class]]="A",WORKDAY(Main[[#This Row],[Tech Start Date]],4),""))))</f>
        <v/>
      </c>
      <c r="O159" s="104" t="str">
        <f>IF(Main[[#This Row],[Tech Start Date]]&lt;1/1/1990,"",IF(Main[[#This Row],[Class]]="C",WORKDAY(Main[[#This Row],[Tech Start Date]],23),IF(Main[[#This Row],[Class]]="B", WORKDAY(Main[[#This Row],[Tech Start Date]],15),IF(Main[[#This Row],[Class]]="A",WORKDAY(Main[[#This Row],[Tech Start Date]],5),""))))</f>
        <v/>
      </c>
      <c r="P159" s="104" t="str">
        <f>IF(Main[[#This Row],[Tech Start Date]]&lt;1/1/1990,"",IF(Main[[#This Row],[Class]]="C",WORKDAY(Main[[#This Row],[Tech Start Date]],28),IF(Main[[#This Row],[Class]]="B", WORKDAY(Main[[#This Row],[Tech Start Date]],19),IF(Main[[#This Row],[Class]]="A",WORKDAY(Main[[#This Row],[Tech Start Date]],9),""))))</f>
        <v/>
      </c>
      <c r="Q159" s="101">
        <v>40568</v>
      </c>
      <c r="R159" s="101"/>
      <c r="S159" s="99" t="s">
        <v>11</v>
      </c>
      <c r="T159" s="107" t="s">
        <v>4</v>
      </c>
      <c r="U159" s="99" t="s">
        <v>14</v>
      </c>
      <c r="V159" s="99" t="s">
        <v>1962</v>
      </c>
      <c r="W159" s="99" t="s">
        <v>1970</v>
      </c>
    </row>
    <row r="160" spans="1:23" ht="18.600000000000001" customHeight="1">
      <c r="A160" s="123" t="str">
        <f>IF(priority(Main[[#This Row],[Comments]])&lt;&gt;0, priority(Main[[#This Row],[Comments]]),"")</f>
        <v/>
      </c>
      <c r="B160" s="127" t="s">
        <v>1984</v>
      </c>
      <c r="C160" s="99" t="s">
        <v>4</v>
      </c>
      <c r="D160" s="100" t="s">
        <v>35</v>
      </c>
      <c r="E160" s="101"/>
      <c r="F160" s="101"/>
      <c r="G160" s="102" t="str">
        <f>IF(stdProdLT(Main[[#This Row],[Comments]])=0.1,"N/A",IF(stdProdLT(Main[[#This Row],[Comments]])=0,"",stdProdLT(Main[[#This Row],[Comments]])))</f>
        <v/>
      </c>
      <c r="H160" s="103" t="str">
        <f>IF(AND(Main[[#This Row],[In Stock Date]]&lt;&gt;"",Main[[#This Row],[Revised Due Date]]&lt;&gt;""),Main[[#This Row],[In Stock Date]]-Main[[#This Row],[Revised Due Date]],"")</f>
        <v/>
      </c>
      <c r="I160" s="99" t="s">
        <v>4</v>
      </c>
      <c r="J160" s="99" t="s">
        <v>4</v>
      </c>
      <c r="K160" s="99" t="s">
        <v>4</v>
      </c>
      <c r="L160" s="101"/>
      <c r="M160" s="104" t="str">
        <f>IF(Main[[#This Row],[Tech Start Date]]&lt;1/1/1990,"",IF(Main[[#This Row],[Class]]="C",WORKDAY(Main[[#This Row],[Tech Start Date]],9),IF(Main[[#This Row],[Class]]="B", WORKDAY(Main[[#This Row],[Tech Start Date]],6),IF(Main[[#This Row],[Class]]="A",WORKDAY(Main[[#This Row],[Tech Start Date]],2),""))))</f>
        <v/>
      </c>
      <c r="N160" s="104" t="str">
        <f>IF(Main[[#This Row],[Tech Start Date]]&lt;1/1/1990,"",IF(Main[[#This Row],[Class]]="C",WORKDAY(Main[[#This Row],[Tech Start Date]],19),IF(Main[[#This Row],[Class]]="B", WORKDAY(Main[[#This Row],[Tech Start Date]],12),IF(Main[[#This Row],[Class]]="A",WORKDAY(Main[[#This Row],[Tech Start Date]],4),""))))</f>
        <v/>
      </c>
      <c r="O160" s="104" t="str">
        <f>IF(Main[[#This Row],[Tech Start Date]]&lt;1/1/1990,"",IF(Main[[#This Row],[Class]]="C",WORKDAY(Main[[#This Row],[Tech Start Date]],23),IF(Main[[#This Row],[Class]]="B", WORKDAY(Main[[#This Row],[Tech Start Date]],15),IF(Main[[#This Row],[Class]]="A",WORKDAY(Main[[#This Row],[Tech Start Date]],5),""))))</f>
        <v/>
      </c>
      <c r="P160" s="104" t="str">
        <f>IF(Main[[#This Row],[Tech Start Date]]&lt;1/1/1990,"",IF(Main[[#This Row],[Class]]="C",WORKDAY(Main[[#This Row],[Tech Start Date]],28),IF(Main[[#This Row],[Class]]="B", WORKDAY(Main[[#This Row],[Tech Start Date]],19),IF(Main[[#This Row],[Class]]="A",WORKDAY(Main[[#This Row],[Tech Start Date]],9),""))))</f>
        <v/>
      </c>
      <c r="Q160" s="101"/>
      <c r="R160" s="101"/>
      <c r="S160" s="99" t="s">
        <v>23</v>
      </c>
      <c r="T160" s="107" t="s">
        <v>4</v>
      </c>
      <c r="U160" s="99" t="s">
        <v>14</v>
      </c>
      <c r="V160" s="99" t="s">
        <v>1972</v>
      </c>
      <c r="W160" s="99" t="s">
        <v>1966</v>
      </c>
    </row>
    <row r="161" spans="1:23" ht="18.600000000000001" customHeight="1">
      <c r="A161" s="123" t="str">
        <f>IF(priority(Main[[#This Row],[Comments]])&lt;&gt;0, priority(Main[[#This Row],[Comments]]),"")</f>
        <v/>
      </c>
      <c r="B161" s="127" t="s">
        <v>1051</v>
      </c>
      <c r="C161" s="99" t="s">
        <v>4</v>
      </c>
      <c r="D161" s="100" t="s">
        <v>36</v>
      </c>
      <c r="E161" s="101"/>
      <c r="F161" s="101"/>
      <c r="G161" s="102" t="str">
        <f>IF(stdProdLT(Main[[#This Row],[Comments]])=0.1,"N/A",IF(stdProdLT(Main[[#This Row],[Comments]])=0,"",stdProdLT(Main[[#This Row],[Comments]])))</f>
        <v/>
      </c>
      <c r="H161" s="103" t="str">
        <f>IF(AND(Main[[#This Row],[In Stock Date]]&lt;&gt;"",Main[[#This Row],[Revised Due Date]]&lt;&gt;""),Main[[#This Row],[In Stock Date]]-Main[[#This Row],[Revised Due Date]],"")</f>
        <v/>
      </c>
      <c r="I161" s="99" t="s">
        <v>4</v>
      </c>
      <c r="J161" s="99" t="s">
        <v>4</v>
      </c>
      <c r="K161" s="99" t="s">
        <v>4</v>
      </c>
      <c r="L161" s="101"/>
      <c r="M161" s="104" t="str">
        <f>IF(Main[[#This Row],[Tech Start Date]]&lt;1/1/1990,"",IF(Main[[#This Row],[Class]]="C",WORKDAY(Main[[#This Row],[Tech Start Date]],9),IF(Main[[#This Row],[Class]]="B", WORKDAY(Main[[#This Row],[Tech Start Date]],6),IF(Main[[#This Row],[Class]]="A",WORKDAY(Main[[#This Row],[Tech Start Date]],2),""))))</f>
        <v/>
      </c>
      <c r="N161" s="104" t="str">
        <f>IF(Main[[#This Row],[Tech Start Date]]&lt;1/1/1990,"",IF(Main[[#This Row],[Class]]="C",WORKDAY(Main[[#This Row],[Tech Start Date]],19),IF(Main[[#This Row],[Class]]="B", WORKDAY(Main[[#This Row],[Tech Start Date]],12),IF(Main[[#This Row],[Class]]="A",WORKDAY(Main[[#This Row],[Tech Start Date]],4),""))))</f>
        <v/>
      </c>
      <c r="O161" s="104" t="str">
        <f>IF(Main[[#This Row],[Tech Start Date]]&lt;1/1/1990,"",IF(Main[[#This Row],[Class]]="C",WORKDAY(Main[[#This Row],[Tech Start Date]],23),IF(Main[[#This Row],[Class]]="B", WORKDAY(Main[[#This Row],[Tech Start Date]],15),IF(Main[[#This Row],[Class]]="A",WORKDAY(Main[[#This Row],[Tech Start Date]],5),""))))</f>
        <v/>
      </c>
      <c r="P161" s="104" t="str">
        <f>IF(Main[[#This Row],[Tech Start Date]]&lt;1/1/1990,"",IF(Main[[#This Row],[Class]]="C",WORKDAY(Main[[#This Row],[Tech Start Date]],28),IF(Main[[#This Row],[Class]]="B", WORKDAY(Main[[#This Row],[Tech Start Date]],19),IF(Main[[#This Row],[Class]]="A",WORKDAY(Main[[#This Row],[Tech Start Date]],9),""))))</f>
        <v/>
      </c>
      <c r="Q161" s="101">
        <v>40781</v>
      </c>
      <c r="R161" s="101"/>
      <c r="S161" s="99" t="s">
        <v>11</v>
      </c>
      <c r="T161" s="107" t="s">
        <v>4</v>
      </c>
      <c r="U161" s="99" t="s">
        <v>14</v>
      </c>
      <c r="V161" s="99" t="s">
        <v>1962</v>
      </c>
      <c r="W161" s="99" t="s">
        <v>1966</v>
      </c>
    </row>
    <row r="162" spans="1:23" ht="18.600000000000001" customHeight="1">
      <c r="A162" s="123" t="str">
        <f>IF(priority(Main[[#This Row],[Comments]])&lt;&gt;0, priority(Main[[#This Row],[Comments]]),"")</f>
        <v/>
      </c>
      <c r="B162" s="127" t="s">
        <v>1052</v>
      </c>
      <c r="C162" s="99" t="s">
        <v>26</v>
      </c>
      <c r="D162" s="100" t="s">
        <v>38</v>
      </c>
      <c r="E162" s="101"/>
      <c r="F162" s="101">
        <v>40743</v>
      </c>
      <c r="G162" s="102" t="str">
        <f>IF(stdProdLT(Main[[#This Row],[Comments]])=0.1,"N/A",IF(stdProdLT(Main[[#This Row],[Comments]])=0,"",stdProdLT(Main[[#This Row],[Comments]])))</f>
        <v/>
      </c>
      <c r="H162" s="103" t="str">
        <f>IF(AND(Main[[#This Row],[In Stock Date]]&lt;&gt;"",Main[[#This Row],[Revised Due Date]]&lt;&gt;""),Main[[#This Row],[In Stock Date]]-Main[[#This Row],[Revised Due Date]],"")</f>
        <v/>
      </c>
      <c r="I162" s="99" t="s">
        <v>4</v>
      </c>
      <c r="J162" s="99" t="s">
        <v>28</v>
      </c>
      <c r="K162" s="99" t="s">
        <v>4</v>
      </c>
      <c r="L162" s="101"/>
      <c r="M162" s="104" t="str">
        <f>IF(Main[[#This Row],[Tech Start Date]]&lt;1/1/1990,"",IF(Main[[#This Row],[Class]]="C",WORKDAY(Main[[#This Row],[Tech Start Date]],9),IF(Main[[#This Row],[Class]]="B", WORKDAY(Main[[#This Row],[Tech Start Date]],6),IF(Main[[#This Row],[Class]]="A",WORKDAY(Main[[#This Row],[Tech Start Date]],2),""))))</f>
        <v/>
      </c>
      <c r="N162" s="104" t="str">
        <f>IF(Main[[#This Row],[Tech Start Date]]&lt;1/1/1990,"",IF(Main[[#This Row],[Class]]="C",WORKDAY(Main[[#This Row],[Tech Start Date]],19),IF(Main[[#This Row],[Class]]="B", WORKDAY(Main[[#This Row],[Tech Start Date]],12),IF(Main[[#This Row],[Class]]="A",WORKDAY(Main[[#This Row],[Tech Start Date]],4),""))))</f>
        <v/>
      </c>
      <c r="O162" s="104" t="str">
        <f>IF(Main[[#This Row],[Tech Start Date]]&lt;1/1/1990,"",IF(Main[[#This Row],[Class]]="C",WORKDAY(Main[[#This Row],[Tech Start Date]],23),IF(Main[[#This Row],[Class]]="B", WORKDAY(Main[[#This Row],[Tech Start Date]],15),IF(Main[[#This Row],[Class]]="A",WORKDAY(Main[[#This Row],[Tech Start Date]],5),""))))</f>
        <v/>
      </c>
      <c r="P162" s="104" t="str">
        <f>IF(Main[[#This Row],[Tech Start Date]]&lt;1/1/1990,"",IF(Main[[#This Row],[Class]]="C",WORKDAY(Main[[#This Row],[Tech Start Date]],28),IF(Main[[#This Row],[Class]]="B", WORKDAY(Main[[#This Row],[Tech Start Date]],19),IF(Main[[#This Row],[Class]]="A",WORKDAY(Main[[#This Row],[Tech Start Date]],9),""))))</f>
        <v/>
      </c>
      <c r="Q162" s="101">
        <v>40638</v>
      </c>
      <c r="R162" s="101"/>
      <c r="S162" s="99" t="s">
        <v>11</v>
      </c>
      <c r="T162" s="107" t="s">
        <v>4</v>
      </c>
      <c r="U162" s="99" t="s">
        <v>12</v>
      </c>
      <c r="V162" s="99" t="s">
        <v>1962</v>
      </c>
      <c r="W162" s="99" t="s">
        <v>1970</v>
      </c>
    </row>
    <row r="163" spans="1:23" ht="18.600000000000001" customHeight="1">
      <c r="A163" s="123" t="str">
        <f>IF(priority(Main[[#This Row],[Comments]])&lt;&gt;0, priority(Main[[#This Row],[Comments]]),"")</f>
        <v/>
      </c>
      <c r="B163" s="127" t="s">
        <v>1053</v>
      </c>
      <c r="C163" s="99" t="s">
        <v>4</v>
      </c>
      <c r="D163" s="100" t="s">
        <v>39</v>
      </c>
      <c r="E163" s="101"/>
      <c r="F163" s="101"/>
      <c r="G163" s="102" t="str">
        <f>IF(stdProdLT(Main[[#This Row],[Comments]])=0.1,"N/A",IF(stdProdLT(Main[[#This Row],[Comments]])=0,"",stdProdLT(Main[[#This Row],[Comments]])))</f>
        <v/>
      </c>
      <c r="H163" s="103" t="str">
        <f>IF(AND(Main[[#This Row],[In Stock Date]]&lt;&gt;"",Main[[#This Row],[Revised Due Date]]&lt;&gt;""),Main[[#This Row],[In Stock Date]]-Main[[#This Row],[Revised Due Date]],"")</f>
        <v/>
      </c>
      <c r="I163" s="99" t="s">
        <v>4</v>
      </c>
      <c r="J163" s="99" t="s">
        <v>4</v>
      </c>
      <c r="K163" s="99" t="s">
        <v>4</v>
      </c>
      <c r="L163" s="101"/>
      <c r="M163" s="104" t="str">
        <f>IF(Main[[#This Row],[Tech Start Date]]&lt;1/1/1990,"",IF(Main[[#This Row],[Class]]="C",WORKDAY(Main[[#This Row],[Tech Start Date]],9),IF(Main[[#This Row],[Class]]="B", WORKDAY(Main[[#This Row],[Tech Start Date]],6),IF(Main[[#This Row],[Class]]="A",WORKDAY(Main[[#This Row],[Tech Start Date]],2),""))))</f>
        <v/>
      </c>
      <c r="N163" s="104" t="str">
        <f>IF(Main[[#This Row],[Tech Start Date]]&lt;1/1/1990,"",IF(Main[[#This Row],[Class]]="C",WORKDAY(Main[[#This Row],[Tech Start Date]],19),IF(Main[[#This Row],[Class]]="B", WORKDAY(Main[[#This Row],[Tech Start Date]],12),IF(Main[[#This Row],[Class]]="A",WORKDAY(Main[[#This Row],[Tech Start Date]],4),""))))</f>
        <v/>
      </c>
      <c r="O163" s="104" t="str">
        <f>IF(Main[[#This Row],[Tech Start Date]]&lt;1/1/1990,"",IF(Main[[#This Row],[Class]]="C",WORKDAY(Main[[#This Row],[Tech Start Date]],23),IF(Main[[#This Row],[Class]]="B", WORKDAY(Main[[#This Row],[Tech Start Date]],15),IF(Main[[#This Row],[Class]]="A",WORKDAY(Main[[#This Row],[Tech Start Date]],5),""))))</f>
        <v/>
      </c>
      <c r="P163" s="104" t="str">
        <f>IF(Main[[#This Row],[Tech Start Date]]&lt;1/1/1990,"",IF(Main[[#This Row],[Class]]="C",WORKDAY(Main[[#This Row],[Tech Start Date]],28),IF(Main[[#This Row],[Class]]="B", WORKDAY(Main[[#This Row],[Tech Start Date]],19),IF(Main[[#This Row],[Class]]="A",WORKDAY(Main[[#This Row],[Tech Start Date]],9),""))))</f>
        <v/>
      </c>
      <c r="Q163" s="101">
        <v>40669</v>
      </c>
      <c r="R163" s="101"/>
      <c r="S163" s="99" t="s">
        <v>6</v>
      </c>
      <c r="T163" s="107" t="s">
        <v>4</v>
      </c>
      <c r="U163" s="99" t="s">
        <v>14</v>
      </c>
      <c r="V163" s="99" t="s">
        <v>1965</v>
      </c>
      <c r="W163" s="99" t="s">
        <v>4</v>
      </c>
    </row>
    <row r="164" spans="1:23" ht="18.600000000000001" customHeight="1">
      <c r="A164" s="123" t="str">
        <f>IF(priority(Main[[#This Row],[Comments]])&lt;&gt;0, priority(Main[[#This Row],[Comments]]),"")</f>
        <v/>
      </c>
      <c r="B164" s="127" t="s">
        <v>1054</v>
      </c>
      <c r="C164" s="99" t="s">
        <v>4</v>
      </c>
      <c r="D164" s="100" t="s">
        <v>40</v>
      </c>
      <c r="E164" s="101"/>
      <c r="F164" s="101"/>
      <c r="G164" s="102" t="str">
        <f>IF(stdProdLT(Main[[#This Row],[Comments]])=0.1,"N/A",IF(stdProdLT(Main[[#This Row],[Comments]])=0,"",stdProdLT(Main[[#This Row],[Comments]])))</f>
        <v/>
      </c>
      <c r="H164" s="103" t="str">
        <f>IF(AND(Main[[#This Row],[In Stock Date]]&lt;&gt;"",Main[[#This Row],[Revised Due Date]]&lt;&gt;""),Main[[#This Row],[In Stock Date]]-Main[[#This Row],[Revised Due Date]],"")</f>
        <v/>
      </c>
      <c r="I164" s="99" t="s">
        <v>4</v>
      </c>
      <c r="J164" s="99" t="s">
        <v>4</v>
      </c>
      <c r="K164" s="99" t="s">
        <v>4</v>
      </c>
      <c r="L164" s="101"/>
      <c r="M164" s="104" t="str">
        <f>IF(Main[[#This Row],[Tech Start Date]]&lt;1/1/1990,"",IF(Main[[#This Row],[Class]]="C",WORKDAY(Main[[#This Row],[Tech Start Date]],9),IF(Main[[#This Row],[Class]]="B", WORKDAY(Main[[#This Row],[Tech Start Date]],6),IF(Main[[#This Row],[Class]]="A",WORKDAY(Main[[#This Row],[Tech Start Date]],2),""))))</f>
        <v/>
      </c>
      <c r="N164" s="104" t="str">
        <f>IF(Main[[#This Row],[Tech Start Date]]&lt;1/1/1990,"",IF(Main[[#This Row],[Class]]="C",WORKDAY(Main[[#This Row],[Tech Start Date]],19),IF(Main[[#This Row],[Class]]="B", WORKDAY(Main[[#This Row],[Tech Start Date]],12),IF(Main[[#This Row],[Class]]="A",WORKDAY(Main[[#This Row],[Tech Start Date]],4),""))))</f>
        <v/>
      </c>
      <c r="O164" s="104" t="str">
        <f>IF(Main[[#This Row],[Tech Start Date]]&lt;1/1/1990,"",IF(Main[[#This Row],[Class]]="C",WORKDAY(Main[[#This Row],[Tech Start Date]],23),IF(Main[[#This Row],[Class]]="B", WORKDAY(Main[[#This Row],[Tech Start Date]],15),IF(Main[[#This Row],[Class]]="A",WORKDAY(Main[[#This Row],[Tech Start Date]],5),""))))</f>
        <v/>
      </c>
      <c r="P164" s="104" t="str">
        <f>IF(Main[[#This Row],[Tech Start Date]]&lt;1/1/1990,"",IF(Main[[#This Row],[Class]]="C",WORKDAY(Main[[#This Row],[Tech Start Date]],28),IF(Main[[#This Row],[Class]]="B", WORKDAY(Main[[#This Row],[Tech Start Date]],19),IF(Main[[#This Row],[Class]]="A",WORKDAY(Main[[#This Row],[Tech Start Date]],9),""))))</f>
        <v/>
      </c>
      <c r="Q164" s="101">
        <v>40368</v>
      </c>
      <c r="R164" s="101"/>
      <c r="S164" s="99" t="s">
        <v>6</v>
      </c>
      <c r="T164" s="107" t="s">
        <v>4</v>
      </c>
      <c r="U164" s="99" t="s">
        <v>14</v>
      </c>
      <c r="V164" s="99" t="s">
        <v>1972</v>
      </c>
      <c r="W164" s="99" t="s">
        <v>1964</v>
      </c>
    </row>
    <row r="165" spans="1:23" ht="18.600000000000001" customHeight="1">
      <c r="A165" s="123" t="str">
        <f>IF(priority(Main[[#This Row],[Comments]])&lt;&gt;0, priority(Main[[#This Row],[Comments]]),"")</f>
        <v/>
      </c>
      <c r="B165" s="127" t="s">
        <v>1055</v>
      </c>
      <c r="C165" s="99" t="s">
        <v>33</v>
      </c>
      <c r="D165" s="100" t="s">
        <v>41</v>
      </c>
      <c r="E165" s="101"/>
      <c r="F165" s="101"/>
      <c r="G165" s="102" t="str">
        <f>IF(stdProdLT(Main[[#This Row],[Comments]])=0.1,"N/A",IF(stdProdLT(Main[[#This Row],[Comments]])=0,"",stdProdLT(Main[[#This Row],[Comments]])))</f>
        <v/>
      </c>
      <c r="H165" s="103" t="str">
        <f>IF(AND(Main[[#This Row],[In Stock Date]]&lt;&gt;"",Main[[#This Row],[Revised Due Date]]&lt;&gt;""),Main[[#This Row],[In Stock Date]]-Main[[#This Row],[Revised Due Date]],"")</f>
        <v/>
      </c>
      <c r="I165" s="99" t="s">
        <v>4</v>
      </c>
      <c r="J165" s="99" t="s">
        <v>4</v>
      </c>
      <c r="K165" s="108" t="s">
        <v>4</v>
      </c>
      <c r="L165" s="101"/>
      <c r="M165" s="104" t="str">
        <f>IF(Main[[#This Row],[Tech Start Date]]&lt;1/1/1990,"",IF(Main[[#This Row],[Class]]="C",WORKDAY(Main[[#This Row],[Tech Start Date]],9),IF(Main[[#This Row],[Class]]="B", WORKDAY(Main[[#This Row],[Tech Start Date]],6),IF(Main[[#This Row],[Class]]="A",WORKDAY(Main[[#This Row],[Tech Start Date]],2),""))))</f>
        <v/>
      </c>
      <c r="N165" s="104" t="str">
        <f>IF(Main[[#This Row],[Tech Start Date]]&lt;1/1/1990,"",IF(Main[[#This Row],[Class]]="C",WORKDAY(Main[[#This Row],[Tech Start Date]],19),IF(Main[[#This Row],[Class]]="B", WORKDAY(Main[[#This Row],[Tech Start Date]],12),IF(Main[[#This Row],[Class]]="A",WORKDAY(Main[[#This Row],[Tech Start Date]],4),""))))</f>
        <v/>
      </c>
      <c r="O165" s="104" t="str">
        <f>IF(Main[[#This Row],[Tech Start Date]]&lt;1/1/1990,"",IF(Main[[#This Row],[Class]]="C",WORKDAY(Main[[#This Row],[Tech Start Date]],23),IF(Main[[#This Row],[Class]]="B", WORKDAY(Main[[#This Row],[Tech Start Date]],15),IF(Main[[#This Row],[Class]]="A",WORKDAY(Main[[#This Row],[Tech Start Date]],5),""))))</f>
        <v/>
      </c>
      <c r="P165" s="104" t="str">
        <f>IF(Main[[#This Row],[Tech Start Date]]&lt;1/1/1990,"",IF(Main[[#This Row],[Class]]="C",WORKDAY(Main[[#This Row],[Tech Start Date]],28),IF(Main[[#This Row],[Class]]="B", WORKDAY(Main[[#This Row],[Tech Start Date]],19),IF(Main[[#This Row],[Class]]="A",WORKDAY(Main[[#This Row],[Tech Start Date]],9),""))))</f>
        <v/>
      </c>
      <c r="Q165" s="101"/>
      <c r="R165" s="101"/>
      <c r="S165" s="99" t="s">
        <v>11</v>
      </c>
      <c r="T165" s="107" t="s">
        <v>4</v>
      </c>
      <c r="U165" s="99" t="s">
        <v>14</v>
      </c>
      <c r="V165" s="99" t="s">
        <v>1963</v>
      </c>
      <c r="W165" s="99" t="s">
        <v>1970</v>
      </c>
    </row>
    <row r="166" spans="1:23" ht="18.600000000000001" customHeight="1">
      <c r="A166" s="123" t="str">
        <f>IF(priority(Main[[#This Row],[Comments]])&lt;&gt;0, priority(Main[[#This Row],[Comments]]),"")</f>
        <v/>
      </c>
      <c r="B166" s="127" t="s">
        <v>1056</v>
      </c>
      <c r="C166" s="99" t="s">
        <v>4</v>
      </c>
      <c r="D166" s="100" t="s">
        <v>43</v>
      </c>
      <c r="E166" s="101">
        <v>40500.605023148149</v>
      </c>
      <c r="F166" s="101"/>
      <c r="G166" s="102" t="str">
        <f>IF(stdProdLT(Main[[#This Row],[Comments]])=0.1,"N/A",IF(stdProdLT(Main[[#This Row],[Comments]])=0,"",stdProdLT(Main[[#This Row],[Comments]])))</f>
        <v/>
      </c>
      <c r="H166" s="103" t="str">
        <f>IF(AND(Main[[#This Row],[In Stock Date]]&lt;&gt;"",Main[[#This Row],[Revised Due Date]]&lt;&gt;""),Main[[#This Row],[In Stock Date]]-Main[[#This Row],[Revised Due Date]],"")</f>
        <v/>
      </c>
      <c r="I166" s="99" t="s">
        <v>4</v>
      </c>
      <c r="J166" s="99" t="s">
        <v>4</v>
      </c>
      <c r="K166" s="99" t="s">
        <v>4</v>
      </c>
      <c r="L166" s="101"/>
      <c r="M166" s="104" t="str">
        <f>IF(Main[[#This Row],[Tech Start Date]]&lt;1/1/1990,"",IF(Main[[#This Row],[Class]]="C",WORKDAY(Main[[#This Row],[Tech Start Date]],9),IF(Main[[#This Row],[Class]]="B", WORKDAY(Main[[#This Row],[Tech Start Date]],6),IF(Main[[#This Row],[Class]]="A",WORKDAY(Main[[#This Row],[Tech Start Date]],2),""))))</f>
        <v/>
      </c>
      <c r="N166" s="104" t="str">
        <f>IF(Main[[#This Row],[Tech Start Date]]&lt;1/1/1990,"",IF(Main[[#This Row],[Class]]="C",WORKDAY(Main[[#This Row],[Tech Start Date]],19),IF(Main[[#This Row],[Class]]="B", WORKDAY(Main[[#This Row],[Tech Start Date]],12),IF(Main[[#This Row],[Class]]="A",WORKDAY(Main[[#This Row],[Tech Start Date]],4),""))))</f>
        <v/>
      </c>
      <c r="O166" s="104" t="str">
        <f>IF(Main[[#This Row],[Tech Start Date]]&lt;1/1/1990,"",IF(Main[[#This Row],[Class]]="C",WORKDAY(Main[[#This Row],[Tech Start Date]],23),IF(Main[[#This Row],[Class]]="B", WORKDAY(Main[[#This Row],[Tech Start Date]],15),IF(Main[[#This Row],[Class]]="A",WORKDAY(Main[[#This Row],[Tech Start Date]],5),""))))</f>
        <v/>
      </c>
      <c r="P166" s="104" t="str">
        <f>IF(Main[[#This Row],[Tech Start Date]]&lt;1/1/1990,"",IF(Main[[#This Row],[Class]]="C",WORKDAY(Main[[#This Row],[Tech Start Date]],28),IF(Main[[#This Row],[Class]]="B", WORKDAY(Main[[#This Row],[Tech Start Date]],19),IF(Main[[#This Row],[Class]]="A",WORKDAY(Main[[#This Row],[Tech Start Date]],9),""))))</f>
        <v/>
      </c>
      <c r="Q166" s="101">
        <v>40519</v>
      </c>
      <c r="R166" s="101"/>
      <c r="S166" s="99" t="s">
        <v>4</v>
      </c>
      <c r="T166" s="107" t="s">
        <v>4</v>
      </c>
      <c r="U166" s="99" t="s">
        <v>7</v>
      </c>
      <c r="V166" s="99" t="s">
        <v>1962</v>
      </c>
      <c r="W166" s="99" t="s">
        <v>4</v>
      </c>
    </row>
    <row r="167" spans="1:23" ht="18.600000000000001" customHeight="1">
      <c r="A167" s="123" t="str">
        <f>IF(priority(Main[[#This Row],[Comments]])&lt;&gt;0, priority(Main[[#This Row],[Comments]]),"")</f>
        <v/>
      </c>
      <c r="B167" s="127" t="s">
        <v>1058</v>
      </c>
      <c r="C167" s="99" t="s">
        <v>4</v>
      </c>
      <c r="D167" s="100" t="s">
        <v>45</v>
      </c>
      <c r="E167" s="101">
        <v>40486.407523148147</v>
      </c>
      <c r="F167" s="101"/>
      <c r="G167" s="102" t="str">
        <f>IF(stdProdLT(Main[[#This Row],[Comments]])=0.1,"N/A",IF(stdProdLT(Main[[#This Row],[Comments]])=0,"",stdProdLT(Main[[#This Row],[Comments]])))</f>
        <v/>
      </c>
      <c r="H167" s="103" t="str">
        <f>IF(AND(Main[[#This Row],[In Stock Date]]&lt;&gt;"",Main[[#This Row],[Revised Due Date]]&lt;&gt;""),Main[[#This Row],[In Stock Date]]-Main[[#This Row],[Revised Due Date]],"")</f>
        <v/>
      </c>
      <c r="I167" s="99" t="s">
        <v>4</v>
      </c>
      <c r="J167" s="99" t="s">
        <v>4</v>
      </c>
      <c r="K167" s="108" t="s">
        <v>4</v>
      </c>
      <c r="L167" s="101"/>
      <c r="M167" s="104" t="str">
        <f>IF(Main[[#This Row],[Tech Start Date]]&lt;1/1/1990,"",IF(Main[[#This Row],[Class]]="C",WORKDAY(Main[[#This Row],[Tech Start Date]],9),IF(Main[[#This Row],[Class]]="B", WORKDAY(Main[[#This Row],[Tech Start Date]],6),IF(Main[[#This Row],[Class]]="A",WORKDAY(Main[[#This Row],[Tech Start Date]],2),""))))</f>
        <v/>
      </c>
      <c r="N167" s="104" t="str">
        <f>IF(Main[[#This Row],[Tech Start Date]]&lt;1/1/1990,"",IF(Main[[#This Row],[Class]]="C",WORKDAY(Main[[#This Row],[Tech Start Date]],19),IF(Main[[#This Row],[Class]]="B", WORKDAY(Main[[#This Row],[Tech Start Date]],12),IF(Main[[#This Row],[Class]]="A",WORKDAY(Main[[#This Row],[Tech Start Date]],4),""))))</f>
        <v/>
      </c>
      <c r="O167" s="104" t="str">
        <f>IF(Main[[#This Row],[Tech Start Date]]&lt;1/1/1990,"",IF(Main[[#This Row],[Class]]="C",WORKDAY(Main[[#This Row],[Tech Start Date]],23),IF(Main[[#This Row],[Class]]="B", WORKDAY(Main[[#This Row],[Tech Start Date]],15),IF(Main[[#This Row],[Class]]="A",WORKDAY(Main[[#This Row],[Tech Start Date]],5),""))))</f>
        <v/>
      </c>
      <c r="P167" s="104" t="str">
        <f>IF(Main[[#This Row],[Tech Start Date]]&lt;1/1/1990,"",IF(Main[[#This Row],[Class]]="C",WORKDAY(Main[[#This Row],[Tech Start Date]],28),IF(Main[[#This Row],[Class]]="B", WORKDAY(Main[[#This Row],[Tech Start Date]],19),IF(Main[[#This Row],[Class]]="A",WORKDAY(Main[[#This Row],[Tech Start Date]],9),""))))</f>
        <v/>
      </c>
      <c r="Q167" s="101">
        <v>40522</v>
      </c>
      <c r="R167" s="101"/>
      <c r="S167" s="99" t="s">
        <v>6</v>
      </c>
      <c r="T167" s="107" t="s">
        <v>4</v>
      </c>
      <c r="U167" s="99" t="s">
        <v>7</v>
      </c>
      <c r="V167" s="99" t="s">
        <v>1962</v>
      </c>
      <c r="W167" s="99" t="s">
        <v>4</v>
      </c>
    </row>
    <row r="168" spans="1:23" ht="18.600000000000001" customHeight="1">
      <c r="A168" s="123" t="str">
        <f>IF(priority(Main[[#This Row],[Comments]])&lt;&gt;0, priority(Main[[#This Row],[Comments]]),"")</f>
        <v/>
      </c>
      <c r="B168" s="127" t="s">
        <v>1060</v>
      </c>
      <c r="C168" s="99" t="s">
        <v>47</v>
      </c>
      <c r="D168" s="100" t="s">
        <v>48</v>
      </c>
      <c r="E168" s="101"/>
      <c r="F168" s="101"/>
      <c r="G168" s="102" t="str">
        <f>IF(stdProdLT(Main[[#This Row],[Comments]])=0.1,"N/A",IF(stdProdLT(Main[[#This Row],[Comments]])=0,"",stdProdLT(Main[[#This Row],[Comments]])))</f>
        <v/>
      </c>
      <c r="H168" s="103" t="str">
        <f>IF(AND(Main[[#This Row],[In Stock Date]]&lt;&gt;"",Main[[#This Row],[Revised Due Date]]&lt;&gt;""),Main[[#This Row],[In Stock Date]]-Main[[#This Row],[Revised Due Date]],"")</f>
        <v/>
      </c>
      <c r="I168" s="99" t="s">
        <v>4</v>
      </c>
      <c r="J168" s="99" t="s">
        <v>4</v>
      </c>
      <c r="K168" s="99" t="s">
        <v>4</v>
      </c>
      <c r="L168" s="101"/>
      <c r="M168" s="104" t="str">
        <f>IF(Main[[#This Row],[Tech Start Date]]&lt;1/1/1990,"",IF(Main[[#This Row],[Class]]="C",WORKDAY(Main[[#This Row],[Tech Start Date]],9),IF(Main[[#This Row],[Class]]="B", WORKDAY(Main[[#This Row],[Tech Start Date]],6),IF(Main[[#This Row],[Class]]="A",WORKDAY(Main[[#This Row],[Tech Start Date]],2),""))))</f>
        <v/>
      </c>
      <c r="N168" s="104" t="str">
        <f>IF(Main[[#This Row],[Tech Start Date]]&lt;1/1/1990,"",IF(Main[[#This Row],[Class]]="C",WORKDAY(Main[[#This Row],[Tech Start Date]],19),IF(Main[[#This Row],[Class]]="B", WORKDAY(Main[[#This Row],[Tech Start Date]],12),IF(Main[[#This Row],[Class]]="A",WORKDAY(Main[[#This Row],[Tech Start Date]],4),""))))</f>
        <v/>
      </c>
      <c r="O168" s="104" t="str">
        <f>IF(Main[[#This Row],[Tech Start Date]]&lt;1/1/1990,"",IF(Main[[#This Row],[Class]]="C",WORKDAY(Main[[#This Row],[Tech Start Date]],23),IF(Main[[#This Row],[Class]]="B", WORKDAY(Main[[#This Row],[Tech Start Date]],15),IF(Main[[#This Row],[Class]]="A",WORKDAY(Main[[#This Row],[Tech Start Date]],5),""))))</f>
        <v/>
      </c>
      <c r="P168" s="104" t="str">
        <f>IF(Main[[#This Row],[Tech Start Date]]&lt;1/1/1990,"",IF(Main[[#This Row],[Class]]="C",WORKDAY(Main[[#This Row],[Tech Start Date]],28),IF(Main[[#This Row],[Class]]="B", WORKDAY(Main[[#This Row],[Tech Start Date]],19),IF(Main[[#This Row],[Class]]="A",WORKDAY(Main[[#This Row],[Tech Start Date]],9),""))))</f>
        <v/>
      </c>
      <c r="Q168" s="101"/>
      <c r="R168" s="101"/>
      <c r="S168" s="99" t="s">
        <v>49</v>
      </c>
      <c r="T168" s="107" t="s">
        <v>4</v>
      </c>
      <c r="U168" s="99" t="s">
        <v>14</v>
      </c>
      <c r="V168" s="99" t="s">
        <v>1965</v>
      </c>
      <c r="W168" s="99" t="s">
        <v>1966</v>
      </c>
    </row>
    <row r="169" spans="1:23" ht="18.600000000000001" customHeight="1">
      <c r="A169" s="123" t="str">
        <f>IF(priority(Main[[#This Row],[Comments]])&lt;&gt;0, priority(Main[[#This Row],[Comments]]),"")</f>
        <v/>
      </c>
      <c r="B169" s="127" t="s">
        <v>1075</v>
      </c>
      <c r="C169" s="99" t="s">
        <v>67</v>
      </c>
      <c r="D169" s="100" t="s">
        <v>68</v>
      </c>
      <c r="E169" s="101"/>
      <c r="F169" s="101"/>
      <c r="G169" s="102" t="str">
        <f>IF(stdProdLT(Main[[#This Row],[Comments]])=0.1,"N/A",IF(stdProdLT(Main[[#This Row],[Comments]])=0,"",stdProdLT(Main[[#This Row],[Comments]])))</f>
        <v/>
      </c>
      <c r="H169" s="103" t="str">
        <f>IF(AND(Main[[#This Row],[In Stock Date]]&lt;&gt;"",Main[[#This Row],[Revised Due Date]]&lt;&gt;""),Main[[#This Row],[In Stock Date]]-Main[[#This Row],[Revised Due Date]],"")</f>
        <v/>
      </c>
      <c r="I169" s="99" t="s">
        <v>4</v>
      </c>
      <c r="J169" s="99" t="s">
        <v>4</v>
      </c>
      <c r="K169" s="108" t="s">
        <v>4</v>
      </c>
      <c r="L169" s="101"/>
      <c r="M169" s="104" t="str">
        <f>IF(Main[[#This Row],[Tech Start Date]]&lt;1/1/1990,"",IF(Main[[#This Row],[Class]]="C",WORKDAY(Main[[#This Row],[Tech Start Date]],9),IF(Main[[#This Row],[Class]]="B", WORKDAY(Main[[#This Row],[Tech Start Date]],6),IF(Main[[#This Row],[Class]]="A",WORKDAY(Main[[#This Row],[Tech Start Date]],2),""))))</f>
        <v/>
      </c>
      <c r="N169" s="104" t="str">
        <f>IF(Main[[#This Row],[Tech Start Date]]&lt;1/1/1990,"",IF(Main[[#This Row],[Class]]="C",WORKDAY(Main[[#This Row],[Tech Start Date]],19),IF(Main[[#This Row],[Class]]="B", WORKDAY(Main[[#This Row],[Tech Start Date]],12),IF(Main[[#This Row],[Class]]="A",WORKDAY(Main[[#This Row],[Tech Start Date]],4),""))))</f>
        <v/>
      </c>
      <c r="O169" s="104" t="str">
        <f>IF(Main[[#This Row],[Tech Start Date]]&lt;1/1/1990,"",IF(Main[[#This Row],[Class]]="C",WORKDAY(Main[[#This Row],[Tech Start Date]],23),IF(Main[[#This Row],[Class]]="B", WORKDAY(Main[[#This Row],[Tech Start Date]],15),IF(Main[[#This Row],[Class]]="A",WORKDAY(Main[[#This Row],[Tech Start Date]],5),""))))</f>
        <v/>
      </c>
      <c r="P169" s="104" t="str">
        <f>IF(Main[[#This Row],[Tech Start Date]]&lt;1/1/1990,"",IF(Main[[#This Row],[Class]]="C",WORKDAY(Main[[#This Row],[Tech Start Date]],28),IF(Main[[#This Row],[Class]]="B", WORKDAY(Main[[#This Row],[Tech Start Date]],19),IF(Main[[#This Row],[Class]]="A",WORKDAY(Main[[#This Row],[Tech Start Date]],9),""))))</f>
        <v/>
      </c>
      <c r="Q169" s="101">
        <v>40298</v>
      </c>
      <c r="R169" s="101"/>
      <c r="S169" s="99" t="s">
        <v>17</v>
      </c>
      <c r="T169" s="107" t="s">
        <v>4</v>
      </c>
      <c r="U169" s="99" t="s">
        <v>14</v>
      </c>
      <c r="V169" s="99" t="s">
        <v>1965</v>
      </c>
      <c r="W169" s="99" t="s">
        <v>1970</v>
      </c>
    </row>
    <row r="170" spans="1:23" ht="18.600000000000001" customHeight="1">
      <c r="A170" s="123" t="str">
        <f>IF(priority(Main[[#This Row],[Comments]])&lt;&gt;0, priority(Main[[#This Row],[Comments]]),"")</f>
        <v/>
      </c>
      <c r="B170" s="127" t="s">
        <v>1311</v>
      </c>
      <c r="C170" s="99" t="s">
        <v>4</v>
      </c>
      <c r="D170" s="100" t="s">
        <v>2412</v>
      </c>
      <c r="E170" s="101">
        <v>40578.5078587963</v>
      </c>
      <c r="F170" s="101"/>
      <c r="G170" s="102" t="str">
        <f>IF(stdProdLT(Main[[#This Row],[Comments]])=0.1,"N/A",IF(stdProdLT(Main[[#This Row],[Comments]])=0,"",stdProdLT(Main[[#This Row],[Comments]])))</f>
        <v/>
      </c>
      <c r="H170" s="103" t="str">
        <f>IF(AND(Main[[#This Row],[In Stock Date]]&lt;&gt;"",Main[[#This Row],[Revised Due Date]]&lt;&gt;""),Main[[#This Row],[In Stock Date]]-Main[[#This Row],[Revised Due Date]],"")</f>
        <v/>
      </c>
      <c r="I170" s="99" t="s">
        <v>929</v>
      </c>
      <c r="J170" s="99" t="s">
        <v>52</v>
      </c>
      <c r="K170" s="99" t="s">
        <v>4</v>
      </c>
      <c r="L170" s="101"/>
      <c r="M170" s="104" t="str">
        <f>IF(Main[[#This Row],[Tech Start Date]]&lt;1/1/1990,"",IF(Main[[#This Row],[Class]]="C",WORKDAY(Main[[#This Row],[Tech Start Date]],9),IF(Main[[#This Row],[Class]]="B", WORKDAY(Main[[#This Row],[Tech Start Date]],6),IF(Main[[#This Row],[Class]]="A",WORKDAY(Main[[#This Row],[Tech Start Date]],2),""))))</f>
        <v/>
      </c>
      <c r="N170" s="104" t="str">
        <f>IF(Main[[#This Row],[Tech Start Date]]&lt;1/1/1990,"",IF(Main[[#This Row],[Class]]="C",WORKDAY(Main[[#This Row],[Tech Start Date]],19),IF(Main[[#This Row],[Class]]="B", WORKDAY(Main[[#This Row],[Tech Start Date]],12),IF(Main[[#This Row],[Class]]="A",WORKDAY(Main[[#This Row],[Tech Start Date]],4),""))))</f>
        <v/>
      </c>
      <c r="O170" s="104" t="str">
        <f>IF(Main[[#This Row],[Tech Start Date]]&lt;1/1/1990,"",IF(Main[[#This Row],[Class]]="C",WORKDAY(Main[[#This Row],[Tech Start Date]],23),IF(Main[[#This Row],[Class]]="B", WORKDAY(Main[[#This Row],[Tech Start Date]],15),IF(Main[[#This Row],[Class]]="A",WORKDAY(Main[[#This Row],[Tech Start Date]],5),""))))</f>
        <v/>
      </c>
      <c r="P170" s="104" t="str">
        <f>IF(Main[[#This Row],[Tech Start Date]]&lt;1/1/1990,"",IF(Main[[#This Row],[Class]]="C",WORKDAY(Main[[#This Row],[Tech Start Date]],28),IF(Main[[#This Row],[Class]]="B", WORKDAY(Main[[#This Row],[Tech Start Date]],19),IF(Main[[#This Row],[Class]]="A",WORKDAY(Main[[#This Row],[Tech Start Date]],9),""))))</f>
        <v/>
      </c>
      <c r="Q170" s="101">
        <v>40592</v>
      </c>
      <c r="R170" s="101"/>
      <c r="S170" s="99" t="s">
        <v>6</v>
      </c>
      <c r="T170" s="107" t="s">
        <v>4</v>
      </c>
      <c r="U170" s="99" t="s">
        <v>29</v>
      </c>
      <c r="V170" s="99" t="s">
        <v>1962</v>
      </c>
      <c r="W170" s="99" t="s">
        <v>1966</v>
      </c>
    </row>
    <row r="171" spans="1:23" ht="18.600000000000001" customHeight="1">
      <c r="A171" s="123" t="str">
        <f>IF(priority(Main[[#This Row],[Comments]])&lt;&gt;0, priority(Main[[#This Row],[Comments]]),"")</f>
        <v/>
      </c>
      <c r="B171" s="127" t="s">
        <v>1076</v>
      </c>
      <c r="C171" s="99" t="s">
        <v>4</v>
      </c>
      <c r="D171" s="100" t="s">
        <v>71</v>
      </c>
      <c r="E171" s="101"/>
      <c r="F171" s="101"/>
      <c r="G171" s="102" t="str">
        <f>IF(stdProdLT(Main[[#This Row],[Comments]])=0.1,"N/A",IF(stdProdLT(Main[[#This Row],[Comments]])=0,"",stdProdLT(Main[[#This Row],[Comments]])))</f>
        <v/>
      </c>
      <c r="H171" s="103" t="str">
        <f>IF(AND(Main[[#This Row],[In Stock Date]]&lt;&gt;"",Main[[#This Row],[Revised Due Date]]&lt;&gt;""),Main[[#This Row],[In Stock Date]]-Main[[#This Row],[Revised Due Date]],"")</f>
        <v/>
      </c>
      <c r="I171" s="99" t="s">
        <v>4</v>
      </c>
      <c r="J171" s="99" t="s">
        <v>4</v>
      </c>
      <c r="K171" s="108" t="s">
        <v>4</v>
      </c>
      <c r="L171" s="101"/>
      <c r="M171" s="104" t="str">
        <f>IF(Main[[#This Row],[Tech Start Date]]&lt;1/1/1990,"",IF(Main[[#This Row],[Class]]="C",WORKDAY(Main[[#This Row],[Tech Start Date]],9),IF(Main[[#This Row],[Class]]="B", WORKDAY(Main[[#This Row],[Tech Start Date]],6),IF(Main[[#This Row],[Class]]="A",WORKDAY(Main[[#This Row],[Tech Start Date]],2),""))))</f>
        <v/>
      </c>
      <c r="N171" s="104" t="str">
        <f>IF(Main[[#This Row],[Tech Start Date]]&lt;1/1/1990,"",IF(Main[[#This Row],[Class]]="C",WORKDAY(Main[[#This Row],[Tech Start Date]],19),IF(Main[[#This Row],[Class]]="B", WORKDAY(Main[[#This Row],[Tech Start Date]],12),IF(Main[[#This Row],[Class]]="A",WORKDAY(Main[[#This Row],[Tech Start Date]],4),""))))</f>
        <v/>
      </c>
      <c r="O171" s="104" t="str">
        <f>IF(Main[[#This Row],[Tech Start Date]]&lt;1/1/1990,"",IF(Main[[#This Row],[Class]]="C",WORKDAY(Main[[#This Row],[Tech Start Date]],23),IF(Main[[#This Row],[Class]]="B", WORKDAY(Main[[#This Row],[Tech Start Date]],15),IF(Main[[#This Row],[Class]]="A",WORKDAY(Main[[#This Row],[Tech Start Date]],5),""))))</f>
        <v/>
      </c>
      <c r="P171" s="104" t="str">
        <f>IF(Main[[#This Row],[Tech Start Date]]&lt;1/1/1990,"",IF(Main[[#This Row],[Class]]="C",WORKDAY(Main[[#This Row],[Tech Start Date]],28),IF(Main[[#This Row],[Class]]="B", WORKDAY(Main[[#This Row],[Tech Start Date]],19),IF(Main[[#This Row],[Class]]="A",WORKDAY(Main[[#This Row],[Tech Start Date]],9),""))))</f>
        <v/>
      </c>
      <c r="Q171" s="101"/>
      <c r="R171" s="101"/>
      <c r="S171" s="99" t="s">
        <v>23</v>
      </c>
      <c r="T171" s="107" t="s">
        <v>4</v>
      </c>
      <c r="U171" s="99" t="s">
        <v>14</v>
      </c>
      <c r="V171" s="99" t="s">
        <v>1962</v>
      </c>
      <c r="W171" s="99" t="s">
        <v>1966</v>
      </c>
    </row>
    <row r="172" spans="1:23" ht="18.600000000000001" customHeight="1">
      <c r="A172" s="123" t="str">
        <f>IF(priority(Main[[#This Row],[Comments]])&lt;&gt;0, priority(Main[[#This Row],[Comments]]),"")</f>
        <v/>
      </c>
      <c r="B172" s="127" t="s">
        <v>1042</v>
      </c>
      <c r="C172" s="99" t="s">
        <v>15</v>
      </c>
      <c r="D172" s="100" t="s">
        <v>16</v>
      </c>
      <c r="E172" s="101">
        <v>40611.379872685182</v>
      </c>
      <c r="F172" s="101"/>
      <c r="G172" s="102" t="str">
        <f>IF(stdProdLT(Main[[#This Row],[Comments]])=0.1,"N/A",IF(stdProdLT(Main[[#This Row],[Comments]])=0,"",stdProdLT(Main[[#This Row],[Comments]])))</f>
        <v/>
      </c>
      <c r="H172" s="103" t="str">
        <f>IF(AND(Main[[#This Row],[In Stock Date]]&lt;&gt;"",Main[[#This Row],[Revised Due Date]]&lt;&gt;""),Main[[#This Row],[In Stock Date]]-Main[[#This Row],[Revised Due Date]],"")</f>
        <v/>
      </c>
      <c r="I172" s="99" t="s">
        <v>4</v>
      </c>
      <c r="J172" s="99" t="s">
        <v>4</v>
      </c>
      <c r="K172" s="99" t="s">
        <v>4</v>
      </c>
      <c r="L172" s="101"/>
      <c r="M172" s="104" t="str">
        <f>IF(Main[[#This Row],[Tech Start Date]]&lt;1/1/1990,"",IF(Main[[#This Row],[Class]]="C",WORKDAY(Main[[#This Row],[Tech Start Date]],9),IF(Main[[#This Row],[Class]]="B", WORKDAY(Main[[#This Row],[Tech Start Date]],6),IF(Main[[#This Row],[Class]]="A",WORKDAY(Main[[#This Row],[Tech Start Date]],2),""))))</f>
        <v/>
      </c>
      <c r="N172" s="104" t="str">
        <f>IF(Main[[#This Row],[Tech Start Date]]&lt;1/1/1990,"",IF(Main[[#This Row],[Class]]="C",WORKDAY(Main[[#This Row],[Tech Start Date]],19),IF(Main[[#This Row],[Class]]="B", WORKDAY(Main[[#This Row],[Tech Start Date]],12),IF(Main[[#This Row],[Class]]="A",WORKDAY(Main[[#This Row],[Tech Start Date]],4),""))))</f>
        <v/>
      </c>
      <c r="O172" s="104" t="str">
        <f>IF(Main[[#This Row],[Tech Start Date]]&lt;1/1/1990,"",IF(Main[[#This Row],[Class]]="C",WORKDAY(Main[[#This Row],[Tech Start Date]],23),IF(Main[[#This Row],[Class]]="B", WORKDAY(Main[[#This Row],[Tech Start Date]],15),IF(Main[[#This Row],[Class]]="A",WORKDAY(Main[[#This Row],[Tech Start Date]],5),""))))</f>
        <v/>
      </c>
      <c r="P172" s="104" t="str">
        <f>IF(Main[[#This Row],[Tech Start Date]]&lt;1/1/1990,"",IF(Main[[#This Row],[Class]]="C",WORKDAY(Main[[#This Row],[Tech Start Date]],28),IF(Main[[#This Row],[Class]]="B", WORKDAY(Main[[#This Row],[Tech Start Date]],19),IF(Main[[#This Row],[Class]]="A",WORKDAY(Main[[#This Row],[Tech Start Date]],9),""))))</f>
        <v/>
      </c>
      <c r="Q172" s="101">
        <v>40695</v>
      </c>
      <c r="R172" s="101"/>
      <c r="S172" s="99" t="s">
        <v>17</v>
      </c>
      <c r="T172" s="107" t="s">
        <v>4</v>
      </c>
      <c r="U172" s="99" t="s">
        <v>7</v>
      </c>
      <c r="V172" s="99" t="s">
        <v>1965</v>
      </c>
      <c r="W172" s="99" t="s">
        <v>1967</v>
      </c>
    </row>
    <row r="173" spans="1:23" ht="18.600000000000001" customHeight="1">
      <c r="A173" s="123" t="str">
        <f>IF(priority(Main[[#This Row],[Comments]])&lt;&gt;0, priority(Main[[#This Row],[Comments]]),"")</f>
        <v/>
      </c>
      <c r="B173" s="127" t="s">
        <v>1078</v>
      </c>
      <c r="C173" s="99" t="s">
        <v>31</v>
      </c>
      <c r="D173" s="100" t="s">
        <v>77</v>
      </c>
      <c r="E173" s="101"/>
      <c r="F173" s="101">
        <v>40512</v>
      </c>
      <c r="G173" s="102" t="str">
        <f>IF(stdProdLT(Main[[#This Row],[Comments]])=0.1,"N/A",IF(stdProdLT(Main[[#This Row],[Comments]])=0,"",stdProdLT(Main[[#This Row],[Comments]])))</f>
        <v/>
      </c>
      <c r="H173" s="103" t="str">
        <f>IF(AND(Main[[#This Row],[In Stock Date]]&lt;&gt;"",Main[[#This Row],[Revised Due Date]]&lt;&gt;""),Main[[#This Row],[In Stock Date]]-Main[[#This Row],[Revised Due Date]],"")</f>
        <v/>
      </c>
      <c r="I173" s="99" t="s">
        <v>4</v>
      </c>
      <c r="J173" s="99" t="s">
        <v>4</v>
      </c>
      <c r="K173" s="99" t="s">
        <v>4</v>
      </c>
      <c r="L173" s="101"/>
      <c r="M173" s="104" t="str">
        <f>IF(Main[[#This Row],[Tech Start Date]]&lt;1/1/1990,"",IF(Main[[#This Row],[Class]]="C",WORKDAY(Main[[#This Row],[Tech Start Date]],9),IF(Main[[#This Row],[Class]]="B", WORKDAY(Main[[#This Row],[Tech Start Date]],6),IF(Main[[#This Row],[Class]]="A",WORKDAY(Main[[#This Row],[Tech Start Date]],2),""))))</f>
        <v/>
      </c>
      <c r="N173" s="104" t="str">
        <f>IF(Main[[#This Row],[Tech Start Date]]&lt;1/1/1990,"",IF(Main[[#This Row],[Class]]="C",WORKDAY(Main[[#This Row],[Tech Start Date]],19),IF(Main[[#This Row],[Class]]="B", WORKDAY(Main[[#This Row],[Tech Start Date]],12),IF(Main[[#This Row],[Class]]="A",WORKDAY(Main[[#This Row],[Tech Start Date]],4),""))))</f>
        <v/>
      </c>
      <c r="O173" s="104" t="str">
        <f>IF(Main[[#This Row],[Tech Start Date]]&lt;1/1/1990,"",IF(Main[[#This Row],[Class]]="C",WORKDAY(Main[[#This Row],[Tech Start Date]],23),IF(Main[[#This Row],[Class]]="B", WORKDAY(Main[[#This Row],[Tech Start Date]],15),IF(Main[[#This Row],[Class]]="A",WORKDAY(Main[[#This Row],[Tech Start Date]],5),""))))</f>
        <v/>
      </c>
      <c r="P173" s="104" t="str">
        <f>IF(Main[[#This Row],[Tech Start Date]]&lt;1/1/1990,"",IF(Main[[#This Row],[Class]]="C",WORKDAY(Main[[#This Row],[Tech Start Date]],28),IF(Main[[#This Row],[Class]]="B", WORKDAY(Main[[#This Row],[Tech Start Date]],19),IF(Main[[#This Row],[Class]]="A",WORKDAY(Main[[#This Row],[Tech Start Date]],9),""))))</f>
        <v/>
      </c>
      <c r="Q173" s="101">
        <v>40415</v>
      </c>
      <c r="R173" s="101"/>
      <c r="S173" s="99" t="s">
        <v>11</v>
      </c>
      <c r="T173" s="107" t="s">
        <v>4</v>
      </c>
      <c r="U173" s="99" t="s">
        <v>14</v>
      </c>
      <c r="V173" s="99" t="s">
        <v>1965</v>
      </c>
      <c r="W173" s="99" t="s">
        <v>1968</v>
      </c>
    </row>
    <row r="174" spans="1:23" ht="18.600000000000001" customHeight="1">
      <c r="A174" s="123" t="str">
        <f>IF(priority(Main[[#This Row],[Comments]])&lt;&gt;0, priority(Main[[#This Row],[Comments]]),"")</f>
        <v/>
      </c>
      <c r="B174" s="127" t="s">
        <v>1079</v>
      </c>
      <c r="C174" s="99" t="s">
        <v>4</v>
      </c>
      <c r="D174" s="100" t="s">
        <v>78</v>
      </c>
      <c r="E174" s="101"/>
      <c r="F174" s="101"/>
      <c r="G174" s="102" t="str">
        <f>IF(stdProdLT(Main[[#This Row],[Comments]])=0.1,"N/A",IF(stdProdLT(Main[[#This Row],[Comments]])=0,"",stdProdLT(Main[[#This Row],[Comments]])))</f>
        <v/>
      </c>
      <c r="H174" s="103" t="str">
        <f>IF(AND(Main[[#This Row],[In Stock Date]]&lt;&gt;"",Main[[#This Row],[Revised Due Date]]&lt;&gt;""),Main[[#This Row],[In Stock Date]]-Main[[#This Row],[Revised Due Date]],"")</f>
        <v/>
      </c>
      <c r="I174" s="99" t="s">
        <v>4</v>
      </c>
      <c r="J174" s="99" t="s">
        <v>4</v>
      </c>
      <c r="K174" s="99" t="s">
        <v>4</v>
      </c>
      <c r="L174" s="101"/>
      <c r="M174" s="104" t="str">
        <f>IF(Main[[#This Row],[Tech Start Date]]&lt;1/1/1990,"",IF(Main[[#This Row],[Class]]="C",WORKDAY(Main[[#This Row],[Tech Start Date]],9),IF(Main[[#This Row],[Class]]="B", WORKDAY(Main[[#This Row],[Tech Start Date]],6),IF(Main[[#This Row],[Class]]="A",WORKDAY(Main[[#This Row],[Tech Start Date]],2),""))))</f>
        <v/>
      </c>
      <c r="N174" s="104" t="str">
        <f>IF(Main[[#This Row],[Tech Start Date]]&lt;1/1/1990,"",IF(Main[[#This Row],[Class]]="C",WORKDAY(Main[[#This Row],[Tech Start Date]],19),IF(Main[[#This Row],[Class]]="B", WORKDAY(Main[[#This Row],[Tech Start Date]],12),IF(Main[[#This Row],[Class]]="A",WORKDAY(Main[[#This Row],[Tech Start Date]],4),""))))</f>
        <v/>
      </c>
      <c r="O174" s="104" t="str">
        <f>IF(Main[[#This Row],[Tech Start Date]]&lt;1/1/1990,"",IF(Main[[#This Row],[Class]]="C",WORKDAY(Main[[#This Row],[Tech Start Date]],23),IF(Main[[#This Row],[Class]]="B", WORKDAY(Main[[#This Row],[Tech Start Date]],15),IF(Main[[#This Row],[Class]]="A",WORKDAY(Main[[#This Row],[Tech Start Date]],5),""))))</f>
        <v/>
      </c>
      <c r="P174" s="104" t="str">
        <f>IF(Main[[#This Row],[Tech Start Date]]&lt;1/1/1990,"",IF(Main[[#This Row],[Class]]="C",WORKDAY(Main[[#This Row],[Tech Start Date]],28),IF(Main[[#This Row],[Class]]="B", WORKDAY(Main[[#This Row],[Tech Start Date]],19),IF(Main[[#This Row],[Class]]="A",WORKDAY(Main[[#This Row],[Tech Start Date]],9),""))))</f>
        <v/>
      </c>
      <c r="Q174" s="101"/>
      <c r="R174" s="101"/>
      <c r="S174" s="99" t="s">
        <v>49</v>
      </c>
      <c r="T174" s="107" t="s">
        <v>4</v>
      </c>
      <c r="U174" s="99" t="s">
        <v>14</v>
      </c>
      <c r="V174" s="99" t="s">
        <v>1962</v>
      </c>
      <c r="W174" s="99" t="s">
        <v>1966</v>
      </c>
    </row>
    <row r="175" spans="1:23" ht="18.600000000000001" customHeight="1">
      <c r="A175" s="123" t="str">
        <f>IF(priority(Main[[#This Row],[Comments]])&lt;&gt;0, priority(Main[[#This Row],[Comments]]),"")</f>
        <v/>
      </c>
      <c r="B175" s="127" t="s">
        <v>2148</v>
      </c>
      <c r="C175" s="99" t="s">
        <v>2149</v>
      </c>
      <c r="D175" s="100" t="s">
        <v>2150</v>
      </c>
      <c r="E175" s="101"/>
      <c r="F175" s="101">
        <v>40831</v>
      </c>
      <c r="G175" s="102" t="str">
        <f>IF(stdProdLT(Main[[#This Row],[Comments]])=0.1,"N/A",IF(stdProdLT(Main[[#This Row],[Comments]])=0,"",stdProdLT(Main[[#This Row],[Comments]])))</f>
        <v/>
      </c>
      <c r="H175" s="103" t="str">
        <f>IF(AND(Main[[#This Row],[In Stock Date]]&lt;&gt;"",Main[[#This Row],[Revised Due Date]]&lt;&gt;""),Main[[#This Row],[In Stock Date]]-Main[[#This Row],[Revised Due Date]],"")</f>
        <v/>
      </c>
      <c r="I175" s="99" t="s">
        <v>4</v>
      </c>
      <c r="J175" s="99" t="s">
        <v>4</v>
      </c>
      <c r="K175" s="99" t="s">
        <v>4</v>
      </c>
      <c r="L175" s="101"/>
      <c r="M175" s="104" t="str">
        <f>IF(Main[[#This Row],[Tech Start Date]]&lt;1/1/1990,"",IF(Main[[#This Row],[Class]]="C",WORKDAY(Main[[#This Row],[Tech Start Date]],9),IF(Main[[#This Row],[Class]]="B", WORKDAY(Main[[#This Row],[Tech Start Date]],6),IF(Main[[#This Row],[Class]]="A",WORKDAY(Main[[#This Row],[Tech Start Date]],2),""))))</f>
        <v/>
      </c>
      <c r="N175" s="104" t="str">
        <f>IF(Main[[#This Row],[Tech Start Date]]&lt;1/1/1990,"",IF(Main[[#This Row],[Class]]="C",WORKDAY(Main[[#This Row],[Tech Start Date]],19),IF(Main[[#This Row],[Class]]="B", WORKDAY(Main[[#This Row],[Tech Start Date]],12),IF(Main[[#This Row],[Class]]="A",WORKDAY(Main[[#This Row],[Tech Start Date]],4),""))))</f>
        <v/>
      </c>
      <c r="O175" s="104" t="str">
        <f>IF(Main[[#This Row],[Tech Start Date]]&lt;1/1/1990,"",IF(Main[[#This Row],[Class]]="C",WORKDAY(Main[[#This Row],[Tech Start Date]],23),IF(Main[[#This Row],[Class]]="B", WORKDAY(Main[[#This Row],[Tech Start Date]],15),IF(Main[[#This Row],[Class]]="A",WORKDAY(Main[[#This Row],[Tech Start Date]],5),""))))</f>
        <v/>
      </c>
      <c r="P175" s="104" t="str">
        <f>IF(Main[[#This Row],[Tech Start Date]]&lt;1/1/1990,"",IF(Main[[#This Row],[Class]]="C",WORKDAY(Main[[#This Row],[Tech Start Date]],28),IF(Main[[#This Row],[Class]]="B", WORKDAY(Main[[#This Row],[Tech Start Date]],19),IF(Main[[#This Row],[Class]]="A",WORKDAY(Main[[#This Row],[Tech Start Date]],9),""))))</f>
        <v/>
      </c>
      <c r="Q175" s="101">
        <v>40786</v>
      </c>
      <c r="R175" s="101"/>
      <c r="S175" s="99" t="s">
        <v>11</v>
      </c>
      <c r="T175" s="107" t="s">
        <v>4</v>
      </c>
      <c r="U175" s="99" t="s">
        <v>12</v>
      </c>
      <c r="V175" s="99" t="s">
        <v>1965</v>
      </c>
      <c r="W175" s="99" t="s">
        <v>1970</v>
      </c>
    </row>
    <row r="176" spans="1:23" ht="18.600000000000001" customHeight="1">
      <c r="A176" s="123" t="str">
        <f>IF(priority(Main[[#This Row],[Comments]])&lt;&gt;0, priority(Main[[#This Row],[Comments]]),"")</f>
        <v/>
      </c>
      <c r="B176" s="127" t="s">
        <v>2285</v>
      </c>
      <c r="C176" s="99" t="s">
        <v>2286</v>
      </c>
      <c r="D176" s="100" t="s">
        <v>2287</v>
      </c>
      <c r="E176" s="101">
        <v>40798.585381944446</v>
      </c>
      <c r="F176" s="101">
        <v>40848</v>
      </c>
      <c r="G176" s="102" t="str">
        <f>IF(stdProdLT(Main[[#This Row],[Comments]])=0.1,"N/A",IF(stdProdLT(Main[[#This Row],[Comments]])=0,"",stdProdLT(Main[[#This Row],[Comments]])))</f>
        <v/>
      </c>
      <c r="H176" s="103" t="str">
        <f>IF(AND(Main[[#This Row],[In Stock Date]]&lt;&gt;"",Main[[#This Row],[Revised Due Date]]&lt;&gt;""),Main[[#This Row],[In Stock Date]]-Main[[#This Row],[Revised Due Date]],"")</f>
        <v/>
      </c>
      <c r="I176" s="99" t="s">
        <v>4</v>
      </c>
      <c r="J176" s="99" t="s">
        <v>4</v>
      </c>
      <c r="K176" s="99" t="s">
        <v>4</v>
      </c>
      <c r="L176" s="101"/>
      <c r="M176" s="104" t="str">
        <f>IF(Main[[#This Row],[Tech Start Date]]&lt;1/1/1990,"",IF(Main[[#This Row],[Class]]="C",WORKDAY(Main[[#This Row],[Tech Start Date]],9),IF(Main[[#This Row],[Class]]="B", WORKDAY(Main[[#This Row],[Tech Start Date]],6),IF(Main[[#This Row],[Class]]="A",WORKDAY(Main[[#This Row],[Tech Start Date]],2),""))))</f>
        <v/>
      </c>
      <c r="N176" s="104" t="str">
        <f>IF(Main[[#This Row],[Tech Start Date]]&lt;1/1/1990,"",IF(Main[[#This Row],[Class]]="C",WORKDAY(Main[[#This Row],[Tech Start Date]],19),IF(Main[[#This Row],[Class]]="B", WORKDAY(Main[[#This Row],[Tech Start Date]],12),IF(Main[[#This Row],[Class]]="A",WORKDAY(Main[[#This Row],[Tech Start Date]],4),""))))</f>
        <v/>
      </c>
      <c r="O176" s="104" t="str">
        <f>IF(Main[[#This Row],[Tech Start Date]]&lt;1/1/1990,"",IF(Main[[#This Row],[Class]]="C",WORKDAY(Main[[#This Row],[Tech Start Date]],23),IF(Main[[#This Row],[Class]]="B", WORKDAY(Main[[#This Row],[Tech Start Date]],15),IF(Main[[#This Row],[Class]]="A",WORKDAY(Main[[#This Row],[Tech Start Date]],5),""))))</f>
        <v/>
      </c>
      <c r="P176" s="104" t="str">
        <f>IF(Main[[#This Row],[Tech Start Date]]&lt;1/1/1990,"",IF(Main[[#This Row],[Class]]="C",WORKDAY(Main[[#This Row],[Tech Start Date]],28),IF(Main[[#This Row],[Class]]="B", WORKDAY(Main[[#This Row],[Tech Start Date]],19),IF(Main[[#This Row],[Class]]="A",WORKDAY(Main[[#This Row],[Tech Start Date]],9),""))))</f>
        <v/>
      </c>
      <c r="Q176" s="101"/>
      <c r="R176" s="101"/>
      <c r="S176" s="99" t="s">
        <v>49</v>
      </c>
      <c r="T176" s="107" t="s">
        <v>4</v>
      </c>
      <c r="U176" s="99" t="s">
        <v>7</v>
      </c>
      <c r="V176" s="99" t="s">
        <v>1962</v>
      </c>
      <c r="W176" s="99" t="s">
        <v>1967</v>
      </c>
    </row>
    <row r="177" spans="1:23" ht="18.600000000000001" customHeight="1">
      <c r="A177" s="123" t="str">
        <f>IF(priority(Main[[#This Row],[Comments]])&lt;&gt;0, priority(Main[[#This Row],[Comments]]),"")</f>
        <v/>
      </c>
      <c r="B177" s="127" t="s">
        <v>1890</v>
      </c>
      <c r="C177" s="99" t="s">
        <v>95</v>
      </c>
      <c r="D177" s="100" t="s">
        <v>920</v>
      </c>
      <c r="E177" s="101">
        <v>40428.41710648148</v>
      </c>
      <c r="F177" s="101"/>
      <c r="G177" s="102" t="str">
        <f>IF(stdProdLT(Main[[#This Row],[Comments]])=0.1,"N/A",IF(stdProdLT(Main[[#This Row],[Comments]])=0,"",stdProdLT(Main[[#This Row],[Comments]])))</f>
        <v/>
      </c>
      <c r="H177" s="103" t="str">
        <f>IF(AND(Main[[#This Row],[In Stock Date]]&lt;&gt;"",Main[[#This Row],[Revised Due Date]]&lt;&gt;""),Main[[#This Row],[In Stock Date]]-Main[[#This Row],[Revised Due Date]],"")</f>
        <v/>
      </c>
      <c r="I177" s="99" t="s">
        <v>421</v>
      </c>
      <c r="J177" s="99" t="s">
        <v>28</v>
      </c>
      <c r="K177" s="108" t="s">
        <v>1974</v>
      </c>
      <c r="L177" s="101"/>
      <c r="M177" s="104" t="str">
        <f>IF(Main[[#This Row],[Tech Start Date]]&lt;1/1/1990,"",IF(Main[[#This Row],[Class]]="C",WORKDAY(Main[[#This Row],[Tech Start Date]],9),IF(Main[[#This Row],[Class]]="B", WORKDAY(Main[[#This Row],[Tech Start Date]],6),IF(Main[[#This Row],[Class]]="A",WORKDAY(Main[[#This Row],[Tech Start Date]],2),""))))</f>
        <v/>
      </c>
      <c r="N177" s="104" t="str">
        <f>IF(Main[[#This Row],[Tech Start Date]]&lt;1/1/1990,"",IF(Main[[#This Row],[Class]]="C",WORKDAY(Main[[#This Row],[Tech Start Date]],19),IF(Main[[#This Row],[Class]]="B", WORKDAY(Main[[#This Row],[Tech Start Date]],12),IF(Main[[#This Row],[Class]]="A",WORKDAY(Main[[#This Row],[Tech Start Date]],4),""))))</f>
        <v/>
      </c>
      <c r="O177" s="104" t="str">
        <f>IF(Main[[#This Row],[Tech Start Date]]&lt;1/1/1990,"",IF(Main[[#This Row],[Class]]="C",WORKDAY(Main[[#This Row],[Tech Start Date]],23),IF(Main[[#This Row],[Class]]="B", WORKDAY(Main[[#This Row],[Tech Start Date]],15),IF(Main[[#This Row],[Class]]="A",WORKDAY(Main[[#This Row],[Tech Start Date]],5),""))))</f>
        <v/>
      </c>
      <c r="P177" s="104" t="str">
        <f>IF(Main[[#This Row],[Tech Start Date]]&lt;1/1/1990,"",IF(Main[[#This Row],[Class]]="C",WORKDAY(Main[[#This Row],[Tech Start Date]],28),IF(Main[[#This Row],[Class]]="B", WORKDAY(Main[[#This Row],[Tech Start Date]],19),IF(Main[[#This Row],[Class]]="A",WORKDAY(Main[[#This Row],[Tech Start Date]],9),""))))</f>
        <v/>
      </c>
      <c r="Q177" s="101">
        <v>40512</v>
      </c>
      <c r="R177" s="101">
        <v>40918</v>
      </c>
      <c r="S177" s="99" t="s">
        <v>17</v>
      </c>
      <c r="T177" s="107" t="s">
        <v>4</v>
      </c>
      <c r="U177" s="99" t="s">
        <v>29</v>
      </c>
      <c r="V177" s="99" t="s">
        <v>1965</v>
      </c>
      <c r="W177" s="99" t="s">
        <v>1968</v>
      </c>
    </row>
    <row r="178" spans="1:23" ht="18.600000000000001" customHeight="1">
      <c r="A178" s="123" t="str">
        <f>IF(priority(Main[[#This Row],[Comments]])&lt;&gt;0, priority(Main[[#This Row],[Comments]]),"")</f>
        <v/>
      </c>
      <c r="B178" s="127" t="s">
        <v>1082</v>
      </c>
      <c r="C178" s="99" t="s">
        <v>86</v>
      </c>
      <c r="D178" s="100" t="s">
        <v>87</v>
      </c>
      <c r="E178" s="101"/>
      <c r="F178" s="101">
        <v>40555</v>
      </c>
      <c r="G178" s="102" t="str">
        <f>IF(stdProdLT(Main[[#This Row],[Comments]])=0.1,"N/A",IF(stdProdLT(Main[[#This Row],[Comments]])=0,"",stdProdLT(Main[[#This Row],[Comments]])))</f>
        <v/>
      </c>
      <c r="H178" s="103" t="str">
        <f>IF(AND(Main[[#This Row],[In Stock Date]]&lt;&gt;"",Main[[#This Row],[Revised Due Date]]&lt;&gt;""),Main[[#This Row],[In Stock Date]]-Main[[#This Row],[Revised Due Date]],"")</f>
        <v/>
      </c>
      <c r="I178" s="99" t="s">
        <v>4</v>
      </c>
      <c r="J178" s="99" t="s">
        <v>75</v>
      </c>
      <c r="K178" s="99" t="s">
        <v>4</v>
      </c>
      <c r="L178" s="101"/>
      <c r="M178" s="104" t="str">
        <f>IF(Main[[#This Row],[Tech Start Date]]&lt;1/1/1990,"",IF(Main[[#This Row],[Class]]="C",WORKDAY(Main[[#This Row],[Tech Start Date]],9),IF(Main[[#This Row],[Class]]="B", WORKDAY(Main[[#This Row],[Tech Start Date]],6),IF(Main[[#This Row],[Class]]="A",WORKDAY(Main[[#This Row],[Tech Start Date]],2),""))))</f>
        <v/>
      </c>
      <c r="N178" s="104" t="str">
        <f>IF(Main[[#This Row],[Tech Start Date]]&lt;1/1/1990,"",IF(Main[[#This Row],[Class]]="C",WORKDAY(Main[[#This Row],[Tech Start Date]],19),IF(Main[[#This Row],[Class]]="B", WORKDAY(Main[[#This Row],[Tech Start Date]],12),IF(Main[[#This Row],[Class]]="A",WORKDAY(Main[[#This Row],[Tech Start Date]],4),""))))</f>
        <v/>
      </c>
      <c r="O178" s="104" t="str">
        <f>IF(Main[[#This Row],[Tech Start Date]]&lt;1/1/1990,"",IF(Main[[#This Row],[Class]]="C",WORKDAY(Main[[#This Row],[Tech Start Date]],23),IF(Main[[#This Row],[Class]]="B", WORKDAY(Main[[#This Row],[Tech Start Date]],15),IF(Main[[#This Row],[Class]]="A",WORKDAY(Main[[#This Row],[Tech Start Date]],5),""))))</f>
        <v/>
      </c>
      <c r="P178" s="104" t="str">
        <f>IF(Main[[#This Row],[Tech Start Date]]&lt;1/1/1990,"",IF(Main[[#This Row],[Class]]="C",WORKDAY(Main[[#This Row],[Tech Start Date]],28),IF(Main[[#This Row],[Class]]="B", WORKDAY(Main[[#This Row],[Tech Start Date]],19),IF(Main[[#This Row],[Class]]="A",WORKDAY(Main[[#This Row],[Tech Start Date]],9),""))))</f>
        <v/>
      </c>
      <c r="Q178" s="101">
        <v>40446</v>
      </c>
      <c r="R178" s="101"/>
      <c r="S178" s="99" t="s">
        <v>49</v>
      </c>
      <c r="T178" s="107" t="s">
        <v>4</v>
      </c>
      <c r="U178" s="99" t="s">
        <v>14</v>
      </c>
      <c r="V178" s="99" t="s">
        <v>1965</v>
      </c>
      <c r="W178" s="99" t="s">
        <v>1964</v>
      </c>
    </row>
    <row r="179" spans="1:23" ht="18.600000000000001" customHeight="1">
      <c r="A179" s="123" t="str">
        <f>IF(priority(Main[[#This Row],[Comments]])&lt;&gt;0, priority(Main[[#This Row],[Comments]]),"")</f>
        <v/>
      </c>
      <c r="B179" s="127" t="s">
        <v>2747</v>
      </c>
      <c r="C179" s="99" t="s">
        <v>2456</v>
      </c>
      <c r="D179" s="100" t="s">
        <v>2748</v>
      </c>
      <c r="E179" s="101"/>
      <c r="F179" s="101">
        <v>41008</v>
      </c>
      <c r="G179" s="102" t="str">
        <f>IF(stdProdLT(Main[[#This Row],[Comments]])=0.1,"N/A",IF(stdProdLT(Main[[#This Row],[Comments]])=0,"",stdProdLT(Main[[#This Row],[Comments]])))</f>
        <v/>
      </c>
      <c r="H179" s="103" t="str">
        <f>IF(AND(Main[[#This Row],[In Stock Date]]&lt;&gt;"",Main[[#This Row],[Revised Due Date]]&lt;&gt;""),Main[[#This Row],[In Stock Date]]-Main[[#This Row],[Revised Due Date]],"")</f>
        <v/>
      </c>
      <c r="I179" s="99" t="s">
        <v>4</v>
      </c>
      <c r="J179" s="99" t="s">
        <v>4</v>
      </c>
      <c r="K179" s="99" t="s">
        <v>4</v>
      </c>
      <c r="L179" s="101"/>
      <c r="M179" s="104" t="str">
        <f>IF(Main[[#This Row],[Tech Start Date]]&lt;1/1/1990,"",IF(Main[[#This Row],[Class]]="C",WORKDAY(Main[[#This Row],[Tech Start Date]],9),IF(Main[[#This Row],[Class]]="B", WORKDAY(Main[[#This Row],[Tech Start Date]],6),IF(Main[[#This Row],[Class]]="A",WORKDAY(Main[[#This Row],[Tech Start Date]],2),""))))</f>
        <v/>
      </c>
      <c r="N179" s="104" t="str">
        <f>IF(Main[[#This Row],[Tech Start Date]]&lt;1/1/1990,"",IF(Main[[#This Row],[Class]]="C",WORKDAY(Main[[#This Row],[Tech Start Date]],19),IF(Main[[#This Row],[Class]]="B", WORKDAY(Main[[#This Row],[Tech Start Date]],12),IF(Main[[#This Row],[Class]]="A",WORKDAY(Main[[#This Row],[Tech Start Date]],4),""))))</f>
        <v/>
      </c>
      <c r="O179" s="104" t="str">
        <f>IF(Main[[#This Row],[Tech Start Date]]&lt;1/1/1990,"",IF(Main[[#This Row],[Class]]="C",WORKDAY(Main[[#This Row],[Tech Start Date]],23),IF(Main[[#This Row],[Class]]="B", WORKDAY(Main[[#This Row],[Tech Start Date]],15),IF(Main[[#This Row],[Class]]="A",WORKDAY(Main[[#This Row],[Tech Start Date]],5),""))))</f>
        <v/>
      </c>
      <c r="P179" s="104" t="str">
        <f>IF(Main[[#This Row],[Tech Start Date]]&lt;1/1/1990,"",IF(Main[[#This Row],[Class]]="C",WORKDAY(Main[[#This Row],[Tech Start Date]],28),IF(Main[[#This Row],[Class]]="B", WORKDAY(Main[[#This Row],[Tech Start Date]],19),IF(Main[[#This Row],[Class]]="A",WORKDAY(Main[[#This Row],[Tech Start Date]],9),""))))</f>
        <v/>
      </c>
      <c r="Q179" s="101">
        <v>40826</v>
      </c>
      <c r="R179" s="101"/>
      <c r="S179" s="99" t="s">
        <v>11</v>
      </c>
      <c r="T179" s="107" t="s">
        <v>4</v>
      </c>
      <c r="U179" s="99" t="s">
        <v>12</v>
      </c>
      <c r="V179" s="99" t="s">
        <v>1965</v>
      </c>
      <c r="W179" s="99" t="s">
        <v>1968</v>
      </c>
    </row>
    <row r="180" spans="1:23" ht="18.600000000000001" customHeight="1">
      <c r="A180" s="123" t="str">
        <f>IF(priority(Main[[#This Row],[Comments]])&lt;&gt;0, priority(Main[[#This Row],[Comments]]),"")</f>
        <v/>
      </c>
      <c r="B180" s="127" t="s">
        <v>1083</v>
      </c>
      <c r="C180" s="99" t="s">
        <v>88</v>
      </c>
      <c r="D180" s="100" t="s">
        <v>89</v>
      </c>
      <c r="E180" s="101"/>
      <c r="F180" s="101">
        <v>40709</v>
      </c>
      <c r="G180" s="102" t="str">
        <f>IF(stdProdLT(Main[[#This Row],[Comments]])=0.1,"N/A",IF(stdProdLT(Main[[#This Row],[Comments]])=0,"",stdProdLT(Main[[#This Row],[Comments]])))</f>
        <v/>
      </c>
      <c r="H180" s="103" t="str">
        <f>IF(AND(Main[[#This Row],[In Stock Date]]&lt;&gt;"",Main[[#This Row],[Revised Due Date]]&lt;&gt;""),Main[[#This Row],[In Stock Date]]-Main[[#This Row],[Revised Due Date]],"")</f>
        <v/>
      </c>
      <c r="I180" s="99" t="s">
        <v>4</v>
      </c>
      <c r="J180" s="99" t="s">
        <v>28</v>
      </c>
      <c r="K180" s="99" t="s">
        <v>1975</v>
      </c>
      <c r="L180" s="101"/>
      <c r="M180" s="104" t="str">
        <f>IF(Main[[#This Row],[Tech Start Date]]&lt;1/1/1990,"",IF(Main[[#This Row],[Class]]="C",WORKDAY(Main[[#This Row],[Tech Start Date]],9),IF(Main[[#This Row],[Class]]="B", WORKDAY(Main[[#This Row],[Tech Start Date]],6),IF(Main[[#This Row],[Class]]="A",WORKDAY(Main[[#This Row],[Tech Start Date]],2),""))))</f>
        <v/>
      </c>
      <c r="N180" s="104" t="str">
        <f>IF(Main[[#This Row],[Tech Start Date]]&lt;1/1/1990,"",IF(Main[[#This Row],[Class]]="C",WORKDAY(Main[[#This Row],[Tech Start Date]],19),IF(Main[[#This Row],[Class]]="B", WORKDAY(Main[[#This Row],[Tech Start Date]],12),IF(Main[[#This Row],[Class]]="A",WORKDAY(Main[[#This Row],[Tech Start Date]],4),""))))</f>
        <v/>
      </c>
      <c r="O180" s="104" t="str">
        <f>IF(Main[[#This Row],[Tech Start Date]]&lt;1/1/1990,"",IF(Main[[#This Row],[Class]]="C",WORKDAY(Main[[#This Row],[Tech Start Date]],23),IF(Main[[#This Row],[Class]]="B", WORKDAY(Main[[#This Row],[Tech Start Date]],15),IF(Main[[#This Row],[Class]]="A",WORKDAY(Main[[#This Row],[Tech Start Date]],5),""))))</f>
        <v/>
      </c>
      <c r="P180" s="104" t="str">
        <f>IF(Main[[#This Row],[Tech Start Date]]&lt;1/1/1990,"",IF(Main[[#This Row],[Class]]="C",WORKDAY(Main[[#This Row],[Tech Start Date]],28),IF(Main[[#This Row],[Class]]="B", WORKDAY(Main[[#This Row],[Tech Start Date]],19),IF(Main[[#This Row],[Class]]="A",WORKDAY(Main[[#This Row],[Tech Start Date]],9),""))))</f>
        <v/>
      </c>
      <c r="Q180" s="101">
        <v>40612</v>
      </c>
      <c r="R180" s="101"/>
      <c r="S180" s="99" t="s">
        <v>11</v>
      </c>
      <c r="T180" s="107" t="s">
        <v>4</v>
      </c>
      <c r="U180" s="99" t="s">
        <v>14</v>
      </c>
      <c r="V180" s="99" t="s">
        <v>1962</v>
      </c>
      <c r="W180" s="99" t="s">
        <v>1967</v>
      </c>
    </row>
    <row r="181" spans="1:23" ht="18.600000000000001" customHeight="1">
      <c r="A181" s="123" t="str">
        <f>IF(priority(Main[[#This Row],[Comments]])&lt;&gt;0, priority(Main[[#This Row],[Comments]]),"")</f>
        <v/>
      </c>
      <c r="B181" s="127" t="s">
        <v>1084</v>
      </c>
      <c r="C181" s="99" t="s">
        <v>4</v>
      </c>
      <c r="D181" s="100" t="s">
        <v>90</v>
      </c>
      <c r="E181" s="101"/>
      <c r="F181" s="101"/>
      <c r="G181" s="102" t="str">
        <f>IF(stdProdLT(Main[[#This Row],[Comments]])=0.1,"N/A",IF(stdProdLT(Main[[#This Row],[Comments]])=0,"",stdProdLT(Main[[#This Row],[Comments]])))</f>
        <v/>
      </c>
      <c r="H181" s="103" t="str">
        <f>IF(AND(Main[[#This Row],[In Stock Date]]&lt;&gt;"",Main[[#This Row],[Revised Due Date]]&lt;&gt;""),Main[[#This Row],[In Stock Date]]-Main[[#This Row],[Revised Due Date]],"")</f>
        <v/>
      </c>
      <c r="I181" s="99" t="s">
        <v>4</v>
      </c>
      <c r="J181" s="99" t="s">
        <v>4</v>
      </c>
      <c r="K181" s="99" t="s">
        <v>4</v>
      </c>
      <c r="L181" s="101"/>
      <c r="M181" s="104" t="str">
        <f>IF(Main[[#This Row],[Tech Start Date]]&lt;1/1/1990,"",IF(Main[[#This Row],[Class]]="C",WORKDAY(Main[[#This Row],[Tech Start Date]],9),IF(Main[[#This Row],[Class]]="B", WORKDAY(Main[[#This Row],[Tech Start Date]],6),IF(Main[[#This Row],[Class]]="A",WORKDAY(Main[[#This Row],[Tech Start Date]],2),""))))</f>
        <v/>
      </c>
      <c r="N181" s="104" t="str">
        <f>IF(Main[[#This Row],[Tech Start Date]]&lt;1/1/1990,"",IF(Main[[#This Row],[Class]]="C",WORKDAY(Main[[#This Row],[Tech Start Date]],19),IF(Main[[#This Row],[Class]]="B", WORKDAY(Main[[#This Row],[Tech Start Date]],12),IF(Main[[#This Row],[Class]]="A",WORKDAY(Main[[#This Row],[Tech Start Date]],4),""))))</f>
        <v/>
      </c>
      <c r="O181" s="104" t="str">
        <f>IF(Main[[#This Row],[Tech Start Date]]&lt;1/1/1990,"",IF(Main[[#This Row],[Class]]="C",WORKDAY(Main[[#This Row],[Tech Start Date]],23),IF(Main[[#This Row],[Class]]="B", WORKDAY(Main[[#This Row],[Tech Start Date]],15),IF(Main[[#This Row],[Class]]="A",WORKDAY(Main[[#This Row],[Tech Start Date]],5),""))))</f>
        <v/>
      </c>
      <c r="P181" s="104" t="str">
        <f>IF(Main[[#This Row],[Tech Start Date]]&lt;1/1/1990,"",IF(Main[[#This Row],[Class]]="C",WORKDAY(Main[[#This Row],[Tech Start Date]],28),IF(Main[[#This Row],[Class]]="B", WORKDAY(Main[[#This Row],[Tech Start Date]],19),IF(Main[[#This Row],[Class]]="A",WORKDAY(Main[[#This Row],[Tech Start Date]],9),""))))</f>
        <v/>
      </c>
      <c r="Q181" s="101"/>
      <c r="R181" s="101"/>
      <c r="S181" s="99" t="s">
        <v>23</v>
      </c>
      <c r="T181" s="107" t="s">
        <v>4</v>
      </c>
      <c r="U181" s="99" t="s">
        <v>14</v>
      </c>
      <c r="V181" s="99" t="s">
        <v>1962</v>
      </c>
      <c r="W181" s="99" t="s">
        <v>1966</v>
      </c>
    </row>
    <row r="182" spans="1:23" ht="18.600000000000001" customHeight="1">
      <c r="A182" s="123" t="str">
        <f>IF(priority(Main[[#This Row],[Comments]])&lt;&gt;0, priority(Main[[#This Row],[Comments]]),"")</f>
        <v/>
      </c>
      <c r="B182" s="127" t="s">
        <v>1086</v>
      </c>
      <c r="C182" s="99" t="s">
        <v>93</v>
      </c>
      <c r="D182" s="100" t="s">
        <v>94</v>
      </c>
      <c r="E182" s="101"/>
      <c r="F182" s="101">
        <v>40299</v>
      </c>
      <c r="G182" s="102" t="str">
        <f>IF(stdProdLT(Main[[#This Row],[Comments]])=0.1,"N/A",IF(stdProdLT(Main[[#This Row],[Comments]])=0,"",stdProdLT(Main[[#This Row],[Comments]])))</f>
        <v/>
      </c>
      <c r="H182" s="103" t="str">
        <f>IF(AND(Main[[#This Row],[In Stock Date]]&lt;&gt;"",Main[[#This Row],[Revised Due Date]]&lt;&gt;""),Main[[#This Row],[In Stock Date]]-Main[[#This Row],[Revised Due Date]],"")</f>
        <v/>
      </c>
      <c r="I182" s="99" t="s">
        <v>4</v>
      </c>
      <c r="J182" s="99" t="s">
        <v>4</v>
      </c>
      <c r="K182" s="99" t="s">
        <v>4</v>
      </c>
      <c r="L182" s="101"/>
      <c r="M182" s="104" t="str">
        <f>IF(Main[[#This Row],[Tech Start Date]]&lt;1/1/1990,"",IF(Main[[#This Row],[Class]]="C",WORKDAY(Main[[#This Row],[Tech Start Date]],9),IF(Main[[#This Row],[Class]]="B", WORKDAY(Main[[#This Row],[Tech Start Date]],6),IF(Main[[#This Row],[Class]]="A",WORKDAY(Main[[#This Row],[Tech Start Date]],2),""))))</f>
        <v/>
      </c>
      <c r="N182" s="104" t="str">
        <f>IF(Main[[#This Row],[Tech Start Date]]&lt;1/1/1990,"",IF(Main[[#This Row],[Class]]="C",WORKDAY(Main[[#This Row],[Tech Start Date]],19),IF(Main[[#This Row],[Class]]="B", WORKDAY(Main[[#This Row],[Tech Start Date]],12),IF(Main[[#This Row],[Class]]="A",WORKDAY(Main[[#This Row],[Tech Start Date]],4),""))))</f>
        <v/>
      </c>
      <c r="O182" s="104" t="str">
        <f>IF(Main[[#This Row],[Tech Start Date]]&lt;1/1/1990,"",IF(Main[[#This Row],[Class]]="C",WORKDAY(Main[[#This Row],[Tech Start Date]],23),IF(Main[[#This Row],[Class]]="B", WORKDAY(Main[[#This Row],[Tech Start Date]],15),IF(Main[[#This Row],[Class]]="A",WORKDAY(Main[[#This Row],[Tech Start Date]],5),""))))</f>
        <v/>
      </c>
      <c r="P182" s="104" t="str">
        <f>IF(Main[[#This Row],[Tech Start Date]]&lt;1/1/1990,"",IF(Main[[#This Row],[Class]]="C",WORKDAY(Main[[#This Row],[Tech Start Date]],28),IF(Main[[#This Row],[Class]]="B", WORKDAY(Main[[#This Row],[Tech Start Date]],19),IF(Main[[#This Row],[Class]]="A",WORKDAY(Main[[#This Row],[Tech Start Date]],9),""))))</f>
        <v/>
      </c>
      <c r="Q182" s="101">
        <v>40209</v>
      </c>
      <c r="R182" s="101"/>
      <c r="S182" s="99" t="s">
        <v>11</v>
      </c>
      <c r="T182" s="107" t="s">
        <v>4</v>
      </c>
      <c r="U182" s="99" t="s">
        <v>14</v>
      </c>
      <c r="V182" s="99" t="s">
        <v>1962</v>
      </c>
      <c r="W182" s="99" t="s">
        <v>1973</v>
      </c>
    </row>
    <row r="183" spans="1:23" ht="18.600000000000001" customHeight="1">
      <c r="A183" s="123" t="str">
        <f>IF(priority(Main[[#This Row],[Comments]])&lt;&gt;0, priority(Main[[#This Row],[Comments]]),"")</f>
        <v/>
      </c>
      <c r="B183" s="127" t="s">
        <v>1088</v>
      </c>
      <c r="C183" s="99" t="s">
        <v>4</v>
      </c>
      <c r="D183" s="100" t="s">
        <v>39</v>
      </c>
      <c r="E183" s="101"/>
      <c r="F183" s="101"/>
      <c r="G183" s="102" t="str">
        <f>IF(stdProdLT(Main[[#This Row],[Comments]])=0.1,"N/A",IF(stdProdLT(Main[[#This Row],[Comments]])=0,"",stdProdLT(Main[[#This Row],[Comments]])))</f>
        <v/>
      </c>
      <c r="H183" s="103" t="str">
        <f>IF(AND(Main[[#This Row],[In Stock Date]]&lt;&gt;"",Main[[#This Row],[Revised Due Date]]&lt;&gt;""),Main[[#This Row],[In Stock Date]]-Main[[#This Row],[Revised Due Date]],"")</f>
        <v/>
      </c>
      <c r="I183" s="99" t="s">
        <v>4</v>
      </c>
      <c r="J183" s="99" t="s">
        <v>4</v>
      </c>
      <c r="K183" s="108" t="s">
        <v>4</v>
      </c>
      <c r="L183" s="101"/>
      <c r="M183" s="104" t="str">
        <f>IF(Main[[#This Row],[Tech Start Date]]&lt;1/1/1990,"",IF(Main[[#This Row],[Class]]="C",WORKDAY(Main[[#This Row],[Tech Start Date]],9),IF(Main[[#This Row],[Class]]="B", WORKDAY(Main[[#This Row],[Tech Start Date]],6),IF(Main[[#This Row],[Class]]="A",WORKDAY(Main[[#This Row],[Tech Start Date]],2),""))))</f>
        <v/>
      </c>
      <c r="N183" s="104" t="str">
        <f>IF(Main[[#This Row],[Tech Start Date]]&lt;1/1/1990,"",IF(Main[[#This Row],[Class]]="C",WORKDAY(Main[[#This Row],[Tech Start Date]],19),IF(Main[[#This Row],[Class]]="B", WORKDAY(Main[[#This Row],[Tech Start Date]],12),IF(Main[[#This Row],[Class]]="A",WORKDAY(Main[[#This Row],[Tech Start Date]],4),""))))</f>
        <v/>
      </c>
      <c r="O183" s="104" t="str">
        <f>IF(Main[[#This Row],[Tech Start Date]]&lt;1/1/1990,"",IF(Main[[#This Row],[Class]]="C",WORKDAY(Main[[#This Row],[Tech Start Date]],23),IF(Main[[#This Row],[Class]]="B", WORKDAY(Main[[#This Row],[Tech Start Date]],15),IF(Main[[#This Row],[Class]]="A",WORKDAY(Main[[#This Row],[Tech Start Date]],5),""))))</f>
        <v/>
      </c>
      <c r="P183" s="104" t="str">
        <f>IF(Main[[#This Row],[Tech Start Date]]&lt;1/1/1990,"",IF(Main[[#This Row],[Class]]="C",WORKDAY(Main[[#This Row],[Tech Start Date]],28),IF(Main[[#This Row],[Class]]="B", WORKDAY(Main[[#This Row],[Tech Start Date]],19),IF(Main[[#This Row],[Class]]="A",WORKDAY(Main[[#This Row],[Tech Start Date]],9),""))))</f>
        <v/>
      </c>
      <c r="Q183" s="101">
        <v>40669</v>
      </c>
      <c r="R183" s="101"/>
      <c r="S183" s="99" t="s">
        <v>6</v>
      </c>
      <c r="T183" s="107" t="s">
        <v>4</v>
      </c>
      <c r="U183" s="99" t="s">
        <v>14</v>
      </c>
      <c r="V183" s="99" t="s">
        <v>1965</v>
      </c>
      <c r="W183" s="99" t="s">
        <v>4</v>
      </c>
    </row>
    <row r="184" spans="1:23" ht="18.600000000000001" customHeight="1">
      <c r="A184" s="123" t="str">
        <f>IF(priority(Main[[#This Row],[Comments]])&lt;&gt;0, priority(Main[[#This Row],[Comments]]),"")</f>
        <v/>
      </c>
      <c r="B184" s="127" t="s">
        <v>1089</v>
      </c>
      <c r="C184" s="99" t="s">
        <v>47</v>
      </c>
      <c r="D184" s="100" t="s">
        <v>91</v>
      </c>
      <c r="E184" s="101"/>
      <c r="F184" s="101"/>
      <c r="G184" s="102" t="str">
        <f>IF(stdProdLT(Main[[#This Row],[Comments]])=0.1,"N/A",IF(stdProdLT(Main[[#This Row],[Comments]])=0,"",stdProdLT(Main[[#This Row],[Comments]])))</f>
        <v/>
      </c>
      <c r="H184" s="103" t="str">
        <f>IF(AND(Main[[#This Row],[In Stock Date]]&lt;&gt;"",Main[[#This Row],[Revised Due Date]]&lt;&gt;""),Main[[#This Row],[In Stock Date]]-Main[[#This Row],[Revised Due Date]],"")</f>
        <v/>
      </c>
      <c r="I184" s="99" t="s">
        <v>4</v>
      </c>
      <c r="J184" s="99" t="s">
        <v>4</v>
      </c>
      <c r="K184" s="108" t="s">
        <v>4</v>
      </c>
      <c r="L184" s="101"/>
      <c r="M184" s="104" t="str">
        <f>IF(Main[[#This Row],[Tech Start Date]]&lt;1/1/1990,"",IF(Main[[#This Row],[Class]]="C",WORKDAY(Main[[#This Row],[Tech Start Date]],9),IF(Main[[#This Row],[Class]]="B", WORKDAY(Main[[#This Row],[Tech Start Date]],6),IF(Main[[#This Row],[Class]]="A",WORKDAY(Main[[#This Row],[Tech Start Date]],2),""))))</f>
        <v/>
      </c>
      <c r="N184" s="104" t="str">
        <f>IF(Main[[#This Row],[Tech Start Date]]&lt;1/1/1990,"",IF(Main[[#This Row],[Class]]="C",WORKDAY(Main[[#This Row],[Tech Start Date]],19),IF(Main[[#This Row],[Class]]="B", WORKDAY(Main[[#This Row],[Tech Start Date]],12),IF(Main[[#This Row],[Class]]="A",WORKDAY(Main[[#This Row],[Tech Start Date]],4),""))))</f>
        <v/>
      </c>
      <c r="O184" s="104" t="str">
        <f>IF(Main[[#This Row],[Tech Start Date]]&lt;1/1/1990,"",IF(Main[[#This Row],[Class]]="C",WORKDAY(Main[[#This Row],[Tech Start Date]],23),IF(Main[[#This Row],[Class]]="B", WORKDAY(Main[[#This Row],[Tech Start Date]],15),IF(Main[[#This Row],[Class]]="A",WORKDAY(Main[[#This Row],[Tech Start Date]],5),""))))</f>
        <v/>
      </c>
      <c r="P184" s="104" t="str">
        <f>IF(Main[[#This Row],[Tech Start Date]]&lt;1/1/1990,"",IF(Main[[#This Row],[Class]]="C",WORKDAY(Main[[#This Row],[Tech Start Date]],28),IF(Main[[#This Row],[Class]]="B", WORKDAY(Main[[#This Row],[Tech Start Date]],19),IF(Main[[#This Row],[Class]]="A",WORKDAY(Main[[#This Row],[Tech Start Date]],9),""))))</f>
        <v/>
      </c>
      <c r="Q184" s="101"/>
      <c r="R184" s="101"/>
      <c r="S184" s="99" t="s">
        <v>49</v>
      </c>
      <c r="T184" s="107" t="s">
        <v>4</v>
      </c>
      <c r="U184" s="99" t="s">
        <v>14</v>
      </c>
      <c r="V184" s="99" t="s">
        <v>1965</v>
      </c>
      <c r="W184" s="99" t="s">
        <v>1966</v>
      </c>
    </row>
    <row r="185" spans="1:23" ht="18.600000000000001" customHeight="1">
      <c r="A185" s="123" t="str">
        <f>IF(priority(Main[[#This Row],[Comments]])&lt;&gt;0, priority(Main[[#This Row],[Comments]]),"")</f>
        <v/>
      </c>
      <c r="B185" s="127" t="s">
        <v>1090</v>
      </c>
      <c r="C185" s="99" t="s">
        <v>4</v>
      </c>
      <c r="D185" s="100" t="s">
        <v>92</v>
      </c>
      <c r="E185" s="101"/>
      <c r="F185" s="101"/>
      <c r="G185" s="102" t="str">
        <f>IF(stdProdLT(Main[[#This Row],[Comments]])=0.1,"N/A",IF(stdProdLT(Main[[#This Row],[Comments]])=0,"",stdProdLT(Main[[#This Row],[Comments]])))</f>
        <v/>
      </c>
      <c r="H185" s="103" t="str">
        <f>IF(AND(Main[[#This Row],[In Stock Date]]&lt;&gt;"",Main[[#This Row],[Revised Due Date]]&lt;&gt;""),Main[[#This Row],[In Stock Date]]-Main[[#This Row],[Revised Due Date]],"")</f>
        <v/>
      </c>
      <c r="I185" s="99" t="s">
        <v>4</v>
      </c>
      <c r="J185" s="99" t="s">
        <v>4</v>
      </c>
      <c r="K185" s="99" t="s">
        <v>4</v>
      </c>
      <c r="L185" s="101"/>
      <c r="M185" s="104" t="str">
        <f>IF(Main[[#This Row],[Tech Start Date]]&lt;1/1/1990,"",IF(Main[[#This Row],[Class]]="C",WORKDAY(Main[[#This Row],[Tech Start Date]],9),IF(Main[[#This Row],[Class]]="B", WORKDAY(Main[[#This Row],[Tech Start Date]],6),IF(Main[[#This Row],[Class]]="A",WORKDAY(Main[[#This Row],[Tech Start Date]],2),""))))</f>
        <v/>
      </c>
      <c r="N185" s="104" t="str">
        <f>IF(Main[[#This Row],[Tech Start Date]]&lt;1/1/1990,"",IF(Main[[#This Row],[Class]]="C",WORKDAY(Main[[#This Row],[Tech Start Date]],19),IF(Main[[#This Row],[Class]]="B", WORKDAY(Main[[#This Row],[Tech Start Date]],12),IF(Main[[#This Row],[Class]]="A",WORKDAY(Main[[#This Row],[Tech Start Date]],4),""))))</f>
        <v/>
      </c>
      <c r="O185" s="104" t="str">
        <f>IF(Main[[#This Row],[Tech Start Date]]&lt;1/1/1990,"",IF(Main[[#This Row],[Class]]="C",WORKDAY(Main[[#This Row],[Tech Start Date]],23),IF(Main[[#This Row],[Class]]="B", WORKDAY(Main[[#This Row],[Tech Start Date]],15),IF(Main[[#This Row],[Class]]="A",WORKDAY(Main[[#This Row],[Tech Start Date]],5),""))))</f>
        <v/>
      </c>
      <c r="P185" s="104" t="str">
        <f>IF(Main[[#This Row],[Tech Start Date]]&lt;1/1/1990,"",IF(Main[[#This Row],[Class]]="C",WORKDAY(Main[[#This Row],[Tech Start Date]],28),IF(Main[[#This Row],[Class]]="B", WORKDAY(Main[[#This Row],[Tech Start Date]],19),IF(Main[[#This Row],[Class]]="A",WORKDAY(Main[[#This Row],[Tech Start Date]],9),""))))</f>
        <v/>
      </c>
      <c r="Q185" s="101">
        <v>40289</v>
      </c>
      <c r="R185" s="101"/>
      <c r="S185" s="99" t="s">
        <v>11</v>
      </c>
      <c r="T185" s="107" t="s">
        <v>4</v>
      </c>
      <c r="U185" s="99" t="s">
        <v>14</v>
      </c>
      <c r="V185" s="99" t="s">
        <v>1962</v>
      </c>
      <c r="W185" s="99" t="s">
        <v>1964</v>
      </c>
    </row>
    <row r="186" spans="1:23" ht="18.600000000000001" customHeight="1">
      <c r="A186" s="123" t="str">
        <f>IF(priority(Main[[#This Row],[Comments]])&lt;&gt;0, priority(Main[[#This Row],[Comments]]),"")</f>
        <v/>
      </c>
      <c r="B186" s="127" t="s">
        <v>1091</v>
      </c>
      <c r="C186" s="99" t="s">
        <v>95</v>
      </c>
      <c r="D186" s="100" t="s">
        <v>96</v>
      </c>
      <c r="E186" s="101"/>
      <c r="F186" s="101"/>
      <c r="G186" s="102" t="str">
        <f>IF(stdProdLT(Main[[#This Row],[Comments]])=0.1,"N/A",IF(stdProdLT(Main[[#This Row],[Comments]])=0,"",stdProdLT(Main[[#This Row],[Comments]])))</f>
        <v/>
      </c>
      <c r="H186" s="103" t="str">
        <f>IF(AND(Main[[#This Row],[In Stock Date]]&lt;&gt;"",Main[[#This Row],[Revised Due Date]]&lt;&gt;""),Main[[#This Row],[In Stock Date]]-Main[[#This Row],[Revised Due Date]],"")</f>
        <v/>
      </c>
      <c r="I186" s="99" t="s">
        <v>4</v>
      </c>
      <c r="J186" s="99" t="s">
        <v>4</v>
      </c>
      <c r="K186" s="108" t="s">
        <v>4</v>
      </c>
      <c r="L186" s="101"/>
      <c r="M186" s="104" t="str">
        <f>IF(Main[[#This Row],[Tech Start Date]]&lt;1/1/1990,"",IF(Main[[#This Row],[Class]]="C",WORKDAY(Main[[#This Row],[Tech Start Date]],9),IF(Main[[#This Row],[Class]]="B", WORKDAY(Main[[#This Row],[Tech Start Date]],6),IF(Main[[#This Row],[Class]]="A",WORKDAY(Main[[#This Row],[Tech Start Date]],2),""))))</f>
        <v/>
      </c>
      <c r="N186" s="104" t="str">
        <f>IF(Main[[#This Row],[Tech Start Date]]&lt;1/1/1990,"",IF(Main[[#This Row],[Class]]="C",WORKDAY(Main[[#This Row],[Tech Start Date]],19),IF(Main[[#This Row],[Class]]="B", WORKDAY(Main[[#This Row],[Tech Start Date]],12),IF(Main[[#This Row],[Class]]="A",WORKDAY(Main[[#This Row],[Tech Start Date]],4),""))))</f>
        <v/>
      </c>
      <c r="O186" s="104" t="str">
        <f>IF(Main[[#This Row],[Tech Start Date]]&lt;1/1/1990,"",IF(Main[[#This Row],[Class]]="C",WORKDAY(Main[[#This Row],[Tech Start Date]],23),IF(Main[[#This Row],[Class]]="B", WORKDAY(Main[[#This Row],[Tech Start Date]],15),IF(Main[[#This Row],[Class]]="A",WORKDAY(Main[[#This Row],[Tech Start Date]],5),""))))</f>
        <v/>
      </c>
      <c r="P186" s="104" t="str">
        <f>IF(Main[[#This Row],[Tech Start Date]]&lt;1/1/1990,"",IF(Main[[#This Row],[Class]]="C",WORKDAY(Main[[#This Row],[Tech Start Date]],28),IF(Main[[#This Row],[Class]]="B", WORKDAY(Main[[#This Row],[Tech Start Date]],19),IF(Main[[#This Row],[Class]]="A",WORKDAY(Main[[#This Row],[Tech Start Date]],9),""))))</f>
        <v/>
      </c>
      <c r="Q186" s="101">
        <v>40302</v>
      </c>
      <c r="R186" s="101"/>
      <c r="S186" s="99" t="s">
        <v>6</v>
      </c>
      <c r="T186" s="107" t="s">
        <v>4</v>
      </c>
      <c r="U186" s="99" t="s">
        <v>14</v>
      </c>
      <c r="V186" s="99" t="s">
        <v>1962</v>
      </c>
      <c r="W186" s="99" t="s">
        <v>1968</v>
      </c>
    </row>
    <row r="187" spans="1:23" ht="18.600000000000001" customHeight="1">
      <c r="A187" s="123" t="str">
        <f>IF(priority(Main[[#This Row],[Comments]])&lt;&gt;0, priority(Main[[#This Row],[Comments]]),"")</f>
        <v/>
      </c>
      <c r="B187" s="127" t="s">
        <v>1092</v>
      </c>
      <c r="C187" s="99" t="s">
        <v>4</v>
      </c>
      <c r="D187" s="100" t="s">
        <v>105</v>
      </c>
      <c r="E187" s="101"/>
      <c r="F187" s="101"/>
      <c r="G187" s="102" t="str">
        <f>IF(stdProdLT(Main[[#This Row],[Comments]])=0.1,"N/A",IF(stdProdLT(Main[[#This Row],[Comments]])=0,"",stdProdLT(Main[[#This Row],[Comments]])))</f>
        <v/>
      </c>
      <c r="H187" s="103" t="str">
        <f>IF(AND(Main[[#This Row],[In Stock Date]]&lt;&gt;"",Main[[#This Row],[Revised Due Date]]&lt;&gt;""),Main[[#This Row],[In Stock Date]]-Main[[#This Row],[Revised Due Date]],"")</f>
        <v/>
      </c>
      <c r="I187" s="99" t="s">
        <v>44</v>
      </c>
      <c r="J187" s="99" t="s">
        <v>28</v>
      </c>
      <c r="K187" s="99" t="s">
        <v>1971</v>
      </c>
      <c r="L187" s="101"/>
      <c r="M187" s="104" t="str">
        <f>IF(Main[[#This Row],[Tech Start Date]]&lt;1/1/1990,"",IF(Main[[#This Row],[Class]]="C",WORKDAY(Main[[#This Row],[Tech Start Date]],9),IF(Main[[#This Row],[Class]]="B", WORKDAY(Main[[#This Row],[Tech Start Date]],6),IF(Main[[#This Row],[Class]]="A",WORKDAY(Main[[#This Row],[Tech Start Date]],2),""))))</f>
        <v/>
      </c>
      <c r="N187" s="104" t="str">
        <f>IF(Main[[#This Row],[Tech Start Date]]&lt;1/1/1990,"",IF(Main[[#This Row],[Class]]="C",WORKDAY(Main[[#This Row],[Tech Start Date]],19),IF(Main[[#This Row],[Class]]="B", WORKDAY(Main[[#This Row],[Tech Start Date]],12),IF(Main[[#This Row],[Class]]="A",WORKDAY(Main[[#This Row],[Tech Start Date]],4),""))))</f>
        <v/>
      </c>
      <c r="O187" s="104" t="str">
        <f>IF(Main[[#This Row],[Tech Start Date]]&lt;1/1/1990,"",IF(Main[[#This Row],[Class]]="C",WORKDAY(Main[[#This Row],[Tech Start Date]],23),IF(Main[[#This Row],[Class]]="B", WORKDAY(Main[[#This Row],[Tech Start Date]],15),IF(Main[[#This Row],[Class]]="A",WORKDAY(Main[[#This Row],[Tech Start Date]],5),""))))</f>
        <v/>
      </c>
      <c r="P187" s="104" t="str">
        <f>IF(Main[[#This Row],[Tech Start Date]]&lt;1/1/1990,"",IF(Main[[#This Row],[Class]]="C",WORKDAY(Main[[#This Row],[Tech Start Date]],28),IF(Main[[#This Row],[Class]]="B", WORKDAY(Main[[#This Row],[Tech Start Date]],19),IF(Main[[#This Row],[Class]]="A",WORKDAY(Main[[#This Row],[Tech Start Date]],9),""))))</f>
        <v/>
      </c>
      <c r="Q187" s="101">
        <v>40725</v>
      </c>
      <c r="R187" s="101"/>
      <c r="S187" s="99" t="s">
        <v>6</v>
      </c>
      <c r="T187" s="107" t="s">
        <v>4</v>
      </c>
      <c r="U187" s="99" t="s">
        <v>14</v>
      </c>
      <c r="V187" s="99" t="s">
        <v>1965</v>
      </c>
      <c r="W187" s="99" t="s">
        <v>1966</v>
      </c>
    </row>
    <row r="188" spans="1:23" ht="18.600000000000001" customHeight="1">
      <c r="A188" s="123" t="str">
        <f>IF(priority(Main[[#This Row],[Comments]])&lt;&gt;0, priority(Main[[#This Row],[Comments]]),"")</f>
        <v/>
      </c>
      <c r="B188" s="127" t="s">
        <v>1093</v>
      </c>
      <c r="C188" s="99" t="s">
        <v>106</v>
      </c>
      <c r="D188" s="100" t="s">
        <v>107</v>
      </c>
      <c r="E188" s="101"/>
      <c r="F188" s="101"/>
      <c r="G188" s="102" t="str">
        <f>IF(stdProdLT(Main[[#This Row],[Comments]])=0.1,"N/A",IF(stdProdLT(Main[[#This Row],[Comments]])=0,"",stdProdLT(Main[[#This Row],[Comments]])))</f>
        <v/>
      </c>
      <c r="H188" s="103" t="str">
        <f>IF(AND(Main[[#This Row],[In Stock Date]]&lt;&gt;"",Main[[#This Row],[Revised Due Date]]&lt;&gt;""),Main[[#This Row],[In Stock Date]]-Main[[#This Row],[Revised Due Date]],"")</f>
        <v/>
      </c>
      <c r="I188" s="99" t="s">
        <v>108</v>
      </c>
      <c r="J188" s="99" t="s">
        <v>28</v>
      </c>
      <c r="K188" s="108" t="s">
        <v>1975</v>
      </c>
      <c r="L188" s="101"/>
      <c r="M188" s="104" t="str">
        <f>IF(Main[[#This Row],[Tech Start Date]]&lt;1/1/1990,"",IF(Main[[#This Row],[Class]]="C",WORKDAY(Main[[#This Row],[Tech Start Date]],9),IF(Main[[#This Row],[Class]]="B", WORKDAY(Main[[#This Row],[Tech Start Date]],6),IF(Main[[#This Row],[Class]]="A",WORKDAY(Main[[#This Row],[Tech Start Date]],2),""))))</f>
        <v/>
      </c>
      <c r="N188" s="104" t="str">
        <f>IF(Main[[#This Row],[Tech Start Date]]&lt;1/1/1990,"",IF(Main[[#This Row],[Class]]="C",WORKDAY(Main[[#This Row],[Tech Start Date]],19),IF(Main[[#This Row],[Class]]="B", WORKDAY(Main[[#This Row],[Tech Start Date]],12),IF(Main[[#This Row],[Class]]="A",WORKDAY(Main[[#This Row],[Tech Start Date]],4),""))))</f>
        <v/>
      </c>
      <c r="O188" s="104" t="str">
        <f>IF(Main[[#This Row],[Tech Start Date]]&lt;1/1/1990,"",IF(Main[[#This Row],[Class]]="C",WORKDAY(Main[[#This Row],[Tech Start Date]],23),IF(Main[[#This Row],[Class]]="B", WORKDAY(Main[[#This Row],[Tech Start Date]],15),IF(Main[[#This Row],[Class]]="A",WORKDAY(Main[[#This Row],[Tech Start Date]],5),""))))</f>
        <v/>
      </c>
      <c r="P188" s="104" t="str">
        <f>IF(Main[[#This Row],[Tech Start Date]]&lt;1/1/1990,"",IF(Main[[#This Row],[Class]]="C",WORKDAY(Main[[#This Row],[Tech Start Date]],28),IF(Main[[#This Row],[Class]]="B", WORKDAY(Main[[#This Row],[Tech Start Date]],19),IF(Main[[#This Row],[Class]]="A",WORKDAY(Main[[#This Row],[Tech Start Date]],9),""))))</f>
        <v/>
      </c>
      <c r="Q188" s="101">
        <v>40626</v>
      </c>
      <c r="R188" s="101"/>
      <c r="S188" s="99" t="s">
        <v>11</v>
      </c>
      <c r="T188" s="107" t="s">
        <v>4</v>
      </c>
      <c r="U188" s="99" t="s">
        <v>14</v>
      </c>
      <c r="V188" s="99" t="s">
        <v>1963</v>
      </c>
      <c r="W188" s="99" t="s">
        <v>1964</v>
      </c>
    </row>
    <row r="189" spans="1:23" ht="18.600000000000001" customHeight="1">
      <c r="A189" s="123" t="str">
        <f>IF(priority(Main[[#This Row],[Comments]])&lt;&gt;0, priority(Main[[#This Row],[Comments]]),"")</f>
        <v/>
      </c>
      <c r="B189" s="127" t="s">
        <v>1100</v>
      </c>
      <c r="C189" s="99" t="s">
        <v>31</v>
      </c>
      <c r="D189" s="100" t="s">
        <v>109</v>
      </c>
      <c r="E189" s="101"/>
      <c r="F189" s="101"/>
      <c r="G189" s="102" t="str">
        <f>IF(stdProdLT(Main[[#This Row],[Comments]])=0.1,"N/A",IF(stdProdLT(Main[[#This Row],[Comments]])=0,"",stdProdLT(Main[[#This Row],[Comments]])))</f>
        <v/>
      </c>
      <c r="H189" s="103" t="str">
        <f>IF(AND(Main[[#This Row],[In Stock Date]]&lt;&gt;"",Main[[#This Row],[Revised Due Date]]&lt;&gt;""),Main[[#This Row],[In Stock Date]]-Main[[#This Row],[Revised Due Date]],"")</f>
        <v/>
      </c>
      <c r="I189" s="99" t="s">
        <v>4</v>
      </c>
      <c r="J189" s="99" t="s">
        <v>4</v>
      </c>
      <c r="K189" s="99" t="s">
        <v>4</v>
      </c>
      <c r="L189" s="101"/>
      <c r="M189" s="104" t="str">
        <f>IF(Main[[#This Row],[Tech Start Date]]&lt;1/1/1990,"",IF(Main[[#This Row],[Class]]="C",WORKDAY(Main[[#This Row],[Tech Start Date]],9),IF(Main[[#This Row],[Class]]="B", WORKDAY(Main[[#This Row],[Tech Start Date]],6),IF(Main[[#This Row],[Class]]="A",WORKDAY(Main[[#This Row],[Tech Start Date]],2),""))))</f>
        <v/>
      </c>
      <c r="N189" s="104" t="str">
        <f>IF(Main[[#This Row],[Tech Start Date]]&lt;1/1/1990,"",IF(Main[[#This Row],[Class]]="C",WORKDAY(Main[[#This Row],[Tech Start Date]],19),IF(Main[[#This Row],[Class]]="B", WORKDAY(Main[[#This Row],[Tech Start Date]],12),IF(Main[[#This Row],[Class]]="A",WORKDAY(Main[[#This Row],[Tech Start Date]],4),""))))</f>
        <v/>
      </c>
      <c r="O189" s="104" t="str">
        <f>IF(Main[[#This Row],[Tech Start Date]]&lt;1/1/1990,"",IF(Main[[#This Row],[Class]]="C",WORKDAY(Main[[#This Row],[Tech Start Date]],23),IF(Main[[#This Row],[Class]]="B", WORKDAY(Main[[#This Row],[Tech Start Date]],15),IF(Main[[#This Row],[Class]]="A",WORKDAY(Main[[#This Row],[Tech Start Date]],5),""))))</f>
        <v/>
      </c>
      <c r="P189" s="104" t="str">
        <f>IF(Main[[#This Row],[Tech Start Date]]&lt;1/1/1990,"",IF(Main[[#This Row],[Class]]="C",WORKDAY(Main[[#This Row],[Tech Start Date]],28),IF(Main[[#This Row],[Class]]="B", WORKDAY(Main[[#This Row],[Tech Start Date]],19),IF(Main[[#This Row],[Class]]="A",WORKDAY(Main[[#This Row],[Tech Start Date]],9),""))))</f>
        <v/>
      </c>
      <c r="Q189" s="101">
        <v>40318</v>
      </c>
      <c r="R189" s="101"/>
      <c r="S189" s="99" t="s">
        <v>11</v>
      </c>
      <c r="T189" s="107" t="s">
        <v>4</v>
      </c>
      <c r="U189" s="99" t="s">
        <v>14</v>
      </c>
      <c r="V189" s="99" t="s">
        <v>1965</v>
      </c>
      <c r="W189" s="99" t="s">
        <v>1964</v>
      </c>
    </row>
    <row r="190" spans="1:23" ht="18.600000000000001" customHeight="1">
      <c r="A190" s="123" t="str">
        <f>IF(priority(Main[[#This Row],[Comments]])&lt;&gt;0, priority(Main[[#This Row],[Comments]]),"")</f>
        <v/>
      </c>
      <c r="B190" s="127" t="s">
        <v>2098</v>
      </c>
      <c r="C190" s="99" t="s">
        <v>4</v>
      </c>
      <c r="D190" s="100" t="s">
        <v>2097</v>
      </c>
      <c r="E190" s="101"/>
      <c r="F190" s="101"/>
      <c r="G190" s="102" t="str">
        <f>IF(stdProdLT(Main[[#This Row],[Comments]])=0.1,"N/A",IF(stdProdLT(Main[[#This Row],[Comments]])=0,"",stdProdLT(Main[[#This Row],[Comments]])))</f>
        <v/>
      </c>
      <c r="H190" s="103" t="str">
        <f>IF(AND(Main[[#This Row],[In Stock Date]]&lt;&gt;"",Main[[#This Row],[Revised Due Date]]&lt;&gt;""),Main[[#This Row],[In Stock Date]]-Main[[#This Row],[Revised Due Date]],"")</f>
        <v/>
      </c>
      <c r="I190" s="99" t="s">
        <v>4</v>
      </c>
      <c r="J190" s="99" t="s">
        <v>4</v>
      </c>
      <c r="K190" s="99" t="s">
        <v>4</v>
      </c>
      <c r="L190" s="101"/>
      <c r="M190" s="104" t="str">
        <f>IF(Main[[#This Row],[Tech Start Date]]&lt;1/1/1990,"",IF(Main[[#This Row],[Class]]="C",WORKDAY(Main[[#This Row],[Tech Start Date]],9),IF(Main[[#This Row],[Class]]="B", WORKDAY(Main[[#This Row],[Tech Start Date]],6),IF(Main[[#This Row],[Class]]="A",WORKDAY(Main[[#This Row],[Tech Start Date]],2),""))))</f>
        <v/>
      </c>
      <c r="N190" s="104" t="str">
        <f>IF(Main[[#This Row],[Tech Start Date]]&lt;1/1/1990,"",IF(Main[[#This Row],[Class]]="C",WORKDAY(Main[[#This Row],[Tech Start Date]],19),IF(Main[[#This Row],[Class]]="B", WORKDAY(Main[[#This Row],[Tech Start Date]],12),IF(Main[[#This Row],[Class]]="A",WORKDAY(Main[[#This Row],[Tech Start Date]],4),""))))</f>
        <v/>
      </c>
      <c r="O190" s="104" t="str">
        <f>IF(Main[[#This Row],[Tech Start Date]]&lt;1/1/1990,"",IF(Main[[#This Row],[Class]]="C",WORKDAY(Main[[#This Row],[Tech Start Date]],23),IF(Main[[#This Row],[Class]]="B", WORKDAY(Main[[#This Row],[Tech Start Date]],15),IF(Main[[#This Row],[Class]]="A",WORKDAY(Main[[#This Row],[Tech Start Date]],5),""))))</f>
        <v/>
      </c>
      <c r="P190" s="104" t="str">
        <f>IF(Main[[#This Row],[Tech Start Date]]&lt;1/1/1990,"",IF(Main[[#This Row],[Class]]="C",WORKDAY(Main[[#This Row],[Tech Start Date]],28),IF(Main[[#This Row],[Class]]="B", WORKDAY(Main[[#This Row],[Tech Start Date]],19),IF(Main[[#This Row],[Class]]="A",WORKDAY(Main[[#This Row],[Tech Start Date]],9),""))))</f>
        <v/>
      </c>
      <c r="Q190" s="101"/>
      <c r="R190" s="101"/>
      <c r="S190" s="99" t="s">
        <v>6</v>
      </c>
      <c r="T190" s="107" t="s">
        <v>4</v>
      </c>
      <c r="U190" s="99" t="s">
        <v>14</v>
      </c>
      <c r="V190" s="99" t="s">
        <v>1963</v>
      </c>
      <c r="W190" s="99" t="s">
        <v>1966</v>
      </c>
    </row>
    <row r="191" spans="1:23" ht="18.600000000000001" customHeight="1">
      <c r="A191" s="123" t="str">
        <f>IF(priority(Main[[#This Row],[Comments]])&lt;&gt;0, priority(Main[[#This Row],[Comments]]),"")</f>
        <v/>
      </c>
      <c r="B191" s="127" t="s">
        <v>1101</v>
      </c>
      <c r="C191" s="99" t="s">
        <v>19</v>
      </c>
      <c r="D191" s="100" t="s">
        <v>110</v>
      </c>
      <c r="E191" s="101"/>
      <c r="F191" s="101">
        <v>40548</v>
      </c>
      <c r="G191" s="102" t="str">
        <f>IF(stdProdLT(Main[[#This Row],[Comments]])=0.1,"N/A",IF(stdProdLT(Main[[#This Row],[Comments]])=0,"",stdProdLT(Main[[#This Row],[Comments]])))</f>
        <v/>
      </c>
      <c r="H191" s="103" t="str">
        <f>IF(AND(Main[[#This Row],[In Stock Date]]&lt;&gt;"",Main[[#This Row],[Revised Due Date]]&lt;&gt;""),Main[[#This Row],[In Stock Date]]-Main[[#This Row],[Revised Due Date]],"")</f>
        <v/>
      </c>
      <c r="I191" s="99" t="s">
        <v>4</v>
      </c>
      <c r="J191" s="99" t="s">
        <v>4</v>
      </c>
      <c r="K191" s="99" t="s">
        <v>4</v>
      </c>
      <c r="L191" s="101"/>
      <c r="M191" s="104" t="str">
        <f>IF(Main[[#This Row],[Tech Start Date]]&lt;1/1/1990,"",IF(Main[[#This Row],[Class]]="C",WORKDAY(Main[[#This Row],[Tech Start Date]],9),IF(Main[[#This Row],[Class]]="B", WORKDAY(Main[[#This Row],[Tech Start Date]],6),IF(Main[[#This Row],[Class]]="A",WORKDAY(Main[[#This Row],[Tech Start Date]],2),""))))</f>
        <v/>
      </c>
      <c r="N191" s="104" t="str">
        <f>IF(Main[[#This Row],[Tech Start Date]]&lt;1/1/1990,"",IF(Main[[#This Row],[Class]]="C",WORKDAY(Main[[#This Row],[Tech Start Date]],19),IF(Main[[#This Row],[Class]]="B", WORKDAY(Main[[#This Row],[Tech Start Date]],12),IF(Main[[#This Row],[Class]]="A",WORKDAY(Main[[#This Row],[Tech Start Date]],4),""))))</f>
        <v/>
      </c>
      <c r="O191" s="104" t="str">
        <f>IF(Main[[#This Row],[Tech Start Date]]&lt;1/1/1990,"",IF(Main[[#This Row],[Class]]="C",WORKDAY(Main[[#This Row],[Tech Start Date]],23),IF(Main[[#This Row],[Class]]="B", WORKDAY(Main[[#This Row],[Tech Start Date]],15),IF(Main[[#This Row],[Class]]="A",WORKDAY(Main[[#This Row],[Tech Start Date]],5),""))))</f>
        <v/>
      </c>
      <c r="P191" s="104" t="str">
        <f>IF(Main[[#This Row],[Tech Start Date]]&lt;1/1/1990,"",IF(Main[[#This Row],[Class]]="C",WORKDAY(Main[[#This Row],[Tech Start Date]],28),IF(Main[[#This Row],[Class]]="B", WORKDAY(Main[[#This Row],[Tech Start Date]],19),IF(Main[[#This Row],[Class]]="A",WORKDAY(Main[[#This Row],[Tech Start Date]],9),""))))</f>
        <v/>
      </c>
      <c r="Q191" s="101">
        <v>40415</v>
      </c>
      <c r="R191" s="101"/>
      <c r="S191" s="99" t="s">
        <v>17</v>
      </c>
      <c r="T191" s="107" t="s">
        <v>4</v>
      </c>
      <c r="U191" s="99" t="s">
        <v>12</v>
      </c>
      <c r="V191" s="99" t="s">
        <v>1965</v>
      </c>
      <c r="W191" s="99" t="s">
        <v>1970</v>
      </c>
    </row>
    <row r="192" spans="1:23" ht="18.600000000000001" customHeight="1">
      <c r="A192" s="123" t="str">
        <f>IF(priority(Main[[#This Row],[Comments]])&lt;&gt;0, priority(Main[[#This Row],[Comments]]),"")</f>
        <v/>
      </c>
      <c r="B192" s="127" t="s">
        <v>1094</v>
      </c>
      <c r="C192" s="99" t="s">
        <v>4</v>
      </c>
      <c r="D192" s="100" t="s">
        <v>97</v>
      </c>
      <c r="E192" s="101"/>
      <c r="F192" s="101"/>
      <c r="G192" s="102" t="str">
        <f>IF(stdProdLT(Main[[#This Row],[Comments]])=0.1,"N/A",IF(stdProdLT(Main[[#This Row],[Comments]])=0,"",stdProdLT(Main[[#This Row],[Comments]])))</f>
        <v/>
      </c>
      <c r="H192" s="103" t="str">
        <f>IF(AND(Main[[#This Row],[In Stock Date]]&lt;&gt;"",Main[[#This Row],[Revised Due Date]]&lt;&gt;""),Main[[#This Row],[In Stock Date]]-Main[[#This Row],[Revised Due Date]],"")</f>
        <v/>
      </c>
      <c r="I192" s="99" t="s">
        <v>4</v>
      </c>
      <c r="J192" s="99" t="s">
        <v>4</v>
      </c>
      <c r="K192" s="99" t="s">
        <v>4</v>
      </c>
      <c r="L192" s="101"/>
      <c r="M192" s="104" t="str">
        <f>IF(Main[[#This Row],[Tech Start Date]]&lt;1/1/1990,"",IF(Main[[#This Row],[Class]]="C",WORKDAY(Main[[#This Row],[Tech Start Date]],9),IF(Main[[#This Row],[Class]]="B", WORKDAY(Main[[#This Row],[Tech Start Date]],6),IF(Main[[#This Row],[Class]]="A",WORKDAY(Main[[#This Row],[Tech Start Date]],2),""))))</f>
        <v/>
      </c>
      <c r="N192" s="104" t="str">
        <f>IF(Main[[#This Row],[Tech Start Date]]&lt;1/1/1990,"",IF(Main[[#This Row],[Class]]="C",WORKDAY(Main[[#This Row],[Tech Start Date]],19),IF(Main[[#This Row],[Class]]="B", WORKDAY(Main[[#This Row],[Tech Start Date]],12),IF(Main[[#This Row],[Class]]="A",WORKDAY(Main[[#This Row],[Tech Start Date]],4),""))))</f>
        <v/>
      </c>
      <c r="O192" s="104" t="str">
        <f>IF(Main[[#This Row],[Tech Start Date]]&lt;1/1/1990,"",IF(Main[[#This Row],[Class]]="C",WORKDAY(Main[[#This Row],[Tech Start Date]],23),IF(Main[[#This Row],[Class]]="B", WORKDAY(Main[[#This Row],[Tech Start Date]],15),IF(Main[[#This Row],[Class]]="A",WORKDAY(Main[[#This Row],[Tech Start Date]],5),""))))</f>
        <v/>
      </c>
      <c r="P192" s="104" t="str">
        <f>IF(Main[[#This Row],[Tech Start Date]]&lt;1/1/1990,"",IF(Main[[#This Row],[Class]]="C",WORKDAY(Main[[#This Row],[Tech Start Date]],28),IF(Main[[#This Row],[Class]]="B", WORKDAY(Main[[#This Row],[Tech Start Date]],19),IF(Main[[#This Row],[Class]]="A",WORKDAY(Main[[#This Row],[Tech Start Date]],9),""))))</f>
        <v/>
      </c>
      <c r="Q192" s="101">
        <v>40858</v>
      </c>
      <c r="R192" s="101"/>
      <c r="S192" s="99" t="s">
        <v>17</v>
      </c>
      <c r="T192" s="107" t="s">
        <v>4</v>
      </c>
      <c r="U192" s="99" t="s">
        <v>14</v>
      </c>
      <c r="V192" s="99" t="s">
        <v>1962</v>
      </c>
      <c r="W192" s="99" t="s">
        <v>1967</v>
      </c>
    </row>
    <row r="193" spans="1:23" ht="18.600000000000001" customHeight="1">
      <c r="A193" s="123" t="str">
        <f>IF(priority(Main[[#This Row],[Comments]])&lt;&gt;0, priority(Main[[#This Row],[Comments]]),"")</f>
        <v/>
      </c>
      <c r="B193" s="127" t="s">
        <v>1095</v>
      </c>
      <c r="C193" s="99" t="s">
        <v>4</v>
      </c>
      <c r="D193" s="100" t="s">
        <v>98</v>
      </c>
      <c r="E193" s="101">
        <v>40373.607708333337</v>
      </c>
      <c r="F193" s="101"/>
      <c r="G193" s="102" t="str">
        <f>IF(stdProdLT(Main[[#This Row],[Comments]])=0.1,"N/A",IF(stdProdLT(Main[[#This Row],[Comments]])=0,"",stdProdLT(Main[[#This Row],[Comments]])))</f>
        <v/>
      </c>
      <c r="H193" s="103" t="str">
        <f>IF(AND(Main[[#This Row],[In Stock Date]]&lt;&gt;"",Main[[#This Row],[Revised Due Date]]&lt;&gt;""),Main[[#This Row],[In Stock Date]]-Main[[#This Row],[Revised Due Date]],"")</f>
        <v/>
      </c>
      <c r="I193" s="99" t="s">
        <v>4</v>
      </c>
      <c r="J193" s="99" t="s">
        <v>4</v>
      </c>
      <c r="K193" s="99" t="s">
        <v>4</v>
      </c>
      <c r="L193" s="101"/>
      <c r="M193" s="104" t="str">
        <f>IF(Main[[#This Row],[Tech Start Date]]&lt;1/1/1990,"",IF(Main[[#This Row],[Class]]="C",WORKDAY(Main[[#This Row],[Tech Start Date]],9),IF(Main[[#This Row],[Class]]="B", WORKDAY(Main[[#This Row],[Tech Start Date]],6),IF(Main[[#This Row],[Class]]="A",WORKDAY(Main[[#This Row],[Tech Start Date]],2),""))))</f>
        <v/>
      </c>
      <c r="N193" s="104" t="str">
        <f>IF(Main[[#This Row],[Tech Start Date]]&lt;1/1/1990,"",IF(Main[[#This Row],[Class]]="C",WORKDAY(Main[[#This Row],[Tech Start Date]],19),IF(Main[[#This Row],[Class]]="B", WORKDAY(Main[[#This Row],[Tech Start Date]],12),IF(Main[[#This Row],[Class]]="A",WORKDAY(Main[[#This Row],[Tech Start Date]],4),""))))</f>
        <v/>
      </c>
      <c r="O193" s="104" t="str">
        <f>IF(Main[[#This Row],[Tech Start Date]]&lt;1/1/1990,"",IF(Main[[#This Row],[Class]]="C",WORKDAY(Main[[#This Row],[Tech Start Date]],23),IF(Main[[#This Row],[Class]]="B", WORKDAY(Main[[#This Row],[Tech Start Date]],15),IF(Main[[#This Row],[Class]]="A",WORKDAY(Main[[#This Row],[Tech Start Date]],5),""))))</f>
        <v/>
      </c>
      <c r="P193" s="104" t="str">
        <f>IF(Main[[#This Row],[Tech Start Date]]&lt;1/1/1990,"",IF(Main[[#This Row],[Class]]="C",WORKDAY(Main[[#This Row],[Tech Start Date]],28),IF(Main[[#This Row],[Class]]="B", WORKDAY(Main[[#This Row],[Tech Start Date]],19),IF(Main[[#This Row],[Class]]="A",WORKDAY(Main[[#This Row],[Tech Start Date]],9),""))))</f>
        <v/>
      </c>
      <c r="Q193" s="101">
        <v>40382</v>
      </c>
      <c r="R193" s="101"/>
      <c r="S193" s="99" t="s">
        <v>6</v>
      </c>
      <c r="T193" s="107" t="s">
        <v>4</v>
      </c>
      <c r="U193" s="99" t="s">
        <v>7</v>
      </c>
      <c r="V193" s="99" t="s">
        <v>1962</v>
      </c>
      <c r="W193" s="99" t="s">
        <v>1966</v>
      </c>
    </row>
    <row r="194" spans="1:23" ht="18.600000000000001" customHeight="1">
      <c r="A194" s="123" t="str">
        <f>IF(priority(Main[[#This Row],[Comments]])&lt;&gt;0, priority(Main[[#This Row],[Comments]]),"")</f>
        <v/>
      </c>
      <c r="B194" s="127" t="s">
        <v>1096</v>
      </c>
      <c r="C194" s="99" t="s">
        <v>99</v>
      </c>
      <c r="D194" s="100" t="s">
        <v>100</v>
      </c>
      <c r="E194" s="101"/>
      <c r="F194" s="101"/>
      <c r="G194" s="102" t="str">
        <f>IF(stdProdLT(Main[[#This Row],[Comments]])=0.1,"N/A",IF(stdProdLT(Main[[#This Row],[Comments]])=0,"",stdProdLT(Main[[#This Row],[Comments]])))</f>
        <v/>
      </c>
      <c r="H194" s="103" t="str">
        <f>IF(AND(Main[[#This Row],[In Stock Date]]&lt;&gt;"",Main[[#This Row],[Revised Due Date]]&lt;&gt;""),Main[[#This Row],[In Stock Date]]-Main[[#This Row],[Revised Due Date]],"")</f>
        <v/>
      </c>
      <c r="I194" s="99" t="s">
        <v>4</v>
      </c>
      <c r="J194" s="99" t="s">
        <v>4</v>
      </c>
      <c r="K194" s="99" t="s">
        <v>4</v>
      </c>
      <c r="L194" s="101"/>
      <c r="M194" s="104" t="str">
        <f>IF(Main[[#This Row],[Tech Start Date]]&lt;1/1/1990,"",IF(Main[[#This Row],[Class]]="C",WORKDAY(Main[[#This Row],[Tech Start Date]],9),IF(Main[[#This Row],[Class]]="B", WORKDAY(Main[[#This Row],[Tech Start Date]],6),IF(Main[[#This Row],[Class]]="A",WORKDAY(Main[[#This Row],[Tech Start Date]],2),""))))</f>
        <v/>
      </c>
      <c r="N194" s="104" t="str">
        <f>IF(Main[[#This Row],[Tech Start Date]]&lt;1/1/1990,"",IF(Main[[#This Row],[Class]]="C",WORKDAY(Main[[#This Row],[Tech Start Date]],19),IF(Main[[#This Row],[Class]]="B", WORKDAY(Main[[#This Row],[Tech Start Date]],12),IF(Main[[#This Row],[Class]]="A",WORKDAY(Main[[#This Row],[Tech Start Date]],4),""))))</f>
        <v/>
      </c>
      <c r="O194" s="104" t="str">
        <f>IF(Main[[#This Row],[Tech Start Date]]&lt;1/1/1990,"",IF(Main[[#This Row],[Class]]="C",WORKDAY(Main[[#This Row],[Tech Start Date]],23),IF(Main[[#This Row],[Class]]="B", WORKDAY(Main[[#This Row],[Tech Start Date]],15),IF(Main[[#This Row],[Class]]="A",WORKDAY(Main[[#This Row],[Tech Start Date]],5),""))))</f>
        <v/>
      </c>
      <c r="P194" s="104" t="str">
        <f>IF(Main[[#This Row],[Tech Start Date]]&lt;1/1/1990,"",IF(Main[[#This Row],[Class]]="C",WORKDAY(Main[[#This Row],[Tech Start Date]],28),IF(Main[[#This Row],[Class]]="B", WORKDAY(Main[[#This Row],[Tech Start Date]],19),IF(Main[[#This Row],[Class]]="A",WORKDAY(Main[[#This Row],[Tech Start Date]],9),""))))</f>
        <v/>
      </c>
      <c r="Q194" s="101"/>
      <c r="R194" s="101"/>
      <c r="S194" s="99" t="s">
        <v>49</v>
      </c>
      <c r="T194" s="107" t="s">
        <v>4</v>
      </c>
      <c r="U194" s="99" t="s">
        <v>12</v>
      </c>
      <c r="V194" s="99" t="s">
        <v>1963</v>
      </c>
      <c r="W194" s="99" t="s">
        <v>1964</v>
      </c>
    </row>
    <row r="195" spans="1:23" ht="18.600000000000001" customHeight="1">
      <c r="A195" s="123" t="str">
        <f>IF(priority(Main[[#This Row],[Comments]])&lt;&gt;0, priority(Main[[#This Row],[Comments]]),"")</f>
        <v/>
      </c>
      <c r="B195" s="127" t="s">
        <v>1097</v>
      </c>
      <c r="C195" s="99" t="s">
        <v>67</v>
      </c>
      <c r="D195" s="100" t="s">
        <v>101</v>
      </c>
      <c r="E195" s="101"/>
      <c r="F195" s="101">
        <v>40664</v>
      </c>
      <c r="G195" s="102" t="str">
        <f>IF(stdProdLT(Main[[#This Row],[Comments]])=0.1,"N/A",IF(stdProdLT(Main[[#This Row],[Comments]])=0,"",stdProdLT(Main[[#This Row],[Comments]])))</f>
        <v/>
      </c>
      <c r="H195" s="103" t="str">
        <f>IF(AND(Main[[#This Row],[In Stock Date]]&lt;&gt;"",Main[[#This Row],[Revised Due Date]]&lt;&gt;""),Main[[#This Row],[In Stock Date]]-Main[[#This Row],[Revised Due Date]],"")</f>
        <v/>
      </c>
      <c r="I195" s="99" t="s">
        <v>102</v>
      </c>
      <c r="J195" s="99" t="s">
        <v>51</v>
      </c>
      <c r="K195" s="99" t="s">
        <v>1971</v>
      </c>
      <c r="L195" s="101"/>
      <c r="M195" s="104" t="str">
        <f>IF(Main[[#This Row],[Tech Start Date]]&lt;1/1/1990,"",IF(Main[[#This Row],[Class]]="C",WORKDAY(Main[[#This Row],[Tech Start Date]],9),IF(Main[[#This Row],[Class]]="B", WORKDAY(Main[[#This Row],[Tech Start Date]],6),IF(Main[[#This Row],[Class]]="A",WORKDAY(Main[[#This Row],[Tech Start Date]],2),""))))</f>
        <v/>
      </c>
      <c r="N195" s="104" t="str">
        <f>IF(Main[[#This Row],[Tech Start Date]]&lt;1/1/1990,"",IF(Main[[#This Row],[Class]]="C",WORKDAY(Main[[#This Row],[Tech Start Date]],19),IF(Main[[#This Row],[Class]]="B", WORKDAY(Main[[#This Row],[Tech Start Date]],12),IF(Main[[#This Row],[Class]]="A",WORKDAY(Main[[#This Row],[Tech Start Date]],4),""))))</f>
        <v/>
      </c>
      <c r="O195" s="104" t="str">
        <f>IF(Main[[#This Row],[Tech Start Date]]&lt;1/1/1990,"",IF(Main[[#This Row],[Class]]="C",WORKDAY(Main[[#This Row],[Tech Start Date]],23),IF(Main[[#This Row],[Class]]="B", WORKDAY(Main[[#This Row],[Tech Start Date]],15),IF(Main[[#This Row],[Class]]="A",WORKDAY(Main[[#This Row],[Tech Start Date]],5),""))))</f>
        <v/>
      </c>
      <c r="P195" s="104" t="str">
        <f>IF(Main[[#This Row],[Tech Start Date]]&lt;1/1/1990,"",IF(Main[[#This Row],[Class]]="C",WORKDAY(Main[[#This Row],[Tech Start Date]],28),IF(Main[[#This Row],[Class]]="B", WORKDAY(Main[[#This Row],[Tech Start Date]],19),IF(Main[[#This Row],[Class]]="A",WORKDAY(Main[[#This Row],[Tech Start Date]],9),""))))</f>
        <v/>
      </c>
      <c r="Q195" s="101">
        <v>40585</v>
      </c>
      <c r="R195" s="101"/>
      <c r="S195" s="99" t="s">
        <v>11</v>
      </c>
      <c r="T195" s="107" t="s">
        <v>4</v>
      </c>
      <c r="U195" s="99" t="s">
        <v>14</v>
      </c>
      <c r="V195" s="99" t="s">
        <v>1962</v>
      </c>
      <c r="W195" s="99" t="s">
        <v>1968</v>
      </c>
    </row>
    <row r="196" spans="1:23" ht="18.600000000000001" customHeight="1">
      <c r="A196" s="123" t="str">
        <f>IF(priority(Main[[#This Row],[Comments]])&lt;&gt;0, priority(Main[[#This Row],[Comments]]),"")</f>
        <v/>
      </c>
      <c r="B196" s="127" t="s">
        <v>2413</v>
      </c>
      <c r="C196" s="99" t="s">
        <v>4</v>
      </c>
      <c r="D196" s="100" t="s">
        <v>2414</v>
      </c>
      <c r="E196" s="101">
        <v>40876.646504629629</v>
      </c>
      <c r="F196" s="101"/>
      <c r="G196" s="102" t="str">
        <f>IF(stdProdLT(Main[[#This Row],[Comments]])=0.1,"N/A",IF(stdProdLT(Main[[#This Row],[Comments]])=0,"",stdProdLT(Main[[#This Row],[Comments]])))</f>
        <v/>
      </c>
      <c r="H196" s="103" t="str">
        <f>IF(AND(Main[[#This Row],[In Stock Date]]&lt;&gt;"",Main[[#This Row],[Revised Due Date]]&lt;&gt;""),Main[[#This Row],[In Stock Date]]-Main[[#This Row],[Revised Due Date]],"")</f>
        <v/>
      </c>
      <c r="I196" s="99" t="s">
        <v>4</v>
      </c>
      <c r="J196" s="99" t="s">
        <v>4</v>
      </c>
      <c r="K196" s="99" t="s">
        <v>4</v>
      </c>
      <c r="L196" s="101"/>
      <c r="M196" s="104" t="str">
        <f>IF(Main[[#This Row],[Tech Start Date]]&lt;1/1/1990,"",IF(Main[[#This Row],[Class]]="C",WORKDAY(Main[[#This Row],[Tech Start Date]],9),IF(Main[[#This Row],[Class]]="B", WORKDAY(Main[[#This Row],[Tech Start Date]],6),IF(Main[[#This Row],[Class]]="A",WORKDAY(Main[[#This Row],[Tech Start Date]],2),""))))</f>
        <v/>
      </c>
      <c r="N196" s="104" t="str">
        <f>IF(Main[[#This Row],[Tech Start Date]]&lt;1/1/1990,"",IF(Main[[#This Row],[Class]]="C",WORKDAY(Main[[#This Row],[Tech Start Date]],19),IF(Main[[#This Row],[Class]]="B", WORKDAY(Main[[#This Row],[Tech Start Date]],12),IF(Main[[#This Row],[Class]]="A",WORKDAY(Main[[#This Row],[Tech Start Date]],4),""))))</f>
        <v/>
      </c>
      <c r="O196" s="104" t="str">
        <f>IF(Main[[#This Row],[Tech Start Date]]&lt;1/1/1990,"",IF(Main[[#This Row],[Class]]="C",WORKDAY(Main[[#This Row],[Tech Start Date]],23),IF(Main[[#This Row],[Class]]="B", WORKDAY(Main[[#This Row],[Tech Start Date]],15),IF(Main[[#This Row],[Class]]="A",WORKDAY(Main[[#This Row],[Tech Start Date]],5),""))))</f>
        <v/>
      </c>
      <c r="P196" s="104" t="str">
        <f>IF(Main[[#This Row],[Tech Start Date]]&lt;1/1/1990,"",IF(Main[[#This Row],[Class]]="C",WORKDAY(Main[[#This Row],[Tech Start Date]],28),IF(Main[[#This Row],[Class]]="B", WORKDAY(Main[[#This Row],[Tech Start Date]],19),IF(Main[[#This Row],[Class]]="A",WORKDAY(Main[[#This Row],[Tech Start Date]],9),""))))</f>
        <v/>
      </c>
      <c r="Q196" s="101"/>
      <c r="R196" s="101"/>
      <c r="S196" s="99" t="s">
        <v>23</v>
      </c>
      <c r="T196" s="107" t="s">
        <v>4</v>
      </c>
      <c r="U196" s="99" t="s">
        <v>29</v>
      </c>
      <c r="V196" s="99" t="s">
        <v>1965</v>
      </c>
      <c r="W196" s="99" t="s">
        <v>1970</v>
      </c>
    </row>
    <row r="197" spans="1:23" ht="18.600000000000001" customHeight="1">
      <c r="A197" s="123" t="str">
        <f>IF(priority(Main[[#This Row],[Comments]])&lt;&gt;0, priority(Main[[#This Row],[Comments]]),"")</f>
        <v/>
      </c>
      <c r="B197" s="127" t="s">
        <v>1099</v>
      </c>
      <c r="C197" s="99" t="s">
        <v>31</v>
      </c>
      <c r="D197" s="100" t="s">
        <v>104</v>
      </c>
      <c r="E197" s="101"/>
      <c r="F197" s="101"/>
      <c r="G197" s="102" t="str">
        <f>IF(stdProdLT(Main[[#This Row],[Comments]])=0.1,"N/A",IF(stdProdLT(Main[[#This Row],[Comments]])=0,"",stdProdLT(Main[[#This Row],[Comments]])))</f>
        <v/>
      </c>
      <c r="H197" s="103" t="str">
        <f>IF(AND(Main[[#This Row],[In Stock Date]]&lt;&gt;"",Main[[#This Row],[Revised Due Date]]&lt;&gt;""),Main[[#This Row],[In Stock Date]]-Main[[#This Row],[Revised Due Date]],"")</f>
        <v/>
      </c>
      <c r="I197" s="99" t="s">
        <v>4</v>
      </c>
      <c r="J197" s="99" t="s">
        <v>4</v>
      </c>
      <c r="K197" s="99" t="s">
        <v>4</v>
      </c>
      <c r="L197" s="101"/>
      <c r="M197" s="104" t="str">
        <f>IF(Main[[#This Row],[Tech Start Date]]&lt;1/1/1990,"",IF(Main[[#This Row],[Class]]="C",WORKDAY(Main[[#This Row],[Tech Start Date]],9),IF(Main[[#This Row],[Class]]="B", WORKDAY(Main[[#This Row],[Tech Start Date]],6),IF(Main[[#This Row],[Class]]="A",WORKDAY(Main[[#This Row],[Tech Start Date]],2),""))))</f>
        <v/>
      </c>
      <c r="N197" s="104" t="str">
        <f>IF(Main[[#This Row],[Tech Start Date]]&lt;1/1/1990,"",IF(Main[[#This Row],[Class]]="C",WORKDAY(Main[[#This Row],[Tech Start Date]],19),IF(Main[[#This Row],[Class]]="B", WORKDAY(Main[[#This Row],[Tech Start Date]],12),IF(Main[[#This Row],[Class]]="A",WORKDAY(Main[[#This Row],[Tech Start Date]],4),""))))</f>
        <v/>
      </c>
      <c r="O197" s="104" t="str">
        <f>IF(Main[[#This Row],[Tech Start Date]]&lt;1/1/1990,"",IF(Main[[#This Row],[Class]]="C",WORKDAY(Main[[#This Row],[Tech Start Date]],23),IF(Main[[#This Row],[Class]]="B", WORKDAY(Main[[#This Row],[Tech Start Date]],15),IF(Main[[#This Row],[Class]]="A",WORKDAY(Main[[#This Row],[Tech Start Date]],5),""))))</f>
        <v/>
      </c>
      <c r="P197" s="104" t="str">
        <f>IF(Main[[#This Row],[Tech Start Date]]&lt;1/1/1990,"",IF(Main[[#This Row],[Class]]="C",WORKDAY(Main[[#This Row],[Tech Start Date]],28),IF(Main[[#This Row],[Class]]="B", WORKDAY(Main[[#This Row],[Tech Start Date]],19),IF(Main[[#This Row],[Class]]="A",WORKDAY(Main[[#This Row],[Tech Start Date]],9),""))))</f>
        <v/>
      </c>
      <c r="Q197" s="101">
        <v>40318</v>
      </c>
      <c r="R197" s="101"/>
      <c r="S197" s="99" t="s">
        <v>11</v>
      </c>
      <c r="T197" s="107" t="s">
        <v>4</v>
      </c>
      <c r="U197" s="99" t="s">
        <v>14</v>
      </c>
      <c r="V197" s="99" t="s">
        <v>1972</v>
      </c>
      <c r="W197" s="99" t="s">
        <v>1964</v>
      </c>
    </row>
    <row r="198" spans="1:23" ht="18.600000000000001" customHeight="1">
      <c r="A198" s="123" t="str">
        <f>IF(priority(Main[[#This Row],[Comments]])&lt;&gt;0, priority(Main[[#This Row],[Comments]]),"")</f>
        <v/>
      </c>
      <c r="B198" s="127" t="s">
        <v>2125</v>
      </c>
      <c r="C198" s="99" t="s">
        <v>4</v>
      </c>
      <c r="D198" s="100" t="s">
        <v>2126</v>
      </c>
      <c r="E198" s="101"/>
      <c r="F198" s="101"/>
      <c r="G198" s="102" t="str">
        <f>IF(stdProdLT(Main[[#This Row],[Comments]])=0.1,"N/A",IF(stdProdLT(Main[[#This Row],[Comments]])=0,"",stdProdLT(Main[[#This Row],[Comments]])))</f>
        <v/>
      </c>
      <c r="H198" s="103" t="str">
        <f>IF(AND(Main[[#This Row],[In Stock Date]]&lt;&gt;"",Main[[#This Row],[Revised Due Date]]&lt;&gt;""),Main[[#This Row],[In Stock Date]]-Main[[#This Row],[Revised Due Date]],"")</f>
        <v/>
      </c>
      <c r="I198" s="99" t="s">
        <v>4</v>
      </c>
      <c r="J198" s="99" t="s">
        <v>4</v>
      </c>
      <c r="K198" s="99" t="s">
        <v>4</v>
      </c>
      <c r="L198" s="101"/>
      <c r="M198" s="104" t="str">
        <f>IF(Main[[#This Row],[Tech Start Date]]&lt;1/1/1990,"",IF(Main[[#This Row],[Class]]="C",WORKDAY(Main[[#This Row],[Tech Start Date]],9),IF(Main[[#This Row],[Class]]="B", WORKDAY(Main[[#This Row],[Tech Start Date]],6),IF(Main[[#This Row],[Class]]="A",WORKDAY(Main[[#This Row],[Tech Start Date]],2),""))))</f>
        <v/>
      </c>
      <c r="N198" s="104" t="str">
        <f>IF(Main[[#This Row],[Tech Start Date]]&lt;1/1/1990,"",IF(Main[[#This Row],[Class]]="C",WORKDAY(Main[[#This Row],[Tech Start Date]],19),IF(Main[[#This Row],[Class]]="B", WORKDAY(Main[[#This Row],[Tech Start Date]],12),IF(Main[[#This Row],[Class]]="A",WORKDAY(Main[[#This Row],[Tech Start Date]],4),""))))</f>
        <v/>
      </c>
      <c r="O198" s="104" t="str">
        <f>IF(Main[[#This Row],[Tech Start Date]]&lt;1/1/1990,"",IF(Main[[#This Row],[Class]]="C",WORKDAY(Main[[#This Row],[Tech Start Date]],23),IF(Main[[#This Row],[Class]]="B", WORKDAY(Main[[#This Row],[Tech Start Date]],15),IF(Main[[#This Row],[Class]]="A",WORKDAY(Main[[#This Row],[Tech Start Date]],5),""))))</f>
        <v/>
      </c>
      <c r="P198" s="104" t="str">
        <f>IF(Main[[#This Row],[Tech Start Date]]&lt;1/1/1990,"",IF(Main[[#This Row],[Class]]="C",WORKDAY(Main[[#This Row],[Tech Start Date]],28),IF(Main[[#This Row],[Class]]="B", WORKDAY(Main[[#This Row],[Tech Start Date]],19),IF(Main[[#This Row],[Class]]="A",WORKDAY(Main[[#This Row],[Tech Start Date]],9),""))))</f>
        <v/>
      </c>
      <c r="Q198" s="101">
        <v>40798</v>
      </c>
      <c r="R198" s="101"/>
      <c r="S198" s="99" t="s">
        <v>6</v>
      </c>
      <c r="T198" s="107" t="s">
        <v>4</v>
      </c>
      <c r="U198" s="99" t="s">
        <v>12</v>
      </c>
      <c r="V198" s="99" t="s">
        <v>1965</v>
      </c>
      <c r="W198" s="99" t="s">
        <v>4</v>
      </c>
    </row>
    <row r="199" spans="1:23" ht="18.600000000000001" customHeight="1">
      <c r="A199" s="123" t="str">
        <f>IF(priority(Main[[#This Row],[Comments]])&lt;&gt;0, priority(Main[[#This Row],[Comments]]),"")</f>
        <v/>
      </c>
      <c r="B199" s="127" t="s">
        <v>1102</v>
      </c>
      <c r="C199" s="99" t="s">
        <v>4</v>
      </c>
      <c r="D199" s="100" t="s">
        <v>111</v>
      </c>
      <c r="E199" s="101"/>
      <c r="F199" s="101"/>
      <c r="G199" s="102" t="str">
        <f>IF(stdProdLT(Main[[#This Row],[Comments]])=0.1,"N/A",IF(stdProdLT(Main[[#This Row],[Comments]])=0,"",stdProdLT(Main[[#This Row],[Comments]])))</f>
        <v/>
      </c>
      <c r="H199" s="103" t="str">
        <f>IF(AND(Main[[#This Row],[In Stock Date]]&lt;&gt;"",Main[[#This Row],[Revised Due Date]]&lt;&gt;""),Main[[#This Row],[In Stock Date]]-Main[[#This Row],[Revised Due Date]],"")</f>
        <v/>
      </c>
      <c r="I199" s="99" t="s">
        <v>311</v>
      </c>
      <c r="J199" s="99" t="s">
        <v>75</v>
      </c>
      <c r="K199" s="108" t="s">
        <v>1971</v>
      </c>
      <c r="L199" s="101"/>
      <c r="M199" s="104" t="str">
        <f>IF(Main[[#This Row],[Tech Start Date]]&lt;1/1/1990,"",IF(Main[[#This Row],[Class]]="C",WORKDAY(Main[[#This Row],[Tech Start Date]],9),IF(Main[[#This Row],[Class]]="B", WORKDAY(Main[[#This Row],[Tech Start Date]],6),IF(Main[[#This Row],[Class]]="A",WORKDAY(Main[[#This Row],[Tech Start Date]],2),""))))</f>
        <v/>
      </c>
      <c r="N199" s="104" t="str">
        <f>IF(Main[[#This Row],[Tech Start Date]]&lt;1/1/1990,"",IF(Main[[#This Row],[Class]]="C",WORKDAY(Main[[#This Row],[Tech Start Date]],19),IF(Main[[#This Row],[Class]]="B", WORKDAY(Main[[#This Row],[Tech Start Date]],12),IF(Main[[#This Row],[Class]]="A",WORKDAY(Main[[#This Row],[Tech Start Date]],4),""))))</f>
        <v/>
      </c>
      <c r="O199" s="104" t="str">
        <f>IF(Main[[#This Row],[Tech Start Date]]&lt;1/1/1990,"",IF(Main[[#This Row],[Class]]="C",WORKDAY(Main[[#This Row],[Tech Start Date]],23),IF(Main[[#This Row],[Class]]="B", WORKDAY(Main[[#This Row],[Tech Start Date]],15),IF(Main[[#This Row],[Class]]="A",WORKDAY(Main[[#This Row],[Tech Start Date]],5),""))))</f>
        <v/>
      </c>
      <c r="P199" s="104" t="str">
        <f>IF(Main[[#This Row],[Tech Start Date]]&lt;1/1/1990,"",IF(Main[[#This Row],[Class]]="C",WORKDAY(Main[[#This Row],[Tech Start Date]],28),IF(Main[[#This Row],[Class]]="B", WORKDAY(Main[[#This Row],[Tech Start Date]],19),IF(Main[[#This Row],[Class]]="A",WORKDAY(Main[[#This Row],[Tech Start Date]],9),""))))</f>
        <v/>
      </c>
      <c r="Q199" s="101">
        <v>40336</v>
      </c>
      <c r="R199" s="101"/>
      <c r="S199" s="99" t="s">
        <v>6</v>
      </c>
      <c r="T199" s="107" t="s">
        <v>4</v>
      </c>
      <c r="U199" s="99" t="s">
        <v>14</v>
      </c>
      <c r="V199" s="99" t="s">
        <v>1965</v>
      </c>
      <c r="W199" s="99" t="s">
        <v>1964</v>
      </c>
    </row>
    <row r="200" spans="1:23" ht="18.600000000000001" customHeight="1">
      <c r="A200" s="123" t="str">
        <f>IF(priority(Main[[#This Row],[Comments]])&lt;&gt;0, priority(Main[[#This Row],[Comments]]),"")</f>
        <v/>
      </c>
      <c r="B200" s="127" t="s">
        <v>2224</v>
      </c>
      <c r="C200" s="99" t="s">
        <v>2225</v>
      </c>
      <c r="D200" s="100" t="s">
        <v>2226</v>
      </c>
      <c r="E200" s="101"/>
      <c r="F200" s="101">
        <v>40920</v>
      </c>
      <c r="G200" s="102" t="str">
        <f>IF(stdProdLT(Main[[#This Row],[Comments]])=0.1,"N/A",IF(stdProdLT(Main[[#This Row],[Comments]])=0,"",stdProdLT(Main[[#This Row],[Comments]])))</f>
        <v/>
      </c>
      <c r="H200" s="103" t="str">
        <f>IF(AND(Main[[#This Row],[In Stock Date]]&lt;&gt;"",Main[[#This Row],[Revised Due Date]]&lt;&gt;""),Main[[#This Row],[In Stock Date]]-Main[[#This Row],[Revised Due Date]],"")</f>
        <v/>
      </c>
      <c r="I200" s="99" t="s">
        <v>4</v>
      </c>
      <c r="J200" s="99" t="s">
        <v>28</v>
      </c>
      <c r="K200" s="99" t="s">
        <v>1971</v>
      </c>
      <c r="L200" s="101"/>
      <c r="M200" s="104" t="str">
        <f>IF(Main[[#This Row],[Tech Start Date]]&lt;1/1/1990,"",IF(Main[[#This Row],[Class]]="C",WORKDAY(Main[[#This Row],[Tech Start Date]],9),IF(Main[[#This Row],[Class]]="B", WORKDAY(Main[[#This Row],[Tech Start Date]],6),IF(Main[[#This Row],[Class]]="A",WORKDAY(Main[[#This Row],[Tech Start Date]],2),""))))</f>
        <v/>
      </c>
      <c r="N200" s="104" t="str">
        <f>IF(Main[[#This Row],[Tech Start Date]]&lt;1/1/1990,"",IF(Main[[#This Row],[Class]]="C",WORKDAY(Main[[#This Row],[Tech Start Date]],19),IF(Main[[#This Row],[Class]]="B", WORKDAY(Main[[#This Row],[Tech Start Date]],12),IF(Main[[#This Row],[Class]]="A",WORKDAY(Main[[#This Row],[Tech Start Date]],4),""))))</f>
        <v/>
      </c>
      <c r="O200" s="104" t="str">
        <f>IF(Main[[#This Row],[Tech Start Date]]&lt;1/1/1990,"",IF(Main[[#This Row],[Class]]="C",WORKDAY(Main[[#This Row],[Tech Start Date]],23),IF(Main[[#This Row],[Class]]="B", WORKDAY(Main[[#This Row],[Tech Start Date]],15),IF(Main[[#This Row],[Class]]="A",WORKDAY(Main[[#This Row],[Tech Start Date]],5),""))))</f>
        <v/>
      </c>
      <c r="P200" s="104" t="str">
        <f>IF(Main[[#This Row],[Tech Start Date]]&lt;1/1/1990,"",IF(Main[[#This Row],[Class]]="C",WORKDAY(Main[[#This Row],[Tech Start Date]],28),IF(Main[[#This Row],[Class]]="B", WORKDAY(Main[[#This Row],[Tech Start Date]],19),IF(Main[[#This Row],[Class]]="A",WORKDAY(Main[[#This Row],[Tech Start Date]],9),""))))</f>
        <v/>
      </c>
      <c r="Q200" s="101"/>
      <c r="R200" s="101"/>
      <c r="S200" s="99" t="s">
        <v>11</v>
      </c>
      <c r="T200" s="107" t="s">
        <v>4</v>
      </c>
      <c r="U200" s="99" t="s">
        <v>14</v>
      </c>
      <c r="V200" s="99" t="s">
        <v>1965</v>
      </c>
      <c r="W200" s="99" t="s">
        <v>1970</v>
      </c>
    </row>
    <row r="201" spans="1:23" ht="18.600000000000001" customHeight="1">
      <c r="A201" s="123" t="str">
        <f>IF(priority(Main[[#This Row],[Comments]])&lt;&gt;0, priority(Main[[#This Row],[Comments]]),"")</f>
        <v/>
      </c>
      <c r="B201" s="127" t="s">
        <v>1103</v>
      </c>
      <c r="C201" s="99" t="s">
        <v>4</v>
      </c>
      <c r="D201" s="100" t="s">
        <v>112</v>
      </c>
      <c r="E201" s="101"/>
      <c r="F201" s="101"/>
      <c r="G201" s="102" t="str">
        <f>IF(stdProdLT(Main[[#This Row],[Comments]])=0.1,"N/A",IF(stdProdLT(Main[[#This Row],[Comments]])=0,"",stdProdLT(Main[[#This Row],[Comments]])))</f>
        <v/>
      </c>
      <c r="H201" s="103" t="str">
        <f>IF(AND(Main[[#This Row],[In Stock Date]]&lt;&gt;"",Main[[#This Row],[Revised Due Date]]&lt;&gt;""),Main[[#This Row],[In Stock Date]]-Main[[#This Row],[Revised Due Date]],"")</f>
        <v/>
      </c>
      <c r="I201" s="99" t="s">
        <v>4</v>
      </c>
      <c r="J201" s="99" t="s">
        <v>4</v>
      </c>
      <c r="K201" s="99" t="s">
        <v>4</v>
      </c>
      <c r="L201" s="101"/>
      <c r="M201" s="104" t="str">
        <f>IF(Main[[#This Row],[Tech Start Date]]&lt;1/1/1990,"",IF(Main[[#This Row],[Class]]="C",WORKDAY(Main[[#This Row],[Tech Start Date]],9),IF(Main[[#This Row],[Class]]="B", WORKDAY(Main[[#This Row],[Tech Start Date]],6),IF(Main[[#This Row],[Class]]="A",WORKDAY(Main[[#This Row],[Tech Start Date]],2),""))))</f>
        <v/>
      </c>
      <c r="N201" s="104" t="str">
        <f>IF(Main[[#This Row],[Tech Start Date]]&lt;1/1/1990,"",IF(Main[[#This Row],[Class]]="C",WORKDAY(Main[[#This Row],[Tech Start Date]],19),IF(Main[[#This Row],[Class]]="B", WORKDAY(Main[[#This Row],[Tech Start Date]],12),IF(Main[[#This Row],[Class]]="A",WORKDAY(Main[[#This Row],[Tech Start Date]],4),""))))</f>
        <v/>
      </c>
      <c r="O201" s="104" t="str">
        <f>IF(Main[[#This Row],[Tech Start Date]]&lt;1/1/1990,"",IF(Main[[#This Row],[Class]]="C",WORKDAY(Main[[#This Row],[Tech Start Date]],23),IF(Main[[#This Row],[Class]]="B", WORKDAY(Main[[#This Row],[Tech Start Date]],15),IF(Main[[#This Row],[Class]]="A",WORKDAY(Main[[#This Row],[Tech Start Date]],5),""))))</f>
        <v/>
      </c>
      <c r="P201" s="104" t="str">
        <f>IF(Main[[#This Row],[Tech Start Date]]&lt;1/1/1990,"",IF(Main[[#This Row],[Class]]="C",WORKDAY(Main[[#This Row],[Tech Start Date]],28),IF(Main[[#This Row],[Class]]="B", WORKDAY(Main[[#This Row],[Tech Start Date]],19),IF(Main[[#This Row],[Class]]="A",WORKDAY(Main[[#This Row],[Tech Start Date]],9),""))))</f>
        <v/>
      </c>
      <c r="Q201" s="101"/>
      <c r="R201" s="101"/>
      <c r="S201" s="99" t="s">
        <v>23</v>
      </c>
      <c r="T201" s="107" t="s">
        <v>4</v>
      </c>
      <c r="U201" s="99" t="s">
        <v>14</v>
      </c>
      <c r="V201" s="99" t="s">
        <v>1962</v>
      </c>
      <c r="W201" s="99" t="s">
        <v>1970</v>
      </c>
    </row>
    <row r="202" spans="1:23" ht="18.600000000000001" customHeight="1">
      <c r="A202" s="123" t="str">
        <f>IF(priority(Main[[#This Row],[Comments]])&lt;&gt;0, priority(Main[[#This Row],[Comments]]),"")</f>
        <v/>
      </c>
      <c r="B202" s="127" t="s">
        <v>1104</v>
      </c>
      <c r="C202" s="99" t="s">
        <v>113</v>
      </c>
      <c r="D202" s="100" t="s">
        <v>114</v>
      </c>
      <c r="E202" s="101"/>
      <c r="F202" s="101"/>
      <c r="G202" s="102" t="str">
        <f>IF(stdProdLT(Main[[#This Row],[Comments]])=0.1,"N/A",IF(stdProdLT(Main[[#This Row],[Comments]])=0,"",stdProdLT(Main[[#This Row],[Comments]])))</f>
        <v/>
      </c>
      <c r="H202" s="103" t="str">
        <f>IF(AND(Main[[#This Row],[In Stock Date]]&lt;&gt;"",Main[[#This Row],[Revised Due Date]]&lt;&gt;""),Main[[#This Row],[In Stock Date]]-Main[[#This Row],[Revised Due Date]],"")</f>
        <v/>
      </c>
      <c r="I202" s="99" t="s">
        <v>4</v>
      </c>
      <c r="J202" s="99" t="s">
        <v>28</v>
      </c>
      <c r="K202" s="99" t="s">
        <v>4</v>
      </c>
      <c r="L202" s="101"/>
      <c r="M202" s="104" t="str">
        <f>IF(Main[[#This Row],[Tech Start Date]]&lt;1/1/1990,"",IF(Main[[#This Row],[Class]]="C",WORKDAY(Main[[#This Row],[Tech Start Date]],9),IF(Main[[#This Row],[Class]]="B", WORKDAY(Main[[#This Row],[Tech Start Date]],6),IF(Main[[#This Row],[Class]]="A",WORKDAY(Main[[#This Row],[Tech Start Date]],2),""))))</f>
        <v/>
      </c>
      <c r="N202" s="104" t="str">
        <f>IF(Main[[#This Row],[Tech Start Date]]&lt;1/1/1990,"",IF(Main[[#This Row],[Class]]="C",WORKDAY(Main[[#This Row],[Tech Start Date]],19),IF(Main[[#This Row],[Class]]="B", WORKDAY(Main[[#This Row],[Tech Start Date]],12),IF(Main[[#This Row],[Class]]="A",WORKDAY(Main[[#This Row],[Tech Start Date]],4),""))))</f>
        <v/>
      </c>
      <c r="O202" s="104" t="str">
        <f>IF(Main[[#This Row],[Tech Start Date]]&lt;1/1/1990,"",IF(Main[[#This Row],[Class]]="C",WORKDAY(Main[[#This Row],[Tech Start Date]],23),IF(Main[[#This Row],[Class]]="B", WORKDAY(Main[[#This Row],[Tech Start Date]],15),IF(Main[[#This Row],[Class]]="A",WORKDAY(Main[[#This Row],[Tech Start Date]],5),""))))</f>
        <v/>
      </c>
      <c r="P202" s="104" t="str">
        <f>IF(Main[[#This Row],[Tech Start Date]]&lt;1/1/1990,"",IF(Main[[#This Row],[Class]]="C",WORKDAY(Main[[#This Row],[Tech Start Date]],28),IF(Main[[#This Row],[Class]]="B", WORKDAY(Main[[#This Row],[Tech Start Date]],19),IF(Main[[#This Row],[Class]]="A",WORKDAY(Main[[#This Row],[Tech Start Date]],9),""))))</f>
        <v/>
      </c>
      <c r="Q202" s="101">
        <v>40634</v>
      </c>
      <c r="R202" s="101"/>
      <c r="S202" s="99" t="s">
        <v>11</v>
      </c>
      <c r="T202" s="107" t="s">
        <v>4</v>
      </c>
      <c r="U202" s="99" t="s">
        <v>12</v>
      </c>
      <c r="V202" s="99" t="s">
        <v>1962</v>
      </c>
      <c r="W202" s="99" t="s">
        <v>1964</v>
      </c>
    </row>
    <row r="203" spans="1:23" ht="18.600000000000001" customHeight="1">
      <c r="A203" s="123" t="str">
        <f>IF(priority(Main[[#This Row],[Comments]])&lt;&gt;0, priority(Main[[#This Row],[Comments]]),"")</f>
        <v/>
      </c>
      <c r="B203" s="127" t="s">
        <v>2002</v>
      </c>
      <c r="C203" s="99" t="s">
        <v>4</v>
      </c>
      <c r="D203" s="100" t="s">
        <v>2028</v>
      </c>
      <c r="E203" s="101"/>
      <c r="F203" s="101"/>
      <c r="G203" s="102" t="str">
        <f>IF(stdProdLT(Main[[#This Row],[Comments]])=0.1,"N/A",IF(stdProdLT(Main[[#This Row],[Comments]])=0,"",stdProdLT(Main[[#This Row],[Comments]])))</f>
        <v/>
      </c>
      <c r="H203" s="103" t="str">
        <f>IF(AND(Main[[#This Row],[In Stock Date]]&lt;&gt;"",Main[[#This Row],[Revised Due Date]]&lt;&gt;""),Main[[#This Row],[In Stock Date]]-Main[[#This Row],[Revised Due Date]],"")</f>
        <v/>
      </c>
      <c r="I203" s="99" t="s">
        <v>4</v>
      </c>
      <c r="J203" s="99" t="s">
        <v>4</v>
      </c>
      <c r="K203" s="99" t="s">
        <v>4</v>
      </c>
      <c r="L203" s="101"/>
      <c r="M203" s="104" t="str">
        <f>IF(Main[[#This Row],[Tech Start Date]]&lt;1/1/1990,"",IF(Main[[#This Row],[Class]]="C",WORKDAY(Main[[#This Row],[Tech Start Date]],9),IF(Main[[#This Row],[Class]]="B", WORKDAY(Main[[#This Row],[Tech Start Date]],6),IF(Main[[#This Row],[Class]]="A",WORKDAY(Main[[#This Row],[Tech Start Date]],2),""))))</f>
        <v/>
      </c>
      <c r="N203" s="104" t="str">
        <f>IF(Main[[#This Row],[Tech Start Date]]&lt;1/1/1990,"",IF(Main[[#This Row],[Class]]="C",WORKDAY(Main[[#This Row],[Tech Start Date]],19),IF(Main[[#This Row],[Class]]="B", WORKDAY(Main[[#This Row],[Tech Start Date]],12),IF(Main[[#This Row],[Class]]="A",WORKDAY(Main[[#This Row],[Tech Start Date]],4),""))))</f>
        <v/>
      </c>
      <c r="O203" s="104" t="str">
        <f>IF(Main[[#This Row],[Tech Start Date]]&lt;1/1/1990,"",IF(Main[[#This Row],[Class]]="C",WORKDAY(Main[[#This Row],[Tech Start Date]],23),IF(Main[[#This Row],[Class]]="B", WORKDAY(Main[[#This Row],[Tech Start Date]],15),IF(Main[[#This Row],[Class]]="A",WORKDAY(Main[[#This Row],[Tech Start Date]],5),""))))</f>
        <v/>
      </c>
      <c r="P203" s="104" t="str">
        <f>IF(Main[[#This Row],[Tech Start Date]]&lt;1/1/1990,"",IF(Main[[#This Row],[Class]]="C",WORKDAY(Main[[#This Row],[Tech Start Date]],28),IF(Main[[#This Row],[Class]]="B", WORKDAY(Main[[#This Row],[Tech Start Date]],19),IF(Main[[#This Row],[Class]]="A",WORKDAY(Main[[#This Row],[Tech Start Date]],9),""))))</f>
        <v/>
      </c>
      <c r="Q203" s="101">
        <v>40737</v>
      </c>
      <c r="R203" s="101"/>
      <c r="S203" s="99" t="s">
        <v>6</v>
      </c>
      <c r="T203" s="107" t="s">
        <v>4</v>
      </c>
      <c r="U203" s="99" t="s">
        <v>14</v>
      </c>
      <c r="V203" s="99" t="s">
        <v>1965</v>
      </c>
      <c r="W203" s="99" t="s">
        <v>1966</v>
      </c>
    </row>
    <row r="204" spans="1:23" ht="18.600000000000001" customHeight="1">
      <c r="A204" s="123" t="str">
        <f>IF(priority(Main[[#This Row],[Comments]])&lt;&gt;0, priority(Main[[#This Row],[Comments]]),"")</f>
        <v/>
      </c>
      <c r="B204" s="127" t="s">
        <v>1898</v>
      </c>
      <c r="C204" s="99" t="s">
        <v>99</v>
      </c>
      <c r="D204" s="100" t="s">
        <v>928</v>
      </c>
      <c r="E204" s="101"/>
      <c r="F204" s="101">
        <v>40525</v>
      </c>
      <c r="G204" s="102" t="str">
        <f>IF(stdProdLT(Main[[#This Row],[Comments]])=0.1,"N/A",IF(stdProdLT(Main[[#This Row],[Comments]])=0,"",stdProdLT(Main[[#This Row],[Comments]])))</f>
        <v/>
      </c>
      <c r="H204" s="103">
        <f>IF(AND(Main[[#This Row],[In Stock Date]]&lt;&gt;"",Main[[#This Row],[Revised Due Date]]&lt;&gt;""),Main[[#This Row],[In Stock Date]]-Main[[#This Row],[Revised Due Date]],"")</f>
        <v>-46</v>
      </c>
      <c r="I204" s="99" t="s">
        <v>929</v>
      </c>
      <c r="J204" s="99" t="s">
        <v>21</v>
      </c>
      <c r="K204" s="99" t="s">
        <v>1975</v>
      </c>
      <c r="L204" s="101"/>
      <c r="M204" s="104" t="str">
        <f>IF(Main[[#This Row],[Tech Start Date]]&lt;1/1/1990,"",IF(Main[[#This Row],[Class]]="C",WORKDAY(Main[[#This Row],[Tech Start Date]],9),IF(Main[[#This Row],[Class]]="B", WORKDAY(Main[[#This Row],[Tech Start Date]],6),IF(Main[[#This Row],[Class]]="A",WORKDAY(Main[[#This Row],[Tech Start Date]],2),""))))</f>
        <v/>
      </c>
      <c r="N204" s="104" t="str">
        <f>IF(Main[[#This Row],[Tech Start Date]]&lt;1/1/1990,"",IF(Main[[#This Row],[Class]]="C",WORKDAY(Main[[#This Row],[Tech Start Date]],19),IF(Main[[#This Row],[Class]]="B", WORKDAY(Main[[#This Row],[Tech Start Date]],12),IF(Main[[#This Row],[Class]]="A",WORKDAY(Main[[#This Row],[Tech Start Date]],4),""))))</f>
        <v/>
      </c>
      <c r="O204" s="104" t="str">
        <f>IF(Main[[#This Row],[Tech Start Date]]&lt;1/1/1990,"",IF(Main[[#This Row],[Class]]="C",WORKDAY(Main[[#This Row],[Tech Start Date]],23),IF(Main[[#This Row],[Class]]="B", WORKDAY(Main[[#This Row],[Tech Start Date]],15),IF(Main[[#This Row],[Class]]="A",WORKDAY(Main[[#This Row],[Tech Start Date]],5),""))))</f>
        <v/>
      </c>
      <c r="P204" s="104" t="str">
        <f>IF(Main[[#This Row],[Tech Start Date]]&lt;1/1/1990,"",IF(Main[[#This Row],[Class]]="C",WORKDAY(Main[[#This Row],[Tech Start Date]],28),IF(Main[[#This Row],[Class]]="B", WORKDAY(Main[[#This Row],[Tech Start Date]],19),IF(Main[[#This Row],[Class]]="A",WORKDAY(Main[[#This Row],[Tech Start Date]],9),""))))</f>
        <v/>
      </c>
      <c r="Q204" s="101">
        <v>40525</v>
      </c>
      <c r="R204" s="101">
        <v>40571</v>
      </c>
      <c r="S204" s="99" t="s">
        <v>11</v>
      </c>
      <c r="T204" s="107" t="s">
        <v>4</v>
      </c>
      <c r="U204" s="99" t="s">
        <v>14</v>
      </c>
      <c r="V204" s="99" t="s">
        <v>1962</v>
      </c>
      <c r="W204" s="99" t="s">
        <v>1967</v>
      </c>
    </row>
    <row r="205" spans="1:23" ht="18.600000000000001" customHeight="1">
      <c r="A205" s="123" t="str">
        <f>IF(priority(Main[[#This Row],[Comments]])&lt;&gt;0, priority(Main[[#This Row],[Comments]]),"")</f>
        <v/>
      </c>
      <c r="B205" s="127" t="s">
        <v>1901</v>
      </c>
      <c r="C205" s="99" t="s">
        <v>31</v>
      </c>
      <c r="D205" s="100" t="s">
        <v>932</v>
      </c>
      <c r="E205" s="101"/>
      <c r="F205" s="101">
        <v>40664</v>
      </c>
      <c r="G205" s="102" t="str">
        <f>IF(stdProdLT(Main[[#This Row],[Comments]])=0.1,"N/A",IF(stdProdLT(Main[[#This Row],[Comments]])=0,"",stdProdLT(Main[[#This Row],[Comments]])))</f>
        <v/>
      </c>
      <c r="H205" s="103">
        <f>IF(AND(Main[[#This Row],[In Stock Date]]&lt;&gt;"",Main[[#This Row],[Revised Due Date]]&lt;&gt;""),Main[[#This Row],[In Stock Date]]-Main[[#This Row],[Revised Due Date]],"")</f>
        <v>87</v>
      </c>
      <c r="I205" s="99" t="s">
        <v>404</v>
      </c>
      <c r="J205" s="99" t="s">
        <v>75</v>
      </c>
      <c r="K205" s="99" t="s">
        <v>1971</v>
      </c>
      <c r="L205" s="101"/>
      <c r="M205" s="104" t="str">
        <f>IF(Main[[#This Row],[Tech Start Date]]&lt;1/1/1990,"",IF(Main[[#This Row],[Class]]="C",WORKDAY(Main[[#This Row],[Tech Start Date]],9),IF(Main[[#This Row],[Class]]="B", WORKDAY(Main[[#This Row],[Tech Start Date]],6),IF(Main[[#This Row],[Class]]="A",WORKDAY(Main[[#This Row],[Tech Start Date]],2),""))))</f>
        <v/>
      </c>
      <c r="N205" s="104" t="str">
        <f>IF(Main[[#This Row],[Tech Start Date]]&lt;1/1/1990,"",IF(Main[[#This Row],[Class]]="C",WORKDAY(Main[[#This Row],[Tech Start Date]],19),IF(Main[[#This Row],[Class]]="B", WORKDAY(Main[[#This Row],[Tech Start Date]],12),IF(Main[[#This Row],[Class]]="A",WORKDAY(Main[[#This Row],[Tech Start Date]],4),""))))</f>
        <v/>
      </c>
      <c r="O205" s="104" t="str">
        <f>IF(Main[[#This Row],[Tech Start Date]]&lt;1/1/1990,"",IF(Main[[#This Row],[Class]]="C",WORKDAY(Main[[#This Row],[Tech Start Date]],23),IF(Main[[#This Row],[Class]]="B", WORKDAY(Main[[#This Row],[Tech Start Date]],15),IF(Main[[#This Row],[Class]]="A",WORKDAY(Main[[#This Row],[Tech Start Date]],5),""))))</f>
        <v/>
      </c>
      <c r="P205" s="104" t="str">
        <f>IF(Main[[#This Row],[Tech Start Date]]&lt;1/1/1990,"",IF(Main[[#This Row],[Class]]="C",WORKDAY(Main[[#This Row],[Tech Start Date]],28),IF(Main[[#This Row],[Class]]="B", WORKDAY(Main[[#This Row],[Tech Start Date]],19),IF(Main[[#This Row],[Class]]="A",WORKDAY(Main[[#This Row],[Tech Start Date]],9),""))))</f>
        <v/>
      </c>
      <c r="Q205" s="101"/>
      <c r="R205" s="101">
        <v>40577</v>
      </c>
      <c r="S205" s="99" t="s">
        <v>11</v>
      </c>
      <c r="T205" s="107" t="s">
        <v>4</v>
      </c>
      <c r="U205" s="99" t="s">
        <v>14</v>
      </c>
      <c r="V205" s="99" t="s">
        <v>1965</v>
      </c>
      <c r="W205" s="99" t="s">
        <v>1968</v>
      </c>
    </row>
    <row r="206" spans="1:23" ht="18.600000000000001" customHeight="1">
      <c r="A206" s="123" t="str">
        <f>IF(priority(Main[[#This Row],[Comments]])&lt;&gt;0, priority(Main[[#This Row],[Comments]]),"")</f>
        <v/>
      </c>
      <c r="B206" s="127" t="s">
        <v>3032</v>
      </c>
      <c r="C206" s="99" t="s">
        <v>4</v>
      </c>
      <c r="D206" s="100" t="s">
        <v>3067</v>
      </c>
      <c r="E206" s="101">
        <v>40878.38758101852</v>
      </c>
      <c r="F206" s="101"/>
      <c r="G206" s="102">
        <f>IF(stdProdLT(Main[[#This Row],[Comments]])=0.1,"N/A",IF(stdProdLT(Main[[#This Row],[Comments]])=0,"",stdProdLT(Main[[#This Row],[Comments]])))</f>
        <v>112</v>
      </c>
      <c r="H206" s="103" t="str">
        <f>IF(AND(Main[[#This Row],[In Stock Date]]&lt;&gt;"",Main[[#This Row],[Revised Due Date]]&lt;&gt;""),Main[[#This Row],[In Stock Date]]-Main[[#This Row],[Revised Due Date]],"")</f>
        <v/>
      </c>
      <c r="I206" s="99" t="s">
        <v>4</v>
      </c>
      <c r="J206" s="99" t="s">
        <v>4</v>
      </c>
      <c r="K206" s="99" t="s">
        <v>4</v>
      </c>
      <c r="L206" s="101"/>
      <c r="M206" s="104" t="str">
        <f>IF(Main[[#This Row],[Tech Start Date]]&lt;1/1/1990,"",IF(Main[[#This Row],[Class]]="C",WORKDAY(Main[[#This Row],[Tech Start Date]],9),IF(Main[[#This Row],[Class]]="B", WORKDAY(Main[[#This Row],[Tech Start Date]],6),IF(Main[[#This Row],[Class]]="A",WORKDAY(Main[[#This Row],[Tech Start Date]],2),""))))</f>
        <v/>
      </c>
      <c r="N206" s="104" t="str">
        <f>IF(Main[[#This Row],[Tech Start Date]]&lt;1/1/1990,"",IF(Main[[#This Row],[Class]]="C",WORKDAY(Main[[#This Row],[Tech Start Date]],19),IF(Main[[#This Row],[Class]]="B", WORKDAY(Main[[#This Row],[Tech Start Date]],12),IF(Main[[#This Row],[Class]]="A",WORKDAY(Main[[#This Row],[Tech Start Date]],4),""))))</f>
        <v/>
      </c>
      <c r="O206" s="104" t="str">
        <f>IF(Main[[#This Row],[Tech Start Date]]&lt;1/1/1990,"",IF(Main[[#This Row],[Class]]="C",WORKDAY(Main[[#This Row],[Tech Start Date]],23),IF(Main[[#This Row],[Class]]="B", WORKDAY(Main[[#This Row],[Tech Start Date]],15),IF(Main[[#This Row],[Class]]="A",WORKDAY(Main[[#This Row],[Tech Start Date]],5),""))))</f>
        <v/>
      </c>
      <c r="P206" s="104" t="str">
        <f>IF(Main[[#This Row],[Tech Start Date]]&lt;1/1/1990,"",IF(Main[[#This Row],[Class]]="C",WORKDAY(Main[[#This Row],[Tech Start Date]],28),IF(Main[[#This Row],[Class]]="B", WORKDAY(Main[[#This Row],[Tech Start Date]],19),IF(Main[[#This Row],[Class]]="A",WORKDAY(Main[[#This Row],[Tech Start Date]],9),""))))</f>
        <v/>
      </c>
      <c r="Q206" s="101">
        <v>40884</v>
      </c>
      <c r="R206" s="101"/>
      <c r="S206" s="99" t="s">
        <v>11</v>
      </c>
      <c r="T206" s="107" t="s">
        <v>3068</v>
      </c>
      <c r="U206" s="99" t="s">
        <v>704</v>
      </c>
      <c r="V206" s="99" t="s">
        <v>1972</v>
      </c>
      <c r="W206" s="99" t="s">
        <v>1970</v>
      </c>
    </row>
    <row r="207" spans="1:23" ht="18.600000000000001" customHeight="1">
      <c r="A207" s="123" t="str">
        <f>IF(priority(Main[[#This Row],[Comments]])&lt;&gt;0, priority(Main[[#This Row],[Comments]]),"")</f>
        <v/>
      </c>
      <c r="B207" s="127" t="s">
        <v>1113</v>
      </c>
      <c r="C207" s="99" t="s">
        <v>4</v>
      </c>
      <c r="D207" s="100" t="s">
        <v>124</v>
      </c>
      <c r="E207" s="101"/>
      <c r="F207" s="101"/>
      <c r="G207" s="102" t="str">
        <f>IF(stdProdLT(Main[[#This Row],[Comments]])=0.1,"N/A",IF(stdProdLT(Main[[#This Row],[Comments]])=0,"",stdProdLT(Main[[#This Row],[Comments]])))</f>
        <v/>
      </c>
      <c r="H207" s="103" t="str">
        <f>IF(AND(Main[[#This Row],[In Stock Date]]&lt;&gt;"",Main[[#This Row],[Revised Due Date]]&lt;&gt;""),Main[[#This Row],[In Stock Date]]-Main[[#This Row],[Revised Due Date]],"")</f>
        <v/>
      </c>
      <c r="I207" s="99" t="s">
        <v>4</v>
      </c>
      <c r="J207" s="99" t="s">
        <v>4</v>
      </c>
      <c r="K207" s="99" t="s">
        <v>4</v>
      </c>
      <c r="L207" s="101"/>
      <c r="M207" s="104" t="str">
        <f>IF(Main[[#This Row],[Tech Start Date]]&lt;1/1/1990,"",IF(Main[[#This Row],[Class]]="C",WORKDAY(Main[[#This Row],[Tech Start Date]],9),IF(Main[[#This Row],[Class]]="B", WORKDAY(Main[[#This Row],[Tech Start Date]],6),IF(Main[[#This Row],[Class]]="A",WORKDAY(Main[[#This Row],[Tech Start Date]],2),""))))</f>
        <v/>
      </c>
      <c r="N207" s="104" t="str">
        <f>IF(Main[[#This Row],[Tech Start Date]]&lt;1/1/1990,"",IF(Main[[#This Row],[Class]]="C",WORKDAY(Main[[#This Row],[Tech Start Date]],19),IF(Main[[#This Row],[Class]]="B", WORKDAY(Main[[#This Row],[Tech Start Date]],12),IF(Main[[#This Row],[Class]]="A",WORKDAY(Main[[#This Row],[Tech Start Date]],4),""))))</f>
        <v/>
      </c>
      <c r="O207" s="104" t="str">
        <f>IF(Main[[#This Row],[Tech Start Date]]&lt;1/1/1990,"",IF(Main[[#This Row],[Class]]="C",WORKDAY(Main[[#This Row],[Tech Start Date]],23),IF(Main[[#This Row],[Class]]="B", WORKDAY(Main[[#This Row],[Tech Start Date]],15),IF(Main[[#This Row],[Class]]="A",WORKDAY(Main[[#This Row],[Tech Start Date]],5),""))))</f>
        <v/>
      </c>
      <c r="P207" s="104" t="str">
        <f>IF(Main[[#This Row],[Tech Start Date]]&lt;1/1/1990,"",IF(Main[[#This Row],[Class]]="C",WORKDAY(Main[[#This Row],[Tech Start Date]],28),IF(Main[[#This Row],[Class]]="B", WORKDAY(Main[[#This Row],[Tech Start Date]],19),IF(Main[[#This Row],[Class]]="A",WORKDAY(Main[[#This Row],[Tech Start Date]],9),""))))</f>
        <v/>
      </c>
      <c r="Q207" s="101">
        <v>40613</v>
      </c>
      <c r="R207" s="101"/>
      <c r="S207" s="99" t="s">
        <v>6</v>
      </c>
      <c r="T207" s="107" t="s">
        <v>4</v>
      </c>
      <c r="U207" s="99" t="s">
        <v>12</v>
      </c>
      <c r="V207" s="99" t="s">
        <v>1962</v>
      </c>
      <c r="W207" s="99" t="s">
        <v>1976</v>
      </c>
    </row>
    <row r="208" spans="1:23" ht="18.600000000000001" customHeight="1">
      <c r="A208" s="123" t="str">
        <f>IF(priority(Main[[#This Row],[Comments]])&lt;&gt;0, priority(Main[[#This Row],[Comments]]),"")</f>
        <v/>
      </c>
      <c r="B208" s="127" t="s">
        <v>2243</v>
      </c>
      <c r="C208" s="99" t="s">
        <v>2244</v>
      </c>
      <c r="D208" s="100" t="s">
        <v>2245</v>
      </c>
      <c r="E208" s="101"/>
      <c r="F208" s="101">
        <v>40829</v>
      </c>
      <c r="G208" s="102" t="str">
        <f>IF(stdProdLT(Main[[#This Row],[Comments]])=0.1,"N/A",IF(stdProdLT(Main[[#This Row],[Comments]])=0,"",stdProdLT(Main[[#This Row],[Comments]])))</f>
        <v/>
      </c>
      <c r="H208" s="103" t="str">
        <f>IF(AND(Main[[#This Row],[In Stock Date]]&lt;&gt;"",Main[[#This Row],[Revised Due Date]]&lt;&gt;""),Main[[#This Row],[In Stock Date]]-Main[[#This Row],[Revised Due Date]],"")</f>
        <v/>
      </c>
      <c r="I208" s="99" t="s">
        <v>4</v>
      </c>
      <c r="J208" s="99" t="s">
        <v>4</v>
      </c>
      <c r="K208" s="99" t="s">
        <v>4</v>
      </c>
      <c r="L208" s="101"/>
      <c r="M208" s="104" t="str">
        <f>IF(Main[[#This Row],[Tech Start Date]]&lt;1/1/1990,"",IF(Main[[#This Row],[Class]]="C",WORKDAY(Main[[#This Row],[Tech Start Date]],9),IF(Main[[#This Row],[Class]]="B", WORKDAY(Main[[#This Row],[Tech Start Date]],6),IF(Main[[#This Row],[Class]]="A",WORKDAY(Main[[#This Row],[Tech Start Date]],2),""))))</f>
        <v/>
      </c>
      <c r="N208" s="104" t="str">
        <f>IF(Main[[#This Row],[Tech Start Date]]&lt;1/1/1990,"",IF(Main[[#This Row],[Class]]="C",WORKDAY(Main[[#This Row],[Tech Start Date]],19),IF(Main[[#This Row],[Class]]="B", WORKDAY(Main[[#This Row],[Tech Start Date]],12),IF(Main[[#This Row],[Class]]="A",WORKDAY(Main[[#This Row],[Tech Start Date]],4),""))))</f>
        <v/>
      </c>
      <c r="O208" s="104" t="str">
        <f>IF(Main[[#This Row],[Tech Start Date]]&lt;1/1/1990,"",IF(Main[[#This Row],[Class]]="C",WORKDAY(Main[[#This Row],[Tech Start Date]],23),IF(Main[[#This Row],[Class]]="B", WORKDAY(Main[[#This Row],[Tech Start Date]],15),IF(Main[[#This Row],[Class]]="A",WORKDAY(Main[[#This Row],[Tech Start Date]],5),""))))</f>
        <v/>
      </c>
      <c r="P208" s="104" t="str">
        <f>IF(Main[[#This Row],[Tech Start Date]]&lt;1/1/1990,"",IF(Main[[#This Row],[Class]]="C",WORKDAY(Main[[#This Row],[Tech Start Date]],28),IF(Main[[#This Row],[Class]]="B", WORKDAY(Main[[#This Row],[Tech Start Date]],19),IF(Main[[#This Row],[Class]]="A",WORKDAY(Main[[#This Row],[Tech Start Date]],9),""))))</f>
        <v/>
      </c>
      <c r="Q208" s="101">
        <v>40801</v>
      </c>
      <c r="R208" s="101"/>
      <c r="S208" s="99" t="s">
        <v>11</v>
      </c>
      <c r="T208" s="107" t="s">
        <v>4</v>
      </c>
      <c r="U208" s="99" t="s">
        <v>14</v>
      </c>
      <c r="V208" s="99" t="s">
        <v>1963</v>
      </c>
      <c r="W208" s="99" t="s">
        <v>1970</v>
      </c>
    </row>
    <row r="209" spans="1:23" ht="18.600000000000001" customHeight="1">
      <c r="A209" s="123" t="str">
        <f>IF(priority(Main[[#This Row],[Comments]])&lt;&gt;0, priority(Main[[#This Row],[Comments]]),"")</f>
        <v/>
      </c>
      <c r="B209" s="127" t="s">
        <v>1105</v>
      </c>
      <c r="C209" s="99" t="s">
        <v>31</v>
      </c>
      <c r="D209" s="100" t="s">
        <v>115</v>
      </c>
      <c r="E209" s="101"/>
      <c r="F209" s="101"/>
      <c r="G209" s="102" t="str">
        <f>IF(stdProdLT(Main[[#This Row],[Comments]])=0.1,"N/A",IF(stdProdLT(Main[[#This Row],[Comments]])=0,"",stdProdLT(Main[[#This Row],[Comments]])))</f>
        <v/>
      </c>
      <c r="H209" s="103" t="str">
        <f>IF(AND(Main[[#This Row],[In Stock Date]]&lt;&gt;"",Main[[#This Row],[Revised Due Date]]&lt;&gt;""),Main[[#This Row],[In Stock Date]]-Main[[#This Row],[Revised Due Date]],"")</f>
        <v/>
      </c>
      <c r="I209" s="99" t="s">
        <v>4</v>
      </c>
      <c r="J209" s="99" t="s">
        <v>4</v>
      </c>
      <c r="K209" s="108" t="s">
        <v>4</v>
      </c>
      <c r="L209" s="101"/>
      <c r="M209" s="104" t="str">
        <f>IF(Main[[#This Row],[Tech Start Date]]&lt;1/1/1990,"",IF(Main[[#This Row],[Class]]="C",WORKDAY(Main[[#This Row],[Tech Start Date]],9),IF(Main[[#This Row],[Class]]="B", WORKDAY(Main[[#This Row],[Tech Start Date]],6),IF(Main[[#This Row],[Class]]="A",WORKDAY(Main[[#This Row],[Tech Start Date]],2),""))))</f>
        <v/>
      </c>
      <c r="N209" s="104" t="str">
        <f>IF(Main[[#This Row],[Tech Start Date]]&lt;1/1/1990,"",IF(Main[[#This Row],[Class]]="C",WORKDAY(Main[[#This Row],[Tech Start Date]],19),IF(Main[[#This Row],[Class]]="B", WORKDAY(Main[[#This Row],[Tech Start Date]],12),IF(Main[[#This Row],[Class]]="A",WORKDAY(Main[[#This Row],[Tech Start Date]],4),""))))</f>
        <v/>
      </c>
      <c r="O209" s="104" t="str">
        <f>IF(Main[[#This Row],[Tech Start Date]]&lt;1/1/1990,"",IF(Main[[#This Row],[Class]]="C",WORKDAY(Main[[#This Row],[Tech Start Date]],23),IF(Main[[#This Row],[Class]]="B", WORKDAY(Main[[#This Row],[Tech Start Date]],15),IF(Main[[#This Row],[Class]]="A",WORKDAY(Main[[#This Row],[Tech Start Date]],5),""))))</f>
        <v/>
      </c>
      <c r="P209" s="104" t="str">
        <f>IF(Main[[#This Row],[Tech Start Date]]&lt;1/1/1990,"",IF(Main[[#This Row],[Class]]="C",WORKDAY(Main[[#This Row],[Tech Start Date]],28),IF(Main[[#This Row],[Class]]="B", WORKDAY(Main[[#This Row],[Tech Start Date]],19),IF(Main[[#This Row],[Class]]="A",WORKDAY(Main[[#This Row],[Tech Start Date]],9),""))))</f>
        <v/>
      </c>
      <c r="Q209" s="101">
        <v>40318</v>
      </c>
      <c r="R209" s="101"/>
      <c r="S209" s="99" t="s">
        <v>11</v>
      </c>
      <c r="T209" s="107" t="s">
        <v>4</v>
      </c>
      <c r="U209" s="99" t="s">
        <v>14</v>
      </c>
      <c r="V209" s="99" t="s">
        <v>1965</v>
      </c>
      <c r="W209" s="99" t="s">
        <v>1964</v>
      </c>
    </row>
    <row r="210" spans="1:23" ht="18.600000000000001" customHeight="1">
      <c r="A210" s="123" t="str">
        <f>IF(priority(Main[[#This Row],[Comments]])&lt;&gt;0, priority(Main[[#This Row],[Comments]]),"")</f>
        <v/>
      </c>
      <c r="B210" s="127" t="s">
        <v>2418</v>
      </c>
      <c r="C210" s="99" t="s">
        <v>31</v>
      </c>
      <c r="D210" s="100" t="s">
        <v>2419</v>
      </c>
      <c r="E210" s="101"/>
      <c r="F210" s="101">
        <v>41000</v>
      </c>
      <c r="G210" s="102">
        <f>IF(stdProdLT(Main[[#This Row],[Comments]])=0.1,"N/A",IF(stdProdLT(Main[[#This Row],[Comments]])=0,"",stdProdLT(Main[[#This Row],[Comments]])))</f>
        <v>140</v>
      </c>
      <c r="H210" s="103" t="str">
        <f>IF(AND(Main[[#This Row],[In Stock Date]]&lt;&gt;"",Main[[#This Row],[Revised Due Date]]&lt;&gt;""),Main[[#This Row],[In Stock Date]]-Main[[#This Row],[Revised Due Date]],"")</f>
        <v/>
      </c>
      <c r="I210" s="99" t="s">
        <v>4</v>
      </c>
      <c r="J210" s="99" t="s">
        <v>4</v>
      </c>
      <c r="K210" s="99" t="s">
        <v>4</v>
      </c>
      <c r="L210" s="101"/>
      <c r="M210" s="104" t="str">
        <f>IF(Main[[#This Row],[Tech Start Date]]&lt;1/1/1990,"",IF(Main[[#This Row],[Class]]="C",WORKDAY(Main[[#This Row],[Tech Start Date]],9),IF(Main[[#This Row],[Class]]="B", WORKDAY(Main[[#This Row],[Tech Start Date]],6),IF(Main[[#This Row],[Class]]="A",WORKDAY(Main[[#This Row],[Tech Start Date]],2),""))))</f>
        <v/>
      </c>
      <c r="N210" s="104" t="str">
        <f>IF(Main[[#This Row],[Tech Start Date]]&lt;1/1/1990,"",IF(Main[[#This Row],[Class]]="C",WORKDAY(Main[[#This Row],[Tech Start Date]],19),IF(Main[[#This Row],[Class]]="B", WORKDAY(Main[[#This Row],[Tech Start Date]],12),IF(Main[[#This Row],[Class]]="A",WORKDAY(Main[[#This Row],[Tech Start Date]],4),""))))</f>
        <v/>
      </c>
      <c r="O210" s="104" t="str">
        <f>IF(Main[[#This Row],[Tech Start Date]]&lt;1/1/1990,"",IF(Main[[#This Row],[Class]]="C",WORKDAY(Main[[#This Row],[Tech Start Date]],23),IF(Main[[#This Row],[Class]]="B", WORKDAY(Main[[#This Row],[Tech Start Date]],15),IF(Main[[#This Row],[Class]]="A",WORKDAY(Main[[#This Row],[Tech Start Date]],5),""))))</f>
        <v/>
      </c>
      <c r="P210" s="104" t="str">
        <f>IF(Main[[#This Row],[Tech Start Date]]&lt;1/1/1990,"",IF(Main[[#This Row],[Class]]="C",WORKDAY(Main[[#This Row],[Tech Start Date]],28),IF(Main[[#This Row],[Class]]="B", WORKDAY(Main[[#This Row],[Tech Start Date]],19),IF(Main[[#This Row],[Class]]="A",WORKDAY(Main[[#This Row],[Tech Start Date]],9),""))))</f>
        <v/>
      </c>
      <c r="Q210" s="101">
        <v>40916</v>
      </c>
      <c r="R210" s="101"/>
      <c r="S210" s="99" t="s">
        <v>11</v>
      </c>
      <c r="T210" s="107" t="s">
        <v>2420</v>
      </c>
      <c r="U210" s="99" t="s">
        <v>14</v>
      </c>
      <c r="V210" s="99" t="s">
        <v>1972</v>
      </c>
      <c r="W210" s="99" t="s">
        <v>1968</v>
      </c>
    </row>
    <row r="211" spans="1:23" ht="18.600000000000001" customHeight="1">
      <c r="A211" s="123" t="str">
        <f>IF(priority(Main[[#This Row],[Comments]])&lt;&gt;0, priority(Main[[#This Row],[Comments]]),"")</f>
        <v/>
      </c>
      <c r="B211" s="127" t="s">
        <v>2061</v>
      </c>
      <c r="C211" s="99" t="s">
        <v>4</v>
      </c>
      <c r="D211" s="100" t="s">
        <v>2062</v>
      </c>
      <c r="E211" s="101"/>
      <c r="F211" s="101"/>
      <c r="G211" s="102" t="str">
        <f>IF(stdProdLT(Main[[#This Row],[Comments]])=0.1,"N/A",IF(stdProdLT(Main[[#This Row],[Comments]])=0,"",stdProdLT(Main[[#This Row],[Comments]])))</f>
        <v/>
      </c>
      <c r="H211" s="103" t="str">
        <f>IF(AND(Main[[#This Row],[In Stock Date]]&lt;&gt;"",Main[[#This Row],[Revised Due Date]]&lt;&gt;""),Main[[#This Row],[In Stock Date]]-Main[[#This Row],[Revised Due Date]],"")</f>
        <v/>
      </c>
      <c r="I211" s="99" t="s">
        <v>4</v>
      </c>
      <c r="J211" s="99" t="s">
        <v>4</v>
      </c>
      <c r="K211" s="99" t="s">
        <v>4</v>
      </c>
      <c r="L211" s="101"/>
      <c r="M211" s="104" t="str">
        <f>IF(Main[[#This Row],[Tech Start Date]]&lt;1/1/1990,"",IF(Main[[#This Row],[Class]]="C",WORKDAY(Main[[#This Row],[Tech Start Date]],9),IF(Main[[#This Row],[Class]]="B", WORKDAY(Main[[#This Row],[Tech Start Date]],6),IF(Main[[#This Row],[Class]]="A",WORKDAY(Main[[#This Row],[Tech Start Date]],2),""))))</f>
        <v/>
      </c>
      <c r="N211" s="104" t="str">
        <f>IF(Main[[#This Row],[Tech Start Date]]&lt;1/1/1990,"",IF(Main[[#This Row],[Class]]="C",WORKDAY(Main[[#This Row],[Tech Start Date]],19),IF(Main[[#This Row],[Class]]="B", WORKDAY(Main[[#This Row],[Tech Start Date]],12),IF(Main[[#This Row],[Class]]="A",WORKDAY(Main[[#This Row],[Tech Start Date]],4),""))))</f>
        <v/>
      </c>
      <c r="O211" s="104" t="str">
        <f>IF(Main[[#This Row],[Tech Start Date]]&lt;1/1/1990,"",IF(Main[[#This Row],[Class]]="C",WORKDAY(Main[[#This Row],[Tech Start Date]],23),IF(Main[[#This Row],[Class]]="B", WORKDAY(Main[[#This Row],[Tech Start Date]],15),IF(Main[[#This Row],[Class]]="A",WORKDAY(Main[[#This Row],[Tech Start Date]],5),""))))</f>
        <v/>
      </c>
      <c r="P211" s="104" t="str">
        <f>IF(Main[[#This Row],[Tech Start Date]]&lt;1/1/1990,"",IF(Main[[#This Row],[Class]]="C",WORKDAY(Main[[#This Row],[Tech Start Date]],28),IF(Main[[#This Row],[Class]]="B", WORKDAY(Main[[#This Row],[Tech Start Date]],19),IF(Main[[#This Row],[Class]]="A",WORKDAY(Main[[#This Row],[Tech Start Date]],9),""))))</f>
        <v/>
      </c>
      <c r="Q211" s="101"/>
      <c r="R211" s="101"/>
      <c r="S211" s="99" t="s">
        <v>4</v>
      </c>
      <c r="T211" s="107" t="s">
        <v>4</v>
      </c>
      <c r="U211" s="99" t="s">
        <v>14</v>
      </c>
      <c r="V211" s="99" t="s">
        <v>1965</v>
      </c>
      <c r="W211" s="99" t="s">
        <v>1964</v>
      </c>
    </row>
    <row r="212" spans="1:23" ht="18.600000000000001" customHeight="1">
      <c r="A212" s="123" t="str">
        <f>IF(priority(Main[[#This Row],[Comments]])&lt;&gt;0, priority(Main[[#This Row],[Comments]]),"")</f>
        <v/>
      </c>
      <c r="B212" s="127" t="s">
        <v>1107</v>
      </c>
      <c r="C212" s="99" t="s">
        <v>42</v>
      </c>
      <c r="D212" s="100" t="s">
        <v>119</v>
      </c>
      <c r="E212" s="101"/>
      <c r="F212" s="101"/>
      <c r="G212" s="102" t="str">
        <f>IF(stdProdLT(Main[[#This Row],[Comments]])=0.1,"N/A",IF(stdProdLT(Main[[#This Row],[Comments]])=0,"",stdProdLT(Main[[#This Row],[Comments]])))</f>
        <v/>
      </c>
      <c r="H212" s="103" t="str">
        <f>IF(AND(Main[[#This Row],[In Stock Date]]&lt;&gt;"",Main[[#This Row],[Revised Due Date]]&lt;&gt;""),Main[[#This Row],[In Stock Date]]-Main[[#This Row],[Revised Due Date]],"")</f>
        <v/>
      </c>
      <c r="I212" s="99" t="s">
        <v>4</v>
      </c>
      <c r="J212" s="99" t="s">
        <v>4</v>
      </c>
      <c r="K212" s="108" t="s">
        <v>4</v>
      </c>
      <c r="L212" s="101"/>
      <c r="M212" s="104" t="str">
        <f>IF(Main[[#This Row],[Tech Start Date]]&lt;1/1/1990,"",IF(Main[[#This Row],[Class]]="C",WORKDAY(Main[[#This Row],[Tech Start Date]],9),IF(Main[[#This Row],[Class]]="B", WORKDAY(Main[[#This Row],[Tech Start Date]],6),IF(Main[[#This Row],[Class]]="A",WORKDAY(Main[[#This Row],[Tech Start Date]],2),""))))</f>
        <v/>
      </c>
      <c r="N212" s="104" t="str">
        <f>IF(Main[[#This Row],[Tech Start Date]]&lt;1/1/1990,"",IF(Main[[#This Row],[Class]]="C",WORKDAY(Main[[#This Row],[Tech Start Date]],19),IF(Main[[#This Row],[Class]]="B", WORKDAY(Main[[#This Row],[Tech Start Date]],12),IF(Main[[#This Row],[Class]]="A",WORKDAY(Main[[#This Row],[Tech Start Date]],4),""))))</f>
        <v/>
      </c>
      <c r="O212" s="104" t="str">
        <f>IF(Main[[#This Row],[Tech Start Date]]&lt;1/1/1990,"",IF(Main[[#This Row],[Class]]="C",WORKDAY(Main[[#This Row],[Tech Start Date]],23),IF(Main[[#This Row],[Class]]="B", WORKDAY(Main[[#This Row],[Tech Start Date]],15),IF(Main[[#This Row],[Class]]="A",WORKDAY(Main[[#This Row],[Tech Start Date]],5),""))))</f>
        <v/>
      </c>
      <c r="P212" s="104" t="str">
        <f>IF(Main[[#This Row],[Tech Start Date]]&lt;1/1/1990,"",IF(Main[[#This Row],[Class]]="C",WORKDAY(Main[[#This Row],[Tech Start Date]],28),IF(Main[[#This Row],[Class]]="B", WORKDAY(Main[[#This Row],[Tech Start Date]],19),IF(Main[[#This Row],[Class]]="A",WORKDAY(Main[[#This Row],[Tech Start Date]],9),""))))</f>
        <v/>
      </c>
      <c r="Q212" s="101"/>
      <c r="R212" s="101"/>
      <c r="S212" s="99" t="s">
        <v>11</v>
      </c>
      <c r="T212" s="107" t="s">
        <v>4</v>
      </c>
      <c r="U212" s="99" t="s">
        <v>14</v>
      </c>
      <c r="V212" s="99" t="s">
        <v>1963</v>
      </c>
      <c r="W212" s="99" t="s">
        <v>1970</v>
      </c>
    </row>
    <row r="213" spans="1:23" ht="18.600000000000001" customHeight="1">
      <c r="A213" s="123" t="str">
        <f>IF(priority(Main[[#This Row],[Comments]])&lt;&gt;0, priority(Main[[#This Row],[Comments]]),"")</f>
        <v/>
      </c>
      <c r="B213" s="127" t="s">
        <v>1525</v>
      </c>
      <c r="C213" s="99" t="s">
        <v>4</v>
      </c>
      <c r="D213" s="100" t="s">
        <v>578</v>
      </c>
      <c r="E213" s="101">
        <v>40422.460902777777</v>
      </c>
      <c r="F213" s="101"/>
      <c r="G213" s="102" t="str">
        <f>IF(stdProdLT(Main[[#This Row],[Comments]])=0.1,"N/A",IF(stdProdLT(Main[[#This Row],[Comments]])=0,"",stdProdLT(Main[[#This Row],[Comments]])))</f>
        <v/>
      </c>
      <c r="H213" s="103" t="str">
        <f>IF(AND(Main[[#This Row],[In Stock Date]]&lt;&gt;"",Main[[#This Row],[Revised Due Date]]&lt;&gt;""),Main[[#This Row],[In Stock Date]]-Main[[#This Row],[Revised Due Date]],"")</f>
        <v/>
      </c>
      <c r="I213" s="99" t="s">
        <v>4</v>
      </c>
      <c r="J213" s="99" t="s">
        <v>28</v>
      </c>
      <c r="K213" s="99" t="s">
        <v>4</v>
      </c>
      <c r="L213" s="101"/>
      <c r="M213" s="104" t="str">
        <f>IF(Main[[#This Row],[Tech Start Date]]&lt;1/1/1990,"",IF(Main[[#This Row],[Class]]="C",WORKDAY(Main[[#This Row],[Tech Start Date]],9),IF(Main[[#This Row],[Class]]="B", WORKDAY(Main[[#This Row],[Tech Start Date]],6),IF(Main[[#This Row],[Class]]="A",WORKDAY(Main[[#This Row],[Tech Start Date]],2),""))))</f>
        <v/>
      </c>
      <c r="N213" s="104" t="str">
        <f>IF(Main[[#This Row],[Tech Start Date]]&lt;1/1/1990,"",IF(Main[[#This Row],[Class]]="C",WORKDAY(Main[[#This Row],[Tech Start Date]],19),IF(Main[[#This Row],[Class]]="B", WORKDAY(Main[[#This Row],[Tech Start Date]],12),IF(Main[[#This Row],[Class]]="A",WORKDAY(Main[[#This Row],[Tech Start Date]],4),""))))</f>
        <v/>
      </c>
      <c r="O213" s="104" t="str">
        <f>IF(Main[[#This Row],[Tech Start Date]]&lt;1/1/1990,"",IF(Main[[#This Row],[Class]]="C",WORKDAY(Main[[#This Row],[Tech Start Date]],23),IF(Main[[#This Row],[Class]]="B", WORKDAY(Main[[#This Row],[Tech Start Date]],15),IF(Main[[#This Row],[Class]]="A",WORKDAY(Main[[#This Row],[Tech Start Date]],5),""))))</f>
        <v/>
      </c>
      <c r="P213" s="104" t="str">
        <f>IF(Main[[#This Row],[Tech Start Date]]&lt;1/1/1990,"",IF(Main[[#This Row],[Class]]="C",WORKDAY(Main[[#This Row],[Tech Start Date]],28),IF(Main[[#This Row],[Class]]="B", WORKDAY(Main[[#This Row],[Tech Start Date]],19),IF(Main[[#This Row],[Class]]="A",WORKDAY(Main[[#This Row],[Tech Start Date]],9),""))))</f>
        <v/>
      </c>
      <c r="Q213" s="101"/>
      <c r="R213" s="101"/>
      <c r="S213" s="99" t="s">
        <v>6</v>
      </c>
      <c r="T213" s="107" t="s">
        <v>4</v>
      </c>
      <c r="U213" s="99" t="s">
        <v>29</v>
      </c>
      <c r="V213" s="99" t="s">
        <v>1962</v>
      </c>
      <c r="W213" s="99" t="s">
        <v>1970</v>
      </c>
    </row>
    <row r="214" spans="1:23" ht="18.600000000000001" customHeight="1">
      <c r="A214" s="123" t="str">
        <f>IF(priority(Main[[#This Row],[Comments]])&lt;&gt;0, priority(Main[[#This Row],[Comments]]),"")</f>
        <v/>
      </c>
      <c r="B214" s="127" t="s">
        <v>2117</v>
      </c>
      <c r="C214" s="99" t="s">
        <v>4</v>
      </c>
      <c r="D214" s="100" t="s">
        <v>2118</v>
      </c>
      <c r="E214" s="101"/>
      <c r="F214" s="101"/>
      <c r="G214" s="102" t="str">
        <f>IF(stdProdLT(Main[[#This Row],[Comments]])=0.1,"N/A",IF(stdProdLT(Main[[#This Row],[Comments]])=0,"",stdProdLT(Main[[#This Row],[Comments]])))</f>
        <v/>
      </c>
      <c r="H214" s="103" t="str">
        <f>IF(AND(Main[[#This Row],[In Stock Date]]&lt;&gt;"",Main[[#This Row],[Revised Due Date]]&lt;&gt;""),Main[[#This Row],[In Stock Date]]-Main[[#This Row],[Revised Due Date]],"")</f>
        <v/>
      </c>
      <c r="I214" s="99" t="s">
        <v>435</v>
      </c>
      <c r="J214" s="99" t="s">
        <v>70</v>
      </c>
      <c r="K214" s="108" t="s">
        <v>1971</v>
      </c>
      <c r="L214" s="101"/>
      <c r="M214" s="104" t="str">
        <f>IF(Main[[#This Row],[Tech Start Date]]&lt;1/1/1990,"",IF(Main[[#This Row],[Class]]="C",WORKDAY(Main[[#This Row],[Tech Start Date]],9),IF(Main[[#This Row],[Class]]="B", WORKDAY(Main[[#This Row],[Tech Start Date]],6),IF(Main[[#This Row],[Class]]="A",WORKDAY(Main[[#This Row],[Tech Start Date]],2),""))))</f>
        <v/>
      </c>
      <c r="N214" s="104" t="str">
        <f>IF(Main[[#This Row],[Tech Start Date]]&lt;1/1/1990,"",IF(Main[[#This Row],[Class]]="C",WORKDAY(Main[[#This Row],[Tech Start Date]],19),IF(Main[[#This Row],[Class]]="B", WORKDAY(Main[[#This Row],[Tech Start Date]],12),IF(Main[[#This Row],[Class]]="A",WORKDAY(Main[[#This Row],[Tech Start Date]],4),""))))</f>
        <v/>
      </c>
      <c r="O214" s="104" t="str">
        <f>IF(Main[[#This Row],[Tech Start Date]]&lt;1/1/1990,"",IF(Main[[#This Row],[Class]]="C",WORKDAY(Main[[#This Row],[Tech Start Date]],23),IF(Main[[#This Row],[Class]]="B", WORKDAY(Main[[#This Row],[Tech Start Date]],15),IF(Main[[#This Row],[Class]]="A",WORKDAY(Main[[#This Row],[Tech Start Date]],5),""))))</f>
        <v/>
      </c>
      <c r="P214" s="104" t="str">
        <f>IF(Main[[#This Row],[Tech Start Date]]&lt;1/1/1990,"",IF(Main[[#This Row],[Class]]="C",WORKDAY(Main[[#This Row],[Tech Start Date]],28),IF(Main[[#This Row],[Class]]="B", WORKDAY(Main[[#This Row],[Tech Start Date]],19),IF(Main[[#This Row],[Class]]="A",WORKDAY(Main[[#This Row],[Tech Start Date]],9),""))))</f>
        <v/>
      </c>
      <c r="Q214" s="101">
        <v>40786</v>
      </c>
      <c r="R214" s="101"/>
      <c r="S214" s="99" t="s">
        <v>6</v>
      </c>
      <c r="T214" s="107" t="s">
        <v>4</v>
      </c>
      <c r="U214" s="99" t="s">
        <v>14</v>
      </c>
      <c r="V214" s="99" t="s">
        <v>1965</v>
      </c>
      <c r="W214" s="99" t="s">
        <v>1966</v>
      </c>
    </row>
    <row r="215" spans="1:23" ht="18.600000000000001" customHeight="1">
      <c r="A215" s="123" t="str">
        <f>IF(priority(Main[[#This Row],[Comments]])&lt;&gt;0, priority(Main[[#This Row],[Comments]]),"")</f>
        <v/>
      </c>
      <c r="B215" s="127" t="s">
        <v>1483</v>
      </c>
      <c r="C215" s="99" t="s">
        <v>4</v>
      </c>
      <c r="D215" s="100" t="s">
        <v>2380</v>
      </c>
      <c r="E215" s="101"/>
      <c r="F215" s="101"/>
      <c r="G215" s="102" t="str">
        <f>IF(stdProdLT(Main[[#This Row],[Comments]])=0.1,"N/A",IF(stdProdLT(Main[[#This Row],[Comments]])=0,"",stdProdLT(Main[[#This Row],[Comments]])))</f>
        <v/>
      </c>
      <c r="H215" s="103" t="str">
        <f>IF(AND(Main[[#This Row],[In Stock Date]]&lt;&gt;"",Main[[#This Row],[Revised Due Date]]&lt;&gt;""),Main[[#This Row],[In Stock Date]]-Main[[#This Row],[Revised Due Date]],"")</f>
        <v/>
      </c>
      <c r="I215" s="99" t="s">
        <v>30</v>
      </c>
      <c r="J215" s="99" t="s">
        <v>28</v>
      </c>
      <c r="K215" s="108" t="s">
        <v>1971</v>
      </c>
      <c r="L215" s="101"/>
      <c r="M215" s="104" t="str">
        <f>IF(Main[[#This Row],[Tech Start Date]]&lt;1/1/1990,"",IF(Main[[#This Row],[Class]]="C",WORKDAY(Main[[#This Row],[Tech Start Date]],9),IF(Main[[#This Row],[Class]]="B", WORKDAY(Main[[#This Row],[Tech Start Date]],6),IF(Main[[#This Row],[Class]]="A",WORKDAY(Main[[#This Row],[Tech Start Date]],2),""))))</f>
        <v/>
      </c>
      <c r="N215" s="104" t="str">
        <f>IF(Main[[#This Row],[Tech Start Date]]&lt;1/1/1990,"",IF(Main[[#This Row],[Class]]="C",WORKDAY(Main[[#This Row],[Tech Start Date]],19),IF(Main[[#This Row],[Class]]="B", WORKDAY(Main[[#This Row],[Tech Start Date]],12),IF(Main[[#This Row],[Class]]="A",WORKDAY(Main[[#This Row],[Tech Start Date]],4),""))))</f>
        <v/>
      </c>
      <c r="O215" s="104" t="str">
        <f>IF(Main[[#This Row],[Tech Start Date]]&lt;1/1/1990,"",IF(Main[[#This Row],[Class]]="C",WORKDAY(Main[[#This Row],[Tech Start Date]],23),IF(Main[[#This Row],[Class]]="B", WORKDAY(Main[[#This Row],[Tech Start Date]],15),IF(Main[[#This Row],[Class]]="A",WORKDAY(Main[[#This Row],[Tech Start Date]],5),""))))</f>
        <v/>
      </c>
      <c r="P215" s="104" t="str">
        <f>IF(Main[[#This Row],[Tech Start Date]]&lt;1/1/1990,"",IF(Main[[#This Row],[Class]]="C",WORKDAY(Main[[#This Row],[Tech Start Date]],28),IF(Main[[#This Row],[Class]]="B", WORKDAY(Main[[#This Row],[Tech Start Date]],19),IF(Main[[#This Row],[Class]]="A",WORKDAY(Main[[#This Row],[Tech Start Date]],9),""))))</f>
        <v/>
      </c>
      <c r="Q215" s="101">
        <v>40606</v>
      </c>
      <c r="R215" s="101"/>
      <c r="S215" s="99" t="s">
        <v>6</v>
      </c>
      <c r="T215" s="107" t="s">
        <v>4</v>
      </c>
      <c r="U215" s="99" t="s">
        <v>14</v>
      </c>
      <c r="V215" s="99" t="s">
        <v>1965</v>
      </c>
      <c r="W215" s="99" t="s">
        <v>1966</v>
      </c>
    </row>
    <row r="216" spans="1:23" ht="18.600000000000001" customHeight="1">
      <c r="A216" s="123" t="str">
        <f>IF(priority(Main[[#This Row],[Comments]])&lt;&gt;0, priority(Main[[#This Row],[Comments]]),"")</f>
        <v/>
      </c>
      <c r="B216" s="127" t="s">
        <v>1111</v>
      </c>
      <c r="C216" s="99" t="s">
        <v>67</v>
      </c>
      <c r="D216" s="100" t="s">
        <v>121</v>
      </c>
      <c r="E216" s="101">
        <v>40707.647118055553</v>
      </c>
      <c r="F216" s="101"/>
      <c r="G216" s="102" t="str">
        <f>IF(stdProdLT(Main[[#This Row],[Comments]])=0.1,"N/A",IF(stdProdLT(Main[[#This Row],[Comments]])=0,"",stdProdLT(Main[[#This Row],[Comments]])))</f>
        <v/>
      </c>
      <c r="H216" s="103" t="str">
        <f>IF(AND(Main[[#This Row],[In Stock Date]]&lt;&gt;"",Main[[#This Row],[Revised Due Date]]&lt;&gt;""),Main[[#This Row],[In Stock Date]]-Main[[#This Row],[Revised Due Date]],"")</f>
        <v/>
      </c>
      <c r="I216" s="99" t="s">
        <v>4</v>
      </c>
      <c r="J216" s="99" t="s">
        <v>4</v>
      </c>
      <c r="K216" s="108" t="s">
        <v>4</v>
      </c>
      <c r="L216" s="101"/>
      <c r="M216" s="104" t="str">
        <f>IF(Main[[#This Row],[Tech Start Date]]&lt;1/1/1990,"",IF(Main[[#This Row],[Class]]="C",WORKDAY(Main[[#This Row],[Tech Start Date]],9),IF(Main[[#This Row],[Class]]="B", WORKDAY(Main[[#This Row],[Tech Start Date]],6),IF(Main[[#This Row],[Class]]="A",WORKDAY(Main[[#This Row],[Tech Start Date]],2),""))))</f>
        <v/>
      </c>
      <c r="N216" s="104" t="str">
        <f>IF(Main[[#This Row],[Tech Start Date]]&lt;1/1/1990,"",IF(Main[[#This Row],[Class]]="C",WORKDAY(Main[[#This Row],[Tech Start Date]],19),IF(Main[[#This Row],[Class]]="B", WORKDAY(Main[[#This Row],[Tech Start Date]],12),IF(Main[[#This Row],[Class]]="A",WORKDAY(Main[[#This Row],[Tech Start Date]],4),""))))</f>
        <v/>
      </c>
      <c r="O216" s="104" t="str">
        <f>IF(Main[[#This Row],[Tech Start Date]]&lt;1/1/1990,"",IF(Main[[#This Row],[Class]]="C",WORKDAY(Main[[#This Row],[Tech Start Date]],23),IF(Main[[#This Row],[Class]]="B", WORKDAY(Main[[#This Row],[Tech Start Date]],15),IF(Main[[#This Row],[Class]]="A",WORKDAY(Main[[#This Row],[Tech Start Date]],5),""))))</f>
        <v/>
      </c>
      <c r="P216" s="104" t="str">
        <f>IF(Main[[#This Row],[Tech Start Date]]&lt;1/1/1990,"",IF(Main[[#This Row],[Class]]="C",WORKDAY(Main[[#This Row],[Tech Start Date]],28),IF(Main[[#This Row],[Class]]="B", WORKDAY(Main[[#This Row],[Tech Start Date]],19),IF(Main[[#This Row],[Class]]="A",WORKDAY(Main[[#This Row],[Tech Start Date]],9),""))))</f>
        <v/>
      </c>
      <c r="Q216" s="101">
        <v>40755</v>
      </c>
      <c r="R216" s="101"/>
      <c r="S216" s="99" t="s">
        <v>17</v>
      </c>
      <c r="T216" s="107" t="s">
        <v>4</v>
      </c>
      <c r="U216" s="99" t="s">
        <v>7</v>
      </c>
      <c r="V216" s="99" t="s">
        <v>1965</v>
      </c>
      <c r="W216" s="99" t="s">
        <v>1967</v>
      </c>
    </row>
    <row r="217" spans="1:23" ht="18.600000000000001" customHeight="1">
      <c r="A217" s="123" t="str">
        <f>IF(priority(Main[[#This Row],[Comments]])&lt;&gt;0, priority(Main[[#This Row],[Comments]]),"")</f>
        <v/>
      </c>
      <c r="B217" s="127" t="s">
        <v>1109</v>
      </c>
      <c r="C217" s="99" t="s">
        <v>4</v>
      </c>
      <c r="D217" s="100" t="s">
        <v>120</v>
      </c>
      <c r="E217" s="101"/>
      <c r="F217" s="101"/>
      <c r="G217" s="102" t="str">
        <f>IF(stdProdLT(Main[[#This Row],[Comments]])=0.1,"N/A",IF(stdProdLT(Main[[#This Row],[Comments]])=0,"",stdProdLT(Main[[#This Row],[Comments]])))</f>
        <v/>
      </c>
      <c r="H217" s="103" t="str">
        <f>IF(AND(Main[[#This Row],[In Stock Date]]&lt;&gt;"",Main[[#This Row],[Revised Due Date]]&lt;&gt;""),Main[[#This Row],[In Stock Date]]-Main[[#This Row],[Revised Due Date]],"")</f>
        <v/>
      </c>
      <c r="I217" s="99" t="s">
        <v>4</v>
      </c>
      <c r="J217" s="99" t="s">
        <v>4</v>
      </c>
      <c r="K217" s="99" t="s">
        <v>4</v>
      </c>
      <c r="L217" s="101"/>
      <c r="M217" s="104" t="str">
        <f>IF(Main[[#This Row],[Tech Start Date]]&lt;1/1/1990,"",IF(Main[[#This Row],[Class]]="C",WORKDAY(Main[[#This Row],[Tech Start Date]],9),IF(Main[[#This Row],[Class]]="B", WORKDAY(Main[[#This Row],[Tech Start Date]],6),IF(Main[[#This Row],[Class]]="A",WORKDAY(Main[[#This Row],[Tech Start Date]],2),""))))</f>
        <v/>
      </c>
      <c r="N217" s="104" t="str">
        <f>IF(Main[[#This Row],[Tech Start Date]]&lt;1/1/1990,"",IF(Main[[#This Row],[Class]]="C",WORKDAY(Main[[#This Row],[Tech Start Date]],19),IF(Main[[#This Row],[Class]]="B", WORKDAY(Main[[#This Row],[Tech Start Date]],12),IF(Main[[#This Row],[Class]]="A",WORKDAY(Main[[#This Row],[Tech Start Date]],4),""))))</f>
        <v/>
      </c>
      <c r="O217" s="104" t="str">
        <f>IF(Main[[#This Row],[Tech Start Date]]&lt;1/1/1990,"",IF(Main[[#This Row],[Class]]="C",WORKDAY(Main[[#This Row],[Tech Start Date]],23),IF(Main[[#This Row],[Class]]="B", WORKDAY(Main[[#This Row],[Tech Start Date]],15),IF(Main[[#This Row],[Class]]="A",WORKDAY(Main[[#This Row],[Tech Start Date]],5),""))))</f>
        <v/>
      </c>
      <c r="P217" s="104" t="str">
        <f>IF(Main[[#This Row],[Tech Start Date]]&lt;1/1/1990,"",IF(Main[[#This Row],[Class]]="C",WORKDAY(Main[[#This Row],[Tech Start Date]],28),IF(Main[[#This Row],[Class]]="B", WORKDAY(Main[[#This Row],[Tech Start Date]],19),IF(Main[[#This Row],[Class]]="A",WORKDAY(Main[[#This Row],[Tech Start Date]],9),""))))</f>
        <v/>
      </c>
      <c r="Q217" s="101"/>
      <c r="R217" s="101"/>
      <c r="S217" s="99" t="s">
        <v>11</v>
      </c>
      <c r="T217" s="107" t="s">
        <v>4</v>
      </c>
      <c r="U217" s="99" t="s">
        <v>14</v>
      </c>
      <c r="V217" s="99" t="s">
        <v>1965</v>
      </c>
      <c r="W217" s="99" t="s">
        <v>1976</v>
      </c>
    </row>
    <row r="218" spans="1:23" ht="18.600000000000001" customHeight="1">
      <c r="A218" s="123" t="str">
        <f>IF(priority(Main[[#This Row],[Comments]])&lt;&gt;0, priority(Main[[#This Row],[Comments]]),"")</f>
        <v/>
      </c>
      <c r="B218" s="127" t="s">
        <v>1979</v>
      </c>
      <c r="C218" s="99" t="s">
        <v>4</v>
      </c>
      <c r="D218" s="100" t="s">
        <v>5</v>
      </c>
      <c r="E218" s="101">
        <v>40485.386250000003</v>
      </c>
      <c r="F218" s="101"/>
      <c r="G218" s="102" t="str">
        <f>IF(stdProdLT(Main[[#This Row],[Comments]])=0.1,"N/A",IF(stdProdLT(Main[[#This Row],[Comments]])=0,"",stdProdLT(Main[[#This Row],[Comments]])))</f>
        <v/>
      </c>
      <c r="H218" s="103" t="str">
        <f>IF(AND(Main[[#This Row],[In Stock Date]]&lt;&gt;"",Main[[#This Row],[Revised Due Date]]&lt;&gt;""),Main[[#This Row],[In Stock Date]]-Main[[#This Row],[Revised Due Date]],"")</f>
        <v/>
      </c>
      <c r="I218" s="99" t="s">
        <v>4</v>
      </c>
      <c r="J218" s="99" t="s">
        <v>4</v>
      </c>
      <c r="K218" s="108" t="s">
        <v>4</v>
      </c>
      <c r="L218" s="101"/>
      <c r="M218" s="104" t="str">
        <f>IF(Main[[#This Row],[Tech Start Date]]&lt;1/1/1990,"",IF(Main[[#This Row],[Class]]="C",WORKDAY(Main[[#This Row],[Tech Start Date]],9),IF(Main[[#This Row],[Class]]="B", WORKDAY(Main[[#This Row],[Tech Start Date]],6),IF(Main[[#This Row],[Class]]="A",WORKDAY(Main[[#This Row],[Tech Start Date]],2),""))))</f>
        <v/>
      </c>
      <c r="N218" s="104" t="str">
        <f>IF(Main[[#This Row],[Tech Start Date]]&lt;1/1/1990,"",IF(Main[[#This Row],[Class]]="C",WORKDAY(Main[[#This Row],[Tech Start Date]],19),IF(Main[[#This Row],[Class]]="B", WORKDAY(Main[[#This Row],[Tech Start Date]],12),IF(Main[[#This Row],[Class]]="A",WORKDAY(Main[[#This Row],[Tech Start Date]],4),""))))</f>
        <v/>
      </c>
      <c r="O218" s="104" t="str">
        <f>IF(Main[[#This Row],[Tech Start Date]]&lt;1/1/1990,"",IF(Main[[#This Row],[Class]]="C",WORKDAY(Main[[#This Row],[Tech Start Date]],23),IF(Main[[#This Row],[Class]]="B", WORKDAY(Main[[#This Row],[Tech Start Date]],15),IF(Main[[#This Row],[Class]]="A",WORKDAY(Main[[#This Row],[Tech Start Date]],5),""))))</f>
        <v/>
      </c>
      <c r="P218" s="104" t="str">
        <f>IF(Main[[#This Row],[Tech Start Date]]&lt;1/1/1990,"",IF(Main[[#This Row],[Class]]="C",WORKDAY(Main[[#This Row],[Tech Start Date]],28),IF(Main[[#This Row],[Class]]="B", WORKDAY(Main[[#This Row],[Tech Start Date]],19),IF(Main[[#This Row],[Class]]="A",WORKDAY(Main[[#This Row],[Tech Start Date]],9),""))))</f>
        <v/>
      </c>
      <c r="Q218" s="101">
        <v>40508</v>
      </c>
      <c r="R218" s="101"/>
      <c r="S218" s="99" t="s">
        <v>6</v>
      </c>
      <c r="T218" s="107" t="s">
        <v>4</v>
      </c>
      <c r="U218" s="99" t="s">
        <v>7</v>
      </c>
      <c r="V218" s="99" t="s">
        <v>1962</v>
      </c>
      <c r="W218" s="99" t="s">
        <v>4</v>
      </c>
    </row>
    <row r="219" spans="1:23" ht="18.600000000000001" customHeight="1">
      <c r="A219" s="123" t="str">
        <f>IF(priority(Main[[#This Row],[Comments]])&lt;&gt;0, priority(Main[[#This Row],[Comments]]),"")</f>
        <v/>
      </c>
      <c r="B219" s="127" t="s">
        <v>1039</v>
      </c>
      <c r="C219" s="99" t="s">
        <v>4</v>
      </c>
      <c r="D219" s="100" t="s">
        <v>8</v>
      </c>
      <c r="E219" s="101">
        <v>40679.251782407409</v>
      </c>
      <c r="F219" s="101"/>
      <c r="G219" s="102" t="str">
        <f>IF(stdProdLT(Main[[#This Row],[Comments]])=0.1,"N/A",IF(stdProdLT(Main[[#This Row],[Comments]])=0,"",stdProdLT(Main[[#This Row],[Comments]])))</f>
        <v/>
      </c>
      <c r="H219" s="103" t="str">
        <f>IF(AND(Main[[#This Row],[In Stock Date]]&lt;&gt;"",Main[[#This Row],[Revised Due Date]]&lt;&gt;""),Main[[#This Row],[In Stock Date]]-Main[[#This Row],[Revised Due Date]],"")</f>
        <v/>
      </c>
      <c r="I219" s="99" t="s">
        <v>4</v>
      </c>
      <c r="J219" s="99" t="s">
        <v>4</v>
      </c>
      <c r="K219" s="108" t="s">
        <v>4</v>
      </c>
      <c r="L219" s="101"/>
      <c r="M219" s="104" t="str">
        <f>IF(Main[[#This Row],[Tech Start Date]]&lt;1/1/1990,"",IF(Main[[#This Row],[Class]]="C",WORKDAY(Main[[#This Row],[Tech Start Date]],9),IF(Main[[#This Row],[Class]]="B", WORKDAY(Main[[#This Row],[Tech Start Date]],6),IF(Main[[#This Row],[Class]]="A",WORKDAY(Main[[#This Row],[Tech Start Date]],2),""))))</f>
        <v/>
      </c>
      <c r="N219" s="104" t="str">
        <f>IF(Main[[#This Row],[Tech Start Date]]&lt;1/1/1990,"",IF(Main[[#This Row],[Class]]="C",WORKDAY(Main[[#This Row],[Tech Start Date]],19),IF(Main[[#This Row],[Class]]="B", WORKDAY(Main[[#This Row],[Tech Start Date]],12),IF(Main[[#This Row],[Class]]="A",WORKDAY(Main[[#This Row],[Tech Start Date]],4),""))))</f>
        <v/>
      </c>
      <c r="O219" s="104" t="str">
        <f>IF(Main[[#This Row],[Tech Start Date]]&lt;1/1/1990,"",IF(Main[[#This Row],[Class]]="C",WORKDAY(Main[[#This Row],[Tech Start Date]],23),IF(Main[[#This Row],[Class]]="B", WORKDAY(Main[[#This Row],[Tech Start Date]],15),IF(Main[[#This Row],[Class]]="A",WORKDAY(Main[[#This Row],[Tech Start Date]],5),""))))</f>
        <v/>
      </c>
      <c r="P219" s="104" t="str">
        <f>IF(Main[[#This Row],[Tech Start Date]]&lt;1/1/1990,"",IF(Main[[#This Row],[Class]]="C",WORKDAY(Main[[#This Row],[Tech Start Date]],28),IF(Main[[#This Row],[Class]]="B", WORKDAY(Main[[#This Row],[Tech Start Date]],19),IF(Main[[#This Row],[Class]]="A",WORKDAY(Main[[#This Row],[Tech Start Date]],9),""))))</f>
        <v/>
      </c>
      <c r="Q219" s="101"/>
      <c r="R219" s="101"/>
      <c r="S219" s="99" t="s">
        <v>6</v>
      </c>
      <c r="T219" s="107" t="s">
        <v>4</v>
      </c>
      <c r="U219" s="99" t="s">
        <v>7</v>
      </c>
      <c r="V219" s="99" t="s">
        <v>1962</v>
      </c>
      <c r="W219" s="99" t="s">
        <v>4</v>
      </c>
    </row>
    <row r="220" spans="1:23" ht="18.600000000000001" customHeight="1">
      <c r="A220" s="123" t="str">
        <f>IF(priority(Main[[#This Row],[Comments]])&lt;&gt;0, priority(Main[[#This Row],[Comments]]),"")</f>
        <v/>
      </c>
      <c r="B220" s="127" t="s">
        <v>1040</v>
      </c>
      <c r="C220" s="99" t="s">
        <v>9</v>
      </c>
      <c r="D220" s="100" t="s">
        <v>10</v>
      </c>
      <c r="E220" s="101"/>
      <c r="F220" s="101"/>
      <c r="G220" s="102" t="str">
        <f>IF(stdProdLT(Main[[#This Row],[Comments]])=0.1,"N/A",IF(stdProdLT(Main[[#This Row],[Comments]])=0,"",stdProdLT(Main[[#This Row],[Comments]])))</f>
        <v/>
      </c>
      <c r="H220" s="103" t="str">
        <f>IF(AND(Main[[#This Row],[In Stock Date]]&lt;&gt;"",Main[[#This Row],[Revised Due Date]]&lt;&gt;""),Main[[#This Row],[In Stock Date]]-Main[[#This Row],[Revised Due Date]],"")</f>
        <v/>
      </c>
      <c r="I220" s="99" t="s">
        <v>4</v>
      </c>
      <c r="J220" s="99" t="s">
        <v>4</v>
      </c>
      <c r="K220" s="108" t="s">
        <v>4</v>
      </c>
      <c r="L220" s="101"/>
      <c r="M220" s="104" t="str">
        <f>IF(Main[[#This Row],[Tech Start Date]]&lt;1/1/1990,"",IF(Main[[#This Row],[Class]]="C",WORKDAY(Main[[#This Row],[Tech Start Date]],9),IF(Main[[#This Row],[Class]]="B", WORKDAY(Main[[#This Row],[Tech Start Date]],6),IF(Main[[#This Row],[Class]]="A",WORKDAY(Main[[#This Row],[Tech Start Date]],2),""))))</f>
        <v/>
      </c>
      <c r="N220" s="104" t="str">
        <f>IF(Main[[#This Row],[Tech Start Date]]&lt;1/1/1990,"",IF(Main[[#This Row],[Class]]="C",WORKDAY(Main[[#This Row],[Tech Start Date]],19),IF(Main[[#This Row],[Class]]="B", WORKDAY(Main[[#This Row],[Tech Start Date]],12),IF(Main[[#This Row],[Class]]="A",WORKDAY(Main[[#This Row],[Tech Start Date]],4),""))))</f>
        <v/>
      </c>
      <c r="O220" s="104" t="str">
        <f>IF(Main[[#This Row],[Tech Start Date]]&lt;1/1/1990,"",IF(Main[[#This Row],[Class]]="C",WORKDAY(Main[[#This Row],[Tech Start Date]],23),IF(Main[[#This Row],[Class]]="B", WORKDAY(Main[[#This Row],[Tech Start Date]],15),IF(Main[[#This Row],[Class]]="A",WORKDAY(Main[[#This Row],[Tech Start Date]],5),""))))</f>
        <v/>
      </c>
      <c r="P220" s="104" t="str">
        <f>IF(Main[[#This Row],[Tech Start Date]]&lt;1/1/1990,"",IF(Main[[#This Row],[Class]]="C",WORKDAY(Main[[#This Row],[Tech Start Date]],28),IF(Main[[#This Row],[Class]]="B", WORKDAY(Main[[#This Row],[Tech Start Date]],19),IF(Main[[#This Row],[Class]]="A",WORKDAY(Main[[#This Row],[Tech Start Date]],9),""))))</f>
        <v/>
      </c>
      <c r="Q220" s="101">
        <v>40504</v>
      </c>
      <c r="R220" s="101"/>
      <c r="S220" s="99" t="s">
        <v>11</v>
      </c>
      <c r="T220" s="107" t="s">
        <v>4</v>
      </c>
      <c r="U220" s="99" t="s">
        <v>12</v>
      </c>
      <c r="V220" s="99" t="s">
        <v>1963</v>
      </c>
      <c r="W220" s="99" t="s">
        <v>1964</v>
      </c>
    </row>
    <row r="221" spans="1:23" ht="18.600000000000001" customHeight="1">
      <c r="A221" s="123" t="str">
        <f>IF(priority(Main[[#This Row],[Comments]])&lt;&gt;0, priority(Main[[#This Row],[Comments]]),"")</f>
        <v/>
      </c>
      <c r="B221" s="127" t="s">
        <v>1041</v>
      </c>
      <c r="C221" s="99" t="s">
        <v>4</v>
      </c>
      <c r="D221" s="100" t="s">
        <v>13</v>
      </c>
      <c r="E221" s="101"/>
      <c r="F221" s="101"/>
      <c r="G221" s="102" t="str">
        <f>IF(stdProdLT(Main[[#This Row],[Comments]])=0.1,"N/A",IF(stdProdLT(Main[[#This Row],[Comments]])=0,"",stdProdLT(Main[[#This Row],[Comments]])))</f>
        <v/>
      </c>
      <c r="H221" s="103" t="str">
        <f>IF(AND(Main[[#This Row],[In Stock Date]]&lt;&gt;"",Main[[#This Row],[Revised Due Date]]&lt;&gt;""),Main[[#This Row],[In Stock Date]]-Main[[#This Row],[Revised Due Date]],"")</f>
        <v/>
      </c>
      <c r="I221" s="99" t="s">
        <v>4</v>
      </c>
      <c r="J221" s="99" t="s">
        <v>4</v>
      </c>
      <c r="K221" s="99" t="s">
        <v>4</v>
      </c>
      <c r="L221" s="101"/>
      <c r="M221" s="104" t="str">
        <f>IF(Main[[#This Row],[Tech Start Date]]&lt;1/1/1990,"",IF(Main[[#This Row],[Class]]="C",WORKDAY(Main[[#This Row],[Tech Start Date]],9),IF(Main[[#This Row],[Class]]="B", WORKDAY(Main[[#This Row],[Tech Start Date]],6),IF(Main[[#This Row],[Class]]="A",WORKDAY(Main[[#This Row],[Tech Start Date]],2),""))))</f>
        <v/>
      </c>
      <c r="N221" s="104" t="str">
        <f>IF(Main[[#This Row],[Tech Start Date]]&lt;1/1/1990,"",IF(Main[[#This Row],[Class]]="C",WORKDAY(Main[[#This Row],[Tech Start Date]],19),IF(Main[[#This Row],[Class]]="B", WORKDAY(Main[[#This Row],[Tech Start Date]],12),IF(Main[[#This Row],[Class]]="A",WORKDAY(Main[[#This Row],[Tech Start Date]],4),""))))</f>
        <v/>
      </c>
      <c r="O221" s="104" t="str">
        <f>IF(Main[[#This Row],[Tech Start Date]]&lt;1/1/1990,"",IF(Main[[#This Row],[Class]]="C",WORKDAY(Main[[#This Row],[Tech Start Date]],23),IF(Main[[#This Row],[Class]]="B", WORKDAY(Main[[#This Row],[Tech Start Date]],15),IF(Main[[#This Row],[Class]]="A",WORKDAY(Main[[#This Row],[Tech Start Date]],5),""))))</f>
        <v/>
      </c>
      <c r="P221" s="104" t="str">
        <f>IF(Main[[#This Row],[Tech Start Date]]&lt;1/1/1990,"",IF(Main[[#This Row],[Class]]="C",WORKDAY(Main[[#This Row],[Tech Start Date]],28),IF(Main[[#This Row],[Class]]="B", WORKDAY(Main[[#This Row],[Tech Start Date]],19),IF(Main[[#This Row],[Class]]="A",WORKDAY(Main[[#This Row],[Tech Start Date]],9),""))))</f>
        <v/>
      </c>
      <c r="Q221" s="101"/>
      <c r="R221" s="101"/>
      <c r="S221" s="99" t="s">
        <v>6</v>
      </c>
      <c r="T221" s="107" t="s">
        <v>4</v>
      </c>
      <c r="U221" s="99" t="s">
        <v>14</v>
      </c>
      <c r="V221" s="99" t="s">
        <v>1965</v>
      </c>
      <c r="W221" s="99" t="s">
        <v>1966</v>
      </c>
    </row>
    <row r="222" spans="1:23" ht="18.600000000000001" customHeight="1">
      <c r="A222" s="123" t="str">
        <f>IF(priority(Main[[#This Row],[Comments]])&lt;&gt;0, priority(Main[[#This Row],[Comments]]),"")</f>
        <v/>
      </c>
      <c r="B222" s="127" t="s">
        <v>1043</v>
      </c>
      <c r="C222" s="99" t="s">
        <v>4</v>
      </c>
      <c r="D222" s="100" t="s">
        <v>18</v>
      </c>
      <c r="E222" s="101"/>
      <c r="F222" s="101"/>
      <c r="G222" s="102" t="str">
        <f>IF(stdProdLT(Main[[#This Row],[Comments]])=0.1,"N/A",IF(stdProdLT(Main[[#This Row],[Comments]])=0,"",stdProdLT(Main[[#This Row],[Comments]])))</f>
        <v/>
      </c>
      <c r="H222" s="103" t="str">
        <f>IF(AND(Main[[#This Row],[In Stock Date]]&lt;&gt;"",Main[[#This Row],[Revised Due Date]]&lt;&gt;""),Main[[#This Row],[In Stock Date]]-Main[[#This Row],[Revised Due Date]],"")</f>
        <v/>
      </c>
      <c r="I222" s="99" t="s">
        <v>4</v>
      </c>
      <c r="J222" s="99" t="s">
        <v>4</v>
      </c>
      <c r="K222" s="99" t="s">
        <v>4</v>
      </c>
      <c r="L222" s="101"/>
      <c r="M222" s="104" t="str">
        <f>IF(Main[[#This Row],[Tech Start Date]]&lt;1/1/1990,"",IF(Main[[#This Row],[Class]]="C",WORKDAY(Main[[#This Row],[Tech Start Date]],9),IF(Main[[#This Row],[Class]]="B", WORKDAY(Main[[#This Row],[Tech Start Date]],6),IF(Main[[#This Row],[Class]]="A",WORKDAY(Main[[#This Row],[Tech Start Date]],2),""))))</f>
        <v/>
      </c>
      <c r="N222" s="104" t="str">
        <f>IF(Main[[#This Row],[Tech Start Date]]&lt;1/1/1990,"",IF(Main[[#This Row],[Class]]="C",WORKDAY(Main[[#This Row],[Tech Start Date]],19),IF(Main[[#This Row],[Class]]="B", WORKDAY(Main[[#This Row],[Tech Start Date]],12),IF(Main[[#This Row],[Class]]="A",WORKDAY(Main[[#This Row],[Tech Start Date]],4),""))))</f>
        <v/>
      </c>
      <c r="O222" s="104" t="str">
        <f>IF(Main[[#This Row],[Tech Start Date]]&lt;1/1/1990,"",IF(Main[[#This Row],[Class]]="C",WORKDAY(Main[[#This Row],[Tech Start Date]],23),IF(Main[[#This Row],[Class]]="B", WORKDAY(Main[[#This Row],[Tech Start Date]],15),IF(Main[[#This Row],[Class]]="A",WORKDAY(Main[[#This Row],[Tech Start Date]],5),""))))</f>
        <v/>
      </c>
      <c r="P222" s="104" t="str">
        <f>IF(Main[[#This Row],[Tech Start Date]]&lt;1/1/1990,"",IF(Main[[#This Row],[Class]]="C",WORKDAY(Main[[#This Row],[Tech Start Date]],28),IF(Main[[#This Row],[Class]]="B", WORKDAY(Main[[#This Row],[Tech Start Date]],19),IF(Main[[#This Row],[Class]]="A",WORKDAY(Main[[#This Row],[Tech Start Date]],9),""))))</f>
        <v/>
      </c>
      <c r="Q222" s="101">
        <v>40585</v>
      </c>
      <c r="R222" s="101"/>
      <c r="S222" s="99" t="s">
        <v>11</v>
      </c>
      <c r="T222" s="107" t="s">
        <v>4</v>
      </c>
      <c r="U222" s="99" t="s">
        <v>14</v>
      </c>
      <c r="V222" s="99" t="s">
        <v>1962</v>
      </c>
      <c r="W222" s="99" t="s">
        <v>1967</v>
      </c>
    </row>
    <row r="223" spans="1:23" ht="18.600000000000001" customHeight="1">
      <c r="A223" s="123" t="str">
        <f>IF(priority(Main[[#This Row],[Comments]])&lt;&gt;0, priority(Main[[#This Row],[Comments]]),"")</f>
        <v/>
      </c>
      <c r="B223" s="127" t="s">
        <v>1981</v>
      </c>
      <c r="C223" s="99" t="s">
        <v>19</v>
      </c>
      <c r="D223" s="100" t="s">
        <v>20</v>
      </c>
      <c r="E223" s="101"/>
      <c r="F223" s="101">
        <v>40548</v>
      </c>
      <c r="G223" s="102" t="str">
        <f>IF(stdProdLT(Main[[#This Row],[Comments]])=0.1,"N/A",IF(stdProdLT(Main[[#This Row],[Comments]])=0,"",stdProdLT(Main[[#This Row],[Comments]])))</f>
        <v/>
      </c>
      <c r="H223" s="103" t="str">
        <f>IF(AND(Main[[#This Row],[In Stock Date]]&lt;&gt;"",Main[[#This Row],[Revised Due Date]]&lt;&gt;""),Main[[#This Row],[In Stock Date]]-Main[[#This Row],[Revised Due Date]],"")</f>
        <v/>
      </c>
      <c r="I223" s="99" t="s">
        <v>4</v>
      </c>
      <c r="J223" s="99" t="s">
        <v>21</v>
      </c>
      <c r="K223" s="99" t="s">
        <v>4</v>
      </c>
      <c r="L223" s="101"/>
      <c r="M223" s="104" t="str">
        <f>IF(Main[[#This Row],[Tech Start Date]]&lt;1/1/1990,"",IF(Main[[#This Row],[Class]]="C",WORKDAY(Main[[#This Row],[Tech Start Date]],9),IF(Main[[#This Row],[Class]]="B", WORKDAY(Main[[#This Row],[Tech Start Date]],6),IF(Main[[#This Row],[Class]]="A",WORKDAY(Main[[#This Row],[Tech Start Date]],2),""))))</f>
        <v/>
      </c>
      <c r="N223" s="104" t="str">
        <f>IF(Main[[#This Row],[Tech Start Date]]&lt;1/1/1990,"",IF(Main[[#This Row],[Class]]="C",WORKDAY(Main[[#This Row],[Tech Start Date]],19),IF(Main[[#This Row],[Class]]="B", WORKDAY(Main[[#This Row],[Tech Start Date]],12),IF(Main[[#This Row],[Class]]="A",WORKDAY(Main[[#This Row],[Tech Start Date]],4),""))))</f>
        <v/>
      </c>
      <c r="O223" s="104" t="str">
        <f>IF(Main[[#This Row],[Tech Start Date]]&lt;1/1/1990,"",IF(Main[[#This Row],[Class]]="C",WORKDAY(Main[[#This Row],[Tech Start Date]],23),IF(Main[[#This Row],[Class]]="B", WORKDAY(Main[[#This Row],[Tech Start Date]],15),IF(Main[[#This Row],[Class]]="A",WORKDAY(Main[[#This Row],[Tech Start Date]],5),""))))</f>
        <v/>
      </c>
      <c r="P223" s="104" t="str">
        <f>IF(Main[[#This Row],[Tech Start Date]]&lt;1/1/1990,"",IF(Main[[#This Row],[Class]]="C",WORKDAY(Main[[#This Row],[Tech Start Date]],28),IF(Main[[#This Row],[Class]]="B", WORKDAY(Main[[#This Row],[Tech Start Date]],19),IF(Main[[#This Row],[Class]]="A",WORKDAY(Main[[#This Row],[Tech Start Date]],9),""))))</f>
        <v/>
      </c>
      <c r="Q223" s="101">
        <v>40441</v>
      </c>
      <c r="R223" s="101"/>
      <c r="S223" s="99" t="s">
        <v>11</v>
      </c>
      <c r="T223" s="107" t="s">
        <v>4</v>
      </c>
      <c r="U223" s="99" t="s">
        <v>12</v>
      </c>
      <c r="V223" s="99" t="s">
        <v>1965</v>
      </c>
      <c r="W223" s="99" t="s">
        <v>1968</v>
      </c>
    </row>
    <row r="224" spans="1:23" ht="18.600000000000001" customHeight="1">
      <c r="A224" s="123" t="str">
        <f>IF(priority(Main[[#This Row],[Comments]])&lt;&gt;0, priority(Main[[#This Row],[Comments]]),"")</f>
        <v/>
      </c>
      <c r="B224" s="127" t="s">
        <v>1044</v>
      </c>
      <c r="C224" s="99" t="s">
        <v>4</v>
      </c>
      <c r="D224" s="100" t="s">
        <v>22</v>
      </c>
      <c r="E224" s="101"/>
      <c r="F224" s="101"/>
      <c r="G224" s="102" t="str">
        <f>IF(stdProdLT(Main[[#This Row],[Comments]])=0.1,"N/A",IF(stdProdLT(Main[[#This Row],[Comments]])=0,"",stdProdLT(Main[[#This Row],[Comments]])))</f>
        <v/>
      </c>
      <c r="H224" s="103" t="str">
        <f>IF(AND(Main[[#This Row],[In Stock Date]]&lt;&gt;"",Main[[#This Row],[Revised Due Date]]&lt;&gt;""),Main[[#This Row],[In Stock Date]]-Main[[#This Row],[Revised Due Date]],"")</f>
        <v/>
      </c>
      <c r="I224" s="99" t="s">
        <v>4</v>
      </c>
      <c r="J224" s="99" t="s">
        <v>4</v>
      </c>
      <c r="K224" s="99" t="s">
        <v>4</v>
      </c>
      <c r="L224" s="101"/>
      <c r="M224" s="104" t="str">
        <f>IF(Main[[#This Row],[Tech Start Date]]&lt;1/1/1990,"",IF(Main[[#This Row],[Class]]="C",WORKDAY(Main[[#This Row],[Tech Start Date]],9),IF(Main[[#This Row],[Class]]="B", WORKDAY(Main[[#This Row],[Tech Start Date]],6),IF(Main[[#This Row],[Class]]="A",WORKDAY(Main[[#This Row],[Tech Start Date]],2),""))))</f>
        <v/>
      </c>
      <c r="N224" s="104" t="str">
        <f>IF(Main[[#This Row],[Tech Start Date]]&lt;1/1/1990,"",IF(Main[[#This Row],[Class]]="C",WORKDAY(Main[[#This Row],[Tech Start Date]],19),IF(Main[[#This Row],[Class]]="B", WORKDAY(Main[[#This Row],[Tech Start Date]],12),IF(Main[[#This Row],[Class]]="A",WORKDAY(Main[[#This Row],[Tech Start Date]],4),""))))</f>
        <v/>
      </c>
      <c r="O224" s="104" t="str">
        <f>IF(Main[[#This Row],[Tech Start Date]]&lt;1/1/1990,"",IF(Main[[#This Row],[Class]]="C",WORKDAY(Main[[#This Row],[Tech Start Date]],23),IF(Main[[#This Row],[Class]]="B", WORKDAY(Main[[#This Row],[Tech Start Date]],15),IF(Main[[#This Row],[Class]]="A",WORKDAY(Main[[#This Row],[Tech Start Date]],5),""))))</f>
        <v/>
      </c>
      <c r="P224" s="104" t="str">
        <f>IF(Main[[#This Row],[Tech Start Date]]&lt;1/1/1990,"",IF(Main[[#This Row],[Class]]="C",WORKDAY(Main[[#This Row],[Tech Start Date]],28),IF(Main[[#This Row],[Class]]="B", WORKDAY(Main[[#This Row],[Tech Start Date]],19),IF(Main[[#This Row],[Class]]="A",WORKDAY(Main[[#This Row],[Tech Start Date]],9),""))))</f>
        <v/>
      </c>
      <c r="Q224" s="101"/>
      <c r="R224" s="101"/>
      <c r="S224" s="99" t="s">
        <v>23</v>
      </c>
      <c r="T224" s="107" t="s">
        <v>4</v>
      </c>
      <c r="U224" s="99" t="s">
        <v>14</v>
      </c>
      <c r="V224" s="99" t="s">
        <v>1962</v>
      </c>
      <c r="W224" s="99" t="s">
        <v>1964</v>
      </c>
    </row>
    <row r="225" spans="1:23" ht="18.600000000000001" customHeight="1">
      <c r="A225" s="123" t="str">
        <f>IF(priority(Main[[#This Row],[Comments]])&lt;&gt;0, priority(Main[[#This Row],[Comments]]),"")</f>
        <v/>
      </c>
      <c r="B225" s="127" t="s">
        <v>1045</v>
      </c>
      <c r="C225" s="99" t="s">
        <v>24</v>
      </c>
      <c r="D225" s="100" t="s">
        <v>25</v>
      </c>
      <c r="E225" s="101"/>
      <c r="F225" s="101"/>
      <c r="G225" s="102" t="str">
        <f>IF(stdProdLT(Main[[#This Row],[Comments]])=0.1,"N/A",IF(stdProdLT(Main[[#This Row],[Comments]])=0,"",stdProdLT(Main[[#This Row],[Comments]])))</f>
        <v/>
      </c>
      <c r="H225" s="103" t="str">
        <f>IF(AND(Main[[#This Row],[In Stock Date]]&lt;&gt;"",Main[[#This Row],[Revised Due Date]]&lt;&gt;""),Main[[#This Row],[In Stock Date]]-Main[[#This Row],[Revised Due Date]],"")</f>
        <v/>
      </c>
      <c r="I225" s="99" t="s">
        <v>4</v>
      </c>
      <c r="J225" s="99" t="s">
        <v>4</v>
      </c>
      <c r="K225" s="99" t="s">
        <v>4</v>
      </c>
      <c r="L225" s="101"/>
      <c r="M225" s="104" t="str">
        <f>IF(Main[[#This Row],[Tech Start Date]]&lt;1/1/1990,"",IF(Main[[#This Row],[Class]]="C",WORKDAY(Main[[#This Row],[Tech Start Date]],9),IF(Main[[#This Row],[Class]]="B", WORKDAY(Main[[#This Row],[Tech Start Date]],6),IF(Main[[#This Row],[Class]]="A",WORKDAY(Main[[#This Row],[Tech Start Date]],2),""))))</f>
        <v/>
      </c>
      <c r="N225" s="104" t="str">
        <f>IF(Main[[#This Row],[Tech Start Date]]&lt;1/1/1990,"",IF(Main[[#This Row],[Class]]="C",WORKDAY(Main[[#This Row],[Tech Start Date]],19),IF(Main[[#This Row],[Class]]="B", WORKDAY(Main[[#This Row],[Tech Start Date]],12),IF(Main[[#This Row],[Class]]="A",WORKDAY(Main[[#This Row],[Tech Start Date]],4),""))))</f>
        <v/>
      </c>
      <c r="O225" s="104" t="str">
        <f>IF(Main[[#This Row],[Tech Start Date]]&lt;1/1/1990,"",IF(Main[[#This Row],[Class]]="C",WORKDAY(Main[[#This Row],[Tech Start Date]],23),IF(Main[[#This Row],[Class]]="B", WORKDAY(Main[[#This Row],[Tech Start Date]],15),IF(Main[[#This Row],[Class]]="A",WORKDAY(Main[[#This Row],[Tech Start Date]],5),""))))</f>
        <v/>
      </c>
      <c r="P225" s="104" t="str">
        <f>IF(Main[[#This Row],[Tech Start Date]]&lt;1/1/1990,"",IF(Main[[#This Row],[Class]]="C",WORKDAY(Main[[#This Row],[Tech Start Date]],28),IF(Main[[#This Row],[Class]]="B", WORKDAY(Main[[#This Row],[Tech Start Date]],19),IF(Main[[#This Row],[Class]]="A",WORKDAY(Main[[#This Row],[Tech Start Date]],9),""))))</f>
        <v/>
      </c>
      <c r="Q225" s="101"/>
      <c r="R225" s="101"/>
      <c r="S225" s="99" t="s">
        <v>11</v>
      </c>
      <c r="T225" s="107" t="s">
        <v>4</v>
      </c>
      <c r="U225" s="99" t="s">
        <v>14</v>
      </c>
      <c r="V225" s="99" t="s">
        <v>1963</v>
      </c>
      <c r="W225" s="99" t="s">
        <v>1967</v>
      </c>
    </row>
    <row r="226" spans="1:23" ht="18.600000000000001" customHeight="1">
      <c r="A226" s="123" t="str">
        <f>IF(priority(Main[[#This Row],[Comments]])&lt;&gt;0, priority(Main[[#This Row],[Comments]]),"")</f>
        <v/>
      </c>
      <c r="B226" s="127" t="s">
        <v>1506</v>
      </c>
      <c r="C226" s="99" t="s">
        <v>4</v>
      </c>
      <c r="D226" s="100" t="s">
        <v>2422</v>
      </c>
      <c r="E226" s="101">
        <v>40431.641157407408</v>
      </c>
      <c r="F226" s="101"/>
      <c r="G226" s="102" t="str">
        <f>IF(stdProdLT(Main[[#This Row],[Comments]])=0.1,"N/A",IF(stdProdLT(Main[[#This Row],[Comments]])=0,"",stdProdLT(Main[[#This Row],[Comments]])))</f>
        <v/>
      </c>
      <c r="H226" s="103" t="str">
        <f>IF(AND(Main[[#This Row],[In Stock Date]]&lt;&gt;"",Main[[#This Row],[Revised Due Date]]&lt;&gt;""),Main[[#This Row],[In Stock Date]]-Main[[#This Row],[Revised Due Date]],"")</f>
        <v/>
      </c>
      <c r="I226" s="99" t="s">
        <v>929</v>
      </c>
      <c r="J226" s="99" t="s">
        <v>52</v>
      </c>
      <c r="K226" s="99" t="s">
        <v>4</v>
      </c>
      <c r="L226" s="101"/>
      <c r="M226" s="104" t="str">
        <f>IF(Main[[#This Row],[Tech Start Date]]&lt;1/1/1990,"",IF(Main[[#This Row],[Class]]="C",WORKDAY(Main[[#This Row],[Tech Start Date]],9),IF(Main[[#This Row],[Class]]="B", WORKDAY(Main[[#This Row],[Tech Start Date]],6),IF(Main[[#This Row],[Class]]="A",WORKDAY(Main[[#This Row],[Tech Start Date]],2),""))))</f>
        <v/>
      </c>
      <c r="N226" s="104" t="str">
        <f>IF(Main[[#This Row],[Tech Start Date]]&lt;1/1/1990,"",IF(Main[[#This Row],[Class]]="C",WORKDAY(Main[[#This Row],[Tech Start Date]],19),IF(Main[[#This Row],[Class]]="B", WORKDAY(Main[[#This Row],[Tech Start Date]],12),IF(Main[[#This Row],[Class]]="A",WORKDAY(Main[[#This Row],[Tech Start Date]],4),""))))</f>
        <v/>
      </c>
      <c r="O226" s="104" t="str">
        <f>IF(Main[[#This Row],[Tech Start Date]]&lt;1/1/1990,"",IF(Main[[#This Row],[Class]]="C",WORKDAY(Main[[#This Row],[Tech Start Date]],23),IF(Main[[#This Row],[Class]]="B", WORKDAY(Main[[#This Row],[Tech Start Date]],15),IF(Main[[#This Row],[Class]]="A",WORKDAY(Main[[#This Row],[Tech Start Date]],5),""))))</f>
        <v/>
      </c>
      <c r="P226" s="104" t="str">
        <f>IF(Main[[#This Row],[Tech Start Date]]&lt;1/1/1990,"",IF(Main[[#This Row],[Class]]="C",WORKDAY(Main[[#This Row],[Tech Start Date]],28),IF(Main[[#This Row],[Class]]="B", WORKDAY(Main[[#This Row],[Tech Start Date]],19),IF(Main[[#This Row],[Class]]="A",WORKDAY(Main[[#This Row],[Tech Start Date]],9),""))))</f>
        <v/>
      </c>
      <c r="Q226" s="101">
        <v>40466</v>
      </c>
      <c r="R226" s="101"/>
      <c r="S226" s="99" t="s">
        <v>6</v>
      </c>
      <c r="T226" s="107" t="s">
        <v>4</v>
      </c>
      <c r="U226" s="99" t="s">
        <v>29</v>
      </c>
      <c r="V226" s="99" t="s">
        <v>1962</v>
      </c>
      <c r="W226" s="99" t="s">
        <v>1964</v>
      </c>
    </row>
    <row r="227" spans="1:23" ht="18.600000000000001" customHeight="1">
      <c r="A227" s="123" t="str">
        <f>IF(priority(Main[[#This Row],[Comments]])&lt;&gt;0, priority(Main[[#This Row],[Comments]]),"")</f>
        <v/>
      </c>
      <c r="B227" s="127" t="s">
        <v>1080</v>
      </c>
      <c r="C227" s="99" t="s">
        <v>79</v>
      </c>
      <c r="D227" s="100" t="s">
        <v>80</v>
      </c>
      <c r="E227" s="101"/>
      <c r="F227" s="101"/>
      <c r="G227" s="102" t="str">
        <f>IF(stdProdLT(Main[[#This Row],[Comments]])=0.1,"N/A",IF(stdProdLT(Main[[#This Row],[Comments]])=0,"",stdProdLT(Main[[#This Row],[Comments]])))</f>
        <v/>
      </c>
      <c r="H227" s="103" t="str">
        <f>IF(AND(Main[[#This Row],[In Stock Date]]&lt;&gt;"",Main[[#This Row],[Revised Due Date]]&lt;&gt;""),Main[[#This Row],[In Stock Date]]-Main[[#This Row],[Revised Due Date]],"")</f>
        <v/>
      </c>
      <c r="I227" s="99" t="s">
        <v>81</v>
      </c>
      <c r="J227" s="99" t="s">
        <v>4</v>
      </c>
      <c r="K227" s="99" t="s">
        <v>4</v>
      </c>
      <c r="L227" s="101"/>
      <c r="M227" s="104" t="str">
        <f>IF(Main[[#This Row],[Tech Start Date]]&lt;1/1/1990,"",IF(Main[[#This Row],[Class]]="C",WORKDAY(Main[[#This Row],[Tech Start Date]],9),IF(Main[[#This Row],[Class]]="B", WORKDAY(Main[[#This Row],[Tech Start Date]],6),IF(Main[[#This Row],[Class]]="A",WORKDAY(Main[[#This Row],[Tech Start Date]],2),""))))</f>
        <v/>
      </c>
      <c r="N227" s="104" t="str">
        <f>IF(Main[[#This Row],[Tech Start Date]]&lt;1/1/1990,"",IF(Main[[#This Row],[Class]]="C",WORKDAY(Main[[#This Row],[Tech Start Date]],19),IF(Main[[#This Row],[Class]]="B", WORKDAY(Main[[#This Row],[Tech Start Date]],12),IF(Main[[#This Row],[Class]]="A",WORKDAY(Main[[#This Row],[Tech Start Date]],4),""))))</f>
        <v/>
      </c>
      <c r="O227" s="104" t="str">
        <f>IF(Main[[#This Row],[Tech Start Date]]&lt;1/1/1990,"",IF(Main[[#This Row],[Class]]="C",WORKDAY(Main[[#This Row],[Tech Start Date]],23),IF(Main[[#This Row],[Class]]="B", WORKDAY(Main[[#This Row],[Tech Start Date]],15),IF(Main[[#This Row],[Class]]="A",WORKDAY(Main[[#This Row],[Tech Start Date]],5),""))))</f>
        <v/>
      </c>
      <c r="P227" s="104" t="str">
        <f>IF(Main[[#This Row],[Tech Start Date]]&lt;1/1/1990,"",IF(Main[[#This Row],[Class]]="C",WORKDAY(Main[[#This Row],[Tech Start Date]],28),IF(Main[[#This Row],[Class]]="B", WORKDAY(Main[[#This Row],[Tech Start Date]],19),IF(Main[[#This Row],[Class]]="A",WORKDAY(Main[[#This Row],[Tech Start Date]],9),""))))</f>
        <v/>
      </c>
      <c r="Q227" s="101">
        <v>39986</v>
      </c>
      <c r="R227" s="101"/>
      <c r="S227" s="99" t="s">
        <v>11</v>
      </c>
      <c r="T227" s="107" t="s">
        <v>4</v>
      </c>
      <c r="U227" s="99" t="s">
        <v>14</v>
      </c>
      <c r="V227" s="99" t="s">
        <v>1965</v>
      </c>
      <c r="W227" s="99" t="s">
        <v>1973</v>
      </c>
    </row>
    <row r="228" spans="1:23" ht="18.600000000000001" customHeight="1">
      <c r="A228" s="123" t="str">
        <f>IF(priority(Main[[#This Row],[Comments]])&lt;&gt;0, priority(Main[[#This Row],[Comments]]),"")</f>
        <v/>
      </c>
      <c r="B228" s="127" t="s">
        <v>1081</v>
      </c>
      <c r="C228" s="99" t="s">
        <v>4</v>
      </c>
      <c r="D228" s="100" t="s">
        <v>82</v>
      </c>
      <c r="E228" s="101"/>
      <c r="F228" s="101"/>
      <c r="G228" s="102" t="str">
        <f>IF(stdProdLT(Main[[#This Row],[Comments]])=0.1,"N/A",IF(stdProdLT(Main[[#This Row],[Comments]])=0,"",stdProdLT(Main[[#This Row],[Comments]])))</f>
        <v/>
      </c>
      <c r="H228" s="103" t="str">
        <f>IF(AND(Main[[#This Row],[In Stock Date]]&lt;&gt;"",Main[[#This Row],[Revised Due Date]]&lt;&gt;""),Main[[#This Row],[In Stock Date]]-Main[[#This Row],[Revised Due Date]],"")</f>
        <v/>
      </c>
      <c r="I228" s="99" t="s">
        <v>4</v>
      </c>
      <c r="J228" s="99" t="s">
        <v>4</v>
      </c>
      <c r="K228" s="99" t="s">
        <v>4</v>
      </c>
      <c r="L228" s="101"/>
      <c r="M228" s="104" t="str">
        <f>IF(Main[[#This Row],[Tech Start Date]]&lt;1/1/1990,"",IF(Main[[#This Row],[Class]]="C",WORKDAY(Main[[#This Row],[Tech Start Date]],9),IF(Main[[#This Row],[Class]]="B", WORKDAY(Main[[#This Row],[Tech Start Date]],6),IF(Main[[#This Row],[Class]]="A",WORKDAY(Main[[#This Row],[Tech Start Date]],2),""))))</f>
        <v/>
      </c>
      <c r="N228" s="104" t="str">
        <f>IF(Main[[#This Row],[Tech Start Date]]&lt;1/1/1990,"",IF(Main[[#This Row],[Class]]="C",WORKDAY(Main[[#This Row],[Tech Start Date]],19),IF(Main[[#This Row],[Class]]="B", WORKDAY(Main[[#This Row],[Tech Start Date]],12),IF(Main[[#This Row],[Class]]="A",WORKDAY(Main[[#This Row],[Tech Start Date]],4),""))))</f>
        <v/>
      </c>
      <c r="O228" s="104" t="str">
        <f>IF(Main[[#This Row],[Tech Start Date]]&lt;1/1/1990,"",IF(Main[[#This Row],[Class]]="C",WORKDAY(Main[[#This Row],[Tech Start Date]],23),IF(Main[[#This Row],[Class]]="B", WORKDAY(Main[[#This Row],[Tech Start Date]],15),IF(Main[[#This Row],[Class]]="A",WORKDAY(Main[[#This Row],[Tech Start Date]],5),""))))</f>
        <v/>
      </c>
      <c r="P228" s="104" t="str">
        <f>IF(Main[[#This Row],[Tech Start Date]]&lt;1/1/1990,"",IF(Main[[#This Row],[Class]]="C",WORKDAY(Main[[#This Row],[Tech Start Date]],28),IF(Main[[#This Row],[Class]]="B", WORKDAY(Main[[#This Row],[Tech Start Date]],19),IF(Main[[#This Row],[Class]]="A",WORKDAY(Main[[#This Row],[Tech Start Date]],9),""))))</f>
        <v/>
      </c>
      <c r="Q228" s="101">
        <v>40602</v>
      </c>
      <c r="R228" s="101"/>
      <c r="S228" s="99" t="s">
        <v>6</v>
      </c>
      <c r="T228" s="107" t="s">
        <v>4</v>
      </c>
      <c r="U228" s="99" t="s">
        <v>14</v>
      </c>
      <c r="V228" s="99" t="s">
        <v>1972</v>
      </c>
      <c r="W228" s="99" t="s">
        <v>1966</v>
      </c>
    </row>
    <row r="229" spans="1:23" ht="18.600000000000001" customHeight="1">
      <c r="A229" s="123" t="str">
        <f>IF(priority(Main[[#This Row],[Comments]])&lt;&gt;0, priority(Main[[#This Row],[Comments]]),"")</f>
        <v/>
      </c>
      <c r="B229" s="127" t="s">
        <v>1135</v>
      </c>
      <c r="C229" s="99" t="s">
        <v>4</v>
      </c>
      <c r="D229" s="100" t="s">
        <v>125</v>
      </c>
      <c r="E229" s="101"/>
      <c r="F229" s="101"/>
      <c r="G229" s="102" t="str">
        <f>IF(stdProdLT(Main[[#This Row],[Comments]])=0.1,"N/A",IF(stdProdLT(Main[[#This Row],[Comments]])=0,"",stdProdLT(Main[[#This Row],[Comments]])))</f>
        <v/>
      </c>
      <c r="H229" s="103" t="str">
        <f>IF(AND(Main[[#This Row],[In Stock Date]]&lt;&gt;"",Main[[#This Row],[Revised Due Date]]&lt;&gt;""),Main[[#This Row],[In Stock Date]]-Main[[#This Row],[Revised Due Date]],"")</f>
        <v/>
      </c>
      <c r="I229" s="99" t="s">
        <v>126</v>
      </c>
      <c r="J229" s="99" t="s">
        <v>4</v>
      </c>
      <c r="K229" s="99" t="s">
        <v>4</v>
      </c>
      <c r="L229" s="101"/>
      <c r="M229" s="104" t="str">
        <f>IF(Main[[#This Row],[Tech Start Date]]&lt;1/1/1990,"",IF(Main[[#This Row],[Class]]="C",WORKDAY(Main[[#This Row],[Tech Start Date]],9),IF(Main[[#This Row],[Class]]="B", WORKDAY(Main[[#This Row],[Tech Start Date]],6),IF(Main[[#This Row],[Class]]="A",WORKDAY(Main[[#This Row],[Tech Start Date]],2),""))))</f>
        <v/>
      </c>
      <c r="N229" s="104" t="str">
        <f>IF(Main[[#This Row],[Tech Start Date]]&lt;1/1/1990,"",IF(Main[[#This Row],[Class]]="C",WORKDAY(Main[[#This Row],[Tech Start Date]],19),IF(Main[[#This Row],[Class]]="B", WORKDAY(Main[[#This Row],[Tech Start Date]],12),IF(Main[[#This Row],[Class]]="A",WORKDAY(Main[[#This Row],[Tech Start Date]],4),""))))</f>
        <v/>
      </c>
      <c r="O229" s="104" t="str">
        <f>IF(Main[[#This Row],[Tech Start Date]]&lt;1/1/1990,"",IF(Main[[#This Row],[Class]]="C",WORKDAY(Main[[#This Row],[Tech Start Date]],23),IF(Main[[#This Row],[Class]]="B", WORKDAY(Main[[#This Row],[Tech Start Date]],15),IF(Main[[#This Row],[Class]]="A",WORKDAY(Main[[#This Row],[Tech Start Date]],5),""))))</f>
        <v/>
      </c>
      <c r="P229" s="104" t="str">
        <f>IF(Main[[#This Row],[Tech Start Date]]&lt;1/1/1990,"",IF(Main[[#This Row],[Class]]="C",WORKDAY(Main[[#This Row],[Tech Start Date]],28),IF(Main[[#This Row],[Class]]="B", WORKDAY(Main[[#This Row],[Tech Start Date]],19),IF(Main[[#This Row],[Class]]="A",WORKDAY(Main[[#This Row],[Tech Start Date]],9),""))))</f>
        <v/>
      </c>
      <c r="Q229" s="101">
        <v>40025</v>
      </c>
      <c r="R229" s="101"/>
      <c r="S229" s="99" t="s">
        <v>11</v>
      </c>
      <c r="T229" s="107" t="s">
        <v>4</v>
      </c>
      <c r="U229" s="99" t="s">
        <v>14</v>
      </c>
      <c r="V229" s="99" t="s">
        <v>1962</v>
      </c>
      <c r="W229" s="99" t="s">
        <v>1970</v>
      </c>
    </row>
    <row r="230" spans="1:23" ht="18.600000000000001" customHeight="1">
      <c r="A230" s="123" t="str">
        <f>IF(priority(Main[[#This Row],[Comments]])&lt;&gt;0, priority(Main[[#This Row],[Comments]]),"")</f>
        <v/>
      </c>
      <c r="B230" s="127" t="s">
        <v>1136</v>
      </c>
      <c r="C230" s="99" t="s">
        <v>4</v>
      </c>
      <c r="D230" s="100" t="s">
        <v>127</v>
      </c>
      <c r="E230" s="101"/>
      <c r="F230" s="101"/>
      <c r="G230" s="102" t="str">
        <f>IF(stdProdLT(Main[[#This Row],[Comments]])=0.1,"N/A",IF(stdProdLT(Main[[#This Row],[Comments]])=0,"",stdProdLT(Main[[#This Row],[Comments]])))</f>
        <v/>
      </c>
      <c r="H230" s="103" t="str">
        <f>IF(AND(Main[[#This Row],[In Stock Date]]&lt;&gt;"",Main[[#This Row],[Revised Due Date]]&lt;&gt;""),Main[[#This Row],[In Stock Date]]-Main[[#This Row],[Revised Due Date]],"")</f>
        <v/>
      </c>
      <c r="I230" s="99" t="s">
        <v>30</v>
      </c>
      <c r="J230" s="99" t="s">
        <v>21</v>
      </c>
      <c r="K230" s="108" t="s">
        <v>4</v>
      </c>
      <c r="L230" s="101"/>
      <c r="M230" s="104" t="str">
        <f>IF(Main[[#This Row],[Tech Start Date]]&lt;1/1/1990,"",IF(Main[[#This Row],[Class]]="C",WORKDAY(Main[[#This Row],[Tech Start Date]],9),IF(Main[[#This Row],[Class]]="B", WORKDAY(Main[[#This Row],[Tech Start Date]],6),IF(Main[[#This Row],[Class]]="A",WORKDAY(Main[[#This Row],[Tech Start Date]],2),""))))</f>
        <v/>
      </c>
      <c r="N230" s="104" t="str">
        <f>IF(Main[[#This Row],[Tech Start Date]]&lt;1/1/1990,"",IF(Main[[#This Row],[Class]]="C",WORKDAY(Main[[#This Row],[Tech Start Date]],19),IF(Main[[#This Row],[Class]]="B", WORKDAY(Main[[#This Row],[Tech Start Date]],12),IF(Main[[#This Row],[Class]]="A",WORKDAY(Main[[#This Row],[Tech Start Date]],4),""))))</f>
        <v/>
      </c>
      <c r="O230" s="104" t="str">
        <f>IF(Main[[#This Row],[Tech Start Date]]&lt;1/1/1990,"",IF(Main[[#This Row],[Class]]="C",WORKDAY(Main[[#This Row],[Tech Start Date]],23),IF(Main[[#This Row],[Class]]="B", WORKDAY(Main[[#This Row],[Tech Start Date]],15),IF(Main[[#This Row],[Class]]="A",WORKDAY(Main[[#This Row],[Tech Start Date]],5),""))))</f>
        <v/>
      </c>
      <c r="P230" s="104" t="str">
        <f>IF(Main[[#This Row],[Tech Start Date]]&lt;1/1/1990,"",IF(Main[[#This Row],[Class]]="C",WORKDAY(Main[[#This Row],[Tech Start Date]],28),IF(Main[[#This Row],[Class]]="B", WORKDAY(Main[[#This Row],[Tech Start Date]],19),IF(Main[[#This Row],[Class]]="A",WORKDAY(Main[[#This Row],[Tech Start Date]],9),""))))</f>
        <v/>
      </c>
      <c r="Q230" s="101">
        <v>40508</v>
      </c>
      <c r="R230" s="101"/>
      <c r="S230" s="99" t="s">
        <v>6</v>
      </c>
      <c r="T230" s="107" t="s">
        <v>4</v>
      </c>
      <c r="U230" s="99" t="s">
        <v>14</v>
      </c>
      <c r="V230" s="99" t="s">
        <v>1965</v>
      </c>
      <c r="W230" s="99" t="s">
        <v>1964</v>
      </c>
    </row>
    <row r="231" spans="1:23" ht="18.600000000000001" customHeight="1">
      <c r="A231" s="123" t="str">
        <f>IF(priority(Main[[#This Row],[Comments]])&lt;&gt;0, priority(Main[[#This Row],[Comments]]),"")</f>
        <v/>
      </c>
      <c r="B231" s="127" t="s">
        <v>1137</v>
      </c>
      <c r="C231" s="99" t="s">
        <v>4</v>
      </c>
      <c r="D231" s="100" t="s">
        <v>128</v>
      </c>
      <c r="E231" s="101"/>
      <c r="F231" s="101"/>
      <c r="G231" s="102" t="str">
        <f>IF(stdProdLT(Main[[#This Row],[Comments]])=0.1,"N/A",IF(stdProdLT(Main[[#This Row],[Comments]])=0,"",stdProdLT(Main[[#This Row],[Comments]])))</f>
        <v/>
      </c>
      <c r="H231" s="103" t="str">
        <f>IF(AND(Main[[#This Row],[In Stock Date]]&lt;&gt;"",Main[[#This Row],[Revised Due Date]]&lt;&gt;""),Main[[#This Row],[In Stock Date]]-Main[[#This Row],[Revised Due Date]],"")</f>
        <v/>
      </c>
      <c r="I231" s="99" t="s">
        <v>129</v>
      </c>
      <c r="J231" s="99" t="s">
        <v>4</v>
      </c>
      <c r="K231" s="99" t="s">
        <v>4</v>
      </c>
      <c r="L231" s="101"/>
      <c r="M231" s="104" t="str">
        <f>IF(Main[[#This Row],[Tech Start Date]]&lt;1/1/1990,"",IF(Main[[#This Row],[Class]]="C",WORKDAY(Main[[#This Row],[Tech Start Date]],9),IF(Main[[#This Row],[Class]]="B", WORKDAY(Main[[#This Row],[Tech Start Date]],6),IF(Main[[#This Row],[Class]]="A",WORKDAY(Main[[#This Row],[Tech Start Date]],2),""))))</f>
        <v/>
      </c>
      <c r="N231" s="104" t="str">
        <f>IF(Main[[#This Row],[Tech Start Date]]&lt;1/1/1990,"",IF(Main[[#This Row],[Class]]="C",WORKDAY(Main[[#This Row],[Tech Start Date]],19),IF(Main[[#This Row],[Class]]="B", WORKDAY(Main[[#This Row],[Tech Start Date]],12),IF(Main[[#This Row],[Class]]="A",WORKDAY(Main[[#This Row],[Tech Start Date]],4),""))))</f>
        <v/>
      </c>
      <c r="O231" s="104" t="str">
        <f>IF(Main[[#This Row],[Tech Start Date]]&lt;1/1/1990,"",IF(Main[[#This Row],[Class]]="C",WORKDAY(Main[[#This Row],[Tech Start Date]],23),IF(Main[[#This Row],[Class]]="B", WORKDAY(Main[[#This Row],[Tech Start Date]],15),IF(Main[[#This Row],[Class]]="A",WORKDAY(Main[[#This Row],[Tech Start Date]],5),""))))</f>
        <v/>
      </c>
      <c r="P231" s="104" t="str">
        <f>IF(Main[[#This Row],[Tech Start Date]]&lt;1/1/1990,"",IF(Main[[#This Row],[Class]]="C",WORKDAY(Main[[#This Row],[Tech Start Date]],28),IF(Main[[#This Row],[Class]]="B", WORKDAY(Main[[#This Row],[Tech Start Date]],19),IF(Main[[#This Row],[Class]]="A",WORKDAY(Main[[#This Row],[Tech Start Date]],9),""))))</f>
        <v/>
      </c>
      <c r="Q231" s="101"/>
      <c r="R231" s="101"/>
      <c r="S231" s="99" t="s">
        <v>17</v>
      </c>
      <c r="T231" s="107" t="s">
        <v>4</v>
      </c>
      <c r="U231" s="99" t="s">
        <v>14</v>
      </c>
      <c r="V231" s="99" t="s">
        <v>1962</v>
      </c>
      <c r="W231" s="99" t="s">
        <v>1966</v>
      </c>
    </row>
    <row r="232" spans="1:23" ht="18.600000000000001" customHeight="1">
      <c r="A232" s="123" t="str">
        <f>IF(priority(Main[[#This Row],[Comments]])&lt;&gt;0, priority(Main[[#This Row],[Comments]]),"")</f>
        <v/>
      </c>
      <c r="B232" s="127" t="s">
        <v>1125</v>
      </c>
      <c r="C232" s="99" t="s">
        <v>31</v>
      </c>
      <c r="D232" s="100" t="s">
        <v>143</v>
      </c>
      <c r="E232" s="101"/>
      <c r="F232" s="101"/>
      <c r="G232" s="102" t="str">
        <f>IF(stdProdLT(Main[[#This Row],[Comments]])=0.1,"N/A",IF(stdProdLT(Main[[#This Row],[Comments]])=0,"",stdProdLT(Main[[#This Row],[Comments]])))</f>
        <v/>
      </c>
      <c r="H232" s="103" t="str">
        <f>IF(AND(Main[[#This Row],[In Stock Date]]&lt;&gt;"",Main[[#This Row],[Revised Due Date]]&lt;&gt;""),Main[[#This Row],[In Stock Date]]-Main[[#This Row],[Revised Due Date]],"")</f>
        <v/>
      </c>
      <c r="I232" s="99" t="s">
        <v>4</v>
      </c>
      <c r="J232" s="99" t="s">
        <v>4</v>
      </c>
      <c r="K232" s="99" t="s">
        <v>4</v>
      </c>
      <c r="L232" s="101"/>
      <c r="M232" s="104" t="str">
        <f>IF(Main[[#This Row],[Tech Start Date]]&lt;1/1/1990,"",IF(Main[[#This Row],[Class]]="C",WORKDAY(Main[[#This Row],[Tech Start Date]],9),IF(Main[[#This Row],[Class]]="B", WORKDAY(Main[[#This Row],[Tech Start Date]],6),IF(Main[[#This Row],[Class]]="A",WORKDAY(Main[[#This Row],[Tech Start Date]],2),""))))</f>
        <v/>
      </c>
      <c r="N232" s="104" t="str">
        <f>IF(Main[[#This Row],[Tech Start Date]]&lt;1/1/1990,"",IF(Main[[#This Row],[Class]]="C",WORKDAY(Main[[#This Row],[Tech Start Date]],19),IF(Main[[#This Row],[Class]]="B", WORKDAY(Main[[#This Row],[Tech Start Date]],12),IF(Main[[#This Row],[Class]]="A",WORKDAY(Main[[#This Row],[Tech Start Date]],4),""))))</f>
        <v/>
      </c>
      <c r="O232" s="104" t="str">
        <f>IF(Main[[#This Row],[Tech Start Date]]&lt;1/1/1990,"",IF(Main[[#This Row],[Class]]="C",WORKDAY(Main[[#This Row],[Tech Start Date]],23),IF(Main[[#This Row],[Class]]="B", WORKDAY(Main[[#This Row],[Tech Start Date]],15),IF(Main[[#This Row],[Class]]="A",WORKDAY(Main[[#This Row],[Tech Start Date]],5),""))))</f>
        <v/>
      </c>
      <c r="P232" s="104" t="str">
        <f>IF(Main[[#This Row],[Tech Start Date]]&lt;1/1/1990,"",IF(Main[[#This Row],[Class]]="C",WORKDAY(Main[[#This Row],[Tech Start Date]],28),IF(Main[[#This Row],[Class]]="B", WORKDAY(Main[[#This Row],[Tech Start Date]],19),IF(Main[[#This Row],[Class]]="A",WORKDAY(Main[[#This Row],[Tech Start Date]],9),""))))</f>
        <v/>
      </c>
      <c r="Q232" s="101">
        <v>40318</v>
      </c>
      <c r="R232" s="101"/>
      <c r="S232" s="99" t="s">
        <v>11</v>
      </c>
      <c r="T232" s="107" t="s">
        <v>4</v>
      </c>
      <c r="U232" s="99" t="s">
        <v>14</v>
      </c>
      <c r="V232" s="99" t="s">
        <v>1965</v>
      </c>
      <c r="W232" s="99" t="s">
        <v>1964</v>
      </c>
    </row>
    <row r="233" spans="1:23" ht="18.600000000000001" customHeight="1">
      <c r="A233" s="123" t="str">
        <f>IF(priority(Main[[#This Row],[Comments]])&lt;&gt;0, priority(Main[[#This Row],[Comments]]),"")</f>
        <v/>
      </c>
      <c r="B233" s="127" t="s">
        <v>2426</v>
      </c>
      <c r="C233" s="99" t="s">
        <v>352</v>
      </c>
      <c r="D233" s="100" t="s">
        <v>2427</v>
      </c>
      <c r="E233" s="101"/>
      <c r="F233" s="101"/>
      <c r="G233" s="102" t="str">
        <f>IF(stdProdLT(Main[[#This Row],[Comments]])=0.1,"N/A",IF(stdProdLT(Main[[#This Row],[Comments]])=0,"",stdProdLT(Main[[#This Row],[Comments]])))</f>
        <v/>
      </c>
      <c r="H233" s="103" t="str">
        <f>IF(AND(Main[[#This Row],[In Stock Date]]&lt;&gt;"",Main[[#This Row],[Revised Due Date]]&lt;&gt;""),Main[[#This Row],[In Stock Date]]-Main[[#This Row],[Revised Due Date]],"")</f>
        <v/>
      </c>
      <c r="I233" s="99" t="s">
        <v>4</v>
      </c>
      <c r="J233" s="99" t="s">
        <v>4</v>
      </c>
      <c r="K233" s="99" t="s">
        <v>4</v>
      </c>
      <c r="L233" s="101"/>
      <c r="M233" s="104" t="str">
        <f>IF(Main[[#This Row],[Tech Start Date]]&lt;1/1/1990,"",IF(Main[[#This Row],[Class]]="C",WORKDAY(Main[[#This Row],[Tech Start Date]],9),IF(Main[[#This Row],[Class]]="B", WORKDAY(Main[[#This Row],[Tech Start Date]],6),IF(Main[[#This Row],[Class]]="A",WORKDAY(Main[[#This Row],[Tech Start Date]],2),""))))</f>
        <v/>
      </c>
      <c r="N233" s="104" t="str">
        <f>IF(Main[[#This Row],[Tech Start Date]]&lt;1/1/1990,"",IF(Main[[#This Row],[Class]]="C",WORKDAY(Main[[#This Row],[Tech Start Date]],19),IF(Main[[#This Row],[Class]]="B", WORKDAY(Main[[#This Row],[Tech Start Date]],12),IF(Main[[#This Row],[Class]]="A",WORKDAY(Main[[#This Row],[Tech Start Date]],4),""))))</f>
        <v/>
      </c>
      <c r="O233" s="104" t="str">
        <f>IF(Main[[#This Row],[Tech Start Date]]&lt;1/1/1990,"",IF(Main[[#This Row],[Class]]="C",WORKDAY(Main[[#This Row],[Tech Start Date]],23),IF(Main[[#This Row],[Class]]="B", WORKDAY(Main[[#This Row],[Tech Start Date]],15),IF(Main[[#This Row],[Class]]="A",WORKDAY(Main[[#This Row],[Tech Start Date]],5),""))))</f>
        <v/>
      </c>
      <c r="P233" s="104" t="str">
        <f>IF(Main[[#This Row],[Tech Start Date]]&lt;1/1/1990,"",IF(Main[[#This Row],[Class]]="C",WORKDAY(Main[[#This Row],[Tech Start Date]],28),IF(Main[[#This Row],[Class]]="B", WORKDAY(Main[[#This Row],[Tech Start Date]],19),IF(Main[[#This Row],[Class]]="A",WORKDAY(Main[[#This Row],[Tech Start Date]],9),""))))</f>
        <v/>
      </c>
      <c r="Q233" s="101">
        <v>40847</v>
      </c>
      <c r="R233" s="101"/>
      <c r="S233" s="99" t="s">
        <v>4</v>
      </c>
      <c r="T233" s="107" t="s">
        <v>4</v>
      </c>
      <c r="U233" s="99" t="s">
        <v>12</v>
      </c>
      <c r="V233" s="99" t="s">
        <v>1962</v>
      </c>
      <c r="W233" s="99" t="s">
        <v>4</v>
      </c>
    </row>
    <row r="234" spans="1:23" ht="18.600000000000001" customHeight="1">
      <c r="A234" s="123" t="str">
        <f>IF(priority(Main[[#This Row],[Comments]])&lt;&gt;0, priority(Main[[#This Row],[Comments]]),"")</f>
        <v/>
      </c>
      <c r="B234" s="127" t="s">
        <v>2128</v>
      </c>
      <c r="C234" s="99" t="s">
        <v>4</v>
      </c>
      <c r="D234" s="100" t="s">
        <v>2129</v>
      </c>
      <c r="E234" s="101"/>
      <c r="F234" s="101"/>
      <c r="G234" s="102" t="str">
        <f>IF(stdProdLT(Main[[#This Row],[Comments]])=0.1,"N/A",IF(stdProdLT(Main[[#This Row],[Comments]])=0,"",stdProdLT(Main[[#This Row],[Comments]])))</f>
        <v/>
      </c>
      <c r="H234" s="103" t="str">
        <f>IF(AND(Main[[#This Row],[In Stock Date]]&lt;&gt;"",Main[[#This Row],[Revised Due Date]]&lt;&gt;""),Main[[#This Row],[In Stock Date]]-Main[[#This Row],[Revised Due Date]],"")</f>
        <v/>
      </c>
      <c r="I234" s="99" t="s">
        <v>4</v>
      </c>
      <c r="J234" s="99" t="s">
        <v>4</v>
      </c>
      <c r="K234" s="99" t="s">
        <v>4</v>
      </c>
      <c r="L234" s="101"/>
      <c r="M234" s="104" t="str">
        <f>IF(Main[[#This Row],[Tech Start Date]]&lt;1/1/1990,"",IF(Main[[#This Row],[Class]]="C",WORKDAY(Main[[#This Row],[Tech Start Date]],9),IF(Main[[#This Row],[Class]]="B", WORKDAY(Main[[#This Row],[Tech Start Date]],6),IF(Main[[#This Row],[Class]]="A",WORKDAY(Main[[#This Row],[Tech Start Date]],2),""))))</f>
        <v/>
      </c>
      <c r="N234" s="104" t="str">
        <f>IF(Main[[#This Row],[Tech Start Date]]&lt;1/1/1990,"",IF(Main[[#This Row],[Class]]="C",WORKDAY(Main[[#This Row],[Tech Start Date]],19),IF(Main[[#This Row],[Class]]="B", WORKDAY(Main[[#This Row],[Tech Start Date]],12),IF(Main[[#This Row],[Class]]="A",WORKDAY(Main[[#This Row],[Tech Start Date]],4),""))))</f>
        <v/>
      </c>
      <c r="O234" s="104" t="str">
        <f>IF(Main[[#This Row],[Tech Start Date]]&lt;1/1/1990,"",IF(Main[[#This Row],[Class]]="C",WORKDAY(Main[[#This Row],[Tech Start Date]],23),IF(Main[[#This Row],[Class]]="B", WORKDAY(Main[[#This Row],[Tech Start Date]],15),IF(Main[[#This Row],[Class]]="A",WORKDAY(Main[[#This Row],[Tech Start Date]],5),""))))</f>
        <v/>
      </c>
      <c r="P234" s="104" t="str">
        <f>IF(Main[[#This Row],[Tech Start Date]]&lt;1/1/1990,"",IF(Main[[#This Row],[Class]]="C",WORKDAY(Main[[#This Row],[Tech Start Date]],28),IF(Main[[#This Row],[Class]]="B", WORKDAY(Main[[#This Row],[Tech Start Date]],19),IF(Main[[#This Row],[Class]]="A",WORKDAY(Main[[#This Row],[Tech Start Date]],9),""))))</f>
        <v/>
      </c>
      <c r="Q234" s="101"/>
      <c r="R234" s="101"/>
      <c r="S234" s="99" t="s">
        <v>6</v>
      </c>
      <c r="T234" s="107" t="s">
        <v>4</v>
      </c>
      <c r="U234" s="99" t="s">
        <v>14</v>
      </c>
      <c r="V234" s="99" t="s">
        <v>1972</v>
      </c>
      <c r="W234" s="99" t="s">
        <v>1966</v>
      </c>
    </row>
    <row r="235" spans="1:23" ht="18.600000000000001" customHeight="1">
      <c r="A235" s="123" t="str">
        <f>IF(priority(Main[[#This Row],[Comments]])&lt;&gt;0, priority(Main[[#This Row],[Comments]]),"")</f>
        <v/>
      </c>
      <c r="B235" s="127" t="s">
        <v>2428</v>
      </c>
      <c r="C235" s="99" t="s">
        <v>4</v>
      </c>
      <c r="D235" s="100" t="s">
        <v>2429</v>
      </c>
      <c r="E235" s="101">
        <v>40841.293483796297</v>
      </c>
      <c r="F235" s="101"/>
      <c r="G235" s="102" t="str">
        <f>IF(stdProdLT(Main[[#This Row],[Comments]])=0.1,"N/A",IF(stdProdLT(Main[[#This Row],[Comments]])=0,"",stdProdLT(Main[[#This Row],[Comments]])))</f>
        <v/>
      </c>
      <c r="H235" s="103" t="str">
        <f>IF(AND(Main[[#This Row],[In Stock Date]]&lt;&gt;"",Main[[#This Row],[Revised Due Date]]&lt;&gt;""),Main[[#This Row],[In Stock Date]]-Main[[#This Row],[Revised Due Date]],"")</f>
        <v/>
      </c>
      <c r="I235" s="99" t="s">
        <v>929</v>
      </c>
      <c r="J235" s="99" t="s">
        <v>52</v>
      </c>
      <c r="K235" s="99" t="s">
        <v>4</v>
      </c>
      <c r="L235" s="101"/>
      <c r="M235" s="104" t="str">
        <f>IF(Main[[#This Row],[Tech Start Date]]&lt;1/1/1990,"",IF(Main[[#This Row],[Class]]="C",WORKDAY(Main[[#This Row],[Tech Start Date]],9),IF(Main[[#This Row],[Class]]="B", WORKDAY(Main[[#This Row],[Tech Start Date]],6),IF(Main[[#This Row],[Class]]="A",WORKDAY(Main[[#This Row],[Tech Start Date]],2),""))))</f>
        <v/>
      </c>
      <c r="N235" s="104" t="str">
        <f>IF(Main[[#This Row],[Tech Start Date]]&lt;1/1/1990,"",IF(Main[[#This Row],[Class]]="C",WORKDAY(Main[[#This Row],[Tech Start Date]],19),IF(Main[[#This Row],[Class]]="B", WORKDAY(Main[[#This Row],[Tech Start Date]],12),IF(Main[[#This Row],[Class]]="A",WORKDAY(Main[[#This Row],[Tech Start Date]],4),""))))</f>
        <v/>
      </c>
      <c r="O235" s="104" t="str">
        <f>IF(Main[[#This Row],[Tech Start Date]]&lt;1/1/1990,"",IF(Main[[#This Row],[Class]]="C",WORKDAY(Main[[#This Row],[Tech Start Date]],23),IF(Main[[#This Row],[Class]]="B", WORKDAY(Main[[#This Row],[Tech Start Date]],15),IF(Main[[#This Row],[Class]]="A",WORKDAY(Main[[#This Row],[Tech Start Date]],5),""))))</f>
        <v/>
      </c>
      <c r="P235" s="104" t="str">
        <f>IF(Main[[#This Row],[Tech Start Date]]&lt;1/1/1990,"",IF(Main[[#This Row],[Class]]="C",WORKDAY(Main[[#This Row],[Tech Start Date]],28),IF(Main[[#This Row],[Class]]="B", WORKDAY(Main[[#This Row],[Tech Start Date]],19),IF(Main[[#This Row],[Class]]="A",WORKDAY(Main[[#This Row],[Tech Start Date]],9),""))))</f>
        <v/>
      </c>
      <c r="Q235" s="101"/>
      <c r="R235" s="101"/>
      <c r="S235" s="99" t="s">
        <v>6</v>
      </c>
      <c r="T235" s="107" t="s">
        <v>4</v>
      </c>
      <c r="U235" s="99" t="s">
        <v>29</v>
      </c>
      <c r="V235" s="99" t="s">
        <v>1962</v>
      </c>
      <c r="W235" s="99" t="s">
        <v>1966</v>
      </c>
    </row>
    <row r="236" spans="1:23" ht="18.600000000000001" customHeight="1">
      <c r="A236" s="123" t="str">
        <f>IF(priority(Main[[#This Row],[Comments]])&lt;&gt;0, priority(Main[[#This Row],[Comments]]),"")</f>
        <v/>
      </c>
      <c r="B236" s="127" t="s">
        <v>1126</v>
      </c>
      <c r="C236" s="99" t="s">
        <v>33</v>
      </c>
      <c r="D236" s="100" t="s">
        <v>144</v>
      </c>
      <c r="E236" s="101"/>
      <c r="F236" s="101">
        <v>40422</v>
      </c>
      <c r="G236" s="102" t="str">
        <f>IF(stdProdLT(Main[[#This Row],[Comments]])=0.1,"N/A",IF(stdProdLT(Main[[#This Row],[Comments]])=0,"",stdProdLT(Main[[#This Row],[Comments]])))</f>
        <v/>
      </c>
      <c r="H236" s="103" t="str">
        <f>IF(AND(Main[[#This Row],[In Stock Date]]&lt;&gt;"",Main[[#This Row],[Revised Due Date]]&lt;&gt;""),Main[[#This Row],[In Stock Date]]-Main[[#This Row],[Revised Due Date]],"")</f>
        <v/>
      </c>
      <c r="I236" s="99" t="s">
        <v>4</v>
      </c>
      <c r="J236" s="99" t="s">
        <v>4</v>
      </c>
      <c r="K236" s="99" t="s">
        <v>4</v>
      </c>
      <c r="L236" s="101"/>
      <c r="M236" s="104" t="str">
        <f>IF(Main[[#This Row],[Tech Start Date]]&lt;1/1/1990,"",IF(Main[[#This Row],[Class]]="C",WORKDAY(Main[[#This Row],[Tech Start Date]],9),IF(Main[[#This Row],[Class]]="B", WORKDAY(Main[[#This Row],[Tech Start Date]],6),IF(Main[[#This Row],[Class]]="A",WORKDAY(Main[[#This Row],[Tech Start Date]],2),""))))</f>
        <v/>
      </c>
      <c r="N236" s="104" t="str">
        <f>IF(Main[[#This Row],[Tech Start Date]]&lt;1/1/1990,"",IF(Main[[#This Row],[Class]]="C",WORKDAY(Main[[#This Row],[Tech Start Date]],19),IF(Main[[#This Row],[Class]]="B", WORKDAY(Main[[#This Row],[Tech Start Date]],12),IF(Main[[#This Row],[Class]]="A",WORKDAY(Main[[#This Row],[Tech Start Date]],4),""))))</f>
        <v/>
      </c>
      <c r="O236" s="104" t="str">
        <f>IF(Main[[#This Row],[Tech Start Date]]&lt;1/1/1990,"",IF(Main[[#This Row],[Class]]="C",WORKDAY(Main[[#This Row],[Tech Start Date]],23),IF(Main[[#This Row],[Class]]="B", WORKDAY(Main[[#This Row],[Tech Start Date]],15),IF(Main[[#This Row],[Class]]="A",WORKDAY(Main[[#This Row],[Tech Start Date]],5),""))))</f>
        <v/>
      </c>
      <c r="P236" s="104" t="str">
        <f>IF(Main[[#This Row],[Tech Start Date]]&lt;1/1/1990,"",IF(Main[[#This Row],[Class]]="C",WORKDAY(Main[[#This Row],[Tech Start Date]],28),IF(Main[[#This Row],[Class]]="B", WORKDAY(Main[[#This Row],[Tech Start Date]],19),IF(Main[[#This Row],[Class]]="A",WORKDAY(Main[[#This Row],[Tech Start Date]],9),""))))</f>
        <v/>
      </c>
      <c r="Q236" s="101">
        <v>40282</v>
      </c>
      <c r="R236" s="101"/>
      <c r="S236" s="99" t="s">
        <v>11</v>
      </c>
      <c r="T236" s="107" t="s">
        <v>4</v>
      </c>
      <c r="U236" s="99" t="s">
        <v>14</v>
      </c>
      <c r="V236" s="99" t="s">
        <v>1965</v>
      </c>
      <c r="W236" s="99" t="s">
        <v>1967</v>
      </c>
    </row>
    <row r="237" spans="1:23" ht="18.600000000000001" customHeight="1">
      <c r="A237" s="123" t="str">
        <f>IF(priority(Main[[#This Row],[Comments]])&lt;&gt;0, priority(Main[[#This Row],[Comments]]),"")</f>
        <v/>
      </c>
      <c r="B237" s="127" t="s">
        <v>1127</v>
      </c>
      <c r="C237" s="99" t="s">
        <v>4</v>
      </c>
      <c r="D237" s="100" t="s">
        <v>145</v>
      </c>
      <c r="E237" s="101">
        <v>40395.405358796299</v>
      </c>
      <c r="F237" s="101">
        <v>40574</v>
      </c>
      <c r="G237" s="102" t="str">
        <f>IF(stdProdLT(Main[[#This Row],[Comments]])=0.1,"N/A",IF(stdProdLT(Main[[#This Row],[Comments]])=0,"",stdProdLT(Main[[#This Row],[Comments]])))</f>
        <v/>
      </c>
      <c r="H237" s="103" t="str">
        <f>IF(AND(Main[[#This Row],[In Stock Date]]&lt;&gt;"",Main[[#This Row],[Revised Due Date]]&lt;&gt;""),Main[[#This Row],[In Stock Date]]-Main[[#This Row],[Revised Due Date]],"")</f>
        <v/>
      </c>
      <c r="I237" s="99" t="s">
        <v>4</v>
      </c>
      <c r="J237" s="99" t="s">
        <v>28</v>
      </c>
      <c r="K237" s="108" t="s">
        <v>4</v>
      </c>
      <c r="L237" s="101"/>
      <c r="M237" s="104" t="str">
        <f>IF(Main[[#This Row],[Tech Start Date]]&lt;1/1/1990,"",IF(Main[[#This Row],[Class]]="C",WORKDAY(Main[[#This Row],[Tech Start Date]],9),IF(Main[[#This Row],[Class]]="B", WORKDAY(Main[[#This Row],[Tech Start Date]],6),IF(Main[[#This Row],[Class]]="A",WORKDAY(Main[[#This Row],[Tech Start Date]],2),""))))</f>
        <v/>
      </c>
      <c r="N237" s="104" t="str">
        <f>IF(Main[[#This Row],[Tech Start Date]]&lt;1/1/1990,"",IF(Main[[#This Row],[Class]]="C",WORKDAY(Main[[#This Row],[Tech Start Date]],19),IF(Main[[#This Row],[Class]]="B", WORKDAY(Main[[#This Row],[Tech Start Date]],12),IF(Main[[#This Row],[Class]]="A",WORKDAY(Main[[#This Row],[Tech Start Date]],4),""))))</f>
        <v/>
      </c>
      <c r="O237" s="104" t="str">
        <f>IF(Main[[#This Row],[Tech Start Date]]&lt;1/1/1990,"",IF(Main[[#This Row],[Class]]="C",WORKDAY(Main[[#This Row],[Tech Start Date]],23),IF(Main[[#This Row],[Class]]="B", WORKDAY(Main[[#This Row],[Tech Start Date]],15),IF(Main[[#This Row],[Class]]="A",WORKDAY(Main[[#This Row],[Tech Start Date]],5),""))))</f>
        <v/>
      </c>
      <c r="P237" s="104" t="str">
        <f>IF(Main[[#This Row],[Tech Start Date]]&lt;1/1/1990,"",IF(Main[[#This Row],[Class]]="C",WORKDAY(Main[[#This Row],[Tech Start Date]],28),IF(Main[[#This Row],[Class]]="B", WORKDAY(Main[[#This Row],[Tech Start Date]],19),IF(Main[[#This Row],[Class]]="A",WORKDAY(Main[[#This Row],[Tech Start Date]],9),""))))</f>
        <v/>
      </c>
      <c r="Q237" s="101"/>
      <c r="R237" s="101"/>
      <c r="S237" s="99" t="s">
        <v>17</v>
      </c>
      <c r="T237" s="107" t="s">
        <v>4</v>
      </c>
      <c r="U237" s="99" t="s">
        <v>7</v>
      </c>
      <c r="V237" s="99" t="s">
        <v>1963</v>
      </c>
      <c r="W237" s="99" t="s">
        <v>1967</v>
      </c>
    </row>
    <row r="238" spans="1:23" ht="18.600000000000001" customHeight="1">
      <c r="A238" s="123" t="str">
        <f>IF(priority(Main[[#This Row],[Comments]])&lt;&gt;0, priority(Main[[#This Row],[Comments]]),"")</f>
        <v/>
      </c>
      <c r="B238" s="127" t="s">
        <v>1115</v>
      </c>
      <c r="C238" s="99" t="s">
        <v>4</v>
      </c>
      <c r="D238" s="100" t="s">
        <v>134</v>
      </c>
      <c r="E238" s="101"/>
      <c r="F238" s="101"/>
      <c r="G238" s="102" t="str">
        <f>IF(stdProdLT(Main[[#This Row],[Comments]])=0.1,"N/A",IF(stdProdLT(Main[[#This Row],[Comments]])=0,"",stdProdLT(Main[[#This Row],[Comments]])))</f>
        <v/>
      </c>
      <c r="H238" s="103" t="str">
        <f>IF(AND(Main[[#This Row],[In Stock Date]]&lt;&gt;"",Main[[#This Row],[Revised Due Date]]&lt;&gt;""),Main[[#This Row],[In Stock Date]]-Main[[#This Row],[Revised Due Date]],"")</f>
        <v/>
      </c>
      <c r="I238" s="99" t="s">
        <v>69</v>
      </c>
      <c r="J238" s="99" t="s">
        <v>70</v>
      </c>
      <c r="K238" s="99" t="s">
        <v>1971</v>
      </c>
      <c r="L238" s="101"/>
      <c r="M238" s="104" t="str">
        <f>IF(Main[[#This Row],[Tech Start Date]]&lt;1/1/1990,"",IF(Main[[#This Row],[Class]]="C",WORKDAY(Main[[#This Row],[Tech Start Date]],9),IF(Main[[#This Row],[Class]]="B", WORKDAY(Main[[#This Row],[Tech Start Date]],6),IF(Main[[#This Row],[Class]]="A",WORKDAY(Main[[#This Row],[Tech Start Date]],2),""))))</f>
        <v/>
      </c>
      <c r="N238" s="104" t="str">
        <f>IF(Main[[#This Row],[Tech Start Date]]&lt;1/1/1990,"",IF(Main[[#This Row],[Class]]="C",WORKDAY(Main[[#This Row],[Tech Start Date]],19),IF(Main[[#This Row],[Class]]="B", WORKDAY(Main[[#This Row],[Tech Start Date]],12),IF(Main[[#This Row],[Class]]="A",WORKDAY(Main[[#This Row],[Tech Start Date]],4),""))))</f>
        <v/>
      </c>
      <c r="O238" s="104" t="str">
        <f>IF(Main[[#This Row],[Tech Start Date]]&lt;1/1/1990,"",IF(Main[[#This Row],[Class]]="C",WORKDAY(Main[[#This Row],[Tech Start Date]],23),IF(Main[[#This Row],[Class]]="B", WORKDAY(Main[[#This Row],[Tech Start Date]],15),IF(Main[[#This Row],[Class]]="A",WORKDAY(Main[[#This Row],[Tech Start Date]],5),""))))</f>
        <v/>
      </c>
      <c r="P238" s="104" t="str">
        <f>IF(Main[[#This Row],[Tech Start Date]]&lt;1/1/1990,"",IF(Main[[#This Row],[Class]]="C",WORKDAY(Main[[#This Row],[Tech Start Date]],28),IF(Main[[#This Row],[Class]]="B", WORKDAY(Main[[#This Row],[Tech Start Date]],19),IF(Main[[#This Row],[Class]]="A",WORKDAY(Main[[#This Row],[Tech Start Date]],9),""))))</f>
        <v/>
      </c>
      <c r="Q238" s="101">
        <v>40633</v>
      </c>
      <c r="R238" s="101"/>
      <c r="S238" s="99" t="s">
        <v>6</v>
      </c>
      <c r="T238" s="107" t="s">
        <v>4</v>
      </c>
      <c r="U238" s="99" t="s">
        <v>14</v>
      </c>
      <c r="V238" s="99" t="s">
        <v>1965</v>
      </c>
      <c r="W238" s="99" t="s">
        <v>1966</v>
      </c>
    </row>
    <row r="239" spans="1:23" ht="18.600000000000001" customHeight="1">
      <c r="A239" s="123" t="str">
        <f>IF(priority(Main[[#This Row],[Comments]])&lt;&gt;0, priority(Main[[#This Row],[Comments]]),"")</f>
        <v/>
      </c>
      <c r="B239" s="127" t="s">
        <v>1129</v>
      </c>
      <c r="C239" s="99" t="s">
        <v>47</v>
      </c>
      <c r="D239" s="100" t="s">
        <v>147</v>
      </c>
      <c r="E239" s="101"/>
      <c r="F239" s="101"/>
      <c r="G239" s="102" t="str">
        <f>IF(stdProdLT(Main[[#This Row],[Comments]])=0.1,"N/A",IF(stdProdLT(Main[[#This Row],[Comments]])=0,"",stdProdLT(Main[[#This Row],[Comments]])))</f>
        <v/>
      </c>
      <c r="H239" s="103" t="str">
        <f>IF(AND(Main[[#This Row],[In Stock Date]]&lt;&gt;"",Main[[#This Row],[Revised Due Date]]&lt;&gt;""),Main[[#This Row],[In Stock Date]]-Main[[#This Row],[Revised Due Date]],"")</f>
        <v/>
      </c>
      <c r="I239" s="99" t="s">
        <v>4</v>
      </c>
      <c r="J239" s="99" t="s">
        <v>4</v>
      </c>
      <c r="K239" s="108" t="s">
        <v>4</v>
      </c>
      <c r="L239" s="101"/>
      <c r="M239" s="104" t="str">
        <f>IF(Main[[#This Row],[Tech Start Date]]&lt;1/1/1990,"",IF(Main[[#This Row],[Class]]="C",WORKDAY(Main[[#This Row],[Tech Start Date]],9),IF(Main[[#This Row],[Class]]="B", WORKDAY(Main[[#This Row],[Tech Start Date]],6),IF(Main[[#This Row],[Class]]="A",WORKDAY(Main[[#This Row],[Tech Start Date]],2),""))))</f>
        <v/>
      </c>
      <c r="N239" s="104" t="str">
        <f>IF(Main[[#This Row],[Tech Start Date]]&lt;1/1/1990,"",IF(Main[[#This Row],[Class]]="C",WORKDAY(Main[[#This Row],[Tech Start Date]],19),IF(Main[[#This Row],[Class]]="B", WORKDAY(Main[[#This Row],[Tech Start Date]],12),IF(Main[[#This Row],[Class]]="A",WORKDAY(Main[[#This Row],[Tech Start Date]],4),""))))</f>
        <v/>
      </c>
      <c r="O239" s="104" t="str">
        <f>IF(Main[[#This Row],[Tech Start Date]]&lt;1/1/1990,"",IF(Main[[#This Row],[Class]]="C",WORKDAY(Main[[#This Row],[Tech Start Date]],23),IF(Main[[#This Row],[Class]]="B", WORKDAY(Main[[#This Row],[Tech Start Date]],15),IF(Main[[#This Row],[Class]]="A",WORKDAY(Main[[#This Row],[Tech Start Date]],5),""))))</f>
        <v/>
      </c>
      <c r="P239" s="104" t="str">
        <f>IF(Main[[#This Row],[Tech Start Date]]&lt;1/1/1990,"",IF(Main[[#This Row],[Class]]="C",WORKDAY(Main[[#This Row],[Tech Start Date]],28),IF(Main[[#This Row],[Class]]="B", WORKDAY(Main[[#This Row],[Tech Start Date]],19),IF(Main[[#This Row],[Class]]="A",WORKDAY(Main[[#This Row],[Tech Start Date]],9),""))))</f>
        <v/>
      </c>
      <c r="Q239" s="101"/>
      <c r="R239" s="101"/>
      <c r="S239" s="99" t="s">
        <v>11</v>
      </c>
      <c r="T239" s="107" t="s">
        <v>4</v>
      </c>
      <c r="U239" s="99" t="s">
        <v>14</v>
      </c>
      <c r="V239" s="99" t="s">
        <v>1963</v>
      </c>
      <c r="W239" s="99" t="s">
        <v>1966</v>
      </c>
    </row>
    <row r="240" spans="1:23" ht="18.600000000000001" customHeight="1">
      <c r="A240" s="123" t="str">
        <f>IF(priority(Main[[#This Row],[Comments]])&lt;&gt;0, priority(Main[[#This Row],[Comments]]),"")</f>
        <v/>
      </c>
      <c r="B240" s="127" t="s">
        <v>1130</v>
      </c>
      <c r="C240" s="99" t="s">
        <v>4</v>
      </c>
      <c r="D240" s="100" t="s">
        <v>148</v>
      </c>
      <c r="E240" s="101">
        <v>40666.180879629632</v>
      </c>
      <c r="F240" s="101"/>
      <c r="G240" s="102" t="str">
        <f>IF(stdProdLT(Main[[#This Row],[Comments]])=0.1,"N/A",IF(stdProdLT(Main[[#This Row],[Comments]])=0,"",stdProdLT(Main[[#This Row],[Comments]])))</f>
        <v/>
      </c>
      <c r="H240" s="103" t="str">
        <f>IF(AND(Main[[#This Row],[In Stock Date]]&lt;&gt;"",Main[[#This Row],[Revised Due Date]]&lt;&gt;""),Main[[#This Row],[In Stock Date]]-Main[[#This Row],[Revised Due Date]],"")</f>
        <v/>
      </c>
      <c r="I240" s="99" t="s">
        <v>4</v>
      </c>
      <c r="J240" s="99" t="s">
        <v>4</v>
      </c>
      <c r="K240" s="99" t="s">
        <v>4</v>
      </c>
      <c r="L240" s="101"/>
      <c r="M240" s="104" t="str">
        <f>IF(Main[[#This Row],[Tech Start Date]]&lt;1/1/1990,"",IF(Main[[#This Row],[Class]]="C",WORKDAY(Main[[#This Row],[Tech Start Date]],9),IF(Main[[#This Row],[Class]]="B", WORKDAY(Main[[#This Row],[Tech Start Date]],6),IF(Main[[#This Row],[Class]]="A",WORKDAY(Main[[#This Row],[Tech Start Date]],2),""))))</f>
        <v/>
      </c>
      <c r="N240" s="104" t="str">
        <f>IF(Main[[#This Row],[Tech Start Date]]&lt;1/1/1990,"",IF(Main[[#This Row],[Class]]="C",WORKDAY(Main[[#This Row],[Tech Start Date]],19),IF(Main[[#This Row],[Class]]="B", WORKDAY(Main[[#This Row],[Tech Start Date]],12),IF(Main[[#This Row],[Class]]="A",WORKDAY(Main[[#This Row],[Tech Start Date]],4),""))))</f>
        <v/>
      </c>
      <c r="O240" s="104" t="str">
        <f>IF(Main[[#This Row],[Tech Start Date]]&lt;1/1/1990,"",IF(Main[[#This Row],[Class]]="C",WORKDAY(Main[[#This Row],[Tech Start Date]],23),IF(Main[[#This Row],[Class]]="B", WORKDAY(Main[[#This Row],[Tech Start Date]],15),IF(Main[[#This Row],[Class]]="A",WORKDAY(Main[[#This Row],[Tech Start Date]],5),""))))</f>
        <v/>
      </c>
      <c r="P240" s="104" t="str">
        <f>IF(Main[[#This Row],[Tech Start Date]]&lt;1/1/1990,"",IF(Main[[#This Row],[Class]]="C",WORKDAY(Main[[#This Row],[Tech Start Date]],28),IF(Main[[#This Row],[Class]]="B", WORKDAY(Main[[#This Row],[Tech Start Date]],19),IF(Main[[#This Row],[Class]]="A",WORKDAY(Main[[#This Row],[Tech Start Date]],9),""))))</f>
        <v/>
      </c>
      <c r="Q240" s="101">
        <v>40687</v>
      </c>
      <c r="R240" s="101"/>
      <c r="S240" s="99" t="s">
        <v>6</v>
      </c>
      <c r="T240" s="107" t="s">
        <v>4</v>
      </c>
      <c r="U240" s="99" t="s">
        <v>7</v>
      </c>
      <c r="V240" s="99" t="s">
        <v>1962</v>
      </c>
      <c r="W240" s="99" t="s">
        <v>4</v>
      </c>
    </row>
    <row r="241" spans="1:23" ht="18.600000000000001" customHeight="1">
      <c r="A241" s="123" t="str">
        <f>IF(priority(Main[[#This Row],[Comments]])&lt;&gt;0, priority(Main[[#This Row],[Comments]]),"")</f>
        <v/>
      </c>
      <c r="B241" s="127" t="s">
        <v>1131</v>
      </c>
      <c r="C241" s="99" t="s">
        <v>149</v>
      </c>
      <c r="D241" s="100" t="s">
        <v>150</v>
      </c>
      <c r="E241" s="101"/>
      <c r="F241" s="101"/>
      <c r="G241" s="102" t="str">
        <f>IF(stdProdLT(Main[[#This Row],[Comments]])=0.1,"N/A",IF(stdProdLT(Main[[#This Row],[Comments]])=0,"",stdProdLT(Main[[#This Row],[Comments]])))</f>
        <v/>
      </c>
      <c r="H241" s="103" t="str">
        <f>IF(AND(Main[[#This Row],[In Stock Date]]&lt;&gt;"",Main[[#This Row],[Revised Due Date]]&lt;&gt;""),Main[[#This Row],[In Stock Date]]-Main[[#This Row],[Revised Due Date]],"")</f>
        <v/>
      </c>
      <c r="I241" s="99" t="s">
        <v>4</v>
      </c>
      <c r="J241" s="99" t="s">
        <v>28</v>
      </c>
      <c r="K241" s="108" t="s">
        <v>4</v>
      </c>
      <c r="L241" s="101"/>
      <c r="M241" s="104" t="str">
        <f>IF(Main[[#This Row],[Tech Start Date]]&lt;1/1/1990,"",IF(Main[[#This Row],[Class]]="C",WORKDAY(Main[[#This Row],[Tech Start Date]],9),IF(Main[[#This Row],[Class]]="B", WORKDAY(Main[[#This Row],[Tech Start Date]],6),IF(Main[[#This Row],[Class]]="A",WORKDAY(Main[[#This Row],[Tech Start Date]],2),""))))</f>
        <v/>
      </c>
      <c r="N241" s="104" t="str">
        <f>IF(Main[[#This Row],[Tech Start Date]]&lt;1/1/1990,"",IF(Main[[#This Row],[Class]]="C",WORKDAY(Main[[#This Row],[Tech Start Date]],19),IF(Main[[#This Row],[Class]]="B", WORKDAY(Main[[#This Row],[Tech Start Date]],12),IF(Main[[#This Row],[Class]]="A",WORKDAY(Main[[#This Row],[Tech Start Date]],4),""))))</f>
        <v/>
      </c>
      <c r="O241" s="104" t="str">
        <f>IF(Main[[#This Row],[Tech Start Date]]&lt;1/1/1990,"",IF(Main[[#This Row],[Class]]="C",WORKDAY(Main[[#This Row],[Tech Start Date]],23),IF(Main[[#This Row],[Class]]="B", WORKDAY(Main[[#This Row],[Tech Start Date]],15),IF(Main[[#This Row],[Class]]="A",WORKDAY(Main[[#This Row],[Tech Start Date]],5),""))))</f>
        <v/>
      </c>
      <c r="P241" s="104" t="str">
        <f>IF(Main[[#This Row],[Tech Start Date]]&lt;1/1/1990,"",IF(Main[[#This Row],[Class]]="C",WORKDAY(Main[[#This Row],[Tech Start Date]],28),IF(Main[[#This Row],[Class]]="B", WORKDAY(Main[[#This Row],[Tech Start Date]],19),IF(Main[[#This Row],[Class]]="A",WORKDAY(Main[[#This Row],[Tech Start Date]],9),""))))</f>
        <v/>
      </c>
      <c r="Q241" s="101">
        <v>40511</v>
      </c>
      <c r="R241" s="101"/>
      <c r="S241" s="99" t="s">
        <v>11</v>
      </c>
      <c r="T241" s="107" t="s">
        <v>4</v>
      </c>
      <c r="U241" s="99" t="s">
        <v>14</v>
      </c>
      <c r="V241" s="99" t="s">
        <v>1965</v>
      </c>
      <c r="W241" s="99" t="s">
        <v>1964</v>
      </c>
    </row>
    <row r="242" spans="1:23" ht="18.600000000000001" customHeight="1">
      <c r="A242" s="123" t="str">
        <f>IF(priority(Main[[#This Row],[Comments]])&lt;&gt;0, priority(Main[[#This Row],[Comments]]),"")</f>
        <v/>
      </c>
      <c r="B242" s="127" t="s">
        <v>1132</v>
      </c>
      <c r="C242" s="99" t="s">
        <v>93</v>
      </c>
      <c r="D242" s="100" t="s">
        <v>151</v>
      </c>
      <c r="E242" s="101"/>
      <c r="F242" s="101"/>
      <c r="G242" s="102" t="str">
        <f>IF(stdProdLT(Main[[#This Row],[Comments]])=0.1,"N/A",IF(stdProdLT(Main[[#This Row],[Comments]])=0,"",stdProdLT(Main[[#This Row],[Comments]])))</f>
        <v/>
      </c>
      <c r="H242" s="103" t="str">
        <f>IF(AND(Main[[#This Row],[In Stock Date]]&lt;&gt;"",Main[[#This Row],[Revised Due Date]]&lt;&gt;""),Main[[#This Row],[In Stock Date]]-Main[[#This Row],[Revised Due Date]],"")</f>
        <v/>
      </c>
      <c r="I242" s="99" t="s">
        <v>4</v>
      </c>
      <c r="J242" s="99" t="s">
        <v>4</v>
      </c>
      <c r="K242" s="99" t="s">
        <v>4</v>
      </c>
      <c r="L242" s="101"/>
      <c r="M242" s="104" t="str">
        <f>IF(Main[[#This Row],[Tech Start Date]]&lt;1/1/1990,"",IF(Main[[#This Row],[Class]]="C",WORKDAY(Main[[#This Row],[Tech Start Date]],9),IF(Main[[#This Row],[Class]]="B", WORKDAY(Main[[#This Row],[Tech Start Date]],6),IF(Main[[#This Row],[Class]]="A",WORKDAY(Main[[#This Row],[Tech Start Date]],2),""))))</f>
        <v/>
      </c>
      <c r="N242" s="104" t="str">
        <f>IF(Main[[#This Row],[Tech Start Date]]&lt;1/1/1990,"",IF(Main[[#This Row],[Class]]="C",WORKDAY(Main[[#This Row],[Tech Start Date]],19),IF(Main[[#This Row],[Class]]="B", WORKDAY(Main[[#This Row],[Tech Start Date]],12),IF(Main[[#This Row],[Class]]="A",WORKDAY(Main[[#This Row],[Tech Start Date]],4),""))))</f>
        <v/>
      </c>
      <c r="O242" s="104" t="str">
        <f>IF(Main[[#This Row],[Tech Start Date]]&lt;1/1/1990,"",IF(Main[[#This Row],[Class]]="C",WORKDAY(Main[[#This Row],[Tech Start Date]],23),IF(Main[[#This Row],[Class]]="B", WORKDAY(Main[[#This Row],[Tech Start Date]],15),IF(Main[[#This Row],[Class]]="A",WORKDAY(Main[[#This Row],[Tech Start Date]],5),""))))</f>
        <v/>
      </c>
      <c r="P242" s="104" t="str">
        <f>IF(Main[[#This Row],[Tech Start Date]]&lt;1/1/1990,"",IF(Main[[#This Row],[Class]]="C",WORKDAY(Main[[#This Row],[Tech Start Date]],28),IF(Main[[#This Row],[Class]]="B", WORKDAY(Main[[#This Row],[Tech Start Date]],19),IF(Main[[#This Row],[Class]]="A",WORKDAY(Main[[#This Row],[Tech Start Date]],9),""))))</f>
        <v/>
      </c>
      <c r="Q242" s="101"/>
      <c r="R242" s="101"/>
      <c r="S242" s="99" t="s">
        <v>11</v>
      </c>
      <c r="T242" s="107" t="s">
        <v>4</v>
      </c>
      <c r="U242" s="99" t="s">
        <v>14</v>
      </c>
      <c r="V242" s="99" t="s">
        <v>1965</v>
      </c>
      <c r="W242" s="99" t="s">
        <v>1968</v>
      </c>
    </row>
    <row r="243" spans="1:23" ht="18.600000000000001" customHeight="1">
      <c r="A243" s="123" t="str">
        <f>IF(priority(Main[[#This Row],[Comments]])&lt;&gt;0, priority(Main[[#This Row],[Comments]]),"")</f>
        <v/>
      </c>
      <c r="B243" s="127" t="s">
        <v>1133</v>
      </c>
      <c r="C243" s="99" t="s">
        <v>26</v>
      </c>
      <c r="D243" s="100" t="s">
        <v>152</v>
      </c>
      <c r="E243" s="101"/>
      <c r="F243" s="101">
        <v>40613</v>
      </c>
      <c r="G243" s="102" t="str">
        <f>IF(stdProdLT(Main[[#This Row],[Comments]])=0.1,"N/A",IF(stdProdLT(Main[[#This Row],[Comments]])=0,"",stdProdLT(Main[[#This Row],[Comments]])))</f>
        <v/>
      </c>
      <c r="H243" s="103" t="str">
        <f>IF(AND(Main[[#This Row],[In Stock Date]]&lt;&gt;"",Main[[#This Row],[Revised Due Date]]&lt;&gt;""),Main[[#This Row],[In Stock Date]]-Main[[#This Row],[Revised Due Date]],"")</f>
        <v/>
      </c>
      <c r="I243" s="99" t="s">
        <v>4</v>
      </c>
      <c r="J243" s="99" t="s">
        <v>28</v>
      </c>
      <c r="K243" s="108" t="s">
        <v>4</v>
      </c>
      <c r="L243" s="101"/>
      <c r="M243" s="104" t="str">
        <f>IF(Main[[#This Row],[Tech Start Date]]&lt;1/1/1990,"",IF(Main[[#This Row],[Class]]="C",WORKDAY(Main[[#This Row],[Tech Start Date]],9),IF(Main[[#This Row],[Class]]="B", WORKDAY(Main[[#This Row],[Tech Start Date]],6),IF(Main[[#This Row],[Class]]="A",WORKDAY(Main[[#This Row],[Tech Start Date]],2),""))))</f>
        <v/>
      </c>
      <c r="N243" s="104" t="str">
        <f>IF(Main[[#This Row],[Tech Start Date]]&lt;1/1/1990,"",IF(Main[[#This Row],[Class]]="C",WORKDAY(Main[[#This Row],[Tech Start Date]],19),IF(Main[[#This Row],[Class]]="B", WORKDAY(Main[[#This Row],[Tech Start Date]],12),IF(Main[[#This Row],[Class]]="A",WORKDAY(Main[[#This Row],[Tech Start Date]],4),""))))</f>
        <v/>
      </c>
      <c r="O243" s="104" t="str">
        <f>IF(Main[[#This Row],[Tech Start Date]]&lt;1/1/1990,"",IF(Main[[#This Row],[Class]]="C",WORKDAY(Main[[#This Row],[Tech Start Date]],23),IF(Main[[#This Row],[Class]]="B", WORKDAY(Main[[#This Row],[Tech Start Date]],15),IF(Main[[#This Row],[Class]]="A",WORKDAY(Main[[#This Row],[Tech Start Date]],5),""))))</f>
        <v/>
      </c>
      <c r="P243" s="104" t="str">
        <f>IF(Main[[#This Row],[Tech Start Date]]&lt;1/1/1990,"",IF(Main[[#This Row],[Class]]="C",WORKDAY(Main[[#This Row],[Tech Start Date]],28),IF(Main[[#This Row],[Class]]="B", WORKDAY(Main[[#This Row],[Tech Start Date]],19),IF(Main[[#This Row],[Class]]="A",WORKDAY(Main[[#This Row],[Tech Start Date]],9),""))))</f>
        <v/>
      </c>
      <c r="Q243" s="101"/>
      <c r="R243" s="101"/>
      <c r="S243" s="99" t="s">
        <v>11</v>
      </c>
      <c r="T243" s="107" t="s">
        <v>4</v>
      </c>
      <c r="U243" s="99" t="s">
        <v>14</v>
      </c>
      <c r="V243" s="99" t="s">
        <v>1962</v>
      </c>
      <c r="W243" s="99" t="s">
        <v>1970</v>
      </c>
    </row>
    <row r="244" spans="1:23" ht="18.600000000000001" customHeight="1">
      <c r="A244" s="123" t="str">
        <f>IF(priority(Main[[#This Row],[Comments]])&lt;&gt;0, priority(Main[[#This Row],[Comments]]),"")</f>
        <v/>
      </c>
      <c r="B244" s="127" t="s">
        <v>1139</v>
      </c>
      <c r="C244" s="99" t="s">
        <v>4</v>
      </c>
      <c r="D244" s="100" t="s">
        <v>153</v>
      </c>
      <c r="E244" s="101">
        <v>40584.587800925925</v>
      </c>
      <c r="F244" s="101"/>
      <c r="G244" s="102" t="str">
        <f>IF(stdProdLT(Main[[#This Row],[Comments]])=0.1,"N/A",IF(stdProdLT(Main[[#This Row],[Comments]])=0,"",stdProdLT(Main[[#This Row],[Comments]])))</f>
        <v/>
      </c>
      <c r="H244" s="103" t="str">
        <f>IF(AND(Main[[#This Row],[In Stock Date]]&lt;&gt;"",Main[[#This Row],[Revised Due Date]]&lt;&gt;""),Main[[#This Row],[In Stock Date]]-Main[[#This Row],[Revised Due Date]],"")</f>
        <v/>
      </c>
      <c r="I244" s="99" t="s">
        <v>4</v>
      </c>
      <c r="J244" s="99" t="s">
        <v>4</v>
      </c>
      <c r="K244" s="99" t="s">
        <v>4</v>
      </c>
      <c r="L244" s="101"/>
      <c r="M244" s="104" t="str">
        <f>IF(Main[[#This Row],[Tech Start Date]]&lt;1/1/1990,"",IF(Main[[#This Row],[Class]]="C",WORKDAY(Main[[#This Row],[Tech Start Date]],9),IF(Main[[#This Row],[Class]]="B", WORKDAY(Main[[#This Row],[Tech Start Date]],6),IF(Main[[#This Row],[Class]]="A",WORKDAY(Main[[#This Row],[Tech Start Date]],2),""))))</f>
        <v/>
      </c>
      <c r="N244" s="104" t="str">
        <f>IF(Main[[#This Row],[Tech Start Date]]&lt;1/1/1990,"",IF(Main[[#This Row],[Class]]="C",WORKDAY(Main[[#This Row],[Tech Start Date]],19),IF(Main[[#This Row],[Class]]="B", WORKDAY(Main[[#This Row],[Tech Start Date]],12),IF(Main[[#This Row],[Class]]="A",WORKDAY(Main[[#This Row],[Tech Start Date]],4),""))))</f>
        <v/>
      </c>
      <c r="O244" s="104" t="str">
        <f>IF(Main[[#This Row],[Tech Start Date]]&lt;1/1/1990,"",IF(Main[[#This Row],[Class]]="C",WORKDAY(Main[[#This Row],[Tech Start Date]],23),IF(Main[[#This Row],[Class]]="B", WORKDAY(Main[[#This Row],[Tech Start Date]],15),IF(Main[[#This Row],[Class]]="A",WORKDAY(Main[[#This Row],[Tech Start Date]],5),""))))</f>
        <v/>
      </c>
      <c r="P244" s="104" t="str">
        <f>IF(Main[[#This Row],[Tech Start Date]]&lt;1/1/1990,"",IF(Main[[#This Row],[Class]]="C",WORKDAY(Main[[#This Row],[Tech Start Date]],28),IF(Main[[#This Row],[Class]]="B", WORKDAY(Main[[#This Row],[Tech Start Date]],19),IF(Main[[#This Row],[Class]]="A",WORKDAY(Main[[#This Row],[Tech Start Date]],9),""))))</f>
        <v/>
      </c>
      <c r="Q244" s="101"/>
      <c r="R244" s="101"/>
      <c r="S244" s="99" t="s">
        <v>4</v>
      </c>
      <c r="T244" s="107" t="s">
        <v>4</v>
      </c>
      <c r="U244" s="99" t="s">
        <v>29</v>
      </c>
      <c r="V244" s="99" t="s">
        <v>1963</v>
      </c>
      <c r="W244" s="99" t="s">
        <v>4</v>
      </c>
    </row>
    <row r="245" spans="1:23" ht="18.600000000000001" customHeight="1">
      <c r="A245" s="123" t="str">
        <f>IF(priority(Main[[#This Row],[Comments]])&lt;&gt;0, priority(Main[[#This Row],[Comments]]),"")</f>
        <v/>
      </c>
      <c r="B245" s="127" t="s">
        <v>1140</v>
      </c>
      <c r="C245" s="99" t="s">
        <v>4</v>
      </c>
      <c r="D245" s="100" t="s">
        <v>154</v>
      </c>
      <c r="E245" s="101"/>
      <c r="F245" s="101"/>
      <c r="G245" s="102" t="str">
        <f>IF(stdProdLT(Main[[#This Row],[Comments]])=0.1,"N/A",IF(stdProdLT(Main[[#This Row],[Comments]])=0,"",stdProdLT(Main[[#This Row],[Comments]])))</f>
        <v/>
      </c>
      <c r="H245" s="103" t="str">
        <f>IF(AND(Main[[#This Row],[In Stock Date]]&lt;&gt;"",Main[[#This Row],[Revised Due Date]]&lt;&gt;""),Main[[#This Row],[In Stock Date]]-Main[[#This Row],[Revised Due Date]],"")</f>
        <v/>
      </c>
      <c r="I245" s="99" t="s">
        <v>30</v>
      </c>
      <c r="J245" s="99" t="s">
        <v>52</v>
      </c>
      <c r="K245" s="99" t="s">
        <v>4</v>
      </c>
      <c r="L245" s="101"/>
      <c r="M245" s="104" t="str">
        <f>IF(Main[[#This Row],[Tech Start Date]]&lt;1/1/1990,"",IF(Main[[#This Row],[Class]]="C",WORKDAY(Main[[#This Row],[Tech Start Date]],9),IF(Main[[#This Row],[Class]]="B", WORKDAY(Main[[#This Row],[Tech Start Date]],6),IF(Main[[#This Row],[Class]]="A",WORKDAY(Main[[#This Row],[Tech Start Date]],2),""))))</f>
        <v/>
      </c>
      <c r="N245" s="104" t="str">
        <f>IF(Main[[#This Row],[Tech Start Date]]&lt;1/1/1990,"",IF(Main[[#This Row],[Class]]="C",WORKDAY(Main[[#This Row],[Tech Start Date]],19),IF(Main[[#This Row],[Class]]="B", WORKDAY(Main[[#This Row],[Tech Start Date]],12),IF(Main[[#This Row],[Class]]="A",WORKDAY(Main[[#This Row],[Tech Start Date]],4),""))))</f>
        <v/>
      </c>
      <c r="O245" s="104" t="str">
        <f>IF(Main[[#This Row],[Tech Start Date]]&lt;1/1/1990,"",IF(Main[[#This Row],[Class]]="C",WORKDAY(Main[[#This Row],[Tech Start Date]],23),IF(Main[[#This Row],[Class]]="B", WORKDAY(Main[[#This Row],[Tech Start Date]],15),IF(Main[[#This Row],[Class]]="A",WORKDAY(Main[[#This Row],[Tech Start Date]],5),""))))</f>
        <v/>
      </c>
      <c r="P245" s="104" t="str">
        <f>IF(Main[[#This Row],[Tech Start Date]]&lt;1/1/1990,"",IF(Main[[#This Row],[Class]]="C",WORKDAY(Main[[#This Row],[Tech Start Date]],28),IF(Main[[#This Row],[Class]]="B", WORKDAY(Main[[#This Row],[Tech Start Date]],19),IF(Main[[#This Row],[Class]]="A",WORKDAY(Main[[#This Row],[Tech Start Date]],9),""))))</f>
        <v/>
      </c>
      <c r="Q245" s="101">
        <v>40448</v>
      </c>
      <c r="R245" s="101"/>
      <c r="S245" s="99" t="s">
        <v>6</v>
      </c>
      <c r="T245" s="107" t="s">
        <v>4</v>
      </c>
      <c r="U245" s="99" t="s">
        <v>14</v>
      </c>
      <c r="V245" s="99" t="s">
        <v>1965</v>
      </c>
      <c r="W245" s="99" t="s">
        <v>4</v>
      </c>
    </row>
    <row r="246" spans="1:23" ht="18.600000000000001" customHeight="1">
      <c r="A246" s="123" t="str">
        <f>IF(priority(Main[[#This Row],[Comments]])&lt;&gt;0, priority(Main[[#This Row],[Comments]]),"")</f>
        <v/>
      </c>
      <c r="B246" s="127" t="s">
        <v>1442</v>
      </c>
      <c r="C246" s="99" t="s">
        <v>72</v>
      </c>
      <c r="D246" s="100" t="s">
        <v>1999</v>
      </c>
      <c r="E246" s="101">
        <v>40671.832905092589</v>
      </c>
      <c r="F246" s="101"/>
      <c r="G246" s="102" t="str">
        <f>IF(stdProdLT(Main[[#This Row],[Comments]])=0.1,"N/A",IF(stdProdLT(Main[[#This Row],[Comments]])=0,"",stdProdLT(Main[[#This Row],[Comments]])))</f>
        <v/>
      </c>
      <c r="H246" s="103" t="str">
        <f>IF(AND(Main[[#This Row],[In Stock Date]]&lt;&gt;"",Main[[#This Row],[Revised Due Date]]&lt;&gt;""),Main[[#This Row],[In Stock Date]]-Main[[#This Row],[Revised Due Date]],"")</f>
        <v/>
      </c>
      <c r="I246" s="99" t="s">
        <v>2066</v>
      </c>
      <c r="J246" s="99" t="s">
        <v>28</v>
      </c>
      <c r="K246" s="99" t="s">
        <v>4</v>
      </c>
      <c r="L246" s="101"/>
      <c r="M246" s="104" t="str">
        <f>IF(Main[[#This Row],[Tech Start Date]]&lt;1/1/1990,"",IF(Main[[#This Row],[Class]]="C",WORKDAY(Main[[#This Row],[Tech Start Date]],9),IF(Main[[#This Row],[Class]]="B", WORKDAY(Main[[#This Row],[Tech Start Date]],6),IF(Main[[#This Row],[Class]]="A",WORKDAY(Main[[#This Row],[Tech Start Date]],2),""))))</f>
        <v/>
      </c>
      <c r="N246" s="104" t="str">
        <f>IF(Main[[#This Row],[Tech Start Date]]&lt;1/1/1990,"",IF(Main[[#This Row],[Class]]="C",WORKDAY(Main[[#This Row],[Tech Start Date]],19),IF(Main[[#This Row],[Class]]="B", WORKDAY(Main[[#This Row],[Tech Start Date]],12),IF(Main[[#This Row],[Class]]="A",WORKDAY(Main[[#This Row],[Tech Start Date]],4),""))))</f>
        <v/>
      </c>
      <c r="O246" s="104" t="str">
        <f>IF(Main[[#This Row],[Tech Start Date]]&lt;1/1/1990,"",IF(Main[[#This Row],[Class]]="C",WORKDAY(Main[[#This Row],[Tech Start Date]],23),IF(Main[[#This Row],[Class]]="B", WORKDAY(Main[[#This Row],[Tech Start Date]],15),IF(Main[[#This Row],[Class]]="A",WORKDAY(Main[[#This Row],[Tech Start Date]],5),""))))</f>
        <v/>
      </c>
      <c r="P246" s="104" t="str">
        <f>IF(Main[[#This Row],[Tech Start Date]]&lt;1/1/1990,"",IF(Main[[#This Row],[Class]]="C",WORKDAY(Main[[#This Row],[Tech Start Date]],28),IF(Main[[#This Row],[Class]]="B", WORKDAY(Main[[#This Row],[Tech Start Date]],19),IF(Main[[#This Row],[Class]]="A",WORKDAY(Main[[#This Row],[Tech Start Date]],9),""))))</f>
        <v/>
      </c>
      <c r="Q246" s="101"/>
      <c r="R246" s="101">
        <v>40786</v>
      </c>
      <c r="S246" s="99" t="s">
        <v>11</v>
      </c>
      <c r="T246" s="107" t="s">
        <v>2423</v>
      </c>
      <c r="U246" s="99" t="s">
        <v>7</v>
      </c>
      <c r="V246" s="99" t="s">
        <v>1977</v>
      </c>
      <c r="W246" s="99" t="s">
        <v>1966</v>
      </c>
    </row>
    <row r="247" spans="1:23" ht="18.600000000000001" customHeight="1">
      <c r="A247" s="123" t="str">
        <f>IF(priority(Main[[#This Row],[Comments]])&lt;&gt;0, priority(Main[[#This Row],[Comments]]),"")</f>
        <v/>
      </c>
      <c r="B247" s="127" t="s">
        <v>1114</v>
      </c>
      <c r="C247" s="99" t="s">
        <v>4</v>
      </c>
      <c r="D247" s="100" t="s">
        <v>133</v>
      </c>
      <c r="E247" s="101"/>
      <c r="F247" s="101">
        <v>40598</v>
      </c>
      <c r="G247" s="102" t="str">
        <f>IF(stdProdLT(Main[[#This Row],[Comments]])=0.1,"N/A",IF(stdProdLT(Main[[#This Row],[Comments]])=0,"",stdProdLT(Main[[#This Row],[Comments]])))</f>
        <v/>
      </c>
      <c r="H247" s="103" t="str">
        <f>IF(AND(Main[[#This Row],[In Stock Date]]&lt;&gt;"",Main[[#This Row],[Revised Due Date]]&lt;&gt;""),Main[[#This Row],[In Stock Date]]-Main[[#This Row],[Revised Due Date]],"")</f>
        <v/>
      </c>
      <c r="I247" s="99" t="s">
        <v>4</v>
      </c>
      <c r="J247" s="99" t="s">
        <v>4</v>
      </c>
      <c r="K247" s="99" t="s">
        <v>4</v>
      </c>
      <c r="L247" s="101"/>
      <c r="M247" s="104" t="str">
        <f>IF(Main[[#This Row],[Tech Start Date]]&lt;1/1/1990,"",IF(Main[[#This Row],[Class]]="C",WORKDAY(Main[[#This Row],[Tech Start Date]],9),IF(Main[[#This Row],[Class]]="B", WORKDAY(Main[[#This Row],[Tech Start Date]],6),IF(Main[[#This Row],[Class]]="A",WORKDAY(Main[[#This Row],[Tech Start Date]],2),""))))</f>
        <v/>
      </c>
      <c r="N247" s="104" t="str">
        <f>IF(Main[[#This Row],[Tech Start Date]]&lt;1/1/1990,"",IF(Main[[#This Row],[Class]]="C",WORKDAY(Main[[#This Row],[Tech Start Date]],19),IF(Main[[#This Row],[Class]]="B", WORKDAY(Main[[#This Row],[Tech Start Date]],12),IF(Main[[#This Row],[Class]]="A",WORKDAY(Main[[#This Row],[Tech Start Date]],4),""))))</f>
        <v/>
      </c>
      <c r="O247" s="104" t="str">
        <f>IF(Main[[#This Row],[Tech Start Date]]&lt;1/1/1990,"",IF(Main[[#This Row],[Class]]="C",WORKDAY(Main[[#This Row],[Tech Start Date]],23),IF(Main[[#This Row],[Class]]="B", WORKDAY(Main[[#This Row],[Tech Start Date]],15),IF(Main[[#This Row],[Class]]="A",WORKDAY(Main[[#This Row],[Tech Start Date]],5),""))))</f>
        <v/>
      </c>
      <c r="P247" s="104" t="str">
        <f>IF(Main[[#This Row],[Tech Start Date]]&lt;1/1/1990,"",IF(Main[[#This Row],[Class]]="C",WORKDAY(Main[[#This Row],[Tech Start Date]],28),IF(Main[[#This Row],[Class]]="B", WORKDAY(Main[[#This Row],[Tech Start Date]],19),IF(Main[[#This Row],[Class]]="A",WORKDAY(Main[[#This Row],[Tech Start Date]],9),""))))</f>
        <v/>
      </c>
      <c r="Q247" s="101">
        <v>40598</v>
      </c>
      <c r="R247" s="101"/>
      <c r="S247" s="99" t="s">
        <v>11</v>
      </c>
      <c r="T247" s="107" t="s">
        <v>4</v>
      </c>
      <c r="U247" s="99" t="s">
        <v>14</v>
      </c>
      <c r="V247" s="99" t="s">
        <v>1972</v>
      </c>
      <c r="W247" s="99" t="s">
        <v>1968</v>
      </c>
    </row>
    <row r="248" spans="1:23" ht="18.600000000000001" customHeight="1">
      <c r="A248" s="123" t="str">
        <f>IF(priority(Main[[#This Row],[Comments]])&lt;&gt;0, priority(Main[[#This Row],[Comments]]),"")</f>
        <v/>
      </c>
      <c r="B248" s="127" t="s">
        <v>1116</v>
      </c>
      <c r="C248" s="99" t="s">
        <v>4</v>
      </c>
      <c r="D248" s="100" t="s">
        <v>135</v>
      </c>
      <c r="E248" s="101">
        <v>40683.594340277778</v>
      </c>
      <c r="F248" s="101"/>
      <c r="G248" s="102" t="str">
        <f>IF(stdProdLT(Main[[#This Row],[Comments]])=0.1,"N/A",IF(stdProdLT(Main[[#This Row],[Comments]])=0,"",stdProdLT(Main[[#This Row],[Comments]])))</f>
        <v/>
      </c>
      <c r="H248" s="103" t="str">
        <f>IF(AND(Main[[#This Row],[In Stock Date]]&lt;&gt;"",Main[[#This Row],[Revised Due Date]]&lt;&gt;""),Main[[#This Row],[In Stock Date]]-Main[[#This Row],[Revised Due Date]],"")</f>
        <v/>
      </c>
      <c r="I248" s="99" t="s">
        <v>4</v>
      </c>
      <c r="J248" s="99" t="s">
        <v>4</v>
      </c>
      <c r="K248" s="108" t="s">
        <v>4</v>
      </c>
      <c r="L248" s="101"/>
      <c r="M248" s="104" t="str">
        <f>IF(Main[[#This Row],[Tech Start Date]]&lt;1/1/1990,"",IF(Main[[#This Row],[Class]]="C",WORKDAY(Main[[#This Row],[Tech Start Date]],9),IF(Main[[#This Row],[Class]]="B", WORKDAY(Main[[#This Row],[Tech Start Date]],6),IF(Main[[#This Row],[Class]]="A",WORKDAY(Main[[#This Row],[Tech Start Date]],2),""))))</f>
        <v/>
      </c>
      <c r="N248" s="104" t="str">
        <f>IF(Main[[#This Row],[Tech Start Date]]&lt;1/1/1990,"",IF(Main[[#This Row],[Class]]="C",WORKDAY(Main[[#This Row],[Tech Start Date]],19),IF(Main[[#This Row],[Class]]="B", WORKDAY(Main[[#This Row],[Tech Start Date]],12),IF(Main[[#This Row],[Class]]="A",WORKDAY(Main[[#This Row],[Tech Start Date]],4),""))))</f>
        <v/>
      </c>
      <c r="O248" s="104" t="str">
        <f>IF(Main[[#This Row],[Tech Start Date]]&lt;1/1/1990,"",IF(Main[[#This Row],[Class]]="C",WORKDAY(Main[[#This Row],[Tech Start Date]],23),IF(Main[[#This Row],[Class]]="B", WORKDAY(Main[[#This Row],[Tech Start Date]],15),IF(Main[[#This Row],[Class]]="A",WORKDAY(Main[[#This Row],[Tech Start Date]],5),""))))</f>
        <v/>
      </c>
      <c r="P248" s="104" t="str">
        <f>IF(Main[[#This Row],[Tech Start Date]]&lt;1/1/1990,"",IF(Main[[#This Row],[Class]]="C",WORKDAY(Main[[#This Row],[Tech Start Date]],28),IF(Main[[#This Row],[Class]]="B", WORKDAY(Main[[#This Row],[Tech Start Date]],19),IF(Main[[#This Row],[Class]]="A",WORKDAY(Main[[#This Row],[Tech Start Date]],9),""))))</f>
        <v/>
      </c>
      <c r="Q248" s="101">
        <v>40718</v>
      </c>
      <c r="R248" s="101"/>
      <c r="S248" s="99" t="s">
        <v>6</v>
      </c>
      <c r="T248" s="107" t="s">
        <v>4</v>
      </c>
      <c r="U248" s="99" t="s">
        <v>7</v>
      </c>
      <c r="V248" s="99" t="s">
        <v>1962</v>
      </c>
      <c r="W248" s="99" t="s">
        <v>1970</v>
      </c>
    </row>
    <row r="249" spans="1:23" ht="18.600000000000001" customHeight="1">
      <c r="A249" s="123" t="str">
        <f>IF(priority(Main[[#This Row],[Comments]])&lt;&gt;0, priority(Main[[#This Row],[Comments]]),"")</f>
        <v/>
      </c>
      <c r="B249" s="127" t="s">
        <v>1117</v>
      </c>
      <c r="C249" s="99" t="s">
        <v>4</v>
      </c>
      <c r="D249" s="100" t="s">
        <v>136</v>
      </c>
      <c r="E249" s="101">
        <v>40312.634143518517</v>
      </c>
      <c r="F249" s="101"/>
      <c r="G249" s="102" t="str">
        <f>IF(stdProdLT(Main[[#This Row],[Comments]])=0.1,"N/A",IF(stdProdLT(Main[[#This Row],[Comments]])=0,"",stdProdLT(Main[[#This Row],[Comments]])))</f>
        <v/>
      </c>
      <c r="H249" s="103" t="str">
        <f>IF(AND(Main[[#This Row],[In Stock Date]]&lt;&gt;"",Main[[#This Row],[Revised Due Date]]&lt;&gt;""),Main[[#This Row],[In Stock Date]]-Main[[#This Row],[Revised Due Date]],"")</f>
        <v/>
      </c>
      <c r="I249" s="99" t="s">
        <v>129</v>
      </c>
      <c r="J249" s="99" t="s">
        <v>4</v>
      </c>
      <c r="K249" s="108" t="s">
        <v>4</v>
      </c>
      <c r="L249" s="101"/>
      <c r="M249" s="104" t="str">
        <f>IF(Main[[#This Row],[Tech Start Date]]&lt;1/1/1990,"",IF(Main[[#This Row],[Class]]="C",WORKDAY(Main[[#This Row],[Tech Start Date]],9),IF(Main[[#This Row],[Class]]="B", WORKDAY(Main[[#This Row],[Tech Start Date]],6),IF(Main[[#This Row],[Class]]="A",WORKDAY(Main[[#This Row],[Tech Start Date]],2),""))))</f>
        <v/>
      </c>
      <c r="N249" s="104" t="str">
        <f>IF(Main[[#This Row],[Tech Start Date]]&lt;1/1/1990,"",IF(Main[[#This Row],[Class]]="C",WORKDAY(Main[[#This Row],[Tech Start Date]],19),IF(Main[[#This Row],[Class]]="B", WORKDAY(Main[[#This Row],[Tech Start Date]],12),IF(Main[[#This Row],[Class]]="A",WORKDAY(Main[[#This Row],[Tech Start Date]],4),""))))</f>
        <v/>
      </c>
      <c r="O249" s="104" t="str">
        <f>IF(Main[[#This Row],[Tech Start Date]]&lt;1/1/1990,"",IF(Main[[#This Row],[Class]]="C",WORKDAY(Main[[#This Row],[Tech Start Date]],23),IF(Main[[#This Row],[Class]]="B", WORKDAY(Main[[#This Row],[Tech Start Date]],15),IF(Main[[#This Row],[Class]]="A",WORKDAY(Main[[#This Row],[Tech Start Date]],5),""))))</f>
        <v/>
      </c>
      <c r="P249" s="104" t="str">
        <f>IF(Main[[#This Row],[Tech Start Date]]&lt;1/1/1990,"",IF(Main[[#This Row],[Class]]="C",WORKDAY(Main[[#This Row],[Tech Start Date]],28),IF(Main[[#This Row],[Class]]="B", WORKDAY(Main[[#This Row],[Tech Start Date]],19),IF(Main[[#This Row],[Class]]="A",WORKDAY(Main[[#This Row],[Tech Start Date]],9),""))))</f>
        <v/>
      </c>
      <c r="Q249" s="101">
        <v>40329</v>
      </c>
      <c r="R249" s="101"/>
      <c r="S249" s="99" t="s">
        <v>6</v>
      </c>
      <c r="T249" s="107" t="s">
        <v>4</v>
      </c>
      <c r="U249" s="99" t="s">
        <v>7</v>
      </c>
      <c r="V249" s="99" t="s">
        <v>1962</v>
      </c>
      <c r="W249" s="99" t="s">
        <v>1964</v>
      </c>
    </row>
    <row r="250" spans="1:23" ht="18.600000000000001" customHeight="1">
      <c r="A250" s="123" t="str">
        <f>IF(priority(Main[[#This Row],[Comments]])&lt;&gt;0, priority(Main[[#This Row],[Comments]]),"")</f>
        <v/>
      </c>
      <c r="B250" s="127" t="s">
        <v>1118</v>
      </c>
      <c r="C250" s="99" t="s">
        <v>4</v>
      </c>
      <c r="D250" s="100" t="s">
        <v>97</v>
      </c>
      <c r="E250" s="101"/>
      <c r="F250" s="101"/>
      <c r="G250" s="102" t="str">
        <f>IF(stdProdLT(Main[[#This Row],[Comments]])=0.1,"N/A",IF(stdProdLT(Main[[#This Row],[Comments]])=0,"",stdProdLT(Main[[#This Row],[Comments]])))</f>
        <v/>
      </c>
      <c r="H250" s="103" t="str">
        <f>IF(AND(Main[[#This Row],[In Stock Date]]&lt;&gt;"",Main[[#This Row],[Revised Due Date]]&lt;&gt;""),Main[[#This Row],[In Stock Date]]-Main[[#This Row],[Revised Due Date]],"")</f>
        <v/>
      </c>
      <c r="I250" s="99" t="s">
        <v>4</v>
      </c>
      <c r="J250" s="99" t="s">
        <v>4</v>
      </c>
      <c r="K250" s="99" t="s">
        <v>4</v>
      </c>
      <c r="L250" s="101"/>
      <c r="M250" s="104" t="str">
        <f>IF(Main[[#This Row],[Tech Start Date]]&lt;1/1/1990,"",IF(Main[[#This Row],[Class]]="C",WORKDAY(Main[[#This Row],[Tech Start Date]],9),IF(Main[[#This Row],[Class]]="B", WORKDAY(Main[[#This Row],[Tech Start Date]],6),IF(Main[[#This Row],[Class]]="A",WORKDAY(Main[[#This Row],[Tech Start Date]],2),""))))</f>
        <v/>
      </c>
      <c r="N250" s="104" t="str">
        <f>IF(Main[[#This Row],[Tech Start Date]]&lt;1/1/1990,"",IF(Main[[#This Row],[Class]]="C",WORKDAY(Main[[#This Row],[Tech Start Date]],19),IF(Main[[#This Row],[Class]]="B", WORKDAY(Main[[#This Row],[Tech Start Date]],12),IF(Main[[#This Row],[Class]]="A",WORKDAY(Main[[#This Row],[Tech Start Date]],4),""))))</f>
        <v/>
      </c>
      <c r="O250" s="104" t="str">
        <f>IF(Main[[#This Row],[Tech Start Date]]&lt;1/1/1990,"",IF(Main[[#This Row],[Class]]="C",WORKDAY(Main[[#This Row],[Tech Start Date]],23),IF(Main[[#This Row],[Class]]="B", WORKDAY(Main[[#This Row],[Tech Start Date]],15),IF(Main[[#This Row],[Class]]="A",WORKDAY(Main[[#This Row],[Tech Start Date]],5),""))))</f>
        <v/>
      </c>
      <c r="P250" s="104" t="str">
        <f>IF(Main[[#This Row],[Tech Start Date]]&lt;1/1/1990,"",IF(Main[[#This Row],[Class]]="C",WORKDAY(Main[[#This Row],[Tech Start Date]],28),IF(Main[[#This Row],[Class]]="B", WORKDAY(Main[[#This Row],[Tech Start Date]],19),IF(Main[[#This Row],[Class]]="A",WORKDAY(Main[[#This Row],[Tech Start Date]],9),""))))</f>
        <v/>
      </c>
      <c r="Q250" s="101">
        <v>40858</v>
      </c>
      <c r="R250" s="101"/>
      <c r="S250" s="99" t="s">
        <v>17</v>
      </c>
      <c r="T250" s="107" t="s">
        <v>4</v>
      </c>
      <c r="U250" s="99" t="s">
        <v>14</v>
      </c>
      <c r="V250" s="99" t="s">
        <v>1962</v>
      </c>
      <c r="W250" s="99" t="s">
        <v>1967</v>
      </c>
    </row>
    <row r="251" spans="1:23" ht="18.600000000000001" customHeight="1">
      <c r="A251" s="123" t="str">
        <f>IF(priority(Main[[#This Row],[Comments]])&lt;&gt;0, priority(Main[[#This Row],[Comments]]),"")</f>
        <v/>
      </c>
      <c r="B251" s="127" t="s">
        <v>1709</v>
      </c>
      <c r="C251" s="99" t="s">
        <v>4</v>
      </c>
      <c r="D251" s="100" t="s">
        <v>742</v>
      </c>
      <c r="E251" s="101"/>
      <c r="F251" s="101"/>
      <c r="G251" s="102" t="str">
        <f>IF(stdProdLT(Main[[#This Row],[Comments]])=0.1,"N/A",IF(stdProdLT(Main[[#This Row],[Comments]])=0,"",stdProdLT(Main[[#This Row],[Comments]])))</f>
        <v/>
      </c>
      <c r="H251" s="103" t="str">
        <f>IF(AND(Main[[#This Row],[In Stock Date]]&lt;&gt;"",Main[[#This Row],[Revised Due Date]]&lt;&gt;""),Main[[#This Row],[In Stock Date]]-Main[[#This Row],[Revised Due Date]],"")</f>
        <v/>
      </c>
      <c r="I251" s="99" t="s">
        <v>4</v>
      </c>
      <c r="J251" s="99" t="s">
        <v>4</v>
      </c>
      <c r="K251" s="99" t="s">
        <v>4</v>
      </c>
      <c r="L251" s="101"/>
      <c r="M251" s="104" t="str">
        <f>IF(Main[[#This Row],[Tech Start Date]]&lt;1/1/1990,"",IF(Main[[#This Row],[Class]]="C",WORKDAY(Main[[#This Row],[Tech Start Date]],9),IF(Main[[#This Row],[Class]]="B", WORKDAY(Main[[#This Row],[Tech Start Date]],6),IF(Main[[#This Row],[Class]]="A",WORKDAY(Main[[#This Row],[Tech Start Date]],2),""))))</f>
        <v/>
      </c>
      <c r="N251" s="104" t="str">
        <f>IF(Main[[#This Row],[Tech Start Date]]&lt;1/1/1990,"",IF(Main[[#This Row],[Class]]="C",WORKDAY(Main[[#This Row],[Tech Start Date]],19),IF(Main[[#This Row],[Class]]="B", WORKDAY(Main[[#This Row],[Tech Start Date]],12),IF(Main[[#This Row],[Class]]="A",WORKDAY(Main[[#This Row],[Tech Start Date]],4),""))))</f>
        <v/>
      </c>
      <c r="O251" s="104" t="str">
        <f>IF(Main[[#This Row],[Tech Start Date]]&lt;1/1/1990,"",IF(Main[[#This Row],[Class]]="C",WORKDAY(Main[[#This Row],[Tech Start Date]],23),IF(Main[[#This Row],[Class]]="B", WORKDAY(Main[[#This Row],[Tech Start Date]],15),IF(Main[[#This Row],[Class]]="A",WORKDAY(Main[[#This Row],[Tech Start Date]],5),""))))</f>
        <v/>
      </c>
      <c r="P251" s="104" t="str">
        <f>IF(Main[[#This Row],[Tech Start Date]]&lt;1/1/1990,"",IF(Main[[#This Row],[Class]]="C",WORKDAY(Main[[#This Row],[Tech Start Date]],28),IF(Main[[#This Row],[Class]]="B", WORKDAY(Main[[#This Row],[Tech Start Date]],19),IF(Main[[#This Row],[Class]]="A",WORKDAY(Main[[#This Row],[Tech Start Date]],9),""))))</f>
        <v/>
      </c>
      <c r="Q251" s="101"/>
      <c r="R251" s="101"/>
      <c r="S251" s="99" t="s">
        <v>23</v>
      </c>
      <c r="T251" s="107" t="s">
        <v>4</v>
      </c>
      <c r="U251" s="99" t="s">
        <v>14</v>
      </c>
      <c r="V251" s="99" t="s">
        <v>1962</v>
      </c>
      <c r="W251" s="99" t="s">
        <v>1966</v>
      </c>
    </row>
    <row r="252" spans="1:23" ht="18.600000000000001" customHeight="1">
      <c r="A252" s="123" t="str">
        <f>IF(priority(Main[[#This Row],[Comments]])&lt;&gt;0, priority(Main[[#This Row],[Comments]]),"")</f>
        <v/>
      </c>
      <c r="B252" s="127" t="s">
        <v>1119</v>
      </c>
      <c r="C252" s="99" t="s">
        <v>113</v>
      </c>
      <c r="D252" s="100" t="s">
        <v>137</v>
      </c>
      <c r="E252" s="101"/>
      <c r="F252" s="101"/>
      <c r="G252" s="102" t="str">
        <f>IF(stdProdLT(Main[[#This Row],[Comments]])=0.1,"N/A",IF(stdProdLT(Main[[#This Row],[Comments]])=0,"",stdProdLT(Main[[#This Row],[Comments]])))</f>
        <v/>
      </c>
      <c r="H252" s="103" t="str">
        <f>IF(AND(Main[[#This Row],[In Stock Date]]&lt;&gt;"",Main[[#This Row],[Revised Due Date]]&lt;&gt;""),Main[[#This Row],[In Stock Date]]-Main[[#This Row],[Revised Due Date]],"")</f>
        <v/>
      </c>
      <c r="I252" s="99" t="s">
        <v>4</v>
      </c>
      <c r="J252" s="99" t="s">
        <v>4</v>
      </c>
      <c r="K252" s="108" t="s">
        <v>4</v>
      </c>
      <c r="L252" s="101"/>
      <c r="M252" s="104" t="str">
        <f>IF(Main[[#This Row],[Tech Start Date]]&lt;1/1/1990,"",IF(Main[[#This Row],[Class]]="C",WORKDAY(Main[[#This Row],[Tech Start Date]],9),IF(Main[[#This Row],[Class]]="B", WORKDAY(Main[[#This Row],[Tech Start Date]],6),IF(Main[[#This Row],[Class]]="A",WORKDAY(Main[[#This Row],[Tech Start Date]],2),""))))</f>
        <v/>
      </c>
      <c r="N252" s="104" t="str">
        <f>IF(Main[[#This Row],[Tech Start Date]]&lt;1/1/1990,"",IF(Main[[#This Row],[Class]]="C",WORKDAY(Main[[#This Row],[Tech Start Date]],19),IF(Main[[#This Row],[Class]]="B", WORKDAY(Main[[#This Row],[Tech Start Date]],12),IF(Main[[#This Row],[Class]]="A",WORKDAY(Main[[#This Row],[Tech Start Date]],4),""))))</f>
        <v/>
      </c>
      <c r="O252" s="104" t="str">
        <f>IF(Main[[#This Row],[Tech Start Date]]&lt;1/1/1990,"",IF(Main[[#This Row],[Class]]="C",WORKDAY(Main[[#This Row],[Tech Start Date]],23),IF(Main[[#This Row],[Class]]="B", WORKDAY(Main[[#This Row],[Tech Start Date]],15),IF(Main[[#This Row],[Class]]="A",WORKDAY(Main[[#This Row],[Tech Start Date]],5),""))))</f>
        <v/>
      </c>
      <c r="P252" s="104" t="str">
        <f>IF(Main[[#This Row],[Tech Start Date]]&lt;1/1/1990,"",IF(Main[[#This Row],[Class]]="C",WORKDAY(Main[[#This Row],[Tech Start Date]],28),IF(Main[[#This Row],[Class]]="B", WORKDAY(Main[[#This Row],[Tech Start Date]],19),IF(Main[[#This Row],[Class]]="A",WORKDAY(Main[[#This Row],[Tech Start Date]],9),""))))</f>
        <v/>
      </c>
      <c r="Q252" s="101">
        <v>40641</v>
      </c>
      <c r="R252" s="101"/>
      <c r="S252" s="99" t="s">
        <v>11</v>
      </c>
      <c r="T252" s="107" t="s">
        <v>4</v>
      </c>
      <c r="U252" s="99" t="s">
        <v>14</v>
      </c>
      <c r="V252" s="99" t="s">
        <v>1962</v>
      </c>
      <c r="W252" s="99" t="s">
        <v>1970</v>
      </c>
    </row>
    <row r="253" spans="1:23" ht="18.600000000000001" customHeight="1">
      <c r="A253" s="123" t="str">
        <f>IF(priority(Main[[#This Row],[Comments]])&lt;&gt;0, priority(Main[[#This Row],[Comments]]),"")</f>
        <v/>
      </c>
      <c r="B253" s="127" t="s">
        <v>1120</v>
      </c>
      <c r="C253" s="99" t="s">
        <v>138</v>
      </c>
      <c r="D253" s="100" t="s">
        <v>139</v>
      </c>
      <c r="E253" s="101"/>
      <c r="F253" s="101"/>
      <c r="G253" s="102" t="str">
        <f>IF(stdProdLT(Main[[#This Row],[Comments]])=0.1,"N/A",IF(stdProdLT(Main[[#This Row],[Comments]])=0,"",stdProdLT(Main[[#This Row],[Comments]])))</f>
        <v/>
      </c>
      <c r="H253" s="103" t="str">
        <f>IF(AND(Main[[#This Row],[In Stock Date]]&lt;&gt;"",Main[[#This Row],[Revised Due Date]]&lt;&gt;""),Main[[#This Row],[In Stock Date]]-Main[[#This Row],[Revised Due Date]],"")</f>
        <v/>
      </c>
      <c r="I253" s="99" t="s">
        <v>4</v>
      </c>
      <c r="J253" s="99" t="s">
        <v>4</v>
      </c>
      <c r="K253" s="108" t="s">
        <v>4</v>
      </c>
      <c r="L253" s="101"/>
      <c r="M253" s="104" t="str">
        <f>IF(Main[[#This Row],[Tech Start Date]]&lt;1/1/1990,"",IF(Main[[#This Row],[Class]]="C",WORKDAY(Main[[#This Row],[Tech Start Date]],9),IF(Main[[#This Row],[Class]]="B", WORKDAY(Main[[#This Row],[Tech Start Date]],6),IF(Main[[#This Row],[Class]]="A",WORKDAY(Main[[#This Row],[Tech Start Date]],2),""))))</f>
        <v/>
      </c>
      <c r="N253" s="104" t="str">
        <f>IF(Main[[#This Row],[Tech Start Date]]&lt;1/1/1990,"",IF(Main[[#This Row],[Class]]="C",WORKDAY(Main[[#This Row],[Tech Start Date]],19),IF(Main[[#This Row],[Class]]="B", WORKDAY(Main[[#This Row],[Tech Start Date]],12),IF(Main[[#This Row],[Class]]="A",WORKDAY(Main[[#This Row],[Tech Start Date]],4),""))))</f>
        <v/>
      </c>
      <c r="O253" s="104" t="str">
        <f>IF(Main[[#This Row],[Tech Start Date]]&lt;1/1/1990,"",IF(Main[[#This Row],[Class]]="C",WORKDAY(Main[[#This Row],[Tech Start Date]],23),IF(Main[[#This Row],[Class]]="B", WORKDAY(Main[[#This Row],[Tech Start Date]],15),IF(Main[[#This Row],[Class]]="A",WORKDAY(Main[[#This Row],[Tech Start Date]],5),""))))</f>
        <v/>
      </c>
      <c r="P253" s="104" t="str">
        <f>IF(Main[[#This Row],[Tech Start Date]]&lt;1/1/1990,"",IF(Main[[#This Row],[Class]]="C",WORKDAY(Main[[#This Row],[Tech Start Date]],28),IF(Main[[#This Row],[Class]]="B", WORKDAY(Main[[#This Row],[Tech Start Date]],19),IF(Main[[#This Row],[Class]]="A",WORKDAY(Main[[#This Row],[Tech Start Date]],9),""))))</f>
        <v/>
      </c>
      <c r="Q253" s="101">
        <v>40641</v>
      </c>
      <c r="R253" s="101"/>
      <c r="S253" s="99" t="s">
        <v>11</v>
      </c>
      <c r="T253" s="107" t="s">
        <v>4</v>
      </c>
      <c r="U253" s="99" t="s">
        <v>14</v>
      </c>
      <c r="V253" s="99" t="s">
        <v>1962</v>
      </c>
      <c r="W253" s="99" t="s">
        <v>1970</v>
      </c>
    </row>
    <row r="254" spans="1:23" ht="18.600000000000001" customHeight="1">
      <c r="A254" s="123" t="str">
        <f>IF(priority(Main[[#This Row],[Comments]])&lt;&gt;0, priority(Main[[#This Row],[Comments]]),"")</f>
        <v/>
      </c>
      <c r="B254" s="127" t="s">
        <v>1122</v>
      </c>
      <c r="C254" s="99" t="s">
        <v>33</v>
      </c>
      <c r="D254" s="100" t="s">
        <v>140</v>
      </c>
      <c r="E254" s="101"/>
      <c r="F254" s="101"/>
      <c r="G254" s="102" t="str">
        <f>IF(stdProdLT(Main[[#This Row],[Comments]])=0.1,"N/A",IF(stdProdLT(Main[[#This Row],[Comments]])=0,"",stdProdLT(Main[[#This Row],[Comments]])))</f>
        <v/>
      </c>
      <c r="H254" s="103" t="str">
        <f>IF(AND(Main[[#This Row],[In Stock Date]]&lt;&gt;"",Main[[#This Row],[Revised Due Date]]&lt;&gt;""),Main[[#This Row],[In Stock Date]]-Main[[#This Row],[Revised Due Date]],"")</f>
        <v/>
      </c>
      <c r="I254" s="99" t="s">
        <v>4</v>
      </c>
      <c r="J254" s="99" t="s">
        <v>4</v>
      </c>
      <c r="K254" s="99" t="s">
        <v>4</v>
      </c>
      <c r="L254" s="101"/>
      <c r="M254" s="104" t="str">
        <f>IF(Main[[#This Row],[Tech Start Date]]&lt;1/1/1990,"",IF(Main[[#This Row],[Class]]="C",WORKDAY(Main[[#This Row],[Tech Start Date]],9),IF(Main[[#This Row],[Class]]="B", WORKDAY(Main[[#This Row],[Tech Start Date]],6),IF(Main[[#This Row],[Class]]="A",WORKDAY(Main[[#This Row],[Tech Start Date]],2),""))))</f>
        <v/>
      </c>
      <c r="N254" s="104" t="str">
        <f>IF(Main[[#This Row],[Tech Start Date]]&lt;1/1/1990,"",IF(Main[[#This Row],[Class]]="C",WORKDAY(Main[[#This Row],[Tech Start Date]],19),IF(Main[[#This Row],[Class]]="B", WORKDAY(Main[[#This Row],[Tech Start Date]],12),IF(Main[[#This Row],[Class]]="A",WORKDAY(Main[[#This Row],[Tech Start Date]],4),""))))</f>
        <v/>
      </c>
      <c r="O254" s="104" t="str">
        <f>IF(Main[[#This Row],[Tech Start Date]]&lt;1/1/1990,"",IF(Main[[#This Row],[Class]]="C",WORKDAY(Main[[#This Row],[Tech Start Date]],23),IF(Main[[#This Row],[Class]]="B", WORKDAY(Main[[#This Row],[Tech Start Date]],15),IF(Main[[#This Row],[Class]]="A",WORKDAY(Main[[#This Row],[Tech Start Date]],5),""))))</f>
        <v/>
      </c>
      <c r="P254" s="104" t="str">
        <f>IF(Main[[#This Row],[Tech Start Date]]&lt;1/1/1990,"",IF(Main[[#This Row],[Class]]="C",WORKDAY(Main[[#This Row],[Tech Start Date]],28),IF(Main[[#This Row],[Class]]="B", WORKDAY(Main[[#This Row],[Tech Start Date]],19),IF(Main[[#This Row],[Class]]="A",WORKDAY(Main[[#This Row],[Tech Start Date]],9),""))))</f>
        <v/>
      </c>
      <c r="Q254" s="101"/>
      <c r="R254" s="101"/>
      <c r="S254" s="99" t="s">
        <v>11</v>
      </c>
      <c r="T254" s="107" t="s">
        <v>4</v>
      </c>
      <c r="U254" s="99" t="s">
        <v>14</v>
      </c>
      <c r="V254" s="99" t="s">
        <v>1963</v>
      </c>
      <c r="W254" s="99" t="s">
        <v>1970</v>
      </c>
    </row>
    <row r="255" spans="1:23" ht="18.600000000000001" customHeight="1">
      <c r="A255" s="123" t="str">
        <f>IF(priority(Main[[#This Row],[Comments]])&lt;&gt;0, priority(Main[[#This Row],[Comments]]),"")</f>
        <v/>
      </c>
      <c r="B255" s="127" t="s">
        <v>1123</v>
      </c>
      <c r="C255" s="99" t="s">
        <v>4</v>
      </c>
      <c r="D255" s="100" t="s">
        <v>141</v>
      </c>
      <c r="E255" s="101">
        <v>40436.663981481484</v>
      </c>
      <c r="F255" s="101"/>
      <c r="G255" s="102" t="str">
        <f>IF(stdProdLT(Main[[#This Row],[Comments]])=0.1,"N/A",IF(stdProdLT(Main[[#This Row],[Comments]])=0,"",stdProdLT(Main[[#This Row],[Comments]])))</f>
        <v/>
      </c>
      <c r="H255" s="103" t="str">
        <f>IF(AND(Main[[#This Row],[In Stock Date]]&lt;&gt;"",Main[[#This Row],[Revised Due Date]]&lt;&gt;""),Main[[#This Row],[In Stock Date]]-Main[[#This Row],[Revised Due Date]],"")</f>
        <v/>
      </c>
      <c r="I255" s="99" t="s">
        <v>4</v>
      </c>
      <c r="J255" s="99" t="s">
        <v>4</v>
      </c>
      <c r="K255" s="99" t="s">
        <v>4</v>
      </c>
      <c r="L255" s="101"/>
      <c r="M255" s="104" t="str">
        <f>IF(Main[[#This Row],[Tech Start Date]]&lt;1/1/1990,"",IF(Main[[#This Row],[Class]]="C",WORKDAY(Main[[#This Row],[Tech Start Date]],9),IF(Main[[#This Row],[Class]]="B", WORKDAY(Main[[#This Row],[Tech Start Date]],6),IF(Main[[#This Row],[Class]]="A",WORKDAY(Main[[#This Row],[Tech Start Date]],2),""))))</f>
        <v/>
      </c>
      <c r="N255" s="104" t="str">
        <f>IF(Main[[#This Row],[Tech Start Date]]&lt;1/1/1990,"",IF(Main[[#This Row],[Class]]="C",WORKDAY(Main[[#This Row],[Tech Start Date]],19),IF(Main[[#This Row],[Class]]="B", WORKDAY(Main[[#This Row],[Tech Start Date]],12),IF(Main[[#This Row],[Class]]="A",WORKDAY(Main[[#This Row],[Tech Start Date]],4),""))))</f>
        <v/>
      </c>
      <c r="O255" s="104" t="str">
        <f>IF(Main[[#This Row],[Tech Start Date]]&lt;1/1/1990,"",IF(Main[[#This Row],[Class]]="C",WORKDAY(Main[[#This Row],[Tech Start Date]],23),IF(Main[[#This Row],[Class]]="B", WORKDAY(Main[[#This Row],[Tech Start Date]],15),IF(Main[[#This Row],[Class]]="A",WORKDAY(Main[[#This Row],[Tech Start Date]],5),""))))</f>
        <v/>
      </c>
      <c r="P255" s="104" t="str">
        <f>IF(Main[[#This Row],[Tech Start Date]]&lt;1/1/1990,"",IF(Main[[#This Row],[Class]]="C",WORKDAY(Main[[#This Row],[Tech Start Date]],28),IF(Main[[#This Row],[Class]]="B", WORKDAY(Main[[#This Row],[Tech Start Date]],19),IF(Main[[#This Row],[Class]]="A",WORKDAY(Main[[#This Row],[Tech Start Date]],9),""))))</f>
        <v/>
      </c>
      <c r="Q255" s="101"/>
      <c r="R255" s="101"/>
      <c r="S255" s="99" t="s">
        <v>17</v>
      </c>
      <c r="T255" s="107" t="s">
        <v>142</v>
      </c>
      <c r="U255" s="99" t="s">
        <v>7</v>
      </c>
      <c r="V255" s="99" t="s">
        <v>1963</v>
      </c>
      <c r="W255" s="99" t="s">
        <v>1970</v>
      </c>
    </row>
    <row r="256" spans="1:23" ht="18.600000000000001" customHeight="1">
      <c r="A256" s="123" t="str">
        <f>IF(priority(Main[[#This Row],[Comments]])&lt;&gt;0, priority(Main[[#This Row],[Comments]]),"")</f>
        <v/>
      </c>
      <c r="B256" s="127" t="s">
        <v>1141</v>
      </c>
      <c r="C256" s="99" t="s">
        <v>4</v>
      </c>
      <c r="D256" s="100" t="s">
        <v>155</v>
      </c>
      <c r="E256" s="101"/>
      <c r="F256" s="101"/>
      <c r="G256" s="102" t="str">
        <f>IF(stdProdLT(Main[[#This Row],[Comments]])=0.1,"N/A",IF(stdProdLT(Main[[#This Row],[Comments]])=0,"",stdProdLT(Main[[#This Row],[Comments]])))</f>
        <v/>
      </c>
      <c r="H256" s="103" t="str">
        <f>IF(AND(Main[[#This Row],[In Stock Date]]&lt;&gt;"",Main[[#This Row],[Revised Due Date]]&lt;&gt;""),Main[[#This Row],[In Stock Date]]-Main[[#This Row],[Revised Due Date]],"")</f>
        <v/>
      </c>
      <c r="I256" s="99" t="s">
        <v>4</v>
      </c>
      <c r="J256" s="99" t="s">
        <v>4</v>
      </c>
      <c r="K256" s="108" t="s">
        <v>4</v>
      </c>
      <c r="L256" s="101"/>
      <c r="M256" s="104" t="str">
        <f>IF(Main[[#This Row],[Tech Start Date]]&lt;1/1/1990,"",IF(Main[[#This Row],[Class]]="C",WORKDAY(Main[[#This Row],[Tech Start Date]],9),IF(Main[[#This Row],[Class]]="B", WORKDAY(Main[[#This Row],[Tech Start Date]],6),IF(Main[[#This Row],[Class]]="A",WORKDAY(Main[[#This Row],[Tech Start Date]],2),""))))</f>
        <v/>
      </c>
      <c r="N256" s="104" t="str">
        <f>IF(Main[[#This Row],[Tech Start Date]]&lt;1/1/1990,"",IF(Main[[#This Row],[Class]]="C",WORKDAY(Main[[#This Row],[Tech Start Date]],19),IF(Main[[#This Row],[Class]]="B", WORKDAY(Main[[#This Row],[Tech Start Date]],12),IF(Main[[#This Row],[Class]]="A",WORKDAY(Main[[#This Row],[Tech Start Date]],4),""))))</f>
        <v/>
      </c>
      <c r="O256" s="104" t="str">
        <f>IF(Main[[#This Row],[Tech Start Date]]&lt;1/1/1990,"",IF(Main[[#This Row],[Class]]="C",WORKDAY(Main[[#This Row],[Tech Start Date]],23),IF(Main[[#This Row],[Class]]="B", WORKDAY(Main[[#This Row],[Tech Start Date]],15),IF(Main[[#This Row],[Class]]="A",WORKDAY(Main[[#This Row],[Tech Start Date]],5),""))))</f>
        <v/>
      </c>
      <c r="P256" s="104" t="str">
        <f>IF(Main[[#This Row],[Tech Start Date]]&lt;1/1/1990,"",IF(Main[[#This Row],[Class]]="C",WORKDAY(Main[[#This Row],[Tech Start Date]],28),IF(Main[[#This Row],[Class]]="B", WORKDAY(Main[[#This Row],[Tech Start Date]],19),IF(Main[[#This Row],[Class]]="A",WORKDAY(Main[[#This Row],[Tech Start Date]],9),""))))</f>
        <v/>
      </c>
      <c r="Q256" s="101">
        <v>40619</v>
      </c>
      <c r="R256" s="101"/>
      <c r="S256" s="99" t="s">
        <v>49</v>
      </c>
      <c r="T256" s="107" t="s">
        <v>4</v>
      </c>
      <c r="U256" s="99" t="s">
        <v>12</v>
      </c>
      <c r="V256" s="99" t="s">
        <v>1965</v>
      </c>
      <c r="W256" s="99" t="s">
        <v>1970</v>
      </c>
    </row>
    <row r="257" spans="1:23" ht="18.600000000000001" customHeight="1">
      <c r="A257" s="123" t="str">
        <f>IF(priority(Main[[#This Row],[Comments]])&lt;&gt;0, priority(Main[[#This Row],[Comments]]),"")</f>
        <v/>
      </c>
      <c r="B257" s="127" t="s">
        <v>1534</v>
      </c>
      <c r="C257" s="99" t="s">
        <v>93</v>
      </c>
      <c r="D257" s="100" t="s">
        <v>606</v>
      </c>
      <c r="E257" s="101">
        <v>40016.655266203707</v>
      </c>
      <c r="F257" s="101"/>
      <c r="G257" s="102" t="str">
        <f>IF(stdProdLT(Main[[#This Row],[Comments]])=0.1,"N/A",IF(stdProdLT(Main[[#This Row],[Comments]])=0,"",stdProdLT(Main[[#This Row],[Comments]])))</f>
        <v/>
      </c>
      <c r="H257" s="103" t="str">
        <f>IF(AND(Main[[#This Row],[In Stock Date]]&lt;&gt;"",Main[[#This Row],[Revised Due Date]]&lt;&gt;""),Main[[#This Row],[In Stock Date]]-Main[[#This Row],[Revised Due Date]],"")</f>
        <v/>
      </c>
      <c r="I257" s="99" t="s">
        <v>4</v>
      </c>
      <c r="J257" s="99" t="s">
        <v>4</v>
      </c>
      <c r="K257" s="108" t="s">
        <v>4</v>
      </c>
      <c r="L257" s="101"/>
      <c r="M257" s="104" t="str">
        <f>IF(Main[[#This Row],[Tech Start Date]]&lt;1/1/1990,"",IF(Main[[#This Row],[Class]]="C",WORKDAY(Main[[#This Row],[Tech Start Date]],9),IF(Main[[#This Row],[Class]]="B", WORKDAY(Main[[#This Row],[Tech Start Date]],6),IF(Main[[#This Row],[Class]]="A",WORKDAY(Main[[#This Row],[Tech Start Date]],2),""))))</f>
        <v/>
      </c>
      <c r="N257" s="104" t="str">
        <f>IF(Main[[#This Row],[Tech Start Date]]&lt;1/1/1990,"",IF(Main[[#This Row],[Class]]="C",WORKDAY(Main[[#This Row],[Tech Start Date]],19),IF(Main[[#This Row],[Class]]="B", WORKDAY(Main[[#This Row],[Tech Start Date]],12),IF(Main[[#This Row],[Class]]="A",WORKDAY(Main[[#This Row],[Tech Start Date]],4),""))))</f>
        <v/>
      </c>
      <c r="O257" s="104" t="str">
        <f>IF(Main[[#This Row],[Tech Start Date]]&lt;1/1/1990,"",IF(Main[[#This Row],[Class]]="C",WORKDAY(Main[[#This Row],[Tech Start Date]],23),IF(Main[[#This Row],[Class]]="B", WORKDAY(Main[[#This Row],[Tech Start Date]],15),IF(Main[[#This Row],[Class]]="A",WORKDAY(Main[[#This Row],[Tech Start Date]],5),""))))</f>
        <v/>
      </c>
      <c r="P257" s="104" t="str">
        <f>IF(Main[[#This Row],[Tech Start Date]]&lt;1/1/1990,"",IF(Main[[#This Row],[Class]]="C",WORKDAY(Main[[#This Row],[Tech Start Date]],28),IF(Main[[#This Row],[Class]]="B", WORKDAY(Main[[#This Row],[Tech Start Date]],19),IF(Main[[#This Row],[Class]]="A",WORKDAY(Main[[#This Row],[Tech Start Date]],9),""))))</f>
        <v/>
      </c>
      <c r="Q257" s="101"/>
      <c r="R257" s="101"/>
      <c r="S257" s="99" t="s">
        <v>17</v>
      </c>
      <c r="T257" s="107" t="s">
        <v>4</v>
      </c>
      <c r="U257" s="99" t="s">
        <v>29</v>
      </c>
      <c r="V257" s="99" t="s">
        <v>1965</v>
      </c>
      <c r="W257" s="99" t="s">
        <v>1968</v>
      </c>
    </row>
    <row r="258" spans="1:23" ht="18.600000000000001" customHeight="1">
      <c r="A258" s="123" t="str">
        <f>IF(priority(Main[[#This Row],[Comments]])&lt;&gt;0, priority(Main[[#This Row],[Comments]]),"")</f>
        <v/>
      </c>
      <c r="B258" s="127" t="s">
        <v>1715</v>
      </c>
      <c r="C258" s="99" t="s">
        <v>4</v>
      </c>
      <c r="D258" s="100" t="s">
        <v>746</v>
      </c>
      <c r="E258" s="101">
        <v>40618.366238425922</v>
      </c>
      <c r="F258" s="101"/>
      <c r="G258" s="102" t="str">
        <f>IF(stdProdLT(Main[[#This Row],[Comments]])=0.1,"N/A",IF(stdProdLT(Main[[#This Row],[Comments]])=0,"",stdProdLT(Main[[#This Row],[Comments]])))</f>
        <v/>
      </c>
      <c r="H258" s="103" t="str">
        <f>IF(AND(Main[[#This Row],[In Stock Date]]&lt;&gt;"",Main[[#This Row],[Revised Due Date]]&lt;&gt;""),Main[[#This Row],[In Stock Date]]-Main[[#This Row],[Revised Due Date]],"")</f>
        <v/>
      </c>
      <c r="I258" s="99" t="s">
        <v>30</v>
      </c>
      <c r="J258" s="99" t="s">
        <v>28</v>
      </c>
      <c r="K258" s="99" t="s">
        <v>1971</v>
      </c>
      <c r="L258" s="101"/>
      <c r="M258" s="104" t="str">
        <f>IF(Main[[#This Row],[Tech Start Date]]&lt;1/1/1990,"",IF(Main[[#This Row],[Class]]="C",WORKDAY(Main[[#This Row],[Tech Start Date]],9),IF(Main[[#This Row],[Class]]="B", WORKDAY(Main[[#This Row],[Tech Start Date]],6),IF(Main[[#This Row],[Class]]="A",WORKDAY(Main[[#This Row],[Tech Start Date]],2),""))))</f>
        <v/>
      </c>
      <c r="N258" s="104" t="str">
        <f>IF(Main[[#This Row],[Tech Start Date]]&lt;1/1/1990,"",IF(Main[[#This Row],[Class]]="C",WORKDAY(Main[[#This Row],[Tech Start Date]],19),IF(Main[[#This Row],[Class]]="B", WORKDAY(Main[[#This Row],[Tech Start Date]],12),IF(Main[[#This Row],[Class]]="A",WORKDAY(Main[[#This Row],[Tech Start Date]],4),""))))</f>
        <v/>
      </c>
      <c r="O258" s="104" t="str">
        <f>IF(Main[[#This Row],[Tech Start Date]]&lt;1/1/1990,"",IF(Main[[#This Row],[Class]]="C",WORKDAY(Main[[#This Row],[Tech Start Date]],23),IF(Main[[#This Row],[Class]]="B", WORKDAY(Main[[#This Row],[Tech Start Date]],15),IF(Main[[#This Row],[Class]]="A",WORKDAY(Main[[#This Row],[Tech Start Date]],5),""))))</f>
        <v/>
      </c>
      <c r="P258" s="104" t="str">
        <f>IF(Main[[#This Row],[Tech Start Date]]&lt;1/1/1990,"",IF(Main[[#This Row],[Class]]="C",WORKDAY(Main[[#This Row],[Tech Start Date]],28),IF(Main[[#This Row],[Class]]="B", WORKDAY(Main[[#This Row],[Tech Start Date]],19),IF(Main[[#This Row],[Class]]="A",WORKDAY(Main[[#This Row],[Tech Start Date]],9),""))))</f>
        <v/>
      </c>
      <c r="Q258" s="101"/>
      <c r="R258" s="101"/>
      <c r="S258" s="99" t="s">
        <v>6</v>
      </c>
      <c r="T258" s="107" t="s">
        <v>4</v>
      </c>
      <c r="U258" s="99" t="s">
        <v>29</v>
      </c>
      <c r="V258" s="99" t="s">
        <v>1965</v>
      </c>
      <c r="W258" s="99" t="s">
        <v>1964</v>
      </c>
    </row>
    <row r="259" spans="1:23" ht="18.600000000000001" customHeight="1">
      <c r="A259" s="123" t="str">
        <f>IF(priority(Main[[#This Row],[Comments]])&lt;&gt;0, priority(Main[[#This Row],[Comments]]),"")</f>
        <v/>
      </c>
      <c r="B259" s="127" t="s">
        <v>2130</v>
      </c>
      <c r="C259" s="99" t="s">
        <v>4</v>
      </c>
      <c r="D259" s="100" t="s">
        <v>2131</v>
      </c>
      <c r="E259" s="101"/>
      <c r="F259" s="101"/>
      <c r="G259" s="102" t="str">
        <f>IF(stdProdLT(Main[[#This Row],[Comments]])=0.1,"N/A",IF(stdProdLT(Main[[#This Row],[Comments]])=0,"",stdProdLT(Main[[#This Row],[Comments]])))</f>
        <v/>
      </c>
      <c r="H259" s="103" t="str">
        <f>IF(AND(Main[[#This Row],[In Stock Date]]&lt;&gt;"",Main[[#This Row],[Revised Due Date]]&lt;&gt;""),Main[[#This Row],[In Stock Date]]-Main[[#This Row],[Revised Due Date]],"")</f>
        <v/>
      </c>
      <c r="I259" s="99" t="s">
        <v>4</v>
      </c>
      <c r="J259" s="99" t="s">
        <v>4</v>
      </c>
      <c r="K259" s="99" t="s">
        <v>4</v>
      </c>
      <c r="L259" s="101"/>
      <c r="M259" s="104" t="str">
        <f>IF(Main[[#This Row],[Tech Start Date]]&lt;1/1/1990,"",IF(Main[[#This Row],[Class]]="C",WORKDAY(Main[[#This Row],[Tech Start Date]],9),IF(Main[[#This Row],[Class]]="B", WORKDAY(Main[[#This Row],[Tech Start Date]],6),IF(Main[[#This Row],[Class]]="A",WORKDAY(Main[[#This Row],[Tech Start Date]],2),""))))</f>
        <v/>
      </c>
      <c r="N259" s="104" t="str">
        <f>IF(Main[[#This Row],[Tech Start Date]]&lt;1/1/1990,"",IF(Main[[#This Row],[Class]]="C",WORKDAY(Main[[#This Row],[Tech Start Date]],19),IF(Main[[#This Row],[Class]]="B", WORKDAY(Main[[#This Row],[Tech Start Date]],12),IF(Main[[#This Row],[Class]]="A",WORKDAY(Main[[#This Row],[Tech Start Date]],4),""))))</f>
        <v/>
      </c>
      <c r="O259" s="104" t="str">
        <f>IF(Main[[#This Row],[Tech Start Date]]&lt;1/1/1990,"",IF(Main[[#This Row],[Class]]="C",WORKDAY(Main[[#This Row],[Tech Start Date]],23),IF(Main[[#This Row],[Class]]="B", WORKDAY(Main[[#This Row],[Tech Start Date]],15),IF(Main[[#This Row],[Class]]="A",WORKDAY(Main[[#This Row],[Tech Start Date]],5),""))))</f>
        <v/>
      </c>
      <c r="P259" s="104" t="str">
        <f>IF(Main[[#This Row],[Tech Start Date]]&lt;1/1/1990,"",IF(Main[[#This Row],[Class]]="C",WORKDAY(Main[[#This Row],[Tech Start Date]],28),IF(Main[[#This Row],[Class]]="B", WORKDAY(Main[[#This Row],[Tech Start Date]],19),IF(Main[[#This Row],[Class]]="A",WORKDAY(Main[[#This Row],[Tech Start Date]],9),""))))</f>
        <v/>
      </c>
      <c r="Q259" s="101"/>
      <c r="R259" s="101"/>
      <c r="S259" s="99" t="s">
        <v>6</v>
      </c>
      <c r="T259" s="107" t="s">
        <v>4</v>
      </c>
      <c r="U259" s="99" t="s">
        <v>14</v>
      </c>
      <c r="V259" s="99" t="s">
        <v>1962</v>
      </c>
      <c r="W259" s="99" t="s">
        <v>1966</v>
      </c>
    </row>
    <row r="260" spans="1:23" ht="18.600000000000001" customHeight="1">
      <c r="A260" s="123" t="str">
        <f>IF(priority(Main[[#This Row],[Comments]])&lt;&gt;0, priority(Main[[#This Row],[Comments]]),"")</f>
        <v/>
      </c>
      <c r="B260" s="127" t="s">
        <v>1190</v>
      </c>
      <c r="C260" s="99" t="s">
        <v>4</v>
      </c>
      <c r="D260" s="100" t="s">
        <v>2430</v>
      </c>
      <c r="E260" s="101">
        <v>40274.393113425926</v>
      </c>
      <c r="F260" s="101"/>
      <c r="G260" s="102" t="str">
        <f>IF(stdProdLT(Main[[#This Row],[Comments]])=0.1,"N/A",IF(stdProdLT(Main[[#This Row],[Comments]])=0,"",stdProdLT(Main[[#This Row],[Comments]])))</f>
        <v/>
      </c>
      <c r="H260" s="103" t="str">
        <f>IF(AND(Main[[#This Row],[In Stock Date]]&lt;&gt;"",Main[[#This Row],[Revised Due Date]]&lt;&gt;""),Main[[#This Row],[In Stock Date]]-Main[[#This Row],[Revised Due Date]],"")</f>
        <v/>
      </c>
      <c r="I260" s="99" t="s">
        <v>4</v>
      </c>
      <c r="J260" s="99" t="s">
        <v>4</v>
      </c>
      <c r="K260" s="108" t="s">
        <v>4</v>
      </c>
      <c r="L260" s="101"/>
      <c r="M260" s="104" t="str">
        <f>IF(Main[[#This Row],[Tech Start Date]]&lt;1/1/1990,"",IF(Main[[#This Row],[Class]]="C",WORKDAY(Main[[#This Row],[Tech Start Date]],9),IF(Main[[#This Row],[Class]]="B", WORKDAY(Main[[#This Row],[Tech Start Date]],6),IF(Main[[#This Row],[Class]]="A",WORKDAY(Main[[#This Row],[Tech Start Date]],2),""))))</f>
        <v/>
      </c>
      <c r="N260" s="104" t="str">
        <f>IF(Main[[#This Row],[Tech Start Date]]&lt;1/1/1990,"",IF(Main[[#This Row],[Class]]="C",WORKDAY(Main[[#This Row],[Tech Start Date]],19),IF(Main[[#This Row],[Class]]="B", WORKDAY(Main[[#This Row],[Tech Start Date]],12),IF(Main[[#This Row],[Class]]="A",WORKDAY(Main[[#This Row],[Tech Start Date]],4),""))))</f>
        <v/>
      </c>
      <c r="O260" s="104" t="str">
        <f>IF(Main[[#This Row],[Tech Start Date]]&lt;1/1/1990,"",IF(Main[[#This Row],[Class]]="C",WORKDAY(Main[[#This Row],[Tech Start Date]],23),IF(Main[[#This Row],[Class]]="B", WORKDAY(Main[[#This Row],[Tech Start Date]],15),IF(Main[[#This Row],[Class]]="A",WORKDAY(Main[[#This Row],[Tech Start Date]],5),""))))</f>
        <v/>
      </c>
      <c r="P260" s="104" t="str">
        <f>IF(Main[[#This Row],[Tech Start Date]]&lt;1/1/1990,"",IF(Main[[#This Row],[Class]]="C",WORKDAY(Main[[#This Row],[Tech Start Date]],28),IF(Main[[#This Row],[Class]]="B", WORKDAY(Main[[#This Row],[Tech Start Date]],19),IF(Main[[#This Row],[Class]]="A",WORKDAY(Main[[#This Row],[Tech Start Date]],9),""))))</f>
        <v/>
      </c>
      <c r="Q260" s="101">
        <v>40302</v>
      </c>
      <c r="R260" s="101"/>
      <c r="S260" s="99" t="s">
        <v>6</v>
      </c>
      <c r="T260" s="107" t="s">
        <v>4</v>
      </c>
      <c r="U260" s="99" t="s">
        <v>7</v>
      </c>
      <c r="V260" s="99" t="s">
        <v>1962</v>
      </c>
      <c r="W260" s="99" t="s">
        <v>1964</v>
      </c>
    </row>
    <row r="261" spans="1:23" ht="18.600000000000001" customHeight="1">
      <c r="A261" s="123" t="str">
        <f>IF(priority(Main[[#This Row],[Comments]])&lt;&gt;0, priority(Main[[#This Row],[Comments]]),"")</f>
        <v/>
      </c>
      <c r="B261" s="127" t="s">
        <v>1425</v>
      </c>
      <c r="C261" s="99" t="s">
        <v>4</v>
      </c>
      <c r="D261" s="100" t="s">
        <v>2431</v>
      </c>
      <c r="E261" s="101">
        <v>40644.246631944443</v>
      </c>
      <c r="F261" s="101"/>
      <c r="G261" s="102" t="str">
        <f>IF(stdProdLT(Main[[#This Row],[Comments]])=0.1,"N/A",IF(stdProdLT(Main[[#This Row],[Comments]])=0,"",stdProdLT(Main[[#This Row],[Comments]])))</f>
        <v/>
      </c>
      <c r="H261" s="103" t="str">
        <f>IF(AND(Main[[#This Row],[In Stock Date]]&lt;&gt;"",Main[[#This Row],[Revised Due Date]]&lt;&gt;""),Main[[#This Row],[In Stock Date]]-Main[[#This Row],[Revised Due Date]],"")</f>
        <v/>
      </c>
      <c r="I261" s="99" t="s">
        <v>929</v>
      </c>
      <c r="J261" s="99" t="s">
        <v>52</v>
      </c>
      <c r="K261" s="99" t="s">
        <v>4</v>
      </c>
      <c r="L261" s="101"/>
      <c r="M261" s="104" t="str">
        <f>IF(Main[[#This Row],[Tech Start Date]]&lt;1/1/1990,"",IF(Main[[#This Row],[Class]]="C",WORKDAY(Main[[#This Row],[Tech Start Date]],9),IF(Main[[#This Row],[Class]]="B", WORKDAY(Main[[#This Row],[Tech Start Date]],6),IF(Main[[#This Row],[Class]]="A",WORKDAY(Main[[#This Row],[Tech Start Date]],2),""))))</f>
        <v/>
      </c>
      <c r="N261" s="104" t="str">
        <f>IF(Main[[#This Row],[Tech Start Date]]&lt;1/1/1990,"",IF(Main[[#This Row],[Class]]="C",WORKDAY(Main[[#This Row],[Tech Start Date]],19),IF(Main[[#This Row],[Class]]="B", WORKDAY(Main[[#This Row],[Tech Start Date]],12),IF(Main[[#This Row],[Class]]="A",WORKDAY(Main[[#This Row],[Tech Start Date]],4),""))))</f>
        <v/>
      </c>
      <c r="O261" s="104" t="str">
        <f>IF(Main[[#This Row],[Tech Start Date]]&lt;1/1/1990,"",IF(Main[[#This Row],[Class]]="C",WORKDAY(Main[[#This Row],[Tech Start Date]],23),IF(Main[[#This Row],[Class]]="B", WORKDAY(Main[[#This Row],[Tech Start Date]],15),IF(Main[[#This Row],[Class]]="A",WORKDAY(Main[[#This Row],[Tech Start Date]],5),""))))</f>
        <v/>
      </c>
      <c r="P261" s="104" t="str">
        <f>IF(Main[[#This Row],[Tech Start Date]]&lt;1/1/1990,"",IF(Main[[#This Row],[Class]]="C",WORKDAY(Main[[#This Row],[Tech Start Date]],28),IF(Main[[#This Row],[Class]]="B", WORKDAY(Main[[#This Row],[Tech Start Date]],19),IF(Main[[#This Row],[Class]]="A",WORKDAY(Main[[#This Row],[Tech Start Date]],9),""))))</f>
        <v/>
      </c>
      <c r="Q261" s="101">
        <v>40659</v>
      </c>
      <c r="R261" s="101"/>
      <c r="S261" s="99" t="s">
        <v>6</v>
      </c>
      <c r="T261" s="107" t="s">
        <v>4</v>
      </c>
      <c r="U261" s="99" t="s">
        <v>29</v>
      </c>
      <c r="V261" s="99" t="s">
        <v>1962</v>
      </c>
      <c r="W261" s="99" t="s">
        <v>1970</v>
      </c>
    </row>
    <row r="262" spans="1:23" ht="18.600000000000001" customHeight="1">
      <c r="A262" s="123" t="str">
        <f>IF(priority(Main[[#This Row],[Comments]])&lt;&gt;0, priority(Main[[#This Row],[Comments]]),"")</f>
        <v/>
      </c>
      <c r="B262" s="127" t="s">
        <v>1158</v>
      </c>
      <c r="C262" s="99" t="s">
        <v>4</v>
      </c>
      <c r="D262" s="100" t="s">
        <v>178</v>
      </c>
      <c r="E262" s="101">
        <v>40655.521435185183</v>
      </c>
      <c r="F262" s="101"/>
      <c r="G262" s="102" t="str">
        <f>IF(stdProdLT(Main[[#This Row],[Comments]])=0.1,"N/A",IF(stdProdLT(Main[[#This Row],[Comments]])=0,"",stdProdLT(Main[[#This Row],[Comments]])))</f>
        <v/>
      </c>
      <c r="H262" s="103" t="str">
        <f>IF(AND(Main[[#This Row],[In Stock Date]]&lt;&gt;"",Main[[#This Row],[Revised Due Date]]&lt;&gt;""),Main[[#This Row],[In Stock Date]]-Main[[#This Row],[Revised Due Date]],"")</f>
        <v/>
      </c>
      <c r="I262" s="99" t="s">
        <v>4</v>
      </c>
      <c r="J262" s="99" t="s">
        <v>4</v>
      </c>
      <c r="K262" s="99" t="s">
        <v>4</v>
      </c>
      <c r="L262" s="101"/>
      <c r="M262" s="104" t="str">
        <f>IF(Main[[#This Row],[Tech Start Date]]&lt;1/1/1990,"",IF(Main[[#This Row],[Class]]="C",WORKDAY(Main[[#This Row],[Tech Start Date]],9),IF(Main[[#This Row],[Class]]="B", WORKDAY(Main[[#This Row],[Tech Start Date]],6),IF(Main[[#This Row],[Class]]="A",WORKDAY(Main[[#This Row],[Tech Start Date]],2),""))))</f>
        <v/>
      </c>
      <c r="N262" s="104" t="str">
        <f>IF(Main[[#This Row],[Tech Start Date]]&lt;1/1/1990,"",IF(Main[[#This Row],[Class]]="C",WORKDAY(Main[[#This Row],[Tech Start Date]],19),IF(Main[[#This Row],[Class]]="B", WORKDAY(Main[[#This Row],[Tech Start Date]],12),IF(Main[[#This Row],[Class]]="A",WORKDAY(Main[[#This Row],[Tech Start Date]],4),""))))</f>
        <v/>
      </c>
      <c r="O262" s="104" t="str">
        <f>IF(Main[[#This Row],[Tech Start Date]]&lt;1/1/1990,"",IF(Main[[#This Row],[Class]]="C",WORKDAY(Main[[#This Row],[Tech Start Date]],23),IF(Main[[#This Row],[Class]]="B", WORKDAY(Main[[#This Row],[Tech Start Date]],15),IF(Main[[#This Row],[Class]]="A",WORKDAY(Main[[#This Row],[Tech Start Date]],5),""))))</f>
        <v/>
      </c>
      <c r="P262" s="104" t="str">
        <f>IF(Main[[#This Row],[Tech Start Date]]&lt;1/1/1990,"",IF(Main[[#This Row],[Class]]="C",WORKDAY(Main[[#This Row],[Tech Start Date]],28),IF(Main[[#This Row],[Class]]="B", WORKDAY(Main[[#This Row],[Tech Start Date]],19),IF(Main[[#This Row],[Class]]="A",WORKDAY(Main[[#This Row],[Tech Start Date]],9),""))))</f>
        <v/>
      </c>
      <c r="Q262" s="101">
        <v>40655</v>
      </c>
      <c r="R262" s="101"/>
      <c r="S262" s="99" t="s">
        <v>6</v>
      </c>
      <c r="T262" s="107" t="s">
        <v>4</v>
      </c>
      <c r="U262" s="99" t="s">
        <v>7</v>
      </c>
      <c r="V262" s="99" t="s">
        <v>1962</v>
      </c>
      <c r="W262" s="99" t="s">
        <v>1964</v>
      </c>
    </row>
    <row r="263" spans="1:23" ht="18.600000000000001" customHeight="1">
      <c r="A263" s="123" t="str">
        <f>IF(priority(Main[[#This Row],[Comments]])&lt;&gt;0, priority(Main[[#This Row],[Comments]]),"")</f>
        <v/>
      </c>
      <c r="B263" s="127" t="s">
        <v>1159</v>
      </c>
      <c r="C263" s="99" t="s">
        <v>4</v>
      </c>
      <c r="D263" s="100" t="s">
        <v>179</v>
      </c>
      <c r="E263" s="101"/>
      <c r="F263" s="101">
        <v>40598</v>
      </c>
      <c r="G263" s="102" t="str">
        <f>IF(stdProdLT(Main[[#This Row],[Comments]])=0.1,"N/A",IF(stdProdLT(Main[[#This Row],[Comments]])=0,"",stdProdLT(Main[[#This Row],[Comments]])))</f>
        <v/>
      </c>
      <c r="H263" s="103" t="str">
        <f>IF(AND(Main[[#This Row],[In Stock Date]]&lt;&gt;"",Main[[#This Row],[Revised Due Date]]&lt;&gt;""),Main[[#This Row],[In Stock Date]]-Main[[#This Row],[Revised Due Date]],"")</f>
        <v/>
      </c>
      <c r="I263" s="99" t="s">
        <v>4</v>
      </c>
      <c r="J263" s="99" t="s">
        <v>4</v>
      </c>
      <c r="K263" s="99" t="s">
        <v>4</v>
      </c>
      <c r="L263" s="101"/>
      <c r="M263" s="104" t="str">
        <f>IF(Main[[#This Row],[Tech Start Date]]&lt;1/1/1990,"",IF(Main[[#This Row],[Class]]="C",WORKDAY(Main[[#This Row],[Tech Start Date]],9),IF(Main[[#This Row],[Class]]="B", WORKDAY(Main[[#This Row],[Tech Start Date]],6),IF(Main[[#This Row],[Class]]="A",WORKDAY(Main[[#This Row],[Tech Start Date]],2),""))))</f>
        <v/>
      </c>
      <c r="N263" s="104" t="str">
        <f>IF(Main[[#This Row],[Tech Start Date]]&lt;1/1/1990,"",IF(Main[[#This Row],[Class]]="C",WORKDAY(Main[[#This Row],[Tech Start Date]],19),IF(Main[[#This Row],[Class]]="B", WORKDAY(Main[[#This Row],[Tech Start Date]],12),IF(Main[[#This Row],[Class]]="A",WORKDAY(Main[[#This Row],[Tech Start Date]],4),""))))</f>
        <v/>
      </c>
      <c r="O263" s="104" t="str">
        <f>IF(Main[[#This Row],[Tech Start Date]]&lt;1/1/1990,"",IF(Main[[#This Row],[Class]]="C",WORKDAY(Main[[#This Row],[Tech Start Date]],23),IF(Main[[#This Row],[Class]]="B", WORKDAY(Main[[#This Row],[Tech Start Date]],15),IF(Main[[#This Row],[Class]]="A",WORKDAY(Main[[#This Row],[Tech Start Date]],5),""))))</f>
        <v/>
      </c>
      <c r="P263" s="104" t="str">
        <f>IF(Main[[#This Row],[Tech Start Date]]&lt;1/1/1990,"",IF(Main[[#This Row],[Class]]="C",WORKDAY(Main[[#This Row],[Tech Start Date]],28),IF(Main[[#This Row],[Class]]="B", WORKDAY(Main[[#This Row],[Tech Start Date]],19),IF(Main[[#This Row],[Class]]="A",WORKDAY(Main[[#This Row],[Tech Start Date]],9),""))))</f>
        <v/>
      </c>
      <c r="Q263" s="101">
        <v>40598</v>
      </c>
      <c r="R263" s="101"/>
      <c r="S263" s="99" t="s">
        <v>11</v>
      </c>
      <c r="T263" s="107" t="s">
        <v>4</v>
      </c>
      <c r="U263" s="99" t="s">
        <v>14</v>
      </c>
      <c r="V263" s="99" t="s">
        <v>1972</v>
      </c>
      <c r="W263" s="99" t="s">
        <v>1968</v>
      </c>
    </row>
    <row r="264" spans="1:23" ht="18.600000000000001" customHeight="1">
      <c r="A264" s="123" t="str">
        <f>IF(priority(Main[[#This Row],[Comments]])&lt;&gt;0, priority(Main[[#This Row],[Comments]]),"")</f>
        <v/>
      </c>
      <c r="B264" s="127" t="s">
        <v>2438</v>
      </c>
      <c r="C264" s="99" t="s">
        <v>2439</v>
      </c>
      <c r="D264" s="100" t="s">
        <v>2440</v>
      </c>
      <c r="E264" s="101"/>
      <c r="F264" s="101"/>
      <c r="G264" s="102" t="str">
        <f>IF(stdProdLT(Main[[#This Row],[Comments]])=0.1,"N/A",IF(stdProdLT(Main[[#This Row],[Comments]])=0,"",stdProdLT(Main[[#This Row],[Comments]])))</f>
        <v/>
      </c>
      <c r="H264" s="103" t="str">
        <f>IF(AND(Main[[#This Row],[In Stock Date]]&lt;&gt;"",Main[[#This Row],[Revised Due Date]]&lt;&gt;""),Main[[#This Row],[In Stock Date]]-Main[[#This Row],[Revised Due Date]],"")</f>
        <v/>
      </c>
      <c r="I264" s="99" t="s">
        <v>4</v>
      </c>
      <c r="J264" s="99" t="s">
        <v>4</v>
      </c>
      <c r="K264" s="99" t="s">
        <v>4</v>
      </c>
      <c r="L264" s="101"/>
      <c r="M264" s="104" t="str">
        <f>IF(Main[[#This Row],[Tech Start Date]]&lt;1/1/1990,"",IF(Main[[#This Row],[Class]]="C",WORKDAY(Main[[#This Row],[Tech Start Date]],9),IF(Main[[#This Row],[Class]]="B", WORKDAY(Main[[#This Row],[Tech Start Date]],6),IF(Main[[#This Row],[Class]]="A",WORKDAY(Main[[#This Row],[Tech Start Date]],2),""))))</f>
        <v/>
      </c>
      <c r="N264" s="104" t="str">
        <f>IF(Main[[#This Row],[Tech Start Date]]&lt;1/1/1990,"",IF(Main[[#This Row],[Class]]="C",WORKDAY(Main[[#This Row],[Tech Start Date]],19),IF(Main[[#This Row],[Class]]="B", WORKDAY(Main[[#This Row],[Tech Start Date]],12),IF(Main[[#This Row],[Class]]="A",WORKDAY(Main[[#This Row],[Tech Start Date]],4),""))))</f>
        <v/>
      </c>
      <c r="O264" s="104" t="str">
        <f>IF(Main[[#This Row],[Tech Start Date]]&lt;1/1/1990,"",IF(Main[[#This Row],[Class]]="C",WORKDAY(Main[[#This Row],[Tech Start Date]],23),IF(Main[[#This Row],[Class]]="B", WORKDAY(Main[[#This Row],[Tech Start Date]],15),IF(Main[[#This Row],[Class]]="A",WORKDAY(Main[[#This Row],[Tech Start Date]],5),""))))</f>
        <v/>
      </c>
      <c r="P264" s="104" t="str">
        <f>IF(Main[[#This Row],[Tech Start Date]]&lt;1/1/1990,"",IF(Main[[#This Row],[Class]]="C",WORKDAY(Main[[#This Row],[Tech Start Date]],28),IF(Main[[#This Row],[Class]]="B", WORKDAY(Main[[#This Row],[Tech Start Date]],19),IF(Main[[#This Row],[Class]]="A",WORKDAY(Main[[#This Row],[Tech Start Date]],9),""))))</f>
        <v/>
      </c>
      <c r="Q264" s="101">
        <v>40840</v>
      </c>
      <c r="R264" s="101"/>
      <c r="S264" s="99" t="s">
        <v>11</v>
      </c>
      <c r="T264" s="107" t="s">
        <v>4</v>
      </c>
      <c r="U264" s="99" t="s">
        <v>12</v>
      </c>
      <c r="V264" s="99" t="s">
        <v>1962</v>
      </c>
      <c r="W264" s="99" t="s">
        <v>1964</v>
      </c>
    </row>
    <row r="265" spans="1:23" ht="18.600000000000001" customHeight="1">
      <c r="A265" s="123" t="str">
        <f>IF(priority(Main[[#This Row],[Comments]])&lt;&gt;0, priority(Main[[#This Row],[Comments]]),"")</f>
        <v/>
      </c>
      <c r="B265" s="127" t="s">
        <v>1161</v>
      </c>
      <c r="C265" s="99" t="s">
        <v>4</v>
      </c>
      <c r="D265" s="100" t="s">
        <v>181</v>
      </c>
      <c r="E265" s="101">
        <v>40688.403611111113</v>
      </c>
      <c r="F265" s="101"/>
      <c r="G265" s="102" t="str">
        <f>IF(stdProdLT(Main[[#This Row],[Comments]])=0.1,"N/A",IF(stdProdLT(Main[[#This Row],[Comments]])=0,"",stdProdLT(Main[[#This Row],[Comments]])))</f>
        <v/>
      </c>
      <c r="H265" s="103" t="str">
        <f>IF(AND(Main[[#This Row],[In Stock Date]]&lt;&gt;"",Main[[#This Row],[Revised Due Date]]&lt;&gt;""),Main[[#This Row],[In Stock Date]]-Main[[#This Row],[Revised Due Date]],"")</f>
        <v/>
      </c>
      <c r="I265" s="99" t="s">
        <v>4</v>
      </c>
      <c r="J265" s="99" t="s">
        <v>4</v>
      </c>
      <c r="K265" s="108" t="s">
        <v>4</v>
      </c>
      <c r="L265" s="101"/>
      <c r="M265" s="104" t="str">
        <f>IF(Main[[#This Row],[Tech Start Date]]&lt;1/1/1990,"",IF(Main[[#This Row],[Class]]="C",WORKDAY(Main[[#This Row],[Tech Start Date]],9),IF(Main[[#This Row],[Class]]="B", WORKDAY(Main[[#This Row],[Tech Start Date]],6),IF(Main[[#This Row],[Class]]="A",WORKDAY(Main[[#This Row],[Tech Start Date]],2),""))))</f>
        <v/>
      </c>
      <c r="N265" s="104" t="str">
        <f>IF(Main[[#This Row],[Tech Start Date]]&lt;1/1/1990,"",IF(Main[[#This Row],[Class]]="C",WORKDAY(Main[[#This Row],[Tech Start Date]],19),IF(Main[[#This Row],[Class]]="B", WORKDAY(Main[[#This Row],[Tech Start Date]],12),IF(Main[[#This Row],[Class]]="A",WORKDAY(Main[[#This Row],[Tech Start Date]],4),""))))</f>
        <v/>
      </c>
      <c r="O265" s="104" t="str">
        <f>IF(Main[[#This Row],[Tech Start Date]]&lt;1/1/1990,"",IF(Main[[#This Row],[Class]]="C",WORKDAY(Main[[#This Row],[Tech Start Date]],23),IF(Main[[#This Row],[Class]]="B", WORKDAY(Main[[#This Row],[Tech Start Date]],15),IF(Main[[#This Row],[Class]]="A",WORKDAY(Main[[#This Row],[Tech Start Date]],5),""))))</f>
        <v/>
      </c>
      <c r="P265" s="104" t="str">
        <f>IF(Main[[#This Row],[Tech Start Date]]&lt;1/1/1990,"",IF(Main[[#This Row],[Class]]="C",WORKDAY(Main[[#This Row],[Tech Start Date]],28),IF(Main[[#This Row],[Class]]="B", WORKDAY(Main[[#This Row],[Tech Start Date]],19),IF(Main[[#This Row],[Class]]="A",WORKDAY(Main[[#This Row],[Tech Start Date]],9),""))))</f>
        <v/>
      </c>
      <c r="Q265" s="101">
        <v>40725</v>
      </c>
      <c r="R265" s="101"/>
      <c r="S265" s="99" t="s">
        <v>6</v>
      </c>
      <c r="T265" s="107" t="s">
        <v>4</v>
      </c>
      <c r="U265" s="99" t="s">
        <v>7</v>
      </c>
      <c r="V265" s="99" t="s">
        <v>1962</v>
      </c>
      <c r="W265" s="99" t="s">
        <v>4</v>
      </c>
    </row>
    <row r="266" spans="1:23" ht="18.600000000000001" customHeight="1">
      <c r="A266" s="123" t="str">
        <f>IF(priority(Main[[#This Row],[Comments]])&lt;&gt;0, priority(Main[[#This Row],[Comments]]),"")</f>
        <v/>
      </c>
      <c r="B266" s="127" t="s">
        <v>1162</v>
      </c>
      <c r="C266" s="99" t="s">
        <v>4</v>
      </c>
      <c r="D266" s="100" t="s">
        <v>182</v>
      </c>
      <c r="E266" s="101">
        <v>40644.277719907404</v>
      </c>
      <c r="F266" s="101"/>
      <c r="G266" s="102" t="str">
        <f>IF(stdProdLT(Main[[#This Row],[Comments]])=0.1,"N/A",IF(stdProdLT(Main[[#This Row],[Comments]])=0,"",stdProdLT(Main[[#This Row],[Comments]])))</f>
        <v/>
      </c>
      <c r="H266" s="103" t="str">
        <f>IF(AND(Main[[#This Row],[In Stock Date]]&lt;&gt;"",Main[[#This Row],[Revised Due Date]]&lt;&gt;""),Main[[#This Row],[In Stock Date]]-Main[[#This Row],[Revised Due Date]],"")</f>
        <v/>
      </c>
      <c r="I266" s="99" t="s">
        <v>4</v>
      </c>
      <c r="J266" s="99" t="s">
        <v>4</v>
      </c>
      <c r="K266" s="108" t="s">
        <v>4</v>
      </c>
      <c r="L266" s="101"/>
      <c r="M266" s="104" t="str">
        <f>IF(Main[[#This Row],[Tech Start Date]]&lt;1/1/1990,"",IF(Main[[#This Row],[Class]]="C",WORKDAY(Main[[#This Row],[Tech Start Date]],9),IF(Main[[#This Row],[Class]]="B", WORKDAY(Main[[#This Row],[Tech Start Date]],6),IF(Main[[#This Row],[Class]]="A",WORKDAY(Main[[#This Row],[Tech Start Date]],2),""))))</f>
        <v/>
      </c>
      <c r="N266" s="104" t="str">
        <f>IF(Main[[#This Row],[Tech Start Date]]&lt;1/1/1990,"",IF(Main[[#This Row],[Class]]="C",WORKDAY(Main[[#This Row],[Tech Start Date]],19),IF(Main[[#This Row],[Class]]="B", WORKDAY(Main[[#This Row],[Tech Start Date]],12),IF(Main[[#This Row],[Class]]="A",WORKDAY(Main[[#This Row],[Tech Start Date]],4),""))))</f>
        <v/>
      </c>
      <c r="O266" s="104" t="str">
        <f>IF(Main[[#This Row],[Tech Start Date]]&lt;1/1/1990,"",IF(Main[[#This Row],[Class]]="C",WORKDAY(Main[[#This Row],[Tech Start Date]],23),IF(Main[[#This Row],[Class]]="B", WORKDAY(Main[[#This Row],[Tech Start Date]],15),IF(Main[[#This Row],[Class]]="A",WORKDAY(Main[[#This Row],[Tech Start Date]],5),""))))</f>
        <v/>
      </c>
      <c r="P266" s="104" t="str">
        <f>IF(Main[[#This Row],[Tech Start Date]]&lt;1/1/1990,"",IF(Main[[#This Row],[Class]]="C",WORKDAY(Main[[#This Row],[Tech Start Date]],28),IF(Main[[#This Row],[Class]]="B", WORKDAY(Main[[#This Row],[Tech Start Date]],19),IF(Main[[#This Row],[Class]]="A",WORKDAY(Main[[#This Row],[Tech Start Date]],9),""))))</f>
        <v/>
      </c>
      <c r="Q266" s="101">
        <v>40673</v>
      </c>
      <c r="R266" s="101"/>
      <c r="S266" s="99" t="s">
        <v>6</v>
      </c>
      <c r="T266" s="107" t="s">
        <v>4</v>
      </c>
      <c r="U266" s="99" t="s">
        <v>7</v>
      </c>
      <c r="V266" s="99" t="s">
        <v>1962</v>
      </c>
      <c r="W266" s="99" t="s">
        <v>1970</v>
      </c>
    </row>
    <row r="267" spans="1:23" ht="18.600000000000001" customHeight="1">
      <c r="A267" s="123" t="str">
        <f>IF(priority(Main[[#This Row],[Comments]])&lt;&gt;0, priority(Main[[#This Row],[Comments]]),"")</f>
        <v/>
      </c>
      <c r="B267" s="127" t="s">
        <v>1164</v>
      </c>
      <c r="C267" s="99" t="s">
        <v>183</v>
      </c>
      <c r="D267" s="100" t="s">
        <v>184</v>
      </c>
      <c r="E267" s="101"/>
      <c r="F267" s="101">
        <v>40536</v>
      </c>
      <c r="G267" s="102" t="str">
        <f>IF(stdProdLT(Main[[#This Row],[Comments]])=0.1,"N/A",IF(stdProdLT(Main[[#This Row],[Comments]])=0,"",stdProdLT(Main[[#This Row],[Comments]])))</f>
        <v/>
      </c>
      <c r="H267" s="103" t="str">
        <f>IF(AND(Main[[#This Row],[In Stock Date]]&lt;&gt;"",Main[[#This Row],[Revised Due Date]]&lt;&gt;""),Main[[#This Row],[In Stock Date]]-Main[[#This Row],[Revised Due Date]],"")</f>
        <v/>
      </c>
      <c r="I267" s="99" t="s">
        <v>4</v>
      </c>
      <c r="J267" s="99" t="s">
        <v>28</v>
      </c>
      <c r="K267" s="99" t="s">
        <v>1971</v>
      </c>
      <c r="L267" s="101"/>
      <c r="M267" s="104" t="str">
        <f>IF(Main[[#This Row],[Tech Start Date]]&lt;1/1/1990,"",IF(Main[[#This Row],[Class]]="C",WORKDAY(Main[[#This Row],[Tech Start Date]],9),IF(Main[[#This Row],[Class]]="B", WORKDAY(Main[[#This Row],[Tech Start Date]],6),IF(Main[[#This Row],[Class]]="A",WORKDAY(Main[[#This Row],[Tech Start Date]],2),""))))</f>
        <v/>
      </c>
      <c r="N267" s="104" t="str">
        <f>IF(Main[[#This Row],[Tech Start Date]]&lt;1/1/1990,"",IF(Main[[#This Row],[Class]]="C",WORKDAY(Main[[#This Row],[Tech Start Date]],19),IF(Main[[#This Row],[Class]]="B", WORKDAY(Main[[#This Row],[Tech Start Date]],12),IF(Main[[#This Row],[Class]]="A",WORKDAY(Main[[#This Row],[Tech Start Date]],4),""))))</f>
        <v/>
      </c>
      <c r="O267" s="104" t="str">
        <f>IF(Main[[#This Row],[Tech Start Date]]&lt;1/1/1990,"",IF(Main[[#This Row],[Class]]="C",WORKDAY(Main[[#This Row],[Tech Start Date]],23),IF(Main[[#This Row],[Class]]="B", WORKDAY(Main[[#This Row],[Tech Start Date]],15),IF(Main[[#This Row],[Class]]="A",WORKDAY(Main[[#This Row],[Tech Start Date]],5),""))))</f>
        <v/>
      </c>
      <c r="P267" s="104" t="str">
        <f>IF(Main[[#This Row],[Tech Start Date]]&lt;1/1/1990,"",IF(Main[[#This Row],[Class]]="C",WORKDAY(Main[[#This Row],[Tech Start Date]],28),IF(Main[[#This Row],[Class]]="B", WORKDAY(Main[[#This Row],[Tech Start Date]],19),IF(Main[[#This Row],[Class]]="A",WORKDAY(Main[[#This Row],[Tech Start Date]],9),""))))</f>
        <v/>
      </c>
      <c r="Q267" s="101">
        <v>40466</v>
      </c>
      <c r="R267" s="101"/>
      <c r="S267" s="99" t="s">
        <v>11</v>
      </c>
      <c r="T267" s="107" t="s">
        <v>4</v>
      </c>
      <c r="U267" s="99" t="s">
        <v>14</v>
      </c>
      <c r="V267" s="99" t="s">
        <v>1965</v>
      </c>
      <c r="W267" s="99" t="s">
        <v>1968</v>
      </c>
    </row>
    <row r="268" spans="1:23" ht="18.600000000000001" customHeight="1">
      <c r="A268" s="123" t="str">
        <f>IF(priority(Main[[#This Row],[Comments]])&lt;&gt;0, priority(Main[[#This Row],[Comments]]),"")</f>
        <v/>
      </c>
      <c r="B268" s="127" t="s">
        <v>1165</v>
      </c>
      <c r="C268" s="99" t="s">
        <v>185</v>
      </c>
      <c r="D268" s="100" t="s">
        <v>186</v>
      </c>
      <c r="E268" s="101"/>
      <c r="F268" s="101">
        <v>40571</v>
      </c>
      <c r="G268" s="102" t="str">
        <f>IF(stdProdLT(Main[[#This Row],[Comments]])=0.1,"N/A",IF(stdProdLT(Main[[#This Row],[Comments]])=0,"",stdProdLT(Main[[#This Row],[Comments]])))</f>
        <v/>
      </c>
      <c r="H268" s="103" t="str">
        <f>IF(AND(Main[[#This Row],[In Stock Date]]&lt;&gt;"",Main[[#This Row],[Revised Due Date]]&lt;&gt;""),Main[[#This Row],[In Stock Date]]-Main[[#This Row],[Revised Due Date]],"")</f>
        <v/>
      </c>
      <c r="I268" s="99" t="s">
        <v>4</v>
      </c>
      <c r="J268" s="99" t="s">
        <v>28</v>
      </c>
      <c r="K268" s="99" t="s">
        <v>4</v>
      </c>
      <c r="L268" s="101"/>
      <c r="M268" s="104" t="str">
        <f>IF(Main[[#This Row],[Tech Start Date]]&lt;1/1/1990,"",IF(Main[[#This Row],[Class]]="C",WORKDAY(Main[[#This Row],[Tech Start Date]],9),IF(Main[[#This Row],[Class]]="B", WORKDAY(Main[[#This Row],[Tech Start Date]],6),IF(Main[[#This Row],[Class]]="A",WORKDAY(Main[[#This Row],[Tech Start Date]],2),""))))</f>
        <v/>
      </c>
      <c r="N268" s="104" t="str">
        <f>IF(Main[[#This Row],[Tech Start Date]]&lt;1/1/1990,"",IF(Main[[#This Row],[Class]]="C",WORKDAY(Main[[#This Row],[Tech Start Date]],19),IF(Main[[#This Row],[Class]]="B", WORKDAY(Main[[#This Row],[Tech Start Date]],12),IF(Main[[#This Row],[Class]]="A",WORKDAY(Main[[#This Row],[Tech Start Date]],4),""))))</f>
        <v/>
      </c>
      <c r="O268" s="104" t="str">
        <f>IF(Main[[#This Row],[Tech Start Date]]&lt;1/1/1990,"",IF(Main[[#This Row],[Class]]="C",WORKDAY(Main[[#This Row],[Tech Start Date]],23),IF(Main[[#This Row],[Class]]="B", WORKDAY(Main[[#This Row],[Tech Start Date]],15),IF(Main[[#This Row],[Class]]="A",WORKDAY(Main[[#This Row],[Tech Start Date]],5),""))))</f>
        <v/>
      </c>
      <c r="P268" s="104" t="str">
        <f>IF(Main[[#This Row],[Tech Start Date]]&lt;1/1/1990,"",IF(Main[[#This Row],[Class]]="C",WORKDAY(Main[[#This Row],[Tech Start Date]],28),IF(Main[[#This Row],[Class]]="B", WORKDAY(Main[[#This Row],[Tech Start Date]],19),IF(Main[[#This Row],[Class]]="A",WORKDAY(Main[[#This Row],[Tech Start Date]],9),""))))</f>
        <v/>
      </c>
      <c r="Q268" s="101"/>
      <c r="R268" s="101"/>
      <c r="S268" s="99" t="s">
        <v>11</v>
      </c>
      <c r="T268" s="107" t="s">
        <v>4</v>
      </c>
      <c r="U268" s="99" t="s">
        <v>14</v>
      </c>
      <c r="V268" s="99" t="s">
        <v>1962</v>
      </c>
      <c r="W268" s="99" t="s">
        <v>1968</v>
      </c>
    </row>
    <row r="269" spans="1:23" ht="18.600000000000001" customHeight="1">
      <c r="A269" s="123" t="str">
        <f>IF(priority(Main[[#This Row],[Comments]])&lt;&gt;0, priority(Main[[#This Row],[Comments]]),"")</f>
        <v/>
      </c>
      <c r="B269" s="127" t="s">
        <v>1166</v>
      </c>
      <c r="C269" s="99" t="s">
        <v>187</v>
      </c>
      <c r="D269" s="100" t="s">
        <v>188</v>
      </c>
      <c r="E269" s="101"/>
      <c r="F269" s="101"/>
      <c r="G269" s="102" t="str">
        <f>IF(stdProdLT(Main[[#This Row],[Comments]])=0.1,"N/A",IF(stdProdLT(Main[[#This Row],[Comments]])=0,"",stdProdLT(Main[[#This Row],[Comments]])))</f>
        <v/>
      </c>
      <c r="H269" s="103" t="str">
        <f>IF(AND(Main[[#This Row],[In Stock Date]]&lt;&gt;"",Main[[#This Row],[Revised Due Date]]&lt;&gt;""),Main[[#This Row],[In Stock Date]]-Main[[#This Row],[Revised Due Date]],"")</f>
        <v/>
      </c>
      <c r="I269" s="99" t="s">
        <v>4</v>
      </c>
      <c r="J269" s="99" t="s">
        <v>4</v>
      </c>
      <c r="K269" s="99" t="s">
        <v>4</v>
      </c>
      <c r="L269" s="101"/>
      <c r="M269" s="104" t="str">
        <f>IF(Main[[#This Row],[Tech Start Date]]&lt;1/1/1990,"",IF(Main[[#This Row],[Class]]="C",WORKDAY(Main[[#This Row],[Tech Start Date]],9),IF(Main[[#This Row],[Class]]="B", WORKDAY(Main[[#This Row],[Tech Start Date]],6),IF(Main[[#This Row],[Class]]="A",WORKDAY(Main[[#This Row],[Tech Start Date]],2),""))))</f>
        <v/>
      </c>
      <c r="N269" s="104" t="str">
        <f>IF(Main[[#This Row],[Tech Start Date]]&lt;1/1/1990,"",IF(Main[[#This Row],[Class]]="C",WORKDAY(Main[[#This Row],[Tech Start Date]],19),IF(Main[[#This Row],[Class]]="B", WORKDAY(Main[[#This Row],[Tech Start Date]],12),IF(Main[[#This Row],[Class]]="A",WORKDAY(Main[[#This Row],[Tech Start Date]],4),""))))</f>
        <v/>
      </c>
      <c r="O269" s="104" t="str">
        <f>IF(Main[[#This Row],[Tech Start Date]]&lt;1/1/1990,"",IF(Main[[#This Row],[Class]]="C",WORKDAY(Main[[#This Row],[Tech Start Date]],23),IF(Main[[#This Row],[Class]]="B", WORKDAY(Main[[#This Row],[Tech Start Date]],15),IF(Main[[#This Row],[Class]]="A",WORKDAY(Main[[#This Row],[Tech Start Date]],5),""))))</f>
        <v/>
      </c>
      <c r="P269" s="104" t="str">
        <f>IF(Main[[#This Row],[Tech Start Date]]&lt;1/1/1990,"",IF(Main[[#This Row],[Class]]="C",WORKDAY(Main[[#This Row],[Tech Start Date]],28),IF(Main[[#This Row],[Class]]="B", WORKDAY(Main[[#This Row],[Tech Start Date]],19),IF(Main[[#This Row],[Class]]="A",WORKDAY(Main[[#This Row],[Tech Start Date]],9),""))))</f>
        <v/>
      </c>
      <c r="Q269" s="101">
        <v>40116</v>
      </c>
      <c r="R269" s="101"/>
      <c r="S269" s="99" t="s">
        <v>11</v>
      </c>
      <c r="T269" s="107" t="s">
        <v>4</v>
      </c>
      <c r="U269" s="99" t="s">
        <v>14</v>
      </c>
      <c r="V269" s="99" t="s">
        <v>1965</v>
      </c>
      <c r="W269" s="99" t="s">
        <v>1964</v>
      </c>
    </row>
    <row r="270" spans="1:23" ht="18.600000000000001" customHeight="1">
      <c r="A270" s="123" t="str">
        <f>IF(priority(Main[[#This Row],[Comments]])&lt;&gt;0, priority(Main[[#This Row],[Comments]]),"")</f>
        <v/>
      </c>
      <c r="B270" s="127" t="s">
        <v>1168</v>
      </c>
      <c r="C270" s="99" t="s">
        <v>190</v>
      </c>
      <c r="D270" s="100" t="s">
        <v>191</v>
      </c>
      <c r="E270" s="101"/>
      <c r="F270" s="101">
        <v>40263</v>
      </c>
      <c r="G270" s="102" t="str">
        <f>IF(stdProdLT(Main[[#This Row],[Comments]])=0.1,"N/A",IF(stdProdLT(Main[[#This Row],[Comments]])=0,"",stdProdLT(Main[[#This Row],[Comments]])))</f>
        <v/>
      </c>
      <c r="H270" s="103" t="str">
        <f>IF(AND(Main[[#This Row],[In Stock Date]]&lt;&gt;"",Main[[#This Row],[Revised Due Date]]&lt;&gt;""),Main[[#This Row],[In Stock Date]]-Main[[#This Row],[Revised Due Date]],"")</f>
        <v/>
      </c>
      <c r="I270" s="99" t="s">
        <v>4</v>
      </c>
      <c r="J270" s="99" t="s">
        <v>4</v>
      </c>
      <c r="K270" s="99" t="s">
        <v>4</v>
      </c>
      <c r="L270" s="101"/>
      <c r="M270" s="104" t="str">
        <f>IF(Main[[#This Row],[Tech Start Date]]&lt;1/1/1990,"",IF(Main[[#This Row],[Class]]="C",WORKDAY(Main[[#This Row],[Tech Start Date]],9),IF(Main[[#This Row],[Class]]="B", WORKDAY(Main[[#This Row],[Tech Start Date]],6),IF(Main[[#This Row],[Class]]="A",WORKDAY(Main[[#This Row],[Tech Start Date]],2),""))))</f>
        <v/>
      </c>
      <c r="N270" s="104" t="str">
        <f>IF(Main[[#This Row],[Tech Start Date]]&lt;1/1/1990,"",IF(Main[[#This Row],[Class]]="C",WORKDAY(Main[[#This Row],[Tech Start Date]],19),IF(Main[[#This Row],[Class]]="B", WORKDAY(Main[[#This Row],[Tech Start Date]],12),IF(Main[[#This Row],[Class]]="A",WORKDAY(Main[[#This Row],[Tech Start Date]],4),""))))</f>
        <v/>
      </c>
      <c r="O270" s="104" t="str">
        <f>IF(Main[[#This Row],[Tech Start Date]]&lt;1/1/1990,"",IF(Main[[#This Row],[Class]]="C",WORKDAY(Main[[#This Row],[Tech Start Date]],23),IF(Main[[#This Row],[Class]]="B", WORKDAY(Main[[#This Row],[Tech Start Date]],15),IF(Main[[#This Row],[Class]]="A",WORKDAY(Main[[#This Row],[Tech Start Date]],5),""))))</f>
        <v/>
      </c>
      <c r="P270" s="104" t="str">
        <f>IF(Main[[#This Row],[Tech Start Date]]&lt;1/1/1990,"",IF(Main[[#This Row],[Class]]="C",WORKDAY(Main[[#This Row],[Tech Start Date]],28),IF(Main[[#This Row],[Class]]="B", WORKDAY(Main[[#This Row],[Tech Start Date]],19),IF(Main[[#This Row],[Class]]="A",WORKDAY(Main[[#This Row],[Tech Start Date]],9),""))))</f>
        <v/>
      </c>
      <c r="Q270" s="101">
        <v>40295</v>
      </c>
      <c r="R270" s="101"/>
      <c r="S270" s="99" t="s">
        <v>11</v>
      </c>
      <c r="T270" s="107" t="s">
        <v>4</v>
      </c>
      <c r="U270" s="99" t="s">
        <v>14</v>
      </c>
      <c r="V270" s="99" t="s">
        <v>1965</v>
      </c>
      <c r="W270" s="99" t="s">
        <v>1968</v>
      </c>
    </row>
    <row r="271" spans="1:23" ht="18.600000000000001" customHeight="1">
      <c r="A271" s="123" t="str">
        <f>IF(priority(Main[[#This Row],[Comments]])&lt;&gt;0, priority(Main[[#This Row],[Comments]]),"")</f>
        <v/>
      </c>
      <c r="B271" s="127" t="s">
        <v>1169</v>
      </c>
      <c r="C271" s="99" t="s">
        <v>4</v>
      </c>
      <c r="D271" s="100" t="s">
        <v>192</v>
      </c>
      <c r="E271" s="101"/>
      <c r="F271" s="101"/>
      <c r="G271" s="102" t="str">
        <f>IF(stdProdLT(Main[[#This Row],[Comments]])=0.1,"N/A",IF(stdProdLT(Main[[#This Row],[Comments]])=0,"",stdProdLT(Main[[#This Row],[Comments]])))</f>
        <v/>
      </c>
      <c r="H271" s="103" t="str">
        <f>IF(AND(Main[[#This Row],[In Stock Date]]&lt;&gt;"",Main[[#This Row],[Revised Due Date]]&lt;&gt;""),Main[[#This Row],[In Stock Date]]-Main[[#This Row],[Revised Due Date]],"")</f>
        <v/>
      </c>
      <c r="I271" s="99" t="s">
        <v>4</v>
      </c>
      <c r="J271" s="99" t="s">
        <v>4</v>
      </c>
      <c r="K271" s="99" t="s">
        <v>4</v>
      </c>
      <c r="L271" s="101"/>
      <c r="M271" s="104" t="str">
        <f>IF(Main[[#This Row],[Tech Start Date]]&lt;1/1/1990,"",IF(Main[[#This Row],[Class]]="C",WORKDAY(Main[[#This Row],[Tech Start Date]],9),IF(Main[[#This Row],[Class]]="B", WORKDAY(Main[[#This Row],[Tech Start Date]],6),IF(Main[[#This Row],[Class]]="A",WORKDAY(Main[[#This Row],[Tech Start Date]],2),""))))</f>
        <v/>
      </c>
      <c r="N271" s="104" t="str">
        <f>IF(Main[[#This Row],[Tech Start Date]]&lt;1/1/1990,"",IF(Main[[#This Row],[Class]]="C",WORKDAY(Main[[#This Row],[Tech Start Date]],19),IF(Main[[#This Row],[Class]]="B", WORKDAY(Main[[#This Row],[Tech Start Date]],12),IF(Main[[#This Row],[Class]]="A",WORKDAY(Main[[#This Row],[Tech Start Date]],4),""))))</f>
        <v/>
      </c>
      <c r="O271" s="104" t="str">
        <f>IF(Main[[#This Row],[Tech Start Date]]&lt;1/1/1990,"",IF(Main[[#This Row],[Class]]="C",WORKDAY(Main[[#This Row],[Tech Start Date]],23),IF(Main[[#This Row],[Class]]="B", WORKDAY(Main[[#This Row],[Tech Start Date]],15),IF(Main[[#This Row],[Class]]="A",WORKDAY(Main[[#This Row],[Tech Start Date]],5),""))))</f>
        <v/>
      </c>
      <c r="P271" s="104" t="str">
        <f>IF(Main[[#This Row],[Tech Start Date]]&lt;1/1/1990,"",IF(Main[[#This Row],[Class]]="C",WORKDAY(Main[[#This Row],[Tech Start Date]],28),IF(Main[[#This Row],[Class]]="B", WORKDAY(Main[[#This Row],[Tech Start Date]],19),IF(Main[[#This Row],[Class]]="A",WORKDAY(Main[[#This Row],[Tech Start Date]],9),""))))</f>
        <v/>
      </c>
      <c r="Q271" s="101"/>
      <c r="R271" s="101"/>
      <c r="S271" s="99" t="s">
        <v>4</v>
      </c>
      <c r="T271" s="107" t="s">
        <v>4</v>
      </c>
      <c r="U271" s="99" t="s">
        <v>14</v>
      </c>
      <c r="V271" s="99" t="s">
        <v>1965</v>
      </c>
      <c r="W271" s="99" t="s">
        <v>4</v>
      </c>
    </row>
    <row r="272" spans="1:23" ht="18.600000000000001" customHeight="1">
      <c r="A272" s="123" t="str">
        <f>IF(priority(Main[[#This Row],[Comments]])&lt;&gt;0, priority(Main[[#This Row],[Comments]]),"")</f>
        <v/>
      </c>
      <c r="B272" s="127" t="s">
        <v>1170</v>
      </c>
      <c r="C272" s="99" t="s">
        <v>93</v>
      </c>
      <c r="D272" s="100" t="s">
        <v>193</v>
      </c>
      <c r="E272" s="101"/>
      <c r="F272" s="101">
        <v>40132</v>
      </c>
      <c r="G272" s="102" t="str">
        <f>IF(stdProdLT(Main[[#This Row],[Comments]])=0.1,"N/A",IF(stdProdLT(Main[[#This Row],[Comments]])=0,"",stdProdLT(Main[[#This Row],[Comments]])))</f>
        <v/>
      </c>
      <c r="H272" s="103" t="str">
        <f>IF(AND(Main[[#This Row],[In Stock Date]]&lt;&gt;"",Main[[#This Row],[Revised Due Date]]&lt;&gt;""),Main[[#This Row],[In Stock Date]]-Main[[#This Row],[Revised Due Date]],"")</f>
        <v/>
      </c>
      <c r="I272" s="99" t="s">
        <v>4</v>
      </c>
      <c r="J272" s="99" t="s">
        <v>4</v>
      </c>
      <c r="K272" s="99" t="s">
        <v>4</v>
      </c>
      <c r="L272" s="101"/>
      <c r="M272" s="104" t="str">
        <f>IF(Main[[#This Row],[Tech Start Date]]&lt;1/1/1990,"",IF(Main[[#This Row],[Class]]="C",WORKDAY(Main[[#This Row],[Tech Start Date]],9),IF(Main[[#This Row],[Class]]="B", WORKDAY(Main[[#This Row],[Tech Start Date]],6),IF(Main[[#This Row],[Class]]="A",WORKDAY(Main[[#This Row],[Tech Start Date]],2),""))))</f>
        <v/>
      </c>
      <c r="N272" s="104" t="str">
        <f>IF(Main[[#This Row],[Tech Start Date]]&lt;1/1/1990,"",IF(Main[[#This Row],[Class]]="C",WORKDAY(Main[[#This Row],[Tech Start Date]],19),IF(Main[[#This Row],[Class]]="B", WORKDAY(Main[[#This Row],[Tech Start Date]],12),IF(Main[[#This Row],[Class]]="A",WORKDAY(Main[[#This Row],[Tech Start Date]],4),""))))</f>
        <v/>
      </c>
      <c r="O272" s="104" t="str">
        <f>IF(Main[[#This Row],[Tech Start Date]]&lt;1/1/1990,"",IF(Main[[#This Row],[Class]]="C",WORKDAY(Main[[#This Row],[Tech Start Date]],23),IF(Main[[#This Row],[Class]]="B", WORKDAY(Main[[#This Row],[Tech Start Date]],15),IF(Main[[#This Row],[Class]]="A",WORKDAY(Main[[#This Row],[Tech Start Date]],5),""))))</f>
        <v/>
      </c>
      <c r="P272" s="104" t="str">
        <f>IF(Main[[#This Row],[Tech Start Date]]&lt;1/1/1990,"",IF(Main[[#This Row],[Class]]="C",WORKDAY(Main[[#This Row],[Tech Start Date]],28),IF(Main[[#This Row],[Class]]="B", WORKDAY(Main[[#This Row],[Tech Start Date]],19),IF(Main[[#This Row],[Class]]="A",WORKDAY(Main[[#This Row],[Tech Start Date]],9),""))))</f>
        <v/>
      </c>
      <c r="Q272" s="101">
        <v>40132</v>
      </c>
      <c r="R272" s="101"/>
      <c r="S272" s="99" t="s">
        <v>11</v>
      </c>
      <c r="T272" s="107" t="s">
        <v>4</v>
      </c>
      <c r="U272" s="99" t="s">
        <v>14</v>
      </c>
      <c r="V272" s="99" t="s">
        <v>1965</v>
      </c>
      <c r="W272" s="99" t="s">
        <v>1973</v>
      </c>
    </row>
    <row r="273" spans="1:23" ht="18.600000000000001" customHeight="1">
      <c r="A273" s="123" t="str">
        <f>IF(priority(Main[[#This Row],[Comments]])&lt;&gt;0, priority(Main[[#This Row],[Comments]]),"")</f>
        <v/>
      </c>
      <c r="B273" s="127" t="s">
        <v>1171</v>
      </c>
      <c r="C273" s="99" t="s">
        <v>93</v>
      </c>
      <c r="D273" s="100" t="s">
        <v>194</v>
      </c>
      <c r="E273" s="101"/>
      <c r="F273" s="101">
        <v>40132</v>
      </c>
      <c r="G273" s="102" t="str">
        <f>IF(stdProdLT(Main[[#This Row],[Comments]])=0.1,"N/A",IF(stdProdLT(Main[[#This Row],[Comments]])=0,"",stdProdLT(Main[[#This Row],[Comments]])))</f>
        <v/>
      </c>
      <c r="H273" s="103" t="str">
        <f>IF(AND(Main[[#This Row],[In Stock Date]]&lt;&gt;"",Main[[#This Row],[Revised Due Date]]&lt;&gt;""),Main[[#This Row],[In Stock Date]]-Main[[#This Row],[Revised Due Date]],"")</f>
        <v/>
      </c>
      <c r="I273" s="99" t="s">
        <v>4</v>
      </c>
      <c r="J273" s="99" t="s">
        <v>4</v>
      </c>
      <c r="K273" s="99" t="s">
        <v>4</v>
      </c>
      <c r="L273" s="101"/>
      <c r="M273" s="104" t="str">
        <f>IF(Main[[#This Row],[Tech Start Date]]&lt;1/1/1990,"",IF(Main[[#This Row],[Class]]="C",WORKDAY(Main[[#This Row],[Tech Start Date]],9),IF(Main[[#This Row],[Class]]="B", WORKDAY(Main[[#This Row],[Tech Start Date]],6),IF(Main[[#This Row],[Class]]="A",WORKDAY(Main[[#This Row],[Tech Start Date]],2),""))))</f>
        <v/>
      </c>
      <c r="N273" s="104" t="str">
        <f>IF(Main[[#This Row],[Tech Start Date]]&lt;1/1/1990,"",IF(Main[[#This Row],[Class]]="C",WORKDAY(Main[[#This Row],[Tech Start Date]],19),IF(Main[[#This Row],[Class]]="B", WORKDAY(Main[[#This Row],[Tech Start Date]],12),IF(Main[[#This Row],[Class]]="A",WORKDAY(Main[[#This Row],[Tech Start Date]],4),""))))</f>
        <v/>
      </c>
      <c r="O273" s="104" t="str">
        <f>IF(Main[[#This Row],[Tech Start Date]]&lt;1/1/1990,"",IF(Main[[#This Row],[Class]]="C",WORKDAY(Main[[#This Row],[Tech Start Date]],23),IF(Main[[#This Row],[Class]]="B", WORKDAY(Main[[#This Row],[Tech Start Date]],15),IF(Main[[#This Row],[Class]]="A",WORKDAY(Main[[#This Row],[Tech Start Date]],5),""))))</f>
        <v/>
      </c>
      <c r="P273" s="104" t="str">
        <f>IF(Main[[#This Row],[Tech Start Date]]&lt;1/1/1990,"",IF(Main[[#This Row],[Class]]="C",WORKDAY(Main[[#This Row],[Tech Start Date]],28),IF(Main[[#This Row],[Class]]="B", WORKDAY(Main[[#This Row],[Tech Start Date]],19),IF(Main[[#This Row],[Class]]="A",WORKDAY(Main[[#This Row],[Tech Start Date]],9),""))))</f>
        <v/>
      </c>
      <c r="Q273" s="101">
        <v>40132</v>
      </c>
      <c r="R273" s="101"/>
      <c r="S273" s="99" t="s">
        <v>11</v>
      </c>
      <c r="T273" s="107" t="s">
        <v>4</v>
      </c>
      <c r="U273" s="99" t="s">
        <v>14</v>
      </c>
      <c r="V273" s="99" t="s">
        <v>1965</v>
      </c>
      <c r="W273" s="99" t="s">
        <v>1973</v>
      </c>
    </row>
    <row r="274" spans="1:23" ht="18.600000000000001" customHeight="1">
      <c r="A274" s="123" t="str">
        <f>IF(priority(Main[[#This Row],[Comments]])&lt;&gt;0, priority(Main[[#This Row],[Comments]]),"")</f>
        <v/>
      </c>
      <c r="B274" s="127" t="s">
        <v>1172</v>
      </c>
      <c r="C274" s="99" t="s">
        <v>4</v>
      </c>
      <c r="D274" s="100" t="s">
        <v>195</v>
      </c>
      <c r="E274" s="101">
        <v>40371.395115740743</v>
      </c>
      <c r="F274" s="101"/>
      <c r="G274" s="102" t="str">
        <f>IF(stdProdLT(Main[[#This Row],[Comments]])=0.1,"N/A",IF(stdProdLT(Main[[#This Row],[Comments]])=0,"",stdProdLT(Main[[#This Row],[Comments]])))</f>
        <v/>
      </c>
      <c r="H274" s="103" t="str">
        <f>IF(AND(Main[[#This Row],[In Stock Date]]&lt;&gt;"",Main[[#This Row],[Revised Due Date]]&lt;&gt;""),Main[[#This Row],[In Stock Date]]-Main[[#This Row],[Revised Due Date]],"")</f>
        <v/>
      </c>
      <c r="I274" s="99" t="s">
        <v>4</v>
      </c>
      <c r="J274" s="99" t="s">
        <v>4</v>
      </c>
      <c r="K274" s="99" t="s">
        <v>4</v>
      </c>
      <c r="L274" s="101"/>
      <c r="M274" s="104" t="str">
        <f>IF(Main[[#This Row],[Tech Start Date]]&lt;1/1/1990,"",IF(Main[[#This Row],[Class]]="C",WORKDAY(Main[[#This Row],[Tech Start Date]],9),IF(Main[[#This Row],[Class]]="B", WORKDAY(Main[[#This Row],[Tech Start Date]],6),IF(Main[[#This Row],[Class]]="A",WORKDAY(Main[[#This Row],[Tech Start Date]],2),""))))</f>
        <v/>
      </c>
      <c r="N274" s="104" t="str">
        <f>IF(Main[[#This Row],[Tech Start Date]]&lt;1/1/1990,"",IF(Main[[#This Row],[Class]]="C",WORKDAY(Main[[#This Row],[Tech Start Date]],19),IF(Main[[#This Row],[Class]]="B", WORKDAY(Main[[#This Row],[Tech Start Date]],12),IF(Main[[#This Row],[Class]]="A",WORKDAY(Main[[#This Row],[Tech Start Date]],4),""))))</f>
        <v/>
      </c>
      <c r="O274" s="104" t="str">
        <f>IF(Main[[#This Row],[Tech Start Date]]&lt;1/1/1990,"",IF(Main[[#This Row],[Class]]="C",WORKDAY(Main[[#This Row],[Tech Start Date]],23),IF(Main[[#This Row],[Class]]="B", WORKDAY(Main[[#This Row],[Tech Start Date]],15),IF(Main[[#This Row],[Class]]="A",WORKDAY(Main[[#This Row],[Tech Start Date]],5),""))))</f>
        <v/>
      </c>
      <c r="P274" s="104" t="str">
        <f>IF(Main[[#This Row],[Tech Start Date]]&lt;1/1/1990,"",IF(Main[[#This Row],[Class]]="C",WORKDAY(Main[[#This Row],[Tech Start Date]],28),IF(Main[[#This Row],[Class]]="B", WORKDAY(Main[[#This Row],[Tech Start Date]],19),IF(Main[[#This Row],[Class]]="A",WORKDAY(Main[[#This Row],[Tech Start Date]],9),""))))</f>
        <v/>
      </c>
      <c r="Q274" s="101">
        <v>40385</v>
      </c>
      <c r="R274" s="101"/>
      <c r="S274" s="99" t="s">
        <v>6</v>
      </c>
      <c r="T274" s="107" t="s">
        <v>4</v>
      </c>
      <c r="U274" s="99" t="s">
        <v>7</v>
      </c>
      <c r="V274" s="99" t="s">
        <v>1962</v>
      </c>
      <c r="W274" s="99" t="s">
        <v>1964</v>
      </c>
    </row>
    <row r="275" spans="1:23" ht="18.600000000000001" customHeight="1">
      <c r="A275" s="123" t="str">
        <f>IF(priority(Main[[#This Row],[Comments]])&lt;&gt;0, priority(Main[[#This Row],[Comments]]),"")</f>
        <v/>
      </c>
      <c r="B275" s="127" t="s">
        <v>1173</v>
      </c>
      <c r="C275" s="99" t="s">
        <v>53</v>
      </c>
      <c r="D275" s="100" t="s">
        <v>196</v>
      </c>
      <c r="E275" s="101"/>
      <c r="F275" s="101"/>
      <c r="G275" s="102" t="str">
        <f>IF(stdProdLT(Main[[#This Row],[Comments]])=0.1,"N/A",IF(stdProdLT(Main[[#This Row],[Comments]])=0,"",stdProdLT(Main[[#This Row],[Comments]])))</f>
        <v/>
      </c>
      <c r="H275" s="103" t="str">
        <f>IF(AND(Main[[#This Row],[In Stock Date]]&lt;&gt;"",Main[[#This Row],[Revised Due Date]]&lt;&gt;""),Main[[#This Row],[In Stock Date]]-Main[[#This Row],[Revised Due Date]],"")</f>
        <v/>
      </c>
      <c r="I275" s="99" t="s">
        <v>4</v>
      </c>
      <c r="J275" s="99" t="s">
        <v>28</v>
      </c>
      <c r="K275" s="99" t="s">
        <v>1969</v>
      </c>
      <c r="L275" s="101"/>
      <c r="M275" s="104" t="str">
        <f>IF(Main[[#This Row],[Tech Start Date]]&lt;1/1/1990,"",IF(Main[[#This Row],[Class]]="C",WORKDAY(Main[[#This Row],[Tech Start Date]],9),IF(Main[[#This Row],[Class]]="B", WORKDAY(Main[[#This Row],[Tech Start Date]],6),IF(Main[[#This Row],[Class]]="A",WORKDAY(Main[[#This Row],[Tech Start Date]],2),""))))</f>
        <v/>
      </c>
      <c r="N275" s="104" t="str">
        <f>IF(Main[[#This Row],[Tech Start Date]]&lt;1/1/1990,"",IF(Main[[#This Row],[Class]]="C",WORKDAY(Main[[#This Row],[Tech Start Date]],19),IF(Main[[#This Row],[Class]]="B", WORKDAY(Main[[#This Row],[Tech Start Date]],12),IF(Main[[#This Row],[Class]]="A",WORKDAY(Main[[#This Row],[Tech Start Date]],4),""))))</f>
        <v/>
      </c>
      <c r="O275" s="104" t="str">
        <f>IF(Main[[#This Row],[Tech Start Date]]&lt;1/1/1990,"",IF(Main[[#This Row],[Class]]="C",WORKDAY(Main[[#This Row],[Tech Start Date]],23),IF(Main[[#This Row],[Class]]="B", WORKDAY(Main[[#This Row],[Tech Start Date]],15),IF(Main[[#This Row],[Class]]="A",WORKDAY(Main[[#This Row],[Tech Start Date]],5),""))))</f>
        <v/>
      </c>
      <c r="P275" s="104" t="str">
        <f>IF(Main[[#This Row],[Tech Start Date]]&lt;1/1/1990,"",IF(Main[[#This Row],[Class]]="C",WORKDAY(Main[[#This Row],[Tech Start Date]],28),IF(Main[[#This Row],[Class]]="B", WORKDAY(Main[[#This Row],[Tech Start Date]],19),IF(Main[[#This Row],[Class]]="A",WORKDAY(Main[[#This Row],[Tech Start Date]],9),""))))</f>
        <v/>
      </c>
      <c r="Q275" s="101">
        <v>40581</v>
      </c>
      <c r="R275" s="101"/>
      <c r="S275" s="99" t="s">
        <v>11</v>
      </c>
      <c r="T275" s="107" t="s">
        <v>4</v>
      </c>
      <c r="U275" s="99" t="s">
        <v>14</v>
      </c>
      <c r="V275" s="99" t="s">
        <v>1963</v>
      </c>
      <c r="W275" s="99" t="s">
        <v>1964</v>
      </c>
    </row>
    <row r="276" spans="1:23" ht="18.600000000000001" customHeight="1">
      <c r="A276" s="123" t="str">
        <f>IF(priority(Main[[#This Row],[Comments]])&lt;&gt;0, priority(Main[[#This Row],[Comments]]),"")</f>
        <v/>
      </c>
      <c r="B276" s="127" t="s">
        <v>1885</v>
      </c>
      <c r="C276" s="99" t="s">
        <v>4</v>
      </c>
      <c r="D276" s="100" t="s">
        <v>916</v>
      </c>
      <c r="E276" s="101"/>
      <c r="F276" s="101"/>
      <c r="G276" s="102" t="str">
        <f>IF(stdProdLT(Main[[#This Row],[Comments]])=0.1,"N/A",IF(stdProdLT(Main[[#This Row],[Comments]])=0,"",stdProdLT(Main[[#This Row],[Comments]])))</f>
        <v/>
      </c>
      <c r="H276" s="103" t="str">
        <f>IF(AND(Main[[#This Row],[In Stock Date]]&lt;&gt;"",Main[[#This Row],[Revised Due Date]]&lt;&gt;""),Main[[#This Row],[In Stock Date]]-Main[[#This Row],[Revised Due Date]],"")</f>
        <v/>
      </c>
      <c r="I276" s="99" t="s">
        <v>102</v>
      </c>
      <c r="J276" s="99" t="s">
        <v>52</v>
      </c>
      <c r="K276" s="99" t="s">
        <v>1971</v>
      </c>
      <c r="L276" s="101"/>
      <c r="M276" s="104" t="str">
        <f>IF(Main[[#This Row],[Tech Start Date]]&lt;1/1/1990,"",IF(Main[[#This Row],[Class]]="C",WORKDAY(Main[[#This Row],[Tech Start Date]],9),IF(Main[[#This Row],[Class]]="B", WORKDAY(Main[[#This Row],[Tech Start Date]],6),IF(Main[[#This Row],[Class]]="A",WORKDAY(Main[[#This Row],[Tech Start Date]],2),""))))</f>
        <v/>
      </c>
      <c r="N276" s="104" t="str">
        <f>IF(Main[[#This Row],[Tech Start Date]]&lt;1/1/1990,"",IF(Main[[#This Row],[Class]]="C",WORKDAY(Main[[#This Row],[Tech Start Date]],19),IF(Main[[#This Row],[Class]]="B", WORKDAY(Main[[#This Row],[Tech Start Date]],12),IF(Main[[#This Row],[Class]]="A",WORKDAY(Main[[#This Row],[Tech Start Date]],4),""))))</f>
        <v/>
      </c>
      <c r="O276" s="104" t="str">
        <f>IF(Main[[#This Row],[Tech Start Date]]&lt;1/1/1990,"",IF(Main[[#This Row],[Class]]="C",WORKDAY(Main[[#This Row],[Tech Start Date]],23),IF(Main[[#This Row],[Class]]="B", WORKDAY(Main[[#This Row],[Tech Start Date]],15),IF(Main[[#This Row],[Class]]="A",WORKDAY(Main[[#This Row],[Tech Start Date]],5),""))))</f>
        <v/>
      </c>
      <c r="P276" s="104" t="str">
        <f>IF(Main[[#This Row],[Tech Start Date]]&lt;1/1/1990,"",IF(Main[[#This Row],[Class]]="C",WORKDAY(Main[[#This Row],[Tech Start Date]],28),IF(Main[[#This Row],[Class]]="B", WORKDAY(Main[[#This Row],[Tech Start Date]],19),IF(Main[[#This Row],[Class]]="A",WORKDAY(Main[[#This Row],[Tech Start Date]],9),""))))</f>
        <v/>
      </c>
      <c r="Q276" s="101"/>
      <c r="R276" s="101">
        <v>40494</v>
      </c>
      <c r="S276" s="99" t="s">
        <v>6</v>
      </c>
      <c r="T276" s="107" t="s">
        <v>4</v>
      </c>
      <c r="U276" s="99" t="s">
        <v>14</v>
      </c>
      <c r="V276" s="99" t="s">
        <v>1962</v>
      </c>
      <c r="W276" s="99" t="s">
        <v>1976</v>
      </c>
    </row>
    <row r="277" spans="1:23" ht="18.600000000000001" customHeight="1">
      <c r="A277" s="123" t="str">
        <f>IF(priority(Main[[#This Row],[Comments]])&lt;&gt;0, priority(Main[[#This Row],[Comments]]),"")</f>
        <v/>
      </c>
      <c r="B277" s="127" t="s">
        <v>1192</v>
      </c>
      <c r="C277" s="99" t="s">
        <v>4</v>
      </c>
      <c r="D277" s="100" t="s">
        <v>2441</v>
      </c>
      <c r="E277" s="101">
        <v>40436.507916666669</v>
      </c>
      <c r="F277" s="101"/>
      <c r="G277" s="102" t="str">
        <f>IF(stdProdLT(Main[[#This Row],[Comments]])=0.1,"N/A",IF(stdProdLT(Main[[#This Row],[Comments]])=0,"",stdProdLT(Main[[#This Row],[Comments]])))</f>
        <v/>
      </c>
      <c r="H277" s="103" t="str">
        <f>IF(AND(Main[[#This Row],[In Stock Date]]&lt;&gt;"",Main[[#This Row],[Revised Due Date]]&lt;&gt;""),Main[[#This Row],[In Stock Date]]-Main[[#This Row],[Revised Due Date]],"")</f>
        <v/>
      </c>
      <c r="I277" s="99" t="s">
        <v>929</v>
      </c>
      <c r="J277" s="99" t="s">
        <v>52</v>
      </c>
      <c r="K277" s="99" t="s">
        <v>4</v>
      </c>
      <c r="L277" s="101"/>
      <c r="M277" s="104" t="str">
        <f>IF(Main[[#This Row],[Tech Start Date]]&lt;1/1/1990,"",IF(Main[[#This Row],[Class]]="C",WORKDAY(Main[[#This Row],[Tech Start Date]],9),IF(Main[[#This Row],[Class]]="B", WORKDAY(Main[[#This Row],[Tech Start Date]],6),IF(Main[[#This Row],[Class]]="A",WORKDAY(Main[[#This Row],[Tech Start Date]],2),""))))</f>
        <v/>
      </c>
      <c r="N277" s="104" t="str">
        <f>IF(Main[[#This Row],[Tech Start Date]]&lt;1/1/1990,"",IF(Main[[#This Row],[Class]]="C",WORKDAY(Main[[#This Row],[Tech Start Date]],19),IF(Main[[#This Row],[Class]]="B", WORKDAY(Main[[#This Row],[Tech Start Date]],12),IF(Main[[#This Row],[Class]]="A",WORKDAY(Main[[#This Row],[Tech Start Date]],4),""))))</f>
        <v/>
      </c>
      <c r="O277" s="104" t="str">
        <f>IF(Main[[#This Row],[Tech Start Date]]&lt;1/1/1990,"",IF(Main[[#This Row],[Class]]="C",WORKDAY(Main[[#This Row],[Tech Start Date]],23),IF(Main[[#This Row],[Class]]="B", WORKDAY(Main[[#This Row],[Tech Start Date]],15),IF(Main[[#This Row],[Class]]="A",WORKDAY(Main[[#This Row],[Tech Start Date]],5),""))))</f>
        <v/>
      </c>
      <c r="P277" s="104" t="str">
        <f>IF(Main[[#This Row],[Tech Start Date]]&lt;1/1/1990,"",IF(Main[[#This Row],[Class]]="C",WORKDAY(Main[[#This Row],[Tech Start Date]],28),IF(Main[[#This Row],[Class]]="B", WORKDAY(Main[[#This Row],[Tech Start Date]],19),IF(Main[[#This Row],[Class]]="A",WORKDAY(Main[[#This Row],[Tech Start Date]],9),""))))</f>
        <v/>
      </c>
      <c r="Q277" s="101">
        <v>40451</v>
      </c>
      <c r="R277" s="101"/>
      <c r="S277" s="99" t="s">
        <v>6</v>
      </c>
      <c r="T277" s="107" t="s">
        <v>4</v>
      </c>
      <c r="U277" s="99" t="s">
        <v>29</v>
      </c>
      <c r="V277" s="99" t="s">
        <v>1962</v>
      </c>
      <c r="W277" s="99" t="s">
        <v>1964</v>
      </c>
    </row>
    <row r="278" spans="1:23" ht="18.600000000000001" customHeight="1">
      <c r="A278" s="123" t="str">
        <f>IF(priority(Main[[#This Row],[Comments]])&lt;&gt;0, priority(Main[[#This Row],[Comments]]),"")</f>
        <v/>
      </c>
      <c r="B278" s="127" t="s">
        <v>2442</v>
      </c>
      <c r="C278" s="99" t="s">
        <v>4</v>
      </c>
      <c r="D278" s="100" t="s">
        <v>2443</v>
      </c>
      <c r="E278" s="101">
        <v>40833.619305555556</v>
      </c>
      <c r="F278" s="101"/>
      <c r="G278" s="102" t="str">
        <f>IF(stdProdLT(Main[[#This Row],[Comments]])=0.1,"N/A",IF(stdProdLT(Main[[#This Row],[Comments]])=0,"",stdProdLT(Main[[#This Row],[Comments]])))</f>
        <v/>
      </c>
      <c r="H278" s="103" t="str">
        <f>IF(AND(Main[[#This Row],[In Stock Date]]&lt;&gt;"",Main[[#This Row],[Revised Due Date]]&lt;&gt;""),Main[[#This Row],[In Stock Date]]-Main[[#This Row],[Revised Due Date]],"")</f>
        <v/>
      </c>
      <c r="I278" s="99" t="s">
        <v>536</v>
      </c>
      <c r="J278" s="99" t="s">
        <v>28</v>
      </c>
      <c r="K278" s="99" t="s">
        <v>1971</v>
      </c>
      <c r="L278" s="101"/>
      <c r="M278" s="104" t="str">
        <f>IF(Main[[#This Row],[Tech Start Date]]&lt;1/1/1990,"",IF(Main[[#This Row],[Class]]="C",WORKDAY(Main[[#This Row],[Tech Start Date]],9),IF(Main[[#This Row],[Class]]="B", WORKDAY(Main[[#This Row],[Tech Start Date]],6),IF(Main[[#This Row],[Class]]="A",WORKDAY(Main[[#This Row],[Tech Start Date]],2),""))))</f>
        <v/>
      </c>
      <c r="N278" s="104" t="str">
        <f>IF(Main[[#This Row],[Tech Start Date]]&lt;1/1/1990,"",IF(Main[[#This Row],[Class]]="C",WORKDAY(Main[[#This Row],[Tech Start Date]],19),IF(Main[[#This Row],[Class]]="B", WORKDAY(Main[[#This Row],[Tech Start Date]],12),IF(Main[[#This Row],[Class]]="A",WORKDAY(Main[[#This Row],[Tech Start Date]],4),""))))</f>
        <v/>
      </c>
      <c r="O278" s="104" t="str">
        <f>IF(Main[[#This Row],[Tech Start Date]]&lt;1/1/1990,"",IF(Main[[#This Row],[Class]]="C",WORKDAY(Main[[#This Row],[Tech Start Date]],23),IF(Main[[#This Row],[Class]]="B", WORKDAY(Main[[#This Row],[Tech Start Date]],15),IF(Main[[#This Row],[Class]]="A",WORKDAY(Main[[#This Row],[Tech Start Date]],5),""))))</f>
        <v/>
      </c>
      <c r="P278" s="104" t="str">
        <f>IF(Main[[#This Row],[Tech Start Date]]&lt;1/1/1990,"",IF(Main[[#This Row],[Class]]="C",WORKDAY(Main[[#This Row],[Tech Start Date]],28),IF(Main[[#This Row],[Class]]="B", WORKDAY(Main[[#This Row],[Tech Start Date]],19),IF(Main[[#This Row],[Class]]="A",WORKDAY(Main[[#This Row],[Tech Start Date]],9),""))))</f>
        <v/>
      </c>
      <c r="Q278" s="101">
        <v>40923</v>
      </c>
      <c r="R278" s="101"/>
      <c r="S278" s="99" t="s">
        <v>6</v>
      </c>
      <c r="T278" s="107" t="s">
        <v>4</v>
      </c>
      <c r="U278" s="99" t="s">
        <v>29</v>
      </c>
      <c r="V278" s="99" t="s">
        <v>1965</v>
      </c>
      <c r="W278" s="99" t="s">
        <v>1966</v>
      </c>
    </row>
    <row r="279" spans="1:23" ht="18.600000000000001" customHeight="1">
      <c r="A279" s="123" t="str">
        <f>IF(priority(Main[[#This Row],[Comments]])&lt;&gt;0, priority(Main[[#This Row],[Comments]]),"")</f>
        <v/>
      </c>
      <c r="B279" s="127" t="s">
        <v>1340</v>
      </c>
      <c r="C279" s="99" t="s">
        <v>47</v>
      </c>
      <c r="D279" s="100" t="s">
        <v>2064</v>
      </c>
      <c r="E279" s="101">
        <v>39952.315729166665</v>
      </c>
      <c r="F279" s="101"/>
      <c r="G279" s="102" t="str">
        <f>IF(stdProdLT(Main[[#This Row],[Comments]])=0.1,"N/A",IF(stdProdLT(Main[[#This Row],[Comments]])=0,"",stdProdLT(Main[[#This Row],[Comments]])))</f>
        <v/>
      </c>
      <c r="H279" s="103" t="str">
        <f>IF(AND(Main[[#This Row],[In Stock Date]]&lt;&gt;"",Main[[#This Row],[Revised Due Date]]&lt;&gt;""),Main[[#This Row],[In Stock Date]]-Main[[#This Row],[Revised Due Date]],"")</f>
        <v/>
      </c>
      <c r="I279" s="99" t="s">
        <v>2065</v>
      </c>
      <c r="J279" s="99" t="s">
        <v>28</v>
      </c>
      <c r="K279" s="99" t="s">
        <v>4</v>
      </c>
      <c r="L279" s="101"/>
      <c r="M279" s="104" t="str">
        <f>IF(Main[[#This Row],[Tech Start Date]]&lt;1/1/1990,"",IF(Main[[#This Row],[Class]]="C",WORKDAY(Main[[#This Row],[Tech Start Date]],9),IF(Main[[#This Row],[Class]]="B", WORKDAY(Main[[#This Row],[Tech Start Date]],6),IF(Main[[#This Row],[Class]]="A",WORKDAY(Main[[#This Row],[Tech Start Date]],2),""))))</f>
        <v/>
      </c>
      <c r="N279" s="104" t="str">
        <f>IF(Main[[#This Row],[Tech Start Date]]&lt;1/1/1990,"",IF(Main[[#This Row],[Class]]="C",WORKDAY(Main[[#This Row],[Tech Start Date]],19),IF(Main[[#This Row],[Class]]="B", WORKDAY(Main[[#This Row],[Tech Start Date]],12),IF(Main[[#This Row],[Class]]="A",WORKDAY(Main[[#This Row],[Tech Start Date]],4),""))))</f>
        <v/>
      </c>
      <c r="O279" s="104" t="str">
        <f>IF(Main[[#This Row],[Tech Start Date]]&lt;1/1/1990,"",IF(Main[[#This Row],[Class]]="C",WORKDAY(Main[[#This Row],[Tech Start Date]],23),IF(Main[[#This Row],[Class]]="B", WORKDAY(Main[[#This Row],[Tech Start Date]],15),IF(Main[[#This Row],[Class]]="A",WORKDAY(Main[[#This Row],[Tech Start Date]],5),""))))</f>
        <v/>
      </c>
      <c r="P279" s="104" t="str">
        <f>IF(Main[[#This Row],[Tech Start Date]]&lt;1/1/1990,"",IF(Main[[#This Row],[Class]]="C",WORKDAY(Main[[#This Row],[Tech Start Date]],28),IF(Main[[#This Row],[Class]]="B", WORKDAY(Main[[#This Row],[Tech Start Date]],19),IF(Main[[#This Row],[Class]]="A",WORKDAY(Main[[#This Row],[Tech Start Date]],9),""))))</f>
        <v/>
      </c>
      <c r="Q279" s="101"/>
      <c r="R279" s="101"/>
      <c r="S279" s="99" t="s">
        <v>17</v>
      </c>
      <c r="T279" s="107" t="s">
        <v>4</v>
      </c>
      <c r="U279" s="99" t="s">
        <v>7</v>
      </c>
      <c r="V279" s="99" t="s">
        <v>1977</v>
      </c>
      <c r="W279" s="99" t="s">
        <v>1967</v>
      </c>
    </row>
    <row r="280" spans="1:23" ht="18.600000000000001" customHeight="1">
      <c r="A280" s="123" t="str">
        <f>IF(priority(Main[[#This Row],[Comments]])&lt;&gt;0, priority(Main[[#This Row],[Comments]]),"")</f>
        <v/>
      </c>
      <c r="B280" s="127" t="s">
        <v>1187</v>
      </c>
      <c r="C280" s="99" t="s">
        <v>4</v>
      </c>
      <c r="D280" s="100" t="s">
        <v>212</v>
      </c>
      <c r="E280" s="101"/>
      <c r="F280" s="101"/>
      <c r="G280" s="102" t="str">
        <f>IF(stdProdLT(Main[[#This Row],[Comments]])=0.1,"N/A",IF(stdProdLT(Main[[#This Row],[Comments]])=0,"",stdProdLT(Main[[#This Row],[Comments]])))</f>
        <v/>
      </c>
      <c r="H280" s="103" t="str">
        <f>IF(AND(Main[[#This Row],[In Stock Date]]&lt;&gt;"",Main[[#This Row],[Revised Due Date]]&lt;&gt;""),Main[[#This Row],[In Stock Date]]-Main[[#This Row],[Revised Due Date]],"")</f>
        <v/>
      </c>
      <c r="I280" s="99" t="s">
        <v>4</v>
      </c>
      <c r="J280" s="99" t="s">
        <v>4</v>
      </c>
      <c r="K280" s="99" t="s">
        <v>4</v>
      </c>
      <c r="L280" s="101"/>
      <c r="M280" s="104" t="str">
        <f>IF(Main[[#This Row],[Tech Start Date]]&lt;1/1/1990,"",IF(Main[[#This Row],[Class]]="C",WORKDAY(Main[[#This Row],[Tech Start Date]],9),IF(Main[[#This Row],[Class]]="B", WORKDAY(Main[[#This Row],[Tech Start Date]],6),IF(Main[[#This Row],[Class]]="A",WORKDAY(Main[[#This Row],[Tech Start Date]],2),""))))</f>
        <v/>
      </c>
      <c r="N280" s="104" t="str">
        <f>IF(Main[[#This Row],[Tech Start Date]]&lt;1/1/1990,"",IF(Main[[#This Row],[Class]]="C",WORKDAY(Main[[#This Row],[Tech Start Date]],19),IF(Main[[#This Row],[Class]]="B", WORKDAY(Main[[#This Row],[Tech Start Date]],12),IF(Main[[#This Row],[Class]]="A",WORKDAY(Main[[#This Row],[Tech Start Date]],4),""))))</f>
        <v/>
      </c>
      <c r="O280" s="104" t="str">
        <f>IF(Main[[#This Row],[Tech Start Date]]&lt;1/1/1990,"",IF(Main[[#This Row],[Class]]="C",WORKDAY(Main[[#This Row],[Tech Start Date]],23),IF(Main[[#This Row],[Class]]="B", WORKDAY(Main[[#This Row],[Tech Start Date]],15),IF(Main[[#This Row],[Class]]="A",WORKDAY(Main[[#This Row],[Tech Start Date]],5),""))))</f>
        <v/>
      </c>
      <c r="P280" s="104" t="str">
        <f>IF(Main[[#This Row],[Tech Start Date]]&lt;1/1/1990,"",IF(Main[[#This Row],[Class]]="C",WORKDAY(Main[[#This Row],[Tech Start Date]],28),IF(Main[[#This Row],[Class]]="B", WORKDAY(Main[[#This Row],[Tech Start Date]],19),IF(Main[[#This Row],[Class]]="A",WORKDAY(Main[[#This Row],[Tech Start Date]],9),""))))</f>
        <v/>
      </c>
      <c r="Q280" s="101"/>
      <c r="R280" s="101"/>
      <c r="S280" s="99" t="s">
        <v>23</v>
      </c>
      <c r="T280" s="107" t="s">
        <v>4</v>
      </c>
      <c r="U280" s="99" t="s">
        <v>14</v>
      </c>
      <c r="V280" s="99" t="s">
        <v>1965</v>
      </c>
      <c r="W280" s="99" t="s">
        <v>1966</v>
      </c>
    </row>
    <row r="281" spans="1:23" ht="18.600000000000001" customHeight="1">
      <c r="A281" s="123" t="str">
        <f>IF(priority(Main[[#This Row],[Comments]])&lt;&gt;0, priority(Main[[#This Row],[Comments]]),"")</f>
        <v/>
      </c>
      <c r="B281" s="127" t="s">
        <v>1188</v>
      </c>
      <c r="C281" s="99" t="s">
        <v>4</v>
      </c>
      <c r="D281" s="100" t="s">
        <v>213</v>
      </c>
      <c r="E281" s="101"/>
      <c r="F281" s="101"/>
      <c r="G281" s="102" t="str">
        <f>IF(stdProdLT(Main[[#This Row],[Comments]])=0.1,"N/A",IF(stdProdLT(Main[[#This Row],[Comments]])=0,"",stdProdLT(Main[[#This Row],[Comments]])))</f>
        <v/>
      </c>
      <c r="H281" s="103" t="str">
        <f>IF(AND(Main[[#This Row],[In Stock Date]]&lt;&gt;"",Main[[#This Row],[Revised Due Date]]&lt;&gt;""),Main[[#This Row],[In Stock Date]]-Main[[#This Row],[Revised Due Date]],"")</f>
        <v/>
      </c>
      <c r="I281" s="99" t="s">
        <v>4</v>
      </c>
      <c r="J281" s="99" t="s">
        <v>4</v>
      </c>
      <c r="K281" s="99" t="s">
        <v>4</v>
      </c>
      <c r="L281" s="101"/>
      <c r="M281" s="104" t="str">
        <f>IF(Main[[#This Row],[Tech Start Date]]&lt;1/1/1990,"",IF(Main[[#This Row],[Class]]="C",WORKDAY(Main[[#This Row],[Tech Start Date]],9),IF(Main[[#This Row],[Class]]="B", WORKDAY(Main[[#This Row],[Tech Start Date]],6),IF(Main[[#This Row],[Class]]="A",WORKDAY(Main[[#This Row],[Tech Start Date]],2),""))))</f>
        <v/>
      </c>
      <c r="N281" s="104" t="str">
        <f>IF(Main[[#This Row],[Tech Start Date]]&lt;1/1/1990,"",IF(Main[[#This Row],[Class]]="C",WORKDAY(Main[[#This Row],[Tech Start Date]],19),IF(Main[[#This Row],[Class]]="B", WORKDAY(Main[[#This Row],[Tech Start Date]],12),IF(Main[[#This Row],[Class]]="A",WORKDAY(Main[[#This Row],[Tech Start Date]],4),""))))</f>
        <v/>
      </c>
      <c r="O281" s="104" t="str">
        <f>IF(Main[[#This Row],[Tech Start Date]]&lt;1/1/1990,"",IF(Main[[#This Row],[Class]]="C",WORKDAY(Main[[#This Row],[Tech Start Date]],23),IF(Main[[#This Row],[Class]]="B", WORKDAY(Main[[#This Row],[Tech Start Date]],15),IF(Main[[#This Row],[Class]]="A",WORKDAY(Main[[#This Row],[Tech Start Date]],5),""))))</f>
        <v/>
      </c>
      <c r="P281" s="104" t="str">
        <f>IF(Main[[#This Row],[Tech Start Date]]&lt;1/1/1990,"",IF(Main[[#This Row],[Class]]="C",WORKDAY(Main[[#This Row],[Tech Start Date]],28),IF(Main[[#This Row],[Class]]="B", WORKDAY(Main[[#This Row],[Tech Start Date]],19),IF(Main[[#This Row],[Class]]="A",WORKDAY(Main[[#This Row],[Tech Start Date]],9),""))))</f>
        <v/>
      </c>
      <c r="Q281" s="101"/>
      <c r="R281" s="101"/>
      <c r="S281" s="99" t="s">
        <v>23</v>
      </c>
      <c r="T281" s="107" t="s">
        <v>4</v>
      </c>
      <c r="U281" s="99" t="s">
        <v>14</v>
      </c>
      <c r="V281" s="99" t="s">
        <v>1965</v>
      </c>
      <c r="W281" s="99" t="s">
        <v>1966</v>
      </c>
    </row>
    <row r="282" spans="1:23" ht="18.600000000000001" customHeight="1">
      <c r="A282" s="123" t="str">
        <f>IF(priority(Main[[#This Row],[Comments]])&lt;&gt;0, priority(Main[[#This Row],[Comments]]),"")</f>
        <v/>
      </c>
      <c r="B282" s="127" t="s">
        <v>1253</v>
      </c>
      <c r="C282" s="99" t="s">
        <v>282</v>
      </c>
      <c r="D282" s="100" t="s">
        <v>283</v>
      </c>
      <c r="E282" s="101"/>
      <c r="F282" s="101">
        <v>40680</v>
      </c>
      <c r="G282" s="102" t="str">
        <f>IF(stdProdLT(Main[[#This Row],[Comments]])=0.1,"N/A",IF(stdProdLT(Main[[#This Row],[Comments]])=0,"",stdProdLT(Main[[#This Row],[Comments]])))</f>
        <v/>
      </c>
      <c r="H282" s="103" t="str">
        <f>IF(AND(Main[[#This Row],[In Stock Date]]&lt;&gt;"",Main[[#This Row],[Revised Due Date]]&lt;&gt;""),Main[[#This Row],[In Stock Date]]-Main[[#This Row],[Revised Due Date]],"")</f>
        <v/>
      </c>
      <c r="I282" s="99" t="s">
        <v>4</v>
      </c>
      <c r="J282" s="99" t="s">
        <v>28</v>
      </c>
      <c r="K282" s="99" t="s">
        <v>4</v>
      </c>
      <c r="L282" s="101"/>
      <c r="M282" s="104" t="str">
        <f>IF(Main[[#This Row],[Tech Start Date]]&lt;1/1/1990,"",IF(Main[[#This Row],[Class]]="C",WORKDAY(Main[[#This Row],[Tech Start Date]],9),IF(Main[[#This Row],[Class]]="B", WORKDAY(Main[[#This Row],[Tech Start Date]],6),IF(Main[[#This Row],[Class]]="A",WORKDAY(Main[[#This Row],[Tech Start Date]],2),""))))</f>
        <v/>
      </c>
      <c r="N282" s="104" t="str">
        <f>IF(Main[[#This Row],[Tech Start Date]]&lt;1/1/1990,"",IF(Main[[#This Row],[Class]]="C",WORKDAY(Main[[#This Row],[Tech Start Date]],19),IF(Main[[#This Row],[Class]]="B", WORKDAY(Main[[#This Row],[Tech Start Date]],12),IF(Main[[#This Row],[Class]]="A",WORKDAY(Main[[#This Row],[Tech Start Date]],4),""))))</f>
        <v/>
      </c>
      <c r="O282" s="104" t="str">
        <f>IF(Main[[#This Row],[Tech Start Date]]&lt;1/1/1990,"",IF(Main[[#This Row],[Class]]="C",WORKDAY(Main[[#This Row],[Tech Start Date]],23),IF(Main[[#This Row],[Class]]="B", WORKDAY(Main[[#This Row],[Tech Start Date]],15),IF(Main[[#This Row],[Class]]="A",WORKDAY(Main[[#This Row],[Tech Start Date]],5),""))))</f>
        <v/>
      </c>
      <c r="P282" s="104" t="str">
        <f>IF(Main[[#This Row],[Tech Start Date]]&lt;1/1/1990,"",IF(Main[[#This Row],[Class]]="C",WORKDAY(Main[[#This Row],[Tech Start Date]],28),IF(Main[[#This Row],[Class]]="B", WORKDAY(Main[[#This Row],[Tech Start Date]],19),IF(Main[[#This Row],[Class]]="A",WORKDAY(Main[[#This Row],[Tech Start Date]],9),""))))</f>
        <v/>
      </c>
      <c r="Q282" s="101">
        <v>40540</v>
      </c>
      <c r="R282" s="101"/>
      <c r="S282" s="99" t="s">
        <v>11</v>
      </c>
      <c r="T282" s="107" t="s">
        <v>4</v>
      </c>
      <c r="U282" s="99" t="s">
        <v>14</v>
      </c>
      <c r="V282" s="99" t="s">
        <v>1963</v>
      </c>
      <c r="W282" s="99" t="s">
        <v>1967</v>
      </c>
    </row>
    <row r="283" spans="1:23" ht="18.600000000000001" customHeight="1">
      <c r="A283" s="123" t="str">
        <f>IF(priority(Main[[#This Row],[Comments]])&lt;&gt;0, priority(Main[[#This Row],[Comments]]),"")</f>
        <v/>
      </c>
      <c r="B283" s="127" t="s">
        <v>2248</v>
      </c>
      <c r="C283" s="99" t="s">
        <v>4</v>
      </c>
      <c r="D283" s="100" t="s">
        <v>2249</v>
      </c>
      <c r="E283" s="101"/>
      <c r="F283" s="101"/>
      <c r="G283" s="102" t="str">
        <f>IF(stdProdLT(Main[[#This Row],[Comments]])=0.1,"N/A",IF(stdProdLT(Main[[#This Row],[Comments]])=0,"",stdProdLT(Main[[#This Row],[Comments]])))</f>
        <v/>
      </c>
      <c r="H283" s="103" t="str">
        <f>IF(AND(Main[[#This Row],[In Stock Date]]&lt;&gt;"",Main[[#This Row],[Revised Due Date]]&lt;&gt;""),Main[[#This Row],[In Stock Date]]-Main[[#This Row],[Revised Due Date]],"")</f>
        <v/>
      </c>
      <c r="I283" s="99" t="s">
        <v>4</v>
      </c>
      <c r="J283" s="99" t="s">
        <v>4</v>
      </c>
      <c r="K283" s="108" t="s">
        <v>4</v>
      </c>
      <c r="L283" s="101"/>
      <c r="M283" s="104" t="str">
        <f>IF(Main[[#This Row],[Tech Start Date]]&lt;1/1/1990,"",IF(Main[[#This Row],[Class]]="C",WORKDAY(Main[[#This Row],[Tech Start Date]],9),IF(Main[[#This Row],[Class]]="B", WORKDAY(Main[[#This Row],[Tech Start Date]],6),IF(Main[[#This Row],[Class]]="A",WORKDAY(Main[[#This Row],[Tech Start Date]],2),""))))</f>
        <v/>
      </c>
      <c r="N283" s="104" t="str">
        <f>IF(Main[[#This Row],[Tech Start Date]]&lt;1/1/1990,"",IF(Main[[#This Row],[Class]]="C",WORKDAY(Main[[#This Row],[Tech Start Date]],19),IF(Main[[#This Row],[Class]]="B", WORKDAY(Main[[#This Row],[Tech Start Date]],12),IF(Main[[#This Row],[Class]]="A",WORKDAY(Main[[#This Row],[Tech Start Date]],4),""))))</f>
        <v/>
      </c>
      <c r="O283" s="104" t="str">
        <f>IF(Main[[#This Row],[Tech Start Date]]&lt;1/1/1990,"",IF(Main[[#This Row],[Class]]="C",WORKDAY(Main[[#This Row],[Tech Start Date]],23),IF(Main[[#This Row],[Class]]="B", WORKDAY(Main[[#This Row],[Tech Start Date]],15),IF(Main[[#This Row],[Class]]="A",WORKDAY(Main[[#This Row],[Tech Start Date]],5),""))))</f>
        <v/>
      </c>
      <c r="P283" s="104" t="str">
        <f>IF(Main[[#This Row],[Tech Start Date]]&lt;1/1/1990,"",IF(Main[[#This Row],[Class]]="C",WORKDAY(Main[[#This Row],[Tech Start Date]],28),IF(Main[[#This Row],[Class]]="B", WORKDAY(Main[[#This Row],[Tech Start Date]],19),IF(Main[[#This Row],[Class]]="A",WORKDAY(Main[[#This Row],[Tech Start Date]],9),""))))</f>
        <v/>
      </c>
      <c r="Q283" s="101"/>
      <c r="R283" s="101"/>
      <c r="S283" s="99" t="s">
        <v>6</v>
      </c>
      <c r="T283" s="107" t="s">
        <v>4</v>
      </c>
      <c r="U283" s="99" t="s">
        <v>14</v>
      </c>
      <c r="V283" s="99" t="s">
        <v>1962</v>
      </c>
      <c r="W283" s="99" t="s">
        <v>1964</v>
      </c>
    </row>
    <row r="284" spans="1:23" ht="18.600000000000001" customHeight="1">
      <c r="A284" s="123" t="str">
        <f>IF(priority(Main[[#This Row],[Comments]])&lt;&gt;0, priority(Main[[#This Row],[Comments]]),"")</f>
        <v/>
      </c>
      <c r="B284" s="127" t="s">
        <v>1174</v>
      </c>
      <c r="C284" s="99" t="s">
        <v>93</v>
      </c>
      <c r="D284" s="100" t="s">
        <v>197</v>
      </c>
      <c r="E284" s="101"/>
      <c r="F284" s="101">
        <v>40203</v>
      </c>
      <c r="G284" s="102" t="str">
        <f>IF(stdProdLT(Main[[#This Row],[Comments]])=0.1,"N/A",IF(stdProdLT(Main[[#This Row],[Comments]])=0,"",stdProdLT(Main[[#This Row],[Comments]])))</f>
        <v/>
      </c>
      <c r="H284" s="103" t="str">
        <f>IF(AND(Main[[#This Row],[In Stock Date]]&lt;&gt;"",Main[[#This Row],[Revised Due Date]]&lt;&gt;""),Main[[#This Row],[In Stock Date]]-Main[[#This Row],[Revised Due Date]],"")</f>
        <v/>
      </c>
      <c r="I284" s="99" t="s">
        <v>4</v>
      </c>
      <c r="J284" s="99" t="s">
        <v>4</v>
      </c>
      <c r="K284" s="99" t="s">
        <v>4</v>
      </c>
      <c r="L284" s="101"/>
      <c r="M284" s="104" t="str">
        <f>IF(Main[[#This Row],[Tech Start Date]]&lt;1/1/1990,"",IF(Main[[#This Row],[Class]]="C",WORKDAY(Main[[#This Row],[Tech Start Date]],9),IF(Main[[#This Row],[Class]]="B", WORKDAY(Main[[#This Row],[Tech Start Date]],6),IF(Main[[#This Row],[Class]]="A",WORKDAY(Main[[#This Row],[Tech Start Date]],2),""))))</f>
        <v/>
      </c>
      <c r="N284" s="104" t="str">
        <f>IF(Main[[#This Row],[Tech Start Date]]&lt;1/1/1990,"",IF(Main[[#This Row],[Class]]="C",WORKDAY(Main[[#This Row],[Tech Start Date]],19),IF(Main[[#This Row],[Class]]="B", WORKDAY(Main[[#This Row],[Tech Start Date]],12),IF(Main[[#This Row],[Class]]="A",WORKDAY(Main[[#This Row],[Tech Start Date]],4),""))))</f>
        <v/>
      </c>
      <c r="O284" s="104" t="str">
        <f>IF(Main[[#This Row],[Tech Start Date]]&lt;1/1/1990,"",IF(Main[[#This Row],[Class]]="C",WORKDAY(Main[[#This Row],[Tech Start Date]],23),IF(Main[[#This Row],[Class]]="B", WORKDAY(Main[[#This Row],[Tech Start Date]],15),IF(Main[[#This Row],[Class]]="A",WORKDAY(Main[[#This Row],[Tech Start Date]],5),""))))</f>
        <v/>
      </c>
      <c r="P284" s="104" t="str">
        <f>IF(Main[[#This Row],[Tech Start Date]]&lt;1/1/1990,"",IF(Main[[#This Row],[Class]]="C",WORKDAY(Main[[#This Row],[Tech Start Date]],28),IF(Main[[#This Row],[Class]]="B", WORKDAY(Main[[#This Row],[Tech Start Date]],19),IF(Main[[#This Row],[Class]]="A",WORKDAY(Main[[#This Row],[Tech Start Date]],9),""))))</f>
        <v/>
      </c>
      <c r="Q284" s="101">
        <v>40046</v>
      </c>
      <c r="R284" s="101"/>
      <c r="S284" s="99" t="s">
        <v>11</v>
      </c>
      <c r="T284" s="107" t="s">
        <v>4</v>
      </c>
      <c r="U284" s="99" t="s">
        <v>14</v>
      </c>
      <c r="V284" s="99" t="s">
        <v>1962</v>
      </c>
      <c r="W284" s="99" t="s">
        <v>1968</v>
      </c>
    </row>
    <row r="285" spans="1:23" ht="18.600000000000001" customHeight="1">
      <c r="A285" s="123" t="str">
        <f>IF(priority(Main[[#This Row],[Comments]])&lt;&gt;0, priority(Main[[#This Row],[Comments]]),"")</f>
        <v/>
      </c>
      <c r="B285" s="127" t="s">
        <v>1175</v>
      </c>
      <c r="C285" s="99" t="s">
        <v>4</v>
      </c>
      <c r="D285" s="100" t="s">
        <v>198</v>
      </c>
      <c r="E285" s="101"/>
      <c r="F285" s="101"/>
      <c r="G285" s="102" t="str">
        <f>IF(stdProdLT(Main[[#This Row],[Comments]])=0.1,"N/A",IF(stdProdLT(Main[[#This Row],[Comments]])=0,"",stdProdLT(Main[[#This Row],[Comments]])))</f>
        <v/>
      </c>
      <c r="H285" s="103" t="str">
        <f>IF(AND(Main[[#This Row],[In Stock Date]]&lt;&gt;"",Main[[#This Row],[Revised Due Date]]&lt;&gt;""),Main[[#This Row],[In Stock Date]]-Main[[#This Row],[Revised Due Date]],"")</f>
        <v/>
      </c>
      <c r="I285" s="99" t="s">
        <v>4</v>
      </c>
      <c r="J285" s="99" t="s">
        <v>4</v>
      </c>
      <c r="K285" s="99" t="s">
        <v>4</v>
      </c>
      <c r="L285" s="101"/>
      <c r="M285" s="104" t="str">
        <f>IF(Main[[#This Row],[Tech Start Date]]&lt;1/1/1990,"",IF(Main[[#This Row],[Class]]="C",WORKDAY(Main[[#This Row],[Tech Start Date]],9),IF(Main[[#This Row],[Class]]="B", WORKDAY(Main[[#This Row],[Tech Start Date]],6),IF(Main[[#This Row],[Class]]="A",WORKDAY(Main[[#This Row],[Tech Start Date]],2),""))))</f>
        <v/>
      </c>
      <c r="N285" s="104" t="str">
        <f>IF(Main[[#This Row],[Tech Start Date]]&lt;1/1/1990,"",IF(Main[[#This Row],[Class]]="C",WORKDAY(Main[[#This Row],[Tech Start Date]],19),IF(Main[[#This Row],[Class]]="B", WORKDAY(Main[[#This Row],[Tech Start Date]],12),IF(Main[[#This Row],[Class]]="A",WORKDAY(Main[[#This Row],[Tech Start Date]],4),""))))</f>
        <v/>
      </c>
      <c r="O285" s="104" t="str">
        <f>IF(Main[[#This Row],[Tech Start Date]]&lt;1/1/1990,"",IF(Main[[#This Row],[Class]]="C",WORKDAY(Main[[#This Row],[Tech Start Date]],23),IF(Main[[#This Row],[Class]]="B", WORKDAY(Main[[#This Row],[Tech Start Date]],15),IF(Main[[#This Row],[Class]]="A",WORKDAY(Main[[#This Row],[Tech Start Date]],5),""))))</f>
        <v/>
      </c>
      <c r="P285" s="104" t="str">
        <f>IF(Main[[#This Row],[Tech Start Date]]&lt;1/1/1990,"",IF(Main[[#This Row],[Class]]="C",WORKDAY(Main[[#This Row],[Tech Start Date]],28),IF(Main[[#This Row],[Class]]="B", WORKDAY(Main[[#This Row],[Tech Start Date]],19),IF(Main[[#This Row],[Class]]="A",WORKDAY(Main[[#This Row],[Tech Start Date]],9),""))))</f>
        <v/>
      </c>
      <c r="Q285" s="101">
        <v>40543</v>
      </c>
      <c r="R285" s="101"/>
      <c r="S285" s="99" t="s">
        <v>11</v>
      </c>
      <c r="T285" s="107" t="s">
        <v>4</v>
      </c>
      <c r="U285" s="99" t="s">
        <v>14</v>
      </c>
      <c r="V285" s="99" t="s">
        <v>1962</v>
      </c>
      <c r="W285" s="99" t="s">
        <v>1973</v>
      </c>
    </row>
    <row r="286" spans="1:23" ht="18.600000000000001" customHeight="1">
      <c r="A286" s="123" t="str">
        <f>IF(priority(Main[[#This Row],[Comments]])&lt;&gt;0, priority(Main[[#This Row],[Comments]]),"")</f>
        <v/>
      </c>
      <c r="B286" s="127" t="s">
        <v>1176</v>
      </c>
      <c r="C286" s="99" t="s">
        <v>4</v>
      </c>
      <c r="D286" s="100" t="s">
        <v>199</v>
      </c>
      <c r="E286" s="101"/>
      <c r="F286" s="101"/>
      <c r="G286" s="102" t="str">
        <f>IF(stdProdLT(Main[[#This Row],[Comments]])=0.1,"N/A",IF(stdProdLT(Main[[#This Row],[Comments]])=0,"",stdProdLT(Main[[#This Row],[Comments]])))</f>
        <v/>
      </c>
      <c r="H286" s="103" t="str">
        <f>IF(AND(Main[[#This Row],[In Stock Date]]&lt;&gt;"",Main[[#This Row],[Revised Due Date]]&lt;&gt;""),Main[[#This Row],[In Stock Date]]-Main[[#This Row],[Revised Due Date]],"")</f>
        <v/>
      </c>
      <c r="I286" s="99" t="s">
        <v>4</v>
      </c>
      <c r="J286" s="99" t="s">
        <v>4</v>
      </c>
      <c r="K286" s="99" t="s">
        <v>4</v>
      </c>
      <c r="L286" s="101"/>
      <c r="M286" s="104" t="str">
        <f>IF(Main[[#This Row],[Tech Start Date]]&lt;1/1/1990,"",IF(Main[[#This Row],[Class]]="C",WORKDAY(Main[[#This Row],[Tech Start Date]],9),IF(Main[[#This Row],[Class]]="B", WORKDAY(Main[[#This Row],[Tech Start Date]],6),IF(Main[[#This Row],[Class]]="A",WORKDAY(Main[[#This Row],[Tech Start Date]],2),""))))</f>
        <v/>
      </c>
      <c r="N286" s="104" t="str">
        <f>IF(Main[[#This Row],[Tech Start Date]]&lt;1/1/1990,"",IF(Main[[#This Row],[Class]]="C",WORKDAY(Main[[#This Row],[Tech Start Date]],19),IF(Main[[#This Row],[Class]]="B", WORKDAY(Main[[#This Row],[Tech Start Date]],12),IF(Main[[#This Row],[Class]]="A",WORKDAY(Main[[#This Row],[Tech Start Date]],4),""))))</f>
        <v/>
      </c>
      <c r="O286" s="104" t="str">
        <f>IF(Main[[#This Row],[Tech Start Date]]&lt;1/1/1990,"",IF(Main[[#This Row],[Class]]="C",WORKDAY(Main[[#This Row],[Tech Start Date]],23),IF(Main[[#This Row],[Class]]="B", WORKDAY(Main[[#This Row],[Tech Start Date]],15),IF(Main[[#This Row],[Class]]="A",WORKDAY(Main[[#This Row],[Tech Start Date]],5),""))))</f>
        <v/>
      </c>
      <c r="P286" s="104" t="str">
        <f>IF(Main[[#This Row],[Tech Start Date]]&lt;1/1/1990,"",IF(Main[[#This Row],[Class]]="C",WORKDAY(Main[[#This Row],[Tech Start Date]],28),IF(Main[[#This Row],[Class]]="B", WORKDAY(Main[[#This Row],[Tech Start Date]],19),IF(Main[[#This Row],[Class]]="A",WORKDAY(Main[[#This Row],[Tech Start Date]],9),""))))</f>
        <v/>
      </c>
      <c r="Q286" s="101"/>
      <c r="R286" s="101"/>
      <c r="S286" s="99" t="s">
        <v>17</v>
      </c>
      <c r="T286" s="107" t="s">
        <v>4</v>
      </c>
      <c r="U286" s="99" t="s">
        <v>14</v>
      </c>
      <c r="V286" s="99" t="s">
        <v>1965</v>
      </c>
      <c r="W286" s="99" t="s">
        <v>1967</v>
      </c>
    </row>
    <row r="287" spans="1:23" ht="18.600000000000001" customHeight="1">
      <c r="A287" s="123" t="str">
        <f>IF(priority(Main[[#This Row],[Comments]])&lt;&gt;0, priority(Main[[#This Row],[Comments]]),"")</f>
        <v/>
      </c>
      <c r="B287" s="127" t="s">
        <v>1177</v>
      </c>
      <c r="C287" s="99" t="s">
        <v>200</v>
      </c>
      <c r="D287" s="100" t="s">
        <v>201</v>
      </c>
      <c r="E287" s="101"/>
      <c r="F287" s="101"/>
      <c r="G287" s="102" t="str">
        <f>IF(stdProdLT(Main[[#This Row],[Comments]])=0.1,"N/A",IF(stdProdLT(Main[[#This Row],[Comments]])=0,"",stdProdLT(Main[[#This Row],[Comments]])))</f>
        <v/>
      </c>
      <c r="H287" s="103" t="str">
        <f>IF(AND(Main[[#This Row],[In Stock Date]]&lt;&gt;"",Main[[#This Row],[Revised Due Date]]&lt;&gt;""),Main[[#This Row],[In Stock Date]]-Main[[#This Row],[Revised Due Date]],"")</f>
        <v/>
      </c>
      <c r="I287" s="99" t="s">
        <v>4</v>
      </c>
      <c r="J287" s="99" t="s">
        <v>4</v>
      </c>
      <c r="K287" s="99" t="s">
        <v>4</v>
      </c>
      <c r="L287" s="101"/>
      <c r="M287" s="104" t="str">
        <f>IF(Main[[#This Row],[Tech Start Date]]&lt;1/1/1990,"",IF(Main[[#This Row],[Class]]="C",WORKDAY(Main[[#This Row],[Tech Start Date]],9),IF(Main[[#This Row],[Class]]="B", WORKDAY(Main[[#This Row],[Tech Start Date]],6),IF(Main[[#This Row],[Class]]="A",WORKDAY(Main[[#This Row],[Tech Start Date]],2),""))))</f>
        <v/>
      </c>
      <c r="N287" s="104" t="str">
        <f>IF(Main[[#This Row],[Tech Start Date]]&lt;1/1/1990,"",IF(Main[[#This Row],[Class]]="C",WORKDAY(Main[[#This Row],[Tech Start Date]],19),IF(Main[[#This Row],[Class]]="B", WORKDAY(Main[[#This Row],[Tech Start Date]],12),IF(Main[[#This Row],[Class]]="A",WORKDAY(Main[[#This Row],[Tech Start Date]],4),""))))</f>
        <v/>
      </c>
      <c r="O287" s="104" t="str">
        <f>IF(Main[[#This Row],[Tech Start Date]]&lt;1/1/1990,"",IF(Main[[#This Row],[Class]]="C",WORKDAY(Main[[#This Row],[Tech Start Date]],23),IF(Main[[#This Row],[Class]]="B", WORKDAY(Main[[#This Row],[Tech Start Date]],15),IF(Main[[#This Row],[Class]]="A",WORKDAY(Main[[#This Row],[Tech Start Date]],5),""))))</f>
        <v/>
      </c>
      <c r="P287" s="104" t="str">
        <f>IF(Main[[#This Row],[Tech Start Date]]&lt;1/1/1990,"",IF(Main[[#This Row],[Class]]="C",WORKDAY(Main[[#This Row],[Tech Start Date]],28),IF(Main[[#This Row],[Class]]="B", WORKDAY(Main[[#This Row],[Tech Start Date]],19),IF(Main[[#This Row],[Class]]="A",WORKDAY(Main[[#This Row],[Tech Start Date]],9),""))))</f>
        <v/>
      </c>
      <c r="Q287" s="101">
        <v>40165</v>
      </c>
      <c r="R287" s="101"/>
      <c r="S287" s="99" t="s">
        <v>11</v>
      </c>
      <c r="T287" s="107" t="s">
        <v>4</v>
      </c>
      <c r="U287" s="99" t="s">
        <v>14</v>
      </c>
      <c r="V287" s="99" t="s">
        <v>1972</v>
      </c>
      <c r="W287" s="99" t="s">
        <v>1968</v>
      </c>
    </row>
    <row r="288" spans="1:23" ht="18.600000000000001" customHeight="1">
      <c r="A288" s="123" t="str">
        <f>IF(priority(Main[[#This Row],[Comments]])&lt;&gt;0, priority(Main[[#This Row],[Comments]]),"")</f>
        <v/>
      </c>
      <c r="B288" s="127" t="s">
        <v>1758</v>
      </c>
      <c r="C288" s="99" t="s">
        <v>4</v>
      </c>
      <c r="D288" s="100" t="s">
        <v>785</v>
      </c>
      <c r="E288" s="101"/>
      <c r="F288" s="101"/>
      <c r="G288" s="102" t="str">
        <f>IF(stdProdLT(Main[[#This Row],[Comments]])=0.1,"N/A",IF(stdProdLT(Main[[#This Row],[Comments]])=0,"",stdProdLT(Main[[#This Row],[Comments]])))</f>
        <v/>
      </c>
      <c r="H288" s="103" t="str">
        <f>IF(AND(Main[[#This Row],[In Stock Date]]&lt;&gt;"",Main[[#This Row],[Revised Due Date]]&lt;&gt;""),Main[[#This Row],[In Stock Date]]-Main[[#This Row],[Revised Due Date]],"")</f>
        <v/>
      </c>
      <c r="I288" s="99" t="s">
        <v>4</v>
      </c>
      <c r="J288" s="99" t="s">
        <v>28</v>
      </c>
      <c r="K288" s="99" t="s">
        <v>1974</v>
      </c>
      <c r="L288" s="101"/>
      <c r="M288" s="104" t="str">
        <f>IF(Main[[#This Row],[Tech Start Date]]&lt;1/1/1990,"",IF(Main[[#This Row],[Class]]="C",WORKDAY(Main[[#This Row],[Tech Start Date]],9),IF(Main[[#This Row],[Class]]="B", WORKDAY(Main[[#This Row],[Tech Start Date]],6),IF(Main[[#This Row],[Class]]="A",WORKDAY(Main[[#This Row],[Tech Start Date]],2),""))))</f>
        <v/>
      </c>
      <c r="N288" s="104" t="str">
        <f>IF(Main[[#This Row],[Tech Start Date]]&lt;1/1/1990,"",IF(Main[[#This Row],[Class]]="C",WORKDAY(Main[[#This Row],[Tech Start Date]],19),IF(Main[[#This Row],[Class]]="B", WORKDAY(Main[[#This Row],[Tech Start Date]],12),IF(Main[[#This Row],[Class]]="A",WORKDAY(Main[[#This Row],[Tech Start Date]],4),""))))</f>
        <v/>
      </c>
      <c r="O288" s="104" t="str">
        <f>IF(Main[[#This Row],[Tech Start Date]]&lt;1/1/1990,"",IF(Main[[#This Row],[Class]]="C",WORKDAY(Main[[#This Row],[Tech Start Date]],23),IF(Main[[#This Row],[Class]]="B", WORKDAY(Main[[#This Row],[Tech Start Date]],15),IF(Main[[#This Row],[Class]]="A",WORKDAY(Main[[#This Row],[Tech Start Date]],5),""))))</f>
        <v/>
      </c>
      <c r="P288" s="104" t="str">
        <f>IF(Main[[#This Row],[Tech Start Date]]&lt;1/1/1990,"",IF(Main[[#This Row],[Class]]="C",WORKDAY(Main[[#This Row],[Tech Start Date]],28),IF(Main[[#This Row],[Class]]="B", WORKDAY(Main[[#This Row],[Tech Start Date]],19),IF(Main[[#This Row],[Class]]="A",WORKDAY(Main[[#This Row],[Tech Start Date]],9),""))))</f>
        <v/>
      </c>
      <c r="Q288" s="101">
        <v>40633</v>
      </c>
      <c r="R288" s="101"/>
      <c r="S288" s="99" t="s">
        <v>17</v>
      </c>
      <c r="T288" s="107" t="s">
        <v>4</v>
      </c>
      <c r="U288" s="99" t="s">
        <v>14</v>
      </c>
      <c r="V288" s="99" t="s">
        <v>1962</v>
      </c>
      <c r="W288" s="99" t="s">
        <v>1967</v>
      </c>
    </row>
    <row r="289" spans="1:23" ht="18.600000000000001" customHeight="1">
      <c r="A289" s="123" t="str">
        <f>IF(priority(Main[[#This Row],[Comments]])&lt;&gt;0, priority(Main[[#This Row],[Comments]]),"")</f>
        <v/>
      </c>
      <c r="B289" s="127" t="s">
        <v>1179</v>
      </c>
      <c r="C289" s="99" t="s">
        <v>93</v>
      </c>
      <c r="D289" s="100" t="s">
        <v>203</v>
      </c>
      <c r="E289" s="101"/>
      <c r="F289" s="101"/>
      <c r="G289" s="102" t="str">
        <f>IF(stdProdLT(Main[[#This Row],[Comments]])=0.1,"N/A",IF(stdProdLT(Main[[#This Row],[Comments]])=0,"",stdProdLT(Main[[#This Row],[Comments]])))</f>
        <v/>
      </c>
      <c r="H289" s="103" t="str">
        <f>IF(AND(Main[[#This Row],[In Stock Date]]&lt;&gt;"",Main[[#This Row],[Revised Due Date]]&lt;&gt;""),Main[[#This Row],[In Stock Date]]-Main[[#This Row],[Revised Due Date]],"")</f>
        <v/>
      </c>
      <c r="I289" s="99" t="s">
        <v>4</v>
      </c>
      <c r="J289" s="99" t="s">
        <v>4</v>
      </c>
      <c r="K289" s="108" t="s">
        <v>4</v>
      </c>
      <c r="L289" s="101"/>
      <c r="M289" s="104" t="str">
        <f>IF(Main[[#This Row],[Tech Start Date]]&lt;1/1/1990,"",IF(Main[[#This Row],[Class]]="C",WORKDAY(Main[[#This Row],[Tech Start Date]],9),IF(Main[[#This Row],[Class]]="B", WORKDAY(Main[[#This Row],[Tech Start Date]],6),IF(Main[[#This Row],[Class]]="A",WORKDAY(Main[[#This Row],[Tech Start Date]],2),""))))</f>
        <v/>
      </c>
      <c r="N289" s="104" t="str">
        <f>IF(Main[[#This Row],[Tech Start Date]]&lt;1/1/1990,"",IF(Main[[#This Row],[Class]]="C",WORKDAY(Main[[#This Row],[Tech Start Date]],19),IF(Main[[#This Row],[Class]]="B", WORKDAY(Main[[#This Row],[Tech Start Date]],12),IF(Main[[#This Row],[Class]]="A",WORKDAY(Main[[#This Row],[Tech Start Date]],4),""))))</f>
        <v/>
      </c>
      <c r="O289" s="104" t="str">
        <f>IF(Main[[#This Row],[Tech Start Date]]&lt;1/1/1990,"",IF(Main[[#This Row],[Class]]="C",WORKDAY(Main[[#This Row],[Tech Start Date]],23),IF(Main[[#This Row],[Class]]="B", WORKDAY(Main[[#This Row],[Tech Start Date]],15),IF(Main[[#This Row],[Class]]="A",WORKDAY(Main[[#This Row],[Tech Start Date]],5),""))))</f>
        <v/>
      </c>
      <c r="P289" s="104" t="str">
        <f>IF(Main[[#This Row],[Tech Start Date]]&lt;1/1/1990,"",IF(Main[[#This Row],[Class]]="C",WORKDAY(Main[[#This Row],[Tech Start Date]],28),IF(Main[[#This Row],[Class]]="B", WORKDAY(Main[[#This Row],[Tech Start Date]],19),IF(Main[[#This Row],[Class]]="A",WORKDAY(Main[[#This Row],[Tech Start Date]],9),""))))</f>
        <v/>
      </c>
      <c r="Q289" s="101"/>
      <c r="R289" s="101"/>
      <c r="S289" s="99" t="s">
        <v>11</v>
      </c>
      <c r="T289" s="107" t="s">
        <v>4</v>
      </c>
      <c r="U289" s="99" t="s">
        <v>14</v>
      </c>
      <c r="V289" s="99" t="s">
        <v>1972</v>
      </c>
      <c r="W289" s="99" t="s">
        <v>1968</v>
      </c>
    </row>
    <row r="290" spans="1:23" ht="18.600000000000001" customHeight="1">
      <c r="A290" s="123" t="str">
        <f>IF(priority(Main[[#This Row],[Comments]])&lt;&gt;0, priority(Main[[#This Row],[Comments]]),"")</f>
        <v/>
      </c>
      <c r="B290" s="127" t="s">
        <v>1180</v>
      </c>
      <c r="C290" s="99" t="s">
        <v>42</v>
      </c>
      <c r="D290" s="100" t="s">
        <v>204</v>
      </c>
      <c r="E290" s="101">
        <v>39952.329340277778</v>
      </c>
      <c r="F290" s="101"/>
      <c r="G290" s="102" t="str">
        <f>IF(stdProdLT(Main[[#This Row],[Comments]])=0.1,"N/A",IF(stdProdLT(Main[[#This Row],[Comments]])=0,"",stdProdLT(Main[[#This Row],[Comments]])))</f>
        <v/>
      </c>
      <c r="H290" s="103" t="str">
        <f>IF(AND(Main[[#This Row],[In Stock Date]]&lt;&gt;"",Main[[#This Row],[Revised Due Date]]&lt;&gt;""),Main[[#This Row],[In Stock Date]]-Main[[#This Row],[Revised Due Date]],"")</f>
        <v/>
      </c>
      <c r="I290" s="99" t="s">
        <v>4</v>
      </c>
      <c r="J290" s="99" t="s">
        <v>4</v>
      </c>
      <c r="K290" s="99" t="s">
        <v>4</v>
      </c>
      <c r="L290" s="101"/>
      <c r="M290" s="104" t="str">
        <f>IF(Main[[#This Row],[Tech Start Date]]&lt;1/1/1990,"",IF(Main[[#This Row],[Class]]="C",WORKDAY(Main[[#This Row],[Tech Start Date]],9),IF(Main[[#This Row],[Class]]="B", WORKDAY(Main[[#This Row],[Tech Start Date]],6),IF(Main[[#This Row],[Class]]="A",WORKDAY(Main[[#This Row],[Tech Start Date]],2),""))))</f>
        <v/>
      </c>
      <c r="N290" s="104" t="str">
        <f>IF(Main[[#This Row],[Tech Start Date]]&lt;1/1/1990,"",IF(Main[[#This Row],[Class]]="C",WORKDAY(Main[[#This Row],[Tech Start Date]],19),IF(Main[[#This Row],[Class]]="B", WORKDAY(Main[[#This Row],[Tech Start Date]],12),IF(Main[[#This Row],[Class]]="A",WORKDAY(Main[[#This Row],[Tech Start Date]],4),""))))</f>
        <v/>
      </c>
      <c r="O290" s="104" t="str">
        <f>IF(Main[[#This Row],[Tech Start Date]]&lt;1/1/1990,"",IF(Main[[#This Row],[Class]]="C",WORKDAY(Main[[#This Row],[Tech Start Date]],23),IF(Main[[#This Row],[Class]]="B", WORKDAY(Main[[#This Row],[Tech Start Date]],15),IF(Main[[#This Row],[Class]]="A",WORKDAY(Main[[#This Row],[Tech Start Date]],5),""))))</f>
        <v/>
      </c>
      <c r="P290" s="104" t="str">
        <f>IF(Main[[#This Row],[Tech Start Date]]&lt;1/1/1990,"",IF(Main[[#This Row],[Class]]="C",WORKDAY(Main[[#This Row],[Tech Start Date]],28),IF(Main[[#This Row],[Class]]="B", WORKDAY(Main[[#This Row],[Tech Start Date]],19),IF(Main[[#This Row],[Class]]="A",WORKDAY(Main[[#This Row],[Tech Start Date]],9),""))))</f>
        <v/>
      </c>
      <c r="Q290" s="101"/>
      <c r="R290" s="101"/>
      <c r="S290" s="99" t="s">
        <v>17</v>
      </c>
      <c r="T290" s="107" t="s">
        <v>4</v>
      </c>
      <c r="U290" s="99" t="s">
        <v>7</v>
      </c>
      <c r="V290" s="99" t="s">
        <v>1965</v>
      </c>
      <c r="W290" s="99" t="s">
        <v>4</v>
      </c>
    </row>
    <row r="291" spans="1:23" ht="18.600000000000001" customHeight="1">
      <c r="A291" s="123" t="str">
        <f>IF(priority(Main[[#This Row],[Comments]])&lt;&gt;0, priority(Main[[#This Row],[Comments]]),"")</f>
        <v/>
      </c>
      <c r="B291" s="127" t="s">
        <v>1181</v>
      </c>
      <c r="C291" s="99" t="s">
        <v>58</v>
      </c>
      <c r="D291" s="100" t="s">
        <v>205</v>
      </c>
      <c r="E291" s="101"/>
      <c r="F291" s="101">
        <v>40697</v>
      </c>
      <c r="G291" s="102" t="str">
        <f>IF(stdProdLT(Main[[#This Row],[Comments]])=0.1,"N/A",IF(stdProdLT(Main[[#This Row],[Comments]])=0,"",stdProdLT(Main[[#This Row],[Comments]])))</f>
        <v/>
      </c>
      <c r="H291" s="103" t="str">
        <f>IF(AND(Main[[#This Row],[In Stock Date]]&lt;&gt;"",Main[[#This Row],[Revised Due Date]]&lt;&gt;""),Main[[#This Row],[In Stock Date]]-Main[[#This Row],[Revised Due Date]],"")</f>
        <v/>
      </c>
      <c r="I291" s="99" t="s">
        <v>4</v>
      </c>
      <c r="J291" s="99" t="s">
        <v>4</v>
      </c>
      <c r="K291" s="99" t="s">
        <v>4</v>
      </c>
      <c r="L291" s="101"/>
      <c r="M291" s="104" t="str">
        <f>IF(Main[[#This Row],[Tech Start Date]]&lt;1/1/1990,"",IF(Main[[#This Row],[Class]]="C",WORKDAY(Main[[#This Row],[Tech Start Date]],9),IF(Main[[#This Row],[Class]]="B", WORKDAY(Main[[#This Row],[Tech Start Date]],6),IF(Main[[#This Row],[Class]]="A",WORKDAY(Main[[#This Row],[Tech Start Date]],2),""))))</f>
        <v/>
      </c>
      <c r="N291" s="104" t="str">
        <f>IF(Main[[#This Row],[Tech Start Date]]&lt;1/1/1990,"",IF(Main[[#This Row],[Class]]="C",WORKDAY(Main[[#This Row],[Tech Start Date]],19),IF(Main[[#This Row],[Class]]="B", WORKDAY(Main[[#This Row],[Tech Start Date]],12),IF(Main[[#This Row],[Class]]="A",WORKDAY(Main[[#This Row],[Tech Start Date]],4),""))))</f>
        <v/>
      </c>
      <c r="O291" s="104" t="str">
        <f>IF(Main[[#This Row],[Tech Start Date]]&lt;1/1/1990,"",IF(Main[[#This Row],[Class]]="C",WORKDAY(Main[[#This Row],[Tech Start Date]],23),IF(Main[[#This Row],[Class]]="B", WORKDAY(Main[[#This Row],[Tech Start Date]],15),IF(Main[[#This Row],[Class]]="A",WORKDAY(Main[[#This Row],[Tech Start Date]],5),""))))</f>
        <v/>
      </c>
      <c r="P291" s="104" t="str">
        <f>IF(Main[[#This Row],[Tech Start Date]]&lt;1/1/1990,"",IF(Main[[#This Row],[Class]]="C",WORKDAY(Main[[#This Row],[Tech Start Date]],28),IF(Main[[#This Row],[Class]]="B", WORKDAY(Main[[#This Row],[Tech Start Date]],19),IF(Main[[#This Row],[Class]]="A",WORKDAY(Main[[#This Row],[Tech Start Date]],9),""))))</f>
        <v/>
      </c>
      <c r="Q291" s="101">
        <v>40539</v>
      </c>
      <c r="R291" s="101"/>
      <c r="S291" s="99" t="s">
        <v>11</v>
      </c>
      <c r="T291" s="107" t="s">
        <v>4</v>
      </c>
      <c r="U291" s="99" t="s">
        <v>14</v>
      </c>
      <c r="V291" s="99" t="s">
        <v>1962</v>
      </c>
      <c r="W291" s="99" t="s">
        <v>1968</v>
      </c>
    </row>
    <row r="292" spans="1:23" ht="18.600000000000001" customHeight="1">
      <c r="A292" s="123" t="str">
        <f>IF(priority(Main[[#This Row],[Comments]])&lt;&gt;0, priority(Main[[#This Row],[Comments]]),"")</f>
        <v/>
      </c>
      <c r="B292" s="127" t="s">
        <v>1182</v>
      </c>
      <c r="C292" s="99" t="s">
        <v>206</v>
      </c>
      <c r="D292" s="100" t="s">
        <v>207</v>
      </c>
      <c r="E292" s="101"/>
      <c r="F292" s="101"/>
      <c r="G292" s="102" t="str">
        <f>IF(stdProdLT(Main[[#This Row],[Comments]])=0.1,"N/A",IF(stdProdLT(Main[[#This Row],[Comments]])=0,"",stdProdLT(Main[[#This Row],[Comments]])))</f>
        <v/>
      </c>
      <c r="H292" s="103" t="str">
        <f>IF(AND(Main[[#This Row],[In Stock Date]]&lt;&gt;"",Main[[#This Row],[Revised Due Date]]&lt;&gt;""),Main[[#This Row],[In Stock Date]]-Main[[#This Row],[Revised Due Date]],"")</f>
        <v/>
      </c>
      <c r="I292" s="99" t="s">
        <v>4</v>
      </c>
      <c r="J292" s="99" t="s">
        <v>4</v>
      </c>
      <c r="K292" s="99" t="s">
        <v>4</v>
      </c>
      <c r="L292" s="101"/>
      <c r="M292" s="104" t="str">
        <f>IF(Main[[#This Row],[Tech Start Date]]&lt;1/1/1990,"",IF(Main[[#This Row],[Class]]="C",WORKDAY(Main[[#This Row],[Tech Start Date]],9),IF(Main[[#This Row],[Class]]="B", WORKDAY(Main[[#This Row],[Tech Start Date]],6),IF(Main[[#This Row],[Class]]="A",WORKDAY(Main[[#This Row],[Tech Start Date]],2),""))))</f>
        <v/>
      </c>
      <c r="N292" s="104" t="str">
        <f>IF(Main[[#This Row],[Tech Start Date]]&lt;1/1/1990,"",IF(Main[[#This Row],[Class]]="C",WORKDAY(Main[[#This Row],[Tech Start Date]],19),IF(Main[[#This Row],[Class]]="B", WORKDAY(Main[[#This Row],[Tech Start Date]],12),IF(Main[[#This Row],[Class]]="A",WORKDAY(Main[[#This Row],[Tech Start Date]],4),""))))</f>
        <v/>
      </c>
      <c r="O292" s="104" t="str">
        <f>IF(Main[[#This Row],[Tech Start Date]]&lt;1/1/1990,"",IF(Main[[#This Row],[Class]]="C",WORKDAY(Main[[#This Row],[Tech Start Date]],23),IF(Main[[#This Row],[Class]]="B", WORKDAY(Main[[#This Row],[Tech Start Date]],15),IF(Main[[#This Row],[Class]]="A",WORKDAY(Main[[#This Row],[Tech Start Date]],5),""))))</f>
        <v/>
      </c>
      <c r="P292" s="104" t="str">
        <f>IF(Main[[#This Row],[Tech Start Date]]&lt;1/1/1990,"",IF(Main[[#This Row],[Class]]="C",WORKDAY(Main[[#This Row],[Tech Start Date]],28),IF(Main[[#This Row],[Class]]="B", WORKDAY(Main[[#This Row],[Tech Start Date]],19),IF(Main[[#This Row],[Class]]="A",WORKDAY(Main[[#This Row],[Tech Start Date]],9),""))))</f>
        <v/>
      </c>
      <c r="Q292" s="101">
        <v>40302</v>
      </c>
      <c r="R292" s="101"/>
      <c r="S292" s="99" t="s">
        <v>11</v>
      </c>
      <c r="T292" s="107" t="s">
        <v>4</v>
      </c>
      <c r="U292" s="99" t="s">
        <v>14</v>
      </c>
      <c r="V292" s="99" t="s">
        <v>1962</v>
      </c>
      <c r="W292" s="99" t="s">
        <v>1964</v>
      </c>
    </row>
    <row r="293" spans="1:23" ht="18.600000000000001" customHeight="1">
      <c r="A293" s="123" t="str">
        <f>IF(priority(Main[[#This Row],[Comments]])&lt;&gt;0, priority(Main[[#This Row],[Comments]]),"")</f>
        <v/>
      </c>
      <c r="B293" s="127" t="s">
        <v>2254</v>
      </c>
      <c r="C293" s="99" t="s">
        <v>4</v>
      </c>
      <c r="D293" s="100" t="s">
        <v>2255</v>
      </c>
      <c r="E293" s="101">
        <v>40792.385717592595</v>
      </c>
      <c r="F293" s="101"/>
      <c r="G293" s="102" t="str">
        <f>IF(stdProdLT(Main[[#This Row],[Comments]])=0.1,"N/A",IF(stdProdLT(Main[[#This Row],[Comments]])=0,"",stdProdLT(Main[[#This Row],[Comments]])))</f>
        <v/>
      </c>
      <c r="H293" s="103" t="str">
        <f>IF(AND(Main[[#This Row],[In Stock Date]]&lt;&gt;"",Main[[#This Row],[Revised Due Date]]&lt;&gt;""),Main[[#This Row],[In Stock Date]]-Main[[#This Row],[Revised Due Date]],"")</f>
        <v/>
      </c>
      <c r="I293" s="99" t="s">
        <v>69</v>
      </c>
      <c r="J293" s="99" t="s">
        <v>70</v>
      </c>
      <c r="K293" s="99" t="s">
        <v>1971</v>
      </c>
      <c r="L293" s="101"/>
      <c r="M293" s="104" t="str">
        <f>IF(Main[[#This Row],[Tech Start Date]]&lt;1/1/1990,"",IF(Main[[#This Row],[Class]]="C",WORKDAY(Main[[#This Row],[Tech Start Date]],9),IF(Main[[#This Row],[Class]]="B", WORKDAY(Main[[#This Row],[Tech Start Date]],6),IF(Main[[#This Row],[Class]]="A",WORKDAY(Main[[#This Row],[Tech Start Date]],2),""))))</f>
        <v/>
      </c>
      <c r="N293" s="104" t="str">
        <f>IF(Main[[#This Row],[Tech Start Date]]&lt;1/1/1990,"",IF(Main[[#This Row],[Class]]="C",WORKDAY(Main[[#This Row],[Tech Start Date]],19),IF(Main[[#This Row],[Class]]="B", WORKDAY(Main[[#This Row],[Tech Start Date]],12),IF(Main[[#This Row],[Class]]="A",WORKDAY(Main[[#This Row],[Tech Start Date]],4),""))))</f>
        <v/>
      </c>
      <c r="O293" s="104" t="str">
        <f>IF(Main[[#This Row],[Tech Start Date]]&lt;1/1/1990,"",IF(Main[[#This Row],[Class]]="C",WORKDAY(Main[[#This Row],[Tech Start Date]],23),IF(Main[[#This Row],[Class]]="B", WORKDAY(Main[[#This Row],[Tech Start Date]],15),IF(Main[[#This Row],[Class]]="A",WORKDAY(Main[[#This Row],[Tech Start Date]],5),""))))</f>
        <v/>
      </c>
      <c r="P293" s="104" t="str">
        <f>IF(Main[[#This Row],[Tech Start Date]]&lt;1/1/1990,"",IF(Main[[#This Row],[Class]]="C",WORKDAY(Main[[#This Row],[Tech Start Date]],28),IF(Main[[#This Row],[Class]]="B", WORKDAY(Main[[#This Row],[Tech Start Date]],19),IF(Main[[#This Row],[Class]]="A",WORKDAY(Main[[#This Row],[Tech Start Date]],9),""))))</f>
        <v/>
      </c>
      <c r="Q293" s="101">
        <v>40823</v>
      </c>
      <c r="R293" s="101"/>
      <c r="S293" s="99" t="s">
        <v>6</v>
      </c>
      <c r="T293" s="107" t="s">
        <v>4</v>
      </c>
      <c r="U293" s="99" t="s">
        <v>29</v>
      </c>
      <c r="V293" s="99" t="s">
        <v>1965</v>
      </c>
      <c r="W293" s="99" t="s">
        <v>1966</v>
      </c>
    </row>
    <row r="294" spans="1:23" ht="18.600000000000001" customHeight="1">
      <c r="A294" s="123" t="str">
        <f>IF(priority(Main[[#This Row],[Comments]])&lt;&gt;0, priority(Main[[#This Row],[Comments]]),"")</f>
        <v/>
      </c>
      <c r="B294" s="127" t="s">
        <v>2444</v>
      </c>
      <c r="C294" s="99" t="s">
        <v>4</v>
      </c>
      <c r="D294" s="100" t="s">
        <v>2445</v>
      </c>
      <c r="E294" s="101">
        <v>40849.308981481481</v>
      </c>
      <c r="F294" s="101"/>
      <c r="G294" s="102" t="str">
        <f>IF(stdProdLT(Main[[#This Row],[Comments]])=0.1,"N/A",IF(stdProdLT(Main[[#This Row],[Comments]])=0,"",stdProdLT(Main[[#This Row],[Comments]])))</f>
        <v/>
      </c>
      <c r="H294" s="103" t="str">
        <f>IF(AND(Main[[#This Row],[In Stock Date]]&lt;&gt;"",Main[[#This Row],[Revised Due Date]]&lt;&gt;""),Main[[#This Row],[In Stock Date]]-Main[[#This Row],[Revised Due Date]],"")</f>
        <v/>
      </c>
      <c r="I294" s="99" t="s">
        <v>929</v>
      </c>
      <c r="J294" s="99" t="s">
        <v>52</v>
      </c>
      <c r="K294" s="99" t="s">
        <v>4</v>
      </c>
      <c r="L294" s="101"/>
      <c r="M294" s="104" t="str">
        <f>IF(Main[[#This Row],[Tech Start Date]]&lt;1/1/1990,"",IF(Main[[#This Row],[Class]]="C",WORKDAY(Main[[#This Row],[Tech Start Date]],9),IF(Main[[#This Row],[Class]]="B", WORKDAY(Main[[#This Row],[Tech Start Date]],6),IF(Main[[#This Row],[Class]]="A",WORKDAY(Main[[#This Row],[Tech Start Date]],2),""))))</f>
        <v/>
      </c>
      <c r="N294" s="104" t="str">
        <f>IF(Main[[#This Row],[Tech Start Date]]&lt;1/1/1990,"",IF(Main[[#This Row],[Class]]="C",WORKDAY(Main[[#This Row],[Tech Start Date]],19),IF(Main[[#This Row],[Class]]="B", WORKDAY(Main[[#This Row],[Tech Start Date]],12),IF(Main[[#This Row],[Class]]="A",WORKDAY(Main[[#This Row],[Tech Start Date]],4),""))))</f>
        <v/>
      </c>
      <c r="O294" s="104" t="str">
        <f>IF(Main[[#This Row],[Tech Start Date]]&lt;1/1/1990,"",IF(Main[[#This Row],[Class]]="C",WORKDAY(Main[[#This Row],[Tech Start Date]],23),IF(Main[[#This Row],[Class]]="B", WORKDAY(Main[[#This Row],[Tech Start Date]],15),IF(Main[[#This Row],[Class]]="A",WORKDAY(Main[[#This Row],[Tech Start Date]],5),""))))</f>
        <v/>
      </c>
      <c r="P294" s="104" t="str">
        <f>IF(Main[[#This Row],[Tech Start Date]]&lt;1/1/1990,"",IF(Main[[#This Row],[Class]]="C",WORKDAY(Main[[#This Row],[Tech Start Date]],28),IF(Main[[#This Row],[Class]]="B", WORKDAY(Main[[#This Row],[Tech Start Date]],19),IF(Main[[#This Row],[Class]]="A",WORKDAY(Main[[#This Row],[Tech Start Date]],9),""))))</f>
        <v/>
      </c>
      <c r="Q294" s="101"/>
      <c r="R294" s="101"/>
      <c r="S294" s="99" t="s">
        <v>6</v>
      </c>
      <c r="T294" s="107" t="s">
        <v>4</v>
      </c>
      <c r="U294" s="99" t="s">
        <v>29</v>
      </c>
      <c r="V294" s="99" t="s">
        <v>1962</v>
      </c>
      <c r="W294" s="99" t="s">
        <v>1966</v>
      </c>
    </row>
    <row r="295" spans="1:23" ht="18.600000000000001" customHeight="1">
      <c r="A295" s="123" t="str">
        <f>IF(priority(Main[[#This Row],[Comments]])&lt;&gt;0, priority(Main[[#This Row],[Comments]]),"")</f>
        <v/>
      </c>
      <c r="B295" s="127" t="s">
        <v>2566</v>
      </c>
      <c r="C295" s="99" t="s">
        <v>4</v>
      </c>
      <c r="D295" s="100" t="s">
        <v>3025</v>
      </c>
      <c r="E295" s="101">
        <v>40842.390289351853</v>
      </c>
      <c r="F295" s="101"/>
      <c r="G295" s="102" t="str">
        <f>IF(stdProdLT(Main[[#This Row],[Comments]])=0.1,"N/A",IF(stdProdLT(Main[[#This Row],[Comments]])=0,"",stdProdLT(Main[[#This Row],[Comments]])))</f>
        <v/>
      </c>
      <c r="H295" s="103" t="str">
        <f>IF(AND(Main[[#This Row],[In Stock Date]]&lt;&gt;"",Main[[#This Row],[Revised Due Date]]&lt;&gt;""),Main[[#This Row],[In Stock Date]]-Main[[#This Row],[Revised Due Date]],"")</f>
        <v/>
      </c>
      <c r="I295" s="99" t="s">
        <v>4</v>
      </c>
      <c r="J295" s="99" t="s">
        <v>4</v>
      </c>
      <c r="K295" s="99" t="s">
        <v>4</v>
      </c>
      <c r="L295" s="101"/>
      <c r="M295" s="104" t="str">
        <f>IF(Main[[#This Row],[Tech Start Date]]&lt;1/1/1990,"",IF(Main[[#This Row],[Class]]="C",WORKDAY(Main[[#This Row],[Tech Start Date]],9),IF(Main[[#This Row],[Class]]="B", WORKDAY(Main[[#This Row],[Tech Start Date]],6),IF(Main[[#This Row],[Class]]="A",WORKDAY(Main[[#This Row],[Tech Start Date]],2),""))))</f>
        <v/>
      </c>
      <c r="N295" s="104" t="str">
        <f>IF(Main[[#This Row],[Tech Start Date]]&lt;1/1/1990,"",IF(Main[[#This Row],[Class]]="C",WORKDAY(Main[[#This Row],[Tech Start Date]],19),IF(Main[[#This Row],[Class]]="B", WORKDAY(Main[[#This Row],[Tech Start Date]],12),IF(Main[[#This Row],[Class]]="A",WORKDAY(Main[[#This Row],[Tech Start Date]],4),""))))</f>
        <v/>
      </c>
      <c r="O295" s="104" t="str">
        <f>IF(Main[[#This Row],[Tech Start Date]]&lt;1/1/1990,"",IF(Main[[#This Row],[Class]]="C",WORKDAY(Main[[#This Row],[Tech Start Date]],23),IF(Main[[#This Row],[Class]]="B", WORKDAY(Main[[#This Row],[Tech Start Date]],15),IF(Main[[#This Row],[Class]]="A",WORKDAY(Main[[#This Row],[Tech Start Date]],5),""))))</f>
        <v/>
      </c>
      <c r="P295" s="104" t="str">
        <f>IF(Main[[#This Row],[Tech Start Date]]&lt;1/1/1990,"",IF(Main[[#This Row],[Class]]="C",WORKDAY(Main[[#This Row],[Tech Start Date]],28),IF(Main[[#This Row],[Class]]="B", WORKDAY(Main[[#This Row],[Tech Start Date]],19),IF(Main[[#This Row],[Class]]="A",WORKDAY(Main[[#This Row],[Tech Start Date]],9),""))))</f>
        <v/>
      </c>
      <c r="Q295" s="101"/>
      <c r="R295" s="101"/>
      <c r="S295" s="99" t="s">
        <v>17</v>
      </c>
      <c r="T295" s="107" t="s">
        <v>4</v>
      </c>
      <c r="U295" s="99" t="s">
        <v>29</v>
      </c>
      <c r="V295" s="99" t="s">
        <v>1963</v>
      </c>
      <c r="W295" s="99" t="s">
        <v>1970</v>
      </c>
    </row>
    <row r="296" spans="1:23" ht="18.600000000000001" customHeight="1">
      <c r="A296" s="123" t="str">
        <f>IF(priority(Main[[#This Row],[Comments]])&lt;&gt;0, priority(Main[[#This Row],[Comments]]),"")</f>
        <v/>
      </c>
      <c r="B296" s="127" t="s">
        <v>1069</v>
      </c>
      <c r="C296" s="99" t="s">
        <v>33</v>
      </c>
      <c r="D296" s="100" t="s">
        <v>2446</v>
      </c>
      <c r="E296" s="101">
        <v>40345.428090277775</v>
      </c>
      <c r="F296" s="101"/>
      <c r="G296" s="102" t="str">
        <f>IF(stdProdLT(Main[[#This Row],[Comments]])=0.1,"N/A",IF(stdProdLT(Main[[#This Row],[Comments]])=0,"",stdProdLT(Main[[#This Row],[Comments]])))</f>
        <v/>
      </c>
      <c r="H296" s="103" t="str">
        <f>IF(AND(Main[[#This Row],[In Stock Date]]&lt;&gt;"",Main[[#This Row],[Revised Due Date]]&lt;&gt;""),Main[[#This Row],[In Stock Date]]-Main[[#This Row],[Revised Due Date]],"")</f>
        <v/>
      </c>
      <c r="I296" s="99" t="s">
        <v>992</v>
      </c>
      <c r="J296" s="99" t="s">
        <v>28</v>
      </c>
      <c r="K296" s="108" t="s">
        <v>4</v>
      </c>
      <c r="L296" s="101"/>
      <c r="M296" s="104" t="str">
        <f>IF(Main[[#This Row],[Tech Start Date]]&lt;1/1/1990,"",IF(Main[[#This Row],[Class]]="C",WORKDAY(Main[[#This Row],[Tech Start Date]],9),IF(Main[[#This Row],[Class]]="B", WORKDAY(Main[[#This Row],[Tech Start Date]],6),IF(Main[[#This Row],[Class]]="A",WORKDAY(Main[[#This Row],[Tech Start Date]],2),""))))</f>
        <v/>
      </c>
      <c r="N296" s="104" t="str">
        <f>IF(Main[[#This Row],[Tech Start Date]]&lt;1/1/1990,"",IF(Main[[#This Row],[Class]]="C",WORKDAY(Main[[#This Row],[Tech Start Date]],19),IF(Main[[#This Row],[Class]]="B", WORKDAY(Main[[#This Row],[Tech Start Date]],12),IF(Main[[#This Row],[Class]]="A",WORKDAY(Main[[#This Row],[Tech Start Date]],4),""))))</f>
        <v/>
      </c>
      <c r="O296" s="104" t="str">
        <f>IF(Main[[#This Row],[Tech Start Date]]&lt;1/1/1990,"",IF(Main[[#This Row],[Class]]="C",WORKDAY(Main[[#This Row],[Tech Start Date]],23),IF(Main[[#This Row],[Class]]="B", WORKDAY(Main[[#This Row],[Tech Start Date]],15),IF(Main[[#This Row],[Class]]="A",WORKDAY(Main[[#This Row],[Tech Start Date]],5),""))))</f>
        <v/>
      </c>
      <c r="P296" s="104" t="str">
        <f>IF(Main[[#This Row],[Tech Start Date]]&lt;1/1/1990,"",IF(Main[[#This Row],[Class]]="C",WORKDAY(Main[[#This Row],[Tech Start Date]],28),IF(Main[[#This Row],[Class]]="B", WORKDAY(Main[[#This Row],[Tech Start Date]],19),IF(Main[[#This Row],[Class]]="A",WORKDAY(Main[[#This Row],[Tech Start Date]],9),""))))</f>
        <v/>
      </c>
      <c r="Q296" s="101">
        <v>40384</v>
      </c>
      <c r="R296" s="101">
        <v>41029</v>
      </c>
      <c r="S296" s="99" t="s">
        <v>17</v>
      </c>
      <c r="T296" s="107" t="s">
        <v>2405</v>
      </c>
      <c r="U296" s="99" t="s">
        <v>29</v>
      </c>
      <c r="V296" s="99" t="s">
        <v>1962</v>
      </c>
      <c r="W296" s="99" t="s">
        <v>1967</v>
      </c>
    </row>
    <row r="297" spans="1:23" ht="18.600000000000001" customHeight="1">
      <c r="A297" s="123" t="str">
        <f>IF(priority(Main[[#This Row],[Comments]])&lt;&gt;0, priority(Main[[#This Row],[Comments]]),"")</f>
        <v/>
      </c>
      <c r="B297" s="127" t="s">
        <v>1183</v>
      </c>
      <c r="C297" s="99" t="s">
        <v>208</v>
      </c>
      <c r="D297" s="100" t="s">
        <v>209</v>
      </c>
      <c r="E297" s="101"/>
      <c r="F297" s="101"/>
      <c r="G297" s="102" t="str">
        <f>IF(stdProdLT(Main[[#This Row],[Comments]])=0.1,"N/A",IF(stdProdLT(Main[[#This Row],[Comments]])=0,"",stdProdLT(Main[[#This Row],[Comments]])))</f>
        <v/>
      </c>
      <c r="H297" s="103" t="str">
        <f>IF(AND(Main[[#This Row],[In Stock Date]]&lt;&gt;"",Main[[#This Row],[Revised Due Date]]&lt;&gt;""),Main[[#This Row],[In Stock Date]]-Main[[#This Row],[Revised Due Date]],"")</f>
        <v/>
      </c>
      <c r="I297" s="99" t="s">
        <v>4</v>
      </c>
      <c r="J297" s="99" t="s">
        <v>4</v>
      </c>
      <c r="K297" s="99" t="s">
        <v>4</v>
      </c>
      <c r="L297" s="101"/>
      <c r="M297" s="104" t="str">
        <f>IF(Main[[#This Row],[Tech Start Date]]&lt;1/1/1990,"",IF(Main[[#This Row],[Class]]="C",WORKDAY(Main[[#This Row],[Tech Start Date]],9),IF(Main[[#This Row],[Class]]="B", WORKDAY(Main[[#This Row],[Tech Start Date]],6),IF(Main[[#This Row],[Class]]="A",WORKDAY(Main[[#This Row],[Tech Start Date]],2),""))))</f>
        <v/>
      </c>
      <c r="N297" s="104" t="str">
        <f>IF(Main[[#This Row],[Tech Start Date]]&lt;1/1/1990,"",IF(Main[[#This Row],[Class]]="C",WORKDAY(Main[[#This Row],[Tech Start Date]],19),IF(Main[[#This Row],[Class]]="B", WORKDAY(Main[[#This Row],[Tech Start Date]],12),IF(Main[[#This Row],[Class]]="A",WORKDAY(Main[[#This Row],[Tech Start Date]],4),""))))</f>
        <v/>
      </c>
      <c r="O297" s="104" t="str">
        <f>IF(Main[[#This Row],[Tech Start Date]]&lt;1/1/1990,"",IF(Main[[#This Row],[Class]]="C",WORKDAY(Main[[#This Row],[Tech Start Date]],23),IF(Main[[#This Row],[Class]]="B", WORKDAY(Main[[#This Row],[Tech Start Date]],15),IF(Main[[#This Row],[Class]]="A",WORKDAY(Main[[#This Row],[Tech Start Date]],5),""))))</f>
        <v/>
      </c>
      <c r="P297" s="104" t="str">
        <f>IF(Main[[#This Row],[Tech Start Date]]&lt;1/1/1990,"",IF(Main[[#This Row],[Class]]="C",WORKDAY(Main[[#This Row],[Tech Start Date]],28),IF(Main[[#This Row],[Class]]="B", WORKDAY(Main[[#This Row],[Tech Start Date]],19),IF(Main[[#This Row],[Class]]="A",WORKDAY(Main[[#This Row],[Tech Start Date]],9),""))))</f>
        <v/>
      </c>
      <c r="Q297" s="101">
        <v>40116</v>
      </c>
      <c r="R297" s="101"/>
      <c r="S297" s="99" t="s">
        <v>11</v>
      </c>
      <c r="T297" s="107" t="s">
        <v>4</v>
      </c>
      <c r="U297" s="99" t="s">
        <v>14</v>
      </c>
      <c r="V297" s="99" t="s">
        <v>1965</v>
      </c>
      <c r="W297" s="99" t="s">
        <v>1964</v>
      </c>
    </row>
    <row r="298" spans="1:23" ht="18.600000000000001" customHeight="1">
      <c r="A298" s="123" t="str">
        <f>IF(priority(Main[[#This Row],[Comments]])&lt;&gt;0, priority(Main[[#This Row],[Comments]]),"")</f>
        <v/>
      </c>
      <c r="B298" s="127" t="s">
        <v>1184</v>
      </c>
      <c r="C298" s="99" t="s">
        <v>208</v>
      </c>
      <c r="D298" s="100" t="s">
        <v>210</v>
      </c>
      <c r="E298" s="101"/>
      <c r="F298" s="101"/>
      <c r="G298" s="102" t="str">
        <f>IF(stdProdLT(Main[[#This Row],[Comments]])=0.1,"N/A",IF(stdProdLT(Main[[#This Row],[Comments]])=0,"",stdProdLT(Main[[#This Row],[Comments]])))</f>
        <v/>
      </c>
      <c r="H298" s="103" t="str">
        <f>IF(AND(Main[[#This Row],[In Stock Date]]&lt;&gt;"",Main[[#This Row],[Revised Due Date]]&lt;&gt;""),Main[[#This Row],[In Stock Date]]-Main[[#This Row],[Revised Due Date]],"")</f>
        <v/>
      </c>
      <c r="I298" s="99" t="s">
        <v>4</v>
      </c>
      <c r="J298" s="99" t="s">
        <v>4</v>
      </c>
      <c r="K298" s="99" t="s">
        <v>4</v>
      </c>
      <c r="L298" s="101"/>
      <c r="M298" s="104" t="str">
        <f>IF(Main[[#This Row],[Tech Start Date]]&lt;1/1/1990,"",IF(Main[[#This Row],[Class]]="C",WORKDAY(Main[[#This Row],[Tech Start Date]],9),IF(Main[[#This Row],[Class]]="B", WORKDAY(Main[[#This Row],[Tech Start Date]],6),IF(Main[[#This Row],[Class]]="A",WORKDAY(Main[[#This Row],[Tech Start Date]],2),""))))</f>
        <v/>
      </c>
      <c r="N298" s="104" t="str">
        <f>IF(Main[[#This Row],[Tech Start Date]]&lt;1/1/1990,"",IF(Main[[#This Row],[Class]]="C",WORKDAY(Main[[#This Row],[Tech Start Date]],19),IF(Main[[#This Row],[Class]]="B", WORKDAY(Main[[#This Row],[Tech Start Date]],12),IF(Main[[#This Row],[Class]]="A",WORKDAY(Main[[#This Row],[Tech Start Date]],4),""))))</f>
        <v/>
      </c>
      <c r="O298" s="104" t="str">
        <f>IF(Main[[#This Row],[Tech Start Date]]&lt;1/1/1990,"",IF(Main[[#This Row],[Class]]="C",WORKDAY(Main[[#This Row],[Tech Start Date]],23),IF(Main[[#This Row],[Class]]="B", WORKDAY(Main[[#This Row],[Tech Start Date]],15),IF(Main[[#This Row],[Class]]="A",WORKDAY(Main[[#This Row],[Tech Start Date]],5),""))))</f>
        <v/>
      </c>
      <c r="P298" s="104" t="str">
        <f>IF(Main[[#This Row],[Tech Start Date]]&lt;1/1/1990,"",IF(Main[[#This Row],[Class]]="C",WORKDAY(Main[[#This Row],[Tech Start Date]],28),IF(Main[[#This Row],[Class]]="B", WORKDAY(Main[[#This Row],[Tech Start Date]],19),IF(Main[[#This Row],[Class]]="A",WORKDAY(Main[[#This Row],[Tech Start Date]],9),""))))</f>
        <v/>
      </c>
      <c r="Q298" s="101">
        <v>40116</v>
      </c>
      <c r="R298" s="101"/>
      <c r="S298" s="99" t="s">
        <v>11</v>
      </c>
      <c r="T298" s="107" t="s">
        <v>4</v>
      </c>
      <c r="U298" s="99" t="s">
        <v>14</v>
      </c>
      <c r="V298" s="99" t="s">
        <v>1965</v>
      </c>
      <c r="W298" s="99" t="s">
        <v>1964</v>
      </c>
    </row>
    <row r="299" spans="1:23" ht="18.600000000000001" customHeight="1">
      <c r="A299" s="123" t="str">
        <f>IF(priority(Main[[#This Row],[Comments]])&lt;&gt;0, priority(Main[[#This Row],[Comments]]),"")</f>
        <v/>
      </c>
      <c r="B299" s="127" t="s">
        <v>1185</v>
      </c>
      <c r="C299" s="99" t="s">
        <v>4</v>
      </c>
      <c r="D299" s="100" t="s">
        <v>211</v>
      </c>
      <c r="E299" s="101"/>
      <c r="F299" s="101"/>
      <c r="G299" s="102" t="str">
        <f>IF(stdProdLT(Main[[#This Row],[Comments]])=0.1,"N/A",IF(stdProdLT(Main[[#This Row],[Comments]])=0,"",stdProdLT(Main[[#This Row],[Comments]])))</f>
        <v/>
      </c>
      <c r="H299" s="103" t="str">
        <f>IF(AND(Main[[#This Row],[In Stock Date]]&lt;&gt;"",Main[[#This Row],[Revised Due Date]]&lt;&gt;""),Main[[#This Row],[In Stock Date]]-Main[[#This Row],[Revised Due Date]],"")</f>
        <v/>
      </c>
      <c r="I299" s="99" t="s">
        <v>4</v>
      </c>
      <c r="J299" s="99" t="s">
        <v>28</v>
      </c>
      <c r="K299" s="99" t="s">
        <v>4</v>
      </c>
      <c r="L299" s="101"/>
      <c r="M299" s="104" t="str">
        <f>IF(Main[[#This Row],[Tech Start Date]]&lt;1/1/1990,"",IF(Main[[#This Row],[Class]]="C",WORKDAY(Main[[#This Row],[Tech Start Date]],9),IF(Main[[#This Row],[Class]]="B", WORKDAY(Main[[#This Row],[Tech Start Date]],6),IF(Main[[#This Row],[Class]]="A",WORKDAY(Main[[#This Row],[Tech Start Date]],2),""))))</f>
        <v/>
      </c>
      <c r="N299" s="104" t="str">
        <f>IF(Main[[#This Row],[Tech Start Date]]&lt;1/1/1990,"",IF(Main[[#This Row],[Class]]="C",WORKDAY(Main[[#This Row],[Tech Start Date]],19),IF(Main[[#This Row],[Class]]="B", WORKDAY(Main[[#This Row],[Tech Start Date]],12),IF(Main[[#This Row],[Class]]="A",WORKDAY(Main[[#This Row],[Tech Start Date]],4),""))))</f>
        <v/>
      </c>
      <c r="O299" s="104" t="str">
        <f>IF(Main[[#This Row],[Tech Start Date]]&lt;1/1/1990,"",IF(Main[[#This Row],[Class]]="C",WORKDAY(Main[[#This Row],[Tech Start Date]],23),IF(Main[[#This Row],[Class]]="B", WORKDAY(Main[[#This Row],[Tech Start Date]],15),IF(Main[[#This Row],[Class]]="A",WORKDAY(Main[[#This Row],[Tech Start Date]],5),""))))</f>
        <v/>
      </c>
      <c r="P299" s="104" t="str">
        <f>IF(Main[[#This Row],[Tech Start Date]]&lt;1/1/1990,"",IF(Main[[#This Row],[Class]]="C",WORKDAY(Main[[#This Row],[Tech Start Date]],28),IF(Main[[#This Row],[Class]]="B", WORKDAY(Main[[#This Row],[Tech Start Date]],19),IF(Main[[#This Row],[Class]]="A",WORKDAY(Main[[#This Row],[Tech Start Date]],9),""))))</f>
        <v/>
      </c>
      <c r="Q299" s="101"/>
      <c r="R299" s="101"/>
      <c r="S299" s="99" t="s">
        <v>6</v>
      </c>
      <c r="T299" s="107" t="s">
        <v>4</v>
      </c>
      <c r="U299" s="99" t="s">
        <v>12</v>
      </c>
      <c r="V299" s="99" t="s">
        <v>1972</v>
      </c>
      <c r="W299" s="99" t="s">
        <v>1968</v>
      </c>
    </row>
    <row r="300" spans="1:23" ht="18.600000000000001" customHeight="1">
      <c r="A300" s="123" t="str">
        <f>IF(priority(Main[[#This Row],[Comments]])&lt;&gt;0, priority(Main[[#This Row],[Comments]]),"")</f>
        <v/>
      </c>
      <c r="B300" s="127" t="s">
        <v>1902</v>
      </c>
      <c r="C300" s="99" t="s">
        <v>31</v>
      </c>
      <c r="D300" s="100" t="s">
        <v>933</v>
      </c>
      <c r="E300" s="101"/>
      <c r="F300" s="101">
        <v>40664</v>
      </c>
      <c r="G300" s="102" t="str">
        <f>IF(stdProdLT(Main[[#This Row],[Comments]])=0.1,"N/A",IF(stdProdLT(Main[[#This Row],[Comments]])=0,"",stdProdLT(Main[[#This Row],[Comments]])))</f>
        <v/>
      </c>
      <c r="H300" s="103">
        <f>IF(AND(Main[[#This Row],[In Stock Date]]&lt;&gt;"",Main[[#This Row],[Revised Due Date]]&lt;&gt;""),Main[[#This Row],[In Stock Date]]-Main[[#This Row],[Revised Due Date]],"")</f>
        <v>87</v>
      </c>
      <c r="I300" s="99" t="s">
        <v>423</v>
      </c>
      <c r="J300" s="99" t="s">
        <v>75</v>
      </c>
      <c r="K300" s="99" t="s">
        <v>1971</v>
      </c>
      <c r="L300" s="101"/>
      <c r="M300" s="104" t="str">
        <f>IF(Main[[#This Row],[Tech Start Date]]&lt;1/1/1990,"",IF(Main[[#This Row],[Class]]="C",WORKDAY(Main[[#This Row],[Tech Start Date]],9),IF(Main[[#This Row],[Class]]="B", WORKDAY(Main[[#This Row],[Tech Start Date]],6),IF(Main[[#This Row],[Class]]="A",WORKDAY(Main[[#This Row],[Tech Start Date]],2),""))))</f>
        <v/>
      </c>
      <c r="N300" s="104" t="str">
        <f>IF(Main[[#This Row],[Tech Start Date]]&lt;1/1/1990,"",IF(Main[[#This Row],[Class]]="C",WORKDAY(Main[[#This Row],[Tech Start Date]],19),IF(Main[[#This Row],[Class]]="B", WORKDAY(Main[[#This Row],[Tech Start Date]],12),IF(Main[[#This Row],[Class]]="A",WORKDAY(Main[[#This Row],[Tech Start Date]],4),""))))</f>
        <v/>
      </c>
      <c r="O300" s="104" t="str">
        <f>IF(Main[[#This Row],[Tech Start Date]]&lt;1/1/1990,"",IF(Main[[#This Row],[Class]]="C",WORKDAY(Main[[#This Row],[Tech Start Date]],23),IF(Main[[#This Row],[Class]]="B", WORKDAY(Main[[#This Row],[Tech Start Date]],15),IF(Main[[#This Row],[Class]]="A",WORKDAY(Main[[#This Row],[Tech Start Date]],5),""))))</f>
        <v/>
      </c>
      <c r="P300" s="104" t="str">
        <f>IF(Main[[#This Row],[Tech Start Date]]&lt;1/1/1990,"",IF(Main[[#This Row],[Class]]="C",WORKDAY(Main[[#This Row],[Tech Start Date]],28),IF(Main[[#This Row],[Class]]="B", WORKDAY(Main[[#This Row],[Tech Start Date]],19),IF(Main[[#This Row],[Class]]="A",WORKDAY(Main[[#This Row],[Tech Start Date]],9),""))))</f>
        <v/>
      </c>
      <c r="Q300" s="101">
        <v>40589</v>
      </c>
      <c r="R300" s="101">
        <v>40577</v>
      </c>
      <c r="S300" s="99" t="s">
        <v>11</v>
      </c>
      <c r="T300" s="107" t="s">
        <v>4</v>
      </c>
      <c r="U300" s="99" t="s">
        <v>14</v>
      </c>
      <c r="V300" s="99" t="s">
        <v>1965</v>
      </c>
      <c r="W300" s="99" t="s">
        <v>1968</v>
      </c>
    </row>
    <row r="301" spans="1:23" ht="18.600000000000001" customHeight="1">
      <c r="A301" s="123" t="str">
        <f>IF(priority(Main[[#This Row],[Comments]])&lt;&gt;0, priority(Main[[#This Row],[Comments]]),"")</f>
        <v/>
      </c>
      <c r="B301" s="127" t="s">
        <v>1191</v>
      </c>
      <c r="C301" s="99" t="s">
        <v>214</v>
      </c>
      <c r="D301" s="100" t="s">
        <v>215</v>
      </c>
      <c r="E301" s="101"/>
      <c r="F301" s="101">
        <v>40391</v>
      </c>
      <c r="G301" s="102" t="str">
        <f>IF(stdProdLT(Main[[#This Row],[Comments]])=0.1,"N/A",IF(stdProdLT(Main[[#This Row],[Comments]])=0,"",stdProdLT(Main[[#This Row],[Comments]])))</f>
        <v/>
      </c>
      <c r="H301" s="103" t="str">
        <f>IF(AND(Main[[#This Row],[In Stock Date]]&lt;&gt;"",Main[[#This Row],[Revised Due Date]]&lt;&gt;""),Main[[#This Row],[In Stock Date]]-Main[[#This Row],[Revised Due Date]],"")</f>
        <v/>
      </c>
      <c r="I301" s="99" t="s">
        <v>4</v>
      </c>
      <c r="J301" s="99" t="s">
        <v>4</v>
      </c>
      <c r="K301" s="99" t="s">
        <v>4</v>
      </c>
      <c r="L301" s="101"/>
      <c r="M301" s="104" t="str">
        <f>IF(Main[[#This Row],[Tech Start Date]]&lt;1/1/1990,"",IF(Main[[#This Row],[Class]]="C",WORKDAY(Main[[#This Row],[Tech Start Date]],9),IF(Main[[#This Row],[Class]]="B", WORKDAY(Main[[#This Row],[Tech Start Date]],6),IF(Main[[#This Row],[Class]]="A",WORKDAY(Main[[#This Row],[Tech Start Date]],2),""))))</f>
        <v/>
      </c>
      <c r="N301" s="104" t="str">
        <f>IF(Main[[#This Row],[Tech Start Date]]&lt;1/1/1990,"",IF(Main[[#This Row],[Class]]="C",WORKDAY(Main[[#This Row],[Tech Start Date]],19),IF(Main[[#This Row],[Class]]="B", WORKDAY(Main[[#This Row],[Tech Start Date]],12),IF(Main[[#This Row],[Class]]="A",WORKDAY(Main[[#This Row],[Tech Start Date]],4),""))))</f>
        <v/>
      </c>
      <c r="O301" s="104" t="str">
        <f>IF(Main[[#This Row],[Tech Start Date]]&lt;1/1/1990,"",IF(Main[[#This Row],[Class]]="C",WORKDAY(Main[[#This Row],[Tech Start Date]],23),IF(Main[[#This Row],[Class]]="B", WORKDAY(Main[[#This Row],[Tech Start Date]],15),IF(Main[[#This Row],[Class]]="A",WORKDAY(Main[[#This Row],[Tech Start Date]],5),""))))</f>
        <v/>
      </c>
      <c r="P301" s="104" t="str">
        <f>IF(Main[[#This Row],[Tech Start Date]]&lt;1/1/1990,"",IF(Main[[#This Row],[Class]]="C",WORKDAY(Main[[#This Row],[Tech Start Date]],28),IF(Main[[#This Row],[Class]]="B", WORKDAY(Main[[#This Row],[Tech Start Date]],19),IF(Main[[#This Row],[Class]]="A",WORKDAY(Main[[#This Row],[Tech Start Date]],9),""))))</f>
        <v/>
      </c>
      <c r="Q301" s="101">
        <v>40296</v>
      </c>
      <c r="R301" s="101"/>
      <c r="S301" s="99" t="s">
        <v>11</v>
      </c>
      <c r="T301" s="107" t="s">
        <v>4</v>
      </c>
      <c r="U301" s="99" t="s">
        <v>12</v>
      </c>
      <c r="V301" s="99" t="s">
        <v>1962</v>
      </c>
      <c r="W301" s="99" t="s">
        <v>1970</v>
      </c>
    </row>
    <row r="302" spans="1:23" ht="18.600000000000001" customHeight="1">
      <c r="A302" s="123" t="str">
        <f>IF(priority(Main[[#This Row],[Comments]])&lt;&gt;0, priority(Main[[#This Row],[Comments]]),"")</f>
        <v/>
      </c>
      <c r="B302" s="127" t="s">
        <v>1193</v>
      </c>
      <c r="C302" s="99" t="s">
        <v>216</v>
      </c>
      <c r="D302" s="100" t="s">
        <v>217</v>
      </c>
      <c r="E302" s="101">
        <v>40395.391388888886</v>
      </c>
      <c r="F302" s="101">
        <v>40574</v>
      </c>
      <c r="G302" s="102" t="str">
        <f>IF(stdProdLT(Main[[#This Row],[Comments]])=0.1,"N/A",IF(stdProdLT(Main[[#This Row],[Comments]])=0,"",stdProdLT(Main[[#This Row],[Comments]])))</f>
        <v/>
      </c>
      <c r="H302" s="103" t="str">
        <f>IF(AND(Main[[#This Row],[In Stock Date]]&lt;&gt;"",Main[[#This Row],[Revised Due Date]]&lt;&gt;""),Main[[#This Row],[In Stock Date]]-Main[[#This Row],[Revised Due Date]],"")</f>
        <v/>
      </c>
      <c r="I302" s="99" t="s">
        <v>4</v>
      </c>
      <c r="J302" s="99" t="s">
        <v>28</v>
      </c>
      <c r="K302" s="99" t="s">
        <v>4</v>
      </c>
      <c r="L302" s="101"/>
      <c r="M302" s="104" t="str">
        <f>IF(Main[[#This Row],[Tech Start Date]]&lt;1/1/1990,"",IF(Main[[#This Row],[Class]]="C",WORKDAY(Main[[#This Row],[Tech Start Date]],9),IF(Main[[#This Row],[Class]]="B", WORKDAY(Main[[#This Row],[Tech Start Date]],6),IF(Main[[#This Row],[Class]]="A",WORKDAY(Main[[#This Row],[Tech Start Date]],2),""))))</f>
        <v/>
      </c>
      <c r="N302" s="104" t="str">
        <f>IF(Main[[#This Row],[Tech Start Date]]&lt;1/1/1990,"",IF(Main[[#This Row],[Class]]="C",WORKDAY(Main[[#This Row],[Tech Start Date]],19),IF(Main[[#This Row],[Class]]="B", WORKDAY(Main[[#This Row],[Tech Start Date]],12),IF(Main[[#This Row],[Class]]="A",WORKDAY(Main[[#This Row],[Tech Start Date]],4),""))))</f>
        <v/>
      </c>
      <c r="O302" s="104" t="str">
        <f>IF(Main[[#This Row],[Tech Start Date]]&lt;1/1/1990,"",IF(Main[[#This Row],[Class]]="C",WORKDAY(Main[[#This Row],[Tech Start Date]],23),IF(Main[[#This Row],[Class]]="B", WORKDAY(Main[[#This Row],[Tech Start Date]],15),IF(Main[[#This Row],[Class]]="A",WORKDAY(Main[[#This Row],[Tech Start Date]],5),""))))</f>
        <v/>
      </c>
      <c r="P302" s="104" t="str">
        <f>IF(Main[[#This Row],[Tech Start Date]]&lt;1/1/1990,"",IF(Main[[#This Row],[Class]]="C",WORKDAY(Main[[#This Row],[Tech Start Date]],28),IF(Main[[#This Row],[Class]]="B", WORKDAY(Main[[#This Row],[Tech Start Date]],19),IF(Main[[#This Row],[Class]]="A",WORKDAY(Main[[#This Row],[Tech Start Date]],9),""))))</f>
        <v/>
      </c>
      <c r="Q302" s="101"/>
      <c r="R302" s="101"/>
      <c r="S302" s="99" t="s">
        <v>17</v>
      </c>
      <c r="T302" s="107" t="s">
        <v>4</v>
      </c>
      <c r="U302" s="99" t="s">
        <v>7</v>
      </c>
      <c r="V302" s="99" t="s">
        <v>1962</v>
      </c>
      <c r="W302" s="99" t="s">
        <v>1967</v>
      </c>
    </row>
    <row r="303" spans="1:23" ht="18.600000000000001" customHeight="1">
      <c r="A303" s="123" t="str">
        <f>IF(priority(Main[[#This Row],[Comments]])&lt;&gt;0, priority(Main[[#This Row],[Comments]]),"")</f>
        <v/>
      </c>
      <c r="B303" s="127" t="s">
        <v>1194</v>
      </c>
      <c r="C303" s="99" t="s">
        <v>171</v>
      </c>
      <c r="D303" s="100" t="s">
        <v>218</v>
      </c>
      <c r="E303" s="101"/>
      <c r="F303" s="101">
        <v>40237</v>
      </c>
      <c r="G303" s="102" t="str">
        <f>IF(stdProdLT(Main[[#This Row],[Comments]])=0.1,"N/A",IF(stdProdLT(Main[[#This Row],[Comments]])=0,"",stdProdLT(Main[[#This Row],[Comments]])))</f>
        <v/>
      </c>
      <c r="H303" s="103" t="str">
        <f>IF(AND(Main[[#This Row],[In Stock Date]]&lt;&gt;"",Main[[#This Row],[Revised Due Date]]&lt;&gt;""),Main[[#This Row],[In Stock Date]]-Main[[#This Row],[Revised Due Date]],"")</f>
        <v/>
      </c>
      <c r="I303" s="99" t="s">
        <v>4</v>
      </c>
      <c r="J303" s="99" t="s">
        <v>4</v>
      </c>
      <c r="K303" s="99" t="s">
        <v>4</v>
      </c>
      <c r="L303" s="101"/>
      <c r="M303" s="104" t="str">
        <f>IF(Main[[#This Row],[Tech Start Date]]&lt;1/1/1990,"",IF(Main[[#This Row],[Class]]="C",WORKDAY(Main[[#This Row],[Tech Start Date]],9),IF(Main[[#This Row],[Class]]="B", WORKDAY(Main[[#This Row],[Tech Start Date]],6),IF(Main[[#This Row],[Class]]="A",WORKDAY(Main[[#This Row],[Tech Start Date]],2),""))))</f>
        <v/>
      </c>
      <c r="N303" s="104" t="str">
        <f>IF(Main[[#This Row],[Tech Start Date]]&lt;1/1/1990,"",IF(Main[[#This Row],[Class]]="C",WORKDAY(Main[[#This Row],[Tech Start Date]],19),IF(Main[[#This Row],[Class]]="B", WORKDAY(Main[[#This Row],[Tech Start Date]],12),IF(Main[[#This Row],[Class]]="A",WORKDAY(Main[[#This Row],[Tech Start Date]],4),""))))</f>
        <v/>
      </c>
      <c r="O303" s="104" t="str">
        <f>IF(Main[[#This Row],[Tech Start Date]]&lt;1/1/1990,"",IF(Main[[#This Row],[Class]]="C",WORKDAY(Main[[#This Row],[Tech Start Date]],23),IF(Main[[#This Row],[Class]]="B", WORKDAY(Main[[#This Row],[Tech Start Date]],15),IF(Main[[#This Row],[Class]]="A",WORKDAY(Main[[#This Row],[Tech Start Date]],5),""))))</f>
        <v/>
      </c>
      <c r="P303" s="104" t="str">
        <f>IF(Main[[#This Row],[Tech Start Date]]&lt;1/1/1990,"",IF(Main[[#This Row],[Class]]="C",WORKDAY(Main[[#This Row],[Tech Start Date]],28),IF(Main[[#This Row],[Class]]="B", WORKDAY(Main[[#This Row],[Tech Start Date]],19),IF(Main[[#This Row],[Class]]="A",WORKDAY(Main[[#This Row],[Tech Start Date]],9),""))))</f>
        <v/>
      </c>
      <c r="Q303" s="101">
        <v>40132</v>
      </c>
      <c r="R303" s="101"/>
      <c r="S303" s="99" t="s">
        <v>11</v>
      </c>
      <c r="T303" s="107" t="s">
        <v>4</v>
      </c>
      <c r="U303" s="99" t="s">
        <v>14</v>
      </c>
      <c r="V303" s="99" t="s">
        <v>1962</v>
      </c>
      <c r="W303" s="99" t="s">
        <v>1967</v>
      </c>
    </row>
    <row r="304" spans="1:23" ht="18.600000000000001" customHeight="1">
      <c r="A304" s="123" t="str">
        <f>IF(priority(Main[[#This Row],[Comments]])&lt;&gt;0, priority(Main[[#This Row],[Comments]]),"")</f>
        <v/>
      </c>
      <c r="B304" s="127" t="s">
        <v>1195</v>
      </c>
      <c r="C304" s="99" t="s">
        <v>4</v>
      </c>
      <c r="D304" s="100" t="s">
        <v>219</v>
      </c>
      <c r="E304" s="101"/>
      <c r="F304" s="101"/>
      <c r="G304" s="102" t="str">
        <f>IF(stdProdLT(Main[[#This Row],[Comments]])=0.1,"N/A",IF(stdProdLT(Main[[#This Row],[Comments]])=0,"",stdProdLT(Main[[#This Row],[Comments]])))</f>
        <v/>
      </c>
      <c r="H304" s="103" t="str">
        <f>IF(AND(Main[[#This Row],[In Stock Date]]&lt;&gt;"",Main[[#This Row],[Revised Due Date]]&lt;&gt;""),Main[[#This Row],[In Stock Date]]-Main[[#This Row],[Revised Due Date]],"")</f>
        <v/>
      </c>
      <c r="I304" s="99" t="s">
        <v>4</v>
      </c>
      <c r="J304" s="99" t="s">
        <v>4</v>
      </c>
      <c r="K304" s="99" t="s">
        <v>4</v>
      </c>
      <c r="L304" s="101"/>
      <c r="M304" s="104" t="str">
        <f>IF(Main[[#This Row],[Tech Start Date]]&lt;1/1/1990,"",IF(Main[[#This Row],[Class]]="C",WORKDAY(Main[[#This Row],[Tech Start Date]],9),IF(Main[[#This Row],[Class]]="B", WORKDAY(Main[[#This Row],[Tech Start Date]],6),IF(Main[[#This Row],[Class]]="A",WORKDAY(Main[[#This Row],[Tech Start Date]],2),""))))</f>
        <v/>
      </c>
      <c r="N304" s="104" t="str">
        <f>IF(Main[[#This Row],[Tech Start Date]]&lt;1/1/1990,"",IF(Main[[#This Row],[Class]]="C",WORKDAY(Main[[#This Row],[Tech Start Date]],19),IF(Main[[#This Row],[Class]]="B", WORKDAY(Main[[#This Row],[Tech Start Date]],12),IF(Main[[#This Row],[Class]]="A",WORKDAY(Main[[#This Row],[Tech Start Date]],4),""))))</f>
        <v/>
      </c>
      <c r="O304" s="104" t="str">
        <f>IF(Main[[#This Row],[Tech Start Date]]&lt;1/1/1990,"",IF(Main[[#This Row],[Class]]="C",WORKDAY(Main[[#This Row],[Tech Start Date]],23),IF(Main[[#This Row],[Class]]="B", WORKDAY(Main[[#This Row],[Tech Start Date]],15),IF(Main[[#This Row],[Class]]="A",WORKDAY(Main[[#This Row],[Tech Start Date]],5),""))))</f>
        <v/>
      </c>
      <c r="P304" s="104" t="str">
        <f>IF(Main[[#This Row],[Tech Start Date]]&lt;1/1/1990,"",IF(Main[[#This Row],[Class]]="C",WORKDAY(Main[[#This Row],[Tech Start Date]],28),IF(Main[[#This Row],[Class]]="B", WORKDAY(Main[[#This Row],[Tech Start Date]],19),IF(Main[[#This Row],[Class]]="A",WORKDAY(Main[[#This Row],[Tech Start Date]],9),""))))</f>
        <v/>
      </c>
      <c r="Q304" s="101"/>
      <c r="R304" s="101"/>
      <c r="S304" s="99" t="s">
        <v>17</v>
      </c>
      <c r="T304" s="107" t="s">
        <v>4</v>
      </c>
      <c r="U304" s="99" t="s">
        <v>12</v>
      </c>
      <c r="V304" s="99" t="s">
        <v>1962</v>
      </c>
      <c r="W304" s="99" t="s">
        <v>1966</v>
      </c>
    </row>
    <row r="305" spans="1:23" ht="18.600000000000001" customHeight="1">
      <c r="A305" s="123" t="str">
        <f>IF(priority(Main[[#This Row],[Comments]])&lt;&gt;0, priority(Main[[#This Row],[Comments]]),"")</f>
        <v/>
      </c>
      <c r="B305" s="127" t="s">
        <v>1197</v>
      </c>
      <c r="C305" s="99" t="s">
        <v>93</v>
      </c>
      <c r="D305" s="100" t="s">
        <v>221</v>
      </c>
      <c r="E305" s="101"/>
      <c r="F305" s="101">
        <v>40299</v>
      </c>
      <c r="G305" s="102" t="str">
        <f>IF(stdProdLT(Main[[#This Row],[Comments]])=0.1,"N/A",IF(stdProdLT(Main[[#This Row],[Comments]])=0,"",stdProdLT(Main[[#This Row],[Comments]])))</f>
        <v/>
      </c>
      <c r="H305" s="103" t="str">
        <f>IF(AND(Main[[#This Row],[In Stock Date]]&lt;&gt;"",Main[[#This Row],[Revised Due Date]]&lt;&gt;""),Main[[#This Row],[In Stock Date]]-Main[[#This Row],[Revised Due Date]],"")</f>
        <v/>
      </c>
      <c r="I305" s="99" t="s">
        <v>4</v>
      </c>
      <c r="J305" s="99" t="s">
        <v>4</v>
      </c>
      <c r="K305" s="108" t="s">
        <v>4</v>
      </c>
      <c r="L305" s="101"/>
      <c r="M305" s="104" t="str">
        <f>IF(Main[[#This Row],[Tech Start Date]]&lt;1/1/1990,"",IF(Main[[#This Row],[Class]]="C",WORKDAY(Main[[#This Row],[Tech Start Date]],9),IF(Main[[#This Row],[Class]]="B", WORKDAY(Main[[#This Row],[Tech Start Date]],6),IF(Main[[#This Row],[Class]]="A",WORKDAY(Main[[#This Row],[Tech Start Date]],2),""))))</f>
        <v/>
      </c>
      <c r="N305" s="104" t="str">
        <f>IF(Main[[#This Row],[Tech Start Date]]&lt;1/1/1990,"",IF(Main[[#This Row],[Class]]="C",WORKDAY(Main[[#This Row],[Tech Start Date]],19),IF(Main[[#This Row],[Class]]="B", WORKDAY(Main[[#This Row],[Tech Start Date]],12),IF(Main[[#This Row],[Class]]="A",WORKDAY(Main[[#This Row],[Tech Start Date]],4),""))))</f>
        <v/>
      </c>
      <c r="O305" s="104" t="str">
        <f>IF(Main[[#This Row],[Tech Start Date]]&lt;1/1/1990,"",IF(Main[[#This Row],[Class]]="C",WORKDAY(Main[[#This Row],[Tech Start Date]],23),IF(Main[[#This Row],[Class]]="B", WORKDAY(Main[[#This Row],[Tech Start Date]],15),IF(Main[[#This Row],[Class]]="A",WORKDAY(Main[[#This Row],[Tech Start Date]],5),""))))</f>
        <v/>
      </c>
      <c r="P305" s="104" t="str">
        <f>IF(Main[[#This Row],[Tech Start Date]]&lt;1/1/1990,"",IF(Main[[#This Row],[Class]]="C",WORKDAY(Main[[#This Row],[Tech Start Date]],28),IF(Main[[#This Row],[Class]]="B", WORKDAY(Main[[#This Row],[Tech Start Date]],19),IF(Main[[#This Row],[Class]]="A",WORKDAY(Main[[#This Row],[Tech Start Date]],9),""))))</f>
        <v/>
      </c>
      <c r="Q305" s="101">
        <v>40214</v>
      </c>
      <c r="R305" s="101"/>
      <c r="S305" s="99" t="s">
        <v>11</v>
      </c>
      <c r="T305" s="107" t="s">
        <v>4</v>
      </c>
      <c r="U305" s="99" t="s">
        <v>12</v>
      </c>
      <c r="V305" s="99" t="s">
        <v>1962</v>
      </c>
      <c r="W305" s="99" t="s">
        <v>1968</v>
      </c>
    </row>
    <row r="306" spans="1:23" ht="18.600000000000001" customHeight="1">
      <c r="A306" s="123" t="str">
        <f>IF(priority(Main[[#This Row],[Comments]])&lt;&gt;0, priority(Main[[#This Row],[Comments]]),"")</f>
        <v/>
      </c>
      <c r="B306" s="127" t="s">
        <v>1198</v>
      </c>
      <c r="C306" s="99" t="s">
        <v>113</v>
      </c>
      <c r="D306" s="100" t="s">
        <v>222</v>
      </c>
      <c r="E306" s="101"/>
      <c r="F306" s="101">
        <v>40193</v>
      </c>
      <c r="G306" s="102" t="str">
        <f>IF(stdProdLT(Main[[#This Row],[Comments]])=0.1,"N/A",IF(stdProdLT(Main[[#This Row],[Comments]])=0,"",stdProdLT(Main[[#This Row],[Comments]])))</f>
        <v/>
      </c>
      <c r="H306" s="103" t="str">
        <f>IF(AND(Main[[#This Row],[In Stock Date]]&lt;&gt;"",Main[[#This Row],[Revised Due Date]]&lt;&gt;""),Main[[#This Row],[In Stock Date]]-Main[[#This Row],[Revised Due Date]],"")</f>
        <v/>
      </c>
      <c r="I306" s="99" t="s">
        <v>4</v>
      </c>
      <c r="J306" s="99" t="s">
        <v>4</v>
      </c>
      <c r="K306" s="99" t="s">
        <v>4</v>
      </c>
      <c r="L306" s="101"/>
      <c r="M306" s="104" t="str">
        <f>IF(Main[[#This Row],[Tech Start Date]]&lt;1/1/1990,"",IF(Main[[#This Row],[Class]]="C",WORKDAY(Main[[#This Row],[Tech Start Date]],9),IF(Main[[#This Row],[Class]]="B", WORKDAY(Main[[#This Row],[Tech Start Date]],6),IF(Main[[#This Row],[Class]]="A",WORKDAY(Main[[#This Row],[Tech Start Date]],2),""))))</f>
        <v/>
      </c>
      <c r="N306" s="104" t="str">
        <f>IF(Main[[#This Row],[Tech Start Date]]&lt;1/1/1990,"",IF(Main[[#This Row],[Class]]="C",WORKDAY(Main[[#This Row],[Tech Start Date]],19),IF(Main[[#This Row],[Class]]="B", WORKDAY(Main[[#This Row],[Tech Start Date]],12),IF(Main[[#This Row],[Class]]="A",WORKDAY(Main[[#This Row],[Tech Start Date]],4),""))))</f>
        <v/>
      </c>
      <c r="O306" s="104" t="str">
        <f>IF(Main[[#This Row],[Tech Start Date]]&lt;1/1/1990,"",IF(Main[[#This Row],[Class]]="C",WORKDAY(Main[[#This Row],[Tech Start Date]],23),IF(Main[[#This Row],[Class]]="B", WORKDAY(Main[[#This Row],[Tech Start Date]],15),IF(Main[[#This Row],[Class]]="A",WORKDAY(Main[[#This Row],[Tech Start Date]],5),""))))</f>
        <v/>
      </c>
      <c r="P306" s="104" t="str">
        <f>IF(Main[[#This Row],[Tech Start Date]]&lt;1/1/1990,"",IF(Main[[#This Row],[Class]]="C",WORKDAY(Main[[#This Row],[Tech Start Date]],28),IF(Main[[#This Row],[Class]]="B", WORKDAY(Main[[#This Row],[Tech Start Date]],19),IF(Main[[#This Row],[Class]]="A",WORKDAY(Main[[#This Row],[Tech Start Date]],9),""))))</f>
        <v/>
      </c>
      <c r="Q306" s="101">
        <v>40448</v>
      </c>
      <c r="R306" s="101"/>
      <c r="S306" s="99" t="s">
        <v>11</v>
      </c>
      <c r="T306" s="107" t="s">
        <v>4</v>
      </c>
      <c r="U306" s="99" t="s">
        <v>14</v>
      </c>
      <c r="V306" s="99" t="s">
        <v>1972</v>
      </c>
      <c r="W306" s="99" t="s">
        <v>1968</v>
      </c>
    </row>
    <row r="307" spans="1:23" ht="18.600000000000001" customHeight="1">
      <c r="A307" s="123" t="str">
        <f>IF(priority(Main[[#This Row],[Comments]])&lt;&gt;0, priority(Main[[#This Row],[Comments]]),"")</f>
        <v/>
      </c>
      <c r="B307" s="127" t="s">
        <v>1199</v>
      </c>
      <c r="C307" s="99" t="s">
        <v>4</v>
      </c>
      <c r="D307" s="100" t="s">
        <v>223</v>
      </c>
      <c r="E307" s="101"/>
      <c r="F307" s="101">
        <v>40031</v>
      </c>
      <c r="G307" s="102" t="str">
        <f>IF(stdProdLT(Main[[#This Row],[Comments]])=0.1,"N/A",IF(stdProdLT(Main[[#This Row],[Comments]])=0,"",stdProdLT(Main[[#This Row],[Comments]])))</f>
        <v/>
      </c>
      <c r="H307" s="103" t="str">
        <f>IF(AND(Main[[#This Row],[In Stock Date]]&lt;&gt;"",Main[[#This Row],[Revised Due Date]]&lt;&gt;""),Main[[#This Row],[In Stock Date]]-Main[[#This Row],[Revised Due Date]],"")</f>
        <v/>
      </c>
      <c r="I307" s="99" t="s">
        <v>4</v>
      </c>
      <c r="J307" s="99" t="s">
        <v>4</v>
      </c>
      <c r="K307" s="99" t="s">
        <v>4</v>
      </c>
      <c r="L307" s="101"/>
      <c r="M307" s="104" t="str">
        <f>IF(Main[[#This Row],[Tech Start Date]]&lt;1/1/1990,"",IF(Main[[#This Row],[Class]]="C",WORKDAY(Main[[#This Row],[Tech Start Date]],9),IF(Main[[#This Row],[Class]]="B", WORKDAY(Main[[#This Row],[Tech Start Date]],6),IF(Main[[#This Row],[Class]]="A",WORKDAY(Main[[#This Row],[Tech Start Date]],2),""))))</f>
        <v/>
      </c>
      <c r="N307" s="104" t="str">
        <f>IF(Main[[#This Row],[Tech Start Date]]&lt;1/1/1990,"",IF(Main[[#This Row],[Class]]="C",WORKDAY(Main[[#This Row],[Tech Start Date]],19),IF(Main[[#This Row],[Class]]="B", WORKDAY(Main[[#This Row],[Tech Start Date]],12),IF(Main[[#This Row],[Class]]="A",WORKDAY(Main[[#This Row],[Tech Start Date]],4),""))))</f>
        <v/>
      </c>
      <c r="O307" s="104" t="str">
        <f>IF(Main[[#This Row],[Tech Start Date]]&lt;1/1/1990,"",IF(Main[[#This Row],[Class]]="C",WORKDAY(Main[[#This Row],[Tech Start Date]],23),IF(Main[[#This Row],[Class]]="B", WORKDAY(Main[[#This Row],[Tech Start Date]],15),IF(Main[[#This Row],[Class]]="A",WORKDAY(Main[[#This Row],[Tech Start Date]],5),""))))</f>
        <v/>
      </c>
      <c r="P307" s="104" t="str">
        <f>IF(Main[[#This Row],[Tech Start Date]]&lt;1/1/1990,"",IF(Main[[#This Row],[Class]]="C",WORKDAY(Main[[#This Row],[Tech Start Date]],28),IF(Main[[#This Row],[Class]]="B", WORKDAY(Main[[#This Row],[Tech Start Date]],19),IF(Main[[#This Row],[Class]]="A",WORKDAY(Main[[#This Row],[Tech Start Date]],9),""))))</f>
        <v/>
      </c>
      <c r="Q307" s="101">
        <v>39976</v>
      </c>
      <c r="R307" s="101"/>
      <c r="S307" s="99" t="s">
        <v>11</v>
      </c>
      <c r="T307" s="107" t="s">
        <v>4</v>
      </c>
      <c r="U307" s="99" t="s">
        <v>14</v>
      </c>
      <c r="V307" s="99" t="s">
        <v>1963</v>
      </c>
      <c r="W307" s="99" t="s">
        <v>1970</v>
      </c>
    </row>
    <row r="308" spans="1:23" ht="18.600000000000001" customHeight="1">
      <c r="A308" s="123" t="str">
        <f>IF(priority(Main[[#This Row],[Comments]])&lt;&gt;0, priority(Main[[#This Row],[Comments]]),"")</f>
        <v/>
      </c>
      <c r="B308" s="127" t="s">
        <v>1200</v>
      </c>
      <c r="C308" s="99" t="s">
        <v>4</v>
      </c>
      <c r="D308" s="100" t="s">
        <v>224</v>
      </c>
      <c r="E308" s="101"/>
      <c r="F308" s="101">
        <v>40309</v>
      </c>
      <c r="G308" s="102" t="str">
        <f>IF(stdProdLT(Main[[#This Row],[Comments]])=0.1,"N/A",IF(stdProdLT(Main[[#This Row],[Comments]])=0,"",stdProdLT(Main[[#This Row],[Comments]])))</f>
        <v/>
      </c>
      <c r="H308" s="103" t="str">
        <f>IF(AND(Main[[#This Row],[In Stock Date]]&lt;&gt;"",Main[[#This Row],[Revised Due Date]]&lt;&gt;""),Main[[#This Row],[In Stock Date]]-Main[[#This Row],[Revised Due Date]],"")</f>
        <v/>
      </c>
      <c r="I308" s="99" t="s">
        <v>4</v>
      </c>
      <c r="J308" s="99" t="s">
        <v>4</v>
      </c>
      <c r="K308" s="99" t="s">
        <v>4</v>
      </c>
      <c r="L308" s="101"/>
      <c r="M308" s="104" t="str">
        <f>IF(Main[[#This Row],[Tech Start Date]]&lt;1/1/1990,"",IF(Main[[#This Row],[Class]]="C",WORKDAY(Main[[#This Row],[Tech Start Date]],9),IF(Main[[#This Row],[Class]]="B", WORKDAY(Main[[#This Row],[Tech Start Date]],6),IF(Main[[#This Row],[Class]]="A",WORKDAY(Main[[#This Row],[Tech Start Date]],2),""))))</f>
        <v/>
      </c>
      <c r="N308" s="104" t="str">
        <f>IF(Main[[#This Row],[Tech Start Date]]&lt;1/1/1990,"",IF(Main[[#This Row],[Class]]="C",WORKDAY(Main[[#This Row],[Tech Start Date]],19),IF(Main[[#This Row],[Class]]="B", WORKDAY(Main[[#This Row],[Tech Start Date]],12),IF(Main[[#This Row],[Class]]="A",WORKDAY(Main[[#This Row],[Tech Start Date]],4),""))))</f>
        <v/>
      </c>
      <c r="O308" s="104" t="str">
        <f>IF(Main[[#This Row],[Tech Start Date]]&lt;1/1/1990,"",IF(Main[[#This Row],[Class]]="C",WORKDAY(Main[[#This Row],[Tech Start Date]],23),IF(Main[[#This Row],[Class]]="B", WORKDAY(Main[[#This Row],[Tech Start Date]],15),IF(Main[[#This Row],[Class]]="A",WORKDAY(Main[[#This Row],[Tech Start Date]],5),""))))</f>
        <v/>
      </c>
      <c r="P308" s="104" t="str">
        <f>IF(Main[[#This Row],[Tech Start Date]]&lt;1/1/1990,"",IF(Main[[#This Row],[Class]]="C",WORKDAY(Main[[#This Row],[Tech Start Date]],28),IF(Main[[#This Row],[Class]]="B", WORKDAY(Main[[#This Row],[Tech Start Date]],19),IF(Main[[#This Row],[Class]]="A",WORKDAY(Main[[#This Row],[Tech Start Date]],9),""))))</f>
        <v/>
      </c>
      <c r="Q308" s="101">
        <v>40305</v>
      </c>
      <c r="R308" s="101"/>
      <c r="S308" s="99" t="s">
        <v>6</v>
      </c>
      <c r="T308" s="107" t="s">
        <v>4</v>
      </c>
      <c r="U308" s="99" t="s">
        <v>12</v>
      </c>
      <c r="V308" s="99" t="s">
        <v>1962</v>
      </c>
      <c r="W308" s="99" t="s">
        <v>1970</v>
      </c>
    </row>
    <row r="309" spans="1:23" ht="18.600000000000001" customHeight="1">
      <c r="A309" s="123" t="str">
        <f>IF(priority(Main[[#This Row],[Comments]])&lt;&gt;0, priority(Main[[#This Row],[Comments]]),"")</f>
        <v/>
      </c>
      <c r="B309" s="127" t="s">
        <v>1201</v>
      </c>
      <c r="C309" s="99" t="s">
        <v>31</v>
      </c>
      <c r="D309" s="100" t="s">
        <v>225</v>
      </c>
      <c r="E309" s="101"/>
      <c r="F309" s="101">
        <v>40169</v>
      </c>
      <c r="G309" s="102" t="str">
        <f>IF(stdProdLT(Main[[#This Row],[Comments]])=0.1,"N/A",IF(stdProdLT(Main[[#This Row],[Comments]])=0,"",stdProdLT(Main[[#This Row],[Comments]])))</f>
        <v/>
      </c>
      <c r="H309" s="103" t="str">
        <f>IF(AND(Main[[#This Row],[In Stock Date]]&lt;&gt;"",Main[[#This Row],[Revised Due Date]]&lt;&gt;""),Main[[#This Row],[In Stock Date]]-Main[[#This Row],[Revised Due Date]],"")</f>
        <v/>
      </c>
      <c r="I309" s="99" t="s">
        <v>4</v>
      </c>
      <c r="J309" s="99" t="s">
        <v>4</v>
      </c>
      <c r="K309" s="108" t="s">
        <v>4</v>
      </c>
      <c r="L309" s="101"/>
      <c r="M309" s="104" t="str">
        <f>IF(Main[[#This Row],[Tech Start Date]]&lt;1/1/1990,"",IF(Main[[#This Row],[Class]]="C",WORKDAY(Main[[#This Row],[Tech Start Date]],9),IF(Main[[#This Row],[Class]]="B", WORKDAY(Main[[#This Row],[Tech Start Date]],6),IF(Main[[#This Row],[Class]]="A",WORKDAY(Main[[#This Row],[Tech Start Date]],2),""))))</f>
        <v/>
      </c>
      <c r="N309" s="104" t="str">
        <f>IF(Main[[#This Row],[Tech Start Date]]&lt;1/1/1990,"",IF(Main[[#This Row],[Class]]="C",WORKDAY(Main[[#This Row],[Tech Start Date]],19),IF(Main[[#This Row],[Class]]="B", WORKDAY(Main[[#This Row],[Tech Start Date]],12),IF(Main[[#This Row],[Class]]="A",WORKDAY(Main[[#This Row],[Tech Start Date]],4),""))))</f>
        <v/>
      </c>
      <c r="O309" s="104" t="str">
        <f>IF(Main[[#This Row],[Tech Start Date]]&lt;1/1/1990,"",IF(Main[[#This Row],[Class]]="C",WORKDAY(Main[[#This Row],[Tech Start Date]],23),IF(Main[[#This Row],[Class]]="B", WORKDAY(Main[[#This Row],[Tech Start Date]],15),IF(Main[[#This Row],[Class]]="A",WORKDAY(Main[[#This Row],[Tech Start Date]],5),""))))</f>
        <v/>
      </c>
      <c r="P309" s="104" t="str">
        <f>IF(Main[[#This Row],[Tech Start Date]]&lt;1/1/1990,"",IF(Main[[#This Row],[Class]]="C",WORKDAY(Main[[#This Row],[Tech Start Date]],28),IF(Main[[#This Row],[Class]]="B", WORKDAY(Main[[#This Row],[Tech Start Date]],19),IF(Main[[#This Row],[Class]]="A",WORKDAY(Main[[#This Row],[Tech Start Date]],9),""))))</f>
        <v/>
      </c>
      <c r="Q309" s="101">
        <v>40169</v>
      </c>
      <c r="R309" s="101"/>
      <c r="S309" s="99" t="s">
        <v>11</v>
      </c>
      <c r="T309" s="107" t="s">
        <v>4</v>
      </c>
      <c r="U309" s="99" t="s">
        <v>14</v>
      </c>
      <c r="V309" s="99" t="s">
        <v>1963</v>
      </c>
      <c r="W309" s="99" t="s">
        <v>1970</v>
      </c>
    </row>
    <row r="310" spans="1:23" ht="18.600000000000001" customHeight="1">
      <c r="A310" s="123" t="str">
        <f>IF(priority(Main[[#This Row],[Comments]])&lt;&gt;0, priority(Main[[#This Row],[Comments]]),"")</f>
        <v/>
      </c>
      <c r="B310" s="127" t="s">
        <v>1202</v>
      </c>
      <c r="C310" s="99" t="s">
        <v>72</v>
      </c>
      <c r="D310" s="100" t="s">
        <v>226</v>
      </c>
      <c r="E310" s="101"/>
      <c r="F310" s="101">
        <v>40391</v>
      </c>
      <c r="G310" s="102" t="str">
        <f>IF(stdProdLT(Main[[#This Row],[Comments]])=0.1,"N/A",IF(stdProdLT(Main[[#This Row],[Comments]])=0,"",stdProdLT(Main[[#This Row],[Comments]])))</f>
        <v/>
      </c>
      <c r="H310" s="103" t="str">
        <f>IF(AND(Main[[#This Row],[In Stock Date]]&lt;&gt;"",Main[[#This Row],[Revised Due Date]]&lt;&gt;""),Main[[#This Row],[In Stock Date]]-Main[[#This Row],[Revised Due Date]],"")</f>
        <v/>
      </c>
      <c r="I310" s="99" t="s">
        <v>4</v>
      </c>
      <c r="J310" s="99" t="s">
        <v>4</v>
      </c>
      <c r="K310" s="108" t="s">
        <v>4</v>
      </c>
      <c r="L310" s="101"/>
      <c r="M310" s="104" t="str">
        <f>IF(Main[[#This Row],[Tech Start Date]]&lt;1/1/1990,"",IF(Main[[#This Row],[Class]]="C",WORKDAY(Main[[#This Row],[Tech Start Date]],9),IF(Main[[#This Row],[Class]]="B", WORKDAY(Main[[#This Row],[Tech Start Date]],6),IF(Main[[#This Row],[Class]]="A",WORKDAY(Main[[#This Row],[Tech Start Date]],2),""))))</f>
        <v/>
      </c>
      <c r="N310" s="104" t="str">
        <f>IF(Main[[#This Row],[Tech Start Date]]&lt;1/1/1990,"",IF(Main[[#This Row],[Class]]="C",WORKDAY(Main[[#This Row],[Tech Start Date]],19),IF(Main[[#This Row],[Class]]="B", WORKDAY(Main[[#This Row],[Tech Start Date]],12),IF(Main[[#This Row],[Class]]="A",WORKDAY(Main[[#This Row],[Tech Start Date]],4),""))))</f>
        <v/>
      </c>
      <c r="O310" s="104" t="str">
        <f>IF(Main[[#This Row],[Tech Start Date]]&lt;1/1/1990,"",IF(Main[[#This Row],[Class]]="C",WORKDAY(Main[[#This Row],[Tech Start Date]],23),IF(Main[[#This Row],[Class]]="B", WORKDAY(Main[[#This Row],[Tech Start Date]],15),IF(Main[[#This Row],[Class]]="A",WORKDAY(Main[[#This Row],[Tech Start Date]],5),""))))</f>
        <v/>
      </c>
      <c r="P310" s="104" t="str">
        <f>IF(Main[[#This Row],[Tech Start Date]]&lt;1/1/1990,"",IF(Main[[#This Row],[Class]]="C",WORKDAY(Main[[#This Row],[Tech Start Date]],28),IF(Main[[#This Row],[Class]]="B", WORKDAY(Main[[#This Row],[Tech Start Date]],19),IF(Main[[#This Row],[Class]]="A",WORKDAY(Main[[#This Row],[Tech Start Date]],9),""))))</f>
        <v/>
      </c>
      <c r="Q310" s="101">
        <v>40291</v>
      </c>
      <c r="R310" s="101"/>
      <c r="S310" s="99" t="s">
        <v>11</v>
      </c>
      <c r="T310" s="107" t="s">
        <v>4</v>
      </c>
      <c r="U310" s="99" t="s">
        <v>12</v>
      </c>
      <c r="V310" s="99" t="s">
        <v>1963</v>
      </c>
      <c r="W310" s="99" t="s">
        <v>1967</v>
      </c>
    </row>
    <row r="311" spans="1:23" ht="18.600000000000001" customHeight="1">
      <c r="A311" s="123" t="str">
        <f>IF(priority(Main[[#This Row],[Comments]])&lt;&gt;0, priority(Main[[#This Row],[Comments]]),"")</f>
        <v/>
      </c>
      <c r="B311" s="127" t="s">
        <v>1204</v>
      </c>
      <c r="C311" s="99" t="s">
        <v>4</v>
      </c>
      <c r="D311" s="100" t="s">
        <v>229</v>
      </c>
      <c r="E311" s="101"/>
      <c r="F311" s="101">
        <v>40574</v>
      </c>
      <c r="G311" s="102" t="str">
        <f>IF(stdProdLT(Main[[#This Row],[Comments]])=0.1,"N/A",IF(stdProdLT(Main[[#This Row],[Comments]])=0,"",stdProdLT(Main[[#This Row],[Comments]])))</f>
        <v/>
      </c>
      <c r="H311" s="103" t="str">
        <f>IF(AND(Main[[#This Row],[In Stock Date]]&lt;&gt;"",Main[[#This Row],[Revised Due Date]]&lt;&gt;""),Main[[#This Row],[In Stock Date]]-Main[[#This Row],[Revised Due Date]],"")</f>
        <v/>
      </c>
      <c r="I311" s="99" t="s">
        <v>4</v>
      </c>
      <c r="J311" s="99" t="s">
        <v>28</v>
      </c>
      <c r="K311" s="99" t="s">
        <v>1971</v>
      </c>
      <c r="L311" s="101"/>
      <c r="M311" s="104" t="str">
        <f>IF(Main[[#This Row],[Tech Start Date]]&lt;1/1/1990,"",IF(Main[[#This Row],[Class]]="C",WORKDAY(Main[[#This Row],[Tech Start Date]],9),IF(Main[[#This Row],[Class]]="B", WORKDAY(Main[[#This Row],[Tech Start Date]],6),IF(Main[[#This Row],[Class]]="A",WORKDAY(Main[[#This Row],[Tech Start Date]],2),""))))</f>
        <v/>
      </c>
      <c r="N311" s="104" t="str">
        <f>IF(Main[[#This Row],[Tech Start Date]]&lt;1/1/1990,"",IF(Main[[#This Row],[Class]]="C",WORKDAY(Main[[#This Row],[Tech Start Date]],19),IF(Main[[#This Row],[Class]]="B", WORKDAY(Main[[#This Row],[Tech Start Date]],12),IF(Main[[#This Row],[Class]]="A",WORKDAY(Main[[#This Row],[Tech Start Date]],4),""))))</f>
        <v/>
      </c>
      <c r="O311" s="104" t="str">
        <f>IF(Main[[#This Row],[Tech Start Date]]&lt;1/1/1990,"",IF(Main[[#This Row],[Class]]="C",WORKDAY(Main[[#This Row],[Tech Start Date]],23),IF(Main[[#This Row],[Class]]="B", WORKDAY(Main[[#This Row],[Tech Start Date]],15),IF(Main[[#This Row],[Class]]="A",WORKDAY(Main[[#This Row],[Tech Start Date]],5),""))))</f>
        <v/>
      </c>
      <c r="P311" s="104" t="str">
        <f>IF(Main[[#This Row],[Tech Start Date]]&lt;1/1/1990,"",IF(Main[[#This Row],[Class]]="C",WORKDAY(Main[[#This Row],[Tech Start Date]],28),IF(Main[[#This Row],[Class]]="B", WORKDAY(Main[[#This Row],[Tech Start Date]],19),IF(Main[[#This Row],[Class]]="A",WORKDAY(Main[[#This Row],[Tech Start Date]],9),""))))</f>
        <v/>
      </c>
      <c r="Q311" s="101">
        <v>40574</v>
      </c>
      <c r="R311" s="101"/>
      <c r="S311" s="99" t="s">
        <v>6</v>
      </c>
      <c r="T311" s="107" t="s">
        <v>4</v>
      </c>
      <c r="U311" s="99" t="s">
        <v>14</v>
      </c>
      <c r="V311" s="99" t="s">
        <v>1965</v>
      </c>
      <c r="W311" s="99" t="s">
        <v>1966</v>
      </c>
    </row>
    <row r="312" spans="1:23" ht="18.600000000000001" customHeight="1">
      <c r="A312" s="123" t="str">
        <f>IF(priority(Main[[#This Row],[Comments]])&lt;&gt;0, priority(Main[[#This Row],[Comments]]),"")</f>
        <v/>
      </c>
      <c r="B312" s="127" t="s">
        <v>1207</v>
      </c>
      <c r="C312" s="99" t="s">
        <v>4</v>
      </c>
      <c r="D312" s="100" t="s">
        <v>231</v>
      </c>
      <c r="E312" s="101"/>
      <c r="F312" s="101"/>
      <c r="G312" s="102" t="str">
        <f>IF(stdProdLT(Main[[#This Row],[Comments]])=0.1,"N/A",IF(stdProdLT(Main[[#This Row],[Comments]])=0,"",stdProdLT(Main[[#This Row],[Comments]])))</f>
        <v/>
      </c>
      <c r="H312" s="103" t="str">
        <f>IF(AND(Main[[#This Row],[In Stock Date]]&lt;&gt;"",Main[[#This Row],[Revised Due Date]]&lt;&gt;""),Main[[#This Row],[In Stock Date]]-Main[[#This Row],[Revised Due Date]],"")</f>
        <v/>
      </c>
      <c r="I312" s="99" t="s">
        <v>4</v>
      </c>
      <c r="J312" s="99" t="s">
        <v>4</v>
      </c>
      <c r="K312" s="99" t="s">
        <v>4</v>
      </c>
      <c r="L312" s="101"/>
      <c r="M312" s="104" t="str">
        <f>IF(Main[[#This Row],[Tech Start Date]]&lt;1/1/1990,"",IF(Main[[#This Row],[Class]]="C",WORKDAY(Main[[#This Row],[Tech Start Date]],9),IF(Main[[#This Row],[Class]]="B", WORKDAY(Main[[#This Row],[Tech Start Date]],6),IF(Main[[#This Row],[Class]]="A",WORKDAY(Main[[#This Row],[Tech Start Date]],2),""))))</f>
        <v/>
      </c>
      <c r="N312" s="104" t="str">
        <f>IF(Main[[#This Row],[Tech Start Date]]&lt;1/1/1990,"",IF(Main[[#This Row],[Class]]="C",WORKDAY(Main[[#This Row],[Tech Start Date]],19),IF(Main[[#This Row],[Class]]="B", WORKDAY(Main[[#This Row],[Tech Start Date]],12),IF(Main[[#This Row],[Class]]="A",WORKDAY(Main[[#This Row],[Tech Start Date]],4),""))))</f>
        <v/>
      </c>
      <c r="O312" s="104" t="str">
        <f>IF(Main[[#This Row],[Tech Start Date]]&lt;1/1/1990,"",IF(Main[[#This Row],[Class]]="C",WORKDAY(Main[[#This Row],[Tech Start Date]],23),IF(Main[[#This Row],[Class]]="B", WORKDAY(Main[[#This Row],[Tech Start Date]],15),IF(Main[[#This Row],[Class]]="A",WORKDAY(Main[[#This Row],[Tech Start Date]],5),""))))</f>
        <v/>
      </c>
      <c r="P312" s="104" t="str">
        <f>IF(Main[[#This Row],[Tech Start Date]]&lt;1/1/1990,"",IF(Main[[#This Row],[Class]]="C",WORKDAY(Main[[#This Row],[Tech Start Date]],28),IF(Main[[#This Row],[Class]]="B", WORKDAY(Main[[#This Row],[Tech Start Date]],19),IF(Main[[#This Row],[Class]]="A",WORKDAY(Main[[#This Row],[Tech Start Date]],9),""))))</f>
        <v/>
      </c>
      <c r="Q312" s="101">
        <v>40724</v>
      </c>
      <c r="R312" s="101"/>
      <c r="S312" s="99" t="s">
        <v>6</v>
      </c>
      <c r="T312" s="107" t="s">
        <v>4</v>
      </c>
      <c r="U312" s="99" t="s">
        <v>12</v>
      </c>
      <c r="V312" s="99" t="s">
        <v>1962</v>
      </c>
      <c r="W312" s="99" t="s">
        <v>1966</v>
      </c>
    </row>
    <row r="313" spans="1:23" ht="18.600000000000001" customHeight="1">
      <c r="A313" s="123" t="str">
        <f>IF(priority(Main[[#This Row],[Comments]])&lt;&gt;0, priority(Main[[#This Row],[Comments]]),"")</f>
        <v/>
      </c>
      <c r="B313" s="127" t="s">
        <v>2447</v>
      </c>
      <c r="C313" s="99" t="s">
        <v>53</v>
      </c>
      <c r="D313" s="100" t="s">
        <v>2448</v>
      </c>
      <c r="E313" s="101"/>
      <c r="F313" s="101">
        <v>40845</v>
      </c>
      <c r="G313" s="102" t="str">
        <f>IF(stdProdLT(Main[[#This Row],[Comments]])=0.1,"N/A",IF(stdProdLT(Main[[#This Row],[Comments]])=0,"",stdProdLT(Main[[#This Row],[Comments]])))</f>
        <v/>
      </c>
      <c r="H313" s="103" t="str">
        <f>IF(AND(Main[[#This Row],[In Stock Date]]&lt;&gt;"",Main[[#This Row],[Revised Due Date]]&lt;&gt;""),Main[[#This Row],[In Stock Date]]-Main[[#This Row],[Revised Due Date]],"")</f>
        <v/>
      </c>
      <c r="I313" s="99" t="s">
        <v>4</v>
      </c>
      <c r="J313" s="99" t="s">
        <v>28</v>
      </c>
      <c r="K313" s="99" t="s">
        <v>4</v>
      </c>
      <c r="L313" s="101"/>
      <c r="M313" s="104" t="str">
        <f>IF(Main[[#This Row],[Tech Start Date]]&lt;1/1/1990,"",IF(Main[[#This Row],[Class]]="C",WORKDAY(Main[[#This Row],[Tech Start Date]],9),IF(Main[[#This Row],[Class]]="B", WORKDAY(Main[[#This Row],[Tech Start Date]],6),IF(Main[[#This Row],[Class]]="A",WORKDAY(Main[[#This Row],[Tech Start Date]],2),""))))</f>
        <v/>
      </c>
      <c r="N313" s="104" t="str">
        <f>IF(Main[[#This Row],[Tech Start Date]]&lt;1/1/1990,"",IF(Main[[#This Row],[Class]]="C",WORKDAY(Main[[#This Row],[Tech Start Date]],19),IF(Main[[#This Row],[Class]]="B", WORKDAY(Main[[#This Row],[Tech Start Date]],12),IF(Main[[#This Row],[Class]]="A",WORKDAY(Main[[#This Row],[Tech Start Date]],4),""))))</f>
        <v/>
      </c>
      <c r="O313" s="104" t="str">
        <f>IF(Main[[#This Row],[Tech Start Date]]&lt;1/1/1990,"",IF(Main[[#This Row],[Class]]="C",WORKDAY(Main[[#This Row],[Tech Start Date]],23),IF(Main[[#This Row],[Class]]="B", WORKDAY(Main[[#This Row],[Tech Start Date]],15),IF(Main[[#This Row],[Class]]="A",WORKDAY(Main[[#This Row],[Tech Start Date]],5),""))))</f>
        <v/>
      </c>
      <c r="P313" s="104" t="str">
        <f>IF(Main[[#This Row],[Tech Start Date]]&lt;1/1/1990,"",IF(Main[[#This Row],[Class]]="C",WORKDAY(Main[[#This Row],[Tech Start Date]],28),IF(Main[[#This Row],[Class]]="B", WORKDAY(Main[[#This Row],[Tech Start Date]],19),IF(Main[[#This Row],[Class]]="A",WORKDAY(Main[[#This Row],[Tech Start Date]],9),""))))</f>
        <v/>
      </c>
      <c r="Q313" s="101">
        <v>40840</v>
      </c>
      <c r="R313" s="101"/>
      <c r="S313" s="99" t="s">
        <v>11</v>
      </c>
      <c r="T313" s="107" t="s">
        <v>2449</v>
      </c>
      <c r="U313" s="99" t="s">
        <v>12</v>
      </c>
      <c r="V313" s="99" t="s">
        <v>1963</v>
      </c>
      <c r="W313" s="99" t="s">
        <v>1964</v>
      </c>
    </row>
    <row r="314" spans="1:23" ht="18.600000000000001" customHeight="1">
      <c r="A314" s="123" t="str">
        <f>IF(priority(Main[[#This Row],[Comments]])&lt;&gt;0, priority(Main[[#This Row],[Comments]]),"")</f>
        <v/>
      </c>
      <c r="B314" s="127" t="s">
        <v>1210</v>
      </c>
      <c r="C314" s="99" t="s">
        <v>67</v>
      </c>
      <c r="D314" s="100" t="s">
        <v>234</v>
      </c>
      <c r="E314" s="101"/>
      <c r="F314" s="101"/>
      <c r="G314" s="102" t="str">
        <f>IF(stdProdLT(Main[[#This Row],[Comments]])=0.1,"N/A",IF(stdProdLT(Main[[#This Row],[Comments]])=0,"",stdProdLT(Main[[#This Row],[Comments]])))</f>
        <v/>
      </c>
      <c r="H314" s="103" t="str">
        <f>IF(AND(Main[[#This Row],[In Stock Date]]&lt;&gt;"",Main[[#This Row],[Revised Due Date]]&lt;&gt;""),Main[[#This Row],[In Stock Date]]-Main[[#This Row],[Revised Due Date]],"")</f>
        <v/>
      </c>
      <c r="I314" s="99" t="s">
        <v>4</v>
      </c>
      <c r="J314" s="99" t="s">
        <v>4</v>
      </c>
      <c r="K314" s="99" t="s">
        <v>4</v>
      </c>
      <c r="L314" s="101"/>
      <c r="M314" s="104" t="str">
        <f>IF(Main[[#This Row],[Tech Start Date]]&lt;1/1/1990,"",IF(Main[[#This Row],[Class]]="C",WORKDAY(Main[[#This Row],[Tech Start Date]],9),IF(Main[[#This Row],[Class]]="B", WORKDAY(Main[[#This Row],[Tech Start Date]],6),IF(Main[[#This Row],[Class]]="A",WORKDAY(Main[[#This Row],[Tech Start Date]],2),""))))</f>
        <v/>
      </c>
      <c r="N314" s="104" t="str">
        <f>IF(Main[[#This Row],[Tech Start Date]]&lt;1/1/1990,"",IF(Main[[#This Row],[Class]]="C",WORKDAY(Main[[#This Row],[Tech Start Date]],19),IF(Main[[#This Row],[Class]]="B", WORKDAY(Main[[#This Row],[Tech Start Date]],12),IF(Main[[#This Row],[Class]]="A",WORKDAY(Main[[#This Row],[Tech Start Date]],4),""))))</f>
        <v/>
      </c>
      <c r="O314" s="104" t="str">
        <f>IF(Main[[#This Row],[Tech Start Date]]&lt;1/1/1990,"",IF(Main[[#This Row],[Class]]="C",WORKDAY(Main[[#This Row],[Tech Start Date]],23),IF(Main[[#This Row],[Class]]="B", WORKDAY(Main[[#This Row],[Tech Start Date]],15),IF(Main[[#This Row],[Class]]="A",WORKDAY(Main[[#This Row],[Tech Start Date]],5),""))))</f>
        <v/>
      </c>
      <c r="P314" s="104" t="str">
        <f>IF(Main[[#This Row],[Tech Start Date]]&lt;1/1/1990,"",IF(Main[[#This Row],[Class]]="C",WORKDAY(Main[[#This Row],[Tech Start Date]],28),IF(Main[[#This Row],[Class]]="B", WORKDAY(Main[[#This Row],[Tech Start Date]],19),IF(Main[[#This Row],[Class]]="A",WORKDAY(Main[[#This Row],[Tech Start Date]],9),""))))</f>
        <v/>
      </c>
      <c r="Q314" s="101">
        <v>40466</v>
      </c>
      <c r="R314" s="101"/>
      <c r="S314" s="99" t="s">
        <v>17</v>
      </c>
      <c r="T314" s="107" t="s">
        <v>4</v>
      </c>
      <c r="U314" s="99" t="s">
        <v>14</v>
      </c>
      <c r="V314" s="99" t="s">
        <v>1965</v>
      </c>
      <c r="W314" s="99" t="s">
        <v>1970</v>
      </c>
    </row>
    <row r="315" spans="1:23" ht="18.600000000000001" customHeight="1">
      <c r="A315" s="123" t="str">
        <f>IF(priority(Main[[#This Row],[Comments]])&lt;&gt;0, priority(Main[[#This Row],[Comments]]),"")</f>
        <v/>
      </c>
      <c r="B315" s="127" t="s">
        <v>1211</v>
      </c>
      <c r="C315" s="99" t="s">
        <v>72</v>
      </c>
      <c r="D315" s="100" t="s">
        <v>226</v>
      </c>
      <c r="E315" s="101"/>
      <c r="F315" s="101">
        <v>40391</v>
      </c>
      <c r="G315" s="102" t="str">
        <f>IF(stdProdLT(Main[[#This Row],[Comments]])=0.1,"N/A",IF(stdProdLT(Main[[#This Row],[Comments]])=0,"",stdProdLT(Main[[#This Row],[Comments]])))</f>
        <v/>
      </c>
      <c r="H315" s="103" t="str">
        <f>IF(AND(Main[[#This Row],[In Stock Date]]&lt;&gt;"",Main[[#This Row],[Revised Due Date]]&lt;&gt;""),Main[[#This Row],[In Stock Date]]-Main[[#This Row],[Revised Due Date]],"")</f>
        <v/>
      </c>
      <c r="I315" s="99" t="s">
        <v>4</v>
      </c>
      <c r="J315" s="99" t="s">
        <v>4</v>
      </c>
      <c r="K315" s="99" t="s">
        <v>4</v>
      </c>
      <c r="L315" s="101"/>
      <c r="M315" s="104" t="str">
        <f>IF(Main[[#This Row],[Tech Start Date]]&lt;1/1/1990,"",IF(Main[[#This Row],[Class]]="C",WORKDAY(Main[[#This Row],[Tech Start Date]],9),IF(Main[[#This Row],[Class]]="B", WORKDAY(Main[[#This Row],[Tech Start Date]],6),IF(Main[[#This Row],[Class]]="A",WORKDAY(Main[[#This Row],[Tech Start Date]],2),""))))</f>
        <v/>
      </c>
      <c r="N315" s="104" t="str">
        <f>IF(Main[[#This Row],[Tech Start Date]]&lt;1/1/1990,"",IF(Main[[#This Row],[Class]]="C",WORKDAY(Main[[#This Row],[Tech Start Date]],19),IF(Main[[#This Row],[Class]]="B", WORKDAY(Main[[#This Row],[Tech Start Date]],12),IF(Main[[#This Row],[Class]]="A",WORKDAY(Main[[#This Row],[Tech Start Date]],4),""))))</f>
        <v/>
      </c>
      <c r="O315" s="104" t="str">
        <f>IF(Main[[#This Row],[Tech Start Date]]&lt;1/1/1990,"",IF(Main[[#This Row],[Class]]="C",WORKDAY(Main[[#This Row],[Tech Start Date]],23),IF(Main[[#This Row],[Class]]="B", WORKDAY(Main[[#This Row],[Tech Start Date]],15),IF(Main[[#This Row],[Class]]="A",WORKDAY(Main[[#This Row],[Tech Start Date]],5),""))))</f>
        <v/>
      </c>
      <c r="P315" s="104" t="str">
        <f>IF(Main[[#This Row],[Tech Start Date]]&lt;1/1/1990,"",IF(Main[[#This Row],[Class]]="C",WORKDAY(Main[[#This Row],[Tech Start Date]],28),IF(Main[[#This Row],[Class]]="B", WORKDAY(Main[[#This Row],[Tech Start Date]],19),IF(Main[[#This Row],[Class]]="A",WORKDAY(Main[[#This Row],[Tech Start Date]],9),""))))</f>
        <v/>
      </c>
      <c r="Q315" s="101">
        <v>40291</v>
      </c>
      <c r="R315" s="101"/>
      <c r="S315" s="99" t="s">
        <v>11</v>
      </c>
      <c r="T315" s="107" t="s">
        <v>4</v>
      </c>
      <c r="U315" s="99" t="s">
        <v>12</v>
      </c>
      <c r="V315" s="99" t="s">
        <v>1963</v>
      </c>
      <c r="W315" s="99" t="s">
        <v>1967</v>
      </c>
    </row>
    <row r="316" spans="1:23" ht="18.600000000000001" customHeight="1">
      <c r="A316" s="123" t="str">
        <f>IF(priority(Main[[#This Row],[Comments]])&lt;&gt;0, priority(Main[[#This Row],[Comments]]),"")</f>
        <v/>
      </c>
      <c r="B316" s="127" t="s">
        <v>1254</v>
      </c>
      <c r="C316" s="99" t="s">
        <v>4</v>
      </c>
      <c r="D316" s="100" t="s">
        <v>284</v>
      </c>
      <c r="E316" s="101"/>
      <c r="F316" s="101"/>
      <c r="G316" s="102" t="str">
        <f>IF(stdProdLT(Main[[#This Row],[Comments]])=0.1,"N/A",IF(stdProdLT(Main[[#This Row],[Comments]])=0,"",stdProdLT(Main[[#This Row],[Comments]])))</f>
        <v/>
      </c>
      <c r="H316" s="103" t="str">
        <f>IF(AND(Main[[#This Row],[In Stock Date]]&lt;&gt;"",Main[[#This Row],[Revised Due Date]]&lt;&gt;""),Main[[#This Row],[In Stock Date]]-Main[[#This Row],[Revised Due Date]],"")</f>
        <v/>
      </c>
      <c r="I316" s="99" t="s">
        <v>4</v>
      </c>
      <c r="J316" s="99" t="s">
        <v>4</v>
      </c>
      <c r="K316" s="99" t="s">
        <v>4</v>
      </c>
      <c r="L316" s="101"/>
      <c r="M316" s="104" t="str">
        <f>IF(Main[[#This Row],[Tech Start Date]]&lt;1/1/1990,"",IF(Main[[#This Row],[Class]]="C",WORKDAY(Main[[#This Row],[Tech Start Date]],9),IF(Main[[#This Row],[Class]]="B", WORKDAY(Main[[#This Row],[Tech Start Date]],6),IF(Main[[#This Row],[Class]]="A",WORKDAY(Main[[#This Row],[Tech Start Date]],2),""))))</f>
        <v/>
      </c>
      <c r="N316" s="104" t="str">
        <f>IF(Main[[#This Row],[Tech Start Date]]&lt;1/1/1990,"",IF(Main[[#This Row],[Class]]="C",WORKDAY(Main[[#This Row],[Tech Start Date]],19),IF(Main[[#This Row],[Class]]="B", WORKDAY(Main[[#This Row],[Tech Start Date]],12),IF(Main[[#This Row],[Class]]="A",WORKDAY(Main[[#This Row],[Tech Start Date]],4),""))))</f>
        <v/>
      </c>
      <c r="O316" s="104" t="str">
        <f>IF(Main[[#This Row],[Tech Start Date]]&lt;1/1/1990,"",IF(Main[[#This Row],[Class]]="C",WORKDAY(Main[[#This Row],[Tech Start Date]],23),IF(Main[[#This Row],[Class]]="B", WORKDAY(Main[[#This Row],[Tech Start Date]],15),IF(Main[[#This Row],[Class]]="A",WORKDAY(Main[[#This Row],[Tech Start Date]],5),""))))</f>
        <v/>
      </c>
      <c r="P316" s="104" t="str">
        <f>IF(Main[[#This Row],[Tech Start Date]]&lt;1/1/1990,"",IF(Main[[#This Row],[Class]]="C",WORKDAY(Main[[#This Row],[Tech Start Date]],28),IF(Main[[#This Row],[Class]]="B", WORKDAY(Main[[#This Row],[Tech Start Date]],19),IF(Main[[#This Row],[Class]]="A",WORKDAY(Main[[#This Row],[Tech Start Date]],9),""))))</f>
        <v/>
      </c>
      <c r="Q316" s="101"/>
      <c r="R316" s="101"/>
      <c r="S316" s="99" t="s">
        <v>23</v>
      </c>
      <c r="T316" s="107" t="s">
        <v>4</v>
      </c>
      <c r="U316" s="99" t="s">
        <v>12</v>
      </c>
      <c r="V316" s="99" t="s">
        <v>1962</v>
      </c>
      <c r="W316" s="99" t="s">
        <v>1966</v>
      </c>
    </row>
    <row r="317" spans="1:23" ht="18.600000000000001" customHeight="1">
      <c r="A317" s="123" t="str">
        <f>IF(priority(Main[[#This Row],[Comments]])&lt;&gt;0, priority(Main[[#This Row],[Comments]]),"")</f>
        <v/>
      </c>
      <c r="B317" s="127" t="s">
        <v>1255</v>
      </c>
      <c r="C317" s="99" t="s">
        <v>31</v>
      </c>
      <c r="D317" s="100" t="s">
        <v>285</v>
      </c>
      <c r="E317" s="101"/>
      <c r="F317" s="101"/>
      <c r="G317" s="102" t="str">
        <f>IF(stdProdLT(Main[[#This Row],[Comments]])=0.1,"N/A",IF(stdProdLT(Main[[#This Row],[Comments]])=0,"",stdProdLT(Main[[#This Row],[Comments]])))</f>
        <v/>
      </c>
      <c r="H317" s="103" t="str">
        <f>IF(AND(Main[[#This Row],[In Stock Date]]&lt;&gt;"",Main[[#This Row],[Revised Due Date]]&lt;&gt;""),Main[[#This Row],[In Stock Date]]-Main[[#This Row],[Revised Due Date]],"")</f>
        <v/>
      </c>
      <c r="I317" s="99" t="s">
        <v>4</v>
      </c>
      <c r="J317" s="99" t="s">
        <v>4</v>
      </c>
      <c r="K317" s="99" t="s">
        <v>4</v>
      </c>
      <c r="L317" s="101"/>
      <c r="M317" s="104" t="str">
        <f>IF(Main[[#This Row],[Tech Start Date]]&lt;1/1/1990,"",IF(Main[[#This Row],[Class]]="C",WORKDAY(Main[[#This Row],[Tech Start Date]],9),IF(Main[[#This Row],[Class]]="B", WORKDAY(Main[[#This Row],[Tech Start Date]],6),IF(Main[[#This Row],[Class]]="A",WORKDAY(Main[[#This Row],[Tech Start Date]],2),""))))</f>
        <v/>
      </c>
      <c r="N317" s="104" t="str">
        <f>IF(Main[[#This Row],[Tech Start Date]]&lt;1/1/1990,"",IF(Main[[#This Row],[Class]]="C",WORKDAY(Main[[#This Row],[Tech Start Date]],19),IF(Main[[#This Row],[Class]]="B", WORKDAY(Main[[#This Row],[Tech Start Date]],12),IF(Main[[#This Row],[Class]]="A",WORKDAY(Main[[#This Row],[Tech Start Date]],4),""))))</f>
        <v/>
      </c>
      <c r="O317" s="104" t="str">
        <f>IF(Main[[#This Row],[Tech Start Date]]&lt;1/1/1990,"",IF(Main[[#This Row],[Class]]="C",WORKDAY(Main[[#This Row],[Tech Start Date]],23),IF(Main[[#This Row],[Class]]="B", WORKDAY(Main[[#This Row],[Tech Start Date]],15),IF(Main[[#This Row],[Class]]="A",WORKDAY(Main[[#This Row],[Tech Start Date]],5),""))))</f>
        <v/>
      </c>
      <c r="P317" s="104" t="str">
        <f>IF(Main[[#This Row],[Tech Start Date]]&lt;1/1/1990,"",IF(Main[[#This Row],[Class]]="C",WORKDAY(Main[[#This Row],[Tech Start Date]],28),IF(Main[[#This Row],[Class]]="B", WORKDAY(Main[[#This Row],[Tech Start Date]],19),IF(Main[[#This Row],[Class]]="A",WORKDAY(Main[[#This Row],[Tech Start Date]],9),""))))</f>
        <v/>
      </c>
      <c r="Q317" s="101">
        <v>40318</v>
      </c>
      <c r="R317" s="101"/>
      <c r="S317" s="99" t="s">
        <v>11</v>
      </c>
      <c r="T317" s="107" t="s">
        <v>4</v>
      </c>
      <c r="U317" s="99" t="s">
        <v>14</v>
      </c>
      <c r="V317" s="99" t="s">
        <v>1972</v>
      </c>
      <c r="W317" s="99" t="s">
        <v>1964</v>
      </c>
    </row>
    <row r="318" spans="1:23" ht="18.600000000000001" customHeight="1">
      <c r="A318" s="123" t="str">
        <f>IF(priority(Main[[#This Row],[Comments]])&lt;&gt;0, priority(Main[[#This Row],[Comments]]),"")</f>
        <v/>
      </c>
      <c r="B318" s="127" t="s">
        <v>1883</v>
      </c>
      <c r="C318" s="99" t="s">
        <v>4</v>
      </c>
      <c r="D318" s="100" t="s">
        <v>913</v>
      </c>
      <c r="E318" s="101">
        <v>40241.453090277777</v>
      </c>
      <c r="F318" s="101"/>
      <c r="G318" s="102" t="str">
        <f>IF(stdProdLT(Main[[#This Row],[Comments]])=0.1,"N/A",IF(stdProdLT(Main[[#This Row],[Comments]])=0,"",stdProdLT(Main[[#This Row],[Comments]])))</f>
        <v/>
      </c>
      <c r="H318" s="103" t="str">
        <f>IF(AND(Main[[#This Row],[In Stock Date]]&lt;&gt;"",Main[[#This Row],[Revised Due Date]]&lt;&gt;""),Main[[#This Row],[In Stock Date]]-Main[[#This Row],[Revised Due Date]],"")</f>
        <v/>
      </c>
      <c r="I318" s="99" t="s">
        <v>74</v>
      </c>
      <c r="J318" s="99" t="s">
        <v>4</v>
      </c>
      <c r="K318" s="99" t="s">
        <v>1974</v>
      </c>
      <c r="L318" s="101"/>
      <c r="M318" s="104" t="str">
        <f>IF(Main[[#This Row],[Tech Start Date]]&lt;1/1/1990,"",IF(Main[[#This Row],[Class]]="C",WORKDAY(Main[[#This Row],[Tech Start Date]],9),IF(Main[[#This Row],[Class]]="B", WORKDAY(Main[[#This Row],[Tech Start Date]],6),IF(Main[[#This Row],[Class]]="A",WORKDAY(Main[[#This Row],[Tech Start Date]],2),""))))</f>
        <v/>
      </c>
      <c r="N318" s="104" t="str">
        <f>IF(Main[[#This Row],[Tech Start Date]]&lt;1/1/1990,"",IF(Main[[#This Row],[Class]]="C",WORKDAY(Main[[#This Row],[Tech Start Date]],19),IF(Main[[#This Row],[Class]]="B", WORKDAY(Main[[#This Row],[Tech Start Date]],12),IF(Main[[#This Row],[Class]]="A",WORKDAY(Main[[#This Row],[Tech Start Date]],4),""))))</f>
        <v/>
      </c>
      <c r="O318" s="104" t="str">
        <f>IF(Main[[#This Row],[Tech Start Date]]&lt;1/1/1990,"",IF(Main[[#This Row],[Class]]="C",WORKDAY(Main[[#This Row],[Tech Start Date]],23),IF(Main[[#This Row],[Class]]="B", WORKDAY(Main[[#This Row],[Tech Start Date]],15),IF(Main[[#This Row],[Class]]="A",WORKDAY(Main[[#This Row],[Tech Start Date]],5),""))))</f>
        <v/>
      </c>
      <c r="P318" s="104" t="str">
        <f>IF(Main[[#This Row],[Tech Start Date]]&lt;1/1/1990,"",IF(Main[[#This Row],[Class]]="C",WORKDAY(Main[[#This Row],[Tech Start Date]],28),IF(Main[[#This Row],[Class]]="B", WORKDAY(Main[[#This Row],[Tech Start Date]],19),IF(Main[[#This Row],[Class]]="A",WORKDAY(Main[[#This Row],[Tech Start Date]],9),""))))</f>
        <v/>
      </c>
      <c r="Q318" s="101"/>
      <c r="R318" s="101">
        <v>40967</v>
      </c>
      <c r="S318" s="99" t="s">
        <v>17</v>
      </c>
      <c r="T318" s="107" t="s">
        <v>4</v>
      </c>
      <c r="U318" s="99" t="s">
        <v>29</v>
      </c>
      <c r="V318" s="99" t="s">
        <v>1965</v>
      </c>
      <c r="W318" s="99" t="s">
        <v>4</v>
      </c>
    </row>
    <row r="319" spans="1:23" ht="18.600000000000001" customHeight="1">
      <c r="A319" s="123" t="str">
        <f>IF(priority(Main[[#This Row],[Comments]])&lt;&gt;0, priority(Main[[#This Row],[Comments]]),"")</f>
        <v/>
      </c>
      <c r="B319" s="127" t="s">
        <v>1865</v>
      </c>
      <c r="C319" s="99" t="s">
        <v>79</v>
      </c>
      <c r="D319" s="100" t="s">
        <v>890</v>
      </c>
      <c r="E319" s="101">
        <v>40072.658055555556</v>
      </c>
      <c r="F319" s="101">
        <v>40157</v>
      </c>
      <c r="G319" s="102" t="str">
        <f>IF(stdProdLT(Main[[#This Row],[Comments]])=0.1,"N/A",IF(stdProdLT(Main[[#This Row],[Comments]])=0,"",stdProdLT(Main[[#This Row],[Comments]])))</f>
        <v/>
      </c>
      <c r="H319" s="103">
        <f>IF(AND(Main[[#This Row],[In Stock Date]]&lt;&gt;"",Main[[#This Row],[Revised Due Date]]&lt;&gt;""),Main[[#This Row],[In Stock Date]]-Main[[#This Row],[Revised Due Date]],"")</f>
        <v>-171</v>
      </c>
      <c r="I319" s="99" t="s">
        <v>4</v>
      </c>
      <c r="J319" s="99" t="s">
        <v>4</v>
      </c>
      <c r="K319" s="108" t="s">
        <v>1974</v>
      </c>
      <c r="L319" s="101"/>
      <c r="M319" s="104" t="str">
        <f>IF(Main[[#This Row],[Tech Start Date]]&lt;1/1/1990,"",IF(Main[[#This Row],[Class]]="C",WORKDAY(Main[[#This Row],[Tech Start Date]],9),IF(Main[[#This Row],[Class]]="B", WORKDAY(Main[[#This Row],[Tech Start Date]],6),IF(Main[[#This Row],[Class]]="A",WORKDAY(Main[[#This Row],[Tech Start Date]],2),""))))</f>
        <v/>
      </c>
      <c r="N319" s="104" t="str">
        <f>IF(Main[[#This Row],[Tech Start Date]]&lt;1/1/1990,"",IF(Main[[#This Row],[Class]]="C",WORKDAY(Main[[#This Row],[Tech Start Date]],19),IF(Main[[#This Row],[Class]]="B", WORKDAY(Main[[#This Row],[Tech Start Date]],12),IF(Main[[#This Row],[Class]]="A",WORKDAY(Main[[#This Row],[Tech Start Date]],4),""))))</f>
        <v/>
      </c>
      <c r="O319" s="104" t="str">
        <f>IF(Main[[#This Row],[Tech Start Date]]&lt;1/1/1990,"",IF(Main[[#This Row],[Class]]="C",WORKDAY(Main[[#This Row],[Tech Start Date]],23),IF(Main[[#This Row],[Class]]="B", WORKDAY(Main[[#This Row],[Tech Start Date]],15),IF(Main[[#This Row],[Class]]="A",WORKDAY(Main[[#This Row],[Tech Start Date]],5),""))))</f>
        <v/>
      </c>
      <c r="P319" s="104" t="str">
        <f>IF(Main[[#This Row],[Tech Start Date]]&lt;1/1/1990,"",IF(Main[[#This Row],[Class]]="C",WORKDAY(Main[[#This Row],[Tech Start Date]],28),IF(Main[[#This Row],[Class]]="B", WORKDAY(Main[[#This Row],[Tech Start Date]],19),IF(Main[[#This Row],[Class]]="A",WORKDAY(Main[[#This Row],[Tech Start Date]],9),""))))</f>
        <v/>
      </c>
      <c r="Q319" s="101">
        <v>40117</v>
      </c>
      <c r="R319" s="101">
        <v>40328</v>
      </c>
      <c r="S319" s="99" t="s">
        <v>17</v>
      </c>
      <c r="T319" s="107" t="s">
        <v>4</v>
      </c>
      <c r="U319" s="99" t="s">
        <v>29</v>
      </c>
      <c r="V319" s="99" t="s">
        <v>1963</v>
      </c>
      <c r="W319" s="99" t="s">
        <v>1967</v>
      </c>
    </row>
    <row r="320" spans="1:23" ht="18.600000000000001" customHeight="1">
      <c r="A320" s="123" t="str">
        <f>IF(priority(Main[[#This Row],[Comments]])&lt;&gt;0, priority(Main[[#This Row],[Comments]]),"")</f>
        <v/>
      </c>
      <c r="B320" s="127" t="s">
        <v>1258</v>
      </c>
      <c r="C320" s="99" t="s">
        <v>171</v>
      </c>
      <c r="D320" s="100" t="s">
        <v>235</v>
      </c>
      <c r="E320" s="101"/>
      <c r="F320" s="101">
        <v>40237</v>
      </c>
      <c r="G320" s="102" t="str">
        <f>IF(stdProdLT(Main[[#This Row],[Comments]])=0.1,"N/A",IF(stdProdLT(Main[[#This Row],[Comments]])=0,"",stdProdLT(Main[[#This Row],[Comments]])))</f>
        <v/>
      </c>
      <c r="H320" s="103" t="str">
        <f>IF(AND(Main[[#This Row],[In Stock Date]]&lt;&gt;"",Main[[#This Row],[Revised Due Date]]&lt;&gt;""),Main[[#This Row],[In Stock Date]]-Main[[#This Row],[Revised Due Date]],"")</f>
        <v/>
      </c>
      <c r="I320" s="99" t="s">
        <v>4</v>
      </c>
      <c r="J320" s="99" t="s">
        <v>4</v>
      </c>
      <c r="K320" s="108" t="s">
        <v>4</v>
      </c>
      <c r="L320" s="101"/>
      <c r="M320" s="104" t="str">
        <f>IF(Main[[#This Row],[Tech Start Date]]&lt;1/1/1990,"",IF(Main[[#This Row],[Class]]="C",WORKDAY(Main[[#This Row],[Tech Start Date]],9),IF(Main[[#This Row],[Class]]="B", WORKDAY(Main[[#This Row],[Tech Start Date]],6),IF(Main[[#This Row],[Class]]="A",WORKDAY(Main[[#This Row],[Tech Start Date]],2),""))))</f>
        <v/>
      </c>
      <c r="N320" s="104" t="str">
        <f>IF(Main[[#This Row],[Tech Start Date]]&lt;1/1/1990,"",IF(Main[[#This Row],[Class]]="C",WORKDAY(Main[[#This Row],[Tech Start Date]],19),IF(Main[[#This Row],[Class]]="B", WORKDAY(Main[[#This Row],[Tech Start Date]],12),IF(Main[[#This Row],[Class]]="A",WORKDAY(Main[[#This Row],[Tech Start Date]],4),""))))</f>
        <v/>
      </c>
      <c r="O320" s="104" t="str">
        <f>IF(Main[[#This Row],[Tech Start Date]]&lt;1/1/1990,"",IF(Main[[#This Row],[Class]]="C",WORKDAY(Main[[#This Row],[Tech Start Date]],23),IF(Main[[#This Row],[Class]]="B", WORKDAY(Main[[#This Row],[Tech Start Date]],15),IF(Main[[#This Row],[Class]]="A",WORKDAY(Main[[#This Row],[Tech Start Date]],5),""))))</f>
        <v/>
      </c>
      <c r="P320" s="104" t="str">
        <f>IF(Main[[#This Row],[Tech Start Date]]&lt;1/1/1990,"",IF(Main[[#This Row],[Class]]="C",WORKDAY(Main[[#This Row],[Tech Start Date]],28),IF(Main[[#This Row],[Class]]="B", WORKDAY(Main[[#This Row],[Tech Start Date]],19),IF(Main[[#This Row],[Class]]="A",WORKDAY(Main[[#This Row],[Tech Start Date]],9),""))))</f>
        <v/>
      </c>
      <c r="Q320" s="101">
        <v>40132</v>
      </c>
      <c r="R320" s="101"/>
      <c r="S320" s="99" t="s">
        <v>11</v>
      </c>
      <c r="T320" s="107" t="s">
        <v>4</v>
      </c>
      <c r="U320" s="99" t="s">
        <v>14</v>
      </c>
      <c r="V320" s="99" t="s">
        <v>1962</v>
      </c>
      <c r="W320" s="99" t="s">
        <v>1967</v>
      </c>
    </row>
    <row r="321" spans="1:23" ht="18.600000000000001" customHeight="1">
      <c r="A321" s="123" t="str">
        <f>IF(priority(Main[[#This Row],[Comments]])&lt;&gt;0, priority(Main[[#This Row],[Comments]]),"")</f>
        <v/>
      </c>
      <c r="B321" s="127" t="s">
        <v>1259</v>
      </c>
      <c r="C321" s="99" t="s">
        <v>4</v>
      </c>
      <c r="D321" s="100" t="s">
        <v>236</v>
      </c>
      <c r="E321" s="101">
        <v>40403.488668981481</v>
      </c>
      <c r="F321" s="101"/>
      <c r="G321" s="102" t="str">
        <f>IF(stdProdLT(Main[[#This Row],[Comments]])=0.1,"N/A",IF(stdProdLT(Main[[#This Row],[Comments]])=0,"",stdProdLT(Main[[#This Row],[Comments]])))</f>
        <v/>
      </c>
      <c r="H321" s="103" t="str">
        <f>IF(AND(Main[[#This Row],[In Stock Date]]&lt;&gt;"",Main[[#This Row],[Revised Due Date]]&lt;&gt;""),Main[[#This Row],[In Stock Date]]-Main[[#This Row],[Revised Due Date]],"")</f>
        <v/>
      </c>
      <c r="I321" s="99" t="s">
        <v>129</v>
      </c>
      <c r="J321" s="99" t="s">
        <v>28</v>
      </c>
      <c r="K321" s="99" t="s">
        <v>4</v>
      </c>
      <c r="L321" s="101"/>
      <c r="M321" s="104" t="str">
        <f>IF(Main[[#This Row],[Tech Start Date]]&lt;1/1/1990,"",IF(Main[[#This Row],[Class]]="C",WORKDAY(Main[[#This Row],[Tech Start Date]],9),IF(Main[[#This Row],[Class]]="B", WORKDAY(Main[[#This Row],[Tech Start Date]],6),IF(Main[[#This Row],[Class]]="A",WORKDAY(Main[[#This Row],[Tech Start Date]],2),""))))</f>
        <v/>
      </c>
      <c r="N321" s="104" t="str">
        <f>IF(Main[[#This Row],[Tech Start Date]]&lt;1/1/1990,"",IF(Main[[#This Row],[Class]]="C",WORKDAY(Main[[#This Row],[Tech Start Date]],19),IF(Main[[#This Row],[Class]]="B", WORKDAY(Main[[#This Row],[Tech Start Date]],12),IF(Main[[#This Row],[Class]]="A",WORKDAY(Main[[#This Row],[Tech Start Date]],4),""))))</f>
        <v/>
      </c>
      <c r="O321" s="104" t="str">
        <f>IF(Main[[#This Row],[Tech Start Date]]&lt;1/1/1990,"",IF(Main[[#This Row],[Class]]="C",WORKDAY(Main[[#This Row],[Tech Start Date]],23),IF(Main[[#This Row],[Class]]="B", WORKDAY(Main[[#This Row],[Tech Start Date]],15),IF(Main[[#This Row],[Class]]="A",WORKDAY(Main[[#This Row],[Tech Start Date]],5),""))))</f>
        <v/>
      </c>
      <c r="P321" s="104" t="str">
        <f>IF(Main[[#This Row],[Tech Start Date]]&lt;1/1/1990,"",IF(Main[[#This Row],[Class]]="C",WORKDAY(Main[[#This Row],[Tech Start Date]],28),IF(Main[[#This Row],[Class]]="B", WORKDAY(Main[[#This Row],[Tech Start Date]],19),IF(Main[[#This Row],[Class]]="A",WORKDAY(Main[[#This Row],[Tech Start Date]],9),""))))</f>
        <v/>
      </c>
      <c r="Q321" s="101">
        <v>40438</v>
      </c>
      <c r="R321" s="101"/>
      <c r="S321" s="99" t="s">
        <v>6</v>
      </c>
      <c r="T321" s="107" t="s">
        <v>4</v>
      </c>
      <c r="U321" s="99" t="s">
        <v>7</v>
      </c>
      <c r="V321" s="99" t="s">
        <v>1962</v>
      </c>
      <c r="W321" s="99" t="s">
        <v>1966</v>
      </c>
    </row>
    <row r="322" spans="1:23" ht="18.600000000000001" customHeight="1">
      <c r="A322" s="123" t="str">
        <f>IF(priority(Main[[#This Row],[Comments]])&lt;&gt;0, priority(Main[[#This Row],[Comments]]),"")</f>
        <v/>
      </c>
      <c r="B322" s="127" t="s">
        <v>1212</v>
      </c>
      <c r="C322" s="99" t="s">
        <v>237</v>
      </c>
      <c r="D322" s="100" t="s">
        <v>238</v>
      </c>
      <c r="E322" s="101"/>
      <c r="F322" s="101"/>
      <c r="G322" s="102" t="str">
        <f>IF(stdProdLT(Main[[#This Row],[Comments]])=0.1,"N/A",IF(stdProdLT(Main[[#This Row],[Comments]])=0,"",stdProdLT(Main[[#This Row],[Comments]])))</f>
        <v/>
      </c>
      <c r="H322" s="103" t="str">
        <f>IF(AND(Main[[#This Row],[In Stock Date]]&lt;&gt;"",Main[[#This Row],[Revised Due Date]]&lt;&gt;""),Main[[#This Row],[In Stock Date]]-Main[[#This Row],[Revised Due Date]],"")</f>
        <v/>
      </c>
      <c r="I322" s="99" t="s">
        <v>4</v>
      </c>
      <c r="J322" s="99" t="s">
        <v>4</v>
      </c>
      <c r="K322" s="99" t="s">
        <v>4</v>
      </c>
      <c r="L322" s="101"/>
      <c r="M322" s="104" t="str">
        <f>IF(Main[[#This Row],[Tech Start Date]]&lt;1/1/1990,"",IF(Main[[#This Row],[Class]]="C",WORKDAY(Main[[#This Row],[Tech Start Date]],9),IF(Main[[#This Row],[Class]]="B", WORKDAY(Main[[#This Row],[Tech Start Date]],6),IF(Main[[#This Row],[Class]]="A",WORKDAY(Main[[#This Row],[Tech Start Date]],2),""))))</f>
        <v/>
      </c>
      <c r="N322" s="104" t="str">
        <f>IF(Main[[#This Row],[Tech Start Date]]&lt;1/1/1990,"",IF(Main[[#This Row],[Class]]="C",WORKDAY(Main[[#This Row],[Tech Start Date]],19),IF(Main[[#This Row],[Class]]="B", WORKDAY(Main[[#This Row],[Tech Start Date]],12),IF(Main[[#This Row],[Class]]="A",WORKDAY(Main[[#This Row],[Tech Start Date]],4),""))))</f>
        <v/>
      </c>
      <c r="O322" s="104" t="str">
        <f>IF(Main[[#This Row],[Tech Start Date]]&lt;1/1/1990,"",IF(Main[[#This Row],[Class]]="C",WORKDAY(Main[[#This Row],[Tech Start Date]],23),IF(Main[[#This Row],[Class]]="B", WORKDAY(Main[[#This Row],[Tech Start Date]],15),IF(Main[[#This Row],[Class]]="A",WORKDAY(Main[[#This Row],[Tech Start Date]],5),""))))</f>
        <v/>
      </c>
      <c r="P322" s="104" t="str">
        <f>IF(Main[[#This Row],[Tech Start Date]]&lt;1/1/1990,"",IF(Main[[#This Row],[Class]]="C",WORKDAY(Main[[#This Row],[Tech Start Date]],28),IF(Main[[#This Row],[Class]]="B", WORKDAY(Main[[#This Row],[Tech Start Date]],19),IF(Main[[#This Row],[Class]]="A",WORKDAY(Main[[#This Row],[Tech Start Date]],9),""))))</f>
        <v/>
      </c>
      <c r="Q322" s="101">
        <v>40204</v>
      </c>
      <c r="R322" s="101"/>
      <c r="S322" s="99" t="s">
        <v>11</v>
      </c>
      <c r="T322" s="107" t="s">
        <v>4</v>
      </c>
      <c r="U322" s="99" t="s">
        <v>14</v>
      </c>
      <c r="V322" s="99" t="s">
        <v>1965</v>
      </c>
      <c r="W322" s="99" t="s">
        <v>1964</v>
      </c>
    </row>
    <row r="323" spans="1:23" ht="18.600000000000001" customHeight="1">
      <c r="A323" s="123" t="str">
        <f>IF(priority(Main[[#This Row],[Comments]])&lt;&gt;0, priority(Main[[#This Row],[Comments]]),"")</f>
        <v/>
      </c>
      <c r="B323" s="127" t="s">
        <v>1213</v>
      </c>
      <c r="C323" s="99" t="s">
        <v>4</v>
      </c>
      <c r="D323" s="100" t="s">
        <v>239</v>
      </c>
      <c r="E323" s="101">
        <v>40317.337557870371</v>
      </c>
      <c r="F323" s="101"/>
      <c r="G323" s="102" t="str">
        <f>IF(stdProdLT(Main[[#This Row],[Comments]])=0.1,"N/A",IF(stdProdLT(Main[[#This Row],[Comments]])=0,"",stdProdLT(Main[[#This Row],[Comments]])))</f>
        <v/>
      </c>
      <c r="H323" s="103" t="str">
        <f>IF(AND(Main[[#This Row],[In Stock Date]]&lt;&gt;"",Main[[#This Row],[Revised Due Date]]&lt;&gt;""),Main[[#This Row],[In Stock Date]]-Main[[#This Row],[Revised Due Date]],"")</f>
        <v/>
      </c>
      <c r="I323" s="99" t="s">
        <v>4</v>
      </c>
      <c r="J323" s="99" t="s">
        <v>4</v>
      </c>
      <c r="K323" s="99" t="s">
        <v>4</v>
      </c>
      <c r="L323" s="101"/>
      <c r="M323" s="104" t="str">
        <f>IF(Main[[#This Row],[Tech Start Date]]&lt;1/1/1990,"",IF(Main[[#This Row],[Class]]="C",WORKDAY(Main[[#This Row],[Tech Start Date]],9),IF(Main[[#This Row],[Class]]="B", WORKDAY(Main[[#This Row],[Tech Start Date]],6),IF(Main[[#This Row],[Class]]="A",WORKDAY(Main[[#This Row],[Tech Start Date]],2),""))))</f>
        <v/>
      </c>
      <c r="N323" s="104" t="str">
        <f>IF(Main[[#This Row],[Tech Start Date]]&lt;1/1/1990,"",IF(Main[[#This Row],[Class]]="C",WORKDAY(Main[[#This Row],[Tech Start Date]],19),IF(Main[[#This Row],[Class]]="B", WORKDAY(Main[[#This Row],[Tech Start Date]],12),IF(Main[[#This Row],[Class]]="A",WORKDAY(Main[[#This Row],[Tech Start Date]],4),""))))</f>
        <v/>
      </c>
      <c r="O323" s="104" t="str">
        <f>IF(Main[[#This Row],[Tech Start Date]]&lt;1/1/1990,"",IF(Main[[#This Row],[Class]]="C",WORKDAY(Main[[#This Row],[Tech Start Date]],23),IF(Main[[#This Row],[Class]]="B", WORKDAY(Main[[#This Row],[Tech Start Date]],15),IF(Main[[#This Row],[Class]]="A",WORKDAY(Main[[#This Row],[Tech Start Date]],5),""))))</f>
        <v/>
      </c>
      <c r="P323" s="104" t="str">
        <f>IF(Main[[#This Row],[Tech Start Date]]&lt;1/1/1990,"",IF(Main[[#This Row],[Class]]="C",WORKDAY(Main[[#This Row],[Tech Start Date]],28),IF(Main[[#This Row],[Class]]="B", WORKDAY(Main[[#This Row],[Tech Start Date]],19),IF(Main[[#This Row],[Class]]="A",WORKDAY(Main[[#This Row],[Tech Start Date]],9),""))))</f>
        <v/>
      </c>
      <c r="Q323" s="101">
        <v>40330</v>
      </c>
      <c r="R323" s="101"/>
      <c r="S323" s="99" t="s">
        <v>6</v>
      </c>
      <c r="T323" s="107" t="s">
        <v>4</v>
      </c>
      <c r="U323" s="99" t="s">
        <v>7</v>
      </c>
      <c r="V323" s="99" t="s">
        <v>1962</v>
      </c>
      <c r="W323" s="99" t="s">
        <v>1964</v>
      </c>
    </row>
    <row r="324" spans="1:23" ht="18.600000000000001" customHeight="1">
      <c r="A324" s="123" t="str">
        <f>IF(priority(Main[[#This Row],[Comments]])&lt;&gt;0, priority(Main[[#This Row],[Comments]]),"")</f>
        <v/>
      </c>
      <c r="B324" s="127" t="s">
        <v>1214</v>
      </c>
      <c r="C324" s="99" t="s">
        <v>4</v>
      </c>
      <c r="D324" s="100" t="s">
        <v>240</v>
      </c>
      <c r="E324" s="101"/>
      <c r="F324" s="101"/>
      <c r="G324" s="102" t="str">
        <f>IF(stdProdLT(Main[[#This Row],[Comments]])=0.1,"N/A",IF(stdProdLT(Main[[#This Row],[Comments]])=0,"",stdProdLT(Main[[#This Row],[Comments]])))</f>
        <v/>
      </c>
      <c r="H324" s="103" t="str">
        <f>IF(AND(Main[[#This Row],[In Stock Date]]&lt;&gt;"",Main[[#This Row],[Revised Due Date]]&lt;&gt;""),Main[[#This Row],[In Stock Date]]-Main[[#This Row],[Revised Due Date]],"")</f>
        <v/>
      </c>
      <c r="I324" s="99" t="s">
        <v>4</v>
      </c>
      <c r="J324" s="99" t="s">
        <v>4</v>
      </c>
      <c r="K324" s="99" t="s">
        <v>4</v>
      </c>
      <c r="L324" s="101"/>
      <c r="M324" s="104" t="str">
        <f>IF(Main[[#This Row],[Tech Start Date]]&lt;1/1/1990,"",IF(Main[[#This Row],[Class]]="C",WORKDAY(Main[[#This Row],[Tech Start Date]],9),IF(Main[[#This Row],[Class]]="B", WORKDAY(Main[[#This Row],[Tech Start Date]],6),IF(Main[[#This Row],[Class]]="A",WORKDAY(Main[[#This Row],[Tech Start Date]],2),""))))</f>
        <v/>
      </c>
      <c r="N324" s="104" t="str">
        <f>IF(Main[[#This Row],[Tech Start Date]]&lt;1/1/1990,"",IF(Main[[#This Row],[Class]]="C",WORKDAY(Main[[#This Row],[Tech Start Date]],19),IF(Main[[#This Row],[Class]]="B", WORKDAY(Main[[#This Row],[Tech Start Date]],12),IF(Main[[#This Row],[Class]]="A",WORKDAY(Main[[#This Row],[Tech Start Date]],4),""))))</f>
        <v/>
      </c>
      <c r="O324" s="104" t="str">
        <f>IF(Main[[#This Row],[Tech Start Date]]&lt;1/1/1990,"",IF(Main[[#This Row],[Class]]="C",WORKDAY(Main[[#This Row],[Tech Start Date]],23),IF(Main[[#This Row],[Class]]="B", WORKDAY(Main[[#This Row],[Tech Start Date]],15),IF(Main[[#This Row],[Class]]="A",WORKDAY(Main[[#This Row],[Tech Start Date]],5),""))))</f>
        <v/>
      </c>
      <c r="P324" s="104" t="str">
        <f>IF(Main[[#This Row],[Tech Start Date]]&lt;1/1/1990,"",IF(Main[[#This Row],[Class]]="C",WORKDAY(Main[[#This Row],[Tech Start Date]],28),IF(Main[[#This Row],[Class]]="B", WORKDAY(Main[[#This Row],[Tech Start Date]],19),IF(Main[[#This Row],[Class]]="A",WORKDAY(Main[[#This Row],[Tech Start Date]],9),""))))</f>
        <v/>
      </c>
      <c r="Q324" s="101"/>
      <c r="R324" s="101"/>
      <c r="S324" s="99" t="s">
        <v>11</v>
      </c>
      <c r="T324" s="107" t="s">
        <v>4</v>
      </c>
      <c r="U324" s="99" t="s">
        <v>14</v>
      </c>
      <c r="V324" s="99" t="s">
        <v>1962</v>
      </c>
      <c r="W324" s="99" t="s">
        <v>1966</v>
      </c>
    </row>
    <row r="325" spans="1:23" ht="18.600000000000001" customHeight="1">
      <c r="A325" s="123" t="str">
        <f>IF(priority(Main[[#This Row],[Comments]])&lt;&gt;0, priority(Main[[#This Row],[Comments]]),"")</f>
        <v/>
      </c>
      <c r="B325" s="127" t="s">
        <v>1262</v>
      </c>
      <c r="C325" s="99" t="s">
        <v>33</v>
      </c>
      <c r="D325" s="100" t="s">
        <v>2450</v>
      </c>
      <c r="E325" s="101">
        <v>40603.336435185185</v>
      </c>
      <c r="F325" s="101">
        <v>40632</v>
      </c>
      <c r="G325" s="102" t="str">
        <f>IF(stdProdLT(Main[[#This Row],[Comments]])=0.1,"N/A",IF(stdProdLT(Main[[#This Row],[Comments]])=0,"",stdProdLT(Main[[#This Row],[Comments]])))</f>
        <v/>
      </c>
      <c r="H325" s="103" t="str">
        <f>IF(AND(Main[[#This Row],[In Stock Date]]&lt;&gt;"",Main[[#This Row],[Revised Due Date]]&lt;&gt;""),Main[[#This Row],[In Stock Date]]-Main[[#This Row],[Revised Due Date]],"")</f>
        <v/>
      </c>
      <c r="I325" s="99" t="s">
        <v>4</v>
      </c>
      <c r="J325" s="99" t="s">
        <v>4</v>
      </c>
      <c r="K325" s="99" t="s">
        <v>4</v>
      </c>
      <c r="L325" s="101"/>
      <c r="M325" s="104" t="str">
        <f>IF(Main[[#This Row],[Tech Start Date]]&lt;1/1/1990,"",IF(Main[[#This Row],[Class]]="C",WORKDAY(Main[[#This Row],[Tech Start Date]],9),IF(Main[[#This Row],[Class]]="B", WORKDAY(Main[[#This Row],[Tech Start Date]],6),IF(Main[[#This Row],[Class]]="A",WORKDAY(Main[[#This Row],[Tech Start Date]],2),""))))</f>
        <v/>
      </c>
      <c r="N325" s="104" t="str">
        <f>IF(Main[[#This Row],[Tech Start Date]]&lt;1/1/1990,"",IF(Main[[#This Row],[Class]]="C",WORKDAY(Main[[#This Row],[Tech Start Date]],19),IF(Main[[#This Row],[Class]]="B", WORKDAY(Main[[#This Row],[Tech Start Date]],12),IF(Main[[#This Row],[Class]]="A",WORKDAY(Main[[#This Row],[Tech Start Date]],4),""))))</f>
        <v/>
      </c>
      <c r="O325" s="104" t="str">
        <f>IF(Main[[#This Row],[Tech Start Date]]&lt;1/1/1990,"",IF(Main[[#This Row],[Class]]="C",WORKDAY(Main[[#This Row],[Tech Start Date]],23),IF(Main[[#This Row],[Class]]="B", WORKDAY(Main[[#This Row],[Tech Start Date]],15),IF(Main[[#This Row],[Class]]="A",WORKDAY(Main[[#This Row],[Tech Start Date]],5),""))))</f>
        <v/>
      </c>
      <c r="P325" s="104" t="str">
        <f>IF(Main[[#This Row],[Tech Start Date]]&lt;1/1/1990,"",IF(Main[[#This Row],[Class]]="C",WORKDAY(Main[[#This Row],[Tech Start Date]],28),IF(Main[[#This Row],[Class]]="B", WORKDAY(Main[[#This Row],[Tech Start Date]],19),IF(Main[[#This Row],[Class]]="A",WORKDAY(Main[[#This Row],[Tech Start Date]],9),""))))</f>
        <v/>
      </c>
      <c r="Q325" s="101">
        <v>40612</v>
      </c>
      <c r="R325" s="101"/>
      <c r="S325" s="99" t="s">
        <v>17</v>
      </c>
      <c r="T325" s="107" t="s">
        <v>4</v>
      </c>
      <c r="U325" s="99" t="s">
        <v>7</v>
      </c>
      <c r="V325" s="99" t="s">
        <v>1962</v>
      </c>
      <c r="W325" s="99" t="s">
        <v>1967</v>
      </c>
    </row>
    <row r="326" spans="1:23" ht="18.600000000000001" customHeight="1">
      <c r="A326" s="123" t="str">
        <f>IF(priority(Main[[#This Row],[Comments]])&lt;&gt;0, priority(Main[[#This Row],[Comments]]),"")</f>
        <v/>
      </c>
      <c r="B326" s="127" t="s">
        <v>1142</v>
      </c>
      <c r="C326" s="99" t="s">
        <v>156</v>
      </c>
      <c r="D326" s="100" t="s">
        <v>157</v>
      </c>
      <c r="E326" s="101"/>
      <c r="F326" s="101"/>
      <c r="G326" s="102" t="str">
        <f>IF(stdProdLT(Main[[#This Row],[Comments]])=0.1,"N/A",IF(stdProdLT(Main[[#This Row],[Comments]])=0,"",stdProdLT(Main[[#This Row],[Comments]])))</f>
        <v/>
      </c>
      <c r="H326" s="103" t="str">
        <f>IF(AND(Main[[#This Row],[In Stock Date]]&lt;&gt;"",Main[[#This Row],[Revised Due Date]]&lt;&gt;""),Main[[#This Row],[In Stock Date]]-Main[[#This Row],[Revised Due Date]],"")</f>
        <v/>
      </c>
      <c r="I326" s="99" t="s">
        <v>4</v>
      </c>
      <c r="J326" s="99" t="s">
        <v>4</v>
      </c>
      <c r="K326" s="99" t="s">
        <v>4</v>
      </c>
      <c r="L326" s="101"/>
      <c r="M326" s="104" t="str">
        <f>IF(Main[[#This Row],[Tech Start Date]]&lt;1/1/1990,"",IF(Main[[#This Row],[Class]]="C",WORKDAY(Main[[#This Row],[Tech Start Date]],9),IF(Main[[#This Row],[Class]]="B", WORKDAY(Main[[#This Row],[Tech Start Date]],6),IF(Main[[#This Row],[Class]]="A",WORKDAY(Main[[#This Row],[Tech Start Date]],2),""))))</f>
        <v/>
      </c>
      <c r="N326" s="104" t="str">
        <f>IF(Main[[#This Row],[Tech Start Date]]&lt;1/1/1990,"",IF(Main[[#This Row],[Class]]="C",WORKDAY(Main[[#This Row],[Tech Start Date]],19),IF(Main[[#This Row],[Class]]="B", WORKDAY(Main[[#This Row],[Tech Start Date]],12),IF(Main[[#This Row],[Class]]="A",WORKDAY(Main[[#This Row],[Tech Start Date]],4),""))))</f>
        <v/>
      </c>
      <c r="O326" s="104" t="str">
        <f>IF(Main[[#This Row],[Tech Start Date]]&lt;1/1/1990,"",IF(Main[[#This Row],[Class]]="C",WORKDAY(Main[[#This Row],[Tech Start Date]],23),IF(Main[[#This Row],[Class]]="B", WORKDAY(Main[[#This Row],[Tech Start Date]],15),IF(Main[[#This Row],[Class]]="A",WORKDAY(Main[[#This Row],[Tech Start Date]],5),""))))</f>
        <v/>
      </c>
      <c r="P326" s="104" t="str">
        <f>IF(Main[[#This Row],[Tech Start Date]]&lt;1/1/1990,"",IF(Main[[#This Row],[Class]]="C",WORKDAY(Main[[#This Row],[Tech Start Date]],28),IF(Main[[#This Row],[Class]]="B", WORKDAY(Main[[#This Row],[Tech Start Date]],19),IF(Main[[#This Row],[Class]]="A",WORKDAY(Main[[#This Row],[Tech Start Date]],9),""))))</f>
        <v/>
      </c>
      <c r="Q326" s="101">
        <v>40144</v>
      </c>
      <c r="R326" s="101"/>
      <c r="S326" s="99" t="s">
        <v>11</v>
      </c>
      <c r="T326" s="107" t="s">
        <v>4</v>
      </c>
      <c r="U326" s="99" t="s">
        <v>14</v>
      </c>
      <c r="V326" s="99" t="s">
        <v>1962</v>
      </c>
      <c r="W326" s="99" t="s">
        <v>1964</v>
      </c>
    </row>
    <row r="327" spans="1:23" ht="18.600000000000001" customHeight="1">
      <c r="A327" s="123" t="str">
        <f>IF(priority(Main[[#This Row],[Comments]])&lt;&gt;0, priority(Main[[#This Row],[Comments]]),"")</f>
        <v/>
      </c>
      <c r="B327" s="127" t="s">
        <v>1143</v>
      </c>
      <c r="C327" s="99" t="s">
        <v>158</v>
      </c>
      <c r="D327" s="100" t="s">
        <v>159</v>
      </c>
      <c r="E327" s="101"/>
      <c r="F327" s="101"/>
      <c r="G327" s="102" t="str">
        <f>IF(stdProdLT(Main[[#This Row],[Comments]])=0.1,"N/A",IF(stdProdLT(Main[[#This Row],[Comments]])=0,"",stdProdLT(Main[[#This Row],[Comments]])))</f>
        <v/>
      </c>
      <c r="H327" s="103" t="str">
        <f>IF(AND(Main[[#This Row],[In Stock Date]]&lt;&gt;"",Main[[#This Row],[Revised Due Date]]&lt;&gt;""),Main[[#This Row],[In Stock Date]]-Main[[#This Row],[Revised Due Date]],"")</f>
        <v/>
      </c>
      <c r="I327" s="99" t="s">
        <v>4</v>
      </c>
      <c r="J327" s="99" t="s">
        <v>4</v>
      </c>
      <c r="K327" s="108" t="s">
        <v>4</v>
      </c>
      <c r="L327" s="101"/>
      <c r="M327" s="104" t="str">
        <f>IF(Main[[#This Row],[Tech Start Date]]&lt;1/1/1990,"",IF(Main[[#This Row],[Class]]="C",WORKDAY(Main[[#This Row],[Tech Start Date]],9),IF(Main[[#This Row],[Class]]="B", WORKDAY(Main[[#This Row],[Tech Start Date]],6),IF(Main[[#This Row],[Class]]="A",WORKDAY(Main[[#This Row],[Tech Start Date]],2),""))))</f>
        <v/>
      </c>
      <c r="N327" s="104" t="str">
        <f>IF(Main[[#This Row],[Tech Start Date]]&lt;1/1/1990,"",IF(Main[[#This Row],[Class]]="C",WORKDAY(Main[[#This Row],[Tech Start Date]],19),IF(Main[[#This Row],[Class]]="B", WORKDAY(Main[[#This Row],[Tech Start Date]],12),IF(Main[[#This Row],[Class]]="A",WORKDAY(Main[[#This Row],[Tech Start Date]],4),""))))</f>
        <v/>
      </c>
      <c r="O327" s="104" t="str">
        <f>IF(Main[[#This Row],[Tech Start Date]]&lt;1/1/1990,"",IF(Main[[#This Row],[Class]]="C",WORKDAY(Main[[#This Row],[Tech Start Date]],23),IF(Main[[#This Row],[Class]]="B", WORKDAY(Main[[#This Row],[Tech Start Date]],15),IF(Main[[#This Row],[Class]]="A",WORKDAY(Main[[#This Row],[Tech Start Date]],5),""))))</f>
        <v/>
      </c>
      <c r="P327" s="104" t="str">
        <f>IF(Main[[#This Row],[Tech Start Date]]&lt;1/1/1990,"",IF(Main[[#This Row],[Class]]="C",WORKDAY(Main[[#This Row],[Tech Start Date]],28),IF(Main[[#This Row],[Class]]="B", WORKDAY(Main[[#This Row],[Tech Start Date]],19),IF(Main[[#This Row],[Class]]="A",WORKDAY(Main[[#This Row],[Tech Start Date]],9),""))))</f>
        <v/>
      </c>
      <c r="Q327" s="101"/>
      <c r="R327" s="101"/>
      <c r="S327" s="99" t="s">
        <v>11</v>
      </c>
      <c r="T327" s="107" t="s">
        <v>4</v>
      </c>
      <c r="U327" s="99" t="s">
        <v>14</v>
      </c>
      <c r="V327" s="99" t="s">
        <v>1963</v>
      </c>
      <c r="W327" s="99" t="s">
        <v>1964</v>
      </c>
    </row>
    <row r="328" spans="1:23" ht="18.600000000000001" customHeight="1">
      <c r="A328" s="123" t="str">
        <f>IF(priority(Main[[#This Row],[Comments]])&lt;&gt;0, priority(Main[[#This Row],[Comments]]),"")</f>
        <v/>
      </c>
      <c r="B328" s="127" t="s">
        <v>1144</v>
      </c>
      <c r="C328" s="99" t="s">
        <v>160</v>
      </c>
      <c r="D328" s="100" t="s">
        <v>161</v>
      </c>
      <c r="E328" s="101"/>
      <c r="F328" s="101">
        <v>40513</v>
      </c>
      <c r="G328" s="102" t="str">
        <f>IF(stdProdLT(Main[[#This Row],[Comments]])=0.1,"N/A",IF(stdProdLT(Main[[#This Row],[Comments]])=0,"",stdProdLT(Main[[#This Row],[Comments]])))</f>
        <v/>
      </c>
      <c r="H328" s="103" t="str">
        <f>IF(AND(Main[[#This Row],[In Stock Date]]&lt;&gt;"",Main[[#This Row],[Revised Due Date]]&lt;&gt;""),Main[[#This Row],[In Stock Date]]-Main[[#This Row],[Revised Due Date]],"")</f>
        <v/>
      </c>
      <c r="I328" s="99" t="s">
        <v>4</v>
      </c>
      <c r="J328" s="99" t="s">
        <v>28</v>
      </c>
      <c r="K328" s="99" t="s">
        <v>4</v>
      </c>
      <c r="L328" s="101"/>
      <c r="M328" s="104" t="str">
        <f>IF(Main[[#This Row],[Tech Start Date]]&lt;1/1/1990,"",IF(Main[[#This Row],[Class]]="C",WORKDAY(Main[[#This Row],[Tech Start Date]],9),IF(Main[[#This Row],[Class]]="B", WORKDAY(Main[[#This Row],[Tech Start Date]],6),IF(Main[[#This Row],[Class]]="A",WORKDAY(Main[[#This Row],[Tech Start Date]],2),""))))</f>
        <v/>
      </c>
      <c r="N328" s="104" t="str">
        <f>IF(Main[[#This Row],[Tech Start Date]]&lt;1/1/1990,"",IF(Main[[#This Row],[Class]]="C",WORKDAY(Main[[#This Row],[Tech Start Date]],19),IF(Main[[#This Row],[Class]]="B", WORKDAY(Main[[#This Row],[Tech Start Date]],12),IF(Main[[#This Row],[Class]]="A",WORKDAY(Main[[#This Row],[Tech Start Date]],4),""))))</f>
        <v/>
      </c>
      <c r="O328" s="104" t="str">
        <f>IF(Main[[#This Row],[Tech Start Date]]&lt;1/1/1990,"",IF(Main[[#This Row],[Class]]="C",WORKDAY(Main[[#This Row],[Tech Start Date]],23),IF(Main[[#This Row],[Class]]="B", WORKDAY(Main[[#This Row],[Tech Start Date]],15),IF(Main[[#This Row],[Class]]="A",WORKDAY(Main[[#This Row],[Tech Start Date]],5),""))))</f>
        <v/>
      </c>
      <c r="P328" s="104" t="str">
        <f>IF(Main[[#This Row],[Tech Start Date]]&lt;1/1/1990,"",IF(Main[[#This Row],[Class]]="C",WORKDAY(Main[[#This Row],[Tech Start Date]],28),IF(Main[[#This Row],[Class]]="B", WORKDAY(Main[[#This Row],[Tech Start Date]],19),IF(Main[[#This Row],[Class]]="A",WORKDAY(Main[[#This Row],[Tech Start Date]],9),""))))</f>
        <v/>
      </c>
      <c r="Q328" s="101">
        <v>40382</v>
      </c>
      <c r="R328" s="101"/>
      <c r="S328" s="99" t="s">
        <v>11</v>
      </c>
      <c r="T328" s="107" t="s">
        <v>4</v>
      </c>
      <c r="U328" s="99" t="s">
        <v>14</v>
      </c>
      <c r="V328" s="99" t="s">
        <v>1962</v>
      </c>
      <c r="W328" s="99" t="s">
        <v>1970</v>
      </c>
    </row>
    <row r="329" spans="1:23" ht="18.600000000000001" customHeight="1">
      <c r="A329" s="123" t="str">
        <f>IF(priority(Main[[#This Row],[Comments]])&lt;&gt;0, priority(Main[[#This Row],[Comments]]),"")</f>
        <v/>
      </c>
      <c r="B329" s="127" t="s">
        <v>2237</v>
      </c>
      <c r="C329" s="99" t="s">
        <v>4</v>
      </c>
      <c r="D329" s="100" t="s">
        <v>2238</v>
      </c>
      <c r="E329" s="101">
        <v>40781.644953703704</v>
      </c>
      <c r="F329" s="101"/>
      <c r="G329" s="102" t="str">
        <f>IF(stdProdLT(Main[[#This Row],[Comments]])=0.1,"N/A",IF(stdProdLT(Main[[#This Row],[Comments]])=0,"",stdProdLT(Main[[#This Row],[Comments]])))</f>
        <v/>
      </c>
      <c r="H329" s="103" t="str">
        <f>IF(AND(Main[[#This Row],[In Stock Date]]&lt;&gt;"",Main[[#This Row],[Revised Due Date]]&lt;&gt;""),Main[[#This Row],[In Stock Date]]-Main[[#This Row],[Revised Due Date]],"")</f>
        <v/>
      </c>
      <c r="I329" s="99" t="s">
        <v>4</v>
      </c>
      <c r="J329" s="99" t="s">
        <v>4</v>
      </c>
      <c r="K329" s="99" t="s">
        <v>4</v>
      </c>
      <c r="L329" s="101"/>
      <c r="M329" s="104" t="str">
        <f>IF(Main[[#This Row],[Tech Start Date]]&lt;1/1/1990,"",IF(Main[[#This Row],[Class]]="C",WORKDAY(Main[[#This Row],[Tech Start Date]],9),IF(Main[[#This Row],[Class]]="B", WORKDAY(Main[[#This Row],[Tech Start Date]],6),IF(Main[[#This Row],[Class]]="A",WORKDAY(Main[[#This Row],[Tech Start Date]],2),""))))</f>
        <v/>
      </c>
      <c r="N329" s="104" t="str">
        <f>IF(Main[[#This Row],[Tech Start Date]]&lt;1/1/1990,"",IF(Main[[#This Row],[Class]]="C",WORKDAY(Main[[#This Row],[Tech Start Date]],19),IF(Main[[#This Row],[Class]]="B", WORKDAY(Main[[#This Row],[Tech Start Date]],12),IF(Main[[#This Row],[Class]]="A",WORKDAY(Main[[#This Row],[Tech Start Date]],4),""))))</f>
        <v/>
      </c>
      <c r="O329" s="104" t="str">
        <f>IF(Main[[#This Row],[Tech Start Date]]&lt;1/1/1990,"",IF(Main[[#This Row],[Class]]="C",WORKDAY(Main[[#This Row],[Tech Start Date]],23),IF(Main[[#This Row],[Class]]="B", WORKDAY(Main[[#This Row],[Tech Start Date]],15),IF(Main[[#This Row],[Class]]="A",WORKDAY(Main[[#This Row],[Tech Start Date]],5),""))))</f>
        <v/>
      </c>
      <c r="P329" s="104" t="str">
        <f>IF(Main[[#This Row],[Tech Start Date]]&lt;1/1/1990,"",IF(Main[[#This Row],[Class]]="C",WORKDAY(Main[[#This Row],[Tech Start Date]],28),IF(Main[[#This Row],[Class]]="B", WORKDAY(Main[[#This Row],[Tech Start Date]],19),IF(Main[[#This Row],[Class]]="A",WORKDAY(Main[[#This Row],[Tech Start Date]],9),""))))</f>
        <v/>
      </c>
      <c r="Q329" s="101">
        <v>40809</v>
      </c>
      <c r="R329" s="101"/>
      <c r="S329" s="99" t="s">
        <v>6</v>
      </c>
      <c r="T329" s="107" t="s">
        <v>4</v>
      </c>
      <c r="U329" s="99" t="s">
        <v>7</v>
      </c>
      <c r="V329" s="99" t="s">
        <v>1962</v>
      </c>
      <c r="W329" s="99" t="s">
        <v>4</v>
      </c>
    </row>
    <row r="330" spans="1:23" ht="18.600000000000001" customHeight="1">
      <c r="A330" s="123" t="str">
        <f>IF(priority(Main[[#This Row],[Comments]])&lt;&gt;0, priority(Main[[#This Row],[Comments]]),"")</f>
        <v/>
      </c>
      <c r="B330" s="127" t="s">
        <v>2435</v>
      </c>
      <c r="C330" s="99" t="s">
        <v>4</v>
      </c>
      <c r="D330" s="100" t="s">
        <v>2436</v>
      </c>
      <c r="E330" s="101">
        <v>40876.410104166665</v>
      </c>
      <c r="F330" s="101"/>
      <c r="G330" s="102" t="str">
        <f>IF(stdProdLT(Main[[#This Row],[Comments]])=0.1,"N/A",IF(stdProdLT(Main[[#This Row],[Comments]])=0,"",stdProdLT(Main[[#This Row],[Comments]])))</f>
        <v/>
      </c>
      <c r="H330" s="103" t="str">
        <f>IF(AND(Main[[#This Row],[In Stock Date]]&lt;&gt;"",Main[[#This Row],[Revised Due Date]]&lt;&gt;""),Main[[#This Row],[In Stock Date]]-Main[[#This Row],[Revised Due Date]],"")</f>
        <v/>
      </c>
      <c r="I330" s="99" t="s">
        <v>4</v>
      </c>
      <c r="J330" s="99" t="s">
        <v>4</v>
      </c>
      <c r="K330" s="99" t="s">
        <v>4</v>
      </c>
      <c r="L330" s="101"/>
      <c r="M330" s="104" t="str">
        <f>IF(Main[[#This Row],[Tech Start Date]]&lt;1/1/1990,"",IF(Main[[#This Row],[Class]]="C",WORKDAY(Main[[#This Row],[Tech Start Date]],9),IF(Main[[#This Row],[Class]]="B", WORKDAY(Main[[#This Row],[Tech Start Date]],6),IF(Main[[#This Row],[Class]]="A",WORKDAY(Main[[#This Row],[Tech Start Date]],2),""))))</f>
        <v/>
      </c>
      <c r="N330" s="104" t="str">
        <f>IF(Main[[#This Row],[Tech Start Date]]&lt;1/1/1990,"",IF(Main[[#This Row],[Class]]="C",WORKDAY(Main[[#This Row],[Tech Start Date]],19),IF(Main[[#This Row],[Class]]="B", WORKDAY(Main[[#This Row],[Tech Start Date]],12),IF(Main[[#This Row],[Class]]="A",WORKDAY(Main[[#This Row],[Tech Start Date]],4),""))))</f>
        <v/>
      </c>
      <c r="O330" s="104" t="str">
        <f>IF(Main[[#This Row],[Tech Start Date]]&lt;1/1/1990,"",IF(Main[[#This Row],[Class]]="C",WORKDAY(Main[[#This Row],[Tech Start Date]],23),IF(Main[[#This Row],[Class]]="B", WORKDAY(Main[[#This Row],[Tech Start Date]],15),IF(Main[[#This Row],[Class]]="A",WORKDAY(Main[[#This Row],[Tech Start Date]],5),""))))</f>
        <v/>
      </c>
      <c r="P330" s="104" t="str">
        <f>IF(Main[[#This Row],[Tech Start Date]]&lt;1/1/1990,"",IF(Main[[#This Row],[Class]]="C",WORKDAY(Main[[#This Row],[Tech Start Date]],28),IF(Main[[#This Row],[Class]]="B", WORKDAY(Main[[#This Row],[Tech Start Date]],19),IF(Main[[#This Row],[Class]]="A",WORKDAY(Main[[#This Row],[Tech Start Date]],9),""))))</f>
        <v/>
      </c>
      <c r="Q330" s="101">
        <v>40879</v>
      </c>
      <c r="R330" s="101"/>
      <c r="S330" s="99" t="s">
        <v>6</v>
      </c>
      <c r="T330" s="107" t="s">
        <v>4</v>
      </c>
      <c r="U330" s="99" t="s">
        <v>29</v>
      </c>
      <c r="V330" s="99" t="s">
        <v>1963</v>
      </c>
      <c r="W330" s="99" t="s">
        <v>1966</v>
      </c>
    </row>
    <row r="331" spans="1:23" ht="18.600000000000001" customHeight="1">
      <c r="A331" s="123" t="str">
        <f>IF(priority(Main[[#This Row],[Comments]])&lt;&gt;0, priority(Main[[#This Row],[Comments]]),"")</f>
        <v/>
      </c>
      <c r="B331" s="127" t="s">
        <v>2031</v>
      </c>
      <c r="C331" s="99" t="s">
        <v>2026</v>
      </c>
      <c r="D331" s="100" t="s">
        <v>2032</v>
      </c>
      <c r="E331" s="101"/>
      <c r="F331" s="101"/>
      <c r="G331" s="102" t="str">
        <f>IF(stdProdLT(Main[[#This Row],[Comments]])=0.1,"N/A",IF(stdProdLT(Main[[#This Row],[Comments]])=0,"",stdProdLT(Main[[#This Row],[Comments]])))</f>
        <v/>
      </c>
      <c r="H331" s="103" t="str">
        <f>IF(AND(Main[[#This Row],[In Stock Date]]&lt;&gt;"",Main[[#This Row],[Revised Due Date]]&lt;&gt;""),Main[[#This Row],[In Stock Date]]-Main[[#This Row],[Revised Due Date]],"")</f>
        <v/>
      </c>
      <c r="I331" s="99" t="s">
        <v>4</v>
      </c>
      <c r="J331" s="99" t="s">
        <v>4</v>
      </c>
      <c r="K331" s="99" t="s">
        <v>4</v>
      </c>
      <c r="L331" s="101"/>
      <c r="M331" s="104" t="str">
        <f>IF(Main[[#This Row],[Tech Start Date]]&lt;1/1/1990,"",IF(Main[[#This Row],[Class]]="C",WORKDAY(Main[[#This Row],[Tech Start Date]],9),IF(Main[[#This Row],[Class]]="B", WORKDAY(Main[[#This Row],[Tech Start Date]],6),IF(Main[[#This Row],[Class]]="A",WORKDAY(Main[[#This Row],[Tech Start Date]],2),""))))</f>
        <v/>
      </c>
      <c r="N331" s="104" t="str">
        <f>IF(Main[[#This Row],[Tech Start Date]]&lt;1/1/1990,"",IF(Main[[#This Row],[Class]]="C",WORKDAY(Main[[#This Row],[Tech Start Date]],19),IF(Main[[#This Row],[Class]]="B", WORKDAY(Main[[#This Row],[Tech Start Date]],12),IF(Main[[#This Row],[Class]]="A",WORKDAY(Main[[#This Row],[Tech Start Date]],4),""))))</f>
        <v/>
      </c>
      <c r="O331" s="104" t="str">
        <f>IF(Main[[#This Row],[Tech Start Date]]&lt;1/1/1990,"",IF(Main[[#This Row],[Class]]="C",WORKDAY(Main[[#This Row],[Tech Start Date]],23),IF(Main[[#This Row],[Class]]="B", WORKDAY(Main[[#This Row],[Tech Start Date]],15),IF(Main[[#This Row],[Class]]="A",WORKDAY(Main[[#This Row],[Tech Start Date]],5),""))))</f>
        <v/>
      </c>
      <c r="P331" s="104" t="str">
        <f>IF(Main[[#This Row],[Tech Start Date]]&lt;1/1/1990,"",IF(Main[[#This Row],[Class]]="C",WORKDAY(Main[[#This Row],[Tech Start Date]],28),IF(Main[[#This Row],[Class]]="B", WORKDAY(Main[[#This Row],[Tech Start Date]],19),IF(Main[[#This Row],[Class]]="A",WORKDAY(Main[[#This Row],[Tech Start Date]],9),""))))</f>
        <v/>
      </c>
      <c r="Q331" s="101">
        <v>40745</v>
      </c>
      <c r="R331" s="101"/>
      <c r="S331" s="99" t="s">
        <v>11</v>
      </c>
      <c r="T331" s="107" t="s">
        <v>4</v>
      </c>
      <c r="U331" s="99" t="s">
        <v>14</v>
      </c>
      <c r="V331" s="99" t="s">
        <v>1963</v>
      </c>
      <c r="W331" s="99" t="s">
        <v>1964</v>
      </c>
    </row>
    <row r="332" spans="1:23" ht="18.600000000000001" customHeight="1">
      <c r="A332" s="123" t="str">
        <f>IF(priority(Main[[#This Row],[Comments]])&lt;&gt;0, priority(Main[[#This Row],[Comments]]),"")</f>
        <v/>
      </c>
      <c r="B332" s="127" t="s">
        <v>1145</v>
      </c>
      <c r="C332" s="99" t="s">
        <v>162</v>
      </c>
      <c r="D332" s="100" t="s">
        <v>163</v>
      </c>
      <c r="E332" s="101"/>
      <c r="F332" s="101">
        <v>40238</v>
      </c>
      <c r="G332" s="102" t="str">
        <f>IF(stdProdLT(Main[[#This Row],[Comments]])=0.1,"N/A",IF(stdProdLT(Main[[#This Row],[Comments]])=0,"",stdProdLT(Main[[#This Row],[Comments]])))</f>
        <v/>
      </c>
      <c r="H332" s="103" t="str">
        <f>IF(AND(Main[[#This Row],[In Stock Date]]&lt;&gt;"",Main[[#This Row],[Revised Due Date]]&lt;&gt;""),Main[[#This Row],[In Stock Date]]-Main[[#This Row],[Revised Due Date]],"")</f>
        <v/>
      </c>
      <c r="I332" s="99" t="s">
        <v>4</v>
      </c>
      <c r="J332" s="99" t="s">
        <v>4</v>
      </c>
      <c r="K332" s="99" t="s">
        <v>4</v>
      </c>
      <c r="L332" s="101"/>
      <c r="M332" s="104" t="str">
        <f>IF(Main[[#This Row],[Tech Start Date]]&lt;1/1/1990,"",IF(Main[[#This Row],[Class]]="C",WORKDAY(Main[[#This Row],[Tech Start Date]],9),IF(Main[[#This Row],[Class]]="B", WORKDAY(Main[[#This Row],[Tech Start Date]],6),IF(Main[[#This Row],[Class]]="A",WORKDAY(Main[[#This Row],[Tech Start Date]],2),""))))</f>
        <v/>
      </c>
      <c r="N332" s="104" t="str">
        <f>IF(Main[[#This Row],[Tech Start Date]]&lt;1/1/1990,"",IF(Main[[#This Row],[Class]]="C",WORKDAY(Main[[#This Row],[Tech Start Date]],19),IF(Main[[#This Row],[Class]]="B", WORKDAY(Main[[#This Row],[Tech Start Date]],12),IF(Main[[#This Row],[Class]]="A",WORKDAY(Main[[#This Row],[Tech Start Date]],4),""))))</f>
        <v/>
      </c>
      <c r="O332" s="104" t="str">
        <f>IF(Main[[#This Row],[Tech Start Date]]&lt;1/1/1990,"",IF(Main[[#This Row],[Class]]="C",WORKDAY(Main[[#This Row],[Tech Start Date]],23),IF(Main[[#This Row],[Class]]="B", WORKDAY(Main[[#This Row],[Tech Start Date]],15),IF(Main[[#This Row],[Class]]="A",WORKDAY(Main[[#This Row],[Tech Start Date]],5),""))))</f>
        <v/>
      </c>
      <c r="P332" s="104" t="str">
        <f>IF(Main[[#This Row],[Tech Start Date]]&lt;1/1/1990,"",IF(Main[[#This Row],[Class]]="C",WORKDAY(Main[[#This Row],[Tech Start Date]],28),IF(Main[[#This Row],[Class]]="B", WORKDAY(Main[[#This Row],[Tech Start Date]],19),IF(Main[[#This Row],[Class]]="A",WORKDAY(Main[[#This Row],[Tech Start Date]],9),""))))</f>
        <v/>
      </c>
      <c r="Q332" s="101">
        <v>40167</v>
      </c>
      <c r="R332" s="101"/>
      <c r="S332" s="99" t="s">
        <v>17</v>
      </c>
      <c r="T332" s="107" t="s">
        <v>4</v>
      </c>
      <c r="U332" s="99" t="s">
        <v>12</v>
      </c>
      <c r="V332" s="99" t="s">
        <v>1965</v>
      </c>
      <c r="W332" s="99" t="s">
        <v>1970</v>
      </c>
    </row>
    <row r="333" spans="1:23" ht="18.600000000000001" customHeight="1">
      <c r="A333" s="123" t="str">
        <f>IF(priority(Main[[#This Row],[Comments]])&lt;&gt;0, priority(Main[[#This Row],[Comments]]),"")</f>
        <v/>
      </c>
      <c r="B333" s="127" t="s">
        <v>1147</v>
      </c>
      <c r="C333" s="99" t="s">
        <v>4</v>
      </c>
      <c r="D333" s="100" t="s">
        <v>164</v>
      </c>
      <c r="E333" s="101">
        <v>40585.667395833334</v>
      </c>
      <c r="F333" s="101">
        <v>40602</v>
      </c>
      <c r="G333" s="102" t="str">
        <f>IF(stdProdLT(Main[[#This Row],[Comments]])=0.1,"N/A",IF(stdProdLT(Main[[#This Row],[Comments]])=0,"",stdProdLT(Main[[#This Row],[Comments]])))</f>
        <v/>
      </c>
      <c r="H333" s="103" t="str">
        <f>IF(AND(Main[[#This Row],[In Stock Date]]&lt;&gt;"",Main[[#This Row],[Revised Due Date]]&lt;&gt;""),Main[[#This Row],[In Stock Date]]-Main[[#This Row],[Revised Due Date]],"")</f>
        <v/>
      </c>
      <c r="I333" s="99" t="s">
        <v>165</v>
      </c>
      <c r="J333" s="99" t="s">
        <v>52</v>
      </c>
      <c r="K333" s="99" t="s">
        <v>1971</v>
      </c>
      <c r="L333" s="101"/>
      <c r="M333" s="104" t="str">
        <f>IF(Main[[#This Row],[Tech Start Date]]&lt;1/1/1990,"",IF(Main[[#This Row],[Class]]="C",WORKDAY(Main[[#This Row],[Tech Start Date]],9),IF(Main[[#This Row],[Class]]="B", WORKDAY(Main[[#This Row],[Tech Start Date]],6),IF(Main[[#This Row],[Class]]="A",WORKDAY(Main[[#This Row],[Tech Start Date]],2),""))))</f>
        <v/>
      </c>
      <c r="N333" s="104" t="str">
        <f>IF(Main[[#This Row],[Tech Start Date]]&lt;1/1/1990,"",IF(Main[[#This Row],[Class]]="C",WORKDAY(Main[[#This Row],[Tech Start Date]],19),IF(Main[[#This Row],[Class]]="B", WORKDAY(Main[[#This Row],[Tech Start Date]],12),IF(Main[[#This Row],[Class]]="A",WORKDAY(Main[[#This Row],[Tech Start Date]],4),""))))</f>
        <v/>
      </c>
      <c r="O333" s="104" t="str">
        <f>IF(Main[[#This Row],[Tech Start Date]]&lt;1/1/1990,"",IF(Main[[#This Row],[Class]]="C",WORKDAY(Main[[#This Row],[Tech Start Date]],23),IF(Main[[#This Row],[Class]]="B", WORKDAY(Main[[#This Row],[Tech Start Date]],15),IF(Main[[#This Row],[Class]]="A",WORKDAY(Main[[#This Row],[Tech Start Date]],5),""))))</f>
        <v/>
      </c>
      <c r="P333" s="104" t="str">
        <f>IF(Main[[#This Row],[Tech Start Date]]&lt;1/1/1990,"",IF(Main[[#This Row],[Class]]="C",WORKDAY(Main[[#This Row],[Tech Start Date]],28),IF(Main[[#This Row],[Class]]="B", WORKDAY(Main[[#This Row],[Tech Start Date]],19),IF(Main[[#This Row],[Class]]="A",WORKDAY(Main[[#This Row],[Tech Start Date]],9),""))))</f>
        <v/>
      </c>
      <c r="Q333" s="101">
        <v>40602</v>
      </c>
      <c r="R333" s="101"/>
      <c r="S333" s="99" t="s">
        <v>6</v>
      </c>
      <c r="T333" s="107" t="s">
        <v>4</v>
      </c>
      <c r="U333" s="99" t="s">
        <v>29</v>
      </c>
      <c r="V333" s="99" t="s">
        <v>1965</v>
      </c>
      <c r="W333" s="99" t="s">
        <v>1964</v>
      </c>
    </row>
    <row r="334" spans="1:23" ht="18.600000000000001" customHeight="1">
      <c r="A334" s="123" t="str">
        <f>IF(priority(Main[[#This Row],[Comments]])&lt;&gt;0, priority(Main[[#This Row],[Comments]]),"")</f>
        <v/>
      </c>
      <c r="B334" s="127" t="s">
        <v>1148</v>
      </c>
      <c r="C334" s="99" t="s">
        <v>4</v>
      </c>
      <c r="D334" s="100" t="s">
        <v>166</v>
      </c>
      <c r="E334" s="101">
        <v>40315.288738425923</v>
      </c>
      <c r="F334" s="101"/>
      <c r="G334" s="102" t="str">
        <f>IF(stdProdLT(Main[[#This Row],[Comments]])=0.1,"N/A",IF(stdProdLT(Main[[#This Row],[Comments]])=0,"",stdProdLT(Main[[#This Row],[Comments]])))</f>
        <v/>
      </c>
      <c r="H334" s="103" t="str">
        <f>IF(AND(Main[[#This Row],[In Stock Date]]&lt;&gt;"",Main[[#This Row],[Revised Due Date]]&lt;&gt;""),Main[[#This Row],[In Stock Date]]-Main[[#This Row],[Revised Due Date]],"")</f>
        <v/>
      </c>
      <c r="I334" s="99" t="s">
        <v>129</v>
      </c>
      <c r="J334" s="99" t="s">
        <v>4</v>
      </c>
      <c r="K334" s="99" t="s">
        <v>4</v>
      </c>
      <c r="L334" s="101"/>
      <c r="M334" s="104" t="str">
        <f>IF(Main[[#This Row],[Tech Start Date]]&lt;1/1/1990,"",IF(Main[[#This Row],[Class]]="C",WORKDAY(Main[[#This Row],[Tech Start Date]],9),IF(Main[[#This Row],[Class]]="B", WORKDAY(Main[[#This Row],[Tech Start Date]],6),IF(Main[[#This Row],[Class]]="A",WORKDAY(Main[[#This Row],[Tech Start Date]],2),""))))</f>
        <v/>
      </c>
      <c r="N334" s="104" t="str">
        <f>IF(Main[[#This Row],[Tech Start Date]]&lt;1/1/1990,"",IF(Main[[#This Row],[Class]]="C",WORKDAY(Main[[#This Row],[Tech Start Date]],19),IF(Main[[#This Row],[Class]]="B", WORKDAY(Main[[#This Row],[Tech Start Date]],12),IF(Main[[#This Row],[Class]]="A",WORKDAY(Main[[#This Row],[Tech Start Date]],4),""))))</f>
        <v/>
      </c>
      <c r="O334" s="104" t="str">
        <f>IF(Main[[#This Row],[Tech Start Date]]&lt;1/1/1990,"",IF(Main[[#This Row],[Class]]="C",WORKDAY(Main[[#This Row],[Tech Start Date]],23),IF(Main[[#This Row],[Class]]="B", WORKDAY(Main[[#This Row],[Tech Start Date]],15),IF(Main[[#This Row],[Class]]="A",WORKDAY(Main[[#This Row],[Tech Start Date]],5),""))))</f>
        <v/>
      </c>
      <c r="P334" s="104" t="str">
        <f>IF(Main[[#This Row],[Tech Start Date]]&lt;1/1/1990,"",IF(Main[[#This Row],[Class]]="C",WORKDAY(Main[[#This Row],[Tech Start Date]],28),IF(Main[[#This Row],[Class]]="B", WORKDAY(Main[[#This Row],[Tech Start Date]],19),IF(Main[[#This Row],[Class]]="A",WORKDAY(Main[[#This Row],[Tech Start Date]],9),""))))</f>
        <v/>
      </c>
      <c r="Q334" s="101">
        <v>40359</v>
      </c>
      <c r="R334" s="101"/>
      <c r="S334" s="99" t="s">
        <v>6</v>
      </c>
      <c r="T334" s="107" t="s">
        <v>4</v>
      </c>
      <c r="U334" s="99" t="s">
        <v>7</v>
      </c>
      <c r="V334" s="99" t="s">
        <v>1962</v>
      </c>
      <c r="W334" s="99" t="s">
        <v>4</v>
      </c>
    </row>
    <row r="335" spans="1:23" ht="18.600000000000001" customHeight="1">
      <c r="A335" s="123" t="str">
        <f>IF(priority(Main[[#This Row],[Comments]])&lt;&gt;0, priority(Main[[#This Row],[Comments]]),"")</f>
        <v/>
      </c>
      <c r="B335" s="127" t="s">
        <v>1149</v>
      </c>
      <c r="C335" s="99" t="s">
        <v>31</v>
      </c>
      <c r="D335" s="100" t="s">
        <v>167</v>
      </c>
      <c r="E335" s="101">
        <v>40490.313692129632</v>
      </c>
      <c r="F335" s="101">
        <v>40546</v>
      </c>
      <c r="G335" s="102" t="str">
        <f>IF(stdProdLT(Main[[#This Row],[Comments]])=0.1,"N/A",IF(stdProdLT(Main[[#This Row],[Comments]])=0,"",stdProdLT(Main[[#This Row],[Comments]])))</f>
        <v/>
      </c>
      <c r="H335" s="103" t="str">
        <f>IF(AND(Main[[#This Row],[In Stock Date]]&lt;&gt;"",Main[[#This Row],[Revised Due Date]]&lt;&gt;""),Main[[#This Row],[In Stock Date]]-Main[[#This Row],[Revised Due Date]],"")</f>
        <v/>
      </c>
      <c r="I335" s="99" t="s">
        <v>4</v>
      </c>
      <c r="J335" s="99" t="s">
        <v>4</v>
      </c>
      <c r="K335" s="99" t="s">
        <v>4</v>
      </c>
      <c r="L335" s="101"/>
      <c r="M335" s="104" t="str">
        <f>IF(Main[[#This Row],[Tech Start Date]]&lt;1/1/1990,"",IF(Main[[#This Row],[Class]]="C",WORKDAY(Main[[#This Row],[Tech Start Date]],9),IF(Main[[#This Row],[Class]]="B", WORKDAY(Main[[#This Row],[Tech Start Date]],6),IF(Main[[#This Row],[Class]]="A",WORKDAY(Main[[#This Row],[Tech Start Date]],2),""))))</f>
        <v/>
      </c>
      <c r="N335" s="104" t="str">
        <f>IF(Main[[#This Row],[Tech Start Date]]&lt;1/1/1990,"",IF(Main[[#This Row],[Class]]="C",WORKDAY(Main[[#This Row],[Tech Start Date]],19),IF(Main[[#This Row],[Class]]="B", WORKDAY(Main[[#This Row],[Tech Start Date]],12),IF(Main[[#This Row],[Class]]="A",WORKDAY(Main[[#This Row],[Tech Start Date]],4),""))))</f>
        <v/>
      </c>
      <c r="O335" s="104" t="str">
        <f>IF(Main[[#This Row],[Tech Start Date]]&lt;1/1/1990,"",IF(Main[[#This Row],[Class]]="C",WORKDAY(Main[[#This Row],[Tech Start Date]],23),IF(Main[[#This Row],[Class]]="B", WORKDAY(Main[[#This Row],[Tech Start Date]],15),IF(Main[[#This Row],[Class]]="A",WORKDAY(Main[[#This Row],[Tech Start Date]],5),""))))</f>
        <v/>
      </c>
      <c r="P335" s="104" t="str">
        <f>IF(Main[[#This Row],[Tech Start Date]]&lt;1/1/1990,"",IF(Main[[#This Row],[Class]]="C",WORKDAY(Main[[#This Row],[Tech Start Date]],28),IF(Main[[#This Row],[Class]]="B", WORKDAY(Main[[#This Row],[Tech Start Date]],19),IF(Main[[#This Row],[Class]]="A",WORKDAY(Main[[#This Row],[Tech Start Date]],9),""))))</f>
        <v/>
      </c>
      <c r="Q335" s="101">
        <v>40543</v>
      </c>
      <c r="R335" s="101"/>
      <c r="S335" s="99" t="s">
        <v>17</v>
      </c>
      <c r="T335" s="107" t="s">
        <v>4</v>
      </c>
      <c r="U335" s="99" t="s">
        <v>7</v>
      </c>
      <c r="V335" s="99" t="s">
        <v>1965</v>
      </c>
      <c r="W335" s="99" t="s">
        <v>4</v>
      </c>
    </row>
    <row r="336" spans="1:23" ht="18.600000000000001" customHeight="1">
      <c r="A336" s="123" t="str">
        <f>IF(priority(Main[[#This Row],[Comments]])&lt;&gt;0, priority(Main[[#This Row],[Comments]]),"")</f>
        <v/>
      </c>
      <c r="B336" s="127" t="s">
        <v>1150</v>
      </c>
      <c r="C336" s="99" t="s">
        <v>4</v>
      </c>
      <c r="D336" s="100" t="s">
        <v>168</v>
      </c>
      <c r="E336" s="101">
        <v>40455.90861111111</v>
      </c>
      <c r="F336" s="101"/>
      <c r="G336" s="102" t="str">
        <f>IF(stdProdLT(Main[[#This Row],[Comments]])=0.1,"N/A",IF(stdProdLT(Main[[#This Row],[Comments]])=0,"",stdProdLT(Main[[#This Row],[Comments]])))</f>
        <v/>
      </c>
      <c r="H336" s="103" t="str">
        <f>IF(AND(Main[[#This Row],[In Stock Date]]&lt;&gt;"",Main[[#This Row],[Revised Due Date]]&lt;&gt;""),Main[[#This Row],[In Stock Date]]-Main[[#This Row],[Revised Due Date]],"")</f>
        <v/>
      </c>
      <c r="I336" s="99" t="s">
        <v>4</v>
      </c>
      <c r="J336" s="99" t="s">
        <v>28</v>
      </c>
      <c r="K336" s="108" t="s">
        <v>1974</v>
      </c>
      <c r="L336" s="101"/>
      <c r="M336" s="104" t="str">
        <f>IF(Main[[#This Row],[Tech Start Date]]&lt;1/1/1990,"",IF(Main[[#This Row],[Class]]="C",WORKDAY(Main[[#This Row],[Tech Start Date]],9),IF(Main[[#This Row],[Class]]="B", WORKDAY(Main[[#This Row],[Tech Start Date]],6),IF(Main[[#This Row],[Class]]="A",WORKDAY(Main[[#This Row],[Tech Start Date]],2),""))))</f>
        <v/>
      </c>
      <c r="N336" s="104" t="str">
        <f>IF(Main[[#This Row],[Tech Start Date]]&lt;1/1/1990,"",IF(Main[[#This Row],[Class]]="C",WORKDAY(Main[[#This Row],[Tech Start Date]],19),IF(Main[[#This Row],[Class]]="B", WORKDAY(Main[[#This Row],[Tech Start Date]],12),IF(Main[[#This Row],[Class]]="A",WORKDAY(Main[[#This Row],[Tech Start Date]],4),""))))</f>
        <v/>
      </c>
      <c r="O336" s="104" t="str">
        <f>IF(Main[[#This Row],[Tech Start Date]]&lt;1/1/1990,"",IF(Main[[#This Row],[Class]]="C",WORKDAY(Main[[#This Row],[Tech Start Date]],23),IF(Main[[#This Row],[Class]]="B", WORKDAY(Main[[#This Row],[Tech Start Date]],15),IF(Main[[#This Row],[Class]]="A",WORKDAY(Main[[#This Row],[Tech Start Date]],5),""))))</f>
        <v/>
      </c>
      <c r="P336" s="104" t="str">
        <f>IF(Main[[#This Row],[Tech Start Date]]&lt;1/1/1990,"",IF(Main[[#This Row],[Class]]="C",WORKDAY(Main[[#This Row],[Tech Start Date]],28),IF(Main[[#This Row],[Class]]="B", WORKDAY(Main[[#This Row],[Tech Start Date]],19),IF(Main[[#This Row],[Class]]="A",WORKDAY(Main[[#This Row],[Tech Start Date]],9),""))))</f>
        <v/>
      </c>
      <c r="Q336" s="101">
        <v>40512</v>
      </c>
      <c r="R336" s="101"/>
      <c r="S336" s="99" t="s">
        <v>17</v>
      </c>
      <c r="T336" s="107" t="s">
        <v>4</v>
      </c>
      <c r="U336" s="99" t="s">
        <v>7</v>
      </c>
      <c r="V336" s="99" t="s">
        <v>1962</v>
      </c>
      <c r="W336" s="99" t="s">
        <v>1967</v>
      </c>
    </row>
    <row r="337" spans="1:23" ht="18.600000000000001" customHeight="1">
      <c r="A337" s="123" t="str">
        <f>IF(priority(Main[[#This Row],[Comments]])&lt;&gt;0, priority(Main[[#This Row],[Comments]]),"")</f>
        <v/>
      </c>
      <c r="B337" s="127" t="s">
        <v>1151</v>
      </c>
      <c r="C337" s="99" t="s">
        <v>4</v>
      </c>
      <c r="D337" s="100" t="s">
        <v>169</v>
      </c>
      <c r="E337" s="101"/>
      <c r="F337" s="101"/>
      <c r="G337" s="102" t="str">
        <f>IF(stdProdLT(Main[[#This Row],[Comments]])=0.1,"N/A",IF(stdProdLT(Main[[#This Row],[Comments]])=0,"",stdProdLT(Main[[#This Row],[Comments]])))</f>
        <v/>
      </c>
      <c r="H337" s="103" t="str">
        <f>IF(AND(Main[[#This Row],[In Stock Date]]&lt;&gt;"",Main[[#This Row],[Revised Due Date]]&lt;&gt;""),Main[[#This Row],[In Stock Date]]-Main[[#This Row],[Revised Due Date]],"")</f>
        <v/>
      </c>
      <c r="I337" s="99" t="s">
        <v>4</v>
      </c>
      <c r="J337" s="99" t="s">
        <v>28</v>
      </c>
      <c r="K337" s="108" t="s">
        <v>1974</v>
      </c>
      <c r="L337" s="101"/>
      <c r="M337" s="104" t="str">
        <f>IF(Main[[#This Row],[Tech Start Date]]&lt;1/1/1990,"",IF(Main[[#This Row],[Class]]="C",WORKDAY(Main[[#This Row],[Tech Start Date]],9),IF(Main[[#This Row],[Class]]="B", WORKDAY(Main[[#This Row],[Tech Start Date]],6),IF(Main[[#This Row],[Class]]="A",WORKDAY(Main[[#This Row],[Tech Start Date]],2),""))))</f>
        <v/>
      </c>
      <c r="N337" s="104" t="str">
        <f>IF(Main[[#This Row],[Tech Start Date]]&lt;1/1/1990,"",IF(Main[[#This Row],[Class]]="C",WORKDAY(Main[[#This Row],[Tech Start Date]],19),IF(Main[[#This Row],[Class]]="B", WORKDAY(Main[[#This Row],[Tech Start Date]],12),IF(Main[[#This Row],[Class]]="A",WORKDAY(Main[[#This Row],[Tech Start Date]],4),""))))</f>
        <v/>
      </c>
      <c r="O337" s="104" t="str">
        <f>IF(Main[[#This Row],[Tech Start Date]]&lt;1/1/1990,"",IF(Main[[#This Row],[Class]]="C",WORKDAY(Main[[#This Row],[Tech Start Date]],23),IF(Main[[#This Row],[Class]]="B", WORKDAY(Main[[#This Row],[Tech Start Date]],15),IF(Main[[#This Row],[Class]]="A",WORKDAY(Main[[#This Row],[Tech Start Date]],5),""))))</f>
        <v/>
      </c>
      <c r="P337" s="104" t="str">
        <f>IF(Main[[#This Row],[Tech Start Date]]&lt;1/1/1990,"",IF(Main[[#This Row],[Class]]="C",WORKDAY(Main[[#This Row],[Tech Start Date]],28),IF(Main[[#This Row],[Class]]="B", WORKDAY(Main[[#This Row],[Tech Start Date]],19),IF(Main[[#This Row],[Class]]="A",WORKDAY(Main[[#This Row],[Tech Start Date]],9),""))))</f>
        <v/>
      </c>
      <c r="Q337" s="101"/>
      <c r="R337" s="101"/>
      <c r="S337" s="99" t="s">
        <v>17</v>
      </c>
      <c r="T337" s="107" t="s">
        <v>4</v>
      </c>
      <c r="U337" s="99" t="s">
        <v>14</v>
      </c>
      <c r="V337" s="99" t="s">
        <v>1965</v>
      </c>
      <c r="W337" s="99" t="s">
        <v>1967</v>
      </c>
    </row>
    <row r="338" spans="1:23" ht="18.600000000000001" customHeight="1">
      <c r="A338" s="123" t="str">
        <f>IF(priority(Main[[#This Row],[Comments]])&lt;&gt;0, priority(Main[[#This Row],[Comments]]),"")</f>
        <v/>
      </c>
      <c r="B338" s="127" t="s">
        <v>1218</v>
      </c>
      <c r="C338" s="99" t="s">
        <v>246</v>
      </c>
      <c r="D338" s="100" t="s">
        <v>247</v>
      </c>
      <c r="E338" s="101"/>
      <c r="F338" s="101">
        <v>40299</v>
      </c>
      <c r="G338" s="102" t="str">
        <f>IF(stdProdLT(Main[[#This Row],[Comments]])=0.1,"N/A",IF(stdProdLT(Main[[#This Row],[Comments]])=0,"",stdProdLT(Main[[#This Row],[Comments]])))</f>
        <v/>
      </c>
      <c r="H338" s="103" t="str">
        <f>IF(AND(Main[[#This Row],[In Stock Date]]&lt;&gt;"",Main[[#This Row],[Revised Due Date]]&lt;&gt;""),Main[[#This Row],[In Stock Date]]-Main[[#This Row],[Revised Due Date]],"")</f>
        <v/>
      </c>
      <c r="I338" s="99" t="s">
        <v>4</v>
      </c>
      <c r="J338" s="99" t="s">
        <v>4</v>
      </c>
      <c r="K338" s="99" t="s">
        <v>4</v>
      </c>
      <c r="L338" s="101"/>
      <c r="M338" s="104" t="str">
        <f>IF(Main[[#This Row],[Tech Start Date]]&lt;1/1/1990,"",IF(Main[[#This Row],[Class]]="C",WORKDAY(Main[[#This Row],[Tech Start Date]],9),IF(Main[[#This Row],[Class]]="B", WORKDAY(Main[[#This Row],[Tech Start Date]],6),IF(Main[[#This Row],[Class]]="A",WORKDAY(Main[[#This Row],[Tech Start Date]],2),""))))</f>
        <v/>
      </c>
      <c r="N338" s="104" t="str">
        <f>IF(Main[[#This Row],[Tech Start Date]]&lt;1/1/1990,"",IF(Main[[#This Row],[Class]]="C",WORKDAY(Main[[#This Row],[Tech Start Date]],19),IF(Main[[#This Row],[Class]]="B", WORKDAY(Main[[#This Row],[Tech Start Date]],12),IF(Main[[#This Row],[Class]]="A",WORKDAY(Main[[#This Row],[Tech Start Date]],4),""))))</f>
        <v/>
      </c>
      <c r="O338" s="104" t="str">
        <f>IF(Main[[#This Row],[Tech Start Date]]&lt;1/1/1990,"",IF(Main[[#This Row],[Class]]="C",WORKDAY(Main[[#This Row],[Tech Start Date]],23),IF(Main[[#This Row],[Class]]="B", WORKDAY(Main[[#This Row],[Tech Start Date]],15),IF(Main[[#This Row],[Class]]="A",WORKDAY(Main[[#This Row],[Tech Start Date]],5),""))))</f>
        <v/>
      </c>
      <c r="P338" s="104" t="str">
        <f>IF(Main[[#This Row],[Tech Start Date]]&lt;1/1/1990,"",IF(Main[[#This Row],[Class]]="C",WORKDAY(Main[[#This Row],[Tech Start Date]],28),IF(Main[[#This Row],[Class]]="B", WORKDAY(Main[[#This Row],[Tech Start Date]],19),IF(Main[[#This Row],[Class]]="A",WORKDAY(Main[[#This Row],[Tech Start Date]],9),""))))</f>
        <v/>
      </c>
      <c r="Q338" s="101">
        <v>40241</v>
      </c>
      <c r="R338" s="101"/>
      <c r="S338" s="99" t="s">
        <v>11</v>
      </c>
      <c r="T338" s="107" t="s">
        <v>4</v>
      </c>
      <c r="U338" s="99" t="s">
        <v>14</v>
      </c>
      <c r="V338" s="99" t="s">
        <v>1972</v>
      </c>
      <c r="W338" s="99" t="s">
        <v>1970</v>
      </c>
    </row>
    <row r="339" spans="1:23" ht="18.600000000000001" customHeight="1">
      <c r="A339" s="123" t="str">
        <f>IF(priority(Main[[#This Row],[Comments]])&lt;&gt;0, priority(Main[[#This Row],[Comments]]),"")</f>
        <v/>
      </c>
      <c r="B339" s="127" t="s">
        <v>1219</v>
      </c>
      <c r="C339" s="99" t="s">
        <v>4</v>
      </c>
      <c r="D339" s="100" t="s">
        <v>39</v>
      </c>
      <c r="E339" s="101"/>
      <c r="F339" s="101"/>
      <c r="G339" s="102" t="str">
        <f>IF(stdProdLT(Main[[#This Row],[Comments]])=0.1,"N/A",IF(stdProdLT(Main[[#This Row],[Comments]])=0,"",stdProdLT(Main[[#This Row],[Comments]])))</f>
        <v/>
      </c>
      <c r="H339" s="103" t="str">
        <f>IF(AND(Main[[#This Row],[In Stock Date]]&lt;&gt;"",Main[[#This Row],[Revised Due Date]]&lt;&gt;""),Main[[#This Row],[In Stock Date]]-Main[[#This Row],[Revised Due Date]],"")</f>
        <v/>
      </c>
      <c r="I339" s="99" t="s">
        <v>4</v>
      </c>
      <c r="J339" s="99" t="s">
        <v>4</v>
      </c>
      <c r="K339" s="99" t="s">
        <v>4</v>
      </c>
      <c r="L339" s="101"/>
      <c r="M339" s="104" t="str">
        <f>IF(Main[[#This Row],[Tech Start Date]]&lt;1/1/1990,"",IF(Main[[#This Row],[Class]]="C",WORKDAY(Main[[#This Row],[Tech Start Date]],9),IF(Main[[#This Row],[Class]]="B", WORKDAY(Main[[#This Row],[Tech Start Date]],6),IF(Main[[#This Row],[Class]]="A",WORKDAY(Main[[#This Row],[Tech Start Date]],2),""))))</f>
        <v/>
      </c>
      <c r="N339" s="104" t="str">
        <f>IF(Main[[#This Row],[Tech Start Date]]&lt;1/1/1990,"",IF(Main[[#This Row],[Class]]="C",WORKDAY(Main[[#This Row],[Tech Start Date]],19),IF(Main[[#This Row],[Class]]="B", WORKDAY(Main[[#This Row],[Tech Start Date]],12),IF(Main[[#This Row],[Class]]="A",WORKDAY(Main[[#This Row],[Tech Start Date]],4),""))))</f>
        <v/>
      </c>
      <c r="O339" s="104" t="str">
        <f>IF(Main[[#This Row],[Tech Start Date]]&lt;1/1/1990,"",IF(Main[[#This Row],[Class]]="C",WORKDAY(Main[[#This Row],[Tech Start Date]],23),IF(Main[[#This Row],[Class]]="B", WORKDAY(Main[[#This Row],[Tech Start Date]],15),IF(Main[[#This Row],[Class]]="A",WORKDAY(Main[[#This Row],[Tech Start Date]],5),""))))</f>
        <v/>
      </c>
      <c r="P339" s="104" t="str">
        <f>IF(Main[[#This Row],[Tech Start Date]]&lt;1/1/1990,"",IF(Main[[#This Row],[Class]]="C",WORKDAY(Main[[#This Row],[Tech Start Date]],28),IF(Main[[#This Row],[Class]]="B", WORKDAY(Main[[#This Row],[Tech Start Date]],19),IF(Main[[#This Row],[Class]]="A",WORKDAY(Main[[#This Row],[Tech Start Date]],9),""))))</f>
        <v/>
      </c>
      <c r="Q339" s="101">
        <v>40669</v>
      </c>
      <c r="R339" s="101"/>
      <c r="S339" s="99" t="s">
        <v>6</v>
      </c>
      <c r="T339" s="107" t="s">
        <v>4</v>
      </c>
      <c r="U339" s="99" t="s">
        <v>14</v>
      </c>
      <c r="V339" s="99" t="s">
        <v>1965</v>
      </c>
      <c r="W339" s="99" t="s">
        <v>4</v>
      </c>
    </row>
    <row r="340" spans="1:23" ht="18.600000000000001" customHeight="1">
      <c r="A340" s="123" t="str">
        <f>IF(priority(Main[[#This Row],[Comments]])&lt;&gt;0, priority(Main[[#This Row],[Comments]]),"")</f>
        <v/>
      </c>
      <c r="B340" s="127" t="s">
        <v>2132</v>
      </c>
      <c r="C340" s="99" t="s">
        <v>4</v>
      </c>
      <c r="D340" s="100" t="s">
        <v>2133</v>
      </c>
      <c r="E340" s="101">
        <v>40774.330196759256</v>
      </c>
      <c r="F340" s="101"/>
      <c r="G340" s="102" t="str">
        <f>IF(stdProdLT(Main[[#This Row],[Comments]])=0.1,"N/A",IF(stdProdLT(Main[[#This Row],[Comments]])=0,"",stdProdLT(Main[[#This Row],[Comments]])))</f>
        <v/>
      </c>
      <c r="H340" s="103" t="str">
        <f>IF(AND(Main[[#This Row],[In Stock Date]]&lt;&gt;"",Main[[#This Row],[Revised Due Date]]&lt;&gt;""),Main[[#This Row],[In Stock Date]]-Main[[#This Row],[Revised Due Date]],"")</f>
        <v/>
      </c>
      <c r="I340" s="99" t="s">
        <v>4</v>
      </c>
      <c r="J340" s="99" t="s">
        <v>4</v>
      </c>
      <c r="K340" s="108" t="s">
        <v>4</v>
      </c>
      <c r="L340" s="101"/>
      <c r="M340" s="104" t="str">
        <f>IF(Main[[#This Row],[Tech Start Date]]&lt;1/1/1990,"",IF(Main[[#This Row],[Class]]="C",WORKDAY(Main[[#This Row],[Tech Start Date]],9),IF(Main[[#This Row],[Class]]="B", WORKDAY(Main[[#This Row],[Tech Start Date]],6),IF(Main[[#This Row],[Class]]="A",WORKDAY(Main[[#This Row],[Tech Start Date]],2),""))))</f>
        <v/>
      </c>
      <c r="N340" s="104" t="str">
        <f>IF(Main[[#This Row],[Tech Start Date]]&lt;1/1/1990,"",IF(Main[[#This Row],[Class]]="C",WORKDAY(Main[[#This Row],[Tech Start Date]],19),IF(Main[[#This Row],[Class]]="B", WORKDAY(Main[[#This Row],[Tech Start Date]],12),IF(Main[[#This Row],[Class]]="A",WORKDAY(Main[[#This Row],[Tech Start Date]],4),""))))</f>
        <v/>
      </c>
      <c r="O340" s="104" t="str">
        <f>IF(Main[[#This Row],[Tech Start Date]]&lt;1/1/1990,"",IF(Main[[#This Row],[Class]]="C",WORKDAY(Main[[#This Row],[Tech Start Date]],23),IF(Main[[#This Row],[Class]]="B", WORKDAY(Main[[#This Row],[Tech Start Date]],15),IF(Main[[#This Row],[Class]]="A",WORKDAY(Main[[#This Row],[Tech Start Date]],5),""))))</f>
        <v/>
      </c>
      <c r="P340" s="104" t="str">
        <f>IF(Main[[#This Row],[Tech Start Date]]&lt;1/1/1990,"",IF(Main[[#This Row],[Class]]="C",WORKDAY(Main[[#This Row],[Tech Start Date]],28),IF(Main[[#This Row],[Class]]="B", WORKDAY(Main[[#This Row],[Tech Start Date]],19),IF(Main[[#This Row],[Class]]="A",WORKDAY(Main[[#This Row],[Tech Start Date]],9),""))))</f>
        <v/>
      </c>
      <c r="Q340" s="101">
        <v>40788</v>
      </c>
      <c r="R340" s="101"/>
      <c r="S340" s="99" t="s">
        <v>6</v>
      </c>
      <c r="T340" s="107" t="s">
        <v>4</v>
      </c>
      <c r="U340" s="99" t="s">
        <v>7</v>
      </c>
      <c r="V340" s="99" t="s">
        <v>1962</v>
      </c>
      <c r="W340" s="99" t="s">
        <v>4</v>
      </c>
    </row>
    <row r="341" spans="1:23" ht="18.600000000000001" customHeight="1">
      <c r="A341" s="123" t="str">
        <f>IF(priority(Main[[#This Row],[Comments]])&lt;&gt;0, priority(Main[[#This Row],[Comments]]),"")</f>
        <v/>
      </c>
      <c r="B341" s="127" t="s">
        <v>1220</v>
      </c>
      <c r="C341" s="99" t="s">
        <v>248</v>
      </c>
      <c r="D341" s="100" t="s">
        <v>249</v>
      </c>
      <c r="E341" s="101"/>
      <c r="F341" s="101"/>
      <c r="G341" s="102" t="str">
        <f>IF(stdProdLT(Main[[#This Row],[Comments]])=0.1,"N/A",IF(stdProdLT(Main[[#This Row],[Comments]])=0,"",stdProdLT(Main[[#This Row],[Comments]])))</f>
        <v/>
      </c>
      <c r="H341" s="103" t="str">
        <f>IF(AND(Main[[#This Row],[In Stock Date]]&lt;&gt;"",Main[[#This Row],[Revised Due Date]]&lt;&gt;""),Main[[#This Row],[In Stock Date]]-Main[[#This Row],[Revised Due Date]],"")</f>
        <v/>
      </c>
      <c r="I341" s="99" t="s">
        <v>4</v>
      </c>
      <c r="J341" s="99" t="s">
        <v>4</v>
      </c>
      <c r="K341" s="108" t="s">
        <v>4</v>
      </c>
      <c r="L341" s="101"/>
      <c r="M341" s="104" t="str">
        <f>IF(Main[[#This Row],[Tech Start Date]]&lt;1/1/1990,"",IF(Main[[#This Row],[Class]]="C",WORKDAY(Main[[#This Row],[Tech Start Date]],9),IF(Main[[#This Row],[Class]]="B", WORKDAY(Main[[#This Row],[Tech Start Date]],6),IF(Main[[#This Row],[Class]]="A",WORKDAY(Main[[#This Row],[Tech Start Date]],2),""))))</f>
        <v/>
      </c>
      <c r="N341" s="104" t="str">
        <f>IF(Main[[#This Row],[Tech Start Date]]&lt;1/1/1990,"",IF(Main[[#This Row],[Class]]="C",WORKDAY(Main[[#This Row],[Tech Start Date]],19),IF(Main[[#This Row],[Class]]="B", WORKDAY(Main[[#This Row],[Tech Start Date]],12),IF(Main[[#This Row],[Class]]="A",WORKDAY(Main[[#This Row],[Tech Start Date]],4),""))))</f>
        <v/>
      </c>
      <c r="O341" s="104" t="str">
        <f>IF(Main[[#This Row],[Tech Start Date]]&lt;1/1/1990,"",IF(Main[[#This Row],[Class]]="C",WORKDAY(Main[[#This Row],[Tech Start Date]],23),IF(Main[[#This Row],[Class]]="B", WORKDAY(Main[[#This Row],[Tech Start Date]],15),IF(Main[[#This Row],[Class]]="A",WORKDAY(Main[[#This Row],[Tech Start Date]],5),""))))</f>
        <v/>
      </c>
      <c r="P341" s="104" t="str">
        <f>IF(Main[[#This Row],[Tech Start Date]]&lt;1/1/1990,"",IF(Main[[#This Row],[Class]]="C",WORKDAY(Main[[#This Row],[Tech Start Date]],28),IF(Main[[#This Row],[Class]]="B", WORKDAY(Main[[#This Row],[Tech Start Date]],19),IF(Main[[#This Row],[Class]]="A",WORKDAY(Main[[#This Row],[Tech Start Date]],9),""))))</f>
        <v/>
      </c>
      <c r="Q341" s="101">
        <v>40325</v>
      </c>
      <c r="R341" s="101"/>
      <c r="S341" s="99" t="s">
        <v>11</v>
      </c>
      <c r="T341" s="107" t="s">
        <v>4</v>
      </c>
      <c r="U341" s="99" t="s">
        <v>12</v>
      </c>
      <c r="V341" s="99" t="s">
        <v>1963</v>
      </c>
      <c r="W341" s="99" t="s">
        <v>1968</v>
      </c>
    </row>
    <row r="342" spans="1:23" ht="18.600000000000001" customHeight="1">
      <c r="A342" s="123" t="str">
        <f>IF(priority(Main[[#This Row],[Comments]])&lt;&gt;0, priority(Main[[#This Row],[Comments]]),"")</f>
        <v/>
      </c>
      <c r="B342" s="127" t="s">
        <v>1725</v>
      </c>
      <c r="C342" s="99" t="s">
        <v>79</v>
      </c>
      <c r="D342" s="100" t="s">
        <v>752</v>
      </c>
      <c r="E342" s="101">
        <v>40458.641226851854</v>
      </c>
      <c r="F342" s="101"/>
      <c r="G342" s="102" t="str">
        <f>IF(stdProdLT(Main[[#This Row],[Comments]])=0.1,"N/A",IF(stdProdLT(Main[[#This Row],[Comments]])=0,"",stdProdLT(Main[[#This Row],[Comments]])))</f>
        <v/>
      </c>
      <c r="H342" s="103" t="str">
        <f>IF(AND(Main[[#This Row],[In Stock Date]]&lt;&gt;"",Main[[#This Row],[Revised Due Date]]&lt;&gt;""),Main[[#This Row],[In Stock Date]]-Main[[#This Row],[Revised Due Date]],"")</f>
        <v/>
      </c>
      <c r="I342" s="99" t="s">
        <v>4</v>
      </c>
      <c r="J342" s="99" t="s">
        <v>28</v>
      </c>
      <c r="K342" s="99" t="s">
        <v>1974</v>
      </c>
      <c r="L342" s="101"/>
      <c r="M342" s="104" t="str">
        <f>IF(Main[[#This Row],[Tech Start Date]]&lt;1/1/1990,"",IF(Main[[#This Row],[Class]]="C",WORKDAY(Main[[#This Row],[Tech Start Date]],9),IF(Main[[#This Row],[Class]]="B", WORKDAY(Main[[#This Row],[Tech Start Date]],6),IF(Main[[#This Row],[Class]]="A",WORKDAY(Main[[#This Row],[Tech Start Date]],2),""))))</f>
        <v/>
      </c>
      <c r="N342" s="104" t="str">
        <f>IF(Main[[#This Row],[Tech Start Date]]&lt;1/1/1990,"",IF(Main[[#This Row],[Class]]="C",WORKDAY(Main[[#This Row],[Tech Start Date]],19),IF(Main[[#This Row],[Class]]="B", WORKDAY(Main[[#This Row],[Tech Start Date]],12),IF(Main[[#This Row],[Class]]="A",WORKDAY(Main[[#This Row],[Tech Start Date]],4),""))))</f>
        <v/>
      </c>
      <c r="O342" s="104" t="str">
        <f>IF(Main[[#This Row],[Tech Start Date]]&lt;1/1/1990,"",IF(Main[[#This Row],[Class]]="C",WORKDAY(Main[[#This Row],[Tech Start Date]],23),IF(Main[[#This Row],[Class]]="B", WORKDAY(Main[[#This Row],[Tech Start Date]],15),IF(Main[[#This Row],[Class]]="A",WORKDAY(Main[[#This Row],[Tech Start Date]],5),""))))</f>
        <v/>
      </c>
      <c r="P342" s="104" t="str">
        <f>IF(Main[[#This Row],[Tech Start Date]]&lt;1/1/1990,"",IF(Main[[#This Row],[Class]]="C",WORKDAY(Main[[#This Row],[Tech Start Date]],28),IF(Main[[#This Row],[Class]]="B", WORKDAY(Main[[#This Row],[Tech Start Date]],19),IF(Main[[#This Row],[Class]]="A",WORKDAY(Main[[#This Row],[Tech Start Date]],9),""))))</f>
        <v/>
      </c>
      <c r="Q342" s="101">
        <v>40486</v>
      </c>
      <c r="R342" s="101"/>
      <c r="S342" s="99" t="s">
        <v>17</v>
      </c>
      <c r="T342" s="107" t="s">
        <v>4</v>
      </c>
      <c r="U342" s="99" t="s">
        <v>7</v>
      </c>
      <c r="V342" s="99" t="s">
        <v>1962</v>
      </c>
      <c r="W342" s="99" t="s">
        <v>1967</v>
      </c>
    </row>
    <row r="343" spans="1:23" ht="18.600000000000001" customHeight="1">
      <c r="A343" s="123" t="str">
        <f>IF(priority(Main[[#This Row],[Comments]])&lt;&gt;0, priority(Main[[#This Row],[Comments]]),"")</f>
        <v/>
      </c>
      <c r="B343" s="127" t="s">
        <v>2096</v>
      </c>
      <c r="C343" s="99" t="s">
        <v>4</v>
      </c>
      <c r="D343" s="100" t="s">
        <v>2097</v>
      </c>
      <c r="E343" s="101"/>
      <c r="F343" s="101"/>
      <c r="G343" s="102" t="str">
        <f>IF(stdProdLT(Main[[#This Row],[Comments]])=0.1,"N/A",IF(stdProdLT(Main[[#This Row],[Comments]])=0,"",stdProdLT(Main[[#This Row],[Comments]])))</f>
        <v/>
      </c>
      <c r="H343" s="103" t="str">
        <f>IF(AND(Main[[#This Row],[In Stock Date]]&lt;&gt;"",Main[[#This Row],[Revised Due Date]]&lt;&gt;""),Main[[#This Row],[In Stock Date]]-Main[[#This Row],[Revised Due Date]],"")</f>
        <v/>
      </c>
      <c r="I343" s="99" t="s">
        <v>4</v>
      </c>
      <c r="J343" s="99" t="s">
        <v>4</v>
      </c>
      <c r="K343" s="99" t="s">
        <v>4</v>
      </c>
      <c r="L343" s="101"/>
      <c r="M343" s="104" t="str">
        <f>IF(Main[[#This Row],[Tech Start Date]]&lt;1/1/1990,"",IF(Main[[#This Row],[Class]]="C",WORKDAY(Main[[#This Row],[Tech Start Date]],9),IF(Main[[#This Row],[Class]]="B", WORKDAY(Main[[#This Row],[Tech Start Date]],6),IF(Main[[#This Row],[Class]]="A",WORKDAY(Main[[#This Row],[Tech Start Date]],2),""))))</f>
        <v/>
      </c>
      <c r="N343" s="104" t="str">
        <f>IF(Main[[#This Row],[Tech Start Date]]&lt;1/1/1990,"",IF(Main[[#This Row],[Class]]="C",WORKDAY(Main[[#This Row],[Tech Start Date]],19),IF(Main[[#This Row],[Class]]="B", WORKDAY(Main[[#This Row],[Tech Start Date]],12),IF(Main[[#This Row],[Class]]="A",WORKDAY(Main[[#This Row],[Tech Start Date]],4),""))))</f>
        <v/>
      </c>
      <c r="O343" s="104" t="str">
        <f>IF(Main[[#This Row],[Tech Start Date]]&lt;1/1/1990,"",IF(Main[[#This Row],[Class]]="C",WORKDAY(Main[[#This Row],[Tech Start Date]],23),IF(Main[[#This Row],[Class]]="B", WORKDAY(Main[[#This Row],[Tech Start Date]],15),IF(Main[[#This Row],[Class]]="A",WORKDAY(Main[[#This Row],[Tech Start Date]],5),""))))</f>
        <v/>
      </c>
      <c r="P343" s="104" t="str">
        <f>IF(Main[[#This Row],[Tech Start Date]]&lt;1/1/1990,"",IF(Main[[#This Row],[Class]]="C",WORKDAY(Main[[#This Row],[Tech Start Date]],28),IF(Main[[#This Row],[Class]]="B", WORKDAY(Main[[#This Row],[Tech Start Date]],19),IF(Main[[#This Row],[Class]]="A",WORKDAY(Main[[#This Row],[Tech Start Date]],9),""))))</f>
        <v/>
      </c>
      <c r="Q343" s="101"/>
      <c r="R343" s="101"/>
      <c r="S343" s="99" t="s">
        <v>6</v>
      </c>
      <c r="T343" s="107" t="s">
        <v>4</v>
      </c>
      <c r="U343" s="99" t="s">
        <v>14</v>
      </c>
      <c r="V343" s="99" t="s">
        <v>1965</v>
      </c>
      <c r="W343" s="99" t="s">
        <v>1966</v>
      </c>
    </row>
    <row r="344" spans="1:23" ht="18.600000000000001" customHeight="1">
      <c r="A344" s="123" t="str">
        <f>IF(priority(Main[[#This Row],[Comments]])&lt;&gt;0, priority(Main[[#This Row],[Comments]]),"")</f>
        <v/>
      </c>
      <c r="B344" s="127" t="s">
        <v>1222</v>
      </c>
      <c r="C344" s="99" t="s">
        <v>33</v>
      </c>
      <c r="D344" s="100" t="s">
        <v>251</v>
      </c>
      <c r="E344" s="101"/>
      <c r="F344" s="101"/>
      <c r="G344" s="102" t="str">
        <f>IF(stdProdLT(Main[[#This Row],[Comments]])=0.1,"N/A",IF(stdProdLT(Main[[#This Row],[Comments]])=0,"",stdProdLT(Main[[#This Row],[Comments]])))</f>
        <v/>
      </c>
      <c r="H344" s="103" t="str">
        <f>IF(AND(Main[[#This Row],[In Stock Date]]&lt;&gt;"",Main[[#This Row],[Revised Due Date]]&lt;&gt;""),Main[[#This Row],[In Stock Date]]-Main[[#This Row],[Revised Due Date]],"")</f>
        <v/>
      </c>
      <c r="I344" s="99" t="s">
        <v>4</v>
      </c>
      <c r="J344" s="99" t="s">
        <v>4</v>
      </c>
      <c r="K344" s="108" t="s">
        <v>4</v>
      </c>
      <c r="L344" s="101"/>
      <c r="M344" s="104" t="str">
        <f>IF(Main[[#This Row],[Tech Start Date]]&lt;1/1/1990,"",IF(Main[[#This Row],[Class]]="C",WORKDAY(Main[[#This Row],[Tech Start Date]],9),IF(Main[[#This Row],[Class]]="B", WORKDAY(Main[[#This Row],[Tech Start Date]],6),IF(Main[[#This Row],[Class]]="A",WORKDAY(Main[[#This Row],[Tech Start Date]],2),""))))</f>
        <v/>
      </c>
      <c r="N344" s="104" t="str">
        <f>IF(Main[[#This Row],[Tech Start Date]]&lt;1/1/1990,"",IF(Main[[#This Row],[Class]]="C",WORKDAY(Main[[#This Row],[Tech Start Date]],19),IF(Main[[#This Row],[Class]]="B", WORKDAY(Main[[#This Row],[Tech Start Date]],12),IF(Main[[#This Row],[Class]]="A",WORKDAY(Main[[#This Row],[Tech Start Date]],4),""))))</f>
        <v/>
      </c>
      <c r="O344" s="104" t="str">
        <f>IF(Main[[#This Row],[Tech Start Date]]&lt;1/1/1990,"",IF(Main[[#This Row],[Class]]="C",WORKDAY(Main[[#This Row],[Tech Start Date]],23),IF(Main[[#This Row],[Class]]="B", WORKDAY(Main[[#This Row],[Tech Start Date]],15),IF(Main[[#This Row],[Class]]="A",WORKDAY(Main[[#This Row],[Tech Start Date]],5),""))))</f>
        <v/>
      </c>
      <c r="P344" s="104" t="str">
        <f>IF(Main[[#This Row],[Tech Start Date]]&lt;1/1/1990,"",IF(Main[[#This Row],[Class]]="C",WORKDAY(Main[[#This Row],[Tech Start Date]],28),IF(Main[[#This Row],[Class]]="B", WORKDAY(Main[[#This Row],[Tech Start Date]],19),IF(Main[[#This Row],[Class]]="A",WORKDAY(Main[[#This Row],[Tech Start Date]],9),""))))</f>
        <v/>
      </c>
      <c r="Q344" s="101">
        <v>40269</v>
      </c>
      <c r="R344" s="101"/>
      <c r="S344" s="99" t="s">
        <v>11</v>
      </c>
      <c r="T344" s="107" t="s">
        <v>4</v>
      </c>
      <c r="U344" s="99" t="s">
        <v>14</v>
      </c>
      <c r="V344" s="99" t="s">
        <v>1965</v>
      </c>
      <c r="W344" s="99" t="s">
        <v>1964</v>
      </c>
    </row>
    <row r="345" spans="1:23" ht="18.600000000000001" customHeight="1">
      <c r="A345" s="123" t="str">
        <f>IF(priority(Main[[#This Row],[Comments]])&lt;&gt;0, priority(Main[[#This Row],[Comments]]),"")</f>
        <v/>
      </c>
      <c r="B345" s="127" t="s">
        <v>1223</v>
      </c>
      <c r="C345" s="99" t="s">
        <v>252</v>
      </c>
      <c r="D345" s="100" t="s">
        <v>253</v>
      </c>
      <c r="E345" s="101"/>
      <c r="F345" s="101"/>
      <c r="G345" s="102" t="str">
        <f>IF(stdProdLT(Main[[#This Row],[Comments]])=0.1,"N/A",IF(stdProdLT(Main[[#This Row],[Comments]])=0,"",stdProdLT(Main[[#This Row],[Comments]])))</f>
        <v/>
      </c>
      <c r="H345" s="103" t="str">
        <f>IF(AND(Main[[#This Row],[In Stock Date]]&lt;&gt;"",Main[[#This Row],[Revised Due Date]]&lt;&gt;""),Main[[#This Row],[In Stock Date]]-Main[[#This Row],[Revised Due Date]],"")</f>
        <v/>
      </c>
      <c r="I345" s="99" t="s">
        <v>4</v>
      </c>
      <c r="J345" s="99" t="s">
        <v>28</v>
      </c>
      <c r="K345" s="99" t="s">
        <v>4</v>
      </c>
      <c r="L345" s="101"/>
      <c r="M345" s="104" t="str">
        <f>IF(Main[[#This Row],[Tech Start Date]]&lt;1/1/1990,"",IF(Main[[#This Row],[Class]]="C",WORKDAY(Main[[#This Row],[Tech Start Date]],9),IF(Main[[#This Row],[Class]]="B", WORKDAY(Main[[#This Row],[Tech Start Date]],6),IF(Main[[#This Row],[Class]]="A",WORKDAY(Main[[#This Row],[Tech Start Date]],2),""))))</f>
        <v/>
      </c>
      <c r="N345" s="104" t="str">
        <f>IF(Main[[#This Row],[Tech Start Date]]&lt;1/1/1990,"",IF(Main[[#This Row],[Class]]="C",WORKDAY(Main[[#This Row],[Tech Start Date]],19),IF(Main[[#This Row],[Class]]="B", WORKDAY(Main[[#This Row],[Tech Start Date]],12),IF(Main[[#This Row],[Class]]="A",WORKDAY(Main[[#This Row],[Tech Start Date]],4),""))))</f>
        <v/>
      </c>
      <c r="O345" s="104" t="str">
        <f>IF(Main[[#This Row],[Tech Start Date]]&lt;1/1/1990,"",IF(Main[[#This Row],[Class]]="C",WORKDAY(Main[[#This Row],[Tech Start Date]],23),IF(Main[[#This Row],[Class]]="B", WORKDAY(Main[[#This Row],[Tech Start Date]],15),IF(Main[[#This Row],[Class]]="A",WORKDAY(Main[[#This Row],[Tech Start Date]],5),""))))</f>
        <v/>
      </c>
      <c r="P345" s="104" t="str">
        <f>IF(Main[[#This Row],[Tech Start Date]]&lt;1/1/1990,"",IF(Main[[#This Row],[Class]]="C",WORKDAY(Main[[#This Row],[Tech Start Date]],28),IF(Main[[#This Row],[Class]]="B", WORKDAY(Main[[#This Row],[Tech Start Date]],19),IF(Main[[#This Row],[Class]]="A",WORKDAY(Main[[#This Row],[Tech Start Date]],9),""))))</f>
        <v/>
      </c>
      <c r="Q345" s="101"/>
      <c r="R345" s="101"/>
      <c r="S345" s="99" t="s">
        <v>6</v>
      </c>
      <c r="T345" s="107" t="s">
        <v>4</v>
      </c>
      <c r="U345" s="99" t="s">
        <v>14</v>
      </c>
      <c r="V345" s="99" t="s">
        <v>1962</v>
      </c>
      <c r="W345" s="99" t="s">
        <v>1970</v>
      </c>
    </row>
    <row r="346" spans="1:23" ht="18.600000000000001" customHeight="1">
      <c r="A346" s="123" t="str">
        <f>IF(priority(Main[[#This Row],[Comments]])&lt;&gt;0, priority(Main[[#This Row],[Comments]]),"")</f>
        <v/>
      </c>
      <c r="B346" s="127" t="s">
        <v>1224</v>
      </c>
      <c r="C346" s="99" t="s">
        <v>4</v>
      </c>
      <c r="D346" s="100" t="s">
        <v>254</v>
      </c>
      <c r="E346" s="101"/>
      <c r="F346" s="101"/>
      <c r="G346" s="102" t="str">
        <f>IF(stdProdLT(Main[[#This Row],[Comments]])=0.1,"N/A",IF(stdProdLT(Main[[#This Row],[Comments]])=0,"",stdProdLT(Main[[#This Row],[Comments]])))</f>
        <v/>
      </c>
      <c r="H346" s="103" t="str">
        <f>IF(AND(Main[[#This Row],[In Stock Date]]&lt;&gt;"",Main[[#This Row],[Revised Due Date]]&lt;&gt;""),Main[[#This Row],[In Stock Date]]-Main[[#This Row],[Revised Due Date]],"")</f>
        <v/>
      </c>
      <c r="I346" s="99" t="s">
        <v>4</v>
      </c>
      <c r="J346" s="99" t="s">
        <v>4</v>
      </c>
      <c r="K346" s="99" t="s">
        <v>4</v>
      </c>
      <c r="L346" s="101"/>
      <c r="M346" s="104" t="str">
        <f>IF(Main[[#This Row],[Tech Start Date]]&lt;1/1/1990,"",IF(Main[[#This Row],[Class]]="C",WORKDAY(Main[[#This Row],[Tech Start Date]],9),IF(Main[[#This Row],[Class]]="B", WORKDAY(Main[[#This Row],[Tech Start Date]],6),IF(Main[[#This Row],[Class]]="A",WORKDAY(Main[[#This Row],[Tech Start Date]],2),""))))</f>
        <v/>
      </c>
      <c r="N346" s="104" t="str">
        <f>IF(Main[[#This Row],[Tech Start Date]]&lt;1/1/1990,"",IF(Main[[#This Row],[Class]]="C",WORKDAY(Main[[#This Row],[Tech Start Date]],19),IF(Main[[#This Row],[Class]]="B", WORKDAY(Main[[#This Row],[Tech Start Date]],12),IF(Main[[#This Row],[Class]]="A",WORKDAY(Main[[#This Row],[Tech Start Date]],4),""))))</f>
        <v/>
      </c>
      <c r="O346" s="104" t="str">
        <f>IF(Main[[#This Row],[Tech Start Date]]&lt;1/1/1990,"",IF(Main[[#This Row],[Class]]="C",WORKDAY(Main[[#This Row],[Tech Start Date]],23),IF(Main[[#This Row],[Class]]="B", WORKDAY(Main[[#This Row],[Tech Start Date]],15),IF(Main[[#This Row],[Class]]="A",WORKDAY(Main[[#This Row],[Tech Start Date]],5),""))))</f>
        <v/>
      </c>
      <c r="P346" s="104" t="str">
        <f>IF(Main[[#This Row],[Tech Start Date]]&lt;1/1/1990,"",IF(Main[[#This Row],[Class]]="C",WORKDAY(Main[[#This Row],[Tech Start Date]],28),IF(Main[[#This Row],[Class]]="B", WORKDAY(Main[[#This Row],[Tech Start Date]],19),IF(Main[[#This Row],[Class]]="A",WORKDAY(Main[[#This Row],[Tech Start Date]],9),""))))</f>
        <v/>
      </c>
      <c r="Q346" s="101"/>
      <c r="R346" s="101"/>
      <c r="S346" s="99" t="s">
        <v>6</v>
      </c>
      <c r="T346" s="107" t="s">
        <v>4</v>
      </c>
      <c r="U346" s="99" t="s">
        <v>14</v>
      </c>
      <c r="V346" s="99" t="s">
        <v>1965</v>
      </c>
      <c r="W346" s="99" t="s">
        <v>1966</v>
      </c>
    </row>
    <row r="347" spans="1:23" ht="18.600000000000001" customHeight="1">
      <c r="A347" s="123" t="str">
        <f>IF(priority(Main[[#This Row],[Comments]])&lt;&gt;0, priority(Main[[#This Row],[Comments]]),"")</f>
        <v/>
      </c>
      <c r="B347" s="127" t="s">
        <v>1225</v>
      </c>
      <c r="C347" s="99" t="s">
        <v>113</v>
      </c>
      <c r="D347" s="100" t="s">
        <v>137</v>
      </c>
      <c r="E347" s="101"/>
      <c r="F347" s="101"/>
      <c r="G347" s="102" t="str">
        <f>IF(stdProdLT(Main[[#This Row],[Comments]])=0.1,"N/A",IF(stdProdLT(Main[[#This Row],[Comments]])=0,"",stdProdLT(Main[[#This Row],[Comments]])))</f>
        <v/>
      </c>
      <c r="H347" s="103" t="str">
        <f>IF(AND(Main[[#This Row],[In Stock Date]]&lt;&gt;"",Main[[#This Row],[Revised Due Date]]&lt;&gt;""),Main[[#This Row],[In Stock Date]]-Main[[#This Row],[Revised Due Date]],"")</f>
        <v/>
      </c>
      <c r="I347" s="99" t="s">
        <v>4</v>
      </c>
      <c r="J347" s="99" t="s">
        <v>4</v>
      </c>
      <c r="K347" s="99" t="s">
        <v>4</v>
      </c>
      <c r="L347" s="101"/>
      <c r="M347" s="104" t="str">
        <f>IF(Main[[#This Row],[Tech Start Date]]&lt;1/1/1990,"",IF(Main[[#This Row],[Class]]="C",WORKDAY(Main[[#This Row],[Tech Start Date]],9),IF(Main[[#This Row],[Class]]="B", WORKDAY(Main[[#This Row],[Tech Start Date]],6),IF(Main[[#This Row],[Class]]="A",WORKDAY(Main[[#This Row],[Tech Start Date]],2),""))))</f>
        <v/>
      </c>
      <c r="N347" s="104" t="str">
        <f>IF(Main[[#This Row],[Tech Start Date]]&lt;1/1/1990,"",IF(Main[[#This Row],[Class]]="C",WORKDAY(Main[[#This Row],[Tech Start Date]],19),IF(Main[[#This Row],[Class]]="B", WORKDAY(Main[[#This Row],[Tech Start Date]],12),IF(Main[[#This Row],[Class]]="A",WORKDAY(Main[[#This Row],[Tech Start Date]],4),""))))</f>
        <v/>
      </c>
      <c r="O347" s="104" t="str">
        <f>IF(Main[[#This Row],[Tech Start Date]]&lt;1/1/1990,"",IF(Main[[#This Row],[Class]]="C",WORKDAY(Main[[#This Row],[Tech Start Date]],23),IF(Main[[#This Row],[Class]]="B", WORKDAY(Main[[#This Row],[Tech Start Date]],15),IF(Main[[#This Row],[Class]]="A",WORKDAY(Main[[#This Row],[Tech Start Date]],5),""))))</f>
        <v/>
      </c>
      <c r="P347" s="104" t="str">
        <f>IF(Main[[#This Row],[Tech Start Date]]&lt;1/1/1990,"",IF(Main[[#This Row],[Class]]="C",WORKDAY(Main[[#This Row],[Tech Start Date]],28),IF(Main[[#This Row],[Class]]="B", WORKDAY(Main[[#This Row],[Tech Start Date]],19),IF(Main[[#This Row],[Class]]="A",WORKDAY(Main[[#This Row],[Tech Start Date]],9),""))))</f>
        <v/>
      </c>
      <c r="Q347" s="101">
        <v>40641</v>
      </c>
      <c r="R347" s="101"/>
      <c r="S347" s="99" t="s">
        <v>11</v>
      </c>
      <c r="T347" s="107" t="s">
        <v>4</v>
      </c>
      <c r="U347" s="99" t="s">
        <v>14</v>
      </c>
      <c r="V347" s="99" t="s">
        <v>1962</v>
      </c>
      <c r="W347" s="99" t="s">
        <v>1970</v>
      </c>
    </row>
    <row r="348" spans="1:23" ht="18.600000000000001" customHeight="1">
      <c r="A348" s="123" t="str">
        <f>IF(priority(Main[[#This Row],[Comments]])&lt;&gt;0, priority(Main[[#This Row],[Comments]]),"")</f>
        <v/>
      </c>
      <c r="B348" s="127" t="s">
        <v>1167</v>
      </c>
      <c r="C348" s="99" t="s">
        <v>4</v>
      </c>
      <c r="D348" s="100" t="s">
        <v>189</v>
      </c>
      <c r="E348" s="101">
        <v>40585.675416666665</v>
      </c>
      <c r="F348" s="101">
        <v>40606</v>
      </c>
      <c r="G348" s="102" t="str">
        <f>IF(stdProdLT(Main[[#This Row],[Comments]])=0.1,"N/A",IF(stdProdLT(Main[[#This Row],[Comments]])=0,"",stdProdLT(Main[[#This Row],[Comments]])))</f>
        <v/>
      </c>
      <c r="H348" s="103" t="str">
        <f>IF(AND(Main[[#This Row],[In Stock Date]]&lt;&gt;"",Main[[#This Row],[Revised Due Date]]&lt;&gt;""),Main[[#This Row],[In Stock Date]]-Main[[#This Row],[Revised Due Date]],"")</f>
        <v/>
      </c>
      <c r="I348" s="99" t="s">
        <v>4</v>
      </c>
      <c r="J348" s="99" t="s">
        <v>28</v>
      </c>
      <c r="K348" s="108" t="s">
        <v>1974</v>
      </c>
      <c r="L348" s="101"/>
      <c r="M348" s="104" t="str">
        <f>IF(Main[[#This Row],[Tech Start Date]]&lt;1/1/1990,"",IF(Main[[#This Row],[Class]]="C",WORKDAY(Main[[#This Row],[Tech Start Date]],9),IF(Main[[#This Row],[Class]]="B", WORKDAY(Main[[#This Row],[Tech Start Date]],6),IF(Main[[#This Row],[Class]]="A",WORKDAY(Main[[#This Row],[Tech Start Date]],2),""))))</f>
        <v/>
      </c>
      <c r="N348" s="104" t="str">
        <f>IF(Main[[#This Row],[Tech Start Date]]&lt;1/1/1990,"",IF(Main[[#This Row],[Class]]="C",WORKDAY(Main[[#This Row],[Tech Start Date]],19),IF(Main[[#This Row],[Class]]="B", WORKDAY(Main[[#This Row],[Tech Start Date]],12),IF(Main[[#This Row],[Class]]="A",WORKDAY(Main[[#This Row],[Tech Start Date]],4),""))))</f>
        <v/>
      </c>
      <c r="O348" s="104" t="str">
        <f>IF(Main[[#This Row],[Tech Start Date]]&lt;1/1/1990,"",IF(Main[[#This Row],[Class]]="C",WORKDAY(Main[[#This Row],[Tech Start Date]],23),IF(Main[[#This Row],[Class]]="B", WORKDAY(Main[[#This Row],[Tech Start Date]],15),IF(Main[[#This Row],[Class]]="A",WORKDAY(Main[[#This Row],[Tech Start Date]],5),""))))</f>
        <v/>
      </c>
      <c r="P348" s="104" t="str">
        <f>IF(Main[[#This Row],[Tech Start Date]]&lt;1/1/1990,"",IF(Main[[#This Row],[Class]]="C",WORKDAY(Main[[#This Row],[Tech Start Date]],28),IF(Main[[#This Row],[Class]]="B", WORKDAY(Main[[#This Row],[Tech Start Date]],19),IF(Main[[#This Row],[Class]]="A",WORKDAY(Main[[#This Row],[Tech Start Date]],9),""))))</f>
        <v/>
      </c>
      <c r="Q348" s="101">
        <v>40606</v>
      </c>
      <c r="R348" s="101"/>
      <c r="S348" s="99" t="s">
        <v>17</v>
      </c>
      <c r="T348" s="107" t="s">
        <v>4</v>
      </c>
      <c r="U348" s="99" t="s">
        <v>7</v>
      </c>
      <c r="V348" s="99" t="s">
        <v>1962</v>
      </c>
      <c r="W348" s="99" t="s">
        <v>1970</v>
      </c>
    </row>
    <row r="349" spans="1:23" ht="18.600000000000001" customHeight="1">
      <c r="A349" s="123" t="str">
        <f>IF(priority(Main[[#This Row],[Comments]])&lt;&gt;0, priority(Main[[#This Row],[Comments]]),"")</f>
        <v/>
      </c>
      <c r="B349" s="127" t="s">
        <v>1226</v>
      </c>
      <c r="C349" s="99" t="s">
        <v>4</v>
      </c>
      <c r="D349" s="100" t="s">
        <v>2458</v>
      </c>
      <c r="E349" s="101">
        <v>40620.555636574078</v>
      </c>
      <c r="F349" s="101"/>
      <c r="G349" s="102" t="str">
        <f>IF(stdProdLT(Main[[#This Row],[Comments]])=0.1,"N/A",IF(stdProdLT(Main[[#This Row],[Comments]])=0,"",stdProdLT(Main[[#This Row],[Comments]])))</f>
        <v/>
      </c>
      <c r="H349" s="103" t="str">
        <f>IF(AND(Main[[#This Row],[In Stock Date]]&lt;&gt;"",Main[[#This Row],[Revised Due Date]]&lt;&gt;""),Main[[#This Row],[In Stock Date]]-Main[[#This Row],[Revised Due Date]],"")</f>
        <v/>
      </c>
      <c r="I349" s="99" t="s">
        <v>30</v>
      </c>
      <c r="J349" s="99" t="s">
        <v>75</v>
      </c>
      <c r="K349" s="99" t="s">
        <v>1971</v>
      </c>
      <c r="L349" s="101"/>
      <c r="M349" s="104" t="str">
        <f>IF(Main[[#This Row],[Tech Start Date]]&lt;1/1/1990,"",IF(Main[[#This Row],[Class]]="C",WORKDAY(Main[[#This Row],[Tech Start Date]],9),IF(Main[[#This Row],[Class]]="B", WORKDAY(Main[[#This Row],[Tech Start Date]],6),IF(Main[[#This Row],[Class]]="A",WORKDAY(Main[[#This Row],[Tech Start Date]],2),""))))</f>
        <v/>
      </c>
      <c r="N349" s="104" t="str">
        <f>IF(Main[[#This Row],[Tech Start Date]]&lt;1/1/1990,"",IF(Main[[#This Row],[Class]]="C",WORKDAY(Main[[#This Row],[Tech Start Date]],19),IF(Main[[#This Row],[Class]]="B", WORKDAY(Main[[#This Row],[Tech Start Date]],12),IF(Main[[#This Row],[Class]]="A",WORKDAY(Main[[#This Row],[Tech Start Date]],4),""))))</f>
        <v/>
      </c>
      <c r="O349" s="104" t="str">
        <f>IF(Main[[#This Row],[Tech Start Date]]&lt;1/1/1990,"",IF(Main[[#This Row],[Class]]="C",WORKDAY(Main[[#This Row],[Tech Start Date]],23),IF(Main[[#This Row],[Class]]="B", WORKDAY(Main[[#This Row],[Tech Start Date]],15),IF(Main[[#This Row],[Class]]="A",WORKDAY(Main[[#This Row],[Tech Start Date]],5),""))))</f>
        <v/>
      </c>
      <c r="P349" s="104" t="str">
        <f>IF(Main[[#This Row],[Tech Start Date]]&lt;1/1/1990,"",IF(Main[[#This Row],[Class]]="C",WORKDAY(Main[[#This Row],[Tech Start Date]],28),IF(Main[[#This Row],[Class]]="B", WORKDAY(Main[[#This Row],[Tech Start Date]],19),IF(Main[[#This Row],[Class]]="A",WORKDAY(Main[[#This Row],[Tech Start Date]],9),""))))</f>
        <v/>
      </c>
      <c r="Q349" s="101">
        <v>40662</v>
      </c>
      <c r="R349" s="101"/>
      <c r="S349" s="99" t="s">
        <v>6</v>
      </c>
      <c r="T349" s="107" t="s">
        <v>4</v>
      </c>
      <c r="U349" s="99" t="s">
        <v>29</v>
      </c>
      <c r="V349" s="99" t="s">
        <v>1965</v>
      </c>
      <c r="W349" s="99" t="s">
        <v>1966</v>
      </c>
    </row>
    <row r="350" spans="1:23" ht="18.600000000000001" customHeight="1">
      <c r="A350" s="123" t="str">
        <f>IF(priority(Main[[#This Row],[Comments]])&lt;&gt;0, priority(Main[[#This Row],[Comments]]),"")</f>
        <v/>
      </c>
      <c r="B350" s="127" t="s">
        <v>1238</v>
      </c>
      <c r="C350" s="99" t="s">
        <v>4</v>
      </c>
      <c r="D350" s="100" t="s">
        <v>266</v>
      </c>
      <c r="E350" s="101"/>
      <c r="F350" s="101"/>
      <c r="G350" s="102" t="str">
        <f>IF(stdProdLT(Main[[#This Row],[Comments]])=0.1,"N/A",IF(stdProdLT(Main[[#This Row],[Comments]])=0,"",stdProdLT(Main[[#This Row],[Comments]])))</f>
        <v/>
      </c>
      <c r="H350" s="103" t="str">
        <f>IF(AND(Main[[#This Row],[In Stock Date]]&lt;&gt;"",Main[[#This Row],[Revised Due Date]]&lt;&gt;""),Main[[#This Row],[In Stock Date]]-Main[[#This Row],[Revised Due Date]],"")</f>
        <v/>
      </c>
      <c r="I350" s="99" t="s">
        <v>4</v>
      </c>
      <c r="J350" s="99" t="s">
        <v>4</v>
      </c>
      <c r="K350" s="99" t="s">
        <v>4</v>
      </c>
      <c r="L350" s="101"/>
      <c r="M350" s="104" t="str">
        <f>IF(Main[[#This Row],[Tech Start Date]]&lt;1/1/1990,"",IF(Main[[#This Row],[Class]]="C",WORKDAY(Main[[#This Row],[Tech Start Date]],9),IF(Main[[#This Row],[Class]]="B", WORKDAY(Main[[#This Row],[Tech Start Date]],6),IF(Main[[#This Row],[Class]]="A",WORKDAY(Main[[#This Row],[Tech Start Date]],2),""))))</f>
        <v/>
      </c>
      <c r="N350" s="104" t="str">
        <f>IF(Main[[#This Row],[Tech Start Date]]&lt;1/1/1990,"",IF(Main[[#This Row],[Class]]="C",WORKDAY(Main[[#This Row],[Tech Start Date]],19),IF(Main[[#This Row],[Class]]="B", WORKDAY(Main[[#This Row],[Tech Start Date]],12),IF(Main[[#This Row],[Class]]="A",WORKDAY(Main[[#This Row],[Tech Start Date]],4),""))))</f>
        <v/>
      </c>
      <c r="O350" s="104" t="str">
        <f>IF(Main[[#This Row],[Tech Start Date]]&lt;1/1/1990,"",IF(Main[[#This Row],[Class]]="C",WORKDAY(Main[[#This Row],[Tech Start Date]],23),IF(Main[[#This Row],[Class]]="B", WORKDAY(Main[[#This Row],[Tech Start Date]],15),IF(Main[[#This Row],[Class]]="A",WORKDAY(Main[[#This Row],[Tech Start Date]],5),""))))</f>
        <v/>
      </c>
      <c r="P350" s="104" t="str">
        <f>IF(Main[[#This Row],[Tech Start Date]]&lt;1/1/1990,"",IF(Main[[#This Row],[Class]]="C",WORKDAY(Main[[#This Row],[Tech Start Date]],28),IF(Main[[#This Row],[Class]]="B", WORKDAY(Main[[#This Row],[Tech Start Date]],19),IF(Main[[#This Row],[Class]]="A",WORKDAY(Main[[#This Row],[Tech Start Date]],9),""))))</f>
        <v/>
      </c>
      <c r="Q350" s="101">
        <v>40313</v>
      </c>
      <c r="R350" s="101"/>
      <c r="S350" s="99" t="s">
        <v>11</v>
      </c>
      <c r="T350" s="107" t="s">
        <v>4</v>
      </c>
      <c r="U350" s="99" t="s">
        <v>14</v>
      </c>
      <c r="V350" s="99" t="s">
        <v>1962</v>
      </c>
      <c r="W350" s="99" t="s">
        <v>1970</v>
      </c>
    </row>
    <row r="351" spans="1:23" ht="18.600000000000001" customHeight="1">
      <c r="A351" s="123" t="str">
        <f>IF(priority(Main[[#This Row],[Comments]])&lt;&gt;0, priority(Main[[#This Row],[Comments]]),"")</f>
        <v/>
      </c>
      <c r="B351" s="127" t="s">
        <v>1239</v>
      </c>
      <c r="C351" s="99" t="s">
        <v>4</v>
      </c>
      <c r="D351" s="100" t="s">
        <v>267</v>
      </c>
      <c r="E351" s="101"/>
      <c r="F351" s="101"/>
      <c r="G351" s="102" t="str">
        <f>IF(stdProdLT(Main[[#This Row],[Comments]])=0.1,"N/A",IF(stdProdLT(Main[[#This Row],[Comments]])=0,"",stdProdLT(Main[[#This Row],[Comments]])))</f>
        <v/>
      </c>
      <c r="H351" s="103" t="str">
        <f>IF(AND(Main[[#This Row],[In Stock Date]]&lt;&gt;"",Main[[#This Row],[Revised Due Date]]&lt;&gt;""),Main[[#This Row],[In Stock Date]]-Main[[#This Row],[Revised Due Date]],"")</f>
        <v/>
      </c>
      <c r="I351" s="99" t="s">
        <v>4</v>
      </c>
      <c r="J351" s="99" t="s">
        <v>4</v>
      </c>
      <c r="K351" s="99" t="s">
        <v>4</v>
      </c>
      <c r="L351" s="101"/>
      <c r="M351" s="104" t="str">
        <f>IF(Main[[#This Row],[Tech Start Date]]&lt;1/1/1990,"",IF(Main[[#This Row],[Class]]="C",WORKDAY(Main[[#This Row],[Tech Start Date]],9),IF(Main[[#This Row],[Class]]="B", WORKDAY(Main[[#This Row],[Tech Start Date]],6),IF(Main[[#This Row],[Class]]="A",WORKDAY(Main[[#This Row],[Tech Start Date]],2),""))))</f>
        <v/>
      </c>
      <c r="N351" s="104" t="str">
        <f>IF(Main[[#This Row],[Tech Start Date]]&lt;1/1/1990,"",IF(Main[[#This Row],[Class]]="C",WORKDAY(Main[[#This Row],[Tech Start Date]],19),IF(Main[[#This Row],[Class]]="B", WORKDAY(Main[[#This Row],[Tech Start Date]],12),IF(Main[[#This Row],[Class]]="A",WORKDAY(Main[[#This Row],[Tech Start Date]],4),""))))</f>
        <v/>
      </c>
      <c r="O351" s="104" t="str">
        <f>IF(Main[[#This Row],[Tech Start Date]]&lt;1/1/1990,"",IF(Main[[#This Row],[Class]]="C",WORKDAY(Main[[#This Row],[Tech Start Date]],23),IF(Main[[#This Row],[Class]]="B", WORKDAY(Main[[#This Row],[Tech Start Date]],15),IF(Main[[#This Row],[Class]]="A",WORKDAY(Main[[#This Row],[Tech Start Date]],5),""))))</f>
        <v/>
      </c>
      <c r="P351" s="104" t="str">
        <f>IF(Main[[#This Row],[Tech Start Date]]&lt;1/1/1990,"",IF(Main[[#This Row],[Class]]="C",WORKDAY(Main[[#This Row],[Tech Start Date]],28),IF(Main[[#This Row],[Class]]="B", WORKDAY(Main[[#This Row],[Tech Start Date]],19),IF(Main[[#This Row],[Class]]="A",WORKDAY(Main[[#This Row],[Tech Start Date]],9),""))))</f>
        <v/>
      </c>
      <c r="Q351" s="101"/>
      <c r="R351" s="101"/>
      <c r="S351" s="99" t="s">
        <v>11</v>
      </c>
      <c r="T351" s="107" t="s">
        <v>4</v>
      </c>
      <c r="U351" s="99" t="s">
        <v>12</v>
      </c>
      <c r="V351" s="99" t="s">
        <v>1963</v>
      </c>
      <c r="W351" s="99" t="s">
        <v>1966</v>
      </c>
    </row>
    <row r="352" spans="1:23" ht="18.600000000000001" customHeight="1">
      <c r="A352" s="123" t="str">
        <f>IF(priority(Main[[#This Row],[Comments]])&lt;&gt;0, priority(Main[[#This Row],[Comments]]),"")</f>
        <v/>
      </c>
      <c r="B352" s="127" t="s">
        <v>2024</v>
      </c>
      <c r="C352" s="99" t="s">
        <v>4</v>
      </c>
      <c r="D352" s="100" t="s">
        <v>2025</v>
      </c>
      <c r="E352" s="101">
        <v>40732.708599537036</v>
      </c>
      <c r="F352" s="101"/>
      <c r="G352" s="102" t="str">
        <f>IF(stdProdLT(Main[[#This Row],[Comments]])=0.1,"N/A",IF(stdProdLT(Main[[#This Row],[Comments]])=0,"",stdProdLT(Main[[#This Row],[Comments]])))</f>
        <v/>
      </c>
      <c r="H352" s="103" t="str">
        <f>IF(AND(Main[[#This Row],[In Stock Date]]&lt;&gt;"",Main[[#This Row],[Revised Due Date]]&lt;&gt;""),Main[[#This Row],[In Stock Date]]-Main[[#This Row],[Revised Due Date]],"")</f>
        <v/>
      </c>
      <c r="I352" s="99" t="s">
        <v>4</v>
      </c>
      <c r="J352" s="99" t="s">
        <v>4</v>
      </c>
      <c r="K352" s="99" t="s">
        <v>4</v>
      </c>
      <c r="L352" s="101"/>
      <c r="M352" s="104" t="str">
        <f>IF(Main[[#This Row],[Tech Start Date]]&lt;1/1/1990,"",IF(Main[[#This Row],[Class]]="C",WORKDAY(Main[[#This Row],[Tech Start Date]],9),IF(Main[[#This Row],[Class]]="B", WORKDAY(Main[[#This Row],[Tech Start Date]],6),IF(Main[[#This Row],[Class]]="A",WORKDAY(Main[[#This Row],[Tech Start Date]],2),""))))</f>
        <v/>
      </c>
      <c r="N352" s="104" t="str">
        <f>IF(Main[[#This Row],[Tech Start Date]]&lt;1/1/1990,"",IF(Main[[#This Row],[Class]]="C",WORKDAY(Main[[#This Row],[Tech Start Date]],19),IF(Main[[#This Row],[Class]]="B", WORKDAY(Main[[#This Row],[Tech Start Date]],12),IF(Main[[#This Row],[Class]]="A",WORKDAY(Main[[#This Row],[Tech Start Date]],4),""))))</f>
        <v/>
      </c>
      <c r="O352" s="104" t="str">
        <f>IF(Main[[#This Row],[Tech Start Date]]&lt;1/1/1990,"",IF(Main[[#This Row],[Class]]="C",WORKDAY(Main[[#This Row],[Tech Start Date]],23),IF(Main[[#This Row],[Class]]="B", WORKDAY(Main[[#This Row],[Tech Start Date]],15),IF(Main[[#This Row],[Class]]="A",WORKDAY(Main[[#This Row],[Tech Start Date]],5),""))))</f>
        <v/>
      </c>
      <c r="P352" s="104" t="str">
        <f>IF(Main[[#This Row],[Tech Start Date]]&lt;1/1/1990,"",IF(Main[[#This Row],[Class]]="C",WORKDAY(Main[[#This Row],[Tech Start Date]],28),IF(Main[[#This Row],[Class]]="B", WORKDAY(Main[[#This Row],[Tech Start Date]],19),IF(Main[[#This Row],[Class]]="A",WORKDAY(Main[[#This Row],[Tech Start Date]],9),""))))</f>
        <v/>
      </c>
      <c r="Q352" s="101">
        <v>40908</v>
      </c>
      <c r="R352" s="101"/>
      <c r="S352" s="99" t="s">
        <v>17</v>
      </c>
      <c r="T352" s="107" t="s">
        <v>4</v>
      </c>
      <c r="U352" s="99" t="s">
        <v>7</v>
      </c>
      <c r="V352" s="99" t="s">
        <v>1965</v>
      </c>
      <c r="W352" s="99" t="s">
        <v>1976</v>
      </c>
    </row>
    <row r="353" spans="1:23" ht="18.600000000000001" customHeight="1">
      <c r="A353" s="123" t="str">
        <f>IF(priority(Main[[#This Row],[Comments]])&lt;&gt;0, priority(Main[[#This Row],[Comments]]),"")</f>
        <v/>
      </c>
      <c r="B353" s="127" t="s">
        <v>1241</v>
      </c>
      <c r="C353" s="99" t="s">
        <v>4</v>
      </c>
      <c r="D353" s="100" t="s">
        <v>269</v>
      </c>
      <c r="E353" s="101">
        <v>40609.588946759257</v>
      </c>
      <c r="F353" s="101"/>
      <c r="G353" s="102" t="str">
        <f>IF(stdProdLT(Main[[#This Row],[Comments]])=0.1,"N/A",IF(stdProdLT(Main[[#This Row],[Comments]])=0,"",stdProdLT(Main[[#This Row],[Comments]])))</f>
        <v/>
      </c>
      <c r="H353" s="103" t="str">
        <f>IF(AND(Main[[#This Row],[In Stock Date]]&lt;&gt;"",Main[[#This Row],[Revised Due Date]]&lt;&gt;""),Main[[#This Row],[In Stock Date]]-Main[[#This Row],[Revised Due Date]],"")</f>
        <v/>
      </c>
      <c r="I353" s="99" t="s">
        <v>4</v>
      </c>
      <c r="J353" s="99" t="s">
        <v>28</v>
      </c>
      <c r="K353" s="108" t="s">
        <v>1971</v>
      </c>
      <c r="L353" s="101"/>
      <c r="M353" s="104" t="str">
        <f>IF(Main[[#This Row],[Tech Start Date]]&lt;1/1/1990,"",IF(Main[[#This Row],[Class]]="C",WORKDAY(Main[[#This Row],[Tech Start Date]],9),IF(Main[[#This Row],[Class]]="B", WORKDAY(Main[[#This Row],[Tech Start Date]],6),IF(Main[[#This Row],[Class]]="A",WORKDAY(Main[[#This Row],[Tech Start Date]],2),""))))</f>
        <v/>
      </c>
      <c r="N353" s="104" t="str">
        <f>IF(Main[[#This Row],[Tech Start Date]]&lt;1/1/1990,"",IF(Main[[#This Row],[Class]]="C",WORKDAY(Main[[#This Row],[Tech Start Date]],19),IF(Main[[#This Row],[Class]]="B", WORKDAY(Main[[#This Row],[Tech Start Date]],12),IF(Main[[#This Row],[Class]]="A",WORKDAY(Main[[#This Row],[Tech Start Date]],4),""))))</f>
        <v/>
      </c>
      <c r="O353" s="104" t="str">
        <f>IF(Main[[#This Row],[Tech Start Date]]&lt;1/1/1990,"",IF(Main[[#This Row],[Class]]="C",WORKDAY(Main[[#This Row],[Tech Start Date]],23),IF(Main[[#This Row],[Class]]="B", WORKDAY(Main[[#This Row],[Tech Start Date]],15),IF(Main[[#This Row],[Class]]="A",WORKDAY(Main[[#This Row],[Tech Start Date]],5),""))))</f>
        <v/>
      </c>
      <c r="P353" s="104" t="str">
        <f>IF(Main[[#This Row],[Tech Start Date]]&lt;1/1/1990,"",IF(Main[[#This Row],[Class]]="C",WORKDAY(Main[[#This Row],[Tech Start Date]],28),IF(Main[[#This Row],[Class]]="B", WORKDAY(Main[[#This Row],[Tech Start Date]],19),IF(Main[[#This Row],[Class]]="A",WORKDAY(Main[[#This Row],[Tech Start Date]],9),""))))</f>
        <v/>
      </c>
      <c r="Q353" s="101">
        <v>40640</v>
      </c>
      <c r="R353" s="101"/>
      <c r="S353" s="99" t="s">
        <v>6</v>
      </c>
      <c r="T353" s="107" t="s">
        <v>4</v>
      </c>
      <c r="U353" s="99" t="s">
        <v>7</v>
      </c>
      <c r="V353" s="99" t="s">
        <v>1962</v>
      </c>
      <c r="W353" s="99" t="s">
        <v>1964</v>
      </c>
    </row>
    <row r="354" spans="1:23" ht="18.600000000000001" customHeight="1">
      <c r="A354" s="123" t="str">
        <f>IF(priority(Main[[#This Row],[Comments]])&lt;&gt;0, priority(Main[[#This Row],[Comments]]),"")</f>
        <v/>
      </c>
      <c r="B354" s="127" t="s">
        <v>1242</v>
      </c>
      <c r="C354" s="99" t="s">
        <v>270</v>
      </c>
      <c r="D354" s="100" t="s">
        <v>271</v>
      </c>
      <c r="E354" s="101"/>
      <c r="F354" s="101"/>
      <c r="G354" s="102" t="str">
        <f>IF(stdProdLT(Main[[#This Row],[Comments]])=0.1,"N/A",IF(stdProdLT(Main[[#This Row],[Comments]])=0,"",stdProdLT(Main[[#This Row],[Comments]])))</f>
        <v/>
      </c>
      <c r="H354" s="103" t="str">
        <f>IF(AND(Main[[#This Row],[In Stock Date]]&lt;&gt;"",Main[[#This Row],[Revised Due Date]]&lt;&gt;""),Main[[#This Row],[In Stock Date]]-Main[[#This Row],[Revised Due Date]],"")</f>
        <v/>
      </c>
      <c r="I354" s="99" t="s">
        <v>4</v>
      </c>
      <c r="J354" s="99" t="s">
        <v>4</v>
      </c>
      <c r="K354" s="99" t="s">
        <v>4</v>
      </c>
      <c r="L354" s="101"/>
      <c r="M354" s="104" t="str">
        <f>IF(Main[[#This Row],[Tech Start Date]]&lt;1/1/1990,"",IF(Main[[#This Row],[Class]]="C",WORKDAY(Main[[#This Row],[Tech Start Date]],9),IF(Main[[#This Row],[Class]]="B", WORKDAY(Main[[#This Row],[Tech Start Date]],6),IF(Main[[#This Row],[Class]]="A",WORKDAY(Main[[#This Row],[Tech Start Date]],2),""))))</f>
        <v/>
      </c>
      <c r="N354" s="104" t="str">
        <f>IF(Main[[#This Row],[Tech Start Date]]&lt;1/1/1990,"",IF(Main[[#This Row],[Class]]="C",WORKDAY(Main[[#This Row],[Tech Start Date]],19),IF(Main[[#This Row],[Class]]="B", WORKDAY(Main[[#This Row],[Tech Start Date]],12),IF(Main[[#This Row],[Class]]="A",WORKDAY(Main[[#This Row],[Tech Start Date]],4),""))))</f>
        <v/>
      </c>
      <c r="O354" s="104" t="str">
        <f>IF(Main[[#This Row],[Tech Start Date]]&lt;1/1/1990,"",IF(Main[[#This Row],[Class]]="C",WORKDAY(Main[[#This Row],[Tech Start Date]],23),IF(Main[[#This Row],[Class]]="B", WORKDAY(Main[[#This Row],[Tech Start Date]],15),IF(Main[[#This Row],[Class]]="A",WORKDAY(Main[[#This Row],[Tech Start Date]],5),""))))</f>
        <v/>
      </c>
      <c r="P354" s="104" t="str">
        <f>IF(Main[[#This Row],[Tech Start Date]]&lt;1/1/1990,"",IF(Main[[#This Row],[Class]]="C",WORKDAY(Main[[#This Row],[Tech Start Date]],28),IF(Main[[#This Row],[Class]]="B", WORKDAY(Main[[#This Row],[Tech Start Date]],19),IF(Main[[#This Row],[Class]]="A",WORKDAY(Main[[#This Row],[Tech Start Date]],9),""))))</f>
        <v/>
      </c>
      <c r="Q354" s="101">
        <v>40497</v>
      </c>
      <c r="R354" s="101"/>
      <c r="S354" s="99" t="s">
        <v>11</v>
      </c>
      <c r="T354" s="107" t="s">
        <v>4</v>
      </c>
      <c r="U354" s="99" t="s">
        <v>12</v>
      </c>
      <c r="V354" s="99" t="s">
        <v>1962</v>
      </c>
      <c r="W354" s="99" t="s">
        <v>1964</v>
      </c>
    </row>
    <row r="355" spans="1:23" ht="18.600000000000001" customHeight="1">
      <c r="A355" s="123" t="str">
        <f>IF(priority(Main[[#This Row],[Comments]])&lt;&gt;0, priority(Main[[#This Row],[Comments]]),"")</f>
        <v/>
      </c>
      <c r="B355" s="127" t="s">
        <v>1244</v>
      </c>
      <c r="C355" s="99" t="s">
        <v>273</v>
      </c>
      <c r="D355" s="100" t="s">
        <v>274</v>
      </c>
      <c r="E355" s="101"/>
      <c r="F355" s="101">
        <v>40399</v>
      </c>
      <c r="G355" s="102" t="str">
        <f>IF(stdProdLT(Main[[#This Row],[Comments]])=0.1,"N/A",IF(stdProdLT(Main[[#This Row],[Comments]])=0,"",stdProdLT(Main[[#This Row],[Comments]])))</f>
        <v/>
      </c>
      <c r="H355" s="103" t="str">
        <f>IF(AND(Main[[#This Row],[In Stock Date]]&lt;&gt;"",Main[[#This Row],[Revised Due Date]]&lt;&gt;""),Main[[#This Row],[In Stock Date]]-Main[[#This Row],[Revised Due Date]],"")</f>
        <v/>
      </c>
      <c r="I355" s="99" t="s">
        <v>129</v>
      </c>
      <c r="J355" s="99" t="s">
        <v>4</v>
      </c>
      <c r="K355" s="99" t="s">
        <v>4</v>
      </c>
      <c r="L355" s="101"/>
      <c r="M355" s="104" t="str">
        <f>IF(Main[[#This Row],[Tech Start Date]]&lt;1/1/1990,"",IF(Main[[#This Row],[Class]]="C",WORKDAY(Main[[#This Row],[Tech Start Date]],9),IF(Main[[#This Row],[Class]]="B", WORKDAY(Main[[#This Row],[Tech Start Date]],6),IF(Main[[#This Row],[Class]]="A",WORKDAY(Main[[#This Row],[Tech Start Date]],2),""))))</f>
        <v/>
      </c>
      <c r="N355" s="104" t="str">
        <f>IF(Main[[#This Row],[Tech Start Date]]&lt;1/1/1990,"",IF(Main[[#This Row],[Class]]="C",WORKDAY(Main[[#This Row],[Tech Start Date]],19),IF(Main[[#This Row],[Class]]="B", WORKDAY(Main[[#This Row],[Tech Start Date]],12),IF(Main[[#This Row],[Class]]="A",WORKDAY(Main[[#This Row],[Tech Start Date]],4),""))))</f>
        <v/>
      </c>
      <c r="O355" s="104" t="str">
        <f>IF(Main[[#This Row],[Tech Start Date]]&lt;1/1/1990,"",IF(Main[[#This Row],[Class]]="C",WORKDAY(Main[[#This Row],[Tech Start Date]],23),IF(Main[[#This Row],[Class]]="B", WORKDAY(Main[[#This Row],[Tech Start Date]],15),IF(Main[[#This Row],[Class]]="A",WORKDAY(Main[[#This Row],[Tech Start Date]],5),""))))</f>
        <v/>
      </c>
      <c r="P355" s="104" t="str">
        <f>IF(Main[[#This Row],[Tech Start Date]]&lt;1/1/1990,"",IF(Main[[#This Row],[Class]]="C",WORKDAY(Main[[#This Row],[Tech Start Date]],28),IF(Main[[#This Row],[Class]]="B", WORKDAY(Main[[#This Row],[Tech Start Date]],19),IF(Main[[#This Row],[Class]]="A",WORKDAY(Main[[#This Row],[Tech Start Date]],9),""))))</f>
        <v/>
      </c>
      <c r="Q355" s="101">
        <v>40344</v>
      </c>
      <c r="R355" s="101"/>
      <c r="S355" s="99" t="s">
        <v>11</v>
      </c>
      <c r="T355" s="107" t="s">
        <v>4</v>
      </c>
      <c r="U355" s="99" t="s">
        <v>14</v>
      </c>
      <c r="V355" s="99" t="s">
        <v>1962</v>
      </c>
      <c r="W355" s="99" t="s">
        <v>1967</v>
      </c>
    </row>
    <row r="356" spans="1:23" ht="18.600000000000001" customHeight="1">
      <c r="A356" s="123" t="str">
        <f>IF(priority(Main[[#This Row],[Comments]])&lt;&gt;0, priority(Main[[#This Row],[Comments]]),"")</f>
        <v/>
      </c>
      <c r="B356" s="127" t="s">
        <v>1421</v>
      </c>
      <c r="C356" s="99" t="s">
        <v>4</v>
      </c>
      <c r="D356" s="100" t="s">
        <v>2461</v>
      </c>
      <c r="E356" s="101">
        <v>40407.653564814813</v>
      </c>
      <c r="F356" s="101"/>
      <c r="G356" s="102" t="str">
        <f>IF(stdProdLT(Main[[#This Row],[Comments]])=0.1,"N/A",IF(stdProdLT(Main[[#This Row],[Comments]])=0,"",stdProdLT(Main[[#This Row],[Comments]])))</f>
        <v/>
      </c>
      <c r="H356" s="103" t="str">
        <f>IF(AND(Main[[#This Row],[In Stock Date]]&lt;&gt;"",Main[[#This Row],[Revised Due Date]]&lt;&gt;""),Main[[#This Row],[In Stock Date]]-Main[[#This Row],[Revised Due Date]],"")</f>
        <v/>
      </c>
      <c r="I356" s="99" t="s">
        <v>4</v>
      </c>
      <c r="J356" s="99" t="s">
        <v>28</v>
      </c>
      <c r="K356" s="99" t="s">
        <v>4</v>
      </c>
      <c r="L356" s="101"/>
      <c r="M356" s="104" t="str">
        <f>IF(Main[[#This Row],[Tech Start Date]]&lt;1/1/1990,"",IF(Main[[#This Row],[Class]]="C",WORKDAY(Main[[#This Row],[Tech Start Date]],9),IF(Main[[#This Row],[Class]]="B", WORKDAY(Main[[#This Row],[Tech Start Date]],6),IF(Main[[#This Row],[Class]]="A",WORKDAY(Main[[#This Row],[Tech Start Date]],2),""))))</f>
        <v/>
      </c>
      <c r="N356" s="104" t="str">
        <f>IF(Main[[#This Row],[Tech Start Date]]&lt;1/1/1990,"",IF(Main[[#This Row],[Class]]="C",WORKDAY(Main[[#This Row],[Tech Start Date]],19),IF(Main[[#This Row],[Class]]="B", WORKDAY(Main[[#This Row],[Tech Start Date]],12),IF(Main[[#This Row],[Class]]="A",WORKDAY(Main[[#This Row],[Tech Start Date]],4),""))))</f>
        <v/>
      </c>
      <c r="O356" s="104" t="str">
        <f>IF(Main[[#This Row],[Tech Start Date]]&lt;1/1/1990,"",IF(Main[[#This Row],[Class]]="C",WORKDAY(Main[[#This Row],[Tech Start Date]],23),IF(Main[[#This Row],[Class]]="B", WORKDAY(Main[[#This Row],[Tech Start Date]],15),IF(Main[[#This Row],[Class]]="A",WORKDAY(Main[[#This Row],[Tech Start Date]],5),""))))</f>
        <v/>
      </c>
      <c r="P356" s="104" t="str">
        <f>IF(Main[[#This Row],[Tech Start Date]]&lt;1/1/1990,"",IF(Main[[#This Row],[Class]]="C",WORKDAY(Main[[#This Row],[Tech Start Date]],28),IF(Main[[#This Row],[Class]]="B", WORKDAY(Main[[#This Row],[Tech Start Date]],19),IF(Main[[#This Row],[Class]]="A",WORKDAY(Main[[#This Row],[Tech Start Date]],9),""))))</f>
        <v/>
      </c>
      <c r="Q356" s="101"/>
      <c r="R356" s="101"/>
      <c r="S356" s="99" t="s">
        <v>6</v>
      </c>
      <c r="T356" s="107" t="s">
        <v>4</v>
      </c>
      <c r="U356" s="99" t="s">
        <v>7</v>
      </c>
      <c r="V356" s="99" t="s">
        <v>1962</v>
      </c>
      <c r="W356" s="99" t="s">
        <v>1964</v>
      </c>
    </row>
    <row r="357" spans="1:23" ht="18.600000000000001" customHeight="1">
      <c r="A357" s="123" t="str">
        <f>IF(priority(Main[[#This Row],[Comments]])&lt;&gt;0, priority(Main[[#This Row],[Comments]]),"")</f>
        <v/>
      </c>
      <c r="B357" s="127" t="s">
        <v>1245</v>
      </c>
      <c r="C357" s="99" t="s">
        <v>183</v>
      </c>
      <c r="D357" s="100" t="s">
        <v>275</v>
      </c>
      <c r="E357" s="101"/>
      <c r="F357" s="101">
        <v>40389</v>
      </c>
      <c r="G357" s="102" t="str">
        <f>IF(stdProdLT(Main[[#This Row],[Comments]])=0.1,"N/A",IF(stdProdLT(Main[[#This Row],[Comments]])=0,"",stdProdLT(Main[[#This Row],[Comments]])))</f>
        <v/>
      </c>
      <c r="H357" s="103" t="str">
        <f>IF(AND(Main[[#This Row],[In Stock Date]]&lt;&gt;"",Main[[#This Row],[Revised Due Date]]&lt;&gt;""),Main[[#This Row],[In Stock Date]]-Main[[#This Row],[Revised Due Date]],"")</f>
        <v/>
      </c>
      <c r="I357" s="99" t="s">
        <v>4</v>
      </c>
      <c r="J357" s="99" t="s">
        <v>4</v>
      </c>
      <c r="K357" s="99" t="s">
        <v>4</v>
      </c>
      <c r="L357" s="101"/>
      <c r="M357" s="104" t="str">
        <f>IF(Main[[#This Row],[Tech Start Date]]&lt;1/1/1990,"",IF(Main[[#This Row],[Class]]="C",WORKDAY(Main[[#This Row],[Tech Start Date]],9),IF(Main[[#This Row],[Class]]="B", WORKDAY(Main[[#This Row],[Tech Start Date]],6),IF(Main[[#This Row],[Class]]="A",WORKDAY(Main[[#This Row],[Tech Start Date]],2),""))))</f>
        <v/>
      </c>
      <c r="N357" s="104" t="str">
        <f>IF(Main[[#This Row],[Tech Start Date]]&lt;1/1/1990,"",IF(Main[[#This Row],[Class]]="C",WORKDAY(Main[[#This Row],[Tech Start Date]],19),IF(Main[[#This Row],[Class]]="B", WORKDAY(Main[[#This Row],[Tech Start Date]],12),IF(Main[[#This Row],[Class]]="A",WORKDAY(Main[[#This Row],[Tech Start Date]],4),""))))</f>
        <v/>
      </c>
      <c r="O357" s="104" t="str">
        <f>IF(Main[[#This Row],[Tech Start Date]]&lt;1/1/1990,"",IF(Main[[#This Row],[Class]]="C",WORKDAY(Main[[#This Row],[Tech Start Date]],23),IF(Main[[#This Row],[Class]]="B", WORKDAY(Main[[#This Row],[Tech Start Date]],15),IF(Main[[#This Row],[Class]]="A",WORKDAY(Main[[#This Row],[Tech Start Date]],5),""))))</f>
        <v/>
      </c>
      <c r="P357" s="104" t="str">
        <f>IF(Main[[#This Row],[Tech Start Date]]&lt;1/1/1990,"",IF(Main[[#This Row],[Class]]="C",WORKDAY(Main[[#This Row],[Tech Start Date]],28),IF(Main[[#This Row],[Class]]="B", WORKDAY(Main[[#This Row],[Tech Start Date]],19),IF(Main[[#This Row],[Class]]="A",WORKDAY(Main[[#This Row],[Tech Start Date]],9),""))))</f>
        <v/>
      </c>
      <c r="Q357" s="101">
        <v>40298</v>
      </c>
      <c r="R357" s="101"/>
      <c r="S357" s="99" t="s">
        <v>11</v>
      </c>
      <c r="T357" s="107" t="s">
        <v>4</v>
      </c>
      <c r="U357" s="99" t="s">
        <v>14</v>
      </c>
      <c r="V357" s="99" t="s">
        <v>1962</v>
      </c>
      <c r="W357" s="99" t="s">
        <v>1968</v>
      </c>
    </row>
    <row r="358" spans="1:23" ht="18.600000000000001" customHeight="1">
      <c r="A358" s="123" t="str">
        <f>IF(priority(Main[[#This Row],[Comments]])&lt;&gt;0, priority(Main[[#This Row],[Comments]]),"")</f>
        <v/>
      </c>
      <c r="B358" s="127" t="s">
        <v>1247</v>
      </c>
      <c r="C358" s="99" t="s">
        <v>278</v>
      </c>
      <c r="D358" s="100" t="s">
        <v>279</v>
      </c>
      <c r="E358" s="101"/>
      <c r="F358" s="101">
        <v>40262</v>
      </c>
      <c r="G358" s="102" t="str">
        <f>IF(stdProdLT(Main[[#This Row],[Comments]])=0.1,"N/A",IF(stdProdLT(Main[[#This Row],[Comments]])=0,"",stdProdLT(Main[[#This Row],[Comments]])))</f>
        <v/>
      </c>
      <c r="H358" s="103" t="str">
        <f>IF(AND(Main[[#This Row],[In Stock Date]]&lt;&gt;"",Main[[#This Row],[Revised Due Date]]&lt;&gt;""),Main[[#This Row],[In Stock Date]]-Main[[#This Row],[Revised Due Date]],"")</f>
        <v/>
      </c>
      <c r="I358" s="99" t="s">
        <v>4</v>
      </c>
      <c r="J358" s="99" t="s">
        <v>4</v>
      </c>
      <c r="K358" s="99" t="s">
        <v>4</v>
      </c>
      <c r="L358" s="101"/>
      <c r="M358" s="104" t="str">
        <f>IF(Main[[#This Row],[Tech Start Date]]&lt;1/1/1990,"",IF(Main[[#This Row],[Class]]="C",WORKDAY(Main[[#This Row],[Tech Start Date]],9),IF(Main[[#This Row],[Class]]="B", WORKDAY(Main[[#This Row],[Tech Start Date]],6),IF(Main[[#This Row],[Class]]="A",WORKDAY(Main[[#This Row],[Tech Start Date]],2),""))))</f>
        <v/>
      </c>
      <c r="N358" s="104" t="str">
        <f>IF(Main[[#This Row],[Tech Start Date]]&lt;1/1/1990,"",IF(Main[[#This Row],[Class]]="C",WORKDAY(Main[[#This Row],[Tech Start Date]],19),IF(Main[[#This Row],[Class]]="B", WORKDAY(Main[[#This Row],[Tech Start Date]],12),IF(Main[[#This Row],[Class]]="A",WORKDAY(Main[[#This Row],[Tech Start Date]],4),""))))</f>
        <v/>
      </c>
      <c r="O358" s="104" t="str">
        <f>IF(Main[[#This Row],[Tech Start Date]]&lt;1/1/1990,"",IF(Main[[#This Row],[Class]]="C",WORKDAY(Main[[#This Row],[Tech Start Date]],23),IF(Main[[#This Row],[Class]]="B", WORKDAY(Main[[#This Row],[Tech Start Date]],15),IF(Main[[#This Row],[Class]]="A",WORKDAY(Main[[#This Row],[Tech Start Date]],5),""))))</f>
        <v/>
      </c>
      <c r="P358" s="104" t="str">
        <f>IF(Main[[#This Row],[Tech Start Date]]&lt;1/1/1990,"",IF(Main[[#This Row],[Class]]="C",WORKDAY(Main[[#This Row],[Tech Start Date]],28),IF(Main[[#This Row],[Class]]="B", WORKDAY(Main[[#This Row],[Tech Start Date]],19),IF(Main[[#This Row],[Class]]="A",WORKDAY(Main[[#This Row],[Tech Start Date]],9),""))))</f>
        <v/>
      </c>
      <c r="Q358" s="101">
        <v>40242</v>
      </c>
      <c r="R358" s="101"/>
      <c r="S358" s="99" t="s">
        <v>11</v>
      </c>
      <c r="T358" s="107" t="s">
        <v>4</v>
      </c>
      <c r="U358" s="99" t="s">
        <v>14</v>
      </c>
      <c r="V358" s="99" t="s">
        <v>1972</v>
      </c>
      <c r="W358" s="99" t="s">
        <v>1966</v>
      </c>
    </row>
    <row r="359" spans="1:23" ht="18.600000000000001" customHeight="1">
      <c r="A359" s="123" t="str">
        <f>IF(priority(Main[[#This Row],[Comments]])&lt;&gt;0, priority(Main[[#This Row],[Comments]]),"")</f>
        <v/>
      </c>
      <c r="B359" s="127" t="s">
        <v>1248</v>
      </c>
      <c r="C359" s="99" t="s">
        <v>280</v>
      </c>
      <c r="D359" s="100" t="s">
        <v>281</v>
      </c>
      <c r="E359" s="101"/>
      <c r="F359" s="101">
        <v>40186</v>
      </c>
      <c r="G359" s="102" t="str">
        <f>IF(stdProdLT(Main[[#This Row],[Comments]])=0.1,"N/A",IF(stdProdLT(Main[[#This Row],[Comments]])=0,"",stdProdLT(Main[[#This Row],[Comments]])))</f>
        <v/>
      </c>
      <c r="H359" s="103" t="str">
        <f>IF(AND(Main[[#This Row],[In Stock Date]]&lt;&gt;"",Main[[#This Row],[Revised Due Date]]&lt;&gt;""),Main[[#This Row],[In Stock Date]]-Main[[#This Row],[Revised Due Date]],"")</f>
        <v/>
      </c>
      <c r="I359" s="99" t="s">
        <v>4</v>
      </c>
      <c r="J359" s="99" t="s">
        <v>4</v>
      </c>
      <c r="K359" s="99" t="s">
        <v>4</v>
      </c>
      <c r="L359" s="101"/>
      <c r="M359" s="104" t="str">
        <f>IF(Main[[#This Row],[Tech Start Date]]&lt;1/1/1990,"",IF(Main[[#This Row],[Class]]="C",WORKDAY(Main[[#This Row],[Tech Start Date]],9),IF(Main[[#This Row],[Class]]="B", WORKDAY(Main[[#This Row],[Tech Start Date]],6),IF(Main[[#This Row],[Class]]="A",WORKDAY(Main[[#This Row],[Tech Start Date]],2),""))))</f>
        <v/>
      </c>
      <c r="N359" s="104" t="str">
        <f>IF(Main[[#This Row],[Tech Start Date]]&lt;1/1/1990,"",IF(Main[[#This Row],[Class]]="C",WORKDAY(Main[[#This Row],[Tech Start Date]],19),IF(Main[[#This Row],[Class]]="B", WORKDAY(Main[[#This Row],[Tech Start Date]],12),IF(Main[[#This Row],[Class]]="A",WORKDAY(Main[[#This Row],[Tech Start Date]],4),""))))</f>
        <v/>
      </c>
      <c r="O359" s="104" t="str">
        <f>IF(Main[[#This Row],[Tech Start Date]]&lt;1/1/1990,"",IF(Main[[#This Row],[Class]]="C",WORKDAY(Main[[#This Row],[Tech Start Date]],23),IF(Main[[#This Row],[Class]]="B", WORKDAY(Main[[#This Row],[Tech Start Date]],15),IF(Main[[#This Row],[Class]]="A",WORKDAY(Main[[#This Row],[Tech Start Date]],5),""))))</f>
        <v/>
      </c>
      <c r="P359" s="104" t="str">
        <f>IF(Main[[#This Row],[Tech Start Date]]&lt;1/1/1990,"",IF(Main[[#This Row],[Class]]="C",WORKDAY(Main[[#This Row],[Tech Start Date]],28),IF(Main[[#This Row],[Class]]="B", WORKDAY(Main[[#This Row],[Tech Start Date]],19),IF(Main[[#This Row],[Class]]="A",WORKDAY(Main[[#This Row],[Tech Start Date]],9),""))))</f>
        <v/>
      </c>
      <c r="Q359" s="101">
        <v>40196</v>
      </c>
      <c r="R359" s="101"/>
      <c r="S359" s="99" t="s">
        <v>11</v>
      </c>
      <c r="T359" s="107" t="s">
        <v>4</v>
      </c>
      <c r="U359" s="99" t="s">
        <v>14</v>
      </c>
      <c r="V359" s="99" t="s">
        <v>1965</v>
      </c>
      <c r="W359" s="99" t="s">
        <v>1970</v>
      </c>
    </row>
    <row r="360" spans="1:23" ht="18.600000000000001" customHeight="1">
      <c r="A360" s="123" t="str">
        <f>IF(priority(Main[[#This Row],[Comments]])&lt;&gt;0, priority(Main[[#This Row],[Comments]]),"")</f>
        <v/>
      </c>
      <c r="B360" s="127" t="s">
        <v>2295</v>
      </c>
      <c r="C360" s="99" t="s">
        <v>4</v>
      </c>
      <c r="D360" s="100" t="s">
        <v>2296</v>
      </c>
      <c r="E360" s="101"/>
      <c r="F360" s="101"/>
      <c r="G360" s="102" t="str">
        <f>IF(stdProdLT(Main[[#This Row],[Comments]])=0.1,"N/A",IF(stdProdLT(Main[[#This Row],[Comments]])=0,"",stdProdLT(Main[[#This Row],[Comments]])))</f>
        <v/>
      </c>
      <c r="H360" s="103" t="str">
        <f>IF(AND(Main[[#This Row],[In Stock Date]]&lt;&gt;"",Main[[#This Row],[Revised Due Date]]&lt;&gt;""),Main[[#This Row],[In Stock Date]]-Main[[#This Row],[Revised Due Date]],"")</f>
        <v/>
      </c>
      <c r="I360" s="99" t="s">
        <v>4</v>
      </c>
      <c r="J360" s="99" t="s">
        <v>4</v>
      </c>
      <c r="K360" s="99" t="s">
        <v>4</v>
      </c>
      <c r="L360" s="101"/>
      <c r="M360" s="104" t="str">
        <f>IF(Main[[#This Row],[Tech Start Date]]&lt;1/1/1990,"",IF(Main[[#This Row],[Class]]="C",WORKDAY(Main[[#This Row],[Tech Start Date]],9),IF(Main[[#This Row],[Class]]="B", WORKDAY(Main[[#This Row],[Tech Start Date]],6),IF(Main[[#This Row],[Class]]="A",WORKDAY(Main[[#This Row],[Tech Start Date]],2),""))))</f>
        <v/>
      </c>
      <c r="N360" s="104" t="str">
        <f>IF(Main[[#This Row],[Tech Start Date]]&lt;1/1/1990,"",IF(Main[[#This Row],[Class]]="C",WORKDAY(Main[[#This Row],[Tech Start Date]],19),IF(Main[[#This Row],[Class]]="B", WORKDAY(Main[[#This Row],[Tech Start Date]],12),IF(Main[[#This Row],[Class]]="A",WORKDAY(Main[[#This Row],[Tech Start Date]],4),""))))</f>
        <v/>
      </c>
      <c r="O360" s="104" t="str">
        <f>IF(Main[[#This Row],[Tech Start Date]]&lt;1/1/1990,"",IF(Main[[#This Row],[Class]]="C",WORKDAY(Main[[#This Row],[Tech Start Date]],23),IF(Main[[#This Row],[Class]]="B", WORKDAY(Main[[#This Row],[Tech Start Date]],15),IF(Main[[#This Row],[Class]]="A",WORKDAY(Main[[#This Row],[Tech Start Date]],5),""))))</f>
        <v/>
      </c>
      <c r="P360" s="104" t="str">
        <f>IF(Main[[#This Row],[Tech Start Date]]&lt;1/1/1990,"",IF(Main[[#This Row],[Class]]="C",WORKDAY(Main[[#This Row],[Tech Start Date]],28),IF(Main[[#This Row],[Class]]="B", WORKDAY(Main[[#This Row],[Tech Start Date]],19),IF(Main[[#This Row],[Class]]="A",WORKDAY(Main[[#This Row],[Tech Start Date]],9),""))))</f>
        <v/>
      </c>
      <c r="Q360" s="101">
        <v>40837</v>
      </c>
      <c r="R360" s="101"/>
      <c r="S360" s="99" t="s">
        <v>6</v>
      </c>
      <c r="T360" s="107" t="s">
        <v>4</v>
      </c>
      <c r="U360" s="99" t="s">
        <v>14</v>
      </c>
      <c r="V360" s="99" t="s">
        <v>1965</v>
      </c>
      <c r="W360" s="99" t="s">
        <v>4</v>
      </c>
    </row>
    <row r="361" spans="1:23" ht="18.600000000000001" customHeight="1">
      <c r="A361" s="123" t="str">
        <f>IF(priority(Main[[#This Row],[Comments]])&lt;&gt;0, priority(Main[[#This Row],[Comments]]),"")</f>
        <v/>
      </c>
      <c r="B361" s="127" t="s">
        <v>1441</v>
      </c>
      <c r="C361" s="99" t="s">
        <v>4</v>
      </c>
      <c r="D361" s="100" t="s">
        <v>493</v>
      </c>
      <c r="E361" s="101">
        <v>40704.65116898148</v>
      </c>
      <c r="F361" s="101"/>
      <c r="G361" s="102" t="str">
        <f>IF(stdProdLT(Main[[#This Row],[Comments]])=0.1,"N/A",IF(stdProdLT(Main[[#This Row],[Comments]])=0,"",stdProdLT(Main[[#This Row],[Comments]])))</f>
        <v/>
      </c>
      <c r="H361" s="103" t="str">
        <f>IF(AND(Main[[#This Row],[In Stock Date]]&lt;&gt;"",Main[[#This Row],[Revised Due Date]]&lt;&gt;""),Main[[#This Row],[In Stock Date]]-Main[[#This Row],[Revised Due Date]],"")</f>
        <v/>
      </c>
      <c r="I361" s="99" t="s">
        <v>4</v>
      </c>
      <c r="J361" s="99" t="s">
        <v>4</v>
      </c>
      <c r="K361" s="99" t="s">
        <v>4</v>
      </c>
      <c r="L361" s="101"/>
      <c r="M361" s="104" t="str">
        <f>IF(Main[[#This Row],[Tech Start Date]]&lt;1/1/1990,"",IF(Main[[#This Row],[Class]]="C",WORKDAY(Main[[#This Row],[Tech Start Date]],9),IF(Main[[#This Row],[Class]]="B", WORKDAY(Main[[#This Row],[Tech Start Date]],6),IF(Main[[#This Row],[Class]]="A",WORKDAY(Main[[#This Row],[Tech Start Date]],2),""))))</f>
        <v/>
      </c>
      <c r="N361" s="104" t="str">
        <f>IF(Main[[#This Row],[Tech Start Date]]&lt;1/1/1990,"",IF(Main[[#This Row],[Class]]="C",WORKDAY(Main[[#This Row],[Tech Start Date]],19),IF(Main[[#This Row],[Class]]="B", WORKDAY(Main[[#This Row],[Tech Start Date]],12),IF(Main[[#This Row],[Class]]="A",WORKDAY(Main[[#This Row],[Tech Start Date]],4),""))))</f>
        <v/>
      </c>
      <c r="O361" s="104" t="str">
        <f>IF(Main[[#This Row],[Tech Start Date]]&lt;1/1/1990,"",IF(Main[[#This Row],[Class]]="C",WORKDAY(Main[[#This Row],[Tech Start Date]],23),IF(Main[[#This Row],[Class]]="B", WORKDAY(Main[[#This Row],[Tech Start Date]],15),IF(Main[[#This Row],[Class]]="A",WORKDAY(Main[[#This Row],[Tech Start Date]],5),""))))</f>
        <v/>
      </c>
      <c r="P361" s="104" t="str">
        <f>IF(Main[[#This Row],[Tech Start Date]]&lt;1/1/1990,"",IF(Main[[#This Row],[Class]]="C",WORKDAY(Main[[#This Row],[Tech Start Date]],28),IF(Main[[#This Row],[Class]]="B", WORKDAY(Main[[#This Row],[Tech Start Date]],19),IF(Main[[#This Row],[Class]]="A",WORKDAY(Main[[#This Row],[Tech Start Date]],9),""))))</f>
        <v/>
      </c>
      <c r="Q361" s="101"/>
      <c r="R361" s="101"/>
      <c r="S361" s="99" t="s">
        <v>6</v>
      </c>
      <c r="T361" s="107" t="s">
        <v>4</v>
      </c>
      <c r="U361" s="99" t="s">
        <v>29</v>
      </c>
      <c r="V361" s="99" t="s">
        <v>1962</v>
      </c>
      <c r="W361" s="99" t="s">
        <v>1966</v>
      </c>
    </row>
    <row r="362" spans="1:23" ht="18.600000000000001" customHeight="1">
      <c r="A362" s="123" t="str">
        <f>IF(priority(Main[[#This Row],[Comments]])&lt;&gt;0, priority(Main[[#This Row],[Comments]]),"")</f>
        <v/>
      </c>
      <c r="B362" s="127" t="s">
        <v>1249</v>
      </c>
      <c r="C362" s="99" t="s">
        <v>4</v>
      </c>
      <c r="D362" s="100" t="s">
        <v>286</v>
      </c>
      <c r="E362" s="101">
        <v>40297.413148148145</v>
      </c>
      <c r="F362" s="101"/>
      <c r="G362" s="102" t="str">
        <f>IF(stdProdLT(Main[[#This Row],[Comments]])=0.1,"N/A",IF(stdProdLT(Main[[#This Row],[Comments]])=0,"",stdProdLT(Main[[#This Row],[Comments]])))</f>
        <v/>
      </c>
      <c r="H362" s="103" t="str">
        <f>IF(AND(Main[[#This Row],[In Stock Date]]&lt;&gt;"",Main[[#This Row],[Revised Due Date]]&lt;&gt;""),Main[[#This Row],[In Stock Date]]-Main[[#This Row],[Revised Due Date]],"")</f>
        <v/>
      </c>
      <c r="I362" s="99" t="s">
        <v>4</v>
      </c>
      <c r="J362" s="99" t="s">
        <v>4</v>
      </c>
      <c r="K362" s="99" t="s">
        <v>4</v>
      </c>
      <c r="L362" s="101"/>
      <c r="M362" s="104" t="str">
        <f>IF(Main[[#This Row],[Tech Start Date]]&lt;1/1/1990,"",IF(Main[[#This Row],[Class]]="C",WORKDAY(Main[[#This Row],[Tech Start Date]],9),IF(Main[[#This Row],[Class]]="B", WORKDAY(Main[[#This Row],[Tech Start Date]],6),IF(Main[[#This Row],[Class]]="A",WORKDAY(Main[[#This Row],[Tech Start Date]],2),""))))</f>
        <v/>
      </c>
      <c r="N362" s="104" t="str">
        <f>IF(Main[[#This Row],[Tech Start Date]]&lt;1/1/1990,"",IF(Main[[#This Row],[Class]]="C",WORKDAY(Main[[#This Row],[Tech Start Date]],19),IF(Main[[#This Row],[Class]]="B", WORKDAY(Main[[#This Row],[Tech Start Date]],12),IF(Main[[#This Row],[Class]]="A",WORKDAY(Main[[#This Row],[Tech Start Date]],4),""))))</f>
        <v/>
      </c>
      <c r="O362" s="104" t="str">
        <f>IF(Main[[#This Row],[Tech Start Date]]&lt;1/1/1990,"",IF(Main[[#This Row],[Class]]="C",WORKDAY(Main[[#This Row],[Tech Start Date]],23),IF(Main[[#This Row],[Class]]="B", WORKDAY(Main[[#This Row],[Tech Start Date]],15),IF(Main[[#This Row],[Class]]="A",WORKDAY(Main[[#This Row],[Tech Start Date]],5),""))))</f>
        <v/>
      </c>
      <c r="P362" s="104" t="str">
        <f>IF(Main[[#This Row],[Tech Start Date]]&lt;1/1/1990,"",IF(Main[[#This Row],[Class]]="C",WORKDAY(Main[[#This Row],[Tech Start Date]],28),IF(Main[[#This Row],[Class]]="B", WORKDAY(Main[[#This Row],[Tech Start Date]],19),IF(Main[[#This Row],[Class]]="A",WORKDAY(Main[[#This Row],[Tech Start Date]],9),""))))</f>
        <v/>
      </c>
      <c r="Q362" s="101">
        <v>40319</v>
      </c>
      <c r="R362" s="101"/>
      <c r="S362" s="99" t="s">
        <v>17</v>
      </c>
      <c r="T362" s="107" t="s">
        <v>4</v>
      </c>
      <c r="U362" s="99" t="s">
        <v>29</v>
      </c>
      <c r="V362" s="99" t="s">
        <v>1963</v>
      </c>
      <c r="W362" s="99" t="s">
        <v>1966</v>
      </c>
    </row>
    <row r="363" spans="1:23" ht="18.600000000000001" customHeight="1">
      <c r="A363" s="123" t="str">
        <f>IF(priority(Main[[#This Row],[Comments]])&lt;&gt;0, priority(Main[[#This Row],[Comments]]),"")</f>
        <v/>
      </c>
      <c r="B363" s="127" t="s">
        <v>1250</v>
      </c>
      <c r="C363" s="99" t="s">
        <v>287</v>
      </c>
      <c r="D363" s="100" t="s">
        <v>288</v>
      </c>
      <c r="E363" s="101"/>
      <c r="F363" s="101">
        <v>40391</v>
      </c>
      <c r="G363" s="102" t="str">
        <f>IF(stdProdLT(Main[[#This Row],[Comments]])=0.1,"N/A",IF(stdProdLT(Main[[#This Row],[Comments]])=0,"",stdProdLT(Main[[#This Row],[Comments]])))</f>
        <v/>
      </c>
      <c r="H363" s="103" t="str">
        <f>IF(AND(Main[[#This Row],[In Stock Date]]&lt;&gt;"",Main[[#This Row],[Revised Due Date]]&lt;&gt;""),Main[[#This Row],[In Stock Date]]-Main[[#This Row],[Revised Due Date]],"")</f>
        <v/>
      </c>
      <c r="I363" s="99" t="s">
        <v>4</v>
      </c>
      <c r="J363" s="99" t="s">
        <v>4</v>
      </c>
      <c r="K363" s="99" t="s">
        <v>4</v>
      </c>
      <c r="L363" s="101"/>
      <c r="M363" s="104" t="str">
        <f>IF(Main[[#This Row],[Tech Start Date]]&lt;1/1/1990,"",IF(Main[[#This Row],[Class]]="C",WORKDAY(Main[[#This Row],[Tech Start Date]],9),IF(Main[[#This Row],[Class]]="B", WORKDAY(Main[[#This Row],[Tech Start Date]],6),IF(Main[[#This Row],[Class]]="A",WORKDAY(Main[[#This Row],[Tech Start Date]],2),""))))</f>
        <v/>
      </c>
      <c r="N363" s="104" t="str">
        <f>IF(Main[[#This Row],[Tech Start Date]]&lt;1/1/1990,"",IF(Main[[#This Row],[Class]]="C",WORKDAY(Main[[#This Row],[Tech Start Date]],19),IF(Main[[#This Row],[Class]]="B", WORKDAY(Main[[#This Row],[Tech Start Date]],12),IF(Main[[#This Row],[Class]]="A",WORKDAY(Main[[#This Row],[Tech Start Date]],4),""))))</f>
        <v/>
      </c>
      <c r="O363" s="104" t="str">
        <f>IF(Main[[#This Row],[Tech Start Date]]&lt;1/1/1990,"",IF(Main[[#This Row],[Class]]="C",WORKDAY(Main[[#This Row],[Tech Start Date]],23),IF(Main[[#This Row],[Class]]="B", WORKDAY(Main[[#This Row],[Tech Start Date]],15),IF(Main[[#This Row],[Class]]="A",WORKDAY(Main[[#This Row],[Tech Start Date]],5),""))))</f>
        <v/>
      </c>
      <c r="P363" s="104" t="str">
        <f>IF(Main[[#This Row],[Tech Start Date]]&lt;1/1/1990,"",IF(Main[[#This Row],[Class]]="C",WORKDAY(Main[[#This Row],[Tech Start Date]],28),IF(Main[[#This Row],[Class]]="B", WORKDAY(Main[[#This Row],[Tech Start Date]],19),IF(Main[[#This Row],[Class]]="A",WORKDAY(Main[[#This Row],[Tech Start Date]],9),""))))</f>
        <v/>
      </c>
      <c r="Q363" s="101">
        <v>40314</v>
      </c>
      <c r="R363" s="101"/>
      <c r="S363" s="99" t="s">
        <v>11</v>
      </c>
      <c r="T363" s="107" t="s">
        <v>4</v>
      </c>
      <c r="U363" s="99" t="s">
        <v>14</v>
      </c>
      <c r="V363" s="99" t="s">
        <v>1965</v>
      </c>
      <c r="W363" s="99" t="s">
        <v>1968</v>
      </c>
    </row>
    <row r="364" spans="1:23" ht="18.600000000000001" customHeight="1">
      <c r="A364" s="123" t="str">
        <f>IF(priority(Main[[#This Row],[Comments]])&lt;&gt;0, priority(Main[[#This Row],[Comments]]),"")</f>
        <v/>
      </c>
      <c r="B364" s="127" t="s">
        <v>1251</v>
      </c>
      <c r="C364" s="99" t="s">
        <v>289</v>
      </c>
      <c r="D364" s="100" t="s">
        <v>290</v>
      </c>
      <c r="E364" s="101"/>
      <c r="F364" s="101"/>
      <c r="G364" s="102" t="str">
        <f>IF(stdProdLT(Main[[#This Row],[Comments]])=0.1,"N/A",IF(stdProdLT(Main[[#This Row],[Comments]])=0,"",stdProdLT(Main[[#This Row],[Comments]])))</f>
        <v/>
      </c>
      <c r="H364" s="103" t="str">
        <f>IF(AND(Main[[#This Row],[In Stock Date]]&lt;&gt;"",Main[[#This Row],[Revised Due Date]]&lt;&gt;""),Main[[#This Row],[In Stock Date]]-Main[[#This Row],[Revised Due Date]],"")</f>
        <v/>
      </c>
      <c r="I364" s="99" t="s">
        <v>4</v>
      </c>
      <c r="J364" s="99" t="s">
        <v>4</v>
      </c>
      <c r="K364" s="108" t="s">
        <v>4</v>
      </c>
      <c r="L364" s="101"/>
      <c r="M364" s="104" t="str">
        <f>IF(Main[[#This Row],[Tech Start Date]]&lt;1/1/1990,"",IF(Main[[#This Row],[Class]]="C",WORKDAY(Main[[#This Row],[Tech Start Date]],9),IF(Main[[#This Row],[Class]]="B", WORKDAY(Main[[#This Row],[Tech Start Date]],6),IF(Main[[#This Row],[Class]]="A",WORKDAY(Main[[#This Row],[Tech Start Date]],2),""))))</f>
        <v/>
      </c>
      <c r="N364" s="104" t="str">
        <f>IF(Main[[#This Row],[Tech Start Date]]&lt;1/1/1990,"",IF(Main[[#This Row],[Class]]="C",WORKDAY(Main[[#This Row],[Tech Start Date]],19),IF(Main[[#This Row],[Class]]="B", WORKDAY(Main[[#This Row],[Tech Start Date]],12),IF(Main[[#This Row],[Class]]="A",WORKDAY(Main[[#This Row],[Tech Start Date]],4),""))))</f>
        <v/>
      </c>
      <c r="O364" s="104" t="str">
        <f>IF(Main[[#This Row],[Tech Start Date]]&lt;1/1/1990,"",IF(Main[[#This Row],[Class]]="C",WORKDAY(Main[[#This Row],[Tech Start Date]],23),IF(Main[[#This Row],[Class]]="B", WORKDAY(Main[[#This Row],[Tech Start Date]],15),IF(Main[[#This Row],[Class]]="A",WORKDAY(Main[[#This Row],[Tech Start Date]],5),""))))</f>
        <v/>
      </c>
      <c r="P364" s="104" t="str">
        <f>IF(Main[[#This Row],[Tech Start Date]]&lt;1/1/1990,"",IF(Main[[#This Row],[Class]]="C",WORKDAY(Main[[#This Row],[Tech Start Date]],28),IF(Main[[#This Row],[Class]]="B", WORKDAY(Main[[#This Row],[Tech Start Date]],19),IF(Main[[#This Row],[Class]]="A",WORKDAY(Main[[#This Row],[Tech Start Date]],9),""))))</f>
        <v/>
      </c>
      <c r="Q364" s="101">
        <v>40147</v>
      </c>
      <c r="R364" s="101"/>
      <c r="S364" s="99" t="s">
        <v>11</v>
      </c>
      <c r="T364" s="107" t="s">
        <v>4</v>
      </c>
      <c r="U364" s="99" t="s">
        <v>14</v>
      </c>
      <c r="V364" s="99" t="s">
        <v>1972</v>
      </c>
      <c r="W364" s="99" t="s">
        <v>1970</v>
      </c>
    </row>
    <row r="365" spans="1:23" ht="18.600000000000001" customHeight="1">
      <c r="A365" s="123" t="str">
        <f>IF(priority(Main[[#This Row],[Comments]])&lt;&gt;0, priority(Main[[#This Row],[Comments]]),"")</f>
        <v/>
      </c>
      <c r="B365" s="127" t="s">
        <v>1640</v>
      </c>
      <c r="C365" s="99" t="s">
        <v>280</v>
      </c>
      <c r="D365" s="100" t="s">
        <v>685</v>
      </c>
      <c r="E365" s="101">
        <v>40500.611724537041</v>
      </c>
      <c r="F365" s="101">
        <v>40444</v>
      </c>
      <c r="G365" s="102" t="str">
        <f>IF(stdProdLT(Main[[#This Row],[Comments]])=0.1,"N/A",IF(stdProdLT(Main[[#This Row],[Comments]])=0,"",stdProdLT(Main[[#This Row],[Comments]])))</f>
        <v/>
      </c>
      <c r="H365" s="103">
        <f>IF(AND(Main[[#This Row],[In Stock Date]]&lt;&gt;"",Main[[#This Row],[Revised Due Date]]&lt;&gt;""),Main[[#This Row],[In Stock Date]]-Main[[#This Row],[Revised Due Date]],"")</f>
        <v>-349</v>
      </c>
      <c r="I365" s="99" t="s">
        <v>4</v>
      </c>
      <c r="J365" s="99" t="s">
        <v>4</v>
      </c>
      <c r="K365" s="99" t="s">
        <v>4</v>
      </c>
      <c r="L365" s="101"/>
      <c r="M365" s="104" t="str">
        <f>IF(Main[[#This Row],[Tech Start Date]]&lt;1/1/1990,"",IF(Main[[#This Row],[Class]]="C",WORKDAY(Main[[#This Row],[Tech Start Date]],9),IF(Main[[#This Row],[Class]]="B", WORKDAY(Main[[#This Row],[Tech Start Date]],6),IF(Main[[#This Row],[Class]]="A",WORKDAY(Main[[#This Row],[Tech Start Date]],2),""))))</f>
        <v/>
      </c>
      <c r="N365" s="104" t="str">
        <f>IF(Main[[#This Row],[Tech Start Date]]&lt;1/1/1990,"",IF(Main[[#This Row],[Class]]="C",WORKDAY(Main[[#This Row],[Tech Start Date]],19),IF(Main[[#This Row],[Class]]="B", WORKDAY(Main[[#This Row],[Tech Start Date]],12),IF(Main[[#This Row],[Class]]="A",WORKDAY(Main[[#This Row],[Tech Start Date]],4),""))))</f>
        <v/>
      </c>
      <c r="O365" s="104" t="str">
        <f>IF(Main[[#This Row],[Tech Start Date]]&lt;1/1/1990,"",IF(Main[[#This Row],[Class]]="C",WORKDAY(Main[[#This Row],[Tech Start Date]],23),IF(Main[[#This Row],[Class]]="B", WORKDAY(Main[[#This Row],[Tech Start Date]],15),IF(Main[[#This Row],[Class]]="A",WORKDAY(Main[[#This Row],[Tech Start Date]],5),""))))</f>
        <v/>
      </c>
      <c r="P365" s="104" t="str">
        <f>IF(Main[[#This Row],[Tech Start Date]]&lt;1/1/1990,"",IF(Main[[#This Row],[Class]]="C",WORKDAY(Main[[#This Row],[Tech Start Date]],28),IF(Main[[#This Row],[Class]]="B", WORKDAY(Main[[#This Row],[Tech Start Date]],19),IF(Main[[#This Row],[Class]]="A",WORKDAY(Main[[#This Row],[Tech Start Date]],9),""))))</f>
        <v/>
      </c>
      <c r="Q365" s="101">
        <v>40262</v>
      </c>
      <c r="R365" s="101">
        <v>40793</v>
      </c>
      <c r="S365" s="99" t="s">
        <v>17</v>
      </c>
      <c r="T365" s="107" t="s">
        <v>4</v>
      </c>
      <c r="U365" s="99" t="s">
        <v>29</v>
      </c>
      <c r="V365" s="99" t="s">
        <v>1965</v>
      </c>
      <c r="W365" s="99" t="s">
        <v>1967</v>
      </c>
    </row>
    <row r="366" spans="1:23" ht="18.600000000000001" customHeight="1">
      <c r="A366" s="123" t="str">
        <f>IF(priority(Main[[#This Row],[Comments]])&lt;&gt;0, priority(Main[[#This Row],[Comments]]),"")</f>
        <v/>
      </c>
      <c r="B366" s="127" t="s">
        <v>2136</v>
      </c>
      <c r="C366" s="99" t="s">
        <v>4</v>
      </c>
      <c r="D366" s="100" t="s">
        <v>2126</v>
      </c>
      <c r="E366" s="101"/>
      <c r="F366" s="101"/>
      <c r="G366" s="102" t="str">
        <f>IF(stdProdLT(Main[[#This Row],[Comments]])=0.1,"N/A",IF(stdProdLT(Main[[#This Row],[Comments]])=0,"",stdProdLT(Main[[#This Row],[Comments]])))</f>
        <v/>
      </c>
      <c r="H366" s="103" t="str">
        <f>IF(AND(Main[[#This Row],[In Stock Date]]&lt;&gt;"",Main[[#This Row],[Revised Due Date]]&lt;&gt;""),Main[[#This Row],[In Stock Date]]-Main[[#This Row],[Revised Due Date]],"")</f>
        <v/>
      </c>
      <c r="I366" s="99" t="s">
        <v>4</v>
      </c>
      <c r="J366" s="99" t="s">
        <v>4</v>
      </c>
      <c r="K366" s="99" t="s">
        <v>4</v>
      </c>
      <c r="L366" s="101"/>
      <c r="M366" s="104" t="str">
        <f>IF(Main[[#This Row],[Tech Start Date]]&lt;1/1/1990,"",IF(Main[[#This Row],[Class]]="C",WORKDAY(Main[[#This Row],[Tech Start Date]],9),IF(Main[[#This Row],[Class]]="B", WORKDAY(Main[[#This Row],[Tech Start Date]],6),IF(Main[[#This Row],[Class]]="A",WORKDAY(Main[[#This Row],[Tech Start Date]],2),""))))</f>
        <v/>
      </c>
      <c r="N366" s="104" t="str">
        <f>IF(Main[[#This Row],[Tech Start Date]]&lt;1/1/1990,"",IF(Main[[#This Row],[Class]]="C",WORKDAY(Main[[#This Row],[Tech Start Date]],19),IF(Main[[#This Row],[Class]]="B", WORKDAY(Main[[#This Row],[Tech Start Date]],12),IF(Main[[#This Row],[Class]]="A",WORKDAY(Main[[#This Row],[Tech Start Date]],4),""))))</f>
        <v/>
      </c>
      <c r="O366" s="104" t="str">
        <f>IF(Main[[#This Row],[Tech Start Date]]&lt;1/1/1990,"",IF(Main[[#This Row],[Class]]="C",WORKDAY(Main[[#This Row],[Tech Start Date]],23),IF(Main[[#This Row],[Class]]="B", WORKDAY(Main[[#This Row],[Tech Start Date]],15),IF(Main[[#This Row],[Class]]="A",WORKDAY(Main[[#This Row],[Tech Start Date]],5),""))))</f>
        <v/>
      </c>
      <c r="P366" s="104" t="str">
        <f>IF(Main[[#This Row],[Tech Start Date]]&lt;1/1/1990,"",IF(Main[[#This Row],[Class]]="C",WORKDAY(Main[[#This Row],[Tech Start Date]],28),IF(Main[[#This Row],[Class]]="B", WORKDAY(Main[[#This Row],[Tech Start Date]],19),IF(Main[[#This Row],[Class]]="A",WORKDAY(Main[[#This Row],[Tech Start Date]],9),""))))</f>
        <v/>
      </c>
      <c r="Q366" s="101">
        <v>40798</v>
      </c>
      <c r="R366" s="101"/>
      <c r="S366" s="99" t="s">
        <v>6</v>
      </c>
      <c r="T366" s="107" t="s">
        <v>4</v>
      </c>
      <c r="U366" s="99" t="s">
        <v>12</v>
      </c>
      <c r="V366" s="99" t="s">
        <v>1965</v>
      </c>
      <c r="W366" s="99" t="s">
        <v>4</v>
      </c>
    </row>
    <row r="367" spans="1:23" ht="18.600000000000001" customHeight="1">
      <c r="A367" s="123" t="str">
        <f>IF(priority(Main[[#This Row],[Comments]])&lt;&gt;0, priority(Main[[#This Row],[Comments]]),"")</f>
        <v/>
      </c>
      <c r="B367" s="127" t="s">
        <v>1252</v>
      </c>
      <c r="C367" s="99" t="s">
        <v>291</v>
      </c>
      <c r="D367" s="100" t="s">
        <v>292</v>
      </c>
      <c r="E367" s="101"/>
      <c r="F367" s="101">
        <v>40421</v>
      </c>
      <c r="G367" s="102" t="str">
        <f>IF(stdProdLT(Main[[#This Row],[Comments]])=0.1,"N/A",IF(stdProdLT(Main[[#This Row],[Comments]])=0,"",stdProdLT(Main[[#This Row],[Comments]])))</f>
        <v/>
      </c>
      <c r="H367" s="103" t="str">
        <f>IF(AND(Main[[#This Row],[In Stock Date]]&lt;&gt;"",Main[[#This Row],[Revised Due Date]]&lt;&gt;""),Main[[#This Row],[In Stock Date]]-Main[[#This Row],[Revised Due Date]],"")</f>
        <v/>
      </c>
      <c r="I367" s="99" t="s">
        <v>4</v>
      </c>
      <c r="J367" s="99" t="s">
        <v>4</v>
      </c>
      <c r="K367" s="99" t="s">
        <v>4</v>
      </c>
      <c r="L367" s="101"/>
      <c r="M367" s="104" t="str">
        <f>IF(Main[[#This Row],[Tech Start Date]]&lt;1/1/1990,"",IF(Main[[#This Row],[Class]]="C",WORKDAY(Main[[#This Row],[Tech Start Date]],9),IF(Main[[#This Row],[Class]]="B", WORKDAY(Main[[#This Row],[Tech Start Date]],6),IF(Main[[#This Row],[Class]]="A",WORKDAY(Main[[#This Row],[Tech Start Date]],2),""))))</f>
        <v/>
      </c>
      <c r="N367" s="104" t="str">
        <f>IF(Main[[#This Row],[Tech Start Date]]&lt;1/1/1990,"",IF(Main[[#This Row],[Class]]="C",WORKDAY(Main[[#This Row],[Tech Start Date]],19),IF(Main[[#This Row],[Class]]="B", WORKDAY(Main[[#This Row],[Tech Start Date]],12),IF(Main[[#This Row],[Class]]="A",WORKDAY(Main[[#This Row],[Tech Start Date]],4),""))))</f>
        <v/>
      </c>
      <c r="O367" s="104" t="str">
        <f>IF(Main[[#This Row],[Tech Start Date]]&lt;1/1/1990,"",IF(Main[[#This Row],[Class]]="C",WORKDAY(Main[[#This Row],[Tech Start Date]],23),IF(Main[[#This Row],[Class]]="B", WORKDAY(Main[[#This Row],[Tech Start Date]],15),IF(Main[[#This Row],[Class]]="A",WORKDAY(Main[[#This Row],[Tech Start Date]],5),""))))</f>
        <v/>
      </c>
      <c r="P367" s="104" t="str">
        <f>IF(Main[[#This Row],[Tech Start Date]]&lt;1/1/1990,"",IF(Main[[#This Row],[Class]]="C",WORKDAY(Main[[#This Row],[Tech Start Date]],28),IF(Main[[#This Row],[Class]]="B", WORKDAY(Main[[#This Row],[Tech Start Date]],19),IF(Main[[#This Row],[Class]]="A",WORKDAY(Main[[#This Row],[Tech Start Date]],9),""))))</f>
        <v/>
      </c>
      <c r="Q367" s="101">
        <v>40360</v>
      </c>
      <c r="R367" s="101"/>
      <c r="S367" s="99" t="s">
        <v>11</v>
      </c>
      <c r="T367" s="107" t="s">
        <v>4</v>
      </c>
      <c r="U367" s="99" t="s">
        <v>12</v>
      </c>
      <c r="V367" s="99" t="s">
        <v>1963</v>
      </c>
      <c r="W367" s="99" t="s">
        <v>1967</v>
      </c>
    </row>
    <row r="368" spans="1:23" ht="18.600000000000001" customHeight="1">
      <c r="A368" s="123" t="str">
        <f>IF(priority(Main[[#This Row],[Comments]])&lt;&gt;0, priority(Main[[#This Row],[Comments]]),"")</f>
        <v/>
      </c>
      <c r="B368" s="127" t="s">
        <v>1461</v>
      </c>
      <c r="C368" s="99" t="s">
        <v>4</v>
      </c>
      <c r="D368" s="100" t="s">
        <v>2001</v>
      </c>
      <c r="E368" s="101"/>
      <c r="F368" s="101"/>
      <c r="G368" s="102" t="str">
        <f>IF(stdProdLT(Main[[#This Row],[Comments]])=0.1,"N/A",IF(stdProdLT(Main[[#This Row],[Comments]])=0,"",stdProdLT(Main[[#This Row],[Comments]])))</f>
        <v/>
      </c>
      <c r="H368" s="103" t="str">
        <f>IF(AND(Main[[#This Row],[In Stock Date]]&lt;&gt;"",Main[[#This Row],[Revised Due Date]]&lt;&gt;""),Main[[#This Row],[In Stock Date]]-Main[[#This Row],[Revised Due Date]],"")</f>
        <v/>
      </c>
      <c r="I368" s="99" t="s">
        <v>4</v>
      </c>
      <c r="J368" s="99" t="s">
        <v>4</v>
      </c>
      <c r="K368" s="99" t="s">
        <v>4</v>
      </c>
      <c r="L368" s="101"/>
      <c r="M368" s="104" t="str">
        <f>IF(Main[[#This Row],[Tech Start Date]]&lt;1/1/1990,"",IF(Main[[#This Row],[Class]]="C",WORKDAY(Main[[#This Row],[Tech Start Date]],9),IF(Main[[#This Row],[Class]]="B", WORKDAY(Main[[#This Row],[Tech Start Date]],6),IF(Main[[#This Row],[Class]]="A",WORKDAY(Main[[#This Row],[Tech Start Date]],2),""))))</f>
        <v/>
      </c>
      <c r="N368" s="104" t="str">
        <f>IF(Main[[#This Row],[Tech Start Date]]&lt;1/1/1990,"",IF(Main[[#This Row],[Class]]="C",WORKDAY(Main[[#This Row],[Tech Start Date]],19),IF(Main[[#This Row],[Class]]="B", WORKDAY(Main[[#This Row],[Tech Start Date]],12),IF(Main[[#This Row],[Class]]="A",WORKDAY(Main[[#This Row],[Tech Start Date]],4),""))))</f>
        <v/>
      </c>
      <c r="O368" s="104" t="str">
        <f>IF(Main[[#This Row],[Tech Start Date]]&lt;1/1/1990,"",IF(Main[[#This Row],[Class]]="C",WORKDAY(Main[[#This Row],[Tech Start Date]],23),IF(Main[[#This Row],[Class]]="B", WORKDAY(Main[[#This Row],[Tech Start Date]],15),IF(Main[[#This Row],[Class]]="A",WORKDAY(Main[[#This Row],[Tech Start Date]],5),""))))</f>
        <v/>
      </c>
      <c r="P368" s="104" t="str">
        <f>IF(Main[[#This Row],[Tech Start Date]]&lt;1/1/1990,"",IF(Main[[#This Row],[Class]]="C",WORKDAY(Main[[#This Row],[Tech Start Date]],28),IF(Main[[#This Row],[Class]]="B", WORKDAY(Main[[#This Row],[Tech Start Date]],19),IF(Main[[#This Row],[Class]]="A",WORKDAY(Main[[#This Row],[Tech Start Date]],9),""))))</f>
        <v/>
      </c>
      <c r="Q368" s="101"/>
      <c r="R368" s="101"/>
      <c r="S368" s="99" t="s">
        <v>6</v>
      </c>
      <c r="T368" s="107" t="s">
        <v>4</v>
      </c>
      <c r="U368" s="99" t="s">
        <v>14</v>
      </c>
      <c r="V368" s="99" t="s">
        <v>1963</v>
      </c>
      <c r="W368" s="99" t="s">
        <v>1964</v>
      </c>
    </row>
    <row r="369" spans="1:23" ht="18.600000000000001" customHeight="1">
      <c r="A369" s="123" t="str">
        <f>IF(priority(Main[[#This Row],[Comments]])&lt;&gt;0, priority(Main[[#This Row],[Comments]]),"")</f>
        <v/>
      </c>
      <c r="B369" s="127" t="s">
        <v>1163</v>
      </c>
      <c r="C369" s="99" t="s">
        <v>4</v>
      </c>
      <c r="D369" s="100" t="s">
        <v>2462</v>
      </c>
      <c r="E369" s="101">
        <v>40574.415509259263</v>
      </c>
      <c r="F369" s="101">
        <v>40613</v>
      </c>
      <c r="G369" s="102" t="str">
        <f>IF(stdProdLT(Main[[#This Row],[Comments]])=0.1,"N/A",IF(stdProdLT(Main[[#This Row],[Comments]])=0,"",stdProdLT(Main[[#This Row],[Comments]])))</f>
        <v/>
      </c>
      <c r="H369" s="103" t="str">
        <f>IF(AND(Main[[#This Row],[In Stock Date]]&lt;&gt;"",Main[[#This Row],[Revised Due Date]]&lt;&gt;""),Main[[#This Row],[In Stock Date]]-Main[[#This Row],[Revised Due Date]],"")</f>
        <v/>
      </c>
      <c r="I369" s="99" t="s">
        <v>929</v>
      </c>
      <c r="J369" s="99" t="s">
        <v>52</v>
      </c>
      <c r="K369" s="99" t="s">
        <v>1971</v>
      </c>
      <c r="L369" s="101"/>
      <c r="M369" s="104" t="str">
        <f>IF(Main[[#This Row],[Tech Start Date]]&lt;1/1/1990,"",IF(Main[[#This Row],[Class]]="C",WORKDAY(Main[[#This Row],[Tech Start Date]],9),IF(Main[[#This Row],[Class]]="B", WORKDAY(Main[[#This Row],[Tech Start Date]],6),IF(Main[[#This Row],[Class]]="A",WORKDAY(Main[[#This Row],[Tech Start Date]],2),""))))</f>
        <v/>
      </c>
      <c r="N369" s="104" t="str">
        <f>IF(Main[[#This Row],[Tech Start Date]]&lt;1/1/1990,"",IF(Main[[#This Row],[Class]]="C",WORKDAY(Main[[#This Row],[Tech Start Date]],19),IF(Main[[#This Row],[Class]]="B", WORKDAY(Main[[#This Row],[Tech Start Date]],12),IF(Main[[#This Row],[Class]]="A",WORKDAY(Main[[#This Row],[Tech Start Date]],4),""))))</f>
        <v/>
      </c>
      <c r="O369" s="104" t="str">
        <f>IF(Main[[#This Row],[Tech Start Date]]&lt;1/1/1990,"",IF(Main[[#This Row],[Class]]="C",WORKDAY(Main[[#This Row],[Tech Start Date]],23),IF(Main[[#This Row],[Class]]="B", WORKDAY(Main[[#This Row],[Tech Start Date]],15),IF(Main[[#This Row],[Class]]="A",WORKDAY(Main[[#This Row],[Tech Start Date]],5),""))))</f>
        <v/>
      </c>
      <c r="P369" s="104" t="str">
        <f>IF(Main[[#This Row],[Tech Start Date]]&lt;1/1/1990,"",IF(Main[[#This Row],[Class]]="C",WORKDAY(Main[[#This Row],[Tech Start Date]],28),IF(Main[[#This Row],[Class]]="B", WORKDAY(Main[[#This Row],[Tech Start Date]],19),IF(Main[[#This Row],[Class]]="A",WORKDAY(Main[[#This Row],[Tech Start Date]],9),""))))</f>
        <v/>
      </c>
      <c r="Q369" s="101">
        <v>40613</v>
      </c>
      <c r="R369" s="101"/>
      <c r="S369" s="99" t="s">
        <v>6</v>
      </c>
      <c r="T369" s="107" t="s">
        <v>4</v>
      </c>
      <c r="U369" s="99" t="s">
        <v>29</v>
      </c>
      <c r="V369" s="99" t="s">
        <v>1962</v>
      </c>
      <c r="W369" s="99" t="s">
        <v>1964</v>
      </c>
    </row>
    <row r="370" spans="1:23" ht="18.600000000000001" customHeight="1">
      <c r="A370" s="123" t="str">
        <f>IF(priority(Main[[#This Row],[Comments]])&lt;&gt;0, priority(Main[[#This Row],[Comments]]),"")</f>
        <v/>
      </c>
      <c r="B370" s="127" t="s">
        <v>1263</v>
      </c>
      <c r="C370" s="99" t="s">
        <v>4</v>
      </c>
      <c r="D370" s="100" t="s">
        <v>294</v>
      </c>
      <c r="E370" s="101">
        <v>40379.350532407407</v>
      </c>
      <c r="F370" s="101"/>
      <c r="G370" s="102" t="str">
        <f>IF(stdProdLT(Main[[#This Row],[Comments]])=0.1,"N/A",IF(stdProdLT(Main[[#This Row],[Comments]])=0,"",stdProdLT(Main[[#This Row],[Comments]])))</f>
        <v/>
      </c>
      <c r="H370" s="103" t="str">
        <f>IF(AND(Main[[#This Row],[In Stock Date]]&lt;&gt;"",Main[[#This Row],[Revised Due Date]]&lt;&gt;""),Main[[#This Row],[In Stock Date]]-Main[[#This Row],[Revised Due Date]],"")</f>
        <v/>
      </c>
      <c r="I370" s="99" t="s">
        <v>4</v>
      </c>
      <c r="J370" s="99" t="s">
        <v>28</v>
      </c>
      <c r="K370" s="99" t="s">
        <v>4</v>
      </c>
      <c r="L370" s="101"/>
      <c r="M370" s="104" t="str">
        <f>IF(Main[[#This Row],[Tech Start Date]]&lt;1/1/1990,"",IF(Main[[#This Row],[Class]]="C",WORKDAY(Main[[#This Row],[Tech Start Date]],9),IF(Main[[#This Row],[Class]]="B", WORKDAY(Main[[#This Row],[Tech Start Date]],6),IF(Main[[#This Row],[Class]]="A",WORKDAY(Main[[#This Row],[Tech Start Date]],2),""))))</f>
        <v/>
      </c>
      <c r="N370" s="104" t="str">
        <f>IF(Main[[#This Row],[Tech Start Date]]&lt;1/1/1990,"",IF(Main[[#This Row],[Class]]="C",WORKDAY(Main[[#This Row],[Tech Start Date]],19),IF(Main[[#This Row],[Class]]="B", WORKDAY(Main[[#This Row],[Tech Start Date]],12),IF(Main[[#This Row],[Class]]="A",WORKDAY(Main[[#This Row],[Tech Start Date]],4),""))))</f>
        <v/>
      </c>
      <c r="O370" s="104" t="str">
        <f>IF(Main[[#This Row],[Tech Start Date]]&lt;1/1/1990,"",IF(Main[[#This Row],[Class]]="C",WORKDAY(Main[[#This Row],[Tech Start Date]],23),IF(Main[[#This Row],[Class]]="B", WORKDAY(Main[[#This Row],[Tech Start Date]],15),IF(Main[[#This Row],[Class]]="A",WORKDAY(Main[[#This Row],[Tech Start Date]],5),""))))</f>
        <v/>
      </c>
      <c r="P370" s="104" t="str">
        <f>IF(Main[[#This Row],[Tech Start Date]]&lt;1/1/1990,"",IF(Main[[#This Row],[Class]]="C",WORKDAY(Main[[#This Row],[Tech Start Date]],28),IF(Main[[#This Row],[Class]]="B", WORKDAY(Main[[#This Row],[Tech Start Date]],19),IF(Main[[#This Row],[Class]]="A",WORKDAY(Main[[#This Row],[Tech Start Date]],9),""))))</f>
        <v/>
      </c>
      <c r="Q370" s="101">
        <v>40413</v>
      </c>
      <c r="R370" s="101"/>
      <c r="S370" s="99" t="s">
        <v>6</v>
      </c>
      <c r="T370" s="107" t="s">
        <v>4</v>
      </c>
      <c r="U370" s="99" t="s">
        <v>7</v>
      </c>
      <c r="V370" s="99" t="s">
        <v>1962</v>
      </c>
      <c r="W370" s="99" t="s">
        <v>1964</v>
      </c>
    </row>
    <row r="371" spans="1:23" ht="18.600000000000001" customHeight="1">
      <c r="A371" s="123" t="str">
        <f>IF(priority(Main[[#This Row],[Comments]])&lt;&gt;0, priority(Main[[#This Row],[Comments]]),"")</f>
        <v/>
      </c>
      <c r="B371" s="127" t="s">
        <v>1264</v>
      </c>
      <c r="C371" s="99" t="s">
        <v>295</v>
      </c>
      <c r="D371" s="100" t="s">
        <v>296</v>
      </c>
      <c r="E371" s="101"/>
      <c r="F371" s="101"/>
      <c r="G371" s="102" t="str">
        <f>IF(stdProdLT(Main[[#This Row],[Comments]])=0.1,"N/A",IF(stdProdLT(Main[[#This Row],[Comments]])=0,"",stdProdLT(Main[[#This Row],[Comments]])))</f>
        <v/>
      </c>
      <c r="H371" s="103" t="str">
        <f>IF(AND(Main[[#This Row],[In Stock Date]]&lt;&gt;"",Main[[#This Row],[Revised Due Date]]&lt;&gt;""),Main[[#This Row],[In Stock Date]]-Main[[#This Row],[Revised Due Date]],"")</f>
        <v/>
      </c>
      <c r="I371" s="99" t="s">
        <v>4</v>
      </c>
      <c r="J371" s="99" t="s">
        <v>4</v>
      </c>
      <c r="K371" s="99" t="s">
        <v>4</v>
      </c>
      <c r="L371" s="101"/>
      <c r="M371" s="104" t="str">
        <f>IF(Main[[#This Row],[Tech Start Date]]&lt;1/1/1990,"",IF(Main[[#This Row],[Class]]="C",WORKDAY(Main[[#This Row],[Tech Start Date]],9),IF(Main[[#This Row],[Class]]="B", WORKDAY(Main[[#This Row],[Tech Start Date]],6),IF(Main[[#This Row],[Class]]="A",WORKDAY(Main[[#This Row],[Tech Start Date]],2),""))))</f>
        <v/>
      </c>
      <c r="N371" s="104" t="str">
        <f>IF(Main[[#This Row],[Tech Start Date]]&lt;1/1/1990,"",IF(Main[[#This Row],[Class]]="C",WORKDAY(Main[[#This Row],[Tech Start Date]],19),IF(Main[[#This Row],[Class]]="B", WORKDAY(Main[[#This Row],[Tech Start Date]],12),IF(Main[[#This Row],[Class]]="A",WORKDAY(Main[[#This Row],[Tech Start Date]],4),""))))</f>
        <v/>
      </c>
      <c r="O371" s="104" t="str">
        <f>IF(Main[[#This Row],[Tech Start Date]]&lt;1/1/1990,"",IF(Main[[#This Row],[Class]]="C",WORKDAY(Main[[#This Row],[Tech Start Date]],23),IF(Main[[#This Row],[Class]]="B", WORKDAY(Main[[#This Row],[Tech Start Date]],15),IF(Main[[#This Row],[Class]]="A",WORKDAY(Main[[#This Row],[Tech Start Date]],5),""))))</f>
        <v/>
      </c>
      <c r="P371" s="104" t="str">
        <f>IF(Main[[#This Row],[Tech Start Date]]&lt;1/1/1990,"",IF(Main[[#This Row],[Class]]="C",WORKDAY(Main[[#This Row],[Tech Start Date]],28),IF(Main[[#This Row],[Class]]="B", WORKDAY(Main[[#This Row],[Tech Start Date]],19),IF(Main[[#This Row],[Class]]="A",WORKDAY(Main[[#This Row],[Tech Start Date]],9),""))))</f>
        <v/>
      </c>
      <c r="Q371" s="101">
        <v>40052</v>
      </c>
      <c r="R371" s="101"/>
      <c r="S371" s="99" t="s">
        <v>11</v>
      </c>
      <c r="T371" s="107" t="s">
        <v>4</v>
      </c>
      <c r="U371" s="99" t="s">
        <v>14</v>
      </c>
      <c r="V371" s="99" t="s">
        <v>1965</v>
      </c>
      <c r="W371" s="99" t="s">
        <v>1964</v>
      </c>
    </row>
    <row r="372" spans="1:23" ht="18.600000000000001" customHeight="1">
      <c r="A372" s="123" t="str">
        <f>IF(priority(Main[[#This Row],[Comments]])&lt;&gt;0, priority(Main[[#This Row],[Comments]]),"")</f>
        <v/>
      </c>
      <c r="B372" s="127" t="s">
        <v>2465</v>
      </c>
      <c r="C372" s="99" t="s">
        <v>4</v>
      </c>
      <c r="D372" s="100" t="s">
        <v>2466</v>
      </c>
      <c r="E372" s="101"/>
      <c r="F372" s="101"/>
      <c r="G372" s="102" t="str">
        <f>IF(stdProdLT(Main[[#This Row],[Comments]])=0.1,"N/A",IF(stdProdLT(Main[[#This Row],[Comments]])=0,"",stdProdLT(Main[[#This Row],[Comments]])))</f>
        <v/>
      </c>
      <c r="H372" s="103" t="str">
        <f>IF(AND(Main[[#This Row],[In Stock Date]]&lt;&gt;"",Main[[#This Row],[Revised Due Date]]&lt;&gt;""),Main[[#This Row],[In Stock Date]]-Main[[#This Row],[Revised Due Date]],"")</f>
        <v/>
      </c>
      <c r="I372" s="99" t="s">
        <v>4</v>
      </c>
      <c r="J372" s="99" t="s">
        <v>4</v>
      </c>
      <c r="K372" s="99" t="s">
        <v>4</v>
      </c>
      <c r="L372" s="101"/>
      <c r="M372" s="104" t="str">
        <f>IF(Main[[#This Row],[Tech Start Date]]&lt;1/1/1990,"",IF(Main[[#This Row],[Class]]="C",WORKDAY(Main[[#This Row],[Tech Start Date]],9),IF(Main[[#This Row],[Class]]="B", WORKDAY(Main[[#This Row],[Tech Start Date]],6),IF(Main[[#This Row],[Class]]="A",WORKDAY(Main[[#This Row],[Tech Start Date]],2),""))))</f>
        <v/>
      </c>
      <c r="N372" s="104" t="str">
        <f>IF(Main[[#This Row],[Tech Start Date]]&lt;1/1/1990,"",IF(Main[[#This Row],[Class]]="C",WORKDAY(Main[[#This Row],[Tech Start Date]],19),IF(Main[[#This Row],[Class]]="B", WORKDAY(Main[[#This Row],[Tech Start Date]],12),IF(Main[[#This Row],[Class]]="A",WORKDAY(Main[[#This Row],[Tech Start Date]],4),""))))</f>
        <v/>
      </c>
      <c r="O372" s="104" t="str">
        <f>IF(Main[[#This Row],[Tech Start Date]]&lt;1/1/1990,"",IF(Main[[#This Row],[Class]]="C",WORKDAY(Main[[#This Row],[Tech Start Date]],23),IF(Main[[#This Row],[Class]]="B", WORKDAY(Main[[#This Row],[Tech Start Date]],15),IF(Main[[#This Row],[Class]]="A",WORKDAY(Main[[#This Row],[Tech Start Date]],5),""))))</f>
        <v/>
      </c>
      <c r="P372" s="104" t="str">
        <f>IF(Main[[#This Row],[Tech Start Date]]&lt;1/1/1990,"",IF(Main[[#This Row],[Class]]="C",WORKDAY(Main[[#This Row],[Tech Start Date]],28),IF(Main[[#This Row],[Class]]="B", WORKDAY(Main[[#This Row],[Tech Start Date]],19),IF(Main[[#This Row],[Class]]="A",WORKDAY(Main[[#This Row],[Tech Start Date]],9),""))))</f>
        <v/>
      </c>
      <c r="Q372" s="101"/>
      <c r="R372" s="101"/>
      <c r="S372" s="99" t="s">
        <v>11</v>
      </c>
      <c r="T372" s="107" t="s">
        <v>4</v>
      </c>
      <c r="U372" s="99" t="s">
        <v>14</v>
      </c>
      <c r="V372" s="99" t="s">
        <v>1963</v>
      </c>
      <c r="W372" s="99" t="s">
        <v>4</v>
      </c>
    </row>
    <row r="373" spans="1:23" ht="18.600000000000001" customHeight="1">
      <c r="A373" s="123" t="str">
        <f>IF(priority(Main[[#This Row],[Comments]])&lt;&gt;0, priority(Main[[#This Row],[Comments]]),"")</f>
        <v/>
      </c>
      <c r="B373" s="127" t="s">
        <v>1878</v>
      </c>
      <c r="C373" s="99" t="s">
        <v>907</v>
      </c>
      <c r="D373" s="100" t="s">
        <v>908</v>
      </c>
      <c r="E373" s="101"/>
      <c r="F373" s="101"/>
      <c r="G373" s="102" t="str">
        <f>IF(stdProdLT(Main[[#This Row],[Comments]])=0.1,"N/A",IF(stdProdLT(Main[[#This Row],[Comments]])=0,"",stdProdLT(Main[[#This Row],[Comments]])))</f>
        <v/>
      </c>
      <c r="H373" s="103" t="str">
        <f>IF(AND(Main[[#This Row],[In Stock Date]]&lt;&gt;"",Main[[#This Row],[Revised Due Date]]&lt;&gt;""),Main[[#This Row],[In Stock Date]]-Main[[#This Row],[Revised Due Date]],"")</f>
        <v/>
      </c>
      <c r="I373" s="99" t="s">
        <v>4</v>
      </c>
      <c r="J373" s="99" t="s">
        <v>4</v>
      </c>
      <c r="K373" s="99" t="s">
        <v>1975</v>
      </c>
      <c r="L373" s="101"/>
      <c r="M373" s="104" t="str">
        <f>IF(Main[[#This Row],[Tech Start Date]]&lt;1/1/1990,"",IF(Main[[#This Row],[Class]]="C",WORKDAY(Main[[#This Row],[Tech Start Date]],9),IF(Main[[#This Row],[Class]]="B", WORKDAY(Main[[#This Row],[Tech Start Date]],6),IF(Main[[#This Row],[Class]]="A",WORKDAY(Main[[#This Row],[Tech Start Date]],2),""))))</f>
        <v/>
      </c>
      <c r="N373" s="104" t="str">
        <f>IF(Main[[#This Row],[Tech Start Date]]&lt;1/1/1990,"",IF(Main[[#This Row],[Class]]="C",WORKDAY(Main[[#This Row],[Tech Start Date]],19),IF(Main[[#This Row],[Class]]="B", WORKDAY(Main[[#This Row],[Tech Start Date]],12),IF(Main[[#This Row],[Class]]="A",WORKDAY(Main[[#This Row],[Tech Start Date]],4),""))))</f>
        <v/>
      </c>
      <c r="O373" s="104" t="str">
        <f>IF(Main[[#This Row],[Tech Start Date]]&lt;1/1/1990,"",IF(Main[[#This Row],[Class]]="C",WORKDAY(Main[[#This Row],[Tech Start Date]],23),IF(Main[[#This Row],[Class]]="B", WORKDAY(Main[[#This Row],[Tech Start Date]],15),IF(Main[[#This Row],[Class]]="A",WORKDAY(Main[[#This Row],[Tech Start Date]],5),""))))</f>
        <v/>
      </c>
      <c r="P373" s="104" t="str">
        <f>IF(Main[[#This Row],[Tech Start Date]]&lt;1/1/1990,"",IF(Main[[#This Row],[Class]]="C",WORKDAY(Main[[#This Row],[Tech Start Date]],28),IF(Main[[#This Row],[Class]]="B", WORKDAY(Main[[#This Row],[Tech Start Date]],19),IF(Main[[#This Row],[Class]]="A",WORKDAY(Main[[#This Row],[Tech Start Date]],9),""))))</f>
        <v/>
      </c>
      <c r="Q373" s="101">
        <v>40436</v>
      </c>
      <c r="R373" s="101">
        <v>40436</v>
      </c>
      <c r="S373" s="99" t="s">
        <v>11</v>
      </c>
      <c r="T373" s="107" t="s">
        <v>4</v>
      </c>
      <c r="U373" s="99" t="s">
        <v>14</v>
      </c>
      <c r="V373" s="99" t="s">
        <v>1963</v>
      </c>
      <c r="W373" s="99" t="s">
        <v>1964</v>
      </c>
    </row>
    <row r="374" spans="1:23" ht="18.600000000000001" customHeight="1">
      <c r="A374" s="123" t="str">
        <f>IF(priority(Main[[#This Row],[Comments]])&lt;&gt;0, priority(Main[[#This Row],[Comments]]),"")</f>
        <v/>
      </c>
      <c r="B374" s="127" t="s">
        <v>1265</v>
      </c>
      <c r="C374" s="99" t="s">
        <v>113</v>
      </c>
      <c r="D374" s="100" t="s">
        <v>297</v>
      </c>
      <c r="E374" s="101"/>
      <c r="F374" s="101">
        <v>40193</v>
      </c>
      <c r="G374" s="102" t="str">
        <f>IF(stdProdLT(Main[[#This Row],[Comments]])=0.1,"N/A",IF(stdProdLT(Main[[#This Row],[Comments]])=0,"",stdProdLT(Main[[#This Row],[Comments]])))</f>
        <v/>
      </c>
      <c r="H374" s="103" t="str">
        <f>IF(AND(Main[[#This Row],[In Stock Date]]&lt;&gt;"",Main[[#This Row],[Revised Due Date]]&lt;&gt;""),Main[[#This Row],[In Stock Date]]-Main[[#This Row],[Revised Due Date]],"")</f>
        <v/>
      </c>
      <c r="I374" s="99" t="s">
        <v>4</v>
      </c>
      <c r="J374" s="99" t="s">
        <v>4</v>
      </c>
      <c r="K374" s="99" t="s">
        <v>4</v>
      </c>
      <c r="L374" s="101"/>
      <c r="M374" s="104" t="str">
        <f>IF(Main[[#This Row],[Tech Start Date]]&lt;1/1/1990,"",IF(Main[[#This Row],[Class]]="C",WORKDAY(Main[[#This Row],[Tech Start Date]],9),IF(Main[[#This Row],[Class]]="B", WORKDAY(Main[[#This Row],[Tech Start Date]],6),IF(Main[[#This Row],[Class]]="A",WORKDAY(Main[[#This Row],[Tech Start Date]],2),""))))</f>
        <v/>
      </c>
      <c r="N374" s="104" t="str">
        <f>IF(Main[[#This Row],[Tech Start Date]]&lt;1/1/1990,"",IF(Main[[#This Row],[Class]]="C",WORKDAY(Main[[#This Row],[Tech Start Date]],19),IF(Main[[#This Row],[Class]]="B", WORKDAY(Main[[#This Row],[Tech Start Date]],12),IF(Main[[#This Row],[Class]]="A",WORKDAY(Main[[#This Row],[Tech Start Date]],4),""))))</f>
        <v/>
      </c>
      <c r="O374" s="104" t="str">
        <f>IF(Main[[#This Row],[Tech Start Date]]&lt;1/1/1990,"",IF(Main[[#This Row],[Class]]="C",WORKDAY(Main[[#This Row],[Tech Start Date]],23),IF(Main[[#This Row],[Class]]="B", WORKDAY(Main[[#This Row],[Tech Start Date]],15),IF(Main[[#This Row],[Class]]="A",WORKDAY(Main[[#This Row],[Tech Start Date]],5),""))))</f>
        <v/>
      </c>
      <c r="P374" s="104" t="str">
        <f>IF(Main[[#This Row],[Tech Start Date]]&lt;1/1/1990,"",IF(Main[[#This Row],[Class]]="C",WORKDAY(Main[[#This Row],[Tech Start Date]],28),IF(Main[[#This Row],[Class]]="B", WORKDAY(Main[[#This Row],[Tech Start Date]],19),IF(Main[[#This Row],[Class]]="A",WORKDAY(Main[[#This Row],[Tech Start Date]],9),""))))</f>
        <v/>
      </c>
      <c r="Q374" s="101"/>
      <c r="R374" s="101"/>
      <c r="S374" s="99" t="s">
        <v>11</v>
      </c>
      <c r="T374" s="107" t="s">
        <v>4</v>
      </c>
      <c r="U374" s="99" t="s">
        <v>14</v>
      </c>
      <c r="V374" s="99" t="s">
        <v>1972</v>
      </c>
      <c r="W374" s="99" t="s">
        <v>1968</v>
      </c>
    </row>
    <row r="375" spans="1:23" ht="18.600000000000001" customHeight="1">
      <c r="A375" s="123" t="str">
        <f>IF(priority(Main[[#This Row],[Comments]])&lt;&gt;0, priority(Main[[#This Row],[Comments]]),"")</f>
        <v/>
      </c>
      <c r="B375" s="127" t="s">
        <v>1266</v>
      </c>
      <c r="C375" s="99" t="s">
        <v>4</v>
      </c>
      <c r="D375" s="100" t="s">
        <v>298</v>
      </c>
      <c r="E375" s="101"/>
      <c r="F375" s="101"/>
      <c r="G375" s="102" t="str">
        <f>IF(stdProdLT(Main[[#This Row],[Comments]])=0.1,"N/A",IF(stdProdLT(Main[[#This Row],[Comments]])=0,"",stdProdLT(Main[[#This Row],[Comments]])))</f>
        <v/>
      </c>
      <c r="H375" s="103" t="str">
        <f>IF(AND(Main[[#This Row],[In Stock Date]]&lt;&gt;"",Main[[#This Row],[Revised Due Date]]&lt;&gt;""),Main[[#This Row],[In Stock Date]]-Main[[#This Row],[Revised Due Date]],"")</f>
        <v/>
      </c>
      <c r="I375" s="99" t="s">
        <v>4</v>
      </c>
      <c r="J375" s="99" t="s">
        <v>28</v>
      </c>
      <c r="K375" s="99" t="s">
        <v>4</v>
      </c>
      <c r="L375" s="101"/>
      <c r="M375" s="104" t="str">
        <f>IF(Main[[#This Row],[Tech Start Date]]&lt;1/1/1990,"",IF(Main[[#This Row],[Class]]="C",WORKDAY(Main[[#This Row],[Tech Start Date]],9),IF(Main[[#This Row],[Class]]="B", WORKDAY(Main[[#This Row],[Tech Start Date]],6),IF(Main[[#This Row],[Class]]="A",WORKDAY(Main[[#This Row],[Tech Start Date]],2),""))))</f>
        <v/>
      </c>
      <c r="N375" s="104" t="str">
        <f>IF(Main[[#This Row],[Tech Start Date]]&lt;1/1/1990,"",IF(Main[[#This Row],[Class]]="C",WORKDAY(Main[[#This Row],[Tech Start Date]],19),IF(Main[[#This Row],[Class]]="B", WORKDAY(Main[[#This Row],[Tech Start Date]],12),IF(Main[[#This Row],[Class]]="A",WORKDAY(Main[[#This Row],[Tech Start Date]],4),""))))</f>
        <v/>
      </c>
      <c r="O375" s="104" t="str">
        <f>IF(Main[[#This Row],[Tech Start Date]]&lt;1/1/1990,"",IF(Main[[#This Row],[Class]]="C",WORKDAY(Main[[#This Row],[Tech Start Date]],23),IF(Main[[#This Row],[Class]]="B", WORKDAY(Main[[#This Row],[Tech Start Date]],15),IF(Main[[#This Row],[Class]]="A",WORKDAY(Main[[#This Row],[Tech Start Date]],5),""))))</f>
        <v/>
      </c>
      <c r="P375" s="104" t="str">
        <f>IF(Main[[#This Row],[Tech Start Date]]&lt;1/1/1990,"",IF(Main[[#This Row],[Class]]="C",WORKDAY(Main[[#This Row],[Tech Start Date]],28),IF(Main[[#This Row],[Class]]="B", WORKDAY(Main[[#This Row],[Tech Start Date]],19),IF(Main[[#This Row],[Class]]="A",WORKDAY(Main[[#This Row],[Tech Start Date]],9),""))))</f>
        <v/>
      </c>
      <c r="Q375" s="101">
        <v>40471</v>
      </c>
      <c r="R375" s="101"/>
      <c r="S375" s="99" t="s">
        <v>6</v>
      </c>
      <c r="T375" s="107" t="s">
        <v>4</v>
      </c>
      <c r="U375" s="99" t="s">
        <v>14</v>
      </c>
      <c r="V375" s="99" t="s">
        <v>1972</v>
      </c>
      <c r="W375" s="99" t="s">
        <v>1964</v>
      </c>
    </row>
    <row r="376" spans="1:23" ht="18.600000000000001" customHeight="1">
      <c r="A376" s="123" t="str">
        <f>IF(priority(Main[[#This Row],[Comments]])&lt;&gt;0, priority(Main[[#This Row],[Comments]]),"")</f>
        <v/>
      </c>
      <c r="B376" s="127" t="s">
        <v>1267</v>
      </c>
      <c r="C376" s="99" t="s">
        <v>4</v>
      </c>
      <c r="D376" s="100" t="s">
        <v>97</v>
      </c>
      <c r="E376" s="101"/>
      <c r="F376" s="101"/>
      <c r="G376" s="102" t="str">
        <f>IF(stdProdLT(Main[[#This Row],[Comments]])=0.1,"N/A",IF(stdProdLT(Main[[#This Row],[Comments]])=0,"",stdProdLT(Main[[#This Row],[Comments]])))</f>
        <v/>
      </c>
      <c r="H376" s="103" t="str">
        <f>IF(AND(Main[[#This Row],[In Stock Date]]&lt;&gt;"",Main[[#This Row],[Revised Due Date]]&lt;&gt;""),Main[[#This Row],[In Stock Date]]-Main[[#This Row],[Revised Due Date]],"")</f>
        <v/>
      </c>
      <c r="I376" s="99" t="s">
        <v>4</v>
      </c>
      <c r="J376" s="99" t="s">
        <v>4</v>
      </c>
      <c r="K376" s="99" t="s">
        <v>4</v>
      </c>
      <c r="L376" s="101"/>
      <c r="M376" s="104" t="str">
        <f>IF(Main[[#This Row],[Tech Start Date]]&lt;1/1/1990,"",IF(Main[[#This Row],[Class]]="C",WORKDAY(Main[[#This Row],[Tech Start Date]],9),IF(Main[[#This Row],[Class]]="B", WORKDAY(Main[[#This Row],[Tech Start Date]],6),IF(Main[[#This Row],[Class]]="A",WORKDAY(Main[[#This Row],[Tech Start Date]],2),""))))</f>
        <v/>
      </c>
      <c r="N376" s="104" t="str">
        <f>IF(Main[[#This Row],[Tech Start Date]]&lt;1/1/1990,"",IF(Main[[#This Row],[Class]]="C",WORKDAY(Main[[#This Row],[Tech Start Date]],19),IF(Main[[#This Row],[Class]]="B", WORKDAY(Main[[#This Row],[Tech Start Date]],12),IF(Main[[#This Row],[Class]]="A",WORKDAY(Main[[#This Row],[Tech Start Date]],4),""))))</f>
        <v/>
      </c>
      <c r="O376" s="104" t="str">
        <f>IF(Main[[#This Row],[Tech Start Date]]&lt;1/1/1990,"",IF(Main[[#This Row],[Class]]="C",WORKDAY(Main[[#This Row],[Tech Start Date]],23),IF(Main[[#This Row],[Class]]="B", WORKDAY(Main[[#This Row],[Tech Start Date]],15),IF(Main[[#This Row],[Class]]="A",WORKDAY(Main[[#This Row],[Tech Start Date]],5),""))))</f>
        <v/>
      </c>
      <c r="P376" s="104" t="str">
        <f>IF(Main[[#This Row],[Tech Start Date]]&lt;1/1/1990,"",IF(Main[[#This Row],[Class]]="C",WORKDAY(Main[[#This Row],[Tech Start Date]],28),IF(Main[[#This Row],[Class]]="B", WORKDAY(Main[[#This Row],[Tech Start Date]],19),IF(Main[[#This Row],[Class]]="A",WORKDAY(Main[[#This Row],[Tech Start Date]],9),""))))</f>
        <v/>
      </c>
      <c r="Q376" s="101">
        <v>40858</v>
      </c>
      <c r="R376" s="101"/>
      <c r="S376" s="99" t="s">
        <v>17</v>
      </c>
      <c r="T376" s="107" t="s">
        <v>4</v>
      </c>
      <c r="U376" s="99" t="s">
        <v>14</v>
      </c>
      <c r="V376" s="99" t="s">
        <v>1962</v>
      </c>
      <c r="W376" s="99" t="s">
        <v>1967</v>
      </c>
    </row>
    <row r="377" spans="1:23" ht="18.600000000000001" customHeight="1">
      <c r="A377" s="123" t="str">
        <f>IF(priority(Main[[#This Row],[Comments]])&lt;&gt;0, priority(Main[[#This Row],[Comments]]),"")</f>
        <v/>
      </c>
      <c r="B377" s="127" t="s">
        <v>1269</v>
      </c>
      <c r="C377" s="99" t="s">
        <v>4</v>
      </c>
      <c r="D377" s="100" t="s">
        <v>300</v>
      </c>
      <c r="E377" s="101"/>
      <c r="F377" s="101"/>
      <c r="G377" s="102" t="str">
        <f>IF(stdProdLT(Main[[#This Row],[Comments]])=0.1,"N/A",IF(stdProdLT(Main[[#This Row],[Comments]])=0,"",stdProdLT(Main[[#This Row],[Comments]])))</f>
        <v/>
      </c>
      <c r="H377" s="103" t="str">
        <f>IF(AND(Main[[#This Row],[In Stock Date]]&lt;&gt;"",Main[[#This Row],[Revised Due Date]]&lt;&gt;""),Main[[#This Row],[In Stock Date]]-Main[[#This Row],[Revised Due Date]],"")</f>
        <v/>
      </c>
      <c r="I377" s="99" t="s">
        <v>4</v>
      </c>
      <c r="J377" s="99" t="s">
        <v>28</v>
      </c>
      <c r="K377" s="99" t="s">
        <v>4</v>
      </c>
      <c r="L377" s="101"/>
      <c r="M377" s="104" t="str">
        <f>IF(Main[[#This Row],[Tech Start Date]]&lt;1/1/1990,"",IF(Main[[#This Row],[Class]]="C",WORKDAY(Main[[#This Row],[Tech Start Date]],9),IF(Main[[#This Row],[Class]]="B", WORKDAY(Main[[#This Row],[Tech Start Date]],6),IF(Main[[#This Row],[Class]]="A",WORKDAY(Main[[#This Row],[Tech Start Date]],2),""))))</f>
        <v/>
      </c>
      <c r="N377" s="104" t="str">
        <f>IF(Main[[#This Row],[Tech Start Date]]&lt;1/1/1990,"",IF(Main[[#This Row],[Class]]="C",WORKDAY(Main[[#This Row],[Tech Start Date]],19),IF(Main[[#This Row],[Class]]="B", WORKDAY(Main[[#This Row],[Tech Start Date]],12),IF(Main[[#This Row],[Class]]="A",WORKDAY(Main[[#This Row],[Tech Start Date]],4),""))))</f>
        <v/>
      </c>
      <c r="O377" s="104" t="str">
        <f>IF(Main[[#This Row],[Tech Start Date]]&lt;1/1/1990,"",IF(Main[[#This Row],[Class]]="C",WORKDAY(Main[[#This Row],[Tech Start Date]],23),IF(Main[[#This Row],[Class]]="B", WORKDAY(Main[[#This Row],[Tech Start Date]],15),IF(Main[[#This Row],[Class]]="A",WORKDAY(Main[[#This Row],[Tech Start Date]],5),""))))</f>
        <v/>
      </c>
      <c r="P377" s="104" t="str">
        <f>IF(Main[[#This Row],[Tech Start Date]]&lt;1/1/1990,"",IF(Main[[#This Row],[Class]]="C",WORKDAY(Main[[#This Row],[Tech Start Date]],28),IF(Main[[#This Row],[Class]]="B", WORKDAY(Main[[#This Row],[Tech Start Date]],19),IF(Main[[#This Row],[Class]]="A",WORKDAY(Main[[#This Row],[Tech Start Date]],9),""))))</f>
        <v/>
      </c>
      <c r="Q377" s="101">
        <v>40471</v>
      </c>
      <c r="R377" s="101"/>
      <c r="S377" s="99" t="s">
        <v>301</v>
      </c>
      <c r="T377" s="107" t="s">
        <v>4</v>
      </c>
      <c r="U377" s="99" t="s">
        <v>14</v>
      </c>
      <c r="V377" s="99" t="s">
        <v>1972</v>
      </c>
      <c r="W377" s="99" t="s">
        <v>1964</v>
      </c>
    </row>
    <row r="378" spans="1:23" ht="18.600000000000001" customHeight="1">
      <c r="A378" s="123" t="str">
        <f>IF(priority(Main[[#This Row],[Comments]])&lt;&gt;0, priority(Main[[#This Row],[Comments]]),"")</f>
        <v/>
      </c>
      <c r="B378" s="127" t="s">
        <v>1270</v>
      </c>
      <c r="C378" s="99" t="s">
        <v>93</v>
      </c>
      <c r="D378" s="100" t="s">
        <v>302</v>
      </c>
      <c r="E378" s="101"/>
      <c r="F378" s="101">
        <v>40210</v>
      </c>
      <c r="G378" s="102" t="str">
        <f>IF(stdProdLT(Main[[#This Row],[Comments]])=0.1,"N/A",IF(stdProdLT(Main[[#This Row],[Comments]])=0,"",stdProdLT(Main[[#This Row],[Comments]])))</f>
        <v/>
      </c>
      <c r="H378" s="103" t="str">
        <f>IF(AND(Main[[#This Row],[In Stock Date]]&lt;&gt;"",Main[[#This Row],[Revised Due Date]]&lt;&gt;""),Main[[#This Row],[In Stock Date]]-Main[[#This Row],[Revised Due Date]],"")</f>
        <v/>
      </c>
      <c r="I378" s="99" t="s">
        <v>4</v>
      </c>
      <c r="J378" s="99" t="s">
        <v>4</v>
      </c>
      <c r="K378" s="99" t="s">
        <v>4</v>
      </c>
      <c r="L378" s="101"/>
      <c r="M378" s="104" t="str">
        <f>IF(Main[[#This Row],[Tech Start Date]]&lt;1/1/1990,"",IF(Main[[#This Row],[Class]]="C",WORKDAY(Main[[#This Row],[Tech Start Date]],9),IF(Main[[#This Row],[Class]]="B", WORKDAY(Main[[#This Row],[Tech Start Date]],6),IF(Main[[#This Row],[Class]]="A",WORKDAY(Main[[#This Row],[Tech Start Date]],2),""))))</f>
        <v/>
      </c>
      <c r="N378" s="104" t="str">
        <f>IF(Main[[#This Row],[Tech Start Date]]&lt;1/1/1990,"",IF(Main[[#This Row],[Class]]="C",WORKDAY(Main[[#This Row],[Tech Start Date]],19),IF(Main[[#This Row],[Class]]="B", WORKDAY(Main[[#This Row],[Tech Start Date]],12),IF(Main[[#This Row],[Class]]="A",WORKDAY(Main[[#This Row],[Tech Start Date]],4),""))))</f>
        <v/>
      </c>
      <c r="O378" s="104" t="str">
        <f>IF(Main[[#This Row],[Tech Start Date]]&lt;1/1/1990,"",IF(Main[[#This Row],[Class]]="C",WORKDAY(Main[[#This Row],[Tech Start Date]],23),IF(Main[[#This Row],[Class]]="B", WORKDAY(Main[[#This Row],[Tech Start Date]],15),IF(Main[[#This Row],[Class]]="A",WORKDAY(Main[[#This Row],[Tech Start Date]],5),""))))</f>
        <v/>
      </c>
      <c r="P378" s="104" t="str">
        <f>IF(Main[[#This Row],[Tech Start Date]]&lt;1/1/1990,"",IF(Main[[#This Row],[Class]]="C",WORKDAY(Main[[#This Row],[Tech Start Date]],28),IF(Main[[#This Row],[Class]]="B", WORKDAY(Main[[#This Row],[Tech Start Date]],19),IF(Main[[#This Row],[Class]]="A",WORKDAY(Main[[#This Row],[Tech Start Date]],9),""))))</f>
        <v/>
      </c>
      <c r="Q378" s="101">
        <v>40145</v>
      </c>
      <c r="R378" s="101"/>
      <c r="S378" s="99" t="s">
        <v>11</v>
      </c>
      <c r="T378" s="107" t="s">
        <v>4</v>
      </c>
      <c r="U378" s="99" t="s">
        <v>14</v>
      </c>
      <c r="V378" s="99" t="s">
        <v>1962</v>
      </c>
      <c r="W378" s="99" t="s">
        <v>1968</v>
      </c>
    </row>
    <row r="379" spans="1:23" ht="18.600000000000001" customHeight="1">
      <c r="A379" s="123" t="str">
        <f>IF(priority(Main[[#This Row],[Comments]])&lt;&gt;0, priority(Main[[#This Row],[Comments]]),"")</f>
        <v/>
      </c>
      <c r="B379" s="127" t="s">
        <v>1271</v>
      </c>
      <c r="C379" s="99" t="s">
        <v>63</v>
      </c>
      <c r="D379" s="100" t="s">
        <v>303</v>
      </c>
      <c r="E379" s="101"/>
      <c r="F379" s="101">
        <v>40513</v>
      </c>
      <c r="G379" s="102" t="str">
        <f>IF(stdProdLT(Main[[#This Row],[Comments]])=0.1,"N/A",IF(stdProdLT(Main[[#This Row],[Comments]])=0,"",stdProdLT(Main[[#This Row],[Comments]])))</f>
        <v/>
      </c>
      <c r="H379" s="103" t="str">
        <f>IF(AND(Main[[#This Row],[In Stock Date]]&lt;&gt;"",Main[[#This Row],[Revised Due Date]]&lt;&gt;""),Main[[#This Row],[In Stock Date]]-Main[[#This Row],[Revised Due Date]],"")</f>
        <v/>
      </c>
      <c r="I379" s="99" t="s">
        <v>65</v>
      </c>
      <c r="J379" s="99" t="s">
        <v>28</v>
      </c>
      <c r="K379" s="99" t="s">
        <v>4</v>
      </c>
      <c r="L379" s="101"/>
      <c r="M379" s="104" t="str">
        <f>IF(Main[[#This Row],[Tech Start Date]]&lt;1/1/1990,"",IF(Main[[#This Row],[Class]]="C",WORKDAY(Main[[#This Row],[Tech Start Date]],9),IF(Main[[#This Row],[Class]]="B", WORKDAY(Main[[#This Row],[Tech Start Date]],6),IF(Main[[#This Row],[Class]]="A",WORKDAY(Main[[#This Row],[Tech Start Date]],2),""))))</f>
        <v/>
      </c>
      <c r="N379" s="104" t="str">
        <f>IF(Main[[#This Row],[Tech Start Date]]&lt;1/1/1990,"",IF(Main[[#This Row],[Class]]="C",WORKDAY(Main[[#This Row],[Tech Start Date]],19),IF(Main[[#This Row],[Class]]="B", WORKDAY(Main[[#This Row],[Tech Start Date]],12),IF(Main[[#This Row],[Class]]="A",WORKDAY(Main[[#This Row],[Tech Start Date]],4),""))))</f>
        <v/>
      </c>
      <c r="O379" s="104" t="str">
        <f>IF(Main[[#This Row],[Tech Start Date]]&lt;1/1/1990,"",IF(Main[[#This Row],[Class]]="C",WORKDAY(Main[[#This Row],[Tech Start Date]],23),IF(Main[[#This Row],[Class]]="B", WORKDAY(Main[[#This Row],[Tech Start Date]],15),IF(Main[[#This Row],[Class]]="A",WORKDAY(Main[[#This Row],[Tech Start Date]],5),""))))</f>
        <v/>
      </c>
      <c r="P379" s="104" t="str">
        <f>IF(Main[[#This Row],[Tech Start Date]]&lt;1/1/1990,"",IF(Main[[#This Row],[Class]]="C",WORKDAY(Main[[#This Row],[Tech Start Date]],28),IF(Main[[#This Row],[Class]]="B", WORKDAY(Main[[#This Row],[Tech Start Date]],19),IF(Main[[#This Row],[Class]]="A",WORKDAY(Main[[#This Row],[Tech Start Date]],9),""))))</f>
        <v/>
      </c>
      <c r="Q379" s="101">
        <v>40513</v>
      </c>
      <c r="R379" s="101"/>
      <c r="S379" s="99" t="s">
        <v>11</v>
      </c>
      <c r="T379" s="107" t="s">
        <v>4</v>
      </c>
      <c r="U379" s="99" t="s">
        <v>14</v>
      </c>
      <c r="V379" s="99" t="s">
        <v>1965</v>
      </c>
      <c r="W379" s="99" t="s">
        <v>1970</v>
      </c>
    </row>
    <row r="380" spans="1:23" ht="18.600000000000001" customHeight="1">
      <c r="A380" s="123" t="str">
        <f>IF(priority(Main[[#This Row],[Comments]])&lt;&gt;0, priority(Main[[#This Row],[Comments]]),"")</f>
        <v/>
      </c>
      <c r="B380" s="127" t="s">
        <v>1272</v>
      </c>
      <c r="C380" s="99" t="s">
        <v>4</v>
      </c>
      <c r="D380" s="100" t="s">
        <v>305</v>
      </c>
      <c r="E380" s="101"/>
      <c r="F380" s="101"/>
      <c r="G380" s="102" t="str">
        <f>IF(stdProdLT(Main[[#This Row],[Comments]])=0.1,"N/A",IF(stdProdLT(Main[[#This Row],[Comments]])=0,"",stdProdLT(Main[[#This Row],[Comments]])))</f>
        <v/>
      </c>
      <c r="H380" s="103" t="str">
        <f>IF(AND(Main[[#This Row],[In Stock Date]]&lt;&gt;"",Main[[#This Row],[Revised Due Date]]&lt;&gt;""),Main[[#This Row],[In Stock Date]]-Main[[#This Row],[Revised Due Date]],"")</f>
        <v/>
      </c>
      <c r="I380" s="99" t="s">
        <v>4</v>
      </c>
      <c r="J380" s="99" t="s">
        <v>28</v>
      </c>
      <c r="K380" s="108" t="s">
        <v>1971</v>
      </c>
      <c r="L380" s="101"/>
      <c r="M380" s="104" t="str">
        <f>IF(Main[[#This Row],[Tech Start Date]]&lt;1/1/1990,"",IF(Main[[#This Row],[Class]]="C",WORKDAY(Main[[#This Row],[Tech Start Date]],9),IF(Main[[#This Row],[Class]]="B", WORKDAY(Main[[#This Row],[Tech Start Date]],6),IF(Main[[#This Row],[Class]]="A",WORKDAY(Main[[#This Row],[Tech Start Date]],2),""))))</f>
        <v/>
      </c>
      <c r="N380" s="104" t="str">
        <f>IF(Main[[#This Row],[Tech Start Date]]&lt;1/1/1990,"",IF(Main[[#This Row],[Class]]="C",WORKDAY(Main[[#This Row],[Tech Start Date]],19),IF(Main[[#This Row],[Class]]="B", WORKDAY(Main[[#This Row],[Tech Start Date]],12),IF(Main[[#This Row],[Class]]="A",WORKDAY(Main[[#This Row],[Tech Start Date]],4),""))))</f>
        <v/>
      </c>
      <c r="O380" s="104" t="str">
        <f>IF(Main[[#This Row],[Tech Start Date]]&lt;1/1/1990,"",IF(Main[[#This Row],[Class]]="C",WORKDAY(Main[[#This Row],[Tech Start Date]],23),IF(Main[[#This Row],[Class]]="B", WORKDAY(Main[[#This Row],[Tech Start Date]],15),IF(Main[[#This Row],[Class]]="A",WORKDAY(Main[[#This Row],[Tech Start Date]],5),""))))</f>
        <v/>
      </c>
      <c r="P380" s="104" t="str">
        <f>IF(Main[[#This Row],[Tech Start Date]]&lt;1/1/1990,"",IF(Main[[#This Row],[Class]]="C",WORKDAY(Main[[#This Row],[Tech Start Date]],28),IF(Main[[#This Row],[Class]]="B", WORKDAY(Main[[#This Row],[Tech Start Date]],19),IF(Main[[#This Row],[Class]]="A",WORKDAY(Main[[#This Row],[Tech Start Date]],9),""))))</f>
        <v/>
      </c>
      <c r="Q380" s="101">
        <v>40661</v>
      </c>
      <c r="R380" s="101"/>
      <c r="S380" s="99" t="s">
        <v>6</v>
      </c>
      <c r="T380" s="107" t="s">
        <v>4</v>
      </c>
      <c r="U380" s="99" t="s">
        <v>14</v>
      </c>
      <c r="V380" s="99" t="s">
        <v>1965</v>
      </c>
      <c r="W380" s="99" t="s">
        <v>1966</v>
      </c>
    </row>
    <row r="381" spans="1:23" ht="18.600000000000001" customHeight="1">
      <c r="A381" s="123" t="str">
        <f>IF(priority(Main[[#This Row],[Comments]])&lt;&gt;0, priority(Main[[#This Row],[Comments]]),"")</f>
        <v/>
      </c>
      <c r="B381" s="127" t="s">
        <v>1273</v>
      </c>
      <c r="C381" s="99" t="s">
        <v>4</v>
      </c>
      <c r="D381" s="100" t="s">
        <v>306</v>
      </c>
      <c r="E381" s="101"/>
      <c r="F381" s="101"/>
      <c r="G381" s="102" t="str">
        <f>IF(stdProdLT(Main[[#This Row],[Comments]])=0.1,"N/A",IF(stdProdLT(Main[[#This Row],[Comments]])=0,"",stdProdLT(Main[[#This Row],[Comments]])))</f>
        <v/>
      </c>
      <c r="H381" s="103" t="str">
        <f>IF(AND(Main[[#This Row],[In Stock Date]]&lt;&gt;"",Main[[#This Row],[Revised Due Date]]&lt;&gt;""),Main[[#This Row],[In Stock Date]]-Main[[#This Row],[Revised Due Date]],"")</f>
        <v/>
      </c>
      <c r="I381" s="99" t="s">
        <v>4</v>
      </c>
      <c r="J381" s="99" t="s">
        <v>4</v>
      </c>
      <c r="K381" s="99" t="s">
        <v>4</v>
      </c>
      <c r="L381" s="101"/>
      <c r="M381" s="104" t="str">
        <f>IF(Main[[#This Row],[Tech Start Date]]&lt;1/1/1990,"",IF(Main[[#This Row],[Class]]="C",WORKDAY(Main[[#This Row],[Tech Start Date]],9),IF(Main[[#This Row],[Class]]="B", WORKDAY(Main[[#This Row],[Tech Start Date]],6),IF(Main[[#This Row],[Class]]="A",WORKDAY(Main[[#This Row],[Tech Start Date]],2),""))))</f>
        <v/>
      </c>
      <c r="N381" s="104" t="str">
        <f>IF(Main[[#This Row],[Tech Start Date]]&lt;1/1/1990,"",IF(Main[[#This Row],[Class]]="C",WORKDAY(Main[[#This Row],[Tech Start Date]],19),IF(Main[[#This Row],[Class]]="B", WORKDAY(Main[[#This Row],[Tech Start Date]],12),IF(Main[[#This Row],[Class]]="A",WORKDAY(Main[[#This Row],[Tech Start Date]],4),""))))</f>
        <v/>
      </c>
      <c r="O381" s="104" t="str">
        <f>IF(Main[[#This Row],[Tech Start Date]]&lt;1/1/1990,"",IF(Main[[#This Row],[Class]]="C",WORKDAY(Main[[#This Row],[Tech Start Date]],23),IF(Main[[#This Row],[Class]]="B", WORKDAY(Main[[#This Row],[Tech Start Date]],15),IF(Main[[#This Row],[Class]]="A",WORKDAY(Main[[#This Row],[Tech Start Date]],5),""))))</f>
        <v/>
      </c>
      <c r="P381" s="104" t="str">
        <f>IF(Main[[#This Row],[Tech Start Date]]&lt;1/1/1990,"",IF(Main[[#This Row],[Class]]="C",WORKDAY(Main[[#This Row],[Tech Start Date]],28),IF(Main[[#This Row],[Class]]="B", WORKDAY(Main[[#This Row],[Tech Start Date]],19),IF(Main[[#This Row],[Class]]="A",WORKDAY(Main[[#This Row],[Tech Start Date]],9),""))))</f>
        <v/>
      </c>
      <c r="Q381" s="101">
        <v>40287</v>
      </c>
      <c r="R381" s="101"/>
      <c r="S381" s="99" t="s">
        <v>11</v>
      </c>
      <c r="T381" s="107" t="s">
        <v>4</v>
      </c>
      <c r="U381" s="99" t="s">
        <v>14</v>
      </c>
      <c r="V381" s="99" t="s">
        <v>1962</v>
      </c>
      <c r="W381" s="99" t="s">
        <v>1968</v>
      </c>
    </row>
    <row r="382" spans="1:23" ht="18.600000000000001" customHeight="1">
      <c r="A382" s="123" t="str">
        <f>IF(priority(Main[[#This Row],[Comments]])&lt;&gt;0, priority(Main[[#This Row],[Comments]]),"")</f>
        <v/>
      </c>
      <c r="B382" s="127" t="s">
        <v>1274</v>
      </c>
      <c r="C382" s="99" t="s">
        <v>93</v>
      </c>
      <c r="D382" s="100" t="s">
        <v>307</v>
      </c>
      <c r="E382" s="101"/>
      <c r="F382" s="101">
        <v>40210</v>
      </c>
      <c r="G382" s="102" t="str">
        <f>IF(stdProdLT(Main[[#This Row],[Comments]])=0.1,"N/A",IF(stdProdLT(Main[[#This Row],[Comments]])=0,"",stdProdLT(Main[[#This Row],[Comments]])))</f>
        <v/>
      </c>
      <c r="H382" s="103" t="str">
        <f>IF(AND(Main[[#This Row],[In Stock Date]]&lt;&gt;"",Main[[#This Row],[Revised Due Date]]&lt;&gt;""),Main[[#This Row],[In Stock Date]]-Main[[#This Row],[Revised Due Date]],"")</f>
        <v/>
      </c>
      <c r="I382" s="99" t="s">
        <v>4</v>
      </c>
      <c r="J382" s="99" t="s">
        <v>4</v>
      </c>
      <c r="K382" s="99" t="s">
        <v>4</v>
      </c>
      <c r="L382" s="101"/>
      <c r="M382" s="104" t="str">
        <f>IF(Main[[#This Row],[Tech Start Date]]&lt;1/1/1990,"",IF(Main[[#This Row],[Class]]="C",WORKDAY(Main[[#This Row],[Tech Start Date]],9),IF(Main[[#This Row],[Class]]="B", WORKDAY(Main[[#This Row],[Tech Start Date]],6),IF(Main[[#This Row],[Class]]="A",WORKDAY(Main[[#This Row],[Tech Start Date]],2),""))))</f>
        <v/>
      </c>
      <c r="N382" s="104" t="str">
        <f>IF(Main[[#This Row],[Tech Start Date]]&lt;1/1/1990,"",IF(Main[[#This Row],[Class]]="C",WORKDAY(Main[[#This Row],[Tech Start Date]],19),IF(Main[[#This Row],[Class]]="B", WORKDAY(Main[[#This Row],[Tech Start Date]],12),IF(Main[[#This Row],[Class]]="A",WORKDAY(Main[[#This Row],[Tech Start Date]],4),""))))</f>
        <v/>
      </c>
      <c r="O382" s="104" t="str">
        <f>IF(Main[[#This Row],[Tech Start Date]]&lt;1/1/1990,"",IF(Main[[#This Row],[Class]]="C",WORKDAY(Main[[#This Row],[Tech Start Date]],23),IF(Main[[#This Row],[Class]]="B", WORKDAY(Main[[#This Row],[Tech Start Date]],15),IF(Main[[#This Row],[Class]]="A",WORKDAY(Main[[#This Row],[Tech Start Date]],5),""))))</f>
        <v/>
      </c>
      <c r="P382" s="104" t="str">
        <f>IF(Main[[#This Row],[Tech Start Date]]&lt;1/1/1990,"",IF(Main[[#This Row],[Class]]="C",WORKDAY(Main[[#This Row],[Tech Start Date]],28),IF(Main[[#This Row],[Class]]="B", WORKDAY(Main[[#This Row],[Tech Start Date]],19),IF(Main[[#This Row],[Class]]="A",WORKDAY(Main[[#This Row],[Tech Start Date]],9),""))))</f>
        <v/>
      </c>
      <c r="Q382" s="101">
        <v>40210</v>
      </c>
      <c r="R382" s="101"/>
      <c r="S382" s="99" t="s">
        <v>11</v>
      </c>
      <c r="T382" s="107" t="s">
        <v>4</v>
      </c>
      <c r="U382" s="99" t="s">
        <v>12</v>
      </c>
      <c r="V382" s="99" t="s">
        <v>1972</v>
      </c>
      <c r="W382" s="99" t="s">
        <v>1973</v>
      </c>
    </row>
    <row r="383" spans="1:23" ht="18.600000000000001" customHeight="1">
      <c r="A383" s="123" t="str">
        <f>IF(priority(Main[[#This Row],[Comments]])&lt;&gt;0, priority(Main[[#This Row],[Comments]]),"")</f>
        <v/>
      </c>
      <c r="B383" s="127" t="s">
        <v>1275</v>
      </c>
      <c r="C383" s="99" t="s">
        <v>31</v>
      </c>
      <c r="D383" s="100" t="s">
        <v>308</v>
      </c>
      <c r="E383" s="101"/>
      <c r="F383" s="101">
        <v>40269</v>
      </c>
      <c r="G383" s="102" t="str">
        <f>IF(stdProdLT(Main[[#This Row],[Comments]])=0.1,"N/A",IF(stdProdLT(Main[[#This Row],[Comments]])=0,"",stdProdLT(Main[[#This Row],[Comments]])))</f>
        <v/>
      </c>
      <c r="H383" s="103" t="str">
        <f>IF(AND(Main[[#This Row],[In Stock Date]]&lt;&gt;"",Main[[#This Row],[Revised Due Date]]&lt;&gt;""),Main[[#This Row],[In Stock Date]]-Main[[#This Row],[Revised Due Date]],"")</f>
        <v/>
      </c>
      <c r="I383" s="99" t="s">
        <v>4</v>
      </c>
      <c r="J383" s="99" t="s">
        <v>4</v>
      </c>
      <c r="K383" s="99" t="s">
        <v>4</v>
      </c>
      <c r="L383" s="101"/>
      <c r="M383" s="104" t="str">
        <f>IF(Main[[#This Row],[Tech Start Date]]&lt;1/1/1990,"",IF(Main[[#This Row],[Class]]="C",WORKDAY(Main[[#This Row],[Tech Start Date]],9),IF(Main[[#This Row],[Class]]="B", WORKDAY(Main[[#This Row],[Tech Start Date]],6),IF(Main[[#This Row],[Class]]="A",WORKDAY(Main[[#This Row],[Tech Start Date]],2),""))))</f>
        <v/>
      </c>
      <c r="N383" s="104" t="str">
        <f>IF(Main[[#This Row],[Tech Start Date]]&lt;1/1/1990,"",IF(Main[[#This Row],[Class]]="C",WORKDAY(Main[[#This Row],[Tech Start Date]],19),IF(Main[[#This Row],[Class]]="B", WORKDAY(Main[[#This Row],[Tech Start Date]],12),IF(Main[[#This Row],[Class]]="A",WORKDAY(Main[[#This Row],[Tech Start Date]],4),""))))</f>
        <v/>
      </c>
      <c r="O383" s="104" t="str">
        <f>IF(Main[[#This Row],[Tech Start Date]]&lt;1/1/1990,"",IF(Main[[#This Row],[Class]]="C",WORKDAY(Main[[#This Row],[Tech Start Date]],23),IF(Main[[#This Row],[Class]]="B", WORKDAY(Main[[#This Row],[Tech Start Date]],15),IF(Main[[#This Row],[Class]]="A",WORKDAY(Main[[#This Row],[Tech Start Date]],5),""))))</f>
        <v/>
      </c>
      <c r="P383" s="104" t="str">
        <f>IF(Main[[#This Row],[Tech Start Date]]&lt;1/1/1990,"",IF(Main[[#This Row],[Class]]="C",WORKDAY(Main[[#This Row],[Tech Start Date]],28),IF(Main[[#This Row],[Class]]="B", WORKDAY(Main[[#This Row],[Tech Start Date]],19),IF(Main[[#This Row],[Class]]="A",WORKDAY(Main[[#This Row],[Tech Start Date]],9),""))))</f>
        <v/>
      </c>
      <c r="Q383" s="101">
        <v>40274</v>
      </c>
      <c r="R383" s="101"/>
      <c r="S383" s="99" t="s">
        <v>11</v>
      </c>
      <c r="T383" s="107" t="s">
        <v>4</v>
      </c>
      <c r="U383" s="99" t="s">
        <v>14</v>
      </c>
      <c r="V383" s="99" t="s">
        <v>1962</v>
      </c>
      <c r="W383" s="99" t="s">
        <v>1968</v>
      </c>
    </row>
    <row r="384" spans="1:23" ht="18.600000000000001" customHeight="1">
      <c r="A384" s="123" t="str">
        <f>IF(priority(Main[[#This Row],[Comments]])&lt;&gt;0, priority(Main[[#This Row],[Comments]]),"")</f>
        <v/>
      </c>
      <c r="B384" s="127" t="s">
        <v>1276</v>
      </c>
      <c r="C384" s="99" t="s">
        <v>4</v>
      </c>
      <c r="D384" s="100" t="s">
        <v>309</v>
      </c>
      <c r="E384" s="101"/>
      <c r="F384" s="101">
        <v>40390</v>
      </c>
      <c r="G384" s="102" t="str">
        <f>IF(stdProdLT(Main[[#This Row],[Comments]])=0.1,"N/A",IF(stdProdLT(Main[[#This Row],[Comments]])=0,"",stdProdLT(Main[[#This Row],[Comments]])))</f>
        <v/>
      </c>
      <c r="H384" s="103" t="str">
        <f>IF(AND(Main[[#This Row],[In Stock Date]]&lt;&gt;"",Main[[#This Row],[Revised Due Date]]&lt;&gt;""),Main[[#This Row],[In Stock Date]]-Main[[#This Row],[Revised Due Date]],"")</f>
        <v/>
      </c>
      <c r="I384" s="99" t="s">
        <v>4</v>
      </c>
      <c r="J384" s="99" t="s">
        <v>4</v>
      </c>
      <c r="K384" s="99" t="s">
        <v>4</v>
      </c>
      <c r="L384" s="101"/>
      <c r="M384" s="104" t="str">
        <f>IF(Main[[#This Row],[Tech Start Date]]&lt;1/1/1990,"",IF(Main[[#This Row],[Class]]="C",WORKDAY(Main[[#This Row],[Tech Start Date]],9),IF(Main[[#This Row],[Class]]="B", WORKDAY(Main[[#This Row],[Tech Start Date]],6),IF(Main[[#This Row],[Class]]="A",WORKDAY(Main[[#This Row],[Tech Start Date]],2),""))))</f>
        <v/>
      </c>
      <c r="N384" s="104" t="str">
        <f>IF(Main[[#This Row],[Tech Start Date]]&lt;1/1/1990,"",IF(Main[[#This Row],[Class]]="C",WORKDAY(Main[[#This Row],[Tech Start Date]],19),IF(Main[[#This Row],[Class]]="B", WORKDAY(Main[[#This Row],[Tech Start Date]],12),IF(Main[[#This Row],[Class]]="A",WORKDAY(Main[[#This Row],[Tech Start Date]],4),""))))</f>
        <v/>
      </c>
      <c r="O384" s="104" t="str">
        <f>IF(Main[[#This Row],[Tech Start Date]]&lt;1/1/1990,"",IF(Main[[#This Row],[Class]]="C",WORKDAY(Main[[#This Row],[Tech Start Date]],23),IF(Main[[#This Row],[Class]]="B", WORKDAY(Main[[#This Row],[Tech Start Date]],15),IF(Main[[#This Row],[Class]]="A",WORKDAY(Main[[#This Row],[Tech Start Date]],5),""))))</f>
        <v/>
      </c>
      <c r="P384" s="104" t="str">
        <f>IF(Main[[#This Row],[Tech Start Date]]&lt;1/1/1990,"",IF(Main[[#This Row],[Class]]="C",WORKDAY(Main[[#This Row],[Tech Start Date]],28),IF(Main[[#This Row],[Class]]="B", WORKDAY(Main[[#This Row],[Tech Start Date]],19),IF(Main[[#This Row],[Class]]="A",WORKDAY(Main[[#This Row],[Tech Start Date]],9),""))))</f>
        <v/>
      </c>
      <c r="Q384" s="101">
        <v>40329</v>
      </c>
      <c r="R384" s="101"/>
      <c r="S384" s="99" t="s">
        <v>11</v>
      </c>
      <c r="T384" s="107" t="s">
        <v>4</v>
      </c>
      <c r="U384" s="99" t="s">
        <v>12</v>
      </c>
      <c r="V384" s="99" t="s">
        <v>1972</v>
      </c>
      <c r="W384" s="99" t="s">
        <v>1968</v>
      </c>
    </row>
    <row r="385" spans="1:23" ht="18.600000000000001" customHeight="1">
      <c r="A385" s="123" t="str">
        <f>IF(priority(Main[[#This Row],[Comments]])&lt;&gt;0, priority(Main[[#This Row],[Comments]]),"")</f>
        <v/>
      </c>
      <c r="B385" s="127" t="s">
        <v>1277</v>
      </c>
      <c r="C385" s="99" t="s">
        <v>4</v>
      </c>
      <c r="D385" s="100" t="s">
        <v>310</v>
      </c>
      <c r="E385" s="101"/>
      <c r="F385" s="101">
        <v>40574</v>
      </c>
      <c r="G385" s="102" t="str">
        <f>IF(stdProdLT(Main[[#This Row],[Comments]])=0.1,"N/A",IF(stdProdLT(Main[[#This Row],[Comments]])=0,"",stdProdLT(Main[[#This Row],[Comments]])))</f>
        <v/>
      </c>
      <c r="H385" s="103" t="str">
        <f>IF(AND(Main[[#This Row],[In Stock Date]]&lt;&gt;"",Main[[#This Row],[Revised Due Date]]&lt;&gt;""),Main[[#This Row],[In Stock Date]]-Main[[#This Row],[Revised Due Date]],"")</f>
        <v/>
      </c>
      <c r="I385" s="99" t="s">
        <v>311</v>
      </c>
      <c r="J385" s="99" t="s">
        <v>75</v>
      </c>
      <c r="K385" s="108" t="s">
        <v>1971</v>
      </c>
      <c r="L385" s="101"/>
      <c r="M385" s="104" t="str">
        <f>IF(Main[[#This Row],[Tech Start Date]]&lt;1/1/1990,"",IF(Main[[#This Row],[Class]]="C",WORKDAY(Main[[#This Row],[Tech Start Date]],9),IF(Main[[#This Row],[Class]]="B", WORKDAY(Main[[#This Row],[Tech Start Date]],6),IF(Main[[#This Row],[Class]]="A",WORKDAY(Main[[#This Row],[Tech Start Date]],2),""))))</f>
        <v/>
      </c>
      <c r="N385" s="104" t="str">
        <f>IF(Main[[#This Row],[Tech Start Date]]&lt;1/1/1990,"",IF(Main[[#This Row],[Class]]="C",WORKDAY(Main[[#This Row],[Tech Start Date]],19),IF(Main[[#This Row],[Class]]="B", WORKDAY(Main[[#This Row],[Tech Start Date]],12),IF(Main[[#This Row],[Class]]="A",WORKDAY(Main[[#This Row],[Tech Start Date]],4),""))))</f>
        <v/>
      </c>
      <c r="O385" s="104" t="str">
        <f>IF(Main[[#This Row],[Tech Start Date]]&lt;1/1/1990,"",IF(Main[[#This Row],[Class]]="C",WORKDAY(Main[[#This Row],[Tech Start Date]],23),IF(Main[[#This Row],[Class]]="B", WORKDAY(Main[[#This Row],[Tech Start Date]],15),IF(Main[[#This Row],[Class]]="A",WORKDAY(Main[[#This Row],[Tech Start Date]],5),""))))</f>
        <v/>
      </c>
      <c r="P385" s="104" t="str">
        <f>IF(Main[[#This Row],[Tech Start Date]]&lt;1/1/1990,"",IF(Main[[#This Row],[Class]]="C",WORKDAY(Main[[#This Row],[Tech Start Date]],28),IF(Main[[#This Row],[Class]]="B", WORKDAY(Main[[#This Row],[Tech Start Date]],19),IF(Main[[#This Row],[Class]]="A",WORKDAY(Main[[#This Row],[Tech Start Date]],9),""))))</f>
        <v/>
      </c>
      <c r="Q385" s="101">
        <v>40574</v>
      </c>
      <c r="R385" s="101"/>
      <c r="S385" s="99" t="s">
        <v>6</v>
      </c>
      <c r="T385" s="107" t="s">
        <v>4</v>
      </c>
      <c r="U385" s="99" t="s">
        <v>14</v>
      </c>
      <c r="V385" s="99" t="s">
        <v>1972</v>
      </c>
      <c r="W385" s="99" t="s">
        <v>1964</v>
      </c>
    </row>
    <row r="386" spans="1:23" ht="18.600000000000001" customHeight="1">
      <c r="A386" s="123" t="str">
        <f>IF(priority(Main[[#This Row],[Comments]])&lt;&gt;0, priority(Main[[#This Row],[Comments]]),"")</f>
        <v/>
      </c>
      <c r="B386" s="127" t="s">
        <v>1278</v>
      </c>
      <c r="C386" s="99" t="s">
        <v>171</v>
      </c>
      <c r="D386" s="100" t="s">
        <v>312</v>
      </c>
      <c r="E386" s="101"/>
      <c r="F386" s="101">
        <v>40237</v>
      </c>
      <c r="G386" s="102" t="str">
        <f>IF(stdProdLT(Main[[#This Row],[Comments]])=0.1,"N/A",IF(stdProdLT(Main[[#This Row],[Comments]])=0,"",stdProdLT(Main[[#This Row],[Comments]])))</f>
        <v/>
      </c>
      <c r="H386" s="103" t="str">
        <f>IF(AND(Main[[#This Row],[In Stock Date]]&lt;&gt;"",Main[[#This Row],[Revised Due Date]]&lt;&gt;""),Main[[#This Row],[In Stock Date]]-Main[[#This Row],[Revised Due Date]],"")</f>
        <v/>
      </c>
      <c r="I386" s="99" t="s">
        <v>4</v>
      </c>
      <c r="J386" s="99" t="s">
        <v>4</v>
      </c>
      <c r="K386" s="108" t="s">
        <v>4</v>
      </c>
      <c r="L386" s="101"/>
      <c r="M386" s="104" t="str">
        <f>IF(Main[[#This Row],[Tech Start Date]]&lt;1/1/1990,"",IF(Main[[#This Row],[Class]]="C",WORKDAY(Main[[#This Row],[Tech Start Date]],9),IF(Main[[#This Row],[Class]]="B", WORKDAY(Main[[#This Row],[Tech Start Date]],6),IF(Main[[#This Row],[Class]]="A",WORKDAY(Main[[#This Row],[Tech Start Date]],2),""))))</f>
        <v/>
      </c>
      <c r="N386" s="104" t="str">
        <f>IF(Main[[#This Row],[Tech Start Date]]&lt;1/1/1990,"",IF(Main[[#This Row],[Class]]="C",WORKDAY(Main[[#This Row],[Tech Start Date]],19),IF(Main[[#This Row],[Class]]="B", WORKDAY(Main[[#This Row],[Tech Start Date]],12),IF(Main[[#This Row],[Class]]="A",WORKDAY(Main[[#This Row],[Tech Start Date]],4),""))))</f>
        <v/>
      </c>
      <c r="O386" s="104" t="str">
        <f>IF(Main[[#This Row],[Tech Start Date]]&lt;1/1/1990,"",IF(Main[[#This Row],[Class]]="C",WORKDAY(Main[[#This Row],[Tech Start Date]],23),IF(Main[[#This Row],[Class]]="B", WORKDAY(Main[[#This Row],[Tech Start Date]],15),IF(Main[[#This Row],[Class]]="A",WORKDAY(Main[[#This Row],[Tech Start Date]],5),""))))</f>
        <v/>
      </c>
      <c r="P386" s="104" t="str">
        <f>IF(Main[[#This Row],[Tech Start Date]]&lt;1/1/1990,"",IF(Main[[#This Row],[Class]]="C",WORKDAY(Main[[#This Row],[Tech Start Date]],28),IF(Main[[#This Row],[Class]]="B", WORKDAY(Main[[#This Row],[Tech Start Date]],19),IF(Main[[#This Row],[Class]]="A",WORKDAY(Main[[#This Row],[Tech Start Date]],9),""))))</f>
        <v/>
      </c>
      <c r="Q386" s="101">
        <v>40132</v>
      </c>
      <c r="R386" s="101"/>
      <c r="S386" s="99" t="s">
        <v>11</v>
      </c>
      <c r="T386" s="107" t="s">
        <v>4</v>
      </c>
      <c r="U386" s="99" t="s">
        <v>14</v>
      </c>
      <c r="V386" s="99" t="s">
        <v>1962</v>
      </c>
      <c r="W386" s="99" t="s">
        <v>1967</v>
      </c>
    </row>
    <row r="387" spans="1:23" ht="18.600000000000001" customHeight="1">
      <c r="A387" s="123" t="str">
        <f>IF(priority(Main[[#This Row],[Comments]])&lt;&gt;0, priority(Main[[#This Row],[Comments]]),"")</f>
        <v/>
      </c>
      <c r="B387" s="127" t="s">
        <v>1279</v>
      </c>
      <c r="C387" s="99" t="s">
        <v>4</v>
      </c>
      <c r="D387" s="100" t="s">
        <v>313</v>
      </c>
      <c r="E387" s="101"/>
      <c r="F387" s="101"/>
      <c r="G387" s="102" t="str">
        <f>IF(stdProdLT(Main[[#This Row],[Comments]])=0.1,"N/A",IF(stdProdLT(Main[[#This Row],[Comments]])=0,"",stdProdLT(Main[[#This Row],[Comments]])))</f>
        <v/>
      </c>
      <c r="H387" s="103" t="str">
        <f>IF(AND(Main[[#This Row],[In Stock Date]]&lt;&gt;"",Main[[#This Row],[Revised Due Date]]&lt;&gt;""),Main[[#This Row],[In Stock Date]]-Main[[#This Row],[Revised Due Date]],"")</f>
        <v/>
      </c>
      <c r="I387" s="99" t="s">
        <v>4</v>
      </c>
      <c r="J387" s="99" t="s">
        <v>4</v>
      </c>
      <c r="K387" s="108" t="s">
        <v>4</v>
      </c>
      <c r="L387" s="101"/>
      <c r="M387" s="104" t="str">
        <f>IF(Main[[#This Row],[Tech Start Date]]&lt;1/1/1990,"",IF(Main[[#This Row],[Class]]="C",WORKDAY(Main[[#This Row],[Tech Start Date]],9),IF(Main[[#This Row],[Class]]="B", WORKDAY(Main[[#This Row],[Tech Start Date]],6),IF(Main[[#This Row],[Class]]="A",WORKDAY(Main[[#This Row],[Tech Start Date]],2),""))))</f>
        <v/>
      </c>
      <c r="N387" s="104" t="str">
        <f>IF(Main[[#This Row],[Tech Start Date]]&lt;1/1/1990,"",IF(Main[[#This Row],[Class]]="C",WORKDAY(Main[[#This Row],[Tech Start Date]],19),IF(Main[[#This Row],[Class]]="B", WORKDAY(Main[[#This Row],[Tech Start Date]],12),IF(Main[[#This Row],[Class]]="A",WORKDAY(Main[[#This Row],[Tech Start Date]],4),""))))</f>
        <v/>
      </c>
      <c r="O387" s="104" t="str">
        <f>IF(Main[[#This Row],[Tech Start Date]]&lt;1/1/1990,"",IF(Main[[#This Row],[Class]]="C",WORKDAY(Main[[#This Row],[Tech Start Date]],23),IF(Main[[#This Row],[Class]]="B", WORKDAY(Main[[#This Row],[Tech Start Date]],15),IF(Main[[#This Row],[Class]]="A",WORKDAY(Main[[#This Row],[Tech Start Date]],5),""))))</f>
        <v/>
      </c>
      <c r="P387" s="104" t="str">
        <f>IF(Main[[#This Row],[Tech Start Date]]&lt;1/1/1990,"",IF(Main[[#This Row],[Class]]="C",WORKDAY(Main[[#This Row],[Tech Start Date]],28),IF(Main[[#This Row],[Class]]="B", WORKDAY(Main[[#This Row],[Tech Start Date]],19),IF(Main[[#This Row],[Class]]="A",WORKDAY(Main[[#This Row],[Tech Start Date]],9),""))))</f>
        <v/>
      </c>
      <c r="Q387" s="101">
        <v>40390</v>
      </c>
      <c r="R387" s="101"/>
      <c r="S387" s="99" t="s">
        <v>6</v>
      </c>
      <c r="T387" s="107" t="s">
        <v>4</v>
      </c>
      <c r="U387" s="99" t="s">
        <v>14</v>
      </c>
      <c r="V387" s="99" t="s">
        <v>1965</v>
      </c>
      <c r="W387" s="99" t="s">
        <v>4</v>
      </c>
    </row>
    <row r="388" spans="1:23" ht="18.600000000000001" customHeight="1">
      <c r="A388" s="123" t="str">
        <f>IF(priority(Main[[#This Row],[Comments]])&lt;&gt;0, priority(Main[[#This Row],[Comments]]),"")</f>
        <v/>
      </c>
      <c r="B388" s="127" t="s">
        <v>1281</v>
      </c>
      <c r="C388" s="99" t="s">
        <v>315</v>
      </c>
      <c r="D388" s="100" t="s">
        <v>316</v>
      </c>
      <c r="E388" s="101"/>
      <c r="F388" s="101">
        <v>40179</v>
      </c>
      <c r="G388" s="102" t="str">
        <f>IF(stdProdLT(Main[[#This Row],[Comments]])=0.1,"N/A",IF(stdProdLT(Main[[#This Row],[Comments]])=0,"",stdProdLT(Main[[#This Row],[Comments]])))</f>
        <v/>
      </c>
      <c r="H388" s="103" t="str">
        <f>IF(AND(Main[[#This Row],[In Stock Date]]&lt;&gt;"",Main[[#This Row],[Revised Due Date]]&lt;&gt;""),Main[[#This Row],[In Stock Date]]-Main[[#This Row],[Revised Due Date]],"")</f>
        <v/>
      </c>
      <c r="I388" s="99" t="s">
        <v>4</v>
      </c>
      <c r="J388" s="99" t="s">
        <v>4</v>
      </c>
      <c r="K388" s="99" t="s">
        <v>4</v>
      </c>
      <c r="L388" s="101"/>
      <c r="M388" s="104" t="str">
        <f>IF(Main[[#This Row],[Tech Start Date]]&lt;1/1/1990,"",IF(Main[[#This Row],[Class]]="C",WORKDAY(Main[[#This Row],[Tech Start Date]],9),IF(Main[[#This Row],[Class]]="B", WORKDAY(Main[[#This Row],[Tech Start Date]],6),IF(Main[[#This Row],[Class]]="A",WORKDAY(Main[[#This Row],[Tech Start Date]],2),""))))</f>
        <v/>
      </c>
      <c r="N388" s="104" t="str">
        <f>IF(Main[[#This Row],[Tech Start Date]]&lt;1/1/1990,"",IF(Main[[#This Row],[Class]]="C",WORKDAY(Main[[#This Row],[Tech Start Date]],19),IF(Main[[#This Row],[Class]]="B", WORKDAY(Main[[#This Row],[Tech Start Date]],12),IF(Main[[#This Row],[Class]]="A",WORKDAY(Main[[#This Row],[Tech Start Date]],4),""))))</f>
        <v/>
      </c>
      <c r="O388" s="104" t="str">
        <f>IF(Main[[#This Row],[Tech Start Date]]&lt;1/1/1990,"",IF(Main[[#This Row],[Class]]="C",WORKDAY(Main[[#This Row],[Tech Start Date]],23),IF(Main[[#This Row],[Class]]="B", WORKDAY(Main[[#This Row],[Tech Start Date]],15),IF(Main[[#This Row],[Class]]="A",WORKDAY(Main[[#This Row],[Tech Start Date]],5),""))))</f>
        <v/>
      </c>
      <c r="P388" s="104" t="str">
        <f>IF(Main[[#This Row],[Tech Start Date]]&lt;1/1/1990,"",IF(Main[[#This Row],[Class]]="C",WORKDAY(Main[[#This Row],[Tech Start Date]],28),IF(Main[[#This Row],[Class]]="B", WORKDAY(Main[[#This Row],[Tech Start Date]],19),IF(Main[[#This Row],[Class]]="A",WORKDAY(Main[[#This Row],[Tech Start Date]],9),""))))</f>
        <v/>
      </c>
      <c r="Q388" s="101">
        <v>40174</v>
      </c>
      <c r="R388" s="101"/>
      <c r="S388" s="99" t="s">
        <v>11</v>
      </c>
      <c r="T388" s="107" t="s">
        <v>4</v>
      </c>
      <c r="U388" s="99" t="s">
        <v>12</v>
      </c>
      <c r="V388" s="99" t="s">
        <v>1962</v>
      </c>
      <c r="W388" s="99" t="s">
        <v>1970</v>
      </c>
    </row>
    <row r="389" spans="1:23" ht="18.600000000000001" customHeight="1">
      <c r="A389" s="123" t="str">
        <f>IF(priority(Main[[#This Row],[Comments]])&lt;&gt;0, priority(Main[[#This Row],[Comments]]),"")</f>
        <v/>
      </c>
      <c r="B389" s="127" t="s">
        <v>1282</v>
      </c>
      <c r="C389" s="99" t="s">
        <v>4</v>
      </c>
      <c r="D389" s="100" t="s">
        <v>317</v>
      </c>
      <c r="E389" s="101">
        <v>40701.550486111111</v>
      </c>
      <c r="F389" s="101"/>
      <c r="G389" s="102" t="str">
        <f>IF(stdProdLT(Main[[#This Row],[Comments]])=0.1,"N/A",IF(stdProdLT(Main[[#This Row],[Comments]])=0,"",stdProdLT(Main[[#This Row],[Comments]])))</f>
        <v/>
      </c>
      <c r="H389" s="103" t="str">
        <f>IF(AND(Main[[#This Row],[In Stock Date]]&lt;&gt;"",Main[[#This Row],[Revised Due Date]]&lt;&gt;""),Main[[#This Row],[In Stock Date]]-Main[[#This Row],[Revised Due Date]],"")</f>
        <v/>
      </c>
      <c r="I389" s="99" t="s">
        <v>4</v>
      </c>
      <c r="J389" s="99" t="s">
        <v>4</v>
      </c>
      <c r="K389" s="99" t="s">
        <v>4</v>
      </c>
      <c r="L389" s="101"/>
      <c r="M389" s="104" t="str">
        <f>IF(Main[[#This Row],[Tech Start Date]]&lt;1/1/1990,"",IF(Main[[#This Row],[Class]]="C",WORKDAY(Main[[#This Row],[Tech Start Date]],9),IF(Main[[#This Row],[Class]]="B", WORKDAY(Main[[#This Row],[Tech Start Date]],6),IF(Main[[#This Row],[Class]]="A",WORKDAY(Main[[#This Row],[Tech Start Date]],2),""))))</f>
        <v/>
      </c>
      <c r="N389" s="104" t="str">
        <f>IF(Main[[#This Row],[Tech Start Date]]&lt;1/1/1990,"",IF(Main[[#This Row],[Class]]="C",WORKDAY(Main[[#This Row],[Tech Start Date]],19),IF(Main[[#This Row],[Class]]="B", WORKDAY(Main[[#This Row],[Tech Start Date]],12),IF(Main[[#This Row],[Class]]="A",WORKDAY(Main[[#This Row],[Tech Start Date]],4),""))))</f>
        <v/>
      </c>
      <c r="O389" s="104" t="str">
        <f>IF(Main[[#This Row],[Tech Start Date]]&lt;1/1/1990,"",IF(Main[[#This Row],[Class]]="C",WORKDAY(Main[[#This Row],[Tech Start Date]],23),IF(Main[[#This Row],[Class]]="B", WORKDAY(Main[[#This Row],[Tech Start Date]],15),IF(Main[[#This Row],[Class]]="A",WORKDAY(Main[[#This Row],[Tech Start Date]],5),""))))</f>
        <v/>
      </c>
      <c r="P389" s="104" t="str">
        <f>IF(Main[[#This Row],[Tech Start Date]]&lt;1/1/1990,"",IF(Main[[#This Row],[Class]]="C",WORKDAY(Main[[#This Row],[Tech Start Date]],28),IF(Main[[#This Row],[Class]]="B", WORKDAY(Main[[#This Row],[Tech Start Date]],19),IF(Main[[#This Row],[Class]]="A",WORKDAY(Main[[#This Row],[Tech Start Date]],9),""))))</f>
        <v/>
      </c>
      <c r="Q389" s="101"/>
      <c r="R389" s="101"/>
      <c r="S389" s="99" t="s">
        <v>6</v>
      </c>
      <c r="T389" s="107" t="s">
        <v>4</v>
      </c>
      <c r="U389" s="99" t="s">
        <v>7</v>
      </c>
      <c r="V389" s="99" t="s">
        <v>1962</v>
      </c>
      <c r="W389" s="99" t="s">
        <v>4</v>
      </c>
    </row>
    <row r="390" spans="1:23" ht="18.600000000000001" customHeight="1">
      <c r="A390" s="123" t="str">
        <f>IF(priority(Main[[#This Row],[Comments]])&lt;&gt;0, priority(Main[[#This Row],[Comments]]),"")</f>
        <v/>
      </c>
      <c r="B390" s="127" t="s">
        <v>1283</v>
      </c>
      <c r="C390" s="99" t="s">
        <v>4</v>
      </c>
      <c r="D390" s="100" t="s">
        <v>318</v>
      </c>
      <c r="E390" s="101"/>
      <c r="F390" s="101"/>
      <c r="G390" s="102" t="str">
        <f>IF(stdProdLT(Main[[#This Row],[Comments]])=0.1,"N/A",IF(stdProdLT(Main[[#This Row],[Comments]])=0,"",stdProdLT(Main[[#This Row],[Comments]])))</f>
        <v/>
      </c>
      <c r="H390" s="103" t="str">
        <f>IF(AND(Main[[#This Row],[In Stock Date]]&lt;&gt;"",Main[[#This Row],[Revised Due Date]]&lt;&gt;""),Main[[#This Row],[In Stock Date]]-Main[[#This Row],[Revised Due Date]],"")</f>
        <v/>
      </c>
      <c r="I390" s="99" t="s">
        <v>4</v>
      </c>
      <c r="J390" s="99" t="s">
        <v>4</v>
      </c>
      <c r="K390" s="108" t="s">
        <v>4</v>
      </c>
      <c r="L390" s="101"/>
      <c r="M390" s="104" t="str">
        <f>IF(Main[[#This Row],[Tech Start Date]]&lt;1/1/1990,"",IF(Main[[#This Row],[Class]]="C",WORKDAY(Main[[#This Row],[Tech Start Date]],9),IF(Main[[#This Row],[Class]]="B", WORKDAY(Main[[#This Row],[Tech Start Date]],6),IF(Main[[#This Row],[Class]]="A",WORKDAY(Main[[#This Row],[Tech Start Date]],2),""))))</f>
        <v/>
      </c>
      <c r="N390" s="104" t="str">
        <f>IF(Main[[#This Row],[Tech Start Date]]&lt;1/1/1990,"",IF(Main[[#This Row],[Class]]="C",WORKDAY(Main[[#This Row],[Tech Start Date]],19),IF(Main[[#This Row],[Class]]="B", WORKDAY(Main[[#This Row],[Tech Start Date]],12),IF(Main[[#This Row],[Class]]="A",WORKDAY(Main[[#This Row],[Tech Start Date]],4),""))))</f>
        <v/>
      </c>
      <c r="O390" s="104" t="str">
        <f>IF(Main[[#This Row],[Tech Start Date]]&lt;1/1/1990,"",IF(Main[[#This Row],[Class]]="C",WORKDAY(Main[[#This Row],[Tech Start Date]],23),IF(Main[[#This Row],[Class]]="B", WORKDAY(Main[[#This Row],[Tech Start Date]],15),IF(Main[[#This Row],[Class]]="A",WORKDAY(Main[[#This Row],[Tech Start Date]],5),""))))</f>
        <v/>
      </c>
      <c r="P390" s="104" t="str">
        <f>IF(Main[[#This Row],[Tech Start Date]]&lt;1/1/1990,"",IF(Main[[#This Row],[Class]]="C",WORKDAY(Main[[#This Row],[Tech Start Date]],28),IF(Main[[#This Row],[Class]]="B", WORKDAY(Main[[#This Row],[Tech Start Date]],19),IF(Main[[#This Row],[Class]]="A",WORKDAY(Main[[#This Row],[Tech Start Date]],9),""))))</f>
        <v/>
      </c>
      <c r="Q390" s="101">
        <v>40374</v>
      </c>
      <c r="R390" s="101"/>
      <c r="S390" s="99" t="s">
        <v>11</v>
      </c>
      <c r="T390" s="107" t="s">
        <v>4</v>
      </c>
      <c r="U390" s="99" t="s">
        <v>12</v>
      </c>
      <c r="V390" s="99" t="s">
        <v>1963</v>
      </c>
      <c r="W390" s="99" t="s">
        <v>1964</v>
      </c>
    </row>
    <row r="391" spans="1:23" ht="18.600000000000001" customHeight="1">
      <c r="A391" s="123" t="str">
        <f>IF(priority(Main[[#This Row],[Comments]])&lt;&gt;0, priority(Main[[#This Row],[Comments]]),"")</f>
        <v/>
      </c>
      <c r="B391" s="127" t="s">
        <v>1284</v>
      </c>
      <c r="C391" s="99" t="s">
        <v>4</v>
      </c>
      <c r="D391" s="100" t="s">
        <v>319</v>
      </c>
      <c r="E391" s="101"/>
      <c r="F391" s="101"/>
      <c r="G391" s="102" t="str">
        <f>IF(stdProdLT(Main[[#This Row],[Comments]])=0.1,"N/A",IF(stdProdLT(Main[[#This Row],[Comments]])=0,"",stdProdLT(Main[[#This Row],[Comments]])))</f>
        <v/>
      </c>
      <c r="H391" s="103" t="str">
        <f>IF(AND(Main[[#This Row],[In Stock Date]]&lt;&gt;"",Main[[#This Row],[Revised Due Date]]&lt;&gt;""),Main[[#This Row],[In Stock Date]]-Main[[#This Row],[Revised Due Date]],"")</f>
        <v/>
      </c>
      <c r="I391" s="99" t="s">
        <v>4</v>
      </c>
      <c r="J391" s="99" t="s">
        <v>4</v>
      </c>
      <c r="K391" s="108" t="s">
        <v>4</v>
      </c>
      <c r="L391" s="101"/>
      <c r="M391" s="104" t="str">
        <f>IF(Main[[#This Row],[Tech Start Date]]&lt;1/1/1990,"",IF(Main[[#This Row],[Class]]="C",WORKDAY(Main[[#This Row],[Tech Start Date]],9),IF(Main[[#This Row],[Class]]="B", WORKDAY(Main[[#This Row],[Tech Start Date]],6),IF(Main[[#This Row],[Class]]="A",WORKDAY(Main[[#This Row],[Tech Start Date]],2),""))))</f>
        <v/>
      </c>
      <c r="N391" s="104" t="str">
        <f>IF(Main[[#This Row],[Tech Start Date]]&lt;1/1/1990,"",IF(Main[[#This Row],[Class]]="C",WORKDAY(Main[[#This Row],[Tech Start Date]],19),IF(Main[[#This Row],[Class]]="B", WORKDAY(Main[[#This Row],[Tech Start Date]],12),IF(Main[[#This Row],[Class]]="A",WORKDAY(Main[[#This Row],[Tech Start Date]],4),""))))</f>
        <v/>
      </c>
      <c r="O391" s="104" t="str">
        <f>IF(Main[[#This Row],[Tech Start Date]]&lt;1/1/1990,"",IF(Main[[#This Row],[Class]]="C",WORKDAY(Main[[#This Row],[Tech Start Date]],23),IF(Main[[#This Row],[Class]]="B", WORKDAY(Main[[#This Row],[Tech Start Date]],15),IF(Main[[#This Row],[Class]]="A",WORKDAY(Main[[#This Row],[Tech Start Date]],5),""))))</f>
        <v/>
      </c>
      <c r="P391" s="104" t="str">
        <f>IF(Main[[#This Row],[Tech Start Date]]&lt;1/1/1990,"",IF(Main[[#This Row],[Class]]="C",WORKDAY(Main[[#This Row],[Tech Start Date]],28),IF(Main[[#This Row],[Class]]="B", WORKDAY(Main[[#This Row],[Tech Start Date]],19),IF(Main[[#This Row],[Class]]="A",WORKDAY(Main[[#This Row],[Tech Start Date]],9),""))))</f>
        <v/>
      </c>
      <c r="Q391" s="101"/>
      <c r="R391" s="101"/>
      <c r="S391" s="99" t="s">
        <v>6</v>
      </c>
      <c r="T391" s="107" t="s">
        <v>4</v>
      </c>
      <c r="U391" s="99" t="s">
        <v>14</v>
      </c>
      <c r="V391" s="99" t="s">
        <v>1963</v>
      </c>
      <c r="W391" s="99" t="s">
        <v>1964</v>
      </c>
    </row>
    <row r="392" spans="1:23" ht="18.600000000000001" customHeight="1">
      <c r="A392" s="123" t="str">
        <f>IF(priority(Main[[#This Row],[Comments]])&lt;&gt;0, priority(Main[[#This Row],[Comments]]),"")</f>
        <v/>
      </c>
      <c r="B392" s="127" t="s">
        <v>1285</v>
      </c>
      <c r="C392" s="99" t="s">
        <v>200</v>
      </c>
      <c r="D392" s="100" t="s">
        <v>320</v>
      </c>
      <c r="E392" s="101"/>
      <c r="F392" s="101"/>
      <c r="G392" s="102" t="str">
        <f>IF(stdProdLT(Main[[#This Row],[Comments]])=0.1,"N/A",IF(stdProdLT(Main[[#This Row],[Comments]])=0,"",stdProdLT(Main[[#This Row],[Comments]])))</f>
        <v/>
      </c>
      <c r="H392" s="103" t="str">
        <f>IF(AND(Main[[#This Row],[In Stock Date]]&lt;&gt;"",Main[[#This Row],[Revised Due Date]]&lt;&gt;""),Main[[#This Row],[In Stock Date]]-Main[[#This Row],[Revised Due Date]],"")</f>
        <v/>
      </c>
      <c r="I392" s="99" t="s">
        <v>4</v>
      </c>
      <c r="J392" s="99" t="s">
        <v>4</v>
      </c>
      <c r="K392" s="99" t="s">
        <v>4</v>
      </c>
      <c r="L392" s="101"/>
      <c r="M392" s="104" t="str">
        <f>IF(Main[[#This Row],[Tech Start Date]]&lt;1/1/1990,"",IF(Main[[#This Row],[Class]]="C",WORKDAY(Main[[#This Row],[Tech Start Date]],9),IF(Main[[#This Row],[Class]]="B", WORKDAY(Main[[#This Row],[Tech Start Date]],6),IF(Main[[#This Row],[Class]]="A",WORKDAY(Main[[#This Row],[Tech Start Date]],2),""))))</f>
        <v/>
      </c>
      <c r="N392" s="104" t="str">
        <f>IF(Main[[#This Row],[Tech Start Date]]&lt;1/1/1990,"",IF(Main[[#This Row],[Class]]="C",WORKDAY(Main[[#This Row],[Tech Start Date]],19),IF(Main[[#This Row],[Class]]="B", WORKDAY(Main[[#This Row],[Tech Start Date]],12),IF(Main[[#This Row],[Class]]="A",WORKDAY(Main[[#This Row],[Tech Start Date]],4),""))))</f>
        <v/>
      </c>
      <c r="O392" s="104" t="str">
        <f>IF(Main[[#This Row],[Tech Start Date]]&lt;1/1/1990,"",IF(Main[[#This Row],[Class]]="C",WORKDAY(Main[[#This Row],[Tech Start Date]],23),IF(Main[[#This Row],[Class]]="B", WORKDAY(Main[[#This Row],[Tech Start Date]],15),IF(Main[[#This Row],[Class]]="A",WORKDAY(Main[[#This Row],[Tech Start Date]],5),""))))</f>
        <v/>
      </c>
      <c r="P392" s="104" t="str">
        <f>IF(Main[[#This Row],[Tech Start Date]]&lt;1/1/1990,"",IF(Main[[#This Row],[Class]]="C",WORKDAY(Main[[#This Row],[Tech Start Date]],28),IF(Main[[#This Row],[Class]]="B", WORKDAY(Main[[#This Row],[Tech Start Date]],19),IF(Main[[#This Row],[Class]]="A",WORKDAY(Main[[#This Row],[Tech Start Date]],9),""))))</f>
        <v/>
      </c>
      <c r="Q392" s="101">
        <v>40165</v>
      </c>
      <c r="R392" s="101"/>
      <c r="S392" s="99" t="s">
        <v>11</v>
      </c>
      <c r="T392" s="107" t="s">
        <v>4</v>
      </c>
      <c r="U392" s="99" t="s">
        <v>14</v>
      </c>
      <c r="V392" s="99" t="s">
        <v>1972</v>
      </c>
      <c r="W392" s="99" t="s">
        <v>1968</v>
      </c>
    </row>
    <row r="393" spans="1:23" ht="18.600000000000001" customHeight="1">
      <c r="A393" s="123" t="str">
        <f>IF(priority(Main[[#This Row],[Comments]])&lt;&gt;0, priority(Main[[#This Row],[Comments]]),"")</f>
        <v/>
      </c>
      <c r="B393" s="127" t="s">
        <v>1287</v>
      </c>
      <c r="C393" s="99" t="s">
        <v>4</v>
      </c>
      <c r="D393" s="100" t="s">
        <v>322</v>
      </c>
      <c r="E393" s="101">
        <v>40275.49355324074</v>
      </c>
      <c r="F393" s="101"/>
      <c r="G393" s="102" t="str">
        <f>IF(stdProdLT(Main[[#This Row],[Comments]])=0.1,"N/A",IF(stdProdLT(Main[[#This Row],[Comments]])=0,"",stdProdLT(Main[[#This Row],[Comments]])))</f>
        <v/>
      </c>
      <c r="H393" s="103" t="str">
        <f>IF(AND(Main[[#This Row],[In Stock Date]]&lt;&gt;"",Main[[#This Row],[Revised Due Date]]&lt;&gt;""),Main[[#This Row],[In Stock Date]]-Main[[#This Row],[Revised Due Date]],"")</f>
        <v/>
      </c>
      <c r="I393" s="99" t="s">
        <v>4</v>
      </c>
      <c r="J393" s="99" t="s">
        <v>4</v>
      </c>
      <c r="K393" s="99" t="s">
        <v>4</v>
      </c>
      <c r="L393" s="101"/>
      <c r="M393" s="104" t="str">
        <f>IF(Main[[#This Row],[Tech Start Date]]&lt;1/1/1990,"",IF(Main[[#This Row],[Class]]="C",WORKDAY(Main[[#This Row],[Tech Start Date]],9),IF(Main[[#This Row],[Class]]="B", WORKDAY(Main[[#This Row],[Tech Start Date]],6),IF(Main[[#This Row],[Class]]="A",WORKDAY(Main[[#This Row],[Tech Start Date]],2),""))))</f>
        <v/>
      </c>
      <c r="N393" s="104" t="str">
        <f>IF(Main[[#This Row],[Tech Start Date]]&lt;1/1/1990,"",IF(Main[[#This Row],[Class]]="C",WORKDAY(Main[[#This Row],[Tech Start Date]],19),IF(Main[[#This Row],[Class]]="B", WORKDAY(Main[[#This Row],[Tech Start Date]],12),IF(Main[[#This Row],[Class]]="A",WORKDAY(Main[[#This Row],[Tech Start Date]],4),""))))</f>
        <v/>
      </c>
      <c r="O393" s="104" t="str">
        <f>IF(Main[[#This Row],[Tech Start Date]]&lt;1/1/1990,"",IF(Main[[#This Row],[Class]]="C",WORKDAY(Main[[#This Row],[Tech Start Date]],23),IF(Main[[#This Row],[Class]]="B", WORKDAY(Main[[#This Row],[Tech Start Date]],15),IF(Main[[#This Row],[Class]]="A",WORKDAY(Main[[#This Row],[Tech Start Date]],5),""))))</f>
        <v/>
      </c>
      <c r="P393" s="104" t="str">
        <f>IF(Main[[#This Row],[Tech Start Date]]&lt;1/1/1990,"",IF(Main[[#This Row],[Class]]="C",WORKDAY(Main[[#This Row],[Tech Start Date]],28),IF(Main[[#This Row],[Class]]="B", WORKDAY(Main[[#This Row],[Tech Start Date]],19),IF(Main[[#This Row],[Class]]="A",WORKDAY(Main[[#This Row],[Tech Start Date]],9),""))))</f>
        <v/>
      </c>
      <c r="Q393" s="101">
        <v>40289</v>
      </c>
      <c r="R393" s="101"/>
      <c r="S393" s="99" t="s">
        <v>323</v>
      </c>
      <c r="T393" s="107" t="s">
        <v>4</v>
      </c>
      <c r="U393" s="99" t="s">
        <v>7</v>
      </c>
      <c r="V393" s="99" t="s">
        <v>1962</v>
      </c>
      <c r="W393" s="99" t="s">
        <v>1964</v>
      </c>
    </row>
    <row r="394" spans="1:23" ht="18.600000000000001" customHeight="1">
      <c r="A394" s="123" t="str">
        <f>IF(priority(Main[[#This Row],[Comments]])&lt;&gt;0, priority(Main[[#This Row],[Comments]]),"")</f>
        <v/>
      </c>
      <c r="B394" s="127" t="s">
        <v>1289</v>
      </c>
      <c r="C394" s="99" t="s">
        <v>4</v>
      </c>
      <c r="D394" s="100" t="s">
        <v>325</v>
      </c>
      <c r="E394" s="101"/>
      <c r="F394" s="101"/>
      <c r="G394" s="102" t="str">
        <f>IF(stdProdLT(Main[[#This Row],[Comments]])=0.1,"N/A",IF(stdProdLT(Main[[#This Row],[Comments]])=0,"",stdProdLT(Main[[#This Row],[Comments]])))</f>
        <v/>
      </c>
      <c r="H394" s="103" t="str">
        <f>IF(AND(Main[[#This Row],[In Stock Date]]&lt;&gt;"",Main[[#This Row],[Revised Due Date]]&lt;&gt;""),Main[[#This Row],[In Stock Date]]-Main[[#This Row],[Revised Due Date]],"")</f>
        <v/>
      </c>
      <c r="I394" s="99" t="s">
        <v>4</v>
      </c>
      <c r="J394" s="99" t="s">
        <v>28</v>
      </c>
      <c r="K394" s="108" t="s">
        <v>4</v>
      </c>
      <c r="L394" s="101"/>
      <c r="M394" s="104" t="str">
        <f>IF(Main[[#This Row],[Tech Start Date]]&lt;1/1/1990,"",IF(Main[[#This Row],[Class]]="C",WORKDAY(Main[[#This Row],[Tech Start Date]],9),IF(Main[[#This Row],[Class]]="B", WORKDAY(Main[[#This Row],[Tech Start Date]],6),IF(Main[[#This Row],[Class]]="A",WORKDAY(Main[[#This Row],[Tech Start Date]],2),""))))</f>
        <v/>
      </c>
      <c r="N394" s="104" t="str">
        <f>IF(Main[[#This Row],[Tech Start Date]]&lt;1/1/1990,"",IF(Main[[#This Row],[Class]]="C",WORKDAY(Main[[#This Row],[Tech Start Date]],19),IF(Main[[#This Row],[Class]]="B", WORKDAY(Main[[#This Row],[Tech Start Date]],12),IF(Main[[#This Row],[Class]]="A",WORKDAY(Main[[#This Row],[Tech Start Date]],4),""))))</f>
        <v/>
      </c>
      <c r="O394" s="104" t="str">
        <f>IF(Main[[#This Row],[Tech Start Date]]&lt;1/1/1990,"",IF(Main[[#This Row],[Class]]="C",WORKDAY(Main[[#This Row],[Tech Start Date]],23),IF(Main[[#This Row],[Class]]="B", WORKDAY(Main[[#This Row],[Tech Start Date]],15),IF(Main[[#This Row],[Class]]="A",WORKDAY(Main[[#This Row],[Tech Start Date]],5),""))))</f>
        <v/>
      </c>
      <c r="P394" s="104" t="str">
        <f>IF(Main[[#This Row],[Tech Start Date]]&lt;1/1/1990,"",IF(Main[[#This Row],[Class]]="C",WORKDAY(Main[[#This Row],[Tech Start Date]],28),IF(Main[[#This Row],[Class]]="B", WORKDAY(Main[[#This Row],[Tech Start Date]],19),IF(Main[[#This Row],[Class]]="A",WORKDAY(Main[[#This Row],[Tech Start Date]],9),""))))</f>
        <v/>
      </c>
      <c r="Q394" s="101"/>
      <c r="R394" s="101"/>
      <c r="S394" s="99" t="s">
        <v>17</v>
      </c>
      <c r="T394" s="107" t="s">
        <v>4</v>
      </c>
      <c r="U394" s="99" t="s">
        <v>14</v>
      </c>
      <c r="V394" s="99" t="s">
        <v>1962</v>
      </c>
      <c r="W394" s="99" t="s">
        <v>1966</v>
      </c>
    </row>
    <row r="395" spans="1:23" ht="18.600000000000001" customHeight="1">
      <c r="A395" s="123" t="str">
        <f>IF(priority(Main[[#This Row],[Comments]])&lt;&gt;0, priority(Main[[#This Row],[Comments]]),"")</f>
        <v/>
      </c>
      <c r="B395" s="127" t="s">
        <v>1290</v>
      </c>
      <c r="C395" s="99" t="s">
        <v>4</v>
      </c>
      <c r="D395" s="100" t="s">
        <v>326</v>
      </c>
      <c r="E395" s="101"/>
      <c r="F395" s="101"/>
      <c r="G395" s="102" t="str">
        <f>IF(stdProdLT(Main[[#This Row],[Comments]])=0.1,"N/A",IF(stdProdLT(Main[[#This Row],[Comments]])=0,"",stdProdLT(Main[[#This Row],[Comments]])))</f>
        <v/>
      </c>
      <c r="H395" s="103" t="str">
        <f>IF(AND(Main[[#This Row],[In Stock Date]]&lt;&gt;"",Main[[#This Row],[Revised Due Date]]&lt;&gt;""),Main[[#This Row],[In Stock Date]]-Main[[#This Row],[Revised Due Date]],"")</f>
        <v/>
      </c>
      <c r="I395" s="99" t="s">
        <v>4</v>
      </c>
      <c r="J395" s="99" t="s">
        <v>4</v>
      </c>
      <c r="K395" s="108" t="s">
        <v>4</v>
      </c>
      <c r="L395" s="101"/>
      <c r="M395" s="104" t="str">
        <f>IF(Main[[#This Row],[Tech Start Date]]&lt;1/1/1990,"",IF(Main[[#This Row],[Class]]="C",WORKDAY(Main[[#This Row],[Tech Start Date]],9),IF(Main[[#This Row],[Class]]="B", WORKDAY(Main[[#This Row],[Tech Start Date]],6),IF(Main[[#This Row],[Class]]="A",WORKDAY(Main[[#This Row],[Tech Start Date]],2),""))))</f>
        <v/>
      </c>
      <c r="N395" s="104" t="str">
        <f>IF(Main[[#This Row],[Tech Start Date]]&lt;1/1/1990,"",IF(Main[[#This Row],[Class]]="C",WORKDAY(Main[[#This Row],[Tech Start Date]],19),IF(Main[[#This Row],[Class]]="B", WORKDAY(Main[[#This Row],[Tech Start Date]],12),IF(Main[[#This Row],[Class]]="A",WORKDAY(Main[[#This Row],[Tech Start Date]],4),""))))</f>
        <v/>
      </c>
      <c r="O395" s="104" t="str">
        <f>IF(Main[[#This Row],[Tech Start Date]]&lt;1/1/1990,"",IF(Main[[#This Row],[Class]]="C",WORKDAY(Main[[#This Row],[Tech Start Date]],23),IF(Main[[#This Row],[Class]]="B", WORKDAY(Main[[#This Row],[Tech Start Date]],15),IF(Main[[#This Row],[Class]]="A",WORKDAY(Main[[#This Row],[Tech Start Date]],5),""))))</f>
        <v/>
      </c>
      <c r="P395" s="104" t="str">
        <f>IF(Main[[#This Row],[Tech Start Date]]&lt;1/1/1990,"",IF(Main[[#This Row],[Class]]="C",WORKDAY(Main[[#This Row],[Tech Start Date]],28),IF(Main[[#This Row],[Class]]="B", WORKDAY(Main[[#This Row],[Tech Start Date]],19),IF(Main[[#This Row],[Class]]="A",WORKDAY(Main[[#This Row],[Tech Start Date]],9),""))))</f>
        <v/>
      </c>
      <c r="Q395" s="101">
        <v>40725</v>
      </c>
      <c r="R395" s="101"/>
      <c r="S395" s="99" t="s">
        <v>17</v>
      </c>
      <c r="T395" s="107" t="s">
        <v>4</v>
      </c>
      <c r="U395" s="99" t="s">
        <v>14</v>
      </c>
      <c r="V395" s="99" t="s">
        <v>1962</v>
      </c>
      <c r="W395" s="99" t="s">
        <v>1964</v>
      </c>
    </row>
    <row r="396" spans="1:23" ht="18.600000000000001" customHeight="1">
      <c r="A396" s="123" t="str">
        <f>IF(priority(Main[[#This Row],[Comments]])&lt;&gt;0, priority(Main[[#This Row],[Comments]]),"")</f>
        <v/>
      </c>
      <c r="B396" s="127" t="s">
        <v>1291</v>
      </c>
      <c r="C396" s="99" t="s">
        <v>93</v>
      </c>
      <c r="D396" s="100" t="s">
        <v>327</v>
      </c>
      <c r="E396" s="101"/>
      <c r="F396" s="101">
        <v>40168</v>
      </c>
      <c r="G396" s="102" t="str">
        <f>IF(stdProdLT(Main[[#This Row],[Comments]])=0.1,"N/A",IF(stdProdLT(Main[[#This Row],[Comments]])=0,"",stdProdLT(Main[[#This Row],[Comments]])))</f>
        <v/>
      </c>
      <c r="H396" s="103" t="str">
        <f>IF(AND(Main[[#This Row],[In Stock Date]]&lt;&gt;"",Main[[#This Row],[Revised Due Date]]&lt;&gt;""),Main[[#This Row],[In Stock Date]]-Main[[#This Row],[Revised Due Date]],"")</f>
        <v/>
      </c>
      <c r="I396" s="99" t="s">
        <v>4</v>
      </c>
      <c r="J396" s="99" t="s">
        <v>4</v>
      </c>
      <c r="K396" s="99" t="s">
        <v>4</v>
      </c>
      <c r="L396" s="101"/>
      <c r="M396" s="104" t="str">
        <f>IF(Main[[#This Row],[Tech Start Date]]&lt;1/1/1990,"",IF(Main[[#This Row],[Class]]="C",WORKDAY(Main[[#This Row],[Tech Start Date]],9),IF(Main[[#This Row],[Class]]="B", WORKDAY(Main[[#This Row],[Tech Start Date]],6),IF(Main[[#This Row],[Class]]="A",WORKDAY(Main[[#This Row],[Tech Start Date]],2),""))))</f>
        <v/>
      </c>
      <c r="N396" s="104" t="str">
        <f>IF(Main[[#This Row],[Tech Start Date]]&lt;1/1/1990,"",IF(Main[[#This Row],[Class]]="C",WORKDAY(Main[[#This Row],[Tech Start Date]],19),IF(Main[[#This Row],[Class]]="B", WORKDAY(Main[[#This Row],[Tech Start Date]],12),IF(Main[[#This Row],[Class]]="A",WORKDAY(Main[[#This Row],[Tech Start Date]],4),""))))</f>
        <v/>
      </c>
      <c r="O396" s="104" t="str">
        <f>IF(Main[[#This Row],[Tech Start Date]]&lt;1/1/1990,"",IF(Main[[#This Row],[Class]]="C",WORKDAY(Main[[#This Row],[Tech Start Date]],23),IF(Main[[#This Row],[Class]]="B", WORKDAY(Main[[#This Row],[Tech Start Date]],15),IF(Main[[#This Row],[Class]]="A",WORKDAY(Main[[#This Row],[Tech Start Date]],5),""))))</f>
        <v/>
      </c>
      <c r="P396" s="104" t="str">
        <f>IF(Main[[#This Row],[Tech Start Date]]&lt;1/1/1990,"",IF(Main[[#This Row],[Class]]="C",WORKDAY(Main[[#This Row],[Tech Start Date]],28),IF(Main[[#This Row],[Class]]="B", WORKDAY(Main[[#This Row],[Tech Start Date]],19),IF(Main[[#This Row],[Class]]="A",WORKDAY(Main[[#This Row],[Tech Start Date]],9),""))))</f>
        <v/>
      </c>
      <c r="Q396" s="101">
        <v>39993</v>
      </c>
      <c r="R396" s="101"/>
      <c r="S396" s="99" t="s">
        <v>11</v>
      </c>
      <c r="T396" s="107" t="s">
        <v>4</v>
      </c>
      <c r="U396" s="99" t="s">
        <v>14</v>
      </c>
      <c r="V396" s="99" t="s">
        <v>1963</v>
      </c>
      <c r="W396" s="99" t="s">
        <v>1970</v>
      </c>
    </row>
    <row r="397" spans="1:23" ht="18.600000000000001" customHeight="1">
      <c r="A397" s="123" t="str">
        <f>IF(priority(Main[[#This Row],[Comments]])&lt;&gt;0, priority(Main[[#This Row],[Comments]]),"")</f>
        <v/>
      </c>
      <c r="B397" s="127" t="s">
        <v>1292</v>
      </c>
      <c r="C397" s="99" t="s">
        <v>93</v>
      </c>
      <c r="D397" s="100" t="s">
        <v>328</v>
      </c>
      <c r="E397" s="101"/>
      <c r="F397" s="101">
        <v>40299</v>
      </c>
      <c r="G397" s="102" t="str">
        <f>IF(stdProdLT(Main[[#This Row],[Comments]])=0.1,"N/A",IF(stdProdLT(Main[[#This Row],[Comments]])=0,"",stdProdLT(Main[[#This Row],[Comments]])))</f>
        <v/>
      </c>
      <c r="H397" s="103" t="str">
        <f>IF(AND(Main[[#This Row],[In Stock Date]]&lt;&gt;"",Main[[#This Row],[Revised Due Date]]&lt;&gt;""),Main[[#This Row],[In Stock Date]]-Main[[#This Row],[Revised Due Date]],"")</f>
        <v/>
      </c>
      <c r="I397" s="99" t="s">
        <v>4</v>
      </c>
      <c r="J397" s="99" t="s">
        <v>4</v>
      </c>
      <c r="K397" s="99" t="s">
        <v>4</v>
      </c>
      <c r="L397" s="101"/>
      <c r="M397" s="104" t="str">
        <f>IF(Main[[#This Row],[Tech Start Date]]&lt;1/1/1990,"",IF(Main[[#This Row],[Class]]="C",WORKDAY(Main[[#This Row],[Tech Start Date]],9),IF(Main[[#This Row],[Class]]="B", WORKDAY(Main[[#This Row],[Tech Start Date]],6),IF(Main[[#This Row],[Class]]="A",WORKDAY(Main[[#This Row],[Tech Start Date]],2),""))))</f>
        <v/>
      </c>
      <c r="N397" s="104" t="str">
        <f>IF(Main[[#This Row],[Tech Start Date]]&lt;1/1/1990,"",IF(Main[[#This Row],[Class]]="C",WORKDAY(Main[[#This Row],[Tech Start Date]],19),IF(Main[[#This Row],[Class]]="B", WORKDAY(Main[[#This Row],[Tech Start Date]],12),IF(Main[[#This Row],[Class]]="A",WORKDAY(Main[[#This Row],[Tech Start Date]],4),""))))</f>
        <v/>
      </c>
      <c r="O397" s="104" t="str">
        <f>IF(Main[[#This Row],[Tech Start Date]]&lt;1/1/1990,"",IF(Main[[#This Row],[Class]]="C",WORKDAY(Main[[#This Row],[Tech Start Date]],23),IF(Main[[#This Row],[Class]]="B", WORKDAY(Main[[#This Row],[Tech Start Date]],15),IF(Main[[#This Row],[Class]]="A",WORKDAY(Main[[#This Row],[Tech Start Date]],5),""))))</f>
        <v/>
      </c>
      <c r="P397" s="104" t="str">
        <f>IF(Main[[#This Row],[Tech Start Date]]&lt;1/1/1990,"",IF(Main[[#This Row],[Class]]="C",WORKDAY(Main[[#This Row],[Tech Start Date]],28),IF(Main[[#This Row],[Class]]="B", WORKDAY(Main[[#This Row],[Tech Start Date]],19),IF(Main[[#This Row],[Class]]="A",WORKDAY(Main[[#This Row],[Tech Start Date]],9),""))))</f>
        <v/>
      </c>
      <c r="Q397" s="101">
        <v>40214</v>
      </c>
      <c r="R397" s="101"/>
      <c r="S397" s="99" t="s">
        <v>11</v>
      </c>
      <c r="T397" s="107" t="s">
        <v>4</v>
      </c>
      <c r="U397" s="99" t="s">
        <v>12</v>
      </c>
      <c r="V397" s="99" t="s">
        <v>1962</v>
      </c>
      <c r="W397" s="99" t="s">
        <v>1968</v>
      </c>
    </row>
    <row r="398" spans="1:23" ht="18.600000000000001" customHeight="1">
      <c r="A398" s="123" t="str">
        <f>IF(priority(Main[[#This Row],[Comments]])&lt;&gt;0, priority(Main[[#This Row],[Comments]]),"")</f>
        <v/>
      </c>
      <c r="B398" s="127" t="s">
        <v>1293</v>
      </c>
      <c r="C398" s="99" t="s">
        <v>4</v>
      </c>
      <c r="D398" s="100" t="s">
        <v>333</v>
      </c>
      <c r="E398" s="101"/>
      <c r="F398" s="101"/>
      <c r="G398" s="102" t="str">
        <f>IF(stdProdLT(Main[[#This Row],[Comments]])=0.1,"N/A",IF(stdProdLT(Main[[#This Row],[Comments]])=0,"",stdProdLT(Main[[#This Row],[Comments]])))</f>
        <v/>
      </c>
      <c r="H398" s="103" t="str">
        <f>IF(AND(Main[[#This Row],[In Stock Date]]&lt;&gt;"",Main[[#This Row],[Revised Due Date]]&lt;&gt;""),Main[[#This Row],[In Stock Date]]-Main[[#This Row],[Revised Due Date]],"")</f>
        <v/>
      </c>
      <c r="I398" s="99" t="s">
        <v>4</v>
      </c>
      <c r="J398" s="99" t="s">
        <v>4</v>
      </c>
      <c r="K398" s="99" t="s">
        <v>4</v>
      </c>
      <c r="L398" s="101"/>
      <c r="M398" s="104" t="str">
        <f>IF(Main[[#This Row],[Tech Start Date]]&lt;1/1/1990,"",IF(Main[[#This Row],[Class]]="C",WORKDAY(Main[[#This Row],[Tech Start Date]],9),IF(Main[[#This Row],[Class]]="B", WORKDAY(Main[[#This Row],[Tech Start Date]],6),IF(Main[[#This Row],[Class]]="A",WORKDAY(Main[[#This Row],[Tech Start Date]],2),""))))</f>
        <v/>
      </c>
      <c r="N398" s="104" t="str">
        <f>IF(Main[[#This Row],[Tech Start Date]]&lt;1/1/1990,"",IF(Main[[#This Row],[Class]]="C",WORKDAY(Main[[#This Row],[Tech Start Date]],19),IF(Main[[#This Row],[Class]]="B", WORKDAY(Main[[#This Row],[Tech Start Date]],12),IF(Main[[#This Row],[Class]]="A",WORKDAY(Main[[#This Row],[Tech Start Date]],4),""))))</f>
        <v/>
      </c>
      <c r="O398" s="104" t="str">
        <f>IF(Main[[#This Row],[Tech Start Date]]&lt;1/1/1990,"",IF(Main[[#This Row],[Class]]="C",WORKDAY(Main[[#This Row],[Tech Start Date]],23),IF(Main[[#This Row],[Class]]="B", WORKDAY(Main[[#This Row],[Tech Start Date]],15),IF(Main[[#This Row],[Class]]="A",WORKDAY(Main[[#This Row],[Tech Start Date]],5),""))))</f>
        <v/>
      </c>
      <c r="P398" s="104" t="str">
        <f>IF(Main[[#This Row],[Tech Start Date]]&lt;1/1/1990,"",IF(Main[[#This Row],[Class]]="C",WORKDAY(Main[[#This Row],[Tech Start Date]],28),IF(Main[[#This Row],[Class]]="B", WORKDAY(Main[[#This Row],[Tech Start Date]],19),IF(Main[[#This Row],[Class]]="A",WORKDAY(Main[[#This Row],[Tech Start Date]],9),""))))</f>
        <v/>
      </c>
      <c r="Q398" s="101"/>
      <c r="R398" s="101"/>
      <c r="S398" s="99" t="s">
        <v>17</v>
      </c>
      <c r="T398" s="107" t="s">
        <v>4</v>
      </c>
      <c r="U398" s="99" t="s">
        <v>14</v>
      </c>
      <c r="V398" s="99" t="s">
        <v>1962</v>
      </c>
      <c r="W398" s="99" t="s">
        <v>1964</v>
      </c>
    </row>
    <row r="399" spans="1:23" ht="18.600000000000001" customHeight="1">
      <c r="A399" s="123" t="str">
        <f>IF(priority(Main[[#This Row],[Comments]])&lt;&gt;0, priority(Main[[#This Row],[Comments]]),"")</f>
        <v/>
      </c>
      <c r="B399" s="127" t="s">
        <v>1294</v>
      </c>
      <c r="C399" s="99" t="s">
        <v>4</v>
      </c>
      <c r="D399" s="100" t="s">
        <v>334</v>
      </c>
      <c r="E399" s="101">
        <v>40519.3518287037</v>
      </c>
      <c r="F399" s="101"/>
      <c r="G399" s="102" t="str">
        <f>IF(stdProdLT(Main[[#This Row],[Comments]])=0.1,"N/A",IF(stdProdLT(Main[[#This Row],[Comments]])=0,"",stdProdLT(Main[[#This Row],[Comments]])))</f>
        <v/>
      </c>
      <c r="H399" s="103" t="str">
        <f>IF(AND(Main[[#This Row],[In Stock Date]]&lt;&gt;"",Main[[#This Row],[Revised Due Date]]&lt;&gt;""),Main[[#This Row],[In Stock Date]]-Main[[#This Row],[Revised Due Date]],"")</f>
        <v/>
      </c>
      <c r="I399" s="99" t="s">
        <v>4</v>
      </c>
      <c r="J399" s="99" t="s">
        <v>4</v>
      </c>
      <c r="K399" s="99" t="s">
        <v>4</v>
      </c>
      <c r="L399" s="101"/>
      <c r="M399" s="104" t="str">
        <f>IF(Main[[#This Row],[Tech Start Date]]&lt;1/1/1990,"",IF(Main[[#This Row],[Class]]="C",WORKDAY(Main[[#This Row],[Tech Start Date]],9),IF(Main[[#This Row],[Class]]="B", WORKDAY(Main[[#This Row],[Tech Start Date]],6),IF(Main[[#This Row],[Class]]="A",WORKDAY(Main[[#This Row],[Tech Start Date]],2),""))))</f>
        <v/>
      </c>
      <c r="N399" s="104" t="str">
        <f>IF(Main[[#This Row],[Tech Start Date]]&lt;1/1/1990,"",IF(Main[[#This Row],[Class]]="C",WORKDAY(Main[[#This Row],[Tech Start Date]],19),IF(Main[[#This Row],[Class]]="B", WORKDAY(Main[[#This Row],[Tech Start Date]],12),IF(Main[[#This Row],[Class]]="A",WORKDAY(Main[[#This Row],[Tech Start Date]],4),""))))</f>
        <v/>
      </c>
      <c r="O399" s="104" t="str">
        <f>IF(Main[[#This Row],[Tech Start Date]]&lt;1/1/1990,"",IF(Main[[#This Row],[Class]]="C",WORKDAY(Main[[#This Row],[Tech Start Date]],23),IF(Main[[#This Row],[Class]]="B", WORKDAY(Main[[#This Row],[Tech Start Date]],15),IF(Main[[#This Row],[Class]]="A",WORKDAY(Main[[#This Row],[Tech Start Date]],5),""))))</f>
        <v/>
      </c>
      <c r="P399" s="104" t="str">
        <f>IF(Main[[#This Row],[Tech Start Date]]&lt;1/1/1990,"",IF(Main[[#This Row],[Class]]="C",WORKDAY(Main[[#This Row],[Tech Start Date]],28),IF(Main[[#This Row],[Class]]="B", WORKDAY(Main[[#This Row],[Tech Start Date]],19),IF(Main[[#This Row],[Class]]="A",WORKDAY(Main[[#This Row],[Tech Start Date]],9),""))))</f>
        <v/>
      </c>
      <c r="Q399" s="101">
        <v>40536</v>
      </c>
      <c r="R399" s="101"/>
      <c r="S399" s="99" t="s">
        <v>4</v>
      </c>
      <c r="T399" s="107" t="s">
        <v>4</v>
      </c>
      <c r="U399" s="99" t="s">
        <v>7</v>
      </c>
      <c r="V399" s="99" t="s">
        <v>1962</v>
      </c>
      <c r="W399" s="99" t="s">
        <v>4</v>
      </c>
    </row>
    <row r="400" spans="1:23" ht="18.600000000000001" customHeight="1">
      <c r="A400" s="123" t="str">
        <f>IF(priority(Main[[#This Row],[Comments]])&lt;&gt;0, priority(Main[[#This Row],[Comments]]),"")</f>
        <v/>
      </c>
      <c r="B400" s="127" t="s">
        <v>1295</v>
      </c>
      <c r="C400" s="99" t="s">
        <v>72</v>
      </c>
      <c r="D400" s="100" t="s">
        <v>335</v>
      </c>
      <c r="E400" s="101"/>
      <c r="F400" s="101">
        <v>40313</v>
      </c>
      <c r="G400" s="102" t="str">
        <f>IF(stdProdLT(Main[[#This Row],[Comments]])=0.1,"N/A",IF(stdProdLT(Main[[#This Row],[Comments]])=0,"",stdProdLT(Main[[#This Row],[Comments]])))</f>
        <v/>
      </c>
      <c r="H400" s="103" t="str">
        <f>IF(AND(Main[[#This Row],[In Stock Date]]&lt;&gt;"",Main[[#This Row],[Revised Due Date]]&lt;&gt;""),Main[[#This Row],[In Stock Date]]-Main[[#This Row],[Revised Due Date]],"")</f>
        <v/>
      </c>
      <c r="I400" s="99" t="s">
        <v>4</v>
      </c>
      <c r="J400" s="99" t="s">
        <v>4</v>
      </c>
      <c r="K400" s="99" t="s">
        <v>4</v>
      </c>
      <c r="L400" s="101"/>
      <c r="M400" s="104" t="str">
        <f>IF(Main[[#This Row],[Tech Start Date]]&lt;1/1/1990,"",IF(Main[[#This Row],[Class]]="C",WORKDAY(Main[[#This Row],[Tech Start Date]],9),IF(Main[[#This Row],[Class]]="B", WORKDAY(Main[[#This Row],[Tech Start Date]],6),IF(Main[[#This Row],[Class]]="A",WORKDAY(Main[[#This Row],[Tech Start Date]],2),""))))</f>
        <v/>
      </c>
      <c r="N400" s="104" t="str">
        <f>IF(Main[[#This Row],[Tech Start Date]]&lt;1/1/1990,"",IF(Main[[#This Row],[Class]]="C",WORKDAY(Main[[#This Row],[Tech Start Date]],19),IF(Main[[#This Row],[Class]]="B", WORKDAY(Main[[#This Row],[Tech Start Date]],12),IF(Main[[#This Row],[Class]]="A",WORKDAY(Main[[#This Row],[Tech Start Date]],4),""))))</f>
        <v/>
      </c>
      <c r="O400" s="104" t="str">
        <f>IF(Main[[#This Row],[Tech Start Date]]&lt;1/1/1990,"",IF(Main[[#This Row],[Class]]="C",WORKDAY(Main[[#This Row],[Tech Start Date]],23),IF(Main[[#This Row],[Class]]="B", WORKDAY(Main[[#This Row],[Tech Start Date]],15),IF(Main[[#This Row],[Class]]="A",WORKDAY(Main[[#This Row],[Tech Start Date]],5),""))))</f>
        <v/>
      </c>
      <c r="P400" s="104" t="str">
        <f>IF(Main[[#This Row],[Tech Start Date]]&lt;1/1/1990,"",IF(Main[[#This Row],[Class]]="C",WORKDAY(Main[[#This Row],[Tech Start Date]],28),IF(Main[[#This Row],[Class]]="B", WORKDAY(Main[[#This Row],[Tech Start Date]],19),IF(Main[[#This Row],[Class]]="A",WORKDAY(Main[[#This Row],[Tech Start Date]],9),""))))</f>
        <v/>
      </c>
      <c r="Q400" s="101">
        <v>40233</v>
      </c>
      <c r="R400" s="101"/>
      <c r="S400" s="99" t="s">
        <v>11</v>
      </c>
      <c r="T400" s="107" t="s">
        <v>4</v>
      </c>
      <c r="U400" s="99" t="s">
        <v>14</v>
      </c>
      <c r="V400" s="99" t="s">
        <v>1965</v>
      </c>
      <c r="W400" s="99" t="s">
        <v>1970</v>
      </c>
    </row>
    <row r="401" spans="1:23" ht="18.600000000000001" customHeight="1">
      <c r="A401" s="123" t="str">
        <f>IF(priority(Main[[#This Row],[Comments]])&lt;&gt;0, priority(Main[[#This Row],[Comments]]),"")</f>
        <v/>
      </c>
      <c r="B401" s="127" t="s">
        <v>1296</v>
      </c>
      <c r="C401" s="99" t="s">
        <v>4</v>
      </c>
      <c r="D401" s="100" t="s">
        <v>336</v>
      </c>
      <c r="E401" s="101"/>
      <c r="F401" s="101"/>
      <c r="G401" s="102" t="str">
        <f>IF(stdProdLT(Main[[#This Row],[Comments]])=0.1,"N/A",IF(stdProdLT(Main[[#This Row],[Comments]])=0,"",stdProdLT(Main[[#This Row],[Comments]])))</f>
        <v/>
      </c>
      <c r="H401" s="103" t="str">
        <f>IF(AND(Main[[#This Row],[In Stock Date]]&lt;&gt;"",Main[[#This Row],[Revised Due Date]]&lt;&gt;""),Main[[#This Row],[In Stock Date]]-Main[[#This Row],[Revised Due Date]],"")</f>
        <v/>
      </c>
      <c r="I401" s="99" t="s">
        <v>4</v>
      </c>
      <c r="J401" s="99" t="s">
        <v>4</v>
      </c>
      <c r="K401" s="108" t="s">
        <v>4</v>
      </c>
      <c r="L401" s="101"/>
      <c r="M401" s="104" t="str">
        <f>IF(Main[[#This Row],[Tech Start Date]]&lt;1/1/1990,"",IF(Main[[#This Row],[Class]]="C",WORKDAY(Main[[#This Row],[Tech Start Date]],9),IF(Main[[#This Row],[Class]]="B", WORKDAY(Main[[#This Row],[Tech Start Date]],6),IF(Main[[#This Row],[Class]]="A",WORKDAY(Main[[#This Row],[Tech Start Date]],2),""))))</f>
        <v/>
      </c>
      <c r="N401" s="104" t="str">
        <f>IF(Main[[#This Row],[Tech Start Date]]&lt;1/1/1990,"",IF(Main[[#This Row],[Class]]="C",WORKDAY(Main[[#This Row],[Tech Start Date]],19),IF(Main[[#This Row],[Class]]="B", WORKDAY(Main[[#This Row],[Tech Start Date]],12),IF(Main[[#This Row],[Class]]="A",WORKDAY(Main[[#This Row],[Tech Start Date]],4),""))))</f>
        <v/>
      </c>
      <c r="O401" s="104" t="str">
        <f>IF(Main[[#This Row],[Tech Start Date]]&lt;1/1/1990,"",IF(Main[[#This Row],[Class]]="C",WORKDAY(Main[[#This Row],[Tech Start Date]],23),IF(Main[[#This Row],[Class]]="B", WORKDAY(Main[[#This Row],[Tech Start Date]],15),IF(Main[[#This Row],[Class]]="A",WORKDAY(Main[[#This Row],[Tech Start Date]],5),""))))</f>
        <v/>
      </c>
      <c r="P401" s="104" t="str">
        <f>IF(Main[[#This Row],[Tech Start Date]]&lt;1/1/1990,"",IF(Main[[#This Row],[Class]]="C",WORKDAY(Main[[#This Row],[Tech Start Date]],28),IF(Main[[#This Row],[Class]]="B", WORKDAY(Main[[#This Row],[Tech Start Date]],19),IF(Main[[#This Row],[Class]]="A",WORKDAY(Main[[#This Row],[Tech Start Date]],9),""))))</f>
        <v/>
      </c>
      <c r="Q401" s="101"/>
      <c r="R401" s="101"/>
      <c r="S401" s="99" t="s">
        <v>11</v>
      </c>
      <c r="T401" s="107" t="s">
        <v>4</v>
      </c>
      <c r="U401" s="99" t="s">
        <v>12</v>
      </c>
      <c r="V401" s="99" t="s">
        <v>1962</v>
      </c>
      <c r="W401" s="99" t="s">
        <v>1976</v>
      </c>
    </row>
    <row r="402" spans="1:23" ht="18.600000000000001" customHeight="1">
      <c r="A402" s="123" t="str">
        <f>IF(priority(Main[[#This Row],[Comments]])&lt;&gt;0, priority(Main[[#This Row],[Comments]]),"")</f>
        <v/>
      </c>
      <c r="B402" s="127" t="s">
        <v>1297</v>
      </c>
      <c r="C402" s="99" t="s">
        <v>4</v>
      </c>
      <c r="D402" s="100" t="s">
        <v>337</v>
      </c>
      <c r="E402" s="101">
        <v>40322.153738425928</v>
      </c>
      <c r="F402" s="101"/>
      <c r="G402" s="102" t="str">
        <f>IF(stdProdLT(Main[[#This Row],[Comments]])=0.1,"N/A",IF(stdProdLT(Main[[#This Row],[Comments]])=0,"",stdProdLT(Main[[#This Row],[Comments]])))</f>
        <v/>
      </c>
      <c r="H402" s="103" t="str">
        <f>IF(AND(Main[[#This Row],[In Stock Date]]&lt;&gt;"",Main[[#This Row],[Revised Due Date]]&lt;&gt;""),Main[[#This Row],[In Stock Date]]-Main[[#This Row],[Revised Due Date]],"")</f>
        <v/>
      </c>
      <c r="I402" s="99" t="s">
        <v>129</v>
      </c>
      <c r="J402" s="99" t="s">
        <v>4</v>
      </c>
      <c r="K402" s="99" t="s">
        <v>4</v>
      </c>
      <c r="L402" s="101"/>
      <c r="M402" s="104" t="str">
        <f>IF(Main[[#This Row],[Tech Start Date]]&lt;1/1/1990,"",IF(Main[[#This Row],[Class]]="C",WORKDAY(Main[[#This Row],[Tech Start Date]],9),IF(Main[[#This Row],[Class]]="B", WORKDAY(Main[[#This Row],[Tech Start Date]],6),IF(Main[[#This Row],[Class]]="A",WORKDAY(Main[[#This Row],[Tech Start Date]],2),""))))</f>
        <v/>
      </c>
      <c r="N402" s="104" t="str">
        <f>IF(Main[[#This Row],[Tech Start Date]]&lt;1/1/1990,"",IF(Main[[#This Row],[Class]]="C",WORKDAY(Main[[#This Row],[Tech Start Date]],19),IF(Main[[#This Row],[Class]]="B", WORKDAY(Main[[#This Row],[Tech Start Date]],12),IF(Main[[#This Row],[Class]]="A",WORKDAY(Main[[#This Row],[Tech Start Date]],4),""))))</f>
        <v/>
      </c>
      <c r="O402" s="104" t="str">
        <f>IF(Main[[#This Row],[Tech Start Date]]&lt;1/1/1990,"",IF(Main[[#This Row],[Class]]="C",WORKDAY(Main[[#This Row],[Tech Start Date]],23),IF(Main[[#This Row],[Class]]="B", WORKDAY(Main[[#This Row],[Tech Start Date]],15),IF(Main[[#This Row],[Class]]="A",WORKDAY(Main[[#This Row],[Tech Start Date]],5),""))))</f>
        <v/>
      </c>
      <c r="P402" s="104" t="str">
        <f>IF(Main[[#This Row],[Tech Start Date]]&lt;1/1/1990,"",IF(Main[[#This Row],[Class]]="C",WORKDAY(Main[[#This Row],[Tech Start Date]],28),IF(Main[[#This Row],[Class]]="B", WORKDAY(Main[[#This Row],[Tech Start Date]],19),IF(Main[[#This Row],[Class]]="A",WORKDAY(Main[[#This Row],[Tech Start Date]],9),""))))</f>
        <v/>
      </c>
      <c r="Q402" s="101">
        <v>40353</v>
      </c>
      <c r="R402" s="101"/>
      <c r="S402" s="99" t="s">
        <v>6</v>
      </c>
      <c r="T402" s="107" t="s">
        <v>4</v>
      </c>
      <c r="U402" s="99" t="s">
        <v>7</v>
      </c>
      <c r="V402" s="99" t="s">
        <v>1962</v>
      </c>
      <c r="W402" s="99" t="s">
        <v>1964</v>
      </c>
    </row>
    <row r="403" spans="1:23" ht="18.600000000000001" customHeight="1">
      <c r="A403" s="123" t="str">
        <f>IF(priority(Main[[#This Row],[Comments]])&lt;&gt;0, priority(Main[[#This Row],[Comments]]),"")</f>
        <v/>
      </c>
      <c r="B403" s="127" t="s">
        <v>1298</v>
      </c>
      <c r="C403" s="99" t="s">
        <v>171</v>
      </c>
      <c r="D403" s="100" t="s">
        <v>338</v>
      </c>
      <c r="E403" s="101"/>
      <c r="F403" s="101">
        <v>40237</v>
      </c>
      <c r="G403" s="102" t="str">
        <f>IF(stdProdLT(Main[[#This Row],[Comments]])=0.1,"N/A",IF(stdProdLT(Main[[#This Row],[Comments]])=0,"",stdProdLT(Main[[#This Row],[Comments]])))</f>
        <v/>
      </c>
      <c r="H403" s="103" t="str">
        <f>IF(AND(Main[[#This Row],[In Stock Date]]&lt;&gt;"",Main[[#This Row],[Revised Due Date]]&lt;&gt;""),Main[[#This Row],[In Stock Date]]-Main[[#This Row],[Revised Due Date]],"")</f>
        <v/>
      </c>
      <c r="I403" s="99" t="s">
        <v>4</v>
      </c>
      <c r="J403" s="99" t="s">
        <v>4</v>
      </c>
      <c r="K403" s="99" t="s">
        <v>4</v>
      </c>
      <c r="L403" s="101"/>
      <c r="M403" s="104" t="str">
        <f>IF(Main[[#This Row],[Tech Start Date]]&lt;1/1/1990,"",IF(Main[[#This Row],[Class]]="C",WORKDAY(Main[[#This Row],[Tech Start Date]],9),IF(Main[[#This Row],[Class]]="B", WORKDAY(Main[[#This Row],[Tech Start Date]],6),IF(Main[[#This Row],[Class]]="A",WORKDAY(Main[[#This Row],[Tech Start Date]],2),""))))</f>
        <v/>
      </c>
      <c r="N403" s="104" t="str">
        <f>IF(Main[[#This Row],[Tech Start Date]]&lt;1/1/1990,"",IF(Main[[#This Row],[Class]]="C",WORKDAY(Main[[#This Row],[Tech Start Date]],19),IF(Main[[#This Row],[Class]]="B", WORKDAY(Main[[#This Row],[Tech Start Date]],12),IF(Main[[#This Row],[Class]]="A",WORKDAY(Main[[#This Row],[Tech Start Date]],4),""))))</f>
        <v/>
      </c>
      <c r="O403" s="104" t="str">
        <f>IF(Main[[#This Row],[Tech Start Date]]&lt;1/1/1990,"",IF(Main[[#This Row],[Class]]="C",WORKDAY(Main[[#This Row],[Tech Start Date]],23),IF(Main[[#This Row],[Class]]="B", WORKDAY(Main[[#This Row],[Tech Start Date]],15),IF(Main[[#This Row],[Class]]="A",WORKDAY(Main[[#This Row],[Tech Start Date]],5),""))))</f>
        <v/>
      </c>
      <c r="P403" s="104" t="str">
        <f>IF(Main[[#This Row],[Tech Start Date]]&lt;1/1/1990,"",IF(Main[[#This Row],[Class]]="C",WORKDAY(Main[[#This Row],[Tech Start Date]],28),IF(Main[[#This Row],[Class]]="B", WORKDAY(Main[[#This Row],[Tech Start Date]],19),IF(Main[[#This Row],[Class]]="A",WORKDAY(Main[[#This Row],[Tech Start Date]],9),""))))</f>
        <v/>
      </c>
      <c r="Q403" s="101">
        <v>40132</v>
      </c>
      <c r="R403" s="101"/>
      <c r="S403" s="99" t="s">
        <v>11</v>
      </c>
      <c r="T403" s="107" t="s">
        <v>4</v>
      </c>
      <c r="U403" s="99" t="s">
        <v>14</v>
      </c>
      <c r="V403" s="99" t="s">
        <v>1962</v>
      </c>
      <c r="W403" s="99" t="s">
        <v>1967</v>
      </c>
    </row>
    <row r="404" spans="1:23" ht="18.600000000000001" customHeight="1">
      <c r="A404" s="123" t="str">
        <f>IF(priority(Main[[#This Row],[Comments]])&lt;&gt;0, priority(Main[[#This Row],[Comments]]),"")</f>
        <v/>
      </c>
      <c r="B404" s="127" t="s">
        <v>1299</v>
      </c>
      <c r="C404" s="99" t="s">
        <v>4</v>
      </c>
      <c r="D404" s="100" t="s">
        <v>346</v>
      </c>
      <c r="E404" s="101"/>
      <c r="F404" s="101"/>
      <c r="G404" s="102" t="str">
        <f>IF(stdProdLT(Main[[#This Row],[Comments]])=0.1,"N/A",IF(stdProdLT(Main[[#This Row],[Comments]])=0,"",stdProdLT(Main[[#This Row],[Comments]])))</f>
        <v/>
      </c>
      <c r="H404" s="103" t="str">
        <f>IF(AND(Main[[#This Row],[In Stock Date]]&lt;&gt;"",Main[[#This Row],[Revised Due Date]]&lt;&gt;""),Main[[#This Row],[In Stock Date]]-Main[[#This Row],[Revised Due Date]],"")</f>
        <v/>
      </c>
      <c r="I404" s="99" t="s">
        <v>4</v>
      </c>
      <c r="J404" s="99" t="s">
        <v>4</v>
      </c>
      <c r="K404" s="99" t="s">
        <v>4</v>
      </c>
      <c r="L404" s="101"/>
      <c r="M404" s="104" t="str">
        <f>IF(Main[[#This Row],[Tech Start Date]]&lt;1/1/1990,"",IF(Main[[#This Row],[Class]]="C",WORKDAY(Main[[#This Row],[Tech Start Date]],9),IF(Main[[#This Row],[Class]]="B", WORKDAY(Main[[#This Row],[Tech Start Date]],6),IF(Main[[#This Row],[Class]]="A",WORKDAY(Main[[#This Row],[Tech Start Date]],2),""))))</f>
        <v/>
      </c>
      <c r="N404" s="104" t="str">
        <f>IF(Main[[#This Row],[Tech Start Date]]&lt;1/1/1990,"",IF(Main[[#This Row],[Class]]="C",WORKDAY(Main[[#This Row],[Tech Start Date]],19),IF(Main[[#This Row],[Class]]="B", WORKDAY(Main[[#This Row],[Tech Start Date]],12),IF(Main[[#This Row],[Class]]="A",WORKDAY(Main[[#This Row],[Tech Start Date]],4),""))))</f>
        <v/>
      </c>
      <c r="O404" s="104" t="str">
        <f>IF(Main[[#This Row],[Tech Start Date]]&lt;1/1/1990,"",IF(Main[[#This Row],[Class]]="C",WORKDAY(Main[[#This Row],[Tech Start Date]],23),IF(Main[[#This Row],[Class]]="B", WORKDAY(Main[[#This Row],[Tech Start Date]],15),IF(Main[[#This Row],[Class]]="A",WORKDAY(Main[[#This Row],[Tech Start Date]],5),""))))</f>
        <v/>
      </c>
      <c r="P404" s="104" t="str">
        <f>IF(Main[[#This Row],[Tech Start Date]]&lt;1/1/1990,"",IF(Main[[#This Row],[Class]]="C",WORKDAY(Main[[#This Row],[Tech Start Date]],28),IF(Main[[#This Row],[Class]]="B", WORKDAY(Main[[#This Row],[Tech Start Date]],19),IF(Main[[#This Row],[Class]]="A",WORKDAY(Main[[#This Row],[Tech Start Date]],9),""))))</f>
        <v/>
      </c>
      <c r="Q404" s="101"/>
      <c r="R404" s="101"/>
      <c r="S404" s="99" t="s">
        <v>11</v>
      </c>
      <c r="T404" s="107" t="s">
        <v>4</v>
      </c>
      <c r="U404" s="99" t="s">
        <v>14</v>
      </c>
      <c r="V404" s="99" t="s">
        <v>1963</v>
      </c>
      <c r="W404" s="99" t="s">
        <v>1970</v>
      </c>
    </row>
    <row r="405" spans="1:23" ht="18.600000000000001" customHeight="1">
      <c r="A405" s="123" t="str">
        <f>IF(priority(Main[[#This Row],[Comments]])&lt;&gt;0, priority(Main[[#This Row],[Comments]]),"")</f>
        <v/>
      </c>
      <c r="B405" s="127" t="s">
        <v>1153</v>
      </c>
      <c r="C405" s="99" t="s">
        <v>171</v>
      </c>
      <c r="D405" s="100" t="s">
        <v>172</v>
      </c>
      <c r="E405" s="101"/>
      <c r="F405" s="101">
        <v>40237</v>
      </c>
      <c r="G405" s="102" t="str">
        <f>IF(stdProdLT(Main[[#This Row],[Comments]])=0.1,"N/A",IF(stdProdLT(Main[[#This Row],[Comments]])=0,"",stdProdLT(Main[[#This Row],[Comments]])))</f>
        <v/>
      </c>
      <c r="H405" s="103" t="str">
        <f>IF(AND(Main[[#This Row],[In Stock Date]]&lt;&gt;"",Main[[#This Row],[Revised Due Date]]&lt;&gt;""),Main[[#This Row],[In Stock Date]]-Main[[#This Row],[Revised Due Date]],"")</f>
        <v/>
      </c>
      <c r="I405" s="99" t="s">
        <v>4</v>
      </c>
      <c r="J405" s="99" t="s">
        <v>4</v>
      </c>
      <c r="K405" s="99" t="s">
        <v>4</v>
      </c>
      <c r="L405" s="101"/>
      <c r="M405" s="104" t="str">
        <f>IF(Main[[#This Row],[Tech Start Date]]&lt;1/1/1990,"",IF(Main[[#This Row],[Class]]="C",WORKDAY(Main[[#This Row],[Tech Start Date]],9),IF(Main[[#This Row],[Class]]="B", WORKDAY(Main[[#This Row],[Tech Start Date]],6),IF(Main[[#This Row],[Class]]="A",WORKDAY(Main[[#This Row],[Tech Start Date]],2),""))))</f>
        <v/>
      </c>
      <c r="N405" s="104" t="str">
        <f>IF(Main[[#This Row],[Tech Start Date]]&lt;1/1/1990,"",IF(Main[[#This Row],[Class]]="C",WORKDAY(Main[[#This Row],[Tech Start Date]],19),IF(Main[[#This Row],[Class]]="B", WORKDAY(Main[[#This Row],[Tech Start Date]],12),IF(Main[[#This Row],[Class]]="A",WORKDAY(Main[[#This Row],[Tech Start Date]],4),""))))</f>
        <v/>
      </c>
      <c r="O405" s="104" t="str">
        <f>IF(Main[[#This Row],[Tech Start Date]]&lt;1/1/1990,"",IF(Main[[#This Row],[Class]]="C",WORKDAY(Main[[#This Row],[Tech Start Date]],23),IF(Main[[#This Row],[Class]]="B", WORKDAY(Main[[#This Row],[Tech Start Date]],15),IF(Main[[#This Row],[Class]]="A",WORKDAY(Main[[#This Row],[Tech Start Date]],5),""))))</f>
        <v/>
      </c>
      <c r="P405" s="104" t="str">
        <f>IF(Main[[#This Row],[Tech Start Date]]&lt;1/1/1990,"",IF(Main[[#This Row],[Class]]="C",WORKDAY(Main[[#This Row],[Tech Start Date]],28),IF(Main[[#This Row],[Class]]="B", WORKDAY(Main[[#This Row],[Tech Start Date]],19),IF(Main[[#This Row],[Class]]="A",WORKDAY(Main[[#This Row],[Tech Start Date]],9),""))))</f>
        <v/>
      </c>
      <c r="Q405" s="101">
        <v>40132</v>
      </c>
      <c r="R405" s="101"/>
      <c r="S405" s="99" t="s">
        <v>11</v>
      </c>
      <c r="T405" s="107" t="s">
        <v>4</v>
      </c>
      <c r="U405" s="99" t="s">
        <v>14</v>
      </c>
      <c r="V405" s="99" t="s">
        <v>1962</v>
      </c>
      <c r="W405" s="99" t="s">
        <v>1967</v>
      </c>
    </row>
    <row r="406" spans="1:23" ht="18.600000000000001" customHeight="1">
      <c r="A406" s="123" t="str">
        <f>IF(priority(Main[[#This Row],[Comments]])&lt;&gt;0, priority(Main[[#This Row],[Comments]]),"")</f>
        <v/>
      </c>
      <c r="B406" s="127" t="s">
        <v>2459</v>
      </c>
      <c r="C406" s="99" t="s">
        <v>4</v>
      </c>
      <c r="D406" s="100" t="s">
        <v>2460</v>
      </c>
      <c r="E406" s="101">
        <v>40826.383356481485</v>
      </c>
      <c r="F406" s="101"/>
      <c r="G406" s="102" t="str">
        <f>IF(stdProdLT(Main[[#This Row],[Comments]])=0.1,"N/A",IF(stdProdLT(Main[[#This Row],[Comments]])=0,"",stdProdLT(Main[[#This Row],[Comments]])))</f>
        <v/>
      </c>
      <c r="H406" s="103" t="str">
        <f>IF(AND(Main[[#This Row],[In Stock Date]]&lt;&gt;"",Main[[#This Row],[Revised Due Date]]&lt;&gt;""),Main[[#This Row],[In Stock Date]]-Main[[#This Row],[Revised Due Date]],"")</f>
        <v/>
      </c>
      <c r="I406" s="99" t="s">
        <v>30</v>
      </c>
      <c r="J406" s="99" t="s">
        <v>2284</v>
      </c>
      <c r="K406" s="99" t="s">
        <v>4</v>
      </c>
      <c r="L406" s="101"/>
      <c r="M406" s="104" t="str">
        <f>IF(Main[[#This Row],[Tech Start Date]]&lt;1/1/1990,"",IF(Main[[#This Row],[Class]]="C",WORKDAY(Main[[#This Row],[Tech Start Date]],9),IF(Main[[#This Row],[Class]]="B", WORKDAY(Main[[#This Row],[Tech Start Date]],6),IF(Main[[#This Row],[Class]]="A",WORKDAY(Main[[#This Row],[Tech Start Date]],2),""))))</f>
        <v/>
      </c>
      <c r="N406" s="104" t="str">
        <f>IF(Main[[#This Row],[Tech Start Date]]&lt;1/1/1990,"",IF(Main[[#This Row],[Class]]="C",WORKDAY(Main[[#This Row],[Tech Start Date]],19),IF(Main[[#This Row],[Class]]="B", WORKDAY(Main[[#This Row],[Tech Start Date]],12),IF(Main[[#This Row],[Class]]="A",WORKDAY(Main[[#This Row],[Tech Start Date]],4),""))))</f>
        <v/>
      </c>
      <c r="O406" s="104" t="str">
        <f>IF(Main[[#This Row],[Tech Start Date]]&lt;1/1/1990,"",IF(Main[[#This Row],[Class]]="C",WORKDAY(Main[[#This Row],[Tech Start Date]],23),IF(Main[[#This Row],[Class]]="B", WORKDAY(Main[[#This Row],[Tech Start Date]],15),IF(Main[[#This Row],[Class]]="A",WORKDAY(Main[[#This Row],[Tech Start Date]],5),""))))</f>
        <v/>
      </c>
      <c r="P406" s="104" t="str">
        <f>IF(Main[[#This Row],[Tech Start Date]]&lt;1/1/1990,"",IF(Main[[#This Row],[Class]]="C",WORKDAY(Main[[#This Row],[Tech Start Date]],28),IF(Main[[#This Row],[Class]]="B", WORKDAY(Main[[#This Row],[Tech Start Date]],19),IF(Main[[#This Row],[Class]]="A",WORKDAY(Main[[#This Row],[Tech Start Date]],9),""))))</f>
        <v/>
      </c>
      <c r="Q406" s="101"/>
      <c r="R406" s="101"/>
      <c r="S406" s="99" t="s">
        <v>6</v>
      </c>
      <c r="T406" s="107" t="s">
        <v>4</v>
      </c>
      <c r="U406" s="99" t="s">
        <v>29</v>
      </c>
      <c r="V406" s="99" t="s">
        <v>1965</v>
      </c>
      <c r="W406" s="99" t="s">
        <v>1964</v>
      </c>
    </row>
    <row r="407" spans="1:23" ht="18.600000000000001" customHeight="1">
      <c r="A407" s="123" t="str">
        <f>IF(priority(Main[[#This Row],[Comments]])&lt;&gt;0, priority(Main[[#This Row],[Comments]]),"")</f>
        <v/>
      </c>
      <c r="B407" s="127" t="s">
        <v>1154</v>
      </c>
      <c r="C407" s="99" t="s">
        <v>174</v>
      </c>
      <c r="D407" s="100" t="s">
        <v>175</v>
      </c>
      <c r="E407" s="101"/>
      <c r="F407" s="101">
        <v>40848</v>
      </c>
      <c r="G407" s="102" t="str">
        <f>IF(stdProdLT(Main[[#This Row],[Comments]])=0.1,"N/A",IF(stdProdLT(Main[[#This Row],[Comments]])=0,"",stdProdLT(Main[[#This Row],[Comments]])))</f>
        <v/>
      </c>
      <c r="H407" s="103" t="str">
        <f>IF(AND(Main[[#This Row],[In Stock Date]]&lt;&gt;"",Main[[#This Row],[Revised Due Date]]&lt;&gt;""),Main[[#This Row],[In Stock Date]]-Main[[#This Row],[Revised Due Date]],"")</f>
        <v/>
      </c>
      <c r="I407" s="99" t="s">
        <v>4</v>
      </c>
      <c r="J407" s="99" t="s">
        <v>51</v>
      </c>
      <c r="K407" s="99" t="s">
        <v>4</v>
      </c>
      <c r="L407" s="101"/>
      <c r="M407" s="104" t="str">
        <f>IF(Main[[#This Row],[Tech Start Date]]&lt;1/1/1990,"",IF(Main[[#This Row],[Class]]="C",WORKDAY(Main[[#This Row],[Tech Start Date]],9),IF(Main[[#This Row],[Class]]="B", WORKDAY(Main[[#This Row],[Tech Start Date]],6),IF(Main[[#This Row],[Class]]="A",WORKDAY(Main[[#This Row],[Tech Start Date]],2),""))))</f>
        <v/>
      </c>
      <c r="N407" s="104" t="str">
        <f>IF(Main[[#This Row],[Tech Start Date]]&lt;1/1/1990,"",IF(Main[[#This Row],[Class]]="C",WORKDAY(Main[[#This Row],[Tech Start Date]],19),IF(Main[[#This Row],[Class]]="B", WORKDAY(Main[[#This Row],[Tech Start Date]],12),IF(Main[[#This Row],[Class]]="A",WORKDAY(Main[[#This Row],[Tech Start Date]],4),""))))</f>
        <v/>
      </c>
      <c r="O407" s="104" t="str">
        <f>IF(Main[[#This Row],[Tech Start Date]]&lt;1/1/1990,"",IF(Main[[#This Row],[Class]]="C",WORKDAY(Main[[#This Row],[Tech Start Date]],23),IF(Main[[#This Row],[Class]]="B", WORKDAY(Main[[#This Row],[Tech Start Date]],15),IF(Main[[#This Row],[Class]]="A",WORKDAY(Main[[#This Row],[Tech Start Date]],5),""))))</f>
        <v/>
      </c>
      <c r="P407" s="104" t="str">
        <f>IF(Main[[#This Row],[Tech Start Date]]&lt;1/1/1990,"",IF(Main[[#This Row],[Class]]="C",WORKDAY(Main[[#This Row],[Tech Start Date]],28),IF(Main[[#This Row],[Class]]="B", WORKDAY(Main[[#This Row],[Tech Start Date]],19),IF(Main[[#This Row],[Class]]="A",WORKDAY(Main[[#This Row],[Tech Start Date]],9),""))))</f>
        <v/>
      </c>
      <c r="Q407" s="101">
        <v>40648</v>
      </c>
      <c r="R407" s="101"/>
      <c r="S407" s="99" t="s">
        <v>11</v>
      </c>
      <c r="T407" s="107" t="s">
        <v>4</v>
      </c>
      <c r="U407" s="99" t="s">
        <v>12</v>
      </c>
      <c r="V407" s="99" t="s">
        <v>1962</v>
      </c>
      <c r="W407" s="99" t="s">
        <v>1968</v>
      </c>
    </row>
    <row r="408" spans="1:23" ht="18.600000000000001" customHeight="1">
      <c r="A408" s="123" t="str">
        <f>IF(priority(Main[[#This Row],[Comments]])&lt;&gt;0, priority(Main[[#This Row],[Comments]]),"")</f>
        <v/>
      </c>
      <c r="B408" s="127" t="s">
        <v>1155</v>
      </c>
      <c r="C408" s="99" t="s">
        <v>4</v>
      </c>
      <c r="D408" s="100" t="s">
        <v>176</v>
      </c>
      <c r="E408" s="101">
        <v>40681.639328703706</v>
      </c>
      <c r="F408" s="101"/>
      <c r="G408" s="102" t="str">
        <f>IF(stdProdLT(Main[[#This Row],[Comments]])=0.1,"N/A",IF(stdProdLT(Main[[#This Row],[Comments]])=0,"",stdProdLT(Main[[#This Row],[Comments]])))</f>
        <v/>
      </c>
      <c r="H408" s="103" t="str">
        <f>IF(AND(Main[[#This Row],[In Stock Date]]&lt;&gt;"",Main[[#This Row],[Revised Due Date]]&lt;&gt;""),Main[[#This Row],[In Stock Date]]-Main[[#This Row],[Revised Due Date]],"")</f>
        <v/>
      </c>
      <c r="I408" s="99" t="s">
        <v>4</v>
      </c>
      <c r="J408" s="99" t="s">
        <v>4</v>
      </c>
      <c r="K408" s="99" t="s">
        <v>4</v>
      </c>
      <c r="L408" s="101"/>
      <c r="M408" s="104" t="str">
        <f>IF(Main[[#This Row],[Tech Start Date]]&lt;1/1/1990,"",IF(Main[[#This Row],[Class]]="C",WORKDAY(Main[[#This Row],[Tech Start Date]],9),IF(Main[[#This Row],[Class]]="B", WORKDAY(Main[[#This Row],[Tech Start Date]],6),IF(Main[[#This Row],[Class]]="A",WORKDAY(Main[[#This Row],[Tech Start Date]],2),""))))</f>
        <v/>
      </c>
      <c r="N408" s="104" t="str">
        <f>IF(Main[[#This Row],[Tech Start Date]]&lt;1/1/1990,"",IF(Main[[#This Row],[Class]]="C",WORKDAY(Main[[#This Row],[Tech Start Date]],19),IF(Main[[#This Row],[Class]]="B", WORKDAY(Main[[#This Row],[Tech Start Date]],12),IF(Main[[#This Row],[Class]]="A",WORKDAY(Main[[#This Row],[Tech Start Date]],4),""))))</f>
        <v/>
      </c>
      <c r="O408" s="104" t="str">
        <f>IF(Main[[#This Row],[Tech Start Date]]&lt;1/1/1990,"",IF(Main[[#This Row],[Class]]="C",WORKDAY(Main[[#This Row],[Tech Start Date]],23),IF(Main[[#This Row],[Class]]="B", WORKDAY(Main[[#This Row],[Tech Start Date]],15),IF(Main[[#This Row],[Class]]="A",WORKDAY(Main[[#This Row],[Tech Start Date]],5),""))))</f>
        <v/>
      </c>
      <c r="P408" s="104" t="str">
        <f>IF(Main[[#This Row],[Tech Start Date]]&lt;1/1/1990,"",IF(Main[[#This Row],[Class]]="C",WORKDAY(Main[[#This Row],[Tech Start Date]],28),IF(Main[[#This Row],[Class]]="B", WORKDAY(Main[[#This Row],[Tech Start Date]],19),IF(Main[[#This Row],[Class]]="A",WORKDAY(Main[[#This Row],[Tech Start Date]],9),""))))</f>
        <v/>
      </c>
      <c r="Q408" s="101">
        <v>40702</v>
      </c>
      <c r="R408" s="101"/>
      <c r="S408" s="99" t="s">
        <v>6</v>
      </c>
      <c r="T408" s="107" t="s">
        <v>4</v>
      </c>
      <c r="U408" s="99" t="s">
        <v>7</v>
      </c>
      <c r="V408" s="99" t="s">
        <v>1962</v>
      </c>
      <c r="W408" s="99" t="s">
        <v>1970</v>
      </c>
    </row>
    <row r="409" spans="1:23" ht="18.600000000000001" customHeight="1">
      <c r="A409" s="123" t="str">
        <f>IF(priority(Main[[#This Row],[Comments]])&lt;&gt;0, priority(Main[[#This Row],[Comments]]),"")</f>
        <v/>
      </c>
      <c r="B409" s="127" t="s">
        <v>1229</v>
      </c>
      <c r="C409" s="99" t="s">
        <v>4</v>
      </c>
      <c r="D409" s="100" t="s">
        <v>257</v>
      </c>
      <c r="E409" s="101">
        <v>40703.393472222226</v>
      </c>
      <c r="F409" s="101"/>
      <c r="G409" s="102" t="str">
        <f>IF(stdProdLT(Main[[#This Row],[Comments]])=0.1,"N/A",IF(stdProdLT(Main[[#This Row],[Comments]])=0,"",stdProdLT(Main[[#This Row],[Comments]])))</f>
        <v/>
      </c>
      <c r="H409" s="103" t="str">
        <f>IF(AND(Main[[#This Row],[In Stock Date]]&lt;&gt;"",Main[[#This Row],[Revised Due Date]]&lt;&gt;""),Main[[#This Row],[In Stock Date]]-Main[[#This Row],[Revised Due Date]],"")</f>
        <v/>
      </c>
      <c r="I409" s="99" t="s">
        <v>4</v>
      </c>
      <c r="J409" s="99" t="s">
        <v>4</v>
      </c>
      <c r="K409" s="99" t="s">
        <v>4</v>
      </c>
      <c r="L409" s="101"/>
      <c r="M409" s="104" t="str">
        <f>IF(Main[[#This Row],[Tech Start Date]]&lt;1/1/1990,"",IF(Main[[#This Row],[Class]]="C",WORKDAY(Main[[#This Row],[Tech Start Date]],9),IF(Main[[#This Row],[Class]]="B", WORKDAY(Main[[#This Row],[Tech Start Date]],6),IF(Main[[#This Row],[Class]]="A",WORKDAY(Main[[#This Row],[Tech Start Date]],2),""))))</f>
        <v/>
      </c>
      <c r="N409" s="104" t="str">
        <f>IF(Main[[#This Row],[Tech Start Date]]&lt;1/1/1990,"",IF(Main[[#This Row],[Class]]="C",WORKDAY(Main[[#This Row],[Tech Start Date]],19),IF(Main[[#This Row],[Class]]="B", WORKDAY(Main[[#This Row],[Tech Start Date]],12),IF(Main[[#This Row],[Class]]="A",WORKDAY(Main[[#This Row],[Tech Start Date]],4),""))))</f>
        <v/>
      </c>
      <c r="O409" s="104" t="str">
        <f>IF(Main[[#This Row],[Tech Start Date]]&lt;1/1/1990,"",IF(Main[[#This Row],[Class]]="C",WORKDAY(Main[[#This Row],[Tech Start Date]],23),IF(Main[[#This Row],[Class]]="B", WORKDAY(Main[[#This Row],[Tech Start Date]],15),IF(Main[[#This Row],[Class]]="A",WORKDAY(Main[[#This Row],[Tech Start Date]],5),""))))</f>
        <v/>
      </c>
      <c r="P409" s="104" t="str">
        <f>IF(Main[[#This Row],[Tech Start Date]]&lt;1/1/1990,"",IF(Main[[#This Row],[Class]]="C",WORKDAY(Main[[#This Row],[Tech Start Date]],28),IF(Main[[#This Row],[Class]]="B", WORKDAY(Main[[#This Row],[Tech Start Date]],19),IF(Main[[#This Row],[Class]]="A",WORKDAY(Main[[#This Row],[Tech Start Date]],9),""))))</f>
        <v/>
      </c>
      <c r="Q409" s="101">
        <v>40724</v>
      </c>
      <c r="R409" s="101"/>
      <c r="S409" s="99" t="s">
        <v>6</v>
      </c>
      <c r="T409" s="107" t="s">
        <v>4</v>
      </c>
      <c r="U409" s="99" t="s">
        <v>7</v>
      </c>
      <c r="V409" s="99" t="s">
        <v>1962</v>
      </c>
      <c r="W409" s="99" t="s">
        <v>1966</v>
      </c>
    </row>
    <row r="410" spans="1:23" ht="18.600000000000001" customHeight="1">
      <c r="A410" s="123" t="str">
        <f>IF(priority(Main[[#This Row],[Comments]])&lt;&gt;0, priority(Main[[#This Row],[Comments]]),"")</f>
        <v/>
      </c>
      <c r="B410" s="127" t="s">
        <v>1230</v>
      </c>
      <c r="C410" s="99" t="s">
        <v>33</v>
      </c>
      <c r="D410" s="100" t="s">
        <v>258</v>
      </c>
      <c r="E410" s="101"/>
      <c r="F410" s="101"/>
      <c r="G410" s="102" t="str">
        <f>IF(stdProdLT(Main[[#This Row],[Comments]])=0.1,"N/A",IF(stdProdLT(Main[[#This Row],[Comments]])=0,"",stdProdLT(Main[[#This Row],[Comments]])))</f>
        <v/>
      </c>
      <c r="H410" s="103" t="str">
        <f>IF(AND(Main[[#This Row],[In Stock Date]]&lt;&gt;"",Main[[#This Row],[Revised Due Date]]&lt;&gt;""),Main[[#This Row],[In Stock Date]]-Main[[#This Row],[Revised Due Date]],"")</f>
        <v/>
      </c>
      <c r="I410" s="99" t="s">
        <v>4</v>
      </c>
      <c r="J410" s="99" t="s">
        <v>28</v>
      </c>
      <c r="K410" s="99" t="s">
        <v>1975</v>
      </c>
      <c r="L410" s="101"/>
      <c r="M410" s="104" t="str">
        <f>IF(Main[[#This Row],[Tech Start Date]]&lt;1/1/1990,"",IF(Main[[#This Row],[Class]]="C",WORKDAY(Main[[#This Row],[Tech Start Date]],9),IF(Main[[#This Row],[Class]]="B", WORKDAY(Main[[#This Row],[Tech Start Date]],6),IF(Main[[#This Row],[Class]]="A",WORKDAY(Main[[#This Row],[Tech Start Date]],2),""))))</f>
        <v/>
      </c>
      <c r="N410" s="104" t="str">
        <f>IF(Main[[#This Row],[Tech Start Date]]&lt;1/1/1990,"",IF(Main[[#This Row],[Class]]="C",WORKDAY(Main[[#This Row],[Tech Start Date]],19),IF(Main[[#This Row],[Class]]="B", WORKDAY(Main[[#This Row],[Tech Start Date]],12),IF(Main[[#This Row],[Class]]="A",WORKDAY(Main[[#This Row],[Tech Start Date]],4),""))))</f>
        <v/>
      </c>
      <c r="O410" s="104" t="str">
        <f>IF(Main[[#This Row],[Tech Start Date]]&lt;1/1/1990,"",IF(Main[[#This Row],[Class]]="C",WORKDAY(Main[[#This Row],[Tech Start Date]],23),IF(Main[[#This Row],[Class]]="B", WORKDAY(Main[[#This Row],[Tech Start Date]],15),IF(Main[[#This Row],[Class]]="A",WORKDAY(Main[[#This Row],[Tech Start Date]],5),""))))</f>
        <v/>
      </c>
      <c r="P410" s="104" t="str">
        <f>IF(Main[[#This Row],[Tech Start Date]]&lt;1/1/1990,"",IF(Main[[#This Row],[Class]]="C",WORKDAY(Main[[#This Row],[Tech Start Date]],28),IF(Main[[#This Row],[Class]]="B", WORKDAY(Main[[#This Row],[Tech Start Date]],19),IF(Main[[#This Row],[Class]]="A",WORKDAY(Main[[#This Row],[Tech Start Date]],9),""))))</f>
        <v/>
      </c>
      <c r="Q410" s="101">
        <v>40364</v>
      </c>
      <c r="R410" s="101"/>
      <c r="S410" s="99" t="s">
        <v>17</v>
      </c>
      <c r="T410" s="107" t="s">
        <v>4</v>
      </c>
      <c r="U410" s="99" t="s">
        <v>14</v>
      </c>
      <c r="V410" s="99" t="s">
        <v>1963</v>
      </c>
      <c r="W410" s="99" t="s">
        <v>1967</v>
      </c>
    </row>
    <row r="411" spans="1:23" ht="18.600000000000001" customHeight="1">
      <c r="A411" s="123" t="str">
        <f>IF(priority(Main[[#This Row],[Comments]])&lt;&gt;0, priority(Main[[#This Row],[Comments]]),"")</f>
        <v/>
      </c>
      <c r="B411" s="127" t="s">
        <v>1231</v>
      </c>
      <c r="C411" s="99" t="s">
        <v>31</v>
      </c>
      <c r="D411" s="100" t="s">
        <v>259</v>
      </c>
      <c r="E411" s="101"/>
      <c r="F411" s="101"/>
      <c r="G411" s="102" t="str">
        <f>IF(stdProdLT(Main[[#This Row],[Comments]])=0.1,"N/A",IF(stdProdLT(Main[[#This Row],[Comments]])=0,"",stdProdLT(Main[[#This Row],[Comments]])))</f>
        <v/>
      </c>
      <c r="H411" s="103" t="str">
        <f>IF(AND(Main[[#This Row],[In Stock Date]]&lt;&gt;"",Main[[#This Row],[Revised Due Date]]&lt;&gt;""),Main[[#This Row],[In Stock Date]]-Main[[#This Row],[Revised Due Date]],"")</f>
        <v/>
      </c>
      <c r="I411" s="99" t="s">
        <v>4</v>
      </c>
      <c r="J411" s="99" t="s">
        <v>4</v>
      </c>
      <c r="K411" s="99" t="s">
        <v>4</v>
      </c>
      <c r="L411" s="101"/>
      <c r="M411" s="104" t="str">
        <f>IF(Main[[#This Row],[Tech Start Date]]&lt;1/1/1990,"",IF(Main[[#This Row],[Class]]="C",WORKDAY(Main[[#This Row],[Tech Start Date]],9),IF(Main[[#This Row],[Class]]="B", WORKDAY(Main[[#This Row],[Tech Start Date]],6),IF(Main[[#This Row],[Class]]="A",WORKDAY(Main[[#This Row],[Tech Start Date]],2),""))))</f>
        <v/>
      </c>
      <c r="N411" s="104" t="str">
        <f>IF(Main[[#This Row],[Tech Start Date]]&lt;1/1/1990,"",IF(Main[[#This Row],[Class]]="C",WORKDAY(Main[[#This Row],[Tech Start Date]],19),IF(Main[[#This Row],[Class]]="B", WORKDAY(Main[[#This Row],[Tech Start Date]],12),IF(Main[[#This Row],[Class]]="A",WORKDAY(Main[[#This Row],[Tech Start Date]],4),""))))</f>
        <v/>
      </c>
      <c r="O411" s="104" t="str">
        <f>IF(Main[[#This Row],[Tech Start Date]]&lt;1/1/1990,"",IF(Main[[#This Row],[Class]]="C",WORKDAY(Main[[#This Row],[Tech Start Date]],23),IF(Main[[#This Row],[Class]]="B", WORKDAY(Main[[#This Row],[Tech Start Date]],15),IF(Main[[#This Row],[Class]]="A",WORKDAY(Main[[#This Row],[Tech Start Date]],5),""))))</f>
        <v/>
      </c>
      <c r="P411" s="104" t="str">
        <f>IF(Main[[#This Row],[Tech Start Date]]&lt;1/1/1990,"",IF(Main[[#This Row],[Class]]="C",WORKDAY(Main[[#This Row],[Tech Start Date]],28),IF(Main[[#This Row],[Class]]="B", WORKDAY(Main[[#This Row],[Tech Start Date]],19),IF(Main[[#This Row],[Class]]="A",WORKDAY(Main[[#This Row],[Tech Start Date]],9),""))))</f>
        <v/>
      </c>
      <c r="Q411" s="101">
        <v>40318</v>
      </c>
      <c r="R411" s="101"/>
      <c r="S411" s="99" t="s">
        <v>11</v>
      </c>
      <c r="T411" s="107" t="s">
        <v>4</v>
      </c>
      <c r="U411" s="99" t="s">
        <v>14</v>
      </c>
      <c r="V411" s="99" t="s">
        <v>1965</v>
      </c>
      <c r="W411" s="99" t="s">
        <v>1964</v>
      </c>
    </row>
    <row r="412" spans="1:23" ht="18.600000000000001" customHeight="1">
      <c r="A412" s="123" t="str">
        <f>IF(priority(Main[[#This Row],[Comments]])&lt;&gt;0, priority(Main[[#This Row],[Comments]]),"")</f>
        <v/>
      </c>
      <c r="B412" s="127" t="s">
        <v>1232</v>
      </c>
      <c r="C412" s="99" t="s">
        <v>4</v>
      </c>
      <c r="D412" s="100" t="s">
        <v>260</v>
      </c>
      <c r="E412" s="101"/>
      <c r="F412" s="101"/>
      <c r="G412" s="102" t="str">
        <f>IF(stdProdLT(Main[[#This Row],[Comments]])=0.1,"N/A",IF(stdProdLT(Main[[#This Row],[Comments]])=0,"",stdProdLT(Main[[#This Row],[Comments]])))</f>
        <v/>
      </c>
      <c r="H412" s="103" t="str">
        <f>IF(AND(Main[[#This Row],[In Stock Date]]&lt;&gt;"",Main[[#This Row],[Revised Due Date]]&lt;&gt;""),Main[[#This Row],[In Stock Date]]-Main[[#This Row],[Revised Due Date]],"")</f>
        <v/>
      </c>
      <c r="I412" s="99" t="s">
        <v>4</v>
      </c>
      <c r="J412" s="99" t="s">
        <v>4</v>
      </c>
      <c r="K412" s="99" t="s">
        <v>4</v>
      </c>
      <c r="L412" s="101"/>
      <c r="M412" s="104" t="str">
        <f>IF(Main[[#This Row],[Tech Start Date]]&lt;1/1/1990,"",IF(Main[[#This Row],[Class]]="C",WORKDAY(Main[[#This Row],[Tech Start Date]],9),IF(Main[[#This Row],[Class]]="B", WORKDAY(Main[[#This Row],[Tech Start Date]],6),IF(Main[[#This Row],[Class]]="A",WORKDAY(Main[[#This Row],[Tech Start Date]],2),""))))</f>
        <v/>
      </c>
      <c r="N412" s="104" t="str">
        <f>IF(Main[[#This Row],[Tech Start Date]]&lt;1/1/1990,"",IF(Main[[#This Row],[Class]]="C",WORKDAY(Main[[#This Row],[Tech Start Date]],19),IF(Main[[#This Row],[Class]]="B", WORKDAY(Main[[#This Row],[Tech Start Date]],12),IF(Main[[#This Row],[Class]]="A",WORKDAY(Main[[#This Row],[Tech Start Date]],4),""))))</f>
        <v/>
      </c>
      <c r="O412" s="104" t="str">
        <f>IF(Main[[#This Row],[Tech Start Date]]&lt;1/1/1990,"",IF(Main[[#This Row],[Class]]="C",WORKDAY(Main[[#This Row],[Tech Start Date]],23),IF(Main[[#This Row],[Class]]="B", WORKDAY(Main[[#This Row],[Tech Start Date]],15),IF(Main[[#This Row],[Class]]="A",WORKDAY(Main[[#This Row],[Tech Start Date]],5),""))))</f>
        <v/>
      </c>
      <c r="P412" s="104" t="str">
        <f>IF(Main[[#This Row],[Tech Start Date]]&lt;1/1/1990,"",IF(Main[[#This Row],[Class]]="C",WORKDAY(Main[[#This Row],[Tech Start Date]],28),IF(Main[[#This Row],[Class]]="B", WORKDAY(Main[[#This Row],[Tech Start Date]],19),IF(Main[[#This Row],[Class]]="A",WORKDAY(Main[[#This Row],[Tech Start Date]],9),""))))</f>
        <v/>
      </c>
      <c r="Q412" s="101">
        <v>40390</v>
      </c>
      <c r="R412" s="101"/>
      <c r="S412" s="99" t="s">
        <v>6</v>
      </c>
      <c r="T412" s="107" t="s">
        <v>4</v>
      </c>
      <c r="U412" s="99" t="s">
        <v>14</v>
      </c>
      <c r="V412" s="99" t="s">
        <v>1965</v>
      </c>
      <c r="W412" s="99" t="s">
        <v>4</v>
      </c>
    </row>
    <row r="413" spans="1:23" ht="18.600000000000001" customHeight="1">
      <c r="A413" s="123" t="str">
        <f>IF(priority(Main[[#This Row],[Comments]])&lt;&gt;0, priority(Main[[#This Row],[Comments]]),"")</f>
        <v/>
      </c>
      <c r="B413" s="127" t="s">
        <v>1233</v>
      </c>
      <c r="C413" s="99" t="s">
        <v>214</v>
      </c>
      <c r="D413" s="100" t="s">
        <v>261</v>
      </c>
      <c r="E413" s="101"/>
      <c r="F413" s="101">
        <v>40452</v>
      </c>
      <c r="G413" s="102" t="str">
        <f>IF(stdProdLT(Main[[#This Row],[Comments]])=0.1,"N/A",IF(stdProdLT(Main[[#This Row],[Comments]])=0,"",stdProdLT(Main[[#This Row],[Comments]])))</f>
        <v/>
      </c>
      <c r="H413" s="103" t="str">
        <f>IF(AND(Main[[#This Row],[In Stock Date]]&lt;&gt;"",Main[[#This Row],[Revised Due Date]]&lt;&gt;""),Main[[#This Row],[In Stock Date]]-Main[[#This Row],[Revised Due Date]],"")</f>
        <v/>
      </c>
      <c r="I413" s="99" t="s">
        <v>4</v>
      </c>
      <c r="J413" s="99" t="s">
        <v>4</v>
      </c>
      <c r="K413" s="108" t="s">
        <v>4</v>
      </c>
      <c r="L413" s="101"/>
      <c r="M413" s="104" t="str">
        <f>IF(Main[[#This Row],[Tech Start Date]]&lt;1/1/1990,"",IF(Main[[#This Row],[Class]]="C",WORKDAY(Main[[#This Row],[Tech Start Date]],9),IF(Main[[#This Row],[Class]]="B", WORKDAY(Main[[#This Row],[Tech Start Date]],6),IF(Main[[#This Row],[Class]]="A",WORKDAY(Main[[#This Row],[Tech Start Date]],2),""))))</f>
        <v/>
      </c>
      <c r="N413" s="104" t="str">
        <f>IF(Main[[#This Row],[Tech Start Date]]&lt;1/1/1990,"",IF(Main[[#This Row],[Class]]="C",WORKDAY(Main[[#This Row],[Tech Start Date]],19),IF(Main[[#This Row],[Class]]="B", WORKDAY(Main[[#This Row],[Tech Start Date]],12),IF(Main[[#This Row],[Class]]="A",WORKDAY(Main[[#This Row],[Tech Start Date]],4),""))))</f>
        <v/>
      </c>
      <c r="O413" s="104" t="str">
        <f>IF(Main[[#This Row],[Tech Start Date]]&lt;1/1/1990,"",IF(Main[[#This Row],[Class]]="C",WORKDAY(Main[[#This Row],[Tech Start Date]],23),IF(Main[[#This Row],[Class]]="B", WORKDAY(Main[[#This Row],[Tech Start Date]],15),IF(Main[[#This Row],[Class]]="A",WORKDAY(Main[[#This Row],[Tech Start Date]],5),""))))</f>
        <v/>
      </c>
      <c r="P413" s="104" t="str">
        <f>IF(Main[[#This Row],[Tech Start Date]]&lt;1/1/1990,"",IF(Main[[#This Row],[Class]]="C",WORKDAY(Main[[#This Row],[Tech Start Date]],28),IF(Main[[#This Row],[Class]]="B", WORKDAY(Main[[#This Row],[Tech Start Date]],19),IF(Main[[#This Row],[Class]]="A",WORKDAY(Main[[#This Row],[Tech Start Date]],9),""))))</f>
        <v/>
      </c>
      <c r="Q413" s="101">
        <v>40357</v>
      </c>
      <c r="R413" s="101"/>
      <c r="S413" s="99" t="s">
        <v>11</v>
      </c>
      <c r="T413" s="107" t="s">
        <v>4</v>
      </c>
      <c r="U413" s="99" t="s">
        <v>12</v>
      </c>
      <c r="V413" s="99" t="s">
        <v>1962</v>
      </c>
      <c r="W413" s="99" t="s">
        <v>1970</v>
      </c>
    </row>
    <row r="414" spans="1:23" ht="18.600000000000001" customHeight="1">
      <c r="A414" s="123" t="str">
        <f>IF(priority(Main[[#This Row],[Comments]])&lt;&gt;0, priority(Main[[#This Row],[Comments]]),"")</f>
        <v/>
      </c>
      <c r="B414" s="127" t="s">
        <v>1234</v>
      </c>
      <c r="C414" s="99" t="s">
        <v>214</v>
      </c>
      <c r="D414" s="100" t="s">
        <v>262</v>
      </c>
      <c r="E414" s="101"/>
      <c r="F414" s="101">
        <v>40452</v>
      </c>
      <c r="G414" s="102" t="str">
        <f>IF(stdProdLT(Main[[#This Row],[Comments]])=0.1,"N/A",IF(stdProdLT(Main[[#This Row],[Comments]])=0,"",stdProdLT(Main[[#This Row],[Comments]])))</f>
        <v/>
      </c>
      <c r="H414" s="103" t="str">
        <f>IF(AND(Main[[#This Row],[In Stock Date]]&lt;&gt;"",Main[[#This Row],[Revised Due Date]]&lt;&gt;""),Main[[#This Row],[In Stock Date]]-Main[[#This Row],[Revised Due Date]],"")</f>
        <v/>
      </c>
      <c r="I414" s="99" t="s">
        <v>4</v>
      </c>
      <c r="J414" s="99" t="s">
        <v>4</v>
      </c>
      <c r="K414" s="99" t="s">
        <v>4</v>
      </c>
      <c r="L414" s="101"/>
      <c r="M414" s="104" t="str">
        <f>IF(Main[[#This Row],[Tech Start Date]]&lt;1/1/1990,"",IF(Main[[#This Row],[Class]]="C",WORKDAY(Main[[#This Row],[Tech Start Date]],9),IF(Main[[#This Row],[Class]]="B", WORKDAY(Main[[#This Row],[Tech Start Date]],6),IF(Main[[#This Row],[Class]]="A",WORKDAY(Main[[#This Row],[Tech Start Date]],2),""))))</f>
        <v/>
      </c>
      <c r="N414" s="104" t="str">
        <f>IF(Main[[#This Row],[Tech Start Date]]&lt;1/1/1990,"",IF(Main[[#This Row],[Class]]="C",WORKDAY(Main[[#This Row],[Tech Start Date]],19),IF(Main[[#This Row],[Class]]="B", WORKDAY(Main[[#This Row],[Tech Start Date]],12),IF(Main[[#This Row],[Class]]="A",WORKDAY(Main[[#This Row],[Tech Start Date]],4),""))))</f>
        <v/>
      </c>
      <c r="O414" s="104" t="str">
        <f>IF(Main[[#This Row],[Tech Start Date]]&lt;1/1/1990,"",IF(Main[[#This Row],[Class]]="C",WORKDAY(Main[[#This Row],[Tech Start Date]],23),IF(Main[[#This Row],[Class]]="B", WORKDAY(Main[[#This Row],[Tech Start Date]],15),IF(Main[[#This Row],[Class]]="A",WORKDAY(Main[[#This Row],[Tech Start Date]],5),""))))</f>
        <v/>
      </c>
      <c r="P414" s="104" t="str">
        <f>IF(Main[[#This Row],[Tech Start Date]]&lt;1/1/1990,"",IF(Main[[#This Row],[Class]]="C",WORKDAY(Main[[#This Row],[Tech Start Date]],28),IF(Main[[#This Row],[Class]]="B", WORKDAY(Main[[#This Row],[Tech Start Date]],19),IF(Main[[#This Row],[Class]]="A",WORKDAY(Main[[#This Row],[Tech Start Date]],9),""))))</f>
        <v/>
      </c>
      <c r="Q414" s="101">
        <v>40357</v>
      </c>
      <c r="R414" s="101"/>
      <c r="S414" s="99" t="s">
        <v>11</v>
      </c>
      <c r="T414" s="107" t="s">
        <v>4</v>
      </c>
      <c r="U414" s="99" t="s">
        <v>12</v>
      </c>
      <c r="V414" s="99" t="s">
        <v>1962</v>
      </c>
      <c r="W414" s="99" t="s">
        <v>1970</v>
      </c>
    </row>
    <row r="415" spans="1:23" ht="18.600000000000001" customHeight="1">
      <c r="A415" s="123" t="str">
        <f>IF(priority(Main[[#This Row],[Comments]])&lt;&gt;0, priority(Main[[#This Row],[Comments]]),"")</f>
        <v/>
      </c>
      <c r="B415" s="127" t="s">
        <v>1235</v>
      </c>
      <c r="C415" s="99" t="s">
        <v>4</v>
      </c>
      <c r="D415" s="100" t="s">
        <v>263</v>
      </c>
      <c r="E415" s="101"/>
      <c r="F415" s="101"/>
      <c r="G415" s="102" t="str">
        <f>IF(stdProdLT(Main[[#This Row],[Comments]])=0.1,"N/A",IF(stdProdLT(Main[[#This Row],[Comments]])=0,"",stdProdLT(Main[[#This Row],[Comments]])))</f>
        <v/>
      </c>
      <c r="H415" s="103" t="str">
        <f>IF(AND(Main[[#This Row],[In Stock Date]]&lt;&gt;"",Main[[#This Row],[Revised Due Date]]&lt;&gt;""),Main[[#This Row],[In Stock Date]]-Main[[#This Row],[Revised Due Date]],"")</f>
        <v/>
      </c>
      <c r="I415" s="99" t="s">
        <v>4</v>
      </c>
      <c r="J415" s="99" t="s">
        <v>4</v>
      </c>
      <c r="K415" s="108" t="s">
        <v>4</v>
      </c>
      <c r="L415" s="101"/>
      <c r="M415" s="104" t="str">
        <f>IF(Main[[#This Row],[Tech Start Date]]&lt;1/1/1990,"",IF(Main[[#This Row],[Class]]="C",WORKDAY(Main[[#This Row],[Tech Start Date]],9),IF(Main[[#This Row],[Class]]="B", WORKDAY(Main[[#This Row],[Tech Start Date]],6),IF(Main[[#This Row],[Class]]="A",WORKDAY(Main[[#This Row],[Tech Start Date]],2),""))))</f>
        <v/>
      </c>
      <c r="N415" s="104" t="str">
        <f>IF(Main[[#This Row],[Tech Start Date]]&lt;1/1/1990,"",IF(Main[[#This Row],[Class]]="C",WORKDAY(Main[[#This Row],[Tech Start Date]],19),IF(Main[[#This Row],[Class]]="B", WORKDAY(Main[[#This Row],[Tech Start Date]],12),IF(Main[[#This Row],[Class]]="A",WORKDAY(Main[[#This Row],[Tech Start Date]],4),""))))</f>
        <v/>
      </c>
      <c r="O415" s="104" t="str">
        <f>IF(Main[[#This Row],[Tech Start Date]]&lt;1/1/1990,"",IF(Main[[#This Row],[Class]]="C",WORKDAY(Main[[#This Row],[Tech Start Date]],23),IF(Main[[#This Row],[Class]]="B", WORKDAY(Main[[#This Row],[Tech Start Date]],15),IF(Main[[#This Row],[Class]]="A",WORKDAY(Main[[#This Row],[Tech Start Date]],5),""))))</f>
        <v/>
      </c>
      <c r="P415" s="104" t="str">
        <f>IF(Main[[#This Row],[Tech Start Date]]&lt;1/1/1990,"",IF(Main[[#This Row],[Class]]="C",WORKDAY(Main[[#This Row],[Tech Start Date]],28),IF(Main[[#This Row],[Class]]="B", WORKDAY(Main[[#This Row],[Tech Start Date]],19),IF(Main[[#This Row],[Class]]="A",WORKDAY(Main[[#This Row],[Tech Start Date]],9),""))))</f>
        <v/>
      </c>
      <c r="Q415" s="101"/>
      <c r="R415" s="101"/>
      <c r="S415" s="99" t="s">
        <v>6</v>
      </c>
      <c r="T415" s="107" t="s">
        <v>4</v>
      </c>
      <c r="U415" s="99" t="s">
        <v>12</v>
      </c>
      <c r="V415" s="99" t="s">
        <v>1965</v>
      </c>
      <c r="W415" s="99" t="s">
        <v>4</v>
      </c>
    </row>
    <row r="416" spans="1:23" ht="18.600000000000001" customHeight="1">
      <c r="A416" s="123" t="str">
        <f>IF(priority(Main[[#This Row],[Comments]])&lt;&gt;0, priority(Main[[#This Row],[Comments]]),"")</f>
        <v/>
      </c>
      <c r="B416" s="127" t="s">
        <v>1656</v>
      </c>
      <c r="C416" s="99" t="s">
        <v>702</v>
      </c>
      <c r="D416" s="100" t="s">
        <v>703</v>
      </c>
      <c r="E416" s="101"/>
      <c r="F416" s="101"/>
      <c r="G416" s="102" t="str">
        <f>IF(stdProdLT(Main[[#This Row],[Comments]])=0.1,"N/A",IF(stdProdLT(Main[[#This Row],[Comments]])=0,"",stdProdLT(Main[[#This Row],[Comments]])))</f>
        <v/>
      </c>
      <c r="H416" s="103" t="str">
        <f>IF(AND(Main[[#This Row],[In Stock Date]]&lt;&gt;"",Main[[#This Row],[Revised Due Date]]&lt;&gt;""),Main[[#This Row],[In Stock Date]]-Main[[#This Row],[Revised Due Date]],"")</f>
        <v/>
      </c>
      <c r="I416" s="99" t="s">
        <v>4</v>
      </c>
      <c r="J416" s="99" t="s">
        <v>4</v>
      </c>
      <c r="K416" s="99" t="s">
        <v>4</v>
      </c>
      <c r="L416" s="101"/>
      <c r="M416" s="104" t="str">
        <f>IF(Main[[#This Row],[Tech Start Date]]&lt;1/1/1990,"",IF(Main[[#This Row],[Class]]="C",WORKDAY(Main[[#This Row],[Tech Start Date]],9),IF(Main[[#This Row],[Class]]="B", WORKDAY(Main[[#This Row],[Tech Start Date]],6),IF(Main[[#This Row],[Class]]="A",WORKDAY(Main[[#This Row],[Tech Start Date]],2),""))))</f>
        <v/>
      </c>
      <c r="N416" s="104" t="str">
        <f>IF(Main[[#This Row],[Tech Start Date]]&lt;1/1/1990,"",IF(Main[[#This Row],[Class]]="C",WORKDAY(Main[[#This Row],[Tech Start Date]],19),IF(Main[[#This Row],[Class]]="B", WORKDAY(Main[[#This Row],[Tech Start Date]],12),IF(Main[[#This Row],[Class]]="A",WORKDAY(Main[[#This Row],[Tech Start Date]],4),""))))</f>
        <v/>
      </c>
      <c r="O416" s="104" t="str">
        <f>IF(Main[[#This Row],[Tech Start Date]]&lt;1/1/1990,"",IF(Main[[#This Row],[Class]]="C",WORKDAY(Main[[#This Row],[Tech Start Date]],23),IF(Main[[#This Row],[Class]]="B", WORKDAY(Main[[#This Row],[Tech Start Date]],15),IF(Main[[#This Row],[Class]]="A",WORKDAY(Main[[#This Row],[Tech Start Date]],5),""))))</f>
        <v/>
      </c>
      <c r="P416" s="104" t="str">
        <f>IF(Main[[#This Row],[Tech Start Date]]&lt;1/1/1990,"",IF(Main[[#This Row],[Class]]="C",WORKDAY(Main[[#This Row],[Tech Start Date]],28),IF(Main[[#This Row],[Class]]="B", WORKDAY(Main[[#This Row],[Tech Start Date]],19),IF(Main[[#This Row],[Class]]="A",WORKDAY(Main[[#This Row],[Tech Start Date]],9),""))))</f>
        <v/>
      </c>
      <c r="Q416" s="101">
        <v>40672</v>
      </c>
      <c r="R416" s="101"/>
      <c r="S416" s="99" t="s">
        <v>11</v>
      </c>
      <c r="T416" s="107" t="s">
        <v>4</v>
      </c>
      <c r="U416" s="99" t="s">
        <v>14</v>
      </c>
      <c r="V416" s="99" t="s">
        <v>1962</v>
      </c>
      <c r="W416" s="99" t="s">
        <v>1964</v>
      </c>
    </row>
    <row r="417" spans="1:23" ht="18.600000000000001" customHeight="1">
      <c r="A417" s="123" t="str">
        <f>IF(priority(Main[[#This Row],[Comments]])&lt;&gt;0, priority(Main[[#This Row],[Comments]]),"")</f>
        <v/>
      </c>
      <c r="B417" s="127" t="s">
        <v>1237</v>
      </c>
      <c r="C417" s="99" t="s">
        <v>171</v>
      </c>
      <c r="D417" s="100" t="s">
        <v>265</v>
      </c>
      <c r="E417" s="101"/>
      <c r="F417" s="101">
        <v>40237</v>
      </c>
      <c r="G417" s="102" t="str">
        <f>IF(stdProdLT(Main[[#This Row],[Comments]])=0.1,"N/A",IF(stdProdLT(Main[[#This Row],[Comments]])=0,"",stdProdLT(Main[[#This Row],[Comments]])))</f>
        <v/>
      </c>
      <c r="H417" s="103" t="str">
        <f>IF(AND(Main[[#This Row],[In Stock Date]]&lt;&gt;"",Main[[#This Row],[Revised Due Date]]&lt;&gt;""),Main[[#This Row],[In Stock Date]]-Main[[#This Row],[Revised Due Date]],"")</f>
        <v/>
      </c>
      <c r="I417" s="99" t="s">
        <v>4</v>
      </c>
      <c r="J417" s="99" t="s">
        <v>4</v>
      </c>
      <c r="K417" s="99" t="s">
        <v>4</v>
      </c>
      <c r="L417" s="101"/>
      <c r="M417" s="104" t="str">
        <f>IF(Main[[#This Row],[Tech Start Date]]&lt;1/1/1990,"",IF(Main[[#This Row],[Class]]="C",WORKDAY(Main[[#This Row],[Tech Start Date]],9),IF(Main[[#This Row],[Class]]="B", WORKDAY(Main[[#This Row],[Tech Start Date]],6),IF(Main[[#This Row],[Class]]="A",WORKDAY(Main[[#This Row],[Tech Start Date]],2),""))))</f>
        <v/>
      </c>
      <c r="N417" s="104" t="str">
        <f>IF(Main[[#This Row],[Tech Start Date]]&lt;1/1/1990,"",IF(Main[[#This Row],[Class]]="C",WORKDAY(Main[[#This Row],[Tech Start Date]],19),IF(Main[[#This Row],[Class]]="B", WORKDAY(Main[[#This Row],[Tech Start Date]],12),IF(Main[[#This Row],[Class]]="A",WORKDAY(Main[[#This Row],[Tech Start Date]],4),""))))</f>
        <v/>
      </c>
      <c r="O417" s="104" t="str">
        <f>IF(Main[[#This Row],[Tech Start Date]]&lt;1/1/1990,"",IF(Main[[#This Row],[Class]]="C",WORKDAY(Main[[#This Row],[Tech Start Date]],23),IF(Main[[#This Row],[Class]]="B", WORKDAY(Main[[#This Row],[Tech Start Date]],15),IF(Main[[#This Row],[Class]]="A",WORKDAY(Main[[#This Row],[Tech Start Date]],5),""))))</f>
        <v/>
      </c>
      <c r="P417" s="104" t="str">
        <f>IF(Main[[#This Row],[Tech Start Date]]&lt;1/1/1990,"",IF(Main[[#This Row],[Class]]="C",WORKDAY(Main[[#This Row],[Tech Start Date]],28),IF(Main[[#This Row],[Class]]="B", WORKDAY(Main[[#This Row],[Tech Start Date]],19),IF(Main[[#This Row],[Class]]="A",WORKDAY(Main[[#This Row],[Tech Start Date]],9),""))))</f>
        <v/>
      </c>
      <c r="Q417" s="101">
        <v>40132</v>
      </c>
      <c r="R417" s="101"/>
      <c r="S417" s="99" t="s">
        <v>11</v>
      </c>
      <c r="T417" s="107" t="s">
        <v>4</v>
      </c>
      <c r="U417" s="99" t="s">
        <v>14</v>
      </c>
      <c r="V417" s="99" t="s">
        <v>1963</v>
      </c>
      <c r="W417" s="99" t="s">
        <v>1967</v>
      </c>
    </row>
    <row r="418" spans="1:23" ht="18.600000000000001" customHeight="1">
      <c r="A418" s="123" t="str">
        <f>IF(priority(Main[[#This Row],[Comments]])&lt;&gt;0, priority(Main[[#This Row],[Comments]]),"")</f>
        <v/>
      </c>
      <c r="B418" s="127" t="s">
        <v>1227</v>
      </c>
      <c r="C418" s="99" t="s">
        <v>4</v>
      </c>
      <c r="D418" s="100" t="s">
        <v>255</v>
      </c>
      <c r="E418" s="101"/>
      <c r="F418" s="101"/>
      <c r="G418" s="102" t="str">
        <f>IF(stdProdLT(Main[[#This Row],[Comments]])=0.1,"N/A",IF(stdProdLT(Main[[#This Row],[Comments]])=0,"",stdProdLT(Main[[#This Row],[Comments]])))</f>
        <v/>
      </c>
      <c r="H418" s="103" t="str">
        <f>IF(AND(Main[[#This Row],[In Stock Date]]&lt;&gt;"",Main[[#This Row],[Revised Due Date]]&lt;&gt;""),Main[[#This Row],[In Stock Date]]-Main[[#This Row],[Revised Due Date]],"")</f>
        <v/>
      </c>
      <c r="I418" s="99" t="s">
        <v>4</v>
      </c>
      <c r="J418" s="99" t="s">
        <v>4</v>
      </c>
      <c r="K418" s="99" t="s">
        <v>4</v>
      </c>
      <c r="L418" s="101"/>
      <c r="M418" s="104" t="str">
        <f>IF(Main[[#This Row],[Tech Start Date]]&lt;1/1/1990,"",IF(Main[[#This Row],[Class]]="C",WORKDAY(Main[[#This Row],[Tech Start Date]],9),IF(Main[[#This Row],[Class]]="B", WORKDAY(Main[[#This Row],[Tech Start Date]],6),IF(Main[[#This Row],[Class]]="A",WORKDAY(Main[[#This Row],[Tech Start Date]],2),""))))</f>
        <v/>
      </c>
      <c r="N418" s="104" t="str">
        <f>IF(Main[[#This Row],[Tech Start Date]]&lt;1/1/1990,"",IF(Main[[#This Row],[Class]]="C",WORKDAY(Main[[#This Row],[Tech Start Date]],19),IF(Main[[#This Row],[Class]]="B", WORKDAY(Main[[#This Row],[Tech Start Date]],12),IF(Main[[#This Row],[Class]]="A",WORKDAY(Main[[#This Row],[Tech Start Date]],4),""))))</f>
        <v/>
      </c>
      <c r="O418" s="104" t="str">
        <f>IF(Main[[#This Row],[Tech Start Date]]&lt;1/1/1990,"",IF(Main[[#This Row],[Class]]="C",WORKDAY(Main[[#This Row],[Tech Start Date]],23),IF(Main[[#This Row],[Class]]="B", WORKDAY(Main[[#This Row],[Tech Start Date]],15),IF(Main[[#This Row],[Class]]="A",WORKDAY(Main[[#This Row],[Tech Start Date]],5),""))))</f>
        <v/>
      </c>
      <c r="P418" s="104" t="str">
        <f>IF(Main[[#This Row],[Tech Start Date]]&lt;1/1/1990,"",IF(Main[[#This Row],[Class]]="C",WORKDAY(Main[[#This Row],[Tech Start Date]],28),IF(Main[[#This Row],[Class]]="B", WORKDAY(Main[[#This Row],[Tech Start Date]],19),IF(Main[[#This Row],[Class]]="A",WORKDAY(Main[[#This Row],[Tech Start Date]],9),""))))</f>
        <v/>
      </c>
      <c r="Q418" s="101"/>
      <c r="R418" s="101"/>
      <c r="S418" s="99" t="s">
        <v>11</v>
      </c>
      <c r="T418" s="107" t="s">
        <v>4</v>
      </c>
      <c r="U418" s="99" t="s">
        <v>12</v>
      </c>
      <c r="V418" s="99" t="s">
        <v>1962</v>
      </c>
      <c r="W418" s="99" t="s">
        <v>1966</v>
      </c>
    </row>
    <row r="419" spans="1:23" ht="18.600000000000001" customHeight="1">
      <c r="A419" s="123" t="str">
        <f>IF(priority(Main[[#This Row],[Comments]])&lt;&gt;0, priority(Main[[#This Row],[Comments]]),"")</f>
        <v/>
      </c>
      <c r="B419" s="127" t="s">
        <v>1228</v>
      </c>
      <c r="C419" s="99" t="s">
        <v>156</v>
      </c>
      <c r="D419" s="100" t="s">
        <v>256</v>
      </c>
      <c r="E419" s="101"/>
      <c r="F419" s="101"/>
      <c r="G419" s="102" t="str">
        <f>IF(stdProdLT(Main[[#This Row],[Comments]])=0.1,"N/A",IF(stdProdLT(Main[[#This Row],[Comments]])=0,"",stdProdLT(Main[[#This Row],[Comments]])))</f>
        <v/>
      </c>
      <c r="H419" s="103" t="str">
        <f>IF(AND(Main[[#This Row],[In Stock Date]]&lt;&gt;"",Main[[#This Row],[Revised Due Date]]&lt;&gt;""),Main[[#This Row],[In Stock Date]]-Main[[#This Row],[Revised Due Date]],"")</f>
        <v/>
      </c>
      <c r="I419" s="99" t="s">
        <v>4</v>
      </c>
      <c r="J419" s="99" t="s">
        <v>4</v>
      </c>
      <c r="K419" s="99" t="s">
        <v>4</v>
      </c>
      <c r="L419" s="101"/>
      <c r="M419" s="104" t="str">
        <f>IF(Main[[#This Row],[Tech Start Date]]&lt;1/1/1990,"",IF(Main[[#This Row],[Class]]="C",WORKDAY(Main[[#This Row],[Tech Start Date]],9),IF(Main[[#This Row],[Class]]="B", WORKDAY(Main[[#This Row],[Tech Start Date]],6),IF(Main[[#This Row],[Class]]="A",WORKDAY(Main[[#This Row],[Tech Start Date]],2),""))))</f>
        <v/>
      </c>
      <c r="N419" s="104" t="str">
        <f>IF(Main[[#This Row],[Tech Start Date]]&lt;1/1/1990,"",IF(Main[[#This Row],[Class]]="C",WORKDAY(Main[[#This Row],[Tech Start Date]],19),IF(Main[[#This Row],[Class]]="B", WORKDAY(Main[[#This Row],[Tech Start Date]],12),IF(Main[[#This Row],[Class]]="A",WORKDAY(Main[[#This Row],[Tech Start Date]],4),""))))</f>
        <v/>
      </c>
      <c r="O419" s="104" t="str">
        <f>IF(Main[[#This Row],[Tech Start Date]]&lt;1/1/1990,"",IF(Main[[#This Row],[Class]]="C",WORKDAY(Main[[#This Row],[Tech Start Date]],23),IF(Main[[#This Row],[Class]]="B", WORKDAY(Main[[#This Row],[Tech Start Date]],15),IF(Main[[#This Row],[Class]]="A",WORKDAY(Main[[#This Row],[Tech Start Date]],5),""))))</f>
        <v/>
      </c>
      <c r="P419" s="104" t="str">
        <f>IF(Main[[#This Row],[Tech Start Date]]&lt;1/1/1990,"",IF(Main[[#This Row],[Class]]="C",WORKDAY(Main[[#This Row],[Tech Start Date]],28),IF(Main[[#This Row],[Class]]="B", WORKDAY(Main[[#This Row],[Tech Start Date]],19),IF(Main[[#This Row],[Class]]="A",WORKDAY(Main[[#This Row],[Tech Start Date]],9),""))))</f>
        <v/>
      </c>
      <c r="Q419" s="101">
        <v>40144</v>
      </c>
      <c r="R419" s="101"/>
      <c r="S419" s="99" t="s">
        <v>11</v>
      </c>
      <c r="T419" s="107" t="s">
        <v>4</v>
      </c>
      <c r="U419" s="99" t="s">
        <v>14</v>
      </c>
      <c r="V419" s="99" t="s">
        <v>1962</v>
      </c>
      <c r="W419" s="99" t="s">
        <v>1964</v>
      </c>
    </row>
    <row r="420" spans="1:23" ht="18.600000000000001" customHeight="1">
      <c r="A420" s="123" t="str">
        <f>IF(priority(Main[[#This Row],[Comments]])&lt;&gt;0, priority(Main[[#This Row],[Comments]]),"")</f>
        <v/>
      </c>
      <c r="B420" s="127" t="s">
        <v>1260</v>
      </c>
      <c r="C420" s="99" t="s">
        <v>33</v>
      </c>
      <c r="D420" s="100" t="s">
        <v>293</v>
      </c>
      <c r="E420" s="101"/>
      <c r="F420" s="101"/>
      <c r="G420" s="102" t="str">
        <f>IF(stdProdLT(Main[[#This Row],[Comments]])=0.1,"N/A",IF(stdProdLT(Main[[#This Row],[Comments]])=0,"",stdProdLT(Main[[#This Row],[Comments]])))</f>
        <v/>
      </c>
      <c r="H420" s="103" t="str">
        <f>IF(AND(Main[[#This Row],[In Stock Date]]&lt;&gt;"",Main[[#This Row],[Revised Due Date]]&lt;&gt;""),Main[[#This Row],[In Stock Date]]-Main[[#This Row],[Revised Due Date]],"")</f>
        <v/>
      </c>
      <c r="I420" s="99" t="s">
        <v>4</v>
      </c>
      <c r="J420" s="99" t="s">
        <v>4</v>
      </c>
      <c r="K420" s="99" t="s">
        <v>4</v>
      </c>
      <c r="L420" s="101"/>
      <c r="M420" s="104" t="str">
        <f>IF(Main[[#This Row],[Tech Start Date]]&lt;1/1/1990,"",IF(Main[[#This Row],[Class]]="C",WORKDAY(Main[[#This Row],[Tech Start Date]],9),IF(Main[[#This Row],[Class]]="B", WORKDAY(Main[[#This Row],[Tech Start Date]],6),IF(Main[[#This Row],[Class]]="A",WORKDAY(Main[[#This Row],[Tech Start Date]],2),""))))</f>
        <v/>
      </c>
      <c r="N420" s="104" t="str">
        <f>IF(Main[[#This Row],[Tech Start Date]]&lt;1/1/1990,"",IF(Main[[#This Row],[Class]]="C",WORKDAY(Main[[#This Row],[Tech Start Date]],19),IF(Main[[#This Row],[Class]]="B", WORKDAY(Main[[#This Row],[Tech Start Date]],12),IF(Main[[#This Row],[Class]]="A",WORKDAY(Main[[#This Row],[Tech Start Date]],4),""))))</f>
        <v/>
      </c>
      <c r="O420" s="104" t="str">
        <f>IF(Main[[#This Row],[Tech Start Date]]&lt;1/1/1990,"",IF(Main[[#This Row],[Class]]="C",WORKDAY(Main[[#This Row],[Tech Start Date]],23),IF(Main[[#This Row],[Class]]="B", WORKDAY(Main[[#This Row],[Tech Start Date]],15),IF(Main[[#This Row],[Class]]="A",WORKDAY(Main[[#This Row],[Tech Start Date]],5),""))))</f>
        <v/>
      </c>
      <c r="P420" s="104" t="str">
        <f>IF(Main[[#This Row],[Tech Start Date]]&lt;1/1/1990,"",IF(Main[[#This Row],[Class]]="C",WORKDAY(Main[[#This Row],[Tech Start Date]],28),IF(Main[[#This Row],[Class]]="B", WORKDAY(Main[[#This Row],[Tech Start Date]],19),IF(Main[[#This Row],[Class]]="A",WORKDAY(Main[[#This Row],[Tech Start Date]],9),""))))</f>
        <v/>
      </c>
      <c r="Q420" s="101"/>
      <c r="R420" s="101"/>
      <c r="S420" s="99" t="s">
        <v>11</v>
      </c>
      <c r="T420" s="107" t="s">
        <v>4</v>
      </c>
      <c r="U420" s="99" t="s">
        <v>14</v>
      </c>
      <c r="V420" s="99" t="s">
        <v>1963</v>
      </c>
      <c r="W420" s="99" t="s">
        <v>1970</v>
      </c>
    </row>
    <row r="421" spans="1:23" ht="18.600000000000001" customHeight="1">
      <c r="A421" s="123" t="str">
        <f>IF(priority(Main[[#This Row],[Comments]])&lt;&gt;0, priority(Main[[#This Row],[Comments]]),"")</f>
        <v/>
      </c>
      <c r="B421" s="127" t="s">
        <v>2368</v>
      </c>
      <c r="C421" s="99" t="s">
        <v>4</v>
      </c>
      <c r="D421" s="100" t="s">
        <v>2468</v>
      </c>
      <c r="E421" s="101">
        <v>40813.664259259262</v>
      </c>
      <c r="F421" s="101"/>
      <c r="G421" s="102" t="str">
        <f>IF(stdProdLT(Main[[#This Row],[Comments]])=0.1,"N/A",IF(stdProdLT(Main[[#This Row],[Comments]])=0,"",stdProdLT(Main[[#This Row],[Comments]])))</f>
        <v/>
      </c>
      <c r="H421" s="103" t="str">
        <f>IF(AND(Main[[#This Row],[In Stock Date]]&lt;&gt;"",Main[[#This Row],[Revised Due Date]]&lt;&gt;""),Main[[#This Row],[In Stock Date]]-Main[[#This Row],[Revised Due Date]],"")</f>
        <v/>
      </c>
      <c r="I421" s="99" t="s">
        <v>955</v>
      </c>
      <c r="J421" s="99" t="s">
        <v>4</v>
      </c>
      <c r="K421" s="99" t="s">
        <v>4</v>
      </c>
      <c r="L421" s="101"/>
      <c r="M421" s="104" t="str">
        <f>IF(Main[[#This Row],[Tech Start Date]]&lt;1/1/1990,"",IF(Main[[#This Row],[Class]]="C",WORKDAY(Main[[#This Row],[Tech Start Date]],9),IF(Main[[#This Row],[Class]]="B", WORKDAY(Main[[#This Row],[Tech Start Date]],6),IF(Main[[#This Row],[Class]]="A",WORKDAY(Main[[#This Row],[Tech Start Date]],2),""))))</f>
        <v/>
      </c>
      <c r="N421" s="104" t="str">
        <f>IF(Main[[#This Row],[Tech Start Date]]&lt;1/1/1990,"",IF(Main[[#This Row],[Class]]="C",WORKDAY(Main[[#This Row],[Tech Start Date]],19),IF(Main[[#This Row],[Class]]="B", WORKDAY(Main[[#This Row],[Tech Start Date]],12),IF(Main[[#This Row],[Class]]="A",WORKDAY(Main[[#This Row],[Tech Start Date]],4),""))))</f>
        <v/>
      </c>
      <c r="O421" s="104" t="str">
        <f>IF(Main[[#This Row],[Tech Start Date]]&lt;1/1/1990,"",IF(Main[[#This Row],[Class]]="C",WORKDAY(Main[[#This Row],[Tech Start Date]],23),IF(Main[[#This Row],[Class]]="B", WORKDAY(Main[[#This Row],[Tech Start Date]],15),IF(Main[[#This Row],[Class]]="A",WORKDAY(Main[[#This Row],[Tech Start Date]],5),""))))</f>
        <v/>
      </c>
      <c r="P421" s="104" t="str">
        <f>IF(Main[[#This Row],[Tech Start Date]]&lt;1/1/1990,"",IF(Main[[#This Row],[Class]]="C",WORKDAY(Main[[#This Row],[Tech Start Date]],28),IF(Main[[#This Row],[Class]]="B", WORKDAY(Main[[#This Row],[Tech Start Date]],19),IF(Main[[#This Row],[Class]]="A",WORKDAY(Main[[#This Row],[Tech Start Date]],9),""))))</f>
        <v/>
      </c>
      <c r="Q421" s="101"/>
      <c r="R421" s="101">
        <v>40840</v>
      </c>
      <c r="S421" s="99" t="s">
        <v>6</v>
      </c>
      <c r="T421" s="107" t="s">
        <v>4</v>
      </c>
      <c r="U421" s="99" t="s">
        <v>7</v>
      </c>
      <c r="V421" s="99" t="s">
        <v>1962</v>
      </c>
      <c r="W421" s="99" t="s">
        <v>1966</v>
      </c>
    </row>
    <row r="422" spans="1:23" ht="18.600000000000001" customHeight="1">
      <c r="A422" s="123" t="str">
        <f>IF(priority(Main[[#This Row],[Comments]])&lt;&gt;0, priority(Main[[#This Row],[Comments]]),"")</f>
        <v/>
      </c>
      <c r="B422" s="127" t="s">
        <v>1300</v>
      </c>
      <c r="C422" s="99" t="s">
        <v>4</v>
      </c>
      <c r="D422" s="100" t="s">
        <v>339</v>
      </c>
      <c r="E422" s="101"/>
      <c r="F422" s="101"/>
      <c r="G422" s="102" t="str">
        <f>IF(stdProdLT(Main[[#This Row],[Comments]])=0.1,"N/A",IF(stdProdLT(Main[[#This Row],[Comments]])=0,"",stdProdLT(Main[[#This Row],[Comments]])))</f>
        <v/>
      </c>
      <c r="H422" s="103" t="str">
        <f>IF(AND(Main[[#This Row],[In Stock Date]]&lt;&gt;"",Main[[#This Row],[Revised Due Date]]&lt;&gt;""),Main[[#This Row],[In Stock Date]]-Main[[#This Row],[Revised Due Date]],"")</f>
        <v/>
      </c>
      <c r="I422" s="99" t="s">
        <v>4</v>
      </c>
      <c r="J422" s="99" t="s">
        <v>4</v>
      </c>
      <c r="K422" s="99" t="s">
        <v>4</v>
      </c>
      <c r="L422" s="101"/>
      <c r="M422" s="104" t="str">
        <f>IF(Main[[#This Row],[Tech Start Date]]&lt;1/1/1990,"",IF(Main[[#This Row],[Class]]="C",WORKDAY(Main[[#This Row],[Tech Start Date]],9),IF(Main[[#This Row],[Class]]="B", WORKDAY(Main[[#This Row],[Tech Start Date]],6),IF(Main[[#This Row],[Class]]="A",WORKDAY(Main[[#This Row],[Tech Start Date]],2),""))))</f>
        <v/>
      </c>
      <c r="N422" s="104" t="str">
        <f>IF(Main[[#This Row],[Tech Start Date]]&lt;1/1/1990,"",IF(Main[[#This Row],[Class]]="C",WORKDAY(Main[[#This Row],[Tech Start Date]],19),IF(Main[[#This Row],[Class]]="B", WORKDAY(Main[[#This Row],[Tech Start Date]],12),IF(Main[[#This Row],[Class]]="A",WORKDAY(Main[[#This Row],[Tech Start Date]],4),""))))</f>
        <v/>
      </c>
      <c r="O422" s="104" t="str">
        <f>IF(Main[[#This Row],[Tech Start Date]]&lt;1/1/1990,"",IF(Main[[#This Row],[Class]]="C",WORKDAY(Main[[#This Row],[Tech Start Date]],23),IF(Main[[#This Row],[Class]]="B", WORKDAY(Main[[#This Row],[Tech Start Date]],15),IF(Main[[#This Row],[Class]]="A",WORKDAY(Main[[#This Row],[Tech Start Date]],5),""))))</f>
        <v/>
      </c>
      <c r="P422" s="104" t="str">
        <f>IF(Main[[#This Row],[Tech Start Date]]&lt;1/1/1990,"",IF(Main[[#This Row],[Class]]="C",WORKDAY(Main[[#This Row],[Tech Start Date]],28),IF(Main[[#This Row],[Class]]="B", WORKDAY(Main[[#This Row],[Tech Start Date]],19),IF(Main[[#This Row],[Class]]="A",WORKDAY(Main[[#This Row],[Tech Start Date]],9),""))))</f>
        <v/>
      </c>
      <c r="Q422" s="101"/>
      <c r="R422" s="101"/>
      <c r="S422" s="99" t="s">
        <v>23</v>
      </c>
      <c r="T422" s="107" t="s">
        <v>4</v>
      </c>
      <c r="U422" s="99" t="s">
        <v>14</v>
      </c>
      <c r="V422" s="99" t="s">
        <v>1965</v>
      </c>
      <c r="W422" s="99" t="s">
        <v>1966</v>
      </c>
    </row>
    <row r="423" spans="1:23" ht="18.600000000000001" customHeight="1">
      <c r="A423" s="123" t="str">
        <f>IF(priority(Main[[#This Row],[Comments]])&lt;&gt;0, priority(Main[[#This Row],[Comments]]),"")</f>
        <v/>
      </c>
      <c r="B423" s="127" t="s">
        <v>2469</v>
      </c>
      <c r="C423" s="99" t="s">
        <v>4</v>
      </c>
      <c r="D423" s="100" t="s">
        <v>2470</v>
      </c>
      <c r="E423" s="101">
        <v>40842.639374999999</v>
      </c>
      <c r="F423" s="101"/>
      <c r="G423" s="102" t="str">
        <f>IF(stdProdLT(Main[[#This Row],[Comments]])=0.1,"N/A",IF(stdProdLT(Main[[#This Row],[Comments]])=0,"",stdProdLT(Main[[#This Row],[Comments]])))</f>
        <v/>
      </c>
      <c r="H423" s="103" t="str">
        <f>IF(AND(Main[[#This Row],[In Stock Date]]&lt;&gt;"",Main[[#This Row],[Revised Due Date]]&lt;&gt;""),Main[[#This Row],[In Stock Date]]-Main[[#This Row],[Revised Due Date]],"")</f>
        <v/>
      </c>
      <c r="I423" s="99" t="s">
        <v>4</v>
      </c>
      <c r="J423" s="99" t="s">
        <v>4</v>
      </c>
      <c r="K423" s="99" t="s">
        <v>4</v>
      </c>
      <c r="L423" s="101"/>
      <c r="M423" s="104" t="str">
        <f>IF(Main[[#This Row],[Tech Start Date]]&lt;1/1/1990,"",IF(Main[[#This Row],[Class]]="C",WORKDAY(Main[[#This Row],[Tech Start Date]],9),IF(Main[[#This Row],[Class]]="B", WORKDAY(Main[[#This Row],[Tech Start Date]],6),IF(Main[[#This Row],[Class]]="A",WORKDAY(Main[[#This Row],[Tech Start Date]],2),""))))</f>
        <v/>
      </c>
      <c r="N423" s="104" t="str">
        <f>IF(Main[[#This Row],[Tech Start Date]]&lt;1/1/1990,"",IF(Main[[#This Row],[Class]]="C",WORKDAY(Main[[#This Row],[Tech Start Date]],19),IF(Main[[#This Row],[Class]]="B", WORKDAY(Main[[#This Row],[Tech Start Date]],12),IF(Main[[#This Row],[Class]]="A",WORKDAY(Main[[#This Row],[Tech Start Date]],4),""))))</f>
        <v/>
      </c>
      <c r="O423" s="104" t="str">
        <f>IF(Main[[#This Row],[Tech Start Date]]&lt;1/1/1990,"",IF(Main[[#This Row],[Class]]="C",WORKDAY(Main[[#This Row],[Tech Start Date]],23),IF(Main[[#This Row],[Class]]="B", WORKDAY(Main[[#This Row],[Tech Start Date]],15),IF(Main[[#This Row],[Class]]="A",WORKDAY(Main[[#This Row],[Tech Start Date]],5),""))))</f>
        <v/>
      </c>
      <c r="P423" s="104" t="str">
        <f>IF(Main[[#This Row],[Tech Start Date]]&lt;1/1/1990,"",IF(Main[[#This Row],[Class]]="C",WORKDAY(Main[[#This Row],[Tech Start Date]],28),IF(Main[[#This Row],[Class]]="B", WORKDAY(Main[[#This Row],[Tech Start Date]],19),IF(Main[[#This Row],[Class]]="A",WORKDAY(Main[[#This Row],[Tech Start Date]],9),""))))</f>
        <v/>
      </c>
      <c r="Q423" s="101">
        <v>40872</v>
      </c>
      <c r="R423" s="101"/>
      <c r="S423" s="99" t="s">
        <v>6</v>
      </c>
      <c r="T423" s="107" t="s">
        <v>4</v>
      </c>
      <c r="U423" s="99" t="s">
        <v>7</v>
      </c>
      <c r="V423" s="99" t="s">
        <v>1965</v>
      </c>
      <c r="W423" s="99" t="s">
        <v>4</v>
      </c>
    </row>
    <row r="424" spans="1:23" ht="18.600000000000001" customHeight="1">
      <c r="A424" s="123" t="str">
        <f>IF(priority(Main[[#This Row],[Comments]])&lt;&gt;0, priority(Main[[#This Row],[Comments]]),"")</f>
        <v/>
      </c>
      <c r="B424" s="127" t="s">
        <v>1301</v>
      </c>
      <c r="C424" s="99" t="s">
        <v>31</v>
      </c>
      <c r="D424" s="100" t="s">
        <v>340</v>
      </c>
      <c r="E424" s="101"/>
      <c r="F424" s="101"/>
      <c r="G424" s="102" t="str">
        <f>IF(stdProdLT(Main[[#This Row],[Comments]])=0.1,"N/A",IF(stdProdLT(Main[[#This Row],[Comments]])=0,"",stdProdLT(Main[[#This Row],[Comments]])))</f>
        <v/>
      </c>
      <c r="H424" s="103" t="str">
        <f>IF(AND(Main[[#This Row],[In Stock Date]]&lt;&gt;"",Main[[#This Row],[Revised Due Date]]&lt;&gt;""),Main[[#This Row],[In Stock Date]]-Main[[#This Row],[Revised Due Date]],"")</f>
        <v/>
      </c>
      <c r="I424" s="99" t="s">
        <v>4</v>
      </c>
      <c r="J424" s="99" t="s">
        <v>4</v>
      </c>
      <c r="K424" s="99" t="s">
        <v>4</v>
      </c>
      <c r="L424" s="101"/>
      <c r="M424" s="104" t="str">
        <f>IF(Main[[#This Row],[Tech Start Date]]&lt;1/1/1990,"",IF(Main[[#This Row],[Class]]="C",WORKDAY(Main[[#This Row],[Tech Start Date]],9),IF(Main[[#This Row],[Class]]="B", WORKDAY(Main[[#This Row],[Tech Start Date]],6),IF(Main[[#This Row],[Class]]="A",WORKDAY(Main[[#This Row],[Tech Start Date]],2),""))))</f>
        <v/>
      </c>
      <c r="N424" s="104" t="str">
        <f>IF(Main[[#This Row],[Tech Start Date]]&lt;1/1/1990,"",IF(Main[[#This Row],[Class]]="C",WORKDAY(Main[[#This Row],[Tech Start Date]],19),IF(Main[[#This Row],[Class]]="B", WORKDAY(Main[[#This Row],[Tech Start Date]],12),IF(Main[[#This Row],[Class]]="A",WORKDAY(Main[[#This Row],[Tech Start Date]],4),""))))</f>
        <v/>
      </c>
      <c r="O424" s="104" t="str">
        <f>IF(Main[[#This Row],[Tech Start Date]]&lt;1/1/1990,"",IF(Main[[#This Row],[Class]]="C",WORKDAY(Main[[#This Row],[Tech Start Date]],23),IF(Main[[#This Row],[Class]]="B", WORKDAY(Main[[#This Row],[Tech Start Date]],15),IF(Main[[#This Row],[Class]]="A",WORKDAY(Main[[#This Row],[Tech Start Date]],5),""))))</f>
        <v/>
      </c>
      <c r="P424" s="104" t="str">
        <f>IF(Main[[#This Row],[Tech Start Date]]&lt;1/1/1990,"",IF(Main[[#This Row],[Class]]="C",WORKDAY(Main[[#This Row],[Tech Start Date]],28),IF(Main[[#This Row],[Class]]="B", WORKDAY(Main[[#This Row],[Tech Start Date]],19),IF(Main[[#This Row],[Class]]="A",WORKDAY(Main[[#This Row],[Tech Start Date]],9),""))))</f>
        <v/>
      </c>
      <c r="Q424" s="101">
        <v>40318</v>
      </c>
      <c r="R424" s="101"/>
      <c r="S424" s="99" t="s">
        <v>11</v>
      </c>
      <c r="T424" s="107" t="s">
        <v>4</v>
      </c>
      <c r="U424" s="99" t="s">
        <v>14</v>
      </c>
      <c r="V424" s="99" t="s">
        <v>1965</v>
      </c>
      <c r="W424" s="99" t="s">
        <v>1964</v>
      </c>
    </row>
    <row r="425" spans="1:23" ht="18.600000000000001" customHeight="1">
      <c r="A425" s="123" t="str">
        <f>IF(priority(Main[[#This Row],[Comments]])&lt;&gt;0, priority(Main[[#This Row],[Comments]]),"")</f>
        <v/>
      </c>
      <c r="B425" s="127" t="s">
        <v>1302</v>
      </c>
      <c r="C425" s="99" t="s">
        <v>4</v>
      </c>
      <c r="D425" s="100" t="s">
        <v>341</v>
      </c>
      <c r="E425" s="101">
        <v>40542.302245370367</v>
      </c>
      <c r="F425" s="101"/>
      <c r="G425" s="102" t="str">
        <f>IF(stdProdLT(Main[[#This Row],[Comments]])=0.1,"N/A",IF(stdProdLT(Main[[#This Row],[Comments]])=0,"",stdProdLT(Main[[#This Row],[Comments]])))</f>
        <v/>
      </c>
      <c r="H425" s="103" t="str">
        <f>IF(AND(Main[[#This Row],[In Stock Date]]&lt;&gt;"",Main[[#This Row],[Revised Due Date]]&lt;&gt;""),Main[[#This Row],[In Stock Date]]-Main[[#This Row],[Revised Due Date]],"")</f>
        <v/>
      </c>
      <c r="I425" s="99" t="s">
        <v>4</v>
      </c>
      <c r="J425" s="99" t="s">
        <v>4</v>
      </c>
      <c r="K425" s="108" t="s">
        <v>1971</v>
      </c>
      <c r="L425" s="101"/>
      <c r="M425" s="104" t="str">
        <f>IF(Main[[#This Row],[Tech Start Date]]&lt;1/1/1990,"",IF(Main[[#This Row],[Class]]="C",WORKDAY(Main[[#This Row],[Tech Start Date]],9),IF(Main[[#This Row],[Class]]="B", WORKDAY(Main[[#This Row],[Tech Start Date]],6),IF(Main[[#This Row],[Class]]="A",WORKDAY(Main[[#This Row],[Tech Start Date]],2),""))))</f>
        <v/>
      </c>
      <c r="N425" s="104" t="str">
        <f>IF(Main[[#This Row],[Tech Start Date]]&lt;1/1/1990,"",IF(Main[[#This Row],[Class]]="C",WORKDAY(Main[[#This Row],[Tech Start Date]],19),IF(Main[[#This Row],[Class]]="B", WORKDAY(Main[[#This Row],[Tech Start Date]],12),IF(Main[[#This Row],[Class]]="A",WORKDAY(Main[[#This Row],[Tech Start Date]],4),""))))</f>
        <v/>
      </c>
      <c r="O425" s="104" t="str">
        <f>IF(Main[[#This Row],[Tech Start Date]]&lt;1/1/1990,"",IF(Main[[#This Row],[Class]]="C",WORKDAY(Main[[#This Row],[Tech Start Date]],23),IF(Main[[#This Row],[Class]]="B", WORKDAY(Main[[#This Row],[Tech Start Date]],15),IF(Main[[#This Row],[Class]]="A",WORKDAY(Main[[#This Row],[Tech Start Date]],5),""))))</f>
        <v/>
      </c>
      <c r="P425" s="104" t="str">
        <f>IF(Main[[#This Row],[Tech Start Date]]&lt;1/1/1990,"",IF(Main[[#This Row],[Class]]="C",WORKDAY(Main[[#This Row],[Tech Start Date]],28),IF(Main[[#This Row],[Class]]="B", WORKDAY(Main[[#This Row],[Tech Start Date]],19),IF(Main[[#This Row],[Class]]="A",WORKDAY(Main[[#This Row],[Tech Start Date]],9),""))))</f>
        <v/>
      </c>
      <c r="Q425" s="101"/>
      <c r="R425" s="101"/>
      <c r="S425" s="99" t="s">
        <v>6</v>
      </c>
      <c r="T425" s="107" t="s">
        <v>4</v>
      </c>
      <c r="U425" s="99" t="s">
        <v>29</v>
      </c>
      <c r="V425" s="99" t="s">
        <v>1962</v>
      </c>
      <c r="W425" s="99" t="s">
        <v>1966</v>
      </c>
    </row>
    <row r="426" spans="1:23" ht="18.600000000000001" customHeight="1">
      <c r="A426" s="123" t="str">
        <f>IF(priority(Main[[#This Row],[Comments]])&lt;&gt;0, priority(Main[[#This Row],[Comments]]),"")</f>
        <v/>
      </c>
      <c r="B426" s="127" t="s">
        <v>1303</v>
      </c>
      <c r="C426" s="99" t="s">
        <v>93</v>
      </c>
      <c r="D426" s="100" t="s">
        <v>342</v>
      </c>
      <c r="E426" s="101"/>
      <c r="F426" s="101">
        <v>40132</v>
      </c>
      <c r="G426" s="102" t="str">
        <f>IF(stdProdLT(Main[[#This Row],[Comments]])=0.1,"N/A",IF(stdProdLT(Main[[#This Row],[Comments]])=0,"",stdProdLT(Main[[#This Row],[Comments]])))</f>
        <v/>
      </c>
      <c r="H426" s="103" t="str">
        <f>IF(AND(Main[[#This Row],[In Stock Date]]&lt;&gt;"",Main[[#This Row],[Revised Due Date]]&lt;&gt;""),Main[[#This Row],[In Stock Date]]-Main[[#This Row],[Revised Due Date]],"")</f>
        <v/>
      </c>
      <c r="I426" s="99" t="s">
        <v>4</v>
      </c>
      <c r="J426" s="99" t="s">
        <v>4</v>
      </c>
      <c r="K426" s="99" t="s">
        <v>4</v>
      </c>
      <c r="L426" s="101"/>
      <c r="M426" s="104" t="str">
        <f>IF(Main[[#This Row],[Tech Start Date]]&lt;1/1/1990,"",IF(Main[[#This Row],[Class]]="C",WORKDAY(Main[[#This Row],[Tech Start Date]],9),IF(Main[[#This Row],[Class]]="B", WORKDAY(Main[[#This Row],[Tech Start Date]],6),IF(Main[[#This Row],[Class]]="A",WORKDAY(Main[[#This Row],[Tech Start Date]],2),""))))</f>
        <v/>
      </c>
      <c r="N426" s="104" t="str">
        <f>IF(Main[[#This Row],[Tech Start Date]]&lt;1/1/1990,"",IF(Main[[#This Row],[Class]]="C",WORKDAY(Main[[#This Row],[Tech Start Date]],19),IF(Main[[#This Row],[Class]]="B", WORKDAY(Main[[#This Row],[Tech Start Date]],12),IF(Main[[#This Row],[Class]]="A",WORKDAY(Main[[#This Row],[Tech Start Date]],4),""))))</f>
        <v/>
      </c>
      <c r="O426" s="104" t="str">
        <f>IF(Main[[#This Row],[Tech Start Date]]&lt;1/1/1990,"",IF(Main[[#This Row],[Class]]="C",WORKDAY(Main[[#This Row],[Tech Start Date]],23),IF(Main[[#This Row],[Class]]="B", WORKDAY(Main[[#This Row],[Tech Start Date]],15),IF(Main[[#This Row],[Class]]="A",WORKDAY(Main[[#This Row],[Tech Start Date]],5),""))))</f>
        <v/>
      </c>
      <c r="P426" s="104" t="str">
        <f>IF(Main[[#This Row],[Tech Start Date]]&lt;1/1/1990,"",IF(Main[[#This Row],[Class]]="C",WORKDAY(Main[[#This Row],[Tech Start Date]],28),IF(Main[[#This Row],[Class]]="B", WORKDAY(Main[[#This Row],[Tech Start Date]],19),IF(Main[[#This Row],[Class]]="A",WORKDAY(Main[[#This Row],[Tech Start Date]],9),""))))</f>
        <v/>
      </c>
      <c r="Q426" s="101">
        <v>40132</v>
      </c>
      <c r="R426" s="101"/>
      <c r="S426" s="99" t="s">
        <v>11</v>
      </c>
      <c r="T426" s="107" t="s">
        <v>4</v>
      </c>
      <c r="U426" s="99" t="s">
        <v>14</v>
      </c>
      <c r="V426" s="99" t="s">
        <v>1972</v>
      </c>
      <c r="W426" s="99" t="s">
        <v>1968</v>
      </c>
    </row>
    <row r="427" spans="1:23" ht="18.600000000000001" customHeight="1">
      <c r="A427" s="123" t="str">
        <f>IF(priority(Main[[#This Row],[Comments]])&lt;&gt;0, priority(Main[[#This Row],[Comments]]),"")</f>
        <v/>
      </c>
      <c r="B427" s="127" t="s">
        <v>1304</v>
      </c>
      <c r="C427" s="99" t="s">
        <v>4</v>
      </c>
      <c r="D427" s="100" t="s">
        <v>343</v>
      </c>
      <c r="E427" s="101"/>
      <c r="F427" s="101"/>
      <c r="G427" s="102" t="str">
        <f>IF(stdProdLT(Main[[#This Row],[Comments]])=0.1,"N/A",IF(stdProdLT(Main[[#This Row],[Comments]])=0,"",stdProdLT(Main[[#This Row],[Comments]])))</f>
        <v/>
      </c>
      <c r="H427" s="103" t="str">
        <f>IF(AND(Main[[#This Row],[In Stock Date]]&lt;&gt;"",Main[[#This Row],[Revised Due Date]]&lt;&gt;""),Main[[#This Row],[In Stock Date]]-Main[[#This Row],[Revised Due Date]],"")</f>
        <v/>
      </c>
      <c r="I427" s="99" t="s">
        <v>4</v>
      </c>
      <c r="J427" s="99" t="s">
        <v>4</v>
      </c>
      <c r="K427" s="108" t="s">
        <v>4</v>
      </c>
      <c r="L427" s="101"/>
      <c r="M427" s="104" t="str">
        <f>IF(Main[[#This Row],[Tech Start Date]]&lt;1/1/1990,"",IF(Main[[#This Row],[Class]]="C",WORKDAY(Main[[#This Row],[Tech Start Date]],9),IF(Main[[#This Row],[Class]]="B", WORKDAY(Main[[#This Row],[Tech Start Date]],6),IF(Main[[#This Row],[Class]]="A",WORKDAY(Main[[#This Row],[Tech Start Date]],2),""))))</f>
        <v/>
      </c>
      <c r="N427" s="104" t="str">
        <f>IF(Main[[#This Row],[Tech Start Date]]&lt;1/1/1990,"",IF(Main[[#This Row],[Class]]="C",WORKDAY(Main[[#This Row],[Tech Start Date]],19),IF(Main[[#This Row],[Class]]="B", WORKDAY(Main[[#This Row],[Tech Start Date]],12),IF(Main[[#This Row],[Class]]="A",WORKDAY(Main[[#This Row],[Tech Start Date]],4),""))))</f>
        <v/>
      </c>
      <c r="O427" s="104" t="str">
        <f>IF(Main[[#This Row],[Tech Start Date]]&lt;1/1/1990,"",IF(Main[[#This Row],[Class]]="C",WORKDAY(Main[[#This Row],[Tech Start Date]],23),IF(Main[[#This Row],[Class]]="B", WORKDAY(Main[[#This Row],[Tech Start Date]],15),IF(Main[[#This Row],[Class]]="A",WORKDAY(Main[[#This Row],[Tech Start Date]],5),""))))</f>
        <v/>
      </c>
      <c r="P427" s="104" t="str">
        <f>IF(Main[[#This Row],[Tech Start Date]]&lt;1/1/1990,"",IF(Main[[#This Row],[Class]]="C",WORKDAY(Main[[#This Row],[Tech Start Date]],28),IF(Main[[#This Row],[Class]]="B", WORKDAY(Main[[#This Row],[Tech Start Date]],19),IF(Main[[#This Row],[Class]]="A",WORKDAY(Main[[#This Row],[Tech Start Date]],9),""))))</f>
        <v/>
      </c>
      <c r="Q427" s="101"/>
      <c r="R427" s="101"/>
      <c r="S427" s="99" t="s">
        <v>23</v>
      </c>
      <c r="T427" s="107" t="s">
        <v>4</v>
      </c>
      <c r="U427" s="99" t="s">
        <v>14</v>
      </c>
      <c r="V427" s="99" t="s">
        <v>1962</v>
      </c>
      <c r="W427" s="99" t="s">
        <v>1964</v>
      </c>
    </row>
    <row r="428" spans="1:23" ht="18.600000000000001" customHeight="1">
      <c r="A428" s="123" t="str">
        <f>IF(priority(Main[[#This Row],[Comments]])&lt;&gt;0, priority(Main[[#This Row],[Comments]]),"")</f>
        <v/>
      </c>
      <c r="B428" s="127" t="s">
        <v>1305</v>
      </c>
      <c r="C428" s="99" t="s">
        <v>47</v>
      </c>
      <c r="D428" s="100" t="s">
        <v>344</v>
      </c>
      <c r="E428" s="101">
        <v>39937.597743055558</v>
      </c>
      <c r="F428" s="101"/>
      <c r="G428" s="102" t="str">
        <f>IF(stdProdLT(Main[[#This Row],[Comments]])=0.1,"N/A",IF(stdProdLT(Main[[#This Row],[Comments]])=0,"",stdProdLT(Main[[#This Row],[Comments]])))</f>
        <v/>
      </c>
      <c r="H428" s="103" t="str">
        <f>IF(AND(Main[[#This Row],[In Stock Date]]&lt;&gt;"",Main[[#This Row],[Revised Due Date]]&lt;&gt;""),Main[[#This Row],[In Stock Date]]-Main[[#This Row],[Revised Due Date]],"")</f>
        <v/>
      </c>
      <c r="I428" s="99" t="s">
        <v>4</v>
      </c>
      <c r="J428" s="99" t="s">
        <v>4</v>
      </c>
      <c r="K428" s="99" t="s">
        <v>4</v>
      </c>
      <c r="L428" s="101"/>
      <c r="M428" s="104" t="str">
        <f>IF(Main[[#This Row],[Tech Start Date]]&lt;1/1/1990,"",IF(Main[[#This Row],[Class]]="C",WORKDAY(Main[[#This Row],[Tech Start Date]],9),IF(Main[[#This Row],[Class]]="B", WORKDAY(Main[[#This Row],[Tech Start Date]],6),IF(Main[[#This Row],[Class]]="A",WORKDAY(Main[[#This Row],[Tech Start Date]],2),""))))</f>
        <v/>
      </c>
      <c r="N428" s="104" t="str">
        <f>IF(Main[[#This Row],[Tech Start Date]]&lt;1/1/1990,"",IF(Main[[#This Row],[Class]]="C",WORKDAY(Main[[#This Row],[Tech Start Date]],19),IF(Main[[#This Row],[Class]]="B", WORKDAY(Main[[#This Row],[Tech Start Date]],12),IF(Main[[#This Row],[Class]]="A",WORKDAY(Main[[#This Row],[Tech Start Date]],4),""))))</f>
        <v/>
      </c>
      <c r="O428" s="104" t="str">
        <f>IF(Main[[#This Row],[Tech Start Date]]&lt;1/1/1990,"",IF(Main[[#This Row],[Class]]="C",WORKDAY(Main[[#This Row],[Tech Start Date]],23),IF(Main[[#This Row],[Class]]="B", WORKDAY(Main[[#This Row],[Tech Start Date]],15),IF(Main[[#This Row],[Class]]="A",WORKDAY(Main[[#This Row],[Tech Start Date]],5),""))))</f>
        <v/>
      </c>
      <c r="P428" s="104" t="str">
        <f>IF(Main[[#This Row],[Tech Start Date]]&lt;1/1/1990,"",IF(Main[[#This Row],[Class]]="C",WORKDAY(Main[[#This Row],[Tech Start Date]],28),IF(Main[[#This Row],[Class]]="B", WORKDAY(Main[[#This Row],[Tech Start Date]],19),IF(Main[[#This Row],[Class]]="A",WORKDAY(Main[[#This Row],[Tech Start Date]],9),""))))</f>
        <v/>
      </c>
      <c r="Q428" s="101"/>
      <c r="R428" s="101"/>
      <c r="S428" s="99" t="s">
        <v>17</v>
      </c>
      <c r="T428" s="107" t="s">
        <v>4</v>
      </c>
      <c r="U428" s="99" t="s">
        <v>7</v>
      </c>
      <c r="V428" s="99" t="s">
        <v>1965</v>
      </c>
      <c r="W428" s="99" t="s">
        <v>4</v>
      </c>
    </row>
    <row r="429" spans="1:23" ht="18.600000000000001" customHeight="1">
      <c r="A429" s="123" t="str">
        <f>IF(priority(Main[[#This Row],[Comments]])&lt;&gt;0, priority(Main[[#This Row],[Comments]]),"")</f>
        <v/>
      </c>
      <c r="B429" s="127" t="s">
        <v>1306</v>
      </c>
      <c r="C429" s="99" t="s">
        <v>95</v>
      </c>
      <c r="D429" s="100" t="s">
        <v>345</v>
      </c>
      <c r="E429" s="101"/>
      <c r="F429" s="101">
        <v>40195</v>
      </c>
      <c r="G429" s="102" t="str">
        <f>IF(stdProdLT(Main[[#This Row],[Comments]])=0.1,"N/A",IF(stdProdLT(Main[[#This Row],[Comments]])=0,"",stdProdLT(Main[[#This Row],[Comments]])))</f>
        <v/>
      </c>
      <c r="H429" s="103" t="str">
        <f>IF(AND(Main[[#This Row],[In Stock Date]]&lt;&gt;"",Main[[#This Row],[Revised Due Date]]&lt;&gt;""),Main[[#This Row],[In Stock Date]]-Main[[#This Row],[Revised Due Date]],"")</f>
        <v/>
      </c>
      <c r="I429" s="99" t="s">
        <v>4</v>
      </c>
      <c r="J429" s="99" t="s">
        <v>4</v>
      </c>
      <c r="K429" s="99" t="s">
        <v>4</v>
      </c>
      <c r="L429" s="101"/>
      <c r="M429" s="104" t="str">
        <f>IF(Main[[#This Row],[Tech Start Date]]&lt;1/1/1990,"",IF(Main[[#This Row],[Class]]="C",WORKDAY(Main[[#This Row],[Tech Start Date]],9),IF(Main[[#This Row],[Class]]="B", WORKDAY(Main[[#This Row],[Tech Start Date]],6),IF(Main[[#This Row],[Class]]="A",WORKDAY(Main[[#This Row],[Tech Start Date]],2),""))))</f>
        <v/>
      </c>
      <c r="N429" s="104" t="str">
        <f>IF(Main[[#This Row],[Tech Start Date]]&lt;1/1/1990,"",IF(Main[[#This Row],[Class]]="C",WORKDAY(Main[[#This Row],[Tech Start Date]],19),IF(Main[[#This Row],[Class]]="B", WORKDAY(Main[[#This Row],[Tech Start Date]],12),IF(Main[[#This Row],[Class]]="A",WORKDAY(Main[[#This Row],[Tech Start Date]],4),""))))</f>
        <v/>
      </c>
      <c r="O429" s="104" t="str">
        <f>IF(Main[[#This Row],[Tech Start Date]]&lt;1/1/1990,"",IF(Main[[#This Row],[Class]]="C",WORKDAY(Main[[#This Row],[Tech Start Date]],23),IF(Main[[#This Row],[Class]]="B", WORKDAY(Main[[#This Row],[Tech Start Date]],15),IF(Main[[#This Row],[Class]]="A",WORKDAY(Main[[#This Row],[Tech Start Date]],5),""))))</f>
        <v/>
      </c>
      <c r="P429" s="104" t="str">
        <f>IF(Main[[#This Row],[Tech Start Date]]&lt;1/1/1990,"",IF(Main[[#This Row],[Class]]="C",WORKDAY(Main[[#This Row],[Tech Start Date]],28),IF(Main[[#This Row],[Class]]="B", WORKDAY(Main[[#This Row],[Tech Start Date]],19),IF(Main[[#This Row],[Class]]="A",WORKDAY(Main[[#This Row],[Tech Start Date]],9),""))))</f>
        <v/>
      </c>
      <c r="Q429" s="101">
        <v>40070</v>
      </c>
      <c r="R429" s="101"/>
      <c r="S429" s="99" t="s">
        <v>11</v>
      </c>
      <c r="T429" s="107" t="s">
        <v>4</v>
      </c>
      <c r="U429" s="99" t="s">
        <v>14</v>
      </c>
      <c r="V429" s="99" t="s">
        <v>1965</v>
      </c>
      <c r="W429" s="99" t="s">
        <v>1968</v>
      </c>
    </row>
    <row r="430" spans="1:23" ht="18.600000000000001" customHeight="1">
      <c r="A430" s="123" t="str">
        <f>IF(priority(Main[[#This Row],[Comments]])&lt;&gt;0, priority(Main[[#This Row],[Comments]]),"")</f>
        <v/>
      </c>
      <c r="B430" s="127" t="s">
        <v>1326</v>
      </c>
      <c r="C430" s="99" t="s">
        <v>4</v>
      </c>
      <c r="D430" s="100" t="s">
        <v>347</v>
      </c>
      <c r="E430" s="101">
        <v>40704.346435185187</v>
      </c>
      <c r="F430" s="101"/>
      <c r="G430" s="102" t="str">
        <f>IF(stdProdLT(Main[[#This Row],[Comments]])=0.1,"N/A",IF(stdProdLT(Main[[#This Row],[Comments]])=0,"",stdProdLT(Main[[#This Row],[Comments]])))</f>
        <v/>
      </c>
      <c r="H430" s="103" t="str">
        <f>IF(AND(Main[[#This Row],[In Stock Date]]&lt;&gt;"",Main[[#This Row],[Revised Due Date]]&lt;&gt;""),Main[[#This Row],[In Stock Date]]-Main[[#This Row],[Revised Due Date]],"")</f>
        <v/>
      </c>
      <c r="I430" s="99" t="s">
        <v>939</v>
      </c>
      <c r="J430" s="99" t="s">
        <v>28</v>
      </c>
      <c r="K430" s="108" t="s">
        <v>4</v>
      </c>
      <c r="L430" s="101"/>
      <c r="M430" s="104" t="str">
        <f>IF(Main[[#This Row],[Tech Start Date]]&lt;1/1/1990,"",IF(Main[[#This Row],[Class]]="C",WORKDAY(Main[[#This Row],[Tech Start Date]],9),IF(Main[[#This Row],[Class]]="B", WORKDAY(Main[[#This Row],[Tech Start Date]],6),IF(Main[[#This Row],[Class]]="A",WORKDAY(Main[[#This Row],[Tech Start Date]],2),""))))</f>
        <v/>
      </c>
      <c r="N430" s="104" t="str">
        <f>IF(Main[[#This Row],[Tech Start Date]]&lt;1/1/1990,"",IF(Main[[#This Row],[Class]]="C",WORKDAY(Main[[#This Row],[Tech Start Date]],19),IF(Main[[#This Row],[Class]]="B", WORKDAY(Main[[#This Row],[Tech Start Date]],12),IF(Main[[#This Row],[Class]]="A",WORKDAY(Main[[#This Row],[Tech Start Date]],4),""))))</f>
        <v/>
      </c>
      <c r="O430" s="104" t="str">
        <f>IF(Main[[#This Row],[Tech Start Date]]&lt;1/1/1990,"",IF(Main[[#This Row],[Class]]="C",WORKDAY(Main[[#This Row],[Tech Start Date]],23),IF(Main[[#This Row],[Class]]="B", WORKDAY(Main[[#This Row],[Tech Start Date]],15),IF(Main[[#This Row],[Class]]="A",WORKDAY(Main[[#This Row],[Tech Start Date]],5),""))))</f>
        <v/>
      </c>
      <c r="P430" s="104" t="str">
        <f>IF(Main[[#This Row],[Tech Start Date]]&lt;1/1/1990,"",IF(Main[[#This Row],[Class]]="C",WORKDAY(Main[[#This Row],[Tech Start Date]],28),IF(Main[[#This Row],[Class]]="B", WORKDAY(Main[[#This Row],[Tech Start Date]],19),IF(Main[[#This Row],[Class]]="A",WORKDAY(Main[[#This Row],[Tech Start Date]],9),""))))</f>
        <v/>
      </c>
      <c r="Q430" s="101"/>
      <c r="R430" s="101">
        <v>40908</v>
      </c>
      <c r="S430" s="99" t="s">
        <v>49</v>
      </c>
      <c r="T430" s="107" t="s">
        <v>4</v>
      </c>
      <c r="U430" s="99" t="s">
        <v>7</v>
      </c>
      <c r="V430" s="99" t="s">
        <v>1977</v>
      </c>
      <c r="W430" s="99" t="s">
        <v>1964</v>
      </c>
    </row>
    <row r="431" spans="1:23" ht="18.600000000000001" customHeight="1">
      <c r="A431" s="123" t="str">
        <f>IF(priority(Main[[#This Row],[Comments]])&lt;&gt;0, priority(Main[[#This Row],[Comments]]),"")</f>
        <v/>
      </c>
      <c r="B431" s="127" t="s">
        <v>1327</v>
      </c>
      <c r="C431" s="99" t="s">
        <v>72</v>
      </c>
      <c r="D431" s="100" t="s">
        <v>348</v>
      </c>
      <c r="E431" s="101"/>
      <c r="F431" s="101">
        <v>40106</v>
      </c>
      <c r="G431" s="102" t="str">
        <f>IF(stdProdLT(Main[[#This Row],[Comments]])=0.1,"N/A",IF(stdProdLT(Main[[#This Row],[Comments]])=0,"",stdProdLT(Main[[#This Row],[Comments]])))</f>
        <v/>
      </c>
      <c r="H431" s="103" t="str">
        <f>IF(AND(Main[[#This Row],[In Stock Date]]&lt;&gt;"",Main[[#This Row],[Revised Due Date]]&lt;&gt;""),Main[[#This Row],[In Stock Date]]-Main[[#This Row],[Revised Due Date]],"")</f>
        <v/>
      </c>
      <c r="I431" s="99" t="s">
        <v>4</v>
      </c>
      <c r="J431" s="99" t="s">
        <v>4</v>
      </c>
      <c r="K431" s="99" t="s">
        <v>4</v>
      </c>
      <c r="L431" s="101"/>
      <c r="M431" s="104" t="str">
        <f>IF(Main[[#This Row],[Tech Start Date]]&lt;1/1/1990,"",IF(Main[[#This Row],[Class]]="C",WORKDAY(Main[[#This Row],[Tech Start Date]],9),IF(Main[[#This Row],[Class]]="B", WORKDAY(Main[[#This Row],[Tech Start Date]],6),IF(Main[[#This Row],[Class]]="A",WORKDAY(Main[[#This Row],[Tech Start Date]],2),""))))</f>
        <v/>
      </c>
      <c r="N431" s="104" t="str">
        <f>IF(Main[[#This Row],[Tech Start Date]]&lt;1/1/1990,"",IF(Main[[#This Row],[Class]]="C",WORKDAY(Main[[#This Row],[Tech Start Date]],19),IF(Main[[#This Row],[Class]]="B", WORKDAY(Main[[#This Row],[Tech Start Date]],12),IF(Main[[#This Row],[Class]]="A",WORKDAY(Main[[#This Row],[Tech Start Date]],4),""))))</f>
        <v/>
      </c>
      <c r="O431" s="104" t="str">
        <f>IF(Main[[#This Row],[Tech Start Date]]&lt;1/1/1990,"",IF(Main[[#This Row],[Class]]="C",WORKDAY(Main[[#This Row],[Tech Start Date]],23),IF(Main[[#This Row],[Class]]="B", WORKDAY(Main[[#This Row],[Tech Start Date]],15),IF(Main[[#This Row],[Class]]="A",WORKDAY(Main[[#This Row],[Tech Start Date]],5),""))))</f>
        <v/>
      </c>
      <c r="P431" s="104" t="str">
        <f>IF(Main[[#This Row],[Tech Start Date]]&lt;1/1/1990,"",IF(Main[[#This Row],[Class]]="C",WORKDAY(Main[[#This Row],[Tech Start Date]],28),IF(Main[[#This Row],[Class]]="B", WORKDAY(Main[[#This Row],[Tech Start Date]],19),IF(Main[[#This Row],[Class]]="A",WORKDAY(Main[[#This Row],[Tech Start Date]],9),""))))</f>
        <v/>
      </c>
      <c r="Q431" s="101">
        <v>39986</v>
      </c>
      <c r="R431" s="101"/>
      <c r="S431" s="99" t="s">
        <v>11</v>
      </c>
      <c r="T431" s="107" t="s">
        <v>4</v>
      </c>
      <c r="U431" s="99" t="s">
        <v>14</v>
      </c>
      <c r="V431" s="99" t="s">
        <v>1963</v>
      </c>
      <c r="W431" s="99" t="s">
        <v>1967</v>
      </c>
    </row>
    <row r="432" spans="1:23" ht="18.600000000000001" customHeight="1">
      <c r="A432" s="123" t="str">
        <f>IF(priority(Main[[#This Row],[Comments]])&lt;&gt;0, priority(Main[[#This Row],[Comments]]),"")</f>
        <v/>
      </c>
      <c r="B432" s="127" t="s">
        <v>1328</v>
      </c>
      <c r="C432" s="99" t="s">
        <v>4</v>
      </c>
      <c r="D432" s="100" t="s">
        <v>349</v>
      </c>
      <c r="E432" s="101"/>
      <c r="F432" s="101"/>
      <c r="G432" s="102" t="str">
        <f>IF(stdProdLT(Main[[#This Row],[Comments]])=0.1,"N/A",IF(stdProdLT(Main[[#This Row],[Comments]])=0,"",stdProdLT(Main[[#This Row],[Comments]])))</f>
        <v/>
      </c>
      <c r="H432" s="103" t="str">
        <f>IF(AND(Main[[#This Row],[In Stock Date]]&lt;&gt;"",Main[[#This Row],[Revised Due Date]]&lt;&gt;""),Main[[#This Row],[In Stock Date]]-Main[[#This Row],[Revised Due Date]],"")</f>
        <v/>
      </c>
      <c r="I432" s="99" t="s">
        <v>4</v>
      </c>
      <c r="J432" s="99" t="s">
        <v>4</v>
      </c>
      <c r="K432" s="99" t="s">
        <v>4</v>
      </c>
      <c r="L432" s="101"/>
      <c r="M432" s="104" t="str">
        <f>IF(Main[[#This Row],[Tech Start Date]]&lt;1/1/1990,"",IF(Main[[#This Row],[Class]]="C",WORKDAY(Main[[#This Row],[Tech Start Date]],9),IF(Main[[#This Row],[Class]]="B", WORKDAY(Main[[#This Row],[Tech Start Date]],6),IF(Main[[#This Row],[Class]]="A",WORKDAY(Main[[#This Row],[Tech Start Date]],2),""))))</f>
        <v/>
      </c>
      <c r="N432" s="104" t="str">
        <f>IF(Main[[#This Row],[Tech Start Date]]&lt;1/1/1990,"",IF(Main[[#This Row],[Class]]="C",WORKDAY(Main[[#This Row],[Tech Start Date]],19),IF(Main[[#This Row],[Class]]="B", WORKDAY(Main[[#This Row],[Tech Start Date]],12),IF(Main[[#This Row],[Class]]="A",WORKDAY(Main[[#This Row],[Tech Start Date]],4),""))))</f>
        <v/>
      </c>
      <c r="O432" s="104" t="str">
        <f>IF(Main[[#This Row],[Tech Start Date]]&lt;1/1/1990,"",IF(Main[[#This Row],[Class]]="C",WORKDAY(Main[[#This Row],[Tech Start Date]],23),IF(Main[[#This Row],[Class]]="B", WORKDAY(Main[[#This Row],[Tech Start Date]],15),IF(Main[[#This Row],[Class]]="A",WORKDAY(Main[[#This Row],[Tech Start Date]],5),""))))</f>
        <v/>
      </c>
      <c r="P432" s="104" t="str">
        <f>IF(Main[[#This Row],[Tech Start Date]]&lt;1/1/1990,"",IF(Main[[#This Row],[Class]]="C",WORKDAY(Main[[#This Row],[Tech Start Date]],28),IF(Main[[#This Row],[Class]]="B", WORKDAY(Main[[#This Row],[Tech Start Date]],19),IF(Main[[#This Row],[Class]]="A",WORKDAY(Main[[#This Row],[Tech Start Date]],9),""))))</f>
        <v/>
      </c>
      <c r="Q432" s="101"/>
      <c r="R432" s="101"/>
      <c r="S432" s="99" t="s">
        <v>6</v>
      </c>
      <c r="T432" s="107" t="s">
        <v>4</v>
      </c>
      <c r="U432" s="99" t="s">
        <v>12</v>
      </c>
      <c r="V432" s="99" t="s">
        <v>1962</v>
      </c>
      <c r="W432" s="99" t="s">
        <v>1966</v>
      </c>
    </row>
    <row r="433" spans="1:23" ht="18.600000000000001" customHeight="1">
      <c r="A433" s="123" t="str">
        <f>IF(priority(Main[[#This Row],[Comments]])&lt;&gt;0, priority(Main[[#This Row],[Comments]]),"")</f>
        <v/>
      </c>
      <c r="B433" s="127" t="s">
        <v>1307</v>
      </c>
      <c r="C433" s="99" t="s">
        <v>79</v>
      </c>
      <c r="D433" s="100" t="s">
        <v>350</v>
      </c>
      <c r="E433" s="101">
        <v>40072.642395833333</v>
      </c>
      <c r="F433" s="101">
        <v>40116</v>
      </c>
      <c r="G433" s="102" t="str">
        <f>IF(stdProdLT(Main[[#This Row],[Comments]])=0.1,"N/A",IF(stdProdLT(Main[[#This Row],[Comments]])=0,"",stdProdLT(Main[[#This Row],[Comments]])))</f>
        <v/>
      </c>
      <c r="H433" s="103" t="str">
        <f>IF(AND(Main[[#This Row],[In Stock Date]]&lt;&gt;"",Main[[#This Row],[Revised Due Date]]&lt;&gt;""),Main[[#This Row],[In Stock Date]]-Main[[#This Row],[Revised Due Date]],"")</f>
        <v/>
      </c>
      <c r="I433" s="99" t="s">
        <v>4</v>
      </c>
      <c r="J433" s="99" t="s">
        <v>4</v>
      </c>
      <c r="K433" s="99" t="s">
        <v>4</v>
      </c>
      <c r="L433" s="101"/>
      <c r="M433" s="104" t="str">
        <f>IF(Main[[#This Row],[Tech Start Date]]&lt;1/1/1990,"",IF(Main[[#This Row],[Class]]="C",WORKDAY(Main[[#This Row],[Tech Start Date]],9),IF(Main[[#This Row],[Class]]="B", WORKDAY(Main[[#This Row],[Tech Start Date]],6),IF(Main[[#This Row],[Class]]="A",WORKDAY(Main[[#This Row],[Tech Start Date]],2),""))))</f>
        <v/>
      </c>
      <c r="N433" s="104" t="str">
        <f>IF(Main[[#This Row],[Tech Start Date]]&lt;1/1/1990,"",IF(Main[[#This Row],[Class]]="C",WORKDAY(Main[[#This Row],[Tech Start Date]],19),IF(Main[[#This Row],[Class]]="B", WORKDAY(Main[[#This Row],[Tech Start Date]],12),IF(Main[[#This Row],[Class]]="A",WORKDAY(Main[[#This Row],[Tech Start Date]],4),""))))</f>
        <v/>
      </c>
      <c r="O433" s="104" t="str">
        <f>IF(Main[[#This Row],[Tech Start Date]]&lt;1/1/1990,"",IF(Main[[#This Row],[Class]]="C",WORKDAY(Main[[#This Row],[Tech Start Date]],23),IF(Main[[#This Row],[Class]]="B", WORKDAY(Main[[#This Row],[Tech Start Date]],15),IF(Main[[#This Row],[Class]]="A",WORKDAY(Main[[#This Row],[Tech Start Date]],5),""))))</f>
        <v/>
      </c>
      <c r="P433" s="104" t="str">
        <f>IF(Main[[#This Row],[Tech Start Date]]&lt;1/1/1990,"",IF(Main[[#This Row],[Class]]="C",WORKDAY(Main[[#This Row],[Tech Start Date]],28),IF(Main[[#This Row],[Class]]="B", WORKDAY(Main[[#This Row],[Tech Start Date]],19),IF(Main[[#This Row],[Class]]="A",WORKDAY(Main[[#This Row],[Tech Start Date]],9),""))))</f>
        <v/>
      </c>
      <c r="Q433" s="101"/>
      <c r="R433" s="101"/>
      <c r="S433" s="99" t="s">
        <v>17</v>
      </c>
      <c r="T433" s="107" t="s">
        <v>4</v>
      </c>
      <c r="U433" s="99" t="s">
        <v>7</v>
      </c>
      <c r="V433" s="99" t="s">
        <v>1962</v>
      </c>
      <c r="W433" s="99" t="s">
        <v>1966</v>
      </c>
    </row>
    <row r="434" spans="1:23" ht="18.600000000000001" customHeight="1">
      <c r="A434" s="123" t="str">
        <f>IF(priority(Main[[#This Row],[Comments]])&lt;&gt;0, priority(Main[[#This Row],[Comments]]),"")</f>
        <v/>
      </c>
      <c r="B434" s="127" t="s">
        <v>1308</v>
      </c>
      <c r="C434" s="99" t="s">
        <v>4</v>
      </c>
      <c r="D434" s="100" t="s">
        <v>351</v>
      </c>
      <c r="E434" s="101">
        <v>40422.66909722222</v>
      </c>
      <c r="F434" s="101"/>
      <c r="G434" s="102" t="str">
        <f>IF(stdProdLT(Main[[#This Row],[Comments]])=0.1,"N/A",IF(stdProdLT(Main[[#This Row],[Comments]])=0,"",stdProdLT(Main[[#This Row],[Comments]])))</f>
        <v/>
      </c>
      <c r="H434" s="103" t="str">
        <f>IF(AND(Main[[#This Row],[In Stock Date]]&lt;&gt;"",Main[[#This Row],[Revised Due Date]]&lt;&gt;""),Main[[#This Row],[In Stock Date]]-Main[[#This Row],[Revised Due Date]],"")</f>
        <v/>
      </c>
      <c r="I434" s="99" t="s">
        <v>4</v>
      </c>
      <c r="J434" s="99" t="s">
        <v>28</v>
      </c>
      <c r="K434" s="99" t="s">
        <v>4</v>
      </c>
      <c r="L434" s="101"/>
      <c r="M434" s="104" t="str">
        <f>IF(Main[[#This Row],[Tech Start Date]]&lt;1/1/1990,"",IF(Main[[#This Row],[Class]]="C",WORKDAY(Main[[#This Row],[Tech Start Date]],9),IF(Main[[#This Row],[Class]]="B", WORKDAY(Main[[#This Row],[Tech Start Date]],6),IF(Main[[#This Row],[Class]]="A",WORKDAY(Main[[#This Row],[Tech Start Date]],2),""))))</f>
        <v/>
      </c>
      <c r="N434" s="104" t="str">
        <f>IF(Main[[#This Row],[Tech Start Date]]&lt;1/1/1990,"",IF(Main[[#This Row],[Class]]="C",WORKDAY(Main[[#This Row],[Tech Start Date]],19),IF(Main[[#This Row],[Class]]="B", WORKDAY(Main[[#This Row],[Tech Start Date]],12),IF(Main[[#This Row],[Class]]="A",WORKDAY(Main[[#This Row],[Tech Start Date]],4),""))))</f>
        <v/>
      </c>
      <c r="O434" s="104" t="str">
        <f>IF(Main[[#This Row],[Tech Start Date]]&lt;1/1/1990,"",IF(Main[[#This Row],[Class]]="C",WORKDAY(Main[[#This Row],[Tech Start Date]],23),IF(Main[[#This Row],[Class]]="B", WORKDAY(Main[[#This Row],[Tech Start Date]],15),IF(Main[[#This Row],[Class]]="A",WORKDAY(Main[[#This Row],[Tech Start Date]],5),""))))</f>
        <v/>
      </c>
      <c r="P434" s="104" t="str">
        <f>IF(Main[[#This Row],[Tech Start Date]]&lt;1/1/1990,"",IF(Main[[#This Row],[Class]]="C",WORKDAY(Main[[#This Row],[Tech Start Date]],28),IF(Main[[#This Row],[Class]]="B", WORKDAY(Main[[#This Row],[Tech Start Date]],19),IF(Main[[#This Row],[Class]]="A",WORKDAY(Main[[#This Row],[Tech Start Date]],9),""))))</f>
        <v/>
      </c>
      <c r="Q434" s="101"/>
      <c r="R434" s="101"/>
      <c r="S434" s="99" t="s">
        <v>6</v>
      </c>
      <c r="T434" s="107" t="s">
        <v>4</v>
      </c>
      <c r="U434" s="99" t="s">
        <v>29</v>
      </c>
      <c r="V434" s="99" t="s">
        <v>1962</v>
      </c>
      <c r="W434" s="99" t="s">
        <v>1966</v>
      </c>
    </row>
    <row r="435" spans="1:23" ht="18.600000000000001" customHeight="1">
      <c r="A435" s="123" t="str">
        <f>IF(priority(Main[[#This Row],[Comments]])&lt;&gt;0, priority(Main[[#This Row],[Comments]]),"")</f>
        <v/>
      </c>
      <c r="B435" s="127" t="s">
        <v>1309</v>
      </c>
      <c r="C435" s="99" t="s">
        <v>352</v>
      </c>
      <c r="D435" s="100" t="s">
        <v>353</v>
      </c>
      <c r="E435" s="101"/>
      <c r="F435" s="101"/>
      <c r="G435" s="102" t="str">
        <f>IF(stdProdLT(Main[[#This Row],[Comments]])=0.1,"N/A",IF(stdProdLT(Main[[#This Row],[Comments]])=0,"",stdProdLT(Main[[#This Row],[Comments]])))</f>
        <v/>
      </c>
      <c r="H435" s="103" t="str">
        <f>IF(AND(Main[[#This Row],[In Stock Date]]&lt;&gt;"",Main[[#This Row],[Revised Due Date]]&lt;&gt;""),Main[[#This Row],[In Stock Date]]-Main[[#This Row],[Revised Due Date]],"")</f>
        <v/>
      </c>
      <c r="I435" s="99" t="s">
        <v>4</v>
      </c>
      <c r="J435" s="99" t="s">
        <v>4</v>
      </c>
      <c r="K435" s="99" t="s">
        <v>4</v>
      </c>
      <c r="L435" s="101"/>
      <c r="M435" s="104" t="str">
        <f>IF(Main[[#This Row],[Tech Start Date]]&lt;1/1/1990,"",IF(Main[[#This Row],[Class]]="C",WORKDAY(Main[[#This Row],[Tech Start Date]],9),IF(Main[[#This Row],[Class]]="B", WORKDAY(Main[[#This Row],[Tech Start Date]],6),IF(Main[[#This Row],[Class]]="A",WORKDAY(Main[[#This Row],[Tech Start Date]],2),""))))</f>
        <v/>
      </c>
      <c r="N435" s="104" t="str">
        <f>IF(Main[[#This Row],[Tech Start Date]]&lt;1/1/1990,"",IF(Main[[#This Row],[Class]]="C",WORKDAY(Main[[#This Row],[Tech Start Date]],19),IF(Main[[#This Row],[Class]]="B", WORKDAY(Main[[#This Row],[Tech Start Date]],12),IF(Main[[#This Row],[Class]]="A",WORKDAY(Main[[#This Row],[Tech Start Date]],4),""))))</f>
        <v/>
      </c>
      <c r="O435" s="104" t="str">
        <f>IF(Main[[#This Row],[Tech Start Date]]&lt;1/1/1990,"",IF(Main[[#This Row],[Class]]="C",WORKDAY(Main[[#This Row],[Tech Start Date]],23),IF(Main[[#This Row],[Class]]="B", WORKDAY(Main[[#This Row],[Tech Start Date]],15),IF(Main[[#This Row],[Class]]="A",WORKDAY(Main[[#This Row],[Tech Start Date]],5),""))))</f>
        <v/>
      </c>
      <c r="P435" s="104" t="str">
        <f>IF(Main[[#This Row],[Tech Start Date]]&lt;1/1/1990,"",IF(Main[[#This Row],[Class]]="C",WORKDAY(Main[[#This Row],[Tech Start Date]],28),IF(Main[[#This Row],[Class]]="B", WORKDAY(Main[[#This Row],[Tech Start Date]],19),IF(Main[[#This Row],[Class]]="A",WORKDAY(Main[[#This Row],[Tech Start Date]],9),""))))</f>
        <v/>
      </c>
      <c r="Q435" s="101"/>
      <c r="R435" s="101"/>
      <c r="S435" s="99" t="s">
        <v>11</v>
      </c>
      <c r="T435" s="107" t="s">
        <v>4</v>
      </c>
      <c r="U435" s="99" t="s">
        <v>14</v>
      </c>
      <c r="V435" s="99" t="s">
        <v>1963</v>
      </c>
      <c r="W435" s="99" t="s">
        <v>1967</v>
      </c>
    </row>
    <row r="436" spans="1:23" ht="18.600000000000001" customHeight="1">
      <c r="A436" s="123" t="str">
        <f>IF(priority(Main[[#This Row],[Comments]])&lt;&gt;0, priority(Main[[#This Row],[Comments]]),"")</f>
        <v/>
      </c>
      <c r="B436" s="127" t="s">
        <v>1310</v>
      </c>
      <c r="C436" s="99" t="s">
        <v>93</v>
      </c>
      <c r="D436" s="100" t="s">
        <v>354</v>
      </c>
      <c r="E436" s="101"/>
      <c r="F436" s="101"/>
      <c r="G436" s="102" t="str">
        <f>IF(stdProdLT(Main[[#This Row],[Comments]])=0.1,"N/A",IF(stdProdLT(Main[[#This Row],[Comments]])=0,"",stdProdLT(Main[[#This Row],[Comments]])))</f>
        <v/>
      </c>
      <c r="H436" s="103" t="str">
        <f>IF(AND(Main[[#This Row],[In Stock Date]]&lt;&gt;"",Main[[#This Row],[Revised Due Date]]&lt;&gt;""),Main[[#This Row],[In Stock Date]]-Main[[#This Row],[Revised Due Date]],"")</f>
        <v/>
      </c>
      <c r="I436" s="99" t="s">
        <v>4</v>
      </c>
      <c r="J436" s="99" t="s">
        <v>4</v>
      </c>
      <c r="K436" s="99" t="s">
        <v>4</v>
      </c>
      <c r="L436" s="101"/>
      <c r="M436" s="104" t="str">
        <f>IF(Main[[#This Row],[Tech Start Date]]&lt;1/1/1990,"",IF(Main[[#This Row],[Class]]="C",WORKDAY(Main[[#This Row],[Tech Start Date]],9),IF(Main[[#This Row],[Class]]="B", WORKDAY(Main[[#This Row],[Tech Start Date]],6),IF(Main[[#This Row],[Class]]="A",WORKDAY(Main[[#This Row],[Tech Start Date]],2),""))))</f>
        <v/>
      </c>
      <c r="N436" s="104" t="str">
        <f>IF(Main[[#This Row],[Tech Start Date]]&lt;1/1/1990,"",IF(Main[[#This Row],[Class]]="C",WORKDAY(Main[[#This Row],[Tech Start Date]],19),IF(Main[[#This Row],[Class]]="B", WORKDAY(Main[[#This Row],[Tech Start Date]],12),IF(Main[[#This Row],[Class]]="A",WORKDAY(Main[[#This Row],[Tech Start Date]],4),""))))</f>
        <v/>
      </c>
      <c r="O436" s="104" t="str">
        <f>IF(Main[[#This Row],[Tech Start Date]]&lt;1/1/1990,"",IF(Main[[#This Row],[Class]]="C",WORKDAY(Main[[#This Row],[Tech Start Date]],23),IF(Main[[#This Row],[Class]]="B", WORKDAY(Main[[#This Row],[Tech Start Date]],15),IF(Main[[#This Row],[Class]]="A",WORKDAY(Main[[#This Row],[Tech Start Date]],5),""))))</f>
        <v/>
      </c>
      <c r="P436" s="104" t="str">
        <f>IF(Main[[#This Row],[Tech Start Date]]&lt;1/1/1990,"",IF(Main[[#This Row],[Class]]="C",WORKDAY(Main[[#This Row],[Tech Start Date]],28),IF(Main[[#This Row],[Class]]="B", WORKDAY(Main[[#This Row],[Tech Start Date]],19),IF(Main[[#This Row],[Class]]="A",WORKDAY(Main[[#This Row],[Tech Start Date]],9),""))))</f>
        <v/>
      </c>
      <c r="Q436" s="101"/>
      <c r="R436" s="101"/>
      <c r="S436" s="99" t="s">
        <v>11</v>
      </c>
      <c r="T436" s="107" t="s">
        <v>4</v>
      </c>
      <c r="U436" s="99" t="s">
        <v>14</v>
      </c>
      <c r="V436" s="99" t="s">
        <v>1965</v>
      </c>
      <c r="W436" s="99" t="s">
        <v>1968</v>
      </c>
    </row>
    <row r="437" spans="1:23" ht="18.600000000000001" customHeight="1">
      <c r="A437" s="123" t="str">
        <f>IF(priority(Main[[#This Row],[Comments]])&lt;&gt;0, priority(Main[[#This Row],[Comments]]),"")</f>
        <v/>
      </c>
      <c r="B437" s="127" t="s">
        <v>1312</v>
      </c>
      <c r="C437" s="99" t="s">
        <v>4</v>
      </c>
      <c r="D437" s="100" t="s">
        <v>355</v>
      </c>
      <c r="E437" s="101"/>
      <c r="F437" s="101"/>
      <c r="G437" s="102" t="str">
        <f>IF(stdProdLT(Main[[#This Row],[Comments]])=0.1,"N/A",IF(stdProdLT(Main[[#This Row],[Comments]])=0,"",stdProdLT(Main[[#This Row],[Comments]])))</f>
        <v/>
      </c>
      <c r="H437" s="103" t="str">
        <f>IF(AND(Main[[#This Row],[In Stock Date]]&lt;&gt;"",Main[[#This Row],[Revised Due Date]]&lt;&gt;""),Main[[#This Row],[In Stock Date]]-Main[[#This Row],[Revised Due Date]],"")</f>
        <v/>
      </c>
      <c r="I437" s="99" t="s">
        <v>4</v>
      </c>
      <c r="J437" s="99" t="s">
        <v>4</v>
      </c>
      <c r="K437" s="99" t="s">
        <v>4</v>
      </c>
      <c r="L437" s="101"/>
      <c r="M437" s="104" t="str">
        <f>IF(Main[[#This Row],[Tech Start Date]]&lt;1/1/1990,"",IF(Main[[#This Row],[Class]]="C",WORKDAY(Main[[#This Row],[Tech Start Date]],9),IF(Main[[#This Row],[Class]]="B", WORKDAY(Main[[#This Row],[Tech Start Date]],6),IF(Main[[#This Row],[Class]]="A",WORKDAY(Main[[#This Row],[Tech Start Date]],2),""))))</f>
        <v/>
      </c>
      <c r="N437" s="104" t="str">
        <f>IF(Main[[#This Row],[Tech Start Date]]&lt;1/1/1990,"",IF(Main[[#This Row],[Class]]="C",WORKDAY(Main[[#This Row],[Tech Start Date]],19),IF(Main[[#This Row],[Class]]="B", WORKDAY(Main[[#This Row],[Tech Start Date]],12),IF(Main[[#This Row],[Class]]="A",WORKDAY(Main[[#This Row],[Tech Start Date]],4),""))))</f>
        <v/>
      </c>
      <c r="O437" s="104" t="str">
        <f>IF(Main[[#This Row],[Tech Start Date]]&lt;1/1/1990,"",IF(Main[[#This Row],[Class]]="C",WORKDAY(Main[[#This Row],[Tech Start Date]],23),IF(Main[[#This Row],[Class]]="B", WORKDAY(Main[[#This Row],[Tech Start Date]],15),IF(Main[[#This Row],[Class]]="A",WORKDAY(Main[[#This Row],[Tech Start Date]],5),""))))</f>
        <v/>
      </c>
      <c r="P437" s="104" t="str">
        <f>IF(Main[[#This Row],[Tech Start Date]]&lt;1/1/1990,"",IF(Main[[#This Row],[Class]]="C",WORKDAY(Main[[#This Row],[Tech Start Date]],28),IF(Main[[#This Row],[Class]]="B", WORKDAY(Main[[#This Row],[Tech Start Date]],19),IF(Main[[#This Row],[Class]]="A",WORKDAY(Main[[#This Row],[Tech Start Date]],9),""))))</f>
        <v/>
      </c>
      <c r="Q437" s="101"/>
      <c r="R437" s="101"/>
      <c r="S437" s="99" t="s">
        <v>11</v>
      </c>
      <c r="T437" s="107" t="s">
        <v>4</v>
      </c>
      <c r="U437" s="99" t="s">
        <v>14</v>
      </c>
      <c r="V437" s="99" t="s">
        <v>1965</v>
      </c>
      <c r="W437" s="99" t="s">
        <v>1964</v>
      </c>
    </row>
    <row r="438" spans="1:23" ht="18.600000000000001" customHeight="1">
      <c r="A438" s="123" t="str">
        <f>IF(priority(Main[[#This Row],[Comments]])&lt;&gt;0, priority(Main[[#This Row],[Comments]]),"")</f>
        <v/>
      </c>
      <c r="B438" s="127" t="s">
        <v>1313</v>
      </c>
      <c r="C438" s="99" t="s">
        <v>356</v>
      </c>
      <c r="D438" s="100" t="s">
        <v>357</v>
      </c>
      <c r="E438" s="101"/>
      <c r="F438" s="101">
        <v>40452</v>
      </c>
      <c r="G438" s="102" t="str">
        <f>IF(stdProdLT(Main[[#This Row],[Comments]])=0.1,"N/A",IF(stdProdLT(Main[[#This Row],[Comments]])=0,"",stdProdLT(Main[[#This Row],[Comments]])))</f>
        <v/>
      </c>
      <c r="H438" s="103" t="str">
        <f>IF(AND(Main[[#This Row],[In Stock Date]]&lt;&gt;"",Main[[#This Row],[Revised Due Date]]&lt;&gt;""),Main[[#This Row],[In Stock Date]]-Main[[#This Row],[Revised Due Date]],"")</f>
        <v/>
      </c>
      <c r="I438" s="99" t="s">
        <v>4</v>
      </c>
      <c r="J438" s="99" t="s">
        <v>4</v>
      </c>
      <c r="K438" s="108" t="s">
        <v>4</v>
      </c>
      <c r="L438" s="101"/>
      <c r="M438" s="104" t="str">
        <f>IF(Main[[#This Row],[Tech Start Date]]&lt;1/1/1990,"",IF(Main[[#This Row],[Class]]="C",WORKDAY(Main[[#This Row],[Tech Start Date]],9),IF(Main[[#This Row],[Class]]="B", WORKDAY(Main[[#This Row],[Tech Start Date]],6),IF(Main[[#This Row],[Class]]="A",WORKDAY(Main[[#This Row],[Tech Start Date]],2),""))))</f>
        <v/>
      </c>
      <c r="N438" s="104" t="str">
        <f>IF(Main[[#This Row],[Tech Start Date]]&lt;1/1/1990,"",IF(Main[[#This Row],[Class]]="C",WORKDAY(Main[[#This Row],[Tech Start Date]],19),IF(Main[[#This Row],[Class]]="B", WORKDAY(Main[[#This Row],[Tech Start Date]],12),IF(Main[[#This Row],[Class]]="A",WORKDAY(Main[[#This Row],[Tech Start Date]],4),""))))</f>
        <v/>
      </c>
      <c r="O438" s="104" t="str">
        <f>IF(Main[[#This Row],[Tech Start Date]]&lt;1/1/1990,"",IF(Main[[#This Row],[Class]]="C",WORKDAY(Main[[#This Row],[Tech Start Date]],23),IF(Main[[#This Row],[Class]]="B", WORKDAY(Main[[#This Row],[Tech Start Date]],15),IF(Main[[#This Row],[Class]]="A",WORKDAY(Main[[#This Row],[Tech Start Date]],5),""))))</f>
        <v/>
      </c>
      <c r="P438" s="104" t="str">
        <f>IF(Main[[#This Row],[Tech Start Date]]&lt;1/1/1990,"",IF(Main[[#This Row],[Class]]="C",WORKDAY(Main[[#This Row],[Tech Start Date]],28),IF(Main[[#This Row],[Class]]="B", WORKDAY(Main[[#This Row],[Tech Start Date]],19),IF(Main[[#This Row],[Class]]="A",WORKDAY(Main[[#This Row],[Tech Start Date]],9),""))))</f>
        <v/>
      </c>
      <c r="Q438" s="101">
        <v>40344</v>
      </c>
      <c r="R438" s="101"/>
      <c r="S438" s="99" t="s">
        <v>11</v>
      </c>
      <c r="T438" s="107" t="s">
        <v>4</v>
      </c>
      <c r="U438" s="99" t="s">
        <v>14</v>
      </c>
      <c r="V438" s="99" t="s">
        <v>1965</v>
      </c>
      <c r="W438" s="99" t="s">
        <v>1968</v>
      </c>
    </row>
    <row r="439" spans="1:23" ht="18.600000000000001" customHeight="1">
      <c r="A439" s="123" t="str">
        <f>IF(priority(Main[[#This Row],[Comments]])&lt;&gt;0, priority(Main[[#This Row],[Comments]]),"")</f>
        <v/>
      </c>
      <c r="B439" s="127" t="s">
        <v>1314</v>
      </c>
      <c r="C439" s="99" t="s">
        <v>4</v>
      </c>
      <c r="D439" s="100" t="s">
        <v>358</v>
      </c>
      <c r="E439" s="101"/>
      <c r="F439" s="101"/>
      <c r="G439" s="102" t="str">
        <f>IF(stdProdLT(Main[[#This Row],[Comments]])=0.1,"N/A",IF(stdProdLT(Main[[#This Row],[Comments]])=0,"",stdProdLT(Main[[#This Row],[Comments]])))</f>
        <v/>
      </c>
      <c r="H439" s="103" t="str">
        <f>IF(AND(Main[[#This Row],[In Stock Date]]&lt;&gt;"",Main[[#This Row],[Revised Due Date]]&lt;&gt;""),Main[[#This Row],[In Stock Date]]-Main[[#This Row],[Revised Due Date]],"")</f>
        <v/>
      </c>
      <c r="I439" s="99" t="s">
        <v>4</v>
      </c>
      <c r="J439" s="99" t="s">
        <v>4</v>
      </c>
      <c r="K439" s="99" t="s">
        <v>4</v>
      </c>
      <c r="L439" s="101"/>
      <c r="M439" s="104" t="str">
        <f>IF(Main[[#This Row],[Tech Start Date]]&lt;1/1/1990,"",IF(Main[[#This Row],[Class]]="C",WORKDAY(Main[[#This Row],[Tech Start Date]],9),IF(Main[[#This Row],[Class]]="B", WORKDAY(Main[[#This Row],[Tech Start Date]],6),IF(Main[[#This Row],[Class]]="A",WORKDAY(Main[[#This Row],[Tech Start Date]],2),""))))</f>
        <v/>
      </c>
      <c r="N439" s="104" t="str">
        <f>IF(Main[[#This Row],[Tech Start Date]]&lt;1/1/1990,"",IF(Main[[#This Row],[Class]]="C",WORKDAY(Main[[#This Row],[Tech Start Date]],19),IF(Main[[#This Row],[Class]]="B", WORKDAY(Main[[#This Row],[Tech Start Date]],12),IF(Main[[#This Row],[Class]]="A",WORKDAY(Main[[#This Row],[Tech Start Date]],4),""))))</f>
        <v/>
      </c>
      <c r="O439" s="104" t="str">
        <f>IF(Main[[#This Row],[Tech Start Date]]&lt;1/1/1990,"",IF(Main[[#This Row],[Class]]="C",WORKDAY(Main[[#This Row],[Tech Start Date]],23),IF(Main[[#This Row],[Class]]="B", WORKDAY(Main[[#This Row],[Tech Start Date]],15),IF(Main[[#This Row],[Class]]="A",WORKDAY(Main[[#This Row],[Tech Start Date]],5),""))))</f>
        <v/>
      </c>
      <c r="P439" s="104" t="str">
        <f>IF(Main[[#This Row],[Tech Start Date]]&lt;1/1/1990,"",IF(Main[[#This Row],[Class]]="C",WORKDAY(Main[[#This Row],[Tech Start Date]],28),IF(Main[[#This Row],[Class]]="B", WORKDAY(Main[[#This Row],[Tech Start Date]],19),IF(Main[[#This Row],[Class]]="A",WORKDAY(Main[[#This Row],[Tech Start Date]],9),""))))</f>
        <v/>
      </c>
      <c r="Q439" s="101"/>
      <c r="R439" s="101"/>
      <c r="S439" s="99" t="s">
        <v>4</v>
      </c>
      <c r="T439" s="107" t="s">
        <v>4</v>
      </c>
      <c r="U439" s="99" t="s">
        <v>14</v>
      </c>
      <c r="V439" s="99" t="s">
        <v>1962</v>
      </c>
      <c r="W439" s="99" t="s">
        <v>4</v>
      </c>
    </row>
    <row r="440" spans="1:23" ht="18.600000000000001" customHeight="1">
      <c r="A440" s="123" t="str">
        <f>IF(priority(Main[[#This Row],[Comments]])&lt;&gt;0, priority(Main[[#This Row],[Comments]]),"")</f>
        <v/>
      </c>
      <c r="B440" s="127" t="s">
        <v>1315</v>
      </c>
      <c r="C440" s="99" t="s">
        <v>33</v>
      </c>
      <c r="D440" s="100" t="s">
        <v>359</v>
      </c>
      <c r="E440" s="101"/>
      <c r="F440" s="101"/>
      <c r="G440" s="102" t="str">
        <f>IF(stdProdLT(Main[[#This Row],[Comments]])=0.1,"N/A",IF(stdProdLT(Main[[#This Row],[Comments]])=0,"",stdProdLT(Main[[#This Row],[Comments]])))</f>
        <v/>
      </c>
      <c r="H440" s="103" t="str">
        <f>IF(AND(Main[[#This Row],[In Stock Date]]&lt;&gt;"",Main[[#This Row],[Revised Due Date]]&lt;&gt;""),Main[[#This Row],[In Stock Date]]-Main[[#This Row],[Revised Due Date]],"")</f>
        <v/>
      </c>
      <c r="I440" s="99" t="s">
        <v>4</v>
      </c>
      <c r="J440" s="99" t="s">
        <v>4</v>
      </c>
      <c r="K440" s="108" t="s">
        <v>4</v>
      </c>
      <c r="L440" s="101"/>
      <c r="M440" s="104" t="str">
        <f>IF(Main[[#This Row],[Tech Start Date]]&lt;1/1/1990,"",IF(Main[[#This Row],[Class]]="C",WORKDAY(Main[[#This Row],[Tech Start Date]],9),IF(Main[[#This Row],[Class]]="B", WORKDAY(Main[[#This Row],[Tech Start Date]],6),IF(Main[[#This Row],[Class]]="A",WORKDAY(Main[[#This Row],[Tech Start Date]],2),""))))</f>
        <v/>
      </c>
      <c r="N440" s="104" t="str">
        <f>IF(Main[[#This Row],[Tech Start Date]]&lt;1/1/1990,"",IF(Main[[#This Row],[Class]]="C",WORKDAY(Main[[#This Row],[Tech Start Date]],19),IF(Main[[#This Row],[Class]]="B", WORKDAY(Main[[#This Row],[Tech Start Date]],12),IF(Main[[#This Row],[Class]]="A",WORKDAY(Main[[#This Row],[Tech Start Date]],4),""))))</f>
        <v/>
      </c>
      <c r="O440" s="104" t="str">
        <f>IF(Main[[#This Row],[Tech Start Date]]&lt;1/1/1990,"",IF(Main[[#This Row],[Class]]="C",WORKDAY(Main[[#This Row],[Tech Start Date]],23),IF(Main[[#This Row],[Class]]="B", WORKDAY(Main[[#This Row],[Tech Start Date]],15),IF(Main[[#This Row],[Class]]="A",WORKDAY(Main[[#This Row],[Tech Start Date]],5),""))))</f>
        <v/>
      </c>
      <c r="P440" s="104" t="str">
        <f>IF(Main[[#This Row],[Tech Start Date]]&lt;1/1/1990,"",IF(Main[[#This Row],[Class]]="C",WORKDAY(Main[[#This Row],[Tech Start Date]],28),IF(Main[[#This Row],[Class]]="B", WORKDAY(Main[[#This Row],[Tech Start Date]],19),IF(Main[[#This Row],[Class]]="A",WORKDAY(Main[[#This Row],[Tech Start Date]],9),""))))</f>
        <v/>
      </c>
      <c r="Q440" s="101"/>
      <c r="R440" s="101"/>
      <c r="S440" s="99" t="s">
        <v>11</v>
      </c>
      <c r="T440" s="107" t="s">
        <v>4</v>
      </c>
      <c r="U440" s="99" t="s">
        <v>14</v>
      </c>
      <c r="V440" s="99" t="s">
        <v>1963</v>
      </c>
      <c r="W440" s="99" t="s">
        <v>1970</v>
      </c>
    </row>
    <row r="441" spans="1:23" ht="18.600000000000001" customHeight="1">
      <c r="A441" s="123" t="str">
        <f>IF(priority(Main[[#This Row],[Comments]])&lt;&gt;0, priority(Main[[#This Row],[Comments]]),"")</f>
        <v/>
      </c>
      <c r="B441" s="127" t="s">
        <v>1317</v>
      </c>
      <c r="C441" s="99" t="s">
        <v>214</v>
      </c>
      <c r="D441" s="100" t="s">
        <v>361</v>
      </c>
      <c r="E441" s="101"/>
      <c r="F441" s="101">
        <v>40087</v>
      </c>
      <c r="G441" s="102" t="str">
        <f>IF(stdProdLT(Main[[#This Row],[Comments]])=0.1,"N/A",IF(stdProdLT(Main[[#This Row],[Comments]])=0,"",stdProdLT(Main[[#This Row],[Comments]])))</f>
        <v/>
      </c>
      <c r="H441" s="103" t="str">
        <f>IF(AND(Main[[#This Row],[In Stock Date]]&lt;&gt;"",Main[[#This Row],[Revised Due Date]]&lt;&gt;""),Main[[#This Row],[In Stock Date]]-Main[[#This Row],[Revised Due Date]],"")</f>
        <v/>
      </c>
      <c r="I441" s="99" t="s">
        <v>4</v>
      </c>
      <c r="J441" s="99" t="s">
        <v>4</v>
      </c>
      <c r="K441" s="99" t="s">
        <v>4</v>
      </c>
      <c r="L441" s="101"/>
      <c r="M441" s="104" t="str">
        <f>IF(Main[[#This Row],[Tech Start Date]]&lt;1/1/1990,"",IF(Main[[#This Row],[Class]]="C",WORKDAY(Main[[#This Row],[Tech Start Date]],9),IF(Main[[#This Row],[Class]]="B", WORKDAY(Main[[#This Row],[Tech Start Date]],6),IF(Main[[#This Row],[Class]]="A",WORKDAY(Main[[#This Row],[Tech Start Date]],2),""))))</f>
        <v/>
      </c>
      <c r="N441" s="104" t="str">
        <f>IF(Main[[#This Row],[Tech Start Date]]&lt;1/1/1990,"",IF(Main[[#This Row],[Class]]="C",WORKDAY(Main[[#This Row],[Tech Start Date]],19),IF(Main[[#This Row],[Class]]="B", WORKDAY(Main[[#This Row],[Tech Start Date]],12),IF(Main[[#This Row],[Class]]="A",WORKDAY(Main[[#This Row],[Tech Start Date]],4),""))))</f>
        <v/>
      </c>
      <c r="O441" s="104" t="str">
        <f>IF(Main[[#This Row],[Tech Start Date]]&lt;1/1/1990,"",IF(Main[[#This Row],[Class]]="C",WORKDAY(Main[[#This Row],[Tech Start Date]],23),IF(Main[[#This Row],[Class]]="B", WORKDAY(Main[[#This Row],[Tech Start Date]],15),IF(Main[[#This Row],[Class]]="A",WORKDAY(Main[[#This Row],[Tech Start Date]],5),""))))</f>
        <v/>
      </c>
      <c r="P441" s="104" t="str">
        <f>IF(Main[[#This Row],[Tech Start Date]]&lt;1/1/1990,"",IF(Main[[#This Row],[Class]]="C",WORKDAY(Main[[#This Row],[Tech Start Date]],28),IF(Main[[#This Row],[Class]]="B", WORKDAY(Main[[#This Row],[Tech Start Date]],19),IF(Main[[#This Row],[Class]]="A",WORKDAY(Main[[#This Row],[Tech Start Date]],9),""))))</f>
        <v/>
      </c>
      <c r="Q441" s="101">
        <v>39891</v>
      </c>
      <c r="R441" s="101"/>
      <c r="S441" s="99" t="s">
        <v>11</v>
      </c>
      <c r="T441" s="107" t="s">
        <v>4</v>
      </c>
      <c r="U441" s="99" t="s">
        <v>12</v>
      </c>
      <c r="V441" s="99" t="s">
        <v>1962</v>
      </c>
      <c r="W441" s="99" t="s">
        <v>1967</v>
      </c>
    </row>
    <row r="442" spans="1:23" ht="18.600000000000001" customHeight="1">
      <c r="A442" s="123" t="str">
        <f>IF(priority(Main[[#This Row],[Comments]])&lt;&gt;0, priority(Main[[#This Row],[Comments]]),"")</f>
        <v/>
      </c>
      <c r="B442" s="127" t="s">
        <v>1319</v>
      </c>
      <c r="C442" s="99" t="s">
        <v>214</v>
      </c>
      <c r="D442" s="100" t="s">
        <v>362</v>
      </c>
      <c r="E442" s="101"/>
      <c r="F442" s="101">
        <v>40087</v>
      </c>
      <c r="G442" s="102" t="str">
        <f>IF(stdProdLT(Main[[#This Row],[Comments]])=0.1,"N/A",IF(stdProdLT(Main[[#This Row],[Comments]])=0,"",stdProdLT(Main[[#This Row],[Comments]])))</f>
        <v/>
      </c>
      <c r="H442" s="103" t="str">
        <f>IF(AND(Main[[#This Row],[In Stock Date]]&lt;&gt;"",Main[[#This Row],[Revised Due Date]]&lt;&gt;""),Main[[#This Row],[In Stock Date]]-Main[[#This Row],[Revised Due Date]],"")</f>
        <v/>
      </c>
      <c r="I442" s="99" t="s">
        <v>4</v>
      </c>
      <c r="J442" s="99" t="s">
        <v>4</v>
      </c>
      <c r="K442" s="99" t="s">
        <v>4</v>
      </c>
      <c r="L442" s="101"/>
      <c r="M442" s="104" t="str">
        <f>IF(Main[[#This Row],[Tech Start Date]]&lt;1/1/1990,"",IF(Main[[#This Row],[Class]]="C",WORKDAY(Main[[#This Row],[Tech Start Date]],9),IF(Main[[#This Row],[Class]]="B", WORKDAY(Main[[#This Row],[Tech Start Date]],6),IF(Main[[#This Row],[Class]]="A",WORKDAY(Main[[#This Row],[Tech Start Date]],2),""))))</f>
        <v/>
      </c>
      <c r="N442" s="104" t="str">
        <f>IF(Main[[#This Row],[Tech Start Date]]&lt;1/1/1990,"",IF(Main[[#This Row],[Class]]="C",WORKDAY(Main[[#This Row],[Tech Start Date]],19),IF(Main[[#This Row],[Class]]="B", WORKDAY(Main[[#This Row],[Tech Start Date]],12),IF(Main[[#This Row],[Class]]="A",WORKDAY(Main[[#This Row],[Tech Start Date]],4),""))))</f>
        <v/>
      </c>
      <c r="O442" s="104" t="str">
        <f>IF(Main[[#This Row],[Tech Start Date]]&lt;1/1/1990,"",IF(Main[[#This Row],[Class]]="C",WORKDAY(Main[[#This Row],[Tech Start Date]],23),IF(Main[[#This Row],[Class]]="B", WORKDAY(Main[[#This Row],[Tech Start Date]],15),IF(Main[[#This Row],[Class]]="A",WORKDAY(Main[[#This Row],[Tech Start Date]],5),""))))</f>
        <v/>
      </c>
      <c r="P442" s="104" t="str">
        <f>IF(Main[[#This Row],[Tech Start Date]]&lt;1/1/1990,"",IF(Main[[#This Row],[Class]]="C",WORKDAY(Main[[#This Row],[Tech Start Date]],28),IF(Main[[#This Row],[Class]]="B", WORKDAY(Main[[#This Row],[Tech Start Date]],19),IF(Main[[#This Row],[Class]]="A",WORKDAY(Main[[#This Row],[Tech Start Date]],9),""))))</f>
        <v/>
      </c>
      <c r="Q442" s="101">
        <v>39891</v>
      </c>
      <c r="R442" s="101"/>
      <c r="S442" s="99" t="s">
        <v>11</v>
      </c>
      <c r="T442" s="107" t="s">
        <v>4</v>
      </c>
      <c r="U442" s="99" t="s">
        <v>12</v>
      </c>
      <c r="V442" s="99" t="s">
        <v>1962</v>
      </c>
      <c r="W442" s="99" t="s">
        <v>1967</v>
      </c>
    </row>
    <row r="443" spans="1:23" ht="18.600000000000001" customHeight="1">
      <c r="A443" s="123" t="str">
        <f>IF(priority(Main[[#This Row],[Comments]])&lt;&gt;0, priority(Main[[#This Row],[Comments]]),"")</f>
        <v/>
      </c>
      <c r="B443" s="127" t="s">
        <v>1320</v>
      </c>
      <c r="C443" s="99" t="s">
        <v>33</v>
      </c>
      <c r="D443" s="100" t="s">
        <v>364</v>
      </c>
      <c r="E443" s="101"/>
      <c r="F443" s="101"/>
      <c r="G443" s="102" t="str">
        <f>IF(stdProdLT(Main[[#This Row],[Comments]])=0.1,"N/A",IF(stdProdLT(Main[[#This Row],[Comments]])=0,"",stdProdLT(Main[[#This Row],[Comments]])))</f>
        <v/>
      </c>
      <c r="H443" s="103" t="str">
        <f>IF(AND(Main[[#This Row],[In Stock Date]]&lt;&gt;"",Main[[#This Row],[Revised Due Date]]&lt;&gt;""),Main[[#This Row],[In Stock Date]]-Main[[#This Row],[Revised Due Date]],"")</f>
        <v/>
      </c>
      <c r="I443" s="99" t="s">
        <v>4</v>
      </c>
      <c r="J443" s="99" t="s">
        <v>4</v>
      </c>
      <c r="K443" s="99" t="s">
        <v>4</v>
      </c>
      <c r="L443" s="101"/>
      <c r="M443" s="104" t="str">
        <f>IF(Main[[#This Row],[Tech Start Date]]&lt;1/1/1990,"",IF(Main[[#This Row],[Class]]="C",WORKDAY(Main[[#This Row],[Tech Start Date]],9),IF(Main[[#This Row],[Class]]="B", WORKDAY(Main[[#This Row],[Tech Start Date]],6),IF(Main[[#This Row],[Class]]="A",WORKDAY(Main[[#This Row],[Tech Start Date]],2),""))))</f>
        <v/>
      </c>
      <c r="N443" s="104" t="str">
        <f>IF(Main[[#This Row],[Tech Start Date]]&lt;1/1/1990,"",IF(Main[[#This Row],[Class]]="C",WORKDAY(Main[[#This Row],[Tech Start Date]],19),IF(Main[[#This Row],[Class]]="B", WORKDAY(Main[[#This Row],[Tech Start Date]],12),IF(Main[[#This Row],[Class]]="A",WORKDAY(Main[[#This Row],[Tech Start Date]],4),""))))</f>
        <v/>
      </c>
      <c r="O443" s="104" t="str">
        <f>IF(Main[[#This Row],[Tech Start Date]]&lt;1/1/1990,"",IF(Main[[#This Row],[Class]]="C",WORKDAY(Main[[#This Row],[Tech Start Date]],23),IF(Main[[#This Row],[Class]]="B", WORKDAY(Main[[#This Row],[Tech Start Date]],15),IF(Main[[#This Row],[Class]]="A",WORKDAY(Main[[#This Row],[Tech Start Date]],5),""))))</f>
        <v/>
      </c>
      <c r="P443" s="104" t="str">
        <f>IF(Main[[#This Row],[Tech Start Date]]&lt;1/1/1990,"",IF(Main[[#This Row],[Class]]="C",WORKDAY(Main[[#This Row],[Tech Start Date]],28),IF(Main[[#This Row],[Class]]="B", WORKDAY(Main[[#This Row],[Tech Start Date]],19),IF(Main[[#This Row],[Class]]="A",WORKDAY(Main[[#This Row],[Tech Start Date]],9),""))))</f>
        <v/>
      </c>
      <c r="Q443" s="101"/>
      <c r="R443" s="101"/>
      <c r="S443" s="99" t="s">
        <v>11</v>
      </c>
      <c r="T443" s="107" t="s">
        <v>4</v>
      </c>
      <c r="U443" s="99" t="s">
        <v>14</v>
      </c>
      <c r="V443" s="99" t="s">
        <v>1963</v>
      </c>
      <c r="W443" s="99" t="s">
        <v>1970</v>
      </c>
    </row>
    <row r="444" spans="1:23" ht="18.600000000000001" customHeight="1">
      <c r="A444" s="123" t="str">
        <f>IF(priority(Main[[#This Row],[Comments]])&lt;&gt;0, priority(Main[[#This Row],[Comments]]),"")</f>
        <v/>
      </c>
      <c r="B444" s="127" t="s">
        <v>1321</v>
      </c>
      <c r="C444" s="99" t="s">
        <v>33</v>
      </c>
      <c r="D444" s="100" t="s">
        <v>365</v>
      </c>
      <c r="E444" s="101"/>
      <c r="F444" s="101"/>
      <c r="G444" s="102" t="str">
        <f>IF(stdProdLT(Main[[#This Row],[Comments]])=0.1,"N/A",IF(stdProdLT(Main[[#This Row],[Comments]])=0,"",stdProdLT(Main[[#This Row],[Comments]])))</f>
        <v/>
      </c>
      <c r="H444" s="103" t="str">
        <f>IF(AND(Main[[#This Row],[In Stock Date]]&lt;&gt;"",Main[[#This Row],[Revised Due Date]]&lt;&gt;""),Main[[#This Row],[In Stock Date]]-Main[[#This Row],[Revised Due Date]],"")</f>
        <v/>
      </c>
      <c r="I444" s="99" t="s">
        <v>4</v>
      </c>
      <c r="J444" s="99" t="s">
        <v>4</v>
      </c>
      <c r="K444" s="99" t="s">
        <v>4</v>
      </c>
      <c r="L444" s="101"/>
      <c r="M444" s="104" t="str">
        <f>IF(Main[[#This Row],[Tech Start Date]]&lt;1/1/1990,"",IF(Main[[#This Row],[Class]]="C",WORKDAY(Main[[#This Row],[Tech Start Date]],9),IF(Main[[#This Row],[Class]]="B", WORKDAY(Main[[#This Row],[Tech Start Date]],6),IF(Main[[#This Row],[Class]]="A",WORKDAY(Main[[#This Row],[Tech Start Date]],2),""))))</f>
        <v/>
      </c>
      <c r="N444" s="104" t="str">
        <f>IF(Main[[#This Row],[Tech Start Date]]&lt;1/1/1990,"",IF(Main[[#This Row],[Class]]="C",WORKDAY(Main[[#This Row],[Tech Start Date]],19),IF(Main[[#This Row],[Class]]="B", WORKDAY(Main[[#This Row],[Tech Start Date]],12),IF(Main[[#This Row],[Class]]="A",WORKDAY(Main[[#This Row],[Tech Start Date]],4),""))))</f>
        <v/>
      </c>
      <c r="O444" s="104" t="str">
        <f>IF(Main[[#This Row],[Tech Start Date]]&lt;1/1/1990,"",IF(Main[[#This Row],[Class]]="C",WORKDAY(Main[[#This Row],[Tech Start Date]],23),IF(Main[[#This Row],[Class]]="B", WORKDAY(Main[[#This Row],[Tech Start Date]],15),IF(Main[[#This Row],[Class]]="A",WORKDAY(Main[[#This Row],[Tech Start Date]],5),""))))</f>
        <v/>
      </c>
      <c r="P444" s="104" t="str">
        <f>IF(Main[[#This Row],[Tech Start Date]]&lt;1/1/1990,"",IF(Main[[#This Row],[Class]]="C",WORKDAY(Main[[#This Row],[Tech Start Date]],28),IF(Main[[#This Row],[Class]]="B", WORKDAY(Main[[#This Row],[Tech Start Date]],19),IF(Main[[#This Row],[Class]]="A",WORKDAY(Main[[#This Row],[Tech Start Date]],9),""))))</f>
        <v/>
      </c>
      <c r="Q444" s="101"/>
      <c r="R444" s="101"/>
      <c r="S444" s="99" t="s">
        <v>11</v>
      </c>
      <c r="T444" s="107" t="s">
        <v>4</v>
      </c>
      <c r="U444" s="99" t="s">
        <v>14</v>
      </c>
      <c r="V444" s="99" t="s">
        <v>1963</v>
      </c>
      <c r="W444" s="99" t="s">
        <v>1970</v>
      </c>
    </row>
    <row r="445" spans="1:23" ht="18.600000000000001" customHeight="1">
      <c r="A445" s="123" t="str">
        <f>IF(priority(Main[[#This Row],[Comments]])&lt;&gt;0, priority(Main[[#This Row],[Comments]]),"")</f>
        <v/>
      </c>
      <c r="B445" s="127" t="s">
        <v>1322</v>
      </c>
      <c r="C445" s="99" t="s">
        <v>366</v>
      </c>
      <c r="D445" s="100" t="s">
        <v>367</v>
      </c>
      <c r="E445" s="101"/>
      <c r="F445" s="101"/>
      <c r="G445" s="102" t="str">
        <f>IF(stdProdLT(Main[[#This Row],[Comments]])=0.1,"N/A",IF(stdProdLT(Main[[#This Row],[Comments]])=0,"",stdProdLT(Main[[#This Row],[Comments]])))</f>
        <v/>
      </c>
      <c r="H445" s="103" t="str">
        <f>IF(AND(Main[[#This Row],[In Stock Date]]&lt;&gt;"",Main[[#This Row],[Revised Due Date]]&lt;&gt;""),Main[[#This Row],[In Stock Date]]-Main[[#This Row],[Revised Due Date]],"")</f>
        <v/>
      </c>
      <c r="I445" s="99" t="s">
        <v>4</v>
      </c>
      <c r="J445" s="99" t="s">
        <v>4</v>
      </c>
      <c r="K445" s="99" t="s">
        <v>4</v>
      </c>
      <c r="L445" s="101"/>
      <c r="M445" s="104" t="str">
        <f>IF(Main[[#This Row],[Tech Start Date]]&lt;1/1/1990,"",IF(Main[[#This Row],[Class]]="C",WORKDAY(Main[[#This Row],[Tech Start Date]],9),IF(Main[[#This Row],[Class]]="B", WORKDAY(Main[[#This Row],[Tech Start Date]],6),IF(Main[[#This Row],[Class]]="A",WORKDAY(Main[[#This Row],[Tech Start Date]],2),""))))</f>
        <v/>
      </c>
      <c r="N445" s="104" t="str">
        <f>IF(Main[[#This Row],[Tech Start Date]]&lt;1/1/1990,"",IF(Main[[#This Row],[Class]]="C",WORKDAY(Main[[#This Row],[Tech Start Date]],19),IF(Main[[#This Row],[Class]]="B", WORKDAY(Main[[#This Row],[Tech Start Date]],12),IF(Main[[#This Row],[Class]]="A",WORKDAY(Main[[#This Row],[Tech Start Date]],4),""))))</f>
        <v/>
      </c>
      <c r="O445" s="104" t="str">
        <f>IF(Main[[#This Row],[Tech Start Date]]&lt;1/1/1990,"",IF(Main[[#This Row],[Class]]="C",WORKDAY(Main[[#This Row],[Tech Start Date]],23),IF(Main[[#This Row],[Class]]="B", WORKDAY(Main[[#This Row],[Tech Start Date]],15),IF(Main[[#This Row],[Class]]="A",WORKDAY(Main[[#This Row],[Tech Start Date]],5),""))))</f>
        <v/>
      </c>
      <c r="P445" s="104" t="str">
        <f>IF(Main[[#This Row],[Tech Start Date]]&lt;1/1/1990,"",IF(Main[[#This Row],[Class]]="C",WORKDAY(Main[[#This Row],[Tech Start Date]],28),IF(Main[[#This Row],[Class]]="B", WORKDAY(Main[[#This Row],[Tech Start Date]],19),IF(Main[[#This Row],[Class]]="A",WORKDAY(Main[[#This Row],[Tech Start Date]],9),""))))</f>
        <v/>
      </c>
      <c r="Q445" s="101"/>
      <c r="R445" s="101"/>
      <c r="S445" s="99" t="s">
        <v>11</v>
      </c>
      <c r="T445" s="107" t="s">
        <v>4</v>
      </c>
      <c r="U445" s="99" t="s">
        <v>14</v>
      </c>
      <c r="V445" s="99" t="s">
        <v>1963</v>
      </c>
      <c r="W445" s="99" t="s">
        <v>1970</v>
      </c>
    </row>
    <row r="446" spans="1:23" ht="18.600000000000001" customHeight="1">
      <c r="A446" s="123" t="str">
        <f>IF(priority(Main[[#This Row],[Comments]])&lt;&gt;0, priority(Main[[#This Row],[Comments]]),"")</f>
        <v/>
      </c>
      <c r="B446" s="127" t="s">
        <v>1323</v>
      </c>
      <c r="C446" s="99" t="s">
        <v>368</v>
      </c>
      <c r="D446" s="100" t="s">
        <v>369</v>
      </c>
      <c r="E446" s="101"/>
      <c r="F446" s="101"/>
      <c r="G446" s="102" t="str">
        <f>IF(stdProdLT(Main[[#This Row],[Comments]])=0.1,"N/A",IF(stdProdLT(Main[[#This Row],[Comments]])=0,"",stdProdLT(Main[[#This Row],[Comments]])))</f>
        <v/>
      </c>
      <c r="H446" s="103" t="str">
        <f>IF(AND(Main[[#This Row],[In Stock Date]]&lt;&gt;"",Main[[#This Row],[Revised Due Date]]&lt;&gt;""),Main[[#This Row],[In Stock Date]]-Main[[#This Row],[Revised Due Date]],"")</f>
        <v/>
      </c>
      <c r="I446" s="99" t="s">
        <v>4</v>
      </c>
      <c r="J446" s="99" t="s">
        <v>4</v>
      </c>
      <c r="K446" s="99" t="s">
        <v>4</v>
      </c>
      <c r="L446" s="101"/>
      <c r="M446" s="104" t="str">
        <f>IF(Main[[#This Row],[Tech Start Date]]&lt;1/1/1990,"",IF(Main[[#This Row],[Class]]="C",WORKDAY(Main[[#This Row],[Tech Start Date]],9),IF(Main[[#This Row],[Class]]="B", WORKDAY(Main[[#This Row],[Tech Start Date]],6),IF(Main[[#This Row],[Class]]="A",WORKDAY(Main[[#This Row],[Tech Start Date]],2),""))))</f>
        <v/>
      </c>
      <c r="N446" s="104" t="str">
        <f>IF(Main[[#This Row],[Tech Start Date]]&lt;1/1/1990,"",IF(Main[[#This Row],[Class]]="C",WORKDAY(Main[[#This Row],[Tech Start Date]],19),IF(Main[[#This Row],[Class]]="B", WORKDAY(Main[[#This Row],[Tech Start Date]],12),IF(Main[[#This Row],[Class]]="A",WORKDAY(Main[[#This Row],[Tech Start Date]],4),""))))</f>
        <v/>
      </c>
      <c r="O446" s="104" t="str">
        <f>IF(Main[[#This Row],[Tech Start Date]]&lt;1/1/1990,"",IF(Main[[#This Row],[Class]]="C",WORKDAY(Main[[#This Row],[Tech Start Date]],23),IF(Main[[#This Row],[Class]]="B", WORKDAY(Main[[#This Row],[Tech Start Date]],15),IF(Main[[#This Row],[Class]]="A",WORKDAY(Main[[#This Row],[Tech Start Date]],5),""))))</f>
        <v/>
      </c>
      <c r="P446" s="104" t="str">
        <f>IF(Main[[#This Row],[Tech Start Date]]&lt;1/1/1990,"",IF(Main[[#This Row],[Class]]="C",WORKDAY(Main[[#This Row],[Tech Start Date]],28),IF(Main[[#This Row],[Class]]="B", WORKDAY(Main[[#This Row],[Tech Start Date]],19),IF(Main[[#This Row],[Class]]="A",WORKDAY(Main[[#This Row],[Tech Start Date]],9),""))))</f>
        <v/>
      </c>
      <c r="Q446" s="101"/>
      <c r="R446" s="101"/>
      <c r="S446" s="99" t="s">
        <v>11</v>
      </c>
      <c r="T446" s="107" t="s">
        <v>4</v>
      </c>
      <c r="U446" s="99" t="s">
        <v>14</v>
      </c>
      <c r="V446" s="99" t="s">
        <v>1963</v>
      </c>
      <c r="W446" s="99" t="s">
        <v>1970</v>
      </c>
    </row>
    <row r="447" spans="1:23" ht="18.600000000000001" customHeight="1">
      <c r="A447" s="123" t="str">
        <f>IF(priority(Main[[#This Row],[Comments]])&lt;&gt;0, priority(Main[[#This Row],[Comments]]),"")</f>
        <v/>
      </c>
      <c r="B447" s="127" t="s">
        <v>1324</v>
      </c>
      <c r="C447" s="99" t="s">
        <v>370</v>
      </c>
      <c r="D447" s="100" t="s">
        <v>371</v>
      </c>
      <c r="E447" s="101"/>
      <c r="F447" s="101"/>
      <c r="G447" s="102" t="str">
        <f>IF(stdProdLT(Main[[#This Row],[Comments]])=0.1,"N/A",IF(stdProdLT(Main[[#This Row],[Comments]])=0,"",stdProdLT(Main[[#This Row],[Comments]])))</f>
        <v/>
      </c>
      <c r="H447" s="103" t="str">
        <f>IF(AND(Main[[#This Row],[In Stock Date]]&lt;&gt;"",Main[[#This Row],[Revised Due Date]]&lt;&gt;""),Main[[#This Row],[In Stock Date]]-Main[[#This Row],[Revised Due Date]],"")</f>
        <v/>
      </c>
      <c r="I447" s="99" t="s">
        <v>4</v>
      </c>
      <c r="J447" s="99" t="s">
        <v>4</v>
      </c>
      <c r="K447" s="99" t="s">
        <v>4</v>
      </c>
      <c r="L447" s="101"/>
      <c r="M447" s="104" t="str">
        <f>IF(Main[[#This Row],[Tech Start Date]]&lt;1/1/1990,"",IF(Main[[#This Row],[Class]]="C",WORKDAY(Main[[#This Row],[Tech Start Date]],9),IF(Main[[#This Row],[Class]]="B", WORKDAY(Main[[#This Row],[Tech Start Date]],6),IF(Main[[#This Row],[Class]]="A",WORKDAY(Main[[#This Row],[Tech Start Date]],2),""))))</f>
        <v/>
      </c>
      <c r="N447" s="104" t="str">
        <f>IF(Main[[#This Row],[Tech Start Date]]&lt;1/1/1990,"",IF(Main[[#This Row],[Class]]="C",WORKDAY(Main[[#This Row],[Tech Start Date]],19),IF(Main[[#This Row],[Class]]="B", WORKDAY(Main[[#This Row],[Tech Start Date]],12),IF(Main[[#This Row],[Class]]="A",WORKDAY(Main[[#This Row],[Tech Start Date]],4),""))))</f>
        <v/>
      </c>
      <c r="O447" s="104" t="str">
        <f>IF(Main[[#This Row],[Tech Start Date]]&lt;1/1/1990,"",IF(Main[[#This Row],[Class]]="C",WORKDAY(Main[[#This Row],[Tech Start Date]],23),IF(Main[[#This Row],[Class]]="B", WORKDAY(Main[[#This Row],[Tech Start Date]],15),IF(Main[[#This Row],[Class]]="A",WORKDAY(Main[[#This Row],[Tech Start Date]],5),""))))</f>
        <v/>
      </c>
      <c r="P447" s="104" t="str">
        <f>IF(Main[[#This Row],[Tech Start Date]]&lt;1/1/1990,"",IF(Main[[#This Row],[Class]]="C",WORKDAY(Main[[#This Row],[Tech Start Date]],28),IF(Main[[#This Row],[Class]]="B", WORKDAY(Main[[#This Row],[Tech Start Date]],19),IF(Main[[#This Row],[Class]]="A",WORKDAY(Main[[#This Row],[Tech Start Date]],9),""))))</f>
        <v/>
      </c>
      <c r="Q447" s="101"/>
      <c r="R447" s="101"/>
      <c r="S447" s="99" t="s">
        <v>11</v>
      </c>
      <c r="T447" s="107" t="s">
        <v>4</v>
      </c>
      <c r="U447" s="99" t="s">
        <v>14</v>
      </c>
      <c r="V447" s="99" t="s">
        <v>1963</v>
      </c>
      <c r="W447" s="99" t="s">
        <v>1970</v>
      </c>
    </row>
    <row r="448" spans="1:23" ht="18.600000000000001" customHeight="1">
      <c r="A448" s="123" t="str">
        <f>IF(priority(Main[[#This Row],[Comments]])&lt;&gt;0, priority(Main[[#This Row],[Comments]]),"")</f>
        <v/>
      </c>
      <c r="B448" s="127" t="s">
        <v>1325</v>
      </c>
      <c r="C448" s="99" t="s">
        <v>372</v>
      </c>
      <c r="D448" s="100" t="s">
        <v>373</v>
      </c>
      <c r="E448" s="101">
        <v>40210.419814814813</v>
      </c>
      <c r="F448" s="101">
        <v>40405</v>
      </c>
      <c r="G448" s="102" t="str">
        <f>IF(stdProdLT(Main[[#This Row],[Comments]])=0.1,"N/A",IF(stdProdLT(Main[[#This Row],[Comments]])=0,"",stdProdLT(Main[[#This Row],[Comments]])))</f>
        <v/>
      </c>
      <c r="H448" s="103" t="str">
        <f>IF(AND(Main[[#This Row],[In Stock Date]]&lt;&gt;"",Main[[#This Row],[Revised Due Date]]&lt;&gt;""),Main[[#This Row],[In Stock Date]]-Main[[#This Row],[Revised Due Date]],"")</f>
        <v/>
      </c>
      <c r="I448" s="99" t="s">
        <v>165</v>
      </c>
      <c r="J448" s="99" t="s">
        <v>4</v>
      </c>
      <c r="K448" s="99" t="s">
        <v>1974</v>
      </c>
      <c r="L448" s="101"/>
      <c r="M448" s="104" t="str">
        <f>IF(Main[[#This Row],[Tech Start Date]]&lt;1/1/1990,"",IF(Main[[#This Row],[Class]]="C",WORKDAY(Main[[#This Row],[Tech Start Date]],9),IF(Main[[#This Row],[Class]]="B", WORKDAY(Main[[#This Row],[Tech Start Date]],6),IF(Main[[#This Row],[Class]]="A",WORKDAY(Main[[#This Row],[Tech Start Date]],2),""))))</f>
        <v/>
      </c>
      <c r="N448" s="104" t="str">
        <f>IF(Main[[#This Row],[Tech Start Date]]&lt;1/1/1990,"",IF(Main[[#This Row],[Class]]="C",WORKDAY(Main[[#This Row],[Tech Start Date]],19),IF(Main[[#This Row],[Class]]="B", WORKDAY(Main[[#This Row],[Tech Start Date]],12),IF(Main[[#This Row],[Class]]="A",WORKDAY(Main[[#This Row],[Tech Start Date]],4),""))))</f>
        <v/>
      </c>
      <c r="O448" s="104" t="str">
        <f>IF(Main[[#This Row],[Tech Start Date]]&lt;1/1/1990,"",IF(Main[[#This Row],[Class]]="C",WORKDAY(Main[[#This Row],[Tech Start Date]],23),IF(Main[[#This Row],[Class]]="B", WORKDAY(Main[[#This Row],[Tech Start Date]],15),IF(Main[[#This Row],[Class]]="A",WORKDAY(Main[[#This Row],[Tech Start Date]],5),""))))</f>
        <v/>
      </c>
      <c r="P448" s="104" t="str">
        <f>IF(Main[[#This Row],[Tech Start Date]]&lt;1/1/1990,"",IF(Main[[#This Row],[Class]]="C",WORKDAY(Main[[#This Row],[Tech Start Date]],28),IF(Main[[#This Row],[Class]]="B", WORKDAY(Main[[#This Row],[Tech Start Date]],19),IF(Main[[#This Row],[Class]]="A",WORKDAY(Main[[#This Row],[Tech Start Date]],9),""))))</f>
        <v/>
      </c>
      <c r="Q448" s="101">
        <v>40223</v>
      </c>
      <c r="R448" s="101"/>
      <c r="S448" s="99" t="s">
        <v>17</v>
      </c>
      <c r="T448" s="107" t="s">
        <v>4</v>
      </c>
      <c r="U448" s="99" t="s">
        <v>29</v>
      </c>
      <c r="V448" s="99" t="s">
        <v>1965</v>
      </c>
      <c r="W448" s="99" t="s">
        <v>1967</v>
      </c>
    </row>
    <row r="449" spans="1:23" ht="18.600000000000001" customHeight="1">
      <c r="A449" s="123" t="str">
        <f>IF(priority(Main[[#This Row],[Comments]])&lt;&gt;0, priority(Main[[#This Row],[Comments]]),"")</f>
        <v/>
      </c>
      <c r="B449" s="127" t="s">
        <v>1329</v>
      </c>
      <c r="C449" s="99" t="s">
        <v>4</v>
      </c>
      <c r="D449" s="100" t="s">
        <v>418</v>
      </c>
      <c r="E449" s="101"/>
      <c r="F449" s="101"/>
      <c r="G449" s="102" t="str">
        <f>IF(stdProdLT(Main[[#This Row],[Comments]])=0.1,"N/A",IF(stdProdLT(Main[[#This Row],[Comments]])=0,"",stdProdLT(Main[[#This Row],[Comments]])))</f>
        <v/>
      </c>
      <c r="H449" s="103" t="str">
        <f>IF(AND(Main[[#This Row],[In Stock Date]]&lt;&gt;"",Main[[#This Row],[Revised Due Date]]&lt;&gt;""),Main[[#This Row],[In Stock Date]]-Main[[#This Row],[Revised Due Date]],"")</f>
        <v/>
      </c>
      <c r="I449" s="99" t="s">
        <v>311</v>
      </c>
      <c r="J449" s="99" t="s">
        <v>75</v>
      </c>
      <c r="K449" s="99" t="s">
        <v>1971</v>
      </c>
      <c r="L449" s="101"/>
      <c r="M449" s="104" t="str">
        <f>IF(Main[[#This Row],[Tech Start Date]]&lt;1/1/1990,"",IF(Main[[#This Row],[Class]]="C",WORKDAY(Main[[#This Row],[Tech Start Date]],9),IF(Main[[#This Row],[Class]]="B", WORKDAY(Main[[#This Row],[Tech Start Date]],6),IF(Main[[#This Row],[Class]]="A",WORKDAY(Main[[#This Row],[Tech Start Date]],2),""))))</f>
        <v/>
      </c>
      <c r="N449" s="104" t="str">
        <f>IF(Main[[#This Row],[Tech Start Date]]&lt;1/1/1990,"",IF(Main[[#This Row],[Class]]="C",WORKDAY(Main[[#This Row],[Tech Start Date]],19),IF(Main[[#This Row],[Class]]="B", WORKDAY(Main[[#This Row],[Tech Start Date]],12),IF(Main[[#This Row],[Class]]="A",WORKDAY(Main[[#This Row],[Tech Start Date]],4),""))))</f>
        <v/>
      </c>
      <c r="O449" s="104" t="str">
        <f>IF(Main[[#This Row],[Tech Start Date]]&lt;1/1/1990,"",IF(Main[[#This Row],[Class]]="C",WORKDAY(Main[[#This Row],[Tech Start Date]],23),IF(Main[[#This Row],[Class]]="B", WORKDAY(Main[[#This Row],[Tech Start Date]],15),IF(Main[[#This Row],[Class]]="A",WORKDAY(Main[[#This Row],[Tech Start Date]],5),""))))</f>
        <v/>
      </c>
      <c r="P449" s="104" t="str">
        <f>IF(Main[[#This Row],[Tech Start Date]]&lt;1/1/1990,"",IF(Main[[#This Row],[Class]]="C",WORKDAY(Main[[#This Row],[Tech Start Date]],28),IF(Main[[#This Row],[Class]]="B", WORKDAY(Main[[#This Row],[Tech Start Date]],19),IF(Main[[#This Row],[Class]]="A",WORKDAY(Main[[#This Row],[Tech Start Date]],9),""))))</f>
        <v/>
      </c>
      <c r="Q449" s="101">
        <v>40655</v>
      </c>
      <c r="R449" s="101"/>
      <c r="S449" s="99" t="s">
        <v>6</v>
      </c>
      <c r="T449" s="107" t="s">
        <v>4</v>
      </c>
      <c r="U449" s="99" t="s">
        <v>14</v>
      </c>
      <c r="V449" s="99" t="s">
        <v>1965</v>
      </c>
      <c r="W449" s="99" t="s">
        <v>1964</v>
      </c>
    </row>
    <row r="450" spans="1:23" ht="18.600000000000001" customHeight="1">
      <c r="A450" s="123" t="str">
        <f>IF(priority(Main[[#This Row],[Comments]])&lt;&gt;0, priority(Main[[#This Row],[Comments]]),"")</f>
        <v/>
      </c>
      <c r="B450" s="127" t="s">
        <v>1330</v>
      </c>
      <c r="C450" s="99" t="s">
        <v>214</v>
      </c>
      <c r="D450" s="100" t="s">
        <v>419</v>
      </c>
      <c r="E450" s="101"/>
      <c r="F450" s="101">
        <v>40452</v>
      </c>
      <c r="G450" s="102" t="str">
        <f>IF(stdProdLT(Main[[#This Row],[Comments]])=0.1,"N/A",IF(stdProdLT(Main[[#This Row],[Comments]])=0,"",stdProdLT(Main[[#This Row],[Comments]])))</f>
        <v/>
      </c>
      <c r="H450" s="103" t="str">
        <f>IF(AND(Main[[#This Row],[In Stock Date]]&lt;&gt;"",Main[[#This Row],[Revised Due Date]]&lt;&gt;""),Main[[#This Row],[In Stock Date]]-Main[[#This Row],[Revised Due Date]],"")</f>
        <v/>
      </c>
      <c r="I450" s="99" t="s">
        <v>4</v>
      </c>
      <c r="J450" s="99" t="s">
        <v>4</v>
      </c>
      <c r="K450" s="99" t="s">
        <v>4</v>
      </c>
      <c r="L450" s="101"/>
      <c r="M450" s="104" t="str">
        <f>IF(Main[[#This Row],[Tech Start Date]]&lt;1/1/1990,"",IF(Main[[#This Row],[Class]]="C",WORKDAY(Main[[#This Row],[Tech Start Date]],9),IF(Main[[#This Row],[Class]]="B", WORKDAY(Main[[#This Row],[Tech Start Date]],6),IF(Main[[#This Row],[Class]]="A",WORKDAY(Main[[#This Row],[Tech Start Date]],2),""))))</f>
        <v/>
      </c>
      <c r="N450" s="104" t="str">
        <f>IF(Main[[#This Row],[Tech Start Date]]&lt;1/1/1990,"",IF(Main[[#This Row],[Class]]="C",WORKDAY(Main[[#This Row],[Tech Start Date]],19),IF(Main[[#This Row],[Class]]="B", WORKDAY(Main[[#This Row],[Tech Start Date]],12),IF(Main[[#This Row],[Class]]="A",WORKDAY(Main[[#This Row],[Tech Start Date]],4),""))))</f>
        <v/>
      </c>
      <c r="O450" s="104" t="str">
        <f>IF(Main[[#This Row],[Tech Start Date]]&lt;1/1/1990,"",IF(Main[[#This Row],[Class]]="C",WORKDAY(Main[[#This Row],[Tech Start Date]],23),IF(Main[[#This Row],[Class]]="B", WORKDAY(Main[[#This Row],[Tech Start Date]],15),IF(Main[[#This Row],[Class]]="A",WORKDAY(Main[[#This Row],[Tech Start Date]],5),""))))</f>
        <v/>
      </c>
      <c r="P450" s="104" t="str">
        <f>IF(Main[[#This Row],[Tech Start Date]]&lt;1/1/1990,"",IF(Main[[#This Row],[Class]]="C",WORKDAY(Main[[#This Row],[Tech Start Date]],28),IF(Main[[#This Row],[Class]]="B", WORKDAY(Main[[#This Row],[Tech Start Date]],19),IF(Main[[#This Row],[Class]]="A",WORKDAY(Main[[#This Row],[Tech Start Date]],9),""))))</f>
        <v/>
      </c>
      <c r="Q450" s="101">
        <v>40357</v>
      </c>
      <c r="R450" s="101"/>
      <c r="S450" s="99" t="s">
        <v>11</v>
      </c>
      <c r="T450" s="107" t="s">
        <v>4</v>
      </c>
      <c r="U450" s="99" t="s">
        <v>12</v>
      </c>
      <c r="V450" s="99" t="s">
        <v>1962</v>
      </c>
      <c r="W450" s="99" t="s">
        <v>1970</v>
      </c>
    </row>
    <row r="451" spans="1:23" ht="18.600000000000001" customHeight="1">
      <c r="A451" s="123" t="str">
        <f>IF(priority(Main[[#This Row],[Comments]])&lt;&gt;0, priority(Main[[#This Row],[Comments]]),"")</f>
        <v/>
      </c>
      <c r="B451" s="127" t="s">
        <v>1369</v>
      </c>
      <c r="C451" s="99" t="s">
        <v>4</v>
      </c>
      <c r="D451" s="100" t="s">
        <v>420</v>
      </c>
      <c r="E451" s="101"/>
      <c r="F451" s="101">
        <v>40633</v>
      </c>
      <c r="G451" s="102" t="str">
        <f>IF(stdProdLT(Main[[#This Row],[Comments]])=0.1,"N/A",IF(stdProdLT(Main[[#This Row],[Comments]])=0,"",stdProdLT(Main[[#This Row],[Comments]])))</f>
        <v/>
      </c>
      <c r="H451" s="103" t="str">
        <f>IF(AND(Main[[#This Row],[In Stock Date]]&lt;&gt;"",Main[[#This Row],[Revised Due Date]]&lt;&gt;""),Main[[#This Row],[In Stock Date]]-Main[[#This Row],[Revised Due Date]],"")</f>
        <v/>
      </c>
      <c r="I451" s="99" t="s">
        <v>421</v>
      </c>
      <c r="J451" s="99" t="s">
        <v>28</v>
      </c>
      <c r="K451" s="99" t="s">
        <v>1971</v>
      </c>
      <c r="L451" s="101"/>
      <c r="M451" s="104" t="str">
        <f>IF(Main[[#This Row],[Tech Start Date]]&lt;1/1/1990,"",IF(Main[[#This Row],[Class]]="C",WORKDAY(Main[[#This Row],[Tech Start Date]],9),IF(Main[[#This Row],[Class]]="B", WORKDAY(Main[[#This Row],[Tech Start Date]],6),IF(Main[[#This Row],[Class]]="A",WORKDAY(Main[[#This Row],[Tech Start Date]],2),""))))</f>
        <v/>
      </c>
      <c r="N451" s="104" t="str">
        <f>IF(Main[[#This Row],[Tech Start Date]]&lt;1/1/1990,"",IF(Main[[#This Row],[Class]]="C",WORKDAY(Main[[#This Row],[Tech Start Date]],19),IF(Main[[#This Row],[Class]]="B", WORKDAY(Main[[#This Row],[Tech Start Date]],12),IF(Main[[#This Row],[Class]]="A",WORKDAY(Main[[#This Row],[Tech Start Date]],4),""))))</f>
        <v/>
      </c>
      <c r="O451" s="104" t="str">
        <f>IF(Main[[#This Row],[Tech Start Date]]&lt;1/1/1990,"",IF(Main[[#This Row],[Class]]="C",WORKDAY(Main[[#This Row],[Tech Start Date]],23),IF(Main[[#This Row],[Class]]="B", WORKDAY(Main[[#This Row],[Tech Start Date]],15),IF(Main[[#This Row],[Class]]="A",WORKDAY(Main[[#This Row],[Tech Start Date]],5),""))))</f>
        <v/>
      </c>
      <c r="P451" s="104" t="str">
        <f>IF(Main[[#This Row],[Tech Start Date]]&lt;1/1/1990,"",IF(Main[[#This Row],[Class]]="C",WORKDAY(Main[[#This Row],[Tech Start Date]],28),IF(Main[[#This Row],[Class]]="B", WORKDAY(Main[[#This Row],[Tech Start Date]],19),IF(Main[[#This Row],[Class]]="A",WORKDAY(Main[[#This Row],[Tech Start Date]],9),""))))</f>
        <v/>
      </c>
      <c r="Q451" s="101">
        <v>40633</v>
      </c>
      <c r="R451" s="101"/>
      <c r="S451" s="99" t="s">
        <v>6</v>
      </c>
      <c r="T451" s="107" t="s">
        <v>4</v>
      </c>
      <c r="U451" s="99" t="s">
        <v>14</v>
      </c>
      <c r="V451" s="99" t="s">
        <v>1965</v>
      </c>
      <c r="W451" s="99" t="s">
        <v>1964</v>
      </c>
    </row>
    <row r="452" spans="1:23" ht="18.600000000000001" customHeight="1">
      <c r="A452" s="123" t="str">
        <f>IF(priority(Main[[#This Row],[Comments]])&lt;&gt;0, priority(Main[[#This Row],[Comments]]),"")</f>
        <v/>
      </c>
      <c r="B452" s="127" t="s">
        <v>1876</v>
      </c>
      <c r="C452" s="99" t="s">
        <v>4</v>
      </c>
      <c r="D452" s="100" t="s">
        <v>904</v>
      </c>
      <c r="E452" s="101">
        <v>40365.442546296297</v>
      </c>
      <c r="F452" s="101"/>
      <c r="G452" s="102" t="str">
        <f>IF(stdProdLT(Main[[#This Row],[Comments]])=0.1,"N/A",IF(stdProdLT(Main[[#This Row],[Comments]])=0,"",stdProdLT(Main[[#This Row],[Comments]])))</f>
        <v/>
      </c>
      <c r="H452" s="103" t="str">
        <f>IF(AND(Main[[#This Row],[In Stock Date]]&lt;&gt;"",Main[[#This Row],[Revised Due Date]]&lt;&gt;""),Main[[#This Row],[In Stock Date]]-Main[[#This Row],[Revised Due Date]],"")</f>
        <v/>
      </c>
      <c r="I452" s="99" t="s">
        <v>905</v>
      </c>
      <c r="J452" s="99" t="s">
        <v>28</v>
      </c>
      <c r="K452" s="99" t="s">
        <v>1974</v>
      </c>
      <c r="L452" s="101"/>
      <c r="M452" s="104" t="str">
        <f>IF(Main[[#This Row],[Tech Start Date]]&lt;1/1/1990,"",IF(Main[[#This Row],[Class]]="C",WORKDAY(Main[[#This Row],[Tech Start Date]],9),IF(Main[[#This Row],[Class]]="B", WORKDAY(Main[[#This Row],[Tech Start Date]],6),IF(Main[[#This Row],[Class]]="A",WORKDAY(Main[[#This Row],[Tech Start Date]],2),""))))</f>
        <v/>
      </c>
      <c r="N452" s="104" t="str">
        <f>IF(Main[[#This Row],[Tech Start Date]]&lt;1/1/1990,"",IF(Main[[#This Row],[Class]]="C",WORKDAY(Main[[#This Row],[Tech Start Date]],19),IF(Main[[#This Row],[Class]]="B", WORKDAY(Main[[#This Row],[Tech Start Date]],12),IF(Main[[#This Row],[Class]]="A",WORKDAY(Main[[#This Row],[Tech Start Date]],4),""))))</f>
        <v/>
      </c>
      <c r="O452" s="104" t="str">
        <f>IF(Main[[#This Row],[Tech Start Date]]&lt;1/1/1990,"",IF(Main[[#This Row],[Class]]="C",WORKDAY(Main[[#This Row],[Tech Start Date]],23),IF(Main[[#This Row],[Class]]="B", WORKDAY(Main[[#This Row],[Tech Start Date]],15),IF(Main[[#This Row],[Class]]="A",WORKDAY(Main[[#This Row],[Tech Start Date]],5),""))))</f>
        <v/>
      </c>
      <c r="P452" s="104" t="str">
        <f>IF(Main[[#This Row],[Tech Start Date]]&lt;1/1/1990,"",IF(Main[[#This Row],[Class]]="C",WORKDAY(Main[[#This Row],[Tech Start Date]],28),IF(Main[[#This Row],[Class]]="B", WORKDAY(Main[[#This Row],[Tech Start Date]],19),IF(Main[[#This Row],[Class]]="A",WORKDAY(Main[[#This Row],[Tech Start Date]],9),""))))</f>
        <v/>
      </c>
      <c r="Q452" s="101">
        <v>40420</v>
      </c>
      <c r="R452" s="101">
        <v>40420</v>
      </c>
      <c r="S452" s="99" t="s">
        <v>323</v>
      </c>
      <c r="T452" s="107" t="s">
        <v>4</v>
      </c>
      <c r="U452" s="99" t="s">
        <v>29</v>
      </c>
      <c r="V452" s="99" t="s">
        <v>1962</v>
      </c>
      <c r="W452" s="99" t="s">
        <v>1966</v>
      </c>
    </row>
    <row r="453" spans="1:23" ht="18.600000000000001" customHeight="1">
      <c r="A453" s="123" t="str">
        <f>IF(priority(Main[[#This Row],[Comments]])&lt;&gt;0, priority(Main[[#This Row],[Comments]]),"")</f>
        <v/>
      </c>
      <c r="B453" s="127" t="s">
        <v>1370</v>
      </c>
      <c r="C453" s="99" t="s">
        <v>31</v>
      </c>
      <c r="D453" s="100" t="s">
        <v>422</v>
      </c>
      <c r="E453" s="101"/>
      <c r="F453" s="101">
        <v>40330</v>
      </c>
      <c r="G453" s="102" t="str">
        <f>IF(stdProdLT(Main[[#This Row],[Comments]])=0.1,"N/A",IF(stdProdLT(Main[[#This Row],[Comments]])=0,"",stdProdLT(Main[[#This Row],[Comments]])))</f>
        <v/>
      </c>
      <c r="H453" s="103" t="str">
        <f>IF(AND(Main[[#This Row],[In Stock Date]]&lt;&gt;"",Main[[#This Row],[Revised Due Date]]&lt;&gt;""),Main[[#This Row],[In Stock Date]]-Main[[#This Row],[Revised Due Date]],"")</f>
        <v/>
      </c>
      <c r="I453" s="99" t="s">
        <v>423</v>
      </c>
      <c r="J453" s="99" t="s">
        <v>4</v>
      </c>
      <c r="K453" s="99" t="s">
        <v>4</v>
      </c>
      <c r="L453" s="101"/>
      <c r="M453" s="104" t="str">
        <f>IF(Main[[#This Row],[Tech Start Date]]&lt;1/1/1990,"",IF(Main[[#This Row],[Class]]="C",WORKDAY(Main[[#This Row],[Tech Start Date]],9),IF(Main[[#This Row],[Class]]="B", WORKDAY(Main[[#This Row],[Tech Start Date]],6),IF(Main[[#This Row],[Class]]="A",WORKDAY(Main[[#This Row],[Tech Start Date]],2),""))))</f>
        <v/>
      </c>
      <c r="N453" s="104" t="str">
        <f>IF(Main[[#This Row],[Tech Start Date]]&lt;1/1/1990,"",IF(Main[[#This Row],[Class]]="C",WORKDAY(Main[[#This Row],[Tech Start Date]],19),IF(Main[[#This Row],[Class]]="B", WORKDAY(Main[[#This Row],[Tech Start Date]],12),IF(Main[[#This Row],[Class]]="A",WORKDAY(Main[[#This Row],[Tech Start Date]],4),""))))</f>
        <v/>
      </c>
      <c r="O453" s="104" t="str">
        <f>IF(Main[[#This Row],[Tech Start Date]]&lt;1/1/1990,"",IF(Main[[#This Row],[Class]]="C",WORKDAY(Main[[#This Row],[Tech Start Date]],23),IF(Main[[#This Row],[Class]]="B", WORKDAY(Main[[#This Row],[Tech Start Date]],15),IF(Main[[#This Row],[Class]]="A",WORKDAY(Main[[#This Row],[Tech Start Date]],5),""))))</f>
        <v/>
      </c>
      <c r="P453" s="104" t="str">
        <f>IF(Main[[#This Row],[Tech Start Date]]&lt;1/1/1990,"",IF(Main[[#This Row],[Class]]="C",WORKDAY(Main[[#This Row],[Tech Start Date]],28),IF(Main[[#This Row],[Class]]="B", WORKDAY(Main[[#This Row],[Tech Start Date]],19),IF(Main[[#This Row],[Class]]="A",WORKDAY(Main[[#This Row],[Tech Start Date]],9),""))))</f>
        <v/>
      </c>
      <c r="Q453" s="101">
        <v>40210</v>
      </c>
      <c r="R453" s="101"/>
      <c r="S453" s="99" t="s">
        <v>11</v>
      </c>
      <c r="T453" s="107" t="s">
        <v>4</v>
      </c>
      <c r="U453" s="99" t="s">
        <v>14</v>
      </c>
      <c r="V453" s="99" t="s">
        <v>1965</v>
      </c>
      <c r="W453" s="99" t="s">
        <v>1968</v>
      </c>
    </row>
    <row r="454" spans="1:23" ht="18.600000000000001" customHeight="1">
      <c r="A454" s="123" t="str">
        <f>IF(priority(Main[[#This Row],[Comments]])&lt;&gt;0, priority(Main[[#This Row],[Comments]]),"")</f>
        <v/>
      </c>
      <c r="B454" s="127" t="s">
        <v>1371</v>
      </c>
      <c r="C454" s="99" t="s">
        <v>4</v>
      </c>
      <c r="D454" s="100" t="s">
        <v>424</v>
      </c>
      <c r="E454" s="101">
        <v>40305.512083333335</v>
      </c>
      <c r="F454" s="101"/>
      <c r="G454" s="102" t="str">
        <f>IF(stdProdLT(Main[[#This Row],[Comments]])=0.1,"N/A",IF(stdProdLT(Main[[#This Row],[Comments]])=0,"",stdProdLT(Main[[#This Row],[Comments]])))</f>
        <v/>
      </c>
      <c r="H454" s="103" t="str">
        <f>IF(AND(Main[[#This Row],[In Stock Date]]&lt;&gt;"",Main[[#This Row],[Revised Due Date]]&lt;&gt;""),Main[[#This Row],[In Stock Date]]-Main[[#This Row],[Revised Due Date]],"")</f>
        <v/>
      </c>
      <c r="I454" s="99" t="s">
        <v>4</v>
      </c>
      <c r="J454" s="99" t="s">
        <v>4</v>
      </c>
      <c r="K454" s="108" t="s">
        <v>4</v>
      </c>
      <c r="L454" s="101"/>
      <c r="M454" s="104" t="str">
        <f>IF(Main[[#This Row],[Tech Start Date]]&lt;1/1/1990,"",IF(Main[[#This Row],[Class]]="C",WORKDAY(Main[[#This Row],[Tech Start Date]],9),IF(Main[[#This Row],[Class]]="B", WORKDAY(Main[[#This Row],[Tech Start Date]],6),IF(Main[[#This Row],[Class]]="A",WORKDAY(Main[[#This Row],[Tech Start Date]],2),""))))</f>
        <v/>
      </c>
      <c r="N454" s="104" t="str">
        <f>IF(Main[[#This Row],[Tech Start Date]]&lt;1/1/1990,"",IF(Main[[#This Row],[Class]]="C",WORKDAY(Main[[#This Row],[Tech Start Date]],19),IF(Main[[#This Row],[Class]]="B", WORKDAY(Main[[#This Row],[Tech Start Date]],12),IF(Main[[#This Row],[Class]]="A",WORKDAY(Main[[#This Row],[Tech Start Date]],4),""))))</f>
        <v/>
      </c>
      <c r="O454" s="104" t="str">
        <f>IF(Main[[#This Row],[Tech Start Date]]&lt;1/1/1990,"",IF(Main[[#This Row],[Class]]="C",WORKDAY(Main[[#This Row],[Tech Start Date]],23),IF(Main[[#This Row],[Class]]="B", WORKDAY(Main[[#This Row],[Tech Start Date]],15),IF(Main[[#This Row],[Class]]="A",WORKDAY(Main[[#This Row],[Tech Start Date]],5),""))))</f>
        <v/>
      </c>
      <c r="P454" s="104" t="str">
        <f>IF(Main[[#This Row],[Tech Start Date]]&lt;1/1/1990,"",IF(Main[[#This Row],[Class]]="C",WORKDAY(Main[[#This Row],[Tech Start Date]],28),IF(Main[[#This Row],[Class]]="B", WORKDAY(Main[[#This Row],[Tech Start Date]],19),IF(Main[[#This Row],[Class]]="A",WORKDAY(Main[[#This Row],[Tech Start Date]],9),""))))</f>
        <v/>
      </c>
      <c r="Q454" s="101">
        <v>40312</v>
      </c>
      <c r="R454" s="101"/>
      <c r="S454" s="99" t="s">
        <v>6</v>
      </c>
      <c r="T454" s="107" t="s">
        <v>4</v>
      </c>
      <c r="U454" s="99" t="s">
        <v>7</v>
      </c>
      <c r="V454" s="99" t="s">
        <v>1962</v>
      </c>
      <c r="W454" s="99" t="s">
        <v>4</v>
      </c>
    </row>
    <row r="455" spans="1:23" ht="18.600000000000001" customHeight="1">
      <c r="A455" s="123" t="str">
        <f>IF(priority(Main[[#This Row],[Comments]])&lt;&gt;0, priority(Main[[#This Row],[Comments]]),"")</f>
        <v/>
      </c>
      <c r="B455" s="127" t="s">
        <v>1332</v>
      </c>
      <c r="C455" s="99" t="s">
        <v>31</v>
      </c>
      <c r="D455" s="100" t="s">
        <v>376</v>
      </c>
      <c r="E455" s="101"/>
      <c r="F455" s="101"/>
      <c r="G455" s="102" t="str">
        <f>IF(stdProdLT(Main[[#This Row],[Comments]])=0.1,"N/A",IF(stdProdLT(Main[[#This Row],[Comments]])=0,"",stdProdLT(Main[[#This Row],[Comments]])))</f>
        <v/>
      </c>
      <c r="H455" s="103" t="str">
        <f>IF(AND(Main[[#This Row],[In Stock Date]]&lt;&gt;"",Main[[#This Row],[Revised Due Date]]&lt;&gt;""),Main[[#This Row],[In Stock Date]]-Main[[#This Row],[Revised Due Date]],"")</f>
        <v/>
      </c>
      <c r="I455" s="99" t="s">
        <v>4</v>
      </c>
      <c r="J455" s="99" t="s">
        <v>4</v>
      </c>
      <c r="K455" s="99" t="s">
        <v>4</v>
      </c>
      <c r="L455" s="101"/>
      <c r="M455" s="104" t="str">
        <f>IF(Main[[#This Row],[Tech Start Date]]&lt;1/1/1990,"",IF(Main[[#This Row],[Class]]="C",WORKDAY(Main[[#This Row],[Tech Start Date]],9),IF(Main[[#This Row],[Class]]="B", WORKDAY(Main[[#This Row],[Tech Start Date]],6),IF(Main[[#This Row],[Class]]="A",WORKDAY(Main[[#This Row],[Tech Start Date]],2),""))))</f>
        <v/>
      </c>
      <c r="N455" s="104" t="str">
        <f>IF(Main[[#This Row],[Tech Start Date]]&lt;1/1/1990,"",IF(Main[[#This Row],[Class]]="C",WORKDAY(Main[[#This Row],[Tech Start Date]],19),IF(Main[[#This Row],[Class]]="B", WORKDAY(Main[[#This Row],[Tech Start Date]],12),IF(Main[[#This Row],[Class]]="A",WORKDAY(Main[[#This Row],[Tech Start Date]],4),""))))</f>
        <v/>
      </c>
      <c r="O455" s="104" t="str">
        <f>IF(Main[[#This Row],[Tech Start Date]]&lt;1/1/1990,"",IF(Main[[#This Row],[Class]]="C",WORKDAY(Main[[#This Row],[Tech Start Date]],23),IF(Main[[#This Row],[Class]]="B", WORKDAY(Main[[#This Row],[Tech Start Date]],15),IF(Main[[#This Row],[Class]]="A",WORKDAY(Main[[#This Row],[Tech Start Date]],5),""))))</f>
        <v/>
      </c>
      <c r="P455" s="104" t="str">
        <f>IF(Main[[#This Row],[Tech Start Date]]&lt;1/1/1990,"",IF(Main[[#This Row],[Class]]="C",WORKDAY(Main[[#This Row],[Tech Start Date]],28),IF(Main[[#This Row],[Class]]="B", WORKDAY(Main[[#This Row],[Tech Start Date]],19),IF(Main[[#This Row],[Class]]="A",WORKDAY(Main[[#This Row],[Tech Start Date]],9),""))))</f>
        <v/>
      </c>
      <c r="Q455" s="101">
        <v>40318</v>
      </c>
      <c r="R455" s="101"/>
      <c r="S455" s="99" t="s">
        <v>11</v>
      </c>
      <c r="T455" s="107" t="s">
        <v>4</v>
      </c>
      <c r="U455" s="99" t="s">
        <v>14</v>
      </c>
      <c r="V455" s="99" t="s">
        <v>1965</v>
      </c>
      <c r="W455" s="99" t="s">
        <v>1964</v>
      </c>
    </row>
    <row r="456" spans="1:23" ht="18.600000000000001" customHeight="1">
      <c r="A456" s="123" t="str">
        <f>IF(priority(Main[[#This Row],[Comments]])&lt;&gt;0, priority(Main[[#This Row],[Comments]]),"")</f>
        <v/>
      </c>
      <c r="B456" s="127" t="s">
        <v>1333</v>
      </c>
      <c r="C456" s="99" t="s">
        <v>4</v>
      </c>
      <c r="D456" s="100" t="s">
        <v>377</v>
      </c>
      <c r="E456" s="101">
        <v>40679.255486111113</v>
      </c>
      <c r="F456" s="101"/>
      <c r="G456" s="102" t="str">
        <f>IF(stdProdLT(Main[[#This Row],[Comments]])=0.1,"N/A",IF(stdProdLT(Main[[#This Row],[Comments]])=0,"",stdProdLT(Main[[#This Row],[Comments]])))</f>
        <v/>
      </c>
      <c r="H456" s="103" t="str">
        <f>IF(AND(Main[[#This Row],[In Stock Date]]&lt;&gt;"",Main[[#This Row],[Revised Due Date]]&lt;&gt;""),Main[[#This Row],[In Stock Date]]-Main[[#This Row],[Revised Due Date]],"")</f>
        <v/>
      </c>
      <c r="I456" s="99" t="s">
        <v>4</v>
      </c>
      <c r="J456" s="99" t="s">
        <v>4</v>
      </c>
      <c r="K456" s="99" t="s">
        <v>4</v>
      </c>
      <c r="L456" s="101"/>
      <c r="M456" s="104" t="str">
        <f>IF(Main[[#This Row],[Tech Start Date]]&lt;1/1/1990,"",IF(Main[[#This Row],[Class]]="C",WORKDAY(Main[[#This Row],[Tech Start Date]],9),IF(Main[[#This Row],[Class]]="B", WORKDAY(Main[[#This Row],[Tech Start Date]],6),IF(Main[[#This Row],[Class]]="A",WORKDAY(Main[[#This Row],[Tech Start Date]],2),""))))</f>
        <v/>
      </c>
      <c r="N456" s="104" t="str">
        <f>IF(Main[[#This Row],[Tech Start Date]]&lt;1/1/1990,"",IF(Main[[#This Row],[Class]]="C",WORKDAY(Main[[#This Row],[Tech Start Date]],19),IF(Main[[#This Row],[Class]]="B", WORKDAY(Main[[#This Row],[Tech Start Date]],12),IF(Main[[#This Row],[Class]]="A",WORKDAY(Main[[#This Row],[Tech Start Date]],4),""))))</f>
        <v/>
      </c>
      <c r="O456" s="104" t="str">
        <f>IF(Main[[#This Row],[Tech Start Date]]&lt;1/1/1990,"",IF(Main[[#This Row],[Class]]="C",WORKDAY(Main[[#This Row],[Tech Start Date]],23),IF(Main[[#This Row],[Class]]="B", WORKDAY(Main[[#This Row],[Tech Start Date]],15),IF(Main[[#This Row],[Class]]="A",WORKDAY(Main[[#This Row],[Tech Start Date]],5),""))))</f>
        <v/>
      </c>
      <c r="P456" s="104" t="str">
        <f>IF(Main[[#This Row],[Tech Start Date]]&lt;1/1/1990,"",IF(Main[[#This Row],[Class]]="C",WORKDAY(Main[[#This Row],[Tech Start Date]],28),IF(Main[[#This Row],[Class]]="B", WORKDAY(Main[[#This Row],[Tech Start Date]],19),IF(Main[[#This Row],[Class]]="A",WORKDAY(Main[[#This Row],[Tech Start Date]],9),""))))</f>
        <v/>
      </c>
      <c r="Q456" s="101">
        <v>40724</v>
      </c>
      <c r="R456" s="101"/>
      <c r="S456" s="99" t="s">
        <v>6</v>
      </c>
      <c r="T456" s="107" t="s">
        <v>4</v>
      </c>
      <c r="U456" s="99" t="s">
        <v>7</v>
      </c>
      <c r="V456" s="99" t="s">
        <v>1962</v>
      </c>
      <c r="W456" s="99" t="s">
        <v>4</v>
      </c>
    </row>
    <row r="457" spans="1:23" ht="18.600000000000001" customHeight="1">
      <c r="A457" s="123" t="str">
        <f>IF(priority(Main[[#This Row],[Comments]])&lt;&gt;0, priority(Main[[#This Row],[Comments]]),"")</f>
        <v/>
      </c>
      <c r="B457" s="127" t="s">
        <v>1334</v>
      </c>
      <c r="C457" s="99" t="s">
        <v>4</v>
      </c>
      <c r="D457" s="100" t="s">
        <v>378</v>
      </c>
      <c r="E457" s="101"/>
      <c r="F457" s="101"/>
      <c r="G457" s="102" t="str">
        <f>IF(stdProdLT(Main[[#This Row],[Comments]])=0.1,"N/A",IF(stdProdLT(Main[[#This Row],[Comments]])=0,"",stdProdLT(Main[[#This Row],[Comments]])))</f>
        <v/>
      </c>
      <c r="H457" s="103" t="str">
        <f>IF(AND(Main[[#This Row],[In Stock Date]]&lt;&gt;"",Main[[#This Row],[Revised Due Date]]&lt;&gt;""),Main[[#This Row],[In Stock Date]]-Main[[#This Row],[Revised Due Date]],"")</f>
        <v/>
      </c>
      <c r="I457" s="99" t="s">
        <v>4</v>
      </c>
      <c r="J457" s="99" t="s">
        <v>4</v>
      </c>
      <c r="K457" s="99" t="s">
        <v>4</v>
      </c>
      <c r="L457" s="101"/>
      <c r="M457" s="104" t="str">
        <f>IF(Main[[#This Row],[Tech Start Date]]&lt;1/1/1990,"",IF(Main[[#This Row],[Class]]="C",WORKDAY(Main[[#This Row],[Tech Start Date]],9),IF(Main[[#This Row],[Class]]="B", WORKDAY(Main[[#This Row],[Tech Start Date]],6),IF(Main[[#This Row],[Class]]="A",WORKDAY(Main[[#This Row],[Tech Start Date]],2),""))))</f>
        <v/>
      </c>
      <c r="N457" s="104" t="str">
        <f>IF(Main[[#This Row],[Tech Start Date]]&lt;1/1/1990,"",IF(Main[[#This Row],[Class]]="C",WORKDAY(Main[[#This Row],[Tech Start Date]],19),IF(Main[[#This Row],[Class]]="B", WORKDAY(Main[[#This Row],[Tech Start Date]],12),IF(Main[[#This Row],[Class]]="A",WORKDAY(Main[[#This Row],[Tech Start Date]],4),""))))</f>
        <v/>
      </c>
      <c r="O457" s="104" t="str">
        <f>IF(Main[[#This Row],[Tech Start Date]]&lt;1/1/1990,"",IF(Main[[#This Row],[Class]]="C",WORKDAY(Main[[#This Row],[Tech Start Date]],23),IF(Main[[#This Row],[Class]]="B", WORKDAY(Main[[#This Row],[Tech Start Date]],15),IF(Main[[#This Row],[Class]]="A",WORKDAY(Main[[#This Row],[Tech Start Date]],5),""))))</f>
        <v/>
      </c>
      <c r="P457" s="104" t="str">
        <f>IF(Main[[#This Row],[Tech Start Date]]&lt;1/1/1990,"",IF(Main[[#This Row],[Class]]="C",WORKDAY(Main[[#This Row],[Tech Start Date]],28),IF(Main[[#This Row],[Class]]="B", WORKDAY(Main[[#This Row],[Tech Start Date]],19),IF(Main[[#This Row],[Class]]="A",WORKDAY(Main[[#This Row],[Tech Start Date]],9),""))))</f>
        <v/>
      </c>
      <c r="Q457" s="101"/>
      <c r="R457" s="101"/>
      <c r="S457" s="99" t="s">
        <v>11</v>
      </c>
      <c r="T457" s="107" t="s">
        <v>4</v>
      </c>
      <c r="U457" s="99" t="s">
        <v>14</v>
      </c>
      <c r="V457" s="99" t="s">
        <v>1965</v>
      </c>
      <c r="W457" s="99" t="s">
        <v>1973</v>
      </c>
    </row>
    <row r="458" spans="1:23" ht="18.600000000000001" customHeight="1">
      <c r="A458" s="123" t="str">
        <f>IF(priority(Main[[#This Row],[Comments]])&lt;&gt;0, priority(Main[[#This Row],[Comments]]),"")</f>
        <v/>
      </c>
      <c r="B458" s="127" t="s">
        <v>1337</v>
      </c>
      <c r="C458" s="99" t="s">
        <v>95</v>
      </c>
      <c r="D458" s="100" t="s">
        <v>380</v>
      </c>
      <c r="E458" s="101"/>
      <c r="F458" s="101">
        <v>40195</v>
      </c>
      <c r="G458" s="102" t="str">
        <f>IF(stdProdLT(Main[[#This Row],[Comments]])=0.1,"N/A",IF(stdProdLT(Main[[#This Row],[Comments]])=0,"",stdProdLT(Main[[#This Row],[Comments]])))</f>
        <v/>
      </c>
      <c r="H458" s="103" t="str">
        <f>IF(AND(Main[[#This Row],[In Stock Date]]&lt;&gt;"",Main[[#This Row],[Revised Due Date]]&lt;&gt;""),Main[[#This Row],[In Stock Date]]-Main[[#This Row],[Revised Due Date]],"")</f>
        <v/>
      </c>
      <c r="I458" s="99" t="s">
        <v>4</v>
      </c>
      <c r="J458" s="99" t="s">
        <v>4</v>
      </c>
      <c r="K458" s="108" t="s">
        <v>4</v>
      </c>
      <c r="L458" s="101"/>
      <c r="M458" s="104" t="str">
        <f>IF(Main[[#This Row],[Tech Start Date]]&lt;1/1/1990,"",IF(Main[[#This Row],[Class]]="C",WORKDAY(Main[[#This Row],[Tech Start Date]],9),IF(Main[[#This Row],[Class]]="B", WORKDAY(Main[[#This Row],[Tech Start Date]],6),IF(Main[[#This Row],[Class]]="A",WORKDAY(Main[[#This Row],[Tech Start Date]],2),""))))</f>
        <v/>
      </c>
      <c r="N458" s="104" t="str">
        <f>IF(Main[[#This Row],[Tech Start Date]]&lt;1/1/1990,"",IF(Main[[#This Row],[Class]]="C",WORKDAY(Main[[#This Row],[Tech Start Date]],19),IF(Main[[#This Row],[Class]]="B", WORKDAY(Main[[#This Row],[Tech Start Date]],12),IF(Main[[#This Row],[Class]]="A",WORKDAY(Main[[#This Row],[Tech Start Date]],4),""))))</f>
        <v/>
      </c>
      <c r="O458" s="104" t="str">
        <f>IF(Main[[#This Row],[Tech Start Date]]&lt;1/1/1990,"",IF(Main[[#This Row],[Class]]="C",WORKDAY(Main[[#This Row],[Tech Start Date]],23),IF(Main[[#This Row],[Class]]="B", WORKDAY(Main[[#This Row],[Tech Start Date]],15),IF(Main[[#This Row],[Class]]="A",WORKDAY(Main[[#This Row],[Tech Start Date]],5),""))))</f>
        <v/>
      </c>
      <c r="P458" s="104" t="str">
        <f>IF(Main[[#This Row],[Tech Start Date]]&lt;1/1/1990,"",IF(Main[[#This Row],[Class]]="C",WORKDAY(Main[[#This Row],[Tech Start Date]],28),IF(Main[[#This Row],[Class]]="B", WORKDAY(Main[[#This Row],[Tech Start Date]],19),IF(Main[[#This Row],[Class]]="A",WORKDAY(Main[[#This Row],[Tech Start Date]],9),""))))</f>
        <v/>
      </c>
      <c r="Q458" s="101">
        <v>40070</v>
      </c>
      <c r="R458" s="101"/>
      <c r="S458" s="99" t="s">
        <v>11</v>
      </c>
      <c r="T458" s="107" t="s">
        <v>4</v>
      </c>
      <c r="U458" s="99" t="s">
        <v>14</v>
      </c>
      <c r="V458" s="99" t="s">
        <v>1965</v>
      </c>
      <c r="W458" s="99" t="s">
        <v>1968</v>
      </c>
    </row>
    <row r="459" spans="1:23" ht="18.600000000000001" customHeight="1">
      <c r="A459" s="123" t="str">
        <f>IF(priority(Main[[#This Row],[Comments]])&lt;&gt;0, priority(Main[[#This Row],[Comments]]),"")</f>
        <v/>
      </c>
      <c r="B459" s="127" t="s">
        <v>1868</v>
      </c>
      <c r="C459" s="99" t="s">
        <v>4</v>
      </c>
      <c r="D459" s="100" t="s">
        <v>894</v>
      </c>
      <c r="E459" s="101">
        <v>40122.528101851851</v>
      </c>
      <c r="F459" s="101"/>
      <c r="G459" s="102" t="str">
        <f>IF(stdProdLT(Main[[#This Row],[Comments]])=0.1,"N/A",IF(stdProdLT(Main[[#This Row],[Comments]])=0,"",stdProdLT(Main[[#This Row],[Comments]])))</f>
        <v/>
      </c>
      <c r="H459" s="103" t="str">
        <f>IF(AND(Main[[#This Row],[In Stock Date]]&lt;&gt;"",Main[[#This Row],[Revised Due Date]]&lt;&gt;""),Main[[#This Row],[In Stock Date]]-Main[[#This Row],[Revised Due Date]],"")</f>
        <v/>
      </c>
      <c r="I459" s="99" t="s">
        <v>4</v>
      </c>
      <c r="J459" s="99" t="s">
        <v>4</v>
      </c>
      <c r="K459" s="108" t="s">
        <v>4</v>
      </c>
      <c r="L459" s="101"/>
      <c r="M459" s="104" t="str">
        <f>IF(Main[[#This Row],[Tech Start Date]]&lt;1/1/1990,"",IF(Main[[#This Row],[Class]]="C",WORKDAY(Main[[#This Row],[Tech Start Date]],9),IF(Main[[#This Row],[Class]]="B", WORKDAY(Main[[#This Row],[Tech Start Date]],6),IF(Main[[#This Row],[Class]]="A",WORKDAY(Main[[#This Row],[Tech Start Date]],2),""))))</f>
        <v/>
      </c>
      <c r="N459" s="104" t="str">
        <f>IF(Main[[#This Row],[Tech Start Date]]&lt;1/1/1990,"",IF(Main[[#This Row],[Class]]="C",WORKDAY(Main[[#This Row],[Tech Start Date]],19),IF(Main[[#This Row],[Class]]="B", WORKDAY(Main[[#This Row],[Tech Start Date]],12),IF(Main[[#This Row],[Class]]="A",WORKDAY(Main[[#This Row],[Tech Start Date]],4),""))))</f>
        <v/>
      </c>
      <c r="O459" s="104" t="str">
        <f>IF(Main[[#This Row],[Tech Start Date]]&lt;1/1/1990,"",IF(Main[[#This Row],[Class]]="C",WORKDAY(Main[[#This Row],[Tech Start Date]],23),IF(Main[[#This Row],[Class]]="B", WORKDAY(Main[[#This Row],[Tech Start Date]],15),IF(Main[[#This Row],[Class]]="A",WORKDAY(Main[[#This Row],[Tech Start Date]],5),""))))</f>
        <v/>
      </c>
      <c r="P459" s="104" t="str">
        <f>IF(Main[[#This Row],[Tech Start Date]]&lt;1/1/1990,"",IF(Main[[#This Row],[Class]]="C",WORKDAY(Main[[#This Row],[Tech Start Date]],28),IF(Main[[#This Row],[Class]]="B", WORKDAY(Main[[#This Row],[Tech Start Date]],19),IF(Main[[#This Row],[Class]]="A",WORKDAY(Main[[#This Row],[Tech Start Date]],9),""))))</f>
        <v/>
      </c>
      <c r="Q459" s="101"/>
      <c r="R459" s="101">
        <v>40368</v>
      </c>
      <c r="S459" s="99" t="s">
        <v>17</v>
      </c>
      <c r="T459" s="107" t="s">
        <v>4</v>
      </c>
      <c r="U459" s="99" t="s">
        <v>29</v>
      </c>
      <c r="V459" s="99" t="s">
        <v>1963</v>
      </c>
      <c r="W459" s="99" t="s">
        <v>1967</v>
      </c>
    </row>
    <row r="460" spans="1:23" ht="18.600000000000001" customHeight="1">
      <c r="A460" s="123" t="str">
        <f>IF(priority(Main[[#This Row],[Comments]])&lt;&gt;0, priority(Main[[#This Row],[Comments]]),"")</f>
        <v/>
      </c>
      <c r="B460" s="127" t="s">
        <v>1895</v>
      </c>
      <c r="C460" s="99" t="s">
        <v>67</v>
      </c>
      <c r="D460" s="100" t="s">
        <v>925</v>
      </c>
      <c r="E460" s="101">
        <v>39981.49927083333</v>
      </c>
      <c r="F460" s="101"/>
      <c r="G460" s="102" t="str">
        <f>IF(stdProdLT(Main[[#This Row],[Comments]])=0.1,"N/A",IF(stdProdLT(Main[[#This Row],[Comments]])=0,"",stdProdLT(Main[[#This Row],[Comments]])))</f>
        <v/>
      </c>
      <c r="H460" s="103" t="str">
        <f>IF(AND(Main[[#This Row],[In Stock Date]]&lt;&gt;"",Main[[#This Row],[Revised Due Date]]&lt;&gt;""),Main[[#This Row],[In Stock Date]]-Main[[#This Row],[Revised Due Date]],"")</f>
        <v/>
      </c>
      <c r="I460" s="99" t="s">
        <v>997</v>
      </c>
      <c r="J460" s="99" t="s">
        <v>4</v>
      </c>
      <c r="K460" s="99" t="s">
        <v>1974</v>
      </c>
      <c r="L460" s="101"/>
      <c r="M460" s="104" t="str">
        <f>IF(Main[[#This Row],[Tech Start Date]]&lt;1/1/1990,"",IF(Main[[#This Row],[Class]]="C",WORKDAY(Main[[#This Row],[Tech Start Date]],9),IF(Main[[#This Row],[Class]]="B", WORKDAY(Main[[#This Row],[Tech Start Date]],6),IF(Main[[#This Row],[Class]]="A",WORKDAY(Main[[#This Row],[Tech Start Date]],2),""))))</f>
        <v/>
      </c>
      <c r="N460" s="104" t="str">
        <f>IF(Main[[#This Row],[Tech Start Date]]&lt;1/1/1990,"",IF(Main[[#This Row],[Class]]="C",WORKDAY(Main[[#This Row],[Tech Start Date]],19),IF(Main[[#This Row],[Class]]="B", WORKDAY(Main[[#This Row],[Tech Start Date]],12),IF(Main[[#This Row],[Class]]="A",WORKDAY(Main[[#This Row],[Tech Start Date]],4),""))))</f>
        <v/>
      </c>
      <c r="O460" s="104" t="str">
        <f>IF(Main[[#This Row],[Tech Start Date]]&lt;1/1/1990,"",IF(Main[[#This Row],[Class]]="C",WORKDAY(Main[[#This Row],[Tech Start Date]],23),IF(Main[[#This Row],[Class]]="B", WORKDAY(Main[[#This Row],[Tech Start Date]],15),IF(Main[[#This Row],[Class]]="A",WORKDAY(Main[[#This Row],[Tech Start Date]],5),""))))</f>
        <v/>
      </c>
      <c r="P460" s="104" t="str">
        <f>IF(Main[[#This Row],[Tech Start Date]]&lt;1/1/1990,"",IF(Main[[#This Row],[Class]]="C",WORKDAY(Main[[#This Row],[Tech Start Date]],28),IF(Main[[#This Row],[Class]]="B", WORKDAY(Main[[#This Row],[Tech Start Date]],19),IF(Main[[#This Row],[Class]]="A",WORKDAY(Main[[#This Row],[Tech Start Date]],9),""))))</f>
        <v/>
      </c>
      <c r="Q460" s="101">
        <v>40057</v>
      </c>
      <c r="R460" s="101">
        <v>40908</v>
      </c>
      <c r="S460" s="99" t="s">
        <v>17</v>
      </c>
      <c r="T460" s="107" t="s">
        <v>4</v>
      </c>
      <c r="U460" s="99" t="s">
        <v>29</v>
      </c>
      <c r="V460" s="99" t="s">
        <v>1965</v>
      </c>
      <c r="W460" s="99" t="s">
        <v>1967</v>
      </c>
    </row>
    <row r="461" spans="1:23" ht="18.600000000000001" customHeight="1">
      <c r="A461" s="123" t="str">
        <f>IF(priority(Main[[#This Row],[Comments]])&lt;&gt;0, priority(Main[[#This Row],[Comments]]),"")</f>
        <v/>
      </c>
      <c r="B461" s="127" t="s">
        <v>2140</v>
      </c>
      <c r="C461" s="99" t="s">
        <v>974</v>
      </c>
      <c r="D461" s="100" t="s">
        <v>2141</v>
      </c>
      <c r="E461" s="101"/>
      <c r="F461" s="101">
        <v>40871</v>
      </c>
      <c r="G461" s="102" t="str">
        <f>IF(stdProdLT(Main[[#This Row],[Comments]])=0.1,"N/A",IF(stdProdLT(Main[[#This Row],[Comments]])=0,"",stdProdLT(Main[[#This Row],[Comments]])))</f>
        <v/>
      </c>
      <c r="H461" s="103" t="str">
        <f>IF(AND(Main[[#This Row],[In Stock Date]]&lt;&gt;"",Main[[#This Row],[Revised Due Date]]&lt;&gt;""),Main[[#This Row],[In Stock Date]]-Main[[#This Row],[Revised Due Date]],"")</f>
        <v/>
      </c>
      <c r="I461" s="99" t="s">
        <v>4</v>
      </c>
      <c r="J461" s="99" t="s">
        <v>4</v>
      </c>
      <c r="K461" s="99" t="s">
        <v>4</v>
      </c>
      <c r="L461" s="101"/>
      <c r="M461" s="104" t="str">
        <f>IF(Main[[#This Row],[Tech Start Date]]&lt;1/1/1990,"",IF(Main[[#This Row],[Class]]="C",WORKDAY(Main[[#This Row],[Tech Start Date]],9),IF(Main[[#This Row],[Class]]="B", WORKDAY(Main[[#This Row],[Tech Start Date]],6),IF(Main[[#This Row],[Class]]="A",WORKDAY(Main[[#This Row],[Tech Start Date]],2),""))))</f>
        <v/>
      </c>
      <c r="N461" s="104" t="str">
        <f>IF(Main[[#This Row],[Tech Start Date]]&lt;1/1/1990,"",IF(Main[[#This Row],[Class]]="C",WORKDAY(Main[[#This Row],[Tech Start Date]],19),IF(Main[[#This Row],[Class]]="B", WORKDAY(Main[[#This Row],[Tech Start Date]],12),IF(Main[[#This Row],[Class]]="A",WORKDAY(Main[[#This Row],[Tech Start Date]],4),""))))</f>
        <v/>
      </c>
      <c r="O461" s="104" t="str">
        <f>IF(Main[[#This Row],[Tech Start Date]]&lt;1/1/1990,"",IF(Main[[#This Row],[Class]]="C",WORKDAY(Main[[#This Row],[Tech Start Date]],23),IF(Main[[#This Row],[Class]]="B", WORKDAY(Main[[#This Row],[Tech Start Date]],15),IF(Main[[#This Row],[Class]]="A",WORKDAY(Main[[#This Row],[Tech Start Date]],5),""))))</f>
        <v/>
      </c>
      <c r="P461" s="104" t="str">
        <f>IF(Main[[#This Row],[Tech Start Date]]&lt;1/1/1990,"",IF(Main[[#This Row],[Class]]="C",WORKDAY(Main[[#This Row],[Tech Start Date]],28),IF(Main[[#This Row],[Class]]="B", WORKDAY(Main[[#This Row],[Tech Start Date]],19),IF(Main[[#This Row],[Class]]="A",WORKDAY(Main[[#This Row],[Tech Start Date]],9),""))))</f>
        <v/>
      </c>
      <c r="Q461" s="101"/>
      <c r="R461" s="101"/>
      <c r="S461" s="99" t="s">
        <v>11</v>
      </c>
      <c r="T461" s="107" t="s">
        <v>4</v>
      </c>
      <c r="U461" s="99" t="s">
        <v>14</v>
      </c>
      <c r="V461" s="99" t="s">
        <v>1965</v>
      </c>
      <c r="W461" s="99" t="s">
        <v>1970</v>
      </c>
    </row>
    <row r="462" spans="1:23" ht="18.600000000000001" customHeight="1">
      <c r="A462" s="123" t="str">
        <f>IF(priority(Main[[#This Row],[Comments]])&lt;&gt;0, priority(Main[[#This Row],[Comments]]),"")</f>
        <v/>
      </c>
      <c r="B462" s="127" t="s">
        <v>1338</v>
      </c>
      <c r="C462" s="99" t="s">
        <v>381</v>
      </c>
      <c r="D462" s="100" t="s">
        <v>382</v>
      </c>
      <c r="E462" s="101">
        <v>39952.325474537036</v>
      </c>
      <c r="F462" s="101"/>
      <c r="G462" s="102" t="str">
        <f>IF(stdProdLT(Main[[#This Row],[Comments]])=0.1,"N/A",IF(stdProdLT(Main[[#This Row],[Comments]])=0,"",stdProdLT(Main[[#This Row],[Comments]])))</f>
        <v/>
      </c>
      <c r="H462" s="103" t="str">
        <f>IF(AND(Main[[#This Row],[In Stock Date]]&lt;&gt;"",Main[[#This Row],[Revised Due Date]]&lt;&gt;""),Main[[#This Row],[In Stock Date]]-Main[[#This Row],[Revised Due Date]],"")</f>
        <v/>
      </c>
      <c r="I462" s="99" t="s">
        <v>4</v>
      </c>
      <c r="J462" s="99" t="s">
        <v>4</v>
      </c>
      <c r="K462" s="99" t="s">
        <v>4</v>
      </c>
      <c r="L462" s="101"/>
      <c r="M462" s="104" t="str">
        <f>IF(Main[[#This Row],[Tech Start Date]]&lt;1/1/1990,"",IF(Main[[#This Row],[Class]]="C",WORKDAY(Main[[#This Row],[Tech Start Date]],9),IF(Main[[#This Row],[Class]]="B", WORKDAY(Main[[#This Row],[Tech Start Date]],6),IF(Main[[#This Row],[Class]]="A",WORKDAY(Main[[#This Row],[Tech Start Date]],2),""))))</f>
        <v/>
      </c>
      <c r="N462" s="104" t="str">
        <f>IF(Main[[#This Row],[Tech Start Date]]&lt;1/1/1990,"",IF(Main[[#This Row],[Class]]="C",WORKDAY(Main[[#This Row],[Tech Start Date]],19),IF(Main[[#This Row],[Class]]="B", WORKDAY(Main[[#This Row],[Tech Start Date]],12),IF(Main[[#This Row],[Class]]="A",WORKDAY(Main[[#This Row],[Tech Start Date]],4),""))))</f>
        <v/>
      </c>
      <c r="O462" s="104" t="str">
        <f>IF(Main[[#This Row],[Tech Start Date]]&lt;1/1/1990,"",IF(Main[[#This Row],[Class]]="C",WORKDAY(Main[[#This Row],[Tech Start Date]],23),IF(Main[[#This Row],[Class]]="B", WORKDAY(Main[[#This Row],[Tech Start Date]],15),IF(Main[[#This Row],[Class]]="A",WORKDAY(Main[[#This Row],[Tech Start Date]],5),""))))</f>
        <v/>
      </c>
      <c r="P462" s="104" t="str">
        <f>IF(Main[[#This Row],[Tech Start Date]]&lt;1/1/1990,"",IF(Main[[#This Row],[Class]]="C",WORKDAY(Main[[#This Row],[Tech Start Date]],28),IF(Main[[#This Row],[Class]]="B", WORKDAY(Main[[#This Row],[Tech Start Date]],19),IF(Main[[#This Row],[Class]]="A",WORKDAY(Main[[#This Row],[Tech Start Date]],9),""))))</f>
        <v/>
      </c>
      <c r="Q462" s="101"/>
      <c r="R462" s="101"/>
      <c r="S462" s="99" t="s">
        <v>17</v>
      </c>
      <c r="T462" s="107" t="s">
        <v>4</v>
      </c>
      <c r="U462" s="99" t="s">
        <v>7</v>
      </c>
      <c r="V462" s="99" t="s">
        <v>1965</v>
      </c>
      <c r="W462" s="99" t="s">
        <v>4</v>
      </c>
    </row>
    <row r="463" spans="1:23" ht="18.600000000000001" customHeight="1">
      <c r="A463" s="123" t="str">
        <f>IF(priority(Main[[#This Row],[Comments]])&lt;&gt;0, priority(Main[[#This Row],[Comments]]),"")</f>
        <v/>
      </c>
      <c r="B463" s="127" t="s">
        <v>1339</v>
      </c>
      <c r="C463" s="99" t="s">
        <v>383</v>
      </c>
      <c r="D463" s="100" t="s">
        <v>384</v>
      </c>
      <c r="E463" s="101"/>
      <c r="F463" s="101">
        <v>40228</v>
      </c>
      <c r="G463" s="102" t="str">
        <f>IF(stdProdLT(Main[[#This Row],[Comments]])=0.1,"N/A",IF(stdProdLT(Main[[#This Row],[Comments]])=0,"",stdProdLT(Main[[#This Row],[Comments]])))</f>
        <v/>
      </c>
      <c r="H463" s="103" t="str">
        <f>IF(AND(Main[[#This Row],[In Stock Date]]&lt;&gt;"",Main[[#This Row],[Revised Due Date]]&lt;&gt;""),Main[[#This Row],[In Stock Date]]-Main[[#This Row],[Revised Due Date]],"")</f>
        <v/>
      </c>
      <c r="I463" s="99" t="s">
        <v>4</v>
      </c>
      <c r="J463" s="99" t="s">
        <v>4</v>
      </c>
      <c r="K463" s="99" t="s">
        <v>4</v>
      </c>
      <c r="L463" s="101"/>
      <c r="M463" s="104" t="str">
        <f>IF(Main[[#This Row],[Tech Start Date]]&lt;1/1/1990,"",IF(Main[[#This Row],[Class]]="C",WORKDAY(Main[[#This Row],[Tech Start Date]],9),IF(Main[[#This Row],[Class]]="B", WORKDAY(Main[[#This Row],[Tech Start Date]],6),IF(Main[[#This Row],[Class]]="A",WORKDAY(Main[[#This Row],[Tech Start Date]],2),""))))</f>
        <v/>
      </c>
      <c r="N463" s="104" t="str">
        <f>IF(Main[[#This Row],[Tech Start Date]]&lt;1/1/1990,"",IF(Main[[#This Row],[Class]]="C",WORKDAY(Main[[#This Row],[Tech Start Date]],19),IF(Main[[#This Row],[Class]]="B", WORKDAY(Main[[#This Row],[Tech Start Date]],12),IF(Main[[#This Row],[Class]]="A",WORKDAY(Main[[#This Row],[Tech Start Date]],4),""))))</f>
        <v/>
      </c>
      <c r="O463" s="104" t="str">
        <f>IF(Main[[#This Row],[Tech Start Date]]&lt;1/1/1990,"",IF(Main[[#This Row],[Class]]="C",WORKDAY(Main[[#This Row],[Tech Start Date]],23),IF(Main[[#This Row],[Class]]="B", WORKDAY(Main[[#This Row],[Tech Start Date]],15),IF(Main[[#This Row],[Class]]="A",WORKDAY(Main[[#This Row],[Tech Start Date]],5),""))))</f>
        <v/>
      </c>
      <c r="P463" s="104" t="str">
        <f>IF(Main[[#This Row],[Tech Start Date]]&lt;1/1/1990,"",IF(Main[[#This Row],[Class]]="C",WORKDAY(Main[[#This Row],[Tech Start Date]],28),IF(Main[[#This Row],[Class]]="B", WORKDAY(Main[[#This Row],[Tech Start Date]],19),IF(Main[[#This Row],[Class]]="A",WORKDAY(Main[[#This Row],[Tech Start Date]],9),""))))</f>
        <v/>
      </c>
      <c r="Q463" s="101">
        <v>40153</v>
      </c>
      <c r="R463" s="101"/>
      <c r="S463" s="99" t="s">
        <v>11</v>
      </c>
      <c r="T463" s="107" t="s">
        <v>4</v>
      </c>
      <c r="U463" s="99" t="s">
        <v>14</v>
      </c>
      <c r="V463" s="99" t="s">
        <v>1965</v>
      </c>
      <c r="W463" s="99" t="s">
        <v>1970</v>
      </c>
    </row>
    <row r="464" spans="1:23" ht="18.600000000000001" customHeight="1">
      <c r="A464" s="123" t="str">
        <f>IF(priority(Main[[#This Row],[Comments]])&lt;&gt;0, priority(Main[[#This Row],[Comments]]),"")</f>
        <v/>
      </c>
      <c r="B464" s="127" t="s">
        <v>1341</v>
      </c>
      <c r="C464" s="99" t="s">
        <v>385</v>
      </c>
      <c r="D464" s="100" t="s">
        <v>386</v>
      </c>
      <c r="E464" s="101"/>
      <c r="F464" s="101"/>
      <c r="G464" s="102" t="str">
        <f>IF(stdProdLT(Main[[#This Row],[Comments]])=0.1,"N/A",IF(stdProdLT(Main[[#This Row],[Comments]])=0,"",stdProdLT(Main[[#This Row],[Comments]])))</f>
        <v/>
      </c>
      <c r="H464" s="103" t="str">
        <f>IF(AND(Main[[#This Row],[In Stock Date]]&lt;&gt;"",Main[[#This Row],[Revised Due Date]]&lt;&gt;""),Main[[#This Row],[In Stock Date]]-Main[[#This Row],[Revised Due Date]],"")</f>
        <v/>
      </c>
      <c r="I464" s="99" t="s">
        <v>4</v>
      </c>
      <c r="J464" s="99" t="s">
        <v>4</v>
      </c>
      <c r="K464" s="99" t="s">
        <v>4</v>
      </c>
      <c r="L464" s="101"/>
      <c r="M464" s="104" t="str">
        <f>IF(Main[[#This Row],[Tech Start Date]]&lt;1/1/1990,"",IF(Main[[#This Row],[Class]]="C",WORKDAY(Main[[#This Row],[Tech Start Date]],9),IF(Main[[#This Row],[Class]]="B", WORKDAY(Main[[#This Row],[Tech Start Date]],6),IF(Main[[#This Row],[Class]]="A",WORKDAY(Main[[#This Row],[Tech Start Date]],2),""))))</f>
        <v/>
      </c>
      <c r="N464" s="104" t="str">
        <f>IF(Main[[#This Row],[Tech Start Date]]&lt;1/1/1990,"",IF(Main[[#This Row],[Class]]="C",WORKDAY(Main[[#This Row],[Tech Start Date]],19),IF(Main[[#This Row],[Class]]="B", WORKDAY(Main[[#This Row],[Tech Start Date]],12),IF(Main[[#This Row],[Class]]="A",WORKDAY(Main[[#This Row],[Tech Start Date]],4),""))))</f>
        <v/>
      </c>
      <c r="O464" s="104" t="str">
        <f>IF(Main[[#This Row],[Tech Start Date]]&lt;1/1/1990,"",IF(Main[[#This Row],[Class]]="C",WORKDAY(Main[[#This Row],[Tech Start Date]],23),IF(Main[[#This Row],[Class]]="B", WORKDAY(Main[[#This Row],[Tech Start Date]],15),IF(Main[[#This Row],[Class]]="A",WORKDAY(Main[[#This Row],[Tech Start Date]],5),""))))</f>
        <v/>
      </c>
      <c r="P464" s="104" t="str">
        <f>IF(Main[[#This Row],[Tech Start Date]]&lt;1/1/1990,"",IF(Main[[#This Row],[Class]]="C",WORKDAY(Main[[#This Row],[Tech Start Date]],28),IF(Main[[#This Row],[Class]]="B", WORKDAY(Main[[#This Row],[Tech Start Date]],19),IF(Main[[#This Row],[Class]]="A",WORKDAY(Main[[#This Row],[Tech Start Date]],9),""))))</f>
        <v/>
      </c>
      <c r="Q464" s="101"/>
      <c r="R464" s="101"/>
      <c r="S464" s="99" t="s">
        <v>11</v>
      </c>
      <c r="T464" s="107" t="s">
        <v>4</v>
      </c>
      <c r="U464" s="99" t="s">
        <v>14</v>
      </c>
      <c r="V464" s="99" t="s">
        <v>1963</v>
      </c>
      <c r="W464" s="99" t="s">
        <v>1970</v>
      </c>
    </row>
    <row r="465" spans="1:23" ht="18.600000000000001" customHeight="1">
      <c r="A465" s="123" t="str">
        <f>IF(priority(Main[[#This Row],[Comments]])&lt;&gt;0, priority(Main[[#This Row],[Comments]]),"")</f>
        <v/>
      </c>
      <c r="B465" s="127" t="s">
        <v>1342</v>
      </c>
      <c r="C465" s="99" t="s">
        <v>387</v>
      </c>
      <c r="D465" s="100" t="s">
        <v>388</v>
      </c>
      <c r="E465" s="101"/>
      <c r="F465" s="101"/>
      <c r="G465" s="102" t="str">
        <f>IF(stdProdLT(Main[[#This Row],[Comments]])=0.1,"N/A",IF(stdProdLT(Main[[#This Row],[Comments]])=0,"",stdProdLT(Main[[#This Row],[Comments]])))</f>
        <v/>
      </c>
      <c r="H465" s="103" t="str">
        <f>IF(AND(Main[[#This Row],[In Stock Date]]&lt;&gt;"",Main[[#This Row],[Revised Due Date]]&lt;&gt;""),Main[[#This Row],[In Stock Date]]-Main[[#This Row],[Revised Due Date]],"")</f>
        <v/>
      </c>
      <c r="I465" s="99" t="s">
        <v>4</v>
      </c>
      <c r="J465" s="99" t="s">
        <v>4</v>
      </c>
      <c r="K465" s="99" t="s">
        <v>4</v>
      </c>
      <c r="L465" s="101"/>
      <c r="M465" s="104" t="str">
        <f>IF(Main[[#This Row],[Tech Start Date]]&lt;1/1/1990,"",IF(Main[[#This Row],[Class]]="C",WORKDAY(Main[[#This Row],[Tech Start Date]],9),IF(Main[[#This Row],[Class]]="B", WORKDAY(Main[[#This Row],[Tech Start Date]],6),IF(Main[[#This Row],[Class]]="A",WORKDAY(Main[[#This Row],[Tech Start Date]],2),""))))</f>
        <v/>
      </c>
      <c r="N465" s="104" t="str">
        <f>IF(Main[[#This Row],[Tech Start Date]]&lt;1/1/1990,"",IF(Main[[#This Row],[Class]]="C",WORKDAY(Main[[#This Row],[Tech Start Date]],19),IF(Main[[#This Row],[Class]]="B", WORKDAY(Main[[#This Row],[Tech Start Date]],12),IF(Main[[#This Row],[Class]]="A",WORKDAY(Main[[#This Row],[Tech Start Date]],4),""))))</f>
        <v/>
      </c>
      <c r="O465" s="104" t="str">
        <f>IF(Main[[#This Row],[Tech Start Date]]&lt;1/1/1990,"",IF(Main[[#This Row],[Class]]="C",WORKDAY(Main[[#This Row],[Tech Start Date]],23),IF(Main[[#This Row],[Class]]="B", WORKDAY(Main[[#This Row],[Tech Start Date]],15),IF(Main[[#This Row],[Class]]="A",WORKDAY(Main[[#This Row],[Tech Start Date]],5),""))))</f>
        <v/>
      </c>
      <c r="P465" s="104" t="str">
        <f>IF(Main[[#This Row],[Tech Start Date]]&lt;1/1/1990,"",IF(Main[[#This Row],[Class]]="C",WORKDAY(Main[[#This Row],[Tech Start Date]],28),IF(Main[[#This Row],[Class]]="B", WORKDAY(Main[[#This Row],[Tech Start Date]],19),IF(Main[[#This Row],[Class]]="A",WORKDAY(Main[[#This Row],[Tech Start Date]],9),""))))</f>
        <v/>
      </c>
      <c r="Q465" s="101"/>
      <c r="R465" s="101"/>
      <c r="S465" s="99" t="s">
        <v>11</v>
      </c>
      <c r="T465" s="107" t="s">
        <v>4</v>
      </c>
      <c r="U465" s="99" t="s">
        <v>14</v>
      </c>
      <c r="V465" s="99" t="s">
        <v>1963</v>
      </c>
      <c r="W465" s="99" t="s">
        <v>1970</v>
      </c>
    </row>
    <row r="466" spans="1:23" ht="18.600000000000001" customHeight="1">
      <c r="A466" s="123" t="str">
        <f>IF(priority(Main[[#This Row],[Comments]])&lt;&gt;0, priority(Main[[#This Row],[Comments]]),"")</f>
        <v/>
      </c>
      <c r="B466" s="127" t="s">
        <v>1953</v>
      </c>
      <c r="C466" s="99" t="s">
        <v>31</v>
      </c>
      <c r="D466" s="100" t="s">
        <v>978</v>
      </c>
      <c r="E466" s="101">
        <v>40528.412233796298</v>
      </c>
      <c r="F466" s="101">
        <v>40634</v>
      </c>
      <c r="G466" s="102" t="str">
        <f>IF(stdProdLT(Main[[#This Row],[Comments]])=0.1,"N/A",IF(stdProdLT(Main[[#This Row],[Comments]])=0,"",stdProdLT(Main[[#This Row],[Comments]])))</f>
        <v/>
      </c>
      <c r="H466" s="103">
        <f>IF(AND(Main[[#This Row],[In Stock Date]]&lt;&gt;"",Main[[#This Row],[Revised Due Date]]&lt;&gt;""),Main[[#This Row],[In Stock Date]]-Main[[#This Row],[Revised Due Date]],"")</f>
        <v>-255</v>
      </c>
      <c r="I466" s="99" t="s">
        <v>437</v>
      </c>
      <c r="J466" s="99" t="s">
        <v>28</v>
      </c>
      <c r="K466" s="99" t="s">
        <v>1974</v>
      </c>
      <c r="L466" s="101"/>
      <c r="M466" s="104" t="str">
        <f>IF(Main[[#This Row],[Tech Start Date]]&lt;1/1/1990,"",IF(Main[[#This Row],[Class]]="C",WORKDAY(Main[[#This Row],[Tech Start Date]],9),IF(Main[[#This Row],[Class]]="B", WORKDAY(Main[[#This Row],[Tech Start Date]],6),IF(Main[[#This Row],[Class]]="A",WORKDAY(Main[[#This Row],[Tech Start Date]],2),""))))</f>
        <v/>
      </c>
      <c r="N466" s="104" t="str">
        <f>IF(Main[[#This Row],[Tech Start Date]]&lt;1/1/1990,"",IF(Main[[#This Row],[Class]]="C",WORKDAY(Main[[#This Row],[Tech Start Date]],19),IF(Main[[#This Row],[Class]]="B", WORKDAY(Main[[#This Row],[Tech Start Date]],12),IF(Main[[#This Row],[Class]]="A",WORKDAY(Main[[#This Row],[Tech Start Date]],4),""))))</f>
        <v/>
      </c>
      <c r="O466" s="104" t="str">
        <f>IF(Main[[#This Row],[Tech Start Date]]&lt;1/1/1990,"",IF(Main[[#This Row],[Class]]="C",WORKDAY(Main[[#This Row],[Tech Start Date]],23),IF(Main[[#This Row],[Class]]="B", WORKDAY(Main[[#This Row],[Tech Start Date]],15),IF(Main[[#This Row],[Class]]="A",WORKDAY(Main[[#This Row],[Tech Start Date]],5),""))))</f>
        <v/>
      </c>
      <c r="P466" s="104" t="str">
        <f>IF(Main[[#This Row],[Tech Start Date]]&lt;1/1/1990,"",IF(Main[[#This Row],[Class]]="C",WORKDAY(Main[[#This Row],[Tech Start Date]],28),IF(Main[[#This Row],[Class]]="B", WORKDAY(Main[[#This Row],[Tech Start Date]],19),IF(Main[[#This Row],[Class]]="A",WORKDAY(Main[[#This Row],[Tech Start Date]],9),""))))</f>
        <v/>
      </c>
      <c r="Q466" s="101">
        <v>40634</v>
      </c>
      <c r="R466" s="101">
        <v>40889</v>
      </c>
      <c r="S466" s="99" t="s">
        <v>17</v>
      </c>
      <c r="T466" s="107" t="s">
        <v>4</v>
      </c>
      <c r="U466" s="99" t="s">
        <v>29</v>
      </c>
      <c r="V466" s="99" t="s">
        <v>1965</v>
      </c>
      <c r="W466" s="99" t="s">
        <v>1973</v>
      </c>
    </row>
    <row r="467" spans="1:23" ht="18.600000000000001" customHeight="1">
      <c r="A467" s="123" t="str">
        <f>IF(priority(Main[[#This Row],[Comments]])&lt;&gt;0, priority(Main[[#This Row],[Comments]]),"")</f>
        <v/>
      </c>
      <c r="B467" s="127" t="s">
        <v>1364</v>
      </c>
      <c r="C467" s="99" t="s">
        <v>93</v>
      </c>
      <c r="D467" s="100" t="s">
        <v>389</v>
      </c>
      <c r="E467" s="101"/>
      <c r="F467" s="101">
        <v>40299</v>
      </c>
      <c r="G467" s="102" t="str">
        <f>IF(stdProdLT(Main[[#This Row],[Comments]])=0.1,"N/A",IF(stdProdLT(Main[[#This Row],[Comments]])=0,"",stdProdLT(Main[[#This Row],[Comments]])))</f>
        <v/>
      </c>
      <c r="H467" s="103" t="str">
        <f>IF(AND(Main[[#This Row],[In Stock Date]]&lt;&gt;"",Main[[#This Row],[Revised Due Date]]&lt;&gt;""),Main[[#This Row],[In Stock Date]]-Main[[#This Row],[Revised Due Date]],"")</f>
        <v/>
      </c>
      <c r="I467" s="99" t="s">
        <v>4</v>
      </c>
      <c r="J467" s="99" t="s">
        <v>4</v>
      </c>
      <c r="K467" s="99" t="s">
        <v>4</v>
      </c>
      <c r="L467" s="101"/>
      <c r="M467" s="104" t="str">
        <f>IF(Main[[#This Row],[Tech Start Date]]&lt;1/1/1990,"",IF(Main[[#This Row],[Class]]="C",WORKDAY(Main[[#This Row],[Tech Start Date]],9),IF(Main[[#This Row],[Class]]="B", WORKDAY(Main[[#This Row],[Tech Start Date]],6),IF(Main[[#This Row],[Class]]="A",WORKDAY(Main[[#This Row],[Tech Start Date]],2),""))))</f>
        <v/>
      </c>
      <c r="N467" s="104" t="str">
        <f>IF(Main[[#This Row],[Tech Start Date]]&lt;1/1/1990,"",IF(Main[[#This Row],[Class]]="C",WORKDAY(Main[[#This Row],[Tech Start Date]],19),IF(Main[[#This Row],[Class]]="B", WORKDAY(Main[[#This Row],[Tech Start Date]],12),IF(Main[[#This Row],[Class]]="A",WORKDAY(Main[[#This Row],[Tech Start Date]],4),""))))</f>
        <v/>
      </c>
      <c r="O467" s="104" t="str">
        <f>IF(Main[[#This Row],[Tech Start Date]]&lt;1/1/1990,"",IF(Main[[#This Row],[Class]]="C",WORKDAY(Main[[#This Row],[Tech Start Date]],23),IF(Main[[#This Row],[Class]]="B", WORKDAY(Main[[#This Row],[Tech Start Date]],15),IF(Main[[#This Row],[Class]]="A",WORKDAY(Main[[#This Row],[Tech Start Date]],5),""))))</f>
        <v/>
      </c>
      <c r="P467" s="104" t="str">
        <f>IF(Main[[#This Row],[Tech Start Date]]&lt;1/1/1990,"",IF(Main[[#This Row],[Class]]="C",WORKDAY(Main[[#This Row],[Tech Start Date]],28),IF(Main[[#This Row],[Class]]="B", WORKDAY(Main[[#This Row],[Tech Start Date]],19),IF(Main[[#This Row],[Class]]="A",WORKDAY(Main[[#This Row],[Tech Start Date]],9),""))))</f>
        <v/>
      </c>
      <c r="Q467" s="101">
        <v>40209</v>
      </c>
      <c r="R467" s="101"/>
      <c r="S467" s="99" t="s">
        <v>11</v>
      </c>
      <c r="T467" s="107" t="s">
        <v>4</v>
      </c>
      <c r="U467" s="99" t="s">
        <v>14</v>
      </c>
      <c r="V467" s="99" t="s">
        <v>1962</v>
      </c>
      <c r="W467" s="99" t="s">
        <v>1973</v>
      </c>
    </row>
    <row r="468" spans="1:23" ht="18.600000000000001" customHeight="1">
      <c r="A468" s="123" t="str">
        <f>IF(priority(Main[[#This Row],[Comments]])&lt;&gt;0, priority(Main[[#This Row],[Comments]]),"")</f>
        <v/>
      </c>
      <c r="B468" s="127" t="s">
        <v>2144</v>
      </c>
      <c r="C468" s="99" t="s">
        <v>4</v>
      </c>
      <c r="D468" s="100" t="s">
        <v>2145</v>
      </c>
      <c r="E468" s="101">
        <v>40763.356041666666</v>
      </c>
      <c r="F468" s="101"/>
      <c r="G468" s="102" t="str">
        <f>IF(stdProdLT(Main[[#This Row],[Comments]])=0.1,"N/A",IF(stdProdLT(Main[[#This Row],[Comments]])=0,"",stdProdLT(Main[[#This Row],[Comments]])))</f>
        <v/>
      </c>
      <c r="H468" s="103" t="str">
        <f>IF(AND(Main[[#This Row],[In Stock Date]]&lt;&gt;"",Main[[#This Row],[Revised Due Date]]&lt;&gt;""),Main[[#This Row],[In Stock Date]]-Main[[#This Row],[Revised Due Date]],"")</f>
        <v/>
      </c>
      <c r="I468" s="99" t="s">
        <v>929</v>
      </c>
      <c r="J468" s="99" t="s">
        <v>52</v>
      </c>
      <c r="K468" s="99" t="s">
        <v>4</v>
      </c>
      <c r="L468" s="101"/>
      <c r="M468" s="104" t="str">
        <f>IF(Main[[#This Row],[Tech Start Date]]&lt;1/1/1990,"",IF(Main[[#This Row],[Class]]="C",WORKDAY(Main[[#This Row],[Tech Start Date]],9),IF(Main[[#This Row],[Class]]="B", WORKDAY(Main[[#This Row],[Tech Start Date]],6),IF(Main[[#This Row],[Class]]="A",WORKDAY(Main[[#This Row],[Tech Start Date]],2),""))))</f>
        <v/>
      </c>
      <c r="N468" s="104" t="str">
        <f>IF(Main[[#This Row],[Tech Start Date]]&lt;1/1/1990,"",IF(Main[[#This Row],[Class]]="C",WORKDAY(Main[[#This Row],[Tech Start Date]],19),IF(Main[[#This Row],[Class]]="B", WORKDAY(Main[[#This Row],[Tech Start Date]],12),IF(Main[[#This Row],[Class]]="A",WORKDAY(Main[[#This Row],[Tech Start Date]],4),""))))</f>
        <v/>
      </c>
      <c r="O468" s="104" t="str">
        <f>IF(Main[[#This Row],[Tech Start Date]]&lt;1/1/1990,"",IF(Main[[#This Row],[Class]]="C",WORKDAY(Main[[#This Row],[Tech Start Date]],23),IF(Main[[#This Row],[Class]]="B", WORKDAY(Main[[#This Row],[Tech Start Date]],15),IF(Main[[#This Row],[Class]]="A",WORKDAY(Main[[#This Row],[Tech Start Date]],5),""))))</f>
        <v/>
      </c>
      <c r="P468" s="104" t="str">
        <f>IF(Main[[#This Row],[Tech Start Date]]&lt;1/1/1990,"",IF(Main[[#This Row],[Class]]="C",WORKDAY(Main[[#This Row],[Tech Start Date]],28),IF(Main[[#This Row],[Class]]="B", WORKDAY(Main[[#This Row],[Tech Start Date]],19),IF(Main[[#This Row],[Class]]="A",WORKDAY(Main[[#This Row],[Tech Start Date]],9),""))))</f>
        <v/>
      </c>
      <c r="Q468" s="101">
        <v>40787</v>
      </c>
      <c r="R468" s="101"/>
      <c r="S468" s="99" t="s">
        <v>6</v>
      </c>
      <c r="T468" s="107" t="s">
        <v>4</v>
      </c>
      <c r="U468" s="99" t="s">
        <v>29</v>
      </c>
      <c r="V468" s="99" t="s">
        <v>1962</v>
      </c>
      <c r="W468" s="99" t="s">
        <v>4</v>
      </c>
    </row>
    <row r="469" spans="1:23" ht="18.600000000000001" customHeight="1">
      <c r="A469" s="123" t="str">
        <f>IF(priority(Main[[#This Row],[Comments]])&lt;&gt;0, priority(Main[[#This Row],[Comments]]),"")</f>
        <v/>
      </c>
      <c r="B469" s="127" t="s">
        <v>1702</v>
      </c>
      <c r="C469" s="99" t="s">
        <v>4</v>
      </c>
      <c r="D469" s="100" t="s">
        <v>737</v>
      </c>
      <c r="E469" s="101"/>
      <c r="F469" s="101"/>
      <c r="G469" s="102" t="str">
        <f>IF(stdProdLT(Main[[#This Row],[Comments]])=0.1,"N/A",IF(stdProdLT(Main[[#This Row],[Comments]])=0,"",stdProdLT(Main[[#This Row],[Comments]])))</f>
        <v/>
      </c>
      <c r="H469" s="103" t="str">
        <f>IF(AND(Main[[#This Row],[In Stock Date]]&lt;&gt;"",Main[[#This Row],[Revised Due Date]]&lt;&gt;""),Main[[#This Row],[In Stock Date]]-Main[[#This Row],[Revised Due Date]],"")</f>
        <v/>
      </c>
      <c r="I469" s="99" t="s">
        <v>911</v>
      </c>
      <c r="J469" s="99" t="s">
        <v>52</v>
      </c>
      <c r="K469" s="99" t="s">
        <v>1971</v>
      </c>
      <c r="L469" s="101"/>
      <c r="M469" s="104" t="str">
        <f>IF(Main[[#This Row],[Tech Start Date]]&lt;1/1/1990,"",IF(Main[[#This Row],[Class]]="C",WORKDAY(Main[[#This Row],[Tech Start Date]],9),IF(Main[[#This Row],[Class]]="B", WORKDAY(Main[[#This Row],[Tech Start Date]],6),IF(Main[[#This Row],[Class]]="A",WORKDAY(Main[[#This Row],[Tech Start Date]],2),""))))</f>
        <v/>
      </c>
      <c r="N469" s="104" t="str">
        <f>IF(Main[[#This Row],[Tech Start Date]]&lt;1/1/1990,"",IF(Main[[#This Row],[Class]]="C",WORKDAY(Main[[#This Row],[Tech Start Date]],19),IF(Main[[#This Row],[Class]]="B", WORKDAY(Main[[#This Row],[Tech Start Date]],12),IF(Main[[#This Row],[Class]]="A",WORKDAY(Main[[#This Row],[Tech Start Date]],4),""))))</f>
        <v/>
      </c>
      <c r="O469" s="104" t="str">
        <f>IF(Main[[#This Row],[Tech Start Date]]&lt;1/1/1990,"",IF(Main[[#This Row],[Class]]="C",WORKDAY(Main[[#This Row],[Tech Start Date]],23),IF(Main[[#This Row],[Class]]="B", WORKDAY(Main[[#This Row],[Tech Start Date]],15),IF(Main[[#This Row],[Class]]="A",WORKDAY(Main[[#This Row],[Tech Start Date]],5),""))))</f>
        <v/>
      </c>
      <c r="P469" s="104" t="str">
        <f>IF(Main[[#This Row],[Tech Start Date]]&lt;1/1/1990,"",IF(Main[[#This Row],[Class]]="C",WORKDAY(Main[[#This Row],[Tech Start Date]],28),IF(Main[[#This Row],[Class]]="B", WORKDAY(Main[[#This Row],[Tech Start Date]],19),IF(Main[[#This Row],[Class]]="A",WORKDAY(Main[[#This Row],[Tech Start Date]],9),""))))</f>
        <v/>
      </c>
      <c r="Q469" s="101">
        <v>40581</v>
      </c>
      <c r="R469" s="101"/>
      <c r="S469" s="99" t="s">
        <v>6</v>
      </c>
      <c r="T469" s="107" t="s">
        <v>4</v>
      </c>
      <c r="U469" s="99" t="s">
        <v>14</v>
      </c>
      <c r="V469" s="99" t="s">
        <v>1965</v>
      </c>
      <c r="W469" s="99" t="s">
        <v>1966</v>
      </c>
    </row>
    <row r="470" spans="1:23" ht="18.600000000000001" customHeight="1">
      <c r="A470" s="123" t="str">
        <f>IF(priority(Main[[#This Row],[Comments]])&lt;&gt;0, priority(Main[[#This Row],[Comments]]),"")</f>
        <v/>
      </c>
      <c r="B470" s="127" t="s">
        <v>1365</v>
      </c>
      <c r="C470" s="99" t="s">
        <v>31</v>
      </c>
      <c r="D470" s="100" t="s">
        <v>390</v>
      </c>
      <c r="E470" s="101"/>
      <c r="F470" s="101"/>
      <c r="G470" s="102" t="str">
        <f>IF(stdProdLT(Main[[#This Row],[Comments]])=0.1,"N/A",IF(stdProdLT(Main[[#This Row],[Comments]])=0,"",stdProdLT(Main[[#This Row],[Comments]])))</f>
        <v/>
      </c>
      <c r="H470" s="103" t="str">
        <f>IF(AND(Main[[#This Row],[In Stock Date]]&lt;&gt;"",Main[[#This Row],[Revised Due Date]]&lt;&gt;""),Main[[#This Row],[In Stock Date]]-Main[[#This Row],[Revised Due Date]],"")</f>
        <v/>
      </c>
      <c r="I470" s="99" t="s">
        <v>4</v>
      </c>
      <c r="J470" s="99" t="s">
        <v>4</v>
      </c>
      <c r="K470" s="99" t="s">
        <v>4</v>
      </c>
      <c r="L470" s="101"/>
      <c r="M470" s="104" t="str">
        <f>IF(Main[[#This Row],[Tech Start Date]]&lt;1/1/1990,"",IF(Main[[#This Row],[Class]]="C",WORKDAY(Main[[#This Row],[Tech Start Date]],9),IF(Main[[#This Row],[Class]]="B", WORKDAY(Main[[#This Row],[Tech Start Date]],6),IF(Main[[#This Row],[Class]]="A",WORKDAY(Main[[#This Row],[Tech Start Date]],2),""))))</f>
        <v/>
      </c>
      <c r="N470" s="104" t="str">
        <f>IF(Main[[#This Row],[Tech Start Date]]&lt;1/1/1990,"",IF(Main[[#This Row],[Class]]="C",WORKDAY(Main[[#This Row],[Tech Start Date]],19),IF(Main[[#This Row],[Class]]="B", WORKDAY(Main[[#This Row],[Tech Start Date]],12),IF(Main[[#This Row],[Class]]="A",WORKDAY(Main[[#This Row],[Tech Start Date]],4),""))))</f>
        <v/>
      </c>
      <c r="O470" s="104" t="str">
        <f>IF(Main[[#This Row],[Tech Start Date]]&lt;1/1/1990,"",IF(Main[[#This Row],[Class]]="C",WORKDAY(Main[[#This Row],[Tech Start Date]],23),IF(Main[[#This Row],[Class]]="B", WORKDAY(Main[[#This Row],[Tech Start Date]],15),IF(Main[[#This Row],[Class]]="A",WORKDAY(Main[[#This Row],[Tech Start Date]],5),""))))</f>
        <v/>
      </c>
      <c r="P470" s="104" t="str">
        <f>IF(Main[[#This Row],[Tech Start Date]]&lt;1/1/1990,"",IF(Main[[#This Row],[Class]]="C",WORKDAY(Main[[#This Row],[Tech Start Date]],28),IF(Main[[#This Row],[Class]]="B", WORKDAY(Main[[#This Row],[Tech Start Date]],19),IF(Main[[#This Row],[Class]]="A",WORKDAY(Main[[#This Row],[Tech Start Date]],9),""))))</f>
        <v/>
      </c>
      <c r="Q470" s="101">
        <v>40318</v>
      </c>
      <c r="R470" s="101"/>
      <c r="S470" s="99" t="s">
        <v>11</v>
      </c>
      <c r="T470" s="107" t="s">
        <v>4</v>
      </c>
      <c r="U470" s="99" t="s">
        <v>14</v>
      </c>
      <c r="V470" s="99" t="s">
        <v>1965</v>
      </c>
      <c r="W470" s="99" t="s">
        <v>1964</v>
      </c>
    </row>
    <row r="471" spans="1:23" ht="18.600000000000001" customHeight="1">
      <c r="A471" s="123" t="str">
        <f>IF(priority(Main[[#This Row],[Comments]])&lt;&gt;0, priority(Main[[#This Row],[Comments]]),"")</f>
        <v/>
      </c>
      <c r="B471" s="127" t="s">
        <v>1366</v>
      </c>
      <c r="C471" s="99" t="s">
        <v>31</v>
      </c>
      <c r="D471" s="100" t="s">
        <v>391</v>
      </c>
      <c r="E471" s="101"/>
      <c r="F471" s="101"/>
      <c r="G471" s="102" t="str">
        <f>IF(stdProdLT(Main[[#This Row],[Comments]])=0.1,"N/A",IF(stdProdLT(Main[[#This Row],[Comments]])=0,"",stdProdLT(Main[[#This Row],[Comments]])))</f>
        <v/>
      </c>
      <c r="H471" s="103" t="str">
        <f>IF(AND(Main[[#This Row],[In Stock Date]]&lt;&gt;"",Main[[#This Row],[Revised Due Date]]&lt;&gt;""),Main[[#This Row],[In Stock Date]]-Main[[#This Row],[Revised Due Date]],"")</f>
        <v/>
      </c>
      <c r="I471" s="99" t="s">
        <v>4</v>
      </c>
      <c r="J471" s="99" t="s">
        <v>4</v>
      </c>
      <c r="K471" s="108" t="s">
        <v>4</v>
      </c>
      <c r="L471" s="101"/>
      <c r="M471" s="104" t="str">
        <f>IF(Main[[#This Row],[Tech Start Date]]&lt;1/1/1990,"",IF(Main[[#This Row],[Class]]="C",WORKDAY(Main[[#This Row],[Tech Start Date]],9),IF(Main[[#This Row],[Class]]="B", WORKDAY(Main[[#This Row],[Tech Start Date]],6),IF(Main[[#This Row],[Class]]="A",WORKDAY(Main[[#This Row],[Tech Start Date]],2),""))))</f>
        <v/>
      </c>
      <c r="N471" s="104" t="str">
        <f>IF(Main[[#This Row],[Tech Start Date]]&lt;1/1/1990,"",IF(Main[[#This Row],[Class]]="C",WORKDAY(Main[[#This Row],[Tech Start Date]],19),IF(Main[[#This Row],[Class]]="B", WORKDAY(Main[[#This Row],[Tech Start Date]],12),IF(Main[[#This Row],[Class]]="A",WORKDAY(Main[[#This Row],[Tech Start Date]],4),""))))</f>
        <v/>
      </c>
      <c r="O471" s="104" t="str">
        <f>IF(Main[[#This Row],[Tech Start Date]]&lt;1/1/1990,"",IF(Main[[#This Row],[Class]]="C",WORKDAY(Main[[#This Row],[Tech Start Date]],23),IF(Main[[#This Row],[Class]]="B", WORKDAY(Main[[#This Row],[Tech Start Date]],15),IF(Main[[#This Row],[Class]]="A",WORKDAY(Main[[#This Row],[Tech Start Date]],5),""))))</f>
        <v/>
      </c>
      <c r="P471" s="104" t="str">
        <f>IF(Main[[#This Row],[Tech Start Date]]&lt;1/1/1990,"",IF(Main[[#This Row],[Class]]="C",WORKDAY(Main[[#This Row],[Tech Start Date]],28),IF(Main[[#This Row],[Class]]="B", WORKDAY(Main[[#This Row],[Tech Start Date]],19),IF(Main[[#This Row],[Class]]="A",WORKDAY(Main[[#This Row],[Tech Start Date]],9),""))))</f>
        <v/>
      </c>
      <c r="Q471" s="101">
        <v>40318</v>
      </c>
      <c r="R471" s="101"/>
      <c r="S471" s="99" t="s">
        <v>11</v>
      </c>
      <c r="T471" s="107" t="s">
        <v>4</v>
      </c>
      <c r="U471" s="99" t="s">
        <v>14</v>
      </c>
      <c r="V471" s="99" t="s">
        <v>1972</v>
      </c>
      <c r="W471" s="99" t="s">
        <v>1973</v>
      </c>
    </row>
    <row r="472" spans="1:23" ht="18.600000000000001" customHeight="1">
      <c r="A472" s="123" t="str">
        <f>IF(priority(Main[[#This Row],[Comments]])&lt;&gt;0, priority(Main[[#This Row],[Comments]]),"")</f>
        <v/>
      </c>
      <c r="B472" s="127" t="s">
        <v>2473</v>
      </c>
      <c r="C472" s="99" t="s">
        <v>4</v>
      </c>
      <c r="D472" s="100" t="s">
        <v>2474</v>
      </c>
      <c r="E472" s="101"/>
      <c r="F472" s="101"/>
      <c r="G472" s="102" t="str">
        <f>IF(stdProdLT(Main[[#This Row],[Comments]])=0.1,"N/A",IF(stdProdLT(Main[[#This Row],[Comments]])=0,"",stdProdLT(Main[[#This Row],[Comments]])))</f>
        <v/>
      </c>
      <c r="H472" s="103" t="str">
        <f>IF(AND(Main[[#This Row],[In Stock Date]]&lt;&gt;"",Main[[#This Row],[Revised Due Date]]&lt;&gt;""),Main[[#This Row],[In Stock Date]]-Main[[#This Row],[Revised Due Date]],"")</f>
        <v/>
      </c>
      <c r="I472" s="99" t="s">
        <v>4</v>
      </c>
      <c r="J472" s="99" t="s">
        <v>4</v>
      </c>
      <c r="K472" s="99" t="s">
        <v>4</v>
      </c>
      <c r="L472" s="101"/>
      <c r="M472" s="104" t="str">
        <f>IF(Main[[#This Row],[Tech Start Date]]&lt;1/1/1990,"",IF(Main[[#This Row],[Class]]="C",WORKDAY(Main[[#This Row],[Tech Start Date]],9),IF(Main[[#This Row],[Class]]="B", WORKDAY(Main[[#This Row],[Tech Start Date]],6),IF(Main[[#This Row],[Class]]="A",WORKDAY(Main[[#This Row],[Tech Start Date]],2),""))))</f>
        <v/>
      </c>
      <c r="N472" s="104" t="str">
        <f>IF(Main[[#This Row],[Tech Start Date]]&lt;1/1/1990,"",IF(Main[[#This Row],[Class]]="C",WORKDAY(Main[[#This Row],[Tech Start Date]],19),IF(Main[[#This Row],[Class]]="B", WORKDAY(Main[[#This Row],[Tech Start Date]],12),IF(Main[[#This Row],[Class]]="A",WORKDAY(Main[[#This Row],[Tech Start Date]],4),""))))</f>
        <v/>
      </c>
      <c r="O472" s="104" t="str">
        <f>IF(Main[[#This Row],[Tech Start Date]]&lt;1/1/1990,"",IF(Main[[#This Row],[Class]]="C",WORKDAY(Main[[#This Row],[Tech Start Date]],23),IF(Main[[#This Row],[Class]]="B", WORKDAY(Main[[#This Row],[Tech Start Date]],15),IF(Main[[#This Row],[Class]]="A",WORKDAY(Main[[#This Row],[Tech Start Date]],5),""))))</f>
        <v/>
      </c>
      <c r="P472" s="104" t="str">
        <f>IF(Main[[#This Row],[Tech Start Date]]&lt;1/1/1990,"",IF(Main[[#This Row],[Class]]="C",WORKDAY(Main[[#This Row],[Tech Start Date]],28),IF(Main[[#This Row],[Class]]="B", WORKDAY(Main[[#This Row],[Tech Start Date]],19),IF(Main[[#This Row],[Class]]="A",WORKDAY(Main[[#This Row],[Tech Start Date]],9),""))))</f>
        <v/>
      </c>
      <c r="Q472" s="101"/>
      <c r="R472" s="101"/>
      <c r="S472" s="99" t="s">
        <v>11</v>
      </c>
      <c r="T472" s="107" t="s">
        <v>4</v>
      </c>
      <c r="U472" s="99" t="s">
        <v>14</v>
      </c>
      <c r="V472" s="99" t="s">
        <v>1963</v>
      </c>
      <c r="W472" s="99" t="s">
        <v>4</v>
      </c>
    </row>
    <row r="473" spans="1:23" ht="18.600000000000001" customHeight="1">
      <c r="A473" s="123" t="str">
        <f>IF(priority(Main[[#This Row],[Comments]])&lt;&gt;0, priority(Main[[#This Row],[Comments]]),"")</f>
        <v/>
      </c>
      <c r="B473" s="127" t="s">
        <v>1367</v>
      </c>
      <c r="C473" s="99" t="s">
        <v>31</v>
      </c>
      <c r="D473" s="100" t="s">
        <v>392</v>
      </c>
      <c r="E473" s="101"/>
      <c r="F473" s="101"/>
      <c r="G473" s="102" t="str">
        <f>IF(stdProdLT(Main[[#This Row],[Comments]])=0.1,"N/A",IF(stdProdLT(Main[[#This Row],[Comments]])=0,"",stdProdLT(Main[[#This Row],[Comments]])))</f>
        <v/>
      </c>
      <c r="H473" s="103" t="str">
        <f>IF(AND(Main[[#This Row],[In Stock Date]]&lt;&gt;"",Main[[#This Row],[Revised Due Date]]&lt;&gt;""),Main[[#This Row],[In Stock Date]]-Main[[#This Row],[Revised Due Date]],"")</f>
        <v/>
      </c>
      <c r="I473" s="99" t="s">
        <v>4</v>
      </c>
      <c r="J473" s="99" t="s">
        <v>4</v>
      </c>
      <c r="K473" s="99" t="s">
        <v>4</v>
      </c>
      <c r="L473" s="101"/>
      <c r="M473" s="104" t="str">
        <f>IF(Main[[#This Row],[Tech Start Date]]&lt;1/1/1990,"",IF(Main[[#This Row],[Class]]="C",WORKDAY(Main[[#This Row],[Tech Start Date]],9),IF(Main[[#This Row],[Class]]="B", WORKDAY(Main[[#This Row],[Tech Start Date]],6),IF(Main[[#This Row],[Class]]="A",WORKDAY(Main[[#This Row],[Tech Start Date]],2),""))))</f>
        <v/>
      </c>
      <c r="N473" s="104" t="str">
        <f>IF(Main[[#This Row],[Tech Start Date]]&lt;1/1/1990,"",IF(Main[[#This Row],[Class]]="C",WORKDAY(Main[[#This Row],[Tech Start Date]],19),IF(Main[[#This Row],[Class]]="B", WORKDAY(Main[[#This Row],[Tech Start Date]],12),IF(Main[[#This Row],[Class]]="A",WORKDAY(Main[[#This Row],[Tech Start Date]],4),""))))</f>
        <v/>
      </c>
      <c r="O473" s="104" t="str">
        <f>IF(Main[[#This Row],[Tech Start Date]]&lt;1/1/1990,"",IF(Main[[#This Row],[Class]]="C",WORKDAY(Main[[#This Row],[Tech Start Date]],23),IF(Main[[#This Row],[Class]]="B", WORKDAY(Main[[#This Row],[Tech Start Date]],15),IF(Main[[#This Row],[Class]]="A",WORKDAY(Main[[#This Row],[Tech Start Date]],5),""))))</f>
        <v/>
      </c>
      <c r="P473" s="104" t="str">
        <f>IF(Main[[#This Row],[Tech Start Date]]&lt;1/1/1990,"",IF(Main[[#This Row],[Class]]="C",WORKDAY(Main[[#This Row],[Tech Start Date]],28),IF(Main[[#This Row],[Class]]="B", WORKDAY(Main[[#This Row],[Tech Start Date]],19),IF(Main[[#This Row],[Class]]="A",WORKDAY(Main[[#This Row],[Tech Start Date]],9),""))))</f>
        <v/>
      </c>
      <c r="Q473" s="101">
        <v>40318</v>
      </c>
      <c r="R473" s="101"/>
      <c r="S473" s="99" t="s">
        <v>11</v>
      </c>
      <c r="T473" s="107" t="s">
        <v>4</v>
      </c>
      <c r="U473" s="99" t="s">
        <v>14</v>
      </c>
      <c r="V473" s="99" t="s">
        <v>1972</v>
      </c>
      <c r="W473" s="99" t="s">
        <v>1964</v>
      </c>
    </row>
    <row r="474" spans="1:23" ht="18.600000000000001" customHeight="1">
      <c r="A474" s="123" t="str">
        <f>IF(priority(Main[[#This Row],[Comments]])&lt;&gt;0, priority(Main[[#This Row],[Comments]]),"")</f>
        <v/>
      </c>
      <c r="B474" s="127" t="s">
        <v>1368</v>
      </c>
      <c r="C474" s="99" t="s">
        <v>31</v>
      </c>
      <c r="D474" s="100" t="s">
        <v>393</v>
      </c>
      <c r="E474" s="101"/>
      <c r="F474" s="101">
        <v>40288</v>
      </c>
      <c r="G474" s="102" t="str">
        <f>IF(stdProdLT(Main[[#This Row],[Comments]])=0.1,"N/A",IF(stdProdLT(Main[[#This Row],[Comments]])=0,"",stdProdLT(Main[[#This Row],[Comments]])))</f>
        <v/>
      </c>
      <c r="H474" s="103" t="str">
        <f>IF(AND(Main[[#This Row],[In Stock Date]]&lt;&gt;"",Main[[#This Row],[Revised Due Date]]&lt;&gt;""),Main[[#This Row],[In Stock Date]]-Main[[#This Row],[Revised Due Date]],"")</f>
        <v/>
      </c>
      <c r="I474" s="99" t="s">
        <v>4</v>
      </c>
      <c r="J474" s="99" t="s">
        <v>4</v>
      </c>
      <c r="K474" s="99" t="s">
        <v>4</v>
      </c>
      <c r="L474" s="101"/>
      <c r="M474" s="104" t="str">
        <f>IF(Main[[#This Row],[Tech Start Date]]&lt;1/1/1990,"",IF(Main[[#This Row],[Class]]="C",WORKDAY(Main[[#This Row],[Tech Start Date]],9),IF(Main[[#This Row],[Class]]="B", WORKDAY(Main[[#This Row],[Tech Start Date]],6),IF(Main[[#This Row],[Class]]="A",WORKDAY(Main[[#This Row],[Tech Start Date]],2),""))))</f>
        <v/>
      </c>
      <c r="N474" s="104" t="str">
        <f>IF(Main[[#This Row],[Tech Start Date]]&lt;1/1/1990,"",IF(Main[[#This Row],[Class]]="C",WORKDAY(Main[[#This Row],[Tech Start Date]],19),IF(Main[[#This Row],[Class]]="B", WORKDAY(Main[[#This Row],[Tech Start Date]],12),IF(Main[[#This Row],[Class]]="A",WORKDAY(Main[[#This Row],[Tech Start Date]],4),""))))</f>
        <v/>
      </c>
      <c r="O474" s="104" t="str">
        <f>IF(Main[[#This Row],[Tech Start Date]]&lt;1/1/1990,"",IF(Main[[#This Row],[Class]]="C",WORKDAY(Main[[#This Row],[Tech Start Date]],23),IF(Main[[#This Row],[Class]]="B", WORKDAY(Main[[#This Row],[Tech Start Date]],15),IF(Main[[#This Row],[Class]]="A",WORKDAY(Main[[#This Row],[Tech Start Date]],5),""))))</f>
        <v/>
      </c>
      <c r="P474" s="104" t="str">
        <f>IF(Main[[#This Row],[Tech Start Date]]&lt;1/1/1990,"",IF(Main[[#This Row],[Class]]="C",WORKDAY(Main[[#This Row],[Tech Start Date]],28),IF(Main[[#This Row],[Class]]="B", WORKDAY(Main[[#This Row],[Tech Start Date]],19),IF(Main[[#This Row],[Class]]="A",WORKDAY(Main[[#This Row],[Tech Start Date]],9),""))))</f>
        <v/>
      </c>
      <c r="Q474" s="101">
        <v>40106</v>
      </c>
      <c r="R474" s="101"/>
      <c r="S474" s="99" t="s">
        <v>11</v>
      </c>
      <c r="T474" s="107" t="s">
        <v>4</v>
      </c>
      <c r="U474" s="99" t="s">
        <v>14</v>
      </c>
      <c r="V474" s="99" t="s">
        <v>1965</v>
      </c>
      <c r="W474" s="99" t="s">
        <v>1973</v>
      </c>
    </row>
    <row r="475" spans="1:23" ht="18.600000000000001" customHeight="1">
      <c r="A475" s="123" t="str">
        <f>IF(priority(Main[[#This Row],[Comments]])&lt;&gt;0, priority(Main[[#This Row],[Comments]]),"")</f>
        <v/>
      </c>
      <c r="B475" s="127" t="s">
        <v>1950</v>
      </c>
      <c r="C475" s="99" t="s">
        <v>282</v>
      </c>
      <c r="D475" s="100" t="s">
        <v>976</v>
      </c>
      <c r="E475" s="101"/>
      <c r="F475" s="101">
        <v>40543</v>
      </c>
      <c r="G475" s="102" t="str">
        <f>IF(stdProdLT(Main[[#This Row],[Comments]])=0.1,"N/A",IF(stdProdLT(Main[[#This Row],[Comments]])=0,"",stdProdLT(Main[[#This Row],[Comments]])))</f>
        <v/>
      </c>
      <c r="H475" s="103">
        <f>IF(AND(Main[[#This Row],[In Stock Date]]&lt;&gt;"",Main[[#This Row],[Revised Due Date]]&lt;&gt;""),Main[[#This Row],[In Stock Date]]-Main[[#This Row],[Revised Due Date]],"")</f>
        <v>-200</v>
      </c>
      <c r="I475" s="99" t="s">
        <v>165</v>
      </c>
      <c r="J475" s="99" t="s">
        <v>4</v>
      </c>
      <c r="K475" s="99" t="s">
        <v>1974</v>
      </c>
      <c r="L475" s="101"/>
      <c r="M475" s="104" t="str">
        <f>IF(Main[[#This Row],[Tech Start Date]]&lt;1/1/1990,"",IF(Main[[#This Row],[Class]]="C",WORKDAY(Main[[#This Row],[Tech Start Date]],9),IF(Main[[#This Row],[Class]]="B", WORKDAY(Main[[#This Row],[Tech Start Date]],6),IF(Main[[#This Row],[Class]]="A",WORKDAY(Main[[#This Row],[Tech Start Date]],2),""))))</f>
        <v/>
      </c>
      <c r="N475" s="104" t="str">
        <f>IF(Main[[#This Row],[Tech Start Date]]&lt;1/1/1990,"",IF(Main[[#This Row],[Class]]="C",WORKDAY(Main[[#This Row],[Tech Start Date]],19),IF(Main[[#This Row],[Class]]="B", WORKDAY(Main[[#This Row],[Tech Start Date]],12),IF(Main[[#This Row],[Class]]="A",WORKDAY(Main[[#This Row],[Tech Start Date]],4),""))))</f>
        <v/>
      </c>
      <c r="O475" s="104" t="str">
        <f>IF(Main[[#This Row],[Tech Start Date]]&lt;1/1/1990,"",IF(Main[[#This Row],[Class]]="C",WORKDAY(Main[[#This Row],[Tech Start Date]],23),IF(Main[[#This Row],[Class]]="B", WORKDAY(Main[[#This Row],[Tech Start Date]],15),IF(Main[[#This Row],[Class]]="A",WORKDAY(Main[[#This Row],[Tech Start Date]],5),""))))</f>
        <v/>
      </c>
      <c r="P475" s="104" t="str">
        <f>IF(Main[[#This Row],[Tech Start Date]]&lt;1/1/1990,"",IF(Main[[#This Row],[Class]]="C",WORKDAY(Main[[#This Row],[Tech Start Date]],28),IF(Main[[#This Row],[Class]]="B", WORKDAY(Main[[#This Row],[Tech Start Date]],19),IF(Main[[#This Row],[Class]]="A",WORKDAY(Main[[#This Row],[Tech Start Date]],9),""))))</f>
        <v/>
      </c>
      <c r="Q475" s="101">
        <v>40543</v>
      </c>
      <c r="R475" s="101">
        <v>40743</v>
      </c>
      <c r="S475" s="99" t="s">
        <v>17</v>
      </c>
      <c r="T475" s="107" t="s">
        <v>4</v>
      </c>
      <c r="U475" s="99" t="s">
        <v>14</v>
      </c>
      <c r="V475" s="99" t="s">
        <v>1965</v>
      </c>
      <c r="W475" s="99" t="s">
        <v>1964</v>
      </c>
    </row>
    <row r="476" spans="1:23" ht="18.600000000000001" customHeight="1">
      <c r="A476" s="123" t="str">
        <f>IF(priority(Main[[#This Row],[Comments]])&lt;&gt;0, priority(Main[[#This Row],[Comments]]),"")</f>
        <v/>
      </c>
      <c r="B476" s="127" t="s">
        <v>1343</v>
      </c>
      <c r="C476" s="99" t="s">
        <v>4</v>
      </c>
      <c r="D476" s="100" t="s">
        <v>394</v>
      </c>
      <c r="E476" s="101"/>
      <c r="F476" s="101"/>
      <c r="G476" s="102" t="str">
        <f>IF(stdProdLT(Main[[#This Row],[Comments]])=0.1,"N/A",IF(stdProdLT(Main[[#This Row],[Comments]])=0,"",stdProdLT(Main[[#This Row],[Comments]])))</f>
        <v/>
      </c>
      <c r="H476" s="103" t="str">
        <f>IF(AND(Main[[#This Row],[In Stock Date]]&lt;&gt;"",Main[[#This Row],[Revised Due Date]]&lt;&gt;""),Main[[#This Row],[In Stock Date]]-Main[[#This Row],[Revised Due Date]],"")</f>
        <v/>
      </c>
      <c r="I476" s="99" t="s">
        <v>4</v>
      </c>
      <c r="J476" s="99" t="s">
        <v>4</v>
      </c>
      <c r="K476" s="99" t="s">
        <v>4</v>
      </c>
      <c r="L476" s="101"/>
      <c r="M476" s="104" t="str">
        <f>IF(Main[[#This Row],[Tech Start Date]]&lt;1/1/1990,"",IF(Main[[#This Row],[Class]]="C",WORKDAY(Main[[#This Row],[Tech Start Date]],9),IF(Main[[#This Row],[Class]]="B", WORKDAY(Main[[#This Row],[Tech Start Date]],6),IF(Main[[#This Row],[Class]]="A",WORKDAY(Main[[#This Row],[Tech Start Date]],2),""))))</f>
        <v/>
      </c>
      <c r="N476" s="104" t="str">
        <f>IF(Main[[#This Row],[Tech Start Date]]&lt;1/1/1990,"",IF(Main[[#This Row],[Class]]="C",WORKDAY(Main[[#This Row],[Tech Start Date]],19),IF(Main[[#This Row],[Class]]="B", WORKDAY(Main[[#This Row],[Tech Start Date]],12),IF(Main[[#This Row],[Class]]="A",WORKDAY(Main[[#This Row],[Tech Start Date]],4),""))))</f>
        <v/>
      </c>
      <c r="O476" s="104" t="str">
        <f>IF(Main[[#This Row],[Tech Start Date]]&lt;1/1/1990,"",IF(Main[[#This Row],[Class]]="C",WORKDAY(Main[[#This Row],[Tech Start Date]],23),IF(Main[[#This Row],[Class]]="B", WORKDAY(Main[[#This Row],[Tech Start Date]],15),IF(Main[[#This Row],[Class]]="A",WORKDAY(Main[[#This Row],[Tech Start Date]],5),""))))</f>
        <v/>
      </c>
      <c r="P476" s="104" t="str">
        <f>IF(Main[[#This Row],[Tech Start Date]]&lt;1/1/1990,"",IF(Main[[#This Row],[Class]]="C",WORKDAY(Main[[#This Row],[Tech Start Date]],28),IF(Main[[#This Row],[Class]]="B", WORKDAY(Main[[#This Row],[Tech Start Date]],19),IF(Main[[#This Row],[Class]]="A",WORKDAY(Main[[#This Row],[Tech Start Date]],9),""))))</f>
        <v/>
      </c>
      <c r="Q476" s="101"/>
      <c r="R476" s="101"/>
      <c r="S476" s="99" t="s">
        <v>4</v>
      </c>
      <c r="T476" s="107" t="s">
        <v>4</v>
      </c>
      <c r="U476" s="99" t="s">
        <v>14</v>
      </c>
      <c r="V476" s="99" t="s">
        <v>1963</v>
      </c>
      <c r="W476" s="99" t="s">
        <v>4</v>
      </c>
    </row>
    <row r="477" spans="1:23" ht="18.600000000000001" customHeight="1">
      <c r="A477" s="123" t="str">
        <f>IF(priority(Main[[#This Row],[Comments]])&lt;&gt;0, priority(Main[[#This Row],[Comments]]),"")</f>
        <v/>
      </c>
      <c r="B477" s="127" t="s">
        <v>1429</v>
      </c>
      <c r="C477" s="99" t="s">
        <v>93</v>
      </c>
      <c r="D477" s="100" t="s">
        <v>426</v>
      </c>
      <c r="E477" s="101"/>
      <c r="F477" s="101">
        <v>40269</v>
      </c>
      <c r="G477" s="102" t="str">
        <f>IF(stdProdLT(Main[[#This Row],[Comments]])=0.1,"N/A",IF(stdProdLT(Main[[#This Row],[Comments]])=0,"",stdProdLT(Main[[#This Row],[Comments]])))</f>
        <v/>
      </c>
      <c r="H477" s="103" t="str">
        <f>IF(AND(Main[[#This Row],[In Stock Date]]&lt;&gt;"",Main[[#This Row],[Revised Due Date]]&lt;&gt;""),Main[[#This Row],[In Stock Date]]-Main[[#This Row],[Revised Due Date]],"")</f>
        <v/>
      </c>
      <c r="I477" s="99" t="s">
        <v>4</v>
      </c>
      <c r="J477" s="99" t="s">
        <v>4</v>
      </c>
      <c r="K477" s="99" t="s">
        <v>4</v>
      </c>
      <c r="L477" s="101"/>
      <c r="M477" s="104" t="str">
        <f>IF(Main[[#This Row],[Tech Start Date]]&lt;1/1/1990,"",IF(Main[[#This Row],[Class]]="C",WORKDAY(Main[[#This Row],[Tech Start Date]],9),IF(Main[[#This Row],[Class]]="B", WORKDAY(Main[[#This Row],[Tech Start Date]],6),IF(Main[[#This Row],[Class]]="A",WORKDAY(Main[[#This Row],[Tech Start Date]],2),""))))</f>
        <v/>
      </c>
      <c r="N477" s="104" t="str">
        <f>IF(Main[[#This Row],[Tech Start Date]]&lt;1/1/1990,"",IF(Main[[#This Row],[Class]]="C",WORKDAY(Main[[#This Row],[Tech Start Date]],19),IF(Main[[#This Row],[Class]]="B", WORKDAY(Main[[#This Row],[Tech Start Date]],12),IF(Main[[#This Row],[Class]]="A",WORKDAY(Main[[#This Row],[Tech Start Date]],4),""))))</f>
        <v/>
      </c>
      <c r="O477" s="104" t="str">
        <f>IF(Main[[#This Row],[Tech Start Date]]&lt;1/1/1990,"",IF(Main[[#This Row],[Class]]="C",WORKDAY(Main[[#This Row],[Tech Start Date]],23),IF(Main[[#This Row],[Class]]="B", WORKDAY(Main[[#This Row],[Tech Start Date]],15),IF(Main[[#This Row],[Class]]="A",WORKDAY(Main[[#This Row],[Tech Start Date]],5),""))))</f>
        <v/>
      </c>
      <c r="P477" s="104" t="str">
        <f>IF(Main[[#This Row],[Tech Start Date]]&lt;1/1/1990,"",IF(Main[[#This Row],[Class]]="C",WORKDAY(Main[[#This Row],[Tech Start Date]],28),IF(Main[[#This Row],[Class]]="B", WORKDAY(Main[[#This Row],[Tech Start Date]],19),IF(Main[[#This Row],[Class]]="A",WORKDAY(Main[[#This Row],[Tech Start Date]],9),""))))</f>
        <v/>
      </c>
      <c r="Q477" s="101">
        <v>40185</v>
      </c>
      <c r="R477" s="101"/>
      <c r="S477" s="99" t="s">
        <v>11</v>
      </c>
      <c r="T477" s="107" t="s">
        <v>4</v>
      </c>
      <c r="U477" s="99" t="s">
        <v>12</v>
      </c>
      <c r="V477" s="99" t="s">
        <v>1972</v>
      </c>
      <c r="W477" s="99" t="s">
        <v>1973</v>
      </c>
    </row>
    <row r="478" spans="1:23" ht="18.600000000000001" customHeight="1">
      <c r="A478" s="123" t="str">
        <f>IF(priority(Main[[#This Row],[Comments]])&lt;&gt;0, priority(Main[[#This Row],[Comments]]),"")</f>
        <v/>
      </c>
      <c r="B478" s="127" t="s">
        <v>1430</v>
      </c>
      <c r="C478" s="99" t="s">
        <v>171</v>
      </c>
      <c r="D478" s="100" t="s">
        <v>427</v>
      </c>
      <c r="E478" s="101"/>
      <c r="F478" s="101">
        <v>40237</v>
      </c>
      <c r="G478" s="102" t="str">
        <f>IF(stdProdLT(Main[[#This Row],[Comments]])=0.1,"N/A",IF(stdProdLT(Main[[#This Row],[Comments]])=0,"",stdProdLT(Main[[#This Row],[Comments]])))</f>
        <v/>
      </c>
      <c r="H478" s="103" t="str">
        <f>IF(AND(Main[[#This Row],[In Stock Date]]&lt;&gt;"",Main[[#This Row],[Revised Due Date]]&lt;&gt;""),Main[[#This Row],[In Stock Date]]-Main[[#This Row],[Revised Due Date]],"")</f>
        <v/>
      </c>
      <c r="I478" s="99" t="s">
        <v>4</v>
      </c>
      <c r="J478" s="99" t="s">
        <v>4</v>
      </c>
      <c r="K478" s="99" t="s">
        <v>4</v>
      </c>
      <c r="L478" s="101"/>
      <c r="M478" s="104" t="str">
        <f>IF(Main[[#This Row],[Tech Start Date]]&lt;1/1/1990,"",IF(Main[[#This Row],[Class]]="C",WORKDAY(Main[[#This Row],[Tech Start Date]],9),IF(Main[[#This Row],[Class]]="B", WORKDAY(Main[[#This Row],[Tech Start Date]],6),IF(Main[[#This Row],[Class]]="A",WORKDAY(Main[[#This Row],[Tech Start Date]],2),""))))</f>
        <v/>
      </c>
      <c r="N478" s="104" t="str">
        <f>IF(Main[[#This Row],[Tech Start Date]]&lt;1/1/1990,"",IF(Main[[#This Row],[Class]]="C",WORKDAY(Main[[#This Row],[Tech Start Date]],19),IF(Main[[#This Row],[Class]]="B", WORKDAY(Main[[#This Row],[Tech Start Date]],12),IF(Main[[#This Row],[Class]]="A",WORKDAY(Main[[#This Row],[Tech Start Date]],4),""))))</f>
        <v/>
      </c>
      <c r="O478" s="104" t="str">
        <f>IF(Main[[#This Row],[Tech Start Date]]&lt;1/1/1990,"",IF(Main[[#This Row],[Class]]="C",WORKDAY(Main[[#This Row],[Tech Start Date]],23),IF(Main[[#This Row],[Class]]="B", WORKDAY(Main[[#This Row],[Tech Start Date]],15),IF(Main[[#This Row],[Class]]="A",WORKDAY(Main[[#This Row],[Tech Start Date]],5),""))))</f>
        <v/>
      </c>
      <c r="P478" s="104" t="str">
        <f>IF(Main[[#This Row],[Tech Start Date]]&lt;1/1/1990,"",IF(Main[[#This Row],[Class]]="C",WORKDAY(Main[[#This Row],[Tech Start Date]],28),IF(Main[[#This Row],[Class]]="B", WORKDAY(Main[[#This Row],[Tech Start Date]],19),IF(Main[[#This Row],[Class]]="A",WORKDAY(Main[[#This Row],[Tech Start Date]],9),""))))</f>
        <v/>
      </c>
      <c r="Q478" s="101">
        <v>40132</v>
      </c>
      <c r="R478" s="101"/>
      <c r="S478" s="99" t="s">
        <v>11</v>
      </c>
      <c r="T478" s="107" t="s">
        <v>4</v>
      </c>
      <c r="U478" s="99" t="s">
        <v>14</v>
      </c>
      <c r="V478" s="99" t="s">
        <v>1962</v>
      </c>
      <c r="W478" s="99" t="s">
        <v>1967</v>
      </c>
    </row>
    <row r="479" spans="1:23" ht="18.600000000000001" customHeight="1">
      <c r="A479" s="123" t="str">
        <f>IF(priority(Main[[#This Row],[Comments]])&lt;&gt;0, priority(Main[[#This Row],[Comments]]),"")</f>
        <v/>
      </c>
      <c r="B479" s="127" t="s">
        <v>1431</v>
      </c>
      <c r="C479" s="99" t="s">
        <v>93</v>
      </c>
      <c r="D479" s="100" t="s">
        <v>428</v>
      </c>
      <c r="E479" s="101"/>
      <c r="F479" s="101">
        <v>40144</v>
      </c>
      <c r="G479" s="102" t="str">
        <f>IF(stdProdLT(Main[[#This Row],[Comments]])=0.1,"N/A",IF(stdProdLT(Main[[#This Row],[Comments]])=0,"",stdProdLT(Main[[#This Row],[Comments]])))</f>
        <v/>
      </c>
      <c r="H479" s="103" t="str">
        <f>IF(AND(Main[[#This Row],[In Stock Date]]&lt;&gt;"",Main[[#This Row],[Revised Due Date]]&lt;&gt;""),Main[[#This Row],[In Stock Date]]-Main[[#This Row],[Revised Due Date]],"")</f>
        <v/>
      </c>
      <c r="I479" s="99" t="s">
        <v>4</v>
      </c>
      <c r="J479" s="99" t="s">
        <v>4</v>
      </c>
      <c r="K479" s="99" t="s">
        <v>4</v>
      </c>
      <c r="L479" s="101"/>
      <c r="M479" s="104" t="str">
        <f>IF(Main[[#This Row],[Tech Start Date]]&lt;1/1/1990,"",IF(Main[[#This Row],[Class]]="C",WORKDAY(Main[[#This Row],[Tech Start Date]],9),IF(Main[[#This Row],[Class]]="B", WORKDAY(Main[[#This Row],[Tech Start Date]],6),IF(Main[[#This Row],[Class]]="A",WORKDAY(Main[[#This Row],[Tech Start Date]],2),""))))</f>
        <v/>
      </c>
      <c r="N479" s="104" t="str">
        <f>IF(Main[[#This Row],[Tech Start Date]]&lt;1/1/1990,"",IF(Main[[#This Row],[Class]]="C",WORKDAY(Main[[#This Row],[Tech Start Date]],19),IF(Main[[#This Row],[Class]]="B", WORKDAY(Main[[#This Row],[Tech Start Date]],12),IF(Main[[#This Row],[Class]]="A",WORKDAY(Main[[#This Row],[Tech Start Date]],4),""))))</f>
        <v/>
      </c>
      <c r="O479" s="104" t="str">
        <f>IF(Main[[#This Row],[Tech Start Date]]&lt;1/1/1990,"",IF(Main[[#This Row],[Class]]="C",WORKDAY(Main[[#This Row],[Tech Start Date]],23),IF(Main[[#This Row],[Class]]="B", WORKDAY(Main[[#This Row],[Tech Start Date]],15),IF(Main[[#This Row],[Class]]="A",WORKDAY(Main[[#This Row],[Tech Start Date]],5),""))))</f>
        <v/>
      </c>
      <c r="P479" s="104" t="str">
        <f>IF(Main[[#This Row],[Tech Start Date]]&lt;1/1/1990,"",IF(Main[[#This Row],[Class]]="C",WORKDAY(Main[[#This Row],[Tech Start Date]],28),IF(Main[[#This Row],[Class]]="B", WORKDAY(Main[[#This Row],[Tech Start Date]],19),IF(Main[[#This Row],[Class]]="A",WORKDAY(Main[[#This Row],[Tech Start Date]],9),""))))</f>
        <v/>
      </c>
      <c r="Q479" s="101">
        <v>40144</v>
      </c>
      <c r="R479" s="101"/>
      <c r="S479" s="99" t="s">
        <v>11</v>
      </c>
      <c r="T479" s="107" t="s">
        <v>4</v>
      </c>
      <c r="U479" s="99" t="s">
        <v>14</v>
      </c>
      <c r="V479" s="99" t="s">
        <v>1965</v>
      </c>
      <c r="W479" s="99" t="s">
        <v>1973</v>
      </c>
    </row>
    <row r="480" spans="1:23" ht="18.600000000000001" customHeight="1">
      <c r="A480" s="123" t="str">
        <f>IF(priority(Main[[#This Row],[Comments]])&lt;&gt;0, priority(Main[[#This Row],[Comments]]),"")</f>
        <v/>
      </c>
      <c r="B480" s="127" t="s">
        <v>1373</v>
      </c>
      <c r="C480" s="99" t="s">
        <v>93</v>
      </c>
      <c r="D480" s="100" t="s">
        <v>429</v>
      </c>
      <c r="E480" s="101"/>
      <c r="F480" s="101">
        <v>40162</v>
      </c>
      <c r="G480" s="102" t="str">
        <f>IF(stdProdLT(Main[[#This Row],[Comments]])=0.1,"N/A",IF(stdProdLT(Main[[#This Row],[Comments]])=0,"",stdProdLT(Main[[#This Row],[Comments]])))</f>
        <v/>
      </c>
      <c r="H480" s="103" t="str">
        <f>IF(AND(Main[[#This Row],[In Stock Date]]&lt;&gt;"",Main[[#This Row],[Revised Due Date]]&lt;&gt;""),Main[[#This Row],[In Stock Date]]-Main[[#This Row],[Revised Due Date]],"")</f>
        <v/>
      </c>
      <c r="I480" s="99" t="s">
        <v>4</v>
      </c>
      <c r="J480" s="99" t="s">
        <v>4</v>
      </c>
      <c r="K480" s="108" t="s">
        <v>4</v>
      </c>
      <c r="L480" s="101"/>
      <c r="M480" s="104" t="str">
        <f>IF(Main[[#This Row],[Tech Start Date]]&lt;1/1/1990,"",IF(Main[[#This Row],[Class]]="C",WORKDAY(Main[[#This Row],[Tech Start Date]],9),IF(Main[[#This Row],[Class]]="B", WORKDAY(Main[[#This Row],[Tech Start Date]],6),IF(Main[[#This Row],[Class]]="A",WORKDAY(Main[[#This Row],[Tech Start Date]],2),""))))</f>
        <v/>
      </c>
      <c r="N480" s="104" t="str">
        <f>IF(Main[[#This Row],[Tech Start Date]]&lt;1/1/1990,"",IF(Main[[#This Row],[Class]]="C",WORKDAY(Main[[#This Row],[Tech Start Date]],19),IF(Main[[#This Row],[Class]]="B", WORKDAY(Main[[#This Row],[Tech Start Date]],12),IF(Main[[#This Row],[Class]]="A",WORKDAY(Main[[#This Row],[Tech Start Date]],4),""))))</f>
        <v/>
      </c>
      <c r="O480" s="104" t="str">
        <f>IF(Main[[#This Row],[Tech Start Date]]&lt;1/1/1990,"",IF(Main[[#This Row],[Class]]="C",WORKDAY(Main[[#This Row],[Tech Start Date]],23),IF(Main[[#This Row],[Class]]="B", WORKDAY(Main[[#This Row],[Tech Start Date]],15),IF(Main[[#This Row],[Class]]="A",WORKDAY(Main[[#This Row],[Tech Start Date]],5),""))))</f>
        <v/>
      </c>
      <c r="P480" s="104" t="str">
        <f>IF(Main[[#This Row],[Tech Start Date]]&lt;1/1/1990,"",IF(Main[[#This Row],[Class]]="C",WORKDAY(Main[[#This Row],[Tech Start Date]],28),IF(Main[[#This Row],[Class]]="B", WORKDAY(Main[[#This Row],[Tech Start Date]],19),IF(Main[[#This Row],[Class]]="A",WORKDAY(Main[[#This Row],[Tech Start Date]],9),""))))</f>
        <v/>
      </c>
      <c r="Q480" s="101">
        <v>40127</v>
      </c>
      <c r="R480" s="101"/>
      <c r="S480" s="99" t="s">
        <v>11</v>
      </c>
      <c r="T480" s="107" t="s">
        <v>4</v>
      </c>
      <c r="U480" s="99" t="s">
        <v>14</v>
      </c>
      <c r="V480" s="99" t="s">
        <v>1972</v>
      </c>
      <c r="W480" s="99" t="s">
        <v>1973</v>
      </c>
    </row>
    <row r="481" spans="1:23" ht="18.600000000000001" customHeight="1">
      <c r="A481" s="123" t="str">
        <f>IF(priority(Main[[#This Row],[Comments]])&lt;&gt;0, priority(Main[[#This Row],[Comments]]),"")</f>
        <v/>
      </c>
      <c r="B481" s="127" t="s">
        <v>1374</v>
      </c>
      <c r="C481" s="99" t="s">
        <v>430</v>
      </c>
      <c r="D481" s="100" t="s">
        <v>431</v>
      </c>
      <c r="E481" s="101"/>
      <c r="F481" s="101">
        <v>40179</v>
      </c>
      <c r="G481" s="102" t="str">
        <f>IF(stdProdLT(Main[[#This Row],[Comments]])=0.1,"N/A",IF(stdProdLT(Main[[#This Row],[Comments]])=0,"",stdProdLT(Main[[#This Row],[Comments]])))</f>
        <v/>
      </c>
      <c r="H481" s="103" t="str">
        <f>IF(AND(Main[[#This Row],[In Stock Date]]&lt;&gt;"",Main[[#This Row],[Revised Due Date]]&lt;&gt;""),Main[[#This Row],[In Stock Date]]-Main[[#This Row],[Revised Due Date]],"")</f>
        <v/>
      </c>
      <c r="I481" s="99" t="s">
        <v>4</v>
      </c>
      <c r="J481" s="99" t="s">
        <v>4</v>
      </c>
      <c r="K481" s="99" t="s">
        <v>4</v>
      </c>
      <c r="L481" s="101"/>
      <c r="M481" s="104" t="str">
        <f>IF(Main[[#This Row],[Tech Start Date]]&lt;1/1/1990,"",IF(Main[[#This Row],[Class]]="C",WORKDAY(Main[[#This Row],[Tech Start Date]],9),IF(Main[[#This Row],[Class]]="B", WORKDAY(Main[[#This Row],[Tech Start Date]],6),IF(Main[[#This Row],[Class]]="A",WORKDAY(Main[[#This Row],[Tech Start Date]],2),""))))</f>
        <v/>
      </c>
      <c r="N481" s="104" t="str">
        <f>IF(Main[[#This Row],[Tech Start Date]]&lt;1/1/1990,"",IF(Main[[#This Row],[Class]]="C",WORKDAY(Main[[#This Row],[Tech Start Date]],19),IF(Main[[#This Row],[Class]]="B", WORKDAY(Main[[#This Row],[Tech Start Date]],12),IF(Main[[#This Row],[Class]]="A",WORKDAY(Main[[#This Row],[Tech Start Date]],4),""))))</f>
        <v/>
      </c>
      <c r="O481" s="104" t="str">
        <f>IF(Main[[#This Row],[Tech Start Date]]&lt;1/1/1990,"",IF(Main[[#This Row],[Class]]="C",WORKDAY(Main[[#This Row],[Tech Start Date]],23),IF(Main[[#This Row],[Class]]="B", WORKDAY(Main[[#This Row],[Tech Start Date]],15),IF(Main[[#This Row],[Class]]="A",WORKDAY(Main[[#This Row],[Tech Start Date]],5),""))))</f>
        <v/>
      </c>
      <c r="P481" s="104" t="str">
        <f>IF(Main[[#This Row],[Tech Start Date]]&lt;1/1/1990,"",IF(Main[[#This Row],[Class]]="C",WORKDAY(Main[[#This Row],[Tech Start Date]],28),IF(Main[[#This Row],[Class]]="B", WORKDAY(Main[[#This Row],[Tech Start Date]],19),IF(Main[[#This Row],[Class]]="A",WORKDAY(Main[[#This Row],[Tech Start Date]],9),""))))</f>
        <v/>
      </c>
      <c r="Q481" s="101">
        <v>40179</v>
      </c>
      <c r="R481" s="101"/>
      <c r="S481" s="99" t="s">
        <v>11</v>
      </c>
      <c r="T481" s="107" t="s">
        <v>4</v>
      </c>
      <c r="U481" s="99" t="s">
        <v>14</v>
      </c>
      <c r="V481" s="99" t="s">
        <v>1962</v>
      </c>
      <c r="W481" s="99" t="s">
        <v>1967</v>
      </c>
    </row>
    <row r="482" spans="1:23" ht="18.600000000000001" customHeight="1">
      <c r="A482" s="123" t="str">
        <f>IF(priority(Main[[#This Row],[Comments]])&lt;&gt;0, priority(Main[[#This Row],[Comments]]),"")</f>
        <v/>
      </c>
      <c r="B482" s="127" t="s">
        <v>1375</v>
      </c>
      <c r="C482" s="99" t="s">
        <v>200</v>
      </c>
      <c r="D482" s="100" t="s">
        <v>432</v>
      </c>
      <c r="E482" s="101"/>
      <c r="F482" s="101"/>
      <c r="G482" s="102" t="str">
        <f>IF(stdProdLT(Main[[#This Row],[Comments]])=0.1,"N/A",IF(stdProdLT(Main[[#This Row],[Comments]])=0,"",stdProdLT(Main[[#This Row],[Comments]])))</f>
        <v/>
      </c>
      <c r="H482" s="103" t="str">
        <f>IF(AND(Main[[#This Row],[In Stock Date]]&lt;&gt;"",Main[[#This Row],[Revised Due Date]]&lt;&gt;""),Main[[#This Row],[In Stock Date]]-Main[[#This Row],[Revised Due Date]],"")</f>
        <v/>
      </c>
      <c r="I482" s="99" t="s">
        <v>4</v>
      </c>
      <c r="J482" s="99" t="s">
        <v>4</v>
      </c>
      <c r="K482" s="99" t="s">
        <v>4</v>
      </c>
      <c r="L482" s="101"/>
      <c r="M482" s="104" t="str">
        <f>IF(Main[[#This Row],[Tech Start Date]]&lt;1/1/1990,"",IF(Main[[#This Row],[Class]]="C",WORKDAY(Main[[#This Row],[Tech Start Date]],9),IF(Main[[#This Row],[Class]]="B", WORKDAY(Main[[#This Row],[Tech Start Date]],6),IF(Main[[#This Row],[Class]]="A",WORKDAY(Main[[#This Row],[Tech Start Date]],2),""))))</f>
        <v/>
      </c>
      <c r="N482" s="104" t="str">
        <f>IF(Main[[#This Row],[Tech Start Date]]&lt;1/1/1990,"",IF(Main[[#This Row],[Class]]="C",WORKDAY(Main[[#This Row],[Tech Start Date]],19),IF(Main[[#This Row],[Class]]="B", WORKDAY(Main[[#This Row],[Tech Start Date]],12),IF(Main[[#This Row],[Class]]="A",WORKDAY(Main[[#This Row],[Tech Start Date]],4),""))))</f>
        <v/>
      </c>
      <c r="O482" s="104" t="str">
        <f>IF(Main[[#This Row],[Tech Start Date]]&lt;1/1/1990,"",IF(Main[[#This Row],[Class]]="C",WORKDAY(Main[[#This Row],[Tech Start Date]],23),IF(Main[[#This Row],[Class]]="B", WORKDAY(Main[[#This Row],[Tech Start Date]],15),IF(Main[[#This Row],[Class]]="A",WORKDAY(Main[[#This Row],[Tech Start Date]],5),""))))</f>
        <v/>
      </c>
      <c r="P482" s="104" t="str">
        <f>IF(Main[[#This Row],[Tech Start Date]]&lt;1/1/1990,"",IF(Main[[#This Row],[Class]]="C",WORKDAY(Main[[#This Row],[Tech Start Date]],28),IF(Main[[#This Row],[Class]]="B", WORKDAY(Main[[#This Row],[Tech Start Date]],19),IF(Main[[#This Row],[Class]]="A",WORKDAY(Main[[#This Row],[Tech Start Date]],9),""))))</f>
        <v/>
      </c>
      <c r="Q482" s="101">
        <v>40165</v>
      </c>
      <c r="R482" s="101"/>
      <c r="S482" s="99" t="s">
        <v>11</v>
      </c>
      <c r="T482" s="107" t="s">
        <v>4</v>
      </c>
      <c r="U482" s="99" t="s">
        <v>14</v>
      </c>
      <c r="V482" s="99" t="s">
        <v>1972</v>
      </c>
      <c r="W482" s="99" t="s">
        <v>1968</v>
      </c>
    </row>
    <row r="483" spans="1:23" ht="18.600000000000001" customHeight="1">
      <c r="A483" s="123" t="str">
        <f>IF(priority(Main[[#This Row],[Comments]])&lt;&gt;0, priority(Main[[#This Row],[Comments]]),"")</f>
        <v/>
      </c>
      <c r="B483" s="127" t="s">
        <v>1377</v>
      </c>
      <c r="C483" s="99" t="s">
        <v>4</v>
      </c>
      <c r="D483" s="100" t="s">
        <v>433</v>
      </c>
      <c r="E483" s="101"/>
      <c r="F483" s="101"/>
      <c r="G483" s="102" t="str">
        <f>IF(stdProdLT(Main[[#This Row],[Comments]])=0.1,"N/A",IF(stdProdLT(Main[[#This Row],[Comments]])=0,"",stdProdLT(Main[[#This Row],[Comments]])))</f>
        <v/>
      </c>
      <c r="H483" s="103" t="str">
        <f>IF(AND(Main[[#This Row],[In Stock Date]]&lt;&gt;"",Main[[#This Row],[Revised Due Date]]&lt;&gt;""),Main[[#This Row],[In Stock Date]]-Main[[#This Row],[Revised Due Date]],"")</f>
        <v/>
      </c>
      <c r="I483" s="99" t="s">
        <v>4</v>
      </c>
      <c r="J483" s="99" t="s">
        <v>4</v>
      </c>
      <c r="K483" s="99" t="s">
        <v>4</v>
      </c>
      <c r="L483" s="101"/>
      <c r="M483" s="104" t="str">
        <f>IF(Main[[#This Row],[Tech Start Date]]&lt;1/1/1990,"",IF(Main[[#This Row],[Class]]="C",WORKDAY(Main[[#This Row],[Tech Start Date]],9),IF(Main[[#This Row],[Class]]="B", WORKDAY(Main[[#This Row],[Tech Start Date]],6),IF(Main[[#This Row],[Class]]="A",WORKDAY(Main[[#This Row],[Tech Start Date]],2),""))))</f>
        <v/>
      </c>
      <c r="N483" s="104" t="str">
        <f>IF(Main[[#This Row],[Tech Start Date]]&lt;1/1/1990,"",IF(Main[[#This Row],[Class]]="C",WORKDAY(Main[[#This Row],[Tech Start Date]],19),IF(Main[[#This Row],[Class]]="B", WORKDAY(Main[[#This Row],[Tech Start Date]],12),IF(Main[[#This Row],[Class]]="A",WORKDAY(Main[[#This Row],[Tech Start Date]],4),""))))</f>
        <v/>
      </c>
      <c r="O483" s="104" t="str">
        <f>IF(Main[[#This Row],[Tech Start Date]]&lt;1/1/1990,"",IF(Main[[#This Row],[Class]]="C",WORKDAY(Main[[#This Row],[Tech Start Date]],23),IF(Main[[#This Row],[Class]]="B", WORKDAY(Main[[#This Row],[Tech Start Date]],15),IF(Main[[#This Row],[Class]]="A",WORKDAY(Main[[#This Row],[Tech Start Date]],5),""))))</f>
        <v/>
      </c>
      <c r="P483" s="104" t="str">
        <f>IF(Main[[#This Row],[Tech Start Date]]&lt;1/1/1990,"",IF(Main[[#This Row],[Class]]="C",WORKDAY(Main[[#This Row],[Tech Start Date]],28),IF(Main[[#This Row],[Class]]="B", WORKDAY(Main[[#This Row],[Tech Start Date]],19),IF(Main[[#This Row],[Class]]="A",WORKDAY(Main[[#This Row],[Tech Start Date]],9),""))))</f>
        <v/>
      </c>
      <c r="Q483" s="101"/>
      <c r="R483" s="101"/>
      <c r="S483" s="99" t="s">
        <v>6</v>
      </c>
      <c r="T483" s="107" t="s">
        <v>4</v>
      </c>
      <c r="U483" s="99" t="s">
        <v>12</v>
      </c>
      <c r="V483" s="99" t="s">
        <v>1962</v>
      </c>
      <c r="W483" s="99" t="s">
        <v>4</v>
      </c>
    </row>
    <row r="484" spans="1:23" ht="18.600000000000001" customHeight="1">
      <c r="A484" s="123" t="str">
        <f>IF(priority(Main[[#This Row],[Comments]])&lt;&gt;0, priority(Main[[#This Row],[Comments]]),"")</f>
        <v/>
      </c>
      <c r="B484" s="127" t="s">
        <v>1378</v>
      </c>
      <c r="C484" s="99" t="s">
        <v>4</v>
      </c>
      <c r="D484" s="100" t="s">
        <v>434</v>
      </c>
      <c r="E484" s="101">
        <v>40367.39403935185</v>
      </c>
      <c r="F484" s="101"/>
      <c r="G484" s="102" t="str">
        <f>IF(stdProdLT(Main[[#This Row],[Comments]])=0.1,"N/A",IF(stdProdLT(Main[[#This Row],[Comments]])=0,"",stdProdLT(Main[[#This Row],[Comments]])))</f>
        <v/>
      </c>
      <c r="H484" s="103" t="str">
        <f>IF(AND(Main[[#This Row],[In Stock Date]]&lt;&gt;"",Main[[#This Row],[Revised Due Date]]&lt;&gt;""),Main[[#This Row],[In Stock Date]]-Main[[#This Row],[Revised Due Date]],"")</f>
        <v/>
      </c>
      <c r="I484" s="99" t="s">
        <v>126</v>
      </c>
      <c r="J484" s="99" t="s">
        <v>28</v>
      </c>
      <c r="K484" s="99" t="s">
        <v>1971</v>
      </c>
      <c r="L484" s="101"/>
      <c r="M484" s="104" t="str">
        <f>IF(Main[[#This Row],[Tech Start Date]]&lt;1/1/1990,"",IF(Main[[#This Row],[Class]]="C",WORKDAY(Main[[#This Row],[Tech Start Date]],9),IF(Main[[#This Row],[Class]]="B", WORKDAY(Main[[#This Row],[Tech Start Date]],6),IF(Main[[#This Row],[Class]]="A",WORKDAY(Main[[#This Row],[Tech Start Date]],2),""))))</f>
        <v/>
      </c>
      <c r="N484" s="104" t="str">
        <f>IF(Main[[#This Row],[Tech Start Date]]&lt;1/1/1990,"",IF(Main[[#This Row],[Class]]="C",WORKDAY(Main[[#This Row],[Tech Start Date]],19),IF(Main[[#This Row],[Class]]="B", WORKDAY(Main[[#This Row],[Tech Start Date]],12),IF(Main[[#This Row],[Class]]="A",WORKDAY(Main[[#This Row],[Tech Start Date]],4),""))))</f>
        <v/>
      </c>
      <c r="O484" s="104" t="str">
        <f>IF(Main[[#This Row],[Tech Start Date]]&lt;1/1/1990,"",IF(Main[[#This Row],[Class]]="C",WORKDAY(Main[[#This Row],[Tech Start Date]],23),IF(Main[[#This Row],[Class]]="B", WORKDAY(Main[[#This Row],[Tech Start Date]],15),IF(Main[[#This Row],[Class]]="A",WORKDAY(Main[[#This Row],[Tech Start Date]],5),""))))</f>
        <v/>
      </c>
      <c r="P484" s="104" t="str">
        <f>IF(Main[[#This Row],[Tech Start Date]]&lt;1/1/1990,"",IF(Main[[#This Row],[Class]]="C",WORKDAY(Main[[#This Row],[Tech Start Date]],28),IF(Main[[#This Row],[Class]]="B", WORKDAY(Main[[#This Row],[Tech Start Date]],19),IF(Main[[#This Row],[Class]]="A",WORKDAY(Main[[#This Row],[Tech Start Date]],9),""))))</f>
        <v/>
      </c>
      <c r="Q484" s="101">
        <v>40405</v>
      </c>
      <c r="R484" s="101"/>
      <c r="S484" s="99" t="s">
        <v>6</v>
      </c>
      <c r="T484" s="107" t="s">
        <v>4</v>
      </c>
      <c r="U484" s="99" t="s">
        <v>29</v>
      </c>
      <c r="V484" s="99" t="s">
        <v>1962</v>
      </c>
      <c r="W484" s="99" t="s">
        <v>1970</v>
      </c>
    </row>
    <row r="485" spans="1:23" ht="18.600000000000001" customHeight="1">
      <c r="A485" s="123" t="str">
        <f>IF(priority(Main[[#This Row],[Comments]])&lt;&gt;0, priority(Main[[#This Row],[Comments]]),"")</f>
        <v/>
      </c>
      <c r="B485" s="127" t="s">
        <v>1855</v>
      </c>
      <c r="C485" s="99" t="s">
        <v>95</v>
      </c>
      <c r="D485" s="100" t="s">
        <v>880</v>
      </c>
      <c r="E485" s="101"/>
      <c r="F485" s="101"/>
      <c r="G485" s="102" t="str">
        <f>IF(stdProdLT(Main[[#This Row],[Comments]])=0.1,"N/A",IF(stdProdLT(Main[[#This Row],[Comments]])=0,"",stdProdLT(Main[[#This Row],[Comments]])))</f>
        <v/>
      </c>
      <c r="H485" s="103" t="str">
        <f>IF(AND(Main[[#This Row],[In Stock Date]]&lt;&gt;"",Main[[#This Row],[Revised Due Date]]&lt;&gt;""),Main[[#This Row],[In Stock Date]]-Main[[#This Row],[Revised Due Date]],"")</f>
        <v/>
      </c>
      <c r="I485" s="99" t="s">
        <v>4</v>
      </c>
      <c r="J485" s="99" t="s">
        <v>4</v>
      </c>
      <c r="K485" s="99" t="s">
        <v>4</v>
      </c>
      <c r="L485" s="101"/>
      <c r="M485" s="104" t="str">
        <f>IF(Main[[#This Row],[Tech Start Date]]&lt;1/1/1990,"",IF(Main[[#This Row],[Class]]="C",WORKDAY(Main[[#This Row],[Tech Start Date]],9),IF(Main[[#This Row],[Class]]="B", WORKDAY(Main[[#This Row],[Tech Start Date]],6),IF(Main[[#This Row],[Class]]="A",WORKDAY(Main[[#This Row],[Tech Start Date]],2),""))))</f>
        <v/>
      </c>
      <c r="N485" s="104" t="str">
        <f>IF(Main[[#This Row],[Tech Start Date]]&lt;1/1/1990,"",IF(Main[[#This Row],[Class]]="C",WORKDAY(Main[[#This Row],[Tech Start Date]],19),IF(Main[[#This Row],[Class]]="B", WORKDAY(Main[[#This Row],[Tech Start Date]],12),IF(Main[[#This Row],[Class]]="A",WORKDAY(Main[[#This Row],[Tech Start Date]],4),""))))</f>
        <v/>
      </c>
      <c r="O485" s="104" t="str">
        <f>IF(Main[[#This Row],[Tech Start Date]]&lt;1/1/1990,"",IF(Main[[#This Row],[Class]]="C",WORKDAY(Main[[#This Row],[Tech Start Date]],23),IF(Main[[#This Row],[Class]]="B", WORKDAY(Main[[#This Row],[Tech Start Date]],15),IF(Main[[#This Row],[Class]]="A",WORKDAY(Main[[#This Row],[Tech Start Date]],5),""))))</f>
        <v/>
      </c>
      <c r="P485" s="104" t="str">
        <f>IF(Main[[#This Row],[Tech Start Date]]&lt;1/1/1990,"",IF(Main[[#This Row],[Class]]="C",WORKDAY(Main[[#This Row],[Tech Start Date]],28),IF(Main[[#This Row],[Class]]="B", WORKDAY(Main[[#This Row],[Tech Start Date]],19),IF(Main[[#This Row],[Class]]="A",WORKDAY(Main[[#This Row],[Tech Start Date]],9),""))))</f>
        <v/>
      </c>
      <c r="Q485" s="101">
        <v>40206</v>
      </c>
      <c r="R485" s="101">
        <v>40284</v>
      </c>
      <c r="S485" s="99" t="s">
        <v>11</v>
      </c>
      <c r="T485" s="107" t="s">
        <v>4</v>
      </c>
      <c r="U485" s="99" t="s">
        <v>14</v>
      </c>
      <c r="V485" s="99" t="s">
        <v>1963</v>
      </c>
      <c r="W485" s="99" t="s">
        <v>1964</v>
      </c>
    </row>
    <row r="486" spans="1:23" ht="18.600000000000001" customHeight="1">
      <c r="A486" s="123" t="str">
        <f>IF(priority(Main[[#This Row],[Comments]])&lt;&gt;0, priority(Main[[#This Row],[Comments]]),"")</f>
        <v/>
      </c>
      <c r="B486" s="127" t="s">
        <v>1643</v>
      </c>
      <c r="C486" s="99" t="s">
        <v>4</v>
      </c>
      <c r="D486" s="100" t="s">
        <v>687</v>
      </c>
      <c r="E486" s="101">
        <v>40619.658206018517</v>
      </c>
      <c r="F486" s="101"/>
      <c r="G486" s="102" t="str">
        <f>IF(stdProdLT(Main[[#This Row],[Comments]])=0.1,"N/A",IF(stdProdLT(Main[[#This Row],[Comments]])=0,"",stdProdLT(Main[[#This Row],[Comments]])))</f>
        <v/>
      </c>
      <c r="H486" s="103" t="str">
        <f>IF(AND(Main[[#This Row],[In Stock Date]]&lt;&gt;"",Main[[#This Row],[Revised Due Date]]&lt;&gt;""),Main[[#This Row],[In Stock Date]]-Main[[#This Row],[Revised Due Date]],"")</f>
        <v/>
      </c>
      <c r="I486" s="99" t="s">
        <v>939</v>
      </c>
      <c r="J486" s="99" t="s">
        <v>28</v>
      </c>
      <c r="K486" s="108" t="s">
        <v>1971</v>
      </c>
      <c r="L486" s="101"/>
      <c r="M486" s="104" t="str">
        <f>IF(Main[[#This Row],[Tech Start Date]]&lt;1/1/1990,"",IF(Main[[#This Row],[Class]]="C",WORKDAY(Main[[#This Row],[Tech Start Date]],9),IF(Main[[#This Row],[Class]]="B", WORKDAY(Main[[#This Row],[Tech Start Date]],6),IF(Main[[#This Row],[Class]]="A",WORKDAY(Main[[#This Row],[Tech Start Date]],2),""))))</f>
        <v/>
      </c>
      <c r="N486" s="104" t="str">
        <f>IF(Main[[#This Row],[Tech Start Date]]&lt;1/1/1990,"",IF(Main[[#This Row],[Class]]="C",WORKDAY(Main[[#This Row],[Tech Start Date]],19),IF(Main[[#This Row],[Class]]="B", WORKDAY(Main[[#This Row],[Tech Start Date]],12),IF(Main[[#This Row],[Class]]="A",WORKDAY(Main[[#This Row],[Tech Start Date]],4),""))))</f>
        <v/>
      </c>
      <c r="O486" s="104" t="str">
        <f>IF(Main[[#This Row],[Tech Start Date]]&lt;1/1/1990,"",IF(Main[[#This Row],[Class]]="C",WORKDAY(Main[[#This Row],[Tech Start Date]],23),IF(Main[[#This Row],[Class]]="B", WORKDAY(Main[[#This Row],[Tech Start Date]],15),IF(Main[[#This Row],[Class]]="A",WORKDAY(Main[[#This Row],[Tech Start Date]],5),""))))</f>
        <v/>
      </c>
      <c r="P486" s="104" t="str">
        <f>IF(Main[[#This Row],[Tech Start Date]]&lt;1/1/1990,"",IF(Main[[#This Row],[Class]]="C",WORKDAY(Main[[#This Row],[Tech Start Date]],28),IF(Main[[#This Row],[Class]]="B", WORKDAY(Main[[#This Row],[Tech Start Date]],19),IF(Main[[#This Row],[Class]]="A",WORKDAY(Main[[#This Row],[Tech Start Date]],9),""))))</f>
        <v/>
      </c>
      <c r="Q486" s="101"/>
      <c r="R486" s="101"/>
      <c r="S486" s="99" t="s">
        <v>6</v>
      </c>
      <c r="T486" s="107" t="s">
        <v>4</v>
      </c>
      <c r="U486" s="99" t="s">
        <v>29</v>
      </c>
      <c r="V486" s="99" t="s">
        <v>1977</v>
      </c>
      <c r="W486" s="99" t="s">
        <v>1964</v>
      </c>
    </row>
    <row r="487" spans="1:23" ht="18.600000000000001" customHeight="1">
      <c r="A487" s="123" t="str">
        <f>IF(priority(Main[[#This Row],[Comments]])&lt;&gt;0, priority(Main[[#This Row],[Comments]]),"")</f>
        <v/>
      </c>
      <c r="B487" s="127" t="s">
        <v>1380</v>
      </c>
      <c r="C487" s="99" t="s">
        <v>4</v>
      </c>
      <c r="D487" s="100" t="s">
        <v>436</v>
      </c>
      <c r="E487" s="101">
        <v>40585.693101851852</v>
      </c>
      <c r="F487" s="101"/>
      <c r="G487" s="102" t="str">
        <f>IF(stdProdLT(Main[[#This Row],[Comments]])=0.1,"N/A",IF(stdProdLT(Main[[#This Row],[Comments]])=0,"",stdProdLT(Main[[#This Row],[Comments]])))</f>
        <v/>
      </c>
      <c r="H487" s="103" t="str">
        <f>IF(AND(Main[[#This Row],[In Stock Date]]&lt;&gt;"",Main[[#This Row],[Revised Due Date]]&lt;&gt;""),Main[[#This Row],[In Stock Date]]-Main[[#This Row],[Revised Due Date]],"")</f>
        <v/>
      </c>
      <c r="I487" s="99" t="s">
        <v>437</v>
      </c>
      <c r="J487" s="99" t="s">
        <v>21</v>
      </c>
      <c r="K487" s="108" t="s">
        <v>4</v>
      </c>
      <c r="L487" s="101"/>
      <c r="M487" s="104" t="str">
        <f>IF(Main[[#This Row],[Tech Start Date]]&lt;1/1/1990,"",IF(Main[[#This Row],[Class]]="C",WORKDAY(Main[[#This Row],[Tech Start Date]],9),IF(Main[[#This Row],[Class]]="B", WORKDAY(Main[[#This Row],[Tech Start Date]],6),IF(Main[[#This Row],[Class]]="A",WORKDAY(Main[[#This Row],[Tech Start Date]],2),""))))</f>
        <v/>
      </c>
      <c r="N487" s="104" t="str">
        <f>IF(Main[[#This Row],[Tech Start Date]]&lt;1/1/1990,"",IF(Main[[#This Row],[Class]]="C",WORKDAY(Main[[#This Row],[Tech Start Date]],19),IF(Main[[#This Row],[Class]]="B", WORKDAY(Main[[#This Row],[Tech Start Date]],12),IF(Main[[#This Row],[Class]]="A",WORKDAY(Main[[#This Row],[Tech Start Date]],4),""))))</f>
        <v/>
      </c>
      <c r="O487" s="104" t="str">
        <f>IF(Main[[#This Row],[Tech Start Date]]&lt;1/1/1990,"",IF(Main[[#This Row],[Class]]="C",WORKDAY(Main[[#This Row],[Tech Start Date]],23),IF(Main[[#This Row],[Class]]="B", WORKDAY(Main[[#This Row],[Tech Start Date]],15),IF(Main[[#This Row],[Class]]="A",WORKDAY(Main[[#This Row],[Tech Start Date]],5),""))))</f>
        <v/>
      </c>
      <c r="P487" s="104" t="str">
        <f>IF(Main[[#This Row],[Tech Start Date]]&lt;1/1/1990,"",IF(Main[[#This Row],[Class]]="C",WORKDAY(Main[[#This Row],[Tech Start Date]],28),IF(Main[[#This Row],[Class]]="B", WORKDAY(Main[[#This Row],[Tech Start Date]],19),IF(Main[[#This Row],[Class]]="A",WORKDAY(Main[[#This Row],[Tech Start Date]],9),""))))</f>
        <v/>
      </c>
      <c r="Q487" s="101">
        <v>40602</v>
      </c>
      <c r="R487" s="101"/>
      <c r="S487" s="99" t="s">
        <v>6</v>
      </c>
      <c r="T487" s="107" t="s">
        <v>4</v>
      </c>
      <c r="U487" s="99" t="s">
        <v>29</v>
      </c>
      <c r="V487" s="99" t="s">
        <v>1965</v>
      </c>
      <c r="W487" s="99" t="s">
        <v>1966</v>
      </c>
    </row>
    <row r="488" spans="1:23" ht="18.600000000000001" customHeight="1">
      <c r="A488" s="123" t="str">
        <f>IF(priority(Main[[#This Row],[Comments]])&lt;&gt;0, priority(Main[[#This Row],[Comments]]),"")</f>
        <v/>
      </c>
      <c r="B488" s="127" t="s">
        <v>1381</v>
      </c>
      <c r="C488" s="99" t="s">
        <v>4</v>
      </c>
      <c r="D488" s="100" t="s">
        <v>438</v>
      </c>
      <c r="E488" s="101"/>
      <c r="F488" s="101"/>
      <c r="G488" s="102" t="str">
        <f>IF(stdProdLT(Main[[#This Row],[Comments]])=0.1,"N/A",IF(stdProdLT(Main[[#This Row],[Comments]])=0,"",stdProdLT(Main[[#This Row],[Comments]])))</f>
        <v/>
      </c>
      <c r="H488" s="103" t="str">
        <f>IF(AND(Main[[#This Row],[In Stock Date]]&lt;&gt;"",Main[[#This Row],[Revised Due Date]]&lt;&gt;""),Main[[#This Row],[In Stock Date]]-Main[[#This Row],[Revised Due Date]],"")</f>
        <v/>
      </c>
      <c r="I488" s="99" t="s">
        <v>4</v>
      </c>
      <c r="J488" s="99" t="s">
        <v>4</v>
      </c>
      <c r="K488" s="99" t="s">
        <v>4</v>
      </c>
      <c r="L488" s="101"/>
      <c r="M488" s="104" t="str">
        <f>IF(Main[[#This Row],[Tech Start Date]]&lt;1/1/1990,"",IF(Main[[#This Row],[Class]]="C",WORKDAY(Main[[#This Row],[Tech Start Date]],9),IF(Main[[#This Row],[Class]]="B", WORKDAY(Main[[#This Row],[Tech Start Date]],6),IF(Main[[#This Row],[Class]]="A",WORKDAY(Main[[#This Row],[Tech Start Date]],2),""))))</f>
        <v/>
      </c>
      <c r="N488" s="104" t="str">
        <f>IF(Main[[#This Row],[Tech Start Date]]&lt;1/1/1990,"",IF(Main[[#This Row],[Class]]="C",WORKDAY(Main[[#This Row],[Tech Start Date]],19),IF(Main[[#This Row],[Class]]="B", WORKDAY(Main[[#This Row],[Tech Start Date]],12),IF(Main[[#This Row],[Class]]="A",WORKDAY(Main[[#This Row],[Tech Start Date]],4),""))))</f>
        <v/>
      </c>
      <c r="O488" s="104" t="str">
        <f>IF(Main[[#This Row],[Tech Start Date]]&lt;1/1/1990,"",IF(Main[[#This Row],[Class]]="C",WORKDAY(Main[[#This Row],[Tech Start Date]],23),IF(Main[[#This Row],[Class]]="B", WORKDAY(Main[[#This Row],[Tech Start Date]],15),IF(Main[[#This Row],[Class]]="A",WORKDAY(Main[[#This Row],[Tech Start Date]],5),""))))</f>
        <v/>
      </c>
      <c r="P488" s="104" t="str">
        <f>IF(Main[[#This Row],[Tech Start Date]]&lt;1/1/1990,"",IF(Main[[#This Row],[Class]]="C",WORKDAY(Main[[#This Row],[Tech Start Date]],28),IF(Main[[#This Row],[Class]]="B", WORKDAY(Main[[#This Row],[Tech Start Date]],19),IF(Main[[#This Row],[Class]]="A",WORKDAY(Main[[#This Row],[Tech Start Date]],9),""))))</f>
        <v/>
      </c>
      <c r="Q488" s="101"/>
      <c r="R488" s="101"/>
      <c r="S488" s="99" t="s">
        <v>4</v>
      </c>
      <c r="T488" s="107" t="s">
        <v>4</v>
      </c>
      <c r="U488" s="99" t="s">
        <v>14</v>
      </c>
      <c r="V488" s="99" t="s">
        <v>1962</v>
      </c>
      <c r="W488" s="99" t="s">
        <v>1976</v>
      </c>
    </row>
    <row r="489" spans="1:23" ht="18.600000000000001" customHeight="1">
      <c r="A489" s="123" t="str">
        <f>IF(priority(Main[[#This Row],[Comments]])&lt;&gt;0, priority(Main[[#This Row],[Comments]]),"")</f>
        <v/>
      </c>
      <c r="B489" s="127" t="s">
        <v>1383</v>
      </c>
      <c r="C489" s="99" t="s">
        <v>31</v>
      </c>
      <c r="D489" s="100" t="s">
        <v>441</v>
      </c>
      <c r="E489" s="101"/>
      <c r="F489" s="101"/>
      <c r="G489" s="102" t="str">
        <f>IF(stdProdLT(Main[[#This Row],[Comments]])=0.1,"N/A",IF(stdProdLT(Main[[#This Row],[Comments]])=0,"",stdProdLT(Main[[#This Row],[Comments]])))</f>
        <v/>
      </c>
      <c r="H489" s="103" t="str">
        <f>IF(AND(Main[[#This Row],[In Stock Date]]&lt;&gt;"",Main[[#This Row],[Revised Due Date]]&lt;&gt;""),Main[[#This Row],[In Stock Date]]-Main[[#This Row],[Revised Due Date]],"")</f>
        <v/>
      </c>
      <c r="I489" s="99" t="s">
        <v>4</v>
      </c>
      <c r="J489" s="99" t="s">
        <v>4</v>
      </c>
      <c r="K489" s="99" t="s">
        <v>4</v>
      </c>
      <c r="L489" s="101"/>
      <c r="M489" s="104" t="str">
        <f>IF(Main[[#This Row],[Tech Start Date]]&lt;1/1/1990,"",IF(Main[[#This Row],[Class]]="C",WORKDAY(Main[[#This Row],[Tech Start Date]],9),IF(Main[[#This Row],[Class]]="B", WORKDAY(Main[[#This Row],[Tech Start Date]],6),IF(Main[[#This Row],[Class]]="A",WORKDAY(Main[[#This Row],[Tech Start Date]],2),""))))</f>
        <v/>
      </c>
      <c r="N489" s="104" t="str">
        <f>IF(Main[[#This Row],[Tech Start Date]]&lt;1/1/1990,"",IF(Main[[#This Row],[Class]]="C",WORKDAY(Main[[#This Row],[Tech Start Date]],19),IF(Main[[#This Row],[Class]]="B", WORKDAY(Main[[#This Row],[Tech Start Date]],12),IF(Main[[#This Row],[Class]]="A",WORKDAY(Main[[#This Row],[Tech Start Date]],4),""))))</f>
        <v/>
      </c>
      <c r="O489" s="104" t="str">
        <f>IF(Main[[#This Row],[Tech Start Date]]&lt;1/1/1990,"",IF(Main[[#This Row],[Class]]="C",WORKDAY(Main[[#This Row],[Tech Start Date]],23),IF(Main[[#This Row],[Class]]="B", WORKDAY(Main[[#This Row],[Tech Start Date]],15),IF(Main[[#This Row],[Class]]="A",WORKDAY(Main[[#This Row],[Tech Start Date]],5),""))))</f>
        <v/>
      </c>
      <c r="P489" s="104" t="str">
        <f>IF(Main[[#This Row],[Tech Start Date]]&lt;1/1/1990,"",IF(Main[[#This Row],[Class]]="C",WORKDAY(Main[[#This Row],[Tech Start Date]],28),IF(Main[[#This Row],[Class]]="B", WORKDAY(Main[[#This Row],[Tech Start Date]],19),IF(Main[[#This Row],[Class]]="A",WORKDAY(Main[[#This Row],[Tech Start Date]],9),""))))</f>
        <v/>
      </c>
      <c r="Q489" s="101">
        <v>40318</v>
      </c>
      <c r="R489" s="101"/>
      <c r="S489" s="99" t="s">
        <v>11</v>
      </c>
      <c r="T489" s="107" t="s">
        <v>4</v>
      </c>
      <c r="U489" s="99" t="s">
        <v>14</v>
      </c>
      <c r="V489" s="99" t="s">
        <v>1965</v>
      </c>
      <c r="W489" s="99" t="s">
        <v>1964</v>
      </c>
    </row>
    <row r="490" spans="1:23" ht="18.600000000000001" customHeight="1">
      <c r="A490" s="123" t="str">
        <f>IF(priority(Main[[#This Row],[Comments]])&lt;&gt;0, priority(Main[[#This Row],[Comments]]),"")</f>
        <v/>
      </c>
      <c r="B490" s="127" t="s">
        <v>1384</v>
      </c>
      <c r="C490" s="99" t="s">
        <v>442</v>
      </c>
      <c r="D490" s="100" t="s">
        <v>443</v>
      </c>
      <c r="E490" s="101"/>
      <c r="F490" s="101">
        <v>40056</v>
      </c>
      <c r="G490" s="102" t="str">
        <f>IF(stdProdLT(Main[[#This Row],[Comments]])=0.1,"N/A",IF(stdProdLT(Main[[#This Row],[Comments]])=0,"",stdProdLT(Main[[#This Row],[Comments]])))</f>
        <v/>
      </c>
      <c r="H490" s="103" t="str">
        <f>IF(AND(Main[[#This Row],[In Stock Date]]&lt;&gt;"",Main[[#This Row],[Revised Due Date]]&lt;&gt;""),Main[[#This Row],[In Stock Date]]-Main[[#This Row],[Revised Due Date]],"")</f>
        <v/>
      </c>
      <c r="I490" s="99" t="s">
        <v>4</v>
      </c>
      <c r="J490" s="99" t="s">
        <v>4</v>
      </c>
      <c r="K490" s="99" t="s">
        <v>4</v>
      </c>
      <c r="L490" s="101"/>
      <c r="M490" s="104" t="str">
        <f>IF(Main[[#This Row],[Tech Start Date]]&lt;1/1/1990,"",IF(Main[[#This Row],[Class]]="C",WORKDAY(Main[[#This Row],[Tech Start Date]],9),IF(Main[[#This Row],[Class]]="B", WORKDAY(Main[[#This Row],[Tech Start Date]],6),IF(Main[[#This Row],[Class]]="A",WORKDAY(Main[[#This Row],[Tech Start Date]],2),""))))</f>
        <v/>
      </c>
      <c r="N490" s="104" t="str">
        <f>IF(Main[[#This Row],[Tech Start Date]]&lt;1/1/1990,"",IF(Main[[#This Row],[Class]]="C",WORKDAY(Main[[#This Row],[Tech Start Date]],19),IF(Main[[#This Row],[Class]]="B", WORKDAY(Main[[#This Row],[Tech Start Date]],12),IF(Main[[#This Row],[Class]]="A",WORKDAY(Main[[#This Row],[Tech Start Date]],4),""))))</f>
        <v/>
      </c>
      <c r="O490" s="104" t="str">
        <f>IF(Main[[#This Row],[Tech Start Date]]&lt;1/1/1990,"",IF(Main[[#This Row],[Class]]="C",WORKDAY(Main[[#This Row],[Tech Start Date]],23),IF(Main[[#This Row],[Class]]="B", WORKDAY(Main[[#This Row],[Tech Start Date]],15),IF(Main[[#This Row],[Class]]="A",WORKDAY(Main[[#This Row],[Tech Start Date]],5),""))))</f>
        <v/>
      </c>
      <c r="P490" s="104" t="str">
        <f>IF(Main[[#This Row],[Tech Start Date]]&lt;1/1/1990,"",IF(Main[[#This Row],[Class]]="C",WORKDAY(Main[[#This Row],[Tech Start Date]],28),IF(Main[[#This Row],[Class]]="B", WORKDAY(Main[[#This Row],[Tech Start Date]],19),IF(Main[[#This Row],[Class]]="A",WORKDAY(Main[[#This Row],[Tech Start Date]],9),""))))</f>
        <v/>
      </c>
      <c r="Q490" s="101"/>
      <c r="R490" s="101"/>
      <c r="S490" s="99" t="s">
        <v>11</v>
      </c>
      <c r="T490" s="107" t="s">
        <v>4</v>
      </c>
      <c r="U490" s="99" t="s">
        <v>14</v>
      </c>
      <c r="V490" s="99" t="s">
        <v>1962</v>
      </c>
      <c r="W490" s="99" t="s">
        <v>1970</v>
      </c>
    </row>
    <row r="491" spans="1:23" ht="18.600000000000001" customHeight="1">
      <c r="A491" s="123" t="str">
        <f>IF(priority(Main[[#This Row],[Comments]])&lt;&gt;0, priority(Main[[#This Row],[Comments]]),"")</f>
        <v/>
      </c>
      <c r="B491" s="127" t="s">
        <v>1385</v>
      </c>
      <c r="C491" s="99" t="s">
        <v>31</v>
      </c>
      <c r="D491" s="100" t="s">
        <v>444</v>
      </c>
      <c r="E491" s="101"/>
      <c r="F491" s="101"/>
      <c r="G491" s="102" t="str">
        <f>IF(stdProdLT(Main[[#This Row],[Comments]])=0.1,"N/A",IF(stdProdLT(Main[[#This Row],[Comments]])=0,"",stdProdLT(Main[[#This Row],[Comments]])))</f>
        <v/>
      </c>
      <c r="H491" s="103" t="str">
        <f>IF(AND(Main[[#This Row],[In Stock Date]]&lt;&gt;"",Main[[#This Row],[Revised Due Date]]&lt;&gt;""),Main[[#This Row],[In Stock Date]]-Main[[#This Row],[Revised Due Date]],"")</f>
        <v/>
      </c>
      <c r="I491" s="99" t="s">
        <v>4</v>
      </c>
      <c r="J491" s="99" t="s">
        <v>4</v>
      </c>
      <c r="K491" s="99" t="s">
        <v>4</v>
      </c>
      <c r="L491" s="101"/>
      <c r="M491" s="104" t="str">
        <f>IF(Main[[#This Row],[Tech Start Date]]&lt;1/1/1990,"",IF(Main[[#This Row],[Class]]="C",WORKDAY(Main[[#This Row],[Tech Start Date]],9),IF(Main[[#This Row],[Class]]="B", WORKDAY(Main[[#This Row],[Tech Start Date]],6),IF(Main[[#This Row],[Class]]="A",WORKDAY(Main[[#This Row],[Tech Start Date]],2),""))))</f>
        <v/>
      </c>
      <c r="N491" s="104" t="str">
        <f>IF(Main[[#This Row],[Tech Start Date]]&lt;1/1/1990,"",IF(Main[[#This Row],[Class]]="C",WORKDAY(Main[[#This Row],[Tech Start Date]],19),IF(Main[[#This Row],[Class]]="B", WORKDAY(Main[[#This Row],[Tech Start Date]],12),IF(Main[[#This Row],[Class]]="A",WORKDAY(Main[[#This Row],[Tech Start Date]],4),""))))</f>
        <v/>
      </c>
      <c r="O491" s="104" t="str">
        <f>IF(Main[[#This Row],[Tech Start Date]]&lt;1/1/1990,"",IF(Main[[#This Row],[Class]]="C",WORKDAY(Main[[#This Row],[Tech Start Date]],23),IF(Main[[#This Row],[Class]]="B", WORKDAY(Main[[#This Row],[Tech Start Date]],15),IF(Main[[#This Row],[Class]]="A",WORKDAY(Main[[#This Row],[Tech Start Date]],5),""))))</f>
        <v/>
      </c>
      <c r="P491" s="104" t="str">
        <f>IF(Main[[#This Row],[Tech Start Date]]&lt;1/1/1990,"",IF(Main[[#This Row],[Class]]="C",WORKDAY(Main[[#This Row],[Tech Start Date]],28),IF(Main[[#This Row],[Class]]="B", WORKDAY(Main[[#This Row],[Tech Start Date]],19),IF(Main[[#This Row],[Class]]="A",WORKDAY(Main[[#This Row],[Tech Start Date]],9),""))))</f>
        <v/>
      </c>
      <c r="Q491" s="101">
        <v>40318</v>
      </c>
      <c r="R491" s="101"/>
      <c r="S491" s="99" t="s">
        <v>11</v>
      </c>
      <c r="T491" s="107" t="s">
        <v>4</v>
      </c>
      <c r="U491" s="99" t="s">
        <v>14</v>
      </c>
      <c r="V491" s="99" t="s">
        <v>1965</v>
      </c>
      <c r="W491" s="99" t="s">
        <v>1973</v>
      </c>
    </row>
    <row r="492" spans="1:23" ht="18.600000000000001" customHeight="1">
      <c r="A492" s="123" t="str">
        <f>IF(priority(Main[[#This Row],[Comments]])&lt;&gt;0, priority(Main[[#This Row],[Comments]]),"")</f>
        <v/>
      </c>
      <c r="B492" s="127" t="s">
        <v>1386</v>
      </c>
      <c r="C492" s="99" t="s">
        <v>31</v>
      </c>
      <c r="D492" s="100" t="s">
        <v>445</v>
      </c>
      <c r="E492" s="101"/>
      <c r="F492" s="101"/>
      <c r="G492" s="102" t="str">
        <f>IF(stdProdLT(Main[[#This Row],[Comments]])=0.1,"N/A",IF(stdProdLT(Main[[#This Row],[Comments]])=0,"",stdProdLT(Main[[#This Row],[Comments]])))</f>
        <v/>
      </c>
      <c r="H492" s="103" t="str">
        <f>IF(AND(Main[[#This Row],[In Stock Date]]&lt;&gt;"",Main[[#This Row],[Revised Due Date]]&lt;&gt;""),Main[[#This Row],[In Stock Date]]-Main[[#This Row],[Revised Due Date]],"")</f>
        <v/>
      </c>
      <c r="I492" s="99" t="s">
        <v>4</v>
      </c>
      <c r="J492" s="99" t="s">
        <v>4</v>
      </c>
      <c r="K492" s="99" t="s">
        <v>4</v>
      </c>
      <c r="L492" s="101"/>
      <c r="M492" s="104" t="str">
        <f>IF(Main[[#This Row],[Tech Start Date]]&lt;1/1/1990,"",IF(Main[[#This Row],[Class]]="C",WORKDAY(Main[[#This Row],[Tech Start Date]],9),IF(Main[[#This Row],[Class]]="B", WORKDAY(Main[[#This Row],[Tech Start Date]],6),IF(Main[[#This Row],[Class]]="A",WORKDAY(Main[[#This Row],[Tech Start Date]],2),""))))</f>
        <v/>
      </c>
      <c r="N492" s="104" t="str">
        <f>IF(Main[[#This Row],[Tech Start Date]]&lt;1/1/1990,"",IF(Main[[#This Row],[Class]]="C",WORKDAY(Main[[#This Row],[Tech Start Date]],19),IF(Main[[#This Row],[Class]]="B", WORKDAY(Main[[#This Row],[Tech Start Date]],12),IF(Main[[#This Row],[Class]]="A",WORKDAY(Main[[#This Row],[Tech Start Date]],4),""))))</f>
        <v/>
      </c>
      <c r="O492" s="104" t="str">
        <f>IF(Main[[#This Row],[Tech Start Date]]&lt;1/1/1990,"",IF(Main[[#This Row],[Class]]="C",WORKDAY(Main[[#This Row],[Tech Start Date]],23),IF(Main[[#This Row],[Class]]="B", WORKDAY(Main[[#This Row],[Tech Start Date]],15),IF(Main[[#This Row],[Class]]="A",WORKDAY(Main[[#This Row],[Tech Start Date]],5),""))))</f>
        <v/>
      </c>
      <c r="P492" s="104" t="str">
        <f>IF(Main[[#This Row],[Tech Start Date]]&lt;1/1/1990,"",IF(Main[[#This Row],[Class]]="C",WORKDAY(Main[[#This Row],[Tech Start Date]],28),IF(Main[[#This Row],[Class]]="B", WORKDAY(Main[[#This Row],[Tech Start Date]],19),IF(Main[[#This Row],[Class]]="A",WORKDAY(Main[[#This Row],[Tech Start Date]],9),""))))</f>
        <v/>
      </c>
      <c r="Q492" s="101">
        <v>40318</v>
      </c>
      <c r="R492" s="101"/>
      <c r="S492" s="99" t="s">
        <v>11</v>
      </c>
      <c r="T492" s="107" t="s">
        <v>4</v>
      </c>
      <c r="U492" s="99" t="s">
        <v>14</v>
      </c>
      <c r="V492" s="99" t="s">
        <v>1965</v>
      </c>
      <c r="W492" s="99" t="s">
        <v>1964</v>
      </c>
    </row>
    <row r="493" spans="1:23" ht="18.600000000000001" customHeight="1">
      <c r="A493" s="123" t="str">
        <f>IF(priority(Main[[#This Row],[Comments]])&lt;&gt;0, priority(Main[[#This Row],[Comments]]),"")</f>
        <v/>
      </c>
      <c r="B493" s="127" t="s">
        <v>1388</v>
      </c>
      <c r="C493" s="99" t="s">
        <v>4</v>
      </c>
      <c r="D493" s="100" t="s">
        <v>447</v>
      </c>
      <c r="E493" s="101">
        <v>40371.342870370368</v>
      </c>
      <c r="F493" s="101"/>
      <c r="G493" s="102" t="str">
        <f>IF(stdProdLT(Main[[#This Row],[Comments]])=0.1,"N/A",IF(stdProdLT(Main[[#This Row],[Comments]])=0,"",stdProdLT(Main[[#This Row],[Comments]])))</f>
        <v/>
      </c>
      <c r="H493" s="103" t="str">
        <f>IF(AND(Main[[#This Row],[In Stock Date]]&lt;&gt;"",Main[[#This Row],[Revised Due Date]]&lt;&gt;""),Main[[#This Row],[In Stock Date]]-Main[[#This Row],[Revised Due Date]],"")</f>
        <v/>
      </c>
      <c r="I493" s="99" t="s">
        <v>4</v>
      </c>
      <c r="J493" s="99" t="s">
        <v>4</v>
      </c>
      <c r="K493" s="99" t="s">
        <v>4</v>
      </c>
      <c r="L493" s="101"/>
      <c r="M493" s="104" t="str">
        <f>IF(Main[[#This Row],[Tech Start Date]]&lt;1/1/1990,"",IF(Main[[#This Row],[Class]]="C",WORKDAY(Main[[#This Row],[Tech Start Date]],9),IF(Main[[#This Row],[Class]]="B", WORKDAY(Main[[#This Row],[Tech Start Date]],6),IF(Main[[#This Row],[Class]]="A",WORKDAY(Main[[#This Row],[Tech Start Date]],2),""))))</f>
        <v/>
      </c>
      <c r="N493" s="104" t="str">
        <f>IF(Main[[#This Row],[Tech Start Date]]&lt;1/1/1990,"",IF(Main[[#This Row],[Class]]="C",WORKDAY(Main[[#This Row],[Tech Start Date]],19),IF(Main[[#This Row],[Class]]="B", WORKDAY(Main[[#This Row],[Tech Start Date]],12),IF(Main[[#This Row],[Class]]="A",WORKDAY(Main[[#This Row],[Tech Start Date]],4),""))))</f>
        <v/>
      </c>
      <c r="O493" s="104" t="str">
        <f>IF(Main[[#This Row],[Tech Start Date]]&lt;1/1/1990,"",IF(Main[[#This Row],[Class]]="C",WORKDAY(Main[[#This Row],[Tech Start Date]],23),IF(Main[[#This Row],[Class]]="B", WORKDAY(Main[[#This Row],[Tech Start Date]],15),IF(Main[[#This Row],[Class]]="A",WORKDAY(Main[[#This Row],[Tech Start Date]],5),""))))</f>
        <v/>
      </c>
      <c r="P493" s="104" t="str">
        <f>IF(Main[[#This Row],[Tech Start Date]]&lt;1/1/1990,"",IF(Main[[#This Row],[Class]]="C",WORKDAY(Main[[#This Row],[Tech Start Date]],28),IF(Main[[#This Row],[Class]]="B", WORKDAY(Main[[#This Row],[Tech Start Date]],19),IF(Main[[#This Row],[Class]]="A",WORKDAY(Main[[#This Row],[Tech Start Date]],9),""))))</f>
        <v/>
      </c>
      <c r="Q493" s="101">
        <v>40385</v>
      </c>
      <c r="R493" s="101"/>
      <c r="S493" s="99" t="s">
        <v>6</v>
      </c>
      <c r="T493" s="107" t="s">
        <v>4</v>
      </c>
      <c r="U493" s="99" t="s">
        <v>7</v>
      </c>
      <c r="V493" s="99" t="s">
        <v>1962</v>
      </c>
      <c r="W493" s="99" t="s">
        <v>1964</v>
      </c>
    </row>
    <row r="494" spans="1:23" ht="18.600000000000001" customHeight="1">
      <c r="A494" s="123" t="str">
        <f>IF(priority(Main[[#This Row],[Comments]])&lt;&gt;0, priority(Main[[#This Row],[Comments]]),"")</f>
        <v/>
      </c>
      <c r="B494" s="127" t="s">
        <v>1389</v>
      </c>
      <c r="C494" s="99" t="s">
        <v>4</v>
      </c>
      <c r="D494" s="100" t="s">
        <v>448</v>
      </c>
      <c r="E494" s="101">
        <v>40679.250891203701</v>
      </c>
      <c r="F494" s="101"/>
      <c r="G494" s="102" t="str">
        <f>IF(stdProdLT(Main[[#This Row],[Comments]])=0.1,"N/A",IF(stdProdLT(Main[[#This Row],[Comments]])=0,"",stdProdLT(Main[[#This Row],[Comments]])))</f>
        <v/>
      </c>
      <c r="H494" s="103" t="str">
        <f>IF(AND(Main[[#This Row],[In Stock Date]]&lt;&gt;"",Main[[#This Row],[Revised Due Date]]&lt;&gt;""),Main[[#This Row],[In Stock Date]]-Main[[#This Row],[Revised Due Date]],"")</f>
        <v/>
      </c>
      <c r="I494" s="99" t="s">
        <v>4</v>
      </c>
      <c r="J494" s="99" t="s">
        <v>4</v>
      </c>
      <c r="K494" s="99" t="s">
        <v>4</v>
      </c>
      <c r="L494" s="101"/>
      <c r="M494" s="104" t="str">
        <f>IF(Main[[#This Row],[Tech Start Date]]&lt;1/1/1990,"",IF(Main[[#This Row],[Class]]="C",WORKDAY(Main[[#This Row],[Tech Start Date]],9),IF(Main[[#This Row],[Class]]="B", WORKDAY(Main[[#This Row],[Tech Start Date]],6),IF(Main[[#This Row],[Class]]="A",WORKDAY(Main[[#This Row],[Tech Start Date]],2),""))))</f>
        <v/>
      </c>
      <c r="N494" s="104" t="str">
        <f>IF(Main[[#This Row],[Tech Start Date]]&lt;1/1/1990,"",IF(Main[[#This Row],[Class]]="C",WORKDAY(Main[[#This Row],[Tech Start Date]],19),IF(Main[[#This Row],[Class]]="B", WORKDAY(Main[[#This Row],[Tech Start Date]],12),IF(Main[[#This Row],[Class]]="A",WORKDAY(Main[[#This Row],[Tech Start Date]],4),""))))</f>
        <v/>
      </c>
      <c r="O494" s="104" t="str">
        <f>IF(Main[[#This Row],[Tech Start Date]]&lt;1/1/1990,"",IF(Main[[#This Row],[Class]]="C",WORKDAY(Main[[#This Row],[Tech Start Date]],23),IF(Main[[#This Row],[Class]]="B", WORKDAY(Main[[#This Row],[Tech Start Date]],15),IF(Main[[#This Row],[Class]]="A",WORKDAY(Main[[#This Row],[Tech Start Date]],5),""))))</f>
        <v/>
      </c>
      <c r="P494" s="104" t="str">
        <f>IF(Main[[#This Row],[Tech Start Date]]&lt;1/1/1990,"",IF(Main[[#This Row],[Class]]="C",WORKDAY(Main[[#This Row],[Tech Start Date]],28),IF(Main[[#This Row],[Class]]="B", WORKDAY(Main[[#This Row],[Tech Start Date]],19),IF(Main[[#This Row],[Class]]="A",WORKDAY(Main[[#This Row],[Tech Start Date]],9),""))))</f>
        <v/>
      </c>
      <c r="Q494" s="101">
        <v>40724</v>
      </c>
      <c r="R494" s="101"/>
      <c r="S494" s="99" t="s">
        <v>6</v>
      </c>
      <c r="T494" s="107" t="s">
        <v>4</v>
      </c>
      <c r="U494" s="99" t="s">
        <v>7</v>
      </c>
      <c r="V494" s="99" t="s">
        <v>1962</v>
      </c>
      <c r="W494" s="99" t="s">
        <v>4</v>
      </c>
    </row>
    <row r="495" spans="1:23" ht="18.600000000000001" customHeight="1">
      <c r="A495" s="123" t="str">
        <f>IF(priority(Main[[#This Row],[Comments]])&lt;&gt;0, priority(Main[[#This Row],[Comments]]),"")</f>
        <v/>
      </c>
      <c r="B495" s="127" t="s">
        <v>1390</v>
      </c>
      <c r="C495" s="99" t="s">
        <v>4</v>
      </c>
      <c r="D495" s="100" t="s">
        <v>449</v>
      </c>
      <c r="E495" s="101"/>
      <c r="F495" s="101"/>
      <c r="G495" s="102" t="str">
        <f>IF(stdProdLT(Main[[#This Row],[Comments]])=0.1,"N/A",IF(stdProdLT(Main[[#This Row],[Comments]])=0,"",stdProdLT(Main[[#This Row],[Comments]])))</f>
        <v/>
      </c>
      <c r="H495" s="103" t="str">
        <f>IF(AND(Main[[#This Row],[In Stock Date]]&lt;&gt;"",Main[[#This Row],[Revised Due Date]]&lt;&gt;""),Main[[#This Row],[In Stock Date]]-Main[[#This Row],[Revised Due Date]],"")</f>
        <v/>
      </c>
      <c r="I495" s="99" t="s">
        <v>4</v>
      </c>
      <c r="J495" s="99" t="s">
        <v>4</v>
      </c>
      <c r="K495" s="99" t="s">
        <v>4</v>
      </c>
      <c r="L495" s="101"/>
      <c r="M495" s="104" t="str">
        <f>IF(Main[[#This Row],[Tech Start Date]]&lt;1/1/1990,"",IF(Main[[#This Row],[Class]]="C",WORKDAY(Main[[#This Row],[Tech Start Date]],9),IF(Main[[#This Row],[Class]]="B", WORKDAY(Main[[#This Row],[Tech Start Date]],6),IF(Main[[#This Row],[Class]]="A",WORKDAY(Main[[#This Row],[Tech Start Date]],2),""))))</f>
        <v/>
      </c>
      <c r="N495" s="104" t="str">
        <f>IF(Main[[#This Row],[Tech Start Date]]&lt;1/1/1990,"",IF(Main[[#This Row],[Class]]="C",WORKDAY(Main[[#This Row],[Tech Start Date]],19),IF(Main[[#This Row],[Class]]="B", WORKDAY(Main[[#This Row],[Tech Start Date]],12),IF(Main[[#This Row],[Class]]="A",WORKDAY(Main[[#This Row],[Tech Start Date]],4),""))))</f>
        <v/>
      </c>
      <c r="O495" s="104" t="str">
        <f>IF(Main[[#This Row],[Tech Start Date]]&lt;1/1/1990,"",IF(Main[[#This Row],[Class]]="C",WORKDAY(Main[[#This Row],[Tech Start Date]],23),IF(Main[[#This Row],[Class]]="B", WORKDAY(Main[[#This Row],[Tech Start Date]],15),IF(Main[[#This Row],[Class]]="A",WORKDAY(Main[[#This Row],[Tech Start Date]],5),""))))</f>
        <v/>
      </c>
      <c r="P495" s="104" t="str">
        <f>IF(Main[[#This Row],[Tech Start Date]]&lt;1/1/1990,"",IF(Main[[#This Row],[Class]]="C",WORKDAY(Main[[#This Row],[Tech Start Date]],28),IF(Main[[#This Row],[Class]]="B", WORKDAY(Main[[#This Row],[Tech Start Date]],19),IF(Main[[#This Row],[Class]]="A",WORKDAY(Main[[#This Row],[Tech Start Date]],9),""))))</f>
        <v/>
      </c>
      <c r="Q495" s="101"/>
      <c r="R495" s="101"/>
      <c r="S495" s="99" t="s">
        <v>11</v>
      </c>
      <c r="T495" s="107" t="s">
        <v>4</v>
      </c>
      <c r="U495" s="99" t="s">
        <v>14</v>
      </c>
      <c r="V495" s="99" t="s">
        <v>1972</v>
      </c>
      <c r="W495" s="99" t="s">
        <v>1968</v>
      </c>
    </row>
    <row r="496" spans="1:23" ht="18.600000000000001" customHeight="1">
      <c r="A496" s="123" t="str">
        <f>IF(priority(Main[[#This Row],[Comments]])&lt;&gt;0, priority(Main[[#This Row],[Comments]]),"")</f>
        <v/>
      </c>
      <c r="B496" s="127" t="s">
        <v>1391</v>
      </c>
      <c r="C496" s="99" t="s">
        <v>442</v>
      </c>
      <c r="D496" s="100" t="s">
        <v>450</v>
      </c>
      <c r="E496" s="101"/>
      <c r="F496" s="101"/>
      <c r="G496" s="102" t="str">
        <f>IF(stdProdLT(Main[[#This Row],[Comments]])=0.1,"N/A",IF(stdProdLT(Main[[#This Row],[Comments]])=0,"",stdProdLT(Main[[#This Row],[Comments]])))</f>
        <v/>
      </c>
      <c r="H496" s="103" t="str">
        <f>IF(AND(Main[[#This Row],[In Stock Date]]&lt;&gt;"",Main[[#This Row],[Revised Due Date]]&lt;&gt;""),Main[[#This Row],[In Stock Date]]-Main[[#This Row],[Revised Due Date]],"")</f>
        <v/>
      </c>
      <c r="I496" s="99" t="s">
        <v>4</v>
      </c>
      <c r="J496" s="99" t="s">
        <v>4</v>
      </c>
      <c r="K496" s="108" t="s">
        <v>4</v>
      </c>
      <c r="L496" s="101"/>
      <c r="M496" s="104" t="str">
        <f>IF(Main[[#This Row],[Tech Start Date]]&lt;1/1/1990,"",IF(Main[[#This Row],[Class]]="C",WORKDAY(Main[[#This Row],[Tech Start Date]],9),IF(Main[[#This Row],[Class]]="B", WORKDAY(Main[[#This Row],[Tech Start Date]],6),IF(Main[[#This Row],[Class]]="A",WORKDAY(Main[[#This Row],[Tech Start Date]],2),""))))</f>
        <v/>
      </c>
      <c r="N496" s="104" t="str">
        <f>IF(Main[[#This Row],[Tech Start Date]]&lt;1/1/1990,"",IF(Main[[#This Row],[Class]]="C",WORKDAY(Main[[#This Row],[Tech Start Date]],19),IF(Main[[#This Row],[Class]]="B", WORKDAY(Main[[#This Row],[Tech Start Date]],12),IF(Main[[#This Row],[Class]]="A",WORKDAY(Main[[#This Row],[Tech Start Date]],4),""))))</f>
        <v/>
      </c>
      <c r="O496" s="104" t="str">
        <f>IF(Main[[#This Row],[Tech Start Date]]&lt;1/1/1990,"",IF(Main[[#This Row],[Class]]="C",WORKDAY(Main[[#This Row],[Tech Start Date]],23),IF(Main[[#This Row],[Class]]="B", WORKDAY(Main[[#This Row],[Tech Start Date]],15),IF(Main[[#This Row],[Class]]="A",WORKDAY(Main[[#This Row],[Tech Start Date]],5),""))))</f>
        <v/>
      </c>
      <c r="P496" s="104" t="str">
        <f>IF(Main[[#This Row],[Tech Start Date]]&lt;1/1/1990,"",IF(Main[[#This Row],[Class]]="C",WORKDAY(Main[[#This Row],[Tech Start Date]],28),IF(Main[[#This Row],[Class]]="B", WORKDAY(Main[[#This Row],[Tech Start Date]],19),IF(Main[[#This Row],[Class]]="A",WORKDAY(Main[[#This Row],[Tech Start Date]],9),""))))</f>
        <v/>
      </c>
      <c r="Q496" s="101"/>
      <c r="R496" s="101"/>
      <c r="S496" s="99" t="s">
        <v>11</v>
      </c>
      <c r="T496" s="107" t="s">
        <v>4</v>
      </c>
      <c r="U496" s="99" t="s">
        <v>14</v>
      </c>
      <c r="V496" s="99" t="s">
        <v>1963</v>
      </c>
      <c r="W496" s="99" t="s">
        <v>1970</v>
      </c>
    </row>
    <row r="497" spans="1:23" ht="18.600000000000001" customHeight="1">
      <c r="A497" s="123" t="str">
        <f>IF(priority(Main[[#This Row],[Comments]])&lt;&gt;0, priority(Main[[#This Row],[Comments]]),"")</f>
        <v/>
      </c>
      <c r="B497" s="127" t="s">
        <v>1392</v>
      </c>
      <c r="C497" s="99" t="s">
        <v>47</v>
      </c>
      <c r="D497" s="100" t="s">
        <v>451</v>
      </c>
      <c r="E497" s="101"/>
      <c r="F497" s="101"/>
      <c r="G497" s="102" t="str">
        <f>IF(stdProdLT(Main[[#This Row],[Comments]])=0.1,"N/A",IF(stdProdLT(Main[[#This Row],[Comments]])=0,"",stdProdLT(Main[[#This Row],[Comments]])))</f>
        <v/>
      </c>
      <c r="H497" s="103" t="str">
        <f>IF(AND(Main[[#This Row],[In Stock Date]]&lt;&gt;"",Main[[#This Row],[Revised Due Date]]&lt;&gt;""),Main[[#This Row],[In Stock Date]]-Main[[#This Row],[Revised Due Date]],"")</f>
        <v/>
      </c>
      <c r="I497" s="99" t="s">
        <v>4</v>
      </c>
      <c r="J497" s="99" t="s">
        <v>4</v>
      </c>
      <c r="K497" s="99" t="s">
        <v>4</v>
      </c>
      <c r="L497" s="101"/>
      <c r="M497" s="104" t="str">
        <f>IF(Main[[#This Row],[Tech Start Date]]&lt;1/1/1990,"",IF(Main[[#This Row],[Class]]="C",WORKDAY(Main[[#This Row],[Tech Start Date]],9),IF(Main[[#This Row],[Class]]="B", WORKDAY(Main[[#This Row],[Tech Start Date]],6),IF(Main[[#This Row],[Class]]="A",WORKDAY(Main[[#This Row],[Tech Start Date]],2),""))))</f>
        <v/>
      </c>
      <c r="N497" s="104" t="str">
        <f>IF(Main[[#This Row],[Tech Start Date]]&lt;1/1/1990,"",IF(Main[[#This Row],[Class]]="C",WORKDAY(Main[[#This Row],[Tech Start Date]],19),IF(Main[[#This Row],[Class]]="B", WORKDAY(Main[[#This Row],[Tech Start Date]],12),IF(Main[[#This Row],[Class]]="A",WORKDAY(Main[[#This Row],[Tech Start Date]],4),""))))</f>
        <v/>
      </c>
      <c r="O497" s="104" t="str">
        <f>IF(Main[[#This Row],[Tech Start Date]]&lt;1/1/1990,"",IF(Main[[#This Row],[Class]]="C",WORKDAY(Main[[#This Row],[Tech Start Date]],23),IF(Main[[#This Row],[Class]]="B", WORKDAY(Main[[#This Row],[Tech Start Date]],15),IF(Main[[#This Row],[Class]]="A",WORKDAY(Main[[#This Row],[Tech Start Date]],5),""))))</f>
        <v/>
      </c>
      <c r="P497" s="104" t="str">
        <f>IF(Main[[#This Row],[Tech Start Date]]&lt;1/1/1990,"",IF(Main[[#This Row],[Class]]="C",WORKDAY(Main[[#This Row],[Tech Start Date]],28),IF(Main[[#This Row],[Class]]="B", WORKDAY(Main[[#This Row],[Tech Start Date]],19),IF(Main[[#This Row],[Class]]="A",WORKDAY(Main[[#This Row],[Tech Start Date]],9),""))))</f>
        <v/>
      </c>
      <c r="Q497" s="101"/>
      <c r="R497" s="101"/>
      <c r="S497" s="99" t="s">
        <v>49</v>
      </c>
      <c r="T497" s="107" t="s">
        <v>4</v>
      </c>
      <c r="U497" s="99" t="s">
        <v>14</v>
      </c>
      <c r="V497" s="99" t="s">
        <v>1965</v>
      </c>
      <c r="W497" s="99" t="s">
        <v>1966</v>
      </c>
    </row>
    <row r="498" spans="1:23" ht="18.600000000000001" customHeight="1">
      <c r="A498" s="123" t="str">
        <f>IF(priority(Main[[#This Row],[Comments]])&lt;&gt;0, priority(Main[[#This Row],[Comments]]),"")</f>
        <v/>
      </c>
      <c r="B498" s="127" t="s">
        <v>1393</v>
      </c>
      <c r="C498" s="99" t="s">
        <v>47</v>
      </c>
      <c r="D498" s="100" t="s">
        <v>452</v>
      </c>
      <c r="E498" s="101">
        <v>40323.347812499997</v>
      </c>
      <c r="F498" s="101"/>
      <c r="G498" s="102" t="str">
        <f>IF(stdProdLT(Main[[#This Row],[Comments]])=0.1,"N/A",IF(stdProdLT(Main[[#This Row],[Comments]])=0,"",stdProdLT(Main[[#This Row],[Comments]])))</f>
        <v/>
      </c>
      <c r="H498" s="103" t="str">
        <f>IF(AND(Main[[#This Row],[In Stock Date]]&lt;&gt;"",Main[[#This Row],[Revised Due Date]]&lt;&gt;""),Main[[#This Row],[In Stock Date]]-Main[[#This Row],[Revised Due Date]],"")</f>
        <v/>
      </c>
      <c r="I498" s="99" t="s">
        <v>129</v>
      </c>
      <c r="J498" s="99" t="s">
        <v>4</v>
      </c>
      <c r="K498" s="99" t="s">
        <v>4</v>
      </c>
      <c r="L498" s="101"/>
      <c r="M498" s="104" t="str">
        <f>IF(Main[[#This Row],[Tech Start Date]]&lt;1/1/1990,"",IF(Main[[#This Row],[Class]]="C",WORKDAY(Main[[#This Row],[Tech Start Date]],9),IF(Main[[#This Row],[Class]]="B", WORKDAY(Main[[#This Row],[Tech Start Date]],6),IF(Main[[#This Row],[Class]]="A",WORKDAY(Main[[#This Row],[Tech Start Date]],2),""))))</f>
        <v/>
      </c>
      <c r="N498" s="104" t="str">
        <f>IF(Main[[#This Row],[Tech Start Date]]&lt;1/1/1990,"",IF(Main[[#This Row],[Class]]="C",WORKDAY(Main[[#This Row],[Tech Start Date]],19),IF(Main[[#This Row],[Class]]="B", WORKDAY(Main[[#This Row],[Tech Start Date]],12),IF(Main[[#This Row],[Class]]="A",WORKDAY(Main[[#This Row],[Tech Start Date]],4),""))))</f>
        <v/>
      </c>
      <c r="O498" s="104" t="str">
        <f>IF(Main[[#This Row],[Tech Start Date]]&lt;1/1/1990,"",IF(Main[[#This Row],[Class]]="C",WORKDAY(Main[[#This Row],[Tech Start Date]],23),IF(Main[[#This Row],[Class]]="B", WORKDAY(Main[[#This Row],[Tech Start Date]],15),IF(Main[[#This Row],[Class]]="A",WORKDAY(Main[[#This Row],[Tech Start Date]],5),""))))</f>
        <v/>
      </c>
      <c r="P498" s="104" t="str">
        <f>IF(Main[[#This Row],[Tech Start Date]]&lt;1/1/1990,"",IF(Main[[#This Row],[Class]]="C",WORKDAY(Main[[#This Row],[Tech Start Date]],28),IF(Main[[#This Row],[Class]]="B", WORKDAY(Main[[#This Row],[Tech Start Date]],19),IF(Main[[#This Row],[Class]]="A",WORKDAY(Main[[#This Row],[Tech Start Date]],9),""))))</f>
        <v/>
      </c>
      <c r="Q498" s="101">
        <v>40340</v>
      </c>
      <c r="R498" s="101"/>
      <c r="S498" s="99" t="s">
        <v>6</v>
      </c>
      <c r="T498" s="107" t="s">
        <v>4</v>
      </c>
      <c r="U498" s="99" t="s">
        <v>29</v>
      </c>
      <c r="V498" s="99" t="s">
        <v>1962</v>
      </c>
      <c r="W498" s="99" t="s">
        <v>1966</v>
      </c>
    </row>
    <row r="499" spans="1:23" ht="18.600000000000001" customHeight="1">
      <c r="A499" s="123" t="str">
        <f>IF(priority(Main[[#This Row],[Comments]])&lt;&gt;0, priority(Main[[#This Row],[Comments]]),"")</f>
        <v/>
      </c>
      <c r="B499" s="127" t="s">
        <v>1394</v>
      </c>
      <c r="C499" s="99" t="s">
        <v>31</v>
      </c>
      <c r="D499" s="100" t="s">
        <v>453</v>
      </c>
      <c r="E499" s="101"/>
      <c r="F499" s="101"/>
      <c r="G499" s="102" t="str">
        <f>IF(stdProdLT(Main[[#This Row],[Comments]])=0.1,"N/A",IF(stdProdLT(Main[[#This Row],[Comments]])=0,"",stdProdLT(Main[[#This Row],[Comments]])))</f>
        <v/>
      </c>
      <c r="H499" s="103" t="str">
        <f>IF(AND(Main[[#This Row],[In Stock Date]]&lt;&gt;"",Main[[#This Row],[Revised Due Date]]&lt;&gt;""),Main[[#This Row],[In Stock Date]]-Main[[#This Row],[Revised Due Date]],"")</f>
        <v/>
      </c>
      <c r="I499" s="99" t="s">
        <v>4</v>
      </c>
      <c r="J499" s="99" t="s">
        <v>4</v>
      </c>
      <c r="K499" s="99" t="s">
        <v>4</v>
      </c>
      <c r="L499" s="101"/>
      <c r="M499" s="104" t="str">
        <f>IF(Main[[#This Row],[Tech Start Date]]&lt;1/1/1990,"",IF(Main[[#This Row],[Class]]="C",WORKDAY(Main[[#This Row],[Tech Start Date]],9),IF(Main[[#This Row],[Class]]="B", WORKDAY(Main[[#This Row],[Tech Start Date]],6),IF(Main[[#This Row],[Class]]="A",WORKDAY(Main[[#This Row],[Tech Start Date]],2),""))))</f>
        <v/>
      </c>
      <c r="N499" s="104" t="str">
        <f>IF(Main[[#This Row],[Tech Start Date]]&lt;1/1/1990,"",IF(Main[[#This Row],[Class]]="C",WORKDAY(Main[[#This Row],[Tech Start Date]],19),IF(Main[[#This Row],[Class]]="B", WORKDAY(Main[[#This Row],[Tech Start Date]],12),IF(Main[[#This Row],[Class]]="A",WORKDAY(Main[[#This Row],[Tech Start Date]],4),""))))</f>
        <v/>
      </c>
      <c r="O499" s="104" t="str">
        <f>IF(Main[[#This Row],[Tech Start Date]]&lt;1/1/1990,"",IF(Main[[#This Row],[Class]]="C",WORKDAY(Main[[#This Row],[Tech Start Date]],23),IF(Main[[#This Row],[Class]]="B", WORKDAY(Main[[#This Row],[Tech Start Date]],15),IF(Main[[#This Row],[Class]]="A",WORKDAY(Main[[#This Row],[Tech Start Date]],5),""))))</f>
        <v/>
      </c>
      <c r="P499" s="104" t="str">
        <f>IF(Main[[#This Row],[Tech Start Date]]&lt;1/1/1990,"",IF(Main[[#This Row],[Class]]="C",WORKDAY(Main[[#This Row],[Tech Start Date]],28),IF(Main[[#This Row],[Class]]="B", WORKDAY(Main[[#This Row],[Tech Start Date]],19),IF(Main[[#This Row],[Class]]="A",WORKDAY(Main[[#This Row],[Tech Start Date]],9),""))))</f>
        <v/>
      </c>
      <c r="Q499" s="101">
        <v>40318</v>
      </c>
      <c r="R499" s="101"/>
      <c r="S499" s="99" t="s">
        <v>11</v>
      </c>
      <c r="T499" s="107" t="s">
        <v>4</v>
      </c>
      <c r="U499" s="99" t="s">
        <v>14</v>
      </c>
      <c r="V499" s="99" t="s">
        <v>1965</v>
      </c>
      <c r="W499" s="99" t="s">
        <v>1973</v>
      </c>
    </row>
    <row r="500" spans="1:23" ht="18.600000000000001" customHeight="1">
      <c r="A500" s="123" t="str">
        <f>IF(priority(Main[[#This Row],[Comments]])&lt;&gt;0, priority(Main[[#This Row],[Comments]]),"")</f>
        <v/>
      </c>
      <c r="B500" s="127" t="s">
        <v>1395</v>
      </c>
      <c r="C500" s="99" t="s">
        <v>31</v>
      </c>
      <c r="D500" s="100" t="s">
        <v>454</v>
      </c>
      <c r="E500" s="101"/>
      <c r="F500" s="101"/>
      <c r="G500" s="102" t="str">
        <f>IF(stdProdLT(Main[[#This Row],[Comments]])=0.1,"N/A",IF(stdProdLT(Main[[#This Row],[Comments]])=0,"",stdProdLT(Main[[#This Row],[Comments]])))</f>
        <v/>
      </c>
      <c r="H500" s="103" t="str">
        <f>IF(AND(Main[[#This Row],[In Stock Date]]&lt;&gt;"",Main[[#This Row],[Revised Due Date]]&lt;&gt;""),Main[[#This Row],[In Stock Date]]-Main[[#This Row],[Revised Due Date]],"")</f>
        <v/>
      </c>
      <c r="I500" s="99" t="s">
        <v>4</v>
      </c>
      <c r="J500" s="99" t="s">
        <v>4</v>
      </c>
      <c r="K500" s="99" t="s">
        <v>4</v>
      </c>
      <c r="L500" s="101"/>
      <c r="M500" s="104" t="str">
        <f>IF(Main[[#This Row],[Tech Start Date]]&lt;1/1/1990,"",IF(Main[[#This Row],[Class]]="C",WORKDAY(Main[[#This Row],[Tech Start Date]],9),IF(Main[[#This Row],[Class]]="B", WORKDAY(Main[[#This Row],[Tech Start Date]],6),IF(Main[[#This Row],[Class]]="A",WORKDAY(Main[[#This Row],[Tech Start Date]],2),""))))</f>
        <v/>
      </c>
      <c r="N500" s="104" t="str">
        <f>IF(Main[[#This Row],[Tech Start Date]]&lt;1/1/1990,"",IF(Main[[#This Row],[Class]]="C",WORKDAY(Main[[#This Row],[Tech Start Date]],19),IF(Main[[#This Row],[Class]]="B", WORKDAY(Main[[#This Row],[Tech Start Date]],12),IF(Main[[#This Row],[Class]]="A",WORKDAY(Main[[#This Row],[Tech Start Date]],4),""))))</f>
        <v/>
      </c>
      <c r="O500" s="104" t="str">
        <f>IF(Main[[#This Row],[Tech Start Date]]&lt;1/1/1990,"",IF(Main[[#This Row],[Class]]="C",WORKDAY(Main[[#This Row],[Tech Start Date]],23),IF(Main[[#This Row],[Class]]="B", WORKDAY(Main[[#This Row],[Tech Start Date]],15),IF(Main[[#This Row],[Class]]="A",WORKDAY(Main[[#This Row],[Tech Start Date]],5),""))))</f>
        <v/>
      </c>
      <c r="P500" s="104" t="str">
        <f>IF(Main[[#This Row],[Tech Start Date]]&lt;1/1/1990,"",IF(Main[[#This Row],[Class]]="C",WORKDAY(Main[[#This Row],[Tech Start Date]],28),IF(Main[[#This Row],[Class]]="B", WORKDAY(Main[[#This Row],[Tech Start Date]],19),IF(Main[[#This Row],[Class]]="A",WORKDAY(Main[[#This Row],[Tech Start Date]],9),""))))</f>
        <v/>
      </c>
      <c r="Q500" s="101">
        <v>40318</v>
      </c>
      <c r="R500" s="101"/>
      <c r="S500" s="99" t="s">
        <v>11</v>
      </c>
      <c r="T500" s="107" t="s">
        <v>4</v>
      </c>
      <c r="U500" s="99" t="s">
        <v>14</v>
      </c>
      <c r="V500" s="99" t="s">
        <v>1965</v>
      </c>
      <c r="W500" s="99" t="s">
        <v>1973</v>
      </c>
    </row>
    <row r="501" spans="1:23" ht="18.600000000000001" customHeight="1">
      <c r="A501" s="123" t="str">
        <f>IF(priority(Main[[#This Row],[Comments]])&lt;&gt;0, priority(Main[[#This Row],[Comments]]),"")</f>
        <v/>
      </c>
      <c r="B501" s="127" t="s">
        <v>1396</v>
      </c>
      <c r="C501" s="99" t="s">
        <v>280</v>
      </c>
      <c r="D501" s="100" t="s">
        <v>455</v>
      </c>
      <c r="E501" s="101"/>
      <c r="F501" s="101">
        <v>40444</v>
      </c>
      <c r="G501" s="102" t="str">
        <f>IF(stdProdLT(Main[[#This Row],[Comments]])=0.1,"N/A",IF(stdProdLT(Main[[#This Row],[Comments]])=0,"",stdProdLT(Main[[#This Row],[Comments]])))</f>
        <v/>
      </c>
      <c r="H501" s="103" t="str">
        <f>IF(AND(Main[[#This Row],[In Stock Date]]&lt;&gt;"",Main[[#This Row],[Revised Due Date]]&lt;&gt;""),Main[[#This Row],[In Stock Date]]-Main[[#This Row],[Revised Due Date]],"")</f>
        <v/>
      </c>
      <c r="I501" s="99" t="s">
        <v>4</v>
      </c>
      <c r="J501" s="99" t="s">
        <v>4</v>
      </c>
      <c r="K501" s="99" t="s">
        <v>4</v>
      </c>
      <c r="L501" s="101"/>
      <c r="M501" s="104" t="str">
        <f>IF(Main[[#This Row],[Tech Start Date]]&lt;1/1/1990,"",IF(Main[[#This Row],[Class]]="C",WORKDAY(Main[[#This Row],[Tech Start Date]],9),IF(Main[[#This Row],[Class]]="B", WORKDAY(Main[[#This Row],[Tech Start Date]],6),IF(Main[[#This Row],[Class]]="A",WORKDAY(Main[[#This Row],[Tech Start Date]],2),""))))</f>
        <v/>
      </c>
      <c r="N501" s="104" t="str">
        <f>IF(Main[[#This Row],[Tech Start Date]]&lt;1/1/1990,"",IF(Main[[#This Row],[Class]]="C",WORKDAY(Main[[#This Row],[Tech Start Date]],19),IF(Main[[#This Row],[Class]]="B", WORKDAY(Main[[#This Row],[Tech Start Date]],12),IF(Main[[#This Row],[Class]]="A",WORKDAY(Main[[#This Row],[Tech Start Date]],4),""))))</f>
        <v/>
      </c>
      <c r="O501" s="104" t="str">
        <f>IF(Main[[#This Row],[Tech Start Date]]&lt;1/1/1990,"",IF(Main[[#This Row],[Class]]="C",WORKDAY(Main[[#This Row],[Tech Start Date]],23),IF(Main[[#This Row],[Class]]="B", WORKDAY(Main[[#This Row],[Tech Start Date]],15),IF(Main[[#This Row],[Class]]="A",WORKDAY(Main[[#This Row],[Tech Start Date]],5),""))))</f>
        <v/>
      </c>
      <c r="P501" s="104" t="str">
        <f>IF(Main[[#This Row],[Tech Start Date]]&lt;1/1/1990,"",IF(Main[[#This Row],[Class]]="C",WORKDAY(Main[[#This Row],[Tech Start Date]],28),IF(Main[[#This Row],[Class]]="B", WORKDAY(Main[[#This Row],[Tech Start Date]],19),IF(Main[[#This Row],[Class]]="A",WORKDAY(Main[[#This Row],[Tech Start Date]],9),""))))</f>
        <v/>
      </c>
      <c r="Q501" s="101">
        <v>40262</v>
      </c>
      <c r="R501" s="101"/>
      <c r="S501" s="99" t="s">
        <v>17</v>
      </c>
      <c r="T501" s="107" t="s">
        <v>4</v>
      </c>
      <c r="U501" s="99" t="s">
        <v>14</v>
      </c>
      <c r="V501" s="99" t="s">
        <v>1965</v>
      </c>
      <c r="W501" s="99" t="s">
        <v>1967</v>
      </c>
    </row>
    <row r="502" spans="1:23" ht="18.600000000000001" customHeight="1">
      <c r="A502" s="123" t="str">
        <f>IF(priority(Main[[#This Row],[Comments]])&lt;&gt;0, priority(Main[[#This Row],[Comments]]),"")</f>
        <v/>
      </c>
      <c r="B502" s="127" t="s">
        <v>1397</v>
      </c>
      <c r="C502" s="99" t="s">
        <v>67</v>
      </c>
      <c r="D502" s="100" t="s">
        <v>456</v>
      </c>
      <c r="E502" s="101"/>
      <c r="F502" s="101"/>
      <c r="G502" s="102" t="str">
        <f>IF(stdProdLT(Main[[#This Row],[Comments]])=0.1,"N/A",IF(stdProdLT(Main[[#This Row],[Comments]])=0,"",stdProdLT(Main[[#This Row],[Comments]])))</f>
        <v/>
      </c>
      <c r="H502" s="103" t="str">
        <f>IF(AND(Main[[#This Row],[In Stock Date]]&lt;&gt;"",Main[[#This Row],[Revised Due Date]]&lt;&gt;""),Main[[#This Row],[In Stock Date]]-Main[[#This Row],[Revised Due Date]],"")</f>
        <v/>
      </c>
      <c r="I502" s="99" t="s">
        <v>4</v>
      </c>
      <c r="J502" s="99" t="s">
        <v>4</v>
      </c>
      <c r="K502" s="99" t="s">
        <v>4</v>
      </c>
      <c r="L502" s="101"/>
      <c r="M502" s="104" t="str">
        <f>IF(Main[[#This Row],[Tech Start Date]]&lt;1/1/1990,"",IF(Main[[#This Row],[Class]]="C",WORKDAY(Main[[#This Row],[Tech Start Date]],9),IF(Main[[#This Row],[Class]]="B", WORKDAY(Main[[#This Row],[Tech Start Date]],6),IF(Main[[#This Row],[Class]]="A",WORKDAY(Main[[#This Row],[Tech Start Date]],2),""))))</f>
        <v/>
      </c>
      <c r="N502" s="104" t="str">
        <f>IF(Main[[#This Row],[Tech Start Date]]&lt;1/1/1990,"",IF(Main[[#This Row],[Class]]="C",WORKDAY(Main[[#This Row],[Tech Start Date]],19),IF(Main[[#This Row],[Class]]="B", WORKDAY(Main[[#This Row],[Tech Start Date]],12),IF(Main[[#This Row],[Class]]="A",WORKDAY(Main[[#This Row],[Tech Start Date]],4),""))))</f>
        <v/>
      </c>
      <c r="O502" s="104" t="str">
        <f>IF(Main[[#This Row],[Tech Start Date]]&lt;1/1/1990,"",IF(Main[[#This Row],[Class]]="C",WORKDAY(Main[[#This Row],[Tech Start Date]],23),IF(Main[[#This Row],[Class]]="B", WORKDAY(Main[[#This Row],[Tech Start Date]],15),IF(Main[[#This Row],[Class]]="A",WORKDAY(Main[[#This Row],[Tech Start Date]],5),""))))</f>
        <v/>
      </c>
      <c r="P502" s="104" t="str">
        <f>IF(Main[[#This Row],[Tech Start Date]]&lt;1/1/1990,"",IF(Main[[#This Row],[Class]]="C",WORKDAY(Main[[#This Row],[Tech Start Date]],28),IF(Main[[#This Row],[Class]]="B", WORKDAY(Main[[#This Row],[Tech Start Date]],19),IF(Main[[#This Row],[Class]]="A",WORKDAY(Main[[#This Row],[Tech Start Date]],9),""))))</f>
        <v/>
      </c>
      <c r="Q502" s="101"/>
      <c r="R502" s="101"/>
      <c r="S502" s="99" t="s">
        <v>11</v>
      </c>
      <c r="T502" s="107" t="s">
        <v>4</v>
      </c>
      <c r="U502" s="99" t="s">
        <v>12</v>
      </c>
      <c r="V502" s="99" t="s">
        <v>1963</v>
      </c>
      <c r="W502" s="99" t="s">
        <v>1970</v>
      </c>
    </row>
    <row r="503" spans="1:23" ht="18.600000000000001" customHeight="1">
      <c r="A503" s="123" t="str">
        <f>IF(priority(Main[[#This Row],[Comments]])&lt;&gt;0, priority(Main[[#This Row],[Comments]]),"")</f>
        <v/>
      </c>
      <c r="B503" s="127" t="s">
        <v>1398</v>
      </c>
      <c r="C503" s="99" t="s">
        <v>83</v>
      </c>
      <c r="D503" s="100" t="s">
        <v>457</v>
      </c>
      <c r="E503" s="101"/>
      <c r="F503" s="101"/>
      <c r="G503" s="102" t="str">
        <f>IF(stdProdLT(Main[[#This Row],[Comments]])=0.1,"N/A",IF(stdProdLT(Main[[#This Row],[Comments]])=0,"",stdProdLT(Main[[#This Row],[Comments]])))</f>
        <v/>
      </c>
      <c r="H503" s="103" t="str">
        <f>IF(AND(Main[[#This Row],[In Stock Date]]&lt;&gt;"",Main[[#This Row],[Revised Due Date]]&lt;&gt;""),Main[[#This Row],[In Stock Date]]-Main[[#This Row],[Revised Due Date]],"")</f>
        <v/>
      </c>
      <c r="I503" s="99" t="s">
        <v>4</v>
      </c>
      <c r="J503" s="99" t="s">
        <v>4</v>
      </c>
      <c r="K503" s="99" t="s">
        <v>4</v>
      </c>
      <c r="L503" s="101"/>
      <c r="M503" s="104" t="str">
        <f>IF(Main[[#This Row],[Tech Start Date]]&lt;1/1/1990,"",IF(Main[[#This Row],[Class]]="C",WORKDAY(Main[[#This Row],[Tech Start Date]],9),IF(Main[[#This Row],[Class]]="B", WORKDAY(Main[[#This Row],[Tech Start Date]],6),IF(Main[[#This Row],[Class]]="A",WORKDAY(Main[[#This Row],[Tech Start Date]],2),""))))</f>
        <v/>
      </c>
      <c r="N503" s="104" t="str">
        <f>IF(Main[[#This Row],[Tech Start Date]]&lt;1/1/1990,"",IF(Main[[#This Row],[Class]]="C",WORKDAY(Main[[#This Row],[Tech Start Date]],19),IF(Main[[#This Row],[Class]]="B", WORKDAY(Main[[#This Row],[Tech Start Date]],12),IF(Main[[#This Row],[Class]]="A",WORKDAY(Main[[#This Row],[Tech Start Date]],4),""))))</f>
        <v/>
      </c>
      <c r="O503" s="104" t="str">
        <f>IF(Main[[#This Row],[Tech Start Date]]&lt;1/1/1990,"",IF(Main[[#This Row],[Class]]="C",WORKDAY(Main[[#This Row],[Tech Start Date]],23),IF(Main[[#This Row],[Class]]="B", WORKDAY(Main[[#This Row],[Tech Start Date]],15),IF(Main[[#This Row],[Class]]="A",WORKDAY(Main[[#This Row],[Tech Start Date]],5),""))))</f>
        <v/>
      </c>
      <c r="P503" s="104" t="str">
        <f>IF(Main[[#This Row],[Tech Start Date]]&lt;1/1/1990,"",IF(Main[[#This Row],[Class]]="C",WORKDAY(Main[[#This Row],[Tech Start Date]],28),IF(Main[[#This Row],[Class]]="B", WORKDAY(Main[[#This Row],[Tech Start Date]],19),IF(Main[[#This Row],[Class]]="A",WORKDAY(Main[[#This Row],[Tech Start Date]],9),""))))</f>
        <v/>
      </c>
      <c r="Q503" s="101">
        <v>40252</v>
      </c>
      <c r="R503" s="101"/>
      <c r="S503" s="99" t="s">
        <v>11</v>
      </c>
      <c r="T503" s="107" t="s">
        <v>4</v>
      </c>
      <c r="U503" s="99" t="s">
        <v>14</v>
      </c>
      <c r="V503" s="99" t="s">
        <v>1962</v>
      </c>
      <c r="W503" s="99" t="s">
        <v>1973</v>
      </c>
    </row>
    <row r="504" spans="1:23" ht="18.600000000000001" customHeight="1">
      <c r="A504" s="123" t="str">
        <f>IF(priority(Main[[#This Row],[Comments]])&lt;&gt;0, priority(Main[[#This Row],[Comments]]),"")</f>
        <v/>
      </c>
      <c r="B504" s="127" t="s">
        <v>1399</v>
      </c>
      <c r="C504" s="99" t="s">
        <v>42</v>
      </c>
      <c r="D504" s="100" t="s">
        <v>458</v>
      </c>
      <c r="E504" s="101">
        <v>39932.393530092595</v>
      </c>
      <c r="F504" s="101"/>
      <c r="G504" s="102" t="str">
        <f>IF(stdProdLT(Main[[#This Row],[Comments]])=0.1,"N/A",IF(stdProdLT(Main[[#This Row],[Comments]])=0,"",stdProdLT(Main[[#This Row],[Comments]])))</f>
        <v/>
      </c>
      <c r="H504" s="103" t="str">
        <f>IF(AND(Main[[#This Row],[In Stock Date]]&lt;&gt;"",Main[[#This Row],[Revised Due Date]]&lt;&gt;""),Main[[#This Row],[In Stock Date]]-Main[[#This Row],[Revised Due Date]],"")</f>
        <v/>
      </c>
      <c r="I504" s="99" t="s">
        <v>4</v>
      </c>
      <c r="J504" s="99" t="s">
        <v>4</v>
      </c>
      <c r="K504" s="99" t="s">
        <v>4</v>
      </c>
      <c r="L504" s="101"/>
      <c r="M504" s="104" t="str">
        <f>IF(Main[[#This Row],[Tech Start Date]]&lt;1/1/1990,"",IF(Main[[#This Row],[Class]]="C",WORKDAY(Main[[#This Row],[Tech Start Date]],9),IF(Main[[#This Row],[Class]]="B", WORKDAY(Main[[#This Row],[Tech Start Date]],6),IF(Main[[#This Row],[Class]]="A",WORKDAY(Main[[#This Row],[Tech Start Date]],2),""))))</f>
        <v/>
      </c>
      <c r="N504" s="104" t="str">
        <f>IF(Main[[#This Row],[Tech Start Date]]&lt;1/1/1990,"",IF(Main[[#This Row],[Class]]="C",WORKDAY(Main[[#This Row],[Tech Start Date]],19),IF(Main[[#This Row],[Class]]="B", WORKDAY(Main[[#This Row],[Tech Start Date]],12),IF(Main[[#This Row],[Class]]="A",WORKDAY(Main[[#This Row],[Tech Start Date]],4),""))))</f>
        <v/>
      </c>
      <c r="O504" s="104" t="str">
        <f>IF(Main[[#This Row],[Tech Start Date]]&lt;1/1/1990,"",IF(Main[[#This Row],[Class]]="C",WORKDAY(Main[[#This Row],[Tech Start Date]],23),IF(Main[[#This Row],[Class]]="B", WORKDAY(Main[[#This Row],[Tech Start Date]],15),IF(Main[[#This Row],[Class]]="A",WORKDAY(Main[[#This Row],[Tech Start Date]],5),""))))</f>
        <v/>
      </c>
      <c r="P504" s="104" t="str">
        <f>IF(Main[[#This Row],[Tech Start Date]]&lt;1/1/1990,"",IF(Main[[#This Row],[Class]]="C",WORKDAY(Main[[#This Row],[Tech Start Date]],28),IF(Main[[#This Row],[Class]]="B", WORKDAY(Main[[#This Row],[Tech Start Date]],19),IF(Main[[#This Row],[Class]]="A",WORKDAY(Main[[#This Row],[Tech Start Date]],9),""))))</f>
        <v/>
      </c>
      <c r="Q504" s="101"/>
      <c r="R504" s="101"/>
      <c r="S504" s="99" t="s">
        <v>17</v>
      </c>
      <c r="T504" s="107" t="s">
        <v>4</v>
      </c>
      <c r="U504" s="99" t="s">
        <v>7</v>
      </c>
      <c r="V504" s="99" t="s">
        <v>1965</v>
      </c>
      <c r="W504" s="99" t="s">
        <v>4</v>
      </c>
    </row>
    <row r="505" spans="1:23" ht="18.600000000000001" customHeight="1">
      <c r="A505" s="123" t="str">
        <f>IF(priority(Main[[#This Row],[Comments]])&lt;&gt;0, priority(Main[[#This Row],[Comments]]),"")</f>
        <v/>
      </c>
      <c r="B505" s="127" t="s">
        <v>1400</v>
      </c>
      <c r="C505" s="99" t="s">
        <v>459</v>
      </c>
      <c r="D505" s="100" t="s">
        <v>460</v>
      </c>
      <c r="E505" s="101"/>
      <c r="F505" s="101"/>
      <c r="G505" s="102" t="str">
        <f>IF(stdProdLT(Main[[#This Row],[Comments]])=0.1,"N/A",IF(stdProdLT(Main[[#This Row],[Comments]])=0,"",stdProdLT(Main[[#This Row],[Comments]])))</f>
        <v/>
      </c>
      <c r="H505" s="103" t="str">
        <f>IF(AND(Main[[#This Row],[In Stock Date]]&lt;&gt;"",Main[[#This Row],[Revised Due Date]]&lt;&gt;""),Main[[#This Row],[In Stock Date]]-Main[[#This Row],[Revised Due Date]],"")</f>
        <v/>
      </c>
      <c r="I505" s="99" t="s">
        <v>4</v>
      </c>
      <c r="J505" s="99" t="s">
        <v>4</v>
      </c>
      <c r="K505" s="99" t="s">
        <v>4</v>
      </c>
      <c r="L505" s="101"/>
      <c r="M505" s="104" t="str">
        <f>IF(Main[[#This Row],[Tech Start Date]]&lt;1/1/1990,"",IF(Main[[#This Row],[Class]]="C",WORKDAY(Main[[#This Row],[Tech Start Date]],9),IF(Main[[#This Row],[Class]]="B", WORKDAY(Main[[#This Row],[Tech Start Date]],6),IF(Main[[#This Row],[Class]]="A",WORKDAY(Main[[#This Row],[Tech Start Date]],2),""))))</f>
        <v/>
      </c>
      <c r="N505" s="104" t="str">
        <f>IF(Main[[#This Row],[Tech Start Date]]&lt;1/1/1990,"",IF(Main[[#This Row],[Class]]="C",WORKDAY(Main[[#This Row],[Tech Start Date]],19),IF(Main[[#This Row],[Class]]="B", WORKDAY(Main[[#This Row],[Tech Start Date]],12),IF(Main[[#This Row],[Class]]="A",WORKDAY(Main[[#This Row],[Tech Start Date]],4),""))))</f>
        <v/>
      </c>
      <c r="O505" s="104" t="str">
        <f>IF(Main[[#This Row],[Tech Start Date]]&lt;1/1/1990,"",IF(Main[[#This Row],[Class]]="C",WORKDAY(Main[[#This Row],[Tech Start Date]],23),IF(Main[[#This Row],[Class]]="B", WORKDAY(Main[[#This Row],[Tech Start Date]],15),IF(Main[[#This Row],[Class]]="A",WORKDAY(Main[[#This Row],[Tech Start Date]],5),""))))</f>
        <v/>
      </c>
      <c r="P505" s="104" t="str">
        <f>IF(Main[[#This Row],[Tech Start Date]]&lt;1/1/1990,"",IF(Main[[#This Row],[Class]]="C",WORKDAY(Main[[#This Row],[Tech Start Date]],28),IF(Main[[#This Row],[Class]]="B", WORKDAY(Main[[#This Row],[Tech Start Date]],19),IF(Main[[#This Row],[Class]]="A",WORKDAY(Main[[#This Row],[Tech Start Date]],9),""))))</f>
        <v/>
      </c>
      <c r="Q505" s="101"/>
      <c r="R505" s="101"/>
      <c r="S505" s="99" t="s">
        <v>11</v>
      </c>
      <c r="T505" s="107" t="s">
        <v>4</v>
      </c>
      <c r="U505" s="99" t="s">
        <v>14</v>
      </c>
      <c r="V505" s="99" t="s">
        <v>1963</v>
      </c>
      <c r="W505" s="99" t="s">
        <v>1970</v>
      </c>
    </row>
    <row r="506" spans="1:23" ht="18.600000000000001" customHeight="1">
      <c r="A506" s="123" t="str">
        <f>IF(priority(Main[[#This Row],[Comments]])&lt;&gt;0, priority(Main[[#This Row],[Comments]]),"")</f>
        <v/>
      </c>
      <c r="B506" s="127" t="s">
        <v>1401</v>
      </c>
      <c r="C506" s="99" t="s">
        <v>461</v>
      </c>
      <c r="D506" s="100" t="s">
        <v>462</v>
      </c>
      <c r="E506" s="101"/>
      <c r="F506" s="101"/>
      <c r="G506" s="102" t="str">
        <f>IF(stdProdLT(Main[[#This Row],[Comments]])=0.1,"N/A",IF(stdProdLT(Main[[#This Row],[Comments]])=0,"",stdProdLT(Main[[#This Row],[Comments]])))</f>
        <v/>
      </c>
      <c r="H506" s="103" t="str">
        <f>IF(AND(Main[[#This Row],[In Stock Date]]&lt;&gt;"",Main[[#This Row],[Revised Due Date]]&lt;&gt;""),Main[[#This Row],[In Stock Date]]-Main[[#This Row],[Revised Due Date]],"")</f>
        <v/>
      </c>
      <c r="I506" s="99" t="s">
        <v>4</v>
      </c>
      <c r="J506" s="99" t="s">
        <v>4</v>
      </c>
      <c r="K506" s="99" t="s">
        <v>4</v>
      </c>
      <c r="L506" s="101"/>
      <c r="M506" s="104" t="str">
        <f>IF(Main[[#This Row],[Tech Start Date]]&lt;1/1/1990,"",IF(Main[[#This Row],[Class]]="C",WORKDAY(Main[[#This Row],[Tech Start Date]],9),IF(Main[[#This Row],[Class]]="B", WORKDAY(Main[[#This Row],[Tech Start Date]],6),IF(Main[[#This Row],[Class]]="A",WORKDAY(Main[[#This Row],[Tech Start Date]],2),""))))</f>
        <v/>
      </c>
      <c r="N506" s="104" t="str">
        <f>IF(Main[[#This Row],[Tech Start Date]]&lt;1/1/1990,"",IF(Main[[#This Row],[Class]]="C",WORKDAY(Main[[#This Row],[Tech Start Date]],19),IF(Main[[#This Row],[Class]]="B", WORKDAY(Main[[#This Row],[Tech Start Date]],12),IF(Main[[#This Row],[Class]]="A",WORKDAY(Main[[#This Row],[Tech Start Date]],4),""))))</f>
        <v/>
      </c>
      <c r="O506" s="104" t="str">
        <f>IF(Main[[#This Row],[Tech Start Date]]&lt;1/1/1990,"",IF(Main[[#This Row],[Class]]="C",WORKDAY(Main[[#This Row],[Tech Start Date]],23),IF(Main[[#This Row],[Class]]="B", WORKDAY(Main[[#This Row],[Tech Start Date]],15),IF(Main[[#This Row],[Class]]="A",WORKDAY(Main[[#This Row],[Tech Start Date]],5),""))))</f>
        <v/>
      </c>
      <c r="P506" s="104" t="str">
        <f>IF(Main[[#This Row],[Tech Start Date]]&lt;1/1/1990,"",IF(Main[[#This Row],[Class]]="C",WORKDAY(Main[[#This Row],[Tech Start Date]],28),IF(Main[[#This Row],[Class]]="B", WORKDAY(Main[[#This Row],[Tech Start Date]],19),IF(Main[[#This Row],[Class]]="A",WORKDAY(Main[[#This Row],[Tech Start Date]],9),""))))</f>
        <v/>
      </c>
      <c r="Q506" s="101"/>
      <c r="R506" s="101"/>
      <c r="S506" s="99" t="s">
        <v>11</v>
      </c>
      <c r="T506" s="107" t="s">
        <v>4</v>
      </c>
      <c r="U506" s="99" t="s">
        <v>14</v>
      </c>
      <c r="V506" s="99" t="s">
        <v>1963</v>
      </c>
      <c r="W506" s="99" t="s">
        <v>1970</v>
      </c>
    </row>
    <row r="507" spans="1:23" ht="18.600000000000001" customHeight="1">
      <c r="A507" s="123" t="str">
        <f>IF(priority(Main[[#This Row],[Comments]])&lt;&gt;0, priority(Main[[#This Row],[Comments]]),"")</f>
        <v/>
      </c>
      <c r="B507" s="127" t="s">
        <v>1402</v>
      </c>
      <c r="C507" s="99" t="s">
        <v>463</v>
      </c>
      <c r="D507" s="100" t="s">
        <v>464</v>
      </c>
      <c r="E507" s="101"/>
      <c r="F507" s="101">
        <v>40214</v>
      </c>
      <c r="G507" s="102" t="str">
        <f>IF(stdProdLT(Main[[#This Row],[Comments]])=0.1,"N/A",IF(stdProdLT(Main[[#This Row],[Comments]])=0,"",stdProdLT(Main[[#This Row],[Comments]])))</f>
        <v/>
      </c>
      <c r="H507" s="103" t="str">
        <f>IF(AND(Main[[#This Row],[In Stock Date]]&lt;&gt;"",Main[[#This Row],[Revised Due Date]]&lt;&gt;""),Main[[#This Row],[In Stock Date]]-Main[[#This Row],[Revised Due Date]],"")</f>
        <v/>
      </c>
      <c r="I507" s="99" t="s">
        <v>4</v>
      </c>
      <c r="J507" s="99" t="s">
        <v>4</v>
      </c>
      <c r="K507" s="99" t="s">
        <v>4</v>
      </c>
      <c r="L507" s="101"/>
      <c r="M507" s="104" t="str">
        <f>IF(Main[[#This Row],[Tech Start Date]]&lt;1/1/1990,"",IF(Main[[#This Row],[Class]]="C",WORKDAY(Main[[#This Row],[Tech Start Date]],9),IF(Main[[#This Row],[Class]]="B", WORKDAY(Main[[#This Row],[Tech Start Date]],6),IF(Main[[#This Row],[Class]]="A",WORKDAY(Main[[#This Row],[Tech Start Date]],2),""))))</f>
        <v/>
      </c>
      <c r="N507" s="104" t="str">
        <f>IF(Main[[#This Row],[Tech Start Date]]&lt;1/1/1990,"",IF(Main[[#This Row],[Class]]="C",WORKDAY(Main[[#This Row],[Tech Start Date]],19),IF(Main[[#This Row],[Class]]="B", WORKDAY(Main[[#This Row],[Tech Start Date]],12),IF(Main[[#This Row],[Class]]="A",WORKDAY(Main[[#This Row],[Tech Start Date]],4),""))))</f>
        <v/>
      </c>
      <c r="O507" s="104" t="str">
        <f>IF(Main[[#This Row],[Tech Start Date]]&lt;1/1/1990,"",IF(Main[[#This Row],[Class]]="C",WORKDAY(Main[[#This Row],[Tech Start Date]],23),IF(Main[[#This Row],[Class]]="B", WORKDAY(Main[[#This Row],[Tech Start Date]],15),IF(Main[[#This Row],[Class]]="A",WORKDAY(Main[[#This Row],[Tech Start Date]],5),""))))</f>
        <v/>
      </c>
      <c r="P507" s="104" t="str">
        <f>IF(Main[[#This Row],[Tech Start Date]]&lt;1/1/1990,"",IF(Main[[#This Row],[Class]]="C",WORKDAY(Main[[#This Row],[Tech Start Date]],28),IF(Main[[#This Row],[Class]]="B", WORKDAY(Main[[#This Row],[Tech Start Date]],19),IF(Main[[#This Row],[Class]]="A",WORKDAY(Main[[#This Row],[Tech Start Date]],9),""))))</f>
        <v/>
      </c>
      <c r="Q507" s="101">
        <v>40149</v>
      </c>
      <c r="R507" s="101"/>
      <c r="S507" s="99" t="s">
        <v>11</v>
      </c>
      <c r="T507" s="107" t="s">
        <v>4</v>
      </c>
      <c r="U507" s="99" t="s">
        <v>14</v>
      </c>
      <c r="V507" s="99" t="s">
        <v>1965</v>
      </c>
      <c r="W507" s="99" t="s">
        <v>1968</v>
      </c>
    </row>
    <row r="508" spans="1:23" ht="18.600000000000001" customHeight="1">
      <c r="A508" s="123" t="str">
        <f>IF(priority(Main[[#This Row],[Comments]])&lt;&gt;0, priority(Main[[#This Row],[Comments]]),"")</f>
        <v/>
      </c>
      <c r="B508" s="127" t="s">
        <v>1403</v>
      </c>
      <c r="C508" s="99" t="s">
        <v>93</v>
      </c>
      <c r="D508" s="100" t="s">
        <v>465</v>
      </c>
      <c r="E508" s="101"/>
      <c r="F508" s="101">
        <v>40210</v>
      </c>
      <c r="G508" s="102" t="str">
        <f>IF(stdProdLT(Main[[#This Row],[Comments]])=0.1,"N/A",IF(stdProdLT(Main[[#This Row],[Comments]])=0,"",stdProdLT(Main[[#This Row],[Comments]])))</f>
        <v/>
      </c>
      <c r="H508" s="103" t="str">
        <f>IF(AND(Main[[#This Row],[In Stock Date]]&lt;&gt;"",Main[[#This Row],[Revised Due Date]]&lt;&gt;""),Main[[#This Row],[In Stock Date]]-Main[[#This Row],[Revised Due Date]],"")</f>
        <v/>
      </c>
      <c r="I508" s="99" t="s">
        <v>4</v>
      </c>
      <c r="J508" s="99" t="s">
        <v>4</v>
      </c>
      <c r="K508" s="99" t="s">
        <v>4</v>
      </c>
      <c r="L508" s="101"/>
      <c r="M508" s="104" t="str">
        <f>IF(Main[[#This Row],[Tech Start Date]]&lt;1/1/1990,"",IF(Main[[#This Row],[Class]]="C",WORKDAY(Main[[#This Row],[Tech Start Date]],9),IF(Main[[#This Row],[Class]]="B", WORKDAY(Main[[#This Row],[Tech Start Date]],6),IF(Main[[#This Row],[Class]]="A",WORKDAY(Main[[#This Row],[Tech Start Date]],2),""))))</f>
        <v/>
      </c>
      <c r="N508" s="104" t="str">
        <f>IF(Main[[#This Row],[Tech Start Date]]&lt;1/1/1990,"",IF(Main[[#This Row],[Class]]="C",WORKDAY(Main[[#This Row],[Tech Start Date]],19),IF(Main[[#This Row],[Class]]="B", WORKDAY(Main[[#This Row],[Tech Start Date]],12),IF(Main[[#This Row],[Class]]="A",WORKDAY(Main[[#This Row],[Tech Start Date]],4),""))))</f>
        <v/>
      </c>
      <c r="O508" s="104" t="str">
        <f>IF(Main[[#This Row],[Tech Start Date]]&lt;1/1/1990,"",IF(Main[[#This Row],[Class]]="C",WORKDAY(Main[[#This Row],[Tech Start Date]],23),IF(Main[[#This Row],[Class]]="B", WORKDAY(Main[[#This Row],[Tech Start Date]],15),IF(Main[[#This Row],[Class]]="A",WORKDAY(Main[[#This Row],[Tech Start Date]],5),""))))</f>
        <v/>
      </c>
      <c r="P508" s="104" t="str">
        <f>IF(Main[[#This Row],[Tech Start Date]]&lt;1/1/1990,"",IF(Main[[#This Row],[Class]]="C",WORKDAY(Main[[#This Row],[Tech Start Date]],28),IF(Main[[#This Row],[Class]]="B", WORKDAY(Main[[#This Row],[Tech Start Date]],19),IF(Main[[#This Row],[Class]]="A",WORKDAY(Main[[#This Row],[Tech Start Date]],9),""))))</f>
        <v/>
      </c>
      <c r="Q508" s="101">
        <v>40195</v>
      </c>
      <c r="R508" s="101"/>
      <c r="S508" s="99" t="s">
        <v>11</v>
      </c>
      <c r="T508" s="107" t="s">
        <v>4</v>
      </c>
      <c r="U508" s="99" t="s">
        <v>12</v>
      </c>
      <c r="V508" s="99" t="s">
        <v>1972</v>
      </c>
      <c r="W508" s="99" t="s">
        <v>1973</v>
      </c>
    </row>
    <row r="509" spans="1:23" ht="18.600000000000001" customHeight="1">
      <c r="A509" s="123" t="str">
        <f>IF(priority(Main[[#This Row],[Comments]])&lt;&gt;0, priority(Main[[#This Row],[Comments]]),"")</f>
        <v/>
      </c>
      <c r="B509" s="127" t="s">
        <v>1404</v>
      </c>
      <c r="C509" s="99" t="s">
        <v>463</v>
      </c>
      <c r="D509" s="100" t="s">
        <v>466</v>
      </c>
      <c r="E509" s="101"/>
      <c r="F509" s="101">
        <v>40214</v>
      </c>
      <c r="G509" s="102" t="str">
        <f>IF(stdProdLT(Main[[#This Row],[Comments]])=0.1,"N/A",IF(stdProdLT(Main[[#This Row],[Comments]])=0,"",stdProdLT(Main[[#This Row],[Comments]])))</f>
        <v/>
      </c>
      <c r="H509" s="103" t="str">
        <f>IF(AND(Main[[#This Row],[In Stock Date]]&lt;&gt;"",Main[[#This Row],[Revised Due Date]]&lt;&gt;""),Main[[#This Row],[In Stock Date]]-Main[[#This Row],[Revised Due Date]],"")</f>
        <v/>
      </c>
      <c r="I509" s="99" t="s">
        <v>4</v>
      </c>
      <c r="J509" s="99" t="s">
        <v>4</v>
      </c>
      <c r="K509" s="108" t="s">
        <v>4</v>
      </c>
      <c r="L509" s="101"/>
      <c r="M509" s="104" t="str">
        <f>IF(Main[[#This Row],[Tech Start Date]]&lt;1/1/1990,"",IF(Main[[#This Row],[Class]]="C",WORKDAY(Main[[#This Row],[Tech Start Date]],9),IF(Main[[#This Row],[Class]]="B", WORKDAY(Main[[#This Row],[Tech Start Date]],6),IF(Main[[#This Row],[Class]]="A",WORKDAY(Main[[#This Row],[Tech Start Date]],2),""))))</f>
        <v/>
      </c>
      <c r="N509" s="104" t="str">
        <f>IF(Main[[#This Row],[Tech Start Date]]&lt;1/1/1990,"",IF(Main[[#This Row],[Class]]="C",WORKDAY(Main[[#This Row],[Tech Start Date]],19),IF(Main[[#This Row],[Class]]="B", WORKDAY(Main[[#This Row],[Tech Start Date]],12),IF(Main[[#This Row],[Class]]="A",WORKDAY(Main[[#This Row],[Tech Start Date]],4),""))))</f>
        <v/>
      </c>
      <c r="O509" s="104" t="str">
        <f>IF(Main[[#This Row],[Tech Start Date]]&lt;1/1/1990,"",IF(Main[[#This Row],[Class]]="C",WORKDAY(Main[[#This Row],[Tech Start Date]],23),IF(Main[[#This Row],[Class]]="B", WORKDAY(Main[[#This Row],[Tech Start Date]],15),IF(Main[[#This Row],[Class]]="A",WORKDAY(Main[[#This Row],[Tech Start Date]],5),""))))</f>
        <v/>
      </c>
      <c r="P509" s="104" t="str">
        <f>IF(Main[[#This Row],[Tech Start Date]]&lt;1/1/1990,"",IF(Main[[#This Row],[Class]]="C",WORKDAY(Main[[#This Row],[Tech Start Date]],28),IF(Main[[#This Row],[Class]]="B", WORKDAY(Main[[#This Row],[Tech Start Date]],19),IF(Main[[#This Row],[Class]]="A",WORKDAY(Main[[#This Row],[Tech Start Date]],9),""))))</f>
        <v/>
      </c>
      <c r="Q509" s="101">
        <v>40149</v>
      </c>
      <c r="R509" s="101"/>
      <c r="S509" s="99" t="s">
        <v>11</v>
      </c>
      <c r="T509" s="107" t="s">
        <v>4</v>
      </c>
      <c r="U509" s="99" t="s">
        <v>14</v>
      </c>
      <c r="V509" s="99" t="s">
        <v>1965</v>
      </c>
      <c r="W509" s="99" t="s">
        <v>1968</v>
      </c>
    </row>
    <row r="510" spans="1:23" ht="18.600000000000001" customHeight="1">
      <c r="A510" s="123" t="str">
        <f>IF(priority(Main[[#This Row],[Comments]])&lt;&gt;0, priority(Main[[#This Row],[Comments]]),"")</f>
        <v/>
      </c>
      <c r="B510" s="127" t="s">
        <v>1405</v>
      </c>
      <c r="C510" s="99" t="s">
        <v>31</v>
      </c>
      <c r="D510" s="100" t="s">
        <v>467</v>
      </c>
      <c r="E510" s="101"/>
      <c r="F510" s="101"/>
      <c r="G510" s="102" t="str">
        <f>IF(stdProdLT(Main[[#This Row],[Comments]])=0.1,"N/A",IF(stdProdLT(Main[[#This Row],[Comments]])=0,"",stdProdLT(Main[[#This Row],[Comments]])))</f>
        <v/>
      </c>
      <c r="H510" s="103" t="str">
        <f>IF(AND(Main[[#This Row],[In Stock Date]]&lt;&gt;"",Main[[#This Row],[Revised Due Date]]&lt;&gt;""),Main[[#This Row],[In Stock Date]]-Main[[#This Row],[Revised Due Date]],"")</f>
        <v/>
      </c>
      <c r="I510" s="99" t="s">
        <v>4</v>
      </c>
      <c r="J510" s="99" t="s">
        <v>4</v>
      </c>
      <c r="K510" s="99" t="s">
        <v>4</v>
      </c>
      <c r="L510" s="101"/>
      <c r="M510" s="104" t="str">
        <f>IF(Main[[#This Row],[Tech Start Date]]&lt;1/1/1990,"",IF(Main[[#This Row],[Class]]="C",WORKDAY(Main[[#This Row],[Tech Start Date]],9),IF(Main[[#This Row],[Class]]="B", WORKDAY(Main[[#This Row],[Tech Start Date]],6),IF(Main[[#This Row],[Class]]="A",WORKDAY(Main[[#This Row],[Tech Start Date]],2),""))))</f>
        <v/>
      </c>
      <c r="N510" s="104" t="str">
        <f>IF(Main[[#This Row],[Tech Start Date]]&lt;1/1/1990,"",IF(Main[[#This Row],[Class]]="C",WORKDAY(Main[[#This Row],[Tech Start Date]],19),IF(Main[[#This Row],[Class]]="B", WORKDAY(Main[[#This Row],[Tech Start Date]],12),IF(Main[[#This Row],[Class]]="A",WORKDAY(Main[[#This Row],[Tech Start Date]],4),""))))</f>
        <v/>
      </c>
      <c r="O510" s="104" t="str">
        <f>IF(Main[[#This Row],[Tech Start Date]]&lt;1/1/1990,"",IF(Main[[#This Row],[Class]]="C",WORKDAY(Main[[#This Row],[Tech Start Date]],23),IF(Main[[#This Row],[Class]]="B", WORKDAY(Main[[#This Row],[Tech Start Date]],15),IF(Main[[#This Row],[Class]]="A",WORKDAY(Main[[#This Row],[Tech Start Date]],5),""))))</f>
        <v/>
      </c>
      <c r="P510" s="104" t="str">
        <f>IF(Main[[#This Row],[Tech Start Date]]&lt;1/1/1990,"",IF(Main[[#This Row],[Class]]="C",WORKDAY(Main[[#This Row],[Tech Start Date]],28),IF(Main[[#This Row],[Class]]="B", WORKDAY(Main[[#This Row],[Tech Start Date]],19),IF(Main[[#This Row],[Class]]="A",WORKDAY(Main[[#This Row],[Tech Start Date]],9),""))))</f>
        <v/>
      </c>
      <c r="Q510" s="101">
        <v>40318</v>
      </c>
      <c r="R510" s="101"/>
      <c r="S510" s="99" t="s">
        <v>11</v>
      </c>
      <c r="T510" s="107" t="s">
        <v>4</v>
      </c>
      <c r="U510" s="99" t="s">
        <v>14</v>
      </c>
      <c r="V510" s="99" t="s">
        <v>1965</v>
      </c>
      <c r="W510" s="99" t="s">
        <v>1964</v>
      </c>
    </row>
    <row r="511" spans="1:23" ht="18.600000000000001" customHeight="1">
      <c r="A511" s="123" t="str">
        <f>IF(priority(Main[[#This Row],[Comments]])&lt;&gt;0, priority(Main[[#This Row],[Comments]]),"")</f>
        <v/>
      </c>
      <c r="B511" s="127" t="s">
        <v>1406</v>
      </c>
      <c r="C511" s="99" t="s">
        <v>31</v>
      </c>
      <c r="D511" s="100" t="s">
        <v>468</v>
      </c>
      <c r="E511" s="101">
        <v>40494.184537037036</v>
      </c>
      <c r="F511" s="101">
        <v>40546</v>
      </c>
      <c r="G511" s="102" t="str">
        <f>IF(stdProdLT(Main[[#This Row],[Comments]])=0.1,"N/A",IF(stdProdLT(Main[[#This Row],[Comments]])=0,"",stdProdLT(Main[[#This Row],[Comments]])))</f>
        <v/>
      </c>
      <c r="H511" s="103" t="str">
        <f>IF(AND(Main[[#This Row],[In Stock Date]]&lt;&gt;"",Main[[#This Row],[Revised Due Date]]&lt;&gt;""),Main[[#This Row],[In Stock Date]]-Main[[#This Row],[Revised Due Date]],"")</f>
        <v/>
      </c>
      <c r="I511" s="99" t="s">
        <v>4</v>
      </c>
      <c r="J511" s="99" t="s">
        <v>4</v>
      </c>
      <c r="K511" s="99" t="s">
        <v>4</v>
      </c>
      <c r="L511" s="101"/>
      <c r="M511" s="104" t="str">
        <f>IF(Main[[#This Row],[Tech Start Date]]&lt;1/1/1990,"",IF(Main[[#This Row],[Class]]="C",WORKDAY(Main[[#This Row],[Tech Start Date]],9),IF(Main[[#This Row],[Class]]="B", WORKDAY(Main[[#This Row],[Tech Start Date]],6),IF(Main[[#This Row],[Class]]="A",WORKDAY(Main[[#This Row],[Tech Start Date]],2),""))))</f>
        <v/>
      </c>
      <c r="N511" s="104" t="str">
        <f>IF(Main[[#This Row],[Tech Start Date]]&lt;1/1/1990,"",IF(Main[[#This Row],[Class]]="C",WORKDAY(Main[[#This Row],[Tech Start Date]],19),IF(Main[[#This Row],[Class]]="B", WORKDAY(Main[[#This Row],[Tech Start Date]],12),IF(Main[[#This Row],[Class]]="A",WORKDAY(Main[[#This Row],[Tech Start Date]],4),""))))</f>
        <v/>
      </c>
      <c r="O511" s="104" t="str">
        <f>IF(Main[[#This Row],[Tech Start Date]]&lt;1/1/1990,"",IF(Main[[#This Row],[Class]]="C",WORKDAY(Main[[#This Row],[Tech Start Date]],23),IF(Main[[#This Row],[Class]]="B", WORKDAY(Main[[#This Row],[Tech Start Date]],15),IF(Main[[#This Row],[Class]]="A",WORKDAY(Main[[#This Row],[Tech Start Date]],5),""))))</f>
        <v/>
      </c>
      <c r="P511" s="104" t="str">
        <f>IF(Main[[#This Row],[Tech Start Date]]&lt;1/1/1990,"",IF(Main[[#This Row],[Class]]="C",WORKDAY(Main[[#This Row],[Tech Start Date]],28),IF(Main[[#This Row],[Class]]="B", WORKDAY(Main[[#This Row],[Tech Start Date]],19),IF(Main[[#This Row],[Class]]="A",WORKDAY(Main[[#This Row],[Tech Start Date]],9),""))))</f>
        <v/>
      </c>
      <c r="Q511" s="101">
        <v>40527</v>
      </c>
      <c r="R511" s="101"/>
      <c r="S511" s="99" t="s">
        <v>17</v>
      </c>
      <c r="T511" s="107" t="s">
        <v>4</v>
      </c>
      <c r="U511" s="99" t="s">
        <v>7</v>
      </c>
      <c r="V511" s="99" t="s">
        <v>1965</v>
      </c>
      <c r="W511" s="99" t="s">
        <v>4</v>
      </c>
    </row>
    <row r="512" spans="1:23" ht="18.600000000000001" customHeight="1">
      <c r="A512" s="123" t="str">
        <f>IF(priority(Main[[#This Row],[Comments]])&lt;&gt;0, priority(Main[[#This Row],[Comments]]),"")</f>
        <v/>
      </c>
      <c r="B512" s="127" t="s">
        <v>1407</v>
      </c>
      <c r="C512" s="99" t="s">
        <v>4</v>
      </c>
      <c r="D512" s="100" t="s">
        <v>469</v>
      </c>
      <c r="E512" s="101"/>
      <c r="F512" s="101">
        <v>40374</v>
      </c>
      <c r="G512" s="102" t="str">
        <f>IF(stdProdLT(Main[[#This Row],[Comments]])=0.1,"N/A",IF(stdProdLT(Main[[#This Row],[Comments]])=0,"",stdProdLT(Main[[#This Row],[Comments]])))</f>
        <v/>
      </c>
      <c r="H512" s="103" t="str">
        <f>IF(AND(Main[[#This Row],[In Stock Date]]&lt;&gt;"",Main[[#This Row],[Revised Due Date]]&lt;&gt;""),Main[[#This Row],[In Stock Date]]-Main[[#This Row],[Revised Due Date]],"")</f>
        <v/>
      </c>
      <c r="I512" s="99" t="s">
        <v>4</v>
      </c>
      <c r="J512" s="99" t="s">
        <v>4</v>
      </c>
      <c r="K512" s="99" t="s">
        <v>4</v>
      </c>
      <c r="L512" s="101"/>
      <c r="M512" s="104" t="str">
        <f>IF(Main[[#This Row],[Tech Start Date]]&lt;1/1/1990,"",IF(Main[[#This Row],[Class]]="C",WORKDAY(Main[[#This Row],[Tech Start Date]],9),IF(Main[[#This Row],[Class]]="B", WORKDAY(Main[[#This Row],[Tech Start Date]],6),IF(Main[[#This Row],[Class]]="A",WORKDAY(Main[[#This Row],[Tech Start Date]],2),""))))</f>
        <v/>
      </c>
      <c r="N512" s="104" t="str">
        <f>IF(Main[[#This Row],[Tech Start Date]]&lt;1/1/1990,"",IF(Main[[#This Row],[Class]]="C",WORKDAY(Main[[#This Row],[Tech Start Date]],19),IF(Main[[#This Row],[Class]]="B", WORKDAY(Main[[#This Row],[Tech Start Date]],12),IF(Main[[#This Row],[Class]]="A",WORKDAY(Main[[#This Row],[Tech Start Date]],4),""))))</f>
        <v/>
      </c>
      <c r="O512" s="104" t="str">
        <f>IF(Main[[#This Row],[Tech Start Date]]&lt;1/1/1990,"",IF(Main[[#This Row],[Class]]="C",WORKDAY(Main[[#This Row],[Tech Start Date]],23),IF(Main[[#This Row],[Class]]="B", WORKDAY(Main[[#This Row],[Tech Start Date]],15),IF(Main[[#This Row],[Class]]="A",WORKDAY(Main[[#This Row],[Tech Start Date]],5),""))))</f>
        <v/>
      </c>
      <c r="P512" s="104" t="str">
        <f>IF(Main[[#This Row],[Tech Start Date]]&lt;1/1/1990,"",IF(Main[[#This Row],[Class]]="C",WORKDAY(Main[[#This Row],[Tech Start Date]],28),IF(Main[[#This Row],[Class]]="B", WORKDAY(Main[[#This Row],[Tech Start Date]],19),IF(Main[[#This Row],[Class]]="A",WORKDAY(Main[[#This Row],[Tech Start Date]],9),""))))</f>
        <v/>
      </c>
      <c r="Q512" s="101">
        <v>40297</v>
      </c>
      <c r="R512" s="101"/>
      <c r="S512" s="99" t="s">
        <v>11</v>
      </c>
      <c r="T512" s="107" t="s">
        <v>4</v>
      </c>
      <c r="U512" s="99" t="s">
        <v>12</v>
      </c>
      <c r="V512" s="99" t="s">
        <v>1962</v>
      </c>
      <c r="W512" s="99" t="s">
        <v>1970</v>
      </c>
    </row>
    <row r="513" spans="1:23" ht="18.600000000000001" customHeight="1">
      <c r="A513" s="123" t="str">
        <f>IF(priority(Main[[#This Row],[Comments]])&lt;&gt;0, priority(Main[[#This Row],[Comments]]),"")</f>
        <v/>
      </c>
      <c r="B513" s="127" t="s">
        <v>1408</v>
      </c>
      <c r="C513" s="99" t="s">
        <v>31</v>
      </c>
      <c r="D513" s="100" t="s">
        <v>470</v>
      </c>
      <c r="E513" s="101"/>
      <c r="F513" s="101">
        <v>40568</v>
      </c>
      <c r="G513" s="102" t="str">
        <f>IF(stdProdLT(Main[[#This Row],[Comments]])=0.1,"N/A",IF(stdProdLT(Main[[#This Row],[Comments]])=0,"",stdProdLT(Main[[#This Row],[Comments]])))</f>
        <v/>
      </c>
      <c r="H513" s="103" t="str">
        <f>IF(AND(Main[[#This Row],[In Stock Date]]&lt;&gt;"",Main[[#This Row],[Revised Due Date]]&lt;&gt;""),Main[[#This Row],[In Stock Date]]-Main[[#This Row],[Revised Due Date]],"")</f>
        <v/>
      </c>
      <c r="I513" s="99" t="s">
        <v>4</v>
      </c>
      <c r="J513" s="99" t="s">
        <v>51</v>
      </c>
      <c r="K513" s="99" t="s">
        <v>4</v>
      </c>
      <c r="L513" s="101"/>
      <c r="M513" s="104" t="str">
        <f>IF(Main[[#This Row],[Tech Start Date]]&lt;1/1/1990,"",IF(Main[[#This Row],[Class]]="C",WORKDAY(Main[[#This Row],[Tech Start Date]],9),IF(Main[[#This Row],[Class]]="B", WORKDAY(Main[[#This Row],[Tech Start Date]],6),IF(Main[[#This Row],[Class]]="A",WORKDAY(Main[[#This Row],[Tech Start Date]],2),""))))</f>
        <v/>
      </c>
      <c r="N513" s="104" t="str">
        <f>IF(Main[[#This Row],[Tech Start Date]]&lt;1/1/1990,"",IF(Main[[#This Row],[Class]]="C",WORKDAY(Main[[#This Row],[Tech Start Date]],19),IF(Main[[#This Row],[Class]]="B", WORKDAY(Main[[#This Row],[Tech Start Date]],12),IF(Main[[#This Row],[Class]]="A",WORKDAY(Main[[#This Row],[Tech Start Date]],4),""))))</f>
        <v/>
      </c>
      <c r="O513" s="104" t="str">
        <f>IF(Main[[#This Row],[Tech Start Date]]&lt;1/1/1990,"",IF(Main[[#This Row],[Class]]="C",WORKDAY(Main[[#This Row],[Tech Start Date]],23),IF(Main[[#This Row],[Class]]="B", WORKDAY(Main[[#This Row],[Tech Start Date]],15),IF(Main[[#This Row],[Class]]="A",WORKDAY(Main[[#This Row],[Tech Start Date]],5),""))))</f>
        <v/>
      </c>
      <c r="P513" s="104" t="str">
        <f>IF(Main[[#This Row],[Tech Start Date]]&lt;1/1/1990,"",IF(Main[[#This Row],[Class]]="C",WORKDAY(Main[[#This Row],[Tech Start Date]],28),IF(Main[[#This Row],[Class]]="B", WORKDAY(Main[[#This Row],[Tech Start Date]],19),IF(Main[[#This Row],[Class]]="A",WORKDAY(Main[[#This Row],[Tech Start Date]],9),""))))</f>
        <v/>
      </c>
      <c r="Q513" s="101">
        <v>40396</v>
      </c>
      <c r="R513" s="101"/>
      <c r="S513" s="99" t="s">
        <v>11</v>
      </c>
      <c r="T513" s="107" t="s">
        <v>4</v>
      </c>
      <c r="U513" s="99" t="s">
        <v>14</v>
      </c>
      <c r="V513" s="99" t="s">
        <v>1972</v>
      </c>
      <c r="W513" s="99" t="s">
        <v>1968</v>
      </c>
    </row>
    <row r="514" spans="1:23" ht="18.600000000000001" customHeight="1">
      <c r="A514" s="123" t="str">
        <f>IF(priority(Main[[#This Row],[Comments]])&lt;&gt;0, priority(Main[[#This Row],[Comments]]),"")</f>
        <v/>
      </c>
      <c r="B514" s="127" t="s">
        <v>1409</v>
      </c>
      <c r="C514" s="99" t="s">
        <v>471</v>
      </c>
      <c r="D514" s="100" t="s">
        <v>472</v>
      </c>
      <c r="E514" s="101"/>
      <c r="F514" s="101">
        <v>40179</v>
      </c>
      <c r="G514" s="102" t="str">
        <f>IF(stdProdLT(Main[[#This Row],[Comments]])=0.1,"N/A",IF(stdProdLT(Main[[#This Row],[Comments]])=0,"",stdProdLT(Main[[#This Row],[Comments]])))</f>
        <v/>
      </c>
      <c r="H514" s="103" t="str">
        <f>IF(AND(Main[[#This Row],[In Stock Date]]&lt;&gt;"",Main[[#This Row],[Revised Due Date]]&lt;&gt;""),Main[[#This Row],[In Stock Date]]-Main[[#This Row],[Revised Due Date]],"")</f>
        <v/>
      </c>
      <c r="I514" s="99" t="s">
        <v>4</v>
      </c>
      <c r="J514" s="99" t="s">
        <v>4</v>
      </c>
      <c r="K514" s="99" t="s">
        <v>4</v>
      </c>
      <c r="L514" s="101"/>
      <c r="M514" s="104" t="str">
        <f>IF(Main[[#This Row],[Tech Start Date]]&lt;1/1/1990,"",IF(Main[[#This Row],[Class]]="C",WORKDAY(Main[[#This Row],[Tech Start Date]],9),IF(Main[[#This Row],[Class]]="B", WORKDAY(Main[[#This Row],[Tech Start Date]],6),IF(Main[[#This Row],[Class]]="A",WORKDAY(Main[[#This Row],[Tech Start Date]],2),""))))</f>
        <v/>
      </c>
      <c r="N514" s="104" t="str">
        <f>IF(Main[[#This Row],[Tech Start Date]]&lt;1/1/1990,"",IF(Main[[#This Row],[Class]]="C",WORKDAY(Main[[#This Row],[Tech Start Date]],19),IF(Main[[#This Row],[Class]]="B", WORKDAY(Main[[#This Row],[Tech Start Date]],12),IF(Main[[#This Row],[Class]]="A",WORKDAY(Main[[#This Row],[Tech Start Date]],4),""))))</f>
        <v/>
      </c>
      <c r="O514" s="104" t="str">
        <f>IF(Main[[#This Row],[Tech Start Date]]&lt;1/1/1990,"",IF(Main[[#This Row],[Class]]="C",WORKDAY(Main[[#This Row],[Tech Start Date]],23),IF(Main[[#This Row],[Class]]="B", WORKDAY(Main[[#This Row],[Tech Start Date]],15),IF(Main[[#This Row],[Class]]="A",WORKDAY(Main[[#This Row],[Tech Start Date]],5),""))))</f>
        <v/>
      </c>
      <c r="P514" s="104" t="str">
        <f>IF(Main[[#This Row],[Tech Start Date]]&lt;1/1/1990,"",IF(Main[[#This Row],[Class]]="C",WORKDAY(Main[[#This Row],[Tech Start Date]],28),IF(Main[[#This Row],[Class]]="B", WORKDAY(Main[[#This Row],[Tech Start Date]],19),IF(Main[[#This Row],[Class]]="A",WORKDAY(Main[[#This Row],[Tech Start Date]],9),""))))</f>
        <v/>
      </c>
      <c r="Q514" s="101">
        <v>40154</v>
      </c>
      <c r="R514" s="101"/>
      <c r="S514" s="99" t="s">
        <v>11</v>
      </c>
      <c r="T514" s="107" t="s">
        <v>4</v>
      </c>
      <c r="U514" s="99" t="s">
        <v>14</v>
      </c>
      <c r="V514" s="99" t="s">
        <v>1965</v>
      </c>
      <c r="W514" s="99" t="s">
        <v>1968</v>
      </c>
    </row>
    <row r="515" spans="1:23" ht="18.600000000000001" customHeight="1">
      <c r="A515" s="123" t="str">
        <f>IF(priority(Main[[#This Row],[Comments]])&lt;&gt;0, priority(Main[[#This Row],[Comments]]),"")</f>
        <v/>
      </c>
      <c r="B515" s="127" t="s">
        <v>1410</v>
      </c>
      <c r="C515" s="99" t="s">
        <v>4</v>
      </c>
      <c r="D515" s="100" t="s">
        <v>473</v>
      </c>
      <c r="E515" s="101">
        <v>40701.70579861111</v>
      </c>
      <c r="F515" s="101"/>
      <c r="G515" s="102" t="str">
        <f>IF(stdProdLT(Main[[#This Row],[Comments]])=0.1,"N/A",IF(stdProdLT(Main[[#This Row],[Comments]])=0,"",stdProdLT(Main[[#This Row],[Comments]])))</f>
        <v/>
      </c>
      <c r="H515" s="103" t="str">
        <f>IF(AND(Main[[#This Row],[In Stock Date]]&lt;&gt;"",Main[[#This Row],[Revised Due Date]]&lt;&gt;""),Main[[#This Row],[In Stock Date]]-Main[[#This Row],[Revised Due Date]],"")</f>
        <v/>
      </c>
      <c r="I515" s="99" t="s">
        <v>4</v>
      </c>
      <c r="J515" s="99" t="s">
        <v>4</v>
      </c>
      <c r="K515" s="99" t="s">
        <v>4</v>
      </c>
      <c r="L515" s="101"/>
      <c r="M515" s="104" t="str">
        <f>IF(Main[[#This Row],[Tech Start Date]]&lt;1/1/1990,"",IF(Main[[#This Row],[Class]]="C",WORKDAY(Main[[#This Row],[Tech Start Date]],9),IF(Main[[#This Row],[Class]]="B", WORKDAY(Main[[#This Row],[Tech Start Date]],6),IF(Main[[#This Row],[Class]]="A",WORKDAY(Main[[#This Row],[Tech Start Date]],2),""))))</f>
        <v/>
      </c>
      <c r="N515" s="104" t="str">
        <f>IF(Main[[#This Row],[Tech Start Date]]&lt;1/1/1990,"",IF(Main[[#This Row],[Class]]="C",WORKDAY(Main[[#This Row],[Tech Start Date]],19),IF(Main[[#This Row],[Class]]="B", WORKDAY(Main[[#This Row],[Tech Start Date]],12),IF(Main[[#This Row],[Class]]="A",WORKDAY(Main[[#This Row],[Tech Start Date]],4),""))))</f>
        <v/>
      </c>
      <c r="O515" s="104" t="str">
        <f>IF(Main[[#This Row],[Tech Start Date]]&lt;1/1/1990,"",IF(Main[[#This Row],[Class]]="C",WORKDAY(Main[[#This Row],[Tech Start Date]],23),IF(Main[[#This Row],[Class]]="B", WORKDAY(Main[[#This Row],[Tech Start Date]],15),IF(Main[[#This Row],[Class]]="A",WORKDAY(Main[[#This Row],[Tech Start Date]],5),""))))</f>
        <v/>
      </c>
      <c r="P515" s="104" t="str">
        <f>IF(Main[[#This Row],[Tech Start Date]]&lt;1/1/1990,"",IF(Main[[#This Row],[Class]]="C",WORKDAY(Main[[#This Row],[Tech Start Date]],28),IF(Main[[#This Row],[Class]]="B", WORKDAY(Main[[#This Row],[Tech Start Date]],19),IF(Main[[#This Row],[Class]]="A",WORKDAY(Main[[#This Row],[Tech Start Date]],9),""))))</f>
        <v/>
      </c>
      <c r="Q515" s="101">
        <v>40732</v>
      </c>
      <c r="R515" s="101"/>
      <c r="S515" s="99" t="s">
        <v>6</v>
      </c>
      <c r="T515" s="107" t="s">
        <v>4</v>
      </c>
      <c r="U515" s="99" t="s">
        <v>7</v>
      </c>
      <c r="V515" s="99" t="s">
        <v>1962</v>
      </c>
      <c r="W515" s="99" t="s">
        <v>4</v>
      </c>
    </row>
    <row r="516" spans="1:23" ht="18.600000000000001" customHeight="1">
      <c r="A516" s="123" t="str">
        <f>IF(priority(Main[[#This Row],[Comments]])&lt;&gt;0, priority(Main[[#This Row],[Comments]]),"")</f>
        <v/>
      </c>
      <c r="B516" s="127" t="s">
        <v>1821</v>
      </c>
      <c r="C516" s="99" t="s">
        <v>4</v>
      </c>
      <c r="D516" s="100" t="s">
        <v>864</v>
      </c>
      <c r="E516" s="101">
        <v>40611.493495370371</v>
      </c>
      <c r="F516" s="101"/>
      <c r="G516" s="102" t="str">
        <f>IF(stdProdLT(Main[[#This Row],[Comments]])=0.1,"N/A",IF(stdProdLT(Main[[#This Row],[Comments]])=0,"",stdProdLT(Main[[#This Row],[Comments]])))</f>
        <v/>
      </c>
      <c r="H516" s="103" t="str">
        <f>IF(AND(Main[[#This Row],[In Stock Date]]&lt;&gt;"",Main[[#This Row],[Revised Due Date]]&lt;&gt;""),Main[[#This Row],[In Stock Date]]-Main[[#This Row],[Revised Due Date]],"")</f>
        <v/>
      </c>
      <c r="I516" s="99" t="s">
        <v>4</v>
      </c>
      <c r="J516" s="99" t="s">
        <v>4</v>
      </c>
      <c r="K516" s="99" t="s">
        <v>4</v>
      </c>
      <c r="L516" s="101"/>
      <c r="M516" s="104" t="str">
        <f>IF(Main[[#This Row],[Tech Start Date]]&lt;1/1/1990,"",IF(Main[[#This Row],[Class]]="C",WORKDAY(Main[[#This Row],[Tech Start Date]],9),IF(Main[[#This Row],[Class]]="B", WORKDAY(Main[[#This Row],[Tech Start Date]],6),IF(Main[[#This Row],[Class]]="A",WORKDAY(Main[[#This Row],[Tech Start Date]],2),""))))</f>
        <v/>
      </c>
      <c r="N516" s="104" t="str">
        <f>IF(Main[[#This Row],[Tech Start Date]]&lt;1/1/1990,"",IF(Main[[#This Row],[Class]]="C",WORKDAY(Main[[#This Row],[Tech Start Date]],19),IF(Main[[#This Row],[Class]]="B", WORKDAY(Main[[#This Row],[Tech Start Date]],12),IF(Main[[#This Row],[Class]]="A",WORKDAY(Main[[#This Row],[Tech Start Date]],4),""))))</f>
        <v/>
      </c>
      <c r="O516" s="104" t="str">
        <f>IF(Main[[#This Row],[Tech Start Date]]&lt;1/1/1990,"",IF(Main[[#This Row],[Class]]="C",WORKDAY(Main[[#This Row],[Tech Start Date]],23),IF(Main[[#This Row],[Class]]="B", WORKDAY(Main[[#This Row],[Tech Start Date]],15),IF(Main[[#This Row],[Class]]="A",WORKDAY(Main[[#This Row],[Tech Start Date]],5),""))))</f>
        <v/>
      </c>
      <c r="P516" s="104" t="str">
        <f>IF(Main[[#This Row],[Tech Start Date]]&lt;1/1/1990,"",IF(Main[[#This Row],[Class]]="C",WORKDAY(Main[[#This Row],[Tech Start Date]],28),IF(Main[[#This Row],[Class]]="B", WORKDAY(Main[[#This Row],[Tech Start Date]],19),IF(Main[[#This Row],[Class]]="A",WORKDAY(Main[[#This Row],[Tech Start Date]],9),""))))</f>
        <v/>
      </c>
      <c r="Q516" s="101">
        <v>40725</v>
      </c>
      <c r="R516" s="101"/>
      <c r="S516" s="99" t="s">
        <v>17</v>
      </c>
      <c r="T516" s="107" t="s">
        <v>4</v>
      </c>
      <c r="U516" s="99" t="s">
        <v>7</v>
      </c>
      <c r="V516" s="99" t="s">
        <v>1965</v>
      </c>
      <c r="W516" s="99" t="s">
        <v>1967</v>
      </c>
    </row>
    <row r="517" spans="1:23" ht="18.600000000000001" customHeight="1">
      <c r="A517" s="123" t="str">
        <f>IF(priority(Main[[#This Row],[Comments]])&lt;&gt;0, priority(Main[[#This Row],[Comments]]),"")</f>
        <v/>
      </c>
      <c r="B517" s="127" t="s">
        <v>1818</v>
      </c>
      <c r="C517" s="99" t="s">
        <v>4</v>
      </c>
      <c r="D517" s="100" t="s">
        <v>861</v>
      </c>
      <c r="E517" s="101"/>
      <c r="F517" s="101"/>
      <c r="G517" s="102" t="str">
        <f>IF(stdProdLT(Main[[#This Row],[Comments]])=0.1,"N/A",IF(stdProdLT(Main[[#This Row],[Comments]])=0,"",stdProdLT(Main[[#This Row],[Comments]])))</f>
        <v/>
      </c>
      <c r="H517" s="103" t="str">
        <f>IF(AND(Main[[#This Row],[In Stock Date]]&lt;&gt;"",Main[[#This Row],[Revised Due Date]]&lt;&gt;""),Main[[#This Row],[In Stock Date]]-Main[[#This Row],[Revised Due Date]],"")</f>
        <v/>
      </c>
      <c r="I517" s="99" t="s">
        <v>2102</v>
      </c>
      <c r="J517" s="99" t="s">
        <v>28</v>
      </c>
      <c r="K517" s="99" t="s">
        <v>1971</v>
      </c>
      <c r="L517" s="101"/>
      <c r="M517" s="104" t="str">
        <f>IF(Main[[#This Row],[Tech Start Date]]&lt;1/1/1990,"",IF(Main[[#This Row],[Class]]="C",WORKDAY(Main[[#This Row],[Tech Start Date]],9),IF(Main[[#This Row],[Class]]="B", WORKDAY(Main[[#This Row],[Tech Start Date]],6),IF(Main[[#This Row],[Class]]="A",WORKDAY(Main[[#This Row],[Tech Start Date]],2),""))))</f>
        <v/>
      </c>
      <c r="N517" s="104" t="str">
        <f>IF(Main[[#This Row],[Tech Start Date]]&lt;1/1/1990,"",IF(Main[[#This Row],[Class]]="C",WORKDAY(Main[[#This Row],[Tech Start Date]],19),IF(Main[[#This Row],[Class]]="B", WORKDAY(Main[[#This Row],[Tech Start Date]],12),IF(Main[[#This Row],[Class]]="A",WORKDAY(Main[[#This Row],[Tech Start Date]],4),""))))</f>
        <v/>
      </c>
      <c r="O517" s="104" t="str">
        <f>IF(Main[[#This Row],[Tech Start Date]]&lt;1/1/1990,"",IF(Main[[#This Row],[Class]]="C",WORKDAY(Main[[#This Row],[Tech Start Date]],23),IF(Main[[#This Row],[Class]]="B", WORKDAY(Main[[#This Row],[Tech Start Date]],15),IF(Main[[#This Row],[Class]]="A",WORKDAY(Main[[#This Row],[Tech Start Date]],5),""))))</f>
        <v/>
      </c>
      <c r="P517" s="104" t="str">
        <f>IF(Main[[#This Row],[Tech Start Date]]&lt;1/1/1990,"",IF(Main[[#This Row],[Class]]="C",WORKDAY(Main[[#This Row],[Tech Start Date]],28),IF(Main[[#This Row],[Class]]="B", WORKDAY(Main[[#This Row],[Tech Start Date]],19),IF(Main[[#This Row],[Class]]="A",WORKDAY(Main[[#This Row],[Tech Start Date]],9),""))))</f>
        <v/>
      </c>
      <c r="Q517" s="101">
        <v>40694</v>
      </c>
      <c r="R517" s="101"/>
      <c r="S517" s="99" t="s">
        <v>6</v>
      </c>
      <c r="T517" s="107" t="s">
        <v>4</v>
      </c>
      <c r="U517" s="99" t="s">
        <v>14</v>
      </c>
      <c r="V517" s="99" t="s">
        <v>1965</v>
      </c>
      <c r="W517" s="99" t="s">
        <v>1966</v>
      </c>
    </row>
    <row r="518" spans="1:23" ht="18.600000000000001" customHeight="1">
      <c r="A518" s="123" t="str">
        <f>IF(priority(Main[[#This Row],[Comments]])&lt;&gt;0, priority(Main[[#This Row],[Comments]]),"")</f>
        <v/>
      </c>
      <c r="B518" s="127" t="s">
        <v>1411</v>
      </c>
      <c r="C518" s="99" t="s">
        <v>99</v>
      </c>
      <c r="D518" s="100" t="s">
        <v>100</v>
      </c>
      <c r="E518" s="101"/>
      <c r="F518" s="101"/>
      <c r="G518" s="102" t="str">
        <f>IF(stdProdLT(Main[[#This Row],[Comments]])=0.1,"N/A",IF(stdProdLT(Main[[#This Row],[Comments]])=0,"",stdProdLT(Main[[#This Row],[Comments]])))</f>
        <v/>
      </c>
      <c r="H518" s="103" t="str">
        <f>IF(AND(Main[[#This Row],[In Stock Date]]&lt;&gt;"",Main[[#This Row],[Revised Due Date]]&lt;&gt;""),Main[[#This Row],[In Stock Date]]-Main[[#This Row],[Revised Due Date]],"")</f>
        <v/>
      </c>
      <c r="I518" s="99" t="s">
        <v>4</v>
      </c>
      <c r="J518" s="99" t="s">
        <v>4</v>
      </c>
      <c r="K518" s="99" t="s">
        <v>4</v>
      </c>
      <c r="L518" s="101"/>
      <c r="M518" s="104" t="str">
        <f>IF(Main[[#This Row],[Tech Start Date]]&lt;1/1/1990,"",IF(Main[[#This Row],[Class]]="C",WORKDAY(Main[[#This Row],[Tech Start Date]],9),IF(Main[[#This Row],[Class]]="B", WORKDAY(Main[[#This Row],[Tech Start Date]],6),IF(Main[[#This Row],[Class]]="A",WORKDAY(Main[[#This Row],[Tech Start Date]],2),""))))</f>
        <v/>
      </c>
      <c r="N518" s="104" t="str">
        <f>IF(Main[[#This Row],[Tech Start Date]]&lt;1/1/1990,"",IF(Main[[#This Row],[Class]]="C",WORKDAY(Main[[#This Row],[Tech Start Date]],19),IF(Main[[#This Row],[Class]]="B", WORKDAY(Main[[#This Row],[Tech Start Date]],12),IF(Main[[#This Row],[Class]]="A",WORKDAY(Main[[#This Row],[Tech Start Date]],4),""))))</f>
        <v/>
      </c>
      <c r="O518" s="104" t="str">
        <f>IF(Main[[#This Row],[Tech Start Date]]&lt;1/1/1990,"",IF(Main[[#This Row],[Class]]="C",WORKDAY(Main[[#This Row],[Tech Start Date]],23),IF(Main[[#This Row],[Class]]="B", WORKDAY(Main[[#This Row],[Tech Start Date]],15),IF(Main[[#This Row],[Class]]="A",WORKDAY(Main[[#This Row],[Tech Start Date]],5),""))))</f>
        <v/>
      </c>
      <c r="P518" s="104" t="str">
        <f>IF(Main[[#This Row],[Tech Start Date]]&lt;1/1/1990,"",IF(Main[[#This Row],[Class]]="C",WORKDAY(Main[[#This Row],[Tech Start Date]],28),IF(Main[[#This Row],[Class]]="B", WORKDAY(Main[[#This Row],[Tech Start Date]],19),IF(Main[[#This Row],[Class]]="A",WORKDAY(Main[[#This Row],[Tech Start Date]],9),""))))</f>
        <v/>
      </c>
      <c r="Q518" s="101"/>
      <c r="R518" s="101"/>
      <c r="S518" s="99" t="s">
        <v>11</v>
      </c>
      <c r="T518" s="107" t="s">
        <v>4</v>
      </c>
      <c r="U518" s="99" t="s">
        <v>14</v>
      </c>
      <c r="V518" s="99" t="s">
        <v>1963</v>
      </c>
      <c r="W518" s="99" t="s">
        <v>1964</v>
      </c>
    </row>
    <row r="519" spans="1:23" ht="18.600000000000001" customHeight="1">
      <c r="A519" s="123" t="str">
        <f>IF(priority(Main[[#This Row],[Comments]])&lt;&gt;0, priority(Main[[#This Row],[Comments]]),"")</f>
        <v/>
      </c>
      <c r="B519" s="127" t="s">
        <v>2475</v>
      </c>
      <c r="C519" s="99" t="s">
        <v>4</v>
      </c>
      <c r="D519" s="100" t="s">
        <v>2476</v>
      </c>
      <c r="E519" s="101">
        <v>40869.35837962963</v>
      </c>
      <c r="F519" s="101"/>
      <c r="G519" s="102" t="str">
        <f>IF(stdProdLT(Main[[#This Row],[Comments]])=0.1,"N/A",IF(stdProdLT(Main[[#This Row],[Comments]])=0,"",stdProdLT(Main[[#This Row],[Comments]])))</f>
        <v/>
      </c>
      <c r="H519" s="103" t="str">
        <f>IF(AND(Main[[#This Row],[In Stock Date]]&lt;&gt;"",Main[[#This Row],[Revised Due Date]]&lt;&gt;""),Main[[#This Row],[In Stock Date]]-Main[[#This Row],[Revised Due Date]],"")</f>
        <v/>
      </c>
      <c r="I519" s="99" t="s">
        <v>4</v>
      </c>
      <c r="J519" s="99" t="s">
        <v>4</v>
      </c>
      <c r="K519" s="99" t="s">
        <v>4</v>
      </c>
      <c r="L519" s="101"/>
      <c r="M519" s="104" t="str">
        <f>IF(Main[[#This Row],[Tech Start Date]]&lt;1/1/1990,"",IF(Main[[#This Row],[Class]]="C",WORKDAY(Main[[#This Row],[Tech Start Date]],9),IF(Main[[#This Row],[Class]]="B", WORKDAY(Main[[#This Row],[Tech Start Date]],6),IF(Main[[#This Row],[Class]]="A",WORKDAY(Main[[#This Row],[Tech Start Date]],2),""))))</f>
        <v/>
      </c>
      <c r="N519" s="104" t="str">
        <f>IF(Main[[#This Row],[Tech Start Date]]&lt;1/1/1990,"",IF(Main[[#This Row],[Class]]="C",WORKDAY(Main[[#This Row],[Tech Start Date]],19),IF(Main[[#This Row],[Class]]="B", WORKDAY(Main[[#This Row],[Tech Start Date]],12),IF(Main[[#This Row],[Class]]="A",WORKDAY(Main[[#This Row],[Tech Start Date]],4),""))))</f>
        <v/>
      </c>
      <c r="O519" s="104" t="str">
        <f>IF(Main[[#This Row],[Tech Start Date]]&lt;1/1/1990,"",IF(Main[[#This Row],[Class]]="C",WORKDAY(Main[[#This Row],[Tech Start Date]],23),IF(Main[[#This Row],[Class]]="B", WORKDAY(Main[[#This Row],[Tech Start Date]],15),IF(Main[[#This Row],[Class]]="A",WORKDAY(Main[[#This Row],[Tech Start Date]],5),""))))</f>
        <v/>
      </c>
      <c r="P519" s="104" t="str">
        <f>IF(Main[[#This Row],[Tech Start Date]]&lt;1/1/1990,"",IF(Main[[#This Row],[Class]]="C",WORKDAY(Main[[#This Row],[Tech Start Date]],28),IF(Main[[#This Row],[Class]]="B", WORKDAY(Main[[#This Row],[Tech Start Date]],19),IF(Main[[#This Row],[Class]]="A",WORKDAY(Main[[#This Row],[Tech Start Date]],9),""))))</f>
        <v/>
      </c>
      <c r="Q519" s="101"/>
      <c r="R519" s="101"/>
      <c r="S519" s="99" t="s">
        <v>6</v>
      </c>
      <c r="T519" s="107" t="s">
        <v>4</v>
      </c>
      <c r="U519" s="99" t="s">
        <v>29</v>
      </c>
      <c r="V519" s="99" t="s">
        <v>1963</v>
      </c>
      <c r="W519" s="99" t="s">
        <v>1964</v>
      </c>
    </row>
    <row r="520" spans="1:23" ht="18.600000000000001" customHeight="1">
      <c r="A520" s="123" t="str">
        <f>IF(priority(Main[[#This Row],[Comments]])&lt;&gt;0, priority(Main[[#This Row],[Comments]]),"")</f>
        <v/>
      </c>
      <c r="B520" s="127" t="s">
        <v>1412</v>
      </c>
      <c r="C520" s="99" t="s">
        <v>4</v>
      </c>
      <c r="D520" s="100" t="s">
        <v>300</v>
      </c>
      <c r="E520" s="101"/>
      <c r="F520" s="101"/>
      <c r="G520" s="102" t="str">
        <f>IF(stdProdLT(Main[[#This Row],[Comments]])=0.1,"N/A",IF(stdProdLT(Main[[#This Row],[Comments]])=0,"",stdProdLT(Main[[#This Row],[Comments]])))</f>
        <v/>
      </c>
      <c r="H520" s="103" t="str">
        <f>IF(AND(Main[[#This Row],[In Stock Date]]&lt;&gt;"",Main[[#This Row],[Revised Due Date]]&lt;&gt;""),Main[[#This Row],[In Stock Date]]-Main[[#This Row],[Revised Due Date]],"")</f>
        <v/>
      </c>
      <c r="I520" s="99" t="s">
        <v>4</v>
      </c>
      <c r="J520" s="99" t="s">
        <v>4</v>
      </c>
      <c r="K520" s="99" t="s">
        <v>4</v>
      </c>
      <c r="L520" s="101"/>
      <c r="M520" s="104" t="str">
        <f>IF(Main[[#This Row],[Tech Start Date]]&lt;1/1/1990,"",IF(Main[[#This Row],[Class]]="C",WORKDAY(Main[[#This Row],[Tech Start Date]],9),IF(Main[[#This Row],[Class]]="B", WORKDAY(Main[[#This Row],[Tech Start Date]],6),IF(Main[[#This Row],[Class]]="A",WORKDAY(Main[[#This Row],[Tech Start Date]],2),""))))</f>
        <v/>
      </c>
      <c r="N520" s="104" t="str">
        <f>IF(Main[[#This Row],[Tech Start Date]]&lt;1/1/1990,"",IF(Main[[#This Row],[Class]]="C",WORKDAY(Main[[#This Row],[Tech Start Date]],19),IF(Main[[#This Row],[Class]]="B", WORKDAY(Main[[#This Row],[Tech Start Date]],12),IF(Main[[#This Row],[Class]]="A",WORKDAY(Main[[#This Row],[Tech Start Date]],4),""))))</f>
        <v/>
      </c>
      <c r="O520" s="104" t="str">
        <f>IF(Main[[#This Row],[Tech Start Date]]&lt;1/1/1990,"",IF(Main[[#This Row],[Class]]="C",WORKDAY(Main[[#This Row],[Tech Start Date]],23),IF(Main[[#This Row],[Class]]="B", WORKDAY(Main[[#This Row],[Tech Start Date]],15),IF(Main[[#This Row],[Class]]="A",WORKDAY(Main[[#This Row],[Tech Start Date]],5),""))))</f>
        <v/>
      </c>
      <c r="P520" s="104" t="str">
        <f>IF(Main[[#This Row],[Tech Start Date]]&lt;1/1/1990,"",IF(Main[[#This Row],[Class]]="C",WORKDAY(Main[[#This Row],[Tech Start Date]],28),IF(Main[[#This Row],[Class]]="B", WORKDAY(Main[[#This Row],[Tech Start Date]],19),IF(Main[[#This Row],[Class]]="A",WORKDAY(Main[[#This Row],[Tech Start Date]],9),""))))</f>
        <v/>
      </c>
      <c r="Q520" s="101">
        <v>40471</v>
      </c>
      <c r="R520" s="101"/>
      <c r="S520" s="99" t="s">
        <v>301</v>
      </c>
      <c r="T520" s="107" t="s">
        <v>4</v>
      </c>
      <c r="U520" s="99" t="s">
        <v>14</v>
      </c>
      <c r="V520" s="99" t="s">
        <v>1972</v>
      </c>
      <c r="W520" s="99" t="s">
        <v>1964</v>
      </c>
    </row>
    <row r="521" spans="1:23" ht="18.600000000000001" customHeight="1">
      <c r="A521" s="123" t="str">
        <f>IF(priority(Main[[#This Row],[Comments]])&lt;&gt;0, priority(Main[[#This Row],[Comments]]),"")</f>
        <v/>
      </c>
      <c r="B521" s="127" t="s">
        <v>1413</v>
      </c>
      <c r="C521" s="99" t="s">
        <v>4</v>
      </c>
      <c r="D521" s="100" t="s">
        <v>474</v>
      </c>
      <c r="E521" s="101">
        <v>40422.514918981484</v>
      </c>
      <c r="F521" s="101"/>
      <c r="G521" s="102" t="str">
        <f>IF(stdProdLT(Main[[#This Row],[Comments]])=0.1,"N/A",IF(stdProdLT(Main[[#This Row],[Comments]])=0,"",stdProdLT(Main[[#This Row],[Comments]])))</f>
        <v/>
      </c>
      <c r="H521" s="103" t="str">
        <f>IF(AND(Main[[#This Row],[In Stock Date]]&lt;&gt;"",Main[[#This Row],[Revised Due Date]]&lt;&gt;""),Main[[#This Row],[In Stock Date]]-Main[[#This Row],[Revised Due Date]],"")</f>
        <v/>
      </c>
      <c r="I521" s="99" t="s">
        <v>4</v>
      </c>
      <c r="J521" s="99" t="s">
        <v>28</v>
      </c>
      <c r="K521" s="99" t="s">
        <v>4</v>
      </c>
      <c r="L521" s="101"/>
      <c r="M521" s="104" t="str">
        <f>IF(Main[[#This Row],[Tech Start Date]]&lt;1/1/1990,"",IF(Main[[#This Row],[Class]]="C",WORKDAY(Main[[#This Row],[Tech Start Date]],9),IF(Main[[#This Row],[Class]]="B", WORKDAY(Main[[#This Row],[Tech Start Date]],6),IF(Main[[#This Row],[Class]]="A",WORKDAY(Main[[#This Row],[Tech Start Date]],2),""))))</f>
        <v/>
      </c>
      <c r="N521" s="104" t="str">
        <f>IF(Main[[#This Row],[Tech Start Date]]&lt;1/1/1990,"",IF(Main[[#This Row],[Class]]="C",WORKDAY(Main[[#This Row],[Tech Start Date]],19),IF(Main[[#This Row],[Class]]="B", WORKDAY(Main[[#This Row],[Tech Start Date]],12),IF(Main[[#This Row],[Class]]="A",WORKDAY(Main[[#This Row],[Tech Start Date]],4),""))))</f>
        <v/>
      </c>
      <c r="O521" s="104" t="str">
        <f>IF(Main[[#This Row],[Tech Start Date]]&lt;1/1/1990,"",IF(Main[[#This Row],[Class]]="C",WORKDAY(Main[[#This Row],[Tech Start Date]],23),IF(Main[[#This Row],[Class]]="B", WORKDAY(Main[[#This Row],[Tech Start Date]],15),IF(Main[[#This Row],[Class]]="A",WORKDAY(Main[[#This Row],[Tech Start Date]],5),""))))</f>
        <v/>
      </c>
      <c r="P521" s="104" t="str">
        <f>IF(Main[[#This Row],[Tech Start Date]]&lt;1/1/1990,"",IF(Main[[#This Row],[Class]]="C",WORKDAY(Main[[#This Row],[Tech Start Date]],28),IF(Main[[#This Row],[Class]]="B", WORKDAY(Main[[#This Row],[Tech Start Date]],19),IF(Main[[#This Row],[Class]]="A",WORKDAY(Main[[#This Row],[Tech Start Date]],9),""))))</f>
        <v/>
      </c>
      <c r="Q521" s="101">
        <v>40455</v>
      </c>
      <c r="R521" s="101"/>
      <c r="S521" s="99" t="s">
        <v>6</v>
      </c>
      <c r="T521" s="107" t="s">
        <v>4</v>
      </c>
      <c r="U521" s="99" t="s">
        <v>7</v>
      </c>
      <c r="V521" s="99" t="s">
        <v>1962</v>
      </c>
      <c r="W521" s="99" t="s">
        <v>1966</v>
      </c>
    </row>
    <row r="522" spans="1:23" ht="18.600000000000001" customHeight="1">
      <c r="A522" s="123" t="str">
        <f>IF(priority(Main[[#This Row],[Comments]])&lt;&gt;0, priority(Main[[#This Row],[Comments]]),"")</f>
        <v/>
      </c>
      <c r="B522" s="127" t="s">
        <v>1344</v>
      </c>
      <c r="C522" s="99" t="s">
        <v>395</v>
      </c>
      <c r="D522" s="100" t="s">
        <v>396</v>
      </c>
      <c r="E522" s="101"/>
      <c r="F522" s="101">
        <v>40512</v>
      </c>
      <c r="G522" s="102" t="str">
        <f>IF(stdProdLT(Main[[#This Row],[Comments]])=0.1,"N/A",IF(stdProdLT(Main[[#This Row],[Comments]])=0,"",stdProdLT(Main[[#This Row],[Comments]])))</f>
        <v/>
      </c>
      <c r="H522" s="103" t="str">
        <f>IF(AND(Main[[#This Row],[In Stock Date]]&lt;&gt;"",Main[[#This Row],[Revised Due Date]]&lt;&gt;""),Main[[#This Row],[In Stock Date]]-Main[[#This Row],[Revised Due Date]],"")</f>
        <v/>
      </c>
      <c r="I522" s="99" t="s">
        <v>4</v>
      </c>
      <c r="J522" s="99" t="s">
        <v>4</v>
      </c>
      <c r="K522" s="99" t="s">
        <v>4</v>
      </c>
      <c r="L522" s="101"/>
      <c r="M522" s="104" t="str">
        <f>IF(Main[[#This Row],[Tech Start Date]]&lt;1/1/1990,"",IF(Main[[#This Row],[Class]]="C",WORKDAY(Main[[#This Row],[Tech Start Date]],9),IF(Main[[#This Row],[Class]]="B", WORKDAY(Main[[#This Row],[Tech Start Date]],6),IF(Main[[#This Row],[Class]]="A",WORKDAY(Main[[#This Row],[Tech Start Date]],2),""))))</f>
        <v/>
      </c>
      <c r="N522" s="104" t="str">
        <f>IF(Main[[#This Row],[Tech Start Date]]&lt;1/1/1990,"",IF(Main[[#This Row],[Class]]="C",WORKDAY(Main[[#This Row],[Tech Start Date]],19),IF(Main[[#This Row],[Class]]="B", WORKDAY(Main[[#This Row],[Tech Start Date]],12),IF(Main[[#This Row],[Class]]="A",WORKDAY(Main[[#This Row],[Tech Start Date]],4),""))))</f>
        <v/>
      </c>
      <c r="O522" s="104" t="str">
        <f>IF(Main[[#This Row],[Tech Start Date]]&lt;1/1/1990,"",IF(Main[[#This Row],[Class]]="C",WORKDAY(Main[[#This Row],[Tech Start Date]],23),IF(Main[[#This Row],[Class]]="B", WORKDAY(Main[[#This Row],[Tech Start Date]],15),IF(Main[[#This Row],[Class]]="A",WORKDAY(Main[[#This Row],[Tech Start Date]],5),""))))</f>
        <v/>
      </c>
      <c r="P522" s="104" t="str">
        <f>IF(Main[[#This Row],[Tech Start Date]]&lt;1/1/1990,"",IF(Main[[#This Row],[Class]]="C",WORKDAY(Main[[#This Row],[Tech Start Date]],28),IF(Main[[#This Row],[Class]]="B", WORKDAY(Main[[#This Row],[Tech Start Date]],19),IF(Main[[#This Row],[Class]]="A",WORKDAY(Main[[#This Row],[Tech Start Date]],9),""))))</f>
        <v/>
      </c>
      <c r="Q522" s="101">
        <v>40316</v>
      </c>
      <c r="R522" s="101"/>
      <c r="S522" s="99" t="s">
        <v>11</v>
      </c>
      <c r="T522" s="107" t="s">
        <v>4</v>
      </c>
      <c r="U522" s="99" t="s">
        <v>14</v>
      </c>
      <c r="V522" s="99" t="s">
        <v>1962</v>
      </c>
      <c r="W522" s="99" t="s">
        <v>1968</v>
      </c>
    </row>
    <row r="523" spans="1:23" ht="18.600000000000001" customHeight="1">
      <c r="A523" s="123" t="str">
        <f>IF(priority(Main[[#This Row],[Comments]])&lt;&gt;0, priority(Main[[#This Row],[Comments]]),"")</f>
        <v/>
      </c>
      <c r="B523" s="127" t="s">
        <v>1345</v>
      </c>
      <c r="C523" s="99" t="s">
        <v>216</v>
      </c>
      <c r="D523" s="100" t="s">
        <v>397</v>
      </c>
      <c r="E523" s="101"/>
      <c r="F523" s="101">
        <v>40390</v>
      </c>
      <c r="G523" s="102" t="str">
        <f>IF(stdProdLT(Main[[#This Row],[Comments]])=0.1,"N/A",IF(stdProdLT(Main[[#This Row],[Comments]])=0,"",stdProdLT(Main[[#This Row],[Comments]])))</f>
        <v/>
      </c>
      <c r="H523" s="103" t="str">
        <f>IF(AND(Main[[#This Row],[In Stock Date]]&lt;&gt;"",Main[[#This Row],[Revised Due Date]]&lt;&gt;""),Main[[#This Row],[In Stock Date]]-Main[[#This Row],[Revised Due Date]],"")</f>
        <v/>
      </c>
      <c r="I523" s="99" t="s">
        <v>4</v>
      </c>
      <c r="J523" s="99" t="s">
        <v>4</v>
      </c>
      <c r="K523" s="99" t="s">
        <v>4</v>
      </c>
      <c r="L523" s="101"/>
      <c r="M523" s="104" t="str">
        <f>IF(Main[[#This Row],[Tech Start Date]]&lt;1/1/1990,"",IF(Main[[#This Row],[Class]]="C",WORKDAY(Main[[#This Row],[Tech Start Date]],9),IF(Main[[#This Row],[Class]]="B", WORKDAY(Main[[#This Row],[Tech Start Date]],6),IF(Main[[#This Row],[Class]]="A",WORKDAY(Main[[#This Row],[Tech Start Date]],2),""))))</f>
        <v/>
      </c>
      <c r="N523" s="104" t="str">
        <f>IF(Main[[#This Row],[Tech Start Date]]&lt;1/1/1990,"",IF(Main[[#This Row],[Class]]="C",WORKDAY(Main[[#This Row],[Tech Start Date]],19),IF(Main[[#This Row],[Class]]="B", WORKDAY(Main[[#This Row],[Tech Start Date]],12),IF(Main[[#This Row],[Class]]="A",WORKDAY(Main[[#This Row],[Tech Start Date]],4),""))))</f>
        <v/>
      </c>
      <c r="O523" s="104" t="str">
        <f>IF(Main[[#This Row],[Tech Start Date]]&lt;1/1/1990,"",IF(Main[[#This Row],[Class]]="C",WORKDAY(Main[[#This Row],[Tech Start Date]],23),IF(Main[[#This Row],[Class]]="B", WORKDAY(Main[[#This Row],[Tech Start Date]],15),IF(Main[[#This Row],[Class]]="A",WORKDAY(Main[[#This Row],[Tech Start Date]],5),""))))</f>
        <v/>
      </c>
      <c r="P523" s="104" t="str">
        <f>IF(Main[[#This Row],[Tech Start Date]]&lt;1/1/1990,"",IF(Main[[#This Row],[Class]]="C",WORKDAY(Main[[#This Row],[Tech Start Date]],28),IF(Main[[#This Row],[Class]]="B", WORKDAY(Main[[#This Row],[Tech Start Date]],19),IF(Main[[#This Row],[Class]]="A",WORKDAY(Main[[#This Row],[Tech Start Date]],9),""))))</f>
        <v/>
      </c>
      <c r="Q523" s="101">
        <v>40278</v>
      </c>
      <c r="R523" s="101"/>
      <c r="S523" s="99" t="s">
        <v>11</v>
      </c>
      <c r="T523" s="107" t="s">
        <v>4</v>
      </c>
      <c r="U523" s="99" t="s">
        <v>14</v>
      </c>
      <c r="V523" s="99" t="s">
        <v>1965</v>
      </c>
      <c r="W523" s="99" t="s">
        <v>1967</v>
      </c>
    </row>
    <row r="524" spans="1:23" ht="18.600000000000001" customHeight="1">
      <c r="A524" s="123" t="str">
        <f>IF(priority(Main[[#This Row],[Comments]])&lt;&gt;0, priority(Main[[#This Row],[Comments]]),"")</f>
        <v/>
      </c>
      <c r="B524" s="127" t="s">
        <v>1346</v>
      </c>
      <c r="C524" s="99" t="s">
        <v>280</v>
      </c>
      <c r="D524" s="100" t="s">
        <v>398</v>
      </c>
      <c r="E524" s="101"/>
      <c r="F524" s="101">
        <v>40186</v>
      </c>
      <c r="G524" s="102" t="str">
        <f>IF(stdProdLT(Main[[#This Row],[Comments]])=0.1,"N/A",IF(stdProdLT(Main[[#This Row],[Comments]])=0,"",stdProdLT(Main[[#This Row],[Comments]])))</f>
        <v/>
      </c>
      <c r="H524" s="103" t="str">
        <f>IF(AND(Main[[#This Row],[In Stock Date]]&lt;&gt;"",Main[[#This Row],[Revised Due Date]]&lt;&gt;""),Main[[#This Row],[In Stock Date]]-Main[[#This Row],[Revised Due Date]],"")</f>
        <v/>
      </c>
      <c r="I524" s="99" t="s">
        <v>4</v>
      </c>
      <c r="J524" s="99" t="s">
        <v>4</v>
      </c>
      <c r="K524" s="99" t="s">
        <v>4</v>
      </c>
      <c r="L524" s="101"/>
      <c r="M524" s="104" t="str">
        <f>IF(Main[[#This Row],[Tech Start Date]]&lt;1/1/1990,"",IF(Main[[#This Row],[Class]]="C",WORKDAY(Main[[#This Row],[Tech Start Date]],9),IF(Main[[#This Row],[Class]]="B", WORKDAY(Main[[#This Row],[Tech Start Date]],6),IF(Main[[#This Row],[Class]]="A",WORKDAY(Main[[#This Row],[Tech Start Date]],2),""))))</f>
        <v/>
      </c>
      <c r="N524" s="104" t="str">
        <f>IF(Main[[#This Row],[Tech Start Date]]&lt;1/1/1990,"",IF(Main[[#This Row],[Class]]="C",WORKDAY(Main[[#This Row],[Tech Start Date]],19),IF(Main[[#This Row],[Class]]="B", WORKDAY(Main[[#This Row],[Tech Start Date]],12),IF(Main[[#This Row],[Class]]="A",WORKDAY(Main[[#This Row],[Tech Start Date]],4),""))))</f>
        <v/>
      </c>
      <c r="O524" s="104" t="str">
        <f>IF(Main[[#This Row],[Tech Start Date]]&lt;1/1/1990,"",IF(Main[[#This Row],[Class]]="C",WORKDAY(Main[[#This Row],[Tech Start Date]],23),IF(Main[[#This Row],[Class]]="B", WORKDAY(Main[[#This Row],[Tech Start Date]],15),IF(Main[[#This Row],[Class]]="A",WORKDAY(Main[[#This Row],[Tech Start Date]],5),""))))</f>
        <v/>
      </c>
      <c r="P524" s="104" t="str">
        <f>IF(Main[[#This Row],[Tech Start Date]]&lt;1/1/1990,"",IF(Main[[#This Row],[Class]]="C",WORKDAY(Main[[#This Row],[Tech Start Date]],28),IF(Main[[#This Row],[Class]]="B", WORKDAY(Main[[#This Row],[Tech Start Date]],19),IF(Main[[#This Row],[Class]]="A",WORKDAY(Main[[#This Row],[Tech Start Date]],9),""))))</f>
        <v/>
      </c>
      <c r="Q524" s="101">
        <v>40186</v>
      </c>
      <c r="R524" s="101"/>
      <c r="S524" s="99" t="s">
        <v>11</v>
      </c>
      <c r="T524" s="107" t="s">
        <v>4</v>
      </c>
      <c r="U524" s="99" t="s">
        <v>14</v>
      </c>
      <c r="V524" s="99" t="s">
        <v>1965</v>
      </c>
      <c r="W524" s="99" t="s">
        <v>1970</v>
      </c>
    </row>
    <row r="525" spans="1:23" ht="18.600000000000001" customHeight="1">
      <c r="A525" s="123" t="str">
        <f>IF(priority(Main[[#This Row],[Comments]])&lt;&gt;0, priority(Main[[#This Row],[Comments]]),"")</f>
        <v/>
      </c>
      <c r="B525" s="127" t="s">
        <v>1347</v>
      </c>
      <c r="C525" s="99" t="s">
        <v>399</v>
      </c>
      <c r="D525" s="100" t="s">
        <v>400</v>
      </c>
      <c r="E525" s="101"/>
      <c r="F525" s="101"/>
      <c r="G525" s="102" t="str">
        <f>IF(stdProdLT(Main[[#This Row],[Comments]])=0.1,"N/A",IF(stdProdLT(Main[[#This Row],[Comments]])=0,"",stdProdLT(Main[[#This Row],[Comments]])))</f>
        <v/>
      </c>
      <c r="H525" s="103" t="str">
        <f>IF(AND(Main[[#This Row],[In Stock Date]]&lt;&gt;"",Main[[#This Row],[Revised Due Date]]&lt;&gt;""),Main[[#This Row],[In Stock Date]]-Main[[#This Row],[Revised Due Date]],"")</f>
        <v/>
      </c>
      <c r="I525" s="99" t="s">
        <v>4</v>
      </c>
      <c r="J525" s="99" t="s">
        <v>4</v>
      </c>
      <c r="K525" s="99" t="s">
        <v>4</v>
      </c>
      <c r="L525" s="101"/>
      <c r="M525" s="104" t="str">
        <f>IF(Main[[#This Row],[Tech Start Date]]&lt;1/1/1990,"",IF(Main[[#This Row],[Class]]="C",WORKDAY(Main[[#This Row],[Tech Start Date]],9),IF(Main[[#This Row],[Class]]="B", WORKDAY(Main[[#This Row],[Tech Start Date]],6),IF(Main[[#This Row],[Class]]="A",WORKDAY(Main[[#This Row],[Tech Start Date]],2),""))))</f>
        <v/>
      </c>
      <c r="N525" s="104" t="str">
        <f>IF(Main[[#This Row],[Tech Start Date]]&lt;1/1/1990,"",IF(Main[[#This Row],[Class]]="C",WORKDAY(Main[[#This Row],[Tech Start Date]],19),IF(Main[[#This Row],[Class]]="B", WORKDAY(Main[[#This Row],[Tech Start Date]],12),IF(Main[[#This Row],[Class]]="A",WORKDAY(Main[[#This Row],[Tech Start Date]],4),""))))</f>
        <v/>
      </c>
      <c r="O525" s="104" t="str">
        <f>IF(Main[[#This Row],[Tech Start Date]]&lt;1/1/1990,"",IF(Main[[#This Row],[Class]]="C",WORKDAY(Main[[#This Row],[Tech Start Date]],23),IF(Main[[#This Row],[Class]]="B", WORKDAY(Main[[#This Row],[Tech Start Date]],15),IF(Main[[#This Row],[Class]]="A",WORKDAY(Main[[#This Row],[Tech Start Date]],5),""))))</f>
        <v/>
      </c>
      <c r="P525" s="104" t="str">
        <f>IF(Main[[#This Row],[Tech Start Date]]&lt;1/1/1990,"",IF(Main[[#This Row],[Class]]="C",WORKDAY(Main[[#This Row],[Tech Start Date]],28),IF(Main[[#This Row],[Class]]="B", WORKDAY(Main[[#This Row],[Tech Start Date]],19),IF(Main[[#This Row],[Class]]="A",WORKDAY(Main[[#This Row],[Tech Start Date]],9),""))))</f>
        <v/>
      </c>
      <c r="Q525" s="101"/>
      <c r="R525" s="101"/>
      <c r="S525" s="99" t="s">
        <v>11</v>
      </c>
      <c r="T525" s="107" t="s">
        <v>4</v>
      </c>
      <c r="U525" s="99" t="s">
        <v>14</v>
      </c>
      <c r="V525" s="99" t="s">
        <v>1963</v>
      </c>
      <c r="W525" s="99" t="s">
        <v>1970</v>
      </c>
    </row>
    <row r="526" spans="1:23" ht="18.600000000000001" customHeight="1">
      <c r="A526" s="123" t="str">
        <f>IF(priority(Main[[#This Row],[Comments]])&lt;&gt;0, priority(Main[[#This Row],[Comments]]),"")</f>
        <v/>
      </c>
      <c r="B526" s="127" t="s">
        <v>1349</v>
      </c>
      <c r="C526" s="99" t="s">
        <v>4</v>
      </c>
      <c r="D526" s="100" t="s">
        <v>401</v>
      </c>
      <c r="E526" s="101">
        <v>40319.627523148149</v>
      </c>
      <c r="F526" s="101"/>
      <c r="G526" s="102" t="str">
        <f>IF(stdProdLT(Main[[#This Row],[Comments]])=0.1,"N/A",IF(stdProdLT(Main[[#This Row],[Comments]])=0,"",stdProdLT(Main[[#This Row],[Comments]])))</f>
        <v/>
      </c>
      <c r="H526" s="103" t="str">
        <f>IF(AND(Main[[#This Row],[In Stock Date]]&lt;&gt;"",Main[[#This Row],[Revised Due Date]]&lt;&gt;""),Main[[#This Row],[In Stock Date]]-Main[[#This Row],[Revised Due Date]],"")</f>
        <v/>
      </c>
      <c r="I526" s="99" t="s">
        <v>129</v>
      </c>
      <c r="J526" s="99" t="s">
        <v>4</v>
      </c>
      <c r="K526" s="99" t="s">
        <v>4</v>
      </c>
      <c r="L526" s="101"/>
      <c r="M526" s="104" t="str">
        <f>IF(Main[[#This Row],[Tech Start Date]]&lt;1/1/1990,"",IF(Main[[#This Row],[Class]]="C",WORKDAY(Main[[#This Row],[Tech Start Date]],9),IF(Main[[#This Row],[Class]]="B", WORKDAY(Main[[#This Row],[Tech Start Date]],6),IF(Main[[#This Row],[Class]]="A",WORKDAY(Main[[#This Row],[Tech Start Date]],2),""))))</f>
        <v/>
      </c>
      <c r="N526" s="104" t="str">
        <f>IF(Main[[#This Row],[Tech Start Date]]&lt;1/1/1990,"",IF(Main[[#This Row],[Class]]="C",WORKDAY(Main[[#This Row],[Tech Start Date]],19),IF(Main[[#This Row],[Class]]="B", WORKDAY(Main[[#This Row],[Tech Start Date]],12),IF(Main[[#This Row],[Class]]="A",WORKDAY(Main[[#This Row],[Tech Start Date]],4),""))))</f>
        <v/>
      </c>
      <c r="O526" s="104" t="str">
        <f>IF(Main[[#This Row],[Tech Start Date]]&lt;1/1/1990,"",IF(Main[[#This Row],[Class]]="C",WORKDAY(Main[[#This Row],[Tech Start Date]],23),IF(Main[[#This Row],[Class]]="B", WORKDAY(Main[[#This Row],[Tech Start Date]],15),IF(Main[[#This Row],[Class]]="A",WORKDAY(Main[[#This Row],[Tech Start Date]],5),""))))</f>
        <v/>
      </c>
      <c r="P526" s="104" t="str">
        <f>IF(Main[[#This Row],[Tech Start Date]]&lt;1/1/1990,"",IF(Main[[#This Row],[Class]]="C",WORKDAY(Main[[#This Row],[Tech Start Date]],28),IF(Main[[#This Row],[Class]]="B", WORKDAY(Main[[#This Row],[Tech Start Date]],19),IF(Main[[#This Row],[Class]]="A",WORKDAY(Main[[#This Row],[Tech Start Date]],9),""))))</f>
        <v/>
      </c>
      <c r="Q526" s="101">
        <v>40337</v>
      </c>
      <c r="R526" s="101"/>
      <c r="S526" s="99" t="s">
        <v>6</v>
      </c>
      <c r="T526" s="107" t="s">
        <v>4</v>
      </c>
      <c r="U526" s="99" t="s">
        <v>7</v>
      </c>
      <c r="V526" s="99" t="s">
        <v>1962</v>
      </c>
      <c r="W526" s="99" t="s">
        <v>1966</v>
      </c>
    </row>
    <row r="527" spans="1:23" ht="18.600000000000001" customHeight="1">
      <c r="A527" s="123" t="str">
        <f>IF(priority(Main[[#This Row],[Comments]])&lt;&gt;0, priority(Main[[#This Row],[Comments]]),"")</f>
        <v/>
      </c>
      <c r="B527" s="127" t="s">
        <v>1350</v>
      </c>
      <c r="C527" s="99" t="s">
        <v>93</v>
      </c>
      <c r="D527" s="100" t="s">
        <v>402</v>
      </c>
      <c r="E527" s="101"/>
      <c r="F527" s="101">
        <v>40132</v>
      </c>
      <c r="G527" s="102" t="str">
        <f>IF(stdProdLT(Main[[#This Row],[Comments]])=0.1,"N/A",IF(stdProdLT(Main[[#This Row],[Comments]])=0,"",stdProdLT(Main[[#This Row],[Comments]])))</f>
        <v/>
      </c>
      <c r="H527" s="103" t="str">
        <f>IF(AND(Main[[#This Row],[In Stock Date]]&lt;&gt;"",Main[[#This Row],[Revised Due Date]]&lt;&gt;""),Main[[#This Row],[In Stock Date]]-Main[[#This Row],[Revised Due Date]],"")</f>
        <v/>
      </c>
      <c r="I527" s="99" t="s">
        <v>4</v>
      </c>
      <c r="J527" s="99" t="s">
        <v>4</v>
      </c>
      <c r="K527" s="108" t="s">
        <v>4</v>
      </c>
      <c r="L527" s="101"/>
      <c r="M527" s="104" t="str">
        <f>IF(Main[[#This Row],[Tech Start Date]]&lt;1/1/1990,"",IF(Main[[#This Row],[Class]]="C",WORKDAY(Main[[#This Row],[Tech Start Date]],9),IF(Main[[#This Row],[Class]]="B", WORKDAY(Main[[#This Row],[Tech Start Date]],6),IF(Main[[#This Row],[Class]]="A",WORKDAY(Main[[#This Row],[Tech Start Date]],2),""))))</f>
        <v/>
      </c>
      <c r="N527" s="104" t="str">
        <f>IF(Main[[#This Row],[Tech Start Date]]&lt;1/1/1990,"",IF(Main[[#This Row],[Class]]="C",WORKDAY(Main[[#This Row],[Tech Start Date]],19),IF(Main[[#This Row],[Class]]="B", WORKDAY(Main[[#This Row],[Tech Start Date]],12),IF(Main[[#This Row],[Class]]="A",WORKDAY(Main[[#This Row],[Tech Start Date]],4),""))))</f>
        <v/>
      </c>
      <c r="O527" s="104" t="str">
        <f>IF(Main[[#This Row],[Tech Start Date]]&lt;1/1/1990,"",IF(Main[[#This Row],[Class]]="C",WORKDAY(Main[[#This Row],[Tech Start Date]],23),IF(Main[[#This Row],[Class]]="B", WORKDAY(Main[[#This Row],[Tech Start Date]],15),IF(Main[[#This Row],[Class]]="A",WORKDAY(Main[[#This Row],[Tech Start Date]],5),""))))</f>
        <v/>
      </c>
      <c r="P527" s="104" t="str">
        <f>IF(Main[[#This Row],[Tech Start Date]]&lt;1/1/1990,"",IF(Main[[#This Row],[Class]]="C",WORKDAY(Main[[#This Row],[Tech Start Date]],28),IF(Main[[#This Row],[Class]]="B", WORKDAY(Main[[#This Row],[Tech Start Date]],19),IF(Main[[#This Row],[Class]]="A",WORKDAY(Main[[#This Row],[Tech Start Date]],9),""))))</f>
        <v/>
      </c>
      <c r="Q527" s="101">
        <v>40132</v>
      </c>
      <c r="R527" s="101"/>
      <c r="S527" s="99" t="s">
        <v>11</v>
      </c>
      <c r="T527" s="107" t="s">
        <v>4</v>
      </c>
      <c r="U527" s="99" t="s">
        <v>14</v>
      </c>
      <c r="V527" s="99" t="s">
        <v>1972</v>
      </c>
      <c r="W527" s="99" t="s">
        <v>1973</v>
      </c>
    </row>
    <row r="528" spans="1:23" ht="18.600000000000001" customHeight="1">
      <c r="A528" s="123" t="str">
        <f>IF(priority(Main[[#This Row],[Comments]])&lt;&gt;0, priority(Main[[#This Row],[Comments]]),"")</f>
        <v/>
      </c>
      <c r="B528" s="127" t="s">
        <v>1351</v>
      </c>
      <c r="C528" s="99" t="s">
        <v>4</v>
      </c>
      <c r="D528" s="100" t="s">
        <v>403</v>
      </c>
      <c r="E528" s="101"/>
      <c r="F528" s="101">
        <v>40385</v>
      </c>
      <c r="G528" s="102" t="str">
        <f>IF(stdProdLT(Main[[#This Row],[Comments]])=0.1,"N/A",IF(stdProdLT(Main[[#This Row],[Comments]])=0,"",stdProdLT(Main[[#This Row],[Comments]])))</f>
        <v/>
      </c>
      <c r="H528" s="103" t="str">
        <f>IF(AND(Main[[#This Row],[In Stock Date]]&lt;&gt;"",Main[[#This Row],[Revised Due Date]]&lt;&gt;""),Main[[#This Row],[In Stock Date]]-Main[[#This Row],[Revised Due Date]],"")</f>
        <v/>
      </c>
      <c r="I528" s="99" t="s">
        <v>404</v>
      </c>
      <c r="J528" s="99" t="s">
        <v>4</v>
      </c>
      <c r="K528" s="99" t="s">
        <v>4</v>
      </c>
      <c r="L528" s="101"/>
      <c r="M528" s="104" t="str">
        <f>IF(Main[[#This Row],[Tech Start Date]]&lt;1/1/1990,"",IF(Main[[#This Row],[Class]]="C",WORKDAY(Main[[#This Row],[Tech Start Date]],9),IF(Main[[#This Row],[Class]]="B", WORKDAY(Main[[#This Row],[Tech Start Date]],6),IF(Main[[#This Row],[Class]]="A",WORKDAY(Main[[#This Row],[Tech Start Date]],2),""))))</f>
        <v/>
      </c>
      <c r="N528" s="104" t="str">
        <f>IF(Main[[#This Row],[Tech Start Date]]&lt;1/1/1990,"",IF(Main[[#This Row],[Class]]="C",WORKDAY(Main[[#This Row],[Tech Start Date]],19),IF(Main[[#This Row],[Class]]="B", WORKDAY(Main[[#This Row],[Tech Start Date]],12),IF(Main[[#This Row],[Class]]="A",WORKDAY(Main[[#This Row],[Tech Start Date]],4),""))))</f>
        <v/>
      </c>
      <c r="O528" s="104" t="str">
        <f>IF(Main[[#This Row],[Tech Start Date]]&lt;1/1/1990,"",IF(Main[[#This Row],[Class]]="C",WORKDAY(Main[[#This Row],[Tech Start Date]],23),IF(Main[[#This Row],[Class]]="B", WORKDAY(Main[[#This Row],[Tech Start Date]],15),IF(Main[[#This Row],[Class]]="A",WORKDAY(Main[[#This Row],[Tech Start Date]],5),""))))</f>
        <v/>
      </c>
      <c r="P528" s="104" t="str">
        <f>IF(Main[[#This Row],[Tech Start Date]]&lt;1/1/1990,"",IF(Main[[#This Row],[Class]]="C",WORKDAY(Main[[#This Row],[Tech Start Date]],28),IF(Main[[#This Row],[Class]]="B", WORKDAY(Main[[#This Row],[Tech Start Date]],19),IF(Main[[#This Row],[Class]]="A",WORKDAY(Main[[#This Row],[Tech Start Date]],9),""))))</f>
        <v/>
      </c>
      <c r="Q528" s="101">
        <v>40359</v>
      </c>
      <c r="R528" s="101"/>
      <c r="S528" s="99" t="s">
        <v>11</v>
      </c>
      <c r="T528" s="107" t="s">
        <v>4</v>
      </c>
      <c r="U528" s="99" t="s">
        <v>14</v>
      </c>
      <c r="V528" s="99" t="s">
        <v>1965</v>
      </c>
      <c r="W528" s="99" t="s">
        <v>1968</v>
      </c>
    </row>
    <row r="529" spans="1:23" ht="18.600000000000001" customHeight="1">
      <c r="A529" s="123" t="str">
        <f>IF(priority(Main[[#This Row],[Comments]])&lt;&gt;0, priority(Main[[#This Row],[Comments]]),"")</f>
        <v/>
      </c>
      <c r="B529" s="127" t="s">
        <v>1352</v>
      </c>
      <c r="C529" s="99" t="s">
        <v>31</v>
      </c>
      <c r="D529" s="100" t="s">
        <v>405</v>
      </c>
      <c r="E529" s="101"/>
      <c r="F529" s="101">
        <v>40203</v>
      </c>
      <c r="G529" s="102" t="str">
        <f>IF(stdProdLT(Main[[#This Row],[Comments]])=0.1,"N/A",IF(stdProdLT(Main[[#This Row],[Comments]])=0,"",stdProdLT(Main[[#This Row],[Comments]])))</f>
        <v/>
      </c>
      <c r="H529" s="103" t="str">
        <f>IF(AND(Main[[#This Row],[In Stock Date]]&lt;&gt;"",Main[[#This Row],[Revised Due Date]]&lt;&gt;""),Main[[#This Row],[In Stock Date]]-Main[[#This Row],[Revised Due Date]],"")</f>
        <v/>
      </c>
      <c r="I529" s="99" t="s">
        <v>4</v>
      </c>
      <c r="J529" s="99" t="s">
        <v>4</v>
      </c>
      <c r="K529" s="99" t="s">
        <v>4</v>
      </c>
      <c r="L529" s="101"/>
      <c r="M529" s="104" t="str">
        <f>IF(Main[[#This Row],[Tech Start Date]]&lt;1/1/1990,"",IF(Main[[#This Row],[Class]]="C",WORKDAY(Main[[#This Row],[Tech Start Date]],9),IF(Main[[#This Row],[Class]]="B", WORKDAY(Main[[#This Row],[Tech Start Date]],6),IF(Main[[#This Row],[Class]]="A",WORKDAY(Main[[#This Row],[Tech Start Date]],2),""))))</f>
        <v/>
      </c>
      <c r="N529" s="104" t="str">
        <f>IF(Main[[#This Row],[Tech Start Date]]&lt;1/1/1990,"",IF(Main[[#This Row],[Class]]="C",WORKDAY(Main[[#This Row],[Tech Start Date]],19),IF(Main[[#This Row],[Class]]="B", WORKDAY(Main[[#This Row],[Tech Start Date]],12),IF(Main[[#This Row],[Class]]="A",WORKDAY(Main[[#This Row],[Tech Start Date]],4),""))))</f>
        <v/>
      </c>
      <c r="O529" s="104" t="str">
        <f>IF(Main[[#This Row],[Tech Start Date]]&lt;1/1/1990,"",IF(Main[[#This Row],[Class]]="C",WORKDAY(Main[[#This Row],[Tech Start Date]],23),IF(Main[[#This Row],[Class]]="B", WORKDAY(Main[[#This Row],[Tech Start Date]],15),IF(Main[[#This Row],[Class]]="A",WORKDAY(Main[[#This Row],[Tech Start Date]],5),""))))</f>
        <v/>
      </c>
      <c r="P529" s="104" t="str">
        <f>IF(Main[[#This Row],[Tech Start Date]]&lt;1/1/1990,"",IF(Main[[#This Row],[Class]]="C",WORKDAY(Main[[#This Row],[Tech Start Date]],28),IF(Main[[#This Row],[Class]]="B", WORKDAY(Main[[#This Row],[Tech Start Date]],19),IF(Main[[#This Row],[Class]]="A",WORKDAY(Main[[#This Row],[Tech Start Date]],9),""))))</f>
        <v/>
      </c>
      <c r="Q529" s="101">
        <v>40063</v>
      </c>
      <c r="R529" s="101"/>
      <c r="S529" s="99" t="s">
        <v>11</v>
      </c>
      <c r="T529" s="107" t="s">
        <v>4</v>
      </c>
      <c r="U529" s="99" t="s">
        <v>14</v>
      </c>
      <c r="V529" s="99" t="s">
        <v>1972</v>
      </c>
      <c r="W529" s="99" t="s">
        <v>1968</v>
      </c>
    </row>
    <row r="530" spans="1:23" ht="18.600000000000001" customHeight="1">
      <c r="A530" s="123" t="str">
        <f>IF(priority(Main[[#This Row],[Comments]])&lt;&gt;0, priority(Main[[#This Row],[Comments]]),"")</f>
        <v/>
      </c>
      <c r="B530" s="127" t="s">
        <v>1693</v>
      </c>
      <c r="C530" s="99" t="s">
        <v>4</v>
      </c>
      <c r="D530" s="100" t="s">
        <v>731</v>
      </c>
      <c r="E530" s="101"/>
      <c r="F530" s="101"/>
      <c r="G530" s="102" t="str">
        <f>IF(stdProdLT(Main[[#This Row],[Comments]])=0.1,"N/A",IF(stdProdLT(Main[[#This Row],[Comments]])=0,"",stdProdLT(Main[[#This Row],[Comments]])))</f>
        <v/>
      </c>
      <c r="H530" s="103" t="str">
        <f>IF(AND(Main[[#This Row],[In Stock Date]]&lt;&gt;"",Main[[#This Row],[Revised Due Date]]&lt;&gt;""),Main[[#This Row],[In Stock Date]]-Main[[#This Row],[Revised Due Date]],"")</f>
        <v/>
      </c>
      <c r="I530" s="99" t="s">
        <v>4</v>
      </c>
      <c r="J530" s="99" t="s">
        <v>4</v>
      </c>
      <c r="K530" s="99" t="s">
        <v>4</v>
      </c>
      <c r="L530" s="101"/>
      <c r="M530" s="104" t="str">
        <f>IF(Main[[#This Row],[Tech Start Date]]&lt;1/1/1990,"",IF(Main[[#This Row],[Class]]="C",WORKDAY(Main[[#This Row],[Tech Start Date]],9),IF(Main[[#This Row],[Class]]="B", WORKDAY(Main[[#This Row],[Tech Start Date]],6),IF(Main[[#This Row],[Class]]="A",WORKDAY(Main[[#This Row],[Tech Start Date]],2),""))))</f>
        <v/>
      </c>
      <c r="N530" s="104" t="str">
        <f>IF(Main[[#This Row],[Tech Start Date]]&lt;1/1/1990,"",IF(Main[[#This Row],[Class]]="C",WORKDAY(Main[[#This Row],[Tech Start Date]],19),IF(Main[[#This Row],[Class]]="B", WORKDAY(Main[[#This Row],[Tech Start Date]],12),IF(Main[[#This Row],[Class]]="A",WORKDAY(Main[[#This Row],[Tech Start Date]],4),""))))</f>
        <v/>
      </c>
      <c r="O530" s="104" t="str">
        <f>IF(Main[[#This Row],[Tech Start Date]]&lt;1/1/1990,"",IF(Main[[#This Row],[Class]]="C",WORKDAY(Main[[#This Row],[Tech Start Date]],23),IF(Main[[#This Row],[Class]]="B", WORKDAY(Main[[#This Row],[Tech Start Date]],15),IF(Main[[#This Row],[Class]]="A",WORKDAY(Main[[#This Row],[Tech Start Date]],5),""))))</f>
        <v/>
      </c>
      <c r="P530" s="104" t="str">
        <f>IF(Main[[#This Row],[Tech Start Date]]&lt;1/1/1990,"",IF(Main[[#This Row],[Class]]="C",WORKDAY(Main[[#This Row],[Tech Start Date]],28),IF(Main[[#This Row],[Class]]="B", WORKDAY(Main[[#This Row],[Tech Start Date]],19),IF(Main[[#This Row],[Class]]="A",WORKDAY(Main[[#This Row],[Tech Start Date]],9),""))))</f>
        <v/>
      </c>
      <c r="Q530" s="101">
        <v>40676</v>
      </c>
      <c r="R530" s="101"/>
      <c r="S530" s="99" t="s">
        <v>6</v>
      </c>
      <c r="T530" s="107" t="s">
        <v>4</v>
      </c>
      <c r="U530" s="99" t="s">
        <v>14</v>
      </c>
      <c r="V530" s="99" t="s">
        <v>1962</v>
      </c>
      <c r="W530" s="99" t="s">
        <v>1966</v>
      </c>
    </row>
    <row r="531" spans="1:23" ht="18.600000000000001" customHeight="1">
      <c r="A531" s="123" t="str">
        <f>IF(priority(Main[[#This Row],[Comments]])&lt;&gt;0, priority(Main[[#This Row],[Comments]]),"")</f>
        <v/>
      </c>
      <c r="B531" s="127" t="s">
        <v>1353</v>
      </c>
      <c r="C531" s="99" t="s">
        <v>47</v>
      </c>
      <c r="D531" s="100" t="s">
        <v>147</v>
      </c>
      <c r="E531" s="101"/>
      <c r="F531" s="101"/>
      <c r="G531" s="102" t="str">
        <f>IF(stdProdLT(Main[[#This Row],[Comments]])=0.1,"N/A",IF(stdProdLT(Main[[#This Row],[Comments]])=0,"",stdProdLT(Main[[#This Row],[Comments]])))</f>
        <v/>
      </c>
      <c r="H531" s="103" t="str">
        <f>IF(AND(Main[[#This Row],[In Stock Date]]&lt;&gt;"",Main[[#This Row],[Revised Due Date]]&lt;&gt;""),Main[[#This Row],[In Stock Date]]-Main[[#This Row],[Revised Due Date]],"")</f>
        <v/>
      </c>
      <c r="I531" s="99" t="s">
        <v>4</v>
      </c>
      <c r="J531" s="99" t="s">
        <v>4</v>
      </c>
      <c r="K531" s="99" t="s">
        <v>4</v>
      </c>
      <c r="L531" s="101"/>
      <c r="M531" s="104" t="str">
        <f>IF(Main[[#This Row],[Tech Start Date]]&lt;1/1/1990,"",IF(Main[[#This Row],[Class]]="C",WORKDAY(Main[[#This Row],[Tech Start Date]],9),IF(Main[[#This Row],[Class]]="B", WORKDAY(Main[[#This Row],[Tech Start Date]],6),IF(Main[[#This Row],[Class]]="A",WORKDAY(Main[[#This Row],[Tech Start Date]],2),""))))</f>
        <v/>
      </c>
      <c r="N531" s="104" t="str">
        <f>IF(Main[[#This Row],[Tech Start Date]]&lt;1/1/1990,"",IF(Main[[#This Row],[Class]]="C",WORKDAY(Main[[#This Row],[Tech Start Date]],19),IF(Main[[#This Row],[Class]]="B", WORKDAY(Main[[#This Row],[Tech Start Date]],12),IF(Main[[#This Row],[Class]]="A",WORKDAY(Main[[#This Row],[Tech Start Date]],4),""))))</f>
        <v/>
      </c>
      <c r="O531" s="104" t="str">
        <f>IF(Main[[#This Row],[Tech Start Date]]&lt;1/1/1990,"",IF(Main[[#This Row],[Class]]="C",WORKDAY(Main[[#This Row],[Tech Start Date]],23),IF(Main[[#This Row],[Class]]="B", WORKDAY(Main[[#This Row],[Tech Start Date]],15),IF(Main[[#This Row],[Class]]="A",WORKDAY(Main[[#This Row],[Tech Start Date]],5),""))))</f>
        <v/>
      </c>
      <c r="P531" s="104" t="str">
        <f>IF(Main[[#This Row],[Tech Start Date]]&lt;1/1/1990,"",IF(Main[[#This Row],[Class]]="C",WORKDAY(Main[[#This Row],[Tech Start Date]],28),IF(Main[[#This Row],[Class]]="B", WORKDAY(Main[[#This Row],[Tech Start Date]],19),IF(Main[[#This Row],[Class]]="A",WORKDAY(Main[[#This Row],[Tech Start Date]],9),""))))</f>
        <v/>
      </c>
      <c r="Q531" s="101"/>
      <c r="R531" s="101"/>
      <c r="S531" s="99" t="s">
        <v>4</v>
      </c>
      <c r="T531" s="107" t="s">
        <v>4</v>
      </c>
      <c r="U531" s="99" t="s">
        <v>14</v>
      </c>
      <c r="V531" s="99" t="s">
        <v>1963</v>
      </c>
      <c r="W531" s="99" t="s">
        <v>4</v>
      </c>
    </row>
    <row r="532" spans="1:23" ht="18.600000000000001" customHeight="1">
      <c r="A532" s="123" t="str">
        <f>IF(priority(Main[[#This Row],[Comments]])&lt;&gt;0, priority(Main[[#This Row],[Comments]]),"")</f>
        <v/>
      </c>
      <c r="B532" s="127" t="s">
        <v>1354</v>
      </c>
      <c r="C532" s="99" t="s">
        <v>406</v>
      </c>
      <c r="D532" s="100" t="s">
        <v>407</v>
      </c>
      <c r="E532" s="101"/>
      <c r="F532" s="101">
        <v>40447</v>
      </c>
      <c r="G532" s="102" t="str">
        <f>IF(stdProdLT(Main[[#This Row],[Comments]])=0.1,"N/A",IF(stdProdLT(Main[[#This Row],[Comments]])=0,"",stdProdLT(Main[[#This Row],[Comments]])))</f>
        <v/>
      </c>
      <c r="H532" s="103" t="str">
        <f>IF(AND(Main[[#This Row],[In Stock Date]]&lt;&gt;"",Main[[#This Row],[Revised Due Date]]&lt;&gt;""),Main[[#This Row],[In Stock Date]]-Main[[#This Row],[Revised Due Date]],"")</f>
        <v/>
      </c>
      <c r="I532" s="99" t="s">
        <v>4</v>
      </c>
      <c r="J532" s="99" t="s">
        <v>4</v>
      </c>
      <c r="K532" s="99" t="s">
        <v>4</v>
      </c>
      <c r="L532" s="101"/>
      <c r="M532" s="104" t="str">
        <f>IF(Main[[#This Row],[Tech Start Date]]&lt;1/1/1990,"",IF(Main[[#This Row],[Class]]="C",WORKDAY(Main[[#This Row],[Tech Start Date]],9),IF(Main[[#This Row],[Class]]="B", WORKDAY(Main[[#This Row],[Tech Start Date]],6),IF(Main[[#This Row],[Class]]="A",WORKDAY(Main[[#This Row],[Tech Start Date]],2),""))))</f>
        <v/>
      </c>
      <c r="N532" s="104" t="str">
        <f>IF(Main[[#This Row],[Tech Start Date]]&lt;1/1/1990,"",IF(Main[[#This Row],[Class]]="C",WORKDAY(Main[[#This Row],[Tech Start Date]],19),IF(Main[[#This Row],[Class]]="B", WORKDAY(Main[[#This Row],[Tech Start Date]],12),IF(Main[[#This Row],[Class]]="A",WORKDAY(Main[[#This Row],[Tech Start Date]],4),""))))</f>
        <v/>
      </c>
      <c r="O532" s="104" t="str">
        <f>IF(Main[[#This Row],[Tech Start Date]]&lt;1/1/1990,"",IF(Main[[#This Row],[Class]]="C",WORKDAY(Main[[#This Row],[Tech Start Date]],23),IF(Main[[#This Row],[Class]]="B", WORKDAY(Main[[#This Row],[Tech Start Date]],15),IF(Main[[#This Row],[Class]]="A",WORKDAY(Main[[#This Row],[Tech Start Date]],5),""))))</f>
        <v/>
      </c>
      <c r="P532" s="104" t="str">
        <f>IF(Main[[#This Row],[Tech Start Date]]&lt;1/1/1990,"",IF(Main[[#This Row],[Class]]="C",WORKDAY(Main[[#This Row],[Tech Start Date]],28),IF(Main[[#This Row],[Class]]="B", WORKDAY(Main[[#This Row],[Tech Start Date]],19),IF(Main[[#This Row],[Class]]="A",WORKDAY(Main[[#This Row],[Tech Start Date]],9),""))))</f>
        <v/>
      </c>
      <c r="Q532" s="101">
        <v>40349</v>
      </c>
      <c r="R532" s="101"/>
      <c r="S532" s="99" t="s">
        <v>11</v>
      </c>
      <c r="T532" s="107" t="s">
        <v>4</v>
      </c>
      <c r="U532" s="99" t="s">
        <v>14</v>
      </c>
      <c r="V532" s="99" t="s">
        <v>1972</v>
      </c>
      <c r="W532" s="99" t="s">
        <v>1967</v>
      </c>
    </row>
    <row r="533" spans="1:23" ht="18.600000000000001" customHeight="1">
      <c r="A533" s="123" t="str">
        <f>IF(priority(Main[[#This Row],[Comments]])&lt;&gt;0, priority(Main[[#This Row],[Comments]]),"")</f>
        <v/>
      </c>
      <c r="B533" s="127" t="s">
        <v>2147</v>
      </c>
      <c r="C533" s="99" t="s">
        <v>47</v>
      </c>
      <c r="D533" s="100" t="s">
        <v>892</v>
      </c>
      <c r="E533" s="101"/>
      <c r="F533" s="101"/>
      <c r="G533" s="102" t="str">
        <f>IF(stdProdLT(Main[[#This Row],[Comments]])=0.1,"N/A",IF(stdProdLT(Main[[#This Row],[Comments]])=0,"",stdProdLT(Main[[#This Row],[Comments]])))</f>
        <v/>
      </c>
      <c r="H533" s="103" t="str">
        <f>IF(AND(Main[[#This Row],[In Stock Date]]&lt;&gt;"",Main[[#This Row],[Revised Due Date]]&lt;&gt;""),Main[[#This Row],[In Stock Date]]-Main[[#This Row],[Revised Due Date]],"")</f>
        <v/>
      </c>
      <c r="I533" s="99" t="s">
        <v>4</v>
      </c>
      <c r="J533" s="99" t="s">
        <v>4</v>
      </c>
      <c r="K533" s="99" t="s">
        <v>4</v>
      </c>
      <c r="L533" s="101"/>
      <c r="M533" s="104" t="str">
        <f>IF(Main[[#This Row],[Tech Start Date]]&lt;1/1/1990,"",IF(Main[[#This Row],[Class]]="C",WORKDAY(Main[[#This Row],[Tech Start Date]],9),IF(Main[[#This Row],[Class]]="B", WORKDAY(Main[[#This Row],[Tech Start Date]],6),IF(Main[[#This Row],[Class]]="A",WORKDAY(Main[[#This Row],[Tech Start Date]],2),""))))</f>
        <v/>
      </c>
      <c r="N533" s="104" t="str">
        <f>IF(Main[[#This Row],[Tech Start Date]]&lt;1/1/1990,"",IF(Main[[#This Row],[Class]]="C",WORKDAY(Main[[#This Row],[Tech Start Date]],19),IF(Main[[#This Row],[Class]]="B", WORKDAY(Main[[#This Row],[Tech Start Date]],12),IF(Main[[#This Row],[Class]]="A",WORKDAY(Main[[#This Row],[Tech Start Date]],4),""))))</f>
        <v/>
      </c>
      <c r="O533" s="104" t="str">
        <f>IF(Main[[#This Row],[Tech Start Date]]&lt;1/1/1990,"",IF(Main[[#This Row],[Class]]="C",WORKDAY(Main[[#This Row],[Tech Start Date]],23),IF(Main[[#This Row],[Class]]="B", WORKDAY(Main[[#This Row],[Tech Start Date]],15),IF(Main[[#This Row],[Class]]="A",WORKDAY(Main[[#This Row],[Tech Start Date]],5),""))))</f>
        <v/>
      </c>
      <c r="P533" s="104" t="str">
        <f>IF(Main[[#This Row],[Tech Start Date]]&lt;1/1/1990,"",IF(Main[[#This Row],[Class]]="C",WORKDAY(Main[[#This Row],[Tech Start Date]],28),IF(Main[[#This Row],[Class]]="B", WORKDAY(Main[[#This Row],[Tech Start Date]],19),IF(Main[[#This Row],[Class]]="A",WORKDAY(Main[[#This Row],[Tech Start Date]],9),""))))</f>
        <v/>
      </c>
      <c r="Q533" s="101">
        <v>40267</v>
      </c>
      <c r="R533" s="101"/>
      <c r="S533" s="99" t="s">
        <v>17</v>
      </c>
      <c r="T533" s="107" t="s">
        <v>4</v>
      </c>
      <c r="U533" s="99" t="s">
        <v>14</v>
      </c>
      <c r="V533" s="99" t="s">
        <v>1962</v>
      </c>
      <c r="W533" s="99" t="s">
        <v>1966</v>
      </c>
    </row>
    <row r="534" spans="1:23" ht="18.600000000000001" customHeight="1">
      <c r="A534" s="123" t="str">
        <f>IF(priority(Main[[#This Row],[Comments]])&lt;&gt;0, priority(Main[[#This Row],[Comments]]),"")</f>
        <v/>
      </c>
      <c r="B534" s="127" t="s">
        <v>1355</v>
      </c>
      <c r="C534" s="99" t="s">
        <v>113</v>
      </c>
      <c r="D534" s="100" t="s">
        <v>408</v>
      </c>
      <c r="E534" s="101"/>
      <c r="F534" s="101"/>
      <c r="G534" s="102" t="str">
        <f>IF(stdProdLT(Main[[#This Row],[Comments]])=0.1,"N/A",IF(stdProdLT(Main[[#This Row],[Comments]])=0,"",stdProdLT(Main[[#This Row],[Comments]])))</f>
        <v/>
      </c>
      <c r="H534" s="103" t="str">
        <f>IF(AND(Main[[#This Row],[In Stock Date]]&lt;&gt;"",Main[[#This Row],[Revised Due Date]]&lt;&gt;""),Main[[#This Row],[In Stock Date]]-Main[[#This Row],[Revised Due Date]],"")</f>
        <v/>
      </c>
      <c r="I534" s="99" t="s">
        <v>4</v>
      </c>
      <c r="J534" s="99" t="s">
        <v>4</v>
      </c>
      <c r="K534" s="99" t="s">
        <v>4</v>
      </c>
      <c r="L534" s="101"/>
      <c r="M534" s="104" t="str">
        <f>IF(Main[[#This Row],[Tech Start Date]]&lt;1/1/1990,"",IF(Main[[#This Row],[Class]]="C",WORKDAY(Main[[#This Row],[Tech Start Date]],9),IF(Main[[#This Row],[Class]]="B", WORKDAY(Main[[#This Row],[Tech Start Date]],6),IF(Main[[#This Row],[Class]]="A",WORKDAY(Main[[#This Row],[Tech Start Date]],2),""))))</f>
        <v/>
      </c>
      <c r="N534" s="104" t="str">
        <f>IF(Main[[#This Row],[Tech Start Date]]&lt;1/1/1990,"",IF(Main[[#This Row],[Class]]="C",WORKDAY(Main[[#This Row],[Tech Start Date]],19),IF(Main[[#This Row],[Class]]="B", WORKDAY(Main[[#This Row],[Tech Start Date]],12),IF(Main[[#This Row],[Class]]="A",WORKDAY(Main[[#This Row],[Tech Start Date]],4),""))))</f>
        <v/>
      </c>
      <c r="O534" s="104" t="str">
        <f>IF(Main[[#This Row],[Tech Start Date]]&lt;1/1/1990,"",IF(Main[[#This Row],[Class]]="C",WORKDAY(Main[[#This Row],[Tech Start Date]],23),IF(Main[[#This Row],[Class]]="B", WORKDAY(Main[[#This Row],[Tech Start Date]],15),IF(Main[[#This Row],[Class]]="A",WORKDAY(Main[[#This Row],[Tech Start Date]],5),""))))</f>
        <v/>
      </c>
      <c r="P534" s="104" t="str">
        <f>IF(Main[[#This Row],[Tech Start Date]]&lt;1/1/1990,"",IF(Main[[#This Row],[Class]]="C",WORKDAY(Main[[#This Row],[Tech Start Date]],28),IF(Main[[#This Row],[Class]]="B", WORKDAY(Main[[#This Row],[Tech Start Date]],19),IF(Main[[#This Row],[Class]]="A",WORKDAY(Main[[#This Row],[Tech Start Date]],9),""))))</f>
        <v/>
      </c>
      <c r="Q534" s="101"/>
      <c r="R534" s="101"/>
      <c r="S534" s="99" t="s">
        <v>11</v>
      </c>
      <c r="T534" s="107" t="s">
        <v>4</v>
      </c>
      <c r="U534" s="99" t="s">
        <v>14</v>
      </c>
      <c r="V534" s="99" t="s">
        <v>1965</v>
      </c>
      <c r="W534" s="99" t="s">
        <v>1970</v>
      </c>
    </row>
    <row r="535" spans="1:23" ht="18.600000000000001" customHeight="1">
      <c r="A535" s="123" t="str">
        <f>IF(priority(Main[[#This Row],[Comments]])&lt;&gt;0, priority(Main[[#This Row],[Comments]]),"")</f>
        <v/>
      </c>
      <c r="B535" s="127" t="s">
        <v>1356</v>
      </c>
      <c r="C535" s="99" t="s">
        <v>4</v>
      </c>
      <c r="D535" s="100" t="s">
        <v>409</v>
      </c>
      <c r="E535" s="101">
        <v>40585.595960648148</v>
      </c>
      <c r="F535" s="101"/>
      <c r="G535" s="102" t="str">
        <f>IF(stdProdLT(Main[[#This Row],[Comments]])=0.1,"N/A",IF(stdProdLT(Main[[#This Row],[Comments]])=0,"",stdProdLT(Main[[#This Row],[Comments]])))</f>
        <v/>
      </c>
      <c r="H535" s="103" t="str">
        <f>IF(AND(Main[[#This Row],[In Stock Date]]&lt;&gt;"",Main[[#This Row],[Revised Due Date]]&lt;&gt;""),Main[[#This Row],[In Stock Date]]-Main[[#This Row],[Revised Due Date]],"")</f>
        <v/>
      </c>
      <c r="I535" s="99" t="s">
        <v>74</v>
      </c>
      <c r="J535" s="99" t="s">
        <v>4</v>
      </c>
      <c r="K535" s="99" t="s">
        <v>4</v>
      </c>
      <c r="L535" s="101"/>
      <c r="M535" s="104" t="str">
        <f>IF(Main[[#This Row],[Tech Start Date]]&lt;1/1/1990,"",IF(Main[[#This Row],[Class]]="C",WORKDAY(Main[[#This Row],[Tech Start Date]],9),IF(Main[[#This Row],[Class]]="B", WORKDAY(Main[[#This Row],[Tech Start Date]],6),IF(Main[[#This Row],[Class]]="A",WORKDAY(Main[[#This Row],[Tech Start Date]],2),""))))</f>
        <v/>
      </c>
      <c r="N535" s="104" t="str">
        <f>IF(Main[[#This Row],[Tech Start Date]]&lt;1/1/1990,"",IF(Main[[#This Row],[Class]]="C",WORKDAY(Main[[#This Row],[Tech Start Date]],19),IF(Main[[#This Row],[Class]]="B", WORKDAY(Main[[#This Row],[Tech Start Date]],12),IF(Main[[#This Row],[Class]]="A",WORKDAY(Main[[#This Row],[Tech Start Date]],4),""))))</f>
        <v/>
      </c>
      <c r="O535" s="104" t="str">
        <f>IF(Main[[#This Row],[Tech Start Date]]&lt;1/1/1990,"",IF(Main[[#This Row],[Class]]="C",WORKDAY(Main[[#This Row],[Tech Start Date]],23),IF(Main[[#This Row],[Class]]="B", WORKDAY(Main[[#This Row],[Tech Start Date]],15),IF(Main[[#This Row],[Class]]="A",WORKDAY(Main[[#This Row],[Tech Start Date]],5),""))))</f>
        <v/>
      </c>
      <c r="P535" s="104" t="str">
        <f>IF(Main[[#This Row],[Tech Start Date]]&lt;1/1/1990,"",IF(Main[[#This Row],[Class]]="C",WORKDAY(Main[[#This Row],[Tech Start Date]],28),IF(Main[[#This Row],[Class]]="B", WORKDAY(Main[[#This Row],[Tech Start Date]],19),IF(Main[[#This Row],[Class]]="A",WORKDAY(Main[[#This Row],[Tech Start Date]],9),""))))</f>
        <v/>
      </c>
      <c r="Q535" s="101">
        <v>40592</v>
      </c>
      <c r="R535" s="101"/>
      <c r="S535" s="99" t="s">
        <v>6</v>
      </c>
      <c r="T535" s="107" t="s">
        <v>4</v>
      </c>
      <c r="U535" s="99" t="s">
        <v>29</v>
      </c>
      <c r="V535" s="99" t="s">
        <v>1965</v>
      </c>
      <c r="W535" s="99" t="s">
        <v>1966</v>
      </c>
    </row>
    <row r="536" spans="1:23" ht="18.600000000000001" customHeight="1">
      <c r="A536" s="123" t="str">
        <f>IF(priority(Main[[#This Row],[Comments]])&lt;&gt;0, priority(Main[[#This Row],[Comments]]),"")</f>
        <v/>
      </c>
      <c r="B536" s="127" t="s">
        <v>1357</v>
      </c>
      <c r="C536" s="99" t="s">
        <v>4</v>
      </c>
      <c r="D536" s="100" t="s">
        <v>410</v>
      </c>
      <c r="E536" s="101">
        <v>40387.702291666668</v>
      </c>
      <c r="F536" s="101"/>
      <c r="G536" s="102" t="str">
        <f>IF(stdProdLT(Main[[#This Row],[Comments]])=0.1,"N/A",IF(stdProdLT(Main[[#This Row],[Comments]])=0,"",stdProdLT(Main[[#This Row],[Comments]])))</f>
        <v/>
      </c>
      <c r="H536" s="103" t="str">
        <f>IF(AND(Main[[#This Row],[In Stock Date]]&lt;&gt;"",Main[[#This Row],[Revised Due Date]]&lt;&gt;""),Main[[#This Row],[In Stock Date]]-Main[[#This Row],[Revised Due Date]],"")</f>
        <v/>
      </c>
      <c r="I536" s="99" t="s">
        <v>4</v>
      </c>
      <c r="J536" s="99" t="s">
        <v>28</v>
      </c>
      <c r="K536" s="99" t="s">
        <v>4</v>
      </c>
      <c r="L536" s="101"/>
      <c r="M536" s="104" t="str">
        <f>IF(Main[[#This Row],[Tech Start Date]]&lt;1/1/1990,"",IF(Main[[#This Row],[Class]]="C",WORKDAY(Main[[#This Row],[Tech Start Date]],9),IF(Main[[#This Row],[Class]]="B", WORKDAY(Main[[#This Row],[Tech Start Date]],6),IF(Main[[#This Row],[Class]]="A",WORKDAY(Main[[#This Row],[Tech Start Date]],2),""))))</f>
        <v/>
      </c>
      <c r="N536" s="104" t="str">
        <f>IF(Main[[#This Row],[Tech Start Date]]&lt;1/1/1990,"",IF(Main[[#This Row],[Class]]="C",WORKDAY(Main[[#This Row],[Tech Start Date]],19),IF(Main[[#This Row],[Class]]="B", WORKDAY(Main[[#This Row],[Tech Start Date]],12),IF(Main[[#This Row],[Class]]="A",WORKDAY(Main[[#This Row],[Tech Start Date]],4),""))))</f>
        <v/>
      </c>
      <c r="O536" s="104" t="str">
        <f>IF(Main[[#This Row],[Tech Start Date]]&lt;1/1/1990,"",IF(Main[[#This Row],[Class]]="C",WORKDAY(Main[[#This Row],[Tech Start Date]],23),IF(Main[[#This Row],[Class]]="B", WORKDAY(Main[[#This Row],[Tech Start Date]],15),IF(Main[[#This Row],[Class]]="A",WORKDAY(Main[[#This Row],[Tech Start Date]],5),""))))</f>
        <v/>
      </c>
      <c r="P536" s="104" t="str">
        <f>IF(Main[[#This Row],[Tech Start Date]]&lt;1/1/1990,"",IF(Main[[#This Row],[Class]]="C",WORKDAY(Main[[#This Row],[Tech Start Date]],28),IF(Main[[#This Row],[Class]]="B", WORKDAY(Main[[#This Row],[Tech Start Date]],19),IF(Main[[#This Row],[Class]]="A",WORKDAY(Main[[#This Row],[Tech Start Date]],9),""))))</f>
        <v/>
      </c>
      <c r="Q536" s="101">
        <v>40400</v>
      </c>
      <c r="R536" s="101"/>
      <c r="S536" s="99" t="s">
        <v>6</v>
      </c>
      <c r="T536" s="107" t="s">
        <v>4</v>
      </c>
      <c r="U536" s="99" t="s">
        <v>7</v>
      </c>
      <c r="V536" s="99" t="s">
        <v>1962</v>
      </c>
      <c r="W536" s="99" t="s">
        <v>1964</v>
      </c>
    </row>
    <row r="537" spans="1:23" ht="18.600000000000001" customHeight="1">
      <c r="A537" s="123" t="str">
        <f>IF(priority(Main[[#This Row],[Comments]])&lt;&gt;0, priority(Main[[#This Row],[Comments]]),"")</f>
        <v/>
      </c>
      <c r="B537" s="127" t="s">
        <v>1358</v>
      </c>
      <c r="C537" s="99" t="s">
        <v>4</v>
      </c>
      <c r="D537" s="100" t="s">
        <v>411</v>
      </c>
      <c r="E537" s="101"/>
      <c r="F537" s="101"/>
      <c r="G537" s="102" t="str">
        <f>IF(stdProdLT(Main[[#This Row],[Comments]])=0.1,"N/A",IF(stdProdLT(Main[[#This Row],[Comments]])=0,"",stdProdLT(Main[[#This Row],[Comments]])))</f>
        <v/>
      </c>
      <c r="H537" s="103" t="str">
        <f>IF(AND(Main[[#This Row],[In Stock Date]]&lt;&gt;"",Main[[#This Row],[Revised Due Date]]&lt;&gt;""),Main[[#This Row],[In Stock Date]]-Main[[#This Row],[Revised Due Date]],"")</f>
        <v/>
      </c>
      <c r="I537" s="99" t="s">
        <v>4</v>
      </c>
      <c r="J537" s="99" t="s">
        <v>4</v>
      </c>
      <c r="K537" s="99" t="s">
        <v>4</v>
      </c>
      <c r="L537" s="101"/>
      <c r="M537" s="104" t="str">
        <f>IF(Main[[#This Row],[Tech Start Date]]&lt;1/1/1990,"",IF(Main[[#This Row],[Class]]="C",WORKDAY(Main[[#This Row],[Tech Start Date]],9),IF(Main[[#This Row],[Class]]="B", WORKDAY(Main[[#This Row],[Tech Start Date]],6),IF(Main[[#This Row],[Class]]="A",WORKDAY(Main[[#This Row],[Tech Start Date]],2),""))))</f>
        <v/>
      </c>
      <c r="N537" s="104" t="str">
        <f>IF(Main[[#This Row],[Tech Start Date]]&lt;1/1/1990,"",IF(Main[[#This Row],[Class]]="C",WORKDAY(Main[[#This Row],[Tech Start Date]],19),IF(Main[[#This Row],[Class]]="B", WORKDAY(Main[[#This Row],[Tech Start Date]],12),IF(Main[[#This Row],[Class]]="A",WORKDAY(Main[[#This Row],[Tech Start Date]],4),""))))</f>
        <v/>
      </c>
      <c r="O537" s="104" t="str">
        <f>IF(Main[[#This Row],[Tech Start Date]]&lt;1/1/1990,"",IF(Main[[#This Row],[Class]]="C",WORKDAY(Main[[#This Row],[Tech Start Date]],23),IF(Main[[#This Row],[Class]]="B", WORKDAY(Main[[#This Row],[Tech Start Date]],15),IF(Main[[#This Row],[Class]]="A",WORKDAY(Main[[#This Row],[Tech Start Date]],5),""))))</f>
        <v/>
      </c>
      <c r="P537" s="104" t="str">
        <f>IF(Main[[#This Row],[Tech Start Date]]&lt;1/1/1990,"",IF(Main[[#This Row],[Class]]="C",WORKDAY(Main[[#This Row],[Tech Start Date]],28),IF(Main[[#This Row],[Class]]="B", WORKDAY(Main[[#This Row],[Tech Start Date]],19),IF(Main[[#This Row],[Class]]="A",WORKDAY(Main[[#This Row],[Tech Start Date]],9),""))))</f>
        <v/>
      </c>
      <c r="Q537" s="101">
        <v>40390</v>
      </c>
      <c r="R537" s="101"/>
      <c r="S537" s="99" t="s">
        <v>6</v>
      </c>
      <c r="T537" s="107" t="s">
        <v>4</v>
      </c>
      <c r="U537" s="99" t="s">
        <v>14</v>
      </c>
      <c r="V537" s="99" t="s">
        <v>1965</v>
      </c>
      <c r="W537" s="99" t="s">
        <v>4</v>
      </c>
    </row>
    <row r="538" spans="1:23" ht="18.600000000000001" customHeight="1">
      <c r="A538" s="123" t="str">
        <f>IF(priority(Main[[#This Row],[Comments]])&lt;&gt;0, priority(Main[[#This Row],[Comments]]),"")</f>
        <v/>
      </c>
      <c r="B538" s="127" t="s">
        <v>1359</v>
      </c>
      <c r="C538" s="99" t="s">
        <v>171</v>
      </c>
      <c r="D538" s="100" t="s">
        <v>412</v>
      </c>
      <c r="E538" s="101"/>
      <c r="F538" s="101">
        <v>40237</v>
      </c>
      <c r="G538" s="102" t="str">
        <f>IF(stdProdLT(Main[[#This Row],[Comments]])=0.1,"N/A",IF(stdProdLT(Main[[#This Row],[Comments]])=0,"",stdProdLT(Main[[#This Row],[Comments]])))</f>
        <v/>
      </c>
      <c r="H538" s="103" t="str">
        <f>IF(AND(Main[[#This Row],[In Stock Date]]&lt;&gt;"",Main[[#This Row],[Revised Due Date]]&lt;&gt;""),Main[[#This Row],[In Stock Date]]-Main[[#This Row],[Revised Due Date]],"")</f>
        <v/>
      </c>
      <c r="I538" s="99" t="s">
        <v>4</v>
      </c>
      <c r="J538" s="99" t="s">
        <v>4</v>
      </c>
      <c r="K538" s="99" t="s">
        <v>4</v>
      </c>
      <c r="L538" s="101"/>
      <c r="M538" s="104" t="str">
        <f>IF(Main[[#This Row],[Tech Start Date]]&lt;1/1/1990,"",IF(Main[[#This Row],[Class]]="C",WORKDAY(Main[[#This Row],[Tech Start Date]],9),IF(Main[[#This Row],[Class]]="B", WORKDAY(Main[[#This Row],[Tech Start Date]],6),IF(Main[[#This Row],[Class]]="A",WORKDAY(Main[[#This Row],[Tech Start Date]],2),""))))</f>
        <v/>
      </c>
      <c r="N538" s="104" t="str">
        <f>IF(Main[[#This Row],[Tech Start Date]]&lt;1/1/1990,"",IF(Main[[#This Row],[Class]]="C",WORKDAY(Main[[#This Row],[Tech Start Date]],19),IF(Main[[#This Row],[Class]]="B", WORKDAY(Main[[#This Row],[Tech Start Date]],12),IF(Main[[#This Row],[Class]]="A",WORKDAY(Main[[#This Row],[Tech Start Date]],4),""))))</f>
        <v/>
      </c>
      <c r="O538" s="104" t="str">
        <f>IF(Main[[#This Row],[Tech Start Date]]&lt;1/1/1990,"",IF(Main[[#This Row],[Class]]="C",WORKDAY(Main[[#This Row],[Tech Start Date]],23),IF(Main[[#This Row],[Class]]="B", WORKDAY(Main[[#This Row],[Tech Start Date]],15),IF(Main[[#This Row],[Class]]="A",WORKDAY(Main[[#This Row],[Tech Start Date]],5),""))))</f>
        <v/>
      </c>
      <c r="P538" s="104" t="str">
        <f>IF(Main[[#This Row],[Tech Start Date]]&lt;1/1/1990,"",IF(Main[[#This Row],[Class]]="C",WORKDAY(Main[[#This Row],[Tech Start Date]],28),IF(Main[[#This Row],[Class]]="B", WORKDAY(Main[[#This Row],[Tech Start Date]],19),IF(Main[[#This Row],[Class]]="A",WORKDAY(Main[[#This Row],[Tech Start Date]],9),""))))</f>
        <v/>
      </c>
      <c r="Q538" s="101">
        <v>40132</v>
      </c>
      <c r="R538" s="101"/>
      <c r="S538" s="99" t="s">
        <v>11</v>
      </c>
      <c r="T538" s="107" t="s">
        <v>4</v>
      </c>
      <c r="U538" s="99" t="s">
        <v>14</v>
      </c>
      <c r="V538" s="99" t="s">
        <v>1962</v>
      </c>
      <c r="W538" s="99" t="s">
        <v>1967</v>
      </c>
    </row>
    <row r="539" spans="1:23" ht="18.600000000000001" customHeight="1">
      <c r="A539" s="123" t="str">
        <f>IF(priority(Main[[#This Row],[Comments]])&lt;&gt;0, priority(Main[[#This Row],[Comments]]),"")</f>
        <v/>
      </c>
      <c r="B539" s="127" t="s">
        <v>1360</v>
      </c>
      <c r="C539" s="99" t="s">
        <v>171</v>
      </c>
      <c r="D539" s="100" t="s">
        <v>413</v>
      </c>
      <c r="E539" s="101"/>
      <c r="F539" s="101">
        <v>40237</v>
      </c>
      <c r="G539" s="102" t="str">
        <f>IF(stdProdLT(Main[[#This Row],[Comments]])=0.1,"N/A",IF(stdProdLT(Main[[#This Row],[Comments]])=0,"",stdProdLT(Main[[#This Row],[Comments]])))</f>
        <v/>
      </c>
      <c r="H539" s="103" t="str">
        <f>IF(AND(Main[[#This Row],[In Stock Date]]&lt;&gt;"",Main[[#This Row],[Revised Due Date]]&lt;&gt;""),Main[[#This Row],[In Stock Date]]-Main[[#This Row],[Revised Due Date]],"")</f>
        <v/>
      </c>
      <c r="I539" s="99" t="s">
        <v>4</v>
      </c>
      <c r="J539" s="99" t="s">
        <v>4</v>
      </c>
      <c r="K539" s="99" t="s">
        <v>4</v>
      </c>
      <c r="L539" s="101"/>
      <c r="M539" s="104" t="str">
        <f>IF(Main[[#This Row],[Tech Start Date]]&lt;1/1/1990,"",IF(Main[[#This Row],[Class]]="C",WORKDAY(Main[[#This Row],[Tech Start Date]],9),IF(Main[[#This Row],[Class]]="B", WORKDAY(Main[[#This Row],[Tech Start Date]],6),IF(Main[[#This Row],[Class]]="A",WORKDAY(Main[[#This Row],[Tech Start Date]],2),""))))</f>
        <v/>
      </c>
      <c r="N539" s="104" t="str">
        <f>IF(Main[[#This Row],[Tech Start Date]]&lt;1/1/1990,"",IF(Main[[#This Row],[Class]]="C",WORKDAY(Main[[#This Row],[Tech Start Date]],19),IF(Main[[#This Row],[Class]]="B", WORKDAY(Main[[#This Row],[Tech Start Date]],12),IF(Main[[#This Row],[Class]]="A",WORKDAY(Main[[#This Row],[Tech Start Date]],4),""))))</f>
        <v/>
      </c>
      <c r="O539" s="104" t="str">
        <f>IF(Main[[#This Row],[Tech Start Date]]&lt;1/1/1990,"",IF(Main[[#This Row],[Class]]="C",WORKDAY(Main[[#This Row],[Tech Start Date]],23),IF(Main[[#This Row],[Class]]="B", WORKDAY(Main[[#This Row],[Tech Start Date]],15),IF(Main[[#This Row],[Class]]="A",WORKDAY(Main[[#This Row],[Tech Start Date]],5),""))))</f>
        <v/>
      </c>
      <c r="P539" s="104" t="str">
        <f>IF(Main[[#This Row],[Tech Start Date]]&lt;1/1/1990,"",IF(Main[[#This Row],[Class]]="C",WORKDAY(Main[[#This Row],[Tech Start Date]],28),IF(Main[[#This Row],[Class]]="B", WORKDAY(Main[[#This Row],[Tech Start Date]],19),IF(Main[[#This Row],[Class]]="A",WORKDAY(Main[[#This Row],[Tech Start Date]],9),""))))</f>
        <v/>
      </c>
      <c r="Q539" s="101">
        <v>40132</v>
      </c>
      <c r="R539" s="101"/>
      <c r="S539" s="99" t="s">
        <v>11</v>
      </c>
      <c r="T539" s="107" t="s">
        <v>4</v>
      </c>
      <c r="U539" s="99" t="s">
        <v>14</v>
      </c>
      <c r="V539" s="99" t="s">
        <v>1962</v>
      </c>
      <c r="W539" s="99" t="s">
        <v>1967</v>
      </c>
    </row>
    <row r="540" spans="1:23" ht="18.600000000000001" customHeight="1">
      <c r="A540" s="123" t="str">
        <f>IF(priority(Main[[#This Row],[Comments]])&lt;&gt;0, priority(Main[[#This Row],[Comments]]),"")</f>
        <v/>
      </c>
      <c r="B540" s="127" t="s">
        <v>1361</v>
      </c>
      <c r="C540" s="99" t="s">
        <v>4</v>
      </c>
      <c r="D540" s="100" t="s">
        <v>414</v>
      </c>
      <c r="E540" s="101"/>
      <c r="F540" s="101"/>
      <c r="G540" s="102" t="str">
        <f>IF(stdProdLT(Main[[#This Row],[Comments]])=0.1,"N/A",IF(stdProdLT(Main[[#This Row],[Comments]])=0,"",stdProdLT(Main[[#This Row],[Comments]])))</f>
        <v/>
      </c>
      <c r="H540" s="103" t="str">
        <f>IF(AND(Main[[#This Row],[In Stock Date]]&lt;&gt;"",Main[[#This Row],[Revised Due Date]]&lt;&gt;""),Main[[#This Row],[In Stock Date]]-Main[[#This Row],[Revised Due Date]],"")</f>
        <v/>
      </c>
      <c r="I540" s="99" t="s">
        <v>4</v>
      </c>
      <c r="J540" s="99" t="s">
        <v>28</v>
      </c>
      <c r="K540" s="99" t="s">
        <v>4</v>
      </c>
      <c r="L540" s="101"/>
      <c r="M540" s="104" t="str">
        <f>IF(Main[[#This Row],[Tech Start Date]]&lt;1/1/1990,"",IF(Main[[#This Row],[Class]]="C",WORKDAY(Main[[#This Row],[Tech Start Date]],9),IF(Main[[#This Row],[Class]]="B", WORKDAY(Main[[#This Row],[Tech Start Date]],6),IF(Main[[#This Row],[Class]]="A",WORKDAY(Main[[#This Row],[Tech Start Date]],2),""))))</f>
        <v/>
      </c>
      <c r="N540" s="104" t="str">
        <f>IF(Main[[#This Row],[Tech Start Date]]&lt;1/1/1990,"",IF(Main[[#This Row],[Class]]="C",WORKDAY(Main[[#This Row],[Tech Start Date]],19),IF(Main[[#This Row],[Class]]="B", WORKDAY(Main[[#This Row],[Tech Start Date]],12),IF(Main[[#This Row],[Class]]="A",WORKDAY(Main[[#This Row],[Tech Start Date]],4),""))))</f>
        <v/>
      </c>
      <c r="O540" s="104" t="str">
        <f>IF(Main[[#This Row],[Tech Start Date]]&lt;1/1/1990,"",IF(Main[[#This Row],[Class]]="C",WORKDAY(Main[[#This Row],[Tech Start Date]],23),IF(Main[[#This Row],[Class]]="B", WORKDAY(Main[[#This Row],[Tech Start Date]],15),IF(Main[[#This Row],[Class]]="A",WORKDAY(Main[[#This Row],[Tech Start Date]],5),""))))</f>
        <v/>
      </c>
      <c r="P540" s="104" t="str">
        <f>IF(Main[[#This Row],[Tech Start Date]]&lt;1/1/1990,"",IF(Main[[#This Row],[Class]]="C",WORKDAY(Main[[#This Row],[Tech Start Date]],28),IF(Main[[#This Row],[Class]]="B", WORKDAY(Main[[#This Row],[Tech Start Date]],19),IF(Main[[#This Row],[Class]]="A",WORKDAY(Main[[#This Row],[Tech Start Date]],9),""))))</f>
        <v/>
      </c>
      <c r="Q540" s="101">
        <v>40471</v>
      </c>
      <c r="R540" s="101"/>
      <c r="S540" s="99" t="s">
        <v>6</v>
      </c>
      <c r="T540" s="107" t="s">
        <v>4</v>
      </c>
      <c r="U540" s="99" t="s">
        <v>14</v>
      </c>
      <c r="V540" s="99" t="s">
        <v>1965</v>
      </c>
      <c r="W540" s="99" t="s">
        <v>1964</v>
      </c>
    </row>
    <row r="541" spans="1:23" ht="18.600000000000001" customHeight="1">
      <c r="A541" s="123" t="str">
        <f>IF(priority(Main[[#This Row],[Comments]])&lt;&gt;0, priority(Main[[#This Row],[Comments]]),"")</f>
        <v/>
      </c>
      <c r="B541" s="127" t="s">
        <v>1362</v>
      </c>
      <c r="C541" s="99" t="s">
        <v>4</v>
      </c>
      <c r="D541" s="100" t="s">
        <v>415</v>
      </c>
      <c r="E541" s="101"/>
      <c r="F541" s="101"/>
      <c r="G541" s="102" t="str">
        <f>IF(stdProdLT(Main[[#This Row],[Comments]])=0.1,"N/A",IF(stdProdLT(Main[[#This Row],[Comments]])=0,"",stdProdLT(Main[[#This Row],[Comments]])))</f>
        <v/>
      </c>
      <c r="H541" s="103" t="str">
        <f>IF(AND(Main[[#This Row],[In Stock Date]]&lt;&gt;"",Main[[#This Row],[Revised Due Date]]&lt;&gt;""),Main[[#This Row],[In Stock Date]]-Main[[#This Row],[Revised Due Date]],"")</f>
        <v/>
      </c>
      <c r="I541" s="99" t="s">
        <v>4</v>
      </c>
      <c r="J541" s="99" t="s">
        <v>4</v>
      </c>
      <c r="K541" s="99" t="s">
        <v>4</v>
      </c>
      <c r="L541" s="101"/>
      <c r="M541" s="104" t="str">
        <f>IF(Main[[#This Row],[Tech Start Date]]&lt;1/1/1990,"",IF(Main[[#This Row],[Class]]="C",WORKDAY(Main[[#This Row],[Tech Start Date]],9),IF(Main[[#This Row],[Class]]="B", WORKDAY(Main[[#This Row],[Tech Start Date]],6),IF(Main[[#This Row],[Class]]="A",WORKDAY(Main[[#This Row],[Tech Start Date]],2),""))))</f>
        <v/>
      </c>
      <c r="N541" s="104" t="str">
        <f>IF(Main[[#This Row],[Tech Start Date]]&lt;1/1/1990,"",IF(Main[[#This Row],[Class]]="C",WORKDAY(Main[[#This Row],[Tech Start Date]],19),IF(Main[[#This Row],[Class]]="B", WORKDAY(Main[[#This Row],[Tech Start Date]],12),IF(Main[[#This Row],[Class]]="A",WORKDAY(Main[[#This Row],[Tech Start Date]],4),""))))</f>
        <v/>
      </c>
      <c r="O541" s="104" t="str">
        <f>IF(Main[[#This Row],[Tech Start Date]]&lt;1/1/1990,"",IF(Main[[#This Row],[Class]]="C",WORKDAY(Main[[#This Row],[Tech Start Date]],23),IF(Main[[#This Row],[Class]]="B", WORKDAY(Main[[#This Row],[Tech Start Date]],15),IF(Main[[#This Row],[Class]]="A",WORKDAY(Main[[#This Row],[Tech Start Date]],5),""))))</f>
        <v/>
      </c>
      <c r="P541" s="104" t="str">
        <f>IF(Main[[#This Row],[Tech Start Date]]&lt;1/1/1990,"",IF(Main[[#This Row],[Class]]="C",WORKDAY(Main[[#This Row],[Tech Start Date]],28),IF(Main[[#This Row],[Class]]="B", WORKDAY(Main[[#This Row],[Tech Start Date]],19),IF(Main[[#This Row],[Class]]="A",WORKDAY(Main[[#This Row],[Tech Start Date]],9),""))))</f>
        <v/>
      </c>
      <c r="Q541" s="101"/>
      <c r="R541" s="101"/>
      <c r="S541" s="99" t="s">
        <v>6</v>
      </c>
      <c r="T541" s="107" t="s">
        <v>4</v>
      </c>
      <c r="U541" s="99" t="s">
        <v>12</v>
      </c>
      <c r="V541" s="99" t="s">
        <v>1963</v>
      </c>
      <c r="W541" s="99" t="s">
        <v>1970</v>
      </c>
    </row>
    <row r="542" spans="1:23" ht="18.600000000000001" customHeight="1">
      <c r="A542" s="123" t="str">
        <f>IF(priority(Main[[#This Row],[Comments]])&lt;&gt;0, priority(Main[[#This Row],[Comments]]),"")</f>
        <v/>
      </c>
      <c r="B542" s="127" t="s">
        <v>1363</v>
      </c>
      <c r="C542" s="99" t="s">
        <v>4</v>
      </c>
      <c r="D542" s="100" t="s">
        <v>416</v>
      </c>
      <c r="E542" s="101"/>
      <c r="F542" s="101"/>
      <c r="G542" s="102" t="str">
        <f>IF(stdProdLT(Main[[#This Row],[Comments]])=0.1,"N/A",IF(stdProdLT(Main[[#This Row],[Comments]])=0,"",stdProdLT(Main[[#This Row],[Comments]])))</f>
        <v/>
      </c>
      <c r="H542" s="103" t="str">
        <f>IF(AND(Main[[#This Row],[In Stock Date]]&lt;&gt;"",Main[[#This Row],[Revised Due Date]]&lt;&gt;""),Main[[#This Row],[In Stock Date]]-Main[[#This Row],[Revised Due Date]],"")</f>
        <v/>
      </c>
      <c r="I542" s="99" t="s">
        <v>4</v>
      </c>
      <c r="J542" s="99" t="s">
        <v>4</v>
      </c>
      <c r="K542" s="108" t="s">
        <v>4</v>
      </c>
      <c r="L542" s="101"/>
      <c r="M542" s="104" t="str">
        <f>IF(Main[[#This Row],[Tech Start Date]]&lt;1/1/1990,"",IF(Main[[#This Row],[Class]]="C",WORKDAY(Main[[#This Row],[Tech Start Date]],9),IF(Main[[#This Row],[Class]]="B", WORKDAY(Main[[#This Row],[Tech Start Date]],6),IF(Main[[#This Row],[Class]]="A",WORKDAY(Main[[#This Row],[Tech Start Date]],2),""))))</f>
        <v/>
      </c>
      <c r="N542" s="104" t="str">
        <f>IF(Main[[#This Row],[Tech Start Date]]&lt;1/1/1990,"",IF(Main[[#This Row],[Class]]="C",WORKDAY(Main[[#This Row],[Tech Start Date]],19),IF(Main[[#This Row],[Class]]="B", WORKDAY(Main[[#This Row],[Tech Start Date]],12),IF(Main[[#This Row],[Class]]="A",WORKDAY(Main[[#This Row],[Tech Start Date]],4),""))))</f>
        <v/>
      </c>
      <c r="O542" s="104" t="str">
        <f>IF(Main[[#This Row],[Tech Start Date]]&lt;1/1/1990,"",IF(Main[[#This Row],[Class]]="C",WORKDAY(Main[[#This Row],[Tech Start Date]],23),IF(Main[[#This Row],[Class]]="B", WORKDAY(Main[[#This Row],[Tech Start Date]],15),IF(Main[[#This Row],[Class]]="A",WORKDAY(Main[[#This Row],[Tech Start Date]],5),""))))</f>
        <v/>
      </c>
      <c r="P542" s="104" t="str">
        <f>IF(Main[[#This Row],[Tech Start Date]]&lt;1/1/1990,"",IF(Main[[#This Row],[Class]]="C",WORKDAY(Main[[#This Row],[Tech Start Date]],28),IF(Main[[#This Row],[Class]]="B", WORKDAY(Main[[#This Row],[Tech Start Date]],19),IF(Main[[#This Row],[Class]]="A",WORKDAY(Main[[#This Row],[Tech Start Date]],9),""))))</f>
        <v/>
      </c>
      <c r="Q542" s="101"/>
      <c r="R542" s="101"/>
      <c r="S542" s="99" t="s">
        <v>417</v>
      </c>
      <c r="T542" s="107" t="s">
        <v>4</v>
      </c>
      <c r="U542" s="99" t="s">
        <v>14</v>
      </c>
      <c r="V542" s="99" t="s">
        <v>1963</v>
      </c>
      <c r="W542" s="99" t="s">
        <v>1966</v>
      </c>
    </row>
    <row r="543" spans="1:23" ht="18.600000000000001" customHeight="1">
      <c r="A543" s="123" t="str">
        <f>IF(priority(Main[[#This Row],[Comments]])&lt;&gt;0, priority(Main[[#This Row],[Comments]]),"")</f>
        <v/>
      </c>
      <c r="B543" s="127" t="s">
        <v>2034</v>
      </c>
      <c r="C543" s="99" t="s">
        <v>4</v>
      </c>
      <c r="D543" s="100" t="s">
        <v>2035</v>
      </c>
      <c r="E543" s="101"/>
      <c r="F543" s="101"/>
      <c r="G543" s="102" t="str">
        <f>IF(stdProdLT(Main[[#This Row],[Comments]])=0.1,"N/A",IF(stdProdLT(Main[[#This Row],[Comments]])=0,"",stdProdLT(Main[[#This Row],[Comments]])))</f>
        <v/>
      </c>
      <c r="H543" s="103" t="str">
        <f>IF(AND(Main[[#This Row],[In Stock Date]]&lt;&gt;"",Main[[#This Row],[Revised Due Date]]&lt;&gt;""),Main[[#This Row],[In Stock Date]]-Main[[#This Row],[Revised Due Date]],"")</f>
        <v/>
      </c>
      <c r="I543" s="99" t="s">
        <v>4</v>
      </c>
      <c r="J543" s="99" t="s">
        <v>4</v>
      </c>
      <c r="K543" s="99" t="s">
        <v>4</v>
      </c>
      <c r="L543" s="101"/>
      <c r="M543" s="104" t="str">
        <f>IF(Main[[#This Row],[Tech Start Date]]&lt;1/1/1990,"",IF(Main[[#This Row],[Class]]="C",WORKDAY(Main[[#This Row],[Tech Start Date]],9),IF(Main[[#This Row],[Class]]="B", WORKDAY(Main[[#This Row],[Tech Start Date]],6),IF(Main[[#This Row],[Class]]="A",WORKDAY(Main[[#This Row],[Tech Start Date]],2),""))))</f>
        <v/>
      </c>
      <c r="N543" s="104" t="str">
        <f>IF(Main[[#This Row],[Tech Start Date]]&lt;1/1/1990,"",IF(Main[[#This Row],[Class]]="C",WORKDAY(Main[[#This Row],[Tech Start Date]],19),IF(Main[[#This Row],[Class]]="B", WORKDAY(Main[[#This Row],[Tech Start Date]],12),IF(Main[[#This Row],[Class]]="A",WORKDAY(Main[[#This Row],[Tech Start Date]],4),""))))</f>
        <v/>
      </c>
      <c r="O543" s="104" t="str">
        <f>IF(Main[[#This Row],[Tech Start Date]]&lt;1/1/1990,"",IF(Main[[#This Row],[Class]]="C",WORKDAY(Main[[#This Row],[Tech Start Date]],23),IF(Main[[#This Row],[Class]]="B", WORKDAY(Main[[#This Row],[Tech Start Date]],15),IF(Main[[#This Row],[Class]]="A",WORKDAY(Main[[#This Row],[Tech Start Date]],5),""))))</f>
        <v/>
      </c>
      <c r="P543" s="104" t="str">
        <f>IF(Main[[#This Row],[Tech Start Date]]&lt;1/1/1990,"",IF(Main[[#This Row],[Class]]="C",WORKDAY(Main[[#This Row],[Tech Start Date]],28),IF(Main[[#This Row],[Class]]="B", WORKDAY(Main[[#This Row],[Tech Start Date]],19),IF(Main[[#This Row],[Class]]="A",WORKDAY(Main[[#This Row],[Tech Start Date]],9),""))))</f>
        <v/>
      </c>
      <c r="Q543" s="101"/>
      <c r="R543" s="101"/>
      <c r="S543" s="99" t="s">
        <v>11</v>
      </c>
      <c r="T543" s="107" t="s">
        <v>4</v>
      </c>
      <c r="U543" s="99" t="s">
        <v>12</v>
      </c>
      <c r="V543" s="99" t="s">
        <v>1962</v>
      </c>
      <c r="W543" s="99" t="s">
        <v>1966</v>
      </c>
    </row>
    <row r="544" spans="1:23" ht="18.600000000000001" customHeight="1">
      <c r="A544" s="123" t="str">
        <f>IF(priority(Main[[#This Row],[Comments]])&lt;&gt;0, priority(Main[[#This Row],[Comments]]),"")</f>
        <v/>
      </c>
      <c r="B544" s="127" t="s">
        <v>1336</v>
      </c>
      <c r="C544" s="99" t="s">
        <v>4</v>
      </c>
      <c r="D544" s="100" t="s">
        <v>97</v>
      </c>
      <c r="E544" s="101"/>
      <c r="F544" s="101"/>
      <c r="G544" s="102" t="str">
        <f>IF(stdProdLT(Main[[#This Row],[Comments]])=0.1,"N/A",IF(stdProdLT(Main[[#This Row],[Comments]])=0,"",stdProdLT(Main[[#This Row],[Comments]])))</f>
        <v/>
      </c>
      <c r="H544" s="103" t="str">
        <f>IF(AND(Main[[#This Row],[In Stock Date]]&lt;&gt;"",Main[[#This Row],[Revised Due Date]]&lt;&gt;""),Main[[#This Row],[In Stock Date]]-Main[[#This Row],[Revised Due Date]],"")</f>
        <v/>
      </c>
      <c r="I544" s="99" t="s">
        <v>4</v>
      </c>
      <c r="J544" s="99" t="s">
        <v>4</v>
      </c>
      <c r="K544" s="99" t="s">
        <v>4</v>
      </c>
      <c r="L544" s="101"/>
      <c r="M544" s="104" t="str">
        <f>IF(Main[[#This Row],[Tech Start Date]]&lt;1/1/1990,"",IF(Main[[#This Row],[Class]]="C",WORKDAY(Main[[#This Row],[Tech Start Date]],9),IF(Main[[#This Row],[Class]]="B", WORKDAY(Main[[#This Row],[Tech Start Date]],6),IF(Main[[#This Row],[Class]]="A",WORKDAY(Main[[#This Row],[Tech Start Date]],2),""))))</f>
        <v/>
      </c>
      <c r="N544" s="104" t="str">
        <f>IF(Main[[#This Row],[Tech Start Date]]&lt;1/1/1990,"",IF(Main[[#This Row],[Class]]="C",WORKDAY(Main[[#This Row],[Tech Start Date]],19),IF(Main[[#This Row],[Class]]="B", WORKDAY(Main[[#This Row],[Tech Start Date]],12),IF(Main[[#This Row],[Class]]="A",WORKDAY(Main[[#This Row],[Tech Start Date]],4),""))))</f>
        <v/>
      </c>
      <c r="O544" s="104" t="str">
        <f>IF(Main[[#This Row],[Tech Start Date]]&lt;1/1/1990,"",IF(Main[[#This Row],[Class]]="C",WORKDAY(Main[[#This Row],[Tech Start Date]],23),IF(Main[[#This Row],[Class]]="B", WORKDAY(Main[[#This Row],[Tech Start Date]],15),IF(Main[[#This Row],[Class]]="A",WORKDAY(Main[[#This Row],[Tech Start Date]],5),""))))</f>
        <v/>
      </c>
      <c r="P544" s="104" t="str">
        <f>IF(Main[[#This Row],[Tech Start Date]]&lt;1/1/1990,"",IF(Main[[#This Row],[Class]]="C",WORKDAY(Main[[#This Row],[Tech Start Date]],28),IF(Main[[#This Row],[Class]]="B", WORKDAY(Main[[#This Row],[Tech Start Date]],19),IF(Main[[#This Row],[Class]]="A",WORKDAY(Main[[#This Row],[Tech Start Date]],9),""))))</f>
        <v/>
      </c>
      <c r="Q544" s="101">
        <v>40858</v>
      </c>
      <c r="R544" s="101"/>
      <c r="S544" s="99" t="s">
        <v>17</v>
      </c>
      <c r="T544" s="107" t="s">
        <v>4</v>
      </c>
      <c r="U544" s="99" t="s">
        <v>14</v>
      </c>
      <c r="V544" s="99" t="s">
        <v>1962</v>
      </c>
      <c r="W544" s="99" t="s">
        <v>1967</v>
      </c>
    </row>
    <row r="545" spans="1:23" ht="18.600000000000001" customHeight="1">
      <c r="A545" s="123" t="str">
        <f>IF(priority(Main[[#This Row],[Comments]])&lt;&gt;0, priority(Main[[#This Row],[Comments]]),"")</f>
        <v/>
      </c>
      <c r="B545" s="127" t="s">
        <v>1759</v>
      </c>
      <c r="C545" s="99" t="s">
        <v>282</v>
      </c>
      <c r="D545" s="100" t="s">
        <v>786</v>
      </c>
      <c r="E545" s="101"/>
      <c r="F545" s="101">
        <v>40680</v>
      </c>
      <c r="G545" s="102" t="str">
        <f>IF(stdProdLT(Main[[#This Row],[Comments]])=0.1,"N/A",IF(stdProdLT(Main[[#This Row],[Comments]])=0,"",stdProdLT(Main[[#This Row],[Comments]])))</f>
        <v/>
      </c>
      <c r="H545" s="103" t="str">
        <f>IF(AND(Main[[#This Row],[In Stock Date]]&lt;&gt;"",Main[[#This Row],[Revised Due Date]]&lt;&gt;""),Main[[#This Row],[In Stock Date]]-Main[[#This Row],[Revised Due Date]],"")</f>
        <v/>
      </c>
      <c r="I545" s="99" t="s">
        <v>4</v>
      </c>
      <c r="J545" s="99" t="s">
        <v>28</v>
      </c>
      <c r="K545" s="99" t="s">
        <v>4</v>
      </c>
      <c r="L545" s="101"/>
      <c r="M545" s="104" t="str">
        <f>IF(Main[[#This Row],[Tech Start Date]]&lt;1/1/1990,"",IF(Main[[#This Row],[Class]]="C",WORKDAY(Main[[#This Row],[Tech Start Date]],9),IF(Main[[#This Row],[Class]]="B", WORKDAY(Main[[#This Row],[Tech Start Date]],6),IF(Main[[#This Row],[Class]]="A",WORKDAY(Main[[#This Row],[Tech Start Date]],2),""))))</f>
        <v/>
      </c>
      <c r="N545" s="104" t="str">
        <f>IF(Main[[#This Row],[Tech Start Date]]&lt;1/1/1990,"",IF(Main[[#This Row],[Class]]="C",WORKDAY(Main[[#This Row],[Tech Start Date]],19),IF(Main[[#This Row],[Class]]="B", WORKDAY(Main[[#This Row],[Tech Start Date]],12),IF(Main[[#This Row],[Class]]="A",WORKDAY(Main[[#This Row],[Tech Start Date]],4),""))))</f>
        <v/>
      </c>
      <c r="O545" s="104" t="str">
        <f>IF(Main[[#This Row],[Tech Start Date]]&lt;1/1/1990,"",IF(Main[[#This Row],[Class]]="C",WORKDAY(Main[[#This Row],[Tech Start Date]],23),IF(Main[[#This Row],[Class]]="B", WORKDAY(Main[[#This Row],[Tech Start Date]],15),IF(Main[[#This Row],[Class]]="A",WORKDAY(Main[[#This Row],[Tech Start Date]],5),""))))</f>
        <v/>
      </c>
      <c r="P545" s="104" t="str">
        <f>IF(Main[[#This Row],[Tech Start Date]]&lt;1/1/1990,"",IF(Main[[#This Row],[Class]]="C",WORKDAY(Main[[#This Row],[Tech Start Date]],28),IF(Main[[#This Row],[Class]]="B", WORKDAY(Main[[#This Row],[Tech Start Date]],19),IF(Main[[#This Row],[Class]]="A",WORKDAY(Main[[#This Row],[Tech Start Date]],9),""))))</f>
        <v/>
      </c>
      <c r="Q545" s="101">
        <v>40568</v>
      </c>
      <c r="R545" s="101"/>
      <c r="S545" s="99" t="s">
        <v>11</v>
      </c>
      <c r="T545" s="107" t="s">
        <v>787</v>
      </c>
      <c r="U545" s="99" t="s">
        <v>14</v>
      </c>
      <c r="V545" s="99" t="s">
        <v>1963</v>
      </c>
      <c r="W545" s="99" t="s">
        <v>1967</v>
      </c>
    </row>
    <row r="546" spans="1:23" ht="18.600000000000001" customHeight="1">
      <c r="A546" s="123" t="str">
        <f>IF(priority(Main[[#This Row],[Comments]])&lt;&gt;0, priority(Main[[#This Row],[Comments]]),"")</f>
        <v/>
      </c>
      <c r="B546" s="127" t="s">
        <v>1372</v>
      </c>
      <c r="C546" s="99" t="s">
        <v>33</v>
      </c>
      <c r="D546" s="100" t="s">
        <v>425</v>
      </c>
      <c r="E546" s="101"/>
      <c r="F546" s="101">
        <v>40266</v>
      </c>
      <c r="G546" s="102" t="str">
        <f>IF(stdProdLT(Main[[#This Row],[Comments]])=0.1,"N/A",IF(stdProdLT(Main[[#This Row],[Comments]])=0,"",stdProdLT(Main[[#This Row],[Comments]])))</f>
        <v/>
      </c>
      <c r="H546" s="103" t="str">
        <f>IF(AND(Main[[#This Row],[In Stock Date]]&lt;&gt;"",Main[[#This Row],[Revised Due Date]]&lt;&gt;""),Main[[#This Row],[In Stock Date]]-Main[[#This Row],[Revised Due Date]],"")</f>
        <v/>
      </c>
      <c r="I546" s="99" t="s">
        <v>4</v>
      </c>
      <c r="J546" s="99" t="s">
        <v>4</v>
      </c>
      <c r="K546" s="99" t="s">
        <v>4</v>
      </c>
      <c r="L546" s="101"/>
      <c r="M546" s="104" t="str">
        <f>IF(Main[[#This Row],[Tech Start Date]]&lt;1/1/1990,"",IF(Main[[#This Row],[Class]]="C",WORKDAY(Main[[#This Row],[Tech Start Date]],9),IF(Main[[#This Row],[Class]]="B", WORKDAY(Main[[#This Row],[Tech Start Date]],6),IF(Main[[#This Row],[Class]]="A",WORKDAY(Main[[#This Row],[Tech Start Date]],2),""))))</f>
        <v/>
      </c>
      <c r="N546" s="104" t="str">
        <f>IF(Main[[#This Row],[Tech Start Date]]&lt;1/1/1990,"",IF(Main[[#This Row],[Class]]="C",WORKDAY(Main[[#This Row],[Tech Start Date]],19),IF(Main[[#This Row],[Class]]="B", WORKDAY(Main[[#This Row],[Tech Start Date]],12),IF(Main[[#This Row],[Class]]="A",WORKDAY(Main[[#This Row],[Tech Start Date]],4),""))))</f>
        <v/>
      </c>
      <c r="O546" s="104" t="str">
        <f>IF(Main[[#This Row],[Tech Start Date]]&lt;1/1/1990,"",IF(Main[[#This Row],[Class]]="C",WORKDAY(Main[[#This Row],[Tech Start Date]],23),IF(Main[[#This Row],[Class]]="B", WORKDAY(Main[[#This Row],[Tech Start Date]],15),IF(Main[[#This Row],[Class]]="A",WORKDAY(Main[[#This Row],[Tech Start Date]],5),""))))</f>
        <v/>
      </c>
      <c r="P546" s="104" t="str">
        <f>IF(Main[[#This Row],[Tech Start Date]]&lt;1/1/1990,"",IF(Main[[#This Row],[Class]]="C",WORKDAY(Main[[#This Row],[Tech Start Date]],28),IF(Main[[#This Row],[Class]]="B", WORKDAY(Main[[#This Row],[Tech Start Date]],19),IF(Main[[#This Row],[Class]]="A",WORKDAY(Main[[#This Row],[Tech Start Date]],9),""))))</f>
        <v/>
      </c>
      <c r="Q546" s="101">
        <v>40266</v>
      </c>
      <c r="R546" s="101"/>
      <c r="S546" s="99" t="s">
        <v>11</v>
      </c>
      <c r="T546" s="107" t="s">
        <v>4</v>
      </c>
      <c r="U546" s="99" t="s">
        <v>14</v>
      </c>
      <c r="V546" s="99" t="s">
        <v>1965</v>
      </c>
      <c r="W546" s="99" t="s">
        <v>1967</v>
      </c>
    </row>
    <row r="547" spans="1:23" ht="18.600000000000001" customHeight="1">
      <c r="A547" s="123" t="str">
        <f>IF(priority(Main[[#This Row],[Comments]])&lt;&gt;0, priority(Main[[#This Row],[Comments]]),"")</f>
        <v/>
      </c>
      <c r="B547" s="127" t="s">
        <v>1414</v>
      </c>
      <c r="C547" s="99" t="s">
        <v>138</v>
      </c>
      <c r="D547" s="100" t="s">
        <v>137</v>
      </c>
      <c r="E547" s="101"/>
      <c r="F547" s="101">
        <v>40787</v>
      </c>
      <c r="G547" s="102" t="str">
        <f>IF(stdProdLT(Main[[#This Row],[Comments]])=0.1,"N/A",IF(stdProdLT(Main[[#This Row],[Comments]])=0,"",stdProdLT(Main[[#This Row],[Comments]])))</f>
        <v/>
      </c>
      <c r="H547" s="103" t="str">
        <f>IF(AND(Main[[#This Row],[In Stock Date]]&lt;&gt;"",Main[[#This Row],[Revised Due Date]]&lt;&gt;""),Main[[#This Row],[In Stock Date]]-Main[[#This Row],[Revised Due Date]],"")</f>
        <v/>
      </c>
      <c r="I547" s="99" t="s">
        <v>4</v>
      </c>
      <c r="J547" s="99" t="s">
        <v>4</v>
      </c>
      <c r="K547" s="99" t="s">
        <v>4</v>
      </c>
      <c r="L547" s="101"/>
      <c r="M547" s="104" t="str">
        <f>IF(Main[[#This Row],[Tech Start Date]]&lt;1/1/1990,"",IF(Main[[#This Row],[Class]]="C",WORKDAY(Main[[#This Row],[Tech Start Date]],9),IF(Main[[#This Row],[Class]]="B", WORKDAY(Main[[#This Row],[Tech Start Date]],6),IF(Main[[#This Row],[Class]]="A",WORKDAY(Main[[#This Row],[Tech Start Date]],2),""))))</f>
        <v/>
      </c>
      <c r="N547" s="104" t="str">
        <f>IF(Main[[#This Row],[Tech Start Date]]&lt;1/1/1990,"",IF(Main[[#This Row],[Class]]="C",WORKDAY(Main[[#This Row],[Tech Start Date]],19),IF(Main[[#This Row],[Class]]="B", WORKDAY(Main[[#This Row],[Tech Start Date]],12),IF(Main[[#This Row],[Class]]="A",WORKDAY(Main[[#This Row],[Tech Start Date]],4),""))))</f>
        <v/>
      </c>
      <c r="O547" s="104" t="str">
        <f>IF(Main[[#This Row],[Tech Start Date]]&lt;1/1/1990,"",IF(Main[[#This Row],[Class]]="C",WORKDAY(Main[[#This Row],[Tech Start Date]],23),IF(Main[[#This Row],[Class]]="B", WORKDAY(Main[[#This Row],[Tech Start Date]],15),IF(Main[[#This Row],[Class]]="A",WORKDAY(Main[[#This Row],[Tech Start Date]],5),""))))</f>
        <v/>
      </c>
      <c r="P547" s="104" t="str">
        <f>IF(Main[[#This Row],[Tech Start Date]]&lt;1/1/1990,"",IF(Main[[#This Row],[Class]]="C",WORKDAY(Main[[#This Row],[Tech Start Date]],28),IF(Main[[#This Row],[Class]]="B", WORKDAY(Main[[#This Row],[Tech Start Date]],19),IF(Main[[#This Row],[Class]]="A",WORKDAY(Main[[#This Row],[Tech Start Date]],9),""))))</f>
        <v/>
      </c>
      <c r="Q547" s="101"/>
      <c r="R547" s="101"/>
      <c r="S547" s="99" t="s">
        <v>11</v>
      </c>
      <c r="T547" s="107" t="s">
        <v>4</v>
      </c>
      <c r="U547" s="99" t="s">
        <v>14</v>
      </c>
      <c r="V547" s="99" t="s">
        <v>1962</v>
      </c>
      <c r="W547" s="99" t="s">
        <v>1968</v>
      </c>
    </row>
    <row r="548" spans="1:23" ht="18.600000000000001" customHeight="1">
      <c r="A548" s="123" t="str">
        <f>IF(priority(Main[[#This Row],[Comments]])&lt;&gt;0, priority(Main[[#This Row],[Comments]]),"")</f>
        <v/>
      </c>
      <c r="B548" s="127" t="s">
        <v>1415</v>
      </c>
      <c r="C548" s="99" t="s">
        <v>4</v>
      </c>
      <c r="D548" s="100" t="s">
        <v>475</v>
      </c>
      <c r="E548" s="101">
        <v>40704.209918981483</v>
      </c>
      <c r="F548" s="101"/>
      <c r="G548" s="102" t="str">
        <f>IF(stdProdLT(Main[[#This Row],[Comments]])=0.1,"N/A",IF(stdProdLT(Main[[#This Row],[Comments]])=0,"",stdProdLT(Main[[#This Row],[Comments]])))</f>
        <v/>
      </c>
      <c r="H548" s="103" t="str">
        <f>IF(AND(Main[[#This Row],[In Stock Date]]&lt;&gt;"",Main[[#This Row],[Revised Due Date]]&lt;&gt;""),Main[[#This Row],[In Stock Date]]-Main[[#This Row],[Revised Due Date]],"")</f>
        <v/>
      </c>
      <c r="I548" s="99" t="s">
        <v>4</v>
      </c>
      <c r="J548" s="99" t="s">
        <v>4</v>
      </c>
      <c r="K548" s="108" t="s">
        <v>4</v>
      </c>
      <c r="L548" s="101"/>
      <c r="M548" s="104" t="str">
        <f>IF(Main[[#This Row],[Tech Start Date]]&lt;1/1/1990,"",IF(Main[[#This Row],[Class]]="C",WORKDAY(Main[[#This Row],[Tech Start Date]],9),IF(Main[[#This Row],[Class]]="B", WORKDAY(Main[[#This Row],[Tech Start Date]],6),IF(Main[[#This Row],[Class]]="A",WORKDAY(Main[[#This Row],[Tech Start Date]],2),""))))</f>
        <v/>
      </c>
      <c r="N548" s="104" t="str">
        <f>IF(Main[[#This Row],[Tech Start Date]]&lt;1/1/1990,"",IF(Main[[#This Row],[Class]]="C",WORKDAY(Main[[#This Row],[Tech Start Date]],19),IF(Main[[#This Row],[Class]]="B", WORKDAY(Main[[#This Row],[Tech Start Date]],12),IF(Main[[#This Row],[Class]]="A",WORKDAY(Main[[#This Row],[Tech Start Date]],4),""))))</f>
        <v/>
      </c>
      <c r="O548" s="104" t="str">
        <f>IF(Main[[#This Row],[Tech Start Date]]&lt;1/1/1990,"",IF(Main[[#This Row],[Class]]="C",WORKDAY(Main[[#This Row],[Tech Start Date]],23),IF(Main[[#This Row],[Class]]="B", WORKDAY(Main[[#This Row],[Tech Start Date]],15),IF(Main[[#This Row],[Class]]="A",WORKDAY(Main[[#This Row],[Tech Start Date]],5),""))))</f>
        <v/>
      </c>
      <c r="P548" s="104" t="str">
        <f>IF(Main[[#This Row],[Tech Start Date]]&lt;1/1/1990,"",IF(Main[[#This Row],[Class]]="C",WORKDAY(Main[[#This Row],[Tech Start Date]],28),IF(Main[[#This Row],[Class]]="B", WORKDAY(Main[[#This Row],[Tech Start Date]],19),IF(Main[[#This Row],[Class]]="A",WORKDAY(Main[[#This Row],[Tech Start Date]],9),""))))</f>
        <v/>
      </c>
      <c r="Q548" s="101">
        <v>40725</v>
      </c>
      <c r="R548" s="101"/>
      <c r="S548" s="99" t="s">
        <v>6</v>
      </c>
      <c r="T548" s="107" t="s">
        <v>4</v>
      </c>
      <c r="U548" s="99" t="s">
        <v>7</v>
      </c>
      <c r="V548" s="99" t="s">
        <v>1962</v>
      </c>
      <c r="W548" s="99" t="s">
        <v>4</v>
      </c>
    </row>
    <row r="549" spans="1:23" ht="18.600000000000001" customHeight="1">
      <c r="A549" s="123" t="str">
        <f>IF(priority(Main[[#This Row],[Comments]])&lt;&gt;0, priority(Main[[#This Row],[Comments]]),"")</f>
        <v/>
      </c>
      <c r="B549" s="127" t="s">
        <v>1416</v>
      </c>
      <c r="C549" s="99" t="s">
        <v>31</v>
      </c>
      <c r="D549" s="100" t="s">
        <v>476</v>
      </c>
      <c r="E549" s="101"/>
      <c r="F549" s="101">
        <v>40230</v>
      </c>
      <c r="G549" s="102" t="str">
        <f>IF(stdProdLT(Main[[#This Row],[Comments]])=0.1,"N/A",IF(stdProdLT(Main[[#This Row],[Comments]])=0,"",stdProdLT(Main[[#This Row],[Comments]])))</f>
        <v/>
      </c>
      <c r="H549" s="103" t="str">
        <f>IF(AND(Main[[#This Row],[In Stock Date]]&lt;&gt;"",Main[[#This Row],[Revised Due Date]]&lt;&gt;""),Main[[#This Row],[In Stock Date]]-Main[[#This Row],[Revised Due Date]],"")</f>
        <v/>
      </c>
      <c r="I549" s="99" t="s">
        <v>4</v>
      </c>
      <c r="J549" s="99" t="s">
        <v>4</v>
      </c>
      <c r="K549" s="108" t="s">
        <v>4</v>
      </c>
      <c r="L549" s="101"/>
      <c r="M549" s="104" t="str">
        <f>IF(Main[[#This Row],[Tech Start Date]]&lt;1/1/1990,"",IF(Main[[#This Row],[Class]]="C",WORKDAY(Main[[#This Row],[Tech Start Date]],9),IF(Main[[#This Row],[Class]]="B", WORKDAY(Main[[#This Row],[Tech Start Date]],6),IF(Main[[#This Row],[Class]]="A",WORKDAY(Main[[#This Row],[Tech Start Date]],2),""))))</f>
        <v/>
      </c>
      <c r="N549" s="104" t="str">
        <f>IF(Main[[#This Row],[Tech Start Date]]&lt;1/1/1990,"",IF(Main[[#This Row],[Class]]="C",WORKDAY(Main[[#This Row],[Tech Start Date]],19),IF(Main[[#This Row],[Class]]="B", WORKDAY(Main[[#This Row],[Tech Start Date]],12),IF(Main[[#This Row],[Class]]="A",WORKDAY(Main[[#This Row],[Tech Start Date]],4),""))))</f>
        <v/>
      </c>
      <c r="O549" s="104" t="str">
        <f>IF(Main[[#This Row],[Tech Start Date]]&lt;1/1/1990,"",IF(Main[[#This Row],[Class]]="C",WORKDAY(Main[[#This Row],[Tech Start Date]],23),IF(Main[[#This Row],[Class]]="B", WORKDAY(Main[[#This Row],[Tech Start Date]],15),IF(Main[[#This Row],[Class]]="A",WORKDAY(Main[[#This Row],[Tech Start Date]],5),""))))</f>
        <v/>
      </c>
      <c r="P549" s="104" t="str">
        <f>IF(Main[[#This Row],[Tech Start Date]]&lt;1/1/1990,"",IF(Main[[#This Row],[Class]]="C",WORKDAY(Main[[#This Row],[Tech Start Date]],28),IF(Main[[#This Row],[Class]]="B", WORKDAY(Main[[#This Row],[Tech Start Date]],19),IF(Main[[#This Row],[Class]]="A",WORKDAY(Main[[#This Row],[Tech Start Date]],9),""))))</f>
        <v/>
      </c>
      <c r="Q549" s="101">
        <v>40235</v>
      </c>
      <c r="R549" s="101"/>
      <c r="S549" s="99" t="s">
        <v>11</v>
      </c>
      <c r="T549" s="107" t="s">
        <v>4</v>
      </c>
      <c r="U549" s="99" t="s">
        <v>14</v>
      </c>
      <c r="V549" s="99" t="s">
        <v>1963</v>
      </c>
      <c r="W549" s="99" t="s">
        <v>1970</v>
      </c>
    </row>
    <row r="550" spans="1:23" ht="18.600000000000001" customHeight="1">
      <c r="A550" s="123" t="str">
        <f>IF(priority(Main[[#This Row],[Comments]])&lt;&gt;0, priority(Main[[#This Row],[Comments]]),"")</f>
        <v/>
      </c>
      <c r="B550" s="127" t="s">
        <v>1418</v>
      </c>
      <c r="C550" s="99" t="s">
        <v>477</v>
      </c>
      <c r="D550" s="100" t="s">
        <v>478</v>
      </c>
      <c r="E550" s="101"/>
      <c r="F550" s="101">
        <v>40450</v>
      </c>
      <c r="G550" s="102" t="str">
        <f>IF(stdProdLT(Main[[#This Row],[Comments]])=0.1,"N/A",IF(stdProdLT(Main[[#This Row],[Comments]])=0,"",stdProdLT(Main[[#This Row],[Comments]])))</f>
        <v/>
      </c>
      <c r="H550" s="103" t="str">
        <f>IF(AND(Main[[#This Row],[In Stock Date]]&lt;&gt;"",Main[[#This Row],[Revised Due Date]]&lt;&gt;""),Main[[#This Row],[In Stock Date]]-Main[[#This Row],[Revised Due Date]],"")</f>
        <v/>
      </c>
      <c r="I550" s="99" t="s">
        <v>4</v>
      </c>
      <c r="J550" s="99" t="s">
        <v>4</v>
      </c>
      <c r="K550" s="99" t="s">
        <v>4</v>
      </c>
      <c r="L550" s="101"/>
      <c r="M550" s="104" t="str">
        <f>IF(Main[[#This Row],[Tech Start Date]]&lt;1/1/1990,"",IF(Main[[#This Row],[Class]]="C",WORKDAY(Main[[#This Row],[Tech Start Date]],9),IF(Main[[#This Row],[Class]]="B", WORKDAY(Main[[#This Row],[Tech Start Date]],6),IF(Main[[#This Row],[Class]]="A",WORKDAY(Main[[#This Row],[Tech Start Date]],2),""))))</f>
        <v/>
      </c>
      <c r="N550" s="104" t="str">
        <f>IF(Main[[#This Row],[Tech Start Date]]&lt;1/1/1990,"",IF(Main[[#This Row],[Class]]="C",WORKDAY(Main[[#This Row],[Tech Start Date]],19),IF(Main[[#This Row],[Class]]="B", WORKDAY(Main[[#This Row],[Tech Start Date]],12),IF(Main[[#This Row],[Class]]="A",WORKDAY(Main[[#This Row],[Tech Start Date]],4),""))))</f>
        <v/>
      </c>
      <c r="O550" s="104" t="str">
        <f>IF(Main[[#This Row],[Tech Start Date]]&lt;1/1/1990,"",IF(Main[[#This Row],[Class]]="C",WORKDAY(Main[[#This Row],[Tech Start Date]],23),IF(Main[[#This Row],[Class]]="B", WORKDAY(Main[[#This Row],[Tech Start Date]],15),IF(Main[[#This Row],[Class]]="A",WORKDAY(Main[[#This Row],[Tech Start Date]],5),""))))</f>
        <v/>
      </c>
      <c r="P550" s="104" t="str">
        <f>IF(Main[[#This Row],[Tech Start Date]]&lt;1/1/1990,"",IF(Main[[#This Row],[Class]]="C",WORKDAY(Main[[#This Row],[Tech Start Date]],28),IF(Main[[#This Row],[Class]]="B", WORKDAY(Main[[#This Row],[Tech Start Date]],19),IF(Main[[#This Row],[Class]]="A",WORKDAY(Main[[#This Row],[Tech Start Date]],9),""))))</f>
        <v/>
      </c>
      <c r="Q550" s="101">
        <v>40421</v>
      </c>
      <c r="R550" s="101"/>
      <c r="S550" s="99" t="s">
        <v>11</v>
      </c>
      <c r="T550" s="107" t="s">
        <v>4</v>
      </c>
      <c r="U550" s="99" t="s">
        <v>14</v>
      </c>
      <c r="V550" s="99" t="s">
        <v>1965</v>
      </c>
      <c r="W550" s="99" t="s">
        <v>1967</v>
      </c>
    </row>
    <row r="551" spans="1:23" ht="18.600000000000001" customHeight="1">
      <c r="A551" s="123" t="str">
        <f>IF(priority(Main[[#This Row],[Comments]])&lt;&gt;0, priority(Main[[#This Row],[Comments]]),"")</f>
        <v/>
      </c>
      <c r="B551" s="127" t="s">
        <v>1420</v>
      </c>
      <c r="C551" s="99" t="s">
        <v>31</v>
      </c>
      <c r="D551" s="100" t="s">
        <v>479</v>
      </c>
      <c r="E551" s="101"/>
      <c r="F551" s="101"/>
      <c r="G551" s="102" t="str">
        <f>IF(stdProdLT(Main[[#This Row],[Comments]])=0.1,"N/A",IF(stdProdLT(Main[[#This Row],[Comments]])=0,"",stdProdLT(Main[[#This Row],[Comments]])))</f>
        <v/>
      </c>
      <c r="H551" s="103" t="str">
        <f>IF(AND(Main[[#This Row],[In Stock Date]]&lt;&gt;"",Main[[#This Row],[Revised Due Date]]&lt;&gt;""),Main[[#This Row],[In Stock Date]]-Main[[#This Row],[Revised Due Date]],"")</f>
        <v/>
      </c>
      <c r="I551" s="99" t="s">
        <v>4</v>
      </c>
      <c r="J551" s="99" t="s">
        <v>4</v>
      </c>
      <c r="K551" s="99" t="s">
        <v>4</v>
      </c>
      <c r="L551" s="101"/>
      <c r="M551" s="104" t="str">
        <f>IF(Main[[#This Row],[Tech Start Date]]&lt;1/1/1990,"",IF(Main[[#This Row],[Class]]="C",WORKDAY(Main[[#This Row],[Tech Start Date]],9),IF(Main[[#This Row],[Class]]="B", WORKDAY(Main[[#This Row],[Tech Start Date]],6),IF(Main[[#This Row],[Class]]="A",WORKDAY(Main[[#This Row],[Tech Start Date]],2),""))))</f>
        <v/>
      </c>
      <c r="N551" s="104" t="str">
        <f>IF(Main[[#This Row],[Tech Start Date]]&lt;1/1/1990,"",IF(Main[[#This Row],[Class]]="C",WORKDAY(Main[[#This Row],[Tech Start Date]],19),IF(Main[[#This Row],[Class]]="B", WORKDAY(Main[[#This Row],[Tech Start Date]],12),IF(Main[[#This Row],[Class]]="A",WORKDAY(Main[[#This Row],[Tech Start Date]],4),""))))</f>
        <v/>
      </c>
      <c r="O551" s="104" t="str">
        <f>IF(Main[[#This Row],[Tech Start Date]]&lt;1/1/1990,"",IF(Main[[#This Row],[Class]]="C",WORKDAY(Main[[#This Row],[Tech Start Date]],23),IF(Main[[#This Row],[Class]]="B", WORKDAY(Main[[#This Row],[Tech Start Date]],15),IF(Main[[#This Row],[Class]]="A",WORKDAY(Main[[#This Row],[Tech Start Date]],5),""))))</f>
        <v/>
      </c>
      <c r="P551" s="104" t="str">
        <f>IF(Main[[#This Row],[Tech Start Date]]&lt;1/1/1990,"",IF(Main[[#This Row],[Class]]="C",WORKDAY(Main[[#This Row],[Tech Start Date]],28),IF(Main[[#This Row],[Class]]="B", WORKDAY(Main[[#This Row],[Tech Start Date]],19),IF(Main[[#This Row],[Class]]="A",WORKDAY(Main[[#This Row],[Tech Start Date]],9),""))))</f>
        <v/>
      </c>
      <c r="Q551" s="101">
        <v>40318</v>
      </c>
      <c r="R551" s="101"/>
      <c r="S551" s="99" t="s">
        <v>11</v>
      </c>
      <c r="T551" s="107" t="s">
        <v>4</v>
      </c>
      <c r="U551" s="99" t="s">
        <v>14</v>
      </c>
      <c r="V551" s="99" t="s">
        <v>1965</v>
      </c>
      <c r="W551" s="99" t="s">
        <v>1964</v>
      </c>
    </row>
    <row r="552" spans="1:23" ht="18.600000000000001" customHeight="1">
      <c r="A552" s="123" t="str">
        <f>IF(priority(Main[[#This Row],[Comments]])&lt;&gt;0, priority(Main[[#This Row],[Comments]]),"")</f>
        <v/>
      </c>
      <c r="B552" s="127" t="s">
        <v>1422</v>
      </c>
      <c r="C552" s="99" t="s">
        <v>4</v>
      </c>
      <c r="D552" s="100" t="s">
        <v>480</v>
      </c>
      <c r="E552" s="101">
        <v>40679.254976851851</v>
      </c>
      <c r="F552" s="101"/>
      <c r="G552" s="102" t="str">
        <f>IF(stdProdLT(Main[[#This Row],[Comments]])=0.1,"N/A",IF(stdProdLT(Main[[#This Row],[Comments]])=0,"",stdProdLT(Main[[#This Row],[Comments]])))</f>
        <v/>
      </c>
      <c r="H552" s="103" t="str">
        <f>IF(AND(Main[[#This Row],[In Stock Date]]&lt;&gt;"",Main[[#This Row],[Revised Due Date]]&lt;&gt;""),Main[[#This Row],[In Stock Date]]-Main[[#This Row],[Revised Due Date]],"")</f>
        <v/>
      </c>
      <c r="I552" s="99" t="s">
        <v>4</v>
      </c>
      <c r="J552" s="99" t="s">
        <v>4</v>
      </c>
      <c r="K552" s="99" t="s">
        <v>4</v>
      </c>
      <c r="L552" s="101"/>
      <c r="M552" s="104" t="str">
        <f>IF(Main[[#This Row],[Tech Start Date]]&lt;1/1/1990,"",IF(Main[[#This Row],[Class]]="C",WORKDAY(Main[[#This Row],[Tech Start Date]],9),IF(Main[[#This Row],[Class]]="B", WORKDAY(Main[[#This Row],[Tech Start Date]],6),IF(Main[[#This Row],[Class]]="A",WORKDAY(Main[[#This Row],[Tech Start Date]],2),""))))</f>
        <v/>
      </c>
      <c r="N552" s="104" t="str">
        <f>IF(Main[[#This Row],[Tech Start Date]]&lt;1/1/1990,"",IF(Main[[#This Row],[Class]]="C",WORKDAY(Main[[#This Row],[Tech Start Date]],19),IF(Main[[#This Row],[Class]]="B", WORKDAY(Main[[#This Row],[Tech Start Date]],12),IF(Main[[#This Row],[Class]]="A",WORKDAY(Main[[#This Row],[Tech Start Date]],4),""))))</f>
        <v/>
      </c>
      <c r="O552" s="104" t="str">
        <f>IF(Main[[#This Row],[Tech Start Date]]&lt;1/1/1990,"",IF(Main[[#This Row],[Class]]="C",WORKDAY(Main[[#This Row],[Tech Start Date]],23),IF(Main[[#This Row],[Class]]="B", WORKDAY(Main[[#This Row],[Tech Start Date]],15),IF(Main[[#This Row],[Class]]="A",WORKDAY(Main[[#This Row],[Tech Start Date]],5),""))))</f>
        <v/>
      </c>
      <c r="P552" s="104" t="str">
        <f>IF(Main[[#This Row],[Tech Start Date]]&lt;1/1/1990,"",IF(Main[[#This Row],[Class]]="C",WORKDAY(Main[[#This Row],[Tech Start Date]],28),IF(Main[[#This Row],[Class]]="B", WORKDAY(Main[[#This Row],[Tech Start Date]],19),IF(Main[[#This Row],[Class]]="A",WORKDAY(Main[[#This Row],[Tech Start Date]],9),""))))</f>
        <v/>
      </c>
      <c r="Q552" s="101">
        <v>40724</v>
      </c>
      <c r="R552" s="101"/>
      <c r="S552" s="99" t="s">
        <v>6</v>
      </c>
      <c r="T552" s="107" t="s">
        <v>4</v>
      </c>
      <c r="U552" s="99" t="s">
        <v>7</v>
      </c>
      <c r="V552" s="99" t="s">
        <v>1962</v>
      </c>
      <c r="W552" s="99" t="s">
        <v>4</v>
      </c>
    </row>
    <row r="553" spans="1:23" ht="18.600000000000001" customHeight="1">
      <c r="A553" s="123" t="str">
        <f>IF(priority(Main[[#This Row],[Comments]])&lt;&gt;0, priority(Main[[#This Row],[Comments]]),"")</f>
        <v/>
      </c>
      <c r="B553" s="127" t="s">
        <v>1423</v>
      </c>
      <c r="C553" s="99" t="s">
        <v>4</v>
      </c>
      <c r="D553" s="100" t="s">
        <v>481</v>
      </c>
      <c r="E553" s="101"/>
      <c r="F553" s="101"/>
      <c r="G553" s="102" t="str">
        <f>IF(stdProdLT(Main[[#This Row],[Comments]])=0.1,"N/A",IF(stdProdLT(Main[[#This Row],[Comments]])=0,"",stdProdLT(Main[[#This Row],[Comments]])))</f>
        <v/>
      </c>
      <c r="H553" s="103" t="str">
        <f>IF(AND(Main[[#This Row],[In Stock Date]]&lt;&gt;"",Main[[#This Row],[Revised Due Date]]&lt;&gt;""),Main[[#This Row],[In Stock Date]]-Main[[#This Row],[Revised Due Date]],"")</f>
        <v/>
      </c>
      <c r="I553" s="99" t="s">
        <v>129</v>
      </c>
      <c r="J553" s="99" t="s">
        <v>4</v>
      </c>
      <c r="K553" s="99" t="s">
        <v>4</v>
      </c>
      <c r="L553" s="101"/>
      <c r="M553" s="104" t="str">
        <f>IF(Main[[#This Row],[Tech Start Date]]&lt;1/1/1990,"",IF(Main[[#This Row],[Class]]="C",WORKDAY(Main[[#This Row],[Tech Start Date]],9),IF(Main[[#This Row],[Class]]="B", WORKDAY(Main[[#This Row],[Tech Start Date]],6),IF(Main[[#This Row],[Class]]="A",WORKDAY(Main[[#This Row],[Tech Start Date]],2),""))))</f>
        <v/>
      </c>
      <c r="N553" s="104" t="str">
        <f>IF(Main[[#This Row],[Tech Start Date]]&lt;1/1/1990,"",IF(Main[[#This Row],[Class]]="C",WORKDAY(Main[[#This Row],[Tech Start Date]],19),IF(Main[[#This Row],[Class]]="B", WORKDAY(Main[[#This Row],[Tech Start Date]],12),IF(Main[[#This Row],[Class]]="A",WORKDAY(Main[[#This Row],[Tech Start Date]],4),""))))</f>
        <v/>
      </c>
      <c r="O553" s="104" t="str">
        <f>IF(Main[[#This Row],[Tech Start Date]]&lt;1/1/1990,"",IF(Main[[#This Row],[Class]]="C",WORKDAY(Main[[#This Row],[Tech Start Date]],23),IF(Main[[#This Row],[Class]]="B", WORKDAY(Main[[#This Row],[Tech Start Date]],15),IF(Main[[#This Row],[Class]]="A",WORKDAY(Main[[#This Row],[Tech Start Date]],5),""))))</f>
        <v/>
      </c>
      <c r="P553" s="104" t="str">
        <f>IF(Main[[#This Row],[Tech Start Date]]&lt;1/1/1990,"",IF(Main[[#This Row],[Class]]="C",WORKDAY(Main[[#This Row],[Tech Start Date]],28),IF(Main[[#This Row],[Class]]="B", WORKDAY(Main[[#This Row],[Tech Start Date]],19),IF(Main[[#This Row],[Class]]="A",WORKDAY(Main[[#This Row],[Tech Start Date]],9),""))))</f>
        <v/>
      </c>
      <c r="Q553" s="101">
        <v>40359</v>
      </c>
      <c r="R553" s="101"/>
      <c r="S553" s="99" t="s">
        <v>6</v>
      </c>
      <c r="T553" s="107" t="s">
        <v>4</v>
      </c>
      <c r="U553" s="99" t="s">
        <v>14</v>
      </c>
      <c r="V553" s="99" t="s">
        <v>1962</v>
      </c>
      <c r="W553" s="99" t="s">
        <v>1967</v>
      </c>
    </row>
    <row r="554" spans="1:23" ht="18.600000000000001" customHeight="1">
      <c r="A554" s="123" t="str">
        <f>IF(priority(Main[[#This Row],[Comments]])&lt;&gt;0, priority(Main[[#This Row],[Comments]]),"")</f>
        <v/>
      </c>
      <c r="B554" s="127" t="s">
        <v>1424</v>
      </c>
      <c r="C554" s="99" t="s">
        <v>4</v>
      </c>
      <c r="D554" s="100" t="s">
        <v>482</v>
      </c>
      <c r="E554" s="101"/>
      <c r="F554" s="101"/>
      <c r="G554" s="102" t="str">
        <f>IF(stdProdLT(Main[[#This Row],[Comments]])=0.1,"N/A",IF(stdProdLT(Main[[#This Row],[Comments]])=0,"",stdProdLT(Main[[#This Row],[Comments]])))</f>
        <v/>
      </c>
      <c r="H554" s="103" t="str">
        <f>IF(AND(Main[[#This Row],[In Stock Date]]&lt;&gt;"",Main[[#This Row],[Revised Due Date]]&lt;&gt;""),Main[[#This Row],[In Stock Date]]-Main[[#This Row],[Revised Due Date]],"")</f>
        <v/>
      </c>
      <c r="I554" s="99" t="s">
        <v>4</v>
      </c>
      <c r="J554" s="99" t="s">
        <v>4</v>
      </c>
      <c r="K554" s="99" t="s">
        <v>4</v>
      </c>
      <c r="L554" s="101"/>
      <c r="M554" s="104" t="str">
        <f>IF(Main[[#This Row],[Tech Start Date]]&lt;1/1/1990,"",IF(Main[[#This Row],[Class]]="C",WORKDAY(Main[[#This Row],[Tech Start Date]],9),IF(Main[[#This Row],[Class]]="B", WORKDAY(Main[[#This Row],[Tech Start Date]],6),IF(Main[[#This Row],[Class]]="A",WORKDAY(Main[[#This Row],[Tech Start Date]],2),""))))</f>
        <v/>
      </c>
      <c r="N554" s="104" t="str">
        <f>IF(Main[[#This Row],[Tech Start Date]]&lt;1/1/1990,"",IF(Main[[#This Row],[Class]]="C",WORKDAY(Main[[#This Row],[Tech Start Date]],19),IF(Main[[#This Row],[Class]]="B", WORKDAY(Main[[#This Row],[Tech Start Date]],12),IF(Main[[#This Row],[Class]]="A",WORKDAY(Main[[#This Row],[Tech Start Date]],4),""))))</f>
        <v/>
      </c>
      <c r="O554" s="104" t="str">
        <f>IF(Main[[#This Row],[Tech Start Date]]&lt;1/1/1990,"",IF(Main[[#This Row],[Class]]="C",WORKDAY(Main[[#This Row],[Tech Start Date]],23),IF(Main[[#This Row],[Class]]="B", WORKDAY(Main[[#This Row],[Tech Start Date]],15),IF(Main[[#This Row],[Class]]="A",WORKDAY(Main[[#This Row],[Tech Start Date]],5),""))))</f>
        <v/>
      </c>
      <c r="P554" s="104" t="str">
        <f>IF(Main[[#This Row],[Tech Start Date]]&lt;1/1/1990,"",IF(Main[[#This Row],[Class]]="C",WORKDAY(Main[[#This Row],[Tech Start Date]],28),IF(Main[[#This Row],[Class]]="B", WORKDAY(Main[[#This Row],[Tech Start Date]],19),IF(Main[[#This Row],[Class]]="A",WORKDAY(Main[[#This Row],[Tech Start Date]],9),""))))</f>
        <v/>
      </c>
      <c r="Q554" s="101">
        <v>40151</v>
      </c>
      <c r="R554" s="101"/>
      <c r="S554" s="99" t="s">
        <v>6</v>
      </c>
      <c r="T554" s="107" t="s">
        <v>4</v>
      </c>
      <c r="U554" s="99" t="s">
        <v>12</v>
      </c>
      <c r="V554" s="99" t="s">
        <v>1962</v>
      </c>
      <c r="W554" s="99" t="s">
        <v>1964</v>
      </c>
    </row>
    <row r="555" spans="1:23" ht="18.600000000000001" customHeight="1">
      <c r="A555" s="123" t="str">
        <f>IF(priority(Main[[#This Row],[Comments]])&lt;&gt;0, priority(Main[[#This Row],[Comments]]),"")</f>
        <v/>
      </c>
      <c r="B555" s="127" t="s">
        <v>2331</v>
      </c>
      <c r="C555" s="99" t="s">
        <v>95</v>
      </c>
      <c r="D555" s="100" t="s">
        <v>2332</v>
      </c>
      <c r="E555" s="101">
        <v>40806.589305555557</v>
      </c>
      <c r="F555" s="101"/>
      <c r="G555" s="102" t="str">
        <f>IF(stdProdLT(Main[[#This Row],[Comments]])=0.1,"N/A",IF(stdProdLT(Main[[#This Row],[Comments]])=0,"",stdProdLT(Main[[#This Row],[Comments]])))</f>
        <v/>
      </c>
      <c r="H555" s="103" t="str">
        <f>IF(AND(Main[[#This Row],[In Stock Date]]&lt;&gt;"",Main[[#This Row],[Revised Due Date]]&lt;&gt;""),Main[[#This Row],[In Stock Date]]-Main[[#This Row],[Revised Due Date]],"")</f>
        <v/>
      </c>
      <c r="I555" s="99" t="s">
        <v>4</v>
      </c>
      <c r="J555" s="99" t="s">
        <v>4</v>
      </c>
      <c r="K555" s="99" t="s">
        <v>4</v>
      </c>
      <c r="L555" s="101"/>
      <c r="M555" s="104" t="str">
        <f>IF(Main[[#This Row],[Tech Start Date]]&lt;1/1/1990,"",IF(Main[[#This Row],[Class]]="C",WORKDAY(Main[[#This Row],[Tech Start Date]],9),IF(Main[[#This Row],[Class]]="B", WORKDAY(Main[[#This Row],[Tech Start Date]],6),IF(Main[[#This Row],[Class]]="A",WORKDAY(Main[[#This Row],[Tech Start Date]],2),""))))</f>
        <v/>
      </c>
      <c r="N555" s="104" t="str">
        <f>IF(Main[[#This Row],[Tech Start Date]]&lt;1/1/1990,"",IF(Main[[#This Row],[Class]]="C",WORKDAY(Main[[#This Row],[Tech Start Date]],19),IF(Main[[#This Row],[Class]]="B", WORKDAY(Main[[#This Row],[Tech Start Date]],12),IF(Main[[#This Row],[Class]]="A",WORKDAY(Main[[#This Row],[Tech Start Date]],4),""))))</f>
        <v/>
      </c>
      <c r="O555" s="104" t="str">
        <f>IF(Main[[#This Row],[Tech Start Date]]&lt;1/1/1990,"",IF(Main[[#This Row],[Class]]="C",WORKDAY(Main[[#This Row],[Tech Start Date]],23),IF(Main[[#This Row],[Class]]="B", WORKDAY(Main[[#This Row],[Tech Start Date]],15),IF(Main[[#This Row],[Class]]="A",WORKDAY(Main[[#This Row],[Tech Start Date]],5),""))))</f>
        <v/>
      </c>
      <c r="P555" s="104" t="str">
        <f>IF(Main[[#This Row],[Tech Start Date]]&lt;1/1/1990,"",IF(Main[[#This Row],[Class]]="C",WORKDAY(Main[[#This Row],[Tech Start Date]],28),IF(Main[[#This Row],[Class]]="B", WORKDAY(Main[[#This Row],[Tech Start Date]],19),IF(Main[[#This Row],[Class]]="A",WORKDAY(Main[[#This Row],[Tech Start Date]],9),""))))</f>
        <v/>
      </c>
      <c r="Q555" s="101">
        <v>40823</v>
      </c>
      <c r="R555" s="101"/>
      <c r="S555" s="99" t="s">
        <v>17</v>
      </c>
      <c r="T555" s="107" t="s">
        <v>4</v>
      </c>
      <c r="U555" s="99" t="s">
        <v>7</v>
      </c>
      <c r="V555" s="99" t="s">
        <v>1963</v>
      </c>
      <c r="W555" s="99" t="s">
        <v>1967</v>
      </c>
    </row>
    <row r="556" spans="1:23" ht="18.600000000000001" customHeight="1">
      <c r="A556" s="123" t="str">
        <f>IF(priority(Main[[#This Row],[Comments]])&lt;&gt;0, priority(Main[[#This Row],[Comments]]),"")</f>
        <v/>
      </c>
      <c r="B556" s="127" t="s">
        <v>2293</v>
      </c>
      <c r="C556" s="99" t="s">
        <v>4</v>
      </c>
      <c r="D556" s="100" t="s">
        <v>2294</v>
      </c>
      <c r="E556" s="101"/>
      <c r="F556" s="101"/>
      <c r="G556" s="102" t="str">
        <f>IF(stdProdLT(Main[[#This Row],[Comments]])=0.1,"N/A",IF(stdProdLT(Main[[#This Row],[Comments]])=0,"",stdProdLT(Main[[#This Row],[Comments]])))</f>
        <v/>
      </c>
      <c r="H556" s="103" t="str">
        <f>IF(AND(Main[[#This Row],[In Stock Date]]&lt;&gt;"",Main[[#This Row],[Revised Due Date]]&lt;&gt;""),Main[[#This Row],[In Stock Date]]-Main[[#This Row],[Revised Due Date]],"")</f>
        <v/>
      </c>
      <c r="I556" s="99" t="s">
        <v>4</v>
      </c>
      <c r="J556" s="99" t="s">
        <v>4</v>
      </c>
      <c r="K556" s="99" t="s">
        <v>4</v>
      </c>
      <c r="L556" s="101"/>
      <c r="M556" s="104" t="str">
        <f>IF(Main[[#This Row],[Tech Start Date]]&lt;1/1/1990,"",IF(Main[[#This Row],[Class]]="C",WORKDAY(Main[[#This Row],[Tech Start Date]],9),IF(Main[[#This Row],[Class]]="B", WORKDAY(Main[[#This Row],[Tech Start Date]],6),IF(Main[[#This Row],[Class]]="A",WORKDAY(Main[[#This Row],[Tech Start Date]],2),""))))</f>
        <v/>
      </c>
      <c r="N556" s="104" t="str">
        <f>IF(Main[[#This Row],[Tech Start Date]]&lt;1/1/1990,"",IF(Main[[#This Row],[Class]]="C",WORKDAY(Main[[#This Row],[Tech Start Date]],19),IF(Main[[#This Row],[Class]]="B", WORKDAY(Main[[#This Row],[Tech Start Date]],12),IF(Main[[#This Row],[Class]]="A",WORKDAY(Main[[#This Row],[Tech Start Date]],4),""))))</f>
        <v/>
      </c>
      <c r="O556" s="104" t="str">
        <f>IF(Main[[#This Row],[Tech Start Date]]&lt;1/1/1990,"",IF(Main[[#This Row],[Class]]="C",WORKDAY(Main[[#This Row],[Tech Start Date]],23),IF(Main[[#This Row],[Class]]="B", WORKDAY(Main[[#This Row],[Tech Start Date]],15),IF(Main[[#This Row],[Class]]="A",WORKDAY(Main[[#This Row],[Tech Start Date]],5),""))))</f>
        <v/>
      </c>
      <c r="P556" s="104" t="str">
        <f>IF(Main[[#This Row],[Tech Start Date]]&lt;1/1/1990,"",IF(Main[[#This Row],[Class]]="C",WORKDAY(Main[[#This Row],[Tech Start Date]],28),IF(Main[[#This Row],[Class]]="B", WORKDAY(Main[[#This Row],[Tech Start Date]],19),IF(Main[[#This Row],[Class]]="A",WORKDAY(Main[[#This Row],[Tech Start Date]],9),""))))</f>
        <v/>
      </c>
      <c r="Q556" s="101"/>
      <c r="R556" s="101"/>
      <c r="S556" s="99" t="s">
        <v>49</v>
      </c>
      <c r="T556" s="107" t="s">
        <v>4</v>
      </c>
      <c r="U556" s="99" t="s">
        <v>14</v>
      </c>
      <c r="V556" s="99" t="s">
        <v>1963</v>
      </c>
      <c r="W556" s="99" t="s">
        <v>1966</v>
      </c>
    </row>
    <row r="557" spans="1:23" ht="18.600000000000001" customHeight="1">
      <c r="A557" s="123" t="str">
        <f>IF(priority(Main[[#This Row],[Comments]])&lt;&gt;0, priority(Main[[#This Row],[Comments]]),"")</f>
        <v/>
      </c>
      <c r="B557" s="127" t="s">
        <v>1515</v>
      </c>
      <c r="C557" s="99" t="s">
        <v>4</v>
      </c>
      <c r="D557" s="100" t="s">
        <v>363</v>
      </c>
      <c r="E557" s="101"/>
      <c r="F557" s="101"/>
      <c r="G557" s="102" t="str">
        <f>IF(stdProdLT(Main[[#This Row],[Comments]])=0.1,"N/A",IF(stdProdLT(Main[[#This Row],[Comments]])=0,"",stdProdLT(Main[[#This Row],[Comments]])))</f>
        <v/>
      </c>
      <c r="H557" s="103" t="str">
        <f>IF(AND(Main[[#This Row],[In Stock Date]]&lt;&gt;"",Main[[#This Row],[Revised Due Date]]&lt;&gt;""),Main[[#This Row],[In Stock Date]]-Main[[#This Row],[Revised Due Date]],"")</f>
        <v/>
      </c>
      <c r="I557" s="99" t="s">
        <v>4</v>
      </c>
      <c r="J557" s="99" t="s">
        <v>4</v>
      </c>
      <c r="K557" s="108" t="s">
        <v>4</v>
      </c>
      <c r="L557" s="101"/>
      <c r="M557" s="104" t="str">
        <f>IF(Main[[#This Row],[Tech Start Date]]&lt;1/1/1990,"",IF(Main[[#This Row],[Class]]="C",WORKDAY(Main[[#This Row],[Tech Start Date]],9),IF(Main[[#This Row],[Class]]="B", WORKDAY(Main[[#This Row],[Tech Start Date]],6),IF(Main[[#This Row],[Class]]="A",WORKDAY(Main[[#This Row],[Tech Start Date]],2),""))))</f>
        <v/>
      </c>
      <c r="N557" s="104" t="str">
        <f>IF(Main[[#This Row],[Tech Start Date]]&lt;1/1/1990,"",IF(Main[[#This Row],[Class]]="C",WORKDAY(Main[[#This Row],[Tech Start Date]],19),IF(Main[[#This Row],[Class]]="B", WORKDAY(Main[[#This Row],[Tech Start Date]],12),IF(Main[[#This Row],[Class]]="A",WORKDAY(Main[[#This Row],[Tech Start Date]],4),""))))</f>
        <v/>
      </c>
      <c r="O557" s="104" t="str">
        <f>IF(Main[[#This Row],[Tech Start Date]]&lt;1/1/1990,"",IF(Main[[#This Row],[Class]]="C",WORKDAY(Main[[#This Row],[Tech Start Date]],23),IF(Main[[#This Row],[Class]]="B", WORKDAY(Main[[#This Row],[Tech Start Date]],15),IF(Main[[#This Row],[Class]]="A",WORKDAY(Main[[#This Row],[Tech Start Date]],5),""))))</f>
        <v/>
      </c>
      <c r="P557" s="104" t="str">
        <f>IF(Main[[#This Row],[Tech Start Date]]&lt;1/1/1990,"",IF(Main[[#This Row],[Class]]="C",WORKDAY(Main[[#This Row],[Tech Start Date]],28),IF(Main[[#This Row],[Class]]="B", WORKDAY(Main[[#This Row],[Tech Start Date]],19),IF(Main[[#This Row],[Class]]="A",WORKDAY(Main[[#This Row],[Tech Start Date]],9),""))))</f>
        <v/>
      </c>
      <c r="Q557" s="101">
        <v>40746</v>
      </c>
      <c r="R557" s="101"/>
      <c r="S557" s="99" t="s">
        <v>6</v>
      </c>
      <c r="T557" s="107" t="s">
        <v>4</v>
      </c>
      <c r="U557" s="99" t="s">
        <v>12</v>
      </c>
      <c r="V557" s="99" t="s">
        <v>1965</v>
      </c>
      <c r="W557" s="99" t="s">
        <v>4</v>
      </c>
    </row>
    <row r="558" spans="1:23" ht="18.600000000000001" customHeight="1">
      <c r="A558" s="123" t="str">
        <f>IF(priority(Main[[#This Row],[Comments]])&lt;&gt;0, priority(Main[[#This Row],[Comments]]),"")</f>
        <v/>
      </c>
      <c r="B558" s="127" t="s">
        <v>2491</v>
      </c>
      <c r="C558" s="99" t="s">
        <v>4</v>
      </c>
      <c r="D558" s="100" t="s">
        <v>2492</v>
      </c>
      <c r="E558" s="101">
        <v>40875.61822916667</v>
      </c>
      <c r="F558" s="101"/>
      <c r="G558" s="102" t="str">
        <f>IF(stdProdLT(Main[[#This Row],[Comments]])=0.1,"N/A",IF(stdProdLT(Main[[#This Row],[Comments]])=0,"",stdProdLT(Main[[#This Row],[Comments]])))</f>
        <v/>
      </c>
      <c r="H558" s="103" t="str">
        <f>IF(AND(Main[[#This Row],[In Stock Date]]&lt;&gt;"",Main[[#This Row],[Revised Due Date]]&lt;&gt;""),Main[[#This Row],[In Stock Date]]-Main[[#This Row],[Revised Due Date]],"")</f>
        <v/>
      </c>
      <c r="I558" s="99" t="s">
        <v>4</v>
      </c>
      <c r="J558" s="99" t="s">
        <v>4</v>
      </c>
      <c r="K558" s="99" t="s">
        <v>4</v>
      </c>
      <c r="L558" s="101"/>
      <c r="M558" s="104" t="str">
        <f>IF(Main[[#This Row],[Tech Start Date]]&lt;1/1/1990,"",IF(Main[[#This Row],[Class]]="C",WORKDAY(Main[[#This Row],[Tech Start Date]],9),IF(Main[[#This Row],[Class]]="B", WORKDAY(Main[[#This Row],[Tech Start Date]],6),IF(Main[[#This Row],[Class]]="A",WORKDAY(Main[[#This Row],[Tech Start Date]],2),""))))</f>
        <v/>
      </c>
      <c r="N558" s="104" t="str">
        <f>IF(Main[[#This Row],[Tech Start Date]]&lt;1/1/1990,"",IF(Main[[#This Row],[Class]]="C",WORKDAY(Main[[#This Row],[Tech Start Date]],19),IF(Main[[#This Row],[Class]]="B", WORKDAY(Main[[#This Row],[Tech Start Date]],12),IF(Main[[#This Row],[Class]]="A",WORKDAY(Main[[#This Row],[Tech Start Date]],4),""))))</f>
        <v/>
      </c>
      <c r="O558" s="104" t="str">
        <f>IF(Main[[#This Row],[Tech Start Date]]&lt;1/1/1990,"",IF(Main[[#This Row],[Class]]="C",WORKDAY(Main[[#This Row],[Tech Start Date]],23),IF(Main[[#This Row],[Class]]="B", WORKDAY(Main[[#This Row],[Tech Start Date]],15),IF(Main[[#This Row],[Class]]="A",WORKDAY(Main[[#This Row],[Tech Start Date]],5),""))))</f>
        <v/>
      </c>
      <c r="P558" s="104" t="str">
        <f>IF(Main[[#This Row],[Tech Start Date]]&lt;1/1/1990,"",IF(Main[[#This Row],[Class]]="C",WORKDAY(Main[[#This Row],[Tech Start Date]],28),IF(Main[[#This Row],[Class]]="B", WORKDAY(Main[[#This Row],[Tech Start Date]],19),IF(Main[[#This Row],[Class]]="A",WORKDAY(Main[[#This Row],[Tech Start Date]],9),""))))</f>
        <v/>
      </c>
      <c r="Q558" s="101"/>
      <c r="R558" s="101"/>
      <c r="S558" s="99" t="s">
        <v>6</v>
      </c>
      <c r="T558" s="107" t="s">
        <v>4</v>
      </c>
      <c r="U558" s="99" t="s">
        <v>29</v>
      </c>
      <c r="V558" s="99" t="s">
        <v>1965</v>
      </c>
      <c r="W558" s="99" t="s">
        <v>1966</v>
      </c>
    </row>
    <row r="559" spans="1:23" ht="18.600000000000001" customHeight="1">
      <c r="A559" s="123" t="str">
        <f>IF(priority(Main[[#This Row],[Comments]])&lt;&gt;0, priority(Main[[#This Row],[Comments]]),"")</f>
        <v/>
      </c>
      <c r="B559" s="127" t="s">
        <v>1447</v>
      </c>
      <c r="C559" s="99" t="s">
        <v>4</v>
      </c>
      <c r="D559" s="100" t="s">
        <v>498</v>
      </c>
      <c r="E559" s="101"/>
      <c r="F559" s="101"/>
      <c r="G559" s="102" t="str">
        <f>IF(stdProdLT(Main[[#This Row],[Comments]])=0.1,"N/A",IF(stdProdLT(Main[[#This Row],[Comments]])=0,"",stdProdLT(Main[[#This Row],[Comments]])))</f>
        <v/>
      </c>
      <c r="H559" s="103" t="str">
        <f>IF(AND(Main[[#This Row],[In Stock Date]]&lt;&gt;"",Main[[#This Row],[Revised Due Date]]&lt;&gt;""),Main[[#This Row],[In Stock Date]]-Main[[#This Row],[Revised Due Date]],"")</f>
        <v/>
      </c>
      <c r="I559" s="99" t="s">
        <v>81</v>
      </c>
      <c r="J559" s="99" t="s">
        <v>4</v>
      </c>
      <c r="K559" s="99" t="s">
        <v>4</v>
      </c>
      <c r="L559" s="101"/>
      <c r="M559" s="104" t="str">
        <f>IF(Main[[#This Row],[Tech Start Date]]&lt;1/1/1990,"",IF(Main[[#This Row],[Class]]="C",WORKDAY(Main[[#This Row],[Tech Start Date]],9),IF(Main[[#This Row],[Class]]="B", WORKDAY(Main[[#This Row],[Tech Start Date]],6),IF(Main[[#This Row],[Class]]="A",WORKDAY(Main[[#This Row],[Tech Start Date]],2),""))))</f>
        <v/>
      </c>
      <c r="N559" s="104" t="str">
        <f>IF(Main[[#This Row],[Tech Start Date]]&lt;1/1/1990,"",IF(Main[[#This Row],[Class]]="C",WORKDAY(Main[[#This Row],[Tech Start Date]],19),IF(Main[[#This Row],[Class]]="B", WORKDAY(Main[[#This Row],[Tech Start Date]],12),IF(Main[[#This Row],[Class]]="A",WORKDAY(Main[[#This Row],[Tech Start Date]],4),""))))</f>
        <v/>
      </c>
      <c r="O559" s="104" t="str">
        <f>IF(Main[[#This Row],[Tech Start Date]]&lt;1/1/1990,"",IF(Main[[#This Row],[Class]]="C",WORKDAY(Main[[#This Row],[Tech Start Date]],23),IF(Main[[#This Row],[Class]]="B", WORKDAY(Main[[#This Row],[Tech Start Date]],15),IF(Main[[#This Row],[Class]]="A",WORKDAY(Main[[#This Row],[Tech Start Date]],5),""))))</f>
        <v/>
      </c>
      <c r="P559" s="104" t="str">
        <f>IF(Main[[#This Row],[Tech Start Date]]&lt;1/1/1990,"",IF(Main[[#This Row],[Class]]="C",WORKDAY(Main[[#This Row],[Tech Start Date]],28),IF(Main[[#This Row],[Class]]="B", WORKDAY(Main[[#This Row],[Tech Start Date]],19),IF(Main[[#This Row],[Class]]="A",WORKDAY(Main[[#This Row],[Tech Start Date]],9),""))))</f>
        <v/>
      </c>
      <c r="Q559" s="101">
        <v>40338</v>
      </c>
      <c r="R559" s="101"/>
      <c r="S559" s="99" t="s">
        <v>6</v>
      </c>
      <c r="T559" s="107" t="s">
        <v>4</v>
      </c>
      <c r="U559" s="99" t="s">
        <v>14</v>
      </c>
      <c r="V559" s="99" t="s">
        <v>1965</v>
      </c>
      <c r="W559" s="99" t="s">
        <v>1966</v>
      </c>
    </row>
    <row r="560" spans="1:23" ht="18.600000000000001" customHeight="1">
      <c r="A560" s="123" t="str">
        <f>IF(priority(Main[[#This Row],[Comments]])&lt;&gt;0, priority(Main[[#This Row],[Comments]]),"")</f>
        <v/>
      </c>
      <c r="B560" s="127" t="s">
        <v>1448</v>
      </c>
      <c r="C560" s="99" t="s">
        <v>499</v>
      </c>
      <c r="D560" s="100" t="s">
        <v>500</v>
      </c>
      <c r="E560" s="101"/>
      <c r="F560" s="101"/>
      <c r="G560" s="102" t="str">
        <f>IF(stdProdLT(Main[[#This Row],[Comments]])=0.1,"N/A",IF(stdProdLT(Main[[#This Row],[Comments]])=0,"",stdProdLT(Main[[#This Row],[Comments]])))</f>
        <v/>
      </c>
      <c r="H560" s="103" t="str">
        <f>IF(AND(Main[[#This Row],[In Stock Date]]&lt;&gt;"",Main[[#This Row],[Revised Due Date]]&lt;&gt;""),Main[[#This Row],[In Stock Date]]-Main[[#This Row],[Revised Due Date]],"")</f>
        <v/>
      </c>
      <c r="I560" s="99" t="s">
        <v>4</v>
      </c>
      <c r="J560" s="99" t="s">
        <v>4</v>
      </c>
      <c r="K560" s="99" t="s">
        <v>4</v>
      </c>
      <c r="L560" s="101"/>
      <c r="M560" s="104" t="str">
        <f>IF(Main[[#This Row],[Tech Start Date]]&lt;1/1/1990,"",IF(Main[[#This Row],[Class]]="C",WORKDAY(Main[[#This Row],[Tech Start Date]],9),IF(Main[[#This Row],[Class]]="B", WORKDAY(Main[[#This Row],[Tech Start Date]],6),IF(Main[[#This Row],[Class]]="A",WORKDAY(Main[[#This Row],[Tech Start Date]],2),""))))</f>
        <v/>
      </c>
      <c r="N560" s="104" t="str">
        <f>IF(Main[[#This Row],[Tech Start Date]]&lt;1/1/1990,"",IF(Main[[#This Row],[Class]]="C",WORKDAY(Main[[#This Row],[Tech Start Date]],19),IF(Main[[#This Row],[Class]]="B", WORKDAY(Main[[#This Row],[Tech Start Date]],12),IF(Main[[#This Row],[Class]]="A",WORKDAY(Main[[#This Row],[Tech Start Date]],4),""))))</f>
        <v/>
      </c>
      <c r="O560" s="104" t="str">
        <f>IF(Main[[#This Row],[Tech Start Date]]&lt;1/1/1990,"",IF(Main[[#This Row],[Class]]="C",WORKDAY(Main[[#This Row],[Tech Start Date]],23),IF(Main[[#This Row],[Class]]="B", WORKDAY(Main[[#This Row],[Tech Start Date]],15),IF(Main[[#This Row],[Class]]="A",WORKDAY(Main[[#This Row],[Tech Start Date]],5),""))))</f>
        <v/>
      </c>
      <c r="P560" s="104" t="str">
        <f>IF(Main[[#This Row],[Tech Start Date]]&lt;1/1/1990,"",IF(Main[[#This Row],[Class]]="C",WORKDAY(Main[[#This Row],[Tech Start Date]],28),IF(Main[[#This Row],[Class]]="B", WORKDAY(Main[[#This Row],[Tech Start Date]],19),IF(Main[[#This Row],[Class]]="A",WORKDAY(Main[[#This Row],[Tech Start Date]],9),""))))</f>
        <v/>
      </c>
      <c r="Q560" s="101">
        <v>40239</v>
      </c>
      <c r="R560" s="101"/>
      <c r="S560" s="99" t="s">
        <v>11</v>
      </c>
      <c r="T560" s="107" t="s">
        <v>4</v>
      </c>
      <c r="U560" s="99" t="s">
        <v>14</v>
      </c>
      <c r="V560" s="99" t="s">
        <v>1965</v>
      </c>
      <c r="W560" s="99" t="s">
        <v>1964</v>
      </c>
    </row>
    <row r="561" spans="1:23" ht="18.600000000000001" customHeight="1">
      <c r="A561" s="123" t="str">
        <f>IF(priority(Main[[#This Row],[Comments]])&lt;&gt;0, priority(Main[[#This Row],[Comments]]),"")</f>
        <v/>
      </c>
      <c r="B561" s="127" t="s">
        <v>1449</v>
      </c>
      <c r="C561" s="99" t="s">
        <v>501</v>
      </c>
      <c r="D561" s="100" t="s">
        <v>502</v>
      </c>
      <c r="E561" s="101"/>
      <c r="F561" s="101"/>
      <c r="G561" s="102" t="str">
        <f>IF(stdProdLT(Main[[#This Row],[Comments]])=0.1,"N/A",IF(stdProdLT(Main[[#This Row],[Comments]])=0,"",stdProdLT(Main[[#This Row],[Comments]])))</f>
        <v/>
      </c>
      <c r="H561" s="103" t="str">
        <f>IF(AND(Main[[#This Row],[In Stock Date]]&lt;&gt;"",Main[[#This Row],[Revised Due Date]]&lt;&gt;""),Main[[#This Row],[In Stock Date]]-Main[[#This Row],[Revised Due Date]],"")</f>
        <v/>
      </c>
      <c r="I561" s="99" t="s">
        <v>4</v>
      </c>
      <c r="J561" s="99" t="s">
        <v>4</v>
      </c>
      <c r="K561" s="99" t="s">
        <v>4</v>
      </c>
      <c r="L561" s="101"/>
      <c r="M561" s="104" t="str">
        <f>IF(Main[[#This Row],[Tech Start Date]]&lt;1/1/1990,"",IF(Main[[#This Row],[Class]]="C",WORKDAY(Main[[#This Row],[Tech Start Date]],9),IF(Main[[#This Row],[Class]]="B", WORKDAY(Main[[#This Row],[Tech Start Date]],6),IF(Main[[#This Row],[Class]]="A",WORKDAY(Main[[#This Row],[Tech Start Date]],2),""))))</f>
        <v/>
      </c>
      <c r="N561" s="104" t="str">
        <f>IF(Main[[#This Row],[Tech Start Date]]&lt;1/1/1990,"",IF(Main[[#This Row],[Class]]="C",WORKDAY(Main[[#This Row],[Tech Start Date]],19),IF(Main[[#This Row],[Class]]="B", WORKDAY(Main[[#This Row],[Tech Start Date]],12),IF(Main[[#This Row],[Class]]="A",WORKDAY(Main[[#This Row],[Tech Start Date]],4),""))))</f>
        <v/>
      </c>
      <c r="O561" s="104" t="str">
        <f>IF(Main[[#This Row],[Tech Start Date]]&lt;1/1/1990,"",IF(Main[[#This Row],[Class]]="C",WORKDAY(Main[[#This Row],[Tech Start Date]],23),IF(Main[[#This Row],[Class]]="B", WORKDAY(Main[[#This Row],[Tech Start Date]],15),IF(Main[[#This Row],[Class]]="A",WORKDAY(Main[[#This Row],[Tech Start Date]],5),""))))</f>
        <v/>
      </c>
      <c r="P561" s="104" t="str">
        <f>IF(Main[[#This Row],[Tech Start Date]]&lt;1/1/1990,"",IF(Main[[#This Row],[Class]]="C",WORKDAY(Main[[#This Row],[Tech Start Date]],28),IF(Main[[#This Row],[Class]]="B", WORKDAY(Main[[#This Row],[Tech Start Date]],19),IF(Main[[#This Row],[Class]]="A",WORKDAY(Main[[#This Row],[Tech Start Date]],9),""))))</f>
        <v/>
      </c>
      <c r="Q561" s="101"/>
      <c r="R561" s="101"/>
      <c r="S561" s="99" t="s">
        <v>11</v>
      </c>
      <c r="T561" s="107" t="s">
        <v>4</v>
      </c>
      <c r="U561" s="99" t="s">
        <v>14</v>
      </c>
      <c r="V561" s="99" t="s">
        <v>1962</v>
      </c>
      <c r="W561" s="99" t="s">
        <v>1970</v>
      </c>
    </row>
    <row r="562" spans="1:23" ht="18.600000000000001" customHeight="1">
      <c r="A562" s="123" t="str">
        <f>IF(priority(Main[[#This Row],[Comments]])&lt;&gt;0, priority(Main[[#This Row],[Comments]]),"")</f>
        <v/>
      </c>
      <c r="B562" s="127" t="s">
        <v>1450</v>
      </c>
      <c r="C562" s="99" t="s">
        <v>93</v>
      </c>
      <c r="D562" s="100" t="s">
        <v>503</v>
      </c>
      <c r="E562" s="101"/>
      <c r="F562" s="101">
        <v>40132</v>
      </c>
      <c r="G562" s="102" t="str">
        <f>IF(stdProdLT(Main[[#This Row],[Comments]])=0.1,"N/A",IF(stdProdLT(Main[[#This Row],[Comments]])=0,"",stdProdLT(Main[[#This Row],[Comments]])))</f>
        <v/>
      </c>
      <c r="H562" s="103" t="str">
        <f>IF(AND(Main[[#This Row],[In Stock Date]]&lt;&gt;"",Main[[#This Row],[Revised Due Date]]&lt;&gt;""),Main[[#This Row],[In Stock Date]]-Main[[#This Row],[Revised Due Date]],"")</f>
        <v/>
      </c>
      <c r="I562" s="99" t="s">
        <v>4</v>
      </c>
      <c r="J562" s="99" t="s">
        <v>4</v>
      </c>
      <c r="K562" s="99" t="s">
        <v>4</v>
      </c>
      <c r="L562" s="101"/>
      <c r="M562" s="104" t="str">
        <f>IF(Main[[#This Row],[Tech Start Date]]&lt;1/1/1990,"",IF(Main[[#This Row],[Class]]="C",WORKDAY(Main[[#This Row],[Tech Start Date]],9),IF(Main[[#This Row],[Class]]="B", WORKDAY(Main[[#This Row],[Tech Start Date]],6),IF(Main[[#This Row],[Class]]="A",WORKDAY(Main[[#This Row],[Tech Start Date]],2),""))))</f>
        <v/>
      </c>
      <c r="N562" s="104" t="str">
        <f>IF(Main[[#This Row],[Tech Start Date]]&lt;1/1/1990,"",IF(Main[[#This Row],[Class]]="C",WORKDAY(Main[[#This Row],[Tech Start Date]],19),IF(Main[[#This Row],[Class]]="B", WORKDAY(Main[[#This Row],[Tech Start Date]],12),IF(Main[[#This Row],[Class]]="A",WORKDAY(Main[[#This Row],[Tech Start Date]],4),""))))</f>
        <v/>
      </c>
      <c r="O562" s="104" t="str">
        <f>IF(Main[[#This Row],[Tech Start Date]]&lt;1/1/1990,"",IF(Main[[#This Row],[Class]]="C",WORKDAY(Main[[#This Row],[Tech Start Date]],23),IF(Main[[#This Row],[Class]]="B", WORKDAY(Main[[#This Row],[Tech Start Date]],15),IF(Main[[#This Row],[Class]]="A",WORKDAY(Main[[#This Row],[Tech Start Date]],5),""))))</f>
        <v/>
      </c>
      <c r="P562" s="104" t="str">
        <f>IF(Main[[#This Row],[Tech Start Date]]&lt;1/1/1990,"",IF(Main[[#This Row],[Class]]="C",WORKDAY(Main[[#This Row],[Tech Start Date]],28),IF(Main[[#This Row],[Class]]="B", WORKDAY(Main[[#This Row],[Tech Start Date]],19),IF(Main[[#This Row],[Class]]="A",WORKDAY(Main[[#This Row],[Tech Start Date]],9),""))))</f>
        <v/>
      </c>
      <c r="Q562" s="101">
        <v>40132</v>
      </c>
      <c r="R562" s="101"/>
      <c r="S562" s="99" t="s">
        <v>11</v>
      </c>
      <c r="T562" s="107" t="s">
        <v>4</v>
      </c>
      <c r="U562" s="99" t="s">
        <v>14</v>
      </c>
      <c r="V562" s="99" t="s">
        <v>1972</v>
      </c>
      <c r="W562" s="99" t="s">
        <v>1973</v>
      </c>
    </row>
    <row r="563" spans="1:23" ht="18.600000000000001" customHeight="1">
      <c r="A563" s="123" t="str">
        <f>IF(priority(Main[[#This Row],[Comments]])&lt;&gt;0, priority(Main[[#This Row],[Comments]]),"")</f>
        <v/>
      </c>
      <c r="B563" s="127" t="s">
        <v>1451</v>
      </c>
      <c r="C563" s="99" t="s">
        <v>99</v>
      </c>
      <c r="D563" s="100" t="s">
        <v>504</v>
      </c>
      <c r="E563" s="101"/>
      <c r="F563" s="101">
        <v>40435</v>
      </c>
      <c r="G563" s="102" t="str">
        <f>IF(stdProdLT(Main[[#This Row],[Comments]])=0.1,"N/A",IF(stdProdLT(Main[[#This Row],[Comments]])=0,"",stdProdLT(Main[[#This Row],[Comments]])))</f>
        <v/>
      </c>
      <c r="H563" s="103" t="str">
        <f>IF(AND(Main[[#This Row],[In Stock Date]]&lt;&gt;"",Main[[#This Row],[Revised Due Date]]&lt;&gt;""),Main[[#This Row],[In Stock Date]]-Main[[#This Row],[Revised Due Date]],"")</f>
        <v/>
      </c>
      <c r="I563" s="99" t="s">
        <v>4</v>
      </c>
      <c r="J563" s="99" t="s">
        <v>28</v>
      </c>
      <c r="K563" s="99" t="s">
        <v>4</v>
      </c>
      <c r="L563" s="101"/>
      <c r="M563" s="104" t="str">
        <f>IF(Main[[#This Row],[Tech Start Date]]&lt;1/1/1990,"",IF(Main[[#This Row],[Class]]="C",WORKDAY(Main[[#This Row],[Tech Start Date]],9),IF(Main[[#This Row],[Class]]="B", WORKDAY(Main[[#This Row],[Tech Start Date]],6),IF(Main[[#This Row],[Class]]="A",WORKDAY(Main[[#This Row],[Tech Start Date]],2),""))))</f>
        <v/>
      </c>
      <c r="N563" s="104" t="str">
        <f>IF(Main[[#This Row],[Tech Start Date]]&lt;1/1/1990,"",IF(Main[[#This Row],[Class]]="C",WORKDAY(Main[[#This Row],[Tech Start Date]],19),IF(Main[[#This Row],[Class]]="B", WORKDAY(Main[[#This Row],[Tech Start Date]],12),IF(Main[[#This Row],[Class]]="A",WORKDAY(Main[[#This Row],[Tech Start Date]],4),""))))</f>
        <v/>
      </c>
      <c r="O563" s="104" t="str">
        <f>IF(Main[[#This Row],[Tech Start Date]]&lt;1/1/1990,"",IF(Main[[#This Row],[Class]]="C",WORKDAY(Main[[#This Row],[Tech Start Date]],23),IF(Main[[#This Row],[Class]]="B", WORKDAY(Main[[#This Row],[Tech Start Date]],15),IF(Main[[#This Row],[Class]]="A",WORKDAY(Main[[#This Row],[Tech Start Date]],5),""))))</f>
        <v/>
      </c>
      <c r="P563" s="104" t="str">
        <f>IF(Main[[#This Row],[Tech Start Date]]&lt;1/1/1990,"",IF(Main[[#This Row],[Class]]="C",WORKDAY(Main[[#This Row],[Tech Start Date]],28),IF(Main[[#This Row],[Class]]="B", WORKDAY(Main[[#This Row],[Tech Start Date]],19),IF(Main[[#This Row],[Class]]="A",WORKDAY(Main[[#This Row],[Tech Start Date]],9),""))))</f>
        <v/>
      </c>
      <c r="Q563" s="101">
        <v>40435</v>
      </c>
      <c r="R563" s="101"/>
      <c r="S563" s="99" t="s">
        <v>11</v>
      </c>
      <c r="T563" s="107" t="s">
        <v>4</v>
      </c>
      <c r="U563" s="99" t="s">
        <v>14</v>
      </c>
      <c r="V563" s="99" t="s">
        <v>1965</v>
      </c>
      <c r="W563" s="99" t="s">
        <v>1967</v>
      </c>
    </row>
    <row r="564" spans="1:23" ht="18.600000000000001" customHeight="1">
      <c r="A564" s="123" t="str">
        <f>IF(priority(Main[[#This Row],[Comments]])&lt;&gt;0, priority(Main[[#This Row],[Comments]]),"")</f>
        <v/>
      </c>
      <c r="B564" s="127" t="s">
        <v>1316</v>
      </c>
      <c r="C564" s="99" t="s">
        <v>42</v>
      </c>
      <c r="D564" s="100" t="s">
        <v>360</v>
      </c>
      <c r="E564" s="101"/>
      <c r="F564" s="101"/>
      <c r="G564" s="102" t="str">
        <f>IF(stdProdLT(Main[[#This Row],[Comments]])=0.1,"N/A",IF(stdProdLT(Main[[#This Row],[Comments]])=0,"",stdProdLT(Main[[#This Row],[Comments]])))</f>
        <v/>
      </c>
      <c r="H564" s="103" t="str">
        <f>IF(AND(Main[[#This Row],[In Stock Date]]&lt;&gt;"",Main[[#This Row],[Revised Due Date]]&lt;&gt;""),Main[[#This Row],[In Stock Date]]-Main[[#This Row],[Revised Due Date]],"")</f>
        <v/>
      </c>
      <c r="I564" s="99" t="s">
        <v>4</v>
      </c>
      <c r="J564" s="99" t="s">
        <v>4</v>
      </c>
      <c r="K564" s="99" t="s">
        <v>4</v>
      </c>
      <c r="L564" s="101"/>
      <c r="M564" s="104" t="str">
        <f>IF(Main[[#This Row],[Tech Start Date]]&lt;1/1/1990,"",IF(Main[[#This Row],[Class]]="C",WORKDAY(Main[[#This Row],[Tech Start Date]],9),IF(Main[[#This Row],[Class]]="B", WORKDAY(Main[[#This Row],[Tech Start Date]],6),IF(Main[[#This Row],[Class]]="A",WORKDAY(Main[[#This Row],[Tech Start Date]],2),""))))</f>
        <v/>
      </c>
      <c r="N564" s="104" t="str">
        <f>IF(Main[[#This Row],[Tech Start Date]]&lt;1/1/1990,"",IF(Main[[#This Row],[Class]]="C",WORKDAY(Main[[#This Row],[Tech Start Date]],19),IF(Main[[#This Row],[Class]]="B", WORKDAY(Main[[#This Row],[Tech Start Date]],12),IF(Main[[#This Row],[Class]]="A",WORKDAY(Main[[#This Row],[Tech Start Date]],4),""))))</f>
        <v/>
      </c>
      <c r="O564" s="104" t="str">
        <f>IF(Main[[#This Row],[Tech Start Date]]&lt;1/1/1990,"",IF(Main[[#This Row],[Class]]="C",WORKDAY(Main[[#This Row],[Tech Start Date]],23),IF(Main[[#This Row],[Class]]="B", WORKDAY(Main[[#This Row],[Tech Start Date]],15),IF(Main[[#This Row],[Class]]="A",WORKDAY(Main[[#This Row],[Tech Start Date]],5),""))))</f>
        <v/>
      </c>
      <c r="P564" s="104" t="str">
        <f>IF(Main[[#This Row],[Tech Start Date]]&lt;1/1/1990,"",IF(Main[[#This Row],[Class]]="C",WORKDAY(Main[[#This Row],[Tech Start Date]],28),IF(Main[[#This Row],[Class]]="B", WORKDAY(Main[[#This Row],[Tech Start Date]],19),IF(Main[[#This Row],[Class]]="A",WORKDAY(Main[[#This Row],[Tech Start Date]],9),""))))</f>
        <v/>
      </c>
      <c r="Q564" s="101"/>
      <c r="R564" s="101"/>
      <c r="S564" s="99" t="s">
        <v>17</v>
      </c>
      <c r="T564" s="107" t="s">
        <v>4</v>
      </c>
      <c r="U564" s="99" t="s">
        <v>14</v>
      </c>
      <c r="V564" s="99" t="s">
        <v>1965</v>
      </c>
      <c r="W564" s="99" t="s">
        <v>4</v>
      </c>
    </row>
    <row r="565" spans="1:23" ht="18.600000000000001" customHeight="1">
      <c r="A565" s="123" t="str">
        <f>IF(priority(Main[[#This Row],[Comments]])&lt;&gt;0, priority(Main[[#This Row],[Comments]]),"")</f>
        <v/>
      </c>
      <c r="B565" s="127" t="s">
        <v>1452</v>
      </c>
      <c r="C565" s="99" t="s">
        <v>505</v>
      </c>
      <c r="D565" s="100" t="s">
        <v>506</v>
      </c>
      <c r="E565" s="101"/>
      <c r="F565" s="101">
        <v>40296</v>
      </c>
      <c r="G565" s="102" t="str">
        <f>IF(stdProdLT(Main[[#This Row],[Comments]])=0.1,"N/A",IF(stdProdLT(Main[[#This Row],[Comments]])=0,"",stdProdLT(Main[[#This Row],[Comments]])))</f>
        <v/>
      </c>
      <c r="H565" s="103" t="str">
        <f>IF(AND(Main[[#This Row],[In Stock Date]]&lt;&gt;"",Main[[#This Row],[Revised Due Date]]&lt;&gt;""),Main[[#This Row],[In Stock Date]]-Main[[#This Row],[Revised Due Date]],"")</f>
        <v/>
      </c>
      <c r="I565" s="99" t="s">
        <v>4</v>
      </c>
      <c r="J565" s="99" t="s">
        <v>4</v>
      </c>
      <c r="K565" s="99" t="s">
        <v>4</v>
      </c>
      <c r="L565" s="101"/>
      <c r="M565" s="104" t="str">
        <f>IF(Main[[#This Row],[Tech Start Date]]&lt;1/1/1990,"",IF(Main[[#This Row],[Class]]="C",WORKDAY(Main[[#This Row],[Tech Start Date]],9),IF(Main[[#This Row],[Class]]="B", WORKDAY(Main[[#This Row],[Tech Start Date]],6),IF(Main[[#This Row],[Class]]="A",WORKDAY(Main[[#This Row],[Tech Start Date]],2),""))))</f>
        <v/>
      </c>
      <c r="N565" s="104" t="str">
        <f>IF(Main[[#This Row],[Tech Start Date]]&lt;1/1/1990,"",IF(Main[[#This Row],[Class]]="C",WORKDAY(Main[[#This Row],[Tech Start Date]],19),IF(Main[[#This Row],[Class]]="B", WORKDAY(Main[[#This Row],[Tech Start Date]],12),IF(Main[[#This Row],[Class]]="A",WORKDAY(Main[[#This Row],[Tech Start Date]],4),""))))</f>
        <v/>
      </c>
      <c r="O565" s="104" t="str">
        <f>IF(Main[[#This Row],[Tech Start Date]]&lt;1/1/1990,"",IF(Main[[#This Row],[Class]]="C",WORKDAY(Main[[#This Row],[Tech Start Date]],23),IF(Main[[#This Row],[Class]]="B", WORKDAY(Main[[#This Row],[Tech Start Date]],15),IF(Main[[#This Row],[Class]]="A",WORKDAY(Main[[#This Row],[Tech Start Date]],5),""))))</f>
        <v/>
      </c>
      <c r="P565" s="104" t="str">
        <f>IF(Main[[#This Row],[Tech Start Date]]&lt;1/1/1990,"",IF(Main[[#This Row],[Class]]="C",WORKDAY(Main[[#This Row],[Tech Start Date]],28),IF(Main[[#This Row],[Class]]="B", WORKDAY(Main[[#This Row],[Tech Start Date]],19),IF(Main[[#This Row],[Class]]="A",WORKDAY(Main[[#This Row],[Tech Start Date]],9),""))))</f>
        <v/>
      </c>
      <c r="Q565" s="101"/>
      <c r="R565" s="101"/>
      <c r="S565" s="99" t="s">
        <v>11</v>
      </c>
      <c r="T565" s="107" t="s">
        <v>4</v>
      </c>
      <c r="U565" s="99" t="s">
        <v>14</v>
      </c>
      <c r="V565" s="99" t="s">
        <v>1972</v>
      </c>
      <c r="W565" s="99" t="s">
        <v>1968</v>
      </c>
    </row>
    <row r="566" spans="1:23" ht="18.600000000000001" customHeight="1">
      <c r="A566" s="123" t="str">
        <f>IF(priority(Main[[#This Row],[Comments]])&lt;&gt;0, priority(Main[[#This Row],[Comments]]),"")</f>
        <v/>
      </c>
      <c r="B566" s="127" t="s">
        <v>1900</v>
      </c>
      <c r="C566" s="99" t="s">
        <v>47</v>
      </c>
      <c r="D566" s="100" t="s">
        <v>931</v>
      </c>
      <c r="E566" s="101">
        <v>39937.592280092591</v>
      </c>
      <c r="F566" s="101"/>
      <c r="G566" s="102" t="str">
        <f>IF(stdProdLT(Main[[#This Row],[Comments]])=0.1,"N/A",IF(stdProdLT(Main[[#This Row],[Comments]])=0,"",stdProdLT(Main[[#This Row],[Comments]])))</f>
        <v/>
      </c>
      <c r="H566" s="103" t="str">
        <f>IF(AND(Main[[#This Row],[In Stock Date]]&lt;&gt;"",Main[[#This Row],[Revised Due Date]]&lt;&gt;""),Main[[#This Row],[In Stock Date]]-Main[[#This Row],[Revised Due Date]],"")</f>
        <v/>
      </c>
      <c r="I566" s="99" t="s">
        <v>905</v>
      </c>
      <c r="J566" s="99" t="s">
        <v>4</v>
      </c>
      <c r="K566" s="99" t="s">
        <v>1974</v>
      </c>
      <c r="L566" s="101"/>
      <c r="M566" s="104" t="str">
        <f>IF(Main[[#This Row],[Tech Start Date]]&lt;1/1/1990,"",IF(Main[[#This Row],[Class]]="C",WORKDAY(Main[[#This Row],[Tech Start Date]],9),IF(Main[[#This Row],[Class]]="B", WORKDAY(Main[[#This Row],[Tech Start Date]],6),IF(Main[[#This Row],[Class]]="A",WORKDAY(Main[[#This Row],[Tech Start Date]],2),""))))</f>
        <v/>
      </c>
      <c r="N566" s="104" t="str">
        <f>IF(Main[[#This Row],[Tech Start Date]]&lt;1/1/1990,"",IF(Main[[#This Row],[Class]]="C",WORKDAY(Main[[#This Row],[Tech Start Date]],19),IF(Main[[#This Row],[Class]]="B", WORKDAY(Main[[#This Row],[Tech Start Date]],12),IF(Main[[#This Row],[Class]]="A",WORKDAY(Main[[#This Row],[Tech Start Date]],4),""))))</f>
        <v/>
      </c>
      <c r="O566" s="104" t="str">
        <f>IF(Main[[#This Row],[Tech Start Date]]&lt;1/1/1990,"",IF(Main[[#This Row],[Class]]="C",WORKDAY(Main[[#This Row],[Tech Start Date]],23),IF(Main[[#This Row],[Class]]="B", WORKDAY(Main[[#This Row],[Tech Start Date]],15),IF(Main[[#This Row],[Class]]="A",WORKDAY(Main[[#This Row],[Tech Start Date]],5),""))))</f>
        <v/>
      </c>
      <c r="P566" s="104" t="str">
        <f>IF(Main[[#This Row],[Tech Start Date]]&lt;1/1/1990,"",IF(Main[[#This Row],[Class]]="C",WORKDAY(Main[[#This Row],[Tech Start Date]],28),IF(Main[[#This Row],[Class]]="B", WORKDAY(Main[[#This Row],[Tech Start Date]],19),IF(Main[[#This Row],[Class]]="A",WORKDAY(Main[[#This Row],[Tech Start Date]],9),""))))</f>
        <v/>
      </c>
      <c r="Q566" s="101">
        <v>40209</v>
      </c>
      <c r="R566" s="101">
        <v>40574</v>
      </c>
      <c r="S566" s="99" t="s">
        <v>17</v>
      </c>
      <c r="T566" s="107" t="s">
        <v>4</v>
      </c>
      <c r="U566" s="99" t="s">
        <v>29</v>
      </c>
      <c r="V566" s="99" t="s">
        <v>1962</v>
      </c>
      <c r="W566" s="99" t="s">
        <v>1966</v>
      </c>
    </row>
    <row r="567" spans="1:23" ht="18.600000000000001" customHeight="1">
      <c r="A567" s="123" t="str">
        <f>IF(priority(Main[[#This Row],[Comments]])&lt;&gt;0, priority(Main[[#This Row],[Comments]]),"")</f>
        <v/>
      </c>
      <c r="B567" s="127" t="s">
        <v>1453</v>
      </c>
      <c r="C567" s="99" t="s">
        <v>507</v>
      </c>
      <c r="D567" s="100" t="s">
        <v>508</v>
      </c>
      <c r="E567" s="101"/>
      <c r="F567" s="101">
        <v>40848</v>
      </c>
      <c r="G567" s="102" t="str">
        <f>IF(stdProdLT(Main[[#This Row],[Comments]])=0.1,"N/A",IF(stdProdLT(Main[[#This Row],[Comments]])=0,"",stdProdLT(Main[[#This Row],[Comments]])))</f>
        <v/>
      </c>
      <c r="H567" s="103" t="str">
        <f>IF(AND(Main[[#This Row],[In Stock Date]]&lt;&gt;"",Main[[#This Row],[Revised Due Date]]&lt;&gt;""),Main[[#This Row],[In Stock Date]]-Main[[#This Row],[Revised Due Date]],"")</f>
        <v/>
      </c>
      <c r="I567" s="99" t="s">
        <v>4</v>
      </c>
      <c r="J567" s="99" t="s">
        <v>28</v>
      </c>
      <c r="K567" s="99" t="s">
        <v>4</v>
      </c>
      <c r="L567" s="101"/>
      <c r="M567" s="104" t="str">
        <f>IF(Main[[#This Row],[Tech Start Date]]&lt;1/1/1990,"",IF(Main[[#This Row],[Class]]="C",WORKDAY(Main[[#This Row],[Tech Start Date]],9),IF(Main[[#This Row],[Class]]="B", WORKDAY(Main[[#This Row],[Tech Start Date]],6),IF(Main[[#This Row],[Class]]="A",WORKDAY(Main[[#This Row],[Tech Start Date]],2),""))))</f>
        <v/>
      </c>
      <c r="N567" s="104" t="str">
        <f>IF(Main[[#This Row],[Tech Start Date]]&lt;1/1/1990,"",IF(Main[[#This Row],[Class]]="C",WORKDAY(Main[[#This Row],[Tech Start Date]],19),IF(Main[[#This Row],[Class]]="B", WORKDAY(Main[[#This Row],[Tech Start Date]],12),IF(Main[[#This Row],[Class]]="A",WORKDAY(Main[[#This Row],[Tech Start Date]],4),""))))</f>
        <v/>
      </c>
      <c r="O567" s="104" t="str">
        <f>IF(Main[[#This Row],[Tech Start Date]]&lt;1/1/1990,"",IF(Main[[#This Row],[Class]]="C",WORKDAY(Main[[#This Row],[Tech Start Date]],23),IF(Main[[#This Row],[Class]]="B", WORKDAY(Main[[#This Row],[Tech Start Date]],15),IF(Main[[#This Row],[Class]]="A",WORKDAY(Main[[#This Row],[Tech Start Date]],5),""))))</f>
        <v/>
      </c>
      <c r="P567" s="104" t="str">
        <f>IF(Main[[#This Row],[Tech Start Date]]&lt;1/1/1990,"",IF(Main[[#This Row],[Class]]="C",WORKDAY(Main[[#This Row],[Tech Start Date]],28),IF(Main[[#This Row],[Class]]="B", WORKDAY(Main[[#This Row],[Tech Start Date]],19),IF(Main[[#This Row],[Class]]="A",WORKDAY(Main[[#This Row],[Tech Start Date]],9),""))))</f>
        <v/>
      </c>
      <c r="Q567" s="101">
        <v>40627</v>
      </c>
      <c r="R567" s="101"/>
      <c r="S567" s="99" t="s">
        <v>11</v>
      </c>
      <c r="T567" s="107" t="s">
        <v>4</v>
      </c>
      <c r="U567" s="99" t="s">
        <v>14</v>
      </c>
      <c r="V567" s="99" t="s">
        <v>1965</v>
      </c>
      <c r="W567" s="99" t="s">
        <v>1968</v>
      </c>
    </row>
    <row r="568" spans="1:23" ht="18.600000000000001" customHeight="1">
      <c r="A568" s="123" t="str">
        <f>IF(priority(Main[[#This Row],[Comments]])&lt;&gt;0, priority(Main[[#This Row],[Comments]]),"")</f>
        <v/>
      </c>
      <c r="B568" s="127" t="s">
        <v>1454</v>
      </c>
      <c r="C568" s="99" t="s">
        <v>4</v>
      </c>
      <c r="D568" s="100" t="s">
        <v>1998</v>
      </c>
      <c r="E568" s="101"/>
      <c r="F568" s="101"/>
      <c r="G568" s="102" t="str">
        <f>IF(stdProdLT(Main[[#This Row],[Comments]])=0.1,"N/A",IF(stdProdLT(Main[[#This Row],[Comments]])=0,"",stdProdLT(Main[[#This Row],[Comments]])))</f>
        <v/>
      </c>
      <c r="H568" s="103" t="str">
        <f>IF(AND(Main[[#This Row],[In Stock Date]]&lt;&gt;"",Main[[#This Row],[Revised Due Date]]&lt;&gt;""),Main[[#This Row],[In Stock Date]]-Main[[#This Row],[Revised Due Date]],"")</f>
        <v/>
      </c>
      <c r="I568" s="99" t="s">
        <v>4</v>
      </c>
      <c r="J568" s="99" t="s">
        <v>28</v>
      </c>
      <c r="K568" s="99" t="s">
        <v>1969</v>
      </c>
      <c r="L568" s="101"/>
      <c r="M568" s="104" t="str">
        <f>IF(Main[[#This Row],[Tech Start Date]]&lt;1/1/1990,"",IF(Main[[#This Row],[Class]]="C",WORKDAY(Main[[#This Row],[Tech Start Date]],9),IF(Main[[#This Row],[Class]]="B", WORKDAY(Main[[#This Row],[Tech Start Date]],6),IF(Main[[#This Row],[Class]]="A",WORKDAY(Main[[#This Row],[Tech Start Date]],2),""))))</f>
        <v/>
      </c>
      <c r="N568" s="104" t="str">
        <f>IF(Main[[#This Row],[Tech Start Date]]&lt;1/1/1990,"",IF(Main[[#This Row],[Class]]="C",WORKDAY(Main[[#This Row],[Tech Start Date]],19),IF(Main[[#This Row],[Class]]="B", WORKDAY(Main[[#This Row],[Tech Start Date]],12),IF(Main[[#This Row],[Class]]="A",WORKDAY(Main[[#This Row],[Tech Start Date]],4),""))))</f>
        <v/>
      </c>
      <c r="O568" s="104" t="str">
        <f>IF(Main[[#This Row],[Tech Start Date]]&lt;1/1/1990,"",IF(Main[[#This Row],[Class]]="C",WORKDAY(Main[[#This Row],[Tech Start Date]],23),IF(Main[[#This Row],[Class]]="B", WORKDAY(Main[[#This Row],[Tech Start Date]],15),IF(Main[[#This Row],[Class]]="A",WORKDAY(Main[[#This Row],[Tech Start Date]],5),""))))</f>
        <v/>
      </c>
      <c r="P568" s="104" t="str">
        <f>IF(Main[[#This Row],[Tech Start Date]]&lt;1/1/1990,"",IF(Main[[#This Row],[Class]]="C",WORKDAY(Main[[#This Row],[Tech Start Date]],28),IF(Main[[#This Row],[Class]]="B", WORKDAY(Main[[#This Row],[Tech Start Date]],19),IF(Main[[#This Row],[Class]]="A",WORKDAY(Main[[#This Row],[Tech Start Date]],9),""))))</f>
        <v/>
      </c>
      <c r="Q568" s="101"/>
      <c r="R568" s="101"/>
      <c r="S568" s="99" t="s">
        <v>6</v>
      </c>
      <c r="T568" s="107" t="s">
        <v>4</v>
      </c>
      <c r="U568" s="99" t="s">
        <v>14</v>
      </c>
      <c r="V568" s="99" t="s">
        <v>1963</v>
      </c>
      <c r="W568" s="99" t="s">
        <v>1964</v>
      </c>
    </row>
    <row r="569" spans="1:23" ht="18.600000000000001" customHeight="1">
      <c r="A569" s="123" t="str">
        <f>IF(priority(Main[[#This Row],[Comments]])&lt;&gt;0, priority(Main[[#This Row],[Comments]]),"")</f>
        <v/>
      </c>
      <c r="B569" s="127" t="s">
        <v>1455</v>
      </c>
      <c r="C569" s="99" t="s">
        <v>83</v>
      </c>
      <c r="D569" s="100" t="s">
        <v>509</v>
      </c>
      <c r="E569" s="101"/>
      <c r="F569" s="101"/>
      <c r="G569" s="102" t="str">
        <f>IF(stdProdLT(Main[[#This Row],[Comments]])=0.1,"N/A",IF(stdProdLT(Main[[#This Row],[Comments]])=0,"",stdProdLT(Main[[#This Row],[Comments]])))</f>
        <v/>
      </c>
      <c r="H569" s="103" t="str">
        <f>IF(AND(Main[[#This Row],[In Stock Date]]&lt;&gt;"",Main[[#This Row],[Revised Due Date]]&lt;&gt;""),Main[[#This Row],[In Stock Date]]-Main[[#This Row],[Revised Due Date]],"")</f>
        <v/>
      </c>
      <c r="I569" s="99" t="s">
        <v>4</v>
      </c>
      <c r="J569" s="99" t="s">
        <v>4</v>
      </c>
      <c r="K569" s="99" t="s">
        <v>4</v>
      </c>
      <c r="L569" s="101"/>
      <c r="M569" s="104" t="str">
        <f>IF(Main[[#This Row],[Tech Start Date]]&lt;1/1/1990,"",IF(Main[[#This Row],[Class]]="C",WORKDAY(Main[[#This Row],[Tech Start Date]],9),IF(Main[[#This Row],[Class]]="B", WORKDAY(Main[[#This Row],[Tech Start Date]],6),IF(Main[[#This Row],[Class]]="A",WORKDAY(Main[[#This Row],[Tech Start Date]],2),""))))</f>
        <v/>
      </c>
      <c r="N569" s="104" t="str">
        <f>IF(Main[[#This Row],[Tech Start Date]]&lt;1/1/1990,"",IF(Main[[#This Row],[Class]]="C",WORKDAY(Main[[#This Row],[Tech Start Date]],19),IF(Main[[#This Row],[Class]]="B", WORKDAY(Main[[#This Row],[Tech Start Date]],12),IF(Main[[#This Row],[Class]]="A",WORKDAY(Main[[#This Row],[Tech Start Date]],4),""))))</f>
        <v/>
      </c>
      <c r="O569" s="104" t="str">
        <f>IF(Main[[#This Row],[Tech Start Date]]&lt;1/1/1990,"",IF(Main[[#This Row],[Class]]="C",WORKDAY(Main[[#This Row],[Tech Start Date]],23),IF(Main[[#This Row],[Class]]="B", WORKDAY(Main[[#This Row],[Tech Start Date]],15),IF(Main[[#This Row],[Class]]="A",WORKDAY(Main[[#This Row],[Tech Start Date]],5),""))))</f>
        <v/>
      </c>
      <c r="P569" s="104" t="str">
        <f>IF(Main[[#This Row],[Tech Start Date]]&lt;1/1/1990,"",IF(Main[[#This Row],[Class]]="C",WORKDAY(Main[[#This Row],[Tech Start Date]],28),IF(Main[[#This Row],[Class]]="B", WORKDAY(Main[[#This Row],[Tech Start Date]],19),IF(Main[[#This Row],[Class]]="A",WORKDAY(Main[[#This Row],[Tech Start Date]],9),""))))</f>
        <v/>
      </c>
      <c r="Q569" s="101">
        <v>40259</v>
      </c>
      <c r="R569" s="101"/>
      <c r="S569" s="99" t="s">
        <v>11</v>
      </c>
      <c r="T569" s="107" t="s">
        <v>4</v>
      </c>
      <c r="U569" s="99" t="s">
        <v>14</v>
      </c>
      <c r="V569" s="99" t="s">
        <v>1962</v>
      </c>
      <c r="W569" s="99" t="s">
        <v>1973</v>
      </c>
    </row>
    <row r="570" spans="1:23" ht="18.600000000000001" customHeight="1">
      <c r="A570" s="123" t="str">
        <f>IF(priority(Main[[#This Row],[Comments]])&lt;&gt;0, priority(Main[[#This Row],[Comments]]),"")</f>
        <v/>
      </c>
      <c r="B570" s="127" t="s">
        <v>1456</v>
      </c>
      <c r="C570" s="99" t="s">
        <v>4</v>
      </c>
      <c r="D570" s="100" t="s">
        <v>510</v>
      </c>
      <c r="E570" s="101">
        <v>40582.330949074072</v>
      </c>
      <c r="F570" s="101">
        <v>40664</v>
      </c>
      <c r="G570" s="102" t="str">
        <f>IF(stdProdLT(Main[[#This Row],[Comments]])=0.1,"N/A",IF(stdProdLT(Main[[#This Row],[Comments]])=0,"",stdProdLT(Main[[#This Row],[Comments]])))</f>
        <v/>
      </c>
      <c r="H570" s="103" t="str">
        <f>IF(AND(Main[[#This Row],[In Stock Date]]&lt;&gt;"",Main[[#This Row],[Revised Due Date]]&lt;&gt;""),Main[[#This Row],[In Stock Date]]-Main[[#This Row],[Revised Due Date]],"")</f>
        <v/>
      </c>
      <c r="I570" s="99" t="s">
        <v>4</v>
      </c>
      <c r="J570" s="99" t="s">
        <v>28</v>
      </c>
      <c r="K570" s="99" t="s">
        <v>1969</v>
      </c>
      <c r="L570" s="101"/>
      <c r="M570" s="104" t="str">
        <f>IF(Main[[#This Row],[Tech Start Date]]&lt;1/1/1990,"",IF(Main[[#This Row],[Class]]="C",WORKDAY(Main[[#This Row],[Tech Start Date]],9),IF(Main[[#This Row],[Class]]="B", WORKDAY(Main[[#This Row],[Tech Start Date]],6),IF(Main[[#This Row],[Class]]="A",WORKDAY(Main[[#This Row],[Tech Start Date]],2),""))))</f>
        <v/>
      </c>
      <c r="N570" s="104" t="str">
        <f>IF(Main[[#This Row],[Tech Start Date]]&lt;1/1/1990,"",IF(Main[[#This Row],[Class]]="C",WORKDAY(Main[[#This Row],[Tech Start Date]],19),IF(Main[[#This Row],[Class]]="B", WORKDAY(Main[[#This Row],[Tech Start Date]],12),IF(Main[[#This Row],[Class]]="A",WORKDAY(Main[[#This Row],[Tech Start Date]],4),""))))</f>
        <v/>
      </c>
      <c r="O570" s="104" t="str">
        <f>IF(Main[[#This Row],[Tech Start Date]]&lt;1/1/1990,"",IF(Main[[#This Row],[Class]]="C",WORKDAY(Main[[#This Row],[Tech Start Date]],23),IF(Main[[#This Row],[Class]]="B", WORKDAY(Main[[#This Row],[Tech Start Date]],15),IF(Main[[#This Row],[Class]]="A",WORKDAY(Main[[#This Row],[Tech Start Date]],5),""))))</f>
        <v/>
      </c>
      <c r="P570" s="104" t="str">
        <f>IF(Main[[#This Row],[Tech Start Date]]&lt;1/1/1990,"",IF(Main[[#This Row],[Class]]="C",WORKDAY(Main[[#This Row],[Tech Start Date]],28),IF(Main[[#This Row],[Class]]="B", WORKDAY(Main[[#This Row],[Tech Start Date]],19),IF(Main[[#This Row],[Class]]="A",WORKDAY(Main[[#This Row],[Tech Start Date]],9),""))))</f>
        <v/>
      </c>
      <c r="Q570" s="101">
        <v>40664</v>
      </c>
      <c r="R570" s="101"/>
      <c r="S570" s="99" t="s">
        <v>6</v>
      </c>
      <c r="T570" s="107" t="s">
        <v>4</v>
      </c>
      <c r="U570" s="99" t="s">
        <v>7</v>
      </c>
      <c r="V570" s="99" t="s">
        <v>1962</v>
      </c>
      <c r="W570" s="99" t="s">
        <v>1964</v>
      </c>
    </row>
    <row r="571" spans="1:23" ht="18.600000000000001" customHeight="1">
      <c r="A571" s="123" t="str">
        <f>IF(priority(Main[[#This Row],[Comments]])&lt;&gt;0, priority(Main[[#This Row],[Comments]]),"")</f>
        <v/>
      </c>
      <c r="B571" s="127" t="s">
        <v>1457</v>
      </c>
      <c r="C571" s="99" t="s">
        <v>4</v>
      </c>
      <c r="D571" s="100" t="s">
        <v>511</v>
      </c>
      <c r="E571" s="101"/>
      <c r="F571" s="101"/>
      <c r="G571" s="102" t="str">
        <f>IF(stdProdLT(Main[[#This Row],[Comments]])=0.1,"N/A",IF(stdProdLT(Main[[#This Row],[Comments]])=0,"",stdProdLT(Main[[#This Row],[Comments]])))</f>
        <v/>
      </c>
      <c r="H571" s="103" t="str">
        <f>IF(AND(Main[[#This Row],[In Stock Date]]&lt;&gt;"",Main[[#This Row],[Revised Due Date]]&lt;&gt;""),Main[[#This Row],[In Stock Date]]-Main[[#This Row],[Revised Due Date]],"")</f>
        <v/>
      </c>
      <c r="I571" s="99" t="s">
        <v>4</v>
      </c>
      <c r="J571" s="99" t="s">
        <v>4</v>
      </c>
      <c r="K571" s="99" t="s">
        <v>4</v>
      </c>
      <c r="L571" s="101"/>
      <c r="M571" s="104" t="str">
        <f>IF(Main[[#This Row],[Tech Start Date]]&lt;1/1/1990,"",IF(Main[[#This Row],[Class]]="C",WORKDAY(Main[[#This Row],[Tech Start Date]],9),IF(Main[[#This Row],[Class]]="B", WORKDAY(Main[[#This Row],[Tech Start Date]],6),IF(Main[[#This Row],[Class]]="A",WORKDAY(Main[[#This Row],[Tech Start Date]],2),""))))</f>
        <v/>
      </c>
      <c r="N571" s="104" t="str">
        <f>IF(Main[[#This Row],[Tech Start Date]]&lt;1/1/1990,"",IF(Main[[#This Row],[Class]]="C",WORKDAY(Main[[#This Row],[Tech Start Date]],19),IF(Main[[#This Row],[Class]]="B", WORKDAY(Main[[#This Row],[Tech Start Date]],12),IF(Main[[#This Row],[Class]]="A",WORKDAY(Main[[#This Row],[Tech Start Date]],4),""))))</f>
        <v/>
      </c>
      <c r="O571" s="104" t="str">
        <f>IF(Main[[#This Row],[Tech Start Date]]&lt;1/1/1990,"",IF(Main[[#This Row],[Class]]="C",WORKDAY(Main[[#This Row],[Tech Start Date]],23),IF(Main[[#This Row],[Class]]="B", WORKDAY(Main[[#This Row],[Tech Start Date]],15),IF(Main[[#This Row],[Class]]="A",WORKDAY(Main[[#This Row],[Tech Start Date]],5),""))))</f>
        <v/>
      </c>
      <c r="P571" s="104" t="str">
        <f>IF(Main[[#This Row],[Tech Start Date]]&lt;1/1/1990,"",IF(Main[[#This Row],[Class]]="C",WORKDAY(Main[[#This Row],[Tech Start Date]],28),IF(Main[[#This Row],[Class]]="B", WORKDAY(Main[[#This Row],[Tech Start Date]],19),IF(Main[[#This Row],[Class]]="A",WORKDAY(Main[[#This Row],[Tech Start Date]],9),""))))</f>
        <v/>
      </c>
      <c r="Q571" s="101"/>
      <c r="R571" s="101"/>
      <c r="S571" s="99" t="s">
        <v>11</v>
      </c>
      <c r="T571" s="107" t="s">
        <v>4</v>
      </c>
      <c r="U571" s="99" t="s">
        <v>14</v>
      </c>
      <c r="V571" s="99" t="s">
        <v>1965</v>
      </c>
      <c r="W571" s="99" t="s">
        <v>1970</v>
      </c>
    </row>
    <row r="572" spans="1:23" ht="18.600000000000001" customHeight="1">
      <c r="A572" s="123" t="str">
        <f>IF(priority(Main[[#This Row],[Comments]])&lt;&gt;0, priority(Main[[#This Row],[Comments]]),"")</f>
        <v/>
      </c>
      <c r="B572" s="127" t="s">
        <v>1458</v>
      </c>
      <c r="C572" s="99" t="s">
        <v>512</v>
      </c>
      <c r="D572" s="100" t="s">
        <v>513</v>
      </c>
      <c r="E572" s="101"/>
      <c r="F572" s="101"/>
      <c r="G572" s="102" t="str">
        <f>IF(stdProdLT(Main[[#This Row],[Comments]])=0.1,"N/A",IF(stdProdLT(Main[[#This Row],[Comments]])=0,"",stdProdLT(Main[[#This Row],[Comments]])))</f>
        <v/>
      </c>
      <c r="H572" s="103" t="str">
        <f>IF(AND(Main[[#This Row],[In Stock Date]]&lt;&gt;"",Main[[#This Row],[Revised Due Date]]&lt;&gt;""),Main[[#This Row],[In Stock Date]]-Main[[#This Row],[Revised Due Date]],"")</f>
        <v/>
      </c>
      <c r="I572" s="99" t="s">
        <v>4</v>
      </c>
      <c r="J572" s="99" t="s">
        <v>4</v>
      </c>
      <c r="K572" s="99" t="s">
        <v>4</v>
      </c>
      <c r="L572" s="101"/>
      <c r="M572" s="104" t="str">
        <f>IF(Main[[#This Row],[Tech Start Date]]&lt;1/1/1990,"",IF(Main[[#This Row],[Class]]="C",WORKDAY(Main[[#This Row],[Tech Start Date]],9),IF(Main[[#This Row],[Class]]="B", WORKDAY(Main[[#This Row],[Tech Start Date]],6),IF(Main[[#This Row],[Class]]="A",WORKDAY(Main[[#This Row],[Tech Start Date]],2),""))))</f>
        <v/>
      </c>
      <c r="N572" s="104" t="str">
        <f>IF(Main[[#This Row],[Tech Start Date]]&lt;1/1/1990,"",IF(Main[[#This Row],[Class]]="C",WORKDAY(Main[[#This Row],[Tech Start Date]],19),IF(Main[[#This Row],[Class]]="B", WORKDAY(Main[[#This Row],[Tech Start Date]],12),IF(Main[[#This Row],[Class]]="A",WORKDAY(Main[[#This Row],[Tech Start Date]],4),""))))</f>
        <v/>
      </c>
      <c r="O572" s="104" t="str">
        <f>IF(Main[[#This Row],[Tech Start Date]]&lt;1/1/1990,"",IF(Main[[#This Row],[Class]]="C",WORKDAY(Main[[#This Row],[Tech Start Date]],23),IF(Main[[#This Row],[Class]]="B", WORKDAY(Main[[#This Row],[Tech Start Date]],15),IF(Main[[#This Row],[Class]]="A",WORKDAY(Main[[#This Row],[Tech Start Date]],5),""))))</f>
        <v/>
      </c>
      <c r="P572" s="104" t="str">
        <f>IF(Main[[#This Row],[Tech Start Date]]&lt;1/1/1990,"",IF(Main[[#This Row],[Class]]="C",WORKDAY(Main[[#This Row],[Tech Start Date]],28),IF(Main[[#This Row],[Class]]="B", WORKDAY(Main[[#This Row],[Tech Start Date]],19),IF(Main[[#This Row],[Class]]="A",WORKDAY(Main[[#This Row],[Tech Start Date]],9),""))))</f>
        <v/>
      </c>
      <c r="Q572" s="101">
        <v>40042</v>
      </c>
      <c r="R572" s="101"/>
      <c r="S572" s="99" t="s">
        <v>11</v>
      </c>
      <c r="T572" s="107" t="s">
        <v>4</v>
      </c>
      <c r="U572" s="99" t="s">
        <v>14</v>
      </c>
      <c r="V572" s="99" t="s">
        <v>1963</v>
      </c>
      <c r="W572" s="99" t="s">
        <v>1976</v>
      </c>
    </row>
    <row r="573" spans="1:23" ht="18.600000000000001" customHeight="1">
      <c r="A573" s="123" t="str">
        <f>IF(priority(Main[[#This Row],[Comments]])&lt;&gt;0, priority(Main[[#This Row],[Comments]]),"")</f>
        <v/>
      </c>
      <c r="B573" s="127" t="s">
        <v>2015</v>
      </c>
      <c r="C573" s="99" t="s">
        <v>4</v>
      </c>
      <c r="D573" s="100" t="s">
        <v>2016</v>
      </c>
      <c r="E573" s="101"/>
      <c r="F573" s="101"/>
      <c r="G573" s="102" t="str">
        <f>IF(stdProdLT(Main[[#This Row],[Comments]])=0.1,"N/A",IF(stdProdLT(Main[[#This Row],[Comments]])=0,"",stdProdLT(Main[[#This Row],[Comments]])))</f>
        <v/>
      </c>
      <c r="H573" s="103" t="str">
        <f>IF(AND(Main[[#This Row],[In Stock Date]]&lt;&gt;"",Main[[#This Row],[Revised Due Date]]&lt;&gt;""),Main[[#This Row],[In Stock Date]]-Main[[#This Row],[Revised Due Date]],"")</f>
        <v/>
      </c>
      <c r="I573" s="99" t="s">
        <v>4</v>
      </c>
      <c r="J573" s="99" t="s">
        <v>4</v>
      </c>
      <c r="K573" s="99" t="s">
        <v>4</v>
      </c>
      <c r="L573" s="101"/>
      <c r="M573" s="104" t="str">
        <f>IF(Main[[#This Row],[Tech Start Date]]&lt;1/1/1990,"",IF(Main[[#This Row],[Class]]="C",WORKDAY(Main[[#This Row],[Tech Start Date]],9),IF(Main[[#This Row],[Class]]="B", WORKDAY(Main[[#This Row],[Tech Start Date]],6),IF(Main[[#This Row],[Class]]="A",WORKDAY(Main[[#This Row],[Tech Start Date]],2),""))))</f>
        <v/>
      </c>
      <c r="N573" s="104" t="str">
        <f>IF(Main[[#This Row],[Tech Start Date]]&lt;1/1/1990,"",IF(Main[[#This Row],[Class]]="C",WORKDAY(Main[[#This Row],[Tech Start Date]],19),IF(Main[[#This Row],[Class]]="B", WORKDAY(Main[[#This Row],[Tech Start Date]],12),IF(Main[[#This Row],[Class]]="A",WORKDAY(Main[[#This Row],[Tech Start Date]],4),""))))</f>
        <v/>
      </c>
      <c r="O573" s="104" t="str">
        <f>IF(Main[[#This Row],[Tech Start Date]]&lt;1/1/1990,"",IF(Main[[#This Row],[Class]]="C",WORKDAY(Main[[#This Row],[Tech Start Date]],23),IF(Main[[#This Row],[Class]]="B", WORKDAY(Main[[#This Row],[Tech Start Date]],15),IF(Main[[#This Row],[Class]]="A",WORKDAY(Main[[#This Row],[Tech Start Date]],5),""))))</f>
        <v/>
      </c>
      <c r="P573" s="104" t="str">
        <f>IF(Main[[#This Row],[Tech Start Date]]&lt;1/1/1990,"",IF(Main[[#This Row],[Class]]="C",WORKDAY(Main[[#This Row],[Tech Start Date]],28),IF(Main[[#This Row],[Class]]="B", WORKDAY(Main[[#This Row],[Tech Start Date]],19),IF(Main[[#This Row],[Class]]="A",WORKDAY(Main[[#This Row],[Tech Start Date]],9),""))))</f>
        <v/>
      </c>
      <c r="Q573" s="101"/>
      <c r="R573" s="101"/>
      <c r="S573" s="99" t="s">
        <v>23</v>
      </c>
      <c r="T573" s="107" t="s">
        <v>4</v>
      </c>
      <c r="U573" s="99" t="s">
        <v>14</v>
      </c>
      <c r="V573" s="99" t="s">
        <v>1962</v>
      </c>
      <c r="W573" s="99" t="s">
        <v>1966</v>
      </c>
    </row>
    <row r="574" spans="1:23" ht="18.600000000000001" customHeight="1">
      <c r="A574" s="123" t="str">
        <f>IF(priority(Main[[#This Row],[Comments]])&lt;&gt;0, priority(Main[[#This Row],[Comments]]),"")</f>
        <v/>
      </c>
      <c r="B574" s="127" t="s">
        <v>1432</v>
      </c>
      <c r="C574" s="99" t="s">
        <v>4</v>
      </c>
      <c r="D574" s="100" t="s">
        <v>486</v>
      </c>
      <c r="E574" s="101"/>
      <c r="F574" s="101"/>
      <c r="G574" s="102" t="str">
        <f>IF(stdProdLT(Main[[#This Row],[Comments]])=0.1,"N/A",IF(stdProdLT(Main[[#This Row],[Comments]])=0,"",stdProdLT(Main[[#This Row],[Comments]])))</f>
        <v/>
      </c>
      <c r="H574" s="103" t="str">
        <f>IF(AND(Main[[#This Row],[In Stock Date]]&lt;&gt;"",Main[[#This Row],[Revised Due Date]]&lt;&gt;""),Main[[#This Row],[In Stock Date]]-Main[[#This Row],[Revised Due Date]],"")</f>
        <v/>
      </c>
      <c r="I574" s="99" t="s">
        <v>4</v>
      </c>
      <c r="J574" s="99" t="s">
        <v>4</v>
      </c>
      <c r="K574" s="99" t="s">
        <v>4</v>
      </c>
      <c r="L574" s="101"/>
      <c r="M574" s="104" t="str">
        <f>IF(Main[[#This Row],[Tech Start Date]]&lt;1/1/1990,"",IF(Main[[#This Row],[Class]]="C",WORKDAY(Main[[#This Row],[Tech Start Date]],9),IF(Main[[#This Row],[Class]]="B", WORKDAY(Main[[#This Row],[Tech Start Date]],6),IF(Main[[#This Row],[Class]]="A",WORKDAY(Main[[#This Row],[Tech Start Date]],2),""))))</f>
        <v/>
      </c>
      <c r="N574" s="104" t="str">
        <f>IF(Main[[#This Row],[Tech Start Date]]&lt;1/1/1990,"",IF(Main[[#This Row],[Class]]="C",WORKDAY(Main[[#This Row],[Tech Start Date]],19),IF(Main[[#This Row],[Class]]="B", WORKDAY(Main[[#This Row],[Tech Start Date]],12),IF(Main[[#This Row],[Class]]="A",WORKDAY(Main[[#This Row],[Tech Start Date]],4),""))))</f>
        <v/>
      </c>
      <c r="O574" s="104" t="str">
        <f>IF(Main[[#This Row],[Tech Start Date]]&lt;1/1/1990,"",IF(Main[[#This Row],[Class]]="C",WORKDAY(Main[[#This Row],[Tech Start Date]],23),IF(Main[[#This Row],[Class]]="B", WORKDAY(Main[[#This Row],[Tech Start Date]],15),IF(Main[[#This Row],[Class]]="A",WORKDAY(Main[[#This Row],[Tech Start Date]],5),""))))</f>
        <v/>
      </c>
      <c r="P574" s="104" t="str">
        <f>IF(Main[[#This Row],[Tech Start Date]]&lt;1/1/1990,"",IF(Main[[#This Row],[Class]]="C",WORKDAY(Main[[#This Row],[Tech Start Date]],28),IF(Main[[#This Row],[Class]]="B", WORKDAY(Main[[#This Row],[Tech Start Date]],19),IF(Main[[#This Row],[Class]]="A",WORKDAY(Main[[#This Row],[Tech Start Date]],9),""))))</f>
        <v/>
      </c>
      <c r="Q574" s="101"/>
      <c r="R574" s="101"/>
      <c r="S574" s="99" t="s">
        <v>4</v>
      </c>
      <c r="T574" s="107" t="s">
        <v>4</v>
      </c>
      <c r="U574" s="99" t="s">
        <v>14</v>
      </c>
      <c r="V574" s="99" t="s">
        <v>1965</v>
      </c>
      <c r="W574" s="99" t="s">
        <v>4</v>
      </c>
    </row>
    <row r="575" spans="1:23" ht="18.600000000000001" customHeight="1">
      <c r="A575" s="123" t="str">
        <f>IF(priority(Main[[#This Row],[Comments]])&lt;&gt;0, priority(Main[[#This Row],[Comments]]),"")</f>
        <v/>
      </c>
      <c r="B575" s="127" t="s">
        <v>1434</v>
      </c>
      <c r="C575" s="99" t="s">
        <v>47</v>
      </c>
      <c r="D575" s="100" t="s">
        <v>488</v>
      </c>
      <c r="E575" s="101">
        <v>39937.619513888887</v>
      </c>
      <c r="F575" s="101"/>
      <c r="G575" s="102" t="str">
        <f>IF(stdProdLT(Main[[#This Row],[Comments]])=0.1,"N/A",IF(stdProdLT(Main[[#This Row],[Comments]])=0,"",stdProdLT(Main[[#This Row],[Comments]])))</f>
        <v/>
      </c>
      <c r="H575" s="103" t="str">
        <f>IF(AND(Main[[#This Row],[In Stock Date]]&lt;&gt;"",Main[[#This Row],[Revised Due Date]]&lt;&gt;""),Main[[#This Row],[In Stock Date]]-Main[[#This Row],[Revised Due Date]],"")</f>
        <v/>
      </c>
      <c r="I575" s="99" t="s">
        <v>4</v>
      </c>
      <c r="J575" s="99" t="s">
        <v>4</v>
      </c>
      <c r="K575" s="99" t="s">
        <v>4</v>
      </c>
      <c r="L575" s="101"/>
      <c r="M575" s="104" t="str">
        <f>IF(Main[[#This Row],[Tech Start Date]]&lt;1/1/1990,"",IF(Main[[#This Row],[Class]]="C",WORKDAY(Main[[#This Row],[Tech Start Date]],9),IF(Main[[#This Row],[Class]]="B", WORKDAY(Main[[#This Row],[Tech Start Date]],6),IF(Main[[#This Row],[Class]]="A",WORKDAY(Main[[#This Row],[Tech Start Date]],2),""))))</f>
        <v/>
      </c>
      <c r="N575" s="104" t="str">
        <f>IF(Main[[#This Row],[Tech Start Date]]&lt;1/1/1990,"",IF(Main[[#This Row],[Class]]="C",WORKDAY(Main[[#This Row],[Tech Start Date]],19),IF(Main[[#This Row],[Class]]="B", WORKDAY(Main[[#This Row],[Tech Start Date]],12),IF(Main[[#This Row],[Class]]="A",WORKDAY(Main[[#This Row],[Tech Start Date]],4),""))))</f>
        <v/>
      </c>
      <c r="O575" s="104" t="str">
        <f>IF(Main[[#This Row],[Tech Start Date]]&lt;1/1/1990,"",IF(Main[[#This Row],[Class]]="C",WORKDAY(Main[[#This Row],[Tech Start Date]],23),IF(Main[[#This Row],[Class]]="B", WORKDAY(Main[[#This Row],[Tech Start Date]],15),IF(Main[[#This Row],[Class]]="A",WORKDAY(Main[[#This Row],[Tech Start Date]],5),""))))</f>
        <v/>
      </c>
      <c r="P575" s="104" t="str">
        <f>IF(Main[[#This Row],[Tech Start Date]]&lt;1/1/1990,"",IF(Main[[#This Row],[Class]]="C",WORKDAY(Main[[#This Row],[Tech Start Date]],28),IF(Main[[#This Row],[Class]]="B", WORKDAY(Main[[#This Row],[Tech Start Date]],19),IF(Main[[#This Row],[Class]]="A",WORKDAY(Main[[#This Row],[Tech Start Date]],9),""))))</f>
        <v/>
      </c>
      <c r="Q575" s="101"/>
      <c r="R575" s="101"/>
      <c r="S575" s="99" t="s">
        <v>17</v>
      </c>
      <c r="T575" s="107" t="s">
        <v>4</v>
      </c>
      <c r="U575" s="99" t="s">
        <v>7</v>
      </c>
      <c r="V575" s="99" t="s">
        <v>1965</v>
      </c>
      <c r="W575" s="99" t="s">
        <v>4</v>
      </c>
    </row>
    <row r="576" spans="1:23" ht="18.600000000000001" customHeight="1">
      <c r="A576" s="123" t="str">
        <f>IF(priority(Main[[#This Row],[Comments]])&lt;&gt;0, priority(Main[[#This Row],[Comments]]),"")</f>
        <v/>
      </c>
      <c r="B576" s="127" t="s">
        <v>1435</v>
      </c>
      <c r="C576" s="99" t="s">
        <v>93</v>
      </c>
      <c r="D576" s="100" t="s">
        <v>569</v>
      </c>
      <c r="E576" s="101"/>
      <c r="F576" s="101">
        <v>40210</v>
      </c>
      <c r="G576" s="102" t="str">
        <f>IF(stdProdLT(Main[[#This Row],[Comments]])=0.1,"N/A",IF(stdProdLT(Main[[#This Row],[Comments]])=0,"",stdProdLT(Main[[#This Row],[Comments]])))</f>
        <v/>
      </c>
      <c r="H576" s="103" t="str">
        <f>IF(AND(Main[[#This Row],[In Stock Date]]&lt;&gt;"",Main[[#This Row],[Revised Due Date]]&lt;&gt;""),Main[[#This Row],[In Stock Date]]-Main[[#This Row],[Revised Due Date]],"")</f>
        <v/>
      </c>
      <c r="I576" s="99" t="s">
        <v>4</v>
      </c>
      <c r="J576" s="99" t="s">
        <v>4</v>
      </c>
      <c r="K576" s="99" t="s">
        <v>4</v>
      </c>
      <c r="L576" s="101"/>
      <c r="M576" s="104" t="str">
        <f>IF(Main[[#This Row],[Tech Start Date]]&lt;1/1/1990,"",IF(Main[[#This Row],[Class]]="C",WORKDAY(Main[[#This Row],[Tech Start Date]],9),IF(Main[[#This Row],[Class]]="B", WORKDAY(Main[[#This Row],[Tech Start Date]],6),IF(Main[[#This Row],[Class]]="A",WORKDAY(Main[[#This Row],[Tech Start Date]],2),""))))</f>
        <v/>
      </c>
      <c r="N576" s="104" t="str">
        <f>IF(Main[[#This Row],[Tech Start Date]]&lt;1/1/1990,"",IF(Main[[#This Row],[Class]]="C",WORKDAY(Main[[#This Row],[Tech Start Date]],19),IF(Main[[#This Row],[Class]]="B", WORKDAY(Main[[#This Row],[Tech Start Date]],12),IF(Main[[#This Row],[Class]]="A",WORKDAY(Main[[#This Row],[Tech Start Date]],4),""))))</f>
        <v/>
      </c>
      <c r="O576" s="104" t="str">
        <f>IF(Main[[#This Row],[Tech Start Date]]&lt;1/1/1990,"",IF(Main[[#This Row],[Class]]="C",WORKDAY(Main[[#This Row],[Tech Start Date]],23),IF(Main[[#This Row],[Class]]="B", WORKDAY(Main[[#This Row],[Tech Start Date]],15),IF(Main[[#This Row],[Class]]="A",WORKDAY(Main[[#This Row],[Tech Start Date]],5),""))))</f>
        <v/>
      </c>
      <c r="P576" s="104" t="str">
        <f>IF(Main[[#This Row],[Tech Start Date]]&lt;1/1/1990,"",IF(Main[[#This Row],[Class]]="C",WORKDAY(Main[[#This Row],[Tech Start Date]],28),IF(Main[[#This Row],[Class]]="B", WORKDAY(Main[[#This Row],[Tech Start Date]],19),IF(Main[[#This Row],[Class]]="A",WORKDAY(Main[[#This Row],[Tech Start Date]],9),""))))</f>
        <v/>
      </c>
      <c r="Q576" s="101">
        <v>40195</v>
      </c>
      <c r="R576" s="101"/>
      <c r="S576" s="99" t="s">
        <v>11</v>
      </c>
      <c r="T576" s="109" t="s">
        <v>4</v>
      </c>
      <c r="U576" s="99" t="s">
        <v>12</v>
      </c>
      <c r="V576" s="99" t="s">
        <v>1972</v>
      </c>
      <c r="W576" s="99" t="s">
        <v>1973</v>
      </c>
    </row>
    <row r="577" spans="1:23" ht="18.600000000000001" customHeight="1">
      <c r="A577" s="123" t="str">
        <f>IF(priority(Main[[#This Row],[Comments]])&lt;&gt;0, priority(Main[[#This Row],[Comments]]),"")</f>
        <v/>
      </c>
      <c r="B577" s="127" t="s">
        <v>1784</v>
      </c>
      <c r="C577" s="99" t="s">
        <v>4</v>
      </c>
      <c r="D577" s="100" t="s">
        <v>807</v>
      </c>
      <c r="E577" s="101">
        <v>40584.406446759262</v>
      </c>
      <c r="F577" s="101">
        <v>40602</v>
      </c>
      <c r="G577" s="102" t="str">
        <f>IF(stdProdLT(Main[[#This Row],[Comments]])=0.1,"N/A",IF(stdProdLT(Main[[#This Row],[Comments]])=0,"",stdProdLT(Main[[#This Row],[Comments]])))</f>
        <v/>
      </c>
      <c r="H577" s="103" t="str">
        <f>IF(AND(Main[[#This Row],[In Stock Date]]&lt;&gt;"",Main[[#This Row],[Revised Due Date]]&lt;&gt;""),Main[[#This Row],[In Stock Date]]-Main[[#This Row],[Revised Due Date]],"")</f>
        <v/>
      </c>
      <c r="I577" s="99" t="s">
        <v>4</v>
      </c>
      <c r="J577" s="99" t="s">
        <v>28</v>
      </c>
      <c r="K577" s="99" t="s">
        <v>1974</v>
      </c>
      <c r="L577" s="101"/>
      <c r="M577" s="104" t="str">
        <f>IF(Main[[#This Row],[Tech Start Date]]&lt;1/1/1990,"",IF(Main[[#This Row],[Class]]="C",WORKDAY(Main[[#This Row],[Tech Start Date]],9),IF(Main[[#This Row],[Class]]="B", WORKDAY(Main[[#This Row],[Tech Start Date]],6),IF(Main[[#This Row],[Class]]="A",WORKDAY(Main[[#This Row],[Tech Start Date]],2),""))))</f>
        <v/>
      </c>
      <c r="N577" s="104" t="str">
        <f>IF(Main[[#This Row],[Tech Start Date]]&lt;1/1/1990,"",IF(Main[[#This Row],[Class]]="C",WORKDAY(Main[[#This Row],[Tech Start Date]],19),IF(Main[[#This Row],[Class]]="B", WORKDAY(Main[[#This Row],[Tech Start Date]],12),IF(Main[[#This Row],[Class]]="A",WORKDAY(Main[[#This Row],[Tech Start Date]],4),""))))</f>
        <v/>
      </c>
      <c r="O577" s="104" t="str">
        <f>IF(Main[[#This Row],[Tech Start Date]]&lt;1/1/1990,"",IF(Main[[#This Row],[Class]]="C",WORKDAY(Main[[#This Row],[Tech Start Date]],23),IF(Main[[#This Row],[Class]]="B", WORKDAY(Main[[#This Row],[Tech Start Date]],15),IF(Main[[#This Row],[Class]]="A",WORKDAY(Main[[#This Row],[Tech Start Date]],5),""))))</f>
        <v/>
      </c>
      <c r="P577" s="104" t="str">
        <f>IF(Main[[#This Row],[Tech Start Date]]&lt;1/1/1990,"",IF(Main[[#This Row],[Class]]="C",WORKDAY(Main[[#This Row],[Tech Start Date]],28),IF(Main[[#This Row],[Class]]="B", WORKDAY(Main[[#This Row],[Tech Start Date]],19),IF(Main[[#This Row],[Class]]="A",WORKDAY(Main[[#This Row],[Tech Start Date]],9),""))))</f>
        <v/>
      </c>
      <c r="Q577" s="101">
        <v>40602</v>
      </c>
      <c r="R577" s="101"/>
      <c r="S577" s="99" t="s">
        <v>17</v>
      </c>
      <c r="T577" s="107" t="s">
        <v>4</v>
      </c>
      <c r="U577" s="99" t="s">
        <v>7</v>
      </c>
      <c r="V577" s="99" t="s">
        <v>1962</v>
      </c>
      <c r="W577" s="99" t="s">
        <v>1970</v>
      </c>
    </row>
    <row r="578" spans="1:23" ht="18.600000000000001" customHeight="1">
      <c r="A578" s="123" t="str">
        <f>IF(priority(Main[[#This Row],[Comments]])&lt;&gt;0, priority(Main[[#This Row],[Comments]]),"")</f>
        <v/>
      </c>
      <c r="B578" s="127" t="s">
        <v>1438</v>
      </c>
      <c r="C578" s="99" t="s">
        <v>31</v>
      </c>
      <c r="D578" s="100" t="s">
        <v>490</v>
      </c>
      <c r="E578" s="101"/>
      <c r="F578" s="101"/>
      <c r="G578" s="102" t="str">
        <f>IF(stdProdLT(Main[[#This Row],[Comments]])=0.1,"N/A",IF(stdProdLT(Main[[#This Row],[Comments]])=0,"",stdProdLT(Main[[#This Row],[Comments]])))</f>
        <v/>
      </c>
      <c r="H578" s="103" t="str">
        <f>IF(AND(Main[[#This Row],[In Stock Date]]&lt;&gt;"",Main[[#This Row],[Revised Due Date]]&lt;&gt;""),Main[[#This Row],[In Stock Date]]-Main[[#This Row],[Revised Due Date]],"")</f>
        <v/>
      </c>
      <c r="I578" s="99" t="s">
        <v>4</v>
      </c>
      <c r="J578" s="99" t="s">
        <v>4</v>
      </c>
      <c r="K578" s="99" t="s">
        <v>4</v>
      </c>
      <c r="L578" s="101"/>
      <c r="M578" s="104" t="str">
        <f>IF(Main[[#This Row],[Tech Start Date]]&lt;1/1/1990,"",IF(Main[[#This Row],[Class]]="C",WORKDAY(Main[[#This Row],[Tech Start Date]],9),IF(Main[[#This Row],[Class]]="B", WORKDAY(Main[[#This Row],[Tech Start Date]],6),IF(Main[[#This Row],[Class]]="A",WORKDAY(Main[[#This Row],[Tech Start Date]],2),""))))</f>
        <v/>
      </c>
      <c r="N578" s="104" t="str">
        <f>IF(Main[[#This Row],[Tech Start Date]]&lt;1/1/1990,"",IF(Main[[#This Row],[Class]]="C",WORKDAY(Main[[#This Row],[Tech Start Date]],19),IF(Main[[#This Row],[Class]]="B", WORKDAY(Main[[#This Row],[Tech Start Date]],12),IF(Main[[#This Row],[Class]]="A",WORKDAY(Main[[#This Row],[Tech Start Date]],4),""))))</f>
        <v/>
      </c>
      <c r="O578" s="104" t="str">
        <f>IF(Main[[#This Row],[Tech Start Date]]&lt;1/1/1990,"",IF(Main[[#This Row],[Class]]="C",WORKDAY(Main[[#This Row],[Tech Start Date]],23),IF(Main[[#This Row],[Class]]="B", WORKDAY(Main[[#This Row],[Tech Start Date]],15),IF(Main[[#This Row],[Class]]="A",WORKDAY(Main[[#This Row],[Tech Start Date]],5),""))))</f>
        <v/>
      </c>
      <c r="P578" s="104" t="str">
        <f>IF(Main[[#This Row],[Tech Start Date]]&lt;1/1/1990,"",IF(Main[[#This Row],[Class]]="C",WORKDAY(Main[[#This Row],[Tech Start Date]],28),IF(Main[[#This Row],[Class]]="B", WORKDAY(Main[[#This Row],[Tech Start Date]],19),IF(Main[[#This Row],[Class]]="A",WORKDAY(Main[[#This Row],[Tech Start Date]],9),""))))</f>
        <v/>
      </c>
      <c r="Q578" s="101">
        <v>40318</v>
      </c>
      <c r="R578" s="101"/>
      <c r="S578" s="99" t="s">
        <v>11</v>
      </c>
      <c r="T578" s="107" t="s">
        <v>4</v>
      </c>
      <c r="U578" s="99" t="s">
        <v>14</v>
      </c>
      <c r="V578" s="99" t="s">
        <v>1965</v>
      </c>
      <c r="W578" s="99" t="s">
        <v>1964</v>
      </c>
    </row>
    <row r="579" spans="1:23" ht="18.600000000000001" customHeight="1">
      <c r="A579" s="123" t="str">
        <f>IF(priority(Main[[#This Row],[Comments]])&lt;&gt;0, priority(Main[[#This Row],[Comments]]),"")</f>
        <v/>
      </c>
      <c r="B579" s="127" t="s">
        <v>2489</v>
      </c>
      <c r="C579" s="99" t="s">
        <v>2060</v>
      </c>
      <c r="D579" s="100" t="s">
        <v>2490</v>
      </c>
      <c r="E579" s="101">
        <v>40823.587650462963</v>
      </c>
      <c r="F579" s="101"/>
      <c r="G579" s="102" t="str">
        <f>IF(stdProdLT(Main[[#This Row],[Comments]])=0.1,"N/A",IF(stdProdLT(Main[[#This Row],[Comments]])=0,"",stdProdLT(Main[[#This Row],[Comments]])))</f>
        <v/>
      </c>
      <c r="H579" s="103" t="str">
        <f>IF(AND(Main[[#This Row],[In Stock Date]]&lt;&gt;"",Main[[#This Row],[Revised Due Date]]&lt;&gt;""),Main[[#This Row],[In Stock Date]]-Main[[#This Row],[Revised Due Date]],"")</f>
        <v/>
      </c>
      <c r="I579" s="99" t="s">
        <v>4</v>
      </c>
      <c r="J579" s="99" t="s">
        <v>4</v>
      </c>
      <c r="K579" s="99" t="s">
        <v>4</v>
      </c>
      <c r="L579" s="101"/>
      <c r="M579" s="104" t="str">
        <f>IF(Main[[#This Row],[Tech Start Date]]&lt;1/1/1990,"",IF(Main[[#This Row],[Class]]="C",WORKDAY(Main[[#This Row],[Tech Start Date]],9),IF(Main[[#This Row],[Class]]="B", WORKDAY(Main[[#This Row],[Tech Start Date]],6),IF(Main[[#This Row],[Class]]="A",WORKDAY(Main[[#This Row],[Tech Start Date]],2),""))))</f>
        <v/>
      </c>
      <c r="N579" s="104" t="str">
        <f>IF(Main[[#This Row],[Tech Start Date]]&lt;1/1/1990,"",IF(Main[[#This Row],[Class]]="C",WORKDAY(Main[[#This Row],[Tech Start Date]],19),IF(Main[[#This Row],[Class]]="B", WORKDAY(Main[[#This Row],[Tech Start Date]],12),IF(Main[[#This Row],[Class]]="A",WORKDAY(Main[[#This Row],[Tech Start Date]],4),""))))</f>
        <v/>
      </c>
      <c r="O579" s="104" t="str">
        <f>IF(Main[[#This Row],[Tech Start Date]]&lt;1/1/1990,"",IF(Main[[#This Row],[Class]]="C",WORKDAY(Main[[#This Row],[Tech Start Date]],23),IF(Main[[#This Row],[Class]]="B", WORKDAY(Main[[#This Row],[Tech Start Date]],15),IF(Main[[#This Row],[Class]]="A",WORKDAY(Main[[#This Row],[Tech Start Date]],5),""))))</f>
        <v/>
      </c>
      <c r="P579" s="104" t="str">
        <f>IF(Main[[#This Row],[Tech Start Date]]&lt;1/1/1990,"",IF(Main[[#This Row],[Class]]="C",WORKDAY(Main[[#This Row],[Tech Start Date]],28),IF(Main[[#This Row],[Class]]="B", WORKDAY(Main[[#This Row],[Tech Start Date]],19),IF(Main[[#This Row],[Class]]="A",WORKDAY(Main[[#This Row],[Tech Start Date]],9),""))))</f>
        <v/>
      </c>
      <c r="Q579" s="101">
        <v>40908</v>
      </c>
      <c r="R579" s="101"/>
      <c r="S579" s="99" t="s">
        <v>17</v>
      </c>
      <c r="T579" s="107" t="s">
        <v>4</v>
      </c>
      <c r="U579" s="99" t="s">
        <v>7</v>
      </c>
      <c r="V579" s="99" t="s">
        <v>1965</v>
      </c>
      <c r="W579" s="99" t="s">
        <v>1964</v>
      </c>
    </row>
    <row r="580" spans="1:23" ht="18.600000000000001" customHeight="1">
      <c r="A580" s="123" t="str">
        <f>IF(priority(Main[[#This Row],[Comments]])&lt;&gt;0, priority(Main[[#This Row],[Comments]]),"")</f>
        <v/>
      </c>
      <c r="B580" s="127" t="s">
        <v>2258</v>
      </c>
      <c r="C580" s="99" t="s">
        <v>4</v>
      </c>
      <c r="D580" s="100" t="s">
        <v>2259</v>
      </c>
      <c r="E580" s="101">
        <v>40784.623067129629</v>
      </c>
      <c r="F580" s="101"/>
      <c r="G580" s="102" t="str">
        <f>IF(stdProdLT(Main[[#This Row],[Comments]])=0.1,"N/A",IF(stdProdLT(Main[[#This Row],[Comments]])=0,"",stdProdLT(Main[[#This Row],[Comments]])))</f>
        <v/>
      </c>
      <c r="H580" s="103" t="str">
        <f>IF(AND(Main[[#This Row],[In Stock Date]]&lt;&gt;"",Main[[#This Row],[Revised Due Date]]&lt;&gt;""),Main[[#This Row],[In Stock Date]]-Main[[#This Row],[Revised Due Date]],"")</f>
        <v/>
      </c>
      <c r="I580" s="99" t="s">
        <v>4</v>
      </c>
      <c r="J580" s="99" t="s">
        <v>4</v>
      </c>
      <c r="K580" s="108" t="s">
        <v>4</v>
      </c>
      <c r="L580" s="101"/>
      <c r="M580" s="104" t="str">
        <f>IF(Main[[#This Row],[Tech Start Date]]&lt;1/1/1990,"",IF(Main[[#This Row],[Class]]="C",WORKDAY(Main[[#This Row],[Tech Start Date]],9),IF(Main[[#This Row],[Class]]="B", WORKDAY(Main[[#This Row],[Tech Start Date]],6),IF(Main[[#This Row],[Class]]="A",WORKDAY(Main[[#This Row],[Tech Start Date]],2),""))))</f>
        <v/>
      </c>
      <c r="N580" s="104" t="str">
        <f>IF(Main[[#This Row],[Tech Start Date]]&lt;1/1/1990,"",IF(Main[[#This Row],[Class]]="C",WORKDAY(Main[[#This Row],[Tech Start Date]],19),IF(Main[[#This Row],[Class]]="B", WORKDAY(Main[[#This Row],[Tech Start Date]],12),IF(Main[[#This Row],[Class]]="A",WORKDAY(Main[[#This Row],[Tech Start Date]],4),""))))</f>
        <v/>
      </c>
      <c r="O580" s="104" t="str">
        <f>IF(Main[[#This Row],[Tech Start Date]]&lt;1/1/1990,"",IF(Main[[#This Row],[Class]]="C",WORKDAY(Main[[#This Row],[Tech Start Date]],23),IF(Main[[#This Row],[Class]]="B", WORKDAY(Main[[#This Row],[Tech Start Date]],15),IF(Main[[#This Row],[Class]]="A",WORKDAY(Main[[#This Row],[Tech Start Date]],5),""))))</f>
        <v/>
      </c>
      <c r="P580" s="104" t="str">
        <f>IF(Main[[#This Row],[Tech Start Date]]&lt;1/1/1990,"",IF(Main[[#This Row],[Class]]="C",WORKDAY(Main[[#This Row],[Tech Start Date]],28),IF(Main[[#This Row],[Class]]="B", WORKDAY(Main[[#This Row],[Tech Start Date]],19),IF(Main[[#This Row],[Class]]="A",WORKDAY(Main[[#This Row],[Tech Start Date]],9),""))))</f>
        <v/>
      </c>
      <c r="Q580" s="101"/>
      <c r="R580" s="101"/>
      <c r="S580" s="99" t="s">
        <v>17</v>
      </c>
      <c r="T580" s="107" t="s">
        <v>4</v>
      </c>
      <c r="U580" s="99" t="s">
        <v>7</v>
      </c>
      <c r="V580" s="99" t="s">
        <v>1965</v>
      </c>
      <c r="W580" s="99" t="s">
        <v>1967</v>
      </c>
    </row>
    <row r="581" spans="1:23" ht="18.600000000000001" customHeight="1">
      <c r="A581" s="123" t="str">
        <f>IF(priority(Main[[#This Row],[Comments]])&lt;&gt;0, priority(Main[[#This Row],[Comments]]),"")</f>
        <v/>
      </c>
      <c r="B581" s="127" t="s">
        <v>1440</v>
      </c>
      <c r="C581" s="99" t="s">
        <v>187</v>
      </c>
      <c r="D581" s="100" t="s">
        <v>492</v>
      </c>
      <c r="E581" s="101"/>
      <c r="F581" s="101"/>
      <c r="G581" s="102" t="str">
        <f>IF(stdProdLT(Main[[#This Row],[Comments]])=0.1,"N/A",IF(stdProdLT(Main[[#This Row],[Comments]])=0,"",stdProdLT(Main[[#This Row],[Comments]])))</f>
        <v/>
      </c>
      <c r="H581" s="103" t="str">
        <f>IF(AND(Main[[#This Row],[In Stock Date]]&lt;&gt;"",Main[[#This Row],[Revised Due Date]]&lt;&gt;""),Main[[#This Row],[In Stock Date]]-Main[[#This Row],[Revised Due Date]],"")</f>
        <v/>
      </c>
      <c r="I581" s="99" t="s">
        <v>4</v>
      </c>
      <c r="J581" s="99" t="s">
        <v>4</v>
      </c>
      <c r="K581" s="99" t="s">
        <v>4</v>
      </c>
      <c r="L581" s="101"/>
      <c r="M581" s="104" t="str">
        <f>IF(Main[[#This Row],[Tech Start Date]]&lt;1/1/1990,"",IF(Main[[#This Row],[Class]]="C",WORKDAY(Main[[#This Row],[Tech Start Date]],9),IF(Main[[#This Row],[Class]]="B", WORKDAY(Main[[#This Row],[Tech Start Date]],6),IF(Main[[#This Row],[Class]]="A",WORKDAY(Main[[#This Row],[Tech Start Date]],2),""))))</f>
        <v/>
      </c>
      <c r="N581" s="104" t="str">
        <f>IF(Main[[#This Row],[Tech Start Date]]&lt;1/1/1990,"",IF(Main[[#This Row],[Class]]="C",WORKDAY(Main[[#This Row],[Tech Start Date]],19),IF(Main[[#This Row],[Class]]="B", WORKDAY(Main[[#This Row],[Tech Start Date]],12),IF(Main[[#This Row],[Class]]="A",WORKDAY(Main[[#This Row],[Tech Start Date]],4),""))))</f>
        <v/>
      </c>
      <c r="O581" s="104" t="str">
        <f>IF(Main[[#This Row],[Tech Start Date]]&lt;1/1/1990,"",IF(Main[[#This Row],[Class]]="C",WORKDAY(Main[[#This Row],[Tech Start Date]],23),IF(Main[[#This Row],[Class]]="B", WORKDAY(Main[[#This Row],[Tech Start Date]],15),IF(Main[[#This Row],[Class]]="A",WORKDAY(Main[[#This Row],[Tech Start Date]],5),""))))</f>
        <v/>
      </c>
      <c r="P581" s="104" t="str">
        <f>IF(Main[[#This Row],[Tech Start Date]]&lt;1/1/1990,"",IF(Main[[#This Row],[Class]]="C",WORKDAY(Main[[#This Row],[Tech Start Date]],28),IF(Main[[#This Row],[Class]]="B", WORKDAY(Main[[#This Row],[Tech Start Date]],19),IF(Main[[#This Row],[Class]]="A",WORKDAY(Main[[#This Row],[Tech Start Date]],9),""))))</f>
        <v/>
      </c>
      <c r="Q581" s="101">
        <v>40116</v>
      </c>
      <c r="R581" s="101"/>
      <c r="S581" s="99" t="s">
        <v>11</v>
      </c>
      <c r="T581" s="107" t="s">
        <v>4</v>
      </c>
      <c r="U581" s="99" t="s">
        <v>14</v>
      </c>
      <c r="V581" s="99" t="s">
        <v>1965</v>
      </c>
      <c r="W581" s="99" t="s">
        <v>1964</v>
      </c>
    </row>
    <row r="582" spans="1:23" ht="18.600000000000001" customHeight="1">
      <c r="A582" s="123" t="str">
        <f>IF(priority(Main[[#This Row],[Comments]])&lt;&gt;0, priority(Main[[#This Row],[Comments]]),"")</f>
        <v/>
      </c>
      <c r="B582" s="127" t="s">
        <v>1609</v>
      </c>
      <c r="C582" s="99" t="s">
        <v>658</v>
      </c>
      <c r="D582" s="100" t="s">
        <v>659</v>
      </c>
      <c r="E582" s="101">
        <v>40350.419861111113</v>
      </c>
      <c r="F582" s="101">
        <v>40444</v>
      </c>
      <c r="G582" s="102" t="str">
        <f>IF(stdProdLT(Main[[#This Row],[Comments]])=0.1,"N/A",IF(stdProdLT(Main[[#This Row],[Comments]])=0,"",stdProdLT(Main[[#This Row],[Comments]])))</f>
        <v/>
      </c>
      <c r="H582" s="103" t="str">
        <f>IF(AND(Main[[#This Row],[In Stock Date]]&lt;&gt;"",Main[[#This Row],[Revised Due Date]]&lt;&gt;""),Main[[#This Row],[In Stock Date]]-Main[[#This Row],[Revised Due Date]],"")</f>
        <v/>
      </c>
      <c r="I582" s="99" t="s">
        <v>660</v>
      </c>
      <c r="J582" s="99" t="s">
        <v>28</v>
      </c>
      <c r="K582" s="99" t="s">
        <v>1974</v>
      </c>
      <c r="L582" s="101"/>
      <c r="M582" s="104" t="str">
        <f>IF(Main[[#This Row],[Tech Start Date]]&lt;1/1/1990,"",IF(Main[[#This Row],[Class]]="C",WORKDAY(Main[[#This Row],[Tech Start Date]],9),IF(Main[[#This Row],[Class]]="B", WORKDAY(Main[[#This Row],[Tech Start Date]],6),IF(Main[[#This Row],[Class]]="A",WORKDAY(Main[[#This Row],[Tech Start Date]],2),""))))</f>
        <v/>
      </c>
      <c r="N582" s="104" t="str">
        <f>IF(Main[[#This Row],[Tech Start Date]]&lt;1/1/1990,"",IF(Main[[#This Row],[Class]]="C",WORKDAY(Main[[#This Row],[Tech Start Date]],19),IF(Main[[#This Row],[Class]]="B", WORKDAY(Main[[#This Row],[Tech Start Date]],12),IF(Main[[#This Row],[Class]]="A",WORKDAY(Main[[#This Row],[Tech Start Date]],4),""))))</f>
        <v/>
      </c>
      <c r="O582" s="104" t="str">
        <f>IF(Main[[#This Row],[Tech Start Date]]&lt;1/1/1990,"",IF(Main[[#This Row],[Class]]="C",WORKDAY(Main[[#This Row],[Tech Start Date]],23),IF(Main[[#This Row],[Class]]="B", WORKDAY(Main[[#This Row],[Tech Start Date]],15),IF(Main[[#This Row],[Class]]="A",WORKDAY(Main[[#This Row],[Tech Start Date]],5),""))))</f>
        <v/>
      </c>
      <c r="P582" s="104" t="str">
        <f>IF(Main[[#This Row],[Tech Start Date]]&lt;1/1/1990,"",IF(Main[[#This Row],[Class]]="C",WORKDAY(Main[[#This Row],[Tech Start Date]],28),IF(Main[[#This Row],[Class]]="B", WORKDAY(Main[[#This Row],[Tech Start Date]],19),IF(Main[[#This Row],[Class]]="A",WORKDAY(Main[[#This Row],[Tech Start Date]],9),""))))</f>
        <v/>
      </c>
      <c r="Q582" s="101">
        <v>40353</v>
      </c>
      <c r="R582" s="101"/>
      <c r="S582" s="99" t="s">
        <v>17</v>
      </c>
      <c r="T582" s="107" t="s">
        <v>4</v>
      </c>
      <c r="U582" s="99" t="s">
        <v>7</v>
      </c>
      <c r="V582" s="99" t="s">
        <v>1965</v>
      </c>
      <c r="W582" s="99" t="s">
        <v>1967</v>
      </c>
    </row>
    <row r="583" spans="1:23" ht="18.600000000000001" customHeight="1">
      <c r="A583" s="123" t="str">
        <f>IF(priority(Main[[#This Row],[Comments]])&lt;&gt;0, priority(Main[[#This Row],[Comments]]),"")</f>
        <v/>
      </c>
      <c r="B583" s="127" t="s">
        <v>1443</v>
      </c>
      <c r="C583" s="99" t="s">
        <v>67</v>
      </c>
      <c r="D583" s="100" t="s">
        <v>494</v>
      </c>
      <c r="E583" s="101"/>
      <c r="F583" s="101">
        <v>40561</v>
      </c>
      <c r="G583" s="102" t="str">
        <f>IF(stdProdLT(Main[[#This Row],[Comments]])=0.1,"N/A",IF(stdProdLT(Main[[#This Row],[Comments]])=0,"",stdProdLT(Main[[#This Row],[Comments]])))</f>
        <v/>
      </c>
      <c r="H583" s="103" t="str">
        <f>IF(AND(Main[[#This Row],[In Stock Date]]&lt;&gt;"",Main[[#This Row],[Revised Due Date]]&lt;&gt;""),Main[[#This Row],[In Stock Date]]-Main[[#This Row],[Revised Due Date]],"")</f>
        <v/>
      </c>
      <c r="I583" s="99" t="s">
        <v>4</v>
      </c>
      <c r="J583" s="99" t="s">
        <v>4</v>
      </c>
      <c r="K583" s="99" t="s">
        <v>4</v>
      </c>
      <c r="L583" s="101"/>
      <c r="M583" s="104" t="str">
        <f>IF(Main[[#This Row],[Tech Start Date]]&lt;1/1/1990,"",IF(Main[[#This Row],[Class]]="C",WORKDAY(Main[[#This Row],[Tech Start Date]],9),IF(Main[[#This Row],[Class]]="B", WORKDAY(Main[[#This Row],[Tech Start Date]],6),IF(Main[[#This Row],[Class]]="A",WORKDAY(Main[[#This Row],[Tech Start Date]],2),""))))</f>
        <v/>
      </c>
      <c r="N583" s="104" t="str">
        <f>IF(Main[[#This Row],[Tech Start Date]]&lt;1/1/1990,"",IF(Main[[#This Row],[Class]]="C",WORKDAY(Main[[#This Row],[Tech Start Date]],19),IF(Main[[#This Row],[Class]]="B", WORKDAY(Main[[#This Row],[Tech Start Date]],12),IF(Main[[#This Row],[Class]]="A",WORKDAY(Main[[#This Row],[Tech Start Date]],4),""))))</f>
        <v/>
      </c>
      <c r="O583" s="104" t="str">
        <f>IF(Main[[#This Row],[Tech Start Date]]&lt;1/1/1990,"",IF(Main[[#This Row],[Class]]="C",WORKDAY(Main[[#This Row],[Tech Start Date]],23),IF(Main[[#This Row],[Class]]="B", WORKDAY(Main[[#This Row],[Tech Start Date]],15),IF(Main[[#This Row],[Class]]="A",WORKDAY(Main[[#This Row],[Tech Start Date]],5),""))))</f>
        <v/>
      </c>
      <c r="P583" s="104" t="str">
        <f>IF(Main[[#This Row],[Tech Start Date]]&lt;1/1/1990,"",IF(Main[[#This Row],[Class]]="C",WORKDAY(Main[[#This Row],[Tech Start Date]],28),IF(Main[[#This Row],[Class]]="B", WORKDAY(Main[[#This Row],[Tech Start Date]],19),IF(Main[[#This Row],[Class]]="A",WORKDAY(Main[[#This Row],[Tech Start Date]],9),""))))</f>
        <v/>
      </c>
      <c r="Q583" s="101"/>
      <c r="R583" s="101"/>
      <c r="S583" s="99" t="s">
        <v>11</v>
      </c>
      <c r="T583" s="107" t="s">
        <v>4</v>
      </c>
      <c r="U583" s="99" t="s">
        <v>14</v>
      </c>
      <c r="V583" s="99" t="s">
        <v>1965</v>
      </c>
      <c r="W583" s="99" t="s">
        <v>1968</v>
      </c>
    </row>
    <row r="584" spans="1:23" ht="18.600000000000001" customHeight="1">
      <c r="A584" s="123" t="str">
        <f>IF(priority(Main[[#This Row],[Comments]])&lt;&gt;0, priority(Main[[#This Row],[Comments]]),"")</f>
        <v/>
      </c>
      <c r="B584" s="127" t="s">
        <v>1445</v>
      </c>
      <c r="C584" s="99" t="s">
        <v>31</v>
      </c>
      <c r="D584" s="100" t="s">
        <v>496</v>
      </c>
      <c r="E584" s="101"/>
      <c r="F584" s="101">
        <v>40203</v>
      </c>
      <c r="G584" s="102" t="str">
        <f>IF(stdProdLT(Main[[#This Row],[Comments]])=0.1,"N/A",IF(stdProdLT(Main[[#This Row],[Comments]])=0,"",stdProdLT(Main[[#This Row],[Comments]])))</f>
        <v/>
      </c>
      <c r="H584" s="103" t="str">
        <f>IF(AND(Main[[#This Row],[In Stock Date]]&lt;&gt;"",Main[[#This Row],[Revised Due Date]]&lt;&gt;""),Main[[#This Row],[In Stock Date]]-Main[[#This Row],[Revised Due Date]],"")</f>
        <v/>
      </c>
      <c r="I584" s="99" t="s">
        <v>4</v>
      </c>
      <c r="J584" s="99" t="s">
        <v>4</v>
      </c>
      <c r="K584" s="99" t="s">
        <v>4</v>
      </c>
      <c r="L584" s="101"/>
      <c r="M584" s="104" t="str">
        <f>IF(Main[[#This Row],[Tech Start Date]]&lt;1/1/1990,"",IF(Main[[#This Row],[Class]]="C",WORKDAY(Main[[#This Row],[Tech Start Date]],9),IF(Main[[#This Row],[Class]]="B", WORKDAY(Main[[#This Row],[Tech Start Date]],6),IF(Main[[#This Row],[Class]]="A",WORKDAY(Main[[#This Row],[Tech Start Date]],2),""))))</f>
        <v/>
      </c>
      <c r="N584" s="104" t="str">
        <f>IF(Main[[#This Row],[Tech Start Date]]&lt;1/1/1990,"",IF(Main[[#This Row],[Class]]="C",WORKDAY(Main[[#This Row],[Tech Start Date]],19),IF(Main[[#This Row],[Class]]="B", WORKDAY(Main[[#This Row],[Tech Start Date]],12),IF(Main[[#This Row],[Class]]="A",WORKDAY(Main[[#This Row],[Tech Start Date]],4),""))))</f>
        <v/>
      </c>
      <c r="O584" s="104" t="str">
        <f>IF(Main[[#This Row],[Tech Start Date]]&lt;1/1/1990,"",IF(Main[[#This Row],[Class]]="C",WORKDAY(Main[[#This Row],[Tech Start Date]],23),IF(Main[[#This Row],[Class]]="B", WORKDAY(Main[[#This Row],[Tech Start Date]],15),IF(Main[[#This Row],[Class]]="A",WORKDAY(Main[[#This Row],[Tech Start Date]],5),""))))</f>
        <v/>
      </c>
      <c r="P584" s="104" t="str">
        <f>IF(Main[[#This Row],[Tech Start Date]]&lt;1/1/1990,"",IF(Main[[#This Row],[Class]]="C",WORKDAY(Main[[#This Row],[Tech Start Date]],28),IF(Main[[#This Row],[Class]]="B", WORKDAY(Main[[#This Row],[Tech Start Date]],19),IF(Main[[#This Row],[Class]]="A",WORKDAY(Main[[#This Row],[Tech Start Date]],9),""))))</f>
        <v/>
      </c>
      <c r="Q584" s="101">
        <v>40063</v>
      </c>
      <c r="R584" s="101"/>
      <c r="S584" s="99" t="s">
        <v>11</v>
      </c>
      <c r="T584" s="107" t="s">
        <v>4</v>
      </c>
      <c r="U584" s="99" t="s">
        <v>14</v>
      </c>
      <c r="V584" s="99" t="s">
        <v>1972</v>
      </c>
      <c r="W584" s="99" t="s">
        <v>1968</v>
      </c>
    </row>
    <row r="585" spans="1:23" ht="18.600000000000001" customHeight="1">
      <c r="A585" s="123" t="str">
        <f>IF(priority(Main[[#This Row],[Comments]])&lt;&gt;0, priority(Main[[#This Row],[Comments]]),"")</f>
        <v/>
      </c>
      <c r="B585" s="127" t="s">
        <v>1446</v>
      </c>
      <c r="C585" s="99" t="s">
        <v>4</v>
      </c>
      <c r="D585" s="100" t="s">
        <v>497</v>
      </c>
      <c r="E585" s="101">
        <v>40381.391886574071</v>
      </c>
      <c r="F585" s="101"/>
      <c r="G585" s="102" t="str">
        <f>IF(stdProdLT(Main[[#This Row],[Comments]])=0.1,"N/A",IF(stdProdLT(Main[[#This Row],[Comments]])=0,"",stdProdLT(Main[[#This Row],[Comments]])))</f>
        <v/>
      </c>
      <c r="H585" s="103" t="str">
        <f>IF(AND(Main[[#This Row],[In Stock Date]]&lt;&gt;"",Main[[#This Row],[Revised Due Date]]&lt;&gt;""),Main[[#This Row],[In Stock Date]]-Main[[#This Row],[Revised Due Date]],"")</f>
        <v/>
      </c>
      <c r="I585" s="99" t="s">
        <v>4</v>
      </c>
      <c r="J585" s="99" t="s">
        <v>28</v>
      </c>
      <c r="K585" s="99" t="s">
        <v>4</v>
      </c>
      <c r="L585" s="101"/>
      <c r="M585" s="104" t="str">
        <f>IF(Main[[#This Row],[Tech Start Date]]&lt;1/1/1990,"",IF(Main[[#This Row],[Class]]="C",WORKDAY(Main[[#This Row],[Tech Start Date]],9),IF(Main[[#This Row],[Class]]="B", WORKDAY(Main[[#This Row],[Tech Start Date]],6),IF(Main[[#This Row],[Class]]="A",WORKDAY(Main[[#This Row],[Tech Start Date]],2),""))))</f>
        <v/>
      </c>
      <c r="N585" s="104" t="str">
        <f>IF(Main[[#This Row],[Tech Start Date]]&lt;1/1/1990,"",IF(Main[[#This Row],[Class]]="C",WORKDAY(Main[[#This Row],[Tech Start Date]],19),IF(Main[[#This Row],[Class]]="B", WORKDAY(Main[[#This Row],[Tech Start Date]],12),IF(Main[[#This Row],[Class]]="A",WORKDAY(Main[[#This Row],[Tech Start Date]],4),""))))</f>
        <v/>
      </c>
      <c r="O585" s="104" t="str">
        <f>IF(Main[[#This Row],[Tech Start Date]]&lt;1/1/1990,"",IF(Main[[#This Row],[Class]]="C",WORKDAY(Main[[#This Row],[Tech Start Date]],23),IF(Main[[#This Row],[Class]]="B", WORKDAY(Main[[#This Row],[Tech Start Date]],15),IF(Main[[#This Row],[Class]]="A",WORKDAY(Main[[#This Row],[Tech Start Date]],5),""))))</f>
        <v/>
      </c>
      <c r="P585" s="104" t="str">
        <f>IF(Main[[#This Row],[Tech Start Date]]&lt;1/1/1990,"",IF(Main[[#This Row],[Class]]="C",WORKDAY(Main[[#This Row],[Tech Start Date]],28),IF(Main[[#This Row],[Class]]="B", WORKDAY(Main[[#This Row],[Tech Start Date]],19),IF(Main[[#This Row],[Class]]="A",WORKDAY(Main[[#This Row],[Tech Start Date]],9),""))))</f>
        <v/>
      </c>
      <c r="Q585" s="101">
        <v>40451</v>
      </c>
      <c r="R585" s="101"/>
      <c r="S585" s="99" t="s">
        <v>6</v>
      </c>
      <c r="T585" s="107" t="s">
        <v>4</v>
      </c>
      <c r="U585" s="99" t="s">
        <v>7</v>
      </c>
      <c r="V585" s="99" t="s">
        <v>1962</v>
      </c>
      <c r="W585" s="99" t="s">
        <v>1964</v>
      </c>
    </row>
    <row r="586" spans="1:23" ht="18.600000000000001" customHeight="1">
      <c r="A586" s="123" t="str">
        <f>IF(priority(Main[[#This Row],[Comments]])&lt;&gt;0, priority(Main[[#This Row],[Comments]]),"")</f>
        <v/>
      </c>
      <c r="B586" s="127" t="s">
        <v>1459</v>
      </c>
      <c r="C586" s="99" t="s">
        <v>4</v>
      </c>
      <c r="D586" s="100" t="s">
        <v>514</v>
      </c>
      <c r="E586" s="101">
        <v>40322.154652777775</v>
      </c>
      <c r="F586" s="101"/>
      <c r="G586" s="102" t="str">
        <f>IF(stdProdLT(Main[[#This Row],[Comments]])=0.1,"N/A",IF(stdProdLT(Main[[#This Row],[Comments]])=0,"",stdProdLT(Main[[#This Row],[Comments]])))</f>
        <v/>
      </c>
      <c r="H586" s="103" t="str">
        <f>IF(AND(Main[[#This Row],[In Stock Date]]&lt;&gt;"",Main[[#This Row],[Revised Due Date]]&lt;&gt;""),Main[[#This Row],[In Stock Date]]-Main[[#This Row],[Revised Due Date]],"")</f>
        <v/>
      </c>
      <c r="I586" s="99" t="s">
        <v>129</v>
      </c>
      <c r="J586" s="99" t="s">
        <v>4</v>
      </c>
      <c r="K586" s="99" t="s">
        <v>4</v>
      </c>
      <c r="L586" s="101"/>
      <c r="M586" s="104" t="str">
        <f>IF(Main[[#This Row],[Tech Start Date]]&lt;1/1/1990,"",IF(Main[[#This Row],[Class]]="C",WORKDAY(Main[[#This Row],[Tech Start Date]],9),IF(Main[[#This Row],[Class]]="B", WORKDAY(Main[[#This Row],[Tech Start Date]],6),IF(Main[[#This Row],[Class]]="A",WORKDAY(Main[[#This Row],[Tech Start Date]],2),""))))</f>
        <v/>
      </c>
      <c r="N586" s="104" t="str">
        <f>IF(Main[[#This Row],[Tech Start Date]]&lt;1/1/1990,"",IF(Main[[#This Row],[Class]]="C",WORKDAY(Main[[#This Row],[Tech Start Date]],19),IF(Main[[#This Row],[Class]]="B", WORKDAY(Main[[#This Row],[Tech Start Date]],12),IF(Main[[#This Row],[Class]]="A",WORKDAY(Main[[#This Row],[Tech Start Date]],4),""))))</f>
        <v/>
      </c>
      <c r="O586" s="104" t="str">
        <f>IF(Main[[#This Row],[Tech Start Date]]&lt;1/1/1990,"",IF(Main[[#This Row],[Class]]="C",WORKDAY(Main[[#This Row],[Tech Start Date]],23),IF(Main[[#This Row],[Class]]="B", WORKDAY(Main[[#This Row],[Tech Start Date]],15),IF(Main[[#This Row],[Class]]="A",WORKDAY(Main[[#This Row],[Tech Start Date]],5),""))))</f>
        <v/>
      </c>
      <c r="P586" s="104" t="str">
        <f>IF(Main[[#This Row],[Tech Start Date]]&lt;1/1/1990,"",IF(Main[[#This Row],[Class]]="C",WORKDAY(Main[[#This Row],[Tech Start Date]],28),IF(Main[[#This Row],[Class]]="B", WORKDAY(Main[[#This Row],[Tech Start Date]],19),IF(Main[[#This Row],[Class]]="A",WORKDAY(Main[[#This Row],[Tech Start Date]],9),""))))</f>
        <v/>
      </c>
      <c r="Q586" s="101">
        <v>40353</v>
      </c>
      <c r="R586" s="101"/>
      <c r="S586" s="99" t="s">
        <v>6</v>
      </c>
      <c r="T586" s="107" t="s">
        <v>4</v>
      </c>
      <c r="U586" s="99" t="s">
        <v>7</v>
      </c>
      <c r="V586" s="99" t="s">
        <v>1962</v>
      </c>
      <c r="W586" s="99" t="s">
        <v>1964</v>
      </c>
    </row>
    <row r="587" spans="1:23" ht="18.600000000000001" customHeight="1">
      <c r="A587" s="123" t="str">
        <f>IF(priority(Main[[#This Row],[Comments]])&lt;&gt;0, priority(Main[[#This Row],[Comments]]),"")</f>
        <v/>
      </c>
      <c r="B587" s="127" t="s">
        <v>1460</v>
      </c>
      <c r="C587" s="99" t="s">
        <v>4</v>
      </c>
      <c r="D587" s="100" t="s">
        <v>515</v>
      </c>
      <c r="E587" s="101"/>
      <c r="F587" s="101"/>
      <c r="G587" s="102" t="str">
        <f>IF(stdProdLT(Main[[#This Row],[Comments]])=0.1,"N/A",IF(stdProdLT(Main[[#This Row],[Comments]])=0,"",stdProdLT(Main[[#This Row],[Comments]])))</f>
        <v/>
      </c>
      <c r="H587" s="103" t="str">
        <f>IF(AND(Main[[#This Row],[In Stock Date]]&lt;&gt;"",Main[[#This Row],[Revised Due Date]]&lt;&gt;""),Main[[#This Row],[In Stock Date]]-Main[[#This Row],[Revised Due Date]],"")</f>
        <v/>
      </c>
      <c r="I587" s="99" t="s">
        <v>4</v>
      </c>
      <c r="J587" s="99" t="s">
        <v>4</v>
      </c>
      <c r="K587" s="108" t="s">
        <v>4</v>
      </c>
      <c r="L587" s="101"/>
      <c r="M587" s="104" t="str">
        <f>IF(Main[[#This Row],[Tech Start Date]]&lt;1/1/1990,"",IF(Main[[#This Row],[Class]]="C",WORKDAY(Main[[#This Row],[Tech Start Date]],9),IF(Main[[#This Row],[Class]]="B", WORKDAY(Main[[#This Row],[Tech Start Date]],6),IF(Main[[#This Row],[Class]]="A",WORKDAY(Main[[#This Row],[Tech Start Date]],2),""))))</f>
        <v/>
      </c>
      <c r="N587" s="104" t="str">
        <f>IF(Main[[#This Row],[Tech Start Date]]&lt;1/1/1990,"",IF(Main[[#This Row],[Class]]="C",WORKDAY(Main[[#This Row],[Tech Start Date]],19),IF(Main[[#This Row],[Class]]="B", WORKDAY(Main[[#This Row],[Tech Start Date]],12),IF(Main[[#This Row],[Class]]="A",WORKDAY(Main[[#This Row],[Tech Start Date]],4),""))))</f>
        <v/>
      </c>
      <c r="O587" s="104" t="str">
        <f>IF(Main[[#This Row],[Tech Start Date]]&lt;1/1/1990,"",IF(Main[[#This Row],[Class]]="C",WORKDAY(Main[[#This Row],[Tech Start Date]],23),IF(Main[[#This Row],[Class]]="B", WORKDAY(Main[[#This Row],[Tech Start Date]],15),IF(Main[[#This Row],[Class]]="A",WORKDAY(Main[[#This Row],[Tech Start Date]],5),""))))</f>
        <v/>
      </c>
      <c r="P587" s="104" t="str">
        <f>IF(Main[[#This Row],[Tech Start Date]]&lt;1/1/1990,"",IF(Main[[#This Row],[Class]]="C",WORKDAY(Main[[#This Row],[Tech Start Date]],28),IF(Main[[#This Row],[Class]]="B", WORKDAY(Main[[#This Row],[Tech Start Date]],19),IF(Main[[#This Row],[Class]]="A",WORKDAY(Main[[#This Row],[Tech Start Date]],9),""))))</f>
        <v/>
      </c>
      <c r="Q587" s="101"/>
      <c r="R587" s="101"/>
      <c r="S587" s="99" t="s">
        <v>4</v>
      </c>
      <c r="T587" s="107" t="s">
        <v>4</v>
      </c>
      <c r="U587" s="99" t="s">
        <v>14</v>
      </c>
      <c r="V587" s="99" t="s">
        <v>1962</v>
      </c>
      <c r="W587" s="99" t="s">
        <v>4</v>
      </c>
    </row>
    <row r="588" spans="1:23" ht="18.600000000000001" customHeight="1">
      <c r="A588" s="123" t="str">
        <f>IF(priority(Main[[#This Row],[Comments]])&lt;&gt;0, priority(Main[[#This Row],[Comments]]),"")</f>
        <v/>
      </c>
      <c r="B588" s="127" t="s">
        <v>1463</v>
      </c>
      <c r="C588" s="99" t="s">
        <v>31</v>
      </c>
      <c r="D588" s="100" t="s">
        <v>516</v>
      </c>
      <c r="E588" s="101"/>
      <c r="F588" s="101"/>
      <c r="G588" s="102" t="str">
        <f>IF(stdProdLT(Main[[#This Row],[Comments]])=0.1,"N/A",IF(stdProdLT(Main[[#This Row],[Comments]])=0,"",stdProdLT(Main[[#This Row],[Comments]])))</f>
        <v/>
      </c>
      <c r="H588" s="103" t="str">
        <f>IF(AND(Main[[#This Row],[In Stock Date]]&lt;&gt;"",Main[[#This Row],[Revised Due Date]]&lt;&gt;""),Main[[#This Row],[In Stock Date]]-Main[[#This Row],[Revised Due Date]],"")</f>
        <v/>
      </c>
      <c r="I588" s="99" t="s">
        <v>4</v>
      </c>
      <c r="J588" s="99" t="s">
        <v>4</v>
      </c>
      <c r="K588" s="99" t="s">
        <v>4</v>
      </c>
      <c r="L588" s="101"/>
      <c r="M588" s="104" t="str">
        <f>IF(Main[[#This Row],[Tech Start Date]]&lt;1/1/1990,"",IF(Main[[#This Row],[Class]]="C",WORKDAY(Main[[#This Row],[Tech Start Date]],9),IF(Main[[#This Row],[Class]]="B", WORKDAY(Main[[#This Row],[Tech Start Date]],6),IF(Main[[#This Row],[Class]]="A",WORKDAY(Main[[#This Row],[Tech Start Date]],2),""))))</f>
        <v/>
      </c>
      <c r="N588" s="104" t="str">
        <f>IF(Main[[#This Row],[Tech Start Date]]&lt;1/1/1990,"",IF(Main[[#This Row],[Class]]="C",WORKDAY(Main[[#This Row],[Tech Start Date]],19),IF(Main[[#This Row],[Class]]="B", WORKDAY(Main[[#This Row],[Tech Start Date]],12),IF(Main[[#This Row],[Class]]="A",WORKDAY(Main[[#This Row],[Tech Start Date]],4),""))))</f>
        <v/>
      </c>
      <c r="O588" s="104" t="str">
        <f>IF(Main[[#This Row],[Tech Start Date]]&lt;1/1/1990,"",IF(Main[[#This Row],[Class]]="C",WORKDAY(Main[[#This Row],[Tech Start Date]],23),IF(Main[[#This Row],[Class]]="B", WORKDAY(Main[[#This Row],[Tech Start Date]],15),IF(Main[[#This Row],[Class]]="A",WORKDAY(Main[[#This Row],[Tech Start Date]],5),""))))</f>
        <v/>
      </c>
      <c r="P588" s="104" t="str">
        <f>IF(Main[[#This Row],[Tech Start Date]]&lt;1/1/1990,"",IF(Main[[#This Row],[Class]]="C",WORKDAY(Main[[#This Row],[Tech Start Date]],28),IF(Main[[#This Row],[Class]]="B", WORKDAY(Main[[#This Row],[Tech Start Date]],19),IF(Main[[#This Row],[Class]]="A",WORKDAY(Main[[#This Row],[Tech Start Date]],9),""))))</f>
        <v/>
      </c>
      <c r="Q588" s="101">
        <v>40318</v>
      </c>
      <c r="R588" s="101"/>
      <c r="S588" s="99" t="s">
        <v>11</v>
      </c>
      <c r="T588" s="107" t="s">
        <v>4</v>
      </c>
      <c r="U588" s="99" t="s">
        <v>14</v>
      </c>
      <c r="V588" s="99" t="s">
        <v>1965</v>
      </c>
      <c r="W588" s="99" t="s">
        <v>1973</v>
      </c>
    </row>
    <row r="589" spans="1:23" ht="18.600000000000001" customHeight="1">
      <c r="A589" s="123" t="str">
        <f>IF(priority(Main[[#This Row],[Comments]])&lt;&gt;0, priority(Main[[#This Row],[Comments]]),"")</f>
        <v/>
      </c>
      <c r="B589" s="127" t="s">
        <v>1464</v>
      </c>
      <c r="C589" s="99" t="s">
        <v>47</v>
      </c>
      <c r="D589" s="100" t="s">
        <v>517</v>
      </c>
      <c r="E589" s="101"/>
      <c r="F589" s="101"/>
      <c r="G589" s="102" t="str">
        <f>IF(stdProdLT(Main[[#This Row],[Comments]])=0.1,"N/A",IF(stdProdLT(Main[[#This Row],[Comments]])=0,"",stdProdLT(Main[[#This Row],[Comments]])))</f>
        <v/>
      </c>
      <c r="H589" s="103" t="str">
        <f>IF(AND(Main[[#This Row],[In Stock Date]]&lt;&gt;"",Main[[#This Row],[Revised Due Date]]&lt;&gt;""),Main[[#This Row],[In Stock Date]]-Main[[#This Row],[Revised Due Date]],"")</f>
        <v/>
      </c>
      <c r="I589" s="99" t="s">
        <v>4</v>
      </c>
      <c r="J589" s="99" t="s">
        <v>4</v>
      </c>
      <c r="K589" s="99" t="s">
        <v>4</v>
      </c>
      <c r="L589" s="101"/>
      <c r="M589" s="104" t="str">
        <f>IF(Main[[#This Row],[Tech Start Date]]&lt;1/1/1990,"",IF(Main[[#This Row],[Class]]="C",WORKDAY(Main[[#This Row],[Tech Start Date]],9),IF(Main[[#This Row],[Class]]="B", WORKDAY(Main[[#This Row],[Tech Start Date]],6),IF(Main[[#This Row],[Class]]="A",WORKDAY(Main[[#This Row],[Tech Start Date]],2),""))))</f>
        <v/>
      </c>
      <c r="N589" s="104" t="str">
        <f>IF(Main[[#This Row],[Tech Start Date]]&lt;1/1/1990,"",IF(Main[[#This Row],[Class]]="C",WORKDAY(Main[[#This Row],[Tech Start Date]],19),IF(Main[[#This Row],[Class]]="B", WORKDAY(Main[[#This Row],[Tech Start Date]],12),IF(Main[[#This Row],[Class]]="A",WORKDAY(Main[[#This Row],[Tech Start Date]],4),""))))</f>
        <v/>
      </c>
      <c r="O589" s="104" t="str">
        <f>IF(Main[[#This Row],[Tech Start Date]]&lt;1/1/1990,"",IF(Main[[#This Row],[Class]]="C",WORKDAY(Main[[#This Row],[Tech Start Date]],23),IF(Main[[#This Row],[Class]]="B", WORKDAY(Main[[#This Row],[Tech Start Date]],15),IF(Main[[#This Row],[Class]]="A",WORKDAY(Main[[#This Row],[Tech Start Date]],5),""))))</f>
        <v/>
      </c>
      <c r="P589" s="104" t="str">
        <f>IF(Main[[#This Row],[Tech Start Date]]&lt;1/1/1990,"",IF(Main[[#This Row],[Class]]="C",WORKDAY(Main[[#This Row],[Tech Start Date]],28),IF(Main[[#This Row],[Class]]="B", WORKDAY(Main[[#This Row],[Tech Start Date]],19),IF(Main[[#This Row],[Class]]="A",WORKDAY(Main[[#This Row],[Tech Start Date]],9),""))))</f>
        <v/>
      </c>
      <c r="Q589" s="101"/>
      <c r="R589" s="101"/>
      <c r="S589" s="99" t="s">
        <v>11</v>
      </c>
      <c r="T589" s="107" t="s">
        <v>4</v>
      </c>
      <c r="U589" s="99" t="s">
        <v>14</v>
      </c>
      <c r="V589" s="99" t="s">
        <v>1963</v>
      </c>
      <c r="W589" s="99" t="s">
        <v>1966</v>
      </c>
    </row>
    <row r="590" spans="1:23" ht="18.600000000000001" customHeight="1">
      <c r="A590" s="123" t="str">
        <f>IF(priority(Main[[#This Row],[Comments]])&lt;&gt;0, priority(Main[[#This Row],[Comments]]),"")</f>
        <v/>
      </c>
      <c r="B590" s="127" t="s">
        <v>1465</v>
      </c>
      <c r="C590" s="99" t="s">
        <v>4</v>
      </c>
      <c r="D590" s="100" t="s">
        <v>518</v>
      </c>
      <c r="E590" s="101">
        <v>40465.986851851849</v>
      </c>
      <c r="F590" s="101"/>
      <c r="G590" s="102" t="str">
        <f>IF(stdProdLT(Main[[#This Row],[Comments]])=0.1,"N/A",IF(stdProdLT(Main[[#This Row],[Comments]])=0,"",stdProdLT(Main[[#This Row],[Comments]])))</f>
        <v/>
      </c>
      <c r="H590" s="103" t="str">
        <f>IF(AND(Main[[#This Row],[In Stock Date]]&lt;&gt;"",Main[[#This Row],[Revised Due Date]]&lt;&gt;""),Main[[#This Row],[In Stock Date]]-Main[[#This Row],[Revised Due Date]],"")</f>
        <v/>
      </c>
      <c r="I590" s="99" t="s">
        <v>4</v>
      </c>
      <c r="J590" s="99" t="s">
        <v>28</v>
      </c>
      <c r="K590" s="99" t="s">
        <v>4</v>
      </c>
      <c r="L590" s="101"/>
      <c r="M590" s="104" t="str">
        <f>IF(Main[[#This Row],[Tech Start Date]]&lt;1/1/1990,"",IF(Main[[#This Row],[Class]]="C",WORKDAY(Main[[#This Row],[Tech Start Date]],9),IF(Main[[#This Row],[Class]]="B", WORKDAY(Main[[#This Row],[Tech Start Date]],6),IF(Main[[#This Row],[Class]]="A",WORKDAY(Main[[#This Row],[Tech Start Date]],2),""))))</f>
        <v/>
      </c>
      <c r="N590" s="104" t="str">
        <f>IF(Main[[#This Row],[Tech Start Date]]&lt;1/1/1990,"",IF(Main[[#This Row],[Class]]="C",WORKDAY(Main[[#This Row],[Tech Start Date]],19),IF(Main[[#This Row],[Class]]="B", WORKDAY(Main[[#This Row],[Tech Start Date]],12),IF(Main[[#This Row],[Class]]="A",WORKDAY(Main[[#This Row],[Tech Start Date]],4),""))))</f>
        <v/>
      </c>
      <c r="O590" s="104" t="str">
        <f>IF(Main[[#This Row],[Tech Start Date]]&lt;1/1/1990,"",IF(Main[[#This Row],[Class]]="C",WORKDAY(Main[[#This Row],[Tech Start Date]],23),IF(Main[[#This Row],[Class]]="B", WORKDAY(Main[[#This Row],[Tech Start Date]],15),IF(Main[[#This Row],[Class]]="A",WORKDAY(Main[[#This Row],[Tech Start Date]],5),""))))</f>
        <v/>
      </c>
      <c r="P590" s="104" t="str">
        <f>IF(Main[[#This Row],[Tech Start Date]]&lt;1/1/1990,"",IF(Main[[#This Row],[Class]]="C",WORKDAY(Main[[#This Row],[Tech Start Date]],28),IF(Main[[#This Row],[Class]]="B", WORKDAY(Main[[#This Row],[Tech Start Date]],19),IF(Main[[#This Row],[Class]]="A",WORKDAY(Main[[#This Row],[Tech Start Date]],9),""))))</f>
        <v/>
      </c>
      <c r="Q590" s="101"/>
      <c r="R590" s="101"/>
      <c r="S590" s="99" t="s">
        <v>6</v>
      </c>
      <c r="T590" s="107" t="s">
        <v>4</v>
      </c>
      <c r="U590" s="99" t="s">
        <v>7</v>
      </c>
      <c r="V590" s="99" t="s">
        <v>1962</v>
      </c>
      <c r="W590" s="99" t="s">
        <v>1966</v>
      </c>
    </row>
    <row r="591" spans="1:23" ht="18.600000000000001" customHeight="1">
      <c r="A591" s="123" t="str">
        <f>IF(priority(Main[[#This Row],[Comments]])&lt;&gt;0, priority(Main[[#This Row],[Comments]]),"")</f>
        <v/>
      </c>
      <c r="B591" s="127" t="s">
        <v>1288</v>
      </c>
      <c r="C591" s="99" t="s">
        <v>4</v>
      </c>
      <c r="D591" s="100" t="s">
        <v>324</v>
      </c>
      <c r="E591" s="101">
        <v>40014.430787037039</v>
      </c>
      <c r="F591" s="101"/>
      <c r="G591" s="102" t="str">
        <f>IF(stdProdLT(Main[[#This Row],[Comments]])=0.1,"N/A",IF(stdProdLT(Main[[#This Row],[Comments]])=0,"",stdProdLT(Main[[#This Row],[Comments]])))</f>
        <v/>
      </c>
      <c r="H591" s="103" t="str">
        <f>IF(AND(Main[[#This Row],[In Stock Date]]&lt;&gt;"",Main[[#This Row],[Revised Due Date]]&lt;&gt;""),Main[[#This Row],[In Stock Date]]-Main[[#This Row],[Revised Due Date]],"")</f>
        <v/>
      </c>
      <c r="I591" s="99" t="s">
        <v>2065</v>
      </c>
      <c r="J591" s="99" t="s">
        <v>28</v>
      </c>
      <c r="K591" s="99" t="s">
        <v>4</v>
      </c>
      <c r="L591" s="101"/>
      <c r="M591" s="104" t="str">
        <f>IF(Main[[#This Row],[Tech Start Date]]&lt;1/1/1990,"",IF(Main[[#This Row],[Class]]="C",WORKDAY(Main[[#This Row],[Tech Start Date]],9),IF(Main[[#This Row],[Class]]="B", WORKDAY(Main[[#This Row],[Tech Start Date]],6),IF(Main[[#This Row],[Class]]="A",WORKDAY(Main[[#This Row],[Tech Start Date]],2),""))))</f>
        <v/>
      </c>
      <c r="N591" s="104" t="str">
        <f>IF(Main[[#This Row],[Tech Start Date]]&lt;1/1/1990,"",IF(Main[[#This Row],[Class]]="C",WORKDAY(Main[[#This Row],[Tech Start Date]],19),IF(Main[[#This Row],[Class]]="B", WORKDAY(Main[[#This Row],[Tech Start Date]],12),IF(Main[[#This Row],[Class]]="A",WORKDAY(Main[[#This Row],[Tech Start Date]],4),""))))</f>
        <v/>
      </c>
      <c r="O591" s="104" t="str">
        <f>IF(Main[[#This Row],[Tech Start Date]]&lt;1/1/1990,"",IF(Main[[#This Row],[Class]]="C",WORKDAY(Main[[#This Row],[Tech Start Date]],23),IF(Main[[#This Row],[Class]]="B", WORKDAY(Main[[#This Row],[Tech Start Date]],15),IF(Main[[#This Row],[Class]]="A",WORKDAY(Main[[#This Row],[Tech Start Date]],5),""))))</f>
        <v/>
      </c>
      <c r="P591" s="104" t="str">
        <f>IF(Main[[#This Row],[Tech Start Date]]&lt;1/1/1990,"",IF(Main[[#This Row],[Class]]="C",WORKDAY(Main[[#This Row],[Tech Start Date]],28),IF(Main[[#This Row],[Class]]="B", WORKDAY(Main[[#This Row],[Tech Start Date]],19),IF(Main[[#This Row],[Class]]="A",WORKDAY(Main[[#This Row],[Tech Start Date]],9),""))))</f>
        <v/>
      </c>
      <c r="Q591" s="101">
        <v>40237</v>
      </c>
      <c r="R591" s="101"/>
      <c r="S591" s="99" t="s">
        <v>17</v>
      </c>
      <c r="T591" s="107" t="s">
        <v>4</v>
      </c>
      <c r="U591" s="99" t="s">
        <v>7</v>
      </c>
      <c r="V591" s="99" t="s">
        <v>1977</v>
      </c>
      <c r="W591" s="99" t="s">
        <v>1970</v>
      </c>
    </row>
    <row r="592" spans="1:23" ht="18.600000000000001" customHeight="1">
      <c r="A592" s="123" t="str">
        <f>IF(priority(Main[[#This Row],[Comments]])&lt;&gt;0, priority(Main[[#This Row],[Comments]]),"")</f>
        <v/>
      </c>
      <c r="B592" s="127" t="s">
        <v>1466</v>
      </c>
      <c r="C592" s="99" t="s">
        <v>72</v>
      </c>
      <c r="D592" s="100" t="s">
        <v>519</v>
      </c>
      <c r="E592" s="101"/>
      <c r="F592" s="101">
        <v>40544</v>
      </c>
      <c r="G592" s="102" t="str">
        <f>IF(stdProdLT(Main[[#This Row],[Comments]])=0.1,"N/A",IF(stdProdLT(Main[[#This Row],[Comments]])=0,"",stdProdLT(Main[[#This Row],[Comments]])))</f>
        <v/>
      </c>
      <c r="H592" s="103" t="str">
        <f>IF(AND(Main[[#This Row],[In Stock Date]]&lt;&gt;"",Main[[#This Row],[Revised Due Date]]&lt;&gt;""),Main[[#This Row],[In Stock Date]]-Main[[#This Row],[Revised Due Date]],"")</f>
        <v/>
      </c>
      <c r="I592" s="99" t="s">
        <v>4</v>
      </c>
      <c r="J592" s="99" t="s">
        <v>4</v>
      </c>
      <c r="K592" s="99" t="s">
        <v>4</v>
      </c>
      <c r="L592" s="101"/>
      <c r="M592" s="104" t="str">
        <f>IF(Main[[#This Row],[Tech Start Date]]&lt;1/1/1990,"",IF(Main[[#This Row],[Class]]="C",WORKDAY(Main[[#This Row],[Tech Start Date]],9),IF(Main[[#This Row],[Class]]="B", WORKDAY(Main[[#This Row],[Tech Start Date]],6),IF(Main[[#This Row],[Class]]="A",WORKDAY(Main[[#This Row],[Tech Start Date]],2),""))))</f>
        <v/>
      </c>
      <c r="N592" s="104" t="str">
        <f>IF(Main[[#This Row],[Tech Start Date]]&lt;1/1/1990,"",IF(Main[[#This Row],[Class]]="C",WORKDAY(Main[[#This Row],[Tech Start Date]],19),IF(Main[[#This Row],[Class]]="B", WORKDAY(Main[[#This Row],[Tech Start Date]],12),IF(Main[[#This Row],[Class]]="A",WORKDAY(Main[[#This Row],[Tech Start Date]],4),""))))</f>
        <v/>
      </c>
      <c r="O592" s="104" t="str">
        <f>IF(Main[[#This Row],[Tech Start Date]]&lt;1/1/1990,"",IF(Main[[#This Row],[Class]]="C",WORKDAY(Main[[#This Row],[Tech Start Date]],23),IF(Main[[#This Row],[Class]]="B", WORKDAY(Main[[#This Row],[Tech Start Date]],15),IF(Main[[#This Row],[Class]]="A",WORKDAY(Main[[#This Row],[Tech Start Date]],5),""))))</f>
        <v/>
      </c>
      <c r="P592" s="104" t="str">
        <f>IF(Main[[#This Row],[Tech Start Date]]&lt;1/1/1990,"",IF(Main[[#This Row],[Class]]="C",WORKDAY(Main[[#This Row],[Tech Start Date]],28),IF(Main[[#This Row],[Class]]="B", WORKDAY(Main[[#This Row],[Tech Start Date]],19),IF(Main[[#This Row],[Class]]="A",WORKDAY(Main[[#This Row],[Tech Start Date]],9),""))))</f>
        <v/>
      </c>
      <c r="Q592" s="101"/>
      <c r="R592" s="101"/>
      <c r="S592" s="99" t="s">
        <v>11</v>
      </c>
      <c r="T592" s="107" t="s">
        <v>4</v>
      </c>
      <c r="U592" s="99" t="s">
        <v>14</v>
      </c>
      <c r="V592" s="99" t="s">
        <v>1965</v>
      </c>
      <c r="W592" s="99" t="s">
        <v>1970</v>
      </c>
    </row>
    <row r="593" spans="1:23" ht="18.600000000000001" customHeight="1">
      <c r="A593" s="123" t="str">
        <f>IF(priority(Main[[#This Row],[Comments]])&lt;&gt;0, priority(Main[[#This Row],[Comments]]),"")</f>
        <v/>
      </c>
      <c r="B593" s="127" t="s">
        <v>1678</v>
      </c>
      <c r="C593" s="99" t="s">
        <v>4</v>
      </c>
      <c r="D593" s="100" t="s">
        <v>2044</v>
      </c>
      <c r="E593" s="101"/>
      <c r="F593" s="101"/>
      <c r="G593" s="102" t="str">
        <f>IF(stdProdLT(Main[[#This Row],[Comments]])=0.1,"N/A",IF(stdProdLT(Main[[#This Row],[Comments]])=0,"",stdProdLT(Main[[#This Row],[Comments]])))</f>
        <v/>
      </c>
      <c r="H593" s="103" t="str">
        <f>IF(AND(Main[[#This Row],[In Stock Date]]&lt;&gt;"",Main[[#This Row],[Revised Due Date]]&lt;&gt;""),Main[[#This Row],[In Stock Date]]-Main[[#This Row],[Revised Due Date]],"")</f>
        <v/>
      </c>
      <c r="I593" s="99" t="s">
        <v>44</v>
      </c>
      <c r="J593" s="99" t="s">
        <v>28</v>
      </c>
      <c r="K593" s="99" t="s">
        <v>1971</v>
      </c>
      <c r="L593" s="101"/>
      <c r="M593" s="104" t="str">
        <f>IF(Main[[#This Row],[Tech Start Date]]&lt;1/1/1990,"",IF(Main[[#This Row],[Class]]="C",WORKDAY(Main[[#This Row],[Tech Start Date]],9),IF(Main[[#This Row],[Class]]="B", WORKDAY(Main[[#This Row],[Tech Start Date]],6),IF(Main[[#This Row],[Class]]="A",WORKDAY(Main[[#This Row],[Tech Start Date]],2),""))))</f>
        <v/>
      </c>
      <c r="N593" s="104" t="str">
        <f>IF(Main[[#This Row],[Tech Start Date]]&lt;1/1/1990,"",IF(Main[[#This Row],[Class]]="C",WORKDAY(Main[[#This Row],[Tech Start Date]],19),IF(Main[[#This Row],[Class]]="B", WORKDAY(Main[[#This Row],[Tech Start Date]],12),IF(Main[[#This Row],[Class]]="A",WORKDAY(Main[[#This Row],[Tech Start Date]],4),""))))</f>
        <v/>
      </c>
      <c r="O593" s="104" t="str">
        <f>IF(Main[[#This Row],[Tech Start Date]]&lt;1/1/1990,"",IF(Main[[#This Row],[Class]]="C",WORKDAY(Main[[#This Row],[Tech Start Date]],23),IF(Main[[#This Row],[Class]]="B", WORKDAY(Main[[#This Row],[Tech Start Date]],15),IF(Main[[#This Row],[Class]]="A",WORKDAY(Main[[#This Row],[Tech Start Date]],5),""))))</f>
        <v/>
      </c>
      <c r="P593" s="104" t="str">
        <f>IF(Main[[#This Row],[Tech Start Date]]&lt;1/1/1990,"",IF(Main[[#This Row],[Class]]="C",WORKDAY(Main[[#This Row],[Tech Start Date]],28),IF(Main[[#This Row],[Class]]="B", WORKDAY(Main[[#This Row],[Tech Start Date]],19),IF(Main[[#This Row],[Class]]="A",WORKDAY(Main[[#This Row],[Tech Start Date]],9),""))))</f>
        <v/>
      </c>
      <c r="Q593" s="101">
        <v>40755</v>
      </c>
      <c r="R593" s="101"/>
      <c r="S593" s="99" t="s">
        <v>6</v>
      </c>
      <c r="T593" s="107" t="s">
        <v>4</v>
      </c>
      <c r="U593" s="99" t="s">
        <v>14</v>
      </c>
      <c r="V593" s="99" t="s">
        <v>1965</v>
      </c>
      <c r="W593" s="99" t="s">
        <v>1966</v>
      </c>
    </row>
    <row r="594" spans="1:23" ht="18.600000000000001" customHeight="1">
      <c r="A594" s="123" t="str">
        <f>IF(priority(Main[[#This Row],[Comments]])&lt;&gt;0, priority(Main[[#This Row],[Comments]]),"")</f>
        <v/>
      </c>
      <c r="B594" s="127" t="s">
        <v>1467</v>
      </c>
      <c r="C594" s="99" t="s">
        <v>4</v>
      </c>
      <c r="D594" s="100" t="s">
        <v>97</v>
      </c>
      <c r="E594" s="101"/>
      <c r="F594" s="101"/>
      <c r="G594" s="102" t="str">
        <f>IF(stdProdLT(Main[[#This Row],[Comments]])=0.1,"N/A",IF(stdProdLT(Main[[#This Row],[Comments]])=0,"",stdProdLT(Main[[#This Row],[Comments]])))</f>
        <v/>
      </c>
      <c r="H594" s="103" t="str">
        <f>IF(AND(Main[[#This Row],[In Stock Date]]&lt;&gt;"",Main[[#This Row],[Revised Due Date]]&lt;&gt;""),Main[[#This Row],[In Stock Date]]-Main[[#This Row],[Revised Due Date]],"")</f>
        <v/>
      </c>
      <c r="I594" s="99" t="s">
        <v>4</v>
      </c>
      <c r="J594" s="99" t="s">
        <v>4</v>
      </c>
      <c r="K594" s="99" t="s">
        <v>4</v>
      </c>
      <c r="L594" s="101"/>
      <c r="M594" s="104" t="str">
        <f>IF(Main[[#This Row],[Tech Start Date]]&lt;1/1/1990,"",IF(Main[[#This Row],[Class]]="C",WORKDAY(Main[[#This Row],[Tech Start Date]],9),IF(Main[[#This Row],[Class]]="B", WORKDAY(Main[[#This Row],[Tech Start Date]],6),IF(Main[[#This Row],[Class]]="A",WORKDAY(Main[[#This Row],[Tech Start Date]],2),""))))</f>
        <v/>
      </c>
      <c r="N594" s="104" t="str">
        <f>IF(Main[[#This Row],[Tech Start Date]]&lt;1/1/1990,"",IF(Main[[#This Row],[Class]]="C",WORKDAY(Main[[#This Row],[Tech Start Date]],19),IF(Main[[#This Row],[Class]]="B", WORKDAY(Main[[#This Row],[Tech Start Date]],12),IF(Main[[#This Row],[Class]]="A",WORKDAY(Main[[#This Row],[Tech Start Date]],4),""))))</f>
        <v/>
      </c>
      <c r="O594" s="104" t="str">
        <f>IF(Main[[#This Row],[Tech Start Date]]&lt;1/1/1990,"",IF(Main[[#This Row],[Class]]="C",WORKDAY(Main[[#This Row],[Tech Start Date]],23),IF(Main[[#This Row],[Class]]="B", WORKDAY(Main[[#This Row],[Tech Start Date]],15),IF(Main[[#This Row],[Class]]="A",WORKDAY(Main[[#This Row],[Tech Start Date]],5),""))))</f>
        <v/>
      </c>
      <c r="P594" s="104" t="str">
        <f>IF(Main[[#This Row],[Tech Start Date]]&lt;1/1/1990,"",IF(Main[[#This Row],[Class]]="C",WORKDAY(Main[[#This Row],[Tech Start Date]],28),IF(Main[[#This Row],[Class]]="B", WORKDAY(Main[[#This Row],[Tech Start Date]],19),IF(Main[[#This Row],[Class]]="A",WORKDAY(Main[[#This Row],[Tech Start Date]],9),""))))</f>
        <v/>
      </c>
      <c r="Q594" s="101">
        <v>40858</v>
      </c>
      <c r="R594" s="101"/>
      <c r="S594" s="99" t="s">
        <v>17</v>
      </c>
      <c r="T594" s="107" t="s">
        <v>4</v>
      </c>
      <c r="U594" s="99" t="s">
        <v>14</v>
      </c>
      <c r="V594" s="99" t="s">
        <v>1962</v>
      </c>
      <c r="W594" s="99" t="s">
        <v>1967</v>
      </c>
    </row>
    <row r="595" spans="1:23" ht="18.600000000000001" customHeight="1">
      <c r="A595" s="123" t="str">
        <f>IF(priority(Main[[#This Row],[Comments]])&lt;&gt;0, priority(Main[[#This Row],[Comments]]),"")</f>
        <v/>
      </c>
      <c r="B595" s="127" t="s">
        <v>1468</v>
      </c>
      <c r="C595" s="99" t="s">
        <v>47</v>
      </c>
      <c r="D595" s="100" t="s">
        <v>523</v>
      </c>
      <c r="E595" s="101"/>
      <c r="F595" s="101"/>
      <c r="G595" s="102" t="str">
        <f>IF(stdProdLT(Main[[#This Row],[Comments]])=0.1,"N/A",IF(stdProdLT(Main[[#This Row],[Comments]])=0,"",stdProdLT(Main[[#This Row],[Comments]])))</f>
        <v/>
      </c>
      <c r="H595" s="103" t="str">
        <f>IF(AND(Main[[#This Row],[In Stock Date]]&lt;&gt;"",Main[[#This Row],[Revised Due Date]]&lt;&gt;""),Main[[#This Row],[In Stock Date]]-Main[[#This Row],[Revised Due Date]],"")</f>
        <v/>
      </c>
      <c r="I595" s="99" t="s">
        <v>4</v>
      </c>
      <c r="J595" s="99" t="s">
        <v>4</v>
      </c>
      <c r="K595" s="99" t="s">
        <v>4</v>
      </c>
      <c r="L595" s="101"/>
      <c r="M595" s="104" t="str">
        <f>IF(Main[[#This Row],[Tech Start Date]]&lt;1/1/1990,"",IF(Main[[#This Row],[Class]]="C",WORKDAY(Main[[#This Row],[Tech Start Date]],9),IF(Main[[#This Row],[Class]]="B", WORKDAY(Main[[#This Row],[Tech Start Date]],6),IF(Main[[#This Row],[Class]]="A",WORKDAY(Main[[#This Row],[Tech Start Date]],2),""))))</f>
        <v/>
      </c>
      <c r="N595" s="104" t="str">
        <f>IF(Main[[#This Row],[Tech Start Date]]&lt;1/1/1990,"",IF(Main[[#This Row],[Class]]="C",WORKDAY(Main[[#This Row],[Tech Start Date]],19),IF(Main[[#This Row],[Class]]="B", WORKDAY(Main[[#This Row],[Tech Start Date]],12),IF(Main[[#This Row],[Class]]="A",WORKDAY(Main[[#This Row],[Tech Start Date]],4),""))))</f>
        <v/>
      </c>
      <c r="O595" s="104" t="str">
        <f>IF(Main[[#This Row],[Tech Start Date]]&lt;1/1/1990,"",IF(Main[[#This Row],[Class]]="C",WORKDAY(Main[[#This Row],[Tech Start Date]],23),IF(Main[[#This Row],[Class]]="B", WORKDAY(Main[[#This Row],[Tech Start Date]],15),IF(Main[[#This Row],[Class]]="A",WORKDAY(Main[[#This Row],[Tech Start Date]],5),""))))</f>
        <v/>
      </c>
      <c r="P595" s="104" t="str">
        <f>IF(Main[[#This Row],[Tech Start Date]]&lt;1/1/1990,"",IF(Main[[#This Row],[Class]]="C",WORKDAY(Main[[#This Row],[Tech Start Date]],28),IF(Main[[#This Row],[Class]]="B", WORKDAY(Main[[#This Row],[Tech Start Date]],19),IF(Main[[#This Row],[Class]]="A",WORKDAY(Main[[#This Row],[Tech Start Date]],9),""))))</f>
        <v/>
      </c>
      <c r="Q595" s="101"/>
      <c r="R595" s="101"/>
      <c r="S595" s="99" t="s">
        <v>49</v>
      </c>
      <c r="T595" s="107" t="s">
        <v>4</v>
      </c>
      <c r="U595" s="99" t="s">
        <v>14</v>
      </c>
      <c r="V595" s="99" t="s">
        <v>1965</v>
      </c>
      <c r="W595" s="99" t="s">
        <v>1966</v>
      </c>
    </row>
    <row r="596" spans="1:23" ht="18.600000000000001" customHeight="1">
      <c r="A596" s="123" t="str">
        <f>IF(priority(Main[[#This Row],[Comments]])&lt;&gt;0, priority(Main[[#This Row],[Comments]]),"")</f>
        <v/>
      </c>
      <c r="B596" s="127" t="s">
        <v>1469</v>
      </c>
      <c r="C596" s="99" t="s">
        <v>524</v>
      </c>
      <c r="D596" s="100" t="s">
        <v>525</v>
      </c>
      <c r="E596" s="101"/>
      <c r="F596" s="101">
        <v>40548</v>
      </c>
      <c r="G596" s="102" t="str">
        <f>IF(stdProdLT(Main[[#This Row],[Comments]])=0.1,"N/A",IF(stdProdLT(Main[[#This Row],[Comments]])=0,"",stdProdLT(Main[[#This Row],[Comments]])))</f>
        <v/>
      </c>
      <c r="H596" s="103" t="str">
        <f>IF(AND(Main[[#This Row],[In Stock Date]]&lt;&gt;"",Main[[#This Row],[Revised Due Date]]&lt;&gt;""),Main[[#This Row],[In Stock Date]]-Main[[#This Row],[Revised Due Date]],"")</f>
        <v/>
      </c>
      <c r="I596" s="99" t="s">
        <v>4</v>
      </c>
      <c r="J596" s="99" t="s">
        <v>4</v>
      </c>
      <c r="K596" s="99" t="s">
        <v>1974</v>
      </c>
      <c r="L596" s="101"/>
      <c r="M596" s="104" t="str">
        <f>IF(Main[[#This Row],[Tech Start Date]]&lt;1/1/1990,"",IF(Main[[#This Row],[Class]]="C",WORKDAY(Main[[#This Row],[Tech Start Date]],9),IF(Main[[#This Row],[Class]]="B", WORKDAY(Main[[#This Row],[Tech Start Date]],6),IF(Main[[#This Row],[Class]]="A",WORKDAY(Main[[#This Row],[Tech Start Date]],2),""))))</f>
        <v/>
      </c>
      <c r="N596" s="104" t="str">
        <f>IF(Main[[#This Row],[Tech Start Date]]&lt;1/1/1990,"",IF(Main[[#This Row],[Class]]="C",WORKDAY(Main[[#This Row],[Tech Start Date]],19),IF(Main[[#This Row],[Class]]="B", WORKDAY(Main[[#This Row],[Tech Start Date]],12),IF(Main[[#This Row],[Class]]="A",WORKDAY(Main[[#This Row],[Tech Start Date]],4),""))))</f>
        <v/>
      </c>
      <c r="O596" s="104" t="str">
        <f>IF(Main[[#This Row],[Tech Start Date]]&lt;1/1/1990,"",IF(Main[[#This Row],[Class]]="C",WORKDAY(Main[[#This Row],[Tech Start Date]],23),IF(Main[[#This Row],[Class]]="B", WORKDAY(Main[[#This Row],[Tech Start Date]],15),IF(Main[[#This Row],[Class]]="A",WORKDAY(Main[[#This Row],[Tech Start Date]],5),""))))</f>
        <v/>
      </c>
      <c r="P596" s="104" t="str">
        <f>IF(Main[[#This Row],[Tech Start Date]]&lt;1/1/1990,"",IF(Main[[#This Row],[Class]]="C",WORKDAY(Main[[#This Row],[Tech Start Date]],28),IF(Main[[#This Row],[Class]]="B", WORKDAY(Main[[#This Row],[Tech Start Date]],19),IF(Main[[#This Row],[Class]]="A",WORKDAY(Main[[#This Row],[Tech Start Date]],9),""))))</f>
        <v/>
      </c>
      <c r="Q596" s="101"/>
      <c r="R596" s="101"/>
      <c r="S596" s="99" t="s">
        <v>11</v>
      </c>
      <c r="T596" s="107" t="s">
        <v>4</v>
      </c>
      <c r="U596" s="99" t="s">
        <v>14</v>
      </c>
      <c r="V596" s="99" t="s">
        <v>1963</v>
      </c>
      <c r="W596" s="99" t="s">
        <v>1967</v>
      </c>
    </row>
    <row r="597" spans="1:23" ht="18.600000000000001" customHeight="1">
      <c r="A597" s="123" t="str">
        <f>IF(priority(Main[[#This Row],[Comments]])&lt;&gt;0, priority(Main[[#This Row],[Comments]]),"")</f>
        <v/>
      </c>
      <c r="B597" s="127" t="s">
        <v>1470</v>
      </c>
      <c r="C597" s="99" t="s">
        <v>122</v>
      </c>
      <c r="D597" s="100" t="s">
        <v>526</v>
      </c>
      <c r="E597" s="101"/>
      <c r="F597" s="101"/>
      <c r="G597" s="102" t="str">
        <f>IF(stdProdLT(Main[[#This Row],[Comments]])=0.1,"N/A",IF(stdProdLT(Main[[#This Row],[Comments]])=0,"",stdProdLT(Main[[#This Row],[Comments]])))</f>
        <v/>
      </c>
      <c r="H597" s="103" t="str">
        <f>IF(AND(Main[[#This Row],[In Stock Date]]&lt;&gt;"",Main[[#This Row],[Revised Due Date]]&lt;&gt;""),Main[[#This Row],[In Stock Date]]-Main[[#This Row],[Revised Due Date]],"")</f>
        <v/>
      </c>
      <c r="I597" s="99" t="s">
        <v>4</v>
      </c>
      <c r="J597" s="99" t="s">
        <v>4</v>
      </c>
      <c r="K597" s="99" t="s">
        <v>4</v>
      </c>
      <c r="L597" s="101"/>
      <c r="M597" s="104" t="str">
        <f>IF(Main[[#This Row],[Tech Start Date]]&lt;1/1/1990,"",IF(Main[[#This Row],[Class]]="C",WORKDAY(Main[[#This Row],[Tech Start Date]],9),IF(Main[[#This Row],[Class]]="B", WORKDAY(Main[[#This Row],[Tech Start Date]],6),IF(Main[[#This Row],[Class]]="A",WORKDAY(Main[[#This Row],[Tech Start Date]],2),""))))</f>
        <v/>
      </c>
      <c r="N597" s="104" t="str">
        <f>IF(Main[[#This Row],[Tech Start Date]]&lt;1/1/1990,"",IF(Main[[#This Row],[Class]]="C",WORKDAY(Main[[#This Row],[Tech Start Date]],19),IF(Main[[#This Row],[Class]]="B", WORKDAY(Main[[#This Row],[Tech Start Date]],12),IF(Main[[#This Row],[Class]]="A",WORKDAY(Main[[#This Row],[Tech Start Date]],4),""))))</f>
        <v/>
      </c>
      <c r="O597" s="104" t="str">
        <f>IF(Main[[#This Row],[Tech Start Date]]&lt;1/1/1990,"",IF(Main[[#This Row],[Class]]="C",WORKDAY(Main[[#This Row],[Tech Start Date]],23),IF(Main[[#This Row],[Class]]="B", WORKDAY(Main[[#This Row],[Tech Start Date]],15),IF(Main[[#This Row],[Class]]="A",WORKDAY(Main[[#This Row],[Tech Start Date]],5),""))))</f>
        <v/>
      </c>
      <c r="P597" s="104" t="str">
        <f>IF(Main[[#This Row],[Tech Start Date]]&lt;1/1/1990,"",IF(Main[[#This Row],[Class]]="C",WORKDAY(Main[[#This Row],[Tech Start Date]],28),IF(Main[[#This Row],[Class]]="B", WORKDAY(Main[[#This Row],[Tech Start Date]],19),IF(Main[[#This Row],[Class]]="A",WORKDAY(Main[[#This Row],[Tech Start Date]],9),""))))</f>
        <v/>
      </c>
      <c r="Q597" s="101">
        <v>40245</v>
      </c>
      <c r="R597" s="101"/>
      <c r="S597" s="99" t="s">
        <v>11</v>
      </c>
      <c r="T597" s="107" t="s">
        <v>4</v>
      </c>
      <c r="U597" s="99" t="s">
        <v>14</v>
      </c>
      <c r="V597" s="99" t="s">
        <v>1965</v>
      </c>
      <c r="W597" s="99" t="s">
        <v>1964</v>
      </c>
    </row>
    <row r="598" spans="1:23" ht="18.600000000000001" customHeight="1">
      <c r="A598" s="123" t="str">
        <f>IF(priority(Main[[#This Row],[Comments]])&lt;&gt;0, priority(Main[[#This Row],[Comments]]),"")</f>
        <v/>
      </c>
      <c r="B598" s="127" t="s">
        <v>1471</v>
      </c>
      <c r="C598" s="99" t="s">
        <v>4</v>
      </c>
      <c r="D598" s="100" t="s">
        <v>527</v>
      </c>
      <c r="E598" s="101"/>
      <c r="F598" s="101">
        <v>40178</v>
      </c>
      <c r="G598" s="102" t="str">
        <f>IF(stdProdLT(Main[[#This Row],[Comments]])=0.1,"N/A",IF(stdProdLT(Main[[#This Row],[Comments]])=0,"",stdProdLT(Main[[#This Row],[Comments]])))</f>
        <v/>
      </c>
      <c r="H598" s="103" t="str">
        <f>IF(AND(Main[[#This Row],[In Stock Date]]&lt;&gt;"",Main[[#This Row],[Revised Due Date]]&lt;&gt;""),Main[[#This Row],[In Stock Date]]-Main[[#This Row],[Revised Due Date]],"")</f>
        <v/>
      </c>
      <c r="I598" s="99" t="s">
        <v>4</v>
      </c>
      <c r="J598" s="99" t="s">
        <v>4</v>
      </c>
      <c r="K598" s="108" t="s">
        <v>4</v>
      </c>
      <c r="L598" s="101"/>
      <c r="M598" s="104" t="str">
        <f>IF(Main[[#This Row],[Tech Start Date]]&lt;1/1/1990,"",IF(Main[[#This Row],[Class]]="C",WORKDAY(Main[[#This Row],[Tech Start Date]],9),IF(Main[[#This Row],[Class]]="B", WORKDAY(Main[[#This Row],[Tech Start Date]],6),IF(Main[[#This Row],[Class]]="A",WORKDAY(Main[[#This Row],[Tech Start Date]],2),""))))</f>
        <v/>
      </c>
      <c r="N598" s="104" t="str">
        <f>IF(Main[[#This Row],[Tech Start Date]]&lt;1/1/1990,"",IF(Main[[#This Row],[Class]]="C",WORKDAY(Main[[#This Row],[Tech Start Date]],19),IF(Main[[#This Row],[Class]]="B", WORKDAY(Main[[#This Row],[Tech Start Date]],12),IF(Main[[#This Row],[Class]]="A",WORKDAY(Main[[#This Row],[Tech Start Date]],4),""))))</f>
        <v/>
      </c>
      <c r="O598" s="104" t="str">
        <f>IF(Main[[#This Row],[Tech Start Date]]&lt;1/1/1990,"",IF(Main[[#This Row],[Class]]="C",WORKDAY(Main[[#This Row],[Tech Start Date]],23),IF(Main[[#This Row],[Class]]="B", WORKDAY(Main[[#This Row],[Tech Start Date]],15),IF(Main[[#This Row],[Class]]="A",WORKDAY(Main[[#This Row],[Tech Start Date]],5),""))))</f>
        <v/>
      </c>
      <c r="P598" s="104" t="str">
        <f>IF(Main[[#This Row],[Tech Start Date]]&lt;1/1/1990,"",IF(Main[[#This Row],[Class]]="C",WORKDAY(Main[[#This Row],[Tech Start Date]],28),IF(Main[[#This Row],[Class]]="B", WORKDAY(Main[[#This Row],[Tech Start Date]],19),IF(Main[[#This Row],[Class]]="A",WORKDAY(Main[[#This Row],[Tech Start Date]],9),""))))</f>
        <v/>
      </c>
      <c r="Q598" s="101">
        <v>40158</v>
      </c>
      <c r="R598" s="101"/>
      <c r="S598" s="99" t="s">
        <v>11</v>
      </c>
      <c r="T598" s="107" t="s">
        <v>4</v>
      </c>
      <c r="U598" s="99" t="s">
        <v>14</v>
      </c>
      <c r="V598" s="99" t="s">
        <v>1962</v>
      </c>
      <c r="W598" s="99" t="s">
        <v>1967</v>
      </c>
    </row>
    <row r="599" spans="1:23" ht="18.600000000000001" customHeight="1">
      <c r="A599" s="123" t="str">
        <f>IF(priority(Main[[#This Row],[Comments]])&lt;&gt;0, priority(Main[[#This Row],[Comments]]),"")</f>
        <v/>
      </c>
      <c r="B599" s="127" t="s">
        <v>2477</v>
      </c>
      <c r="C599" s="99" t="s">
        <v>4</v>
      </c>
      <c r="D599" s="100" t="s">
        <v>2478</v>
      </c>
      <c r="E599" s="101">
        <v>40833.614664351851</v>
      </c>
      <c r="F599" s="101"/>
      <c r="G599" s="102" t="str">
        <f>IF(stdProdLT(Main[[#This Row],[Comments]])=0.1,"N/A",IF(stdProdLT(Main[[#This Row],[Comments]])=0,"",stdProdLT(Main[[#This Row],[Comments]])))</f>
        <v/>
      </c>
      <c r="H599" s="103" t="str">
        <f>IF(AND(Main[[#This Row],[In Stock Date]]&lt;&gt;"",Main[[#This Row],[Revised Due Date]]&lt;&gt;""),Main[[#This Row],[In Stock Date]]-Main[[#This Row],[Revised Due Date]],"")</f>
        <v/>
      </c>
      <c r="I599" s="99" t="s">
        <v>536</v>
      </c>
      <c r="J599" s="99" t="s">
        <v>28</v>
      </c>
      <c r="K599" s="99" t="s">
        <v>1971</v>
      </c>
      <c r="L599" s="101"/>
      <c r="M599" s="104" t="str">
        <f>IF(Main[[#This Row],[Tech Start Date]]&lt;1/1/1990,"",IF(Main[[#This Row],[Class]]="C",WORKDAY(Main[[#This Row],[Tech Start Date]],9),IF(Main[[#This Row],[Class]]="B", WORKDAY(Main[[#This Row],[Tech Start Date]],6),IF(Main[[#This Row],[Class]]="A",WORKDAY(Main[[#This Row],[Tech Start Date]],2),""))))</f>
        <v/>
      </c>
      <c r="N599" s="104" t="str">
        <f>IF(Main[[#This Row],[Tech Start Date]]&lt;1/1/1990,"",IF(Main[[#This Row],[Class]]="C",WORKDAY(Main[[#This Row],[Tech Start Date]],19),IF(Main[[#This Row],[Class]]="B", WORKDAY(Main[[#This Row],[Tech Start Date]],12),IF(Main[[#This Row],[Class]]="A",WORKDAY(Main[[#This Row],[Tech Start Date]],4),""))))</f>
        <v/>
      </c>
      <c r="O599" s="104" t="str">
        <f>IF(Main[[#This Row],[Tech Start Date]]&lt;1/1/1990,"",IF(Main[[#This Row],[Class]]="C",WORKDAY(Main[[#This Row],[Tech Start Date]],23),IF(Main[[#This Row],[Class]]="B", WORKDAY(Main[[#This Row],[Tech Start Date]],15),IF(Main[[#This Row],[Class]]="A",WORKDAY(Main[[#This Row],[Tech Start Date]],5),""))))</f>
        <v/>
      </c>
      <c r="P599" s="104" t="str">
        <f>IF(Main[[#This Row],[Tech Start Date]]&lt;1/1/1990,"",IF(Main[[#This Row],[Class]]="C",WORKDAY(Main[[#This Row],[Tech Start Date]],28),IF(Main[[#This Row],[Class]]="B", WORKDAY(Main[[#This Row],[Tech Start Date]],19),IF(Main[[#This Row],[Class]]="A",WORKDAY(Main[[#This Row],[Tech Start Date]],9),""))))</f>
        <v/>
      </c>
      <c r="Q599" s="101">
        <v>40908</v>
      </c>
      <c r="R599" s="101"/>
      <c r="S599" s="99" t="s">
        <v>6</v>
      </c>
      <c r="T599" s="107" t="s">
        <v>4</v>
      </c>
      <c r="U599" s="99" t="s">
        <v>29</v>
      </c>
      <c r="V599" s="99" t="s">
        <v>1965</v>
      </c>
      <c r="W599" s="99" t="s">
        <v>1966</v>
      </c>
    </row>
    <row r="600" spans="1:23" ht="18.600000000000001" customHeight="1">
      <c r="A600" s="123" t="str">
        <f>IF(priority(Main[[#This Row],[Comments]])&lt;&gt;0, priority(Main[[#This Row],[Comments]]),"")</f>
        <v/>
      </c>
      <c r="B600" s="127" t="s">
        <v>2479</v>
      </c>
      <c r="C600" s="99" t="s">
        <v>72</v>
      </c>
      <c r="D600" s="100" t="s">
        <v>2480</v>
      </c>
      <c r="E600" s="101"/>
      <c r="F600" s="101"/>
      <c r="G600" s="102" t="str">
        <f>IF(stdProdLT(Main[[#This Row],[Comments]])=0.1,"N/A",IF(stdProdLT(Main[[#This Row],[Comments]])=0,"",stdProdLT(Main[[#This Row],[Comments]])))</f>
        <v/>
      </c>
      <c r="H600" s="103" t="str">
        <f>IF(AND(Main[[#This Row],[In Stock Date]]&lt;&gt;"",Main[[#This Row],[Revised Due Date]]&lt;&gt;""),Main[[#This Row],[In Stock Date]]-Main[[#This Row],[Revised Due Date]],"")</f>
        <v/>
      </c>
      <c r="I600" s="99" t="s">
        <v>4</v>
      </c>
      <c r="J600" s="99" t="s">
        <v>4</v>
      </c>
      <c r="K600" s="99" t="s">
        <v>4</v>
      </c>
      <c r="L600" s="101"/>
      <c r="M600" s="104" t="str">
        <f>IF(Main[[#This Row],[Tech Start Date]]&lt;1/1/1990,"",IF(Main[[#This Row],[Class]]="C",WORKDAY(Main[[#This Row],[Tech Start Date]],9),IF(Main[[#This Row],[Class]]="B", WORKDAY(Main[[#This Row],[Tech Start Date]],6),IF(Main[[#This Row],[Class]]="A",WORKDAY(Main[[#This Row],[Tech Start Date]],2),""))))</f>
        <v/>
      </c>
      <c r="N600" s="104" t="str">
        <f>IF(Main[[#This Row],[Tech Start Date]]&lt;1/1/1990,"",IF(Main[[#This Row],[Class]]="C",WORKDAY(Main[[#This Row],[Tech Start Date]],19),IF(Main[[#This Row],[Class]]="B", WORKDAY(Main[[#This Row],[Tech Start Date]],12),IF(Main[[#This Row],[Class]]="A",WORKDAY(Main[[#This Row],[Tech Start Date]],4),""))))</f>
        <v/>
      </c>
      <c r="O600" s="104" t="str">
        <f>IF(Main[[#This Row],[Tech Start Date]]&lt;1/1/1990,"",IF(Main[[#This Row],[Class]]="C",WORKDAY(Main[[#This Row],[Tech Start Date]],23),IF(Main[[#This Row],[Class]]="B", WORKDAY(Main[[#This Row],[Tech Start Date]],15),IF(Main[[#This Row],[Class]]="A",WORKDAY(Main[[#This Row],[Tech Start Date]],5),""))))</f>
        <v/>
      </c>
      <c r="P600" s="104" t="str">
        <f>IF(Main[[#This Row],[Tech Start Date]]&lt;1/1/1990,"",IF(Main[[#This Row],[Class]]="C",WORKDAY(Main[[#This Row],[Tech Start Date]],28),IF(Main[[#This Row],[Class]]="B", WORKDAY(Main[[#This Row],[Tech Start Date]],19),IF(Main[[#This Row],[Class]]="A",WORKDAY(Main[[#This Row],[Tech Start Date]],9),""))))</f>
        <v/>
      </c>
      <c r="Q600" s="101"/>
      <c r="R600" s="101"/>
      <c r="S600" s="99" t="s">
        <v>17</v>
      </c>
      <c r="T600" s="107" t="s">
        <v>4</v>
      </c>
      <c r="U600" s="99" t="s">
        <v>14</v>
      </c>
      <c r="V600" s="99" t="s">
        <v>1963</v>
      </c>
      <c r="W600" s="99" t="s">
        <v>1964</v>
      </c>
    </row>
    <row r="601" spans="1:23" ht="18.600000000000001" customHeight="1">
      <c r="A601" s="123" t="str">
        <f>IF(priority(Main[[#This Row],[Comments]])&lt;&gt;0, priority(Main[[#This Row],[Comments]]),"")</f>
        <v/>
      </c>
      <c r="B601" s="127" t="s">
        <v>1476</v>
      </c>
      <c r="C601" s="99" t="s">
        <v>113</v>
      </c>
      <c r="D601" s="100" t="s">
        <v>528</v>
      </c>
      <c r="E601" s="101"/>
      <c r="F601" s="101"/>
      <c r="G601" s="102" t="str">
        <f>IF(stdProdLT(Main[[#This Row],[Comments]])=0.1,"N/A",IF(stdProdLT(Main[[#This Row],[Comments]])=0,"",stdProdLT(Main[[#This Row],[Comments]])))</f>
        <v/>
      </c>
      <c r="H601" s="103" t="str">
        <f>IF(AND(Main[[#This Row],[In Stock Date]]&lt;&gt;"",Main[[#This Row],[Revised Due Date]]&lt;&gt;""),Main[[#This Row],[In Stock Date]]-Main[[#This Row],[Revised Due Date]],"")</f>
        <v/>
      </c>
      <c r="I601" s="99" t="s">
        <v>4</v>
      </c>
      <c r="J601" s="99" t="s">
        <v>4</v>
      </c>
      <c r="K601" s="99" t="s">
        <v>4</v>
      </c>
      <c r="L601" s="101"/>
      <c r="M601" s="104" t="str">
        <f>IF(Main[[#This Row],[Tech Start Date]]&lt;1/1/1990,"",IF(Main[[#This Row],[Class]]="C",WORKDAY(Main[[#This Row],[Tech Start Date]],9),IF(Main[[#This Row],[Class]]="B", WORKDAY(Main[[#This Row],[Tech Start Date]],6),IF(Main[[#This Row],[Class]]="A",WORKDAY(Main[[#This Row],[Tech Start Date]],2),""))))</f>
        <v/>
      </c>
      <c r="N601" s="104" t="str">
        <f>IF(Main[[#This Row],[Tech Start Date]]&lt;1/1/1990,"",IF(Main[[#This Row],[Class]]="C",WORKDAY(Main[[#This Row],[Tech Start Date]],19),IF(Main[[#This Row],[Class]]="B", WORKDAY(Main[[#This Row],[Tech Start Date]],12),IF(Main[[#This Row],[Class]]="A",WORKDAY(Main[[#This Row],[Tech Start Date]],4),""))))</f>
        <v/>
      </c>
      <c r="O601" s="104" t="str">
        <f>IF(Main[[#This Row],[Tech Start Date]]&lt;1/1/1990,"",IF(Main[[#This Row],[Class]]="C",WORKDAY(Main[[#This Row],[Tech Start Date]],23),IF(Main[[#This Row],[Class]]="B", WORKDAY(Main[[#This Row],[Tech Start Date]],15),IF(Main[[#This Row],[Class]]="A",WORKDAY(Main[[#This Row],[Tech Start Date]],5),""))))</f>
        <v/>
      </c>
      <c r="P601" s="104" t="str">
        <f>IF(Main[[#This Row],[Tech Start Date]]&lt;1/1/1990,"",IF(Main[[#This Row],[Class]]="C",WORKDAY(Main[[#This Row],[Tech Start Date]],28),IF(Main[[#This Row],[Class]]="B", WORKDAY(Main[[#This Row],[Tech Start Date]],19),IF(Main[[#This Row],[Class]]="A",WORKDAY(Main[[#This Row],[Tech Start Date]],9),""))))</f>
        <v/>
      </c>
      <c r="Q601" s="101">
        <v>40505</v>
      </c>
      <c r="R601" s="101"/>
      <c r="S601" s="99" t="s">
        <v>49</v>
      </c>
      <c r="T601" s="107" t="s">
        <v>4</v>
      </c>
      <c r="U601" s="99" t="s">
        <v>12</v>
      </c>
      <c r="V601" s="99" t="s">
        <v>1963</v>
      </c>
      <c r="W601" s="99" t="s">
        <v>1967</v>
      </c>
    </row>
    <row r="602" spans="1:23" ht="18.600000000000001" customHeight="1">
      <c r="A602" s="123" t="str">
        <f>IF(priority(Main[[#This Row],[Comments]])&lt;&gt;0, priority(Main[[#This Row],[Comments]]),"")</f>
        <v/>
      </c>
      <c r="B602" s="127" t="s">
        <v>2334</v>
      </c>
      <c r="C602" s="99" t="s">
        <v>4</v>
      </c>
      <c r="D602" s="100" t="s">
        <v>2373</v>
      </c>
      <c r="E602" s="101">
        <v>40806.662407407406</v>
      </c>
      <c r="F602" s="101"/>
      <c r="G602" s="102" t="str">
        <f>IF(stdProdLT(Main[[#This Row],[Comments]])=0.1,"N/A",IF(stdProdLT(Main[[#This Row],[Comments]])=0,"",stdProdLT(Main[[#This Row],[Comments]])))</f>
        <v/>
      </c>
      <c r="H602" s="103" t="str">
        <f>IF(AND(Main[[#This Row],[In Stock Date]]&lt;&gt;"",Main[[#This Row],[Revised Due Date]]&lt;&gt;""),Main[[#This Row],[In Stock Date]]-Main[[#This Row],[Revised Due Date]],"")</f>
        <v/>
      </c>
      <c r="I602" s="99" t="s">
        <v>30</v>
      </c>
      <c r="J602" s="99" t="s">
        <v>21</v>
      </c>
      <c r="K602" s="108" t="s">
        <v>1971</v>
      </c>
      <c r="L602" s="101"/>
      <c r="M602" s="104" t="str">
        <f>IF(Main[[#This Row],[Tech Start Date]]&lt;1/1/1990,"",IF(Main[[#This Row],[Class]]="C",WORKDAY(Main[[#This Row],[Tech Start Date]],9),IF(Main[[#This Row],[Class]]="B", WORKDAY(Main[[#This Row],[Tech Start Date]],6),IF(Main[[#This Row],[Class]]="A",WORKDAY(Main[[#This Row],[Tech Start Date]],2),""))))</f>
        <v/>
      </c>
      <c r="N602" s="104" t="str">
        <f>IF(Main[[#This Row],[Tech Start Date]]&lt;1/1/1990,"",IF(Main[[#This Row],[Class]]="C",WORKDAY(Main[[#This Row],[Tech Start Date]],19),IF(Main[[#This Row],[Class]]="B", WORKDAY(Main[[#This Row],[Tech Start Date]],12),IF(Main[[#This Row],[Class]]="A",WORKDAY(Main[[#This Row],[Tech Start Date]],4),""))))</f>
        <v/>
      </c>
      <c r="O602" s="104" t="str">
        <f>IF(Main[[#This Row],[Tech Start Date]]&lt;1/1/1990,"",IF(Main[[#This Row],[Class]]="C",WORKDAY(Main[[#This Row],[Tech Start Date]],23),IF(Main[[#This Row],[Class]]="B", WORKDAY(Main[[#This Row],[Tech Start Date]],15),IF(Main[[#This Row],[Class]]="A",WORKDAY(Main[[#This Row],[Tech Start Date]],5),""))))</f>
        <v/>
      </c>
      <c r="P602" s="104" t="str">
        <f>IF(Main[[#This Row],[Tech Start Date]]&lt;1/1/1990,"",IF(Main[[#This Row],[Class]]="C",WORKDAY(Main[[#This Row],[Tech Start Date]],28),IF(Main[[#This Row],[Class]]="B", WORKDAY(Main[[#This Row],[Tech Start Date]],19),IF(Main[[#This Row],[Class]]="A",WORKDAY(Main[[#This Row],[Tech Start Date]],9),""))))</f>
        <v/>
      </c>
      <c r="Q602" s="101"/>
      <c r="R602" s="101"/>
      <c r="S602" s="99" t="s">
        <v>6</v>
      </c>
      <c r="T602" s="107" t="s">
        <v>4</v>
      </c>
      <c r="U602" s="99" t="s">
        <v>29</v>
      </c>
      <c r="V602" s="99" t="s">
        <v>1965</v>
      </c>
      <c r="W602" s="99" t="s">
        <v>1966</v>
      </c>
    </row>
    <row r="603" spans="1:23" ht="18.600000000000001" customHeight="1">
      <c r="A603" s="123" t="str">
        <f>IF(priority(Main[[#This Row],[Comments]])&lt;&gt;0, priority(Main[[#This Row],[Comments]]),"")</f>
        <v/>
      </c>
      <c r="B603" s="127" t="s">
        <v>2746</v>
      </c>
      <c r="C603" s="99" t="s">
        <v>2456</v>
      </c>
      <c r="D603" s="100" t="s">
        <v>2457</v>
      </c>
      <c r="E603" s="101"/>
      <c r="F603" s="101">
        <v>41008</v>
      </c>
      <c r="G603" s="102" t="str">
        <f>IF(stdProdLT(Main[[#This Row],[Comments]])=0.1,"N/A",IF(stdProdLT(Main[[#This Row],[Comments]])=0,"",stdProdLT(Main[[#This Row],[Comments]])))</f>
        <v/>
      </c>
      <c r="H603" s="103" t="str">
        <f>IF(AND(Main[[#This Row],[In Stock Date]]&lt;&gt;"",Main[[#This Row],[Revised Due Date]]&lt;&gt;""),Main[[#This Row],[In Stock Date]]-Main[[#This Row],[Revised Due Date]],"")</f>
        <v/>
      </c>
      <c r="I603" s="99" t="s">
        <v>4</v>
      </c>
      <c r="J603" s="99" t="s">
        <v>4</v>
      </c>
      <c r="K603" s="99" t="s">
        <v>4</v>
      </c>
      <c r="L603" s="101"/>
      <c r="M603" s="104" t="str">
        <f>IF(Main[[#This Row],[Tech Start Date]]&lt;1/1/1990,"",IF(Main[[#This Row],[Class]]="C",WORKDAY(Main[[#This Row],[Tech Start Date]],9),IF(Main[[#This Row],[Class]]="B", WORKDAY(Main[[#This Row],[Tech Start Date]],6),IF(Main[[#This Row],[Class]]="A",WORKDAY(Main[[#This Row],[Tech Start Date]],2),""))))</f>
        <v/>
      </c>
      <c r="N603" s="104" t="str">
        <f>IF(Main[[#This Row],[Tech Start Date]]&lt;1/1/1990,"",IF(Main[[#This Row],[Class]]="C",WORKDAY(Main[[#This Row],[Tech Start Date]],19),IF(Main[[#This Row],[Class]]="B", WORKDAY(Main[[#This Row],[Tech Start Date]],12),IF(Main[[#This Row],[Class]]="A",WORKDAY(Main[[#This Row],[Tech Start Date]],4),""))))</f>
        <v/>
      </c>
      <c r="O603" s="104" t="str">
        <f>IF(Main[[#This Row],[Tech Start Date]]&lt;1/1/1990,"",IF(Main[[#This Row],[Class]]="C",WORKDAY(Main[[#This Row],[Tech Start Date]],23),IF(Main[[#This Row],[Class]]="B", WORKDAY(Main[[#This Row],[Tech Start Date]],15),IF(Main[[#This Row],[Class]]="A",WORKDAY(Main[[#This Row],[Tech Start Date]],5),""))))</f>
        <v/>
      </c>
      <c r="P603" s="104" t="str">
        <f>IF(Main[[#This Row],[Tech Start Date]]&lt;1/1/1990,"",IF(Main[[#This Row],[Class]]="C",WORKDAY(Main[[#This Row],[Tech Start Date]],28),IF(Main[[#This Row],[Class]]="B", WORKDAY(Main[[#This Row],[Tech Start Date]],19),IF(Main[[#This Row],[Class]]="A",WORKDAY(Main[[#This Row],[Tech Start Date]],9),""))))</f>
        <v/>
      </c>
      <c r="Q603" s="101">
        <v>40826</v>
      </c>
      <c r="R603" s="101"/>
      <c r="S603" s="99" t="s">
        <v>11</v>
      </c>
      <c r="T603" s="107" t="s">
        <v>4</v>
      </c>
      <c r="U603" s="99" t="s">
        <v>12</v>
      </c>
      <c r="V603" s="99" t="s">
        <v>1965</v>
      </c>
      <c r="W603" s="99" t="s">
        <v>1968</v>
      </c>
    </row>
    <row r="604" spans="1:23" ht="18.600000000000001" customHeight="1">
      <c r="A604" s="123" t="str">
        <f>IF(priority(Main[[#This Row],[Comments]])&lt;&gt;0, priority(Main[[#This Row],[Comments]]),"")</f>
        <v/>
      </c>
      <c r="B604" s="127" t="s">
        <v>1494</v>
      </c>
      <c r="C604" s="99" t="s">
        <v>4</v>
      </c>
      <c r="D604" s="100" t="s">
        <v>529</v>
      </c>
      <c r="E604" s="101">
        <v>40371.58488425926</v>
      </c>
      <c r="F604" s="101"/>
      <c r="G604" s="102" t="str">
        <f>IF(stdProdLT(Main[[#This Row],[Comments]])=0.1,"N/A",IF(stdProdLT(Main[[#This Row],[Comments]])=0,"",stdProdLT(Main[[#This Row],[Comments]])))</f>
        <v/>
      </c>
      <c r="H604" s="103" t="str">
        <f>IF(AND(Main[[#This Row],[In Stock Date]]&lt;&gt;"",Main[[#This Row],[Revised Due Date]]&lt;&gt;""),Main[[#This Row],[In Stock Date]]-Main[[#This Row],[Revised Due Date]],"")</f>
        <v/>
      </c>
      <c r="I604" s="99" t="s">
        <v>4</v>
      </c>
      <c r="J604" s="99" t="s">
        <v>4</v>
      </c>
      <c r="K604" s="99" t="s">
        <v>4</v>
      </c>
      <c r="L604" s="101"/>
      <c r="M604" s="104" t="str">
        <f>IF(Main[[#This Row],[Tech Start Date]]&lt;1/1/1990,"",IF(Main[[#This Row],[Class]]="C",WORKDAY(Main[[#This Row],[Tech Start Date]],9),IF(Main[[#This Row],[Class]]="B", WORKDAY(Main[[#This Row],[Tech Start Date]],6),IF(Main[[#This Row],[Class]]="A",WORKDAY(Main[[#This Row],[Tech Start Date]],2),""))))</f>
        <v/>
      </c>
      <c r="N604" s="104" t="str">
        <f>IF(Main[[#This Row],[Tech Start Date]]&lt;1/1/1990,"",IF(Main[[#This Row],[Class]]="C",WORKDAY(Main[[#This Row],[Tech Start Date]],19),IF(Main[[#This Row],[Class]]="B", WORKDAY(Main[[#This Row],[Tech Start Date]],12),IF(Main[[#This Row],[Class]]="A",WORKDAY(Main[[#This Row],[Tech Start Date]],4),""))))</f>
        <v/>
      </c>
      <c r="O604" s="104" t="str">
        <f>IF(Main[[#This Row],[Tech Start Date]]&lt;1/1/1990,"",IF(Main[[#This Row],[Class]]="C",WORKDAY(Main[[#This Row],[Tech Start Date]],23),IF(Main[[#This Row],[Class]]="B", WORKDAY(Main[[#This Row],[Tech Start Date]],15),IF(Main[[#This Row],[Class]]="A",WORKDAY(Main[[#This Row],[Tech Start Date]],5),""))))</f>
        <v/>
      </c>
      <c r="P604" s="104" t="str">
        <f>IF(Main[[#This Row],[Tech Start Date]]&lt;1/1/1990,"",IF(Main[[#This Row],[Class]]="C",WORKDAY(Main[[#This Row],[Tech Start Date]],28),IF(Main[[#This Row],[Class]]="B", WORKDAY(Main[[#This Row],[Tech Start Date]],19),IF(Main[[#This Row],[Class]]="A",WORKDAY(Main[[#This Row],[Tech Start Date]],9),""))))</f>
        <v/>
      </c>
      <c r="Q604" s="101">
        <v>40385</v>
      </c>
      <c r="R604" s="101"/>
      <c r="S604" s="99" t="s">
        <v>6</v>
      </c>
      <c r="T604" s="107" t="s">
        <v>4</v>
      </c>
      <c r="U604" s="99" t="s">
        <v>7</v>
      </c>
      <c r="V604" s="99" t="s">
        <v>1962</v>
      </c>
      <c r="W604" s="99" t="s">
        <v>1967</v>
      </c>
    </row>
    <row r="605" spans="1:23" ht="18.600000000000001" customHeight="1">
      <c r="A605" s="123" t="str">
        <f>IF(priority(Main[[#This Row],[Comments]])&lt;&gt;0, priority(Main[[#This Row],[Comments]]),"")</f>
        <v/>
      </c>
      <c r="B605" s="127" t="s">
        <v>1495</v>
      </c>
      <c r="C605" s="99" t="s">
        <v>4</v>
      </c>
      <c r="D605" s="100" t="s">
        <v>530</v>
      </c>
      <c r="E605" s="101"/>
      <c r="F605" s="101"/>
      <c r="G605" s="102" t="str">
        <f>IF(stdProdLT(Main[[#This Row],[Comments]])=0.1,"N/A",IF(stdProdLT(Main[[#This Row],[Comments]])=0,"",stdProdLT(Main[[#This Row],[Comments]])))</f>
        <v/>
      </c>
      <c r="H605" s="103" t="str">
        <f>IF(AND(Main[[#This Row],[In Stock Date]]&lt;&gt;"",Main[[#This Row],[Revised Due Date]]&lt;&gt;""),Main[[#This Row],[In Stock Date]]-Main[[#This Row],[Revised Due Date]],"")</f>
        <v/>
      </c>
      <c r="I605" s="99" t="s">
        <v>4</v>
      </c>
      <c r="J605" s="99" t="s">
        <v>4</v>
      </c>
      <c r="K605" s="99" t="s">
        <v>4</v>
      </c>
      <c r="L605" s="101"/>
      <c r="M605" s="104" t="str">
        <f>IF(Main[[#This Row],[Tech Start Date]]&lt;1/1/1990,"",IF(Main[[#This Row],[Class]]="C",WORKDAY(Main[[#This Row],[Tech Start Date]],9),IF(Main[[#This Row],[Class]]="B", WORKDAY(Main[[#This Row],[Tech Start Date]],6),IF(Main[[#This Row],[Class]]="A",WORKDAY(Main[[#This Row],[Tech Start Date]],2),""))))</f>
        <v/>
      </c>
      <c r="N605" s="104" t="str">
        <f>IF(Main[[#This Row],[Tech Start Date]]&lt;1/1/1990,"",IF(Main[[#This Row],[Class]]="C",WORKDAY(Main[[#This Row],[Tech Start Date]],19),IF(Main[[#This Row],[Class]]="B", WORKDAY(Main[[#This Row],[Tech Start Date]],12),IF(Main[[#This Row],[Class]]="A",WORKDAY(Main[[#This Row],[Tech Start Date]],4),""))))</f>
        <v/>
      </c>
      <c r="O605" s="104" t="str">
        <f>IF(Main[[#This Row],[Tech Start Date]]&lt;1/1/1990,"",IF(Main[[#This Row],[Class]]="C",WORKDAY(Main[[#This Row],[Tech Start Date]],23),IF(Main[[#This Row],[Class]]="B", WORKDAY(Main[[#This Row],[Tech Start Date]],15),IF(Main[[#This Row],[Class]]="A",WORKDAY(Main[[#This Row],[Tech Start Date]],5),""))))</f>
        <v/>
      </c>
      <c r="P605" s="104" t="str">
        <f>IF(Main[[#This Row],[Tech Start Date]]&lt;1/1/1990,"",IF(Main[[#This Row],[Class]]="C",WORKDAY(Main[[#This Row],[Tech Start Date]],28),IF(Main[[#This Row],[Class]]="B", WORKDAY(Main[[#This Row],[Tech Start Date]],19),IF(Main[[#This Row],[Class]]="A",WORKDAY(Main[[#This Row],[Tech Start Date]],9),""))))</f>
        <v/>
      </c>
      <c r="Q605" s="101"/>
      <c r="R605" s="101"/>
      <c r="S605" s="99" t="s">
        <v>6</v>
      </c>
      <c r="T605" s="107" t="s">
        <v>4</v>
      </c>
      <c r="U605" s="99" t="s">
        <v>12</v>
      </c>
      <c r="V605" s="99" t="s">
        <v>1965</v>
      </c>
      <c r="W605" s="99" t="s">
        <v>4</v>
      </c>
    </row>
    <row r="606" spans="1:23" ht="18.600000000000001" customHeight="1">
      <c r="A606" s="123" t="str">
        <f>IF(priority(Main[[#This Row],[Comments]])&lt;&gt;0, priority(Main[[#This Row],[Comments]]),"")</f>
        <v/>
      </c>
      <c r="B606" s="127" t="s">
        <v>1497</v>
      </c>
      <c r="C606" s="99" t="s">
        <v>531</v>
      </c>
      <c r="D606" s="100" t="s">
        <v>532</v>
      </c>
      <c r="E606" s="101"/>
      <c r="F606" s="101">
        <v>40276</v>
      </c>
      <c r="G606" s="102" t="str">
        <f>IF(stdProdLT(Main[[#This Row],[Comments]])=0.1,"N/A",IF(stdProdLT(Main[[#This Row],[Comments]])=0,"",stdProdLT(Main[[#This Row],[Comments]])))</f>
        <v/>
      </c>
      <c r="H606" s="103" t="str">
        <f>IF(AND(Main[[#This Row],[In Stock Date]]&lt;&gt;"",Main[[#This Row],[Revised Due Date]]&lt;&gt;""),Main[[#This Row],[In Stock Date]]-Main[[#This Row],[Revised Due Date]],"")</f>
        <v/>
      </c>
      <c r="I606" s="99" t="s">
        <v>4</v>
      </c>
      <c r="J606" s="99" t="s">
        <v>4</v>
      </c>
      <c r="K606" s="99" t="s">
        <v>4</v>
      </c>
      <c r="L606" s="101"/>
      <c r="M606" s="104" t="str">
        <f>IF(Main[[#This Row],[Tech Start Date]]&lt;1/1/1990,"",IF(Main[[#This Row],[Class]]="C",WORKDAY(Main[[#This Row],[Tech Start Date]],9),IF(Main[[#This Row],[Class]]="B", WORKDAY(Main[[#This Row],[Tech Start Date]],6),IF(Main[[#This Row],[Class]]="A",WORKDAY(Main[[#This Row],[Tech Start Date]],2),""))))</f>
        <v/>
      </c>
      <c r="N606" s="104" t="str">
        <f>IF(Main[[#This Row],[Tech Start Date]]&lt;1/1/1990,"",IF(Main[[#This Row],[Class]]="C",WORKDAY(Main[[#This Row],[Tech Start Date]],19),IF(Main[[#This Row],[Class]]="B", WORKDAY(Main[[#This Row],[Tech Start Date]],12),IF(Main[[#This Row],[Class]]="A",WORKDAY(Main[[#This Row],[Tech Start Date]],4),""))))</f>
        <v/>
      </c>
      <c r="O606" s="104" t="str">
        <f>IF(Main[[#This Row],[Tech Start Date]]&lt;1/1/1990,"",IF(Main[[#This Row],[Class]]="C",WORKDAY(Main[[#This Row],[Tech Start Date]],23),IF(Main[[#This Row],[Class]]="B", WORKDAY(Main[[#This Row],[Tech Start Date]],15),IF(Main[[#This Row],[Class]]="A",WORKDAY(Main[[#This Row],[Tech Start Date]],5),""))))</f>
        <v/>
      </c>
      <c r="P606" s="104" t="str">
        <f>IF(Main[[#This Row],[Tech Start Date]]&lt;1/1/1990,"",IF(Main[[#This Row],[Class]]="C",WORKDAY(Main[[#This Row],[Tech Start Date]],28),IF(Main[[#This Row],[Class]]="B", WORKDAY(Main[[#This Row],[Tech Start Date]],19),IF(Main[[#This Row],[Class]]="A",WORKDAY(Main[[#This Row],[Tech Start Date]],9),""))))</f>
        <v/>
      </c>
      <c r="Q606" s="101">
        <v>40164</v>
      </c>
      <c r="R606" s="101"/>
      <c r="S606" s="99" t="s">
        <v>11</v>
      </c>
      <c r="T606" s="107" t="s">
        <v>4</v>
      </c>
      <c r="U606" s="99" t="s">
        <v>14</v>
      </c>
      <c r="V606" s="99" t="s">
        <v>1965</v>
      </c>
      <c r="W606" s="99" t="s">
        <v>1968</v>
      </c>
    </row>
    <row r="607" spans="1:23" ht="18.600000000000001" customHeight="1">
      <c r="A607" s="123" t="str">
        <f>IF(priority(Main[[#This Row],[Comments]])&lt;&gt;0, priority(Main[[#This Row],[Comments]]),"")</f>
        <v/>
      </c>
      <c r="B607" s="127" t="s">
        <v>2481</v>
      </c>
      <c r="C607" s="99" t="s">
        <v>2482</v>
      </c>
      <c r="D607" s="100" t="s">
        <v>2483</v>
      </c>
      <c r="E607" s="101">
        <v>40855.460949074077</v>
      </c>
      <c r="F607" s="101"/>
      <c r="G607" s="102" t="str">
        <f>IF(stdProdLT(Main[[#This Row],[Comments]])=0.1,"N/A",IF(stdProdLT(Main[[#This Row],[Comments]])=0,"",stdProdLT(Main[[#This Row],[Comments]])))</f>
        <v/>
      </c>
      <c r="H607" s="103" t="str">
        <f>IF(AND(Main[[#This Row],[In Stock Date]]&lt;&gt;"",Main[[#This Row],[Revised Due Date]]&lt;&gt;""),Main[[#This Row],[In Stock Date]]-Main[[#This Row],[Revised Due Date]],"")</f>
        <v/>
      </c>
      <c r="I607" s="99" t="s">
        <v>4</v>
      </c>
      <c r="J607" s="99" t="s">
        <v>4</v>
      </c>
      <c r="K607" s="108" t="s">
        <v>4</v>
      </c>
      <c r="L607" s="101"/>
      <c r="M607" s="104" t="str">
        <f>IF(Main[[#This Row],[Tech Start Date]]&lt;1/1/1990,"",IF(Main[[#This Row],[Class]]="C",WORKDAY(Main[[#This Row],[Tech Start Date]],9),IF(Main[[#This Row],[Class]]="B", WORKDAY(Main[[#This Row],[Tech Start Date]],6),IF(Main[[#This Row],[Class]]="A",WORKDAY(Main[[#This Row],[Tech Start Date]],2),""))))</f>
        <v/>
      </c>
      <c r="N607" s="104" t="str">
        <f>IF(Main[[#This Row],[Tech Start Date]]&lt;1/1/1990,"",IF(Main[[#This Row],[Class]]="C",WORKDAY(Main[[#This Row],[Tech Start Date]],19),IF(Main[[#This Row],[Class]]="B", WORKDAY(Main[[#This Row],[Tech Start Date]],12),IF(Main[[#This Row],[Class]]="A",WORKDAY(Main[[#This Row],[Tech Start Date]],4),""))))</f>
        <v/>
      </c>
      <c r="O607" s="104" t="str">
        <f>IF(Main[[#This Row],[Tech Start Date]]&lt;1/1/1990,"",IF(Main[[#This Row],[Class]]="C",WORKDAY(Main[[#This Row],[Tech Start Date]],23),IF(Main[[#This Row],[Class]]="B", WORKDAY(Main[[#This Row],[Tech Start Date]],15),IF(Main[[#This Row],[Class]]="A",WORKDAY(Main[[#This Row],[Tech Start Date]],5),""))))</f>
        <v/>
      </c>
      <c r="P607" s="104" t="str">
        <f>IF(Main[[#This Row],[Tech Start Date]]&lt;1/1/1990,"",IF(Main[[#This Row],[Class]]="C",WORKDAY(Main[[#This Row],[Tech Start Date]],28),IF(Main[[#This Row],[Class]]="B", WORKDAY(Main[[#This Row],[Tech Start Date]],19),IF(Main[[#This Row],[Class]]="A",WORKDAY(Main[[#This Row],[Tech Start Date]],9),""))))</f>
        <v/>
      </c>
      <c r="Q607" s="101"/>
      <c r="R607" s="101"/>
      <c r="S607" s="99" t="s">
        <v>6</v>
      </c>
      <c r="T607" s="107" t="s">
        <v>4</v>
      </c>
      <c r="U607" s="99" t="s">
        <v>7</v>
      </c>
      <c r="V607" s="99" t="s">
        <v>1963</v>
      </c>
      <c r="W607" s="99" t="s">
        <v>1966</v>
      </c>
    </row>
    <row r="608" spans="1:23" ht="18.600000000000001" customHeight="1">
      <c r="A608" s="123" t="str">
        <f>IF(priority(Main[[#This Row],[Comments]])&lt;&gt;0, priority(Main[[#This Row],[Comments]]),"")</f>
        <v/>
      </c>
      <c r="B608" s="127" t="s">
        <v>1736</v>
      </c>
      <c r="C608" s="99" t="s">
        <v>4</v>
      </c>
      <c r="D608" s="100" t="s">
        <v>765</v>
      </c>
      <c r="E608" s="101">
        <v>40700.558032407411</v>
      </c>
      <c r="F608" s="101"/>
      <c r="G608" s="102" t="str">
        <f>IF(stdProdLT(Main[[#This Row],[Comments]])=0.1,"N/A",IF(stdProdLT(Main[[#This Row],[Comments]])=0,"",stdProdLT(Main[[#This Row],[Comments]])))</f>
        <v/>
      </c>
      <c r="H608" s="103" t="str">
        <f>IF(AND(Main[[#This Row],[In Stock Date]]&lt;&gt;"",Main[[#This Row],[Revised Due Date]]&lt;&gt;""),Main[[#This Row],[In Stock Date]]-Main[[#This Row],[Revised Due Date]],"")</f>
        <v/>
      </c>
      <c r="I608" s="99" t="s">
        <v>4</v>
      </c>
      <c r="J608" s="99" t="s">
        <v>4</v>
      </c>
      <c r="K608" s="99" t="s">
        <v>4</v>
      </c>
      <c r="L608" s="101"/>
      <c r="M608" s="104" t="str">
        <f>IF(Main[[#This Row],[Tech Start Date]]&lt;1/1/1990,"",IF(Main[[#This Row],[Class]]="C",WORKDAY(Main[[#This Row],[Tech Start Date]],9),IF(Main[[#This Row],[Class]]="B", WORKDAY(Main[[#This Row],[Tech Start Date]],6),IF(Main[[#This Row],[Class]]="A",WORKDAY(Main[[#This Row],[Tech Start Date]],2),""))))</f>
        <v/>
      </c>
      <c r="N608" s="104" t="str">
        <f>IF(Main[[#This Row],[Tech Start Date]]&lt;1/1/1990,"",IF(Main[[#This Row],[Class]]="C",WORKDAY(Main[[#This Row],[Tech Start Date]],19),IF(Main[[#This Row],[Class]]="B", WORKDAY(Main[[#This Row],[Tech Start Date]],12),IF(Main[[#This Row],[Class]]="A",WORKDAY(Main[[#This Row],[Tech Start Date]],4),""))))</f>
        <v/>
      </c>
      <c r="O608" s="104" t="str">
        <f>IF(Main[[#This Row],[Tech Start Date]]&lt;1/1/1990,"",IF(Main[[#This Row],[Class]]="C",WORKDAY(Main[[#This Row],[Tech Start Date]],23),IF(Main[[#This Row],[Class]]="B", WORKDAY(Main[[#This Row],[Tech Start Date]],15),IF(Main[[#This Row],[Class]]="A",WORKDAY(Main[[#This Row],[Tech Start Date]],5),""))))</f>
        <v/>
      </c>
      <c r="P608" s="104" t="str">
        <f>IF(Main[[#This Row],[Tech Start Date]]&lt;1/1/1990,"",IF(Main[[#This Row],[Class]]="C",WORKDAY(Main[[#This Row],[Tech Start Date]],28),IF(Main[[#This Row],[Class]]="B", WORKDAY(Main[[#This Row],[Tech Start Date]],19),IF(Main[[#This Row],[Class]]="A",WORKDAY(Main[[#This Row],[Tech Start Date]],9),""))))</f>
        <v/>
      </c>
      <c r="Q608" s="101">
        <v>40714</v>
      </c>
      <c r="R608" s="101"/>
      <c r="S608" s="99" t="s">
        <v>6</v>
      </c>
      <c r="T608" s="107" t="s">
        <v>4</v>
      </c>
      <c r="U608" s="99" t="s">
        <v>704</v>
      </c>
      <c r="V608" s="99" t="s">
        <v>1962</v>
      </c>
      <c r="W608" s="99" t="s">
        <v>4</v>
      </c>
    </row>
    <row r="609" spans="1:23" ht="18.600000000000001" customHeight="1">
      <c r="A609" s="123" t="str">
        <f>IF(priority(Main[[#This Row],[Comments]])&lt;&gt;0, priority(Main[[#This Row],[Comments]]),"")</f>
        <v/>
      </c>
      <c r="B609" s="127" t="s">
        <v>1499</v>
      </c>
      <c r="C609" s="99" t="s">
        <v>4</v>
      </c>
      <c r="D609" s="100" t="s">
        <v>533</v>
      </c>
      <c r="E609" s="101"/>
      <c r="F609" s="101">
        <v>40431</v>
      </c>
      <c r="G609" s="102" t="str">
        <f>IF(stdProdLT(Main[[#This Row],[Comments]])=0.1,"N/A",IF(stdProdLT(Main[[#This Row],[Comments]])=0,"",stdProdLT(Main[[#This Row],[Comments]])))</f>
        <v/>
      </c>
      <c r="H609" s="103" t="str">
        <f>IF(AND(Main[[#This Row],[In Stock Date]]&lt;&gt;"",Main[[#This Row],[Revised Due Date]]&lt;&gt;""),Main[[#This Row],[In Stock Date]]-Main[[#This Row],[Revised Due Date]],"")</f>
        <v/>
      </c>
      <c r="I609" s="99" t="s">
        <v>4</v>
      </c>
      <c r="J609" s="99" t="s">
        <v>28</v>
      </c>
      <c r="K609" s="99" t="s">
        <v>4</v>
      </c>
      <c r="L609" s="101"/>
      <c r="M609" s="104" t="str">
        <f>IF(Main[[#This Row],[Tech Start Date]]&lt;1/1/1990,"",IF(Main[[#This Row],[Class]]="C",WORKDAY(Main[[#This Row],[Tech Start Date]],9),IF(Main[[#This Row],[Class]]="B", WORKDAY(Main[[#This Row],[Tech Start Date]],6),IF(Main[[#This Row],[Class]]="A",WORKDAY(Main[[#This Row],[Tech Start Date]],2),""))))</f>
        <v/>
      </c>
      <c r="N609" s="104" t="str">
        <f>IF(Main[[#This Row],[Tech Start Date]]&lt;1/1/1990,"",IF(Main[[#This Row],[Class]]="C",WORKDAY(Main[[#This Row],[Tech Start Date]],19),IF(Main[[#This Row],[Class]]="B", WORKDAY(Main[[#This Row],[Tech Start Date]],12),IF(Main[[#This Row],[Class]]="A",WORKDAY(Main[[#This Row],[Tech Start Date]],4),""))))</f>
        <v/>
      </c>
      <c r="O609" s="104" t="str">
        <f>IF(Main[[#This Row],[Tech Start Date]]&lt;1/1/1990,"",IF(Main[[#This Row],[Class]]="C",WORKDAY(Main[[#This Row],[Tech Start Date]],23),IF(Main[[#This Row],[Class]]="B", WORKDAY(Main[[#This Row],[Tech Start Date]],15),IF(Main[[#This Row],[Class]]="A",WORKDAY(Main[[#This Row],[Tech Start Date]],5),""))))</f>
        <v/>
      </c>
      <c r="P609" s="104" t="str">
        <f>IF(Main[[#This Row],[Tech Start Date]]&lt;1/1/1990,"",IF(Main[[#This Row],[Class]]="C",WORKDAY(Main[[#This Row],[Tech Start Date]],28),IF(Main[[#This Row],[Class]]="B", WORKDAY(Main[[#This Row],[Tech Start Date]],19),IF(Main[[#This Row],[Class]]="A",WORKDAY(Main[[#This Row],[Tech Start Date]],9),""))))</f>
        <v/>
      </c>
      <c r="Q609" s="101">
        <v>40410</v>
      </c>
      <c r="R609" s="101"/>
      <c r="S609" s="99" t="s">
        <v>11</v>
      </c>
      <c r="T609" s="107" t="s">
        <v>4</v>
      </c>
      <c r="U609" s="99" t="s">
        <v>14</v>
      </c>
      <c r="V609" s="99" t="s">
        <v>1963</v>
      </c>
      <c r="W609" s="99" t="s">
        <v>1970</v>
      </c>
    </row>
    <row r="610" spans="1:23" ht="18.600000000000001" customHeight="1">
      <c r="A610" s="123" t="str">
        <f>IF(priority(Main[[#This Row],[Comments]])&lt;&gt;0, priority(Main[[#This Row],[Comments]]),"")</f>
        <v/>
      </c>
      <c r="B610" s="127" t="s">
        <v>2484</v>
      </c>
      <c r="C610" s="99" t="s">
        <v>4</v>
      </c>
      <c r="D610" s="100" t="s">
        <v>2485</v>
      </c>
      <c r="E610" s="101">
        <v>40861.64230324074</v>
      </c>
      <c r="F610" s="101"/>
      <c r="G610" s="102" t="str">
        <f>IF(stdProdLT(Main[[#This Row],[Comments]])=0.1,"N/A",IF(stdProdLT(Main[[#This Row],[Comments]])=0,"",stdProdLT(Main[[#This Row],[Comments]])))</f>
        <v/>
      </c>
      <c r="H610" s="103" t="str">
        <f>IF(AND(Main[[#This Row],[In Stock Date]]&lt;&gt;"",Main[[#This Row],[Revised Due Date]]&lt;&gt;""),Main[[#This Row],[In Stock Date]]-Main[[#This Row],[Revised Due Date]],"")</f>
        <v/>
      </c>
      <c r="I610" s="99" t="s">
        <v>778</v>
      </c>
      <c r="J610" s="99" t="s">
        <v>52</v>
      </c>
      <c r="K610" s="99" t="s">
        <v>1971</v>
      </c>
      <c r="L610" s="101"/>
      <c r="M610" s="104" t="str">
        <f>IF(Main[[#This Row],[Tech Start Date]]&lt;1/1/1990,"",IF(Main[[#This Row],[Class]]="C",WORKDAY(Main[[#This Row],[Tech Start Date]],9),IF(Main[[#This Row],[Class]]="B", WORKDAY(Main[[#This Row],[Tech Start Date]],6),IF(Main[[#This Row],[Class]]="A",WORKDAY(Main[[#This Row],[Tech Start Date]],2),""))))</f>
        <v/>
      </c>
      <c r="N610" s="104" t="str">
        <f>IF(Main[[#This Row],[Tech Start Date]]&lt;1/1/1990,"",IF(Main[[#This Row],[Class]]="C",WORKDAY(Main[[#This Row],[Tech Start Date]],19),IF(Main[[#This Row],[Class]]="B", WORKDAY(Main[[#This Row],[Tech Start Date]],12),IF(Main[[#This Row],[Class]]="A",WORKDAY(Main[[#This Row],[Tech Start Date]],4),""))))</f>
        <v/>
      </c>
      <c r="O610" s="104" t="str">
        <f>IF(Main[[#This Row],[Tech Start Date]]&lt;1/1/1990,"",IF(Main[[#This Row],[Class]]="C",WORKDAY(Main[[#This Row],[Tech Start Date]],23),IF(Main[[#This Row],[Class]]="B", WORKDAY(Main[[#This Row],[Tech Start Date]],15),IF(Main[[#This Row],[Class]]="A",WORKDAY(Main[[#This Row],[Tech Start Date]],5),""))))</f>
        <v/>
      </c>
      <c r="P610" s="104" t="str">
        <f>IF(Main[[#This Row],[Tech Start Date]]&lt;1/1/1990,"",IF(Main[[#This Row],[Class]]="C",WORKDAY(Main[[#This Row],[Tech Start Date]],28),IF(Main[[#This Row],[Class]]="B", WORKDAY(Main[[#This Row],[Tech Start Date]],19),IF(Main[[#This Row],[Class]]="A",WORKDAY(Main[[#This Row],[Tech Start Date]],9),""))))</f>
        <v/>
      </c>
      <c r="Q610" s="101">
        <v>40897</v>
      </c>
      <c r="R610" s="101"/>
      <c r="S610" s="99" t="s">
        <v>6</v>
      </c>
      <c r="T610" s="107" t="s">
        <v>4</v>
      </c>
      <c r="U610" s="99" t="s">
        <v>29</v>
      </c>
      <c r="V610" s="99" t="s">
        <v>1965</v>
      </c>
      <c r="W610" s="99" t="s">
        <v>1966</v>
      </c>
    </row>
    <row r="611" spans="1:23" ht="18.600000000000001" customHeight="1">
      <c r="A611" s="123" t="str">
        <f>IF(priority(Main[[#This Row],[Comments]])&lt;&gt;0, priority(Main[[#This Row],[Comments]]),"")</f>
        <v/>
      </c>
      <c r="B611" s="127" t="s">
        <v>1500</v>
      </c>
      <c r="C611" s="99" t="s">
        <v>4</v>
      </c>
      <c r="D611" s="100" t="s">
        <v>534</v>
      </c>
      <c r="E611" s="101"/>
      <c r="F611" s="101">
        <v>40786</v>
      </c>
      <c r="G611" s="102" t="str">
        <f>IF(stdProdLT(Main[[#This Row],[Comments]])=0.1,"N/A",IF(stdProdLT(Main[[#This Row],[Comments]])=0,"",stdProdLT(Main[[#This Row],[Comments]])))</f>
        <v/>
      </c>
      <c r="H611" s="103" t="str">
        <f>IF(AND(Main[[#This Row],[In Stock Date]]&lt;&gt;"",Main[[#This Row],[Revised Due Date]]&lt;&gt;""),Main[[#This Row],[In Stock Date]]-Main[[#This Row],[Revised Due Date]],"")</f>
        <v/>
      </c>
      <c r="I611" s="99" t="s">
        <v>4</v>
      </c>
      <c r="J611" s="99" t="s">
        <v>4</v>
      </c>
      <c r="K611" s="99" t="s">
        <v>4</v>
      </c>
      <c r="L611" s="101"/>
      <c r="M611" s="104" t="str">
        <f>IF(Main[[#This Row],[Tech Start Date]]&lt;1/1/1990,"",IF(Main[[#This Row],[Class]]="C",WORKDAY(Main[[#This Row],[Tech Start Date]],9),IF(Main[[#This Row],[Class]]="B", WORKDAY(Main[[#This Row],[Tech Start Date]],6),IF(Main[[#This Row],[Class]]="A",WORKDAY(Main[[#This Row],[Tech Start Date]],2),""))))</f>
        <v/>
      </c>
      <c r="N611" s="104" t="str">
        <f>IF(Main[[#This Row],[Tech Start Date]]&lt;1/1/1990,"",IF(Main[[#This Row],[Class]]="C",WORKDAY(Main[[#This Row],[Tech Start Date]],19),IF(Main[[#This Row],[Class]]="B", WORKDAY(Main[[#This Row],[Tech Start Date]],12),IF(Main[[#This Row],[Class]]="A",WORKDAY(Main[[#This Row],[Tech Start Date]],4),""))))</f>
        <v/>
      </c>
      <c r="O611" s="104" t="str">
        <f>IF(Main[[#This Row],[Tech Start Date]]&lt;1/1/1990,"",IF(Main[[#This Row],[Class]]="C",WORKDAY(Main[[#This Row],[Tech Start Date]],23),IF(Main[[#This Row],[Class]]="B", WORKDAY(Main[[#This Row],[Tech Start Date]],15),IF(Main[[#This Row],[Class]]="A",WORKDAY(Main[[#This Row],[Tech Start Date]],5),""))))</f>
        <v/>
      </c>
      <c r="P611" s="104" t="str">
        <f>IF(Main[[#This Row],[Tech Start Date]]&lt;1/1/1990,"",IF(Main[[#This Row],[Class]]="C",WORKDAY(Main[[#This Row],[Tech Start Date]],28),IF(Main[[#This Row],[Class]]="B", WORKDAY(Main[[#This Row],[Tech Start Date]],19),IF(Main[[#This Row],[Class]]="A",WORKDAY(Main[[#This Row],[Tech Start Date]],9),""))))</f>
        <v/>
      </c>
      <c r="Q611" s="101">
        <v>40749</v>
      </c>
      <c r="R611" s="101"/>
      <c r="S611" s="99" t="s">
        <v>11</v>
      </c>
      <c r="T611" s="107" t="s">
        <v>4</v>
      </c>
      <c r="U611" s="99" t="s">
        <v>14</v>
      </c>
      <c r="V611" s="99" t="s">
        <v>1965</v>
      </c>
      <c r="W611" s="99" t="s">
        <v>1970</v>
      </c>
    </row>
    <row r="612" spans="1:23" ht="18.600000000000001" customHeight="1">
      <c r="A612" s="123" t="str">
        <f>IF(priority(Main[[#This Row],[Comments]])&lt;&gt;0, priority(Main[[#This Row],[Comments]]),"")</f>
        <v/>
      </c>
      <c r="B612" s="127" t="s">
        <v>1477</v>
      </c>
      <c r="C612" s="99" t="s">
        <v>95</v>
      </c>
      <c r="D612" s="100" t="s">
        <v>535</v>
      </c>
      <c r="E612" s="101"/>
      <c r="F612" s="101"/>
      <c r="G612" s="102" t="str">
        <f>IF(stdProdLT(Main[[#This Row],[Comments]])=0.1,"N/A",IF(stdProdLT(Main[[#This Row],[Comments]])=0,"",stdProdLT(Main[[#This Row],[Comments]])))</f>
        <v/>
      </c>
      <c r="H612" s="103" t="str">
        <f>IF(AND(Main[[#This Row],[In Stock Date]]&lt;&gt;"",Main[[#This Row],[Revised Due Date]]&lt;&gt;""),Main[[#This Row],[In Stock Date]]-Main[[#This Row],[Revised Due Date]],"")</f>
        <v/>
      </c>
      <c r="I612" s="99" t="s">
        <v>536</v>
      </c>
      <c r="J612" s="99" t="s">
        <v>4</v>
      </c>
      <c r="K612" s="99" t="s">
        <v>4</v>
      </c>
      <c r="L612" s="101"/>
      <c r="M612" s="104" t="str">
        <f>IF(Main[[#This Row],[Tech Start Date]]&lt;1/1/1990,"",IF(Main[[#This Row],[Class]]="C",WORKDAY(Main[[#This Row],[Tech Start Date]],9),IF(Main[[#This Row],[Class]]="B", WORKDAY(Main[[#This Row],[Tech Start Date]],6),IF(Main[[#This Row],[Class]]="A",WORKDAY(Main[[#This Row],[Tech Start Date]],2),""))))</f>
        <v/>
      </c>
      <c r="N612" s="104" t="str">
        <f>IF(Main[[#This Row],[Tech Start Date]]&lt;1/1/1990,"",IF(Main[[#This Row],[Class]]="C",WORKDAY(Main[[#This Row],[Tech Start Date]],19),IF(Main[[#This Row],[Class]]="B", WORKDAY(Main[[#This Row],[Tech Start Date]],12),IF(Main[[#This Row],[Class]]="A",WORKDAY(Main[[#This Row],[Tech Start Date]],4),""))))</f>
        <v/>
      </c>
      <c r="O612" s="104" t="str">
        <f>IF(Main[[#This Row],[Tech Start Date]]&lt;1/1/1990,"",IF(Main[[#This Row],[Class]]="C",WORKDAY(Main[[#This Row],[Tech Start Date]],23),IF(Main[[#This Row],[Class]]="B", WORKDAY(Main[[#This Row],[Tech Start Date]],15),IF(Main[[#This Row],[Class]]="A",WORKDAY(Main[[#This Row],[Tech Start Date]],5),""))))</f>
        <v/>
      </c>
      <c r="P612" s="104" t="str">
        <f>IF(Main[[#This Row],[Tech Start Date]]&lt;1/1/1990,"",IF(Main[[#This Row],[Class]]="C",WORKDAY(Main[[#This Row],[Tech Start Date]],28),IF(Main[[#This Row],[Class]]="B", WORKDAY(Main[[#This Row],[Tech Start Date]],19),IF(Main[[#This Row],[Class]]="A",WORKDAY(Main[[#This Row],[Tech Start Date]],9),""))))</f>
        <v/>
      </c>
      <c r="Q612" s="101">
        <v>40352</v>
      </c>
      <c r="R612" s="101"/>
      <c r="S612" s="99" t="s">
        <v>11</v>
      </c>
      <c r="T612" s="107" t="s">
        <v>4</v>
      </c>
      <c r="U612" s="99" t="s">
        <v>14</v>
      </c>
      <c r="V612" s="99" t="s">
        <v>1965</v>
      </c>
      <c r="W612" s="99" t="s">
        <v>1964</v>
      </c>
    </row>
    <row r="613" spans="1:23" ht="18.600000000000001" customHeight="1">
      <c r="A613" s="123" t="str">
        <f>IF(priority(Main[[#This Row],[Comments]])&lt;&gt;0, priority(Main[[#This Row],[Comments]]),"")</f>
        <v/>
      </c>
      <c r="B613" s="127" t="s">
        <v>1479</v>
      </c>
      <c r="C613" s="99" t="s">
        <v>171</v>
      </c>
      <c r="D613" s="100" t="s">
        <v>538</v>
      </c>
      <c r="E613" s="101"/>
      <c r="F613" s="101">
        <v>40237</v>
      </c>
      <c r="G613" s="102" t="str">
        <f>IF(stdProdLT(Main[[#This Row],[Comments]])=0.1,"N/A",IF(stdProdLT(Main[[#This Row],[Comments]])=0,"",stdProdLT(Main[[#This Row],[Comments]])))</f>
        <v/>
      </c>
      <c r="H613" s="103" t="str">
        <f>IF(AND(Main[[#This Row],[In Stock Date]]&lt;&gt;"",Main[[#This Row],[Revised Due Date]]&lt;&gt;""),Main[[#This Row],[In Stock Date]]-Main[[#This Row],[Revised Due Date]],"")</f>
        <v/>
      </c>
      <c r="I613" s="99" t="s">
        <v>4</v>
      </c>
      <c r="J613" s="99" t="s">
        <v>4</v>
      </c>
      <c r="K613" s="99" t="s">
        <v>4</v>
      </c>
      <c r="L613" s="101"/>
      <c r="M613" s="104" t="str">
        <f>IF(Main[[#This Row],[Tech Start Date]]&lt;1/1/1990,"",IF(Main[[#This Row],[Class]]="C",WORKDAY(Main[[#This Row],[Tech Start Date]],9),IF(Main[[#This Row],[Class]]="B", WORKDAY(Main[[#This Row],[Tech Start Date]],6),IF(Main[[#This Row],[Class]]="A",WORKDAY(Main[[#This Row],[Tech Start Date]],2),""))))</f>
        <v/>
      </c>
      <c r="N613" s="104" t="str">
        <f>IF(Main[[#This Row],[Tech Start Date]]&lt;1/1/1990,"",IF(Main[[#This Row],[Class]]="C",WORKDAY(Main[[#This Row],[Tech Start Date]],19),IF(Main[[#This Row],[Class]]="B", WORKDAY(Main[[#This Row],[Tech Start Date]],12),IF(Main[[#This Row],[Class]]="A",WORKDAY(Main[[#This Row],[Tech Start Date]],4),""))))</f>
        <v/>
      </c>
      <c r="O613" s="104" t="str">
        <f>IF(Main[[#This Row],[Tech Start Date]]&lt;1/1/1990,"",IF(Main[[#This Row],[Class]]="C",WORKDAY(Main[[#This Row],[Tech Start Date]],23),IF(Main[[#This Row],[Class]]="B", WORKDAY(Main[[#This Row],[Tech Start Date]],15),IF(Main[[#This Row],[Class]]="A",WORKDAY(Main[[#This Row],[Tech Start Date]],5),""))))</f>
        <v/>
      </c>
      <c r="P613" s="104" t="str">
        <f>IF(Main[[#This Row],[Tech Start Date]]&lt;1/1/1990,"",IF(Main[[#This Row],[Class]]="C",WORKDAY(Main[[#This Row],[Tech Start Date]],28),IF(Main[[#This Row],[Class]]="B", WORKDAY(Main[[#This Row],[Tech Start Date]],19),IF(Main[[#This Row],[Class]]="A",WORKDAY(Main[[#This Row],[Tech Start Date]],9),""))))</f>
        <v/>
      </c>
      <c r="Q613" s="101">
        <v>40132</v>
      </c>
      <c r="R613" s="101"/>
      <c r="S613" s="99" t="s">
        <v>11</v>
      </c>
      <c r="T613" s="107" t="s">
        <v>4</v>
      </c>
      <c r="U613" s="99" t="s">
        <v>14</v>
      </c>
      <c r="V613" s="99" t="s">
        <v>1962</v>
      </c>
      <c r="W613" s="99" t="s">
        <v>1967</v>
      </c>
    </row>
    <row r="614" spans="1:23" ht="18.600000000000001" customHeight="1">
      <c r="A614" s="123" t="str">
        <f>IF(priority(Main[[#This Row],[Comments]])&lt;&gt;0, priority(Main[[#This Row],[Comments]]),"")</f>
        <v/>
      </c>
      <c r="B614" s="127" t="s">
        <v>1480</v>
      </c>
      <c r="C614" s="99" t="s">
        <v>4</v>
      </c>
      <c r="D614" s="100" t="s">
        <v>539</v>
      </c>
      <c r="E614" s="101">
        <v>40108.684525462966</v>
      </c>
      <c r="F614" s="101"/>
      <c r="G614" s="102" t="str">
        <f>IF(stdProdLT(Main[[#This Row],[Comments]])=0.1,"N/A",IF(stdProdLT(Main[[#This Row],[Comments]])=0,"",stdProdLT(Main[[#This Row],[Comments]])))</f>
        <v/>
      </c>
      <c r="H614" s="103" t="str">
        <f>IF(AND(Main[[#This Row],[In Stock Date]]&lt;&gt;"",Main[[#This Row],[Revised Due Date]]&lt;&gt;""),Main[[#This Row],[In Stock Date]]-Main[[#This Row],[Revised Due Date]],"")</f>
        <v/>
      </c>
      <c r="I614" s="99" t="s">
        <v>4</v>
      </c>
      <c r="J614" s="99" t="s">
        <v>4</v>
      </c>
      <c r="K614" s="99" t="s">
        <v>4</v>
      </c>
      <c r="L614" s="101"/>
      <c r="M614" s="104" t="str">
        <f>IF(Main[[#This Row],[Tech Start Date]]&lt;1/1/1990,"",IF(Main[[#This Row],[Class]]="C",WORKDAY(Main[[#This Row],[Tech Start Date]],9),IF(Main[[#This Row],[Class]]="B", WORKDAY(Main[[#This Row],[Tech Start Date]],6),IF(Main[[#This Row],[Class]]="A",WORKDAY(Main[[#This Row],[Tech Start Date]],2),""))))</f>
        <v/>
      </c>
      <c r="N614" s="104" t="str">
        <f>IF(Main[[#This Row],[Tech Start Date]]&lt;1/1/1990,"",IF(Main[[#This Row],[Class]]="C",WORKDAY(Main[[#This Row],[Tech Start Date]],19),IF(Main[[#This Row],[Class]]="B", WORKDAY(Main[[#This Row],[Tech Start Date]],12),IF(Main[[#This Row],[Class]]="A",WORKDAY(Main[[#This Row],[Tech Start Date]],4),""))))</f>
        <v/>
      </c>
      <c r="O614" s="104" t="str">
        <f>IF(Main[[#This Row],[Tech Start Date]]&lt;1/1/1990,"",IF(Main[[#This Row],[Class]]="C",WORKDAY(Main[[#This Row],[Tech Start Date]],23),IF(Main[[#This Row],[Class]]="B", WORKDAY(Main[[#This Row],[Tech Start Date]],15),IF(Main[[#This Row],[Class]]="A",WORKDAY(Main[[#This Row],[Tech Start Date]],5),""))))</f>
        <v/>
      </c>
      <c r="P614" s="104" t="str">
        <f>IF(Main[[#This Row],[Tech Start Date]]&lt;1/1/1990,"",IF(Main[[#This Row],[Class]]="C",WORKDAY(Main[[#This Row],[Tech Start Date]],28),IF(Main[[#This Row],[Class]]="B", WORKDAY(Main[[#This Row],[Tech Start Date]],19),IF(Main[[#This Row],[Class]]="A",WORKDAY(Main[[#This Row],[Tech Start Date]],9),""))))</f>
        <v/>
      </c>
      <c r="Q614" s="101">
        <v>40208</v>
      </c>
      <c r="R614" s="101"/>
      <c r="S614" s="99" t="s">
        <v>17</v>
      </c>
      <c r="T614" s="107" t="s">
        <v>4</v>
      </c>
      <c r="U614" s="99" t="s">
        <v>540</v>
      </c>
      <c r="V614" s="99" t="s">
        <v>1963</v>
      </c>
      <c r="W614" s="99" t="s">
        <v>4</v>
      </c>
    </row>
    <row r="615" spans="1:23" ht="18.600000000000001" customHeight="1">
      <c r="A615" s="123" t="str">
        <f>IF(priority(Main[[#This Row],[Comments]])&lt;&gt;0, priority(Main[[#This Row],[Comments]]),"")</f>
        <v/>
      </c>
      <c r="B615" s="127" t="s">
        <v>1481</v>
      </c>
      <c r="C615" s="99" t="s">
        <v>79</v>
      </c>
      <c r="D615" s="100" t="s">
        <v>541</v>
      </c>
      <c r="E615" s="101"/>
      <c r="F615" s="101"/>
      <c r="G615" s="102" t="str">
        <f>IF(stdProdLT(Main[[#This Row],[Comments]])=0.1,"N/A",IF(stdProdLT(Main[[#This Row],[Comments]])=0,"",stdProdLT(Main[[#This Row],[Comments]])))</f>
        <v/>
      </c>
      <c r="H615" s="103" t="str">
        <f>IF(AND(Main[[#This Row],[In Stock Date]]&lt;&gt;"",Main[[#This Row],[Revised Due Date]]&lt;&gt;""),Main[[#This Row],[In Stock Date]]-Main[[#This Row],[Revised Due Date]],"")</f>
        <v/>
      </c>
      <c r="I615" s="99" t="s">
        <v>4</v>
      </c>
      <c r="J615" s="99" t="s">
        <v>4</v>
      </c>
      <c r="K615" s="99" t="s">
        <v>4</v>
      </c>
      <c r="L615" s="101"/>
      <c r="M615" s="104" t="str">
        <f>IF(Main[[#This Row],[Tech Start Date]]&lt;1/1/1990,"",IF(Main[[#This Row],[Class]]="C",WORKDAY(Main[[#This Row],[Tech Start Date]],9),IF(Main[[#This Row],[Class]]="B", WORKDAY(Main[[#This Row],[Tech Start Date]],6),IF(Main[[#This Row],[Class]]="A",WORKDAY(Main[[#This Row],[Tech Start Date]],2),""))))</f>
        <v/>
      </c>
      <c r="N615" s="104" t="str">
        <f>IF(Main[[#This Row],[Tech Start Date]]&lt;1/1/1990,"",IF(Main[[#This Row],[Class]]="C",WORKDAY(Main[[#This Row],[Tech Start Date]],19),IF(Main[[#This Row],[Class]]="B", WORKDAY(Main[[#This Row],[Tech Start Date]],12),IF(Main[[#This Row],[Class]]="A",WORKDAY(Main[[#This Row],[Tech Start Date]],4),""))))</f>
        <v/>
      </c>
      <c r="O615" s="104" t="str">
        <f>IF(Main[[#This Row],[Tech Start Date]]&lt;1/1/1990,"",IF(Main[[#This Row],[Class]]="C",WORKDAY(Main[[#This Row],[Tech Start Date]],23),IF(Main[[#This Row],[Class]]="B", WORKDAY(Main[[#This Row],[Tech Start Date]],15),IF(Main[[#This Row],[Class]]="A",WORKDAY(Main[[#This Row],[Tech Start Date]],5),""))))</f>
        <v/>
      </c>
      <c r="P615" s="104" t="str">
        <f>IF(Main[[#This Row],[Tech Start Date]]&lt;1/1/1990,"",IF(Main[[#This Row],[Class]]="C",WORKDAY(Main[[#This Row],[Tech Start Date]],28),IF(Main[[#This Row],[Class]]="B", WORKDAY(Main[[#This Row],[Tech Start Date]],19),IF(Main[[#This Row],[Class]]="A",WORKDAY(Main[[#This Row],[Tech Start Date]],9),""))))</f>
        <v/>
      </c>
      <c r="Q615" s="101">
        <v>40044</v>
      </c>
      <c r="R615" s="101"/>
      <c r="S615" s="99" t="s">
        <v>11</v>
      </c>
      <c r="T615" s="107" t="s">
        <v>4</v>
      </c>
      <c r="U615" s="99" t="s">
        <v>12</v>
      </c>
      <c r="V615" s="99" t="s">
        <v>1972</v>
      </c>
      <c r="W615" s="99" t="s">
        <v>1973</v>
      </c>
    </row>
    <row r="616" spans="1:23" ht="18.600000000000001" customHeight="1">
      <c r="A616" s="123" t="str">
        <f>IF(priority(Main[[#This Row],[Comments]])&lt;&gt;0, priority(Main[[#This Row],[Comments]]),"")</f>
        <v/>
      </c>
      <c r="B616" s="127" t="s">
        <v>1482</v>
      </c>
      <c r="C616" s="99" t="s">
        <v>4</v>
      </c>
      <c r="D616" s="100" t="s">
        <v>542</v>
      </c>
      <c r="E616" s="101"/>
      <c r="F616" s="101"/>
      <c r="G616" s="102" t="str">
        <f>IF(stdProdLT(Main[[#This Row],[Comments]])=0.1,"N/A",IF(stdProdLT(Main[[#This Row],[Comments]])=0,"",stdProdLT(Main[[#This Row],[Comments]])))</f>
        <v/>
      </c>
      <c r="H616" s="103" t="str">
        <f>IF(AND(Main[[#This Row],[In Stock Date]]&lt;&gt;"",Main[[#This Row],[Revised Due Date]]&lt;&gt;""),Main[[#This Row],[In Stock Date]]-Main[[#This Row],[Revised Due Date]],"")</f>
        <v/>
      </c>
      <c r="I616" s="99" t="s">
        <v>4</v>
      </c>
      <c r="J616" s="99" t="s">
        <v>4</v>
      </c>
      <c r="K616" s="99" t="s">
        <v>4</v>
      </c>
      <c r="L616" s="101"/>
      <c r="M616" s="104" t="str">
        <f>IF(Main[[#This Row],[Tech Start Date]]&lt;1/1/1990,"",IF(Main[[#This Row],[Class]]="C",WORKDAY(Main[[#This Row],[Tech Start Date]],9),IF(Main[[#This Row],[Class]]="B", WORKDAY(Main[[#This Row],[Tech Start Date]],6),IF(Main[[#This Row],[Class]]="A",WORKDAY(Main[[#This Row],[Tech Start Date]],2),""))))</f>
        <v/>
      </c>
      <c r="N616" s="104" t="str">
        <f>IF(Main[[#This Row],[Tech Start Date]]&lt;1/1/1990,"",IF(Main[[#This Row],[Class]]="C",WORKDAY(Main[[#This Row],[Tech Start Date]],19),IF(Main[[#This Row],[Class]]="B", WORKDAY(Main[[#This Row],[Tech Start Date]],12),IF(Main[[#This Row],[Class]]="A",WORKDAY(Main[[#This Row],[Tech Start Date]],4),""))))</f>
        <v/>
      </c>
      <c r="O616" s="104" t="str">
        <f>IF(Main[[#This Row],[Tech Start Date]]&lt;1/1/1990,"",IF(Main[[#This Row],[Class]]="C",WORKDAY(Main[[#This Row],[Tech Start Date]],23),IF(Main[[#This Row],[Class]]="B", WORKDAY(Main[[#This Row],[Tech Start Date]],15),IF(Main[[#This Row],[Class]]="A",WORKDAY(Main[[#This Row],[Tech Start Date]],5),""))))</f>
        <v/>
      </c>
      <c r="P616" s="104" t="str">
        <f>IF(Main[[#This Row],[Tech Start Date]]&lt;1/1/1990,"",IF(Main[[#This Row],[Class]]="C",WORKDAY(Main[[#This Row],[Tech Start Date]],28),IF(Main[[#This Row],[Class]]="B", WORKDAY(Main[[#This Row],[Tech Start Date]],19),IF(Main[[#This Row],[Class]]="A",WORKDAY(Main[[#This Row],[Tech Start Date]],9),""))))</f>
        <v/>
      </c>
      <c r="Q616" s="101"/>
      <c r="R616" s="101"/>
      <c r="S616" s="99" t="s">
        <v>6</v>
      </c>
      <c r="T616" s="107" t="s">
        <v>4</v>
      </c>
      <c r="U616" s="99" t="s">
        <v>14</v>
      </c>
      <c r="V616" s="99" t="s">
        <v>1965</v>
      </c>
      <c r="W616" s="99" t="s">
        <v>4</v>
      </c>
    </row>
    <row r="617" spans="1:23" ht="18.600000000000001" customHeight="1">
      <c r="A617" s="123" t="str">
        <f>IF(priority(Main[[#This Row],[Comments]])&lt;&gt;0, priority(Main[[#This Row],[Comments]]),"")</f>
        <v/>
      </c>
      <c r="B617" s="127" t="s">
        <v>2160</v>
      </c>
      <c r="C617" s="99" t="s">
        <v>4</v>
      </c>
      <c r="D617" s="100" t="s">
        <v>2486</v>
      </c>
      <c r="E617" s="101">
        <v>40763.171296296299</v>
      </c>
      <c r="F617" s="101"/>
      <c r="G617" s="102" t="str">
        <f>IF(stdProdLT(Main[[#This Row],[Comments]])=0.1,"N/A",IF(stdProdLT(Main[[#This Row],[Comments]])=0,"",stdProdLT(Main[[#This Row],[Comments]])))</f>
        <v/>
      </c>
      <c r="H617" s="103" t="str">
        <f>IF(AND(Main[[#This Row],[In Stock Date]]&lt;&gt;"",Main[[#This Row],[Revised Due Date]]&lt;&gt;""),Main[[#This Row],[In Stock Date]]-Main[[#This Row],[Revised Due Date]],"")</f>
        <v/>
      </c>
      <c r="I617" s="99" t="s">
        <v>69</v>
      </c>
      <c r="J617" s="99" t="s">
        <v>28</v>
      </c>
      <c r="K617" s="99" t="s">
        <v>1971</v>
      </c>
      <c r="L617" s="101"/>
      <c r="M617" s="104" t="str">
        <f>IF(Main[[#This Row],[Tech Start Date]]&lt;1/1/1990,"",IF(Main[[#This Row],[Class]]="C",WORKDAY(Main[[#This Row],[Tech Start Date]],9),IF(Main[[#This Row],[Class]]="B", WORKDAY(Main[[#This Row],[Tech Start Date]],6),IF(Main[[#This Row],[Class]]="A",WORKDAY(Main[[#This Row],[Tech Start Date]],2),""))))</f>
        <v/>
      </c>
      <c r="N617" s="104" t="str">
        <f>IF(Main[[#This Row],[Tech Start Date]]&lt;1/1/1990,"",IF(Main[[#This Row],[Class]]="C",WORKDAY(Main[[#This Row],[Tech Start Date]],19),IF(Main[[#This Row],[Class]]="B", WORKDAY(Main[[#This Row],[Tech Start Date]],12),IF(Main[[#This Row],[Class]]="A",WORKDAY(Main[[#This Row],[Tech Start Date]],4),""))))</f>
        <v/>
      </c>
      <c r="O617" s="104" t="str">
        <f>IF(Main[[#This Row],[Tech Start Date]]&lt;1/1/1990,"",IF(Main[[#This Row],[Class]]="C",WORKDAY(Main[[#This Row],[Tech Start Date]],23),IF(Main[[#This Row],[Class]]="B", WORKDAY(Main[[#This Row],[Tech Start Date]],15),IF(Main[[#This Row],[Class]]="A",WORKDAY(Main[[#This Row],[Tech Start Date]],5),""))))</f>
        <v/>
      </c>
      <c r="P617" s="104" t="str">
        <f>IF(Main[[#This Row],[Tech Start Date]]&lt;1/1/1990,"",IF(Main[[#This Row],[Class]]="C",WORKDAY(Main[[#This Row],[Tech Start Date]],28),IF(Main[[#This Row],[Class]]="B", WORKDAY(Main[[#This Row],[Tech Start Date]],19),IF(Main[[#This Row],[Class]]="A",WORKDAY(Main[[#This Row],[Tech Start Date]],9),""))))</f>
        <v/>
      </c>
      <c r="Q617" s="101">
        <v>40784</v>
      </c>
      <c r="R617" s="101"/>
      <c r="S617" s="99" t="s">
        <v>6</v>
      </c>
      <c r="T617" s="107" t="s">
        <v>4</v>
      </c>
      <c r="U617" s="99" t="s">
        <v>29</v>
      </c>
      <c r="V617" s="99" t="s">
        <v>1965</v>
      </c>
      <c r="W617" s="99" t="s">
        <v>1966</v>
      </c>
    </row>
    <row r="618" spans="1:23" ht="18.600000000000001" customHeight="1">
      <c r="A618" s="123" t="str">
        <f>IF(priority(Main[[#This Row],[Comments]])&lt;&gt;0, priority(Main[[#This Row],[Comments]]),"")</f>
        <v/>
      </c>
      <c r="B618" s="127" t="s">
        <v>1484</v>
      </c>
      <c r="C618" s="99" t="s">
        <v>4</v>
      </c>
      <c r="D618" s="100" t="s">
        <v>544</v>
      </c>
      <c r="E618" s="101">
        <v>40626.477812500001</v>
      </c>
      <c r="F618" s="101"/>
      <c r="G618" s="102" t="str">
        <f>IF(stdProdLT(Main[[#This Row],[Comments]])=0.1,"N/A",IF(stdProdLT(Main[[#This Row],[Comments]])=0,"",stdProdLT(Main[[#This Row],[Comments]])))</f>
        <v/>
      </c>
      <c r="H618" s="103" t="str">
        <f>IF(AND(Main[[#This Row],[In Stock Date]]&lt;&gt;"",Main[[#This Row],[Revised Due Date]]&lt;&gt;""),Main[[#This Row],[In Stock Date]]-Main[[#This Row],[Revised Due Date]],"")</f>
        <v/>
      </c>
      <c r="I618" s="99" t="s">
        <v>375</v>
      </c>
      <c r="J618" s="99" t="s">
        <v>28</v>
      </c>
      <c r="K618" s="99" t="s">
        <v>1971</v>
      </c>
      <c r="L618" s="101"/>
      <c r="M618" s="104" t="str">
        <f>IF(Main[[#This Row],[Tech Start Date]]&lt;1/1/1990,"",IF(Main[[#This Row],[Class]]="C",WORKDAY(Main[[#This Row],[Tech Start Date]],9),IF(Main[[#This Row],[Class]]="B", WORKDAY(Main[[#This Row],[Tech Start Date]],6),IF(Main[[#This Row],[Class]]="A",WORKDAY(Main[[#This Row],[Tech Start Date]],2),""))))</f>
        <v/>
      </c>
      <c r="N618" s="104" t="str">
        <f>IF(Main[[#This Row],[Tech Start Date]]&lt;1/1/1990,"",IF(Main[[#This Row],[Class]]="C",WORKDAY(Main[[#This Row],[Tech Start Date]],19),IF(Main[[#This Row],[Class]]="B", WORKDAY(Main[[#This Row],[Tech Start Date]],12),IF(Main[[#This Row],[Class]]="A",WORKDAY(Main[[#This Row],[Tech Start Date]],4),""))))</f>
        <v/>
      </c>
      <c r="O618" s="104" t="str">
        <f>IF(Main[[#This Row],[Tech Start Date]]&lt;1/1/1990,"",IF(Main[[#This Row],[Class]]="C",WORKDAY(Main[[#This Row],[Tech Start Date]],23),IF(Main[[#This Row],[Class]]="B", WORKDAY(Main[[#This Row],[Tech Start Date]],15),IF(Main[[#This Row],[Class]]="A",WORKDAY(Main[[#This Row],[Tech Start Date]],5),""))))</f>
        <v/>
      </c>
      <c r="P618" s="104" t="str">
        <f>IF(Main[[#This Row],[Tech Start Date]]&lt;1/1/1990,"",IF(Main[[#This Row],[Class]]="C",WORKDAY(Main[[#This Row],[Tech Start Date]],28),IF(Main[[#This Row],[Class]]="B", WORKDAY(Main[[#This Row],[Tech Start Date]],19),IF(Main[[#This Row],[Class]]="A",WORKDAY(Main[[#This Row],[Tech Start Date]],9),""))))</f>
        <v/>
      </c>
      <c r="Q618" s="101"/>
      <c r="R618" s="101"/>
      <c r="S618" s="99" t="s">
        <v>6</v>
      </c>
      <c r="T618" s="107" t="s">
        <v>4</v>
      </c>
      <c r="U618" s="99" t="s">
        <v>29</v>
      </c>
      <c r="V618" s="99" t="s">
        <v>1965</v>
      </c>
      <c r="W618" s="99" t="s">
        <v>1966</v>
      </c>
    </row>
    <row r="619" spans="1:23" ht="18.600000000000001" customHeight="1">
      <c r="A619" s="123" t="str">
        <f>IF(priority(Main[[#This Row],[Comments]])&lt;&gt;0, priority(Main[[#This Row],[Comments]]),"")</f>
        <v/>
      </c>
      <c r="B619" s="127" t="s">
        <v>1485</v>
      </c>
      <c r="C619" s="99" t="s">
        <v>4</v>
      </c>
      <c r="D619" s="100" t="s">
        <v>545</v>
      </c>
      <c r="E619" s="101"/>
      <c r="F619" s="101">
        <v>40390</v>
      </c>
      <c r="G619" s="102" t="str">
        <f>IF(stdProdLT(Main[[#This Row],[Comments]])=0.1,"N/A",IF(stdProdLT(Main[[#This Row],[Comments]])=0,"",stdProdLT(Main[[#This Row],[Comments]])))</f>
        <v/>
      </c>
      <c r="H619" s="103" t="str">
        <f>IF(AND(Main[[#This Row],[In Stock Date]]&lt;&gt;"",Main[[#This Row],[Revised Due Date]]&lt;&gt;""),Main[[#This Row],[In Stock Date]]-Main[[#This Row],[Revised Due Date]],"")</f>
        <v/>
      </c>
      <c r="I619" s="99" t="s">
        <v>4</v>
      </c>
      <c r="J619" s="99" t="s">
        <v>4</v>
      </c>
      <c r="K619" s="99" t="s">
        <v>4</v>
      </c>
      <c r="L619" s="101"/>
      <c r="M619" s="104" t="str">
        <f>IF(Main[[#This Row],[Tech Start Date]]&lt;1/1/1990,"",IF(Main[[#This Row],[Class]]="C",WORKDAY(Main[[#This Row],[Tech Start Date]],9),IF(Main[[#This Row],[Class]]="B", WORKDAY(Main[[#This Row],[Tech Start Date]],6),IF(Main[[#This Row],[Class]]="A",WORKDAY(Main[[#This Row],[Tech Start Date]],2),""))))</f>
        <v/>
      </c>
      <c r="N619" s="104" t="str">
        <f>IF(Main[[#This Row],[Tech Start Date]]&lt;1/1/1990,"",IF(Main[[#This Row],[Class]]="C",WORKDAY(Main[[#This Row],[Tech Start Date]],19),IF(Main[[#This Row],[Class]]="B", WORKDAY(Main[[#This Row],[Tech Start Date]],12),IF(Main[[#This Row],[Class]]="A",WORKDAY(Main[[#This Row],[Tech Start Date]],4),""))))</f>
        <v/>
      </c>
      <c r="O619" s="104" t="str">
        <f>IF(Main[[#This Row],[Tech Start Date]]&lt;1/1/1990,"",IF(Main[[#This Row],[Class]]="C",WORKDAY(Main[[#This Row],[Tech Start Date]],23),IF(Main[[#This Row],[Class]]="B", WORKDAY(Main[[#This Row],[Tech Start Date]],15),IF(Main[[#This Row],[Class]]="A",WORKDAY(Main[[#This Row],[Tech Start Date]],5),""))))</f>
        <v/>
      </c>
      <c r="P619" s="104" t="str">
        <f>IF(Main[[#This Row],[Tech Start Date]]&lt;1/1/1990,"",IF(Main[[#This Row],[Class]]="C",WORKDAY(Main[[#This Row],[Tech Start Date]],28),IF(Main[[#This Row],[Class]]="B", WORKDAY(Main[[#This Row],[Tech Start Date]],19),IF(Main[[#This Row],[Class]]="A",WORKDAY(Main[[#This Row],[Tech Start Date]],9),""))))</f>
        <v/>
      </c>
      <c r="Q619" s="101">
        <v>40329</v>
      </c>
      <c r="R619" s="101"/>
      <c r="S619" s="99" t="s">
        <v>11</v>
      </c>
      <c r="T619" s="107" t="s">
        <v>4</v>
      </c>
      <c r="U619" s="99" t="s">
        <v>12</v>
      </c>
      <c r="V619" s="99" t="s">
        <v>1972</v>
      </c>
      <c r="W619" s="99" t="s">
        <v>1968</v>
      </c>
    </row>
    <row r="620" spans="1:23" ht="18.600000000000001" customHeight="1">
      <c r="A620" s="123" t="str">
        <f>IF(priority(Main[[#This Row],[Comments]])&lt;&gt;0, priority(Main[[#This Row],[Comments]]),"")</f>
        <v/>
      </c>
      <c r="B620" s="127" t="s">
        <v>1487</v>
      </c>
      <c r="C620" s="99" t="s">
        <v>4</v>
      </c>
      <c r="D620" s="100" t="s">
        <v>546</v>
      </c>
      <c r="E620" s="101"/>
      <c r="F620" s="101"/>
      <c r="G620" s="102" t="str">
        <f>IF(stdProdLT(Main[[#This Row],[Comments]])=0.1,"N/A",IF(stdProdLT(Main[[#This Row],[Comments]])=0,"",stdProdLT(Main[[#This Row],[Comments]])))</f>
        <v/>
      </c>
      <c r="H620" s="103" t="str">
        <f>IF(AND(Main[[#This Row],[In Stock Date]]&lt;&gt;"",Main[[#This Row],[Revised Due Date]]&lt;&gt;""),Main[[#This Row],[In Stock Date]]-Main[[#This Row],[Revised Due Date]],"")</f>
        <v/>
      </c>
      <c r="I620" s="99" t="s">
        <v>4</v>
      </c>
      <c r="J620" s="99" t="s">
        <v>4</v>
      </c>
      <c r="K620" s="99" t="s">
        <v>4</v>
      </c>
      <c r="L620" s="101"/>
      <c r="M620" s="104" t="str">
        <f>IF(Main[[#This Row],[Tech Start Date]]&lt;1/1/1990,"",IF(Main[[#This Row],[Class]]="C",WORKDAY(Main[[#This Row],[Tech Start Date]],9),IF(Main[[#This Row],[Class]]="B", WORKDAY(Main[[#This Row],[Tech Start Date]],6),IF(Main[[#This Row],[Class]]="A",WORKDAY(Main[[#This Row],[Tech Start Date]],2),""))))</f>
        <v/>
      </c>
      <c r="N620" s="104" t="str">
        <f>IF(Main[[#This Row],[Tech Start Date]]&lt;1/1/1990,"",IF(Main[[#This Row],[Class]]="C",WORKDAY(Main[[#This Row],[Tech Start Date]],19),IF(Main[[#This Row],[Class]]="B", WORKDAY(Main[[#This Row],[Tech Start Date]],12),IF(Main[[#This Row],[Class]]="A",WORKDAY(Main[[#This Row],[Tech Start Date]],4),""))))</f>
        <v/>
      </c>
      <c r="O620" s="104" t="str">
        <f>IF(Main[[#This Row],[Tech Start Date]]&lt;1/1/1990,"",IF(Main[[#This Row],[Class]]="C",WORKDAY(Main[[#This Row],[Tech Start Date]],23),IF(Main[[#This Row],[Class]]="B", WORKDAY(Main[[#This Row],[Tech Start Date]],15),IF(Main[[#This Row],[Class]]="A",WORKDAY(Main[[#This Row],[Tech Start Date]],5),""))))</f>
        <v/>
      </c>
      <c r="P620" s="104" t="str">
        <f>IF(Main[[#This Row],[Tech Start Date]]&lt;1/1/1990,"",IF(Main[[#This Row],[Class]]="C",WORKDAY(Main[[#This Row],[Tech Start Date]],28),IF(Main[[#This Row],[Class]]="B", WORKDAY(Main[[#This Row],[Tech Start Date]],19),IF(Main[[#This Row],[Class]]="A",WORKDAY(Main[[#This Row],[Tech Start Date]],9),""))))</f>
        <v/>
      </c>
      <c r="Q620" s="101"/>
      <c r="R620" s="101"/>
      <c r="S620" s="99" t="s">
        <v>11</v>
      </c>
      <c r="T620" s="107" t="s">
        <v>4</v>
      </c>
      <c r="U620" s="99" t="s">
        <v>12</v>
      </c>
      <c r="V620" s="99" t="s">
        <v>1962</v>
      </c>
      <c r="W620" s="99" t="s">
        <v>1970</v>
      </c>
    </row>
    <row r="621" spans="1:23" ht="18.600000000000001" customHeight="1">
      <c r="A621" s="123" t="str">
        <f>IF(priority(Main[[#This Row],[Comments]])&lt;&gt;0, priority(Main[[#This Row],[Comments]]),"")</f>
        <v/>
      </c>
      <c r="B621" s="127" t="s">
        <v>1488</v>
      </c>
      <c r="C621" s="99" t="s">
        <v>289</v>
      </c>
      <c r="D621" s="100" t="s">
        <v>547</v>
      </c>
      <c r="E621" s="101"/>
      <c r="F621" s="101"/>
      <c r="G621" s="102" t="str">
        <f>IF(stdProdLT(Main[[#This Row],[Comments]])=0.1,"N/A",IF(stdProdLT(Main[[#This Row],[Comments]])=0,"",stdProdLT(Main[[#This Row],[Comments]])))</f>
        <v/>
      </c>
      <c r="H621" s="103" t="str">
        <f>IF(AND(Main[[#This Row],[In Stock Date]]&lt;&gt;"",Main[[#This Row],[Revised Due Date]]&lt;&gt;""),Main[[#This Row],[In Stock Date]]-Main[[#This Row],[Revised Due Date]],"")</f>
        <v/>
      </c>
      <c r="I621" s="99" t="s">
        <v>4</v>
      </c>
      <c r="J621" s="99" t="s">
        <v>4</v>
      </c>
      <c r="K621" s="108" t="s">
        <v>4</v>
      </c>
      <c r="L621" s="101"/>
      <c r="M621" s="104" t="str">
        <f>IF(Main[[#This Row],[Tech Start Date]]&lt;1/1/1990,"",IF(Main[[#This Row],[Class]]="C",WORKDAY(Main[[#This Row],[Tech Start Date]],9),IF(Main[[#This Row],[Class]]="B", WORKDAY(Main[[#This Row],[Tech Start Date]],6),IF(Main[[#This Row],[Class]]="A",WORKDAY(Main[[#This Row],[Tech Start Date]],2),""))))</f>
        <v/>
      </c>
      <c r="N621" s="104" t="str">
        <f>IF(Main[[#This Row],[Tech Start Date]]&lt;1/1/1990,"",IF(Main[[#This Row],[Class]]="C",WORKDAY(Main[[#This Row],[Tech Start Date]],19),IF(Main[[#This Row],[Class]]="B", WORKDAY(Main[[#This Row],[Tech Start Date]],12),IF(Main[[#This Row],[Class]]="A",WORKDAY(Main[[#This Row],[Tech Start Date]],4),""))))</f>
        <v/>
      </c>
      <c r="O621" s="104" t="str">
        <f>IF(Main[[#This Row],[Tech Start Date]]&lt;1/1/1990,"",IF(Main[[#This Row],[Class]]="C",WORKDAY(Main[[#This Row],[Tech Start Date]],23),IF(Main[[#This Row],[Class]]="B", WORKDAY(Main[[#This Row],[Tech Start Date]],15),IF(Main[[#This Row],[Class]]="A",WORKDAY(Main[[#This Row],[Tech Start Date]],5),""))))</f>
        <v/>
      </c>
      <c r="P621" s="104" t="str">
        <f>IF(Main[[#This Row],[Tech Start Date]]&lt;1/1/1990,"",IF(Main[[#This Row],[Class]]="C",WORKDAY(Main[[#This Row],[Tech Start Date]],28),IF(Main[[#This Row],[Class]]="B", WORKDAY(Main[[#This Row],[Tech Start Date]],19),IF(Main[[#This Row],[Class]]="A",WORKDAY(Main[[#This Row],[Tech Start Date]],9),""))))</f>
        <v/>
      </c>
      <c r="Q621" s="101">
        <v>40147</v>
      </c>
      <c r="R621" s="101"/>
      <c r="S621" s="99" t="s">
        <v>11</v>
      </c>
      <c r="T621" s="107" t="s">
        <v>4</v>
      </c>
      <c r="U621" s="99" t="s">
        <v>14</v>
      </c>
      <c r="V621" s="99" t="s">
        <v>1972</v>
      </c>
      <c r="W621" s="99" t="s">
        <v>1970</v>
      </c>
    </row>
    <row r="622" spans="1:23" ht="18.600000000000001" customHeight="1">
      <c r="A622" s="123" t="str">
        <f>IF(priority(Main[[#This Row],[Comments]])&lt;&gt;0, priority(Main[[#This Row],[Comments]]),"")</f>
        <v/>
      </c>
      <c r="B622" s="127" t="s">
        <v>1489</v>
      </c>
      <c r="C622" s="99" t="s">
        <v>31</v>
      </c>
      <c r="D622" s="100" t="s">
        <v>548</v>
      </c>
      <c r="E622" s="101"/>
      <c r="F622" s="101">
        <v>40512</v>
      </c>
      <c r="G622" s="102" t="str">
        <f>IF(stdProdLT(Main[[#This Row],[Comments]])=0.1,"N/A",IF(stdProdLT(Main[[#This Row],[Comments]])=0,"",stdProdLT(Main[[#This Row],[Comments]])))</f>
        <v/>
      </c>
      <c r="H622" s="103" t="str">
        <f>IF(AND(Main[[#This Row],[In Stock Date]]&lt;&gt;"",Main[[#This Row],[Revised Due Date]]&lt;&gt;""),Main[[#This Row],[In Stock Date]]-Main[[#This Row],[Revised Due Date]],"")</f>
        <v/>
      </c>
      <c r="I622" s="99" t="s">
        <v>4</v>
      </c>
      <c r="J622" s="99" t="s">
        <v>4</v>
      </c>
      <c r="K622" s="99" t="s">
        <v>4</v>
      </c>
      <c r="L622" s="101"/>
      <c r="M622" s="104" t="str">
        <f>IF(Main[[#This Row],[Tech Start Date]]&lt;1/1/1990,"",IF(Main[[#This Row],[Class]]="C",WORKDAY(Main[[#This Row],[Tech Start Date]],9),IF(Main[[#This Row],[Class]]="B", WORKDAY(Main[[#This Row],[Tech Start Date]],6),IF(Main[[#This Row],[Class]]="A",WORKDAY(Main[[#This Row],[Tech Start Date]],2),""))))</f>
        <v/>
      </c>
      <c r="N622" s="104" t="str">
        <f>IF(Main[[#This Row],[Tech Start Date]]&lt;1/1/1990,"",IF(Main[[#This Row],[Class]]="C",WORKDAY(Main[[#This Row],[Tech Start Date]],19),IF(Main[[#This Row],[Class]]="B", WORKDAY(Main[[#This Row],[Tech Start Date]],12),IF(Main[[#This Row],[Class]]="A",WORKDAY(Main[[#This Row],[Tech Start Date]],4),""))))</f>
        <v/>
      </c>
      <c r="O622" s="104" t="str">
        <f>IF(Main[[#This Row],[Tech Start Date]]&lt;1/1/1990,"",IF(Main[[#This Row],[Class]]="C",WORKDAY(Main[[#This Row],[Tech Start Date]],23),IF(Main[[#This Row],[Class]]="B", WORKDAY(Main[[#This Row],[Tech Start Date]],15),IF(Main[[#This Row],[Class]]="A",WORKDAY(Main[[#This Row],[Tech Start Date]],5),""))))</f>
        <v/>
      </c>
      <c r="P622" s="104" t="str">
        <f>IF(Main[[#This Row],[Tech Start Date]]&lt;1/1/1990,"",IF(Main[[#This Row],[Class]]="C",WORKDAY(Main[[#This Row],[Tech Start Date]],28),IF(Main[[#This Row],[Class]]="B", WORKDAY(Main[[#This Row],[Tech Start Date]],19),IF(Main[[#This Row],[Class]]="A",WORKDAY(Main[[#This Row],[Tech Start Date]],9),""))))</f>
        <v/>
      </c>
      <c r="Q622" s="101">
        <v>40415</v>
      </c>
      <c r="R622" s="101"/>
      <c r="S622" s="99" t="s">
        <v>11</v>
      </c>
      <c r="T622" s="107" t="s">
        <v>4</v>
      </c>
      <c r="U622" s="99" t="s">
        <v>14</v>
      </c>
      <c r="V622" s="99" t="s">
        <v>1965</v>
      </c>
      <c r="W622" s="99" t="s">
        <v>1968</v>
      </c>
    </row>
    <row r="623" spans="1:23" ht="18.600000000000001" customHeight="1">
      <c r="A623" s="123" t="str">
        <f>IF(priority(Main[[#This Row],[Comments]])&lt;&gt;0, priority(Main[[#This Row],[Comments]]),"")</f>
        <v/>
      </c>
      <c r="B623" s="127" t="s">
        <v>1490</v>
      </c>
      <c r="C623" s="99" t="s">
        <v>549</v>
      </c>
      <c r="D623" s="100" t="s">
        <v>550</v>
      </c>
      <c r="E623" s="101"/>
      <c r="F623" s="101">
        <v>40179</v>
      </c>
      <c r="G623" s="102" t="str">
        <f>IF(stdProdLT(Main[[#This Row],[Comments]])=0.1,"N/A",IF(stdProdLT(Main[[#This Row],[Comments]])=0,"",stdProdLT(Main[[#This Row],[Comments]])))</f>
        <v/>
      </c>
      <c r="H623" s="103" t="str">
        <f>IF(AND(Main[[#This Row],[In Stock Date]]&lt;&gt;"",Main[[#This Row],[Revised Due Date]]&lt;&gt;""),Main[[#This Row],[In Stock Date]]-Main[[#This Row],[Revised Due Date]],"")</f>
        <v/>
      </c>
      <c r="I623" s="99" t="s">
        <v>4</v>
      </c>
      <c r="J623" s="99" t="s">
        <v>4</v>
      </c>
      <c r="K623" s="108" t="s">
        <v>4</v>
      </c>
      <c r="L623" s="101"/>
      <c r="M623" s="104" t="str">
        <f>IF(Main[[#This Row],[Tech Start Date]]&lt;1/1/1990,"",IF(Main[[#This Row],[Class]]="C",WORKDAY(Main[[#This Row],[Tech Start Date]],9),IF(Main[[#This Row],[Class]]="B", WORKDAY(Main[[#This Row],[Tech Start Date]],6),IF(Main[[#This Row],[Class]]="A",WORKDAY(Main[[#This Row],[Tech Start Date]],2),""))))</f>
        <v/>
      </c>
      <c r="N623" s="104" t="str">
        <f>IF(Main[[#This Row],[Tech Start Date]]&lt;1/1/1990,"",IF(Main[[#This Row],[Class]]="C",WORKDAY(Main[[#This Row],[Tech Start Date]],19),IF(Main[[#This Row],[Class]]="B", WORKDAY(Main[[#This Row],[Tech Start Date]],12),IF(Main[[#This Row],[Class]]="A",WORKDAY(Main[[#This Row],[Tech Start Date]],4),""))))</f>
        <v/>
      </c>
      <c r="O623" s="104" t="str">
        <f>IF(Main[[#This Row],[Tech Start Date]]&lt;1/1/1990,"",IF(Main[[#This Row],[Class]]="C",WORKDAY(Main[[#This Row],[Tech Start Date]],23),IF(Main[[#This Row],[Class]]="B", WORKDAY(Main[[#This Row],[Tech Start Date]],15),IF(Main[[#This Row],[Class]]="A",WORKDAY(Main[[#This Row],[Tech Start Date]],5),""))))</f>
        <v/>
      </c>
      <c r="P623" s="104" t="str">
        <f>IF(Main[[#This Row],[Tech Start Date]]&lt;1/1/1990,"",IF(Main[[#This Row],[Class]]="C",WORKDAY(Main[[#This Row],[Tech Start Date]],28),IF(Main[[#This Row],[Class]]="B", WORKDAY(Main[[#This Row],[Tech Start Date]],19),IF(Main[[#This Row],[Class]]="A",WORKDAY(Main[[#This Row],[Tech Start Date]],9),""))))</f>
        <v/>
      </c>
      <c r="Q623" s="101">
        <v>40179</v>
      </c>
      <c r="R623" s="101"/>
      <c r="S623" s="99" t="s">
        <v>11</v>
      </c>
      <c r="T623" s="107" t="s">
        <v>4</v>
      </c>
      <c r="U623" s="99" t="s">
        <v>14</v>
      </c>
      <c r="V623" s="99" t="s">
        <v>1962</v>
      </c>
      <c r="W623" s="99" t="s">
        <v>1970</v>
      </c>
    </row>
    <row r="624" spans="1:23" ht="18.600000000000001" customHeight="1">
      <c r="A624" s="123" t="str">
        <f>IF(priority(Main[[#This Row],[Comments]])&lt;&gt;0, priority(Main[[#This Row],[Comments]]),"")</f>
        <v/>
      </c>
      <c r="B624" s="127" t="s">
        <v>1491</v>
      </c>
      <c r="C624" s="99" t="s">
        <v>4</v>
      </c>
      <c r="D624" s="100" t="s">
        <v>551</v>
      </c>
      <c r="E624" s="101">
        <v>40675.613807870373</v>
      </c>
      <c r="F624" s="101"/>
      <c r="G624" s="102" t="str">
        <f>IF(stdProdLT(Main[[#This Row],[Comments]])=0.1,"N/A",IF(stdProdLT(Main[[#This Row],[Comments]])=0,"",stdProdLT(Main[[#This Row],[Comments]])))</f>
        <v/>
      </c>
      <c r="H624" s="103" t="str">
        <f>IF(AND(Main[[#This Row],[In Stock Date]]&lt;&gt;"",Main[[#This Row],[Revised Due Date]]&lt;&gt;""),Main[[#This Row],[In Stock Date]]-Main[[#This Row],[Revised Due Date]],"")</f>
        <v/>
      </c>
      <c r="I624" s="99" t="s">
        <v>4</v>
      </c>
      <c r="J624" s="99" t="s">
        <v>4</v>
      </c>
      <c r="K624" s="99" t="s">
        <v>4</v>
      </c>
      <c r="L624" s="101"/>
      <c r="M624" s="104" t="str">
        <f>IF(Main[[#This Row],[Tech Start Date]]&lt;1/1/1990,"",IF(Main[[#This Row],[Class]]="C",WORKDAY(Main[[#This Row],[Tech Start Date]],9),IF(Main[[#This Row],[Class]]="B", WORKDAY(Main[[#This Row],[Tech Start Date]],6),IF(Main[[#This Row],[Class]]="A",WORKDAY(Main[[#This Row],[Tech Start Date]],2),""))))</f>
        <v/>
      </c>
      <c r="N624" s="104" t="str">
        <f>IF(Main[[#This Row],[Tech Start Date]]&lt;1/1/1990,"",IF(Main[[#This Row],[Class]]="C",WORKDAY(Main[[#This Row],[Tech Start Date]],19),IF(Main[[#This Row],[Class]]="B", WORKDAY(Main[[#This Row],[Tech Start Date]],12),IF(Main[[#This Row],[Class]]="A",WORKDAY(Main[[#This Row],[Tech Start Date]],4),""))))</f>
        <v/>
      </c>
      <c r="O624" s="104" t="str">
        <f>IF(Main[[#This Row],[Tech Start Date]]&lt;1/1/1990,"",IF(Main[[#This Row],[Class]]="C",WORKDAY(Main[[#This Row],[Tech Start Date]],23),IF(Main[[#This Row],[Class]]="B", WORKDAY(Main[[#This Row],[Tech Start Date]],15),IF(Main[[#This Row],[Class]]="A",WORKDAY(Main[[#This Row],[Tech Start Date]],5),""))))</f>
        <v/>
      </c>
      <c r="P624" s="104" t="str">
        <f>IF(Main[[#This Row],[Tech Start Date]]&lt;1/1/1990,"",IF(Main[[#This Row],[Class]]="C",WORKDAY(Main[[#This Row],[Tech Start Date]],28),IF(Main[[#This Row],[Class]]="B", WORKDAY(Main[[#This Row],[Tech Start Date]],19),IF(Main[[#This Row],[Class]]="A",WORKDAY(Main[[#This Row],[Tech Start Date]],9),""))))</f>
        <v/>
      </c>
      <c r="Q624" s="101">
        <v>40676</v>
      </c>
      <c r="R624" s="101"/>
      <c r="S624" s="99" t="s">
        <v>6</v>
      </c>
      <c r="T624" s="107" t="s">
        <v>4</v>
      </c>
      <c r="U624" s="99" t="s">
        <v>7</v>
      </c>
      <c r="V624" s="99" t="s">
        <v>1962</v>
      </c>
      <c r="W624" s="99" t="s">
        <v>1966</v>
      </c>
    </row>
    <row r="625" spans="1:23" ht="18.600000000000001" customHeight="1">
      <c r="A625" s="123" t="str">
        <f>IF(priority(Main[[#This Row],[Comments]])&lt;&gt;0, priority(Main[[#This Row],[Comments]]),"")</f>
        <v/>
      </c>
      <c r="B625" s="127" t="s">
        <v>1492</v>
      </c>
      <c r="C625" s="99" t="s">
        <v>4</v>
      </c>
      <c r="D625" s="100" t="s">
        <v>552</v>
      </c>
      <c r="E625" s="101">
        <v>40519.5781712963</v>
      </c>
      <c r="F625" s="101"/>
      <c r="G625" s="102" t="str">
        <f>IF(stdProdLT(Main[[#This Row],[Comments]])=0.1,"N/A",IF(stdProdLT(Main[[#This Row],[Comments]])=0,"",stdProdLT(Main[[#This Row],[Comments]])))</f>
        <v/>
      </c>
      <c r="H625" s="103" t="str">
        <f>IF(AND(Main[[#This Row],[In Stock Date]]&lt;&gt;"",Main[[#This Row],[Revised Due Date]]&lt;&gt;""),Main[[#This Row],[In Stock Date]]-Main[[#This Row],[Revised Due Date]],"")</f>
        <v/>
      </c>
      <c r="I625" s="99" t="s">
        <v>4</v>
      </c>
      <c r="J625" s="99" t="s">
        <v>28</v>
      </c>
      <c r="K625" s="108" t="s">
        <v>4</v>
      </c>
      <c r="L625" s="101"/>
      <c r="M625" s="104" t="str">
        <f>IF(Main[[#This Row],[Tech Start Date]]&lt;1/1/1990,"",IF(Main[[#This Row],[Class]]="C",WORKDAY(Main[[#This Row],[Tech Start Date]],9),IF(Main[[#This Row],[Class]]="B", WORKDAY(Main[[#This Row],[Tech Start Date]],6),IF(Main[[#This Row],[Class]]="A",WORKDAY(Main[[#This Row],[Tech Start Date]],2),""))))</f>
        <v/>
      </c>
      <c r="N625" s="104" t="str">
        <f>IF(Main[[#This Row],[Tech Start Date]]&lt;1/1/1990,"",IF(Main[[#This Row],[Class]]="C",WORKDAY(Main[[#This Row],[Tech Start Date]],19),IF(Main[[#This Row],[Class]]="B", WORKDAY(Main[[#This Row],[Tech Start Date]],12),IF(Main[[#This Row],[Class]]="A",WORKDAY(Main[[#This Row],[Tech Start Date]],4),""))))</f>
        <v/>
      </c>
      <c r="O625" s="104" t="str">
        <f>IF(Main[[#This Row],[Tech Start Date]]&lt;1/1/1990,"",IF(Main[[#This Row],[Class]]="C",WORKDAY(Main[[#This Row],[Tech Start Date]],23),IF(Main[[#This Row],[Class]]="B", WORKDAY(Main[[#This Row],[Tech Start Date]],15),IF(Main[[#This Row],[Class]]="A",WORKDAY(Main[[#This Row],[Tech Start Date]],5),""))))</f>
        <v/>
      </c>
      <c r="P625" s="104" t="str">
        <f>IF(Main[[#This Row],[Tech Start Date]]&lt;1/1/1990,"",IF(Main[[#This Row],[Class]]="C",WORKDAY(Main[[#This Row],[Tech Start Date]],28),IF(Main[[#This Row],[Class]]="B", WORKDAY(Main[[#This Row],[Tech Start Date]],19),IF(Main[[#This Row],[Class]]="A",WORKDAY(Main[[#This Row],[Tech Start Date]],9),""))))</f>
        <v/>
      </c>
      <c r="Q625" s="101"/>
      <c r="R625" s="101"/>
      <c r="S625" s="99" t="s">
        <v>6</v>
      </c>
      <c r="T625" s="107" t="s">
        <v>4</v>
      </c>
      <c r="U625" s="99" t="s">
        <v>7</v>
      </c>
      <c r="V625" s="99" t="s">
        <v>1962</v>
      </c>
      <c r="W625" s="99" t="s">
        <v>1964</v>
      </c>
    </row>
    <row r="626" spans="1:23" ht="18.600000000000001" customHeight="1">
      <c r="A626" s="123" t="str">
        <f>IF(priority(Main[[#This Row],[Comments]])&lt;&gt;0, priority(Main[[#This Row],[Comments]]),"")</f>
        <v/>
      </c>
      <c r="B626" s="127" t="s">
        <v>1493</v>
      </c>
      <c r="C626" s="99" t="s">
        <v>553</v>
      </c>
      <c r="D626" s="100" t="s">
        <v>554</v>
      </c>
      <c r="E626" s="101"/>
      <c r="F626" s="101">
        <v>40549</v>
      </c>
      <c r="G626" s="102" t="str">
        <f>IF(stdProdLT(Main[[#This Row],[Comments]])=0.1,"N/A",IF(stdProdLT(Main[[#This Row],[Comments]])=0,"",stdProdLT(Main[[#This Row],[Comments]])))</f>
        <v/>
      </c>
      <c r="H626" s="103" t="str">
        <f>IF(AND(Main[[#This Row],[In Stock Date]]&lt;&gt;"",Main[[#This Row],[Revised Due Date]]&lt;&gt;""),Main[[#This Row],[In Stock Date]]-Main[[#This Row],[Revised Due Date]],"")</f>
        <v/>
      </c>
      <c r="I626" s="99" t="s">
        <v>4</v>
      </c>
      <c r="J626" s="99" t="s">
        <v>4</v>
      </c>
      <c r="K626" s="99" t="s">
        <v>4</v>
      </c>
      <c r="L626" s="101"/>
      <c r="M626" s="104" t="str">
        <f>IF(Main[[#This Row],[Tech Start Date]]&lt;1/1/1990,"",IF(Main[[#This Row],[Class]]="C",WORKDAY(Main[[#This Row],[Tech Start Date]],9),IF(Main[[#This Row],[Class]]="B", WORKDAY(Main[[#This Row],[Tech Start Date]],6),IF(Main[[#This Row],[Class]]="A",WORKDAY(Main[[#This Row],[Tech Start Date]],2),""))))</f>
        <v/>
      </c>
      <c r="N626" s="104" t="str">
        <f>IF(Main[[#This Row],[Tech Start Date]]&lt;1/1/1990,"",IF(Main[[#This Row],[Class]]="C",WORKDAY(Main[[#This Row],[Tech Start Date]],19),IF(Main[[#This Row],[Class]]="B", WORKDAY(Main[[#This Row],[Tech Start Date]],12),IF(Main[[#This Row],[Class]]="A",WORKDAY(Main[[#This Row],[Tech Start Date]],4),""))))</f>
        <v/>
      </c>
      <c r="O626" s="104" t="str">
        <f>IF(Main[[#This Row],[Tech Start Date]]&lt;1/1/1990,"",IF(Main[[#This Row],[Class]]="C",WORKDAY(Main[[#This Row],[Tech Start Date]],23),IF(Main[[#This Row],[Class]]="B", WORKDAY(Main[[#This Row],[Tech Start Date]],15),IF(Main[[#This Row],[Class]]="A",WORKDAY(Main[[#This Row],[Tech Start Date]],5),""))))</f>
        <v/>
      </c>
      <c r="P626" s="104" t="str">
        <f>IF(Main[[#This Row],[Tech Start Date]]&lt;1/1/1990,"",IF(Main[[#This Row],[Class]]="C",WORKDAY(Main[[#This Row],[Tech Start Date]],28),IF(Main[[#This Row],[Class]]="B", WORKDAY(Main[[#This Row],[Tech Start Date]],19),IF(Main[[#This Row],[Class]]="A",WORKDAY(Main[[#This Row],[Tech Start Date]],9),""))))</f>
        <v/>
      </c>
      <c r="Q626" s="101">
        <v>40464</v>
      </c>
      <c r="R626" s="101"/>
      <c r="S626" s="99" t="s">
        <v>11</v>
      </c>
      <c r="T626" s="107" t="s">
        <v>4</v>
      </c>
      <c r="U626" s="99" t="s">
        <v>14</v>
      </c>
      <c r="V626" s="99" t="s">
        <v>1965</v>
      </c>
      <c r="W626" s="99" t="s">
        <v>1968</v>
      </c>
    </row>
    <row r="627" spans="1:23" ht="18.600000000000001" customHeight="1">
      <c r="A627" s="123" t="str">
        <f>IF(priority(Main[[#This Row],[Comments]])&lt;&gt;0, priority(Main[[#This Row],[Comments]]),"")</f>
        <v/>
      </c>
      <c r="B627" s="127" t="s">
        <v>1501</v>
      </c>
      <c r="C627" s="99" t="s">
        <v>93</v>
      </c>
      <c r="D627" s="100" t="s">
        <v>564</v>
      </c>
      <c r="E627" s="101"/>
      <c r="F627" s="101">
        <v>40299</v>
      </c>
      <c r="G627" s="102" t="str">
        <f>IF(stdProdLT(Main[[#This Row],[Comments]])=0.1,"N/A",IF(stdProdLT(Main[[#This Row],[Comments]])=0,"",stdProdLT(Main[[#This Row],[Comments]])))</f>
        <v/>
      </c>
      <c r="H627" s="103" t="str">
        <f>IF(AND(Main[[#This Row],[In Stock Date]]&lt;&gt;"",Main[[#This Row],[Revised Due Date]]&lt;&gt;""),Main[[#This Row],[In Stock Date]]-Main[[#This Row],[Revised Due Date]],"")</f>
        <v/>
      </c>
      <c r="I627" s="99" t="s">
        <v>4</v>
      </c>
      <c r="J627" s="99" t="s">
        <v>4</v>
      </c>
      <c r="K627" s="99" t="s">
        <v>4</v>
      </c>
      <c r="L627" s="101"/>
      <c r="M627" s="104" t="str">
        <f>IF(Main[[#This Row],[Tech Start Date]]&lt;1/1/1990,"",IF(Main[[#This Row],[Class]]="C",WORKDAY(Main[[#This Row],[Tech Start Date]],9),IF(Main[[#This Row],[Class]]="B", WORKDAY(Main[[#This Row],[Tech Start Date]],6),IF(Main[[#This Row],[Class]]="A",WORKDAY(Main[[#This Row],[Tech Start Date]],2),""))))</f>
        <v/>
      </c>
      <c r="N627" s="104" t="str">
        <f>IF(Main[[#This Row],[Tech Start Date]]&lt;1/1/1990,"",IF(Main[[#This Row],[Class]]="C",WORKDAY(Main[[#This Row],[Tech Start Date]],19),IF(Main[[#This Row],[Class]]="B", WORKDAY(Main[[#This Row],[Tech Start Date]],12),IF(Main[[#This Row],[Class]]="A",WORKDAY(Main[[#This Row],[Tech Start Date]],4),""))))</f>
        <v/>
      </c>
      <c r="O627" s="104" t="str">
        <f>IF(Main[[#This Row],[Tech Start Date]]&lt;1/1/1990,"",IF(Main[[#This Row],[Class]]="C",WORKDAY(Main[[#This Row],[Tech Start Date]],23),IF(Main[[#This Row],[Class]]="B", WORKDAY(Main[[#This Row],[Tech Start Date]],15),IF(Main[[#This Row],[Class]]="A",WORKDAY(Main[[#This Row],[Tech Start Date]],5),""))))</f>
        <v/>
      </c>
      <c r="P627" s="104" t="str">
        <f>IF(Main[[#This Row],[Tech Start Date]]&lt;1/1/1990,"",IF(Main[[#This Row],[Class]]="C",WORKDAY(Main[[#This Row],[Tech Start Date]],28),IF(Main[[#This Row],[Class]]="B", WORKDAY(Main[[#This Row],[Tech Start Date]],19),IF(Main[[#This Row],[Class]]="A",WORKDAY(Main[[#This Row],[Tech Start Date]],9),""))))</f>
        <v/>
      </c>
      <c r="Q627" s="101">
        <v>40171</v>
      </c>
      <c r="R627" s="101"/>
      <c r="S627" s="99" t="s">
        <v>11</v>
      </c>
      <c r="T627" s="107" t="s">
        <v>4</v>
      </c>
      <c r="U627" s="99" t="s">
        <v>14</v>
      </c>
      <c r="V627" s="99" t="s">
        <v>1965</v>
      </c>
      <c r="W627" s="99" t="s">
        <v>1968</v>
      </c>
    </row>
    <row r="628" spans="1:23" ht="18.600000000000001" customHeight="1">
      <c r="A628" s="123" t="str">
        <f>IF(priority(Main[[#This Row],[Comments]])&lt;&gt;0, priority(Main[[#This Row],[Comments]]),"")</f>
        <v/>
      </c>
      <c r="B628" s="127" t="s">
        <v>1502</v>
      </c>
      <c r="C628" s="99" t="s">
        <v>47</v>
      </c>
      <c r="D628" s="100" t="s">
        <v>565</v>
      </c>
      <c r="E628" s="101">
        <v>39937.590590277781</v>
      </c>
      <c r="F628" s="101"/>
      <c r="G628" s="102" t="str">
        <f>IF(stdProdLT(Main[[#This Row],[Comments]])=0.1,"N/A",IF(stdProdLT(Main[[#This Row],[Comments]])=0,"",stdProdLT(Main[[#This Row],[Comments]])))</f>
        <v/>
      </c>
      <c r="H628" s="103" t="str">
        <f>IF(AND(Main[[#This Row],[In Stock Date]]&lt;&gt;"",Main[[#This Row],[Revised Due Date]]&lt;&gt;""),Main[[#This Row],[In Stock Date]]-Main[[#This Row],[Revised Due Date]],"")</f>
        <v/>
      </c>
      <c r="I628" s="99" t="s">
        <v>4</v>
      </c>
      <c r="J628" s="99" t="s">
        <v>4</v>
      </c>
      <c r="K628" s="99" t="s">
        <v>4</v>
      </c>
      <c r="L628" s="101"/>
      <c r="M628" s="104" t="str">
        <f>IF(Main[[#This Row],[Tech Start Date]]&lt;1/1/1990,"",IF(Main[[#This Row],[Class]]="C",WORKDAY(Main[[#This Row],[Tech Start Date]],9),IF(Main[[#This Row],[Class]]="B", WORKDAY(Main[[#This Row],[Tech Start Date]],6),IF(Main[[#This Row],[Class]]="A",WORKDAY(Main[[#This Row],[Tech Start Date]],2),""))))</f>
        <v/>
      </c>
      <c r="N628" s="104" t="str">
        <f>IF(Main[[#This Row],[Tech Start Date]]&lt;1/1/1990,"",IF(Main[[#This Row],[Class]]="C",WORKDAY(Main[[#This Row],[Tech Start Date]],19),IF(Main[[#This Row],[Class]]="B", WORKDAY(Main[[#This Row],[Tech Start Date]],12),IF(Main[[#This Row],[Class]]="A",WORKDAY(Main[[#This Row],[Tech Start Date]],4),""))))</f>
        <v/>
      </c>
      <c r="O628" s="104" t="str">
        <f>IF(Main[[#This Row],[Tech Start Date]]&lt;1/1/1990,"",IF(Main[[#This Row],[Class]]="C",WORKDAY(Main[[#This Row],[Tech Start Date]],23),IF(Main[[#This Row],[Class]]="B", WORKDAY(Main[[#This Row],[Tech Start Date]],15),IF(Main[[#This Row],[Class]]="A",WORKDAY(Main[[#This Row],[Tech Start Date]],5),""))))</f>
        <v/>
      </c>
      <c r="P628" s="104" t="str">
        <f>IF(Main[[#This Row],[Tech Start Date]]&lt;1/1/1990,"",IF(Main[[#This Row],[Class]]="C",WORKDAY(Main[[#This Row],[Tech Start Date]],28),IF(Main[[#This Row],[Class]]="B", WORKDAY(Main[[#This Row],[Tech Start Date]],19),IF(Main[[#This Row],[Class]]="A",WORKDAY(Main[[#This Row],[Tech Start Date]],9),""))))</f>
        <v/>
      </c>
      <c r="Q628" s="101"/>
      <c r="R628" s="101"/>
      <c r="S628" s="99" t="s">
        <v>17</v>
      </c>
      <c r="T628" s="107" t="s">
        <v>4</v>
      </c>
      <c r="U628" s="99" t="s">
        <v>7</v>
      </c>
      <c r="V628" s="99" t="s">
        <v>1965</v>
      </c>
      <c r="W628" s="99" t="s">
        <v>4</v>
      </c>
    </row>
    <row r="629" spans="1:23" ht="18.600000000000001" customHeight="1">
      <c r="A629" s="123" t="str">
        <f>IF(priority(Main[[#This Row],[Comments]])&lt;&gt;0, priority(Main[[#This Row],[Comments]]),"")</f>
        <v/>
      </c>
      <c r="B629" s="127" t="s">
        <v>1503</v>
      </c>
      <c r="C629" s="99" t="s">
        <v>282</v>
      </c>
      <c r="D629" s="100" t="s">
        <v>566</v>
      </c>
      <c r="E629" s="101"/>
      <c r="F629" s="101">
        <v>40567</v>
      </c>
      <c r="G629" s="102" t="str">
        <f>IF(stdProdLT(Main[[#This Row],[Comments]])=0.1,"N/A",IF(stdProdLT(Main[[#This Row],[Comments]])=0,"",stdProdLT(Main[[#This Row],[Comments]])))</f>
        <v/>
      </c>
      <c r="H629" s="103" t="str">
        <f>IF(AND(Main[[#This Row],[In Stock Date]]&lt;&gt;"",Main[[#This Row],[Revised Due Date]]&lt;&gt;""),Main[[#This Row],[In Stock Date]]-Main[[#This Row],[Revised Due Date]],"")</f>
        <v/>
      </c>
      <c r="I629" s="99" t="s">
        <v>4</v>
      </c>
      <c r="J629" s="99" t="s">
        <v>4</v>
      </c>
      <c r="K629" s="99" t="s">
        <v>4</v>
      </c>
      <c r="L629" s="101"/>
      <c r="M629" s="104" t="str">
        <f>IF(Main[[#This Row],[Tech Start Date]]&lt;1/1/1990,"",IF(Main[[#This Row],[Class]]="C",WORKDAY(Main[[#This Row],[Tech Start Date]],9),IF(Main[[#This Row],[Class]]="B", WORKDAY(Main[[#This Row],[Tech Start Date]],6),IF(Main[[#This Row],[Class]]="A",WORKDAY(Main[[#This Row],[Tech Start Date]],2),""))))</f>
        <v/>
      </c>
      <c r="N629" s="104" t="str">
        <f>IF(Main[[#This Row],[Tech Start Date]]&lt;1/1/1990,"",IF(Main[[#This Row],[Class]]="C",WORKDAY(Main[[#This Row],[Tech Start Date]],19),IF(Main[[#This Row],[Class]]="B", WORKDAY(Main[[#This Row],[Tech Start Date]],12),IF(Main[[#This Row],[Class]]="A",WORKDAY(Main[[#This Row],[Tech Start Date]],4),""))))</f>
        <v/>
      </c>
      <c r="O629" s="104" t="str">
        <f>IF(Main[[#This Row],[Tech Start Date]]&lt;1/1/1990,"",IF(Main[[#This Row],[Class]]="C",WORKDAY(Main[[#This Row],[Tech Start Date]],23),IF(Main[[#This Row],[Class]]="B", WORKDAY(Main[[#This Row],[Tech Start Date]],15),IF(Main[[#This Row],[Class]]="A",WORKDAY(Main[[#This Row],[Tech Start Date]],5),""))))</f>
        <v/>
      </c>
      <c r="P629" s="104" t="str">
        <f>IF(Main[[#This Row],[Tech Start Date]]&lt;1/1/1990,"",IF(Main[[#This Row],[Class]]="C",WORKDAY(Main[[#This Row],[Tech Start Date]],28),IF(Main[[#This Row],[Class]]="B", WORKDAY(Main[[#This Row],[Tech Start Date]],19),IF(Main[[#This Row],[Class]]="A",WORKDAY(Main[[#This Row],[Tech Start Date]],9),""))))</f>
        <v/>
      </c>
      <c r="Q629" s="101">
        <v>40427</v>
      </c>
      <c r="R629" s="101"/>
      <c r="S629" s="99" t="s">
        <v>11</v>
      </c>
      <c r="T629" s="107" t="s">
        <v>4</v>
      </c>
      <c r="U629" s="99" t="s">
        <v>14</v>
      </c>
      <c r="V629" s="99" t="s">
        <v>1962</v>
      </c>
      <c r="W629" s="99" t="s">
        <v>1970</v>
      </c>
    </row>
    <row r="630" spans="1:23" ht="18.600000000000001" customHeight="1">
      <c r="A630" s="123" t="str">
        <f>IF(priority(Main[[#This Row],[Comments]])&lt;&gt;0, priority(Main[[#This Row],[Comments]]),"")</f>
        <v/>
      </c>
      <c r="B630" s="127" t="s">
        <v>1504</v>
      </c>
      <c r="C630" s="99" t="s">
        <v>4</v>
      </c>
      <c r="D630" s="100" t="s">
        <v>567</v>
      </c>
      <c r="E630" s="101">
        <v>40414.808692129627</v>
      </c>
      <c r="F630" s="101"/>
      <c r="G630" s="102" t="str">
        <f>IF(stdProdLT(Main[[#This Row],[Comments]])=0.1,"N/A",IF(stdProdLT(Main[[#This Row],[Comments]])=0,"",stdProdLT(Main[[#This Row],[Comments]])))</f>
        <v/>
      </c>
      <c r="H630" s="103" t="str">
        <f>IF(AND(Main[[#This Row],[In Stock Date]]&lt;&gt;"",Main[[#This Row],[Revised Due Date]]&lt;&gt;""),Main[[#This Row],[In Stock Date]]-Main[[#This Row],[Revised Due Date]],"")</f>
        <v/>
      </c>
      <c r="I630" s="99" t="s">
        <v>4</v>
      </c>
      <c r="J630" s="99" t="s">
        <v>28</v>
      </c>
      <c r="K630" s="99" t="s">
        <v>4</v>
      </c>
      <c r="L630" s="101"/>
      <c r="M630" s="104" t="str">
        <f>IF(Main[[#This Row],[Tech Start Date]]&lt;1/1/1990,"",IF(Main[[#This Row],[Class]]="C",WORKDAY(Main[[#This Row],[Tech Start Date]],9),IF(Main[[#This Row],[Class]]="B", WORKDAY(Main[[#This Row],[Tech Start Date]],6),IF(Main[[#This Row],[Class]]="A",WORKDAY(Main[[#This Row],[Tech Start Date]],2),""))))</f>
        <v/>
      </c>
      <c r="N630" s="104" t="str">
        <f>IF(Main[[#This Row],[Tech Start Date]]&lt;1/1/1990,"",IF(Main[[#This Row],[Class]]="C",WORKDAY(Main[[#This Row],[Tech Start Date]],19),IF(Main[[#This Row],[Class]]="B", WORKDAY(Main[[#This Row],[Tech Start Date]],12),IF(Main[[#This Row],[Class]]="A",WORKDAY(Main[[#This Row],[Tech Start Date]],4),""))))</f>
        <v/>
      </c>
      <c r="O630" s="104" t="str">
        <f>IF(Main[[#This Row],[Tech Start Date]]&lt;1/1/1990,"",IF(Main[[#This Row],[Class]]="C",WORKDAY(Main[[#This Row],[Tech Start Date]],23),IF(Main[[#This Row],[Class]]="B", WORKDAY(Main[[#This Row],[Tech Start Date]],15),IF(Main[[#This Row],[Class]]="A",WORKDAY(Main[[#This Row],[Tech Start Date]],5),""))))</f>
        <v/>
      </c>
      <c r="P630" s="104" t="str">
        <f>IF(Main[[#This Row],[Tech Start Date]]&lt;1/1/1990,"",IF(Main[[#This Row],[Class]]="C",WORKDAY(Main[[#This Row],[Tech Start Date]],28),IF(Main[[#This Row],[Class]]="B", WORKDAY(Main[[#This Row],[Tech Start Date]],19),IF(Main[[#This Row],[Class]]="A",WORKDAY(Main[[#This Row],[Tech Start Date]],9),""))))</f>
        <v/>
      </c>
      <c r="Q630" s="101">
        <v>40429</v>
      </c>
      <c r="R630" s="101"/>
      <c r="S630" s="99" t="s">
        <v>323</v>
      </c>
      <c r="T630" s="107" t="s">
        <v>4</v>
      </c>
      <c r="U630" s="99" t="s">
        <v>7</v>
      </c>
      <c r="V630" s="99" t="s">
        <v>1962</v>
      </c>
      <c r="W630" s="99" t="s">
        <v>1966</v>
      </c>
    </row>
    <row r="631" spans="1:23" ht="18.600000000000001" customHeight="1">
      <c r="A631" s="123" t="str">
        <f>IF(priority(Main[[#This Row],[Comments]])&lt;&gt;0, priority(Main[[#This Row],[Comments]]),"")</f>
        <v/>
      </c>
      <c r="B631" s="127" t="s">
        <v>1505</v>
      </c>
      <c r="C631" s="99" t="s">
        <v>72</v>
      </c>
      <c r="D631" s="100" t="s">
        <v>555</v>
      </c>
      <c r="E631" s="101"/>
      <c r="F631" s="101">
        <v>40030</v>
      </c>
      <c r="G631" s="102" t="str">
        <f>IF(stdProdLT(Main[[#This Row],[Comments]])=0.1,"N/A",IF(stdProdLT(Main[[#This Row],[Comments]])=0,"",stdProdLT(Main[[#This Row],[Comments]])))</f>
        <v/>
      </c>
      <c r="H631" s="103" t="str">
        <f>IF(AND(Main[[#This Row],[In Stock Date]]&lt;&gt;"",Main[[#This Row],[Revised Due Date]]&lt;&gt;""),Main[[#This Row],[In Stock Date]]-Main[[#This Row],[Revised Due Date]],"")</f>
        <v/>
      </c>
      <c r="I631" s="99" t="s">
        <v>4</v>
      </c>
      <c r="J631" s="99" t="s">
        <v>4</v>
      </c>
      <c r="K631" s="99" t="s">
        <v>4</v>
      </c>
      <c r="L631" s="101"/>
      <c r="M631" s="104" t="str">
        <f>IF(Main[[#This Row],[Tech Start Date]]&lt;1/1/1990,"",IF(Main[[#This Row],[Class]]="C",WORKDAY(Main[[#This Row],[Tech Start Date]],9),IF(Main[[#This Row],[Class]]="B", WORKDAY(Main[[#This Row],[Tech Start Date]],6),IF(Main[[#This Row],[Class]]="A",WORKDAY(Main[[#This Row],[Tech Start Date]],2),""))))</f>
        <v/>
      </c>
      <c r="N631" s="104" t="str">
        <f>IF(Main[[#This Row],[Tech Start Date]]&lt;1/1/1990,"",IF(Main[[#This Row],[Class]]="C",WORKDAY(Main[[#This Row],[Tech Start Date]],19),IF(Main[[#This Row],[Class]]="B", WORKDAY(Main[[#This Row],[Tech Start Date]],12),IF(Main[[#This Row],[Class]]="A",WORKDAY(Main[[#This Row],[Tech Start Date]],4),""))))</f>
        <v/>
      </c>
      <c r="O631" s="104" t="str">
        <f>IF(Main[[#This Row],[Tech Start Date]]&lt;1/1/1990,"",IF(Main[[#This Row],[Class]]="C",WORKDAY(Main[[#This Row],[Tech Start Date]],23),IF(Main[[#This Row],[Class]]="B", WORKDAY(Main[[#This Row],[Tech Start Date]],15),IF(Main[[#This Row],[Class]]="A",WORKDAY(Main[[#This Row],[Tech Start Date]],5),""))))</f>
        <v/>
      </c>
      <c r="P631" s="104" t="str">
        <f>IF(Main[[#This Row],[Tech Start Date]]&lt;1/1/1990,"",IF(Main[[#This Row],[Class]]="C",WORKDAY(Main[[#This Row],[Tech Start Date]],28),IF(Main[[#This Row],[Class]]="B", WORKDAY(Main[[#This Row],[Tech Start Date]],19),IF(Main[[#This Row],[Class]]="A",WORKDAY(Main[[#This Row],[Tech Start Date]],9),""))))</f>
        <v/>
      </c>
      <c r="Q631" s="101">
        <v>39959</v>
      </c>
      <c r="R631" s="101"/>
      <c r="S631" s="99" t="s">
        <v>11</v>
      </c>
      <c r="T631" s="107" t="s">
        <v>4</v>
      </c>
      <c r="U631" s="99" t="s">
        <v>14</v>
      </c>
      <c r="V631" s="99" t="s">
        <v>1972</v>
      </c>
      <c r="W631" s="99" t="s">
        <v>4</v>
      </c>
    </row>
    <row r="632" spans="1:23" ht="18.600000000000001" customHeight="1">
      <c r="A632" s="123" t="str">
        <f>IF(priority(Main[[#This Row],[Comments]])&lt;&gt;0, priority(Main[[#This Row],[Comments]]),"")</f>
        <v/>
      </c>
      <c r="B632" s="127" t="s">
        <v>1507</v>
      </c>
      <c r="C632" s="99" t="s">
        <v>4</v>
      </c>
      <c r="D632" s="100" t="s">
        <v>556</v>
      </c>
      <c r="E632" s="101"/>
      <c r="F632" s="101"/>
      <c r="G632" s="102" t="str">
        <f>IF(stdProdLT(Main[[#This Row],[Comments]])=0.1,"N/A",IF(stdProdLT(Main[[#This Row],[Comments]])=0,"",stdProdLT(Main[[#This Row],[Comments]])))</f>
        <v/>
      </c>
      <c r="H632" s="103" t="str">
        <f>IF(AND(Main[[#This Row],[In Stock Date]]&lt;&gt;"",Main[[#This Row],[Revised Due Date]]&lt;&gt;""),Main[[#This Row],[In Stock Date]]-Main[[#This Row],[Revised Due Date]],"")</f>
        <v/>
      </c>
      <c r="I632" s="99" t="s">
        <v>4</v>
      </c>
      <c r="J632" s="99" t="s">
        <v>4</v>
      </c>
      <c r="K632" s="99" t="s">
        <v>4</v>
      </c>
      <c r="L632" s="101"/>
      <c r="M632" s="104" t="str">
        <f>IF(Main[[#This Row],[Tech Start Date]]&lt;1/1/1990,"",IF(Main[[#This Row],[Class]]="C",WORKDAY(Main[[#This Row],[Tech Start Date]],9),IF(Main[[#This Row],[Class]]="B", WORKDAY(Main[[#This Row],[Tech Start Date]],6),IF(Main[[#This Row],[Class]]="A",WORKDAY(Main[[#This Row],[Tech Start Date]],2),""))))</f>
        <v/>
      </c>
      <c r="N632" s="104" t="str">
        <f>IF(Main[[#This Row],[Tech Start Date]]&lt;1/1/1990,"",IF(Main[[#This Row],[Class]]="C",WORKDAY(Main[[#This Row],[Tech Start Date]],19),IF(Main[[#This Row],[Class]]="B", WORKDAY(Main[[#This Row],[Tech Start Date]],12),IF(Main[[#This Row],[Class]]="A",WORKDAY(Main[[#This Row],[Tech Start Date]],4),""))))</f>
        <v/>
      </c>
      <c r="O632" s="104" t="str">
        <f>IF(Main[[#This Row],[Tech Start Date]]&lt;1/1/1990,"",IF(Main[[#This Row],[Class]]="C",WORKDAY(Main[[#This Row],[Tech Start Date]],23),IF(Main[[#This Row],[Class]]="B", WORKDAY(Main[[#This Row],[Tech Start Date]],15),IF(Main[[#This Row],[Class]]="A",WORKDAY(Main[[#This Row],[Tech Start Date]],5),""))))</f>
        <v/>
      </c>
      <c r="P632" s="104" t="str">
        <f>IF(Main[[#This Row],[Tech Start Date]]&lt;1/1/1990,"",IF(Main[[#This Row],[Class]]="C",WORKDAY(Main[[#This Row],[Tech Start Date]],28),IF(Main[[#This Row],[Class]]="B", WORKDAY(Main[[#This Row],[Tech Start Date]],19),IF(Main[[#This Row],[Class]]="A",WORKDAY(Main[[#This Row],[Tech Start Date]],9),""))))</f>
        <v/>
      </c>
      <c r="Q632" s="101"/>
      <c r="R632" s="101"/>
      <c r="S632" s="99" t="s">
        <v>6</v>
      </c>
      <c r="T632" s="107" t="s">
        <v>4</v>
      </c>
      <c r="U632" s="99" t="s">
        <v>14</v>
      </c>
      <c r="V632" s="99" t="s">
        <v>1965</v>
      </c>
      <c r="W632" s="99" t="s">
        <v>4</v>
      </c>
    </row>
    <row r="633" spans="1:23" ht="18.600000000000001" customHeight="1">
      <c r="A633" s="123" t="str">
        <f>IF(priority(Main[[#This Row],[Comments]])&lt;&gt;0, priority(Main[[#This Row],[Comments]]),"")</f>
        <v/>
      </c>
      <c r="B633" s="127" t="s">
        <v>1508</v>
      </c>
      <c r="C633" s="99" t="s">
        <v>33</v>
      </c>
      <c r="D633" s="100" t="s">
        <v>557</v>
      </c>
      <c r="E633" s="101"/>
      <c r="F633" s="101"/>
      <c r="G633" s="102" t="str">
        <f>IF(stdProdLT(Main[[#This Row],[Comments]])=0.1,"N/A",IF(stdProdLT(Main[[#This Row],[Comments]])=0,"",stdProdLT(Main[[#This Row],[Comments]])))</f>
        <v/>
      </c>
      <c r="H633" s="103" t="str">
        <f>IF(AND(Main[[#This Row],[In Stock Date]]&lt;&gt;"",Main[[#This Row],[Revised Due Date]]&lt;&gt;""),Main[[#This Row],[In Stock Date]]-Main[[#This Row],[Revised Due Date]],"")</f>
        <v/>
      </c>
      <c r="I633" s="99" t="s">
        <v>4</v>
      </c>
      <c r="J633" s="99" t="s">
        <v>4</v>
      </c>
      <c r="K633" s="99" t="s">
        <v>4</v>
      </c>
      <c r="L633" s="101"/>
      <c r="M633" s="104" t="str">
        <f>IF(Main[[#This Row],[Tech Start Date]]&lt;1/1/1990,"",IF(Main[[#This Row],[Class]]="C",WORKDAY(Main[[#This Row],[Tech Start Date]],9),IF(Main[[#This Row],[Class]]="B", WORKDAY(Main[[#This Row],[Tech Start Date]],6),IF(Main[[#This Row],[Class]]="A",WORKDAY(Main[[#This Row],[Tech Start Date]],2),""))))</f>
        <v/>
      </c>
      <c r="N633" s="104" t="str">
        <f>IF(Main[[#This Row],[Tech Start Date]]&lt;1/1/1990,"",IF(Main[[#This Row],[Class]]="C",WORKDAY(Main[[#This Row],[Tech Start Date]],19),IF(Main[[#This Row],[Class]]="B", WORKDAY(Main[[#This Row],[Tech Start Date]],12),IF(Main[[#This Row],[Class]]="A",WORKDAY(Main[[#This Row],[Tech Start Date]],4),""))))</f>
        <v/>
      </c>
      <c r="O633" s="104" t="str">
        <f>IF(Main[[#This Row],[Tech Start Date]]&lt;1/1/1990,"",IF(Main[[#This Row],[Class]]="C",WORKDAY(Main[[#This Row],[Tech Start Date]],23),IF(Main[[#This Row],[Class]]="B", WORKDAY(Main[[#This Row],[Tech Start Date]],15),IF(Main[[#This Row],[Class]]="A",WORKDAY(Main[[#This Row],[Tech Start Date]],5),""))))</f>
        <v/>
      </c>
      <c r="P633" s="104" t="str">
        <f>IF(Main[[#This Row],[Tech Start Date]]&lt;1/1/1990,"",IF(Main[[#This Row],[Class]]="C",WORKDAY(Main[[#This Row],[Tech Start Date]],28),IF(Main[[#This Row],[Class]]="B", WORKDAY(Main[[#This Row],[Tech Start Date]],19),IF(Main[[#This Row],[Class]]="A",WORKDAY(Main[[#This Row],[Tech Start Date]],9),""))))</f>
        <v/>
      </c>
      <c r="Q633" s="101">
        <v>40004</v>
      </c>
      <c r="R633" s="101"/>
      <c r="S633" s="99" t="s">
        <v>11</v>
      </c>
      <c r="T633" s="107" t="s">
        <v>4</v>
      </c>
      <c r="U633" s="99" t="s">
        <v>14</v>
      </c>
      <c r="V633" s="99" t="s">
        <v>1962</v>
      </c>
      <c r="W633" s="99" t="s">
        <v>1970</v>
      </c>
    </row>
    <row r="634" spans="1:23" ht="18.600000000000001" customHeight="1">
      <c r="A634" s="123" t="str">
        <f>IF(priority(Main[[#This Row],[Comments]])&lt;&gt;0, priority(Main[[#This Row],[Comments]]),"")</f>
        <v/>
      </c>
      <c r="B634" s="127" t="s">
        <v>1509</v>
      </c>
      <c r="C634" s="99" t="s">
        <v>558</v>
      </c>
      <c r="D634" s="100" t="s">
        <v>559</v>
      </c>
      <c r="E634" s="101"/>
      <c r="F634" s="101"/>
      <c r="G634" s="102" t="str">
        <f>IF(stdProdLT(Main[[#This Row],[Comments]])=0.1,"N/A",IF(stdProdLT(Main[[#This Row],[Comments]])=0,"",stdProdLT(Main[[#This Row],[Comments]])))</f>
        <v/>
      </c>
      <c r="H634" s="103" t="str">
        <f>IF(AND(Main[[#This Row],[In Stock Date]]&lt;&gt;"",Main[[#This Row],[Revised Due Date]]&lt;&gt;""),Main[[#This Row],[In Stock Date]]-Main[[#This Row],[Revised Due Date]],"")</f>
        <v/>
      </c>
      <c r="I634" s="99" t="s">
        <v>560</v>
      </c>
      <c r="J634" s="99" t="s">
        <v>28</v>
      </c>
      <c r="K634" s="99" t="s">
        <v>4</v>
      </c>
      <c r="L634" s="101"/>
      <c r="M634" s="104" t="str">
        <f>IF(Main[[#This Row],[Tech Start Date]]&lt;1/1/1990,"",IF(Main[[#This Row],[Class]]="C",WORKDAY(Main[[#This Row],[Tech Start Date]],9),IF(Main[[#This Row],[Class]]="B", WORKDAY(Main[[#This Row],[Tech Start Date]],6),IF(Main[[#This Row],[Class]]="A",WORKDAY(Main[[#This Row],[Tech Start Date]],2),""))))</f>
        <v/>
      </c>
      <c r="N634" s="104" t="str">
        <f>IF(Main[[#This Row],[Tech Start Date]]&lt;1/1/1990,"",IF(Main[[#This Row],[Class]]="C",WORKDAY(Main[[#This Row],[Tech Start Date]],19),IF(Main[[#This Row],[Class]]="B", WORKDAY(Main[[#This Row],[Tech Start Date]],12),IF(Main[[#This Row],[Class]]="A",WORKDAY(Main[[#This Row],[Tech Start Date]],4),""))))</f>
        <v/>
      </c>
      <c r="O634" s="104" t="str">
        <f>IF(Main[[#This Row],[Tech Start Date]]&lt;1/1/1990,"",IF(Main[[#This Row],[Class]]="C",WORKDAY(Main[[#This Row],[Tech Start Date]],23),IF(Main[[#This Row],[Class]]="B", WORKDAY(Main[[#This Row],[Tech Start Date]],15),IF(Main[[#This Row],[Class]]="A",WORKDAY(Main[[#This Row],[Tech Start Date]],5),""))))</f>
        <v/>
      </c>
      <c r="P634" s="104" t="str">
        <f>IF(Main[[#This Row],[Tech Start Date]]&lt;1/1/1990,"",IF(Main[[#This Row],[Class]]="C",WORKDAY(Main[[#This Row],[Tech Start Date]],28),IF(Main[[#This Row],[Class]]="B", WORKDAY(Main[[#This Row],[Tech Start Date]],19),IF(Main[[#This Row],[Class]]="A",WORKDAY(Main[[#This Row],[Tech Start Date]],9),""))))</f>
        <v/>
      </c>
      <c r="Q634" s="101">
        <v>40401</v>
      </c>
      <c r="R634" s="101"/>
      <c r="S634" s="99" t="s">
        <v>11</v>
      </c>
      <c r="T634" s="107" t="s">
        <v>4</v>
      </c>
      <c r="U634" s="99" t="s">
        <v>14</v>
      </c>
      <c r="V634" s="99" t="s">
        <v>1972</v>
      </c>
      <c r="W634" s="99" t="s">
        <v>1964</v>
      </c>
    </row>
    <row r="635" spans="1:23" ht="18.600000000000001" customHeight="1">
      <c r="A635" s="123" t="str">
        <f>IF(priority(Main[[#This Row],[Comments]])&lt;&gt;0, priority(Main[[#This Row],[Comments]]),"")</f>
        <v/>
      </c>
      <c r="B635" s="127" t="s">
        <v>1510</v>
      </c>
      <c r="C635" s="99" t="s">
        <v>4</v>
      </c>
      <c r="D635" s="100" t="s">
        <v>561</v>
      </c>
      <c r="E635" s="101"/>
      <c r="F635" s="101"/>
      <c r="G635" s="102" t="str">
        <f>IF(stdProdLT(Main[[#This Row],[Comments]])=0.1,"N/A",IF(stdProdLT(Main[[#This Row],[Comments]])=0,"",stdProdLT(Main[[#This Row],[Comments]])))</f>
        <v/>
      </c>
      <c r="H635" s="103" t="str">
        <f>IF(AND(Main[[#This Row],[In Stock Date]]&lt;&gt;"",Main[[#This Row],[Revised Due Date]]&lt;&gt;""),Main[[#This Row],[In Stock Date]]-Main[[#This Row],[Revised Due Date]],"")</f>
        <v/>
      </c>
      <c r="I635" s="99" t="s">
        <v>4</v>
      </c>
      <c r="J635" s="99" t="s">
        <v>4</v>
      </c>
      <c r="K635" s="99" t="s">
        <v>4</v>
      </c>
      <c r="L635" s="101"/>
      <c r="M635" s="104" t="str">
        <f>IF(Main[[#This Row],[Tech Start Date]]&lt;1/1/1990,"",IF(Main[[#This Row],[Class]]="C",WORKDAY(Main[[#This Row],[Tech Start Date]],9),IF(Main[[#This Row],[Class]]="B", WORKDAY(Main[[#This Row],[Tech Start Date]],6),IF(Main[[#This Row],[Class]]="A",WORKDAY(Main[[#This Row],[Tech Start Date]],2),""))))</f>
        <v/>
      </c>
      <c r="N635" s="104" t="str">
        <f>IF(Main[[#This Row],[Tech Start Date]]&lt;1/1/1990,"",IF(Main[[#This Row],[Class]]="C",WORKDAY(Main[[#This Row],[Tech Start Date]],19),IF(Main[[#This Row],[Class]]="B", WORKDAY(Main[[#This Row],[Tech Start Date]],12),IF(Main[[#This Row],[Class]]="A",WORKDAY(Main[[#This Row],[Tech Start Date]],4),""))))</f>
        <v/>
      </c>
      <c r="O635" s="104" t="str">
        <f>IF(Main[[#This Row],[Tech Start Date]]&lt;1/1/1990,"",IF(Main[[#This Row],[Class]]="C",WORKDAY(Main[[#This Row],[Tech Start Date]],23),IF(Main[[#This Row],[Class]]="B", WORKDAY(Main[[#This Row],[Tech Start Date]],15),IF(Main[[#This Row],[Class]]="A",WORKDAY(Main[[#This Row],[Tech Start Date]],5),""))))</f>
        <v/>
      </c>
      <c r="P635" s="104" t="str">
        <f>IF(Main[[#This Row],[Tech Start Date]]&lt;1/1/1990,"",IF(Main[[#This Row],[Class]]="C",WORKDAY(Main[[#This Row],[Tech Start Date]],28),IF(Main[[#This Row],[Class]]="B", WORKDAY(Main[[#This Row],[Tech Start Date]],19),IF(Main[[#This Row],[Class]]="A",WORKDAY(Main[[#This Row],[Tech Start Date]],9),""))))</f>
        <v/>
      </c>
      <c r="Q635" s="101">
        <v>40385</v>
      </c>
      <c r="R635" s="101"/>
      <c r="S635" s="99" t="s">
        <v>6</v>
      </c>
      <c r="T635" s="107" t="s">
        <v>4</v>
      </c>
      <c r="U635" s="99" t="s">
        <v>14</v>
      </c>
      <c r="V635" s="99" t="s">
        <v>1962</v>
      </c>
      <c r="W635" s="99" t="s">
        <v>1964</v>
      </c>
    </row>
    <row r="636" spans="1:23" ht="18.600000000000001" customHeight="1">
      <c r="A636" s="123" t="str">
        <f>IF(priority(Main[[#This Row],[Comments]])&lt;&gt;0, priority(Main[[#This Row],[Comments]]),"")</f>
        <v/>
      </c>
      <c r="B636" s="127" t="s">
        <v>1512</v>
      </c>
      <c r="C636" s="99" t="s">
        <v>4</v>
      </c>
      <c r="D636" s="100" t="s">
        <v>97</v>
      </c>
      <c r="E636" s="101"/>
      <c r="F636" s="101"/>
      <c r="G636" s="102" t="str">
        <f>IF(stdProdLT(Main[[#This Row],[Comments]])=0.1,"N/A",IF(stdProdLT(Main[[#This Row],[Comments]])=0,"",stdProdLT(Main[[#This Row],[Comments]])))</f>
        <v/>
      </c>
      <c r="H636" s="103" t="str">
        <f>IF(AND(Main[[#This Row],[In Stock Date]]&lt;&gt;"",Main[[#This Row],[Revised Due Date]]&lt;&gt;""),Main[[#This Row],[In Stock Date]]-Main[[#This Row],[Revised Due Date]],"")</f>
        <v/>
      </c>
      <c r="I636" s="99" t="s">
        <v>4</v>
      </c>
      <c r="J636" s="99" t="s">
        <v>4</v>
      </c>
      <c r="K636" s="99" t="s">
        <v>4</v>
      </c>
      <c r="L636" s="101"/>
      <c r="M636" s="104" t="str">
        <f>IF(Main[[#This Row],[Tech Start Date]]&lt;1/1/1990,"",IF(Main[[#This Row],[Class]]="C",WORKDAY(Main[[#This Row],[Tech Start Date]],9),IF(Main[[#This Row],[Class]]="B", WORKDAY(Main[[#This Row],[Tech Start Date]],6),IF(Main[[#This Row],[Class]]="A",WORKDAY(Main[[#This Row],[Tech Start Date]],2),""))))</f>
        <v/>
      </c>
      <c r="N636" s="104" t="str">
        <f>IF(Main[[#This Row],[Tech Start Date]]&lt;1/1/1990,"",IF(Main[[#This Row],[Class]]="C",WORKDAY(Main[[#This Row],[Tech Start Date]],19),IF(Main[[#This Row],[Class]]="B", WORKDAY(Main[[#This Row],[Tech Start Date]],12),IF(Main[[#This Row],[Class]]="A",WORKDAY(Main[[#This Row],[Tech Start Date]],4),""))))</f>
        <v/>
      </c>
      <c r="O636" s="104" t="str">
        <f>IF(Main[[#This Row],[Tech Start Date]]&lt;1/1/1990,"",IF(Main[[#This Row],[Class]]="C",WORKDAY(Main[[#This Row],[Tech Start Date]],23),IF(Main[[#This Row],[Class]]="B", WORKDAY(Main[[#This Row],[Tech Start Date]],15),IF(Main[[#This Row],[Class]]="A",WORKDAY(Main[[#This Row],[Tech Start Date]],5),""))))</f>
        <v/>
      </c>
      <c r="P636" s="104" t="str">
        <f>IF(Main[[#This Row],[Tech Start Date]]&lt;1/1/1990,"",IF(Main[[#This Row],[Class]]="C",WORKDAY(Main[[#This Row],[Tech Start Date]],28),IF(Main[[#This Row],[Class]]="B", WORKDAY(Main[[#This Row],[Tech Start Date]],19),IF(Main[[#This Row],[Class]]="A",WORKDAY(Main[[#This Row],[Tech Start Date]],9),""))))</f>
        <v/>
      </c>
      <c r="Q636" s="101">
        <v>40858</v>
      </c>
      <c r="R636" s="101"/>
      <c r="S636" s="99" t="s">
        <v>17</v>
      </c>
      <c r="T636" s="107" t="s">
        <v>4</v>
      </c>
      <c r="U636" s="99" t="s">
        <v>14</v>
      </c>
      <c r="V636" s="99" t="s">
        <v>1962</v>
      </c>
      <c r="W636" s="99" t="s">
        <v>1967</v>
      </c>
    </row>
    <row r="637" spans="1:23" ht="18.600000000000001" customHeight="1">
      <c r="A637" s="123" t="str">
        <f>IF(priority(Main[[#This Row],[Comments]])&lt;&gt;0, priority(Main[[#This Row],[Comments]]),"")</f>
        <v/>
      </c>
      <c r="B637" s="127" t="s">
        <v>1513</v>
      </c>
      <c r="C637" s="99" t="s">
        <v>4</v>
      </c>
      <c r="D637" s="100" t="s">
        <v>562</v>
      </c>
      <c r="E637" s="101">
        <v>40382.376319444447</v>
      </c>
      <c r="F637" s="101"/>
      <c r="G637" s="102" t="str">
        <f>IF(stdProdLT(Main[[#This Row],[Comments]])=0.1,"N/A",IF(stdProdLT(Main[[#This Row],[Comments]])=0,"",stdProdLT(Main[[#This Row],[Comments]])))</f>
        <v/>
      </c>
      <c r="H637" s="103" t="str">
        <f>IF(AND(Main[[#This Row],[In Stock Date]]&lt;&gt;"",Main[[#This Row],[Revised Due Date]]&lt;&gt;""),Main[[#This Row],[In Stock Date]]-Main[[#This Row],[Revised Due Date]],"")</f>
        <v/>
      </c>
      <c r="I637" s="99" t="s">
        <v>4</v>
      </c>
      <c r="J637" s="99" t="s">
        <v>4</v>
      </c>
      <c r="K637" s="99" t="s">
        <v>4</v>
      </c>
      <c r="L637" s="101"/>
      <c r="M637" s="104" t="str">
        <f>IF(Main[[#This Row],[Tech Start Date]]&lt;1/1/1990,"",IF(Main[[#This Row],[Class]]="C",WORKDAY(Main[[#This Row],[Tech Start Date]],9),IF(Main[[#This Row],[Class]]="B", WORKDAY(Main[[#This Row],[Tech Start Date]],6),IF(Main[[#This Row],[Class]]="A",WORKDAY(Main[[#This Row],[Tech Start Date]],2),""))))</f>
        <v/>
      </c>
      <c r="N637" s="104" t="str">
        <f>IF(Main[[#This Row],[Tech Start Date]]&lt;1/1/1990,"",IF(Main[[#This Row],[Class]]="C",WORKDAY(Main[[#This Row],[Tech Start Date]],19),IF(Main[[#This Row],[Class]]="B", WORKDAY(Main[[#This Row],[Tech Start Date]],12),IF(Main[[#This Row],[Class]]="A",WORKDAY(Main[[#This Row],[Tech Start Date]],4),""))))</f>
        <v/>
      </c>
      <c r="O637" s="104" t="str">
        <f>IF(Main[[#This Row],[Tech Start Date]]&lt;1/1/1990,"",IF(Main[[#This Row],[Class]]="C",WORKDAY(Main[[#This Row],[Tech Start Date]],23),IF(Main[[#This Row],[Class]]="B", WORKDAY(Main[[#This Row],[Tech Start Date]],15),IF(Main[[#This Row],[Class]]="A",WORKDAY(Main[[#This Row],[Tech Start Date]],5),""))))</f>
        <v/>
      </c>
      <c r="P637" s="104" t="str">
        <f>IF(Main[[#This Row],[Tech Start Date]]&lt;1/1/1990,"",IF(Main[[#This Row],[Class]]="C",WORKDAY(Main[[#This Row],[Tech Start Date]],28),IF(Main[[#This Row],[Class]]="B", WORKDAY(Main[[#This Row],[Tech Start Date]],19),IF(Main[[#This Row],[Class]]="A",WORKDAY(Main[[#This Row],[Tech Start Date]],9),""))))</f>
        <v/>
      </c>
      <c r="Q637" s="101">
        <v>40451</v>
      </c>
      <c r="R637" s="101"/>
      <c r="S637" s="99" t="s">
        <v>6</v>
      </c>
      <c r="T637" s="107" t="s">
        <v>4</v>
      </c>
      <c r="U637" s="99" t="s">
        <v>7</v>
      </c>
      <c r="V637" s="99" t="s">
        <v>1962</v>
      </c>
      <c r="W637" s="99" t="s">
        <v>4</v>
      </c>
    </row>
    <row r="638" spans="1:23" ht="18.600000000000001" customHeight="1">
      <c r="A638" s="123" t="str">
        <f>IF(priority(Main[[#This Row],[Comments]])&lt;&gt;0, priority(Main[[#This Row],[Comments]]),"")</f>
        <v/>
      </c>
      <c r="B638" s="127" t="s">
        <v>1514</v>
      </c>
      <c r="C638" s="99" t="s">
        <v>183</v>
      </c>
      <c r="D638" s="100" t="s">
        <v>563</v>
      </c>
      <c r="E638" s="101"/>
      <c r="F638" s="101">
        <v>40389</v>
      </c>
      <c r="G638" s="102" t="str">
        <f>IF(stdProdLT(Main[[#This Row],[Comments]])=0.1,"N/A",IF(stdProdLT(Main[[#This Row],[Comments]])=0,"",stdProdLT(Main[[#This Row],[Comments]])))</f>
        <v/>
      </c>
      <c r="H638" s="103" t="str">
        <f>IF(AND(Main[[#This Row],[In Stock Date]]&lt;&gt;"",Main[[#This Row],[Revised Due Date]]&lt;&gt;""),Main[[#This Row],[In Stock Date]]-Main[[#This Row],[Revised Due Date]],"")</f>
        <v/>
      </c>
      <c r="I638" s="99" t="s">
        <v>4</v>
      </c>
      <c r="J638" s="99" t="s">
        <v>4</v>
      </c>
      <c r="K638" s="99" t="s">
        <v>4</v>
      </c>
      <c r="L638" s="101"/>
      <c r="M638" s="104" t="str">
        <f>IF(Main[[#This Row],[Tech Start Date]]&lt;1/1/1990,"",IF(Main[[#This Row],[Class]]="C",WORKDAY(Main[[#This Row],[Tech Start Date]],9),IF(Main[[#This Row],[Class]]="B", WORKDAY(Main[[#This Row],[Tech Start Date]],6),IF(Main[[#This Row],[Class]]="A",WORKDAY(Main[[#This Row],[Tech Start Date]],2),""))))</f>
        <v/>
      </c>
      <c r="N638" s="104" t="str">
        <f>IF(Main[[#This Row],[Tech Start Date]]&lt;1/1/1990,"",IF(Main[[#This Row],[Class]]="C",WORKDAY(Main[[#This Row],[Tech Start Date]],19),IF(Main[[#This Row],[Class]]="B", WORKDAY(Main[[#This Row],[Tech Start Date]],12),IF(Main[[#This Row],[Class]]="A",WORKDAY(Main[[#This Row],[Tech Start Date]],4),""))))</f>
        <v/>
      </c>
      <c r="O638" s="104" t="str">
        <f>IF(Main[[#This Row],[Tech Start Date]]&lt;1/1/1990,"",IF(Main[[#This Row],[Class]]="C",WORKDAY(Main[[#This Row],[Tech Start Date]],23),IF(Main[[#This Row],[Class]]="B", WORKDAY(Main[[#This Row],[Tech Start Date]],15),IF(Main[[#This Row],[Class]]="A",WORKDAY(Main[[#This Row],[Tech Start Date]],5),""))))</f>
        <v/>
      </c>
      <c r="P638" s="104" t="str">
        <f>IF(Main[[#This Row],[Tech Start Date]]&lt;1/1/1990,"",IF(Main[[#This Row],[Class]]="C",WORKDAY(Main[[#This Row],[Tech Start Date]],28),IF(Main[[#This Row],[Class]]="B", WORKDAY(Main[[#This Row],[Tech Start Date]],19),IF(Main[[#This Row],[Class]]="A",WORKDAY(Main[[#This Row],[Tech Start Date]],9),""))))</f>
        <v/>
      </c>
      <c r="Q638" s="101">
        <v>40298</v>
      </c>
      <c r="R638" s="101"/>
      <c r="S638" s="99" t="s">
        <v>11</v>
      </c>
      <c r="T638" s="107" t="s">
        <v>4</v>
      </c>
      <c r="U638" s="99" t="s">
        <v>14</v>
      </c>
      <c r="V638" s="99" t="s">
        <v>1962</v>
      </c>
      <c r="W638" s="99" t="s">
        <v>1968</v>
      </c>
    </row>
    <row r="639" spans="1:23" ht="18.600000000000001" customHeight="1">
      <c r="A639" s="123" t="str">
        <f>IF(priority(Main[[#This Row],[Comments]])&lt;&gt;0, priority(Main[[#This Row],[Comments]]),"")</f>
        <v/>
      </c>
      <c r="B639" s="127" t="s">
        <v>1516</v>
      </c>
      <c r="C639" s="99" t="s">
        <v>579</v>
      </c>
      <c r="D639" s="100" t="s">
        <v>580</v>
      </c>
      <c r="E639" s="101"/>
      <c r="F639" s="101"/>
      <c r="G639" s="102" t="str">
        <f>IF(stdProdLT(Main[[#This Row],[Comments]])=0.1,"N/A",IF(stdProdLT(Main[[#This Row],[Comments]])=0,"",stdProdLT(Main[[#This Row],[Comments]])))</f>
        <v/>
      </c>
      <c r="H639" s="103" t="str">
        <f>IF(AND(Main[[#This Row],[In Stock Date]]&lt;&gt;"",Main[[#This Row],[Revised Due Date]]&lt;&gt;""),Main[[#This Row],[In Stock Date]]-Main[[#This Row],[Revised Due Date]],"")</f>
        <v/>
      </c>
      <c r="I639" s="99" t="s">
        <v>4</v>
      </c>
      <c r="J639" s="99" t="s">
        <v>4</v>
      </c>
      <c r="K639" s="108" t="s">
        <v>4</v>
      </c>
      <c r="L639" s="101"/>
      <c r="M639" s="104" t="str">
        <f>IF(Main[[#This Row],[Tech Start Date]]&lt;1/1/1990,"",IF(Main[[#This Row],[Class]]="C",WORKDAY(Main[[#This Row],[Tech Start Date]],9),IF(Main[[#This Row],[Class]]="B", WORKDAY(Main[[#This Row],[Tech Start Date]],6),IF(Main[[#This Row],[Class]]="A",WORKDAY(Main[[#This Row],[Tech Start Date]],2),""))))</f>
        <v/>
      </c>
      <c r="N639" s="104" t="str">
        <f>IF(Main[[#This Row],[Tech Start Date]]&lt;1/1/1990,"",IF(Main[[#This Row],[Class]]="C",WORKDAY(Main[[#This Row],[Tech Start Date]],19),IF(Main[[#This Row],[Class]]="B", WORKDAY(Main[[#This Row],[Tech Start Date]],12),IF(Main[[#This Row],[Class]]="A",WORKDAY(Main[[#This Row],[Tech Start Date]],4),""))))</f>
        <v/>
      </c>
      <c r="O639" s="104" t="str">
        <f>IF(Main[[#This Row],[Tech Start Date]]&lt;1/1/1990,"",IF(Main[[#This Row],[Class]]="C",WORKDAY(Main[[#This Row],[Tech Start Date]],23),IF(Main[[#This Row],[Class]]="B", WORKDAY(Main[[#This Row],[Tech Start Date]],15),IF(Main[[#This Row],[Class]]="A",WORKDAY(Main[[#This Row],[Tech Start Date]],5),""))))</f>
        <v/>
      </c>
      <c r="P639" s="104" t="str">
        <f>IF(Main[[#This Row],[Tech Start Date]]&lt;1/1/1990,"",IF(Main[[#This Row],[Class]]="C",WORKDAY(Main[[#This Row],[Tech Start Date]],28),IF(Main[[#This Row],[Class]]="B", WORKDAY(Main[[#This Row],[Tech Start Date]],19),IF(Main[[#This Row],[Class]]="A",WORKDAY(Main[[#This Row],[Tech Start Date]],9),""))))</f>
        <v/>
      </c>
      <c r="Q639" s="101">
        <v>40473</v>
      </c>
      <c r="R639" s="101"/>
      <c r="S639" s="99" t="s">
        <v>11</v>
      </c>
      <c r="T639" s="107" t="s">
        <v>4</v>
      </c>
      <c r="U639" s="99" t="s">
        <v>14</v>
      </c>
      <c r="V639" s="99" t="s">
        <v>1965</v>
      </c>
      <c r="W639" s="99" t="s">
        <v>1964</v>
      </c>
    </row>
    <row r="640" spans="1:23" ht="18.600000000000001" customHeight="1">
      <c r="A640" s="123" t="str">
        <f>IF(priority(Main[[#This Row],[Comments]])&lt;&gt;0, priority(Main[[#This Row],[Comments]]),"")</f>
        <v/>
      </c>
      <c r="B640" s="127" t="s">
        <v>1517</v>
      </c>
      <c r="C640" s="99" t="s">
        <v>4</v>
      </c>
      <c r="D640" s="100" t="s">
        <v>581</v>
      </c>
      <c r="E640" s="101">
        <v>40463.687627314815</v>
      </c>
      <c r="F640" s="101"/>
      <c r="G640" s="102" t="str">
        <f>IF(stdProdLT(Main[[#This Row],[Comments]])=0.1,"N/A",IF(stdProdLT(Main[[#This Row],[Comments]])=0,"",stdProdLT(Main[[#This Row],[Comments]])))</f>
        <v/>
      </c>
      <c r="H640" s="103" t="str">
        <f>IF(AND(Main[[#This Row],[In Stock Date]]&lt;&gt;"",Main[[#This Row],[Revised Due Date]]&lt;&gt;""),Main[[#This Row],[In Stock Date]]-Main[[#This Row],[Revised Due Date]],"")</f>
        <v/>
      </c>
      <c r="I640" s="99" t="s">
        <v>4</v>
      </c>
      <c r="J640" s="99" t="s">
        <v>28</v>
      </c>
      <c r="K640" s="99" t="s">
        <v>4</v>
      </c>
      <c r="L640" s="101"/>
      <c r="M640" s="104" t="str">
        <f>IF(Main[[#This Row],[Tech Start Date]]&lt;1/1/1990,"",IF(Main[[#This Row],[Class]]="C",WORKDAY(Main[[#This Row],[Tech Start Date]],9),IF(Main[[#This Row],[Class]]="B", WORKDAY(Main[[#This Row],[Tech Start Date]],6),IF(Main[[#This Row],[Class]]="A",WORKDAY(Main[[#This Row],[Tech Start Date]],2),""))))</f>
        <v/>
      </c>
      <c r="N640" s="104" t="str">
        <f>IF(Main[[#This Row],[Tech Start Date]]&lt;1/1/1990,"",IF(Main[[#This Row],[Class]]="C",WORKDAY(Main[[#This Row],[Tech Start Date]],19),IF(Main[[#This Row],[Class]]="B", WORKDAY(Main[[#This Row],[Tech Start Date]],12),IF(Main[[#This Row],[Class]]="A",WORKDAY(Main[[#This Row],[Tech Start Date]],4),""))))</f>
        <v/>
      </c>
      <c r="O640" s="104" t="str">
        <f>IF(Main[[#This Row],[Tech Start Date]]&lt;1/1/1990,"",IF(Main[[#This Row],[Class]]="C",WORKDAY(Main[[#This Row],[Tech Start Date]],23),IF(Main[[#This Row],[Class]]="B", WORKDAY(Main[[#This Row],[Tech Start Date]],15),IF(Main[[#This Row],[Class]]="A",WORKDAY(Main[[#This Row],[Tech Start Date]],5),""))))</f>
        <v/>
      </c>
      <c r="P640" s="104" t="str">
        <f>IF(Main[[#This Row],[Tech Start Date]]&lt;1/1/1990,"",IF(Main[[#This Row],[Class]]="C",WORKDAY(Main[[#This Row],[Tech Start Date]],28),IF(Main[[#This Row],[Class]]="B", WORKDAY(Main[[#This Row],[Tech Start Date]],19),IF(Main[[#This Row],[Class]]="A",WORKDAY(Main[[#This Row],[Tech Start Date]],9),""))))</f>
        <v/>
      </c>
      <c r="Q640" s="101"/>
      <c r="R640" s="101"/>
      <c r="S640" s="99" t="s">
        <v>6</v>
      </c>
      <c r="T640" s="107" t="s">
        <v>4</v>
      </c>
      <c r="U640" s="99" t="s">
        <v>7</v>
      </c>
      <c r="V640" s="99" t="s">
        <v>1962</v>
      </c>
      <c r="W640" s="99" t="s">
        <v>1970</v>
      </c>
    </row>
    <row r="641" spans="1:23" ht="18.600000000000001" customHeight="1">
      <c r="A641" s="123" t="str">
        <f>IF(priority(Main[[#This Row],[Comments]])&lt;&gt;0, priority(Main[[#This Row],[Comments]]),"")</f>
        <v/>
      </c>
      <c r="B641" s="127" t="s">
        <v>1156</v>
      </c>
      <c r="C641" s="99" t="s">
        <v>4</v>
      </c>
      <c r="D641" s="100" t="s">
        <v>177</v>
      </c>
      <c r="E641" s="101">
        <v>40421.149710648147</v>
      </c>
      <c r="F641" s="101"/>
      <c r="G641" s="102" t="str">
        <f>IF(stdProdLT(Main[[#This Row],[Comments]])=0.1,"N/A",IF(stdProdLT(Main[[#This Row],[Comments]])=0,"",stdProdLT(Main[[#This Row],[Comments]])))</f>
        <v/>
      </c>
      <c r="H641" s="103" t="str">
        <f>IF(AND(Main[[#This Row],[In Stock Date]]&lt;&gt;"",Main[[#This Row],[Revised Due Date]]&lt;&gt;""),Main[[#This Row],[In Stock Date]]-Main[[#This Row],[Revised Due Date]],"")</f>
        <v/>
      </c>
      <c r="I641" s="99" t="s">
        <v>81</v>
      </c>
      <c r="J641" s="99" t="s">
        <v>52</v>
      </c>
      <c r="K641" s="108" t="s">
        <v>4</v>
      </c>
      <c r="L641" s="101"/>
      <c r="M641" s="104" t="str">
        <f>IF(Main[[#This Row],[Tech Start Date]]&lt;1/1/1990,"",IF(Main[[#This Row],[Class]]="C",WORKDAY(Main[[#This Row],[Tech Start Date]],9),IF(Main[[#This Row],[Class]]="B", WORKDAY(Main[[#This Row],[Tech Start Date]],6),IF(Main[[#This Row],[Class]]="A",WORKDAY(Main[[#This Row],[Tech Start Date]],2),""))))</f>
        <v/>
      </c>
      <c r="N641" s="104" t="str">
        <f>IF(Main[[#This Row],[Tech Start Date]]&lt;1/1/1990,"",IF(Main[[#This Row],[Class]]="C",WORKDAY(Main[[#This Row],[Tech Start Date]],19),IF(Main[[#This Row],[Class]]="B", WORKDAY(Main[[#This Row],[Tech Start Date]],12),IF(Main[[#This Row],[Class]]="A",WORKDAY(Main[[#This Row],[Tech Start Date]],4),""))))</f>
        <v/>
      </c>
      <c r="O641" s="104" t="str">
        <f>IF(Main[[#This Row],[Tech Start Date]]&lt;1/1/1990,"",IF(Main[[#This Row],[Class]]="C",WORKDAY(Main[[#This Row],[Tech Start Date]],23),IF(Main[[#This Row],[Class]]="B", WORKDAY(Main[[#This Row],[Tech Start Date]],15),IF(Main[[#This Row],[Class]]="A",WORKDAY(Main[[#This Row],[Tech Start Date]],5),""))))</f>
        <v/>
      </c>
      <c r="P641" s="104" t="str">
        <f>IF(Main[[#This Row],[Tech Start Date]]&lt;1/1/1990,"",IF(Main[[#This Row],[Class]]="C",WORKDAY(Main[[#This Row],[Tech Start Date]],28),IF(Main[[#This Row],[Class]]="B", WORKDAY(Main[[#This Row],[Tech Start Date]],19),IF(Main[[#This Row],[Class]]="A",WORKDAY(Main[[#This Row],[Tech Start Date]],9),""))))</f>
        <v/>
      </c>
      <c r="Q641" s="101">
        <v>40451</v>
      </c>
      <c r="R641" s="101"/>
      <c r="S641" s="99" t="s">
        <v>6</v>
      </c>
      <c r="T641" s="107" t="s">
        <v>4</v>
      </c>
      <c r="U641" s="99" t="s">
        <v>29</v>
      </c>
      <c r="V641" s="99" t="s">
        <v>1972</v>
      </c>
      <c r="W641" s="99" t="s">
        <v>1964</v>
      </c>
    </row>
    <row r="642" spans="1:23" ht="18.600000000000001" customHeight="1">
      <c r="A642" s="123" t="str">
        <f>IF(priority(Main[[#This Row],[Comments]])&lt;&gt;0, priority(Main[[#This Row],[Comments]]),"")</f>
        <v/>
      </c>
      <c r="B642" s="127" t="s">
        <v>1518</v>
      </c>
      <c r="C642" s="99" t="s">
        <v>233</v>
      </c>
      <c r="D642" s="100" t="s">
        <v>570</v>
      </c>
      <c r="E642" s="101"/>
      <c r="F642" s="101">
        <v>40662</v>
      </c>
      <c r="G642" s="102" t="str">
        <f>IF(stdProdLT(Main[[#This Row],[Comments]])=0.1,"N/A",IF(stdProdLT(Main[[#This Row],[Comments]])=0,"",stdProdLT(Main[[#This Row],[Comments]])))</f>
        <v/>
      </c>
      <c r="H642" s="103" t="str">
        <f>IF(AND(Main[[#This Row],[In Stock Date]]&lt;&gt;"",Main[[#This Row],[Revised Due Date]]&lt;&gt;""),Main[[#This Row],[In Stock Date]]-Main[[#This Row],[Revised Due Date]],"")</f>
        <v/>
      </c>
      <c r="I642" s="99" t="s">
        <v>4</v>
      </c>
      <c r="J642" s="99" t="s">
        <v>4</v>
      </c>
      <c r="K642" s="108" t="s">
        <v>4</v>
      </c>
      <c r="L642" s="101"/>
      <c r="M642" s="104" t="str">
        <f>IF(Main[[#This Row],[Tech Start Date]]&lt;1/1/1990,"",IF(Main[[#This Row],[Class]]="C",WORKDAY(Main[[#This Row],[Tech Start Date]],9),IF(Main[[#This Row],[Class]]="B", WORKDAY(Main[[#This Row],[Tech Start Date]],6),IF(Main[[#This Row],[Class]]="A",WORKDAY(Main[[#This Row],[Tech Start Date]],2),""))))</f>
        <v/>
      </c>
      <c r="N642" s="104" t="str">
        <f>IF(Main[[#This Row],[Tech Start Date]]&lt;1/1/1990,"",IF(Main[[#This Row],[Class]]="C",WORKDAY(Main[[#This Row],[Tech Start Date]],19),IF(Main[[#This Row],[Class]]="B", WORKDAY(Main[[#This Row],[Tech Start Date]],12),IF(Main[[#This Row],[Class]]="A",WORKDAY(Main[[#This Row],[Tech Start Date]],4),""))))</f>
        <v/>
      </c>
      <c r="O642" s="104" t="str">
        <f>IF(Main[[#This Row],[Tech Start Date]]&lt;1/1/1990,"",IF(Main[[#This Row],[Class]]="C",WORKDAY(Main[[#This Row],[Tech Start Date]],23),IF(Main[[#This Row],[Class]]="B", WORKDAY(Main[[#This Row],[Tech Start Date]],15),IF(Main[[#This Row],[Class]]="A",WORKDAY(Main[[#This Row],[Tech Start Date]],5),""))))</f>
        <v/>
      </c>
      <c r="P642" s="104" t="str">
        <f>IF(Main[[#This Row],[Tech Start Date]]&lt;1/1/1990,"",IF(Main[[#This Row],[Class]]="C",WORKDAY(Main[[#This Row],[Tech Start Date]],28),IF(Main[[#This Row],[Class]]="B", WORKDAY(Main[[#This Row],[Tech Start Date]],19),IF(Main[[#This Row],[Class]]="A",WORKDAY(Main[[#This Row],[Tech Start Date]],9),""))))</f>
        <v/>
      </c>
      <c r="Q642" s="101">
        <v>40480</v>
      </c>
      <c r="R642" s="101"/>
      <c r="S642" s="99" t="s">
        <v>11</v>
      </c>
      <c r="T642" s="107" t="s">
        <v>4</v>
      </c>
      <c r="U642" s="99" t="s">
        <v>14</v>
      </c>
      <c r="V642" s="99" t="s">
        <v>1965</v>
      </c>
      <c r="W642" s="99" t="s">
        <v>1970</v>
      </c>
    </row>
    <row r="643" spans="1:23" ht="18.600000000000001" customHeight="1">
      <c r="A643" s="123" t="str">
        <f>IF(priority(Main[[#This Row],[Comments]])&lt;&gt;0, priority(Main[[#This Row],[Comments]]),"")</f>
        <v/>
      </c>
      <c r="B643" s="127" t="s">
        <v>1519</v>
      </c>
      <c r="C643" s="99" t="s">
        <v>4</v>
      </c>
      <c r="D643" s="100" t="s">
        <v>39</v>
      </c>
      <c r="E643" s="101"/>
      <c r="F643" s="101"/>
      <c r="G643" s="102" t="str">
        <f>IF(stdProdLT(Main[[#This Row],[Comments]])=0.1,"N/A",IF(stdProdLT(Main[[#This Row],[Comments]])=0,"",stdProdLT(Main[[#This Row],[Comments]])))</f>
        <v/>
      </c>
      <c r="H643" s="103" t="str">
        <f>IF(AND(Main[[#This Row],[In Stock Date]]&lt;&gt;"",Main[[#This Row],[Revised Due Date]]&lt;&gt;""),Main[[#This Row],[In Stock Date]]-Main[[#This Row],[Revised Due Date]],"")</f>
        <v/>
      </c>
      <c r="I643" s="99" t="s">
        <v>4</v>
      </c>
      <c r="J643" s="99" t="s">
        <v>4</v>
      </c>
      <c r="K643" s="99" t="s">
        <v>4</v>
      </c>
      <c r="L643" s="101"/>
      <c r="M643" s="104" t="str">
        <f>IF(Main[[#This Row],[Tech Start Date]]&lt;1/1/1990,"",IF(Main[[#This Row],[Class]]="C",WORKDAY(Main[[#This Row],[Tech Start Date]],9),IF(Main[[#This Row],[Class]]="B", WORKDAY(Main[[#This Row],[Tech Start Date]],6),IF(Main[[#This Row],[Class]]="A",WORKDAY(Main[[#This Row],[Tech Start Date]],2),""))))</f>
        <v/>
      </c>
      <c r="N643" s="104" t="str">
        <f>IF(Main[[#This Row],[Tech Start Date]]&lt;1/1/1990,"",IF(Main[[#This Row],[Class]]="C",WORKDAY(Main[[#This Row],[Tech Start Date]],19),IF(Main[[#This Row],[Class]]="B", WORKDAY(Main[[#This Row],[Tech Start Date]],12),IF(Main[[#This Row],[Class]]="A",WORKDAY(Main[[#This Row],[Tech Start Date]],4),""))))</f>
        <v/>
      </c>
      <c r="O643" s="104" t="str">
        <f>IF(Main[[#This Row],[Tech Start Date]]&lt;1/1/1990,"",IF(Main[[#This Row],[Class]]="C",WORKDAY(Main[[#This Row],[Tech Start Date]],23),IF(Main[[#This Row],[Class]]="B", WORKDAY(Main[[#This Row],[Tech Start Date]],15),IF(Main[[#This Row],[Class]]="A",WORKDAY(Main[[#This Row],[Tech Start Date]],5),""))))</f>
        <v/>
      </c>
      <c r="P643" s="104" t="str">
        <f>IF(Main[[#This Row],[Tech Start Date]]&lt;1/1/1990,"",IF(Main[[#This Row],[Class]]="C",WORKDAY(Main[[#This Row],[Tech Start Date]],28),IF(Main[[#This Row],[Class]]="B", WORKDAY(Main[[#This Row],[Tech Start Date]],19),IF(Main[[#This Row],[Class]]="A",WORKDAY(Main[[#This Row],[Tech Start Date]],9),""))))</f>
        <v/>
      </c>
      <c r="Q643" s="101">
        <v>40669</v>
      </c>
      <c r="R643" s="101"/>
      <c r="S643" s="99" t="s">
        <v>6</v>
      </c>
      <c r="T643" s="107" t="s">
        <v>4</v>
      </c>
      <c r="U643" s="99" t="s">
        <v>14</v>
      </c>
      <c r="V643" s="99" t="s">
        <v>1965</v>
      </c>
      <c r="W643" s="99" t="s">
        <v>4</v>
      </c>
    </row>
    <row r="644" spans="1:23" ht="18.600000000000001" customHeight="1">
      <c r="A644" s="123" t="str">
        <f>IF(priority(Main[[#This Row],[Comments]])&lt;&gt;0, priority(Main[[#This Row],[Comments]]),"")</f>
        <v/>
      </c>
      <c r="B644" s="127" t="s">
        <v>1520</v>
      </c>
      <c r="C644" s="99" t="s">
        <v>571</v>
      </c>
      <c r="D644" s="100" t="s">
        <v>572</v>
      </c>
      <c r="E644" s="101"/>
      <c r="F644" s="101">
        <v>40168</v>
      </c>
      <c r="G644" s="102" t="str">
        <f>IF(stdProdLT(Main[[#This Row],[Comments]])=0.1,"N/A",IF(stdProdLT(Main[[#This Row],[Comments]])=0,"",stdProdLT(Main[[#This Row],[Comments]])))</f>
        <v/>
      </c>
      <c r="H644" s="103" t="str">
        <f>IF(AND(Main[[#This Row],[In Stock Date]]&lt;&gt;"",Main[[#This Row],[Revised Due Date]]&lt;&gt;""),Main[[#This Row],[In Stock Date]]-Main[[#This Row],[Revised Due Date]],"")</f>
        <v/>
      </c>
      <c r="I644" s="99" t="s">
        <v>4</v>
      </c>
      <c r="J644" s="99" t="s">
        <v>4</v>
      </c>
      <c r="K644" s="99" t="s">
        <v>4</v>
      </c>
      <c r="L644" s="101"/>
      <c r="M644" s="104" t="str">
        <f>IF(Main[[#This Row],[Tech Start Date]]&lt;1/1/1990,"",IF(Main[[#This Row],[Class]]="C",WORKDAY(Main[[#This Row],[Tech Start Date]],9),IF(Main[[#This Row],[Class]]="B", WORKDAY(Main[[#This Row],[Tech Start Date]],6),IF(Main[[#This Row],[Class]]="A",WORKDAY(Main[[#This Row],[Tech Start Date]],2),""))))</f>
        <v/>
      </c>
      <c r="N644" s="104" t="str">
        <f>IF(Main[[#This Row],[Tech Start Date]]&lt;1/1/1990,"",IF(Main[[#This Row],[Class]]="C",WORKDAY(Main[[#This Row],[Tech Start Date]],19),IF(Main[[#This Row],[Class]]="B", WORKDAY(Main[[#This Row],[Tech Start Date]],12),IF(Main[[#This Row],[Class]]="A",WORKDAY(Main[[#This Row],[Tech Start Date]],4),""))))</f>
        <v/>
      </c>
      <c r="O644" s="104" t="str">
        <f>IF(Main[[#This Row],[Tech Start Date]]&lt;1/1/1990,"",IF(Main[[#This Row],[Class]]="C",WORKDAY(Main[[#This Row],[Tech Start Date]],23),IF(Main[[#This Row],[Class]]="B", WORKDAY(Main[[#This Row],[Tech Start Date]],15),IF(Main[[#This Row],[Class]]="A",WORKDAY(Main[[#This Row],[Tech Start Date]],5),""))))</f>
        <v/>
      </c>
      <c r="P644" s="104" t="str">
        <f>IF(Main[[#This Row],[Tech Start Date]]&lt;1/1/1990,"",IF(Main[[#This Row],[Class]]="C",WORKDAY(Main[[#This Row],[Tech Start Date]],28),IF(Main[[#This Row],[Class]]="B", WORKDAY(Main[[#This Row],[Tech Start Date]],19),IF(Main[[#This Row],[Class]]="A",WORKDAY(Main[[#This Row],[Tech Start Date]],9),""))))</f>
        <v/>
      </c>
      <c r="Q644" s="101"/>
      <c r="R644" s="101"/>
      <c r="S644" s="99" t="s">
        <v>17</v>
      </c>
      <c r="T644" s="107" t="s">
        <v>4</v>
      </c>
      <c r="U644" s="99" t="s">
        <v>14</v>
      </c>
      <c r="V644" s="99" t="s">
        <v>1963</v>
      </c>
      <c r="W644" s="99" t="s">
        <v>4</v>
      </c>
    </row>
    <row r="645" spans="1:23" ht="18.600000000000001" customHeight="1">
      <c r="A645" s="123" t="str">
        <f>IF(priority(Main[[#This Row],[Comments]])&lt;&gt;0, priority(Main[[#This Row],[Comments]]),"")</f>
        <v/>
      </c>
      <c r="B645" s="127" t="s">
        <v>1521</v>
      </c>
      <c r="C645" s="99" t="s">
        <v>573</v>
      </c>
      <c r="D645" s="100" t="s">
        <v>574</v>
      </c>
      <c r="E645" s="101"/>
      <c r="F645" s="101">
        <v>40389</v>
      </c>
      <c r="G645" s="102" t="str">
        <f>IF(stdProdLT(Main[[#This Row],[Comments]])=0.1,"N/A",IF(stdProdLT(Main[[#This Row],[Comments]])=0,"",stdProdLT(Main[[#This Row],[Comments]])))</f>
        <v/>
      </c>
      <c r="H645" s="103" t="str">
        <f>IF(AND(Main[[#This Row],[In Stock Date]]&lt;&gt;"",Main[[#This Row],[Revised Due Date]]&lt;&gt;""),Main[[#This Row],[In Stock Date]]-Main[[#This Row],[Revised Due Date]],"")</f>
        <v/>
      </c>
      <c r="I645" s="99" t="s">
        <v>4</v>
      </c>
      <c r="J645" s="99" t="s">
        <v>75</v>
      </c>
      <c r="K645" s="108" t="s">
        <v>4</v>
      </c>
      <c r="L645" s="101"/>
      <c r="M645" s="104" t="str">
        <f>IF(Main[[#This Row],[Tech Start Date]]&lt;1/1/1990,"",IF(Main[[#This Row],[Class]]="C",WORKDAY(Main[[#This Row],[Tech Start Date]],9),IF(Main[[#This Row],[Class]]="B", WORKDAY(Main[[#This Row],[Tech Start Date]],6),IF(Main[[#This Row],[Class]]="A",WORKDAY(Main[[#This Row],[Tech Start Date]],2),""))))</f>
        <v/>
      </c>
      <c r="N645" s="104" t="str">
        <f>IF(Main[[#This Row],[Tech Start Date]]&lt;1/1/1990,"",IF(Main[[#This Row],[Class]]="C",WORKDAY(Main[[#This Row],[Tech Start Date]],19),IF(Main[[#This Row],[Class]]="B", WORKDAY(Main[[#This Row],[Tech Start Date]],12),IF(Main[[#This Row],[Class]]="A",WORKDAY(Main[[#This Row],[Tech Start Date]],4),""))))</f>
        <v/>
      </c>
      <c r="O645" s="104" t="str">
        <f>IF(Main[[#This Row],[Tech Start Date]]&lt;1/1/1990,"",IF(Main[[#This Row],[Class]]="C",WORKDAY(Main[[#This Row],[Tech Start Date]],23),IF(Main[[#This Row],[Class]]="B", WORKDAY(Main[[#This Row],[Tech Start Date]],15),IF(Main[[#This Row],[Class]]="A",WORKDAY(Main[[#This Row],[Tech Start Date]],5),""))))</f>
        <v/>
      </c>
      <c r="P645" s="104" t="str">
        <f>IF(Main[[#This Row],[Tech Start Date]]&lt;1/1/1990,"",IF(Main[[#This Row],[Class]]="C",WORKDAY(Main[[#This Row],[Tech Start Date]],28),IF(Main[[#This Row],[Class]]="B", WORKDAY(Main[[#This Row],[Tech Start Date]],19),IF(Main[[#This Row],[Class]]="A",WORKDAY(Main[[#This Row],[Tech Start Date]],9),""))))</f>
        <v/>
      </c>
      <c r="Q645" s="101">
        <v>40298</v>
      </c>
      <c r="R645" s="101"/>
      <c r="S645" s="99" t="s">
        <v>11</v>
      </c>
      <c r="T645" s="107" t="s">
        <v>4</v>
      </c>
      <c r="U645" s="99" t="s">
        <v>14</v>
      </c>
      <c r="V645" s="99" t="s">
        <v>1962</v>
      </c>
      <c r="W645" s="99" t="s">
        <v>1968</v>
      </c>
    </row>
    <row r="646" spans="1:23" ht="18.600000000000001" customHeight="1">
      <c r="A646" s="123" t="str">
        <f>IF(priority(Main[[#This Row],[Comments]])&lt;&gt;0, priority(Main[[#This Row],[Comments]]),"")</f>
        <v/>
      </c>
      <c r="B646" s="127" t="s">
        <v>1522</v>
      </c>
      <c r="C646" s="99" t="s">
        <v>93</v>
      </c>
      <c r="D646" s="100" t="s">
        <v>575</v>
      </c>
      <c r="E646" s="101"/>
      <c r="F646" s="101">
        <v>40132</v>
      </c>
      <c r="G646" s="102" t="str">
        <f>IF(stdProdLT(Main[[#This Row],[Comments]])=0.1,"N/A",IF(stdProdLT(Main[[#This Row],[Comments]])=0,"",stdProdLT(Main[[#This Row],[Comments]])))</f>
        <v/>
      </c>
      <c r="H646" s="103" t="str">
        <f>IF(AND(Main[[#This Row],[In Stock Date]]&lt;&gt;"",Main[[#This Row],[Revised Due Date]]&lt;&gt;""),Main[[#This Row],[In Stock Date]]-Main[[#This Row],[Revised Due Date]],"")</f>
        <v/>
      </c>
      <c r="I646" s="99" t="s">
        <v>4</v>
      </c>
      <c r="J646" s="99" t="s">
        <v>4</v>
      </c>
      <c r="K646" s="99" t="s">
        <v>4</v>
      </c>
      <c r="L646" s="101"/>
      <c r="M646" s="104" t="str">
        <f>IF(Main[[#This Row],[Tech Start Date]]&lt;1/1/1990,"",IF(Main[[#This Row],[Class]]="C",WORKDAY(Main[[#This Row],[Tech Start Date]],9),IF(Main[[#This Row],[Class]]="B", WORKDAY(Main[[#This Row],[Tech Start Date]],6),IF(Main[[#This Row],[Class]]="A",WORKDAY(Main[[#This Row],[Tech Start Date]],2),""))))</f>
        <v/>
      </c>
      <c r="N646" s="104" t="str">
        <f>IF(Main[[#This Row],[Tech Start Date]]&lt;1/1/1990,"",IF(Main[[#This Row],[Class]]="C",WORKDAY(Main[[#This Row],[Tech Start Date]],19),IF(Main[[#This Row],[Class]]="B", WORKDAY(Main[[#This Row],[Tech Start Date]],12),IF(Main[[#This Row],[Class]]="A",WORKDAY(Main[[#This Row],[Tech Start Date]],4),""))))</f>
        <v/>
      </c>
      <c r="O646" s="104" t="str">
        <f>IF(Main[[#This Row],[Tech Start Date]]&lt;1/1/1990,"",IF(Main[[#This Row],[Class]]="C",WORKDAY(Main[[#This Row],[Tech Start Date]],23),IF(Main[[#This Row],[Class]]="B", WORKDAY(Main[[#This Row],[Tech Start Date]],15),IF(Main[[#This Row],[Class]]="A",WORKDAY(Main[[#This Row],[Tech Start Date]],5),""))))</f>
        <v/>
      </c>
      <c r="P646" s="104" t="str">
        <f>IF(Main[[#This Row],[Tech Start Date]]&lt;1/1/1990,"",IF(Main[[#This Row],[Class]]="C",WORKDAY(Main[[#This Row],[Tech Start Date]],28),IF(Main[[#This Row],[Class]]="B", WORKDAY(Main[[#This Row],[Tech Start Date]],19),IF(Main[[#This Row],[Class]]="A",WORKDAY(Main[[#This Row],[Tech Start Date]],9),""))))</f>
        <v/>
      </c>
      <c r="Q646" s="101">
        <v>40132</v>
      </c>
      <c r="R646" s="101"/>
      <c r="S646" s="99" t="s">
        <v>11</v>
      </c>
      <c r="T646" s="107" t="s">
        <v>4</v>
      </c>
      <c r="U646" s="99" t="s">
        <v>14</v>
      </c>
      <c r="V646" s="99" t="s">
        <v>1972</v>
      </c>
      <c r="W646" s="99" t="s">
        <v>1973</v>
      </c>
    </row>
    <row r="647" spans="1:23" ht="18.600000000000001" customHeight="1">
      <c r="A647" s="123" t="str">
        <f>IF(priority(Main[[#This Row],[Comments]])&lt;&gt;0, priority(Main[[#This Row],[Comments]]),"")</f>
        <v/>
      </c>
      <c r="B647" s="127" t="s">
        <v>1523</v>
      </c>
      <c r="C647" s="99" t="s">
        <v>93</v>
      </c>
      <c r="D647" s="100" t="s">
        <v>576</v>
      </c>
      <c r="E647" s="101"/>
      <c r="F647" s="101">
        <v>40132</v>
      </c>
      <c r="G647" s="102" t="str">
        <f>IF(stdProdLT(Main[[#This Row],[Comments]])=0.1,"N/A",IF(stdProdLT(Main[[#This Row],[Comments]])=0,"",stdProdLT(Main[[#This Row],[Comments]])))</f>
        <v/>
      </c>
      <c r="H647" s="103" t="str">
        <f>IF(AND(Main[[#This Row],[In Stock Date]]&lt;&gt;"",Main[[#This Row],[Revised Due Date]]&lt;&gt;""),Main[[#This Row],[In Stock Date]]-Main[[#This Row],[Revised Due Date]],"")</f>
        <v/>
      </c>
      <c r="I647" s="99" t="s">
        <v>4</v>
      </c>
      <c r="J647" s="99" t="s">
        <v>4</v>
      </c>
      <c r="K647" s="99" t="s">
        <v>4</v>
      </c>
      <c r="L647" s="101"/>
      <c r="M647" s="104" t="str">
        <f>IF(Main[[#This Row],[Tech Start Date]]&lt;1/1/1990,"",IF(Main[[#This Row],[Class]]="C",WORKDAY(Main[[#This Row],[Tech Start Date]],9),IF(Main[[#This Row],[Class]]="B", WORKDAY(Main[[#This Row],[Tech Start Date]],6),IF(Main[[#This Row],[Class]]="A",WORKDAY(Main[[#This Row],[Tech Start Date]],2),""))))</f>
        <v/>
      </c>
      <c r="N647" s="104" t="str">
        <f>IF(Main[[#This Row],[Tech Start Date]]&lt;1/1/1990,"",IF(Main[[#This Row],[Class]]="C",WORKDAY(Main[[#This Row],[Tech Start Date]],19),IF(Main[[#This Row],[Class]]="B", WORKDAY(Main[[#This Row],[Tech Start Date]],12),IF(Main[[#This Row],[Class]]="A",WORKDAY(Main[[#This Row],[Tech Start Date]],4),""))))</f>
        <v/>
      </c>
      <c r="O647" s="104" t="str">
        <f>IF(Main[[#This Row],[Tech Start Date]]&lt;1/1/1990,"",IF(Main[[#This Row],[Class]]="C",WORKDAY(Main[[#This Row],[Tech Start Date]],23),IF(Main[[#This Row],[Class]]="B", WORKDAY(Main[[#This Row],[Tech Start Date]],15),IF(Main[[#This Row],[Class]]="A",WORKDAY(Main[[#This Row],[Tech Start Date]],5),""))))</f>
        <v/>
      </c>
      <c r="P647" s="104" t="str">
        <f>IF(Main[[#This Row],[Tech Start Date]]&lt;1/1/1990,"",IF(Main[[#This Row],[Class]]="C",WORKDAY(Main[[#This Row],[Tech Start Date]],28),IF(Main[[#This Row],[Class]]="B", WORKDAY(Main[[#This Row],[Tech Start Date]],19),IF(Main[[#This Row],[Class]]="A",WORKDAY(Main[[#This Row],[Tech Start Date]],9),""))))</f>
        <v/>
      </c>
      <c r="Q647" s="101">
        <v>40132</v>
      </c>
      <c r="R647" s="101"/>
      <c r="S647" s="99" t="s">
        <v>11</v>
      </c>
      <c r="T647" s="107" t="s">
        <v>4</v>
      </c>
      <c r="U647" s="99" t="s">
        <v>14</v>
      </c>
      <c r="V647" s="99" t="s">
        <v>1972</v>
      </c>
      <c r="W647" s="99" t="s">
        <v>1973</v>
      </c>
    </row>
    <row r="648" spans="1:23" ht="18.600000000000001" customHeight="1">
      <c r="A648" s="123" t="str">
        <f>IF(priority(Main[[#This Row],[Comments]])&lt;&gt;0, priority(Main[[#This Row],[Comments]]),"")</f>
        <v/>
      </c>
      <c r="B648" s="127" t="s">
        <v>1524</v>
      </c>
      <c r="C648" s="99" t="s">
        <v>471</v>
      </c>
      <c r="D648" s="100" t="s">
        <v>577</v>
      </c>
      <c r="E648" s="101"/>
      <c r="F648" s="101">
        <v>40179</v>
      </c>
      <c r="G648" s="102" t="str">
        <f>IF(stdProdLT(Main[[#This Row],[Comments]])=0.1,"N/A",IF(stdProdLT(Main[[#This Row],[Comments]])=0,"",stdProdLT(Main[[#This Row],[Comments]])))</f>
        <v/>
      </c>
      <c r="H648" s="103" t="str">
        <f>IF(AND(Main[[#This Row],[In Stock Date]]&lt;&gt;"",Main[[#This Row],[Revised Due Date]]&lt;&gt;""),Main[[#This Row],[In Stock Date]]-Main[[#This Row],[Revised Due Date]],"")</f>
        <v/>
      </c>
      <c r="I648" s="99" t="s">
        <v>4</v>
      </c>
      <c r="J648" s="99" t="s">
        <v>4</v>
      </c>
      <c r="K648" s="99" t="s">
        <v>4</v>
      </c>
      <c r="L648" s="101"/>
      <c r="M648" s="104" t="str">
        <f>IF(Main[[#This Row],[Tech Start Date]]&lt;1/1/1990,"",IF(Main[[#This Row],[Class]]="C",WORKDAY(Main[[#This Row],[Tech Start Date]],9),IF(Main[[#This Row],[Class]]="B", WORKDAY(Main[[#This Row],[Tech Start Date]],6),IF(Main[[#This Row],[Class]]="A",WORKDAY(Main[[#This Row],[Tech Start Date]],2),""))))</f>
        <v/>
      </c>
      <c r="N648" s="104" t="str">
        <f>IF(Main[[#This Row],[Tech Start Date]]&lt;1/1/1990,"",IF(Main[[#This Row],[Class]]="C",WORKDAY(Main[[#This Row],[Tech Start Date]],19),IF(Main[[#This Row],[Class]]="B", WORKDAY(Main[[#This Row],[Tech Start Date]],12),IF(Main[[#This Row],[Class]]="A",WORKDAY(Main[[#This Row],[Tech Start Date]],4),""))))</f>
        <v/>
      </c>
      <c r="O648" s="104" t="str">
        <f>IF(Main[[#This Row],[Tech Start Date]]&lt;1/1/1990,"",IF(Main[[#This Row],[Class]]="C",WORKDAY(Main[[#This Row],[Tech Start Date]],23),IF(Main[[#This Row],[Class]]="B", WORKDAY(Main[[#This Row],[Tech Start Date]],15),IF(Main[[#This Row],[Class]]="A",WORKDAY(Main[[#This Row],[Tech Start Date]],5),""))))</f>
        <v/>
      </c>
      <c r="P648" s="104" t="str">
        <f>IF(Main[[#This Row],[Tech Start Date]]&lt;1/1/1990,"",IF(Main[[#This Row],[Class]]="C",WORKDAY(Main[[#This Row],[Tech Start Date]],28),IF(Main[[#This Row],[Class]]="B", WORKDAY(Main[[#This Row],[Tech Start Date]],19),IF(Main[[#This Row],[Class]]="A",WORKDAY(Main[[#This Row],[Tech Start Date]],9),""))))</f>
        <v/>
      </c>
      <c r="Q648" s="101">
        <v>40164</v>
      </c>
      <c r="R648" s="101"/>
      <c r="S648" s="99" t="s">
        <v>11</v>
      </c>
      <c r="T648" s="107" t="s">
        <v>4</v>
      </c>
      <c r="U648" s="99" t="s">
        <v>14</v>
      </c>
      <c r="V648" s="99" t="s">
        <v>1965</v>
      </c>
      <c r="W648" s="99" t="s">
        <v>1968</v>
      </c>
    </row>
    <row r="649" spans="1:23" ht="18.600000000000001" customHeight="1">
      <c r="A649" s="123" t="str">
        <f>IF(priority(Main[[#This Row],[Comments]])&lt;&gt;0, priority(Main[[#This Row],[Comments]]),"")</f>
        <v/>
      </c>
      <c r="B649" s="127" t="s">
        <v>1178</v>
      </c>
      <c r="C649" s="99" t="s">
        <v>4</v>
      </c>
      <c r="D649" s="100" t="s">
        <v>202</v>
      </c>
      <c r="E649" s="101"/>
      <c r="F649" s="101"/>
      <c r="G649" s="102" t="str">
        <f>IF(stdProdLT(Main[[#This Row],[Comments]])=0.1,"N/A",IF(stdProdLT(Main[[#This Row],[Comments]])=0,"",stdProdLT(Main[[#This Row],[Comments]])))</f>
        <v/>
      </c>
      <c r="H649" s="103" t="str">
        <f>IF(AND(Main[[#This Row],[In Stock Date]]&lt;&gt;"",Main[[#This Row],[Revised Due Date]]&lt;&gt;""),Main[[#This Row],[In Stock Date]]-Main[[#This Row],[Revised Due Date]],"")</f>
        <v/>
      </c>
      <c r="I649" s="99" t="s">
        <v>4</v>
      </c>
      <c r="J649" s="99" t="s">
        <v>4</v>
      </c>
      <c r="K649" s="99" t="s">
        <v>4</v>
      </c>
      <c r="L649" s="101"/>
      <c r="M649" s="104" t="str">
        <f>IF(Main[[#This Row],[Tech Start Date]]&lt;1/1/1990,"",IF(Main[[#This Row],[Class]]="C",WORKDAY(Main[[#This Row],[Tech Start Date]],9),IF(Main[[#This Row],[Class]]="B", WORKDAY(Main[[#This Row],[Tech Start Date]],6),IF(Main[[#This Row],[Class]]="A",WORKDAY(Main[[#This Row],[Tech Start Date]],2),""))))</f>
        <v/>
      </c>
      <c r="N649" s="104" t="str">
        <f>IF(Main[[#This Row],[Tech Start Date]]&lt;1/1/1990,"",IF(Main[[#This Row],[Class]]="C",WORKDAY(Main[[#This Row],[Tech Start Date]],19),IF(Main[[#This Row],[Class]]="B", WORKDAY(Main[[#This Row],[Tech Start Date]],12),IF(Main[[#This Row],[Class]]="A",WORKDAY(Main[[#This Row],[Tech Start Date]],4),""))))</f>
        <v/>
      </c>
      <c r="O649" s="104" t="str">
        <f>IF(Main[[#This Row],[Tech Start Date]]&lt;1/1/1990,"",IF(Main[[#This Row],[Class]]="C",WORKDAY(Main[[#This Row],[Tech Start Date]],23),IF(Main[[#This Row],[Class]]="B", WORKDAY(Main[[#This Row],[Tech Start Date]],15),IF(Main[[#This Row],[Class]]="A",WORKDAY(Main[[#This Row],[Tech Start Date]],5),""))))</f>
        <v/>
      </c>
      <c r="P649" s="104" t="str">
        <f>IF(Main[[#This Row],[Tech Start Date]]&lt;1/1/1990,"",IF(Main[[#This Row],[Class]]="C",WORKDAY(Main[[#This Row],[Tech Start Date]],28),IF(Main[[#This Row],[Class]]="B", WORKDAY(Main[[#This Row],[Tech Start Date]],19),IF(Main[[#This Row],[Class]]="A",WORKDAY(Main[[#This Row],[Tech Start Date]],9),""))))</f>
        <v/>
      </c>
      <c r="Q649" s="101">
        <v>40597</v>
      </c>
      <c r="R649" s="101"/>
      <c r="S649" s="99" t="s">
        <v>49</v>
      </c>
      <c r="T649" s="107" t="s">
        <v>4</v>
      </c>
      <c r="U649" s="99" t="s">
        <v>12</v>
      </c>
      <c r="V649" s="99" t="s">
        <v>1963</v>
      </c>
      <c r="W649" s="99" t="s">
        <v>1964</v>
      </c>
    </row>
    <row r="650" spans="1:23" ht="18.600000000000001" customHeight="1">
      <c r="A650" s="123" t="str">
        <f>IF(priority(Main[[#This Row],[Comments]])&lt;&gt;0, priority(Main[[#This Row],[Comments]]),"")</f>
        <v/>
      </c>
      <c r="B650" s="127" t="s">
        <v>1579</v>
      </c>
      <c r="C650" s="99" t="s">
        <v>4</v>
      </c>
      <c r="D650" s="100" t="s">
        <v>582</v>
      </c>
      <c r="E650" s="101"/>
      <c r="F650" s="101"/>
      <c r="G650" s="102" t="str">
        <f>IF(stdProdLT(Main[[#This Row],[Comments]])=0.1,"N/A",IF(stdProdLT(Main[[#This Row],[Comments]])=0,"",stdProdLT(Main[[#This Row],[Comments]])))</f>
        <v/>
      </c>
      <c r="H650" s="103" t="str">
        <f>IF(AND(Main[[#This Row],[In Stock Date]]&lt;&gt;"",Main[[#This Row],[Revised Due Date]]&lt;&gt;""),Main[[#This Row],[In Stock Date]]-Main[[#This Row],[Revised Due Date]],"")</f>
        <v/>
      </c>
      <c r="I650" s="99" t="s">
        <v>4</v>
      </c>
      <c r="J650" s="99" t="s">
        <v>4</v>
      </c>
      <c r="K650" s="108" t="s">
        <v>4</v>
      </c>
      <c r="L650" s="101"/>
      <c r="M650" s="104" t="str">
        <f>IF(Main[[#This Row],[Tech Start Date]]&lt;1/1/1990,"",IF(Main[[#This Row],[Class]]="C",WORKDAY(Main[[#This Row],[Tech Start Date]],9),IF(Main[[#This Row],[Class]]="B", WORKDAY(Main[[#This Row],[Tech Start Date]],6),IF(Main[[#This Row],[Class]]="A",WORKDAY(Main[[#This Row],[Tech Start Date]],2),""))))</f>
        <v/>
      </c>
      <c r="N650" s="104" t="str">
        <f>IF(Main[[#This Row],[Tech Start Date]]&lt;1/1/1990,"",IF(Main[[#This Row],[Class]]="C",WORKDAY(Main[[#This Row],[Tech Start Date]],19),IF(Main[[#This Row],[Class]]="B", WORKDAY(Main[[#This Row],[Tech Start Date]],12),IF(Main[[#This Row],[Class]]="A",WORKDAY(Main[[#This Row],[Tech Start Date]],4),""))))</f>
        <v/>
      </c>
      <c r="O650" s="104" t="str">
        <f>IF(Main[[#This Row],[Tech Start Date]]&lt;1/1/1990,"",IF(Main[[#This Row],[Class]]="C",WORKDAY(Main[[#This Row],[Tech Start Date]],23),IF(Main[[#This Row],[Class]]="B", WORKDAY(Main[[#This Row],[Tech Start Date]],15),IF(Main[[#This Row],[Class]]="A",WORKDAY(Main[[#This Row],[Tech Start Date]],5),""))))</f>
        <v/>
      </c>
      <c r="P650" s="104" t="str">
        <f>IF(Main[[#This Row],[Tech Start Date]]&lt;1/1/1990,"",IF(Main[[#This Row],[Class]]="C",WORKDAY(Main[[#This Row],[Tech Start Date]],28),IF(Main[[#This Row],[Class]]="B", WORKDAY(Main[[#This Row],[Tech Start Date]],19),IF(Main[[#This Row],[Class]]="A",WORKDAY(Main[[#This Row],[Tech Start Date]],9),""))))</f>
        <v/>
      </c>
      <c r="Q650" s="101">
        <v>40165</v>
      </c>
      <c r="R650" s="101"/>
      <c r="S650" s="99" t="s">
        <v>11</v>
      </c>
      <c r="T650" s="107" t="s">
        <v>4</v>
      </c>
      <c r="U650" s="99" t="s">
        <v>14</v>
      </c>
      <c r="V650" s="99" t="s">
        <v>1963</v>
      </c>
      <c r="W650" s="99" t="s">
        <v>1967</v>
      </c>
    </row>
    <row r="651" spans="1:23" ht="18.600000000000001" customHeight="1">
      <c r="A651" s="123" t="str">
        <f>IF(priority(Main[[#This Row],[Comments]])&lt;&gt;0, priority(Main[[#This Row],[Comments]]),"")</f>
        <v/>
      </c>
      <c r="B651" s="127" t="s">
        <v>1858</v>
      </c>
      <c r="C651" s="99" t="s">
        <v>72</v>
      </c>
      <c r="D651" s="100" t="s">
        <v>882</v>
      </c>
      <c r="E651" s="101"/>
      <c r="F651" s="101">
        <v>40148</v>
      </c>
      <c r="G651" s="102" t="str">
        <f>IF(stdProdLT(Main[[#This Row],[Comments]])=0.1,"N/A",IF(stdProdLT(Main[[#This Row],[Comments]])=0,"",stdProdLT(Main[[#This Row],[Comments]])))</f>
        <v/>
      </c>
      <c r="H651" s="103">
        <f>IF(AND(Main[[#This Row],[In Stock Date]]&lt;&gt;"",Main[[#This Row],[Revised Due Date]]&lt;&gt;""),Main[[#This Row],[In Stock Date]]-Main[[#This Row],[Revised Due Date]],"")</f>
        <v>-143</v>
      </c>
      <c r="I651" s="99" t="s">
        <v>4</v>
      </c>
      <c r="J651" s="99" t="s">
        <v>4</v>
      </c>
      <c r="K651" s="99" t="s">
        <v>4</v>
      </c>
      <c r="L651" s="101"/>
      <c r="M651" s="104" t="str">
        <f>IF(Main[[#This Row],[Tech Start Date]]&lt;1/1/1990,"",IF(Main[[#This Row],[Class]]="C",WORKDAY(Main[[#This Row],[Tech Start Date]],9),IF(Main[[#This Row],[Class]]="B", WORKDAY(Main[[#This Row],[Tech Start Date]],6),IF(Main[[#This Row],[Class]]="A",WORKDAY(Main[[#This Row],[Tech Start Date]],2),""))))</f>
        <v/>
      </c>
      <c r="N651" s="104" t="str">
        <f>IF(Main[[#This Row],[Tech Start Date]]&lt;1/1/1990,"",IF(Main[[#This Row],[Class]]="C",WORKDAY(Main[[#This Row],[Tech Start Date]],19),IF(Main[[#This Row],[Class]]="B", WORKDAY(Main[[#This Row],[Tech Start Date]],12),IF(Main[[#This Row],[Class]]="A",WORKDAY(Main[[#This Row],[Tech Start Date]],4),""))))</f>
        <v/>
      </c>
      <c r="O651" s="104" t="str">
        <f>IF(Main[[#This Row],[Tech Start Date]]&lt;1/1/1990,"",IF(Main[[#This Row],[Class]]="C",WORKDAY(Main[[#This Row],[Tech Start Date]],23),IF(Main[[#This Row],[Class]]="B", WORKDAY(Main[[#This Row],[Tech Start Date]],15),IF(Main[[#This Row],[Class]]="A",WORKDAY(Main[[#This Row],[Tech Start Date]],5),""))))</f>
        <v/>
      </c>
      <c r="P651" s="104" t="str">
        <f>IF(Main[[#This Row],[Tech Start Date]]&lt;1/1/1990,"",IF(Main[[#This Row],[Class]]="C",WORKDAY(Main[[#This Row],[Tech Start Date]],28),IF(Main[[#This Row],[Class]]="B", WORKDAY(Main[[#This Row],[Tech Start Date]],19),IF(Main[[#This Row],[Class]]="A",WORKDAY(Main[[#This Row],[Tech Start Date]],9),""))))</f>
        <v/>
      </c>
      <c r="Q651" s="101">
        <v>40080</v>
      </c>
      <c r="R651" s="101">
        <v>40291</v>
      </c>
      <c r="S651" s="99" t="s">
        <v>6</v>
      </c>
      <c r="T651" s="107" t="s">
        <v>4</v>
      </c>
      <c r="U651" s="99" t="s">
        <v>14</v>
      </c>
      <c r="V651" s="99" t="s">
        <v>1963</v>
      </c>
      <c r="W651" s="99" t="s">
        <v>1970</v>
      </c>
    </row>
    <row r="652" spans="1:23" ht="18.600000000000001" customHeight="1">
      <c r="A652" s="123" t="str">
        <f>IF(priority(Main[[#This Row],[Comments]])&lt;&gt;0, priority(Main[[#This Row],[Comments]]),"")</f>
        <v/>
      </c>
      <c r="B652" s="127" t="s">
        <v>1527</v>
      </c>
      <c r="C652" s="99" t="s">
        <v>4</v>
      </c>
      <c r="D652" s="100" t="s">
        <v>627</v>
      </c>
      <c r="E652" s="101">
        <v>40549.433692129627</v>
      </c>
      <c r="F652" s="101"/>
      <c r="G652" s="102" t="str">
        <f>IF(stdProdLT(Main[[#This Row],[Comments]])=0.1,"N/A",IF(stdProdLT(Main[[#This Row],[Comments]])=0,"",stdProdLT(Main[[#This Row],[Comments]])))</f>
        <v/>
      </c>
      <c r="H652" s="103" t="str">
        <f>IF(AND(Main[[#This Row],[In Stock Date]]&lt;&gt;"",Main[[#This Row],[Revised Due Date]]&lt;&gt;""),Main[[#This Row],[In Stock Date]]-Main[[#This Row],[Revised Due Date]],"")</f>
        <v/>
      </c>
      <c r="I652" s="99" t="s">
        <v>4</v>
      </c>
      <c r="J652" s="99" t="s">
        <v>4</v>
      </c>
      <c r="K652" s="99" t="s">
        <v>4</v>
      </c>
      <c r="L652" s="101"/>
      <c r="M652" s="104" t="str">
        <f>IF(Main[[#This Row],[Tech Start Date]]&lt;1/1/1990,"",IF(Main[[#This Row],[Class]]="C",WORKDAY(Main[[#This Row],[Tech Start Date]],9),IF(Main[[#This Row],[Class]]="B", WORKDAY(Main[[#This Row],[Tech Start Date]],6),IF(Main[[#This Row],[Class]]="A",WORKDAY(Main[[#This Row],[Tech Start Date]],2),""))))</f>
        <v/>
      </c>
      <c r="N652" s="104" t="str">
        <f>IF(Main[[#This Row],[Tech Start Date]]&lt;1/1/1990,"",IF(Main[[#This Row],[Class]]="C",WORKDAY(Main[[#This Row],[Tech Start Date]],19),IF(Main[[#This Row],[Class]]="B", WORKDAY(Main[[#This Row],[Tech Start Date]],12),IF(Main[[#This Row],[Class]]="A",WORKDAY(Main[[#This Row],[Tech Start Date]],4),""))))</f>
        <v/>
      </c>
      <c r="O652" s="104" t="str">
        <f>IF(Main[[#This Row],[Tech Start Date]]&lt;1/1/1990,"",IF(Main[[#This Row],[Class]]="C",WORKDAY(Main[[#This Row],[Tech Start Date]],23),IF(Main[[#This Row],[Class]]="B", WORKDAY(Main[[#This Row],[Tech Start Date]],15),IF(Main[[#This Row],[Class]]="A",WORKDAY(Main[[#This Row],[Tech Start Date]],5),""))))</f>
        <v/>
      </c>
      <c r="P652" s="104" t="str">
        <f>IF(Main[[#This Row],[Tech Start Date]]&lt;1/1/1990,"",IF(Main[[#This Row],[Class]]="C",WORKDAY(Main[[#This Row],[Tech Start Date]],28),IF(Main[[#This Row],[Class]]="B", WORKDAY(Main[[#This Row],[Tech Start Date]],19),IF(Main[[#This Row],[Class]]="A",WORKDAY(Main[[#This Row],[Tech Start Date]],9),""))))</f>
        <v/>
      </c>
      <c r="Q652" s="101">
        <v>40577</v>
      </c>
      <c r="R652" s="101"/>
      <c r="S652" s="99" t="s">
        <v>6</v>
      </c>
      <c r="T652" s="107" t="s">
        <v>4</v>
      </c>
      <c r="U652" s="99" t="s">
        <v>7</v>
      </c>
      <c r="V652" s="99" t="s">
        <v>1962</v>
      </c>
      <c r="W652" s="99" t="s">
        <v>1964</v>
      </c>
    </row>
    <row r="653" spans="1:23" ht="18.600000000000001" customHeight="1">
      <c r="A653" s="123" t="str">
        <f>IF(priority(Main[[#This Row],[Comments]])&lt;&gt;0, priority(Main[[#This Row],[Comments]]),"")</f>
        <v/>
      </c>
      <c r="B653" s="127" t="s">
        <v>1528</v>
      </c>
      <c r="C653" s="99" t="s">
        <v>4</v>
      </c>
      <c r="D653" s="100" t="s">
        <v>628</v>
      </c>
      <c r="E653" s="101">
        <v>40371.36078703704</v>
      </c>
      <c r="F653" s="101"/>
      <c r="G653" s="102" t="str">
        <f>IF(stdProdLT(Main[[#This Row],[Comments]])=0.1,"N/A",IF(stdProdLT(Main[[#This Row],[Comments]])=0,"",stdProdLT(Main[[#This Row],[Comments]])))</f>
        <v/>
      </c>
      <c r="H653" s="103" t="str">
        <f>IF(AND(Main[[#This Row],[In Stock Date]]&lt;&gt;"",Main[[#This Row],[Revised Due Date]]&lt;&gt;""),Main[[#This Row],[In Stock Date]]-Main[[#This Row],[Revised Due Date]],"")</f>
        <v/>
      </c>
      <c r="I653" s="99" t="s">
        <v>4</v>
      </c>
      <c r="J653" s="99" t="s">
        <v>4</v>
      </c>
      <c r="K653" s="99" t="s">
        <v>4</v>
      </c>
      <c r="L653" s="101"/>
      <c r="M653" s="104" t="str">
        <f>IF(Main[[#This Row],[Tech Start Date]]&lt;1/1/1990,"",IF(Main[[#This Row],[Class]]="C",WORKDAY(Main[[#This Row],[Tech Start Date]],9),IF(Main[[#This Row],[Class]]="B", WORKDAY(Main[[#This Row],[Tech Start Date]],6),IF(Main[[#This Row],[Class]]="A",WORKDAY(Main[[#This Row],[Tech Start Date]],2),""))))</f>
        <v/>
      </c>
      <c r="N653" s="104" t="str">
        <f>IF(Main[[#This Row],[Tech Start Date]]&lt;1/1/1990,"",IF(Main[[#This Row],[Class]]="C",WORKDAY(Main[[#This Row],[Tech Start Date]],19),IF(Main[[#This Row],[Class]]="B", WORKDAY(Main[[#This Row],[Tech Start Date]],12),IF(Main[[#This Row],[Class]]="A",WORKDAY(Main[[#This Row],[Tech Start Date]],4),""))))</f>
        <v/>
      </c>
      <c r="O653" s="104" t="str">
        <f>IF(Main[[#This Row],[Tech Start Date]]&lt;1/1/1990,"",IF(Main[[#This Row],[Class]]="C",WORKDAY(Main[[#This Row],[Tech Start Date]],23),IF(Main[[#This Row],[Class]]="B", WORKDAY(Main[[#This Row],[Tech Start Date]],15),IF(Main[[#This Row],[Class]]="A",WORKDAY(Main[[#This Row],[Tech Start Date]],5),""))))</f>
        <v/>
      </c>
      <c r="P653" s="104" t="str">
        <f>IF(Main[[#This Row],[Tech Start Date]]&lt;1/1/1990,"",IF(Main[[#This Row],[Class]]="C",WORKDAY(Main[[#This Row],[Tech Start Date]],28),IF(Main[[#This Row],[Class]]="B", WORKDAY(Main[[#This Row],[Tech Start Date]],19),IF(Main[[#This Row],[Class]]="A",WORKDAY(Main[[#This Row],[Tech Start Date]],9),""))))</f>
        <v/>
      </c>
      <c r="Q653" s="101">
        <v>40385</v>
      </c>
      <c r="R653" s="101"/>
      <c r="S653" s="99" t="s">
        <v>6</v>
      </c>
      <c r="T653" s="107" t="s">
        <v>4</v>
      </c>
      <c r="U653" s="99" t="s">
        <v>7</v>
      </c>
      <c r="V653" s="99" t="s">
        <v>1962</v>
      </c>
      <c r="W653" s="99" t="s">
        <v>1964</v>
      </c>
    </row>
    <row r="654" spans="1:23" ht="18.600000000000001" customHeight="1">
      <c r="A654" s="123" t="str">
        <f>IF(priority(Main[[#This Row],[Comments]])&lt;&gt;0, priority(Main[[#This Row],[Comments]]),"")</f>
        <v/>
      </c>
      <c r="B654" s="127" t="s">
        <v>1529</v>
      </c>
      <c r="C654" s="99" t="s">
        <v>629</v>
      </c>
      <c r="D654" s="100" t="s">
        <v>630</v>
      </c>
      <c r="E654" s="101"/>
      <c r="F654" s="101">
        <v>40396</v>
      </c>
      <c r="G654" s="102" t="str">
        <f>IF(stdProdLT(Main[[#This Row],[Comments]])=0.1,"N/A",IF(stdProdLT(Main[[#This Row],[Comments]])=0,"",stdProdLT(Main[[#This Row],[Comments]])))</f>
        <v/>
      </c>
      <c r="H654" s="103" t="str">
        <f>IF(AND(Main[[#This Row],[In Stock Date]]&lt;&gt;"",Main[[#This Row],[Revised Due Date]]&lt;&gt;""),Main[[#This Row],[In Stock Date]]-Main[[#This Row],[Revised Due Date]],"")</f>
        <v/>
      </c>
      <c r="I654" s="99" t="s">
        <v>4</v>
      </c>
      <c r="J654" s="99" t="s">
        <v>4</v>
      </c>
      <c r="K654" s="99" t="s">
        <v>4</v>
      </c>
      <c r="L654" s="101"/>
      <c r="M654" s="104" t="str">
        <f>IF(Main[[#This Row],[Tech Start Date]]&lt;1/1/1990,"",IF(Main[[#This Row],[Class]]="C",WORKDAY(Main[[#This Row],[Tech Start Date]],9),IF(Main[[#This Row],[Class]]="B", WORKDAY(Main[[#This Row],[Tech Start Date]],6),IF(Main[[#This Row],[Class]]="A",WORKDAY(Main[[#This Row],[Tech Start Date]],2),""))))</f>
        <v/>
      </c>
      <c r="N654" s="104" t="str">
        <f>IF(Main[[#This Row],[Tech Start Date]]&lt;1/1/1990,"",IF(Main[[#This Row],[Class]]="C",WORKDAY(Main[[#This Row],[Tech Start Date]],19),IF(Main[[#This Row],[Class]]="B", WORKDAY(Main[[#This Row],[Tech Start Date]],12),IF(Main[[#This Row],[Class]]="A",WORKDAY(Main[[#This Row],[Tech Start Date]],4),""))))</f>
        <v/>
      </c>
      <c r="O654" s="104" t="str">
        <f>IF(Main[[#This Row],[Tech Start Date]]&lt;1/1/1990,"",IF(Main[[#This Row],[Class]]="C",WORKDAY(Main[[#This Row],[Tech Start Date]],23),IF(Main[[#This Row],[Class]]="B", WORKDAY(Main[[#This Row],[Tech Start Date]],15),IF(Main[[#This Row],[Class]]="A",WORKDAY(Main[[#This Row],[Tech Start Date]],5),""))))</f>
        <v/>
      </c>
      <c r="P654" s="104" t="str">
        <f>IF(Main[[#This Row],[Tech Start Date]]&lt;1/1/1990,"",IF(Main[[#This Row],[Class]]="C",WORKDAY(Main[[#This Row],[Tech Start Date]],28),IF(Main[[#This Row],[Class]]="B", WORKDAY(Main[[#This Row],[Tech Start Date]],19),IF(Main[[#This Row],[Class]]="A",WORKDAY(Main[[#This Row],[Tech Start Date]],9),""))))</f>
        <v/>
      </c>
      <c r="Q654" s="101"/>
      <c r="R654" s="101"/>
      <c r="S654" s="99" t="s">
        <v>11</v>
      </c>
      <c r="T654" s="107" t="s">
        <v>4</v>
      </c>
      <c r="U654" s="99" t="s">
        <v>14</v>
      </c>
      <c r="V654" s="99" t="s">
        <v>1962</v>
      </c>
      <c r="W654" s="99" t="s">
        <v>1968</v>
      </c>
    </row>
    <row r="655" spans="1:23" ht="18.600000000000001" customHeight="1">
      <c r="A655" s="123" t="str">
        <f>IF(priority(Main[[#This Row],[Comments]])&lt;&gt;0, priority(Main[[#This Row],[Comments]]),"")</f>
        <v/>
      </c>
      <c r="B655" s="127" t="s">
        <v>1530</v>
      </c>
      <c r="C655" s="99" t="s">
        <v>93</v>
      </c>
      <c r="D655" s="100" t="s">
        <v>631</v>
      </c>
      <c r="E655" s="101"/>
      <c r="F655" s="101">
        <v>40238</v>
      </c>
      <c r="G655" s="102" t="str">
        <f>IF(stdProdLT(Main[[#This Row],[Comments]])=0.1,"N/A",IF(stdProdLT(Main[[#This Row],[Comments]])=0,"",stdProdLT(Main[[#This Row],[Comments]])))</f>
        <v/>
      </c>
      <c r="H655" s="103" t="str">
        <f>IF(AND(Main[[#This Row],[In Stock Date]]&lt;&gt;"",Main[[#This Row],[Revised Due Date]]&lt;&gt;""),Main[[#This Row],[In Stock Date]]-Main[[#This Row],[Revised Due Date]],"")</f>
        <v/>
      </c>
      <c r="I655" s="99" t="s">
        <v>4</v>
      </c>
      <c r="J655" s="99" t="s">
        <v>4</v>
      </c>
      <c r="K655" s="99" t="s">
        <v>4</v>
      </c>
      <c r="L655" s="101"/>
      <c r="M655" s="104" t="str">
        <f>IF(Main[[#This Row],[Tech Start Date]]&lt;1/1/1990,"",IF(Main[[#This Row],[Class]]="C",WORKDAY(Main[[#This Row],[Tech Start Date]],9),IF(Main[[#This Row],[Class]]="B", WORKDAY(Main[[#This Row],[Tech Start Date]],6),IF(Main[[#This Row],[Class]]="A",WORKDAY(Main[[#This Row],[Tech Start Date]],2),""))))</f>
        <v/>
      </c>
      <c r="N655" s="104" t="str">
        <f>IF(Main[[#This Row],[Tech Start Date]]&lt;1/1/1990,"",IF(Main[[#This Row],[Class]]="C",WORKDAY(Main[[#This Row],[Tech Start Date]],19),IF(Main[[#This Row],[Class]]="B", WORKDAY(Main[[#This Row],[Tech Start Date]],12),IF(Main[[#This Row],[Class]]="A",WORKDAY(Main[[#This Row],[Tech Start Date]],4),""))))</f>
        <v/>
      </c>
      <c r="O655" s="104" t="str">
        <f>IF(Main[[#This Row],[Tech Start Date]]&lt;1/1/1990,"",IF(Main[[#This Row],[Class]]="C",WORKDAY(Main[[#This Row],[Tech Start Date]],23),IF(Main[[#This Row],[Class]]="B", WORKDAY(Main[[#This Row],[Tech Start Date]],15),IF(Main[[#This Row],[Class]]="A",WORKDAY(Main[[#This Row],[Tech Start Date]],5),""))))</f>
        <v/>
      </c>
      <c r="P655" s="104" t="str">
        <f>IF(Main[[#This Row],[Tech Start Date]]&lt;1/1/1990,"",IF(Main[[#This Row],[Class]]="C",WORKDAY(Main[[#This Row],[Tech Start Date]],28),IF(Main[[#This Row],[Class]]="B", WORKDAY(Main[[#This Row],[Tech Start Date]],19),IF(Main[[#This Row],[Class]]="A",WORKDAY(Main[[#This Row],[Tech Start Date]],9),""))))</f>
        <v/>
      </c>
      <c r="Q655" s="101">
        <v>40173</v>
      </c>
      <c r="R655" s="101"/>
      <c r="S655" s="99" t="s">
        <v>11</v>
      </c>
      <c r="T655" s="107" t="s">
        <v>4</v>
      </c>
      <c r="U655" s="99" t="s">
        <v>14</v>
      </c>
      <c r="V655" s="99" t="s">
        <v>1962</v>
      </c>
      <c r="W655" s="99" t="s">
        <v>1968</v>
      </c>
    </row>
    <row r="656" spans="1:23" ht="18.600000000000001" customHeight="1">
      <c r="A656" s="123" t="str">
        <f>IF(priority(Main[[#This Row],[Comments]])&lt;&gt;0, priority(Main[[#This Row],[Comments]]),"")</f>
        <v/>
      </c>
      <c r="B656" s="127" t="s">
        <v>1531</v>
      </c>
      <c r="C656" s="99" t="s">
        <v>4</v>
      </c>
      <c r="D656" s="100" t="s">
        <v>97</v>
      </c>
      <c r="E656" s="101"/>
      <c r="F656" s="101"/>
      <c r="G656" s="102" t="str">
        <f>IF(stdProdLT(Main[[#This Row],[Comments]])=0.1,"N/A",IF(stdProdLT(Main[[#This Row],[Comments]])=0,"",stdProdLT(Main[[#This Row],[Comments]])))</f>
        <v/>
      </c>
      <c r="H656" s="103" t="str">
        <f>IF(AND(Main[[#This Row],[In Stock Date]]&lt;&gt;"",Main[[#This Row],[Revised Due Date]]&lt;&gt;""),Main[[#This Row],[In Stock Date]]-Main[[#This Row],[Revised Due Date]],"")</f>
        <v/>
      </c>
      <c r="I656" s="99" t="s">
        <v>4</v>
      </c>
      <c r="J656" s="99" t="s">
        <v>4</v>
      </c>
      <c r="K656" s="99" t="s">
        <v>4</v>
      </c>
      <c r="L656" s="101"/>
      <c r="M656" s="104" t="str">
        <f>IF(Main[[#This Row],[Tech Start Date]]&lt;1/1/1990,"",IF(Main[[#This Row],[Class]]="C",WORKDAY(Main[[#This Row],[Tech Start Date]],9),IF(Main[[#This Row],[Class]]="B", WORKDAY(Main[[#This Row],[Tech Start Date]],6),IF(Main[[#This Row],[Class]]="A",WORKDAY(Main[[#This Row],[Tech Start Date]],2),""))))</f>
        <v/>
      </c>
      <c r="N656" s="104" t="str">
        <f>IF(Main[[#This Row],[Tech Start Date]]&lt;1/1/1990,"",IF(Main[[#This Row],[Class]]="C",WORKDAY(Main[[#This Row],[Tech Start Date]],19),IF(Main[[#This Row],[Class]]="B", WORKDAY(Main[[#This Row],[Tech Start Date]],12),IF(Main[[#This Row],[Class]]="A",WORKDAY(Main[[#This Row],[Tech Start Date]],4),""))))</f>
        <v/>
      </c>
      <c r="O656" s="104" t="str">
        <f>IF(Main[[#This Row],[Tech Start Date]]&lt;1/1/1990,"",IF(Main[[#This Row],[Class]]="C",WORKDAY(Main[[#This Row],[Tech Start Date]],23),IF(Main[[#This Row],[Class]]="B", WORKDAY(Main[[#This Row],[Tech Start Date]],15),IF(Main[[#This Row],[Class]]="A",WORKDAY(Main[[#This Row],[Tech Start Date]],5),""))))</f>
        <v/>
      </c>
      <c r="P656" s="104" t="str">
        <f>IF(Main[[#This Row],[Tech Start Date]]&lt;1/1/1990,"",IF(Main[[#This Row],[Class]]="C",WORKDAY(Main[[#This Row],[Tech Start Date]],28),IF(Main[[#This Row],[Class]]="B", WORKDAY(Main[[#This Row],[Tech Start Date]],19),IF(Main[[#This Row],[Class]]="A",WORKDAY(Main[[#This Row],[Tech Start Date]],9),""))))</f>
        <v/>
      </c>
      <c r="Q656" s="101">
        <v>40858</v>
      </c>
      <c r="R656" s="101"/>
      <c r="S656" s="99" t="s">
        <v>17</v>
      </c>
      <c r="T656" s="107" t="s">
        <v>4</v>
      </c>
      <c r="U656" s="99" t="s">
        <v>14</v>
      </c>
      <c r="V656" s="99" t="s">
        <v>1962</v>
      </c>
      <c r="W656" s="99" t="s">
        <v>1967</v>
      </c>
    </row>
    <row r="657" spans="1:23" ht="18.600000000000001" customHeight="1">
      <c r="A657" s="123" t="str">
        <f>IF(priority(Main[[#This Row],[Comments]])&lt;&gt;0, priority(Main[[#This Row],[Comments]]),"")</f>
        <v/>
      </c>
      <c r="B657" s="127" t="s">
        <v>1532</v>
      </c>
      <c r="C657" s="99" t="s">
        <v>4</v>
      </c>
      <c r="D657" s="100" t="s">
        <v>39</v>
      </c>
      <c r="E657" s="101"/>
      <c r="F657" s="101"/>
      <c r="G657" s="102" t="str">
        <f>IF(stdProdLT(Main[[#This Row],[Comments]])=0.1,"N/A",IF(stdProdLT(Main[[#This Row],[Comments]])=0,"",stdProdLT(Main[[#This Row],[Comments]])))</f>
        <v/>
      </c>
      <c r="H657" s="103" t="str">
        <f>IF(AND(Main[[#This Row],[In Stock Date]]&lt;&gt;"",Main[[#This Row],[Revised Due Date]]&lt;&gt;""),Main[[#This Row],[In Stock Date]]-Main[[#This Row],[Revised Due Date]],"")</f>
        <v/>
      </c>
      <c r="I657" s="99" t="s">
        <v>4</v>
      </c>
      <c r="J657" s="99" t="s">
        <v>4</v>
      </c>
      <c r="K657" s="108" t="s">
        <v>4</v>
      </c>
      <c r="L657" s="101"/>
      <c r="M657" s="104" t="str">
        <f>IF(Main[[#This Row],[Tech Start Date]]&lt;1/1/1990,"",IF(Main[[#This Row],[Class]]="C",WORKDAY(Main[[#This Row],[Tech Start Date]],9),IF(Main[[#This Row],[Class]]="B", WORKDAY(Main[[#This Row],[Tech Start Date]],6),IF(Main[[#This Row],[Class]]="A",WORKDAY(Main[[#This Row],[Tech Start Date]],2),""))))</f>
        <v/>
      </c>
      <c r="N657" s="104" t="str">
        <f>IF(Main[[#This Row],[Tech Start Date]]&lt;1/1/1990,"",IF(Main[[#This Row],[Class]]="C",WORKDAY(Main[[#This Row],[Tech Start Date]],19),IF(Main[[#This Row],[Class]]="B", WORKDAY(Main[[#This Row],[Tech Start Date]],12),IF(Main[[#This Row],[Class]]="A",WORKDAY(Main[[#This Row],[Tech Start Date]],4),""))))</f>
        <v/>
      </c>
      <c r="O657" s="104" t="str">
        <f>IF(Main[[#This Row],[Tech Start Date]]&lt;1/1/1990,"",IF(Main[[#This Row],[Class]]="C",WORKDAY(Main[[#This Row],[Tech Start Date]],23),IF(Main[[#This Row],[Class]]="B", WORKDAY(Main[[#This Row],[Tech Start Date]],15),IF(Main[[#This Row],[Class]]="A",WORKDAY(Main[[#This Row],[Tech Start Date]],5),""))))</f>
        <v/>
      </c>
      <c r="P657" s="104" t="str">
        <f>IF(Main[[#This Row],[Tech Start Date]]&lt;1/1/1990,"",IF(Main[[#This Row],[Class]]="C",WORKDAY(Main[[#This Row],[Tech Start Date]],28),IF(Main[[#This Row],[Class]]="B", WORKDAY(Main[[#This Row],[Tech Start Date]],19),IF(Main[[#This Row],[Class]]="A",WORKDAY(Main[[#This Row],[Tech Start Date]],9),""))))</f>
        <v/>
      </c>
      <c r="Q657" s="101">
        <v>40669</v>
      </c>
      <c r="R657" s="101"/>
      <c r="S657" s="99" t="s">
        <v>6</v>
      </c>
      <c r="T657" s="107" t="s">
        <v>4</v>
      </c>
      <c r="U657" s="99" t="s">
        <v>14</v>
      </c>
      <c r="V657" s="99" t="s">
        <v>1965</v>
      </c>
      <c r="W657" s="99" t="s">
        <v>4</v>
      </c>
    </row>
    <row r="658" spans="1:23" ht="18.600000000000001" customHeight="1">
      <c r="A658" s="123" t="str">
        <f>IF(priority(Main[[#This Row],[Comments]])&lt;&gt;0, priority(Main[[#This Row],[Comments]]),"")</f>
        <v/>
      </c>
      <c r="B658" s="127" t="s">
        <v>1533</v>
      </c>
      <c r="C658" s="99" t="s">
        <v>4</v>
      </c>
      <c r="D658" s="100" t="s">
        <v>605</v>
      </c>
      <c r="E658" s="101"/>
      <c r="F658" s="101"/>
      <c r="G658" s="102" t="str">
        <f>IF(stdProdLT(Main[[#This Row],[Comments]])=0.1,"N/A",IF(stdProdLT(Main[[#This Row],[Comments]])=0,"",stdProdLT(Main[[#This Row],[Comments]])))</f>
        <v/>
      </c>
      <c r="H658" s="103" t="str">
        <f>IF(AND(Main[[#This Row],[In Stock Date]]&lt;&gt;"",Main[[#This Row],[Revised Due Date]]&lt;&gt;""),Main[[#This Row],[In Stock Date]]-Main[[#This Row],[Revised Due Date]],"")</f>
        <v/>
      </c>
      <c r="I658" s="99" t="s">
        <v>4</v>
      </c>
      <c r="J658" s="99" t="s">
        <v>28</v>
      </c>
      <c r="K658" s="99" t="s">
        <v>4</v>
      </c>
      <c r="L658" s="101"/>
      <c r="M658" s="104" t="str">
        <f>IF(Main[[#This Row],[Tech Start Date]]&lt;1/1/1990,"",IF(Main[[#This Row],[Class]]="C",WORKDAY(Main[[#This Row],[Tech Start Date]],9),IF(Main[[#This Row],[Class]]="B", WORKDAY(Main[[#This Row],[Tech Start Date]],6),IF(Main[[#This Row],[Class]]="A",WORKDAY(Main[[#This Row],[Tech Start Date]],2),""))))</f>
        <v/>
      </c>
      <c r="N658" s="104" t="str">
        <f>IF(Main[[#This Row],[Tech Start Date]]&lt;1/1/1990,"",IF(Main[[#This Row],[Class]]="C",WORKDAY(Main[[#This Row],[Tech Start Date]],19),IF(Main[[#This Row],[Class]]="B", WORKDAY(Main[[#This Row],[Tech Start Date]],12),IF(Main[[#This Row],[Class]]="A",WORKDAY(Main[[#This Row],[Tech Start Date]],4),""))))</f>
        <v/>
      </c>
      <c r="O658" s="104" t="str">
        <f>IF(Main[[#This Row],[Tech Start Date]]&lt;1/1/1990,"",IF(Main[[#This Row],[Class]]="C",WORKDAY(Main[[#This Row],[Tech Start Date]],23),IF(Main[[#This Row],[Class]]="B", WORKDAY(Main[[#This Row],[Tech Start Date]],15),IF(Main[[#This Row],[Class]]="A",WORKDAY(Main[[#This Row],[Tech Start Date]],5),""))))</f>
        <v/>
      </c>
      <c r="P658" s="104" t="str">
        <f>IF(Main[[#This Row],[Tech Start Date]]&lt;1/1/1990,"",IF(Main[[#This Row],[Class]]="C",WORKDAY(Main[[#This Row],[Tech Start Date]],28),IF(Main[[#This Row],[Class]]="B", WORKDAY(Main[[#This Row],[Tech Start Date]],19),IF(Main[[#This Row],[Class]]="A",WORKDAY(Main[[#This Row],[Tech Start Date]],9),""))))</f>
        <v/>
      </c>
      <c r="Q658" s="101">
        <v>40482</v>
      </c>
      <c r="R658" s="101"/>
      <c r="S658" s="99" t="s">
        <v>6</v>
      </c>
      <c r="T658" s="107" t="s">
        <v>4</v>
      </c>
      <c r="U658" s="99" t="s">
        <v>14</v>
      </c>
      <c r="V658" s="99" t="s">
        <v>1965</v>
      </c>
      <c r="W658" s="99" t="s">
        <v>1966</v>
      </c>
    </row>
    <row r="659" spans="1:23" ht="18.600000000000001" customHeight="1">
      <c r="A659" s="123" t="str">
        <f>IF(priority(Main[[#This Row],[Comments]])&lt;&gt;0, priority(Main[[#This Row],[Comments]]),"")</f>
        <v/>
      </c>
      <c r="B659" s="127" t="s">
        <v>2153</v>
      </c>
      <c r="C659" s="99" t="s">
        <v>4</v>
      </c>
      <c r="D659" s="100" t="s">
        <v>2154</v>
      </c>
      <c r="E659" s="101"/>
      <c r="F659" s="101"/>
      <c r="G659" s="102" t="str">
        <f>IF(stdProdLT(Main[[#This Row],[Comments]])=0.1,"N/A",IF(stdProdLT(Main[[#This Row],[Comments]])=0,"",stdProdLT(Main[[#This Row],[Comments]])))</f>
        <v/>
      </c>
      <c r="H659" s="103" t="str">
        <f>IF(AND(Main[[#This Row],[In Stock Date]]&lt;&gt;"",Main[[#This Row],[Revised Due Date]]&lt;&gt;""),Main[[#This Row],[In Stock Date]]-Main[[#This Row],[Revised Due Date]],"")</f>
        <v/>
      </c>
      <c r="I659" s="99" t="s">
        <v>4</v>
      </c>
      <c r="J659" s="99" t="s">
        <v>4</v>
      </c>
      <c r="K659" s="99" t="s">
        <v>4</v>
      </c>
      <c r="L659" s="101"/>
      <c r="M659" s="104" t="str">
        <f>IF(Main[[#This Row],[Tech Start Date]]&lt;1/1/1990,"",IF(Main[[#This Row],[Class]]="C",WORKDAY(Main[[#This Row],[Tech Start Date]],9),IF(Main[[#This Row],[Class]]="B", WORKDAY(Main[[#This Row],[Tech Start Date]],6),IF(Main[[#This Row],[Class]]="A",WORKDAY(Main[[#This Row],[Tech Start Date]],2),""))))</f>
        <v/>
      </c>
      <c r="N659" s="104" t="str">
        <f>IF(Main[[#This Row],[Tech Start Date]]&lt;1/1/1990,"",IF(Main[[#This Row],[Class]]="C",WORKDAY(Main[[#This Row],[Tech Start Date]],19),IF(Main[[#This Row],[Class]]="B", WORKDAY(Main[[#This Row],[Tech Start Date]],12),IF(Main[[#This Row],[Class]]="A",WORKDAY(Main[[#This Row],[Tech Start Date]],4),""))))</f>
        <v/>
      </c>
      <c r="O659" s="104" t="str">
        <f>IF(Main[[#This Row],[Tech Start Date]]&lt;1/1/1990,"",IF(Main[[#This Row],[Class]]="C",WORKDAY(Main[[#This Row],[Tech Start Date]],23),IF(Main[[#This Row],[Class]]="B", WORKDAY(Main[[#This Row],[Tech Start Date]],15),IF(Main[[#This Row],[Class]]="A",WORKDAY(Main[[#This Row],[Tech Start Date]],5),""))))</f>
        <v/>
      </c>
      <c r="P659" s="104" t="str">
        <f>IF(Main[[#This Row],[Tech Start Date]]&lt;1/1/1990,"",IF(Main[[#This Row],[Class]]="C",WORKDAY(Main[[#This Row],[Tech Start Date]],28),IF(Main[[#This Row],[Class]]="B", WORKDAY(Main[[#This Row],[Tech Start Date]],19),IF(Main[[#This Row],[Class]]="A",WORKDAY(Main[[#This Row],[Tech Start Date]],9),""))))</f>
        <v/>
      </c>
      <c r="Q659" s="101"/>
      <c r="R659" s="101"/>
      <c r="S659" s="99" t="s">
        <v>6</v>
      </c>
      <c r="T659" s="107" t="s">
        <v>4</v>
      </c>
      <c r="U659" s="99" t="s">
        <v>14</v>
      </c>
      <c r="V659" s="99" t="s">
        <v>1965</v>
      </c>
      <c r="W659" s="99" t="s">
        <v>1966</v>
      </c>
    </row>
    <row r="660" spans="1:23" ht="18.600000000000001" customHeight="1">
      <c r="A660" s="123" t="str">
        <f>IF(priority(Main[[#This Row],[Comments]])&lt;&gt;0, priority(Main[[#This Row],[Comments]]),"")</f>
        <v/>
      </c>
      <c r="B660" s="127" t="s">
        <v>1535</v>
      </c>
      <c r="C660" s="99" t="s">
        <v>607</v>
      </c>
      <c r="D660" s="100" t="s">
        <v>608</v>
      </c>
      <c r="E660" s="101"/>
      <c r="F660" s="101"/>
      <c r="G660" s="102" t="str">
        <f>IF(stdProdLT(Main[[#This Row],[Comments]])=0.1,"N/A",IF(stdProdLT(Main[[#This Row],[Comments]])=0,"",stdProdLT(Main[[#This Row],[Comments]])))</f>
        <v/>
      </c>
      <c r="H660" s="103" t="str">
        <f>IF(AND(Main[[#This Row],[In Stock Date]]&lt;&gt;"",Main[[#This Row],[Revised Due Date]]&lt;&gt;""),Main[[#This Row],[In Stock Date]]-Main[[#This Row],[Revised Due Date]],"")</f>
        <v/>
      </c>
      <c r="I660" s="99" t="s">
        <v>4</v>
      </c>
      <c r="J660" s="99" t="s">
        <v>4</v>
      </c>
      <c r="K660" s="99" t="s">
        <v>4</v>
      </c>
      <c r="L660" s="101"/>
      <c r="M660" s="104" t="str">
        <f>IF(Main[[#This Row],[Tech Start Date]]&lt;1/1/1990,"",IF(Main[[#This Row],[Class]]="C",WORKDAY(Main[[#This Row],[Tech Start Date]],9),IF(Main[[#This Row],[Class]]="B", WORKDAY(Main[[#This Row],[Tech Start Date]],6),IF(Main[[#This Row],[Class]]="A",WORKDAY(Main[[#This Row],[Tech Start Date]],2),""))))</f>
        <v/>
      </c>
      <c r="N660" s="104" t="str">
        <f>IF(Main[[#This Row],[Tech Start Date]]&lt;1/1/1990,"",IF(Main[[#This Row],[Class]]="C",WORKDAY(Main[[#This Row],[Tech Start Date]],19),IF(Main[[#This Row],[Class]]="B", WORKDAY(Main[[#This Row],[Tech Start Date]],12),IF(Main[[#This Row],[Class]]="A",WORKDAY(Main[[#This Row],[Tech Start Date]],4),""))))</f>
        <v/>
      </c>
      <c r="O660" s="104" t="str">
        <f>IF(Main[[#This Row],[Tech Start Date]]&lt;1/1/1990,"",IF(Main[[#This Row],[Class]]="C",WORKDAY(Main[[#This Row],[Tech Start Date]],23),IF(Main[[#This Row],[Class]]="B", WORKDAY(Main[[#This Row],[Tech Start Date]],15),IF(Main[[#This Row],[Class]]="A",WORKDAY(Main[[#This Row],[Tech Start Date]],5),""))))</f>
        <v/>
      </c>
      <c r="P660" s="104" t="str">
        <f>IF(Main[[#This Row],[Tech Start Date]]&lt;1/1/1990,"",IF(Main[[#This Row],[Class]]="C",WORKDAY(Main[[#This Row],[Tech Start Date]],28),IF(Main[[#This Row],[Class]]="B", WORKDAY(Main[[#This Row],[Tech Start Date]],19),IF(Main[[#This Row],[Class]]="A",WORKDAY(Main[[#This Row],[Tech Start Date]],9),""))))</f>
        <v/>
      </c>
      <c r="Q660" s="101">
        <v>40219</v>
      </c>
      <c r="R660" s="101"/>
      <c r="S660" s="99" t="s">
        <v>11</v>
      </c>
      <c r="T660" s="107" t="s">
        <v>4</v>
      </c>
      <c r="U660" s="99" t="s">
        <v>14</v>
      </c>
      <c r="V660" s="99" t="s">
        <v>1965</v>
      </c>
      <c r="W660" s="99" t="s">
        <v>1964</v>
      </c>
    </row>
    <row r="661" spans="1:23" ht="18.600000000000001" customHeight="1">
      <c r="A661" s="123" t="str">
        <f>IF(priority(Main[[#This Row],[Comments]])&lt;&gt;0, priority(Main[[#This Row],[Comments]]),"")</f>
        <v/>
      </c>
      <c r="B661" s="127" t="s">
        <v>1536</v>
      </c>
      <c r="C661" s="99" t="s">
        <v>4</v>
      </c>
      <c r="D661" s="100" t="s">
        <v>609</v>
      </c>
      <c r="E661" s="101"/>
      <c r="F661" s="101"/>
      <c r="G661" s="102" t="str">
        <f>IF(stdProdLT(Main[[#This Row],[Comments]])=0.1,"N/A",IF(stdProdLT(Main[[#This Row],[Comments]])=0,"",stdProdLT(Main[[#This Row],[Comments]])))</f>
        <v/>
      </c>
      <c r="H661" s="103" t="str">
        <f>IF(AND(Main[[#This Row],[In Stock Date]]&lt;&gt;"",Main[[#This Row],[Revised Due Date]]&lt;&gt;""),Main[[#This Row],[In Stock Date]]-Main[[#This Row],[Revised Due Date]],"")</f>
        <v/>
      </c>
      <c r="I661" s="99" t="s">
        <v>81</v>
      </c>
      <c r="J661" s="99" t="s">
        <v>4</v>
      </c>
      <c r="K661" s="108" t="s">
        <v>4</v>
      </c>
      <c r="L661" s="101"/>
      <c r="M661" s="104" t="str">
        <f>IF(Main[[#This Row],[Tech Start Date]]&lt;1/1/1990,"",IF(Main[[#This Row],[Class]]="C",WORKDAY(Main[[#This Row],[Tech Start Date]],9),IF(Main[[#This Row],[Class]]="B", WORKDAY(Main[[#This Row],[Tech Start Date]],6),IF(Main[[#This Row],[Class]]="A",WORKDAY(Main[[#This Row],[Tech Start Date]],2),""))))</f>
        <v/>
      </c>
      <c r="N661" s="104" t="str">
        <f>IF(Main[[#This Row],[Tech Start Date]]&lt;1/1/1990,"",IF(Main[[#This Row],[Class]]="C",WORKDAY(Main[[#This Row],[Tech Start Date]],19),IF(Main[[#This Row],[Class]]="B", WORKDAY(Main[[#This Row],[Tech Start Date]],12),IF(Main[[#This Row],[Class]]="A",WORKDAY(Main[[#This Row],[Tech Start Date]],4),""))))</f>
        <v/>
      </c>
      <c r="O661" s="104" t="str">
        <f>IF(Main[[#This Row],[Tech Start Date]]&lt;1/1/1990,"",IF(Main[[#This Row],[Class]]="C",WORKDAY(Main[[#This Row],[Tech Start Date]],23),IF(Main[[#This Row],[Class]]="B", WORKDAY(Main[[#This Row],[Tech Start Date]],15),IF(Main[[#This Row],[Class]]="A",WORKDAY(Main[[#This Row],[Tech Start Date]],5),""))))</f>
        <v/>
      </c>
      <c r="P661" s="104" t="str">
        <f>IF(Main[[#This Row],[Tech Start Date]]&lt;1/1/1990,"",IF(Main[[#This Row],[Class]]="C",WORKDAY(Main[[#This Row],[Tech Start Date]],28),IF(Main[[#This Row],[Class]]="B", WORKDAY(Main[[#This Row],[Tech Start Date]],19),IF(Main[[#This Row],[Class]]="A",WORKDAY(Main[[#This Row],[Tech Start Date]],9),""))))</f>
        <v/>
      </c>
      <c r="Q661" s="101">
        <v>40390</v>
      </c>
      <c r="R661" s="101"/>
      <c r="S661" s="99" t="s">
        <v>6</v>
      </c>
      <c r="T661" s="107" t="s">
        <v>4</v>
      </c>
      <c r="U661" s="99" t="s">
        <v>14</v>
      </c>
      <c r="V661" s="99" t="s">
        <v>1965</v>
      </c>
      <c r="W661" s="99" t="s">
        <v>4</v>
      </c>
    </row>
    <row r="662" spans="1:23" ht="18.600000000000001" customHeight="1">
      <c r="A662" s="123" t="str">
        <f>IF(priority(Main[[#This Row],[Comments]])&lt;&gt;0, priority(Main[[#This Row],[Comments]]),"")</f>
        <v/>
      </c>
      <c r="B662" s="127" t="s">
        <v>1537</v>
      </c>
      <c r="C662" s="99" t="s">
        <v>93</v>
      </c>
      <c r="D662" s="100" t="s">
        <v>610</v>
      </c>
      <c r="E662" s="101"/>
      <c r="F662" s="101">
        <v>40299</v>
      </c>
      <c r="G662" s="102" t="str">
        <f>IF(stdProdLT(Main[[#This Row],[Comments]])=0.1,"N/A",IF(stdProdLT(Main[[#This Row],[Comments]])=0,"",stdProdLT(Main[[#This Row],[Comments]])))</f>
        <v/>
      </c>
      <c r="H662" s="103" t="str">
        <f>IF(AND(Main[[#This Row],[In Stock Date]]&lt;&gt;"",Main[[#This Row],[Revised Due Date]]&lt;&gt;""),Main[[#This Row],[In Stock Date]]-Main[[#This Row],[Revised Due Date]],"")</f>
        <v/>
      </c>
      <c r="I662" s="99" t="s">
        <v>4</v>
      </c>
      <c r="J662" s="99" t="s">
        <v>4</v>
      </c>
      <c r="K662" s="99" t="s">
        <v>4</v>
      </c>
      <c r="L662" s="101"/>
      <c r="M662" s="104" t="str">
        <f>IF(Main[[#This Row],[Tech Start Date]]&lt;1/1/1990,"",IF(Main[[#This Row],[Class]]="C",WORKDAY(Main[[#This Row],[Tech Start Date]],9),IF(Main[[#This Row],[Class]]="B", WORKDAY(Main[[#This Row],[Tech Start Date]],6),IF(Main[[#This Row],[Class]]="A",WORKDAY(Main[[#This Row],[Tech Start Date]],2),""))))</f>
        <v/>
      </c>
      <c r="N662" s="104" t="str">
        <f>IF(Main[[#This Row],[Tech Start Date]]&lt;1/1/1990,"",IF(Main[[#This Row],[Class]]="C",WORKDAY(Main[[#This Row],[Tech Start Date]],19),IF(Main[[#This Row],[Class]]="B", WORKDAY(Main[[#This Row],[Tech Start Date]],12),IF(Main[[#This Row],[Class]]="A",WORKDAY(Main[[#This Row],[Tech Start Date]],4),""))))</f>
        <v/>
      </c>
      <c r="O662" s="104" t="str">
        <f>IF(Main[[#This Row],[Tech Start Date]]&lt;1/1/1990,"",IF(Main[[#This Row],[Class]]="C",WORKDAY(Main[[#This Row],[Tech Start Date]],23),IF(Main[[#This Row],[Class]]="B", WORKDAY(Main[[#This Row],[Tech Start Date]],15),IF(Main[[#This Row],[Class]]="A",WORKDAY(Main[[#This Row],[Tech Start Date]],5),""))))</f>
        <v/>
      </c>
      <c r="P662" s="104" t="str">
        <f>IF(Main[[#This Row],[Tech Start Date]]&lt;1/1/1990,"",IF(Main[[#This Row],[Class]]="C",WORKDAY(Main[[#This Row],[Tech Start Date]],28),IF(Main[[#This Row],[Class]]="B", WORKDAY(Main[[#This Row],[Tech Start Date]],19),IF(Main[[#This Row],[Class]]="A",WORKDAY(Main[[#This Row],[Tech Start Date]],9),""))))</f>
        <v/>
      </c>
      <c r="Q662" s="101">
        <v>40214</v>
      </c>
      <c r="R662" s="101"/>
      <c r="S662" s="99" t="s">
        <v>11</v>
      </c>
      <c r="T662" s="107" t="s">
        <v>4</v>
      </c>
      <c r="U662" s="99" t="s">
        <v>12</v>
      </c>
      <c r="V662" s="99" t="s">
        <v>1962</v>
      </c>
      <c r="W662" s="99" t="s">
        <v>1968</v>
      </c>
    </row>
    <row r="663" spans="1:23" ht="18.600000000000001" customHeight="1">
      <c r="A663" s="123" t="str">
        <f>IF(priority(Main[[#This Row],[Comments]])&lt;&gt;0, priority(Main[[#This Row],[Comments]]),"")</f>
        <v/>
      </c>
      <c r="B663" s="127" t="s">
        <v>1221</v>
      </c>
      <c r="C663" s="99" t="s">
        <v>4</v>
      </c>
      <c r="D663" s="100" t="s">
        <v>250</v>
      </c>
      <c r="E663" s="101"/>
      <c r="F663" s="101"/>
      <c r="G663" s="102" t="str">
        <f>IF(stdProdLT(Main[[#This Row],[Comments]])=0.1,"N/A",IF(stdProdLT(Main[[#This Row],[Comments]])=0,"",stdProdLT(Main[[#This Row],[Comments]])))</f>
        <v/>
      </c>
      <c r="H663" s="103" t="str">
        <f>IF(AND(Main[[#This Row],[In Stock Date]]&lt;&gt;"",Main[[#This Row],[Revised Due Date]]&lt;&gt;""),Main[[#This Row],[In Stock Date]]-Main[[#This Row],[Revised Due Date]],"")</f>
        <v/>
      </c>
      <c r="I663" s="99" t="s">
        <v>4</v>
      </c>
      <c r="J663" s="99" t="s">
        <v>28</v>
      </c>
      <c r="K663" s="99" t="s">
        <v>4</v>
      </c>
      <c r="L663" s="101"/>
      <c r="M663" s="104" t="str">
        <f>IF(Main[[#This Row],[Tech Start Date]]&lt;1/1/1990,"",IF(Main[[#This Row],[Class]]="C",WORKDAY(Main[[#This Row],[Tech Start Date]],9),IF(Main[[#This Row],[Class]]="B", WORKDAY(Main[[#This Row],[Tech Start Date]],6),IF(Main[[#This Row],[Class]]="A",WORKDAY(Main[[#This Row],[Tech Start Date]],2),""))))</f>
        <v/>
      </c>
      <c r="N663" s="104" t="str">
        <f>IF(Main[[#This Row],[Tech Start Date]]&lt;1/1/1990,"",IF(Main[[#This Row],[Class]]="C",WORKDAY(Main[[#This Row],[Tech Start Date]],19),IF(Main[[#This Row],[Class]]="B", WORKDAY(Main[[#This Row],[Tech Start Date]],12),IF(Main[[#This Row],[Class]]="A",WORKDAY(Main[[#This Row],[Tech Start Date]],4),""))))</f>
        <v/>
      </c>
      <c r="O663" s="104" t="str">
        <f>IF(Main[[#This Row],[Tech Start Date]]&lt;1/1/1990,"",IF(Main[[#This Row],[Class]]="C",WORKDAY(Main[[#This Row],[Tech Start Date]],23),IF(Main[[#This Row],[Class]]="B", WORKDAY(Main[[#This Row],[Tech Start Date]],15),IF(Main[[#This Row],[Class]]="A",WORKDAY(Main[[#This Row],[Tech Start Date]],5),""))))</f>
        <v/>
      </c>
      <c r="P663" s="104" t="str">
        <f>IF(Main[[#This Row],[Tech Start Date]]&lt;1/1/1990,"",IF(Main[[#This Row],[Class]]="C",WORKDAY(Main[[#This Row],[Tech Start Date]],28),IF(Main[[#This Row],[Class]]="B", WORKDAY(Main[[#This Row],[Tech Start Date]],19),IF(Main[[#This Row],[Class]]="A",WORKDAY(Main[[#This Row],[Tech Start Date]],9),""))))</f>
        <v/>
      </c>
      <c r="Q663" s="101">
        <v>40480</v>
      </c>
      <c r="R663" s="101"/>
      <c r="S663" s="99" t="s">
        <v>6</v>
      </c>
      <c r="T663" s="107" t="s">
        <v>4</v>
      </c>
      <c r="U663" s="99" t="s">
        <v>14</v>
      </c>
      <c r="V663" s="99" t="s">
        <v>1962</v>
      </c>
      <c r="W663" s="99" t="s">
        <v>1970</v>
      </c>
    </row>
    <row r="664" spans="1:23" ht="18.600000000000001" customHeight="1">
      <c r="A664" s="123" t="str">
        <f>IF(priority(Main[[#This Row],[Comments]])&lt;&gt;0, priority(Main[[#This Row],[Comments]]),"")</f>
        <v/>
      </c>
      <c r="B664" s="127" t="s">
        <v>1538</v>
      </c>
      <c r="C664" s="99" t="s">
        <v>31</v>
      </c>
      <c r="D664" s="100" t="s">
        <v>611</v>
      </c>
      <c r="E664" s="101"/>
      <c r="F664" s="101">
        <v>40330</v>
      </c>
      <c r="G664" s="102" t="str">
        <f>IF(stdProdLT(Main[[#This Row],[Comments]])=0.1,"N/A",IF(stdProdLT(Main[[#This Row],[Comments]])=0,"",stdProdLT(Main[[#This Row],[Comments]])))</f>
        <v/>
      </c>
      <c r="H664" s="103" t="str">
        <f>IF(AND(Main[[#This Row],[In Stock Date]]&lt;&gt;"",Main[[#This Row],[Revised Due Date]]&lt;&gt;""),Main[[#This Row],[In Stock Date]]-Main[[#This Row],[Revised Due Date]],"")</f>
        <v/>
      </c>
      <c r="I664" s="99" t="s">
        <v>423</v>
      </c>
      <c r="J664" s="99" t="s">
        <v>4</v>
      </c>
      <c r="K664" s="99" t="s">
        <v>4</v>
      </c>
      <c r="L664" s="101"/>
      <c r="M664" s="104" t="str">
        <f>IF(Main[[#This Row],[Tech Start Date]]&lt;1/1/1990,"",IF(Main[[#This Row],[Class]]="C",WORKDAY(Main[[#This Row],[Tech Start Date]],9),IF(Main[[#This Row],[Class]]="B", WORKDAY(Main[[#This Row],[Tech Start Date]],6),IF(Main[[#This Row],[Class]]="A",WORKDAY(Main[[#This Row],[Tech Start Date]],2),""))))</f>
        <v/>
      </c>
      <c r="N664" s="104" t="str">
        <f>IF(Main[[#This Row],[Tech Start Date]]&lt;1/1/1990,"",IF(Main[[#This Row],[Class]]="C",WORKDAY(Main[[#This Row],[Tech Start Date]],19),IF(Main[[#This Row],[Class]]="B", WORKDAY(Main[[#This Row],[Tech Start Date]],12),IF(Main[[#This Row],[Class]]="A",WORKDAY(Main[[#This Row],[Tech Start Date]],4),""))))</f>
        <v/>
      </c>
      <c r="O664" s="104" t="str">
        <f>IF(Main[[#This Row],[Tech Start Date]]&lt;1/1/1990,"",IF(Main[[#This Row],[Class]]="C",WORKDAY(Main[[#This Row],[Tech Start Date]],23),IF(Main[[#This Row],[Class]]="B", WORKDAY(Main[[#This Row],[Tech Start Date]],15),IF(Main[[#This Row],[Class]]="A",WORKDAY(Main[[#This Row],[Tech Start Date]],5),""))))</f>
        <v/>
      </c>
      <c r="P664" s="104" t="str">
        <f>IF(Main[[#This Row],[Tech Start Date]]&lt;1/1/1990,"",IF(Main[[#This Row],[Class]]="C",WORKDAY(Main[[#This Row],[Tech Start Date]],28),IF(Main[[#This Row],[Class]]="B", WORKDAY(Main[[#This Row],[Tech Start Date]],19),IF(Main[[#This Row],[Class]]="A",WORKDAY(Main[[#This Row],[Tech Start Date]],9),""))))</f>
        <v/>
      </c>
      <c r="Q664" s="101">
        <v>40210</v>
      </c>
      <c r="R664" s="101"/>
      <c r="S664" s="99" t="s">
        <v>11</v>
      </c>
      <c r="T664" s="107" t="s">
        <v>4</v>
      </c>
      <c r="U664" s="99" t="s">
        <v>14</v>
      </c>
      <c r="V664" s="99" t="s">
        <v>1965</v>
      </c>
      <c r="W664" s="99" t="s">
        <v>1968</v>
      </c>
    </row>
    <row r="665" spans="1:23" ht="18.600000000000001" customHeight="1">
      <c r="A665" s="123" t="str">
        <f>IF(priority(Main[[#This Row],[Comments]])&lt;&gt;0, priority(Main[[#This Row],[Comments]]),"")</f>
        <v/>
      </c>
      <c r="B665" s="127" t="s">
        <v>2487</v>
      </c>
      <c r="C665" s="99" t="s">
        <v>4</v>
      </c>
      <c r="D665" s="100" t="s">
        <v>2488</v>
      </c>
      <c r="E665" s="101">
        <v>40835.331365740742</v>
      </c>
      <c r="F665" s="101"/>
      <c r="G665" s="102" t="str">
        <f>IF(stdProdLT(Main[[#This Row],[Comments]])=0.1,"N/A",IF(stdProdLT(Main[[#This Row],[Comments]])=0,"",stdProdLT(Main[[#This Row],[Comments]])))</f>
        <v/>
      </c>
      <c r="H665" s="103" t="str">
        <f>IF(AND(Main[[#This Row],[In Stock Date]]&lt;&gt;"",Main[[#This Row],[Revised Due Date]]&lt;&gt;""),Main[[#This Row],[In Stock Date]]-Main[[#This Row],[Revised Due Date]],"")</f>
        <v/>
      </c>
      <c r="I665" s="99" t="s">
        <v>404</v>
      </c>
      <c r="J665" s="99" t="s">
        <v>75</v>
      </c>
      <c r="K665" s="99" t="s">
        <v>1971</v>
      </c>
      <c r="L665" s="101"/>
      <c r="M665" s="104" t="str">
        <f>IF(Main[[#This Row],[Tech Start Date]]&lt;1/1/1990,"",IF(Main[[#This Row],[Class]]="C",WORKDAY(Main[[#This Row],[Tech Start Date]],9),IF(Main[[#This Row],[Class]]="B", WORKDAY(Main[[#This Row],[Tech Start Date]],6),IF(Main[[#This Row],[Class]]="A",WORKDAY(Main[[#This Row],[Tech Start Date]],2),""))))</f>
        <v/>
      </c>
      <c r="N665" s="104" t="str">
        <f>IF(Main[[#This Row],[Tech Start Date]]&lt;1/1/1990,"",IF(Main[[#This Row],[Class]]="C",WORKDAY(Main[[#This Row],[Tech Start Date]],19),IF(Main[[#This Row],[Class]]="B", WORKDAY(Main[[#This Row],[Tech Start Date]],12),IF(Main[[#This Row],[Class]]="A",WORKDAY(Main[[#This Row],[Tech Start Date]],4),""))))</f>
        <v/>
      </c>
      <c r="O665" s="104" t="str">
        <f>IF(Main[[#This Row],[Tech Start Date]]&lt;1/1/1990,"",IF(Main[[#This Row],[Class]]="C",WORKDAY(Main[[#This Row],[Tech Start Date]],23),IF(Main[[#This Row],[Class]]="B", WORKDAY(Main[[#This Row],[Tech Start Date]],15),IF(Main[[#This Row],[Class]]="A",WORKDAY(Main[[#This Row],[Tech Start Date]],5),""))))</f>
        <v/>
      </c>
      <c r="P665" s="104" t="str">
        <f>IF(Main[[#This Row],[Tech Start Date]]&lt;1/1/1990,"",IF(Main[[#This Row],[Class]]="C",WORKDAY(Main[[#This Row],[Tech Start Date]],28),IF(Main[[#This Row],[Class]]="B", WORKDAY(Main[[#This Row],[Tech Start Date]],19),IF(Main[[#This Row],[Class]]="A",WORKDAY(Main[[#This Row],[Tech Start Date]],9),""))))</f>
        <v/>
      </c>
      <c r="Q665" s="101"/>
      <c r="R665" s="101"/>
      <c r="S665" s="99" t="s">
        <v>6</v>
      </c>
      <c r="T665" s="107" t="s">
        <v>4</v>
      </c>
      <c r="U665" s="99" t="s">
        <v>29</v>
      </c>
      <c r="V665" s="99" t="s">
        <v>1965</v>
      </c>
      <c r="W665" s="99" t="s">
        <v>1966</v>
      </c>
    </row>
    <row r="666" spans="1:23" ht="18.600000000000001" customHeight="1">
      <c r="A666" s="123" t="str">
        <f>IF(priority(Main[[#This Row],[Comments]])&lt;&gt;0, priority(Main[[#This Row],[Comments]]),"")</f>
        <v/>
      </c>
      <c r="B666" s="127" t="s">
        <v>1539</v>
      </c>
      <c r="C666" s="99" t="s">
        <v>4</v>
      </c>
      <c r="D666" s="100" t="s">
        <v>612</v>
      </c>
      <c r="E666" s="101">
        <v>40312.431608796294</v>
      </c>
      <c r="F666" s="101"/>
      <c r="G666" s="102" t="str">
        <f>IF(stdProdLT(Main[[#This Row],[Comments]])=0.1,"N/A",IF(stdProdLT(Main[[#This Row],[Comments]])=0,"",stdProdLT(Main[[#This Row],[Comments]])))</f>
        <v/>
      </c>
      <c r="H666" s="103" t="str">
        <f>IF(AND(Main[[#This Row],[In Stock Date]]&lt;&gt;"",Main[[#This Row],[Revised Due Date]]&lt;&gt;""),Main[[#This Row],[In Stock Date]]-Main[[#This Row],[Revised Due Date]],"")</f>
        <v/>
      </c>
      <c r="I666" s="99" t="s">
        <v>129</v>
      </c>
      <c r="J666" s="99" t="s">
        <v>4</v>
      </c>
      <c r="K666" s="99" t="s">
        <v>4</v>
      </c>
      <c r="L666" s="101"/>
      <c r="M666" s="104" t="str">
        <f>IF(Main[[#This Row],[Tech Start Date]]&lt;1/1/1990,"",IF(Main[[#This Row],[Class]]="C",WORKDAY(Main[[#This Row],[Tech Start Date]],9),IF(Main[[#This Row],[Class]]="B", WORKDAY(Main[[#This Row],[Tech Start Date]],6),IF(Main[[#This Row],[Class]]="A",WORKDAY(Main[[#This Row],[Tech Start Date]],2),""))))</f>
        <v/>
      </c>
      <c r="N666" s="104" t="str">
        <f>IF(Main[[#This Row],[Tech Start Date]]&lt;1/1/1990,"",IF(Main[[#This Row],[Class]]="C",WORKDAY(Main[[#This Row],[Tech Start Date]],19),IF(Main[[#This Row],[Class]]="B", WORKDAY(Main[[#This Row],[Tech Start Date]],12),IF(Main[[#This Row],[Class]]="A",WORKDAY(Main[[#This Row],[Tech Start Date]],4),""))))</f>
        <v/>
      </c>
      <c r="O666" s="104" t="str">
        <f>IF(Main[[#This Row],[Tech Start Date]]&lt;1/1/1990,"",IF(Main[[#This Row],[Class]]="C",WORKDAY(Main[[#This Row],[Tech Start Date]],23),IF(Main[[#This Row],[Class]]="B", WORKDAY(Main[[#This Row],[Tech Start Date]],15),IF(Main[[#This Row],[Class]]="A",WORKDAY(Main[[#This Row],[Tech Start Date]],5),""))))</f>
        <v/>
      </c>
      <c r="P666" s="104" t="str">
        <f>IF(Main[[#This Row],[Tech Start Date]]&lt;1/1/1990,"",IF(Main[[#This Row],[Class]]="C",WORKDAY(Main[[#This Row],[Tech Start Date]],28),IF(Main[[#This Row],[Class]]="B", WORKDAY(Main[[#This Row],[Tech Start Date]],19),IF(Main[[#This Row],[Class]]="A",WORKDAY(Main[[#This Row],[Tech Start Date]],9),""))))</f>
        <v/>
      </c>
      <c r="Q666" s="101">
        <v>40326</v>
      </c>
      <c r="R666" s="101"/>
      <c r="S666" s="99" t="s">
        <v>6</v>
      </c>
      <c r="T666" s="107" t="s">
        <v>4</v>
      </c>
      <c r="U666" s="99" t="s">
        <v>7</v>
      </c>
      <c r="V666" s="99" t="s">
        <v>1962</v>
      </c>
      <c r="W666" s="99" t="s">
        <v>1966</v>
      </c>
    </row>
    <row r="667" spans="1:23" ht="18.600000000000001" customHeight="1">
      <c r="A667" s="123" t="str">
        <f>IF(priority(Main[[#This Row],[Comments]])&lt;&gt;0, priority(Main[[#This Row],[Comments]]),"")</f>
        <v/>
      </c>
      <c r="B667" s="127" t="s">
        <v>1387</v>
      </c>
      <c r="C667" s="99" t="s">
        <v>4</v>
      </c>
      <c r="D667" s="100" t="s">
        <v>446</v>
      </c>
      <c r="E667" s="101">
        <v>40389.394756944443</v>
      </c>
      <c r="F667" s="101"/>
      <c r="G667" s="102" t="str">
        <f>IF(stdProdLT(Main[[#This Row],[Comments]])=0.1,"N/A",IF(stdProdLT(Main[[#This Row],[Comments]])=0,"",stdProdLT(Main[[#This Row],[Comments]])))</f>
        <v/>
      </c>
      <c r="H667" s="103" t="str">
        <f>IF(AND(Main[[#This Row],[In Stock Date]]&lt;&gt;"",Main[[#This Row],[Revised Due Date]]&lt;&gt;""),Main[[#This Row],[In Stock Date]]-Main[[#This Row],[Revised Due Date]],"")</f>
        <v/>
      </c>
      <c r="I667" s="99" t="s">
        <v>4</v>
      </c>
      <c r="J667" s="99" t="s">
        <v>28</v>
      </c>
      <c r="K667" s="108" t="s">
        <v>1974</v>
      </c>
      <c r="L667" s="101"/>
      <c r="M667" s="104" t="str">
        <f>IF(Main[[#This Row],[Tech Start Date]]&lt;1/1/1990,"",IF(Main[[#This Row],[Class]]="C",WORKDAY(Main[[#This Row],[Tech Start Date]],9),IF(Main[[#This Row],[Class]]="B", WORKDAY(Main[[#This Row],[Tech Start Date]],6),IF(Main[[#This Row],[Class]]="A",WORKDAY(Main[[#This Row],[Tech Start Date]],2),""))))</f>
        <v/>
      </c>
      <c r="N667" s="104" t="str">
        <f>IF(Main[[#This Row],[Tech Start Date]]&lt;1/1/1990,"",IF(Main[[#This Row],[Class]]="C",WORKDAY(Main[[#This Row],[Tech Start Date]],19),IF(Main[[#This Row],[Class]]="B", WORKDAY(Main[[#This Row],[Tech Start Date]],12),IF(Main[[#This Row],[Class]]="A",WORKDAY(Main[[#This Row],[Tech Start Date]],4),""))))</f>
        <v/>
      </c>
      <c r="O667" s="104" t="str">
        <f>IF(Main[[#This Row],[Tech Start Date]]&lt;1/1/1990,"",IF(Main[[#This Row],[Class]]="C",WORKDAY(Main[[#This Row],[Tech Start Date]],23),IF(Main[[#This Row],[Class]]="B", WORKDAY(Main[[#This Row],[Tech Start Date]],15),IF(Main[[#This Row],[Class]]="A",WORKDAY(Main[[#This Row],[Tech Start Date]],5),""))))</f>
        <v/>
      </c>
      <c r="P667" s="104" t="str">
        <f>IF(Main[[#This Row],[Tech Start Date]]&lt;1/1/1990,"",IF(Main[[#This Row],[Class]]="C",WORKDAY(Main[[#This Row],[Tech Start Date]],28),IF(Main[[#This Row],[Class]]="B", WORKDAY(Main[[#This Row],[Tech Start Date]],19),IF(Main[[#This Row],[Class]]="A",WORKDAY(Main[[#This Row],[Tech Start Date]],9),""))))</f>
        <v/>
      </c>
      <c r="Q667" s="101">
        <v>40451</v>
      </c>
      <c r="R667" s="101"/>
      <c r="S667" s="99" t="s">
        <v>17</v>
      </c>
      <c r="T667" s="107" t="s">
        <v>4</v>
      </c>
      <c r="U667" s="99" t="s">
        <v>7</v>
      </c>
      <c r="V667" s="99" t="s">
        <v>1962</v>
      </c>
      <c r="W667" s="99" t="s">
        <v>1967</v>
      </c>
    </row>
    <row r="668" spans="1:23" ht="18.600000000000001" customHeight="1">
      <c r="A668" s="123" t="str">
        <f>IF(priority(Main[[#This Row],[Comments]])&lt;&gt;0, priority(Main[[#This Row],[Comments]]),"")</f>
        <v/>
      </c>
      <c r="B668" s="127" t="s">
        <v>1426</v>
      </c>
      <c r="C668" s="99" t="s">
        <v>72</v>
      </c>
      <c r="D668" s="100" t="s">
        <v>483</v>
      </c>
      <c r="E668" s="101"/>
      <c r="F668" s="101">
        <v>40031</v>
      </c>
      <c r="G668" s="102" t="str">
        <f>IF(stdProdLT(Main[[#This Row],[Comments]])=0.1,"N/A",IF(stdProdLT(Main[[#This Row],[Comments]])=0,"",stdProdLT(Main[[#This Row],[Comments]])))</f>
        <v/>
      </c>
      <c r="H668" s="103" t="str">
        <f>IF(AND(Main[[#This Row],[In Stock Date]]&lt;&gt;"",Main[[#This Row],[Revised Due Date]]&lt;&gt;""),Main[[#This Row],[In Stock Date]]-Main[[#This Row],[Revised Due Date]],"")</f>
        <v/>
      </c>
      <c r="I668" s="99" t="s">
        <v>4</v>
      </c>
      <c r="J668" s="99" t="s">
        <v>4</v>
      </c>
      <c r="K668" s="99" t="s">
        <v>4</v>
      </c>
      <c r="L668" s="101"/>
      <c r="M668" s="104" t="str">
        <f>IF(Main[[#This Row],[Tech Start Date]]&lt;1/1/1990,"",IF(Main[[#This Row],[Class]]="C",WORKDAY(Main[[#This Row],[Tech Start Date]],9),IF(Main[[#This Row],[Class]]="B", WORKDAY(Main[[#This Row],[Tech Start Date]],6),IF(Main[[#This Row],[Class]]="A",WORKDAY(Main[[#This Row],[Tech Start Date]],2),""))))</f>
        <v/>
      </c>
      <c r="N668" s="104" t="str">
        <f>IF(Main[[#This Row],[Tech Start Date]]&lt;1/1/1990,"",IF(Main[[#This Row],[Class]]="C",WORKDAY(Main[[#This Row],[Tech Start Date]],19),IF(Main[[#This Row],[Class]]="B", WORKDAY(Main[[#This Row],[Tech Start Date]],12),IF(Main[[#This Row],[Class]]="A",WORKDAY(Main[[#This Row],[Tech Start Date]],4),""))))</f>
        <v/>
      </c>
      <c r="O668" s="104" t="str">
        <f>IF(Main[[#This Row],[Tech Start Date]]&lt;1/1/1990,"",IF(Main[[#This Row],[Class]]="C",WORKDAY(Main[[#This Row],[Tech Start Date]],23),IF(Main[[#This Row],[Class]]="B", WORKDAY(Main[[#This Row],[Tech Start Date]],15),IF(Main[[#This Row],[Class]]="A",WORKDAY(Main[[#This Row],[Tech Start Date]],5),""))))</f>
        <v/>
      </c>
      <c r="P668" s="104" t="str">
        <f>IF(Main[[#This Row],[Tech Start Date]]&lt;1/1/1990,"",IF(Main[[#This Row],[Class]]="C",WORKDAY(Main[[#This Row],[Tech Start Date]],28),IF(Main[[#This Row],[Class]]="B", WORKDAY(Main[[#This Row],[Tech Start Date]],19),IF(Main[[#This Row],[Class]]="A",WORKDAY(Main[[#This Row],[Tech Start Date]],9),""))))</f>
        <v/>
      </c>
      <c r="Q668" s="101">
        <v>39976</v>
      </c>
      <c r="R668" s="101"/>
      <c r="S668" s="99" t="s">
        <v>11</v>
      </c>
      <c r="T668" s="107" t="s">
        <v>4</v>
      </c>
      <c r="U668" s="99" t="s">
        <v>14</v>
      </c>
      <c r="V668" s="99" t="s">
        <v>1963</v>
      </c>
      <c r="W668" s="99" t="s">
        <v>1970</v>
      </c>
    </row>
    <row r="669" spans="1:23" ht="18.600000000000001" customHeight="1">
      <c r="A669" s="123" t="str">
        <f>IF(priority(Main[[#This Row],[Comments]])&lt;&gt;0, priority(Main[[#This Row],[Comments]]),"")</f>
        <v/>
      </c>
      <c r="B669" s="127" t="s">
        <v>1427</v>
      </c>
      <c r="C669" s="99" t="s">
        <v>83</v>
      </c>
      <c r="D669" s="100" t="s">
        <v>484</v>
      </c>
      <c r="E669" s="101"/>
      <c r="F669" s="101"/>
      <c r="G669" s="102" t="str">
        <f>IF(stdProdLT(Main[[#This Row],[Comments]])=0.1,"N/A",IF(stdProdLT(Main[[#This Row],[Comments]])=0,"",stdProdLT(Main[[#This Row],[Comments]])))</f>
        <v/>
      </c>
      <c r="H669" s="103" t="str">
        <f>IF(AND(Main[[#This Row],[In Stock Date]]&lt;&gt;"",Main[[#This Row],[Revised Due Date]]&lt;&gt;""),Main[[#This Row],[In Stock Date]]-Main[[#This Row],[Revised Due Date]],"")</f>
        <v/>
      </c>
      <c r="I669" s="99" t="s">
        <v>4</v>
      </c>
      <c r="J669" s="99" t="s">
        <v>4</v>
      </c>
      <c r="K669" s="99" t="s">
        <v>4</v>
      </c>
      <c r="L669" s="101"/>
      <c r="M669" s="104" t="str">
        <f>IF(Main[[#This Row],[Tech Start Date]]&lt;1/1/1990,"",IF(Main[[#This Row],[Class]]="C",WORKDAY(Main[[#This Row],[Tech Start Date]],9),IF(Main[[#This Row],[Class]]="B", WORKDAY(Main[[#This Row],[Tech Start Date]],6),IF(Main[[#This Row],[Class]]="A",WORKDAY(Main[[#This Row],[Tech Start Date]],2),""))))</f>
        <v/>
      </c>
      <c r="N669" s="104" t="str">
        <f>IF(Main[[#This Row],[Tech Start Date]]&lt;1/1/1990,"",IF(Main[[#This Row],[Class]]="C",WORKDAY(Main[[#This Row],[Tech Start Date]],19),IF(Main[[#This Row],[Class]]="B", WORKDAY(Main[[#This Row],[Tech Start Date]],12),IF(Main[[#This Row],[Class]]="A",WORKDAY(Main[[#This Row],[Tech Start Date]],4),""))))</f>
        <v/>
      </c>
      <c r="O669" s="104" t="str">
        <f>IF(Main[[#This Row],[Tech Start Date]]&lt;1/1/1990,"",IF(Main[[#This Row],[Class]]="C",WORKDAY(Main[[#This Row],[Tech Start Date]],23),IF(Main[[#This Row],[Class]]="B", WORKDAY(Main[[#This Row],[Tech Start Date]],15),IF(Main[[#This Row],[Class]]="A",WORKDAY(Main[[#This Row],[Tech Start Date]],5),""))))</f>
        <v/>
      </c>
      <c r="P669" s="104" t="str">
        <f>IF(Main[[#This Row],[Tech Start Date]]&lt;1/1/1990,"",IF(Main[[#This Row],[Class]]="C",WORKDAY(Main[[#This Row],[Tech Start Date]],28),IF(Main[[#This Row],[Class]]="B", WORKDAY(Main[[#This Row],[Tech Start Date]],19),IF(Main[[#This Row],[Class]]="A",WORKDAY(Main[[#This Row],[Tech Start Date]],9),""))))</f>
        <v/>
      </c>
      <c r="Q669" s="101">
        <v>40137</v>
      </c>
      <c r="R669" s="101"/>
      <c r="S669" s="99" t="s">
        <v>11</v>
      </c>
      <c r="T669" s="107" t="s">
        <v>4</v>
      </c>
      <c r="U669" s="99" t="s">
        <v>14</v>
      </c>
      <c r="V669" s="99" t="s">
        <v>1962</v>
      </c>
      <c r="W669" s="99" t="s">
        <v>1973</v>
      </c>
    </row>
    <row r="670" spans="1:23" ht="18.600000000000001" customHeight="1">
      <c r="A670" s="123" t="str">
        <f>IF(priority(Main[[#This Row],[Comments]])&lt;&gt;0, priority(Main[[#This Row],[Comments]]),"")</f>
        <v/>
      </c>
      <c r="B670" s="127" t="s">
        <v>1428</v>
      </c>
      <c r="C670" s="99" t="s">
        <v>95</v>
      </c>
      <c r="D670" s="100" t="s">
        <v>485</v>
      </c>
      <c r="E670" s="101"/>
      <c r="F670" s="101">
        <v>40196</v>
      </c>
      <c r="G670" s="102" t="str">
        <f>IF(stdProdLT(Main[[#This Row],[Comments]])=0.1,"N/A",IF(stdProdLT(Main[[#This Row],[Comments]])=0,"",stdProdLT(Main[[#This Row],[Comments]])))</f>
        <v/>
      </c>
      <c r="H670" s="103" t="str">
        <f>IF(AND(Main[[#This Row],[In Stock Date]]&lt;&gt;"",Main[[#This Row],[Revised Due Date]]&lt;&gt;""),Main[[#This Row],[In Stock Date]]-Main[[#This Row],[Revised Due Date]],"")</f>
        <v/>
      </c>
      <c r="I670" s="99" t="s">
        <v>4</v>
      </c>
      <c r="J670" s="99" t="s">
        <v>4</v>
      </c>
      <c r="K670" s="99" t="s">
        <v>4</v>
      </c>
      <c r="L670" s="101"/>
      <c r="M670" s="104" t="str">
        <f>IF(Main[[#This Row],[Tech Start Date]]&lt;1/1/1990,"",IF(Main[[#This Row],[Class]]="C",WORKDAY(Main[[#This Row],[Tech Start Date]],9),IF(Main[[#This Row],[Class]]="B", WORKDAY(Main[[#This Row],[Tech Start Date]],6),IF(Main[[#This Row],[Class]]="A",WORKDAY(Main[[#This Row],[Tech Start Date]],2),""))))</f>
        <v/>
      </c>
      <c r="N670" s="104" t="str">
        <f>IF(Main[[#This Row],[Tech Start Date]]&lt;1/1/1990,"",IF(Main[[#This Row],[Class]]="C",WORKDAY(Main[[#This Row],[Tech Start Date]],19),IF(Main[[#This Row],[Class]]="B", WORKDAY(Main[[#This Row],[Tech Start Date]],12),IF(Main[[#This Row],[Class]]="A",WORKDAY(Main[[#This Row],[Tech Start Date]],4),""))))</f>
        <v/>
      </c>
      <c r="O670" s="104" t="str">
        <f>IF(Main[[#This Row],[Tech Start Date]]&lt;1/1/1990,"",IF(Main[[#This Row],[Class]]="C",WORKDAY(Main[[#This Row],[Tech Start Date]],23),IF(Main[[#This Row],[Class]]="B", WORKDAY(Main[[#This Row],[Tech Start Date]],15),IF(Main[[#This Row],[Class]]="A",WORKDAY(Main[[#This Row],[Tech Start Date]],5),""))))</f>
        <v/>
      </c>
      <c r="P670" s="104" t="str">
        <f>IF(Main[[#This Row],[Tech Start Date]]&lt;1/1/1990,"",IF(Main[[#This Row],[Class]]="C",WORKDAY(Main[[#This Row],[Tech Start Date]],28),IF(Main[[#This Row],[Class]]="B", WORKDAY(Main[[#This Row],[Tech Start Date]],19),IF(Main[[#This Row],[Class]]="A",WORKDAY(Main[[#This Row],[Tech Start Date]],9),""))))</f>
        <v/>
      </c>
      <c r="Q670" s="101">
        <v>40077</v>
      </c>
      <c r="R670" s="101"/>
      <c r="S670" s="99" t="s">
        <v>11</v>
      </c>
      <c r="T670" s="107" t="s">
        <v>4</v>
      </c>
      <c r="U670" s="99" t="s">
        <v>14</v>
      </c>
      <c r="V670" s="99" t="s">
        <v>1965</v>
      </c>
      <c r="W670" s="99" t="s">
        <v>1970</v>
      </c>
    </row>
    <row r="671" spans="1:23" ht="18.600000000000001" customHeight="1">
      <c r="A671" s="123" t="str">
        <f>IF(priority(Main[[#This Row],[Comments]])&lt;&gt;0, priority(Main[[#This Row],[Comments]]),"")</f>
        <v/>
      </c>
      <c r="B671" s="127" t="s">
        <v>2042</v>
      </c>
      <c r="C671" s="99" t="s">
        <v>4</v>
      </c>
      <c r="D671" s="100" t="s">
        <v>2043</v>
      </c>
      <c r="E671" s="101">
        <v>40737.450219907405</v>
      </c>
      <c r="F671" s="101"/>
      <c r="G671" s="102" t="str">
        <f>IF(stdProdLT(Main[[#This Row],[Comments]])=0.1,"N/A",IF(stdProdLT(Main[[#This Row],[Comments]])=0,"",stdProdLT(Main[[#This Row],[Comments]])))</f>
        <v/>
      </c>
      <c r="H671" s="103" t="str">
        <f>IF(AND(Main[[#This Row],[In Stock Date]]&lt;&gt;"",Main[[#This Row],[Revised Due Date]]&lt;&gt;""),Main[[#This Row],[In Stock Date]]-Main[[#This Row],[Revised Due Date]],"")</f>
        <v/>
      </c>
      <c r="I671" s="99" t="s">
        <v>4</v>
      </c>
      <c r="J671" s="99" t="s">
        <v>4</v>
      </c>
      <c r="K671" s="99" t="s">
        <v>4</v>
      </c>
      <c r="L671" s="101"/>
      <c r="M671" s="104" t="str">
        <f>IF(Main[[#This Row],[Tech Start Date]]&lt;1/1/1990,"",IF(Main[[#This Row],[Class]]="C",WORKDAY(Main[[#This Row],[Tech Start Date]],9),IF(Main[[#This Row],[Class]]="B", WORKDAY(Main[[#This Row],[Tech Start Date]],6),IF(Main[[#This Row],[Class]]="A",WORKDAY(Main[[#This Row],[Tech Start Date]],2),""))))</f>
        <v/>
      </c>
      <c r="N671" s="104" t="str">
        <f>IF(Main[[#This Row],[Tech Start Date]]&lt;1/1/1990,"",IF(Main[[#This Row],[Class]]="C",WORKDAY(Main[[#This Row],[Tech Start Date]],19),IF(Main[[#This Row],[Class]]="B", WORKDAY(Main[[#This Row],[Tech Start Date]],12),IF(Main[[#This Row],[Class]]="A",WORKDAY(Main[[#This Row],[Tech Start Date]],4),""))))</f>
        <v/>
      </c>
      <c r="O671" s="104" t="str">
        <f>IF(Main[[#This Row],[Tech Start Date]]&lt;1/1/1990,"",IF(Main[[#This Row],[Class]]="C",WORKDAY(Main[[#This Row],[Tech Start Date]],23),IF(Main[[#This Row],[Class]]="B", WORKDAY(Main[[#This Row],[Tech Start Date]],15),IF(Main[[#This Row],[Class]]="A",WORKDAY(Main[[#This Row],[Tech Start Date]],5),""))))</f>
        <v/>
      </c>
      <c r="P671" s="104" t="str">
        <f>IF(Main[[#This Row],[Tech Start Date]]&lt;1/1/1990,"",IF(Main[[#This Row],[Class]]="C",WORKDAY(Main[[#This Row],[Tech Start Date]],28),IF(Main[[#This Row],[Class]]="B", WORKDAY(Main[[#This Row],[Tech Start Date]],19),IF(Main[[#This Row],[Class]]="A",WORKDAY(Main[[#This Row],[Tech Start Date]],9),""))))</f>
        <v/>
      </c>
      <c r="Q671" s="101">
        <v>40759</v>
      </c>
      <c r="R671" s="101"/>
      <c r="S671" s="99" t="s">
        <v>6</v>
      </c>
      <c r="T671" s="107" t="s">
        <v>4</v>
      </c>
      <c r="U671" s="99" t="s">
        <v>7</v>
      </c>
      <c r="V671" s="99" t="s">
        <v>1962</v>
      </c>
      <c r="W671" s="99" t="s">
        <v>1970</v>
      </c>
    </row>
    <row r="672" spans="1:23" ht="18.600000000000001" customHeight="1">
      <c r="A672" s="123" t="str">
        <f>IF(priority(Main[[#This Row],[Comments]])&lt;&gt;0, priority(Main[[#This Row],[Comments]]),"")</f>
        <v/>
      </c>
      <c r="B672" s="127" t="s">
        <v>1474</v>
      </c>
      <c r="C672" s="99" t="s">
        <v>183</v>
      </c>
      <c r="D672" s="100" t="s">
        <v>521</v>
      </c>
      <c r="E672" s="101"/>
      <c r="F672" s="101">
        <v>40374</v>
      </c>
      <c r="G672" s="102" t="str">
        <f>IF(stdProdLT(Main[[#This Row],[Comments]])=0.1,"N/A",IF(stdProdLT(Main[[#This Row],[Comments]])=0,"",stdProdLT(Main[[#This Row],[Comments]])))</f>
        <v/>
      </c>
      <c r="H672" s="103" t="str">
        <f>IF(AND(Main[[#This Row],[In Stock Date]]&lt;&gt;"",Main[[#This Row],[Revised Due Date]]&lt;&gt;""),Main[[#This Row],[In Stock Date]]-Main[[#This Row],[Revised Due Date]],"")</f>
        <v/>
      </c>
      <c r="I672" s="99" t="s">
        <v>4</v>
      </c>
      <c r="J672" s="99" t="s">
        <v>4</v>
      </c>
      <c r="K672" s="108" t="s">
        <v>4</v>
      </c>
      <c r="L672" s="101"/>
      <c r="M672" s="104" t="str">
        <f>IF(Main[[#This Row],[Tech Start Date]]&lt;1/1/1990,"",IF(Main[[#This Row],[Class]]="C",WORKDAY(Main[[#This Row],[Tech Start Date]],9),IF(Main[[#This Row],[Class]]="B", WORKDAY(Main[[#This Row],[Tech Start Date]],6),IF(Main[[#This Row],[Class]]="A",WORKDAY(Main[[#This Row],[Tech Start Date]],2),""))))</f>
        <v/>
      </c>
      <c r="N672" s="104" t="str">
        <f>IF(Main[[#This Row],[Tech Start Date]]&lt;1/1/1990,"",IF(Main[[#This Row],[Class]]="C",WORKDAY(Main[[#This Row],[Tech Start Date]],19),IF(Main[[#This Row],[Class]]="B", WORKDAY(Main[[#This Row],[Tech Start Date]],12),IF(Main[[#This Row],[Class]]="A",WORKDAY(Main[[#This Row],[Tech Start Date]],4),""))))</f>
        <v/>
      </c>
      <c r="O672" s="104" t="str">
        <f>IF(Main[[#This Row],[Tech Start Date]]&lt;1/1/1990,"",IF(Main[[#This Row],[Class]]="C",WORKDAY(Main[[#This Row],[Tech Start Date]],23),IF(Main[[#This Row],[Class]]="B", WORKDAY(Main[[#This Row],[Tech Start Date]],15),IF(Main[[#This Row],[Class]]="A",WORKDAY(Main[[#This Row],[Tech Start Date]],5),""))))</f>
        <v/>
      </c>
      <c r="P672" s="104" t="str">
        <f>IF(Main[[#This Row],[Tech Start Date]]&lt;1/1/1990,"",IF(Main[[#This Row],[Class]]="C",WORKDAY(Main[[#This Row],[Tech Start Date]],28),IF(Main[[#This Row],[Class]]="B", WORKDAY(Main[[#This Row],[Tech Start Date]],19),IF(Main[[#This Row],[Class]]="A",WORKDAY(Main[[#This Row],[Tech Start Date]],9),""))))</f>
        <v/>
      </c>
      <c r="Q672" s="101">
        <v>40298</v>
      </c>
      <c r="R672" s="101"/>
      <c r="S672" s="99" t="s">
        <v>11</v>
      </c>
      <c r="T672" s="107" t="s">
        <v>4</v>
      </c>
      <c r="U672" s="99" t="s">
        <v>14</v>
      </c>
      <c r="V672" s="99" t="s">
        <v>1962</v>
      </c>
      <c r="W672" s="99" t="s">
        <v>1968</v>
      </c>
    </row>
    <row r="673" spans="1:23" ht="18.600000000000001" customHeight="1">
      <c r="A673" s="123" t="str">
        <f>IF(priority(Main[[#This Row],[Comments]])&lt;&gt;0, priority(Main[[#This Row],[Comments]]),"")</f>
        <v/>
      </c>
      <c r="B673" s="127" t="s">
        <v>1540</v>
      </c>
      <c r="C673" s="99" t="s">
        <v>58</v>
      </c>
      <c r="D673" s="100" t="s">
        <v>583</v>
      </c>
      <c r="E673" s="101"/>
      <c r="F673" s="101">
        <v>40697</v>
      </c>
      <c r="G673" s="102" t="str">
        <f>IF(stdProdLT(Main[[#This Row],[Comments]])=0.1,"N/A",IF(stdProdLT(Main[[#This Row],[Comments]])=0,"",stdProdLT(Main[[#This Row],[Comments]])))</f>
        <v/>
      </c>
      <c r="H673" s="103" t="str">
        <f>IF(AND(Main[[#This Row],[In Stock Date]]&lt;&gt;"",Main[[#This Row],[Revised Due Date]]&lt;&gt;""),Main[[#This Row],[In Stock Date]]-Main[[#This Row],[Revised Due Date]],"")</f>
        <v/>
      </c>
      <c r="I673" s="99" t="s">
        <v>423</v>
      </c>
      <c r="J673" s="99" t="s">
        <v>75</v>
      </c>
      <c r="K673" s="99" t="s">
        <v>1969</v>
      </c>
      <c r="L673" s="101"/>
      <c r="M673" s="104" t="str">
        <f>IF(Main[[#This Row],[Tech Start Date]]&lt;1/1/1990,"",IF(Main[[#This Row],[Class]]="C",WORKDAY(Main[[#This Row],[Tech Start Date]],9),IF(Main[[#This Row],[Class]]="B", WORKDAY(Main[[#This Row],[Tech Start Date]],6),IF(Main[[#This Row],[Class]]="A",WORKDAY(Main[[#This Row],[Tech Start Date]],2),""))))</f>
        <v/>
      </c>
      <c r="N673" s="104" t="str">
        <f>IF(Main[[#This Row],[Tech Start Date]]&lt;1/1/1990,"",IF(Main[[#This Row],[Class]]="C",WORKDAY(Main[[#This Row],[Tech Start Date]],19),IF(Main[[#This Row],[Class]]="B", WORKDAY(Main[[#This Row],[Tech Start Date]],12),IF(Main[[#This Row],[Class]]="A",WORKDAY(Main[[#This Row],[Tech Start Date]],4),""))))</f>
        <v/>
      </c>
      <c r="O673" s="104" t="str">
        <f>IF(Main[[#This Row],[Tech Start Date]]&lt;1/1/1990,"",IF(Main[[#This Row],[Class]]="C",WORKDAY(Main[[#This Row],[Tech Start Date]],23),IF(Main[[#This Row],[Class]]="B", WORKDAY(Main[[#This Row],[Tech Start Date]],15),IF(Main[[#This Row],[Class]]="A",WORKDAY(Main[[#This Row],[Tech Start Date]],5),""))))</f>
        <v/>
      </c>
      <c r="P673" s="104" t="str">
        <f>IF(Main[[#This Row],[Tech Start Date]]&lt;1/1/1990,"",IF(Main[[#This Row],[Class]]="C",WORKDAY(Main[[#This Row],[Tech Start Date]],28),IF(Main[[#This Row],[Class]]="B", WORKDAY(Main[[#This Row],[Tech Start Date]],19),IF(Main[[#This Row],[Class]]="A",WORKDAY(Main[[#This Row],[Tech Start Date]],9),""))))</f>
        <v/>
      </c>
      <c r="Q673" s="101">
        <v>40539</v>
      </c>
      <c r="R673" s="101"/>
      <c r="S673" s="99" t="s">
        <v>11</v>
      </c>
      <c r="T673" s="107" t="s">
        <v>4</v>
      </c>
      <c r="U673" s="99" t="s">
        <v>14</v>
      </c>
      <c r="V673" s="99" t="s">
        <v>1972</v>
      </c>
      <c r="W673" s="99" t="s">
        <v>1968</v>
      </c>
    </row>
    <row r="674" spans="1:23" ht="18.600000000000001" customHeight="1">
      <c r="A674" s="123" t="str">
        <f>IF(priority(Main[[#This Row],[Comments]])&lt;&gt;0, priority(Main[[#This Row],[Comments]]),"")</f>
        <v/>
      </c>
      <c r="B674" s="127" t="s">
        <v>1542</v>
      </c>
      <c r="C674" s="99" t="s">
        <v>585</v>
      </c>
      <c r="D674" s="100" t="s">
        <v>586</v>
      </c>
      <c r="E674" s="101"/>
      <c r="F674" s="101">
        <v>40596</v>
      </c>
      <c r="G674" s="102" t="str">
        <f>IF(stdProdLT(Main[[#This Row],[Comments]])=0.1,"N/A",IF(stdProdLT(Main[[#This Row],[Comments]])=0,"",stdProdLT(Main[[#This Row],[Comments]])))</f>
        <v/>
      </c>
      <c r="H674" s="103" t="str">
        <f>IF(AND(Main[[#This Row],[In Stock Date]]&lt;&gt;"",Main[[#This Row],[Revised Due Date]]&lt;&gt;""),Main[[#This Row],[In Stock Date]]-Main[[#This Row],[Revised Due Date]],"")</f>
        <v/>
      </c>
      <c r="I674" s="99" t="s">
        <v>4</v>
      </c>
      <c r="J674" s="99" t="s">
        <v>28</v>
      </c>
      <c r="K674" s="108" t="s">
        <v>4</v>
      </c>
      <c r="L674" s="101"/>
      <c r="M674" s="104" t="str">
        <f>IF(Main[[#This Row],[Tech Start Date]]&lt;1/1/1990,"",IF(Main[[#This Row],[Class]]="C",WORKDAY(Main[[#This Row],[Tech Start Date]],9),IF(Main[[#This Row],[Class]]="B", WORKDAY(Main[[#This Row],[Tech Start Date]],6),IF(Main[[#This Row],[Class]]="A",WORKDAY(Main[[#This Row],[Tech Start Date]],2),""))))</f>
        <v/>
      </c>
      <c r="N674" s="104" t="str">
        <f>IF(Main[[#This Row],[Tech Start Date]]&lt;1/1/1990,"",IF(Main[[#This Row],[Class]]="C",WORKDAY(Main[[#This Row],[Tech Start Date]],19),IF(Main[[#This Row],[Class]]="B", WORKDAY(Main[[#This Row],[Tech Start Date]],12),IF(Main[[#This Row],[Class]]="A",WORKDAY(Main[[#This Row],[Tech Start Date]],4),""))))</f>
        <v/>
      </c>
      <c r="O674" s="104" t="str">
        <f>IF(Main[[#This Row],[Tech Start Date]]&lt;1/1/1990,"",IF(Main[[#This Row],[Class]]="C",WORKDAY(Main[[#This Row],[Tech Start Date]],23),IF(Main[[#This Row],[Class]]="B", WORKDAY(Main[[#This Row],[Tech Start Date]],15),IF(Main[[#This Row],[Class]]="A",WORKDAY(Main[[#This Row],[Tech Start Date]],5),""))))</f>
        <v/>
      </c>
      <c r="P674" s="104" t="str">
        <f>IF(Main[[#This Row],[Tech Start Date]]&lt;1/1/1990,"",IF(Main[[#This Row],[Class]]="C",WORKDAY(Main[[#This Row],[Tech Start Date]],28),IF(Main[[#This Row],[Class]]="B", WORKDAY(Main[[#This Row],[Tech Start Date]],19),IF(Main[[#This Row],[Class]]="A",WORKDAY(Main[[#This Row],[Tech Start Date]],9),""))))</f>
        <v/>
      </c>
      <c r="Q674" s="101">
        <v>40414</v>
      </c>
      <c r="R674" s="101"/>
      <c r="S674" s="99" t="s">
        <v>11</v>
      </c>
      <c r="T674" s="107" t="s">
        <v>4</v>
      </c>
      <c r="U674" s="99" t="s">
        <v>14</v>
      </c>
      <c r="V674" s="99" t="s">
        <v>1965</v>
      </c>
      <c r="W674" s="99" t="s">
        <v>1967</v>
      </c>
    </row>
    <row r="675" spans="1:23" ht="18.600000000000001" customHeight="1">
      <c r="A675" s="123" t="str">
        <f>IF(priority(Main[[#This Row],[Comments]])&lt;&gt;0, priority(Main[[#This Row],[Comments]]),"")</f>
        <v/>
      </c>
      <c r="B675" s="127" t="s">
        <v>1543</v>
      </c>
      <c r="C675" s="99" t="s">
        <v>587</v>
      </c>
      <c r="D675" s="100" t="s">
        <v>588</v>
      </c>
      <c r="E675" s="101"/>
      <c r="F675" s="101"/>
      <c r="G675" s="102" t="str">
        <f>IF(stdProdLT(Main[[#This Row],[Comments]])=0.1,"N/A",IF(stdProdLT(Main[[#This Row],[Comments]])=0,"",stdProdLT(Main[[#This Row],[Comments]])))</f>
        <v/>
      </c>
      <c r="H675" s="103" t="str">
        <f>IF(AND(Main[[#This Row],[In Stock Date]]&lt;&gt;"",Main[[#This Row],[Revised Due Date]]&lt;&gt;""),Main[[#This Row],[In Stock Date]]-Main[[#This Row],[Revised Due Date]],"")</f>
        <v/>
      </c>
      <c r="I675" s="99" t="s">
        <v>4</v>
      </c>
      <c r="J675" s="99" t="s">
        <v>4</v>
      </c>
      <c r="K675" s="99" t="s">
        <v>4</v>
      </c>
      <c r="L675" s="101"/>
      <c r="M675" s="104" t="str">
        <f>IF(Main[[#This Row],[Tech Start Date]]&lt;1/1/1990,"",IF(Main[[#This Row],[Class]]="C",WORKDAY(Main[[#This Row],[Tech Start Date]],9),IF(Main[[#This Row],[Class]]="B", WORKDAY(Main[[#This Row],[Tech Start Date]],6),IF(Main[[#This Row],[Class]]="A",WORKDAY(Main[[#This Row],[Tech Start Date]],2),""))))</f>
        <v/>
      </c>
      <c r="N675" s="104" t="str">
        <f>IF(Main[[#This Row],[Tech Start Date]]&lt;1/1/1990,"",IF(Main[[#This Row],[Class]]="C",WORKDAY(Main[[#This Row],[Tech Start Date]],19),IF(Main[[#This Row],[Class]]="B", WORKDAY(Main[[#This Row],[Tech Start Date]],12),IF(Main[[#This Row],[Class]]="A",WORKDAY(Main[[#This Row],[Tech Start Date]],4),""))))</f>
        <v/>
      </c>
      <c r="O675" s="104" t="str">
        <f>IF(Main[[#This Row],[Tech Start Date]]&lt;1/1/1990,"",IF(Main[[#This Row],[Class]]="C",WORKDAY(Main[[#This Row],[Tech Start Date]],23),IF(Main[[#This Row],[Class]]="B", WORKDAY(Main[[#This Row],[Tech Start Date]],15),IF(Main[[#This Row],[Class]]="A",WORKDAY(Main[[#This Row],[Tech Start Date]],5),""))))</f>
        <v/>
      </c>
      <c r="P675" s="104" t="str">
        <f>IF(Main[[#This Row],[Tech Start Date]]&lt;1/1/1990,"",IF(Main[[#This Row],[Class]]="C",WORKDAY(Main[[#This Row],[Tech Start Date]],28),IF(Main[[#This Row],[Class]]="B", WORKDAY(Main[[#This Row],[Tech Start Date]],19),IF(Main[[#This Row],[Class]]="A",WORKDAY(Main[[#This Row],[Tech Start Date]],9),""))))</f>
        <v/>
      </c>
      <c r="Q675" s="101">
        <v>40476</v>
      </c>
      <c r="R675" s="101"/>
      <c r="S675" s="99" t="s">
        <v>11</v>
      </c>
      <c r="T675" s="107" t="s">
        <v>4</v>
      </c>
      <c r="U675" s="99" t="s">
        <v>14</v>
      </c>
      <c r="V675" s="99" t="s">
        <v>1962</v>
      </c>
      <c r="W675" s="99" t="s">
        <v>1970</v>
      </c>
    </row>
    <row r="676" spans="1:23" ht="18.600000000000001" customHeight="1">
      <c r="A676" s="123" t="str">
        <f>IF(priority(Main[[#This Row],[Comments]])&lt;&gt;0, priority(Main[[#This Row],[Comments]]),"")</f>
        <v/>
      </c>
      <c r="B676" s="127" t="s">
        <v>1544</v>
      </c>
      <c r="C676" s="99" t="s">
        <v>31</v>
      </c>
      <c r="D676" s="100" t="s">
        <v>589</v>
      </c>
      <c r="E676" s="101"/>
      <c r="F676" s="101">
        <v>40330</v>
      </c>
      <c r="G676" s="102" t="str">
        <f>IF(stdProdLT(Main[[#This Row],[Comments]])=0.1,"N/A",IF(stdProdLT(Main[[#This Row],[Comments]])=0,"",stdProdLT(Main[[#This Row],[Comments]])))</f>
        <v/>
      </c>
      <c r="H676" s="103" t="str">
        <f>IF(AND(Main[[#This Row],[In Stock Date]]&lt;&gt;"",Main[[#This Row],[Revised Due Date]]&lt;&gt;""),Main[[#This Row],[In Stock Date]]-Main[[#This Row],[Revised Due Date]],"")</f>
        <v/>
      </c>
      <c r="I676" s="99" t="s">
        <v>4</v>
      </c>
      <c r="J676" s="99" t="s">
        <v>4</v>
      </c>
      <c r="K676" s="99" t="s">
        <v>4</v>
      </c>
      <c r="L676" s="101"/>
      <c r="M676" s="104" t="str">
        <f>IF(Main[[#This Row],[Tech Start Date]]&lt;1/1/1990,"",IF(Main[[#This Row],[Class]]="C",WORKDAY(Main[[#This Row],[Tech Start Date]],9),IF(Main[[#This Row],[Class]]="B", WORKDAY(Main[[#This Row],[Tech Start Date]],6),IF(Main[[#This Row],[Class]]="A",WORKDAY(Main[[#This Row],[Tech Start Date]],2),""))))</f>
        <v/>
      </c>
      <c r="N676" s="104" t="str">
        <f>IF(Main[[#This Row],[Tech Start Date]]&lt;1/1/1990,"",IF(Main[[#This Row],[Class]]="C",WORKDAY(Main[[#This Row],[Tech Start Date]],19),IF(Main[[#This Row],[Class]]="B", WORKDAY(Main[[#This Row],[Tech Start Date]],12),IF(Main[[#This Row],[Class]]="A",WORKDAY(Main[[#This Row],[Tech Start Date]],4),""))))</f>
        <v/>
      </c>
      <c r="O676" s="104" t="str">
        <f>IF(Main[[#This Row],[Tech Start Date]]&lt;1/1/1990,"",IF(Main[[#This Row],[Class]]="C",WORKDAY(Main[[#This Row],[Tech Start Date]],23),IF(Main[[#This Row],[Class]]="B", WORKDAY(Main[[#This Row],[Tech Start Date]],15),IF(Main[[#This Row],[Class]]="A",WORKDAY(Main[[#This Row],[Tech Start Date]],5),""))))</f>
        <v/>
      </c>
      <c r="P676" s="104" t="str">
        <f>IF(Main[[#This Row],[Tech Start Date]]&lt;1/1/1990,"",IF(Main[[#This Row],[Class]]="C",WORKDAY(Main[[#This Row],[Tech Start Date]],28),IF(Main[[#This Row],[Class]]="B", WORKDAY(Main[[#This Row],[Tech Start Date]],19),IF(Main[[#This Row],[Class]]="A",WORKDAY(Main[[#This Row],[Tech Start Date]],9),""))))</f>
        <v/>
      </c>
      <c r="Q676" s="101">
        <v>40210</v>
      </c>
      <c r="R676" s="101"/>
      <c r="S676" s="99" t="s">
        <v>11</v>
      </c>
      <c r="T676" s="107" t="s">
        <v>4</v>
      </c>
      <c r="U676" s="99" t="s">
        <v>14</v>
      </c>
      <c r="V676" s="99" t="s">
        <v>1963</v>
      </c>
      <c r="W676" s="99" t="s">
        <v>1968</v>
      </c>
    </row>
    <row r="677" spans="1:23" ht="18.600000000000001" customHeight="1">
      <c r="A677" s="123" t="str">
        <f>IF(priority(Main[[#This Row],[Comments]])&lt;&gt;0, priority(Main[[#This Row],[Comments]]),"")</f>
        <v/>
      </c>
      <c r="B677" s="127" t="s">
        <v>1545</v>
      </c>
      <c r="C677" s="99" t="s">
        <v>4</v>
      </c>
      <c r="D677" s="100" t="s">
        <v>590</v>
      </c>
      <c r="E677" s="101"/>
      <c r="F677" s="101"/>
      <c r="G677" s="102" t="str">
        <f>IF(stdProdLT(Main[[#This Row],[Comments]])=0.1,"N/A",IF(stdProdLT(Main[[#This Row],[Comments]])=0,"",stdProdLT(Main[[#This Row],[Comments]])))</f>
        <v/>
      </c>
      <c r="H677" s="103" t="str">
        <f>IF(AND(Main[[#This Row],[In Stock Date]]&lt;&gt;"",Main[[#This Row],[Revised Due Date]]&lt;&gt;""),Main[[#This Row],[In Stock Date]]-Main[[#This Row],[Revised Due Date]],"")</f>
        <v/>
      </c>
      <c r="I677" s="99" t="s">
        <v>4</v>
      </c>
      <c r="J677" s="99" t="s">
        <v>4</v>
      </c>
      <c r="K677" s="99" t="s">
        <v>4</v>
      </c>
      <c r="L677" s="101"/>
      <c r="M677" s="104" t="str">
        <f>IF(Main[[#This Row],[Tech Start Date]]&lt;1/1/1990,"",IF(Main[[#This Row],[Class]]="C",WORKDAY(Main[[#This Row],[Tech Start Date]],9),IF(Main[[#This Row],[Class]]="B", WORKDAY(Main[[#This Row],[Tech Start Date]],6),IF(Main[[#This Row],[Class]]="A",WORKDAY(Main[[#This Row],[Tech Start Date]],2),""))))</f>
        <v/>
      </c>
      <c r="N677" s="104" t="str">
        <f>IF(Main[[#This Row],[Tech Start Date]]&lt;1/1/1990,"",IF(Main[[#This Row],[Class]]="C",WORKDAY(Main[[#This Row],[Tech Start Date]],19),IF(Main[[#This Row],[Class]]="B", WORKDAY(Main[[#This Row],[Tech Start Date]],12),IF(Main[[#This Row],[Class]]="A",WORKDAY(Main[[#This Row],[Tech Start Date]],4),""))))</f>
        <v/>
      </c>
      <c r="O677" s="104" t="str">
        <f>IF(Main[[#This Row],[Tech Start Date]]&lt;1/1/1990,"",IF(Main[[#This Row],[Class]]="C",WORKDAY(Main[[#This Row],[Tech Start Date]],23),IF(Main[[#This Row],[Class]]="B", WORKDAY(Main[[#This Row],[Tech Start Date]],15),IF(Main[[#This Row],[Class]]="A",WORKDAY(Main[[#This Row],[Tech Start Date]],5),""))))</f>
        <v/>
      </c>
      <c r="P677" s="104" t="str">
        <f>IF(Main[[#This Row],[Tech Start Date]]&lt;1/1/1990,"",IF(Main[[#This Row],[Class]]="C",WORKDAY(Main[[#This Row],[Tech Start Date]],28),IF(Main[[#This Row],[Class]]="B", WORKDAY(Main[[#This Row],[Tech Start Date]],19),IF(Main[[#This Row],[Class]]="A",WORKDAY(Main[[#This Row],[Tech Start Date]],9),""))))</f>
        <v/>
      </c>
      <c r="Q677" s="101">
        <v>40543</v>
      </c>
      <c r="R677" s="101"/>
      <c r="S677" s="99" t="s">
        <v>17</v>
      </c>
      <c r="T677" s="107" t="s">
        <v>4</v>
      </c>
      <c r="U677" s="99" t="s">
        <v>14</v>
      </c>
      <c r="V677" s="99" t="s">
        <v>1977</v>
      </c>
      <c r="W677" s="99" t="s">
        <v>1964</v>
      </c>
    </row>
    <row r="678" spans="1:23" ht="18.600000000000001" customHeight="1">
      <c r="A678" s="123" t="str">
        <f>IF(priority(Main[[#This Row],[Comments]])&lt;&gt;0, priority(Main[[#This Row],[Comments]]),"")</f>
        <v/>
      </c>
      <c r="B678" s="127" t="s">
        <v>1546</v>
      </c>
      <c r="C678" s="99" t="s">
        <v>383</v>
      </c>
      <c r="D678" s="100" t="s">
        <v>591</v>
      </c>
      <c r="E678" s="101"/>
      <c r="F678" s="101">
        <v>40228</v>
      </c>
      <c r="G678" s="102" t="str">
        <f>IF(stdProdLT(Main[[#This Row],[Comments]])=0.1,"N/A",IF(stdProdLT(Main[[#This Row],[Comments]])=0,"",stdProdLT(Main[[#This Row],[Comments]])))</f>
        <v/>
      </c>
      <c r="H678" s="103" t="str">
        <f>IF(AND(Main[[#This Row],[In Stock Date]]&lt;&gt;"",Main[[#This Row],[Revised Due Date]]&lt;&gt;""),Main[[#This Row],[In Stock Date]]-Main[[#This Row],[Revised Due Date]],"")</f>
        <v/>
      </c>
      <c r="I678" s="99" t="s">
        <v>4</v>
      </c>
      <c r="J678" s="99" t="s">
        <v>4</v>
      </c>
      <c r="K678" s="99" t="s">
        <v>4</v>
      </c>
      <c r="L678" s="101"/>
      <c r="M678" s="104" t="str">
        <f>IF(Main[[#This Row],[Tech Start Date]]&lt;1/1/1990,"",IF(Main[[#This Row],[Class]]="C",WORKDAY(Main[[#This Row],[Tech Start Date]],9),IF(Main[[#This Row],[Class]]="B", WORKDAY(Main[[#This Row],[Tech Start Date]],6),IF(Main[[#This Row],[Class]]="A",WORKDAY(Main[[#This Row],[Tech Start Date]],2),""))))</f>
        <v/>
      </c>
      <c r="N678" s="104" t="str">
        <f>IF(Main[[#This Row],[Tech Start Date]]&lt;1/1/1990,"",IF(Main[[#This Row],[Class]]="C",WORKDAY(Main[[#This Row],[Tech Start Date]],19),IF(Main[[#This Row],[Class]]="B", WORKDAY(Main[[#This Row],[Tech Start Date]],12),IF(Main[[#This Row],[Class]]="A",WORKDAY(Main[[#This Row],[Tech Start Date]],4),""))))</f>
        <v/>
      </c>
      <c r="O678" s="104" t="str">
        <f>IF(Main[[#This Row],[Tech Start Date]]&lt;1/1/1990,"",IF(Main[[#This Row],[Class]]="C",WORKDAY(Main[[#This Row],[Tech Start Date]],23),IF(Main[[#This Row],[Class]]="B", WORKDAY(Main[[#This Row],[Tech Start Date]],15),IF(Main[[#This Row],[Class]]="A",WORKDAY(Main[[#This Row],[Tech Start Date]],5),""))))</f>
        <v/>
      </c>
      <c r="P678" s="104" t="str">
        <f>IF(Main[[#This Row],[Tech Start Date]]&lt;1/1/1990,"",IF(Main[[#This Row],[Class]]="C",WORKDAY(Main[[#This Row],[Tech Start Date]],28),IF(Main[[#This Row],[Class]]="B", WORKDAY(Main[[#This Row],[Tech Start Date]],19),IF(Main[[#This Row],[Class]]="A",WORKDAY(Main[[#This Row],[Tech Start Date]],9),""))))</f>
        <v/>
      </c>
      <c r="Q678" s="101">
        <v>40153</v>
      </c>
      <c r="R678" s="101"/>
      <c r="S678" s="99" t="s">
        <v>11</v>
      </c>
      <c r="T678" s="107" t="s">
        <v>4</v>
      </c>
      <c r="U678" s="99" t="s">
        <v>14</v>
      </c>
      <c r="V678" s="99" t="s">
        <v>1965</v>
      </c>
      <c r="W678" s="99" t="s">
        <v>1970</v>
      </c>
    </row>
    <row r="679" spans="1:23" ht="18.600000000000001" customHeight="1">
      <c r="A679" s="123" t="str">
        <f>IF(priority(Main[[#This Row],[Comments]])&lt;&gt;0, priority(Main[[#This Row],[Comments]]),"")</f>
        <v/>
      </c>
      <c r="B679" s="127" t="s">
        <v>1547</v>
      </c>
      <c r="C679" s="99" t="s">
        <v>280</v>
      </c>
      <c r="D679" s="100" t="s">
        <v>592</v>
      </c>
      <c r="E679" s="101"/>
      <c r="F679" s="101">
        <v>40186</v>
      </c>
      <c r="G679" s="102" t="str">
        <f>IF(stdProdLT(Main[[#This Row],[Comments]])=0.1,"N/A",IF(stdProdLT(Main[[#This Row],[Comments]])=0,"",stdProdLT(Main[[#This Row],[Comments]])))</f>
        <v/>
      </c>
      <c r="H679" s="103" t="str">
        <f>IF(AND(Main[[#This Row],[In Stock Date]]&lt;&gt;"",Main[[#This Row],[Revised Due Date]]&lt;&gt;""),Main[[#This Row],[In Stock Date]]-Main[[#This Row],[Revised Due Date]],"")</f>
        <v/>
      </c>
      <c r="I679" s="99" t="s">
        <v>4</v>
      </c>
      <c r="J679" s="99" t="s">
        <v>4</v>
      </c>
      <c r="K679" s="108" t="s">
        <v>4</v>
      </c>
      <c r="L679" s="101"/>
      <c r="M679" s="104" t="str">
        <f>IF(Main[[#This Row],[Tech Start Date]]&lt;1/1/1990,"",IF(Main[[#This Row],[Class]]="C",WORKDAY(Main[[#This Row],[Tech Start Date]],9),IF(Main[[#This Row],[Class]]="B", WORKDAY(Main[[#This Row],[Tech Start Date]],6),IF(Main[[#This Row],[Class]]="A",WORKDAY(Main[[#This Row],[Tech Start Date]],2),""))))</f>
        <v/>
      </c>
      <c r="N679" s="104" t="str">
        <f>IF(Main[[#This Row],[Tech Start Date]]&lt;1/1/1990,"",IF(Main[[#This Row],[Class]]="C",WORKDAY(Main[[#This Row],[Tech Start Date]],19),IF(Main[[#This Row],[Class]]="B", WORKDAY(Main[[#This Row],[Tech Start Date]],12),IF(Main[[#This Row],[Class]]="A",WORKDAY(Main[[#This Row],[Tech Start Date]],4),""))))</f>
        <v/>
      </c>
      <c r="O679" s="104" t="str">
        <f>IF(Main[[#This Row],[Tech Start Date]]&lt;1/1/1990,"",IF(Main[[#This Row],[Class]]="C",WORKDAY(Main[[#This Row],[Tech Start Date]],23),IF(Main[[#This Row],[Class]]="B", WORKDAY(Main[[#This Row],[Tech Start Date]],15),IF(Main[[#This Row],[Class]]="A",WORKDAY(Main[[#This Row],[Tech Start Date]],5),""))))</f>
        <v/>
      </c>
      <c r="P679" s="104" t="str">
        <f>IF(Main[[#This Row],[Tech Start Date]]&lt;1/1/1990,"",IF(Main[[#This Row],[Class]]="C",WORKDAY(Main[[#This Row],[Tech Start Date]],28),IF(Main[[#This Row],[Class]]="B", WORKDAY(Main[[#This Row],[Tech Start Date]],19),IF(Main[[#This Row],[Class]]="A",WORKDAY(Main[[#This Row],[Tech Start Date]],9),""))))</f>
        <v/>
      </c>
      <c r="Q679" s="101">
        <v>40186</v>
      </c>
      <c r="R679" s="101"/>
      <c r="S679" s="99" t="s">
        <v>11</v>
      </c>
      <c r="T679" s="107" t="s">
        <v>4</v>
      </c>
      <c r="U679" s="99" t="s">
        <v>14</v>
      </c>
      <c r="V679" s="99" t="s">
        <v>1965</v>
      </c>
      <c r="W679" s="99" t="s">
        <v>1970</v>
      </c>
    </row>
    <row r="680" spans="1:23" ht="18.600000000000001" customHeight="1">
      <c r="A680" s="123" t="str">
        <f>IF(priority(Main[[#This Row],[Comments]])&lt;&gt;0, priority(Main[[#This Row],[Comments]]),"")</f>
        <v/>
      </c>
      <c r="B680" s="127" t="s">
        <v>2333</v>
      </c>
      <c r="C680" s="99" t="s">
        <v>2329</v>
      </c>
      <c r="D680" s="100" t="s">
        <v>2330</v>
      </c>
      <c r="E680" s="101"/>
      <c r="F680" s="101"/>
      <c r="G680" s="102" t="str">
        <f>IF(stdProdLT(Main[[#This Row],[Comments]])=0.1,"N/A",IF(stdProdLT(Main[[#This Row],[Comments]])=0,"",stdProdLT(Main[[#This Row],[Comments]])))</f>
        <v/>
      </c>
      <c r="H680" s="103" t="str">
        <f>IF(AND(Main[[#This Row],[In Stock Date]]&lt;&gt;"",Main[[#This Row],[Revised Due Date]]&lt;&gt;""),Main[[#This Row],[In Stock Date]]-Main[[#This Row],[Revised Due Date]],"")</f>
        <v/>
      </c>
      <c r="I680" s="99" t="s">
        <v>4</v>
      </c>
      <c r="J680" s="99" t="s">
        <v>4</v>
      </c>
      <c r="K680" s="99" t="s">
        <v>4</v>
      </c>
      <c r="L680" s="101"/>
      <c r="M680" s="104" t="str">
        <f>IF(Main[[#This Row],[Tech Start Date]]&lt;1/1/1990,"",IF(Main[[#This Row],[Class]]="C",WORKDAY(Main[[#This Row],[Tech Start Date]],9),IF(Main[[#This Row],[Class]]="B", WORKDAY(Main[[#This Row],[Tech Start Date]],6),IF(Main[[#This Row],[Class]]="A",WORKDAY(Main[[#This Row],[Tech Start Date]],2),""))))</f>
        <v/>
      </c>
      <c r="N680" s="104" t="str">
        <f>IF(Main[[#This Row],[Tech Start Date]]&lt;1/1/1990,"",IF(Main[[#This Row],[Class]]="C",WORKDAY(Main[[#This Row],[Tech Start Date]],19),IF(Main[[#This Row],[Class]]="B", WORKDAY(Main[[#This Row],[Tech Start Date]],12),IF(Main[[#This Row],[Class]]="A",WORKDAY(Main[[#This Row],[Tech Start Date]],4),""))))</f>
        <v/>
      </c>
      <c r="O680" s="104" t="str">
        <f>IF(Main[[#This Row],[Tech Start Date]]&lt;1/1/1990,"",IF(Main[[#This Row],[Class]]="C",WORKDAY(Main[[#This Row],[Tech Start Date]],23),IF(Main[[#This Row],[Class]]="B", WORKDAY(Main[[#This Row],[Tech Start Date]],15),IF(Main[[#This Row],[Class]]="A",WORKDAY(Main[[#This Row],[Tech Start Date]],5),""))))</f>
        <v/>
      </c>
      <c r="P680" s="104" t="str">
        <f>IF(Main[[#This Row],[Tech Start Date]]&lt;1/1/1990,"",IF(Main[[#This Row],[Class]]="C",WORKDAY(Main[[#This Row],[Tech Start Date]],28),IF(Main[[#This Row],[Class]]="B", WORKDAY(Main[[#This Row],[Tech Start Date]],19),IF(Main[[#This Row],[Class]]="A",WORKDAY(Main[[#This Row],[Tech Start Date]],9),""))))</f>
        <v/>
      </c>
      <c r="Q680" s="101">
        <v>40806</v>
      </c>
      <c r="R680" s="101"/>
      <c r="S680" s="99" t="s">
        <v>6</v>
      </c>
      <c r="T680" s="107" t="s">
        <v>4</v>
      </c>
      <c r="U680" s="99" t="s">
        <v>12</v>
      </c>
      <c r="V680" s="99" t="s">
        <v>1963</v>
      </c>
      <c r="W680" s="99" t="s">
        <v>1970</v>
      </c>
    </row>
    <row r="681" spans="1:23" ht="18.600000000000001" customHeight="1">
      <c r="A681" s="123" t="str">
        <f>IF(priority(Main[[#This Row],[Comments]])&lt;&gt;0, priority(Main[[#This Row],[Comments]]),"")</f>
        <v/>
      </c>
      <c r="B681" s="127" t="s">
        <v>2236</v>
      </c>
      <c r="C681" s="99" t="s">
        <v>2228</v>
      </c>
      <c r="D681" s="100" t="s">
        <v>2493</v>
      </c>
      <c r="E681" s="101">
        <v>40781.402488425927</v>
      </c>
      <c r="F681" s="101"/>
      <c r="G681" s="102" t="str">
        <f>IF(stdProdLT(Main[[#This Row],[Comments]])=0.1,"N/A",IF(stdProdLT(Main[[#This Row],[Comments]])=0,"",stdProdLT(Main[[#This Row],[Comments]])))</f>
        <v/>
      </c>
      <c r="H681" s="103" t="str">
        <f>IF(AND(Main[[#This Row],[In Stock Date]]&lt;&gt;"",Main[[#This Row],[Revised Due Date]]&lt;&gt;""),Main[[#This Row],[In Stock Date]]-Main[[#This Row],[Revised Due Date]],"")</f>
        <v/>
      </c>
      <c r="I681" s="99" t="s">
        <v>69</v>
      </c>
      <c r="J681" s="99" t="s">
        <v>70</v>
      </c>
      <c r="K681" s="108" t="s">
        <v>1971</v>
      </c>
      <c r="L681" s="101"/>
      <c r="M681" s="104" t="str">
        <f>IF(Main[[#This Row],[Tech Start Date]]&lt;1/1/1990,"",IF(Main[[#This Row],[Class]]="C",WORKDAY(Main[[#This Row],[Tech Start Date]],9),IF(Main[[#This Row],[Class]]="B", WORKDAY(Main[[#This Row],[Tech Start Date]],6),IF(Main[[#This Row],[Class]]="A",WORKDAY(Main[[#This Row],[Tech Start Date]],2),""))))</f>
        <v/>
      </c>
      <c r="N681" s="104" t="str">
        <f>IF(Main[[#This Row],[Tech Start Date]]&lt;1/1/1990,"",IF(Main[[#This Row],[Class]]="C",WORKDAY(Main[[#This Row],[Tech Start Date]],19),IF(Main[[#This Row],[Class]]="B", WORKDAY(Main[[#This Row],[Tech Start Date]],12),IF(Main[[#This Row],[Class]]="A",WORKDAY(Main[[#This Row],[Tech Start Date]],4),""))))</f>
        <v/>
      </c>
      <c r="O681" s="104" t="str">
        <f>IF(Main[[#This Row],[Tech Start Date]]&lt;1/1/1990,"",IF(Main[[#This Row],[Class]]="C",WORKDAY(Main[[#This Row],[Tech Start Date]],23),IF(Main[[#This Row],[Class]]="B", WORKDAY(Main[[#This Row],[Tech Start Date]],15),IF(Main[[#This Row],[Class]]="A",WORKDAY(Main[[#This Row],[Tech Start Date]],5),""))))</f>
        <v/>
      </c>
      <c r="P681" s="104" t="str">
        <f>IF(Main[[#This Row],[Tech Start Date]]&lt;1/1/1990,"",IF(Main[[#This Row],[Class]]="C",WORKDAY(Main[[#This Row],[Tech Start Date]],28),IF(Main[[#This Row],[Class]]="B", WORKDAY(Main[[#This Row],[Tech Start Date]],19),IF(Main[[#This Row],[Class]]="A",WORKDAY(Main[[#This Row],[Tech Start Date]],9),""))))</f>
        <v/>
      </c>
      <c r="Q681" s="101">
        <v>40836</v>
      </c>
      <c r="R681" s="101"/>
      <c r="S681" s="99" t="s">
        <v>6</v>
      </c>
      <c r="T681" s="107" t="s">
        <v>4</v>
      </c>
      <c r="U681" s="99" t="s">
        <v>29</v>
      </c>
      <c r="V681" s="99" t="s">
        <v>1965</v>
      </c>
      <c r="W681" s="99" t="s">
        <v>1966</v>
      </c>
    </row>
    <row r="682" spans="1:23" ht="18.600000000000001" customHeight="1">
      <c r="A682" s="123" t="str">
        <f>IF(priority(Main[[#This Row],[Comments]])&lt;&gt;0, priority(Main[[#This Row],[Comments]]),"")</f>
        <v/>
      </c>
      <c r="B682" s="127" t="s">
        <v>1581</v>
      </c>
      <c r="C682" s="99" t="s">
        <v>4</v>
      </c>
      <c r="D682" s="100" t="s">
        <v>633</v>
      </c>
      <c r="E682" s="101"/>
      <c r="F682" s="101"/>
      <c r="G682" s="102" t="str">
        <f>IF(stdProdLT(Main[[#This Row],[Comments]])=0.1,"N/A",IF(stdProdLT(Main[[#This Row],[Comments]])=0,"",stdProdLT(Main[[#This Row],[Comments]])))</f>
        <v/>
      </c>
      <c r="H682" s="103" t="str">
        <f>IF(AND(Main[[#This Row],[In Stock Date]]&lt;&gt;"",Main[[#This Row],[Revised Due Date]]&lt;&gt;""),Main[[#This Row],[In Stock Date]]-Main[[#This Row],[Revised Due Date]],"")</f>
        <v/>
      </c>
      <c r="I682" s="99" t="s">
        <v>4</v>
      </c>
      <c r="J682" s="99" t="s">
        <v>4</v>
      </c>
      <c r="K682" s="99" t="s">
        <v>4</v>
      </c>
      <c r="L682" s="101"/>
      <c r="M682" s="104" t="str">
        <f>IF(Main[[#This Row],[Tech Start Date]]&lt;1/1/1990,"",IF(Main[[#This Row],[Class]]="C",WORKDAY(Main[[#This Row],[Tech Start Date]],9),IF(Main[[#This Row],[Class]]="B", WORKDAY(Main[[#This Row],[Tech Start Date]],6),IF(Main[[#This Row],[Class]]="A",WORKDAY(Main[[#This Row],[Tech Start Date]],2),""))))</f>
        <v/>
      </c>
      <c r="N682" s="104" t="str">
        <f>IF(Main[[#This Row],[Tech Start Date]]&lt;1/1/1990,"",IF(Main[[#This Row],[Class]]="C",WORKDAY(Main[[#This Row],[Tech Start Date]],19),IF(Main[[#This Row],[Class]]="B", WORKDAY(Main[[#This Row],[Tech Start Date]],12),IF(Main[[#This Row],[Class]]="A",WORKDAY(Main[[#This Row],[Tech Start Date]],4),""))))</f>
        <v/>
      </c>
      <c r="O682" s="104" t="str">
        <f>IF(Main[[#This Row],[Tech Start Date]]&lt;1/1/1990,"",IF(Main[[#This Row],[Class]]="C",WORKDAY(Main[[#This Row],[Tech Start Date]],23),IF(Main[[#This Row],[Class]]="B", WORKDAY(Main[[#This Row],[Tech Start Date]],15),IF(Main[[#This Row],[Class]]="A",WORKDAY(Main[[#This Row],[Tech Start Date]],5),""))))</f>
        <v/>
      </c>
      <c r="P682" s="104" t="str">
        <f>IF(Main[[#This Row],[Tech Start Date]]&lt;1/1/1990,"",IF(Main[[#This Row],[Class]]="C",WORKDAY(Main[[#This Row],[Tech Start Date]],28),IF(Main[[#This Row],[Class]]="B", WORKDAY(Main[[#This Row],[Tech Start Date]],19),IF(Main[[#This Row],[Class]]="A",WORKDAY(Main[[#This Row],[Tech Start Date]],9),""))))</f>
        <v/>
      </c>
      <c r="Q682" s="101"/>
      <c r="R682" s="101"/>
      <c r="S682" s="99" t="s">
        <v>17</v>
      </c>
      <c r="T682" s="107" t="s">
        <v>4</v>
      </c>
      <c r="U682" s="99" t="s">
        <v>12</v>
      </c>
      <c r="V682" s="99" t="s">
        <v>1962</v>
      </c>
      <c r="W682" s="99" t="s">
        <v>1964</v>
      </c>
    </row>
    <row r="683" spans="1:23" ht="18.600000000000001" customHeight="1">
      <c r="A683" s="123" t="str">
        <f>IF(priority(Main[[#This Row],[Comments]])&lt;&gt;0, priority(Main[[#This Row],[Comments]]),"")</f>
        <v/>
      </c>
      <c r="B683" s="127" t="s">
        <v>1881</v>
      </c>
      <c r="C683" s="99" t="s">
        <v>501</v>
      </c>
      <c r="D683" s="100" t="s">
        <v>910</v>
      </c>
      <c r="E683" s="101"/>
      <c r="F683" s="101"/>
      <c r="G683" s="102" t="str">
        <f>IF(stdProdLT(Main[[#This Row],[Comments]])=0.1,"N/A",IF(stdProdLT(Main[[#This Row],[Comments]])=0,"",stdProdLT(Main[[#This Row],[Comments]])))</f>
        <v/>
      </c>
      <c r="H683" s="103" t="str">
        <f>IF(AND(Main[[#This Row],[In Stock Date]]&lt;&gt;"",Main[[#This Row],[Revised Due Date]]&lt;&gt;""),Main[[#This Row],[In Stock Date]]-Main[[#This Row],[Revised Due Date]],"")</f>
        <v/>
      </c>
      <c r="I683" s="99" t="s">
        <v>126</v>
      </c>
      <c r="J683" s="99" t="s">
        <v>28</v>
      </c>
      <c r="K683" s="108" t="s">
        <v>1975</v>
      </c>
      <c r="L683" s="101"/>
      <c r="M683" s="104" t="str">
        <f>IF(Main[[#This Row],[Tech Start Date]]&lt;1/1/1990,"",IF(Main[[#This Row],[Class]]="C",WORKDAY(Main[[#This Row],[Tech Start Date]],9),IF(Main[[#This Row],[Class]]="B", WORKDAY(Main[[#This Row],[Tech Start Date]],6),IF(Main[[#This Row],[Class]]="A",WORKDAY(Main[[#This Row],[Tech Start Date]],2),""))))</f>
        <v/>
      </c>
      <c r="N683" s="104" t="str">
        <f>IF(Main[[#This Row],[Tech Start Date]]&lt;1/1/1990,"",IF(Main[[#This Row],[Class]]="C",WORKDAY(Main[[#This Row],[Tech Start Date]],19),IF(Main[[#This Row],[Class]]="B", WORKDAY(Main[[#This Row],[Tech Start Date]],12),IF(Main[[#This Row],[Class]]="A",WORKDAY(Main[[#This Row],[Tech Start Date]],4),""))))</f>
        <v/>
      </c>
      <c r="O683" s="104" t="str">
        <f>IF(Main[[#This Row],[Tech Start Date]]&lt;1/1/1990,"",IF(Main[[#This Row],[Class]]="C",WORKDAY(Main[[#This Row],[Tech Start Date]],23),IF(Main[[#This Row],[Class]]="B", WORKDAY(Main[[#This Row],[Tech Start Date]],15),IF(Main[[#This Row],[Class]]="A",WORKDAY(Main[[#This Row],[Tech Start Date]],5),""))))</f>
        <v/>
      </c>
      <c r="P683" s="104" t="str">
        <f>IF(Main[[#This Row],[Tech Start Date]]&lt;1/1/1990,"",IF(Main[[#This Row],[Class]]="C",WORKDAY(Main[[#This Row],[Tech Start Date]],28),IF(Main[[#This Row],[Class]]="B", WORKDAY(Main[[#This Row],[Tech Start Date]],19),IF(Main[[#This Row],[Class]]="A",WORKDAY(Main[[#This Row],[Tech Start Date]],9),""))))</f>
        <v/>
      </c>
      <c r="Q683" s="101">
        <v>40469</v>
      </c>
      <c r="R683" s="101">
        <v>40469</v>
      </c>
      <c r="S683" s="99" t="s">
        <v>11</v>
      </c>
      <c r="T683" s="107" t="s">
        <v>4</v>
      </c>
      <c r="U683" s="99" t="s">
        <v>14</v>
      </c>
      <c r="V683" s="99" t="s">
        <v>1962</v>
      </c>
      <c r="W683" s="99" t="s">
        <v>1970</v>
      </c>
    </row>
    <row r="684" spans="1:23" ht="18.600000000000001" customHeight="1">
      <c r="A684" s="123" t="str">
        <f>IF(priority(Main[[#This Row],[Comments]])&lt;&gt;0, priority(Main[[#This Row],[Comments]]),"")</f>
        <v/>
      </c>
      <c r="B684" s="127" t="s">
        <v>1561</v>
      </c>
      <c r="C684" s="99" t="s">
        <v>613</v>
      </c>
      <c r="D684" s="100" t="s">
        <v>614</v>
      </c>
      <c r="E684" s="101"/>
      <c r="F684" s="101">
        <v>41275</v>
      </c>
      <c r="G684" s="102" t="str">
        <f>IF(stdProdLT(Main[[#This Row],[Comments]])=0.1,"N/A",IF(stdProdLT(Main[[#This Row],[Comments]])=0,"",stdProdLT(Main[[#This Row],[Comments]])))</f>
        <v/>
      </c>
      <c r="H684" s="103" t="str">
        <f>IF(AND(Main[[#This Row],[In Stock Date]]&lt;&gt;"",Main[[#This Row],[Revised Due Date]]&lt;&gt;""),Main[[#This Row],[In Stock Date]]-Main[[#This Row],[Revised Due Date]],"")</f>
        <v/>
      </c>
      <c r="I684" s="99" t="s">
        <v>4</v>
      </c>
      <c r="J684" s="99" t="s">
        <v>4</v>
      </c>
      <c r="K684" s="99" t="s">
        <v>4</v>
      </c>
      <c r="L684" s="101"/>
      <c r="M684" s="104" t="str">
        <f>IF(Main[[#This Row],[Tech Start Date]]&lt;1/1/1990,"",IF(Main[[#This Row],[Class]]="C",WORKDAY(Main[[#This Row],[Tech Start Date]],9),IF(Main[[#This Row],[Class]]="B", WORKDAY(Main[[#This Row],[Tech Start Date]],6),IF(Main[[#This Row],[Class]]="A",WORKDAY(Main[[#This Row],[Tech Start Date]],2),""))))</f>
        <v/>
      </c>
      <c r="N684" s="104" t="str">
        <f>IF(Main[[#This Row],[Tech Start Date]]&lt;1/1/1990,"",IF(Main[[#This Row],[Class]]="C",WORKDAY(Main[[#This Row],[Tech Start Date]],19),IF(Main[[#This Row],[Class]]="B", WORKDAY(Main[[#This Row],[Tech Start Date]],12),IF(Main[[#This Row],[Class]]="A",WORKDAY(Main[[#This Row],[Tech Start Date]],4),""))))</f>
        <v/>
      </c>
      <c r="O684" s="104" t="str">
        <f>IF(Main[[#This Row],[Tech Start Date]]&lt;1/1/1990,"",IF(Main[[#This Row],[Class]]="C",WORKDAY(Main[[#This Row],[Tech Start Date]],23),IF(Main[[#This Row],[Class]]="B", WORKDAY(Main[[#This Row],[Tech Start Date]],15),IF(Main[[#This Row],[Class]]="A",WORKDAY(Main[[#This Row],[Tech Start Date]],5),""))))</f>
        <v/>
      </c>
      <c r="P684" s="104" t="str">
        <f>IF(Main[[#This Row],[Tech Start Date]]&lt;1/1/1990,"",IF(Main[[#This Row],[Class]]="C",WORKDAY(Main[[#This Row],[Tech Start Date]],28),IF(Main[[#This Row],[Class]]="B", WORKDAY(Main[[#This Row],[Tech Start Date]],19),IF(Main[[#This Row],[Class]]="A",WORKDAY(Main[[#This Row],[Tech Start Date]],9),""))))</f>
        <v/>
      </c>
      <c r="Q684" s="101">
        <v>40387</v>
      </c>
      <c r="R684" s="101"/>
      <c r="S684" s="99" t="s">
        <v>11</v>
      </c>
      <c r="T684" s="107" t="s">
        <v>4</v>
      </c>
      <c r="U684" s="99" t="s">
        <v>14</v>
      </c>
      <c r="V684" s="99" t="s">
        <v>1972</v>
      </c>
      <c r="W684" s="99" t="s">
        <v>1967</v>
      </c>
    </row>
    <row r="685" spans="1:23" ht="18.600000000000001" customHeight="1">
      <c r="A685" s="123" t="str">
        <f>IF(priority(Main[[#This Row],[Comments]])&lt;&gt;0, priority(Main[[#This Row],[Comments]]),"")</f>
        <v/>
      </c>
      <c r="B685" s="127" t="s">
        <v>1562</v>
      </c>
      <c r="C685" s="99" t="s">
        <v>613</v>
      </c>
      <c r="D685" s="100" t="s">
        <v>615</v>
      </c>
      <c r="E685" s="101"/>
      <c r="F685" s="101">
        <v>41275</v>
      </c>
      <c r="G685" s="102" t="str">
        <f>IF(stdProdLT(Main[[#This Row],[Comments]])=0.1,"N/A",IF(stdProdLT(Main[[#This Row],[Comments]])=0,"",stdProdLT(Main[[#This Row],[Comments]])))</f>
        <v/>
      </c>
      <c r="H685" s="103" t="str">
        <f>IF(AND(Main[[#This Row],[In Stock Date]]&lt;&gt;"",Main[[#This Row],[Revised Due Date]]&lt;&gt;""),Main[[#This Row],[In Stock Date]]-Main[[#This Row],[Revised Due Date]],"")</f>
        <v/>
      </c>
      <c r="I685" s="99" t="s">
        <v>4</v>
      </c>
      <c r="J685" s="99" t="s">
        <v>4</v>
      </c>
      <c r="K685" s="99" t="s">
        <v>4</v>
      </c>
      <c r="L685" s="101"/>
      <c r="M685" s="104" t="str">
        <f>IF(Main[[#This Row],[Tech Start Date]]&lt;1/1/1990,"",IF(Main[[#This Row],[Class]]="C",WORKDAY(Main[[#This Row],[Tech Start Date]],9),IF(Main[[#This Row],[Class]]="B", WORKDAY(Main[[#This Row],[Tech Start Date]],6),IF(Main[[#This Row],[Class]]="A",WORKDAY(Main[[#This Row],[Tech Start Date]],2),""))))</f>
        <v/>
      </c>
      <c r="N685" s="104" t="str">
        <f>IF(Main[[#This Row],[Tech Start Date]]&lt;1/1/1990,"",IF(Main[[#This Row],[Class]]="C",WORKDAY(Main[[#This Row],[Tech Start Date]],19),IF(Main[[#This Row],[Class]]="B", WORKDAY(Main[[#This Row],[Tech Start Date]],12),IF(Main[[#This Row],[Class]]="A",WORKDAY(Main[[#This Row],[Tech Start Date]],4),""))))</f>
        <v/>
      </c>
      <c r="O685" s="104" t="str">
        <f>IF(Main[[#This Row],[Tech Start Date]]&lt;1/1/1990,"",IF(Main[[#This Row],[Class]]="C",WORKDAY(Main[[#This Row],[Tech Start Date]],23),IF(Main[[#This Row],[Class]]="B", WORKDAY(Main[[#This Row],[Tech Start Date]],15),IF(Main[[#This Row],[Class]]="A",WORKDAY(Main[[#This Row],[Tech Start Date]],5),""))))</f>
        <v/>
      </c>
      <c r="P685" s="104" t="str">
        <f>IF(Main[[#This Row],[Tech Start Date]]&lt;1/1/1990,"",IF(Main[[#This Row],[Class]]="C",WORKDAY(Main[[#This Row],[Tech Start Date]],28),IF(Main[[#This Row],[Class]]="B", WORKDAY(Main[[#This Row],[Tech Start Date]],19),IF(Main[[#This Row],[Class]]="A",WORKDAY(Main[[#This Row],[Tech Start Date]],9),""))))</f>
        <v/>
      </c>
      <c r="Q685" s="101">
        <v>40387</v>
      </c>
      <c r="R685" s="101"/>
      <c r="S685" s="99" t="s">
        <v>11</v>
      </c>
      <c r="T685" s="107" t="s">
        <v>4</v>
      </c>
      <c r="U685" s="99" t="s">
        <v>14</v>
      </c>
      <c r="V685" s="99" t="s">
        <v>1972</v>
      </c>
      <c r="W685" s="99" t="s">
        <v>1967</v>
      </c>
    </row>
    <row r="686" spans="1:23" ht="18.600000000000001" customHeight="1">
      <c r="A686" s="123" t="str">
        <f>IF(priority(Main[[#This Row],[Comments]])&lt;&gt;0, priority(Main[[#This Row],[Comments]]),"")</f>
        <v/>
      </c>
      <c r="B686" s="127" t="s">
        <v>1563</v>
      </c>
      <c r="C686" s="99" t="s">
        <v>295</v>
      </c>
      <c r="D686" s="100" t="s">
        <v>296</v>
      </c>
      <c r="E686" s="101"/>
      <c r="F686" s="101"/>
      <c r="G686" s="102" t="str">
        <f>IF(stdProdLT(Main[[#This Row],[Comments]])=0.1,"N/A",IF(stdProdLT(Main[[#This Row],[Comments]])=0,"",stdProdLT(Main[[#This Row],[Comments]])))</f>
        <v/>
      </c>
      <c r="H686" s="103" t="str">
        <f>IF(AND(Main[[#This Row],[In Stock Date]]&lt;&gt;"",Main[[#This Row],[Revised Due Date]]&lt;&gt;""),Main[[#This Row],[In Stock Date]]-Main[[#This Row],[Revised Due Date]],"")</f>
        <v/>
      </c>
      <c r="I686" s="99" t="s">
        <v>4</v>
      </c>
      <c r="J686" s="99" t="s">
        <v>4</v>
      </c>
      <c r="K686" s="108" t="s">
        <v>4</v>
      </c>
      <c r="L686" s="101"/>
      <c r="M686" s="104" t="str">
        <f>IF(Main[[#This Row],[Tech Start Date]]&lt;1/1/1990,"",IF(Main[[#This Row],[Class]]="C",WORKDAY(Main[[#This Row],[Tech Start Date]],9),IF(Main[[#This Row],[Class]]="B", WORKDAY(Main[[#This Row],[Tech Start Date]],6),IF(Main[[#This Row],[Class]]="A",WORKDAY(Main[[#This Row],[Tech Start Date]],2),""))))</f>
        <v/>
      </c>
      <c r="N686" s="104" t="str">
        <f>IF(Main[[#This Row],[Tech Start Date]]&lt;1/1/1990,"",IF(Main[[#This Row],[Class]]="C",WORKDAY(Main[[#This Row],[Tech Start Date]],19),IF(Main[[#This Row],[Class]]="B", WORKDAY(Main[[#This Row],[Tech Start Date]],12),IF(Main[[#This Row],[Class]]="A",WORKDAY(Main[[#This Row],[Tech Start Date]],4),""))))</f>
        <v/>
      </c>
      <c r="O686" s="104" t="str">
        <f>IF(Main[[#This Row],[Tech Start Date]]&lt;1/1/1990,"",IF(Main[[#This Row],[Class]]="C",WORKDAY(Main[[#This Row],[Tech Start Date]],23),IF(Main[[#This Row],[Class]]="B", WORKDAY(Main[[#This Row],[Tech Start Date]],15),IF(Main[[#This Row],[Class]]="A",WORKDAY(Main[[#This Row],[Tech Start Date]],5),""))))</f>
        <v/>
      </c>
      <c r="P686" s="104" t="str">
        <f>IF(Main[[#This Row],[Tech Start Date]]&lt;1/1/1990,"",IF(Main[[#This Row],[Class]]="C",WORKDAY(Main[[#This Row],[Tech Start Date]],28),IF(Main[[#This Row],[Class]]="B", WORKDAY(Main[[#This Row],[Tech Start Date]],19),IF(Main[[#This Row],[Class]]="A",WORKDAY(Main[[#This Row],[Tech Start Date]],9),""))))</f>
        <v/>
      </c>
      <c r="Q686" s="101">
        <v>40052</v>
      </c>
      <c r="R686" s="101"/>
      <c r="S686" s="99" t="s">
        <v>11</v>
      </c>
      <c r="T686" s="107" t="s">
        <v>4</v>
      </c>
      <c r="U686" s="99" t="s">
        <v>14</v>
      </c>
      <c r="V686" s="99" t="s">
        <v>1965</v>
      </c>
      <c r="W686" s="99" t="s">
        <v>1964</v>
      </c>
    </row>
    <row r="687" spans="1:23" ht="18.600000000000001" customHeight="1">
      <c r="A687" s="123" t="str">
        <f>IF(priority(Main[[#This Row],[Comments]])&lt;&gt;0, priority(Main[[#This Row],[Comments]]),"")</f>
        <v/>
      </c>
      <c r="B687" s="127" t="s">
        <v>1564</v>
      </c>
      <c r="C687" s="99" t="s">
        <v>4</v>
      </c>
      <c r="D687" s="100" t="s">
        <v>616</v>
      </c>
      <c r="E687" s="101">
        <v>40533.617372685185</v>
      </c>
      <c r="F687" s="101">
        <v>40602</v>
      </c>
      <c r="G687" s="102" t="str">
        <f>IF(stdProdLT(Main[[#This Row],[Comments]])=0.1,"N/A",IF(stdProdLT(Main[[#This Row],[Comments]])=0,"",stdProdLT(Main[[#This Row],[Comments]])))</f>
        <v/>
      </c>
      <c r="H687" s="103" t="str">
        <f>IF(AND(Main[[#This Row],[In Stock Date]]&lt;&gt;"",Main[[#This Row],[Revised Due Date]]&lt;&gt;""),Main[[#This Row],[In Stock Date]]-Main[[#This Row],[Revised Due Date]],"")</f>
        <v/>
      </c>
      <c r="I687" s="99" t="s">
        <v>4</v>
      </c>
      <c r="J687" s="99" t="s">
        <v>28</v>
      </c>
      <c r="K687" s="99" t="s">
        <v>1971</v>
      </c>
      <c r="L687" s="101"/>
      <c r="M687" s="104" t="str">
        <f>IF(Main[[#This Row],[Tech Start Date]]&lt;1/1/1990,"",IF(Main[[#This Row],[Class]]="C",WORKDAY(Main[[#This Row],[Tech Start Date]],9),IF(Main[[#This Row],[Class]]="B", WORKDAY(Main[[#This Row],[Tech Start Date]],6),IF(Main[[#This Row],[Class]]="A",WORKDAY(Main[[#This Row],[Tech Start Date]],2),""))))</f>
        <v/>
      </c>
      <c r="N687" s="104" t="str">
        <f>IF(Main[[#This Row],[Tech Start Date]]&lt;1/1/1990,"",IF(Main[[#This Row],[Class]]="C",WORKDAY(Main[[#This Row],[Tech Start Date]],19),IF(Main[[#This Row],[Class]]="B", WORKDAY(Main[[#This Row],[Tech Start Date]],12),IF(Main[[#This Row],[Class]]="A",WORKDAY(Main[[#This Row],[Tech Start Date]],4),""))))</f>
        <v/>
      </c>
      <c r="O687" s="104" t="str">
        <f>IF(Main[[#This Row],[Tech Start Date]]&lt;1/1/1990,"",IF(Main[[#This Row],[Class]]="C",WORKDAY(Main[[#This Row],[Tech Start Date]],23),IF(Main[[#This Row],[Class]]="B", WORKDAY(Main[[#This Row],[Tech Start Date]],15),IF(Main[[#This Row],[Class]]="A",WORKDAY(Main[[#This Row],[Tech Start Date]],5),""))))</f>
        <v/>
      </c>
      <c r="P687" s="104" t="str">
        <f>IF(Main[[#This Row],[Tech Start Date]]&lt;1/1/1990,"",IF(Main[[#This Row],[Class]]="C",WORKDAY(Main[[#This Row],[Tech Start Date]],28),IF(Main[[#This Row],[Class]]="B", WORKDAY(Main[[#This Row],[Tech Start Date]],19),IF(Main[[#This Row],[Class]]="A",WORKDAY(Main[[#This Row],[Tech Start Date]],9),""))))</f>
        <v/>
      </c>
      <c r="Q687" s="101">
        <v>40602</v>
      </c>
      <c r="R687" s="101"/>
      <c r="S687" s="99" t="s">
        <v>6</v>
      </c>
      <c r="T687" s="107" t="s">
        <v>4</v>
      </c>
      <c r="U687" s="99" t="s">
        <v>7</v>
      </c>
      <c r="V687" s="99" t="s">
        <v>1962</v>
      </c>
      <c r="W687" s="99" t="s">
        <v>1964</v>
      </c>
    </row>
    <row r="688" spans="1:23" ht="18.600000000000001" customHeight="1">
      <c r="A688" s="123" t="str">
        <f>IF(priority(Main[[#This Row],[Comments]])&lt;&gt;0, priority(Main[[#This Row],[Comments]]),"")</f>
        <v/>
      </c>
      <c r="B688" s="127" t="s">
        <v>1565</v>
      </c>
      <c r="C688" s="99" t="s">
        <v>4</v>
      </c>
      <c r="D688" s="100" t="s">
        <v>617</v>
      </c>
      <c r="E688" s="101">
        <v>40387.693402777775</v>
      </c>
      <c r="F688" s="101"/>
      <c r="G688" s="102" t="str">
        <f>IF(stdProdLT(Main[[#This Row],[Comments]])=0.1,"N/A",IF(stdProdLT(Main[[#This Row],[Comments]])=0,"",stdProdLT(Main[[#This Row],[Comments]])))</f>
        <v/>
      </c>
      <c r="H688" s="103" t="str">
        <f>IF(AND(Main[[#This Row],[In Stock Date]]&lt;&gt;"",Main[[#This Row],[Revised Due Date]]&lt;&gt;""),Main[[#This Row],[In Stock Date]]-Main[[#This Row],[Revised Due Date]],"")</f>
        <v/>
      </c>
      <c r="I688" s="99" t="s">
        <v>4</v>
      </c>
      <c r="J688" s="99" t="s">
        <v>28</v>
      </c>
      <c r="K688" s="99" t="s">
        <v>4</v>
      </c>
      <c r="L688" s="101"/>
      <c r="M688" s="104" t="str">
        <f>IF(Main[[#This Row],[Tech Start Date]]&lt;1/1/1990,"",IF(Main[[#This Row],[Class]]="C",WORKDAY(Main[[#This Row],[Tech Start Date]],9),IF(Main[[#This Row],[Class]]="B", WORKDAY(Main[[#This Row],[Tech Start Date]],6),IF(Main[[#This Row],[Class]]="A",WORKDAY(Main[[#This Row],[Tech Start Date]],2),""))))</f>
        <v/>
      </c>
      <c r="N688" s="104" t="str">
        <f>IF(Main[[#This Row],[Tech Start Date]]&lt;1/1/1990,"",IF(Main[[#This Row],[Class]]="C",WORKDAY(Main[[#This Row],[Tech Start Date]],19),IF(Main[[#This Row],[Class]]="B", WORKDAY(Main[[#This Row],[Tech Start Date]],12),IF(Main[[#This Row],[Class]]="A",WORKDAY(Main[[#This Row],[Tech Start Date]],4),""))))</f>
        <v/>
      </c>
      <c r="O688" s="104" t="str">
        <f>IF(Main[[#This Row],[Tech Start Date]]&lt;1/1/1990,"",IF(Main[[#This Row],[Class]]="C",WORKDAY(Main[[#This Row],[Tech Start Date]],23),IF(Main[[#This Row],[Class]]="B", WORKDAY(Main[[#This Row],[Tech Start Date]],15),IF(Main[[#This Row],[Class]]="A",WORKDAY(Main[[#This Row],[Tech Start Date]],5),""))))</f>
        <v/>
      </c>
      <c r="P688" s="104" t="str">
        <f>IF(Main[[#This Row],[Tech Start Date]]&lt;1/1/1990,"",IF(Main[[#This Row],[Class]]="C",WORKDAY(Main[[#This Row],[Tech Start Date]],28),IF(Main[[#This Row],[Class]]="B", WORKDAY(Main[[#This Row],[Tech Start Date]],19),IF(Main[[#This Row],[Class]]="A",WORKDAY(Main[[#This Row],[Tech Start Date]],9),""))))</f>
        <v/>
      </c>
      <c r="Q688" s="101">
        <v>40400</v>
      </c>
      <c r="R688" s="101"/>
      <c r="S688" s="99" t="s">
        <v>6</v>
      </c>
      <c r="T688" s="107" t="s">
        <v>4</v>
      </c>
      <c r="U688" s="99" t="s">
        <v>7</v>
      </c>
      <c r="V688" s="99" t="s">
        <v>1962</v>
      </c>
      <c r="W688" s="99" t="s">
        <v>1964</v>
      </c>
    </row>
    <row r="689" spans="1:23" ht="18.600000000000001" customHeight="1">
      <c r="A689" s="123" t="str">
        <f>IF(priority(Main[[#This Row],[Comments]])&lt;&gt;0, priority(Main[[#This Row],[Comments]]),"")</f>
        <v/>
      </c>
      <c r="B689" s="127" t="s">
        <v>1566</v>
      </c>
      <c r="C689" s="99" t="s">
        <v>4</v>
      </c>
      <c r="D689" s="100" t="s">
        <v>618</v>
      </c>
      <c r="E689" s="101">
        <v>40506.643229166664</v>
      </c>
      <c r="F689" s="101"/>
      <c r="G689" s="102" t="str">
        <f>IF(stdProdLT(Main[[#This Row],[Comments]])=0.1,"N/A",IF(stdProdLT(Main[[#This Row],[Comments]])=0,"",stdProdLT(Main[[#This Row],[Comments]])))</f>
        <v/>
      </c>
      <c r="H689" s="103" t="str">
        <f>IF(AND(Main[[#This Row],[In Stock Date]]&lt;&gt;"",Main[[#This Row],[Revised Due Date]]&lt;&gt;""),Main[[#This Row],[In Stock Date]]-Main[[#This Row],[Revised Due Date]],"")</f>
        <v/>
      </c>
      <c r="I689" s="99" t="s">
        <v>4</v>
      </c>
      <c r="J689" s="99" t="s">
        <v>28</v>
      </c>
      <c r="K689" s="99" t="s">
        <v>1969</v>
      </c>
      <c r="L689" s="101"/>
      <c r="M689" s="104" t="str">
        <f>IF(Main[[#This Row],[Tech Start Date]]&lt;1/1/1990,"",IF(Main[[#This Row],[Class]]="C",WORKDAY(Main[[#This Row],[Tech Start Date]],9),IF(Main[[#This Row],[Class]]="B", WORKDAY(Main[[#This Row],[Tech Start Date]],6),IF(Main[[#This Row],[Class]]="A",WORKDAY(Main[[#This Row],[Tech Start Date]],2),""))))</f>
        <v/>
      </c>
      <c r="N689" s="104" t="str">
        <f>IF(Main[[#This Row],[Tech Start Date]]&lt;1/1/1990,"",IF(Main[[#This Row],[Class]]="C",WORKDAY(Main[[#This Row],[Tech Start Date]],19),IF(Main[[#This Row],[Class]]="B", WORKDAY(Main[[#This Row],[Tech Start Date]],12),IF(Main[[#This Row],[Class]]="A",WORKDAY(Main[[#This Row],[Tech Start Date]],4),""))))</f>
        <v/>
      </c>
      <c r="O689" s="104" t="str">
        <f>IF(Main[[#This Row],[Tech Start Date]]&lt;1/1/1990,"",IF(Main[[#This Row],[Class]]="C",WORKDAY(Main[[#This Row],[Tech Start Date]],23),IF(Main[[#This Row],[Class]]="B", WORKDAY(Main[[#This Row],[Tech Start Date]],15),IF(Main[[#This Row],[Class]]="A",WORKDAY(Main[[#This Row],[Tech Start Date]],5),""))))</f>
        <v/>
      </c>
      <c r="P689" s="104" t="str">
        <f>IF(Main[[#This Row],[Tech Start Date]]&lt;1/1/1990,"",IF(Main[[#This Row],[Class]]="C",WORKDAY(Main[[#This Row],[Tech Start Date]],28),IF(Main[[#This Row],[Class]]="B", WORKDAY(Main[[#This Row],[Tech Start Date]],19),IF(Main[[#This Row],[Class]]="A",WORKDAY(Main[[#This Row],[Tech Start Date]],9),""))))</f>
        <v/>
      </c>
      <c r="Q689" s="101">
        <v>40548</v>
      </c>
      <c r="R689" s="101"/>
      <c r="S689" s="99" t="s">
        <v>6</v>
      </c>
      <c r="T689" s="107" t="s">
        <v>4</v>
      </c>
      <c r="U689" s="99" t="s">
        <v>7</v>
      </c>
      <c r="V689" s="99" t="s">
        <v>1962</v>
      </c>
      <c r="W689" s="99" t="s">
        <v>1966</v>
      </c>
    </row>
    <row r="690" spans="1:23" ht="18.600000000000001" customHeight="1">
      <c r="A690" s="123" t="str">
        <f>IF(priority(Main[[#This Row],[Comments]])&lt;&gt;0, priority(Main[[#This Row],[Comments]]),"")</f>
        <v/>
      </c>
      <c r="B690" s="127" t="s">
        <v>1567</v>
      </c>
      <c r="C690" s="99" t="s">
        <v>4</v>
      </c>
      <c r="D690" s="100" t="s">
        <v>619</v>
      </c>
      <c r="E690" s="101">
        <v>40371.390138888892</v>
      </c>
      <c r="F690" s="101"/>
      <c r="G690" s="102" t="str">
        <f>IF(stdProdLT(Main[[#This Row],[Comments]])=0.1,"N/A",IF(stdProdLT(Main[[#This Row],[Comments]])=0,"",stdProdLT(Main[[#This Row],[Comments]])))</f>
        <v/>
      </c>
      <c r="H690" s="103" t="str">
        <f>IF(AND(Main[[#This Row],[In Stock Date]]&lt;&gt;"",Main[[#This Row],[Revised Due Date]]&lt;&gt;""),Main[[#This Row],[In Stock Date]]-Main[[#This Row],[Revised Due Date]],"")</f>
        <v/>
      </c>
      <c r="I690" s="99" t="s">
        <v>4</v>
      </c>
      <c r="J690" s="99" t="s">
        <v>4</v>
      </c>
      <c r="K690" s="99" t="s">
        <v>4</v>
      </c>
      <c r="L690" s="101"/>
      <c r="M690" s="104" t="str">
        <f>IF(Main[[#This Row],[Tech Start Date]]&lt;1/1/1990,"",IF(Main[[#This Row],[Class]]="C",WORKDAY(Main[[#This Row],[Tech Start Date]],9),IF(Main[[#This Row],[Class]]="B", WORKDAY(Main[[#This Row],[Tech Start Date]],6),IF(Main[[#This Row],[Class]]="A",WORKDAY(Main[[#This Row],[Tech Start Date]],2),""))))</f>
        <v/>
      </c>
      <c r="N690" s="104" t="str">
        <f>IF(Main[[#This Row],[Tech Start Date]]&lt;1/1/1990,"",IF(Main[[#This Row],[Class]]="C",WORKDAY(Main[[#This Row],[Tech Start Date]],19),IF(Main[[#This Row],[Class]]="B", WORKDAY(Main[[#This Row],[Tech Start Date]],12),IF(Main[[#This Row],[Class]]="A",WORKDAY(Main[[#This Row],[Tech Start Date]],4),""))))</f>
        <v/>
      </c>
      <c r="O690" s="104" t="str">
        <f>IF(Main[[#This Row],[Tech Start Date]]&lt;1/1/1990,"",IF(Main[[#This Row],[Class]]="C",WORKDAY(Main[[#This Row],[Tech Start Date]],23),IF(Main[[#This Row],[Class]]="B", WORKDAY(Main[[#This Row],[Tech Start Date]],15),IF(Main[[#This Row],[Class]]="A",WORKDAY(Main[[#This Row],[Tech Start Date]],5),""))))</f>
        <v/>
      </c>
      <c r="P690" s="104" t="str">
        <f>IF(Main[[#This Row],[Tech Start Date]]&lt;1/1/1990,"",IF(Main[[#This Row],[Class]]="C",WORKDAY(Main[[#This Row],[Tech Start Date]],28),IF(Main[[#This Row],[Class]]="B", WORKDAY(Main[[#This Row],[Tech Start Date]],19),IF(Main[[#This Row],[Class]]="A",WORKDAY(Main[[#This Row],[Tech Start Date]],9),""))))</f>
        <v/>
      </c>
      <c r="Q690" s="101">
        <v>40385</v>
      </c>
      <c r="R690" s="101"/>
      <c r="S690" s="99" t="s">
        <v>6</v>
      </c>
      <c r="T690" s="107" t="s">
        <v>4</v>
      </c>
      <c r="U690" s="99" t="s">
        <v>7</v>
      </c>
      <c r="V690" s="99" t="s">
        <v>1962</v>
      </c>
      <c r="W690" s="99" t="s">
        <v>1964</v>
      </c>
    </row>
    <row r="691" spans="1:23" ht="18.600000000000001" customHeight="1">
      <c r="A691" s="123" t="str">
        <f>IF(priority(Main[[#This Row],[Comments]])&lt;&gt;0, priority(Main[[#This Row],[Comments]]),"")</f>
        <v/>
      </c>
      <c r="B691" s="127" t="s">
        <v>1704</v>
      </c>
      <c r="C691" s="99" t="s">
        <v>4</v>
      </c>
      <c r="D691" s="100" t="s">
        <v>740</v>
      </c>
      <c r="E691" s="101"/>
      <c r="F691" s="101"/>
      <c r="G691" s="102" t="str">
        <f>IF(stdProdLT(Main[[#This Row],[Comments]])=0.1,"N/A",IF(stdProdLT(Main[[#This Row],[Comments]])=0,"",stdProdLT(Main[[#This Row],[Comments]])))</f>
        <v/>
      </c>
      <c r="H691" s="103" t="str">
        <f>IF(AND(Main[[#This Row],[In Stock Date]]&lt;&gt;"",Main[[#This Row],[Revised Due Date]]&lt;&gt;""),Main[[#This Row],[In Stock Date]]-Main[[#This Row],[Revised Due Date]],"")</f>
        <v/>
      </c>
      <c r="I691" s="99" t="s">
        <v>4</v>
      </c>
      <c r="J691" s="99" t="s">
        <v>4</v>
      </c>
      <c r="K691" s="99" t="s">
        <v>4</v>
      </c>
      <c r="L691" s="101"/>
      <c r="M691" s="104" t="str">
        <f>IF(Main[[#This Row],[Tech Start Date]]&lt;1/1/1990,"",IF(Main[[#This Row],[Class]]="C",WORKDAY(Main[[#This Row],[Tech Start Date]],9),IF(Main[[#This Row],[Class]]="B", WORKDAY(Main[[#This Row],[Tech Start Date]],6),IF(Main[[#This Row],[Class]]="A",WORKDAY(Main[[#This Row],[Tech Start Date]],2),""))))</f>
        <v/>
      </c>
      <c r="N691" s="104" t="str">
        <f>IF(Main[[#This Row],[Tech Start Date]]&lt;1/1/1990,"",IF(Main[[#This Row],[Class]]="C",WORKDAY(Main[[#This Row],[Tech Start Date]],19),IF(Main[[#This Row],[Class]]="B", WORKDAY(Main[[#This Row],[Tech Start Date]],12),IF(Main[[#This Row],[Class]]="A",WORKDAY(Main[[#This Row],[Tech Start Date]],4),""))))</f>
        <v/>
      </c>
      <c r="O691" s="104" t="str">
        <f>IF(Main[[#This Row],[Tech Start Date]]&lt;1/1/1990,"",IF(Main[[#This Row],[Class]]="C",WORKDAY(Main[[#This Row],[Tech Start Date]],23),IF(Main[[#This Row],[Class]]="B", WORKDAY(Main[[#This Row],[Tech Start Date]],15),IF(Main[[#This Row],[Class]]="A",WORKDAY(Main[[#This Row],[Tech Start Date]],5),""))))</f>
        <v/>
      </c>
      <c r="P691" s="104" t="str">
        <f>IF(Main[[#This Row],[Tech Start Date]]&lt;1/1/1990,"",IF(Main[[#This Row],[Class]]="C",WORKDAY(Main[[#This Row],[Tech Start Date]],28),IF(Main[[#This Row],[Class]]="B", WORKDAY(Main[[#This Row],[Tech Start Date]],19),IF(Main[[#This Row],[Class]]="A",WORKDAY(Main[[#This Row],[Tech Start Date]],9),""))))</f>
        <v/>
      </c>
      <c r="Q691" s="101"/>
      <c r="R691" s="101"/>
      <c r="S691" s="99" t="s">
        <v>23</v>
      </c>
      <c r="T691" s="107" t="s">
        <v>4</v>
      </c>
      <c r="U691" s="99" t="s">
        <v>14</v>
      </c>
      <c r="V691" s="99" t="s">
        <v>1962</v>
      </c>
      <c r="W691" s="99" t="s">
        <v>1966</v>
      </c>
    </row>
    <row r="692" spans="1:23" ht="18.600000000000001" customHeight="1">
      <c r="A692" s="123" t="str">
        <f>IF(priority(Main[[#This Row],[Comments]])&lt;&gt;0, priority(Main[[#This Row],[Comments]]),"")</f>
        <v/>
      </c>
      <c r="B692" s="127" t="s">
        <v>1568</v>
      </c>
      <c r="C692" s="99" t="s">
        <v>33</v>
      </c>
      <c r="D692" s="100" t="s">
        <v>620</v>
      </c>
      <c r="E692" s="101"/>
      <c r="F692" s="101">
        <v>40252</v>
      </c>
      <c r="G692" s="102" t="str">
        <f>IF(stdProdLT(Main[[#This Row],[Comments]])=0.1,"N/A",IF(stdProdLT(Main[[#This Row],[Comments]])=0,"",stdProdLT(Main[[#This Row],[Comments]])))</f>
        <v/>
      </c>
      <c r="H692" s="103" t="str">
        <f>IF(AND(Main[[#This Row],[In Stock Date]]&lt;&gt;"",Main[[#This Row],[Revised Due Date]]&lt;&gt;""),Main[[#This Row],[In Stock Date]]-Main[[#This Row],[Revised Due Date]],"")</f>
        <v/>
      </c>
      <c r="I692" s="99" t="s">
        <v>4</v>
      </c>
      <c r="J692" s="99" t="s">
        <v>4</v>
      </c>
      <c r="K692" s="99" t="s">
        <v>4</v>
      </c>
      <c r="L692" s="101"/>
      <c r="M692" s="104" t="str">
        <f>IF(Main[[#This Row],[Tech Start Date]]&lt;1/1/1990,"",IF(Main[[#This Row],[Class]]="C",WORKDAY(Main[[#This Row],[Tech Start Date]],9),IF(Main[[#This Row],[Class]]="B", WORKDAY(Main[[#This Row],[Tech Start Date]],6),IF(Main[[#This Row],[Class]]="A",WORKDAY(Main[[#This Row],[Tech Start Date]],2),""))))</f>
        <v/>
      </c>
      <c r="N692" s="104" t="str">
        <f>IF(Main[[#This Row],[Tech Start Date]]&lt;1/1/1990,"",IF(Main[[#This Row],[Class]]="C",WORKDAY(Main[[#This Row],[Tech Start Date]],19),IF(Main[[#This Row],[Class]]="B", WORKDAY(Main[[#This Row],[Tech Start Date]],12),IF(Main[[#This Row],[Class]]="A",WORKDAY(Main[[#This Row],[Tech Start Date]],4),""))))</f>
        <v/>
      </c>
      <c r="O692" s="104" t="str">
        <f>IF(Main[[#This Row],[Tech Start Date]]&lt;1/1/1990,"",IF(Main[[#This Row],[Class]]="C",WORKDAY(Main[[#This Row],[Tech Start Date]],23),IF(Main[[#This Row],[Class]]="B", WORKDAY(Main[[#This Row],[Tech Start Date]],15),IF(Main[[#This Row],[Class]]="A",WORKDAY(Main[[#This Row],[Tech Start Date]],5),""))))</f>
        <v/>
      </c>
      <c r="P692" s="104" t="str">
        <f>IF(Main[[#This Row],[Tech Start Date]]&lt;1/1/1990,"",IF(Main[[#This Row],[Class]]="C",WORKDAY(Main[[#This Row],[Tech Start Date]],28),IF(Main[[#This Row],[Class]]="B", WORKDAY(Main[[#This Row],[Tech Start Date]],19),IF(Main[[#This Row],[Class]]="A",WORKDAY(Main[[#This Row],[Tech Start Date]],9),""))))</f>
        <v/>
      </c>
      <c r="Q692" s="101">
        <v>40227</v>
      </c>
      <c r="R692" s="101"/>
      <c r="S692" s="99" t="s">
        <v>11</v>
      </c>
      <c r="T692" s="107" t="s">
        <v>4</v>
      </c>
      <c r="U692" s="99" t="s">
        <v>14</v>
      </c>
      <c r="V692" s="99" t="s">
        <v>1965</v>
      </c>
      <c r="W692" s="99" t="s">
        <v>1967</v>
      </c>
    </row>
    <row r="693" spans="1:23" ht="18.600000000000001" customHeight="1">
      <c r="A693" s="123" t="str">
        <f>IF(priority(Main[[#This Row],[Comments]])&lt;&gt;0, priority(Main[[#This Row],[Comments]]),"")</f>
        <v/>
      </c>
      <c r="B693" s="127" t="s">
        <v>1569</v>
      </c>
      <c r="C693" s="99" t="s">
        <v>4</v>
      </c>
      <c r="D693" s="100" t="s">
        <v>621</v>
      </c>
      <c r="E693" s="101"/>
      <c r="F693" s="101"/>
      <c r="G693" s="102" t="str">
        <f>IF(stdProdLT(Main[[#This Row],[Comments]])=0.1,"N/A",IF(stdProdLT(Main[[#This Row],[Comments]])=0,"",stdProdLT(Main[[#This Row],[Comments]])))</f>
        <v/>
      </c>
      <c r="H693" s="103" t="str">
        <f>IF(AND(Main[[#This Row],[In Stock Date]]&lt;&gt;"",Main[[#This Row],[Revised Due Date]]&lt;&gt;""),Main[[#This Row],[In Stock Date]]-Main[[#This Row],[Revised Due Date]],"")</f>
        <v/>
      </c>
      <c r="I693" s="99" t="s">
        <v>4</v>
      </c>
      <c r="J693" s="99" t="s">
        <v>28</v>
      </c>
      <c r="K693" s="99" t="s">
        <v>1971</v>
      </c>
      <c r="L693" s="101"/>
      <c r="M693" s="104" t="str">
        <f>IF(Main[[#This Row],[Tech Start Date]]&lt;1/1/1990,"",IF(Main[[#This Row],[Class]]="C",WORKDAY(Main[[#This Row],[Tech Start Date]],9),IF(Main[[#This Row],[Class]]="B", WORKDAY(Main[[#This Row],[Tech Start Date]],6),IF(Main[[#This Row],[Class]]="A",WORKDAY(Main[[#This Row],[Tech Start Date]],2),""))))</f>
        <v/>
      </c>
      <c r="N693" s="104" t="str">
        <f>IF(Main[[#This Row],[Tech Start Date]]&lt;1/1/1990,"",IF(Main[[#This Row],[Class]]="C",WORKDAY(Main[[#This Row],[Tech Start Date]],19),IF(Main[[#This Row],[Class]]="B", WORKDAY(Main[[#This Row],[Tech Start Date]],12),IF(Main[[#This Row],[Class]]="A",WORKDAY(Main[[#This Row],[Tech Start Date]],4),""))))</f>
        <v/>
      </c>
      <c r="O693" s="104" t="str">
        <f>IF(Main[[#This Row],[Tech Start Date]]&lt;1/1/1990,"",IF(Main[[#This Row],[Class]]="C",WORKDAY(Main[[#This Row],[Tech Start Date]],23),IF(Main[[#This Row],[Class]]="B", WORKDAY(Main[[#This Row],[Tech Start Date]],15),IF(Main[[#This Row],[Class]]="A",WORKDAY(Main[[#This Row],[Tech Start Date]],5),""))))</f>
        <v/>
      </c>
      <c r="P693" s="104" t="str">
        <f>IF(Main[[#This Row],[Tech Start Date]]&lt;1/1/1990,"",IF(Main[[#This Row],[Class]]="C",WORKDAY(Main[[#This Row],[Tech Start Date]],28),IF(Main[[#This Row],[Class]]="B", WORKDAY(Main[[#This Row],[Tech Start Date]],19),IF(Main[[#This Row],[Class]]="A",WORKDAY(Main[[#This Row],[Tech Start Date]],9),""))))</f>
        <v/>
      </c>
      <c r="Q693" s="101">
        <v>40387</v>
      </c>
      <c r="R693" s="101"/>
      <c r="S693" s="99" t="s">
        <v>6</v>
      </c>
      <c r="T693" s="107" t="s">
        <v>4</v>
      </c>
      <c r="U693" s="99" t="s">
        <v>14</v>
      </c>
      <c r="V693" s="99" t="s">
        <v>1962</v>
      </c>
      <c r="W693" s="99" t="s">
        <v>1967</v>
      </c>
    </row>
    <row r="694" spans="1:23" ht="18.600000000000001" customHeight="1">
      <c r="A694" s="123" t="str">
        <f>IF(priority(Main[[#This Row],[Comments]])&lt;&gt;0, priority(Main[[#This Row],[Comments]]),"")</f>
        <v/>
      </c>
      <c r="B694" s="127" t="s">
        <v>1570</v>
      </c>
      <c r="C694" s="99" t="s">
        <v>214</v>
      </c>
      <c r="D694" s="100" t="s">
        <v>419</v>
      </c>
      <c r="E694" s="101"/>
      <c r="F694" s="101">
        <v>40391</v>
      </c>
      <c r="G694" s="102" t="str">
        <f>IF(stdProdLT(Main[[#This Row],[Comments]])=0.1,"N/A",IF(stdProdLT(Main[[#This Row],[Comments]])=0,"",stdProdLT(Main[[#This Row],[Comments]])))</f>
        <v/>
      </c>
      <c r="H694" s="103" t="str">
        <f>IF(AND(Main[[#This Row],[In Stock Date]]&lt;&gt;"",Main[[#This Row],[Revised Due Date]]&lt;&gt;""),Main[[#This Row],[In Stock Date]]-Main[[#This Row],[Revised Due Date]],"")</f>
        <v/>
      </c>
      <c r="I694" s="99" t="s">
        <v>4</v>
      </c>
      <c r="J694" s="99" t="s">
        <v>4</v>
      </c>
      <c r="K694" s="99" t="s">
        <v>4</v>
      </c>
      <c r="L694" s="101"/>
      <c r="M694" s="104" t="str">
        <f>IF(Main[[#This Row],[Tech Start Date]]&lt;1/1/1990,"",IF(Main[[#This Row],[Class]]="C",WORKDAY(Main[[#This Row],[Tech Start Date]],9),IF(Main[[#This Row],[Class]]="B", WORKDAY(Main[[#This Row],[Tech Start Date]],6),IF(Main[[#This Row],[Class]]="A",WORKDAY(Main[[#This Row],[Tech Start Date]],2),""))))</f>
        <v/>
      </c>
      <c r="N694" s="104" t="str">
        <f>IF(Main[[#This Row],[Tech Start Date]]&lt;1/1/1990,"",IF(Main[[#This Row],[Class]]="C",WORKDAY(Main[[#This Row],[Tech Start Date]],19),IF(Main[[#This Row],[Class]]="B", WORKDAY(Main[[#This Row],[Tech Start Date]],12),IF(Main[[#This Row],[Class]]="A",WORKDAY(Main[[#This Row],[Tech Start Date]],4),""))))</f>
        <v/>
      </c>
      <c r="O694" s="104" t="str">
        <f>IF(Main[[#This Row],[Tech Start Date]]&lt;1/1/1990,"",IF(Main[[#This Row],[Class]]="C",WORKDAY(Main[[#This Row],[Tech Start Date]],23),IF(Main[[#This Row],[Class]]="B", WORKDAY(Main[[#This Row],[Tech Start Date]],15),IF(Main[[#This Row],[Class]]="A",WORKDAY(Main[[#This Row],[Tech Start Date]],5),""))))</f>
        <v/>
      </c>
      <c r="P694" s="104" t="str">
        <f>IF(Main[[#This Row],[Tech Start Date]]&lt;1/1/1990,"",IF(Main[[#This Row],[Class]]="C",WORKDAY(Main[[#This Row],[Tech Start Date]],28),IF(Main[[#This Row],[Class]]="B", WORKDAY(Main[[#This Row],[Tech Start Date]],19),IF(Main[[#This Row],[Class]]="A",WORKDAY(Main[[#This Row],[Tech Start Date]],9),""))))</f>
        <v/>
      </c>
      <c r="Q694" s="101">
        <v>40296</v>
      </c>
      <c r="R694" s="101"/>
      <c r="S694" s="99" t="s">
        <v>11</v>
      </c>
      <c r="T694" s="107" t="s">
        <v>4</v>
      </c>
      <c r="U694" s="99" t="s">
        <v>12</v>
      </c>
      <c r="V694" s="99" t="s">
        <v>1962</v>
      </c>
      <c r="W694" s="99" t="s">
        <v>1970</v>
      </c>
    </row>
    <row r="695" spans="1:23" ht="18.600000000000001" customHeight="1">
      <c r="A695" s="123" t="str">
        <f>IF(priority(Main[[#This Row],[Comments]])&lt;&gt;0, priority(Main[[#This Row],[Comments]]),"")</f>
        <v/>
      </c>
      <c r="B695" s="127" t="s">
        <v>1571</v>
      </c>
      <c r="C695" s="99" t="s">
        <v>214</v>
      </c>
      <c r="D695" s="100" t="s">
        <v>419</v>
      </c>
      <c r="E695" s="101"/>
      <c r="F695" s="101">
        <v>40452</v>
      </c>
      <c r="G695" s="102" t="str">
        <f>IF(stdProdLT(Main[[#This Row],[Comments]])=0.1,"N/A",IF(stdProdLT(Main[[#This Row],[Comments]])=0,"",stdProdLT(Main[[#This Row],[Comments]])))</f>
        <v/>
      </c>
      <c r="H695" s="103" t="str">
        <f>IF(AND(Main[[#This Row],[In Stock Date]]&lt;&gt;"",Main[[#This Row],[Revised Due Date]]&lt;&gt;""),Main[[#This Row],[In Stock Date]]-Main[[#This Row],[Revised Due Date]],"")</f>
        <v/>
      </c>
      <c r="I695" s="99" t="s">
        <v>4</v>
      </c>
      <c r="J695" s="99" t="s">
        <v>4</v>
      </c>
      <c r="K695" s="99" t="s">
        <v>4</v>
      </c>
      <c r="L695" s="101"/>
      <c r="M695" s="104" t="str">
        <f>IF(Main[[#This Row],[Tech Start Date]]&lt;1/1/1990,"",IF(Main[[#This Row],[Class]]="C",WORKDAY(Main[[#This Row],[Tech Start Date]],9),IF(Main[[#This Row],[Class]]="B", WORKDAY(Main[[#This Row],[Tech Start Date]],6),IF(Main[[#This Row],[Class]]="A",WORKDAY(Main[[#This Row],[Tech Start Date]],2),""))))</f>
        <v/>
      </c>
      <c r="N695" s="104" t="str">
        <f>IF(Main[[#This Row],[Tech Start Date]]&lt;1/1/1990,"",IF(Main[[#This Row],[Class]]="C",WORKDAY(Main[[#This Row],[Tech Start Date]],19),IF(Main[[#This Row],[Class]]="B", WORKDAY(Main[[#This Row],[Tech Start Date]],12),IF(Main[[#This Row],[Class]]="A",WORKDAY(Main[[#This Row],[Tech Start Date]],4),""))))</f>
        <v/>
      </c>
      <c r="O695" s="104" t="str">
        <f>IF(Main[[#This Row],[Tech Start Date]]&lt;1/1/1990,"",IF(Main[[#This Row],[Class]]="C",WORKDAY(Main[[#This Row],[Tech Start Date]],23),IF(Main[[#This Row],[Class]]="B", WORKDAY(Main[[#This Row],[Tech Start Date]],15),IF(Main[[#This Row],[Class]]="A",WORKDAY(Main[[#This Row],[Tech Start Date]],5),""))))</f>
        <v/>
      </c>
      <c r="P695" s="104" t="str">
        <f>IF(Main[[#This Row],[Tech Start Date]]&lt;1/1/1990,"",IF(Main[[#This Row],[Class]]="C",WORKDAY(Main[[#This Row],[Tech Start Date]],28),IF(Main[[#This Row],[Class]]="B", WORKDAY(Main[[#This Row],[Tech Start Date]],19),IF(Main[[#This Row],[Class]]="A",WORKDAY(Main[[#This Row],[Tech Start Date]],9),""))))</f>
        <v/>
      </c>
      <c r="Q695" s="101">
        <v>40357</v>
      </c>
      <c r="R695" s="101"/>
      <c r="S695" s="99" t="s">
        <v>11</v>
      </c>
      <c r="T695" s="107" t="s">
        <v>4</v>
      </c>
      <c r="U695" s="99" t="s">
        <v>12</v>
      </c>
      <c r="V695" s="99" t="s">
        <v>1962</v>
      </c>
      <c r="W695" s="99" t="s">
        <v>1970</v>
      </c>
    </row>
    <row r="696" spans="1:23" ht="18.600000000000001" customHeight="1">
      <c r="A696" s="123" t="str">
        <f>IF(priority(Main[[#This Row],[Comments]])&lt;&gt;0, priority(Main[[#This Row],[Comments]]),"")</f>
        <v/>
      </c>
      <c r="B696" s="127" t="s">
        <v>1572</v>
      </c>
      <c r="C696" s="99" t="s">
        <v>214</v>
      </c>
      <c r="D696" s="100" t="s">
        <v>215</v>
      </c>
      <c r="E696" s="101"/>
      <c r="F696" s="101">
        <v>40452</v>
      </c>
      <c r="G696" s="102" t="str">
        <f>IF(stdProdLT(Main[[#This Row],[Comments]])=0.1,"N/A",IF(stdProdLT(Main[[#This Row],[Comments]])=0,"",stdProdLT(Main[[#This Row],[Comments]])))</f>
        <v/>
      </c>
      <c r="H696" s="103" t="str">
        <f>IF(AND(Main[[#This Row],[In Stock Date]]&lt;&gt;"",Main[[#This Row],[Revised Due Date]]&lt;&gt;""),Main[[#This Row],[In Stock Date]]-Main[[#This Row],[Revised Due Date]],"")</f>
        <v/>
      </c>
      <c r="I696" s="99" t="s">
        <v>4</v>
      </c>
      <c r="J696" s="99" t="s">
        <v>4</v>
      </c>
      <c r="K696" s="99" t="s">
        <v>4</v>
      </c>
      <c r="L696" s="101"/>
      <c r="M696" s="104" t="str">
        <f>IF(Main[[#This Row],[Tech Start Date]]&lt;1/1/1990,"",IF(Main[[#This Row],[Class]]="C",WORKDAY(Main[[#This Row],[Tech Start Date]],9),IF(Main[[#This Row],[Class]]="B", WORKDAY(Main[[#This Row],[Tech Start Date]],6),IF(Main[[#This Row],[Class]]="A",WORKDAY(Main[[#This Row],[Tech Start Date]],2),""))))</f>
        <v/>
      </c>
      <c r="N696" s="104" t="str">
        <f>IF(Main[[#This Row],[Tech Start Date]]&lt;1/1/1990,"",IF(Main[[#This Row],[Class]]="C",WORKDAY(Main[[#This Row],[Tech Start Date]],19),IF(Main[[#This Row],[Class]]="B", WORKDAY(Main[[#This Row],[Tech Start Date]],12),IF(Main[[#This Row],[Class]]="A",WORKDAY(Main[[#This Row],[Tech Start Date]],4),""))))</f>
        <v/>
      </c>
      <c r="O696" s="104" t="str">
        <f>IF(Main[[#This Row],[Tech Start Date]]&lt;1/1/1990,"",IF(Main[[#This Row],[Class]]="C",WORKDAY(Main[[#This Row],[Tech Start Date]],23),IF(Main[[#This Row],[Class]]="B", WORKDAY(Main[[#This Row],[Tech Start Date]],15),IF(Main[[#This Row],[Class]]="A",WORKDAY(Main[[#This Row],[Tech Start Date]],5),""))))</f>
        <v/>
      </c>
      <c r="P696" s="104" t="str">
        <f>IF(Main[[#This Row],[Tech Start Date]]&lt;1/1/1990,"",IF(Main[[#This Row],[Class]]="C",WORKDAY(Main[[#This Row],[Tech Start Date]],28),IF(Main[[#This Row],[Class]]="B", WORKDAY(Main[[#This Row],[Tech Start Date]],19),IF(Main[[#This Row],[Class]]="A",WORKDAY(Main[[#This Row],[Tech Start Date]],9),""))))</f>
        <v/>
      </c>
      <c r="Q696" s="101">
        <v>40357</v>
      </c>
      <c r="R696" s="101"/>
      <c r="S696" s="99" t="s">
        <v>11</v>
      </c>
      <c r="T696" s="107" t="s">
        <v>4</v>
      </c>
      <c r="U696" s="99" t="s">
        <v>12</v>
      </c>
      <c r="V696" s="99" t="s">
        <v>1962</v>
      </c>
      <c r="W696" s="99" t="s">
        <v>1970</v>
      </c>
    </row>
    <row r="697" spans="1:23" ht="18.600000000000001" customHeight="1">
      <c r="A697" s="123" t="str">
        <f>IF(priority(Main[[#This Row],[Comments]])&lt;&gt;0, priority(Main[[#This Row],[Comments]]),"")</f>
        <v/>
      </c>
      <c r="B697" s="127" t="s">
        <v>1573</v>
      </c>
      <c r="C697" s="99" t="s">
        <v>214</v>
      </c>
      <c r="D697" s="100" t="s">
        <v>215</v>
      </c>
      <c r="E697" s="101"/>
      <c r="F697" s="101">
        <v>40452</v>
      </c>
      <c r="G697" s="102" t="str">
        <f>IF(stdProdLT(Main[[#This Row],[Comments]])=0.1,"N/A",IF(stdProdLT(Main[[#This Row],[Comments]])=0,"",stdProdLT(Main[[#This Row],[Comments]])))</f>
        <v/>
      </c>
      <c r="H697" s="103" t="str">
        <f>IF(AND(Main[[#This Row],[In Stock Date]]&lt;&gt;"",Main[[#This Row],[Revised Due Date]]&lt;&gt;""),Main[[#This Row],[In Stock Date]]-Main[[#This Row],[Revised Due Date]],"")</f>
        <v/>
      </c>
      <c r="I697" s="99" t="s">
        <v>4</v>
      </c>
      <c r="J697" s="99" t="s">
        <v>4</v>
      </c>
      <c r="K697" s="108" t="s">
        <v>4</v>
      </c>
      <c r="L697" s="101"/>
      <c r="M697" s="104" t="str">
        <f>IF(Main[[#This Row],[Tech Start Date]]&lt;1/1/1990,"",IF(Main[[#This Row],[Class]]="C",WORKDAY(Main[[#This Row],[Tech Start Date]],9),IF(Main[[#This Row],[Class]]="B", WORKDAY(Main[[#This Row],[Tech Start Date]],6),IF(Main[[#This Row],[Class]]="A",WORKDAY(Main[[#This Row],[Tech Start Date]],2),""))))</f>
        <v/>
      </c>
      <c r="N697" s="104" t="str">
        <f>IF(Main[[#This Row],[Tech Start Date]]&lt;1/1/1990,"",IF(Main[[#This Row],[Class]]="C",WORKDAY(Main[[#This Row],[Tech Start Date]],19),IF(Main[[#This Row],[Class]]="B", WORKDAY(Main[[#This Row],[Tech Start Date]],12),IF(Main[[#This Row],[Class]]="A",WORKDAY(Main[[#This Row],[Tech Start Date]],4),""))))</f>
        <v/>
      </c>
      <c r="O697" s="104" t="str">
        <f>IF(Main[[#This Row],[Tech Start Date]]&lt;1/1/1990,"",IF(Main[[#This Row],[Class]]="C",WORKDAY(Main[[#This Row],[Tech Start Date]],23),IF(Main[[#This Row],[Class]]="B", WORKDAY(Main[[#This Row],[Tech Start Date]],15),IF(Main[[#This Row],[Class]]="A",WORKDAY(Main[[#This Row],[Tech Start Date]],5),""))))</f>
        <v/>
      </c>
      <c r="P697" s="104" t="str">
        <f>IF(Main[[#This Row],[Tech Start Date]]&lt;1/1/1990,"",IF(Main[[#This Row],[Class]]="C",WORKDAY(Main[[#This Row],[Tech Start Date]],28),IF(Main[[#This Row],[Class]]="B", WORKDAY(Main[[#This Row],[Tech Start Date]],19),IF(Main[[#This Row],[Class]]="A",WORKDAY(Main[[#This Row],[Tech Start Date]],9),""))))</f>
        <v/>
      </c>
      <c r="Q697" s="101">
        <v>40357</v>
      </c>
      <c r="R697" s="101"/>
      <c r="S697" s="99" t="s">
        <v>11</v>
      </c>
      <c r="T697" s="107" t="s">
        <v>4</v>
      </c>
      <c r="U697" s="99" t="s">
        <v>12</v>
      </c>
      <c r="V697" s="99" t="s">
        <v>1962</v>
      </c>
      <c r="W697" s="99" t="s">
        <v>1970</v>
      </c>
    </row>
    <row r="698" spans="1:23" ht="18.600000000000001" customHeight="1">
      <c r="A698" s="123" t="str">
        <f>IF(priority(Main[[#This Row],[Comments]])&lt;&gt;0, priority(Main[[#This Row],[Comments]]),"")</f>
        <v/>
      </c>
      <c r="B698" s="127" t="s">
        <v>1574</v>
      </c>
      <c r="C698" s="99" t="s">
        <v>72</v>
      </c>
      <c r="D698" s="100" t="s">
        <v>622</v>
      </c>
      <c r="E698" s="101"/>
      <c r="F698" s="101"/>
      <c r="G698" s="102" t="str">
        <f>IF(stdProdLT(Main[[#This Row],[Comments]])=0.1,"N/A",IF(stdProdLT(Main[[#This Row],[Comments]])=0,"",stdProdLT(Main[[#This Row],[Comments]])))</f>
        <v/>
      </c>
      <c r="H698" s="103" t="str">
        <f>IF(AND(Main[[#This Row],[In Stock Date]]&lt;&gt;"",Main[[#This Row],[Revised Due Date]]&lt;&gt;""),Main[[#This Row],[In Stock Date]]-Main[[#This Row],[Revised Due Date]],"")</f>
        <v/>
      </c>
      <c r="I698" s="99" t="s">
        <v>4</v>
      </c>
      <c r="J698" s="99" t="s">
        <v>4</v>
      </c>
      <c r="K698" s="99" t="s">
        <v>4</v>
      </c>
      <c r="L698" s="101"/>
      <c r="M698" s="104" t="str">
        <f>IF(Main[[#This Row],[Tech Start Date]]&lt;1/1/1990,"",IF(Main[[#This Row],[Class]]="C",WORKDAY(Main[[#This Row],[Tech Start Date]],9),IF(Main[[#This Row],[Class]]="B", WORKDAY(Main[[#This Row],[Tech Start Date]],6),IF(Main[[#This Row],[Class]]="A",WORKDAY(Main[[#This Row],[Tech Start Date]],2),""))))</f>
        <v/>
      </c>
      <c r="N698" s="104" t="str">
        <f>IF(Main[[#This Row],[Tech Start Date]]&lt;1/1/1990,"",IF(Main[[#This Row],[Class]]="C",WORKDAY(Main[[#This Row],[Tech Start Date]],19),IF(Main[[#This Row],[Class]]="B", WORKDAY(Main[[#This Row],[Tech Start Date]],12),IF(Main[[#This Row],[Class]]="A",WORKDAY(Main[[#This Row],[Tech Start Date]],4),""))))</f>
        <v/>
      </c>
      <c r="O698" s="104" t="str">
        <f>IF(Main[[#This Row],[Tech Start Date]]&lt;1/1/1990,"",IF(Main[[#This Row],[Class]]="C",WORKDAY(Main[[#This Row],[Tech Start Date]],23),IF(Main[[#This Row],[Class]]="B", WORKDAY(Main[[#This Row],[Tech Start Date]],15),IF(Main[[#This Row],[Class]]="A",WORKDAY(Main[[#This Row],[Tech Start Date]],5),""))))</f>
        <v/>
      </c>
      <c r="P698" s="104" t="str">
        <f>IF(Main[[#This Row],[Tech Start Date]]&lt;1/1/1990,"",IF(Main[[#This Row],[Class]]="C",WORKDAY(Main[[#This Row],[Tech Start Date]],28),IF(Main[[#This Row],[Class]]="B", WORKDAY(Main[[#This Row],[Tech Start Date]],19),IF(Main[[#This Row],[Class]]="A",WORKDAY(Main[[#This Row],[Tech Start Date]],9),""))))</f>
        <v/>
      </c>
      <c r="Q698" s="101"/>
      <c r="R698" s="101"/>
      <c r="S698" s="99" t="s">
        <v>11</v>
      </c>
      <c r="T698" s="107" t="s">
        <v>4</v>
      </c>
      <c r="U698" s="99" t="s">
        <v>14</v>
      </c>
      <c r="V698" s="99" t="s">
        <v>1963</v>
      </c>
      <c r="W698" s="99" t="s">
        <v>1970</v>
      </c>
    </row>
    <row r="699" spans="1:23" ht="18.600000000000001" customHeight="1">
      <c r="A699" s="123" t="str">
        <f>IF(priority(Main[[#This Row],[Comments]])&lt;&gt;0, priority(Main[[#This Row],[Comments]]),"")</f>
        <v/>
      </c>
      <c r="B699" s="127" t="s">
        <v>1575</v>
      </c>
      <c r="C699" s="99" t="s">
        <v>33</v>
      </c>
      <c r="D699" s="100" t="s">
        <v>623</v>
      </c>
      <c r="E699" s="101"/>
      <c r="F699" s="101"/>
      <c r="G699" s="102" t="str">
        <f>IF(stdProdLT(Main[[#This Row],[Comments]])=0.1,"N/A",IF(stdProdLT(Main[[#This Row],[Comments]])=0,"",stdProdLT(Main[[#This Row],[Comments]])))</f>
        <v/>
      </c>
      <c r="H699" s="103" t="str">
        <f>IF(AND(Main[[#This Row],[In Stock Date]]&lt;&gt;"",Main[[#This Row],[Revised Due Date]]&lt;&gt;""),Main[[#This Row],[In Stock Date]]-Main[[#This Row],[Revised Due Date]],"")</f>
        <v/>
      </c>
      <c r="I699" s="99" t="s">
        <v>4</v>
      </c>
      <c r="J699" s="99" t="s">
        <v>4</v>
      </c>
      <c r="K699" s="99" t="s">
        <v>4</v>
      </c>
      <c r="L699" s="101"/>
      <c r="M699" s="104" t="str">
        <f>IF(Main[[#This Row],[Tech Start Date]]&lt;1/1/1990,"",IF(Main[[#This Row],[Class]]="C",WORKDAY(Main[[#This Row],[Tech Start Date]],9),IF(Main[[#This Row],[Class]]="B", WORKDAY(Main[[#This Row],[Tech Start Date]],6),IF(Main[[#This Row],[Class]]="A",WORKDAY(Main[[#This Row],[Tech Start Date]],2),""))))</f>
        <v/>
      </c>
      <c r="N699" s="104" t="str">
        <f>IF(Main[[#This Row],[Tech Start Date]]&lt;1/1/1990,"",IF(Main[[#This Row],[Class]]="C",WORKDAY(Main[[#This Row],[Tech Start Date]],19),IF(Main[[#This Row],[Class]]="B", WORKDAY(Main[[#This Row],[Tech Start Date]],12),IF(Main[[#This Row],[Class]]="A",WORKDAY(Main[[#This Row],[Tech Start Date]],4),""))))</f>
        <v/>
      </c>
      <c r="O699" s="104" t="str">
        <f>IF(Main[[#This Row],[Tech Start Date]]&lt;1/1/1990,"",IF(Main[[#This Row],[Class]]="C",WORKDAY(Main[[#This Row],[Tech Start Date]],23),IF(Main[[#This Row],[Class]]="B", WORKDAY(Main[[#This Row],[Tech Start Date]],15),IF(Main[[#This Row],[Class]]="A",WORKDAY(Main[[#This Row],[Tech Start Date]],5),""))))</f>
        <v/>
      </c>
      <c r="P699" s="104" t="str">
        <f>IF(Main[[#This Row],[Tech Start Date]]&lt;1/1/1990,"",IF(Main[[#This Row],[Class]]="C",WORKDAY(Main[[#This Row],[Tech Start Date]],28),IF(Main[[#This Row],[Class]]="B", WORKDAY(Main[[#This Row],[Tech Start Date]],19),IF(Main[[#This Row],[Class]]="A",WORKDAY(Main[[#This Row],[Tech Start Date]],9),""))))</f>
        <v/>
      </c>
      <c r="Q699" s="101"/>
      <c r="R699" s="101"/>
      <c r="S699" s="99" t="s">
        <v>11</v>
      </c>
      <c r="T699" s="107" t="s">
        <v>4</v>
      </c>
      <c r="U699" s="99" t="s">
        <v>14</v>
      </c>
      <c r="V699" s="99" t="s">
        <v>1963</v>
      </c>
      <c r="W699" s="99" t="s">
        <v>1970</v>
      </c>
    </row>
    <row r="700" spans="1:23" ht="18.600000000000001" customHeight="1">
      <c r="A700" s="123" t="str">
        <f>IF(priority(Main[[#This Row],[Comments]])&lt;&gt;0, priority(Main[[#This Row],[Comments]]),"")</f>
        <v/>
      </c>
      <c r="B700" s="127" t="s">
        <v>1576</v>
      </c>
      <c r="C700" s="99" t="s">
        <v>33</v>
      </c>
      <c r="D700" s="100" t="s">
        <v>624</v>
      </c>
      <c r="E700" s="101"/>
      <c r="F700" s="101"/>
      <c r="G700" s="102" t="str">
        <f>IF(stdProdLT(Main[[#This Row],[Comments]])=0.1,"N/A",IF(stdProdLT(Main[[#This Row],[Comments]])=0,"",stdProdLT(Main[[#This Row],[Comments]])))</f>
        <v/>
      </c>
      <c r="H700" s="103" t="str">
        <f>IF(AND(Main[[#This Row],[In Stock Date]]&lt;&gt;"",Main[[#This Row],[Revised Due Date]]&lt;&gt;""),Main[[#This Row],[In Stock Date]]-Main[[#This Row],[Revised Due Date]],"")</f>
        <v/>
      </c>
      <c r="I700" s="99" t="s">
        <v>4</v>
      </c>
      <c r="J700" s="99" t="s">
        <v>4</v>
      </c>
      <c r="K700" s="99" t="s">
        <v>4</v>
      </c>
      <c r="L700" s="101"/>
      <c r="M700" s="104" t="str">
        <f>IF(Main[[#This Row],[Tech Start Date]]&lt;1/1/1990,"",IF(Main[[#This Row],[Class]]="C",WORKDAY(Main[[#This Row],[Tech Start Date]],9),IF(Main[[#This Row],[Class]]="B", WORKDAY(Main[[#This Row],[Tech Start Date]],6),IF(Main[[#This Row],[Class]]="A",WORKDAY(Main[[#This Row],[Tech Start Date]],2),""))))</f>
        <v/>
      </c>
      <c r="N700" s="104" t="str">
        <f>IF(Main[[#This Row],[Tech Start Date]]&lt;1/1/1990,"",IF(Main[[#This Row],[Class]]="C",WORKDAY(Main[[#This Row],[Tech Start Date]],19),IF(Main[[#This Row],[Class]]="B", WORKDAY(Main[[#This Row],[Tech Start Date]],12),IF(Main[[#This Row],[Class]]="A",WORKDAY(Main[[#This Row],[Tech Start Date]],4),""))))</f>
        <v/>
      </c>
      <c r="O700" s="104" t="str">
        <f>IF(Main[[#This Row],[Tech Start Date]]&lt;1/1/1990,"",IF(Main[[#This Row],[Class]]="C",WORKDAY(Main[[#This Row],[Tech Start Date]],23),IF(Main[[#This Row],[Class]]="B", WORKDAY(Main[[#This Row],[Tech Start Date]],15),IF(Main[[#This Row],[Class]]="A",WORKDAY(Main[[#This Row],[Tech Start Date]],5),""))))</f>
        <v/>
      </c>
      <c r="P700" s="104" t="str">
        <f>IF(Main[[#This Row],[Tech Start Date]]&lt;1/1/1990,"",IF(Main[[#This Row],[Class]]="C",WORKDAY(Main[[#This Row],[Tech Start Date]],28),IF(Main[[#This Row],[Class]]="B", WORKDAY(Main[[#This Row],[Tech Start Date]],19),IF(Main[[#This Row],[Class]]="A",WORKDAY(Main[[#This Row],[Tech Start Date]],9),""))))</f>
        <v/>
      </c>
      <c r="Q700" s="101"/>
      <c r="R700" s="101"/>
      <c r="S700" s="99" t="s">
        <v>11</v>
      </c>
      <c r="T700" s="107" t="s">
        <v>4</v>
      </c>
      <c r="U700" s="99" t="s">
        <v>14</v>
      </c>
      <c r="V700" s="99" t="s">
        <v>1963</v>
      </c>
      <c r="W700" s="99" t="s">
        <v>1970</v>
      </c>
    </row>
    <row r="701" spans="1:23" ht="18.600000000000001" customHeight="1">
      <c r="A701" s="123" t="str">
        <f>IF(priority(Main[[#This Row],[Comments]])&lt;&gt;0, priority(Main[[#This Row],[Comments]]),"")</f>
        <v/>
      </c>
      <c r="B701" s="127" t="s">
        <v>1577</v>
      </c>
      <c r="C701" s="99" t="s">
        <v>4</v>
      </c>
      <c r="D701" s="100" t="s">
        <v>625</v>
      </c>
      <c r="E701" s="101">
        <v>40294.429988425924</v>
      </c>
      <c r="F701" s="101"/>
      <c r="G701" s="102" t="str">
        <f>IF(stdProdLT(Main[[#This Row],[Comments]])=0.1,"N/A",IF(stdProdLT(Main[[#This Row],[Comments]])=0,"",stdProdLT(Main[[#This Row],[Comments]])))</f>
        <v/>
      </c>
      <c r="H701" s="103" t="str">
        <f>IF(AND(Main[[#This Row],[In Stock Date]]&lt;&gt;"",Main[[#This Row],[Revised Due Date]]&lt;&gt;""),Main[[#This Row],[In Stock Date]]-Main[[#This Row],[Revised Due Date]],"")</f>
        <v/>
      </c>
      <c r="I701" s="99" t="s">
        <v>4</v>
      </c>
      <c r="J701" s="99" t="s">
        <v>4</v>
      </c>
      <c r="K701" s="99" t="s">
        <v>4</v>
      </c>
      <c r="L701" s="101"/>
      <c r="M701" s="104" t="str">
        <f>IF(Main[[#This Row],[Tech Start Date]]&lt;1/1/1990,"",IF(Main[[#This Row],[Class]]="C",WORKDAY(Main[[#This Row],[Tech Start Date]],9),IF(Main[[#This Row],[Class]]="B", WORKDAY(Main[[#This Row],[Tech Start Date]],6),IF(Main[[#This Row],[Class]]="A",WORKDAY(Main[[#This Row],[Tech Start Date]],2),""))))</f>
        <v/>
      </c>
      <c r="N701" s="104" t="str">
        <f>IF(Main[[#This Row],[Tech Start Date]]&lt;1/1/1990,"",IF(Main[[#This Row],[Class]]="C",WORKDAY(Main[[#This Row],[Tech Start Date]],19),IF(Main[[#This Row],[Class]]="B", WORKDAY(Main[[#This Row],[Tech Start Date]],12),IF(Main[[#This Row],[Class]]="A",WORKDAY(Main[[#This Row],[Tech Start Date]],4),""))))</f>
        <v/>
      </c>
      <c r="O701" s="104" t="str">
        <f>IF(Main[[#This Row],[Tech Start Date]]&lt;1/1/1990,"",IF(Main[[#This Row],[Class]]="C",WORKDAY(Main[[#This Row],[Tech Start Date]],23),IF(Main[[#This Row],[Class]]="B", WORKDAY(Main[[#This Row],[Tech Start Date]],15),IF(Main[[#This Row],[Class]]="A",WORKDAY(Main[[#This Row],[Tech Start Date]],5),""))))</f>
        <v/>
      </c>
      <c r="P701" s="104" t="str">
        <f>IF(Main[[#This Row],[Tech Start Date]]&lt;1/1/1990,"",IF(Main[[#This Row],[Class]]="C",WORKDAY(Main[[#This Row],[Tech Start Date]],28),IF(Main[[#This Row],[Class]]="B", WORKDAY(Main[[#This Row],[Tech Start Date]],19),IF(Main[[#This Row],[Class]]="A",WORKDAY(Main[[#This Row],[Tech Start Date]],9),""))))</f>
        <v/>
      </c>
      <c r="Q701" s="101">
        <v>40390</v>
      </c>
      <c r="R701" s="101"/>
      <c r="S701" s="99" t="s">
        <v>6</v>
      </c>
      <c r="T701" s="107" t="s">
        <v>4</v>
      </c>
      <c r="U701" s="99" t="s">
        <v>7</v>
      </c>
      <c r="V701" s="99" t="s">
        <v>1962</v>
      </c>
      <c r="W701" s="99" t="s">
        <v>4</v>
      </c>
    </row>
    <row r="702" spans="1:23" ht="18.600000000000001" customHeight="1">
      <c r="A702" s="123" t="str">
        <f>IF(priority(Main[[#This Row],[Comments]])&lt;&gt;0, priority(Main[[#This Row],[Comments]]),"")</f>
        <v/>
      </c>
      <c r="B702" s="127" t="s">
        <v>1578</v>
      </c>
      <c r="C702" s="99" t="s">
        <v>4</v>
      </c>
      <c r="D702" s="100" t="s">
        <v>626</v>
      </c>
      <c r="E702" s="101"/>
      <c r="F702" s="101"/>
      <c r="G702" s="102" t="str">
        <f>IF(stdProdLT(Main[[#This Row],[Comments]])=0.1,"N/A",IF(stdProdLT(Main[[#This Row],[Comments]])=0,"",stdProdLT(Main[[#This Row],[Comments]])))</f>
        <v/>
      </c>
      <c r="H702" s="103" t="str">
        <f>IF(AND(Main[[#This Row],[In Stock Date]]&lt;&gt;"",Main[[#This Row],[Revised Due Date]]&lt;&gt;""),Main[[#This Row],[In Stock Date]]-Main[[#This Row],[Revised Due Date]],"")</f>
        <v/>
      </c>
      <c r="I702" s="99" t="s">
        <v>4</v>
      </c>
      <c r="J702" s="99" t="s">
        <v>4</v>
      </c>
      <c r="K702" s="99" t="s">
        <v>4</v>
      </c>
      <c r="L702" s="101"/>
      <c r="M702" s="104" t="str">
        <f>IF(Main[[#This Row],[Tech Start Date]]&lt;1/1/1990,"",IF(Main[[#This Row],[Class]]="C",WORKDAY(Main[[#This Row],[Tech Start Date]],9),IF(Main[[#This Row],[Class]]="B", WORKDAY(Main[[#This Row],[Tech Start Date]],6),IF(Main[[#This Row],[Class]]="A",WORKDAY(Main[[#This Row],[Tech Start Date]],2),""))))</f>
        <v/>
      </c>
      <c r="N702" s="104" t="str">
        <f>IF(Main[[#This Row],[Tech Start Date]]&lt;1/1/1990,"",IF(Main[[#This Row],[Class]]="C",WORKDAY(Main[[#This Row],[Tech Start Date]],19),IF(Main[[#This Row],[Class]]="B", WORKDAY(Main[[#This Row],[Tech Start Date]],12),IF(Main[[#This Row],[Class]]="A",WORKDAY(Main[[#This Row],[Tech Start Date]],4),""))))</f>
        <v/>
      </c>
      <c r="O702" s="104" t="str">
        <f>IF(Main[[#This Row],[Tech Start Date]]&lt;1/1/1990,"",IF(Main[[#This Row],[Class]]="C",WORKDAY(Main[[#This Row],[Tech Start Date]],23),IF(Main[[#This Row],[Class]]="B", WORKDAY(Main[[#This Row],[Tech Start Date]],15),IF(Main[[#This Row],[Class]]="A",WORKDAY(Main[[#This Row],[Tech Start Date]],5),""))))</f>
        <v/>
      </c>
      <c r="P702" s="104" t="str">
        <f>IF(Main[[#This Row],[Tech Start Date]]&lt;1/1/1990,"",IF(Main[[#This Row],[Class]]="C",WORKDAY(Main[[#This Row],[Tech Start Date]],28),IF(Main[[#This Row],[Class]]="B", WORKDAY(Main[[#This Row],[Tech Start Date]],19),IF(Main[[#This Row],[Class]]="A",WORKDAY(Main[[#This Row],[Tech Start Date]],9),""))))</f>
        <v/>
      </c>
      <c r="Q702" s="101"/>
      <c r="R702" s="101"/>
      <c r="S702" s="99" t="s">
        <v>11</v>
      </c>
      <c r="T702" s="107" t="s">
        <v>4</v>
      </c>
      <c r="U702" s="99" t="s">
        <v>14</v>
      </c>
      <c r="V702" s="99" t="s">
        <v>1962</v>
      </c>
      <c r="W702" s="99" t="s">
        <v>1966</v>
      </c>
    </row>
    <row r="703" spans="1:23" ht="18.600000000000001" customHeight="1">
      <c r="A703" s="123" t="str">
        <f>IF(priority(Main[[#This Row],[Comments]])&lt;&gt;0, priority(Main[[#This Row],[Comments]]),"")</f>
        <v/>
      </c>
      <c r="B703" s="127" t="s">
        <v>1582</v>
      </c>
      <c r="C703" s="99" t="s">
        <v>4</v>
      </c>
      <c r="D703" s="100" t="s">
        <v>634</v>
      </c>
      <c r="E703" s="101"/>
      <c r="F703" s="101"/>
      <c r="G703" s="102" t="str">
        <f>IF(stdProdLT(Main[[#This Row],[Comments]])=0.1,"N/A",IF(stdProdLT(Main[[#This Row],[Comments]])=0,"",stdProdLT(Main[[#This Row],[Comments]])))</f>
        <v/>
      </c>
      <c r="H703" s="103" t="str">
        <f>IF(AND(Main[[#This Row],[In Stock Date]]&lt;&gt;"",Main[[#This Row],[Revised Due Date]]&lt;&gt;""),Main[[#This Row],[In Stock Date]]-Main[[#This Row],[Revised Due Date]],"")</f>
        <v/>
      </c>
      <c r="I703" s="99" t="s">
        <v>4</v>
      </c>
      <c r="J703" s="99" t="s">
        <v>4</v>
      </c>
      <c r="K703" s="99" t="s">
        <v>4</v>
      </c>
      <c r="L703" s="101"/>
      <c r="M703" s="104" t="str">
        <f>IF(Main[[#This Row],[Tech Start Date]]&lt;1/1/1990,"",IF(Main[[#This Row],[Class]]="C",WORKDAY(Main[[#This Row],[Tech Start Date]],9),IF(Main[[#This Row],[Class]]="B", WORKDAY(Main[[#This Row],[Tech Start Date]],6),IF(Main[[#This Row],[Class]]="A",WORKDAY(Main[[#This Row],[Tech Start Date]],2),""))))</f>
        <v/>
      </c>
      <c r="N703" s="104" t="str">
        <f>IF(Main[[#This Row],[Tech Start Date]]&lt;1/1/1990,"",IF(Main[[#This Row],[Class]]="C",WORKDAY(Main[[#This Row],[Tech Start Date]],19),IF(Main[[#This Row],[Class]]="B", WORKDAY(Main[[#This Row],[Tech Start Date]],12),IF(Main[[#This Row],[Class]]="A",WORKDAY(Main[[#This Row],[Tech Start Date]],4),""))))</f>
        <v/>
      </c>
      <c r="O703" s="104" t="str">
        <f>IF(Main[[#This Row],[Tech Start Date]]&lt;1/1/1990,"",IF(Main[[#This Row],[Class]]="C",WORKDAY(Main[[#This Row],[Tech Start Date]],23),IF(Main[[#This Row],[Class]]="B", WORKDAY(Main[[#This Row],[Tech Start Date]],15),IF(Main[[#This Row],[Class]]="A",WORKDAY(Main[[#This Row],[Tech Start Date]],5),""))))</f>
        <v/>
      </c>
      <c r="P703" s="104" t="str">
        <f>IF(Main[[#This Row],[Tech Start Date]]&lt;1/1/1990,"",IF(Main[[#This Row],[Class]]="C",WORKDAY(Main[[#This Row],[Tech Start Date]],28),IF(Main[[#This Row],[Class]]="B", WORKDAY(Main[[#This Row],[Tech Start Date]],19),IF(Main[[#This Row],[Class]]="A",WORKDAY(Main[[#This Row],[Tech Start Date]],9),""))))</f>
        <v/>
      </c>
      <c r="Q703" s="101"/>
      <c r="R703" s="101"/>
      <c r="S703" s="99" t="s">
        <v>6</v>
      </c>
      <c r="T703" s="107" t="s">
        <v>4</v>
      </c>
      <c r="U703" s="99" t="s">
        <v>12</v>
      </c>
      <c r="V703" s="99" t="s">
        <v>1962</v>
      </c>
      <c r="W703" s="99" t="s">
        <v>4</v>
      </c>
    </row>
    <row r="704" spans="1:23" ht="18.600000000000001" customHeight="1">
      <c r="A704" s="123" t="str">
        <f>IF(priority(Main[[#This Row],[Comments]])&lt;&gt;0, priority(Main[[#This Row],[Comments]]),"")</f>
        <v/>
      </c>
      <c r="B704" s="127" t="s">
        <v>1583</v>
      </c>
      <c r="C704" s="99" t="s">
        <v>93</v>
      </c>
      <c r="D704" s="100" t="s">
        <v>635</v>
      </c>
      <c r="E704" s="101"/>
      <c r="F704" s="101">
        <v>40162</v>
      </c>
      <c r="G704" s="102" t="str">
        <f>IF(stdProdLT(Main[[#This Row],[Comments]])=0.1,"N/A",IF(stdProdLT(Main[[#This Row],[Comments]])=0,"",stdProdLT(Main[[#This Row],[Comments]])))</f>
        <v/>
      </c>
      <c r="H704" s="103" t="str">
        <f>IF(AND(Main[[#This Row],[In Stock Date]]&lt;&gt;"",Main[[#This Row],[Revised Due Date]]&lt;&gt;""),Main[[#This Row],[In Stock Date]]-Main[[#This Row],[Revised Due Date]],"")</f>
        <v/>
      </c>
      <c r="I704" s="99" t="s">
        <v>4</v>
      </c>
      <c r="J704" s="99" t="s">
        <v>4</v>
      </c>
      <c r="K704" s="99" t="s">
        <v>4</v>
      </c>
      <c r="L704" s="101"/>
      <c r="M704" s="104" t="str">
        <f>IF(Main[[#This Row],[Tech Start Date]]&lt;1/1/1990,"",IF(Main[[#This Row],[Class]]="C",WORKDAY(Main[[#This Row],[Tech Start Date]],9),IF(Main[[#This Row],[Class]]="B", WORKDAY(Main[[#This Row],[Tech Start Date]],6),IF(Main[[#This Row],[Class]]="A",WORKDAY(Main[[#This Row],[Tech Start Date]],2),""))))</f>
        <v/>
      </c>
      <c r="N704" s="104" t="str">
        <f>IF(Main[[#This Row],[Tech Start Date]]&lt;1/1/1990,"",IF(Main[[#This Row],[Class]]="C",WORKDAY(Main[[#This Row],[Tech Start Date]],19),IF(Main[[#This Row],[Class]]="B", WORKDAY(Main[[#This Row],[Tech Start Date]],12),IF(Main[[#This Row],[Class]]="A",WORKDAY(Main[[#This Row],[Tech Start Date]],4),""))))</f>
        <v/>
      </c>
      <c r="O704" s="104" t="str">
        <f>IF(Main[[#This Row],[Tech Start Date]]&lt;1/1/1990,"",IF(Main[[#This Row],[Class]]="C",WORKDAY(Main[[#This Row],[Tech Start Date]],23),IF(Main[[#This Row],[Class]]="B", WORKDAY(Main[[#This Row],[Tech Start Date]],15),IF(Main[[#This Row],[Class]]="A",WORKDAY(Main[[#This Row],[Tech Start Date]],5),""))))</f>
        <v/>
      </c>
      <c r="P704" s="104" t="str">
        <f>IF(Main[[#This Row],[Tech Start Date]]&lt;1/1/1990,"",IF(Main[[#This Row],[Class]]="C",WORKDAY(Main[[#This Row],[Tech Start Date]],28),IF(Main[[#This Row],[Class]]="B", WORKDAY(Main[[#This Row],[Tech Start Date]],19),IF(Main[[#This Row],[Class]]="A",WORKDAY(Main[[#This Row],[Tech Start Date]],9),""))))</f>
        <v/>
      </c>
      <c r="Q704" s="101">
        <v>40147</v>
      </c>
      <c r="R704" s="101"/>
      <c r="S704" s="99" t="s">
        <v>11</v>
      </c>
      <c r="T704" s="107" t="s">
        <v>4</v>
      </c>
      <c r="U704" s="99" t="s">
        <v>14</v>
      </c>
      <c r="V704" s="99" t="s">
        <v>1972</v>
      </c>
      <c r="W704" s="99" t="s">
        <v>1968</v>
      </c>
    </row>
    <row r="705" spans="1:23" ht="18.600000000000001" customHeight="1">
      <c r="A705" s="123" t="str">
        <f>IF(priority(Main[[#This Row],[Comments]])&lt;&gt;0, priority(Main[[#This Row],[Comments]]),"")</f>
        <v/>
      </c>
      <c r="B705" s="127" t="s">
        <v>1584</v>
      </c>
      <c r="C705" s="99" t="s">
        <v>4</v>
      </c>
      <c r="D705" s="100" t="s">
        <v>636</v>
      </c>
      <c r="E705" s="101"/>
      <c r="F705" s="101"/>
      <c r="G705" s="102" t="str">
        <f>IF(stdProdLT(Main[[#This Row],[Comments]])=0.1,"N/A",IF(stdProdLT(Main[[#This Row],[Comments]])=0,"",stdProdLT(Main[[#This Row],[Comments]])))</f>
        <v/>
      </c>
      <c r="H705" s="103" t="str">
        <f>IF(AND(Main[[#This Row],[In Stock Date]]&lt;&gt;"",Main[[#This Row],[Revised Due Date]]&lt;&gt;""),Main[[#This Row],[In Stock Date]]-Main[[#This Row],[Revised Due Date]],"")</f>
        <v/>
      </c>
      <c r="I705" s="99" t="s">
        <v>4</v>
      </c>
      <c r="J705" s="99" t="s">
        <v>28</v>
      </c>
      <c r="K705" s="99" t="s">
        <v>1975</v>
      </c>
      <c r="L705" s="101"/>
      <c r="M705" s="104" t="str">
        <f>IF(Main[[#This Row],[Tech Start Date]]&lt;1/1/1990,"",IF(Main[[#This Row],[Class]]="C",WORKDAY(Main[[#This Row],[Tech Start Date]],9),IF(Main[[#This Row],[Class]]="B", WORKDAY(Main[[#This Row],[Tech Start Date]],6),IF(Main[[#This Row],[Class]]="A",WORKDAY(Main[[#This Row],[Tech Start Date]],2),""))))</f>
        <v/>
      </c>
      <c r="N705" s="104" t="str">
        <f>IF(Main[[#This Row],[Tech Start Date]]&lt;1/1/1990,"",IF(Main[[#This Row],[Class]]="C",WORKDAY(Main[[#This Row],[Tech Start Date]],19),IF(Main[[#This Row],[Class]]="B", WORKDAY(Main[[#This Row],[Tech Start Date]],12),IF(Main[[#This Row],[Class]]="A",WORKDAY(Main[[#This Row],[Tech Start Date]],4),""))))</f>
        <v/>
      </c>
      <c r="O705" s="104" t="str">
        <f>IF(Main[[#This Row],[Tech Start Date]]&lt;1/1/1990,"",IF(Main[[#This Row],[Class]]="C",WORKDAY(Main[[#This Row],[Tech Start Date]],23),IF(Main[[#This Row],[Class]]="B", WORKDAY(Main[[#This Row],[Tech Start Date]],15),IF(Main[[#This Row],[Class]]="A",WORKDAY(Main[[#This Row],[Tech Start Date]],5),""))))</f>
        <v/>
      </c>
      <c r="P705" s="104" t="str">
        <f>IF(Main[[#This Row],[Tech Start Date]]&lt;1/1/1990,"",IF(Main[[#This Row],[Class]]="C",WORKDAY(Main[[#This Row],[Tech Start Date]],28),IF(Main[[#This Row],[Class]]="B", WORKDAY(Main[[#This Row],[Tech Start Date]],19),IF(Main[[#This Row],[Class]]="A",WORKDAY(Main[[#This Row],[Tech Start Date]],9),""))))</f>
        <v/>
      </c>
      <c r="Q705" s="101"/>
      <c r="R705" s="101"/>
      <c r="S705" s="99" t="s">
        <v>11</v>
      </c>
      <c r="T705" s="107" t="s">
        <v>4</v>
      </c>
      <c r="U705" s="99" t="s">
        <v>14</v>
      </c>
      <c r="V705" s="99" t="s">
        <v>1962</v>
      </c>
      <c r="W705" s="99" t="s">
        <v>1966</v>
      </c>
    </row>
    <row r="706" spans="1:23" ht="18.600000000000001" customHeight="1">
      <c r="A706" s="123" t="str">
        <f>IF(priority(Main[[#This Row],[Comments]])&lt;&gt;0, priority(Main[[#This Row],[Comments]]),"")</f>
        <v/>
      </c>
      <c r="B706" s="127" t="s">
        <v>1152</v>
      </c>
      <c r="C706" s="99" t="s">
        <v>4</v>
      </c>
      <c r="D706" s="100" t="s">
        <v>170</v>
      </c>
      <c r="E706" s="101"/>
      <c r="F706" s="101"/>
      <c r="G706" s="102" t="str">
        <f>IF(stdProdLT(Main[[#This Row],[Comments]])=0.1,"N/A",IF(stdProdLT(Main[[#This Row],[Comments]])=0,"",stdProdLT(Main[[#This Row],[Comments]])))</f>
        <v/>
      </c>
      <c r="H706" s="103" t="str">
        <f>IF(AND(Main[[#This Row],[In Stock Date]]&lt;&gt;"",Main[[#This Row],[Revised Due Date]]&lt;&gt;""),Main[[#This Row],[In Stock Date]]-Main[[#This Row],[Revised Due Date]],"")</f>
        <v/>
      </c>
      <c r="I706" s="99" t="s">
        <v>4</v>
      </c>
      <c r="J706" s="99" t="s">
        <v>4</v>
      </c>
      <c r="K706" s="108" t="s">
        <v>4</v>
      </c>
      <c r="L706" s="101"/>
      <c r="M706" s="104" t="str">
        <f>IF(Main[[#This Row],[Tech Start Date]]&lt;1/1/1990,"",IF(Main[[#This Row],[Class]]="C",WORKDAY(Main[[#This Row],[Tech Start Date]],9),IF(Main[[#This Row],[Class]]="B", WORKDAY(Main[[#This Row],[Tech Start Date]],6),IF(Main[[#This Row],[Class]]="A",WORKDAY(Main[[#This Row],[Tech Start Date]],2),""))))</f>
        <v/>
      </c>
      <c r="N706" s="104" t="str">
        <f>IF(Main[[#This Row],[Tech Start Date]]&lt;1/1/1990,"",IF(Main[[#This Row],[Class]]="C",WORKDAY(Main[[#This Row],[Tech Start Date]],19),IF(Main[[#This Row],[Class]]="B", WORKDAY(Main[[#This Row],[Tech Start Date]],12),IF(Main[[#This Row],[Class]]="A",WORKDAY(Main[[#This Row],[Tech Start Date]],4),""))))</f>
        <v/>
      </c>
      <c r="O706" s="104" t="str">
        <f>IF(Main[[#This Row],[Tech Start Date]]&lt;1/1/1990,"",IF(Main[[#This Row],[Class]]="C",WORKDAY(Main[[#This Row],[Tech Start Date]],23),IF(Main[[#This Row],[Class]]="B", WORKDAY(Main[[#This Row],[Tech Start Date]],15),IF(Main[[#This Row],[Class]]="A",WORKDAY(Main[[#This Row],[Tech Start Date]],5),""))))</f>
        <v/>
      </c>
      <c r="P706" s="104" t="str">
        <f>IF(Main[[#This Row],[Tech Start Date]]&lt;1/1/1990,"",IF(Main[[#This Row],[Class]]="C",WORKDAY(Main[[#This Row],[Tech Start Date]],28),IF(Main[[#This Row],[Class]]="B", WORKDAY(Main[[#This Row],[Tech Start Date]],19),IF(Main[[#This Row],[Class]]="A",WORKDAY(Main[[#This Row],[Tech Start Date]],9),""))))</f>
        <v/>
      </c>
      <c r="Q706" s="101">
        <v>40737</v>
      </c>
      <c r="R706" s="101"/>
      <c r="S706" s="99" t="s">
        <v>6</v>
      </c>
      <c r="T706" s="107" t="s">
        <v>4</v>
      </c>
      <c r="U706" s="99" t="s">
        <v>14</v>
      </c>
      <c r="V706" s="99" t="s">
        <v>1965</v>
      </c>
      <c r="W706" s="99" t="s">
        <v>1966</v>
      </c>
    </row>
    <row r="707" spans="1:23" ht="18.600000000000001" customHeight="1">
      <c r="A707" s="123" t="str">
        <f>IF(priority(Main[[#This Row],[Comments]])&lt;&gt;0, priority(Main[[#This Row],[Comments]]),"")</f>
        <v/>
      </c>
      <c r="B707" s="127" t="s">
        <v>1947</v>
      </c>
      <c r="C707" s="99" t="s">
        <v>72</v>
      </c>
      <c r="D707" s="100" t="s">
        <v>2155</v>
      </c>
      <c r="E707" s="101">
        <v>40469.931226851855</v>
      </c>
      <c r="F707" s="101">
        <v>40487</v>
      </c>
      <c r="G707" s="102" t="str">
        <f>IF(stdProdLT(Main[[#This Row],[Comments]])=0.1,"N/A",IF(stdProdLT(Main[[#This Row],[Comments]])=0,"",stdProdLT(Main[[#This Row],[Comments]])))</f>
        <v/>
      </c>
      <c r="H707" s="103">
        <f>IF(AND(Main[[#This Row],[In Stock Date]]&lt;&gt;"",Main[[#This Row],[Revised Due Date]]&lt;&gt;""),Main[[#This Row],[In Stock Date]]-Main[[#This Row],[Revised Due Date]],"")</f>
        <v>-294</v>
      </c>
      <c r="I707" s="99" t="s">
        <v>2112</v>
      </c>
      <c r="J707" s="99" t="s">
        <v>52</v>
      </c>
      <c r="K707" s="108" t="s">
        <v>1969</v>
      </c>
      <c r="L707" s="101"/>
      <c r="M707" s="104" t="str">
        <f>IF(Main[[#This Row],[Tech Start Date]]&lt;1/1/1990,"",IF(Main[[#This Row],[Class]]="C",WORKDAY(Main[[#This Row],[Tech Start Date]],9),IF(Main[[#This Row],[Class]]="B", WORKDAY(Main[[#This Row],[Tech Start Date]],6),IF(Main[[#This Row],[Class]]="A",WORKDAY(Main[[#This Row],[Tech Start Date]],2),""))))</f>
        <v/>
      </c>
      <c r="N707" s="104" t="str">
        <f>IF(Main[[#This Row],[Tech Start Date]]&lt;1/1/1990,"",IF(Main[[#This Row],[Class]]="C",WORKDAY(Main[[#This Row],[Tech Start Date]],19),IF(Main[[#This Row],[Class]]="B", WORKDAY(Main[[#This Row],[Tech Start Date]],12),IF(Main[[#This Row],[Class]]="A",WORKDAY(Main[[#This Row],[Tech Start Date]],4),""))))</f>
        <v/>
      </c>
      <c r="O707" s="104" t="str">
        <f>IF(Main[[#This Row],[Tech Start Date]]&lt;1/1/1990,"",IF(Main[[#This Row],[Class]]="C",WORKDAY(Main[[#This Row],[Tech Start Date]],23),IF(Main[[#This Row],[Class]]="B", WORKDAY(Main[[#This Row],[Tech Start Date]],15),IF(Main[[#This Row],[Class]]="A",WORKDAY(Main[[#This Row],[Tech Start Date]],5),""))))</f>
        <v/>
      </c>
      <c r="P707" s="104" t="str">
        <f>IF(Main[[#This Row],[Tech Start Date]]&lt;1/1/1990,"",IF(Main[[#This Row],[Class]]="C",WORKDAY(Main[[#This Row],[Tech Start Date]],28),IF(Main[[#This Row],[Class]]="B", WORKDAY(Main[[#This Row],[Tech Start Date]],19),IF(Main[[#This Row],[Class]]="A",WORKDAY(Main[[#This Row],[Tech Start Date]],9),""))))</f>
        <v/>
      </c>
      <c r="Q707" s="101"/>
      <c r="R707" s="101">
        <v>40781</v>
      </c>
      <c r="S707" s="99" t="s">
        <v>6</v>
      </c>
      <c r="T707" s="107" t="s">
        <v>2156</v>
      </c>
      <c r="U707" s="99" t="s">
        <v>29</v>
      </c>
      <c r="V707" s="99" t="s">
        <v>1963</v>
      </c>
      <c r="W707" s="99" t="s">
        <v>1964</v>
      </c>
    </row>
    <row r="708" spans="1:23" ht="18.600000000000001" customHeight="1">
      <c r="A708" s="123" t="str">
        <f>IF(priority(Main[[#This Row],[Comments]])&lt;&gt;0, priority(Main[[#This Row],[Comments]]),"")</f>
        <v/>
      </c>
      <c r="B708" s="127" t="s">
        <v>1585</v>
      </c>
      <c r="C708" s="99" t="s">
        <v>4</v>
      </c>
      <c r="D708" s="100" t="s">
        <v>39</v>
      </c>
      <c r="E708" s="101"/>
      <c r="F708" s="101"/>
      <c r="G708" s="102" t="str">
        <f>IF(stdProdLT(Main[[#This Row],[Comments]])=0.1,"N/A",IF(stdProdLT(Main[[#This Row],[Comments]])=0,"",stdProdLT(Main[[#This Row],[Comments]])))</f>
        <v/>
      </c>
      <c r="H708" s="103" t="str">
        <f>IF(AND(Main[[#This Row],[In Stock Date]]&lt;&gt;"",Main[[#This Row],[Revised Due Date]]&lt;&gt;""),Main[[#This Row],[In Stock Date]]-Main[[#This Row],[Revised Due Date]],"")</f>
        <v/>
      </c>
      <c r="I708" s="99" t="s">
        <v>4</v>
      </c>
      <c r="J708" s="99" t="s">
        <v>4</v>
      </c>
      <c r="K708" s="108" t="s">
        <v>4</v>
      </c>
      <c r="L708" s="101"/>
      <c r="M708" s="104" t="str">
        <f>IF(Main[[#This Row],[Tech Start Date]]&lt;1/1/1990,"",IF(Main[[#This Row],[Class]]="C",WORKDAY(Main[[#This Row],[Tech Start Date]],9),IF(Main[[#This Row],[Class]]="B", WORKDAY(Main[[#This Row],[Tech Start Date]],6),IF(Main[[#This Row],[Class]]="A",WORKDAY(Main[[#This Row],[Tech Start Date]],2),""))))</f>
        <v/>
      </c>
      <c r="N708" s="104" t="str">
        <f>IF(Main[[#This Row],[Tech Start Date]]&lt;1/1/1990,"",IF(Main[[#This Row],[Class]]="C",WORKDAY(Main[[#This Row],[Tech Start Date]],19),IF(Main[[#This Row],[Class]]="B", WORKDAY(Main[[#This Row],[Tech Start Date]],12),IF(Main[[#This Row],[Class]]="A",WORKDAY(Main[[#This Row],[Tech Start Date]],4),""))))</f>
        <v/>
      </c>
      <c r="O708" s="104" t="str">
        <f>IF(Main[[#This Row],[Tech Start Date]]&lt;1/1/1990,"",IF(Main[[#This Row],[Class]]="C",WORKDAY(Main[[#This Row],[Tech Start Date]],23),IF(Main[[#This Row],[Class]]="B", WORKDAY(Main[[#This Row],[Tech Start Date]],15),IF(Main[[#This Row],[Class]]="A",WORKDAY(Main[[#This Row],[Tech Start Date]],5),""))))</f>
        <v/>
      </c>
      <c r="P708" s="104" t="str">
        <f>IF(Main[[#This Row],[Tech Start Date]]&lt;1/1/1990,"",IF(Main[[#This Row],[Class]]="C",WORKDAY(Main[[#This Row],[Tech Start Date]],28),IF(Main[[#This Row],[Class]]="B", WORKDAY(Main[[#This Row],[Tech Start Date]],19),IF(Main[[#This Row],[Class]]="A",WORKDAY(Main[[#This Row],[Tech Start Date]],9),""))))</f>
        <v/>
      </c>
      <c r="Q708" s="101">
        <v>40669</v>
      </c>
      <c r="R708" s="101"/>
      <c r="S708" s="99" t="s">
        <v>6</v>
      </c>
      <c r="T708" s="107" t="s">
        <v>4</v>
      </c>
      <c r="U708" s="99" t="s">
        <v>14</v>
      </c>
      <c r="V708" s="99" t="s">
        <v>1965</v>
      </c>
      <c r="W708" s="99" t="s">
        <v>4</v>
      </c>
    </row>
    <row r="709" spans="1:23" ht="18.600000000000001" customHeight="1">
      <c r="A709" s="123" t="str">
        <f>IF(priority(Main[[#This Row],[Comments]])&lt;&gt;0, priority(Main[[#This Row],[Comments]]),"")</f>
        <v/>
      </c>
      <c r="B709" s="127" t="s">
        <v>1587</v>
      </c>
      <c r="C709" s="99" t="s">
        <v>4</v>
      </c>
      <c r="D709" s="100" t="s">
        <v>637</v>
      </c>
      <c r="E709" s="101">
        <v>40371.35765046296</v>
      </c>
      <c r="F709" s="101"/>
      <c r="G709" s="102" t="str">
        <f>IF(stdProdLT(Main[[#This Row],[Comments]])=0.1,"N/A",IF(stdProdLT(Main[[#This Row],[Comments]])=0,"",stdProdLT(Main[[#This Row],[Comments]])))</f>
        <v/>
      </c>
      <c r="H709" s="103" t="str">
        <f>IF(AND(Main[[#This Row],[In Stock Date]]&lt;&gt;"",Main[[#This Row],[Revised Due Date]]&lt;&gt;""),Main[[#This Row],[In Stock Date]]-Main[[#This Row],[Revised Due Date]],"")</f>
        <v/>
      </c>
      <c r="I709" s="99" t="s">
        <v>4</v>
      </c>
      <c r="J709" s="99" t="s">
        <v>4</v>
      </c>
      <c r="K709" s="99" t="s">
        <v>4</v>
      </c>
      <c r="L709" s="101"/>
      <c r="M709" s="104" t="str">
        <f>IF(Main[[#This Row],[Tech Start Date]]&lt;1/1/1990,"",IF(Main[[#This Row],[Class]]="C",WORKDAY(Main[[#This Row],[Tech Start Date]],9),IF(Main[[#This Row],[Class]]="B", WORKDAY(Main[[#This Row],[Tech Start Date]],6),IF(Main[[#This Row],[Class]]="A",WORKDAY(Main[[#This Row],[Tech Start Date]],2),""))))</f>
        <v/>
      </c>
      <c r="N709" s="104" t="str">
        <f>IF(Main[[#This Row],[Tech Start Date]]&lt;1/1/1990,"",IF(Main[[#This Row],[Class]]="C",WORKDAY(Main[[#This Row],[Tech Start Date]],19),IF(Main[[#This Row],[Class]]="B", WORKDAY(Main[[#This Row],[Tech Start Date]],12),IF(Main[[#This Row],[Class]]="A",WORKDAY(Main[[#This Row],[Tech Start Date]],4),""))))</f>
        <v/>
      </c>
      <c r="O709" s="104" t="str">
        <f>IF(Main[[#This Row],[Tech Start Date]]&lt;1/1/1990,"",IF(Main[[#This Row],[Class]]="C",WORKDAY(Main[[#This Row],[Tech Start Date]],23),IF(Main[[#This Row],[Class]]="B", WORKDAY(Main[[#This Row],[Tech Start Date]],15),IF(Main[[#This Row],[Class]]="A",WORKDAY(Main[[#This Row],[Tech Start Date]],5),""))))</f>
        <v/>
      </c>
      <c r="P709" s="104" t="str">
        <f>IF(Main[[#This Row],[Tech Start Date]]&lt;1/1/1990,"",IF(Main[[#This Row],[Class]]="C",WORKDAY(Main[[#This Row],[Tech Start Date]],28),IF(Main[[#This Row],[Class]]="B", WORKDAY(Main[[#This Row],[Tech Start Date]],19),IF(Main[[#This Row],[Class]]="A",WORKDAY(Main[[#This Row],[Tech Start Date]],9),""))))</f>
        <v/>
      </c>
      <c r="Q709" s="101">
        <v>40385</v>
      </c>
      <c r="R709" s="101"/>
      <c r="S709" s="99" t="s">
        <v>6</v>
      </c>
      <c r="T709" s="107" t="s">
        <v>4</v>
      </c>
      <c r="U709" s="99" t="s">
        <v>7</v>
      </c>
      <c r="V709" s="99" t="s">
        <v>1962</v>
      </c>
      <c r="W709" s="99" t="s">
        <v>1964</v>
      </c>
    </row>
    <row r="710" spans="1:23" ht="18.600000000000001" customHeight="1">
      <c r="A710" s="123" t="str">
        <f>IF(priority(Main[[#This Row],[Comments]])&lt;&gt;0, priority(Main[[#This Row],[Comments]]),"")</f>
        <v/>
      </c>
      <c r="B710" s="127" t="s">
        <v>1588</v>
      </c>
      <c r="C710" s="99" t="s">
        <v>4</v>
      </c>
      <c r="D710" s="100" t="s">
        <v>638</v>
      </c>
      <c r="E710" s="101">
        <v>40371.37263888889</v>
      </c>
      <c r="F710" s="101"/>
      <c r="G710" s="102" t="str">
        <f>IF(stdProdLT(Main[[#This Row],[Comments]])=0.1,"N/A",IF(stdProdLT(Main[[#This Row],[Comments]])=0,"",stdProdLT(Main[[#This Row],[Comments]])))</f>
        <v/>
      </c>
      <c r="H710" s="103" t="str">
        <f>IF(AND(Main[[#This Row],[In Stock Date]]&lt;&gt;"",Main[[#This Row],[Revised Due Date]]&lt;&gt;""),Main[[#This Row],[In Stock Date]]-Main[[#This Row],[Revised Due Date]],"")</f>
        <v/>
      </c>
      <c r="I710" s="99" t="s">
        <v>4</v>
      </c>
      <c r="J710" s="99" t="s">
        <v>4</v>
      </c>
      <c r="K710" s="108" t="s">
        <v>4</v>
      </c>
      <c r="L710" s="101"/>
      <c r="M710" s="104" t="str">
        <f>IF(Main[[#This Row],[Tech Start Date]]&lt;1/1/1990,"",IF(Main[[#This Row],[Class]]="C",WORKDAY(Main[[#This Row],[Tech Start Date]],9),IF(Main[[#This Row],[Class]]="B", WORKDAY(Main[[#This Row],[Tech Start Date]],6),IF(Main[[#This Row],[Class]]="A",WORKDAY(Main[[#This Row],[Tech Start Date]],2),""))))</f>
        <v/>
      </c>
      <c r="N710" s="104" t="str">
        <f>IF(Main[[#This Row],[Tech Start Date]]&lt;1/1/1990,"",IF(Main[[#This Row],[Class]]="C",WORKDAY(Main[[#This Row],[Tech Start Date]],19),IF(Main[[#This Row],[Class]]="B", WORKDAY(Main[[#This Row],[Tech Start Date]],12),IF(Main[[#This Row],[Class]]="A",WORKDAY(Main[[#This Row],[Tech Start Date]],4),""))))</f>
        <v/>
      </c>
      <c r="O710" s="104" t="str">
        <f>IF(Main[[#This Row],[Tech Start Date]]&lt;1/1/1990,"",IF(Main[[#This Row],[Class]]="C",WORKDAY(Main[[#This Row],[Tech Start Date]],23),IF(Main[[#This Row],[Class]]="B", WORKDAY(Main[[#This Row],[Tech Start Date]],15),IF(Main[[#This Row],[Class]]="A",WORKDAY(Main[[#This Row],[Tech Start Date]],5),""))))</f>
        <v/>
      </c>
      <c r="P710" s="104" t="str">
        <f>IF(Main[[#This Row],[Tech Start Date]]&lt;1/1/1990,"",IF(Main[[#This Row],[Class]]="C",WORKDAY(Main[[#This Row],[Tech Start Date]],28),IF(Main[[#This Row],[Class]]="B", WORKDAY(Main[[#This Row],[Tech Start Date]],19),IF(Main[[#This Row],[Class]]="A",WORKDAY(Main[[#This Row],[Tech Start Date]],9),""))))</f>
        <v/>
      </c>
      <c r="Q710" s="101">
        <v>40385</v>
      </c>
      <c r="R710" s="101"/>
      <c r="S710" s="99" t="s">
        <v>6</v>
      </c>
      <c r="T710" s="107" t="s">
        <v>4</v>
      </c>
      <c r="U710" s="99" t="s">
        <v>7</v>
      </c>
      <c r="V710" s="99" t="s">
        <v>1962</v>
      </c>
      <c r="W710" s="99" t="s">
        <v>1964</v>
      </c>
    </row>
    <row r="711" spans="1:23" ht="18.600000000000001" customHeight="1">
      <c r="A711" s="123" t="str">
        <f>IF(priority(Main[[#This Row],[Comments]])&lt;&gt;0, priority(Main[[#This Row],[Comments]]),"")</f>
        <v/>
      </c>
      <c r="B711" s="127" t="s">
        <v>1552</v>
      </c>
      <c r="C711" s="99" t="s">
        <v>4</v>
      </c>
      <c r="D711" s="100" t="s">
        <v>597</v>
      </c>
      <c r="E711" s="101"/>
      <c r="F711" s="101"/>
      <c r="G711" s="102" t="str">
        <f>IF(stdProdLT(Main[[#This Row],[Comments]])=0.1,"N/A",IF(stdProdLT(Main[[#This Row],[Comments]])=0,"",stdProdLT(Main[[#This Row],[Comments]])))</f>
        <v/>
      </c>
      <c r="H711" s="103" t="str">
        <f>IF(AND(Main[[#This Row],[In Stock Date]]&lt;&gt;"",Main[[#This Row],[Revised Due Date]]&lt;&gt;""),Main[[#This Row],[In Stock Date]]-Main[[#This Row],[Revised Due Date]],"")</f>
        <v/>
      </c>
      <c r="I711" s="99" t="s">
        <v>4</v>
      </c>
      <c r="J711" s="99" t="s">
        <v>4</v>
      </c>
      <c r="K711" s="99" t="s">
        <v>4</v>
      </c>
      <c r="L711" s="101"/>
      <c r="M711" s="104" t="str">
        <f>IF(Main[[#This Row],[Tech Start Date]]&lt;1/1/1990,"",IF(Main[[#This Row],[Class]]="C",WORKDAY(Main[[#This Row],[Tech Start Date]],9),IF(Main[[#This Row],[Class]]="B", WORKDAY(Main[[#This Row],[Tech Start Date]],6),IF(Main[[#This Row],[Class]]="A",WORKDAY(Main[[#This Row],[Tech Start Date]],2),""))))</f>
        <v/>
      </c>
      <c r="N711" s="104" t="str">
        <f>IF(Main[[#This Row],[Tech Start Date]]&lt;1/1/1990,"",IF(Main[[#This Row],[Class]]="C",WORKDAY(Main[[#This Row],[Tech Start Date]],19),IF(Main[[#This Row],[Class]]="B", WORKDAY(Main[[#This Row],[Tech Start Date]],12),IF(Main[[#This Row],[Class]]="A",WORKDAY(Main[[#This Row],[Tech Start Date]],4),""))))</f>
        <v/>
      </c>
      <c r="O711" s="104" t="str">
        <f>IF(Main[[#This Row],[Tech Start Date]]&lt;1/1/1990,"",IF(Main[[#This Row],[Class]]="C",WORKDAY(Main[[#This Row],[Tech Start Date]],23),IF(Main[[#This Row],[Class]]="B", WORKDAY(Main[[#This Row],[Tech Start Date]],15),IF(Main[[#This Row],[Class]]="A",WORKDAY(Main[[#This Row],[Tech Start Date]],5),""))))</f>
        <v/>
      </c>
      <c r="P711" s="104" t="str">
        <f>IF(Main[[#This Row],[Tech Start Date]]&lt;1/1/1990,"",IF(Main[[#This Row],[Class]]="C",WORKDAY(Main[[#This Row],[Tech Start Date]],28),IF(Main[[#This Row],[Class]]="B", WORKDAY(Main[[#This Row],[Tech Start Date]],19),IF(Main[[#This Row],[Class]]="A",WORKDAY(Main[[#This Row],[Tech Start Date]],9),""))))</f>
        <v/>
      </c>
      <c r="Q711" s="101"/>
      <c r="R711" s="101"/>
      <c r="S711" s="99" t="s">
        <v>23</v>
      </c>
      <c r="T711" s="107" t="s">
        <v>4</v>
      </c>
      <c r="U711" s="99" t="s">
        <v>14</v>
      </c>
      <c r="V711" s="99" t="s">
        <v>1962</v>
      </c>
      <c r="W711" s="99" t="s">
        <v>1966</v>
      </c>
    </row>
    <row r="712" spans="1:23" ht="18.600000000000001" customHeight="1">
      <c r="A712" s="123" t="str">
        <f>IF(priority(Main[[#This Row],[Comments]])&lt;&gt;0, priority(Main[[#This Row],[Comments]]),"")</f>
        <v/>
      </c>
      <c r="B712" s="127" t="s">
        <v>1553</v>
      </c>
      <c r="C712" s="99" t="s">
        <v>4</v>
      </c>
      <c r="D712" s="100" t="s">
        <v>598</v>
      </c>
      <c r="E712" s="101"/>
      <c r="F712" s="101">
        <v>40047</v>
      </c>
      <c r="G712" s="102" t="str">
        <f>IF(stdProdLT(Main[[#This Row],[Comments]])=0.1,"N/A",IF(stdProdLT(Main[[#This Row],[Comments]])=0,"",stdProdLT(Main[[#This Row],[Comments]])))</f>
        <v/>
      </c>
      <c r="H712" s="103" t="str">
        <f>IF(AND(Main[[#This Row],[In Stock Date]]&lt;&gt;"",Main[[#This Row],[Revised Due Date]]&lt;&gt;""),Main[[#This Row],[In Stock Date]]-Main[[#This Row],[Revised Due Date]],"")</f>
        <v/>
      </c>
      <c r="I712" s="99" t="s">
        <v>4</v>
      </c>
      <c r="J712" s="99" t="s">
        <v>4</v>
      </c>
      <c r="K712" s="108" t="s">
        <v>4</v>
      </c>
      <c r="L712" s="101"/>
      <c r="M712" s="104" t="str">
        <f>IF(Main[[#This Row],[Tech Start Date]]&lt;1/1/1990,"",IF(Main[[#This Row],[Class]]="C",WORKDAY(Main[[#This Row],[Tech Start Date]],9),IF(Main[[#This Row],[Class]]="B", WORKDAY(Main[[#This Row],[Tech Start Date]],6),IF(Main[[#This Row],[Class]]="A",WORKDAY(Main[[#This Row],[Tech Start Date]],2),""))))</f>
        <v/>
      </c>
      <c r="N712" s="104" t="str">
        <f>IF(Main[[#This Row],[Tech Start Date]]&lt;1/1/1990,"",IF(Main[[#This Row],[Class]]="C",WORKDAY(Main[[#This Row],[Tech Start Date]],19),IF(Main[[#This Row],[Class]]="B", WORKDAY(Main[[#This Row],[Tech Start Date]],12),IF(Main[[#This Row],[Class]]="A",WORKDAY(Main[[#This Row],[Tech Start Date]],4),""))))</f>
        <v/>
      </c>
      <c r="O712" s="104" t="str">
        <f>IF(Main[[#This Row],[Tech Start Date]]&lt;1/1/1990,"",IF(Main[[#This Row],[Class]]="C",WORKDAY(Main[[#This Row],[Tech Start Date]],23),IF(Main[[#This Row],[Class]]="B", WORKDAY(Main[[#This Row],[Tech Start Date]],15),IF(Main[[#This Row],[Class]]="A",WORKDAY(Main[[#This Row],[Tech Start Date]],5),""))))</f>
        <v/>
      </c>
      <c r="P712" s="104" t="str">
        <f>IF(Main[[#This Row],[Tech Start Date]]&lt;1/1/1990,"",IF(Main[[#This Row],[Class]]="C",WORKDAY(Main[[#This Row],[Tech Start Date]],28),IF(Main[[#This Row],[Class]]="B", WORKDAY(Main[[#This Row],[Tech Start Date]],19),IF(Main[[#This Row],[Class]]="A",WORKDAY(Main[[#This Row],[Tech Start Date]],9),""))))</f>
        <v/>
      </c>
      <c r="Q712" s="101"/>
      <c r="R712" s="101"/>
      <c r="S712" s="99" t="s">
        <v>11</v>
      </c>
      <c r="T712" s="107" t="s">
        <v>4</v>
      </c>
      <c r="U712" s="99" t="s">
        <v>14</v>
      </c>
      <c r="V712" s="99" t="s">
        <v>1965</v>
      </c>
      <c r="W712" s="99" t="s">
        <v>1968</v>
      </c>
    </row>
    <row r="713" spans="1:23" ht="18.600000000000001" customHeight="1">
      <c r="A713" s="123" t="str">
        <f>IF(priority(Main[[#This Row],[Comments]])&lt;&gt;0, priority(Main[[#This Row],[Comments]]),"")</f>
        <v/>
      </c>
      <c r="B713" s="127" t="s">
        <v>1554</v>
      </c>
      <c r="C713" s="99" t="s">
        <v>4</v>
      </c>
      <c r="D713" s="100" t="s">
        <v>599</v>
      </c>
      <c r="E713" s="101"/>
      <c r="F713" s="101"/>
      <c r="G713" s="102" t="str">
        <f>IF(stdProdLT(Main[[#This Row],[Comments]])=0.1,"N/A",IF(stdProdLT(Main[[#This Row],[Comments]])=0,"",stdProdLT(Main[[#This Row],[Comments]])))</f>
        <v/>
      </c>
      <c r="H713" s="103" t="str">
        <f>IF(AND(Main[[#This Row],[In Stock Date]]&lt;&gt;"",Main[[#This Row],[Revised Due Date]]&lt;&gt;""),Main[[#This Row],[In Stock Date]]-Main[[#This Row],[Revised Due Date]],"")</f>
        <v/>
      </c>
      <c r="I713" s="99" t="s">
        <v>4</v>
      </c>
      <c r="J713" s="99" t="s">
        <v>4</v>
      </c>
      <c r="K713" s="108" t="s">
        <v>4</v>
      </c>
      <c r="L713" s="101"/>
      <c r="M713" s="104" t="str">
        <f>IF(Main[[#This Row],[Tech Start Date]]&lt;1/1/1990,"",IF(Main[[#This Row],[Class]]="C",WORKDAY(Main[[#This Row],[Tech Start Date]],9),IF(Main[[#This Row],[Class]]="B", WORKDAY(Main[[#This Row],[Tech Start Date]],6),IF(Main[[#This Row],[Class]]="A",WORKDAY(Main[[#This Row],[Tech Start Date]],2),""))))</f>
        <v/>
      </c>
      <c r="N713" s="104" t="str">
        <f>IF(Main[[#This Row],[Tech Start Date]]&lt;1/1/1990,"",IF(Main[[#This Row],[Class]]="C",WORKDAY(Main[[#This Row],[Tech Start Date]],19),IF(Main[[#This Row],[Class]]="B", WORKDAY(Main[[#This Row],[Tech Start Date]],12),IF(Main[[#This Row],[Class]]="A",WORKDAY(Main[[#This Row],[Tech Start Date]],4),""))))</f>
        <v/>
      </c>
      <c r="O713" s="104" t="str">
        <f>IF(Main[[#This Row],[Tech Start Date]]&lt;1/1/1990,"",IF(Main[[#This Row],[Class]]="C",WORKDAY(Main[[#This Row],[Tech Start Date]],23),IF(Main[[#This Row],[Class]]="B", WORKDAY(Main[[#This Row],[Tech Start Date]],15),IF(Main[[#This Row],[Class]]="A",WORKDAY(Main[[#This Row],[Tech Start Date]],5),""))))</f>
        <v/>
      </c>
      <c r="P713" s="104" t="str">
        <f>IF(Main[[#This Row],[Tech Start Date]]&lt;1/1/1990,"",IF(Main[[#This Row],[Class]]="C",WORKDAY(Main[[#This Row],[Tech Start Date]],28),IF(Main[[#This Row],[Class]]="B", WORKDAY(Main[[#This Row],[Tech Start Date]],19),IF(Main[[#This Row],[Class]]="A",WORKDAY(Main[[#This Row],[Tech Start Date]],9),""))))</f>
        <v/>
      </c>
      <c r="Q713" s="101"/>
      <c r="R713" s="101"/>
      <c r="S713" s="99" t="s">
        <v>6</v>
      </c>
      <c r="T713" s="107" t="s">
        <v>4</v>
      </c>
      <c r="U713" s="99" t="s">
        <v>12</v>
      </c>
      <c r="V713" s="99" t="s">
        <v>1962</v>
      </c>
      <c r="W713" s="99" t="s">
        <v>1966</v>
      </c>
    </row>
    <row r="714" spans="1:23" ht="18.600000000000001" customHeight="1">
      <c r="A714" s="123" t="str">
        <f>IF(priority(Main[[#This Row],[Comments]])&lt;&gt;0, priority(Main[[#This Row],[Comments]]),"")</f>
        <v/>
      </c>
      <c r="B714" s="127" t="s">
        <v>1555</v>
      </c>
      <c r="C714" s="99" t="s">
        <v>47</v>
      </c>
      <c r="D714" s="100" t="s">
        <v>600</v>
      </c>
      <c r="E714" s="101"/>
      <c r="F714" s="101"/>
      <c r="G714" s="102" t="str">
        <f>IF(stdProdLT(Main[[#This Row],[Comments]])=0.1,"N/A",IF(stdProdLT(Main[[#This Row],[Comments]])=0,"",stdProdLT(Main[[#This Row],[Comments]])))</f>
        <v/>
      </c>
      <c r="H714" s="103" t="str">
        <f>IF(AND(Main[[#This Row],[In Stock Date]]&lt;&gt;"",Main[[#This Row],[Revised Due Date]]&lt;&gt;""),Main[[#This Row],[In Stock Date]]-Main[[#This Row],[Revised Due Date]],"")</f>
        <v/>
      </c>
      <c r="I714" s="99" t="s">
        <v>4</v>
      </c>
      <c r="J714" s="99" t="s">
        <v>4</v>
      </c>
      <c r="K714" s="99" t="s">
        <v>4</v>
      </c>
      <c r="L714" s="101"/>
      <c r="M714" s="104" t="str">
        <f>IF(Main[[#This Row],[Tech Start Date]]&lt;1/1/1990,"",IF(Main[[#This Row],[Class]]="C",WORKDAY(Main[[#This Row],[Tech Start Date]],9),IF(Main[[#This Row],[Class]]="B", WORKDAY(Main[[#This Row],[Tech Start Date]],6),IF(Main[[#This Row],[Class]]="A",WORKDAY(Main[[#This Row],[Tech Start Date]],2),""))))</f>
        <v/>
      </c>
      <c r="N714" s="104" t="str">
        <f>IF(Main[[#This Row],[Tech Start Date]]&lt;1/1/1990,"",IF(Main[[#This Row],[Class]]="C",WORKDAY(Main[[#This Row],[Tech Start Date]],19),IF(Main[[#This Row],[Class]]="B", WORKDAY(Main[[#This Row],[Tech Start Date]],12),IF(Main[[#This Row],[Class]]="A",WORKDAY(Main[[#This Row],[Tech Start Date]],4),""))))</f>
        <v/>
      </c>
      <c r="O714" s="104" t="str">
        <f>IF(Main[[#This Row],[Tech Start Date]]&lt;1/1/1990,"",IF(Main[[#This Row],[Class]]="C",WORKDAY(Main[[#This Row],[Tech Start Date]],23),IF(Main[[#This Row],[Class]]="B", WORKDAY(Main[[#This Row],[Tech Start Date]],15),IF(Main[[#This Row],[Class]]="A",WORKDAY(Main[[#This Row],[Tech Start Date]],5),""))))</f>
        <v/>
      </c>
      <c r="P714" s="104" t="str">
        <f>IF(Main[[#This Row],[Tech Start Date]]&lt;1/1/1990,"",IF(Main[[#This Row],[Class]]="C",WORKDAY(Main[[#This Row],[Tech Start Date]],28),IF(Main[[#This Row],[Class]]="B", WORKDAY(Main[[#This Row],[Tech Start Date]],19),IF(Main[[#This Row],[Class]]="A",WORKDAY(Main[[#This Row],[Tech Start Date]],9),""))))</f>
        <v/>
      </c>
      <c r="Q714" s="101"/>
      <c r="R714" s="101"/>
      <c r="S714" s="99" t="s">
        <v>49</v>
      </c>
      <c r="T714" s="107" t="s">
        <v>4</v>
      </c>
      <c r="U714" s="99" t="s">
        <v>14</v>
      </c>
      <c r="V714" s="99" t="s">
        <v>1965</v>
      </c>
      <c r="W714" s="99" t="s">
        <v>1966</v>
      </c>
    </row>
    <row r="715" spans="1:23" ht="18.600000000000001" customHeight="1">
      <c r="A715" s="123" t="str">
        <f>IF(priority(Main[[#This Row],[Comments]])&lt;&gt;0, priority(Main[[#This Row],[Comments]]),"")</f>
        <v/>
      </c>
      <c r="B715" s="127" t="s">
        <v>2047</v>
      </c>
      <c r="C715" s="99" t="s">
        <v>2048</v>
      </c>
      <c r="D715" s="100" t="s">
        <v>2049</v>
      </c>
      <c r="E715" s="101"/>
      <c r="F715" s="101">
        <v>40801</v>
      </c>
      <c r="G715" s="102" t="str">
        <f>IF(stdProdLT(Main[[#This Row],[Comments]])=0.1,"N/A",IF(stdProdLT(Main[[#This Row],[Comments]])=0,"",stdProdLT(Main[[#This Row],[Comments]])))</f>
        <v/>
      </c>
      <c r="H715" s="103" t="str">
        <f>IF(AND(Main[[#This Row],[In Stock Date]]&lt;&gt;"",Main[[#This Row],[Revised Due Date]]&lt;&gt;""),Main[[#This Row],[In Stock Date]]-Main[[#This Row],[Revised Due Date]],"")</f>
        <v/>
      </c>
      <c r="I715" s="99" t="s">
        <v>4</v>
      </c>
      <c r="J715" s="99" t="s">
        <v>4</v>
      </c>
      <c r="K715" s="99" t="s">
        <v>4</v>
      </c>
      <c r="L715" s="101"/>
      <c r="M715" s="104" t="str">
        <f>IF(Main[[#This Row],[Tech Start Date]]&lt;1/1/1990,"",IF(Main[[#This Row],[Class]]="C",WORKDAY(Main[[#This Row],[Tech Start Date]],9),IF(Main[[#This Row],[Class]]="B", WORKDAY(Main[[#This Row],[Tech Start Date]],6),IF(Main[[#This Row],[Class]]="A",WORKDAY(Main[[#This Row],[Tech Start Date]],2),""))))</f>
        <v/>
      </c>
      <c r="N715" s="104" t="str">
        <f>IF(Main[[#This Row],[Tech Start Date]]&lt;1/1/1990,"",IF(Main[[#This Row],[Class]]="C",WORKDAY(Main[[#This Row],[Tech Start Date]],19),IF(Main[[#This Row],[Class]]="B", WORKDAY(Main[[#This Row],[Tech Start Date]],12),IF(Main[[#This Row],[Class]]="A",WORKDAY(Main[[#This Row],[Tech Start Date]],4),""))))</f>
        <v/>
      </c>
      <c r="O715" s="104" t="str">
        <f>IF(Main[[#This Row],[Tech Start Date]]&lt;1/1/1990,"",IF(Main[[#This Row],[Class]]="C",WORKDAY(Main[[#This Row],[Tech Start Date]],23),IF(Main[[#This Row],[Class]]="B", WORKDAY(Main[[#This Row],[Tech Start Date]],15),IF(Main[[#This Row],[Class]]="A",WORKDAY(Main[[#This Row],[Tech Start Date]],5),""))))</f>
        <v/>
      </c>
      <c r="P715" s="104" t="str">
        <f>IF(Main[[#This Row],[Tech Start Date]]&lt;1/1/1990,"",IF(Main[[#This Row],[Class]]="C",WORKDAY(Main[[#This Row],[Tech Start Date]],28),IF(Main[[#This Row],[Class]]="B", WORKDAY(Main[[#This Row],[Tech Start Date]],19),IF(Main[[#This Row],[Class]]="A",WORKDAY(Main[[#This Row],[Tech Start Date]],9),""))))</f>
        <v/>
      </c>
      <c r="Q715" s="101"/>
      <c r="R715" s="101"/>
      <c r="S715" s="99" t="s">
        <v>6</v>
      </c>
      <c r="T715" s="107" t="s">
        <v>4</v>
      </c>
      <c r="U715" s="99" t="s">
        <v>12</v>
      </c>
      <c r="V715" s="99" t="s">
        <v>1965</v>
      </c>
      <c r="W715" s="99" t="s">
        <v>1966</v>
      </c>
    </row>
    <row r="716" spans="1:23" ht="18.600000000000001" customHeight="1">
      <c r="A716" s="123" t="str">
        <f>IF(priority(Main[[#This Row],[Comments]])&lt;&gt;0, priority(Main[[#This Row],[Comments]]),"")</f>
        <v/>
      </c>
      <c r="B716" s="127" t="s">
        <v>1556</v>
      </c>
      <c r="C716" s="99" t="s">
        <v>4</v>
      </c>
      <c r="D716" s="100" t="s">
        <v>601</v>
      </c>
      <c r="E716" s="101">
        <v>40270.342719907407</v>
      </c>
      <c r="F716" s="101"/>
      <c r="G716" s="102" t="str">
        <f>IF(stdProdLT(Main[[#This Row],[Comments]])=0.1,"N/A",IF(stdProdLT(Main[[#This Row],[Comments]])=0,"",stdProdLT(Main[[#This Row],[Comments]])))</f>
        <v/>
      </c>
      <c r="H716" s="103" t="str">
        <f>IF(AND(Main[[#This Row],[In Stock Date]]&lt;&gt;"",Main[[#This Row],[Revised Due Date]]&lt;&gt;""),Main[[#This Row],[In Stock Date]]-Main[[#This Row],[Revised Due Date]],"")</f>
        <v/>
      </c>
      <c r="I716" s="99" t="s">
        <v>4</v>
      </c>
      <c r="J716" s="99" t="s">
        <v>4</v>
      </c>
      <c r="K716" s="99" t="s">
        <v>4</v>
      </c>
      <c r="L716" s="101"/>
      <c r="M716" s="104" t="str">
        <f>IF(Main[[#This Row],[Tech Start Date]]&lt;1/1/1990,"",IF(Main[[#This Row],[Class]]="C",WORKDAY(Main[[#This Row],[Tech Start Date]],9),IF(Main[[#This Row],[Class]]="B", WORKDAY(Main[[#This Row],[Tech Start Date]],6),IF(Main[[#This Row],[Class]]="A",WORKDAY(Main[[#This Row],[Tech Start Date]],2),""))))</f>
        <v/>
      </c>
      <c r="N716" s="104" t="str">
        <f>IF(Main[[#This Row],[Tech Start Date]]&lt;1/1/1990,"",IF(Main[[#This Row],[Class]]="C",WORKDAY(Main[[#This Row],[Tech Start Date]],19),IF(Main[[#This Row],[Class]]="B", WORKDAY(Main[[#This Row],[Tech Start Date]],12),IF(Main[[#This Row],[Class]]="A",WORKDAY(Main[[#This Row],[Tech Start Date]],4),""))))</f>
        <v/>
      </c>
      <c r="O716" s="104" t="str">
        <f>IF(Main[[#This Row],[Tech Start Date]]&lt;1/1/1990,"",IF(Main[[#This Row],[Class]]="C",WORKDAY(Main[[#This Row],[Tech Start Date]],23),IF(Main[[#This Row],[Class]]="B", WORKDAY(Main[[#This Row],[Tech Start Date]],15),IF(Main[[#This Row],[Class]]="A",WORKDAY(Main[[#This Row],[Tech Start Date]],5),""))))</f>
        <v/>
      </c>
      <c r="P716" s="104" t="str">
        <f>IF(Main[[#This Row],[Tech Start Date]]&lt;1/1/1990,"",IF(Main[[#This Row],[Class]]="C",WORKDAY(Main[[#This Row],[Tech Start Date]],28),IF(Main[[#This Row],[Class]]="B", WORKDAY(Main[[#This Row],[Tech Start Date]],19),IF(Main[[#This Row],[Class]]="A",WORKDAY(Main[[#This Row],[Tech Start Date]],9),""))))</f>
        <v/>
      </c>
      <c r="Q716" s="101">
        <v>40359</v>
      </c>
      <c r="R716" s="101"/>
      <c r="S716" s="99" t="s">
        <v>6</v>
      </c>
      <c r="T716" s="107" t="s">
        <v>4</v>
      </c>
      <c r="U716" s="99" t="s">
        <v>7</v>
      </c>
      <c r="V716" s="99" t="s">
        <v>1962</v>
      </c>
      <c r="W716" s="99" t="s">
        <v>4</v>
      </c>
    </row>
    <row r="717" spans="1:23" ht="18.600000000000001" customHeight="1">
      <c r="A717" s="123" t="str">
        <f>IF(priority(Main[[#This Row],[Comments]])&lt;&gt;0, priority(Main[[#This Row],[Comments]]),"")</f>
        <v/>
      </c>
      <c r="B717" s="127" t="s">
        <v>1557</v>
      </c>
      <c r="C717" s="99" t="s">
        <v>356</v>
      </c>
      <c r="D717" s="100" t="s">
        <v>602</v>
      </c>
      <c r="E717" s="101"/>
      <c r="F717" s="101">
        <v>40452</v>
      </c>
      <c r="G717" s="102" t="str">
        <f>IF(stdProdLT(Main[[#This Row],[Comments]])=0.1,"N/A",IF(stdProdLT(Main[[#This Row],[Comments]])=0,"",stdProdLT(Main[[#This Row],[Comments]])))</f>
        <v/>
      </c>
      <c r="H717" s="103" t="str">
        <f>IF(AND(Main[[#This Row],[In Stock Date]]&lt;&gt;"",Main[[#This Row],[Revised Due Date]]&lt;&gt;""),Main[[#This Row],[In Stock Date]]-Main[[#This Row],[Revised Due Date]],"")</f>
        <v/>
      </c>
      <c r="I717" s="99" t="s">
        <v>4</v>
      </c>
      <c r="J717" s="99" t="s">
        <v>4</v>
      </c>
      <c r="K717" s="108" t="s">
        <v>4</v>
      </c>
      <c r="L717" s="101"/>
      <c r="M717" s="104" t="str">
        <f>IF(Main[[#This Row],[Tech Start Date]]&lt;1/1/1990,"",IF(Main[[#This Row],[Class]]="C",WORKDAY(Main[[#This Row],[Tech Start Date]],9),IF(Main[[#This Row],[Class]]="B", WORKDAY(Main[[#This Row],[Tech Start Date]],6),IF(Main[[#This Row],[Class]]="A",WORKDAY(Main[[#This Row],[Tech Start Date]],2),""))))</f>
        <v/>
      </c>
      <c r="N717" s="104" t="str">
        <f>IF(Main[[#This Row],[Tech Start Date]]&lt;1/1/1990,"",IF(Main[[#This Row],[Class]]="C",WORKDAY(Main[[#This Row],[Tech Start Date]],19),IF(Main[[#This Row],[Class]]="B", WORKDAY(Main[[#This Row],[Tech Start Date]],12),IF(Main[[#This Row],[Class]]="A",WORKDAY(Main[[#This Row],[Tech Start Date]],4),""))))</f>
        <v/>
      </c>
      <c r="O717" s="104" t="str">
        <f>IF(Main[[#This Row],[Tech Start Date]]&lt;1/1/1990,"",IF(Main[[#This Row],[Class]]="C",WORKDAY(Main[[#This Row],[Tech Start Date]],23),IF(Main[[#This Row],[Class]]="B", WORKDAY(Main[[#This Row],[Tech Start Date]],15),IF(Main[[#This Row],[Class]]="A",WORKDAY(Main[[#This Row],[Tech Start Date]],5),""))))</f>
        <v/>
      </c>
      <c r="P717" s="104" t="str">
        <f>IF(Main[[#This Row],[Tech Start Date]]&lt;1/1/1990,"",IF(Main[[#This Row],[Class]]="C",WORKDAY(Main[[#This Row],[Tech Start Date]],28),IF(Main[[#This Row],[Class]]="B", WORKDAY(Main[[#This Row],[Tech Start Date]],19),IF(Main[[#This Row],[Class]]="A",WORKDAY(Main[[#This Row],[Tech Start Date]],9),""))))</f>
        <v/>
      </c>
      <c r="Q717" s="101">
        <v>40344</v>
      </c>
      <c r="R717" s="101"/>
      <c r="S717" s="99" t="s">
        <v>11</v>
      </c>
      <c r="T717" s="107" t="s">
        <v>4</v>
      </c>
      <c r="U717" s="99" t="s">
        <v>14</v>
      </c>
      <c r="V717" s="99" t="s">
        <v>1965</v>
      </c>
      <c r="W717" s="99" t="s">
        <v>1968</v>
      </c>
    </row>
    <row r="718" spans="1:23" ht="18.600000000000001" customHeight="1">
      <c r="A718" s="123" t="str">
        <f>IF(priority(Main[[#This Row],[Comments]])&lt;&gt;0, priority(Main[[#This Row],[Comments]]),"")</f>
        <v/>
      </c>
      <c r="B718" s="127" t="s">
        <v>1558</v>
      </c>
      <c r="C718" s="99" t="s">
        <v>4</v>
      </c>
      <c r="D718" s="100" t="s">
        <v>603</v>
      </c>
      <c r="E718" s="101">
        <v>40645.435763888891</v>
      </c>
      <c r="F718" s="101"/>
      <c r="G718" s="102" t="str">
        <f>IF(stdProdLT(Main[[#This Row],[Comments]])=0.1,"N/A",IF(stdProdLT(Main[[#This Row],[Comments]])=0,"",stdProdLT(Main[[#This Row],[Comments]])))</f>
        <v/>
      </c>
      <c r="H718" s="103" t="str">
        <f>IF(AND(Main[[#This Row],[In Stock Date]]&lt;&gt;"",Main[[#This Row],[Revised Due Date]]&lt;&gt;""),Main[[#This Row],[In Stock Date]]-Main[[#This Row],[Revised Due Date]],"")</f>
        <v/>
      </c>
      <c r="I718" s="99" t="s">
        <v>568</v>
      </c>
      <c r="J718" s="99" t="s">
        <v>70</v>
      </c>
      <c r="K718" s="99" t="s">
        <v>4</v>
      </c>
      <c r="L718" s="101"/>
      <c r="M718" s="104" t="str">
        <f>IF(Main[[#This Row],[Tech Start Date]]&lt;1/1/1990,"",IF(Main[[#This Row],[Class]]="C",WORKDAY(Main[[#This Row],[Tech Start Date]],9),IF(Main[[#This Row],[Class]]="B", WORKDAY(Main[[#This Row],[Tech Start Date]],6),IF(Main[[#This Row],[Class]]="A",WORKDAY(Main[[#This Row],[Tech Start Date]],2),""))))</f>
        <v/>
      </c>
      <c r="N718" s="104" t="str">
        <f>IF(Main[[#This Row],[Tech Start Date]]&lt;1/1/1990,"",IF(Main[[#This Row],[Class]]="C",WORKDAY(Main[[#This Row],[Tech Start Date]],19),IF(Main[[#This Row],[Class]]="B", WORKDAY(Main[[#This Row],[Tech Start Date]],12),IF(Main[[#This Row],[Class]]="A",WORKDAY(Main[[#This Row],[Tech Start Date]],4),""))))</f>
        <v/>
      </c>
      <c r="O718" s="104" t="str">
        <f>IF(Main[[#This Row],[Tech Start Date]]&lt;1/1/1990,"",IF(Main[[#This Row],[Class]]="C",WORKDAY(Main[[#This Row],[Tech Start Date]],23),IF(Main[[#This Row],[Class]]="B", WORKDAY(Main[[#This Row],[Tech Start Date]],15),IF(Main[[#This Row],[Class]]="A",WORKDAY(Main[[#This Row],[Tech Start Date]],5),""))))</f>
        <v/>
      </c>
      <c r="P718" s="104" t="str">
        <f>IF(Main[[#This Row],[Tech Start Date]]&lt;1/1/1990,"",IF(Main[[#This Row],[Class]]="C",WORKDAY(Main[[#This Row],[Tech Start Date]],28),IF(Main[[#This Row],[Class]]="B", WORKDAY(Main[[#This Row],[Tech Start Date]],19),IF(Main[[#This Row],[Class]]="A",WORKDAY(Main[[#This Row],[Tech Start Date]],9),""))))</f>
        <v/>
      </c>
      <c r="Q718" s="101">
        <v>40669</v>
      </c>
      <c r="R718" s="101"/>
      <c r="S718" s="99" t="s">
        <v>6</v>
      </c>
      <c r="T718" s="107" t="s">
        <v>4</v>
      </c>
      <c r="U718" s="99" t="s">
        <v>29</v>
      </c>
      <c r="V718" s="99" t="s">
        <v>1962</v>
      </c>
      <c r="W718" s="99" t="s">
        <v>4</v>
      </c>
    </row>
    <row r="719" spans="1:23" ht="18.600000000000001" customHeight="1">
      <c r="A719" s="123" t="str">
        <f>IF(priority(Main[[#This Row],[Comments]])&lt;&gt;0, priority(Main[[#This Row],[Comments]]),"")</f>
        <v/>
      </c>
      <c r="B719" s="127" t="s">
        <v>1560</v>
      </c>
      <c r="C719" s="99" t="s">
        <v>406</v>
      </c>
      <c r="D719" s="100" t="s">
        <v>604</v>
      </c>
      <c r="E719" s="101"/>
      <c r="F719" s="101">
        <v>40447</v>
      </c>
      <c r="G719" s="102" t="str">
        <f>IF(stdProdLT(Main[[#This Row],[Comments]])=0.1,"N/A",IF(stdProdLT(Main[[#This Row],[Comments]])=0,"",stdProdLT(Main[[#This Row],[Comments]])))</f>
        <v/>
      </c>
      <c r="H719" s="103" t="str">
        <f>IF(AND(Main[[#This Row],[In Stock Date]]&lt;&gt;"",Main[[#This Row],[Revised Due Date]]&lt;&gt;""),Main[[#This Row],[In Stock Date]]-Main[[#This Row],[Revised Due Date]],"")</f>
        <v/>
      </c>
      <c r="I719" s="99" t="s">
        <v>4</v>
      </c>
      <c r="J719" s="99" t="s">
        <v>4</v>
      </c>
      <c r="K719" s="99" t="s">
        <v>4</v>
      </c>
      <c r="L719" s="101"/>
      <c r="M719" s="104" t="str">
        <f>IF(Main[[#This Row],[Tech Start Date]]&lt;1/1/1990,"",IF(Main[[#This Row],[Class]]="C",WORKDAY(Main[[#This Row],[Tech Start Date]],9),IF(Main[[#This Row],[Class]]="B", WORKDAY(Main[[#This Row],[Tech Start Date]],6),IF(Main[[#This Row],[Class]]="A",WORKDAY(Main[[#This Row],[Tech Start Date]],2),""))))</f>
        <v/>
      </c>
      <c r="N719" s="104" t="str">
        <f>IF(Main[[#This Row],[Tech Start Date]]&lt;1/1/1990,"",IF(Main[[#This Row],[Class]]="C",WORKDAY(Main[[#This Row],[Tech Start Date]],19),IF(Main[[#This Row],[Class]]="B", WORKDAY(Main[[#This Row],[Tech Start Date]],12),IF(Main[[#This Row],[Class]]="A",WORKDAY(Main[[#This Row],[Tech Start Date]],4),""))))</f>
        <v/>
      </c>
      <c r="O719" s="104" t="str">
        <f>IF(Main[[#This Row],[Tech Start Date]]&lt;1/1/1990,"",IF(Main[[#This Row],[Class]]="C",WORKDAY(Main[[#This Row],[Tech Start Date]],23),IF(Main[[#This Row],[Class]]="B", WORKDAY(Main[[#This Row],[Tech Start Date]],15),IF(Main[[#This Row],[Class]]="A",WORKDAY(Main[[#This Row],[Tech Start Date]],5),""))))</f>
        <v/>
      </c>
      <c r="P719" s="104" t="str">
        <f>IF(Main[[#This Row],[Tech Start Date]]&lt;1/1/1990,"",IF(Main[[#This Row],[Class]]="C",WORKDAY(Main[[#This Row],[Tech Start Date]],28),IF(Main[[#This Row],[Class]]="B", WORKDAY(Main[[#This Row],[Tech Start Date]],19),IF(Main[[#This Row],[Class]]="A",WORKDAY(Main[[#This Row],[Tech Start Date]],9),""))))</f>
        <v/>
      </c>
      <c r="Q719" s="101">
        <v>40349</v>
      </c>
      <c r="R719" s="101"/>
      <c r="S719" s="99" t="s">
        <v>11</v>
      </c>
      <c r="T719" s="107" t="s">
        <v>4</v>
      </c>
      <c r="U719" s="99" t="s">
        <v>14</v>
      </c>
      <c r="V719" s="99" t="s">
        <v>1972</v>
      </c>
      <c r="W719" s="99" t="s">
        <v>1967</v>
      </c>
    </row>
    <row r="720" spans="1:23" ht="18.600000000000001" customHeight="1">
      <c r="A720" s="123" t="str">
        <f>IF(priority(Main[[#This Row],[Comments]])&lt;&gt;0, priority(Main[[#This Row],[Comments]]),"")</f>
        <v/>
      </c>
      <c r="B720" s="127" t="s">
        <v>1580</v>
      </c>
      <c r="C720" s="99" t="s">
        <v>442</v>
      </c>
      <c r="D720" s="100" t="s">
        <v>632</v>
      </c>
      <c r="E720" s="101"/>
      <c r="F720" s="101">
        <v>40056</v>
      </c>
      <c r="G720" s="102" t="str">
        <f>IF(stdProdLT(Main[[#This Row],[Comments]])=0.1,"N/A",IF(stdProdLT(Main[[#This Row],[Comments]])=0,"",stdProdLT(Main[[#This Row],[Comments]])))</f>
        <v/>
      </c>
      <c r="H720" s="103" t="str">
        <f>IF(AND(Main[[#This Row],[In Stock Date]]&lt;&gt;"",Main[[#This Row],[Revised Due Date]]&lt;&gt;""),Main[[#This Row],[In Stock Date]]-Main[[#This Row],[Revised Due Date]],"")</f>
        <v/>
      </c>
      <c r="I720" s="99" t="s">
        <v>4</v>
      </c>
      <c r="J720" s="99" t="s">
        <v>4</v>
      </c>
      <c r="K720" s="99" t="s">
        <v>4</v>
      </c>
      <c r="L720" s="101"/>
      <c r="M720" s="104" t="str">
        <f>IF(Main[[#This Row],[Tech Start Date]]&lt;1/1/1990,"",IF(Main[[#This Row],[Class]]="C",WORKDAY(Main[[#This Row],[Tech Start Date]],9),IF(Main[[#This Row],[Class]]="B", WORKDAY(Main[[#This Row],[Tech Start Date]],6),IF(Main[[#This Row],[Class]]="A",WORKDAY(Main[[#This Row],[Tech Start Date]],2),""))))</f>
        <v/>
      </c>
      <c r="N720" s="104" t="str">
        <f>IF(Main[[#This Row],[Tech Start Date]]&lt;1/1/1990,"",IF(Main[[#This Row],[Class]]="C",WORKDAY(Main[[#This Row],[Tech Start Date]],19),IF(Main[[#This Row],[Class]]="B", WORKDAY(Main[[#This Row],[Tech Start Date]],12),IF(Main[[#This Row],[Class]]="A",WORKDAY(Main[[#This Row],[Tech Start Date]],4),""))))</f>
        <v/>
      </c>
      <c r="O720" s="104" t="str">
        <f>IF(Main[[#This Row],[Tech Start Date]]&lt;1/1/1990,"",IF(Main[[#This Row],[Class]]="C",WORKDAY(Main[[#This Row],[Tech Start Date]],23),IF(Main[[#This Row],[Class]]="B", WORKDAY(Main[[#This Row],[Tech Start Date]],15),IF(Main[[#This Row],[Class]]="A",WORKDAY(Main[[#This Row],[Tech Start Date]],5),""))))</f>
        <v/>
      </c>
      <c r="P720" s="104" t="str">
        <f>IF(Main[[#This Row],[Tech Start Date]]&lt;1/1/1990,"",IF(Main[[#This Row],[Class]]="C",WORKDAY(Main[[#This Row],[Tech Start Date]],28),IF(Main[[#This Row],[Class]]="B", WORKDAY(Main[[#This Row],[Tech Start Date]],19),IF(Main[[#This Row],[Class]]="A",WORKDAY(Main[[#This Row],[Tech Start Date]],9),""))))</f>
        <v/>
      </c>
      <c r="Q720" s="101"/>
      <c r="R720" s="101"/>
      <c r="S720" s="99" t="s">
        <v>11</v>
      </c>
      <c r="T720" s="107" t="s">
        <v>4</v>
      </c>
      <c r="U720" s="99" t="s">
        <v>14</v>
      </c>
      <c r="V720" s="99" t="s">
        <v>1962</v>
      </c>
      <c r="W720" s="99" t="s">
        <v>1970</v>
      </c>
    </row>
    <row r="721" spans="1:23" ht="18.600000000000001" customHeight="1">
      <c r="A721" s="123" t="str">
        <f>IF(priority(Main[[#This Row],[Comments]])&lt;&gt;0, priority(Main[[#This Row],[Comments]]),"")</f>
        <v/>
      </c>
      <c r="B721" s="127" t="s">
        <v>1590</v>
      </c>
      <c r="C721" s="99" t="s">
        <v>95</v>
      </c>
      <c r="D721" s="100" t="s">
        <v>642</v>
      </c>
      <c r="E721" s="101"/>
      <c r="F721" s="101">
        <v>40195</v>
      </c>
      <c r="G721" s="102" t="str">
        <f>IF(stdProdLT(Main[[#This Row],[Comments]])=0.1,"N/A",IF(stdProdLT(Main[[#This Row],[Comments]])=0,"",stdProdLT(Main[[#This Row],[Comments]])))</f>
        <v/>
      </c>
      <c r="H721" s="103" t="str">
        <f>IF(AND(Main[[#This Row],[In Stock Date]]&lt;&gt;"",Main[[#This Row],[Revised Due Date]]&lt;&gt;""),Main[[#This Row],[In Stock Date]]-Main[[#This Row],[Revised Due Date]],"")</f>
        <v/>
      </c>
      <c r="I721" s="99" t="s">
        <v>4</v>
      </c>
      <c r="J721" s="99" t="s">
        <v>4</v>
      </c>
      <c r="K721" s="99" t="s">
        <v>4</v>
      </c>
      <c r="L721" s="101"/>
      <c r="M721" s="104" t="str">
        <f>IF(Main[[#This Row],[Tech Start Date]]&lt;1/1/1990,"",IF(Main[[#This Row],[Class]]="C",WORKDAY(Main[[#This Row],[Tech Start Date]],9),IF(Main[[#This Row],[Class]]="B", WORKDAY(Main[[#This Row],[Tech Start Date]],6),IF(Main[[#This Row],[Class]]="A",WORKDAY(Main[[#This Row],[Tech Start Date]],2),""))))</f>
        <v/>
      </c>
      <c r="N721" s="104" t="str">
        <f>IF(Main[[#This Row],[Tech Start Date]]&lt;1/1/1990,"",IF(Main[[#This Row],[Class]]="C",WORKDAY(Main[[#This Row],[Tech Start Date]],19),IF(Main[[#This Row],[Class]]="B", WORKDAY(Main[[#This Row],[Tech Start Date]],12),IF(Main[[#This Row],[Class]]="A",WORKDAY(Main[[#This Row],[Tech Start Date]],4),""))))</f>
        <v/>
      </c>
      <c r="O721" s="104" t="str">
        <f>IF(Main[[#This Row],[Tech Start Date]]&lt;1/1/1990,"",IF(Main[[#This Row],[Class]]="C",WORKDAY(Main[[#This Row],[Tech Start Date]],23),IF(Main[[#This Row],[Class]]="B", WORKDAY(Main[[#This Row],[Tech Start Date]],15),IF(Main[[#This Row],[Class]]="A",WORKDAY(Main[[#This Row],[Tech Start Date]],5),""))))</f>
        <v/>
      </c>
      <c r="P721" s="104" t="str">
        <f>IF(Main[[#This Row],[Tech Start Date]]&lt;1/1/1990,"",IF(Main[[#This Row],[Class]]="C",WORKDAY(Main[[#This Row],[Tech Start Date]],28),IF(Main[[#This Row],[Class]]="B", WORKDAY(Main[[#This Row],[Tech Start Date]],19),IF(Main[[#This Row],[Class]]="A",WORKDAY(Main[[#This Row],[Tech Start Date]],9),""))))</f>
        <v/>
      </c>
      <c r="Q721" s="101">
        <v>40070</v>
      </c>
      <c r="R721" s="101"/>
      <c r="S721" s="99" t="s">
        <v>11</v>
      </c>
      <c r="T721" s="107" t="s">
        <v>4</v>
      </c>
      <c r="U721" s="99" t="s">
        <v>14</v>
      </c>
      <c r="V721" s="99" t="s">
        <v>1965</v>
      </c>
      <c r="W721" s="99" t="s">
        <v>1968</v>
      </c>
    </row>
    <row r="722" spans="1:23" ht="18.600000000000001" customHeight="1">
      <c r="A722" s="123" t="str">
        <f>IF(priority(Main[[#This Row],[Comments]])&lt;&gt;0, priority(Main[[#This Row],[Comments]]),"")</f>
        <v/>
      </c>
      <c r="B722" s="127" t="s">
        <v>1591</v>
      </c>
      <c r="C722" s="99" t="s">
        <v>4</v>
      </c>
      <c r="D722" s="100" t="s">
        <v>639</v>
      </c>
      <c r="E722" s="101"/>
      <c r="F722" s="101"/>
      <c r="G722" s="102" t="str">
        <f>IF(stdProdLT(Main[[#This Row],[Comments]])=0.1,"N/A",IF(stdProdLT(Main[[#This Row],[Comments]])=0,"",stdProdLT(Main[[#This Row],[Comments]])))</f>
        <v/>
      </c>
      <c r="H722" s="103" t="str">
        <f>IF(AND(Main[[#This Row],[In Stock Date]]&lt;&gt;"",Main[[#This Row],[Revised Due Date]]&lt;&gt;""),Main[[#This Row],[In Stock Date]]-Main[[#This Row],[Revised Due Date]],"")</f>
        <v/>
      </c>
      <c r="I722" s="99" t="s">
        <v>404</v>
      </c>
      <c r="J722" s="99" t="s">
        <v>75</v>
      </c>
      <c r="K722" s="99" t="s">
        <v>4</v>
      </c>
      <c r="L722" s="101"/>
      <c r="M722" s="104" t="str">
        <f>IF(Main[[#This Row],[Tech Start Date]]&lt;1/1/1990,"",IF(Main[[#This Row],[Class]]="C",WORKDAY(Main[[#This Row],[Tech Start Date]],9),IF(Main[[#This Row],[Class]]="B", WORKDAY(Main[[#This Row],[Tech Start Date]],6),IF(Main[[#This Row],[Class]]="A",WORKDAY(Main[[#This Row],[Tech Start Date]],2),""))))</f>
        <v/>
      </c>
      <c r="N722" s="104" t="str">
        <f>IF(Main[[#This Row],[Tech Start Date]]&lt;1/1/1990,"",IF(Main[[#This Row],[Class]]="C",WORKDAY(Main[[#This Row],[Tech Start Date]],19),IF(Main[[#This Row],[Class]]="B", WORKDAY(Main[[#This Row],[Tech Start Date]],12),IF(Main[[#This Row],[Class]]="A",WORKDAY(Main[[#This Row],[Tech Start Date]],4),""))))</f>
        <v/>
      </c>
      <c r="O722" s="104" t="str">
        <f>IF(Main[[#This Row],[Tech Start Date]]&lt;1/1/1990,"",IF(Main[[#This Row],[Class]]="C",WORKDAY(Main[[#This Row],[Tech Start Date]],23),IF(Main[[#This Row],[Class]]="B", WORKDAY(Main[[#This Row],[Tech Start Date]],15),IF(Main[[#This Row],[Class]]="A",WORKDAY(Main[[#This Row],[Tech Start Date]],5),""))))</f>
        <v/>
      </c>
      <c r="P722" s="104" t="str">
        <f>IF(Main[[#This Row],[Tech Start Date]]&lt;1/1/1990,"",IF(Main[[#This Row],[Class]]="C",WORKDAY(Main[[#This Row],[Tech Start Date]],28),IF(Main[[#This Row],[Class]]="B", WORKDAY(Main[[#This Row],[Tech Start Date]],19),IF(Main[[#This Row],[Class]]="A",WORKDAY(Main[[#This Row],[Tech Start Date]],9),""))))</f>
        <v/>
      </c>
      <c r="Q722" s="101">
        <v>40186</v>
      </c>
      <c r="R722" s="101"/>
      <c r="S722" s="99" t="s">
        <v>6</v>
      </c>
      <c r="T722" s="107" t="s">
        <v>4</v>
      </c>
      <c r="U722" s="99" t="s">
        <v>14</v>
      </c>
      <c r="V722" s="99" t="s">
        <v>1965</v>
      </c>
      <c r="W722" s="99" t="s">
        <v>1973</v>
      </c>
    </row>
    <row r="723" spans="1:23" ht="18.600000000000001" customHeight="1">
      <c r="A723" s="123" t="str">
        <f>IF(priority(Main[[#This Row],[Comments]])&lt;&gt;0, priority(Main[[#This Row],[Comments]]),"")</f>
        <v/>
      </c>
      <c r="B723" s="127" t="s">
        <v>1592</v>
      </c>
      <c r="C723" s="99" t="s">
        <v>4</v>
      </c>
      <c r="D723" s="100" t="s">
        <v>640</v>
      </c>
      <c r="E723" s="101"/>
      <c r="F723" s="101"/>
      <c r="G723" s="102" t="str">
        <f>IF(stdProdLT(Main[[#This Row],[Comments]])=0.1,"N/A",IF(stdProdLT(Main[[#This Row],[Comments]])=0,"",stdProdLT(Main[[#This Row],[Comments]])))</f>
        <v/>
      </c>
      <c r="H723" s="103" t="str">
        <f>IF(AND(Main[[#This Row],[In Stock Date]]&lt;&gt;"",Main[[#This Row],[Revised Due Date]]&lt;&gt;""),Main[[#This Row],[In Stock Date]]-Main[[#This Row],[Revised Due Date]],"")</f>
        <v/>
      </c>
      <c r="I723" s="99" t="s">
        <v>4</v>
      </c>
      <c r="J723" s="99" t="s">
        <v>4</v>
      </c>
      <c r="K723" s="99" t="s">
        <v>4</v>
      </c>
      <c r="L723" s="101"/>
      <c r="M723" s="104" t="str">
        <f>IF(Main[[#This Row],[Tech Start Date]]&lt;1/1/1990,"",IF(Main[[#This Row],[Class]]="C",WORKDAY(Main[[#This Row],[Tech Start Date]],9),IF(Main[[#This Row],[Class]]="B", WORKDAY(Main[[#This Row],[Tech Start Date]],6),IF(Main[[#This Row],[Class]]="A",WORKDAY(Main[[#This Row],[Tech Start Date]],2),""))))</f>
        <v/>
      </c>
      <c r="N723" s="104" t="str">
        <f>IF(Main[[#This Row],[Tech Start Date]]&lt;1/1/1990,"",IF(Main[[#This Row],[Class]]="C",WORKDAY(Main[[#This Row],[Tech Start Date]],19),IF(Main[[#This Row],[Class]]="B", WORKDAY(Main[[#This Row],[Tech Start Date]],12),IF(Main[[#This Row],[Class]]="A",WORKDAY(Main[[#This Row],[Tech Start Date]],4),""))))</f>
        <v/>
      </c>
      <c r="O723" s="104" t="str">
        <f>IF(Main[[#This Row],[Tech Start Date]]&lt;1/1/1990,"",IF(Main[[#This Row],[Class]]="C",WORKDAY(Main[[#This Row],[Tech Start Date]],23),IF(Main[[#This Row],[Class]]="B", WORKDAY(Main[[#This Row],[Tech Start Date]],15),IF(Main[[#This Row],[Class]]="A",WORKDAY(Main[[#This Row],[Tech Start Date]],5),""))))</f>
        <v/>
      </c>
      <c r="P723" s="104" t="str">
        <f>IF(Main[[#This Row],[Tech Start Date]]&lt;1/1/1990,"",IF(Main[[#This Row],[Class]]="C",WORKDAY(Main[[#This Row],[Tech Start Date]],28),IF(Main[[#This Row],[Class]]="B", WORKDAY(Main[[#This Row],[Tech Start Date]],19),IF(Main[[#This Row],[Class]]="A",WORKDAY(Main[[#This Row],[Tech Start Date]],9),""))))</f>
        <v/>
      </c>
      <c r="Q723" s="101">
        <v>40389</v>
      </c>
      <c r="R723" s="101"/>
      <c r="S723" s="99" t="s">
        <v>6</v>
      </c>
      <c r="T723" s="107" t="s">
        <v>4</v>
      </c>
      <c r="U723" s="99" t="s">
        <v>12</v>
      </c>
      <c r="V723" s="99" t="s">
        <v>1962</v>
      </c>
      <c r="W723" s="99" t="s">
        <v>4</v>
      </c>
    </row>
    <row r="724" spans="1:23" ht="18.600000000000001" customHeight="1">
      <c r="A724" s="123" t="str">
        <f>IF(priority(Main[[#This Row],[Comments]])&lt;&gt;0, priority(Main[[#This Row],[Comments]]),"")</f>
        <v/>
      </c>
      <c r="B724" s="127" t="s">
        <v>1617</v>
      </c>
      <c r="C724" s="99" t="s">
        <v>79</v>
      </c>
      <c r="D724" s="100" t="s">
        <v>666</v>
      </c>
      <c r="E724" s="101"/>
      <c r="F724" s="101"/>
      <c r="G724" s="102" t="str">
        <f>IF(stdProdLT(Main[[#This Row],[Comments]])=0.1,"N/A",IF(stdProdLT(Main[[#This Row],[Comments]])=0,"",stdProdLT(Main[[#This Row],[Comments]])))</f>
        <v/>
      </c>
      <c r="H724" s="103" t="str">
        <f>IF(AND(Main[[#This Row],[In Stock Date]]&lt;&gt;"",Main[[#This Row],[Revised Due Date]]&lt;&gt;""),Main[[#This Row],[In Stock Date]]-Main[[#This Row],[Revised Due Date]],"")</f>
        <v/>
      </c>
      <c r="I724" s="99" t="s">
        <v>4</v>
      </c>
      <c r="J724" s="99" t="s">
        <v>28</v>
      </c>
      <c r="K724" s="99" t="s">
        <v>4</v>
      </c>
      <c r="L724" s="101"/>
      <c r="M724" s="104" t="str">
        <f>IF(Main[[#This Row],[Tech Start Date]]&lt;1/1/1990,"",IF(Main[[#This Row],[Class]]="C",WORKDAY(Main[[#This Row],[Tech Start Date]],9),IF(Main[[#This Row],[Class]]="B", WORKDAY(Main[[#This Row],[Tech Start Date]],6),IF(Main[[#This Row],[Class]]="A",WORKDAY(Main[[#This Row],[Tech Start Date]],2),""))))</f>
        <v/>
      </c>
      <c r="N724" s="104" t="str">
        <f>IF(Main[[#This Row],[Tech Start Date]]&lt;1/1/1990,"",IF(Main[[#This Row],[Class]]="C",WORKDAY(Main[[#This Row],[Tech Start Date]],19),IF(Main[[#This Row],[Class]]="B", WORKDAY(Main[[#This Row],[Tech Start Date]],12),IF(Main[[#This Row],[Class]]="A",WORKDAY(Main[[#This Row],[Tech Start Date]],4),""))))</f>
        <v/>
      </c>
      <c r="O724" s="104" t="str">
        <f>IF(Main[[#This Row],[Tech Start Date]]&lt;1/1/1990,"",IF(Main[[#This Row],[Class]]="C",WORKDAY(Main[[#This Row],[Tech Start Date]],23),IF(Main[[#This Row],[Class]]="B", WORKDAY(Main[[#This Row],[Tech Start Date]],15),IF(Main[[#This Row],[Class]]="A",WORKDAY(Main[[#This Row],[Tech Start Date]],5),""))))</f>
        <v/>
      </c>
      <c r="P724" s="104" t="str">
        <f>IF(Main[[#This Row],[Tech Start Date]]&lt;1/1/1990,"",IF(Main[[#This Row],[Class]]="C",WORKDAY(Main[[#This Row],[Tech Start Date]],28),IF(Main[[#This Row],[Class]]="B", WORKDAY(Main[[#This Row],[Tech Start Date]],19),IF(Main[[#This Row],[Class]]="A",WORKDAY(Main[[#This Row],[Tech Start Date]],9),""))))</f>
        <v/>
      </c>
      <c r="Q724" s="101"/>
      <c r="R724" s="101"/>
      <c r="S724" s="99" t="s">
        <v>6</v>
      </c>
      <c r="T724" s="107" t="s">
        <v>667</v>
      </c>
      <c r="U724" s="99" t="s">
        <v>14</v>
      </c>
      <c r="V724" s="99" t="s">
        <v>1963</v>
      </c>
      <c r="W724" s="99" t="s">
        <v>1964</v>
      </c>
    </row>
    <row r="725" spans="1:23" ht="18.600000000000001" customHeight="1">
      <c r="A725" s="123" t="str">
        <f>IF(priority(Main[[#This Row],[Comments]])&lt;&gt;0, priority(Main[[#This Row],[Comments]]),"")</f>
        <v/>
      </c>
      <c r="B725" s="127" t="s">
        <v>1209</v>
      </c>
      <c r="C725" s="99" t="s">
        <v>4</v>
      </c>
      <c r="D725" s="100" t="s">
        <v>1031</v>
      </c>
      <c r="E725" s="101">
        <v>40718.691643518519</v>
      </c>
      <c r="F725" s="101"/>
      <c r="G725" s="102" t="str">
        <f>IF(stdProdLT(Main[[#This Row],[Comments]])=0.1,"N/A",IF(stdProdLT(Main[[#This Row],[Comments]])=0,"",stdProdLT(Main[[#This Row],[Comments]])))</f>
        <v/>
      </c>
      <c r="H725" s="103" t="str">
        <f>IF(AND(Main[[#This Row],[In Stock Date]]&lt;&gt;"",Main[[#This Row],[Revised Due Date]]&lt;&gt;""),Main[[#This Row],[In Stock Date]]-Main[[#This Row],[Revised Due Date]],"")</f>
        <v/>
      </c>
      <c r="I725" s="99" t="s">
        <v>131</v>
      </c>
      <c r="J725" s="99" t="s">
        <v>70</v>
      </c>
      <c r="K725" s="99" t="s">
        <v>1971</v>
      </c>
      <c r="L725" s="101"/>
      <c r="M725" s="104" t="str">
        <f>IF(Main[[#This Row],[Tech Start Date]]&lt;1/1/1990,"",IF(Main[[#This Row],[Class]]="C",WORKDAY(Main[[#This Row],[Tech Start Date]],9),IF(Main[[#This Row],[Class]]="B", WORKDAY(Main[[#This Row],[Tech Start Date]],6),IF(Main[[#This Row],[Class]]="A",WORKDAY(Main[[#This Row],[Tech Start Date]],2),""))))</f>
        <v/>
      </c>
      <c r="N725" s="104" t="str">
        <f>IF(Main[[#This Row],[Tech Start Date]]&lt;1/1/1990,"",IF(Main[[#This Row],[Class]]="C",WORKDAY(Main[[#This Row],[Tech Start Date]],19),IF(Main[[#This Row],[Class]]="B", WORKDAY(Main[[#This Row],[Tech Start Date]],12),IF(Main[[#This Row],[Class]]="A",WORKDAY(Main[[#This Row],[Tech Start Date]],4),""))))</f>
        <v/>
      </c>
      <c r="O725" s="104" t="str">
        <f>IF(Main[[#This Row],[Tech Start Date]]&lt;1/1/1990,"",IF(Main[[#This Row],[Class]]="C",WORKDAY(Main[[#This Row],[Tech Start Date]],23),IF(Main[[#This Row],[Class]]="B", WORKDAY(Main[[#This Row],[Tech Start Date]],15),IF(Main[[#This Row],[Class]]="A",WORKDAY(Main[[#This Row],[Tech Start Date]],5),""))))</f>
        <v/>
      </c>
      <c r="P725" s="104" t="str">
        <f>IF(Main[[#This Row],[Tech Start Date]]&lt;1/1/1990,"",IF(Main[[#This Row],[Class]]="C",WORKDAY(Main[[#This Row],[Tech Start Date]],28),IF(Main[[#This Row],[Class]]="B", WORKDAY(Main[[#This Row],[Tech Start Date]],19),IF(Main[[#This Row],[Class]]="A",WORKDAY(Main[[#This Row],[Tech Start Date]],9),""))))</f>
        <v/>
      </c>
      <c r="Q725" s="101">
        <v>40753</v>
      </c>
      <c r="R725" s="101"/>
      <c r="S725" s="99" t="s">
        <v>6</v>
      </c>
      <c r="T725" s="107" t="s">
        <v>4</v>
      </c>
      <c r="U725" s="99" t="s">
        <v>29</v>
      </c>
      <c r="V725" s="99" t="s">
        <v>1965</v>
      </c>
      <c r="W725" s="99" t="s">
        <v>1966</v>
      </c>
    </row>
    <row r="726" spans="1:23" ht="18.600000000000001" customHeight="1">
      <c r="A726" s="123" t="str">
        <f>IF(priority(Main[[#This Row],[Comments]])&lt;&gt;0, priority(Main[[#This Row],[Comments]]),"")</f>
        <v/>
      </c>
      <c r="B726" s="127" t="s">
        <v>1593</v>
      </c>
      <c r="C726" s="99" t="s">
        <v>214</v>
      </c>
      <c r="D726" s="100" t="s">
        <v>419</v>
      </c>
      <c r="E726" s="101"/>
      <c r="F726" s="101">
        <v>40452</v>
      </c>
      <c r="G726" s="102" t="str">
        <f>IF(stdProdLT(Main[[#This Row],[Comments]])=0.1,"N/A",IF(stdProdLT(Main[[#This Row],[Comments]])=0,"",stdProdLT(Main[[#This Row],[Comments]])))</f>
        <v/>
      </c>
      <c r="H726" s="103" t="str">
        <f>IF(AND(Main[[#This Row],[In Stock Date]]&lt;&gt;"",Main[[#This Row],[Revised Due Date]]&lt;&gt;""),Main[[#This Row],[In Stock Date]]-Main[[#This Row],[Revised Due Date]],"")</f>
        <v/>
      </c>
      <c r="I726" s="99" t="s">
        <v>4</v>
      </c>
      <c r="J726" s="99" t="s">
        <v>4</v>
      </c>
      <c r="K726" s="108" t="s">
        <v>4</v>
      </c>
      <c r="L726" s="101"/>
      <c r="M726" s="104" t="str">
        <f>IF(Main[[#This Row],[Tech Start Date]]&lt;1/1/1990,"",IF(Main[[#This Row],[Class]]="C",WORKDAY(Main[[#This Row],[Tech Start Date]],9),IF(Main[[#This Row],[Class]]="B", WORKDAY(Main[[#This Row],[Tech Start Date]],6),IF(Main[[#This Row],[Class]]="A",WORKDAY(Main[[#This Row],[Tech Start Date]],2),""))))</f>
        <v/>
      </c>
      <c r="N726" s="104" t="str">
        <f>IF(Main[[#This Row],[Tech Start Date]]&lt;1/1/1990,"",IF(Main[[#This Row],[Class]]="C",WORKDAY(Main[[#This Row],[Tech Start Date]],19),IF(Main[[#This Row],[Class]]="B", WORKDAY(Main[[#This Row],[Tech Start Date]],12),IF(Main[[#This Row],[Class]]="A",WORKDAY(Main[[#This Row],[Tech Start Date]],4),""))))</f>
        <v/>
      </c>
      <c r="O726" s="104" t="str">
        <f>IF(Main[[#This Row],[Tech Start Date]]&lt;1/1/1990,"",IF(Main[[#This Row],[Class]]="C",WORKDAY(Main[[#This Row],[Tech Start Date]],23),IF(Main[[#This Row],[Class]]="B", WORKDAY(Main[[#This Row],[Tech Start Date]],15),IF(Main[[#This Row],[Class]]="A",WORKDAY(Main[[#This Row],[Tech Start Date]],5),""))))</f>
        <v/>
      </c>
      <c r="P726" s="104" t="str">
        <f>IF(Main[[#This Row],[Tech Start Date]]&lt;1/1/1990,"",IF(Main[[#This Row],[Class]]="C",WORKDAY(Main[[#This Row],[Tech Start Date]],28),IF(Main[[#This Row],[Class]]="B", WORKDAY(Main[[#This Row],[Tech Start Date]],19),IF(Main[[#This Row],[Class]]="A",WORKDAY(Main[[#This Row],[Tech Start Date]],9),""))))</f>
        <v/>
      </c>
      <c r="Q726" s="101">
        <v>40357</v>
      </c>
      <c r="R726" s="101"/>
      <c r="S726" s="99" t="s">
        <v>11</v>
      </c>
      <c r="T726" s="107" t="s">
        <v>4</v>
      </c>
      <c r="U726" s="99" t="s">
        <v>12</v>
      </c>
      <c r="V726" s="99" t="s">
        <v>1962</v>
      </c>
      <c r="W726" s="99" t="s">
        <v>1970</v>
      </c>
    </row>
    <row r="727" spans="1:23" ht="18.600000000000001" customHeight="1">
      <c r="A727" s="123" t="str">
        <f>IF(priority(Main[[#This Row],[Comments]])&lt;&gt;0, priority(Main[[#This Row],[Comments]]),"")</f>
        <v/>
      </c>
      <c r="B727" s="127" t="s">
        <v>2037</v>
      </c>
      <c r="C727" s="99" t="s">
        <v>4</v>
      </c>
      <c r="D727" s="100" t="s">
        <v>2494</v>
      </c>
      <c r="E727" s="101"/>
      <c r="F727" s="101"/>
      <c r="G727" s="102" t="str">
        <f>IF(stdProdLT(Main[[#This Row],[Comments]])=0.1,"N/A",IF(stdProdLT(Main[[#This Row],[Comments]])=0,"",stdProdLT(Main[[#This Row],[Comments]])))</f>
        <v/>
      </c>
      <c r="H727" s="103" t="str">
        <f>IF(AND(Main[[#This Row],[In Stock Date]]&lt;&gt;"",Main[[#This Row],[Revised Due Date]]&lt;&gt;""),Main[[#This Row],[In Stock Date]]-Main[[#This Row],[Revised Due Date]],"")</f>
        <v/>
      </c>
      <c r="I727" s="99" t="s">
        <v>4</v>
      </c>
      <c r="J727" s="99" t="s">
        <v>4</v>
      </c>
      <c r="K727" s="99" t="s">
        <v>4</v>
      </c>
      <c r="L727" s="101"/>
      <c r="M727" s="104" t="str">
        <f>IF(Main[[#This Row],[Tech Start Date]]&lt;1/1/1990,"",IF(Main[[#This Row],[Class]]="C",WORKDAY(Main[[#This Row],[Tech Start Date]],9),IF(Main[[#This Row],[Class]]="B", WORKDAY(Main[[#This Row],[Tech Start Date]],6),IF(Main[[#This Row],[Class]]="A",WORKDAY(Main[[#This Row],[Tech Start Date]],2),""))))</f>
        <v/>
      </c>
      <c r="N727" s="104" t="str">
        <f>IF(Main[[#This Row],[Tech Start Date]]&lt;1/1/1990,"",IF(Main[[#This Row],[Class]]="C",WORKDAY(Main[[#This Row],[Tech Start Date]],19),IF(Main[[#This Row],[Class]]="B", WORKDAY(Main[[#This Row],[Tech Start Date]],12),IF(Main[[#This Row],[Class]]="A",WORKDAY(Main[[#This Row],[Tech Start Date]],4),""))))</f>
        <v/>
      </c>
      <c r="O727" s="104" t="str">
        <f>IF(Main[[#This Row],[Tech Start Date]]&lt;1/1/1990,"",IF(Main[[#This Row],[Class]]="C",WORKDAY(Main[[#This Row],[Tech Start Date]],23),IF(Main[[#This Row],[Class]]="B", WORKDAY(Main[[#This Row],[Tech Start Date]],15),IF(Main[[#This Row],[Class]]="A",WORKDAY(Main[[#This Row],[Tech Start Date]],5),""))))</f>
        <v/>
      </c>
      <c r="P727" s="104" t="str">
        <f>IF(Main[[#This Row],[Tech Start Date]]&lt;1/1/1990,"",IF(Main[[#This Row],[Class]]="C",WORKDAY(Main[[#This Row],[Tech Start Date]],28),IF(Main[[#This Row],[Class]]="B", WORKDAY(Main[[#This Row],[Tech Start Date]],19),IF(Main[[#This Row],[Class]]="A",WORKDAY(Main[[#This Row],[Tech Start Date]],9),""))))</f>
        <v/>
      </c>
      <c r="Q727" s="101"/>
      <c r="R727" s="101"/>
      <c r="S727" s="99" t="s">
        <v>6</v>
      </c>
      <c r="T727" s="107" t="s">
        <v>4</v>
      </c>
      <c r="U727" s="99" t="s">
        <v>14</v>
      </c>
      <c r="V727" s="99" t="s">
        <v>1962</v>
      </c>
      <c r="W727" s="99" t="s">
        <v>1966</v>
      </c>
    </row>
    <row r="728" spans="1:23" ht="18.600000000000001" customHeight="1">
      <c r="A728" s="123" t="str">
        <f>IF(priority(Main[[#This Row],[Comments]])&lt;&gt;0, priority(Main[[#This Row],[Comments]]),"")</f>
        <v/>
      </c>
      <c r="B728" s="127" t="s">
        <v>1594</v>
      </c>
      <c r="C728" s="99" t="s">
        <v>4</v>
      </c>
      <c r="D728" s="100" t="s">
        <v>643</v>
      </c>
      <c r="E728" s="101">
        <v>40413.550520833334</v>
      </c>
      <c r="F728" s="101"/>
      <c r="G728" s="102" t="str">
        <f>IF(stdProdLT(Main[[#This Row],[Comments]])=0.1,"N/A",IF(stdProdLT(Main[[#This Row],[Comments]])=0,"",stdProdLT(Main[[#This Row],[Comments]])))</f>
        <v/>
      </c>
      <c r="H728" s="103" t="str">
        <f>IF(AND(Main[[#This Row],[In Stock Date]]&lt;&gt;"",Main[[#This Row],[Revised Due Date]]&lt;&gt;""),Main[[#This Row],[In Stock Date]]-Main[[#This Row],[Revised Due Date]],"")</f>
        <v/>
      </c>
      <c r="I728" s="99" t="s">
        <v>4</v>
      </c>
      <c r="J728" s="99" t="s">
        <v>28</v>
      </c>
      <c r="K728" s="99" t="s">
        <v>4</v>
      </c>
      <c r="L728" s="101"/>
      <c r="M728" s="104" t="str">
        <f>IF(Main[[#This Row],[Tech Start Date]]&lt;1/1/1990,"",IF(Main[[#This Row],[Class]]="C",WORKDAY(Main[[#This Row],[Tech Start Date]],9),IF(Main[[#This Row],[Class]]="B", WORKDAY(Main[[#This Row],[Tech Start Date]],6),IF(Main[[#This Row],[Class]]="A",WORKDAY(Main[[#This Row],[Tech Start Date]],2),""))))</f>
        <v/>
      </c>
      <c r="N728" s="104" t="str">
        <f>IF(Main[[#This Row],[Tech Start Date]]&lt;1/1/1990,"",IF(Main[[#This Row],[Class]]="C",WORKDAY(Main[[#This Row],[Tech Start Date]],19),IF(Main[[#This Row],[Class]]="B", WORKDAY(Main[[#This Row],[Tech Start Date]],12),IF(Main[[#This Row],[Class]]="A",WORKDAY(Main[[#This Row],[Tech Start Date]],4),""))))</f>
        <v/>
      </c>
      <c r="O728" s="104" t="str">
        <f>IF(Main[[#This Row],[Tech Start Date]]&lt;1/1/1990,"",IF(Main[[#This Row],[Class]]="C",WORKDAY(Main[[#This Row],[Tech Start Date]],23),IF(Main[[#This Row],[Class]]="B", WORKDAY(Main[[#This Row],[Tech Start Date]],15),IF(Main[[#This Row],[Class]]="A",WORKDAY(Main[[#This Row],[Tech Start Date]],5),""))))</f>
        <v/>
      </c>
      <c r="P728" s="104" t="str">
        <f>IF(Main[[#This Row],[Tech Start Date]]&lt;1/1/1990,"",IF(Main[[#This Row],[Class]]="C",WORKDAY(Main[[#This Row],[Tech Start Date]],28),IF(Main[[#This Row],[Class]]="B", WORKDAY(Main[[#This Row],[Tech Start Date]],19),IF(Main[[#This Row],[Class]]="A",WORKDAY(Main[[#This Row],[Tech Start Date]],9),""))))</f>
        <v/>
      </c>
      <c r="Q728" s="101">
        <v>40451</v>
      </c>
      <c r="R728" s="101"/>
      <c r="S728" s="99" t="s">
        <v>6</v>
      </c>
      <c r="T728" s="107" t="s">
        <v>4</v>
      </c>
      <c r="U728" s="99" t="s">
        <v>7</v>
      </c>
      <c r="V728" s="99" t="s">
        <v>1962</v>
      </c>
      <c r="W728" s="99" t="s">
        <v>1964</v>
      </c>
    </row>
    <row r="729" spans="1:23" ht="18.600000000000001" customHeight="1">
      <c r="A729" s="123" t="str">
        <f>IF(priority(Main[[#This Row],[Comments]])&lt;&gt;0, priority(Main[[#This Row],[Comments]]),"")</f>
        <v/>
      </c>
      <c r="B729" s="127" t="s">
        <v>1379</v>
      </c>
      <c r="C729" s="99" t="s">
        <v>4</v>
      </c>
      <c r="D729" s="100" t="s">
        <v>2070</v>
      </c>
      <c r="E729" s="101"/>
      <c r="F729" s="101"/>
      <c r="G729" s="102" t="str">
        <f>IF(stdProdLT(Main[[#This Row],[Comments]])=0.1,"N/A",IF(stdProdLT(Main[[#This Row],[Comments]])=0,"",stdProdLT(Main[[#This Row],[Comments]])))</f>
        <v/>
      </c>
      <c r="H729" s="103" t="str">
        <f>IF(AND(Main[[#This Row],[In Stock Date]]&lt;&gt;"",Main[[#This Row],[Revised Due Date]]&lt;&gt;""),Main[[#This Row],[In Stock Date]]-Main[[#This Row],[Revised Due Date]],"")</f>
        <v/>
      </c>
      <c r="I729" s="99" t="s">
        <v>435</v>
      </c>
      <c r="J729" s="99" t="s">
        <v>70</v>
      </c>
      <c r="K729" s="108" t="s">
        <v>1971</v>
      </c>
      <c r="L729" s="101"/>
      <c r="M729" s="104" t="str">
        <f>IF(Main[[#This Row],[Tech Start Date]]&lt;1/1/1990,"",IF(Main[[#This Row],[Class]]="C",WORKDAY(Main[[#This Row],[Tech Start Date]],9),IF(Main[[#This Row],[Class]]="B", WORKDAY(Main[[#This Row],[Tech Start Date]],6),IF(Main[[#This Row],[Class]]="A",WORKDAY(Main[[#This Row],[Tech Start Date]],2),""))))</f>
        <v/>
      </c>
      <c r="N729" s="104" t="str">
        <f>IF(Main[[#This Row],[Tech Start Date]]&lt;1/1/1990,"",IF(Main[[#This Row],[Class]]="C",WORKDAY(Main[[#This Row],[Tech Start Date]],19),IF(Main[[#This Row],[Class]]="B", WORKDAY(Main[[#This Row],[Tech Start Date]],12),IF(Main[[#This Row],[Class]]="A",WORKDAY(Main[[#This Row],[Tech Start Date]],4),""))))</f>
        <v/>
      </c>
      <c r="O729" s="104" t="str">
        <f>IF(Main[[#This Row],[Tech Start Date]]&lt;1/1/1990,"",IF(Main[[#This Row],[Class]]="C",WORKDAY(Main[[#This Row],[Tech Start Date]],23),IF(Main[[#This Row],[Class]]="B", WORKDAY(Main[[#This Row],[Tech Start Date]],15),IF(Main[[#This Row],[Class]]="A",WORKDAY(Main[[#This Row],[Tech Start Date]],5),""))))</f>
        <v/>
      </c>
      <c r="P729" s="104" t="str">
        <f>IF(Main[[#This Row],[Tech Start Date]]&lt;1/1/1990,"",IF(Main[[#This Row],[Class]]="C",WORKDAY(Main[[#This Row],[Tech Start Date]],28),IF(Main[[#This Row],[Class]]="B", WORKDAY(Main[[#This Row],[Tech Start Date]],19),IF(Main[[#This Row],[Class]]="A",WORKDAY(Main[[#This Row],[Tech Start Date]],9),""))))</f>
        <v/>
      </c>
      <c r="Q729" s="101">
        <v>40717</v>
      </c>
      <c r="R729" s="101"/>
      <c r="S729" s="99" t="s">
        <v>6</v>
      </c>
      <c r="T729" s="107" t="s">
        <v>4</v>
      </c>
      <c r="U729" s="99" t="s">
        <v>14</v>
      </c>
      <c r="V729" s="99" t="s">
        <v>1965</v>
      </c>
      <c r="W729" s="99" t="s">
        <v>1966</v>
      </c>
    </row>
    <row r="730" spans="1:23" ht="18.600000000000001" customHeight="1">
      <c r="A730" s="123" t="str">
        <f>IF(priority(Main[[#This Row],[Comments]])&lt;&gt;0, priority(Main[[#This Row],[Comments]]),"")</f>
        <v/>
      </c>
      <c r="B730" s="127" t="s">
        <v>1548</v>
      </c>
      <c r="C730" s="99" t="s">
        <v>93</v>
      </c>
      <c r="D730" s="100" t="s">
        <v>593</v>
      </c>
      <c r="E730" s="101"/>
      <c r="F730" s="101">
        <v>40302</v>
      </c>
      <c r="G730" s="102" t="str">
        <f>IF(stdProdLT(Main[[#This Row],[Comments]])=0.1,"N/A",IF(stdProdLT(Main[[#This Row],[Comments]])=0,"",stdProdLT(Main[[#This Row],[Comments]])))</f>
        <v/>
      </c>
      <c r="H730" s="103" t="str">
        <f>IF(AND(Main[[#This Row],[In Stock Date]]&lt;&gt;"",Main[[#This Row],[Revised Due Date]]&lt;&gt;""),Main[[#This Row],[In Stock Date]]-Main[[#This Row],[Revised Due Date]],"")</f>
        <v/>
      </c>
      <c r="I730" s="99" t="s">
        <v>4</v>
      </c>
      <c r="J730" s="99" t="s">
        <v>4</v>
      </c>
      <c r="K730" s="99" t="s">
        <v>4</v>
      </c>
      <c r="L730" s="101"/>
      <c r="M730" s="104" t="str">
        <f>IF(Main[[#This Row],[Tech Start Date]]&lt;1/1/1990,"",IF(Main[[#This Row],[Class]]="C",WORKDAY(Main[[#This Row],[Tech Start Date]],9),IF(Main[[#This Row],[Class]]="B", WORKDAY(Main[[#This Row],[Tech Start Date]],6),IF(Main[[#This Row],[Class]]="A",WORKDAY(Main[[#This Row],[Tech Start Date]],2),""))))</f>
        <v/>
      </c>
      <c r="N730" s="104" t="str">
        <f>IF(Main[[#This Row],[Tech Start Date]]&lt;1/1/1990,"",IF(Main[[#This Row],[Class]]="C",WORKDAY(Main[[#This Row],[Tech Start Date]],19),IF(Main[[#This Row],[Class]]="B", WORKDAY(Main[[#This Row],[Tech Start Date]],12),IF(Main[[#This Row],[Class]]="A",WORKDAY(Main[[#This Row],[Tech Start Date]],4),""))))</f>
        <v/>
      </c>
      <c r="O730" s="104" t="str">
        <f>IF(Main[[#This Row],[Tech Start Date]]&lt;1/1/1990,"",IF(Main[[#This Row],[Class]]="C",WORKDAY(Main[[#This Row],[Tech Start Date]],23),IF(Main[[#This Row],[Class]]="B", WORKDAY(Main[[#This Row],[Tech Start Date]],15),IF(Main[[#This Row],[Class]]="A",WORKDAY(Main[[#This Row],[Tech Start Date]],5),""))))</f>
        <v/>
      </c>
      <c r="P730" s="104" t="str">
        <f>IF(Main[[#This Row],[Tech Start Date]]&lt;1/1/1990,"",IF(Main[[#This Row],[Class]]="C",WORKDAY(Main[[#This Row],[Tech Start Date]],28),IF(Main[[#This Row],[Class]]="B", WORKDAY(Main[[#This Row],[Tech Start Date]],19),IF(Main[[#This Row],[Class]]="A",WORKDAY(Main[[#This Row],[Tech Start Date]],9),""))))</f>
        <v/>
      </c>
      <c r="Q730" s="101">
        <v>40190</v>
      </c>
      <c r="R730" s="101"/>
      <c r="S730" s="99" t="s">
        <v>11</v>
      </c>
      <c r="T730" s="107" t="s">
        <v>4</v>
      </c>
      <c r="U730" s="99" t="s">
        <v>12</v>
      </c>
      <c r="V730" s="99" t="s">
        <v>1972</v>
      </c>
      <c r="W730" s="99" t="s">
        <v>1968</v>
      </c>
    </row>
    <row r="731" spans="1:23" ht="18.600000000000001" customHeight="1">
      <c r="A731" s="123" t="str">
        <f>IF(priority(Main[[#This Row],[Comments]])&lt;&gt;0, priority(Main[[#This Row],[Comments]]),"")</f>
        <v/>
      </c>
      <c r="B731" s="127" t="s">
        <v>1549</v>
      </c>
      <c r="C731" s="99" t="s">
        <v>4</v>
      </c>
      <c r="D731" s="100" t="s">
        <v>594</v>
      </c>
      <c r="E731" s="101"/>
      <c r="F731" s="101">
        <v>40330</v>
      </c>
      <c r="G731" s="102" t="str">
        <f>IF(stdProdLT(Main[[#This Row],[Comments]])=0.1,"N/A",IF(stdProdLT(Main[[#This Row],[Comments]])=0,"",stdProdLT(Main[[#This Row],[Comments]])))</f>
        <v/>
      </c>
      <c r="H731" s="103" t="str">
        <f>IF(AND(Main[[#This Row],[In Stock Date]]&lt;&gt;"",Main[[#This Row],[Revised Due Date]]&lt;&gt;""),Main[[#This Row],[In Stock Date]]-Main[[#This Row],[Revised Due Date]],"")</f>
        <v/>
      </c>
      <c r="I731" s="99" t="s">
        <v>4</v>
      </c>
      <c r="J731" s="99" t="s">
        <v>4</v>
      </c>
      <c r="K731" s="99" t="s">
        <v>4</v>
      </c>
      <c r="L731" s="101"/>
      <c r="M731" s="104" t="str">
        <f>IF(Main[[#This Row],[Tech Start Date]]&lt;1/1/1990,"",IF(Main[[#This Row],[Class]]="C",WORKDAY(Main[[#This Row],[Tech Start Date]],9),IF(Main[[#This Row],[Class]]="B", WORKDAY(Main[[#This Row],[Tech Start Date]],6),IF(Main[[#This Row],[Class]]="A",WORKDAY(Main[[#This Row],[Tech Start Date]],2),""))))</f>
        <v/>
      </c>
      <c r="N731" s="104" t="str">
        <f>IF(Main[[#This Row],[Tech Start Date]]&lt;1/1/1990,"",IF(Main[[#This Row],[Class]]="C",WORKDAY(Main[[#This Row],[Tech Start Date]],19),IF(Main[[#This Row],[Class]]="B", WORKDAY(Main[[#This Row],[Tech Start Date]],12),IF(Main[[#This Row],[Class]]="A",WORKDAY(Main[[#This Row],[Tech Start Date]],4),""))))</f>
        <v/>
      </c>
      <c r="O731" s="104" t="str">
        <f>IF(Main[[#This Row],[Tech Start Date]]&lt;1/1/1990,"",IF(Main[[#This Row],[Class]]="C",WORKDAY(Main[[#This Row],[Tech Start Date]],23),IF(Main[[#This Row],[Class]]="B", WORKDAY(Main[[#This Row],[Tech Start Date]],15),IF(Main[[#This Row],[Class]]="A",WORKDAY(Main[[#This Row],[Tech Start Date]],5),""))))</f>
        <v/>
      </c>
      <c r="P731" s="104" t="str">
        <f>IF(Main[[#This Row],[Tech Start Date]]&lt;1/1/1990,"",IF(Main[[#This Row],[Class]]="C",WORKDAY(Main[[#This Row],[Tech Start Date]],28),IF(Main[[#This Row],[Class]]="B", WORKDAY(Main[[#This Row],[Tech Start Date]],19),IF(Main[[#This Row],[Class]]="A",WORKDAY(Main[[#This Row],[Tech Start Date]],9),""))))</f>
        <v/>
      </c>
      <c r="Q731" s="101">
        <v>40210</v>
      </c>
      <c r="R731" s="101"/>
      <c r="S731" s="99" t="s">
        <v>11</v>
      </c>
      <c r="T731" s="107" t="s">
        <v>4</v>
      </c>
      <c r="U731" s="99" t="s">
        <v>12</v>
      </c>
      <c r="V731" s="99" t="s">
        <v>1963</v>
      </c>
      <c r="W731" s="99" t="s">
        <v>1968</v>
      </c>
    </row>
    <row r="732" spans="1:23" ht="18.600000000000001" customHeight="1">
      <c r="A732" s="123" t="str">
        <f>IF(priority(Main[[#This Row],[Comments]])&lt;&gt;0, priority(Main[[#This Row],[Comments]]),"")</f>
        <v/>
      </c>
      <c r="B732" s="127" t="s">
        <v>1550</v>
      </c>
      <c r="C732" s="99" t="s">
        <v>4</v>
      </c>
      <c r="D732" s="100" t="s">
        <v>595</v>
      </c>
      <c r="E732" s="101">
        <v>40217.626817129632</v>
      </c>
      <c r="F732" s="101"/>
      <c r="G732" s="102" t="str">
        <f>IF(stdProdLT(Main[[#This Row],[Comments]])=0.1,"N/A",IF(stdProdLT(Main[[#This Row],[Comments]])=0,"",stdProdLT(Main[[#This Row],[Comments]])))</f>
        <v/>
      </c>
      <c r="H732" s="103" t="str">
        <f>IF(AND(Main[[#This Row],[In Stock Date]]&lt;&gt;"",Main[[#This Row],[Revised Due Date]]&lt;&gt;""),Main[[#This Row],[In Stock Date]]-Main[[#This Row],[Revised Due Date]],"")</f>
        <v/>
      </c>
      <c r="I732" s="99" t="s">
        <v>4</v>
      </c>
      <c r="J732" s="99" t="s">
        <v>4</v>
      </c>
      <c r="K732" s="99" t="s">
        <v>4</v>
      </c>
      <c r="L732" s="101"/>
      <c r="M732" s="104" t="str">
        <f>IF(Main[[#This Row],[Tech Start Date]]&lt;1/1/1990,"",IF(Main[[#This Row],[Class]]="C",WORKDAY(Main[[#This Row],[Tech Start Date]],9),IF(Main[[#This Row],[Class]]="B", WORKDAY(Main[[#This Row],[Tech Start Date]],6),IF(Main[[#This Row],[Class]]="A",WORKDAY(Main[[#This Row],[Tech Start Date]],2),""))))</f>
        <v/>
      </c>
      <c r="N732" s="104" t="str">
        <f>IF(Main[[#This Row],[Tech Start Date]]&lt;1/1/1990,"",IF(Main[[#This Row],[Class]]="C",WORKDAY(Main[[#This Row],[Tech Start Date]],19),IF(Main[[#This Row],[Class]]="B", WORKDAY(Main[[#This Row],[Tech Start Date]],12),IF(Main[[#This Row],[Class]]="A",WORKDAY(Main[[#This Row],[Tech Start Date]],4),""))))</f>
        <v/>
      </c>
      <c r="O732" s="104" t="str">
        <f>IF(Main[[#This Row],[Tech Start Date]]&lt;1/1/1990,"",IF(Main[[#This Row],[Class]]="C",WORKDAY(Main[[#This Row],[Tech Start Date]],23),IF(Main[[#This Row],[Class]]="B", WORKDAY(Main[[#This Row],[Tech Start Date]],15),IF(Main[[#This Row],[Class]]="A",WORKDAY(Main[[#This Row],[Tech Start Date]],5),""))))</f>
        <v/>
      </c>
      <c r="P732" s="104" t="str">
        <f>IF(Main[[#This Row],[Tech Start Date]]&lt;1/1/1990,"",IF(Main[[#This Row],[Class]]="C",WORKDAY(Main[[#This Row],[Tech Start Date]],28),IF(Main[[#This Row],[Class]]="B", WORKDAY(Main[[#This Row],[Tech Start Date]],19),IF(Main[[#This Row],[Class]]="A",WORKDAY(Main[[#This Row],[Tech Start Date]],9),""))))</f>
        <v/>
      </c>
      <c r="Q732" s="101">
        <v>40229</v>
      </c>
      <c r="R732" s="101"/>
      <c r="S732" s="99" t="s">
        <v>6</v>
      </c>
      <c r="T732" s="107" t="s">
        <v>4</v>
      </c>
      <c r="U732" s="99" t="s">
        <v>7</v>
      </c>
      <c r="V732" s="99" t="s">
        <v>1962</v>
      </c>
      <c r="W732" s="99" t="s">
        <v>1966</v>
      </c>
    </row>
    <row r="733" spans="1:23" ht="18.600000000000001" customHeight="1">
      <c r="A733" s="123" t="str">
        <f>IF(priority(Main[[#This Row],[Comments]])&lt;&gt;0, priority(Main[[#This Row],[Comments]]),"")</f>
        <v/>
      </c>
      <c r="B733" s="127" t="s">
        <v>1596</v>
      </c>
      <c r="C733" s="99" t="s">
        <v>183</v>
      </c>
      <c r="D733" s="100" t="s">
        <v>644</v>
      </c>
      <c r="E733" s="101"/>
      <c r="F733" s="101">
        <v>40389</v>
      </c>
      <c r="G733" s="102" t="str">
        <f>IF(stdProdLT(Main[[#This Row],[Comments]])=0.1,"N/A",IF(stdProdLT(Main[[#This Row],[Comments]])=0,"",stdProdLT(Main[[#This Row],[Comments]])))</f>
        <v/>
      </c>
      <c r="H733" s="103" t="str">
        <f>IF(AND(Main[[#This Row],[In Stock Date]]&lt;&gt;"",Main[[#This Row],[Revised Due Date]]&lt;&gt;""),Main[[#This Row],[In Stock Date]]-Main[[#This Row],[Revised Due Date]],"")</f>
        <v/>
      </c>
      <c r="I733" s="99" t="s">
        <v>4</v>
      </c>
      <c r="J733" s="99" t="s">
        <v>4</v>
      </c>
      <c r="K733" s="99" t="s">
        <v>4</v>
      </c>
      <c r="L733" s="101"/>
      <c r="M733" s="104" t="str">
        <f>IF(Main[[#This Row],[Tech Start Date]]&lt;1/1/1990,"",IF(Main[[#This Row],[Class]]="C",WORKDAY(Main[[#This Row],[Tech Start Date]],9),IF(Main[[#This Row],[Class]]="B", WORKDAY(Main[[#This Row],[Tech Start Date]],6),IF(Main[[#This Row],[Class]]="A",WORKDAY(Main[[#This Row],[Tech Start Date]],2),""))))</f>
        <v/>
      </c>
      <c r="N733" s="104" t="str">
        <f>IF(Main[[#This Row],[Tech Start Date]]&lt;1/1/1990,"",IF(Main[[#This Row],[Class]]="C",WORKDAY(Main[[#This Row],[Tech Start Date]],19),IF(Main[[#This Row],[Class]]="B", WORKDAY(Main[[#This Row],[Tech Start Date]],12),IF(Main[[#This Row],[Class]]="A",WORKDAY(Main[[#This Row],[Tech Start Date]],4),""))))</f>
        <v/>
      </c>
      <c r="O733" s="104" t="str">
        <f>IF(Main[[#This Row],[Tech Start Date]]&lt;1/1/1990,"",IF(Main[[#This Row],[Class]]="C",WORKDAY(Main[[#This Row],[Tech Start Date]],23),IF(Main[[#This Row],[Class]]="B", WORKDAY(Main[[#This Row],[Tech Start Date]],15),IF(Main[[#This Row],[Class]]="A",WORKDAY(Main[[#This Row],[Tech Start Date]],5),""))))</f>
        <v/>
      </c>
      <c r="P733" s="104" t="str">
        <f>IF(Main[[#This Row],[Tech Start Date]]&lt;1/1/1990,"",IF(Main[[#This Row],[Class]]="C",WORKDAY(Main[[#This Row],[Tech Start Date]],28),IF(Main[[#This Row],[Class]]="B", WORKDAY(Main[[#This Row],[Tech Start Date]],19),IF(Main[[#This Row],[Class]]="A",WORKDAY(Main[[#This Row],[Tech Start Date]],9),""))))</f>
        <v/>
      </c>
      <c r="Q733" s="101">
        <v>40298</v>
      </c>
      <c r="R733" s="101"/>
      <c r="S733" s="99" t="s">
        <v>11</v>
      </c>
      <c r="T733" s="107" t="s">
        <v>4</v>
      </c>
      <c r="U733" s="99" t="s">
        <v>12</v>
      </c>
      <c r="V733" s="99" t="s">
        <v>1962</v>
      </c>
      <c r="W733" s="99" t="s">
        <v>1968</v>
      </c>
    </row>
    <row r="734" spans="1:23" ht="18.600000000000001" customHeight="1">
      <c r="A734" s="123" t="str">
        <f>IF(priority(Main[[#This Row],[Comments]])&lt;&gt;0, priority(Main[[#This Row],[Comments]]),"")</f>
        <v/>
      </c>
      <c r="B734" s="127" t="s">
        <v>1597</v>
      </c>
      <c r="C734" s="99" t="s">
        <v>295</v>
      </c>
      <c r="D734" s="100" t="s">
        <v>645</v>
      </c>
      <c r="E734" s="101"/>
      <c r="F734" s="101"/>
      <c r="G734" s="102" t="str">
        <f>IF(stdProdLT(Main[[#This Row],[Comments]])=0.1,"N/A",IF(stdProdLT(Main[[#This Row],[Comments]])=0,"",stdProdLT(Main[[#This Row],[Comments]])))</f>
        <v/>
      </c>
      <c r="H734" s="103" t="str">
        <f>IF(AND(Main[[#This Row],[In Stock Date]]&lt;&gt;"",Main[[#This Row],[Revised Due Date]]&lt;&gt;""),Main[[#This Row],[In Stock Date]]-Main[[#This Row],[Revised Due Date]],"")</f>
        <v/>
      </c>
      <c r="I734" s="99" t="s">
        <v>4</v>
      </c>
      <c r="J734" s="99" t="s">
        <v>4</v>
      </c>
      <c r="K734" s="99" t="s">
        <v>4</v>
      </c>
      <c r="L734" s="101"/>
      <c r="M734" s="104" t="str">
        <f>IF(Main[[#This Row],[Tech Start Date]]&lt;1/1/1990,"",IF(Main[[#This Row],[Class]]="C",WORKDAY(Main[[#This Row],[Tech Start Date]],9),IF(Main[[#This Row],[Class]]="B", WORKDAY(Main[[#This Row],[Tech Start Date]],6),IF(Main[[#This Row],[Class]]="A",WORKDAY(Main[[#This Row],[Tech Start Date]],2),""))))</f>
        <v/>
      </c>
      <c r="N734" s="104" t="str">
        <f>IF(Main[[#This Row],[Tech Start Date]]&lt;1/1/1990,"",IF(Main[[#This Row],[Class]]="C",WORKDAY(Main[[#This Row],[Tech Start Date]],19),IF(Main[[#This Row],[Class]]="B", WORKDAY(Main[[#This Row],[Tech Start Date]],12),IF(Main[[#This Row],[Class]]="A",WORKDAY(Main[[#This Row],[Tech Start Date]],4),""))))</f>
        <v/>
      </c>
      <c r="O734" s="104" t="str">
        <f>IF(Main[[#This Row],[Tech Start Date]]&lt;1/1/1990,"",IF(Main[[#This Row],[Class]]="C",WORKDAY(Main[[#This Row],[Tech Start Date]],23),IF(Main[[#This Row],[Class]]="B", WORKDAY(Main[[#This Row],[Tech Start Date]],15),IF(Main[[#This Row],[Class]]="A",WORKDAY(Main[[#This Row],[Tech Start Date]],5),""))))</f>
        <v/>
      </c>
      <c r="P734" s="104" t="str">
        <f>IF(Main[[#This Row],[Tech Start Date]]&lt;1/1/1990,"",IF(Main[[#This Row],[Class]]="C",WORKDAY(Main[[#This Row],[Tech Start Date]],28),IF(Main[[#This Row],[Class]]="B", WORKDAY(Main[[#This Row],[Tech Start Date]],19),IF(Main[[#This Row],[Class]]="A",WORKDAY(Main[[#This Row],[Tech Start Date]],9),""))))</f>
        <v/>
      </c>
      <c r="Q734" s="101">
        <v>40052</v>
      </c>
      <c r="R734" s="101"/>
      <c r="S734" s="99" t="s">
        <v>11</v>
      </c>
      <c r="T734" s="107" t="s">
        <v>4</v>
      </c>
      <c r="U734" s="99" t="s">
        <v>14</v>
      </c>
      <c r="V734" s="99" t="s">
        <v>1965</v>
      </c>
      <c r="W734" s="99" t="s">
        <v>1964</v>
      </c>
    </row>
    <row r="735" spans="1:23" ht="18.600000000000001" customHeight="1">
      <c r="A735" s="123" t="str">
        <f>IF(priority(Main[[#This Row],[Comments]])&lt;&gt;0, priority(Main[[#This Row],[Comments]]),"")</f>
        <v/>
      </c>
      <c r="B735" s="127" t="s">
        <v>2503</v>
      </c>
      <c r="C735" s="99" t="s">
        <v>2504</v>
      </c>
      <c r="D735" s="100" t="s">
        <v>2505</v>
      </c>
      <c r="E735" s="101">
        <v>40861.684444444443</v>
      </c>
      <c r="F735" s="101">
        <v>41030</v>
      </c>
      <c r="G735" s="102">
        <f>IF(stdProdLT(Main[[#This Row],[Comments]])=0.1,"N/A",IF(stdProdLT(Main[[#This Row],[Comments]])=0,"",stdProdLT(Main[[#This Row],[Comments]])))</f>
        <v>112</v>
      </c>
      <c r="H735" s="103" t="str">
        <f>IF(AND(Main[[#This Row],[In Stock Date]]&lt;&gt;"",Main[[#This Row],[Revised Due Date]]&lt;&gt;""),Main[[#This Row],[In Stock Date]]-Main[[#This Row],[Revised Due Date]],"")</f>
        <v/>
      </c>
      <c r="I735" s="99" t="s">
        <v>4</v>
      </c>
      <c r="J735" s="99" t="s">
        <v>4</v>
      </c>
      <c r="K735" s="99" t="s">
        <v>4</v>
      </c>
      <c r="L735" s="101"/>
      <c r="M735" s="104" t="str">
        <f>IF(Main[[#This Row],[Tech Start Date]]&lt;1/1/1990,"",IF(Main[[#This Row],[Class]]="C",WORKDAY(Main[[#This Row],[Tech Start Date]],9),IF(Main[[#This Row],[Class]]="B", WORKDAY(Main[[#This Row],[Tech Start Date]],6),IF(Main[[#This Row],[Class]]="A",WORKDAY(Main[[#This Row],[Tech Start Date]],2),""))))</f>
        <v/>
      </c>
      <c r="N735" s="104" t="str">
        <f>IF(Main[[#This Row],[Tech Start Date]]&lt;1/1/1990,"",IF(Main[[#This Row],[Class]]="C",WORKDAY(Main[[#This Row],[Tech Start Date]],19),IF(Main[[#This Row],[Class]]="B", WORKDAY(Main[[#This Row],[Tech Start Date]],12),IF(Main[[#This Row],[Class]]="A",WORKDAY(Main[[#This Row],[Tech Start Date]],4),""))))</f>
        <v/>
      </c>
      <c r="O735" s="104" t="str">
        <f>IF(Main[[#This Row],[Tech Start Date]]&lt;1/1/1990,"",IF(Main[[#This Row],[Class]]="C",WORKDAY(Main[[#This Row],[Tech Start Date]],23),IF(Main[[#This Row],[Class]]="B", WORKDAY(Main[[#This Row],[Tech Start Date]],15),IF(Main[[#This Row],[Class]]="A",WORKDAY(Main[[#This Row],[Tech Start Date]],5),""))))</f>
        <v/>
      </c>
      <c r="P735" s="104" t="str">
        <f>IF(Main[[#This Row],[Tech Start Date]]&lt;1/1/1990,"",IF(Main[[#This Row],[Class]]="C",WORKDAY(Main[[#This Row],[Tech Start Date]],28),IF(Main[[#This Row],[Class]]="B", WORKDAY(Main[[#This Row],[Tech Start Date]],19),IF(Main[[#This Row],[Class]]="A",WORKDAY(Main[[#This Row],[Tech Start Date]],9),""))))</f>
        <v/>
      </c>
      <c r="Q735" s="101">
        <v>40907</v>
      </c>
      <c r="R735" s="101"/>
      <c r="S735" s="99" t="s">
        <v>11</v>
      </c>
      <c r="T735" s="107" t="s">
        <v>2506</v>
      </c>
      <c r="U735" s="99" t="s">
        <v>29</v>
      </c>
      <c r="V735" s="99" t="s">
        <v>1962</v>
      </c>
      <c r="W735" s="99" t="s">
        <v>1967</v>
      </c>
    </row>
    <row r="736" spans="1:23" ht="18.600000000000001" customHeight="1">
      <c r="A736" s="123" t="str">
        <f>IF(priority(Main[[#This Row],[Comments]])&lt;&gt;0, priority(Main[[#This Row],[Comments]]),"")</f>
        <v/>
      </c>
      <c r="B736" s="127" t="s">
        <v>1598</v>
      </c>
      <c r="C736" s="99" t="s">
        <v>93</v>
      </c>
      <c r="D736" s="100" t="s">
        <v>646</v>
      </c>
      <c r="E736" s="101"/>
      <c r="F736" s="101">
        <v>40132</v>
      </c>
      <c r="G736" s="102" t="str">
        <f>IF(stdProdLT(Main[[#This Row],[Comments]])=0.1,"N/A",IF(stdProdLT(Main[[#This Row],[Comments]])=0,"",stdProdLT(Main[[#This Row],[Comments]])))</f>
        <v/>
      </c>
      <c r="H736" s="103" t="str">
        <f>IF(AND(Main[[#This Row],[In Stock Date]]&lt;&gt;"",Main[[#This Row],[Revised Due Date]]&lt;&gt;""),Main[[#This Row],[In Stock Date]]-Main[[#This Row],[Revised Due Date]],"")</f>
        <v/>
      </c>
      <c r="I736" s="99" t="s">
        <v>4</v>
      </c>
      <c r="J736" s="99" t="s">
        <v>4</v>
      </c>
      <c r="K736" s="108" t="s">
        <v>4</v>
      </c>
      <c r="L736" s="101"/>
      <c r="M736" s="104" t="str">
        <f>IF(Main[[#This Row],[Tech Start Date]]&lt;1/1/1990,"",IF(Main[[#This Row],[Class]]="C",WORKDAY(Main[[#This Row],[Tech Start Date]],9),IF(Main[[#This Row],[Class]]="B", WORKDAY(Main[[#This Row],[Tech Start Date]],6),IF(Main[[#This Row],[Class]]="A",WORKDAY(Main[[#This Row],[Tech Start Date]],2),""))))</f>
        <v/>
      </c>
      <c r="N736" s="104" t="str">
        <f>IF(Main[[#This Row],[Tech Start Date]]&lt;1/1/1990,"",IF(Main[[#This Row],[Class]]="C",WORKDAY(Main[[#This Row],[Tech Start Date]],19),IF(Main[[#This Row],[Class]]="B", WORKDAY(Main[[#This Row],[Tech Start Date]],12),IF(Main[[#This Row],[Class]]="A",WORKDAY(Main[[#This Row],[Tech Start Date]],4),""))))</f>
        <v/>
      </c>
      <c r="O736" s="104" t="str">
        <f>IF(Main[[#This Row],[Tech Start Date]]&lt;1/1/1990,"",IF(Main[[#This Row],[Class]]="C",WORKDAY(Main[[#This Row],[Tech Start Date]],23),IF(Main[[#This Row],[Class]]="B", WORKDAY(Main[[#This Row],[Tech Start Date]],15),IF(Main[[#This Row],[Class]]="A",WORKDAY(Main[[#This Row],[Tech Start Date]],5),""))))</f>
        <v/>
      </c>
      <c r="P736" s="104" t="str">
        <f>IF(Main[[#This Row],[Tech Start Date]]&lt;1/1/1990,"",IF(Main[[#This Row],[Class]]="C",WORKDAY(Main[[#This Row],[Tech Start Date]],28),IF(Main[[#This Row],[Class]]="B", WORKDAY(Main[[#This Row],[Tech Start Date]],19),IF(Main[[#This Row],[Class]]="A",WORKDAY(Main[[#This Row],[Tech Start Date]],9),""))))</f>
        <v/>
      </c>
      <c r="Q736" s="101">
        <v>40132</v>
      </c>
      <c r="R736" s="101"/>
      <c r="S736" s="99" t="s">
        <v>11</v>
      </c>
      <c r="T736" s="107" t="s">
        <v>4</v>
      </c>
      <c r="U736" s="99" t="s">
        <v>14</v>
      </c>
      <c r="V736" s="99" t="s">
        <v>1965</v>
      </c>
      <c r="W736" s="99" t="s">
        <v>1973</v>
      </c>
    </row>
    <row r="737" spans="1:23" ht="18.600000000000001" customHeight="1">
      <c r="A737" s="123" t="str">
        <f>IF(priority(Main[[#This Row],[Comments]])&lt;&gt;0, priority(Main[[#This Row],[Comments]]),"")</f>
        <v/>
      </c>
      <c r="B737" s="127" t="s">
        <v>1599</v>
      </c>
      <c r="C737" s="99" t="s">
        <v>4</v>
      </c>
      <c r="D737" s="100" t="s">
        <v>647</v>
      </c>
      <c r="E737" s="101"/>
      <c r="F737" s="101">
        <v>40602</v>
      </c>
      <c r="G737" s="102" t="str">
        <f>IF(stdProdLT(Main[[#This Row],[Comments]])=0.1,"N/A",IF(stdProdLT(Main[[#This Row],[Comments]])=0,"",stdProdLT(Main[[#This Row],[Comments]])))</f>
        <v/>
      </c>
      <c r="H737" s="103" t="str">
        <f>IF(AND(Main[[#This Row],[In Stock Date]]&lt;&gt;"",Main[[#This Row],[Revised Due Date]]&lt;&gt;""),Main[[#This Row],[In Stock Date]]-Main[[#This Row],[Revised Due Date]],"")</f>
        <v/>
      </c>
      <c r="I737" s="99" t="s">
        <v>404</v>
      </c>
      <c r="J737" s="99" t="s">
        <v>75</v>
      </c>
      <c r="K737" s="99" t="s">
        <v>1971</v>
      </c>
      <c r="L737" s="101"/>
      <c r="M737" s="104" t="str">
        <f>IF(Main[[#This Row],[Tech Start Date]]&lt;1/1/1990,"",IF(Main[[#This Row],[Class]]="C",WORKDAY(Main[[#This Row],[Tech Start Date]],9),IF(Main[[#This Row],[Class]]="B", WORKDAY(Main[[#This Row],[Tech Start Date]],6),IF(Main[[#This Row],[Class]]="A",WORKDAY(Main[[#This Row],[Tech Start Date]],2),""))))</f>
        <v/>
      </c>
      <c r="N737" s="104" t="str">
        <f>IF(Main[[#This Row],[Tech Start Date]]&lt;1/1/1990,"",IF(Main[[#This Row],[Class]]="C",WORKDAY(Main[[#This Row],[Tech Start Date]],19),IF(Main[[#This Row],[Class]]="B", WORKDAY(Main[[#This Row],[Tech Start Date]],12),IF(Main[[#This Row],[Class]]="A",WORKDAY(Main[[#This Row],[Tech Start Date]],4),""))))</f>
        <v/>
      </c>
      <c r="O737" s="104" t="str">
        <f>IF(Main[[#This Row],[Tech Start Date]]&lt;1/1/1990,"",IF(Main[[#This Row],[Class]]="C",WORKDAY(Main[[#This Row],[Tech Start Date]],23),IF(Main[[#This Row],[Class]]="B", WORKDAY(Main[[#This Row],[Tech Start Date]],15),IF(Main[[#This Row],[Class]]="A",WORKDAY(Main[[#This Row],[Tech Start Date]],5),""))))</f>
        <v/>
      </c>
      <c r="P737" s="104" t="str">
        <f>IF(Main[[#This Row],[Tech Start Date]]&lt;1/1/1990,"",IF(Main[[#This Row],[Class]]="C",WORKDAY(Main[[#This Row],[Tech Start Date]],28),IF(Main[[#This Row],[Class]]="B", WORKDAY(Main[[#This Row],[Tech Start Date]],19),IF(Main[[#This Row],[Class]]="A",WORKDAY(Main[[#This Row],[Tech Start Date]],9),""))))</f>
        <v/>
      </c>
      <c r="Q737" s="101"/>
      <c r="R737" s="101"/>
      <c r="S737" s="99" t="s">
        <v>11</v>
      </c>
      <c r="T737" s="107" t="s">
        <v>4</v>
      </c>
      <c r="U737" s="99" t="s">
        <v>14</v>
      </c>
      <c r="V737" s="99" t="s">
        <v>1965</v>
      </c>
      <c r="W737" s="99" t="s">
        <v>1968</v>
      </c>
    </row>
    <row r="738" spans="1:23" ht="18.600000000000001" customHeight="1">
      <c r="A738" s="123" t="str">
        <f>IF(priority(Main[[#This Row],[Comments]])&lt;&gt;0, priority(Main[[#This Row],[Comments]]),"")</f>
        <v/>
      </c>
      <c r="B738" s="127" t="s">
        <v>1600</v>
      </c>
      <c r="C738" s="99" t="s">
        <v>4</v>
      </c>
      <c r="D738" s="100" t="s">
        <v>648</v>
      </c>
      <c r="E738" s="101"/>
      <c r="F738" s="101">
        <v>40711</v>
      </c>
      <c r="G738" s="102" t="str">
        <f>IF(stdProdLT(Main[[#This Row],[Comments]])=0.1,"N/A",IF(stdProdLT(Main[[#This Row],[Comments]])=0,"",stdProdLT(Main[[#This Row],[Comments]])))</f>
        <v/>
      </c>
      <c r="H738" s="103" t="str">
        <f>IF(AND(Main[[#This Row],[In Stock Date]]&lt;&gt;"",Main[[#This Row],[Revised Due Date]]&lt;&gt;""),Main[[#This Row],[In Stock Date]]-Main[[#This Row],[Revised Due Date]],"")</f>
        <v/>
      </c>
      <c r="I738" s="99" t="s">
        <v>4</v>
      </c>
      <c r="J738" s="99" t="s">
        <v>4</v>
      </c>
      <c r="K738" s="99" t="s">
        <v>4</v>
      </c>
      <c r="L738" s="101"/>
      <c r="M738" s="104" t="str">
        <f>IF(Main[[#This Row],[Tech Start Date]]&lt;1/1/1990,"",IF(Main[[#This Row],[Class]]="C",WORKDAY(Main[[#This Row],[Tech Start Date]],9),IF(Main[[#This Row],[Class]]="B", WORKDAY(Main[[#This Row],[Tech Start Date]],6),IF(Main[[#This Row],[Class]]="A",WORKDAY(Main[[#This Row],[Tech Start Date]],2),""))))</f>
        <v/>
      </c>
      <c r="N738" s="104" t="str">
        <f>IF(Main[[#This Row],[Tech Start Date]]&lt;1/1/1990,"",IF(Main[[#This Row],[Class]]="C",WORKDAY(Main[[#This Row],[Tech Start Date]],19),IF(Main[[#This Row],[Class]]="B", WORKDAY(Main[[#This Row],[Tech Start Date]],12),IF(Main[[#This Row],[Class]]="A",WORKDAY(Main[[#This Row],[Tech Start Date]],4),""))))</f>
        <v/>
      </c>
      <c r="O738" s="104" t="str">
        <f>IF(Main[[#This Row],[Tech Start Date]]&lt;1/1/1990,"",IF(Main[[#This Row],[Class]]="C",WORKDAY(Main[[#This Row],[Tech Start Date]],23),IF(Main[[#This Row],[Class]]="B", WORKDAY(Main[[#This Row],[Tech Start Date]],15),IF(Main[[#This Row],[Class]]="A",WORKDAY(Main[[#This Row],[Tech Start Date]],5),""))))</f>
        <v/>
      </c>
      <c r="P738" s="104" t="str">
        <f>IF(Main[[#This Row],[Tech Start Date]]&lt;1/1/1990,"",IF(Main[[#This Row],[Class]]="C",WORKDAY(Main[[#This Row],[Tech Start Date]],28),IF(Main[[#This Row],[Class]]="B", WORKDAY(Main[[#This Row],[Tech Start Date]],19),IF(Main[[#This Row],[Class]]="A",WORKDAY(Main[[#This Row],[Tech Start Date]],9),""))))</f>
        <v/>
      </c>
      <c r="Q738" s="101"/>
      <c r="R738" s="101"/>
      <c r="S738" s="99" t="s">
        <v>11</v>
      </c>
      <c r="T738" s="107" t="s">
        <v>4</v>
      </c>
      <c r="U738" s="99" t="s">
        <v>14</v>
      </c>
      <c r="V738" s="99" t="s">
        <v>1963</v>
      </c>
      <c r="W738" s="99" t="s">
        <v>1967</v>
      </c>
    </row>
    <row r="739" spans="1:23" ht="18.600000000000001" customHeight="1">
      <c r="A739" s="123" t="str">
        <f>IF(priority(Main[[#This Row],[Comments]])&lt;&gt;0, priority(Main[[#This Row],[Comments]]),"")</f>
        <v/>
      </c>
      <c r="B739" s="127" t="s">
        <v>1601</v>
      </c>
      <c r="C739" s="99" t="s">
        <v>183</v>
      </c>
      <c r="D739" s="100" t="s">
        <v>649</v>
      </c>
      <c r="E739" s="101"/>
      <c r="F739" s="101">
        <v>40389</v>
      </c>
      <c r="G739" s="102" t="str">
        <f>IF(stdProdLT(Main[[#This Row],[Comments]])=0.1,"N/A",IF(stdProdLT(Main[[#This Row],[Comments]])=0,"",stdProdLT(Main[[#This Row],[Comments]])))</f>
        <v/>
      </c>
      <c r="H739" s="103" t="str">
        <f>IF(AND(Main[[#This Row],[In Stock Date]]&lt;&gt;"",Main[[#This Row],[Revised Due Date]]&lt;&gt;""),Main[[#This Row],[In Stock Date]]-Main[[#This Row],[Revised Due Date]],"")</f>
        <v/>
      </c>
      <c r="I739" s="99" t="s">
        <v>4</v>
      </c>
      <c r="J739" s="99" t="s">
        <v>4</v>
      </c>
      <c r="K739" s="99" t="s">
        <v>4</v>
      </c>
      <c r="L739" s="101"/>
      <c r="M739" s="104" t="str">
        <f>IF(Main[[#This Row],[Tech Start Date]]&lt;1/1/1990,"",IF(Main[[#This Row],[Class]]="C",WORKDAY(Main[[#This Row],[Tech Start Date]],9),IF(Main[[#This Row],[Class]]="B", WORKDAY(Main[[#This Row],[Tech Start Date]],6),IF(Main[[#This Row],[Class]]="A",WORKDAY(Main[[#This Row],[Tech Start Date]],2),""))))</f>
        <v/>
      </c>
      <c r="N739" s="104" t="str">
        <f>IF(Main[[#This Row],[Tech Start Date]]&lt;1/1/1990,"",IF(Main[[#This Row],[Class]]="C",WORKDAY(Main[[#This Row],[Tech Start Date]],19),IF(Main[[#This Row],[Class]]="B", WORKDAY(Main[[#This Row],[Tech Start Date]],12),IF(Main[[#This Row],[Class]]="A",WORKDAY(Main[[#This Row],[Tech Start Date]],4),""))))</f>
        <v/>
      </c>
      <c r="O739" s="104" t="str">
        <f>IF(Main[[#This Row],[Tech Start Date]]&lt;1/1/1990,"",IF(Main[[#This Row],[Class]]="C",WORKDAY(Main[[#This Row],[Tech Start Date]],23),IF(Main[[#This Row],[Class]]="B", WORKDAY(Main[[#This Row],[Tech Start Date]],15),IF(Main[[#This Row],[Class]]="A",WORKDAY(Main[[#This Row],[Tech Start Date]],5),""))))</f>
        <v/>
      </c>
      <c r="P739" s="104" t="str">
        <f>IF(Main[[#This Row],[Tech Start Date]]&lt;1/1/1990,"",IF(Main[[#This Row],[Class]]="C",WORKDAY(Main[[#This Row],[Tech Start Date]],28),IF(Main[[#This Row],[Class]]="B", WORKDAY(Main[[#This Row],[Tech Start Date]],19),IF(Main[[#This Row],[Class]]="A",WORKDAY(Main[[#This Row],[Tech Start Date]],9),""))))</f>
        <v/>
      </c>
      <c r="Q739" s="101">
        <v>40298</v>
      </c>
      <c r="R739" s="101"/>
      <c r="S739" s="99" t="s">
        <v>11</v>
      </c>
      <c r="T739" s="107" t="s">
        <v>4</v>
      </c>
      <c r="U739" s="99" t="s">
        <v>14</v>
      </c>
      <c r="V739" s="99" t="s">
        <v>1962</v>
      </c>
      <c r="W739" s="99" t="s">
        <v>1968</v>
      </c>
    </row>
    <row r="740" spans="1:23" ht="18.600000000000001" customHeight="1">
      <c r="A740" s="123" t="str">
        <f>IF(priority(Main[[#This Row],[Comments]])&lt;&gt;0, priority(Main[[#This Row],[Comments]]),"")</f>
        <v/>
      </c>
      <c r="B740" s="127" t="s">
        <v>1602</v>
      </c>
      <c r="C740" s="99" t="s">
        <v>4</v>
      </c>
      <c r="D740" s="100" t="s">
        <v>650</v>
      </c>
      <c r="E740" s="101"/>
      <c r="F740" s="101"/>
      <c r="G740" s="102" t="str">
        <f>IF(stdProdLT(Main[[#This Row],[Comments]])=0.1,"N/A",IF(stdProdLT(Main[[#This Row],[Comments]])=0,"",stdProdLT(Main[[#This Row],[Comments]])))</f>
        <v/>
      </c>
      <c r="H740" s="103" t="str">
        <f>IF(AND(Main[[#This Row],[In Stock Date]]&lt;&gt;"",Main[[#This Row],[Revised Due Date]]&lt;&gt;""),Main[[#This Row],[In Stock Date]]-Main[[#This Row],[Revised Due Date]],"")</f>
        <v/>
      </c>
      <c r="I740" s="99" t="s">
        <v>4</v>
      </c>
      <c r="J740" s="99" t="s">
        <v>4</v>
      </c>
      <c r="K740" s="99" t="s">
        <v>4</v>
      </c>
      <c r="L740" s="101"/>
      <c r="M740" s="104" t="str">
        <f>IF(Main[[#This Row],[Tech Start Date]]&lt;1/1/1990,"",IF(Main[[#This Row],[Class]]="C",WORKDAY(Main[[#This Row],[Tech Start Date]],9),IF(Main[[#This Row],[Class]]="B", WORKDAY(Main[[#This Row],[Tech Start Date]],6),IF(Main[[#This Row],[Class]]="A",WORKDAY(Main[[#This Row],[Tech Start Date]],2),""))))</f>
        <v/>
      </c>
      <c r="N740" s="104" t="str">
        <f>IF(Main[[#This Row],[Tech Start Date]]&lt;1/1/1990,"",IF(Main[[#This Row],[Class]]="C",WORKDAY(Main[[#This Row],[Tech Start Date]],19),IF(Main[[#This Row],[Class]]="B", WORKDAY(Main[[#This Row],[Tech Start Date]],12),IF(Main[[#This Row],[Class]]="A",WORKDAY(Main[[#This Row],[Tech Start Date]],4),""))))</f>
        <v/>
      </c>
      <c r="O740" s="104" t="str">
        <f>IF(Main[[#This Row],[Tech Start Date]]&lt;1/1/1990,"",IF(Main[[#This Row],[Class]]="C",WORKDAY(Main[[#This Row],[Tech Start Date]],23),IF(Main[[#This Row],[Class]]="B", WORKDAY(Main[[#This Row],[Tech Start Date]],15),IF(Main[[#This Row],[Class]]="A",WORKDAY(Main[[#This Row],[Tech Start Date]],5),""))))</f>
        <v/>
      </c>
      <c r="P740" s="104" t="str">
        <f>IF(Main[[#This Row],[Tech Start Date]]&lt;1/1/1990,"",IF(Main[[#This Row],[Class]]="C",WORKDAY(Main[[#This Row],[Tech Start Date]],28),IF(Main[[#This Row],[Class]]="B", WORKDAY(Main[[#This Row],[Tech Start Date]],19),IF(Main[[#This Row],[Class]]="A",WORKDAY(Main[[#This Row],[Tech Start Date]],9),""))))</f>
        <v/>
      </c>
      <c r="Q740" s="101"/>
      <c r="R740" s="101"/>
      <c r="S740" s="99" t="s">
        <v>11</v>
      </c>
      <c r="T740" s="107" t="s">
        <v>4</v>
      </c>
      <c r="U740" s="99" t="s">
        <v>12</v>
      </c>
      <c r="V740" s="99" t="s">
        <v>1962</v>
      </c>
      <c r="W740" s="99" t="s">
        <v>1966</v>
      </c>
    </row>
    <row r="741" spans="1:23" ht="18.600000000000001" customHeight="1">
      <c r="A741" s="123" t="str">
        <f>IF(priority(Main[[#This Row],[Comments]])&lt;&gt;0, priority(Main[[#This Row],[Comments]]),"")</f>
        <v/>
      </c>
      <c r="B741" s="127" t="s">
        <v>1603</v>
      </c>
      <c r="C741" s="99" t="s">
        <v>651</v>
      </c>
      <c r="D741" s="100" t="s">
        <v>652</v>
      </c>
      <c r="E741" s="101"/>
      <c r="F741" s="101">
        <v>40632</v>
      </c>
      <c r="G741" s="102" t="str">
        <f>IF(stdProdLT(Main[[#This Row],[Comments]])=0.1,"N/A",IF(stdProdLT(Main[[#This Row],[Comments]])=0,"",stdProdLT(Main[[#This Row],[Comments]])))</f>
        <v/>
      </c>
      <c r="H741" s="103" t="str">
        <f>IF(AND(Main[[#This Row],[In Stock Date]]&lt;&gt;"",Main[[#This Row],[Revised Due Date]]&lt;&gt;""),Main[[#This Row],[In Stock Date]]-Main[[#This Row],[Revised Due Date]],"")</f>
        <v/>
      </c>
      <c r="I741" s="99" t="s">
        <v>4</v>
      </c>
      <c r="J741" s="99" t="s">
        <v>4</v>
      </c>
      <c r="K741" s="99" t="s">
        <v>4</v>
      </c>
      <c r="L741" s="101"/>
      <c r="M741" s="104" t="str">
        <f>IF(Main[[#This Row],[Tech Start Date]]&lt;1/1/1990,"",IF(Main[[#This Row],[Class]]="C",WORKDAY(Main[[#This Row],[Tech Start Date]],9),IF(Main[[#This Row],[Class]]="B", WORKDAY(Main[[#This Row],[Tech Start Date]],6),IF(Main[[#This Row],[Class]]="A",WORKDAY(Main[[#This Row],[Tech Start Date]],2),""))))</f>
        <v/>
      </c>
      <c r="N741" s="104" t="str">
        <f>IF(Main[[#This Row],[Tech Start Date]]&lt;1/1/1990,"",IF(Main[[#This Row],[Class]]="C",WORKDAY(Main[[#This Row],[Tech Start Date]],19),IF(Main[[#This Row],[Class]]="B", WORKDAY(Main[[#This Row],[Tech Start Date]],12),IF(Main[[#This Row],[Class]]="A",WORKDAY(Main[[#This Row],[Tech Start Date]],4),""))))</f>
        <v/>
      </c>
      <c r="O741" s="104" t="str">
        <f>IF(Main[[#This Row],[Tech Start Date]]&lt;1/1/1990,"",IF(Main[[#This Row],[Class]]="C",WORKDAY(Main[[#This Row],[Tech Start Date]],23),IF(Main[[#This Row],[Class]]="B", WORKDAY(Main[[#This Row],[Tech Start Date]],15),IF(Main[[#This Row],[Class]]="A",WORKDAY(Main[[#This Row],[Tech Start Date]],5),""))))</f>
        <v/>
      </c>
      <c r="P741" s="104" t="str">
        <f>IF(Main[[#This Row],[Tech Start Date]]&lt;1/1/1990,"",IF(Main[[#This Row],[Class]]="C",WORKDAY(Main[[#This Row],[Tech Start Date]],28),IF(Main[[#This Row],[Class]]="B", WORKDAY(Main[[#This Row],[Tech Start Date]],19),IF(Main[[#This Row],[Class]]="A",WORKDAY(Main[[#This Row],[Tech Start Date]],9),""))))</f>
        <v/>
      </c>
      <c r="Q741" s="101">
        <v>40613</v>
      </c>
      <c r="R741" s="101"/>
      <c r="S741" s="99" t="s">
        <v>11</v>
      </c>
      <c r="T741" s="107" t="s">
        <v>4</v>
      </c>
      <c r="U741" s="99" t="s">
        <v>14</v>
      </c>
      <c r="V741" s="99" t="s">
        <v>1965</v>
      </c>
      <c r="W741" s="99" t="s">
        <v>1970</v>
      </c>
    </row>
    <row r="742" spans="1:23" ht="18.600000000000001" customHeight="1">
      <c r="A742" s="123" t="str">
        <f>IF(priority(Main[[#This Row],[Comments]])&lt;&gt;0, priority(Main[[#This Row],[Comments]]),"")</f>
        <v/>
      </c>
      <c r="B742" s="127" t="s">
        <v>1604</v>
      </c>
      <c r="C742" s="99" t="s">
        <v>72</v>
      </c>
      <c r="D742" s="100" t="s">
        <v>653</v>
      </c>
      <c r="E742" s="101"/>
      <c r="F742" s="101"/>
      <c r="G742" s="102" t="str">
        <f>IF(stdProdLT(Main[[#This Row],[Comments]])=0.1,"N/A",IF(stdProdLT(Main[[#This Row],[Comments]])=0,"",stdProdLT(Main[[#This Row],[Comments]])))</f>
        <v/>
      </c>
      <c r="H742" s="103" t="str">
        <f>IF(AND(Main[[#This Row],[In Stock Date]]&lt;&gt;"",Main[[#This Row],[Revised Due Date]]&lt;&gt;""),Main[[#This Row],[In Stock Date]]-Main[[#This Row],[Revised Due Date]],"")</f>
        <v/>
      </c>
      <c r="I742" s="99" t="s">
        <v>4</v>
      </c>
      <c r="J742" s="99" t="s">
        <v>4</v>
      </c>
      <c r="K742" s="99" t="s">
        <v>4</v>
      </c>
      <c r="L742" s="101"/>
      <c r="M742" s="104" t="str">
        <f>IF(Main[[#This Row],[Tech Start Date]]&lt;1/1/1990,"",IF(Main[[#This Row],[Class]]="C",WORKDAY(Main[[#This Row],[Tech Start Date]],9),IF(Main[[#This Row],[Class]]="B", WORKDAY(Main[[#This Row],[Tech Start Date]],6),IF(Main[[#This Row],[Class]]="A",WORKDAY(Main[[#This Row],[Tech Start Date]],2),""))))</f>
        <v/>
      </c>
      <c r="N742" s="104" t="str">
        <f>IF(Main[[#This Row],[Tech Start Date]]&lt;1/1/1990,"",IF(Main[[#This Row],[Class]]="C",WORKDAY(Main[[#This Row],[Tech Start Date]],19),IF(Main[[#This Row],[Class]]="B", WORKDAY(Main[[#This Row],[Tech Start Date]],12),IF(Main[[#This Row],[Class]]="A",WORKDAY(Main[[#This Row],[Tech Start Date]],4),""))))</f>
        <v/>
      </c>
      <c r="O742" s="104" t="str">
        <f>IF(Main[[#This Row],[Tech Start Date]]&lt;1/1/1990,"",IF(Main[[#This Row],[Class]]="C",WORKDAY(Main[[#This Row],[Tech Start Date]],23),IF(Main[[#This Row],[Class]]="B", WORKDAY(Main[[#This Row],[Tech Start Date]],15),IF(Main[[#This Row],[Class]]="A",WORKDAY(Main[[#This Row],[Tech Start Date]],5),""))))</f>
        <v/>
      </c>
      <c r="P742" s="104" t="str">
        <f>IF(Main[[#This Row],[Tech Start Date]]&lt;1/1/1990,"",IF(Main[[#This Row],[Class]]="C",WORKDAY(Main[[#This Row],[Tech Start Date]],28),IF(Main[[#This Row],[Class]]="B", WORKDAY(Main[[#This Row],[Tech Start Date]],19),IF(Main[[#This Row],[Class]]="A",WORKDAY(Main[[#This Row],[Tech Start Date]],9),""))))</f>
        <v/>
      </c>
      <c r="Q742" s="101"/>
      <c r="R742" s="101"/>
      <c r="S742" s="99" t="s">
        <v>49</v>
      </c>
      <c r="T742" s="107" t="s">
        <v>4</v>
      </c>
      <c r="U742" s="99" t="s">
        <v>12</v>
      </c>
      <c r="V742" s="99" t="s">
        <v>1963</v>
      </c>
      <c r="W742" s="99" t="s">
        <v>1964</v>
      </c>
    </row>
    <row r="743" spans="1:23" ht="18.600000000000001" customHeight="1">
      <c r="A743" s="123" t="str">
        <f>IF(priority(Main[[#This Row],[Comments]])&lt;&gt;0, priority(Main[[#This Row],[Comments]]),"")</f>
        <v/>
      </c>
      <c r="B743" s="127" t="s">
        <v>1605</v>
      </c>
      <c r="C743" s="99" t="s">
        <v>72</v>
      </c>
      <c r="D743" s="100" t="s">
        <v>654</v>
      </c>
      <c r="E743" s="101"/>
      <c r="F743" s="101">
        <v>40313</v>
      </c>
      <c r="G743" s="102" t="str">
        <f>IF(stdProdLT(Main[[#This Row],[Comments]])=0.1,"N/A",IF(stdProdLT(Main[[#This Row],[Comments]])=0,"",stdProdLT(Main[[#This Row],[Comments]])))</f>
        <v/>
      </c>
      <c r="H743" s="103" t="str">
        <f>IF(AND(Main[[#This Row],[In Stock Date]]&lt;&gt;"",Main[[#This Row],[Revised Due Date]]&lt;&gt;""),Main[[#This Row],[In Stock Date]]-Main[[#This Row],[Revised Due Date]],"")</f>
        <v/>
      </c>
      <c r="I743" s="99" t="s">
        <v>4</v>
      </c>
      <c r="J743" s="99" t="s">
        <v>4</v>
      </c>
      <c r="K743" s="99" t="s">
        <v>4</v>
      </c>
      <c r="L743" s="101"/>
      <c r="M743" s="104" t="str">
        <f>IF(Main[[#This Row],[Tech Start Date]]&lt;1/1/1990,"",IF(Main[[#This Row],[Class]]="C",WORKDAY(Main[[#This Row],[Tech Start Date]],9),IF(Main[[#This Row],[Class]]="B", WORKDAY(Main[[#This Row],[Tech Start Date]],6),IF(Main[[#This Row],[Class]]="A",WORKDAY(Main[[#This Row],[Tech Start Date]],2),""))))</f>
        <v/>
      </c>
      <c r="N743" s="104" t="str">
        <f>IF(Main[[#This Row],[Tech Start Date]]&lt;1/1/1990,"",IF(Main[[#This Row],[Class]]="C",WORKDAY(Main[[#This Row],[Tech Start Date]],19),IF(Main[[#This Row],[Class]]="B", WORKDAY(Main[[#This Row],[Tech Start Date]],12),IF(Main[[#This Row],[Class]]="A",WORKDAY(Main[[#This Row],[Tech Start Date]],4),""))))</f>
        <v/>
      </c>
      <c r="O743" s="104" t="str">
        <f>IF(Main[[#This Row],[Tech Start Date]]&lt;1/1/1990,"",IF(Main[[#This Row],[Class]]="C",WORKDAY(Main[[#This Row],[Tech Start Date]],23),IF(Main[[#This Row],[Class]]="B", WORKDAY(Main[[#This Row],[Tech Start Date]],15),IF(Main[[#This Row],[Class]]="A",WORKDAY(Main[[#This Row],[Tech Start Date]],5),""))))</f>
        <v/>
      </c>
      <c r="P743" s="104" t="str">
        <f>IF(Main[[#This Row],[Tech Start Date]]&lt;1/1/1990,"",IF(Main[[#This Row],[Class]]="C",WORKDAY(Main[[#This Row],[Tech Start Date]],28),IF(Main[[#This Row],[Class]]="B", WORKDAY(Main[[#This Row],[Tech Start Date]],19),IF(Main[[#This Row],[Class]]="A",WORKDAY(Main[[#This Row],[Tech Start Date]],9),""))))</f>
        <v/>
      </c>
      <c r="Q743" s="101">
        <v>40233</v>
      </c>
      <c r="R743" s="101"/>
      <c r="S743" s="99" t="s">
        <v>11</v>
      </c>
      <c r="T743" s="107" t="s">
        <v>4</v>
      </c>
      <c r="U743" s="99" t="s">
        <v>14</v>
      </c>
      <c r="V743" s="99" t="s">
        <v>1965</v>
      </c>
      <c r="W743" s="99" t="s">
        <v>1970</v>
      </c>
    </row>
    <row r="744" spans="1:23" ht="18.600000000000001" customHeight="1">
      <c r="A744" s="123" t="str">
        <f>IF(priority(Main[[#This Row],[Comments]])&lt;&gt;0, priority(Main[[#This Row],[Comments]]),"")</f>
        <v/>
      </c>
      <c r="B744" s="127" t="s">
        <v>1606</v>
      </c>
      <c r="C744" s="99" t="s">
        <v>160</v>
      </c>
      <c r="D744" s="100" t="s">
        <v>655</v>
      </c>
      <c r="E744" s="101"/>
      <c r="F744" s="101">
        <v>40513</v>
      </c>
      <c r="G744" s="102" t="str">
        <f>IF(stdProdLT(Main[[#This Row],[Comments]])=0.1,"N/A",IF(stdProdLT(Main[[#This Row],[Comments]])=0,"",stdProdLT(Main[[#This Row],[Comments]])))</f>
        <v/>
      </c>
      <c r="H744" s="103" t="str">
        <f>IF(AND(Main[[#This Row],[In Stock Date]]&lt;&gt;"",Main[[#This Row],[Revised Due Date]]&lt;&gt;""),Main[[#This Row],[In Stock Date]]-Main[[#This Row],[Revised Due Date]],"")</f>
        <v/>
      </c>
      <c r="I744" s="99" t="s">
        <v>4</v>
      </c>
      <c r="J744" s="99" t="s">
        <v>28</v>
      </c>
      <c r="K744" s="99" t="s">
        <v>4</v>
      </c>
      <c r="L744" s="101"/>
      <c r="M744" s="104" t="str">
        <f>IF(Main[[#This Row],[Tech Start Date]]&lt;1/1/1990,"",IF(Main[[#This Row],[Class]]="C",WORKDAY(Main[[#This Row],[Tech Start Date]],9),IF(Main[[#This Row],[Class]]="B", WORKDAY(Main[[#This Row],[Tech Start Date]],6),IF(Main[[#This Row],[Class]]="A",WORKDAY(Main[[#This Row],[Tech Start Date]],2),""))))</f>
        <v/>
      </c>
      <c r="N744" s="104" t="str">
        <f>IF(Main[[#This Row],[Tech Start Date]]&lt;1/1/1990,"",IF(Main[[#This Row],[Class]]="C",WORKDAY(Main[[#This Row],[Tech Start Date]],19),IF(Main[[#This Row],[Class]]="B", WORKDAY(Main[[#This Row],[Tech Start Date]],12),IF(Main[[#This Row],[Class]]="A",WORKDAY(Main[[#This Row],[Tech Start Date]],4),""))))</f>
        <v/>
      </c>
      <c r="O744" s="104" t="str">
        <f>IF(Main[[#This Row],[Tech Start Date]]&lt;1/1/1990,"",IF(Main[[#This Row],[Class]]="C",WORKDAY(Main[[#This Row],[Tech Start Date]],23),IF(Main[[#This Row],[Class]]="B", WORKDAY(Main[[#This Row],[Tech Start Date]],15),IF(Main[[#This Row],[Class]]="A",WORKDAY(Main[[#This Row],[Tech Start Date]],5),""))))</f>
        <v/>
      </c>
      <c r="P744" s="104" t="str">
        <f>IF(Main[[#This Row],[Tech Start Date]]&lt;1/1/1990,"",IF(Main[[#This Row],[Class]]="C",WORKDAY(Main[[#This Row],[Tech Start Date]],28),IF(Main[[#This Row],[Class]]="B", WORKDAY(Main[[#This Row],[Tech Start Date]],19),IF(Main[[#This Row],[Class]]="A",WORKDAY(Main[[#This Row],[Tech Start Date]],9),""))))</f>
        <v/>
      </c>
      <c r="Q744" s="101">
        <v>40382</v>
      </c>
      <c r="R744" s="101"/>
      <c r="S744" s="99" t="s">
        <v>11</v>
      </c>
      <c r="T744" s="107" t="s">
        <v>4</v>
      </c>
      <c r="U744" s="99" t="s">
        <v>14</v>
      </c>
      <c r="V744" s="99" t="s">
        <v>1962</v>
      </c>
      <c r="W744" s="99" t="s">
        <v>1970</v>
      </c>
    </row>
    <row r="745" spans="1:23" ht="18.600000000000001" customHeight="1">
      <c r="A745" s="123" t="str">
        <f>IF(priority(Main[[#This Row],[Comments]])&lt;&gt;0, priority(Main[[#This Row],[Comments]]),"")</f>
        <v/>
      </c>
      <c r="B745" s="127" t="s">
        <v>1607</v>
      </c>
      <c r="C745" s="99" t="s">
        <v>4</v>
      </c>
      <c r="D745" s="100" t="s">
        <v>656</v>
      </c>
      <c r="E745" s="101">
        <v>40477.486574074072</v>
      </c>
      <c r="F745" s="101"/>
      <c r="G745" s="102" t="str">
        <f>IF(stdProdLT(Main[[#This Row],[Comments]])=0.1,"N/A",IF(stdProdLT(Main[[#This Row],[Comments]])=0,"",stdProdLT(Main[[#This Row],[Comments]])))</f>
        <v/>
      </c>
      <c r="H745" s="103" t="str">
        <f>IF(AND(Main[[#This Row],[In Stock Date]]&lt;&gt;"",Main[[#This Row],[Revised Due Date]]&lt;&gt;""),Main[[#This Row],[In Stock Date]]-Main[[#This Row],[Revised Due Date]],"")</f>
        <v/>
      </c>
      <c r="I745" s="99" t="s">
        <v>4</v>
      </c>
      <c r="J745" s="99" t="s">
        <v>4</v>
      </c>
      <c r="K745" s="99" t="s">
        <v>4</v>
      </c>
      <c r="L745" s="101"/>
      <c r="M745" s="104" t="str">
        <f>IF(Main[[#This Row],[Tech Start Date]]&lt;1/1/1990,"",IF(Main[[#This Row],[Class]]="C",WORKDAY(Main[[#This Row],[Tech Start Date]],9),IF(Main[[#This Row],[Class]]="B", WORKDAY(Main[[#This Row],[Tech Start Date]],6),IF(Main[[#This Row],[Class]]="A",WORKDAY(Main[[#This Row],[Tech Start Date]],2),""))))</f>
        <v/>
      </c>
      <c r="N745" s="104" t="str">
        <f>IF(Main[[#This Row],[Tech Start Date]]&lt;1/1/1990,"",IF(Main[[#This Row],[Class]]="C",WORKDAY(Main[[#This Row],[Tech Start Date]],19),IF(Main[[#This Row],[Class]]="B", WORKDAY(Main[[#This Row],[Tech Start Date]],12),IF(Main[[#This Row],[Class]]="A",WORKDAY(Main[[#This Row],[Tech Start Date]],4),""))))</f>
        <v/>
      </c>
      <c r="O745" s="104" t="str">
        <f>IF(Main[[#This Row],[Tech Start Date]]&lt;1/1/1990,"",IF(Main[[#This Row],[Class]]="C",WORKDAY(Main[[#This Row],[Tech Start Date]],23),IF(Main[[#This Row],[Class]]="B", WORKDAY(Main[[#This Row],[Tech Start Date]],15),IF(Main[[#This Row],[Class]]="A",WORKDAY(Main[[#This Row],[Tech Start Date]],5),""))))</f>
        <v/>
      </c>
      <c r="P745" s="104" t="str">
        <f>IF(Main[[#This Row],[Tech Start Date]]&lt;1/1/1990,"",IF(Main[[#This Row],[Class]]="C",WORKDAY(Main[[#This Row],[Tech Start Date]],28),IF(Main[[#This Row],[Class]]="B", WORKDAY(Main[[#This Row],[Tech Start Date]],19),IF(Main[[#This Row],[Class]]="A",WORKDAY(Main[[#This Row],[Tech Start Date]],9),""))))</f>
        <v/>
      </c>
      <c r="Q745" s="101">
        <v>40511</v>
      </c>
      <c r="R745" s="101"/>
      <c r="S745" s="99" t="s">
        <v>6</v>
      </c>
      <c r="T745" s="107" t="s">
        <v>4</v>
      </c>
      <c r="U745" s="99" t="s">
        <v>7</v>
      </c>
      <c r="V745" s="99" t="s">
        <v>1962</v>
      </c>
      <c r="W745" s="99" t="s">
        <v>4</v>
      </c>
    </row>
    <row r="746" spans="1:23" ht="18.600000000000001" customHeight="1">
      <c r="A746" s="123" t="str">
        <f>IF(priority(Main[[#This Row],[Comments]])&lt;&gt;0, priority(Main[[#This Row],[Comments]]),"")</f>
        <v/>
      </c>
      <c r="B746" s="127" t="s">
        <v>1608</v>
      </c>
      <c r="C746" s="99" t="s">
        <v>4</v>
      </c>
      <c r="D746" s="100" t="s">
        <v>657</v>
      </c>
      <c r="E746" s="101"/>
      <c r="F746" s="101"/>
      <c r="G746" s="102" t="str">
        <f>IF(stdProdLT(Main[[#This Row],[Comments]])=0.1,"N/A",IF(stdProdLT(Main[[#This Row],[Comments]])=0,"",stdProdLT(Main[[#This Row],[Comments]])))</f>
        <v/>
      </c>
      <c r="H746" s="103" t="str">
        <f>IF(AND(Main[[#This Row],[In Stock Date]]&lt;&gt;"",Main[[#This Row],[Revised Due Date]]&lt;&gt;""),Main[[#This Row],[In Stock Date]]-Main[[#This Row],[Revised Due Date]],"")</f>
        <v/>
      </c>
      <c r="I746" s="99" t="s">
        <v>4</v>
      </c>
      <c r="J746" s="99" t="s">
        <v>4</v>
      </c>
      <c r="K746" s="99" t="s">
        <v>4</v>
      </c>
      <c r="L746" s="101"/>
      <c r="M746" s="104" t="str">
        <f>IF(Main[[#This Row],[Tech Start Date]]&lt;1/1/1990,"",IF(Main[[#This Row],[Class]]="C",WORKDAY(Main[[#This Row],[Tech Start Date]],9),IF(Main[[#This Row],[Class]]="B", WORKDAY(Main[[#This Row],[Tech Start Date]],6),IF(Main[[#This Row],[Class]]="A",WORKDAY(Main[[#This Row],[Tech Start Date]],2),""))))</f>
        <v/>
      </c>
      <c r="N746" s="104" t="str">
        <f>IF(Main[[#This Row],[Tech Start Date]]&lt;1/1/1990,"",IF(Main[[#This Row],[Class]]="C",WORKDAY(Main[[#This Row],[Tech Start Date]],19),IF(Main[[#This Row],[Class]]="B", WORKDAY(Main[[#This Row],[Tech Start Date]],12),IF(Main[[#This Row],[Class]]="A",WORKDAY(Main[[#This Row],[Tech Start Date]],4),""))))</f>
        <v/>
      </c>
      <c r="O746" s="104" t="str">
        <f>IF(Main[[#This Row],[Tech Start Date]]&lt;1/1/1990,"",IF(Main[[#This Row],[Class]]="C",WORKDAY(Main[[#This Row],[Tech Start Date]],23),IF(Main[[#This Row],[Class]]="B", WORKDAY(Main[[#This Row],[Tech Start Date]],15),IF(Main[[#This Row],[Class]]="A",WORKDAY(Main[[#This Row],[Tech Start Date]],5),""))))</f>
        <v/>
      </c>
      <c r="P746" s="104" t="str">
        <f>IF(Main[[#This Row],[Tech Start Date]]&lt;1/1/1990,"",IF(Main[[#This Row],[Class]]="C",WORKDAY(Main[[#This Row],[Tech Start Date]],28),IF(Main[[#This Row],[Class]]="B", WORKDAY(Main[[#This Row],[Tech Start Date]],19),IF(Main[[#This Row],[Class]]="A",WORKDAY(Main[[#This Row],[Tech Start Date]],9),""))))</f>
        <v/>
      </c>
      <c r="Q746" s="101">
        <v>40619</v>
      </c>
      <c r="R746" s="101"/>
      <c r="S746" s="99" t="s">
        <v>6</v>
      </c>
      <c r="T746" s="107" t="s">
        <v>4</v>
      </c>
      <c r="U746" s="99" t="s">
        <v>14</v>
      </c>
      <c r="V746" s="99" t="s">
        <v>1972</v>
      </c>
      <c r="W746" s="99" t="s">
        <v>4</v>
      </c>
    </row>
    <row r="747" spans="1:23" ht="18.600000000000001" customHeight="1">
      <c r="A747" s="123" t="str">
        <f>IF(priority(Main[[#This Row],[Comments]])&lt;&gt;0, priority(Main[[#This Row],[Comments]]),"")</f>
        <v/>
      </c>
      <c r="B747" s="127" t="s">
        <v>2167</v>
      </c>
      <c r="C747" s="99" t="s">
        <v>4</v>
      </c>
      <c r="D747" s="100" t="s">
        <v>2168</v>
      </c>
      <c r="E747" s="101">
        <v>40772.421967592592</v>
      </c>
      <c r="F747" s="101"/>
      <c r="G747" s="102" t="str">
        <f>IF(stdProdLT(Main[[#This Row],[Comments]])=0.1,"N/A",IF(stdProdLT(Main[[#This Row],[Comments]])=0,"",stdProdLT(Main[[#This Row],[Comments]])))</f>
        <v/>
      </c>
      <c r="H747" s="103" t="str">
        <f>IF(AND(Main[[#This Row],[In Stock Date]]&lt;&gt;"",Main[[#This Row],[Revised Due Date]]&lt;&gt;""),Main[[#This Row],[In Stock Date]]-Main[[#This Row],[Revised Due Date]],"")</f>
        <v/>
      </c>
      <c r="I747" s="99" t="s">
        <v>929</v>
      </c>
      <c r="J747" s="99" t="s">
        <v>52</v>
      </c>
      <c r="K747" s="108" t="s">
        <v>4</v>
      </c>
      <c r="L747" s="101"/>
      <c r="M747" s="104" t="str">
        <f>IF(Main[[#This Row],[Tech Start Date]]&lt;1/1/1990,"",IF(Main[[#This Row],[Class]]="C",WORKDAY(Main[[#This Row],[Tech Start Date]],9),IF(Main[[#This Row],[Class]]="B", WORKDAY(Main[[#This Row],[Tech Start Date]],6),IF(Main[[#This Row],[Class]]="A",WORKDAY(Main[[#This Row],[Tech Start Date]],2),""))))</f>
        <v/>
      </c>
      <c r="N747" s="104" t="str">
        <f>IF(Main[[#This Row],[Tech Start Date]]&lt;1/1/1990,"",IF(Main[[#This Row],[Class]]="C",WORKDAY(Main[[#This Row],[Tech Start Date]],19),IF(Main[[#This Row],[Class]]="B", WORKDAY(Main[[#This Row],[Tech Start Date]],12),IF(Main[[#This Row],[Class]]="A",WORKDAY(Main[[#This Row],[Tech Start Date]],4),""))))</f>
        <v/>
      </c>
      <c r="O747" s="104" t="str">
        <f>IF(Main[[#This Row],[Tech Start Date]]&lt;1/1/1990,"",IF(Main[[#This Row],[Class]]="C",WORKDAY(Main[[#This Row],[Tech Start Date]],23),IF(Main[[#This Row],[Class]]="B", WORKDAY(Main[[#This Row],[Tech Start Date]],15),IF(Main[[#This Row],[Class]]="A",WORKDAY(Main[[#This Row],[Tech Start Date]],5),""))))</f>
        <v/>
      </c>
      <c r="P747" s="104" t="str">
        <f>IF(Main[[#This Row],[Tech Start Date]]&lt;1/1/1990,"",IF(Main[[#This Row],[Class]]="C",WORKDAY(Main[[#This Row],[Tech Start Date]],28),IF(Main[[#This Row],[Class]]="B", WORKDAY(Main[[#This Row],[Tech Start Date]],19),IF(Main[[#This Row],[Class]]="A",WORKDAY(Main[[#This Row],[Tech Start Date]],9),""))))</f>
        <v/>
      </c>
      <c r="Q747" s="101"/>
      <c r="R747" s="101"/>
      <c r="S747" s="99" t="s">
        <v>6</v>
      </c>
      <c r="T747" s="107" t="s">
        <v>4</v>
      </c>
      <c r="U747" s="99" t="s">
        <v>29</v>
      </c>
      <c r="V747" s="99" t="s">
        <v>1962</v>
      </c>
      <c r="W747" s="99" t="s">
        <v>1966</v>
      </c>
    </row>
    <row r="748" spans="1:23" ht="18.600000000000001" customHeight="1">
      <c r="A748" s="123" t="str">
        <f>IF(priority(Main[[#This Row],[Comments]])&lt;&gt;0, priority(Main[[#This Row],[Comments]]),"")</f>
        <v/>
      </c>
      <c r="B748" s="127" t="s">
        <v>1610</v>
      </c>
      <c r="C748" s="99" t="s">
        <v>4</v>
      </c>
      <c r="D748" s="100" t="s">
        <v>661</v>
      </c>
      <c r="E748" s="101">
        <v>40626.478437500002</v>
      </c>
      <c r="F748" s="101"/>
      <c r="G748" s="102" t="str">
        <f>IF(stdProdLT(Main[[#This Row],[Comments]])=0.1,"N/A",IF(stdProdLT(Main[[#This Row],[Comments]])=0,"",stdProdLT(Main[[#This Row],[Comments]])))</f>
        <v/>
      </c>
      <c r="H748" s="103" t="str">
        <f>IF(AND(Main[[#This Row],[In Stock Date]]&lt;&gt;"",Main[[#This Row],[Revised Due Date]]&lt;&gt;""),Main[[#This Row],[In Stock Date]]-Main[[#This Row],[Revised Due Date]],"")</f>
        <v/>
      </c>
      <c r="I748" s="99" t="s">
        <v>375</v>
      </c>
      <c r="J748" s="99" t="s">
        <v>28</v>
      </c>
      <c r="K748" s="99" t="s">
        <v>1971</v>
      </c>
      <c r="L748" s="101"/>
      <c r="M748" s="104" t="str">
        <f>IF(Main[[#This Row],[Tech Start Date]]&lt;1/1/1990,"",IF(Main[[#This Row],[Class]]="C",WORKDAY(Main[[#This Row],[Tech Start Date]],9),IF(Main[[#This Row],[Class]]="B", WORKDAY(Main[[#This Row],[Tech Start Date]],6),IF(Main[[#This Row],[Class]]="A",WORKDAY(Main[[#This Row],[Tech Start Date]],2),""))))</f>
        <v/>
      </c>
      <c r="N748" s="104" t="str">
        <f>IF(Main[[#This Row],[Tech Start Date]]&lt;1/1/1990,"",IF(Main[[#This Row],[Class]]="C",WORKDAY(Main[[#This Row],[Tech Start Date]],19),IF(Main[[#This Row],[Class]]="B", WORKDAY(Main[[#This Row],[Tech Start Date]],12),IF(Main[[#This Row],[Class]]="A",WORKDAY(Main[[#This Row],[Tech Start Date]],4),""))))</f>
        <v/>
      </c>
      <c r="O748" s="104" t="str">
        <f>IF(Main[[#This Row],[Tech Start Date]]&lt;1/1/1990,"",IF(Main[[#This Row],[Class]]="C",WORKDAY(Main[[#This Row],[Tech Start Date]],23),IF(Main[[#This Row],[Class]]="B", WORKDAY(Main[[#This Row],[Tech Start Date]],15),IF(Main[[#This Row],[Class]]="A",WORKDAY(Main[[#This Row],[Tech Start Date]],5),""))))</f>
        <v/>
      </c>
      <c r="P748" s="104" t="str">
        <f>IF(Main[[#This Row],[Tech Start Date]]&lt;1/1/1990,"",IF(Main[[#This Row],[Class]]="C",WORKDAY(Main[[#This Row],[Tech Start Date]],28),IF(Main[[#This Row],[Class]]="B", WORKDAY(Main[[#This Row],[Tech Start Date]],19),IF(Main[[#This Row],[Class]]="A",WORKDAY(Main[[#This Row],[Tech Start Date]],9),""))))</f>
        <v/>
      </c>
      <c r="Q748" s="101"/>
      <c r="R748" s="101"/>
      <c r="S748" s="99" t="s">
        <v>6</v>
      </c>
      <c r="T748" s="107" t="s">
        <v>4</v>
      </c>
      <c r="U748" s="99" t="s">
        <v>29</v>
      </c>
      <c r="V748" s="99" t="s">
        <v>1965</v>
      </c>
      <c r="W748" s="99" t="s">
        <v>1966</v>
      </c>
    </row>
    <row r="749" spans="1:23" ht="18.600000000000001" customHeight="1">
      <c r="A749" s="123" t="str">
        <f>IF(priority(Main[[#This Row],[Comments]])&lt;&gt;0, priority(Main[[#This Row],[Comments]]),"")</f>
        <v/>
      </c>
      <c r="B749" s="127" t="s">
        <v>2499</v>
      </c>
      <c r="C749" s="99" t="s">
        <v>47</v>
      </c>
      <c r="D749" s="100" t="s">
        <v>2500</v>
      </c>
      <c r="E749" s="101">
        <v>40847.703090277777</v>
      </c>
      <c r="F749" s="101"/>
      <c r="G749" s="102" t="str">
        <f>IF(stdProdLT(Main[[#This Row],[Comments]])=0.1,"N/A",IF(stdProdLT(Main[[#This Row],[Comments]])=0,"",stdProdLT(Main[[#This Row],[Comments]])))</f>
        <v/>
      </c>
      <c r="H749" s="103" t="str">
        <f>IF(AND(Main[[#This Row],[In Stock Date]]&lt;&gt;"",Main[[#This Row],[Revised Due Date]]&lt;&gt;""),Main[[#This Row],[In Stock Date]]-Main[[#This Row],[Revised Due Date]],"")</f>
        <v/>
      </c>
      <c r="I749" s="99" t="s">
        <v>69</v>
      </c>
      <c r="J749" s="99" t="s">
        <v>28</v>
      </c>
      <c r="K749" s="99" t="s">
        <v>1971</v>
      </c>
      <c r="L749" s="101"/>
      <c r="M749" s="104" t="str">
        <f>IF(Main[[#This Row],[Tech Start Date]]&lt;1/1/1990,"",IF(Main[[#This Row],[Class]]="C",WORKDAY(Main[[#This Row],[Tech Start Date]],9),IF(Main[[#This Row],[Class]]="B", WORKDAY(Main[[#This Row],[Tech Start Date]],6),IF(Main[[#This Row],[Class]]="A",WORKDAY(Main[[#This Row],[Tech Start Date]],2),""))))</f>
        <v/>
      </c>
      <c r="N749" s="104" t="str">
        <f>IF(Main[[#This Row],[Tech Start Date]]&lt;1/1/1990,"",IF(Main[[#This Row],[Class]]="C",WORKDAY(Main[[#This Row],[Tech Start Date]],19),IF(Main[[#This Row],[Class]]="B", WORKDAY(Main[[#This Row],[Tech Start Date]],12),IF(Main[[#This Row],[Class]]="A",WORKDAY(Main[[#This Row],[Tech Start Date]],4),""))))</f>
        <v/>
      </c>
      <c r="O749" s="104" t="str">
        <f>IF(Main[[#This Row],[Tech Start Date]]&lt;1/1/1990,"",IF(Main[[#This Row],[Class]]="C",WORKDAY(Main[[#This Row],[Tech Start Date]],23),IF(Main[[#This Row],[Class]]="B", WORKDAY(Main[[#This Row],[Tech Start Date]],15),IF(Main[[#This Row],[Class]]="A",WORKDAY(Main[[#This Row],[Tech Start Date]],5),""))))</f>
        <v/>
      </c>
      <c r="P749" s="104" t="str">
        <f>IF(Main[[#This Row],[Tech Start Date]]&lt;1/1/1990,"",IF(Main[[#This Row],[Class]]="C",WORKDAY(Main[[#This Row],[Tech Start Date]],28),IF(Main[[#This Row],[Class]]="B", WORKDAY(Main[[#This Row],[Tech Start Date]],19),IF(Main[[#This Row],[Class]]="A",WORKDAY(Main[[#This Row],[Tech Start Date]],9),""))))</f>
        <v/>
      </c>
      <c r="Q749" s="101">
        <v>40862</v>
      </c>
      <c r="R749" s="101"/>
      <c r="S749" s="99" t="s">
        <v>6</v>
      </c>
      <c r="T749" s="107" t="s">
        <v>4</v>
      </c>
      <c r="U749" s="99" t="s">
        <v>29</v>
      </c>
      <c r="V749" s="99" t="s">
        <v>1965</v>
      </c>
      <c r="W749" s="99" t="s">
        <v>1966</v>
      </c>
    </row>
    <row r="750" spans="1:23" ht="18.600000000000001" customHeight="1">
      <c r="A750" s="123" t="str">
        <f>IF(priority(Main[[#This Row],[Comments]])&lt;&gt;0, priority(Main[[#This Row],[Comments]]),"")</f>
        <v/>
      </c>
      <c r="B750" s="127" t="s">
        <v>1674</v>
      </c>
      <c r="C750" s="99" t="s">
        <v>4</v>
      </c>
      <c r="D750" s="100" t="s">
        <v>2177</v>
      </c>
      <c r="E750" s="101">
        <v>40696.439942129633</v>
      </c>
      <c r="F750" s="101"/>
      <c r="G750" s="102" t="str">
        <f>IF(stdProdLT(Main[[#This Row],[Comments]])=0.1,"N/A",IF(stdProdLT(Main[[#This Row],[Comments]])=0,"",stdProdLT(Main[[#This Row],[Comments]])))</f>
        <v/>
      </c>
      <c r="H750" s="103" t="str">
        <f>IF(AND(Main[[#This Row],[In Stock Date]]&lt;&gt;"",Main[[#This Row],[Revised Due Date]]&lt;&gt;""),Main[[#This Row],[In Stock Date]]-Main[[#This Row],[Revised Due Date]],"")</f>
        <v/>
      </c>
      <c r="I750" s="99" t="s">
        <v>959</v>
      </c>
      <c r="J750" s="99" t="s">
        <v>4</v>
      </c>
      <c r="K750" s="99" t="s">
        <v>4</v>
      </c>
      <c r="L750" s="101"/>
      <c r="M750" s="104" t="str">
        <f>IF(Main[[#This Row],[Tech Start Date]]&lt;1/1/1990,"",IF(Main[[#This Row],[Class]]="C",WORKDAY(Main[[#This Row],[Tech Start Date]],9),IF(Main[[#This Row],[Class]]="B", WORKDAY(Main[[#This Row],[Tech Start Date]],6),IF(Main[[#This Row],[Class]]="A",WORKDAY(Main[[#This Row],[Tech Start Date]],2),""))))</f>
        <v/>
      </c>
      <c r="N750" s="104" t="str">
        <f>IF(Main[[#This Row],[Tech Start Date]]&lt;1/1/1990,"",IF(Main[[#This Row],[Class]]="C",WORKDAY(Main[[#This Row],[Tech Start Date]],19),IF(Main[[#This Row],[Class]]="B", WORKDAY(Main[[#This Row],[Tech Start Date]],12),IF(Main[[#This Row],[Class]]="A",WORKDAY(Main[[#This Row],[Tech Start Date]],4),""))))</f>
        <v/>
      </c>
      <c r="O750" s="104" t="str">
        <f>IF(Main[[#This Row],[Tech Start Date]]&lt;1/1/1990,"",IF(Main[[#This Row],[Class]]="C",WORKDAY(Main[[#This Row],[Tech Start Date]],23),IF(Main[[#This Row],[Class]]="B", WORKDAY(Main[[#This Row],[Tech Start Date]],15),IF(Main[[#This Row],[Class]]="A",WORKDAY(Main[[#This Row],[Tech Start Date]],5),""))))</f>
        <v/>
      </c>
      <c r="P750" s="104" t="str">
        <f>IF(Main[[#This Row],[Tech Start Date]]&lt;1/1/1990,"",IF(Main[[#This Row],[Class]]="C",WORKDAY(Main[[#This Row],[Tech Start Date]],28),IF(Main[[#This Row],[Class]]="B", WORKDAY(Main[[#This Row],[Tech Start Date]],19),IF(Main[[#This Row],[Class]]="A",WORKDAY(Main[[#This Row],[Tech Start Date]],9),""))))</f>
        <v/>
      </c>
      <c r="Q750" s="101"/>
      <c r="R750" s="101">
        <v>40815</v>
      </c>
      <c r="S750" s="99" t="s">
        <v>6</v>
      </c>
      <c r="T750" s="107" t="s">
        <v>4</v>
      </c>
      <c r="U750" s="99" t="s">
        <v>29</v>
      </c>
      <c r="V750" s="99" t="s">
        <v>1963</v>
      </c>
      <c r="W750" s="99" t="s">
        <v>1970</v>
      </c>
    </row>
    <row r="751" spans="1:23" ht="18.600000000000001" customHeight="1">
      <c r="A751" s="123" t="str">
        <f>IF(priority(Main[[#This Row],[Comments]])&lt;&gt;0, priority(Main[[#This Row],[Comments]]),"")</f>
        <v/>
      </c>
      <c r="B751" s="127" t="s">
        <v>1462</v>
      </c>
      <c r="C751" s="99" t="s">
        <v>4</v>
      </c>
      <c r="D751" s="100" t="s">
        <v>2501</v>
      </c>
      <c r="E751" s="101">
        <v>40561.285520833335</v>
      </c>
      <c r="F751" s="101"/>
      <c r="G751" s="102" t="str">
        <f>IF(stdProdLT(Main[[#This Row],[Comments]])=0.1,"N/A",IF(stdProdLT(Main[[#This Row],[Comments]])=0,"",stdProdLT(Main[[#This Row],[Comments]])))</f>
        <v/>
      </c>
      <c r="H751" s="103" t="str">
        <f>IF(AND(Main[[#This Row],[In Stock Date]]&lt;&gt;"",Main[[#This Row],[Revised Due Date]]&lt;&gt;""),Main[[#This Row],[In Stock Date]]-Main[[#This Row],[Revised Due Date]],"")</f>
        <v/>
      </c>
      <c r="I751" s="99" t="s">
        <v>929</v>
      </c>
      <c r="J751" s="99" t="s">
        <v>52</v>
      </c>
      <c r="K751" s="99" t="s">
        <v>1969</v>
      </c>
      <c r="L751" s="101"/>
      <c r="M751" s="104" t="str">
        <f>IF(Main[[#This Row],[Tech Start Date]]&lt;1/1/1990,"",IF(Main[[#This Row],[Class]]="C",WORKDAY(Main[[#This Row],[Tech Start Date]],9),IF(Main[[#This Row],[Class]]="B", WORKDAY(Main[[#This Row],[Tech Start Date]],6),IF(Main[[#This Row],[Class]]="A",WORKDAY(Main[[#This Row],[Tech Start Date]],2),""))))</f>
        <v/>
      </c>
      <c r="N751" s="104" t="str">
        <f>IF(Main[[#This Row],[Tech Start Date]]&lt;1/1/1990,"",IF(Main[[#This Row],[Class]]="C",WORKDAY(Main[[#This Row],[Tech Start Date]],19),IF(Main[[#This Row],[Class]]="B", WORKDAY(Main[[#This Row],[Tech Start Date]],12),IF(Main[[#This Row],[Class]]="A",WORKDAY(Main[[#This Row],[Tech Start Date]],4),""))))</f>
        <v/>
      </c>
      <c r="O751" s="104" t="str">
        <f>IF(Main[[#This Row],[Tech Start Date]]&lt;1/1/1990,"",IF(Main[[#This Row],[Class]]="C",WORKDAY(Main[[#This Row],[Tech Start Date]],23),IF(Main[[#This Row],[Class]]="B", WORKDAY(Main[[#This Row],[Tech Start Date]],15),IF(Main[[#This Row],[Class]]="A",WORKDAY(Main[[#This Row],[Tech Start Date]],5),""))))</f>
        <v/>
      </c>
      <c r="P751" s="104" t="str">
        <f>IF(Main[[#This Row],[Tech Start Date]]&lt;1/1/1990,"",IF(Main[[#This Row],[Class]]="C",WORKDAY(Main[[#This Row],[Tech Start Date]],28),IF(Main[[#This Row],[Class]]="B", WORKDAY(Main[[#This Row],[Tech Start Date]],19),IF(Main[[#This Row],[Class]]="A",WORKDAY(Main[[#This Row],[Tech Start Date]],9),""))))</f>
        <v/>
      </c>
      <c r="Q751" s="101">
        <v>40595</v>
      </c>
      <c r="R751" s="101"/>
      <c r="S751" s="99" t="s">
        <v>6</v>
      </c>
      <c r="T751" s="107" t="s">
        <v>4</v>
      </c>
      <c r="U751" s="99" t="s">
        <v>29</v>
      </c>
      <c r="V751" s="99" t="s">
        <v>1962</v>
      </c>
      <c r="W751" s="99" t="s">
        <v>1964</v>
      </c>
    </row>
    <row r="752" spans="1:23" ht="18.600000000000001" customHeight="1">
      <c r="A752" s="123" t="str">
        <f>IF(priority(Main[[#This Row],[Comments]])&lt;&gt;0, priority(Main[[#This Row],[Comments]]),"")</f>
        <v/>
      </c>
      <c r="B752" s="127" t="s">
        <v>1613</v>
      </c>
      <c r="C752" s="99" t="s">
        <v>4</v>
      </c>
      <c r="D752" s="100" t="s">
        <v>663</v>
      </c>
      <c r="E752" s="101"/>
      <c r="F752" s="101"/>
      <c r="G752" s="102" t="str">
        <f>IF(stdProdLT(Main[[#This Row],[Comments]])=0.1,"N/A",IF(stdProdLT(Main[[#This Row],[Comments]])=0,"",stdProdLT(Main[[#This Row],[Comments]])))</f>
        <v/>
      </c>
      <c r="H752" s="103" t="str">
        <f>IF(AND(Main[[#This Row],[In Stock Date]]&lt;&gt;"",Main[[#This Row],[Revised Due Date]]&lt;&gt;""),Main[[#This Row],[In Stock Date]]-Main[[#This Row],[Revised Due Date]],"")</f>
        <v/>
      </c>
      <c r="I752" s="99" t="s">
        <v>4</v>
      </c>
      <c r="J752" s="99" t="s">
        <v>4</v>
      </c>
      <c r="K752" s="99" t="s">
        <v>4</v>
      </c>
      <c r="L752" s="101"/>
      <c r="M752" s="104" t="str">
        <f>IF(Main[[#This Row],[Tech Start Date]]&lt;1/1/1990,"",IF(Main[[#This Row],[Class]]="C",WORKDAY(Main[[#This Row],[Tech Start Date]],9),IF(Main[[#This Row],[Class]]="B", WORKDAY(Main[[#This Row],[Tech Start Date]],6),IF(Main[[#This Row],[Class]]="A",WORKDAY(Main[[#This Row],[Tech Start Date]],2),""))))</f>
        <v/>
      </c>
      <c r="N752" s="104" t="str">
        <f>IF(Main[[#This Row],[Tech Start Date]]&lt;1/1/1990,"",IF(Main[[#This Row],[Class]]="C",WORKDAY(Main[[#This Row],[Tech Start Date]],19),IF(Main[[#This Row],[Class]]="B", WORKDAY(Main[[#This Row],[Tech Start Date]],12),IF(Main[[#This Row],[Class]]="A",WORKDAY(Main[[#This Row],[Tech Start Date]],4),""))))</f>
        <v/>
      </c>
      <c r="O752" s="104" t="str">
        <f>IF(Main[[#This Row],[Tech Start Date]]&lt;1/1/1990,"",IF(Main[[#This Row],[Class]]="C",WORKDAY(Main[[#This Row],[Tech Start Date]],23),IF(Main[[#This Row],[Class]]="B", WORKDAY(Main[[#This Row],[Tech Start Date]],15),IF(Main[[#This Row],[Class]]="A",WORKDAY(Main[[#This Row],[Tech Start Date]],5),""))))</f>
        <v/>
      </c>
      <c r="P752" s="104" t="str">
        <f>IF(Main[[#This Row],[Tech Start Date]]&lt;1/1/1990,"",IF(Main[[#This Row],[Class]]="C",WORKDAY(Main[[#This Row],[Tech Start Date]],28),IF(Main[[#This Row],[Class]]="B", WORKDAY(Main[[#This Row],[Tech Start Date]],19),IF(Main[[#This Row],[Class]]="A",WORKDAY(Main[[#This Row],[Tech Start Date]],9),""))))</f>
        <v/>
      </c>
      <c r="Q752" s="101"/>
      <c r="R752" s="101"/>
      <c r="S752" s="99" t="s">
        <v>6</v>
      </c>
      <c r="T752" s="107" t="s">
        <v>4</v>
      </c>
      <c r="U752" s="99" t="s">
        <v>12</v>
      </c>
      <c r="V752" s="99" t="s">
        <v>1962</v>
      </c>
      <c r="W752" s="99" t="s">
        <v>4</v>
      </c>
    </row>
    <row r="753" spans="1:23" ht="18.600000000000001" customHeight="1">
      <c r="A753" s="123" t="str">
        <f>IF(priority(Main[[#This Row],[Comments]])&lt;&gt;0, priority(Main[[#This Row],[Comments]]),"")</f>
        <v/>
      </c>
      <c r="B753" s="127" t="s">
        <v>1916</v>
      </c>
      <c r="C753" s="99" t="s">
        <v>4</v>
      </c>
      <c r="D753" s="100" t="s">
        <v>2502</v>
      </c>
      <c r="E753" s="101">
        <v>40624.37060185185</v>
      </c>
      <c r="F753" s="101"/>
      <c r="G753" s="102" t="str">
        <f>IF(stdProdLT(Main[[#This Row],[Comments]])=0.1,"N/A",IF(stdProdLT(Main[[#This Row],[Comments]])=0,"",stdProdLT(Main[[#This Row],[Comments]])))</f>
        <v/>
      </c>
      <c r="H753" s="103" t="str">
        <f>IF(AND(Main[[#This Row],[In Stock Date]]&lt;&gt;"",Main[[#This Row],[Revised Due Date]]&lt;&gt;""),Main[[#This Row],[In Stock Date]]-Main[[#This Row],[Revised Due Date]],"")</f>
        <v/>
      </c>
      <c r="I753" s="99" t="s">
        <v>893</v>
      </c>
      <c r="J753" s="99" t="s">
        <v>28</v>
      </c>
      <c r="K753" s="99" t="s">
        <v>1975</v>
      </c>
      <c r="L753" s="101"/>
      <c r="M753" s="104" t="str">
        <f>IF(Main[[#This Row],[Tech Start Date]]&lt;1/1/1990,"",IF(Main[[#This Row],[Class]]="C",WORKDAY(Main[[#This Row],[Tech Start Date]],9),IF(Main[[#This Row],[Class]]="B", WORKDAY(Main[[#This Row],[Tech Start Date]],6),IF(Main[[#This Row],[Class]]="A",WORKDAY(Main[[#This Row],[Tech Start Date]],2),""))))</f>
        <v/>
      </c>
      <c r="N753" s="104" t="str">
        <f>IF(Main[[#This Row],[Tech Start Date]]&lt;1/1/1990,"",IF(Main[[#This Row],[Class]]="C",WORKDAY(Main[[#This Row],[Tech Start Date]],19),IF(Main[[#This Row],[Class]]="B", WORKDAY(Main[[#This Row],[Tech Start Date]],12),IF(Main[[#This Row],[Class]]="A",WORKDAY(Main[[#This Row],[Tech Start Date]],4),""))))</f>
        <v/>
      </c>
      <c r="O753" s="104" t="str">
        <f>IF(Main[[#This Row],[Tech Start Date]]&lt;1/1/1990,"",IF(Main[[#This Row],[Class]]="C",WORKDAY(Main[[#This Row],[Tech Start Date]],23),IF(Main[[#This Row],[Class]]="B", WORKDAY(Main[[#This Row],[Tech Start Date]],15),IF(Main[[#This Row],[Class]]="A",WORKDAY(Main[[#This Row],[Tech Start Date]],5),""))))</f>
        <v/>
      </c>
      <c r="P753" s="104" t="str">
        <f>IF(Main[[#This Row],[Tech Start Date]]&lt;1/1/1990,"",IF(Main[[#This Row],[Class]]="C",WORKDAY(Main[[#This Row],[Tech Start Date]],28),IF(Main[[#This Row],[Class]]="B", WORKDAY(Main[[#This Row],[Tech Start Date]],19),IF(Main[[#This Row],[Class]]="A",WORKDAY(Main[[#This Row],[Tech Start Date]],9),""))))</f>
        <v/>
      </c>
      <c r="Q753" s="101">
        <v>40648</v>
      </c>
      <c r="R753" s="101">
        <v>40908</v>
      </c>
      <c r="S753" s="99" t="s">
        <v>6</v>
      </c>
      <c r="T753" s="107" t="s">
        <v>4</v>
      </c>
      <c r="U753" s="99" t="s">
        <v>29</v>
      </c>
      <c r="V753" s="99" t="s">
        <v>1962</v>
      </c>
      <c r="W753" s="99" t="s">
        <v>1966</v>
      </c>
    </row>
    <row r="754" spans="1:23" ht="18.600000000000001" customHeight="1">
      <c r="A754" s="123" t="str">
        <f>IF(priority(Main[[#This Row],[Comments]])&lt;&gt;0, priority(Main[[#This Row],[Comments]]),"")</f>
        <v/>
      </c>
      <c r="B754" s="127" t="s">
        <v>1614</v>
      </c>
      <c r="C754" s="99" t="s">
        <v>4</v>
      </c>
      <c r="D754" s="100" t="s">
        <v>664</v>
      </c>
      <c r="E754" s="101"/>
      <c r="F754" s="101"/>
      <c r="G754" s="102" t="str">
        <f>IF(stdProdLT(Main[[#This Row],[Comments]])=0.1,"N/A",IF(stdProdLT(Main[[#This Row],[Comments]])=0,"",stdProdLT(Main[[#This Row],[Comments]])))</f>
        <v/>
      </c>
      <c r="H754" s="103" t="str">
        <f>IF(AND(Main[[#This Row],[In Stock Date]]&lt;&gt;"",Main[[#This Row],[Revised Due Date]]&lt;&gt;""),Main[[#This Row],[In Stock Date]]-Main[[#This Row],[Revised Due Date]],"")</f>
        <v/>
      </c>
      <c r="I754" s="99" t="s">
        <v>4</v>
      </c>
      <c r="J754" s="99" t="s">
        <v>4</v>
      </c>
      <c r="K754" s="99" t="s">
        <v>4</v>
      </c>
      <c r="L754" s="101"/>
      <c r="M754" s="104" t="str">
        <f>IF(Main[[#This Row],[Tech Start Date]]&lt;1/1/1990,"",IF(Main[[#This Row],[Class]]="C",WORKDAY(Main[[#This Row],[Tech Start Date]],9),IF(Main[[#This Row],[Class]]="B", WORKDAY(Main[[#This Row],[Tech Start Date]],6),IF(Main[[#This Row],[Class]]="A",WORKDAY(Main[[#This Row],[Tech Start Date]],2),""))))</f>
        <v/>
      </c>
      <c r="N754" s="104" t="str">
        <f>IF(Main[[#This Row],[Tech Start Date]]&lt;1/1/1990,"",IF(Main[[#This Row],[Class]]="C",WORKDAY(Main[[#This Row],[Tech Start Date]],19),IF(Main[[#This Row],[Class]]="B", WORKDAY(Main[[#This Row],[Tech Start Date]],12),IF(Main[[#This Row],[Class]]="A",WORKDAY(Main[[#This Row],[Tech Start Date]],4),""))))</f>
        <v/>
      </c>
      <c r="O754" s="104" t="str">
        <f>IF(Main[[#This Row],[Tech Start Date]]&lt;1/1/1990,"",IF(Main[[#This Row],[Class]]="C",WORKDAY(Main[[#This Row],[Tech Start Date]],23),IF(Main[[#This Row],[Class]]="B", WORKDAY(Main[[#This Row],[Tech Start Date]],15),IF(Main[[#This Row],[Class]]="A",WORKDAY(Main[[#This Row],[Tech Start Date]],5),""))))</f>
        <v/>
      </c>
      <c r="P754" s="104" t="str">
        <f>IF(Main[[#This Row],[Tech Start Date]]&lt;1/1/1990,"",IF(Main[[#This Row],[Class]]="C",WORKDAY(Main[[#This Row],[Tech Start Date]],28),IF(Main[[#This Row],[Class]]="B", WORKDAY(Main[[#This Row],[Tech Start Date]],19),IF(Main[[#This Row],[Class]]="A",WORKDAY(Main[[#This Row],[Tech Start Date]],9),""))))</f>
        <v/>
      </c>
      <c r="Q754" s="101"/>
      <c r="R754" s="101"/>
      <c r="S754" s="99" t="s">
        <v>6</v>
      </c>
      <c r="T754" s="107" t="s">
        <v>4</v>
      </c>
      <c r="U754" s="99" t="s">
        <v>14</v>
      </c>
      <c r="V754" s="99" t="s">
        <v>1962</v>
      </c>
      <c r="W754" s="99" t="s">
        <v>1970</v>
      </c>
    </row>
    <row r="755" spans="1:23" ht="18.600000000000001" customHeight="1">
      <c r="A755" s="123" t="str">
        <f>IF(priority(Main[[#This Row],[Comments]])&lt;&gt;0, priority(Main[[#This Row],[Comments]]),"")</f>
        <v/>
      </c>
      <c r="B755" s="127" t="s">
        <v>1615</v>
      </c>
      <c r="C755" s="99" t="s">
        <v>4</v>
      </c>
      <c r="D755" s="100" t="s">
        <v>665</v>
      </c>
      <c r="E755" s="101"/>
      <c r="F755" s="101"/>
      <c r="G755" s="102" t="str">
        <f>IF(stdProdLT(Main[[#This Row],[Comments]])=0.1,"N/A",IF(stdProdLT(Main[[#This Row],[Comments]])=0,"",stdProdLT(Main[[#This Row],[Comments]])))</f>
        <v/>
      </c>
      <c r="H755" s="103" t="str">
        <f>IF(AND(Main[[#This Row],[In Stock Date]]&lt;&gt;"",Main[[#This Row],[Revised Due Date]]&lt;&gt;""),Main[[#This Row],[In Stock Date]]-Main[[#This Row],[Revised Due Date]],"")</f>
        <v/>
      </c>
      <c r="I755" s="99" t="s">
        <v>4</v>
      </c>
      <c r="J755" s="99" t="s">
        <v>4</v>
      </c>
      <c r="K755" s="108" t="s">
        <v>4</v>
      </c>
      <c r="L755" s="101"/>
      <c r="M755" s="104" t="str">
        <f>IF(Main[[#This Row],[Tech Start Date]]&lt;1/1/1990,"",IF(Main[[#This Row],[Class]]="C",WORKDAY(Main[[#This Row],[Tech Start Date]],9),IF(Main[[#This Row],[Class]]="B", WORKDAY(Main[[#This Row],[Tech Start Date]],6),IF(Main[[#This Row],[Class]]="A",WORKDAY(Main[[#This Row],[Tech Start Date]],2),""))))</f>
        <v/>
      </c>
      <c r="N755" s="104" t="str">
        <f>IF(Main[[#This Row],[Tech Start Date]]&lt;1/1/1990,"",IF(Main[[#This Row],[Class]]="C",WORKDAY(Main[[#This Row],[Tech Start Date]],19),IF(Main[[#This Row],[Class]]="B", WORKDAY(Main[[#This Row],[Tech Start Date]],12),IF(Main[[#This Row],[Class]]="A",WORKDAY(Main[[#This Row],[Tech Start Date]],4),""))))</f>
        <v/>
      </c>
      <c r="O755" s="104" t="str">
        <f>IF(Main[[#This Row],[Tech Start Date]]&lt;1/1/1990,"",IF(Main[[#This Row],[Class]]="C",WORKDAY(Main[[#This Row],[Tech Start Date]],23),IF(Main[[#This Row],[Class]]="B", WORKDAY(Main[[#This Row],[Tech Start Date]],15),IF(Main[[#This Row],[Class]]="A",WORKDAY(Main[[#This Row],[Tech Start Date]],5),""))))</f>
        <v/>
      </c>
      <c r="P755" s="104" t="str">
        <f>IF(Main[[#This Row],[Tech Start Date]]&lt;1/1/1990,"",IF(Main[[#This Row],[Class]]="C",WORKDAY(Main[[#This Row],[Tech Start Date]],28),IF(Main[[#This Row],[Class]]="B", WORKDAY(Main[[#This Row],[Tech Start Date]],19),IF(Main[[#This Row],[Class]]="A",WORKDAY(Main[[#This Row],[Tech Start Date]],9),""))))</f>
        <v/>
      </c>
      <c r="Q755" s="101"/>
      <c r="R755" s="101"/>
      <c r="S755" s="99" t="s">
        <v>11</v>
      </c>
      <c r="T755" s="107" t="s">
        <v>4</v>
      </c>
      <c r="U755" s="99" t="s">
        <v>12</v>
      </c>
      <c r="V755" s="99" t="s">
        <v>1962</v>
      </c>
      <c r="W755" s="99" t="s">
        <v>1966</v>
      </c>
    </row>
    <row r="756" spans="1:23" ht="18.600000000000001" customHeight="1">
      <c r="A756" s="123" t="str">
        <f>IF(priority(Main[[#This Row],[Comments]])&lt;&gt;0, priority(Main[[#This Row],[Comments]]),"")</f>
        <v/>
      </c>
      <c r="B756" s="127" t="s">
        <v>1616</v>
      </c>
      <c r="C756" s="99" t="s">
        <v>4</v>
      </c>
      <c r="D756" s="100" t="s">
        <v>97</v>
      </c>
      <c r="E756" s="101"/>
      <c r="F756" s="101"/>
      <c r="G756" s="102" t="str">
        <f>IF(stdProdLT(Main[[#This Row],[Comments]])=0.1,"N/A",IF(stdProdLT(Main[[#This Row],[Comments]])=0,"",stdProdLT(Main[[#This Row],[Comments]])))</f>
        <v/>
      </c>
      <c r="H756" s="103" t="str">
        <f>IF(AND(Main[[#This Row],[In Stock Date]]&lt;&gt;"",Main[[#This Row],[Revised Due Date]]&lt;&gt;""),Main[[#This Row],[In Stock Date]]-Main[[#This Row],[Revised Due Date]],"")</f>
        <v/>
      </c>
      <c r="I756" s="99" t="s">
        <v>4</v>
      </c>
      <c r="J756" s="99" t="s">
        <v>4</v>
      </c>
      <c r="K756" s="108" t="s">
        <v>4</v>
      </c>
      <c r="L756" s="101"/>
      <c r="M756" s="104" t="str">
        <f>IF(Main[[#This Row],[Tech Start Date]]&lt;1/1/1990,"",IF(Main[[#This Row],[Class]]="C",WORKDAY(Main[[#This Row],[Tech Start Date]],9),IF(Main[[#This Row],[Class]]="B", WORKDAY(Main[[#This Row],[Tech Start Date]],6),IF(Main[[#This Row],[Class]]="A",WORKDAY(Main[[#This Row],[Tech Start Date]],2),""))))</f>
        <v/>
      </c>
      <c r="N756" s="104" t="str">
        <f>IF(Main[[#This Row],[Tech Start Date]]&lt;1/1/1990,"",IF(Main[[#This Row],[Class]]="C",WORKDAY(Main[[#This Row],[Tech Start Date]],19),IF(Main[[#This Row],[Class]]="B", WORKDAY(Main[[#This Row],[Tech Start Date]],12),IF(Main[[#This Row],[Class]]="A",WORKDAY(Main[[#This Row],[Tech Start Date]],4),""))))</f>
        <v/>
      </c>
      <c r="O756" s="104" t="str">
        <f>IF(Main[[#This Row],[Tech Start Date]]&lt;1/1/1990,"",IF(Main[[#This Row],[Class]]="C",WORKDAY(Main[[#This Row],[Tech Start Date]],23),IF(Main[[#This Row],[Class]]="B", WORKDAY(Main[[#This Row],[Tech Start Date]],15),IF(Main[[#This Row],[Class]]="A",WORKDAY(Main[[#This Row],[Tech Start Date]],5),""))))</f>
        <v/>
      </c>
      <c r="P756" s="104" t="str">
        <f>IF(Main[[#This Row],[Tech Start Date]]&lt;1/1/1990,"",IF(Main[[#This Row],[Class]]="C",WORKDAY(Main[[#This Row],[Tech Start Date]],28),IF(Main[[#This Row],[Class]]="B", WORKDAY(Main[[#This Row],[Tech Start Date]],19),IF(Main[[#This Row],[Class]]="A",WORKDAY(Main[[#This Row],[Tech Start Date]],9),""))))</f>
        <v/>
      </c>
      <c r="Q756" s="101">
        <v>40858</v>
      </c>
      <c r="R756" s="101"/>
      <c r="S756" s="99" t="s">
        <v>17</v>
      </c>
      <c r="T756" s="107" t="s">
        <v>4</v>
      </c>
      <c r="U756" s="99" t="s">
        <v>14</v>
      </c>
      <c r="V756" s="99" t="s">
        <v>1962</v>
      </c>
      <c r="W756" s="99" t="s">
        <v>1967</v>
      </c>
    </row>
    <row r="757" spans="1:23" ht="18.600000000000001" customHeight="1">
      <c r="A757" s="123" t="str">
        <f>IF(priority(Main[[#This Row],[Comments]])&lt;&gt;0, priority(Main[[#This Row],[Comments]]),"")</f>
        <v/>
      </c>
      <c r="B757" s="127" t="s">
        <v>1893</v>
      </c>
      <c r="C757" s="99" t="s">
        <v>67</v>
      </c>
      <c r="D757" s="100" t="s">
        <v>923</v>
      </c>
      <c r="E757" s="101">
        <v>39981.49428240741</v>
      </c>
      <c r="F757" s="101"/>
      <c r="G757" s="102" t="str">
        <f>IF(stdProdLT(Main[[#This Row],[Comments]])=0.1,"N/A",IF(stdProdLT(Main[[#This Row],[Comments]])=0,"",stdProdLT(Main[[#This Row],[Comments]])))</f>
        <v/>
      </c>
      <c r="H757" s="103" t="str">
        <f>IF(AND(Main[[#This Row],[In Stock Date]]&lt;&gt;"",Main[[#This Row],[Revised Due Date]]&lt;&gt;""),Main[[#This Row],[In Stock Date]]-Main[[#This Row],[Revised Due Date]],"")</f>
        <v/>
      </c>
      <c r="I757" s="99" t="s">
        <v>997</v>
      </c>
      <c r="J757" s="99" t="s">
        <v>4</v>
      </c>
      <c r="K757" s="99" t="s">
        <v>1974</v>
      </c>
      <c r="L757" s="101"/>
      <c r="M757" s="104" t="str">
        <f>IF(Main[[#This Row],[Tech Start Date]]&lt;1/1/1990,"",IF(Main[[#This Row],[Class]]="C",WORKDAY(Main[[#This Row],[Tech Start Date]],9),IF(Main[[#This Row],[Class]]="B", WORKDAY(Main[[#This Row],[Tech Start Date]],6),IF(Main[[#This Row],[Class]]="A",WORKDAY(Main[[#This Row],[Tech Start Date]],2),""))))</f>
        <v/>
      </c>
      <c r="N757" s="104" t="str">
        <f>IF(Main[[#This Row],[Tech Start Date]]&lt;1/1/1990,"",IF(Main[[#This Row],[Class]]="C",WORKDAY(Main[[#This Row],[Tech Start Date]],19),IF(Main[[#This Row],[Class]]="B", WORKDAY(Main[[#This Row],[Tech Start Date]],12),IF(Main[[#This Row],[Class]]="A",WORKDAY(Main[[#This Row],[Tech Start Date]],4),""))))</f>
        <v/>
      </c>
      <c r="O757" s="104" t="str">
        <f>IF(Main[[#This Row],[Tech Start Date]]&lt;1/1/1990,"",IF(Main[[#This Row],[Class]]="C",WORKDAY(Main[[#This Row],[Tech Start Date]],23),IF(Main[[#This Row],[Class]]="B", WORKDAY(Main[[#This Row],[Tech Start Date]],15),IF(Main[[#This Row],[Class]]="A",WORKDAY(Main[[#This Row],[Tech Start Date]],5),""))))</f>
        <v/>
      </c>
      <c r="P757" s="104" t="str">
        <f>IF(Main[[#This Row],[Tech Start Date]]&lt;1/1/1990,"",IF(Main[[#This Row],[Class]]="C",WORKDAY(Main[[#This Row],[Tech Start Date]],28),IF(Main[[#This Row],[Class]]="B", WORKDAY(Main[[#This Row],[Tech Start Date]],19),IF(Main[[#This Row],[Class]]="A",WORKDAY(Main[[#This Row],[Tech Start Date]],9),""))))</f>
        <v/>
      </c>
      <c r="Q757" s="101">
        <v>40057</v>
      </c>
      <c r="R757" s="101">
        <v>40908</v>
      </c>
      <c r="S757" s="99" t="s">
        <v>17</v>
      </c>
      <c r="T757" s="107" t="s">
        <v>4</v>
      </c>
      <c r="U757" s="99" t="s">
        <v>29</v>
      </c>
      <c r="V757" s="99" t="s">
        <v>1965</v>
      </c>
      <c r="W757" s="99" t="s">
        <v>1967</v>
      </c>
    </row>
    <row r="758" spans="1:23" ht="18.600000000000001" customHeight="1">
      <c r="A758" s="123" t="str">
        <f>IF(priority(Main[[#This Row],[Comments]])&lt;&gt;0, priority(Main[[#This Row],[Comments]]),"")</f>
        <v/>
      </c>
      <c r="B758" s="127" t="s">
        <v>1874</v>
      </c>
      <c r="C758" s="99" t="s">
        <v>4</v>
      </c>
      <c r="D758" s="100" t="s">
        <v>901</v>
      </c>
      <c r="E758" s="101">
        <v>40045.443194444444</v>
      </c>
      <c r="F758" s="101"/>
      <c r="G758" s="102" t="str">
        <f>IF(stdProdLT(Main[[#This Row],[Comments]])=0.1,"N/A",IF(stdProdLT(Main[[#This Row],[Comments]])=0,"",stdProdLT(Main[[#This Row],[Comments]])))</f>
        <v/>
      </c>
      <c r="H758" s="103" t="str">
        <f>IF(AND(Main[[#This Row],[In Stock Date]]&lt;&gt;"",Main[[#This Row],[Revised Due Date]]&lt;&gt;""),Main[[#This Row],[In Stock Date]]-Main[[#This Row],[Revised Due Date]],"")</f>
        <v/>
      </c>
      <c r="I758" s="99" t="s">
        <v>902</v>
      </c>
      <c r="J758" s="99" t="s">
        <v>4</v>
      </c>
      <c r="K758" s="99" t="s">
        <v>1974</v>
      </c>
      <c r="L758" s="101"/>
      <c r="M758" s="104" t="str">
        <f>IF(Main[[#This Row],[Tech Start Date]]&lt;1/1/1990,"",IF(Main[[#This Row],[Class]]="C",WORKDAY(Main[[#This Row],[Tech Start Date]],9),IF(Main[[#This Row],[Class]]="B", WORKDAY(Main[[#This Row],[Tech Start Date]],6),IF(Main[[#This Row],[Class]]="A",WORKDAY(Main[[#This Row],[Tech Start Date]],2),""))))</f>
        <v/>
      </c>
      <c r="N758" s="104" t="str">
        <f>IF(Main[[#This Row],[Tech Start Date]]&lt;1/1/1990,"",IF(Main[[#This Row],[Class]]="C",WORKDAY(Main[[#This Row],[Tech Start Date]],19),IF(Main[[#This Row],[Class]]="B", WORKDAY(Main[[#This Row],[Tech Start Date]],12),IF(Main[[#This Row],[Class]]="A",WORKDAY(Main[[#This Row],[Tech Start Date]],4),""))))</f>
        <v/>
      </c>
      <c r="O758" s="104" t="str">
        <f>IF(Main[[#This Row],[Tech Start Date]]&lt;1/1/1990,"",IF(Main[[#This Row],[Class]]="C",WORKDAY(Main[[#This Row],[Tech Start Date]],23),IF(Main[[#This Row],[Class]]="B", WORKDAY(Main[[#This Row],[Tech Start Date]],15),IF(Main[[#This Row],[Class]]="A",WORKDAY(Main[[#This Row],[Tech Start Date]],5),""))))</f>
        <v/>
      </c>
      <c r="P758" s="104" t="str">
        <f>IF(Main[[#This Row],[Tech Start Date]]&lt;1/1/1990,"",IF(Main[[#This Row],[Class]]="C",WORKDAY(Main[[#This Row],[Tech Start Date]],28),IF(Main[[#This Row],[Class]]="B", WORKDAY(Main[[#This Row],[Tech Start Date]],19),IF(Main[[#This Row],[Class]]="A",WORKDAY(Main[[#This Row],[Tech Start Date]],9),""))))</f>
        <v/>
      </c>
      <c r="Q758" s="101">
        <v>40359</v>
      </c>
      <c r="R758" s="101">
        <v>40420</v>
      </c>
      <c r="S758" s="99" t="s">
        <v>6</v>
      </c>
      <c r="T758" s="107" t="s">
        <v>4</v>
      </c>
      <c r="U758" s="99" t="s">
        <v>29</v>
      </c>
      <c r="V758" s="99" t="s">
        <v>1962</v>
      </c>
      <c r="W758" s="99" t="s">
        <v>1966</v>
      </c>
    </row>
    <row r="759" spans="1:23" ht="18.600000000000001" customHeight="1">
      <c r="A759" s="123" t="str">
        <f>IF(priority(Main[[#This Row],[Comments]])&lt;&gt;0, priority(Main[[#This Row],[Comments]]),"")</f>
        <v/>
      </c>
      <c r="B759" s="127" t="s">
        <v>1618</v>
      </c>
      <c r="C759" s="99" t="s">
        <v>47</v>
      </c>
      <c r="D759" s="100" t="s">
        <v>668</v>
      </c>
      <c r="E759" s="101"/>
      <c r="F759" s="101"/>
      <c r="G759" s="102" t="str">
        <f>IF(stdProdLT(Main[[#This Row],[Comments]])=0.1,"N/A",IF(stdProdLT(Main[[#This Row],[Comments]])=0,"",stdProdLT(Main[[#This Row],[Comments]])))</f>
        <v/>
      </c>
      <c r="H759" s="103" t="str">
        <f>IF(AND(Main[[#This Row],[In Stock Date]]&lt;&gt;"",Main[[#This Row],[Revised Due Date]]&lt;&gt;""),Main[[#This Row],[In Stock Date]]-Main[[#This Row],[Revised Due Date]],"")</f>
        <v/>
      </c>
      <c r="I759" s="99" t="s">
        <v>4</v>
      </c>
      <c r="J759" s="99" t="s">
        <v>4</v>
      </c>
      <c r="K759" s="99" t="s">
        <v>4</v>
      </c>
      <c r="L759" s="101"/>
      <c r="M759" s="104" t="str">
        <f>IF(Main[[#This Row],[Tech Start Date]]&lt;1/1/1990,"",IF(Main[[#This Row],[Class]]="C",WORKDAY(Main[[#This Row],[Tech Start Date]],9),IF(Main[[#This Row],[Class]]="B", WORKDAY(Main[[#This Row],[Tech Start Date]],6),IF(Main[[#This Row],[Class]]="A",WORKDAY(Main[[#This Row],[Tech Start Date]],2),""))))</f>
        <v/>
      </c>
      <c r="N759" s="104" t="str">
        <f>IF(Main[[#This Row],[Tech Start Date]]&lt;1/1/1990,"",IF(Main[[#This Row],[Class]]="C",WORKDAY(Main[[#This Row],[Tech Start Date]],19),IF(Main[[#This Row],[Class]]="B", WORKDAY(Main[[#This Row],[Tech Start Date]],12),IF(Main[[#This Row],[Class]]="A",WORKDAY(Main[[#This Row],[Tech Start Date]],4),""))))</f>
        <v/>
      </c>
      <c r="O759" s="104" t="str">
        <f>IF(Main[[#This Row],[Tech Start Date]]&lt;1/1/1990,"",IF(Main[[#This Row],[Class]]="C",WORKDAY(Main[[#This Row],[Tech Start Date]],23),IF(Main[[#This Row],[Class]]="B", WORKDAY(Main[[#This Row],[Tech Start Date]],15),IF(Main[[#This Row],[Class]]="A",WORKDAY(Main[[#This Row],[Tech Start Date]],5),""))))</f>
        <v/>
      </c>
      <c r="P759" s="104" t="str">
        <f>IF(Main[[#This Row],[Tech Start Date]]&lt;1/1/1990,"",IF(Main[[#This Row],[Class]]="C",WORKDAY(Main[[#This Row],[Tech Start Date]],28),IF(Main[[#This Row],[Class]]="B", WORKDAY(Main[[#This Row],[Tech Start Date]],19),IF(Main[[#This Row],[Class]]="A",WORKDAY(Main[[#This Row],[Tech Start Date]],9),""))))</f>
        <v/>
      </c>
      <c r="Q759" s="101"/>
      <c r="R759" s="101"/>
      <c r="S759" s="99" t="s">
        <v>17</v>
      </c>
      <c r="T759" s="107" t="s">
        <v>4</v>
      </c>
      <c r="U759" s="99" t="s">
        <v>14</v>
      </c>
      <c r="V759" s="99" t="s">
        <v>1965</v>
      </c>
      <c r="W759" s="99" t="s">
        <v>4</v>
      </c>
    </row>
    <row r="760" spans="1:23" ht="18.600000000000001" customHeight="1">
      <c r="A760" s="123" t="str">
        <f>IF(priority(Main[[#This Row],[Comments]])&lt;&gt;0, priority(Main[[#This Row],[Comments]]),"")</f>
        <v/>
      </c>
      <c r="B760" s="127" t="s">
        <v>1619</v>
      </c>
      <c r="C760" s="99" t="s">
        <v>282</v>
      </c>
      <c r="D760" s="100" t="s">
        <v>669</v>
      </c>
      <c r="E760" s="101"/>
      <c r="F760" s="101">
        <v>40567</v>
      </c>
      <c r="G760" s="102" t="str">
        <f>IF(stdProdLT(Main[[#This Row],[Comments]])=0.1,"N/A",IF(stdProdLT(Main[[#This Row],[Comments]])=0,"",stdProdLT(Main[[#This Row],[Comments]])))</f>
        <v/>
      </c>
      <c r="H760" s="103" t="str">
        <f>IF(AND(Main[[#This Row],[In Stock Date]]&lt;&gt;"",Main[[#This Row],[Revised Due Date]]&lt;&gt;""),Main[[#This Row],[In Stock Date]]-Main[[#This Row],[Revised Due Date]],"")</f>
        <v/>
      </c>
      <c r="I760" s="99" t="s">
        <v>4</v>
      </c>
      <c r="J760" s="99" t="s">
        <v>4</v>
      </c>
      <c r="K760" s="99" t="s">
        <v>4</v>
      </c>
      <c r="L760" s="101"/>
      <c r="M760" s="104" t="str">
        <f>IF(Main[[#This Row],[Tech Start Date]]&lt;1/1/1990,"",IF(Main[[#This Row],[Class]]="C",WORKDAY(Main[[#This Row],[Tech Start Date]],9),IF(Main[[#This Row],[Class]]="B", WORKDAY(Main[[#This Row],[Tech Start Date]],6),IF(Main[[#This Row],[Class]]="A",WORKDAY(Main[[#This Row],[Tech Start Date]],2),""))))</f>
        <v/>
      </c>
      <c r="N760" s="104" t="str">
        <f>IF(Main[[#This Row],[Tech Start Date]]&lt;1/1/1990,"",IF(Main[[#This Row],[Class]]="C",WORKDAY(Main[[#This Row],[Tech Start Date]],19),IF(Main[[#This Row],[Class]]="B", WORKDAY(Main[[#This Row],[Tech Start Date]],12),IF(Main[[#This Row],[Class]]="A",WORKDAY(Main[[#This Row],[Tech Start Date]],4),""))))</f>
        <v/>
      </c>
      <c r="O760" s="104" t="str">
        <f>IF(Main[[#This Row],[Tech Start Date]]&lt;1/1/1990,"",IF(Main[[#This Row],[Class]]="C",WORKDAY(Main[[#This Row],[Tech Start Date]],23),IF(Main[[#This Row],[Class]]="B", WORKDAY(Main[[#This Row],[Tech Start Date]],15),IF(Main[[#This Row],[Class]]="A",WORKDAY(Main[[#This Row],[Tech Start Date]],5),""))))</f>
        <v/>
      </c>
      <c r="P760" s="104" t="str">
        <f>IF(Main[[#This Row],[Tech Start Date]]&lt;1/1/1990,"",IF(Main[[#This Row],[Class]]="C",WORKDAY(Main[[#This Row],[Tech Start Date]],28),IF(Main[[#This Row],[Class]]="B", WORKDAY(Main[[#This Row],[Tech Start Date]],19),IF(Main[[#This Row],[Class]]="A",WORKDAY(Main[[#This Row],[Tech Start Date]],9),""))))</f>
        <v/>
      </c>
      <c r="Q760" s="101">
        <v>40427</v>
      </c>
      <c r="R760" s="101"/>
      <c r="S760" s="99" t="s">
        <v>11</v>
      </c>
      <c r="T760" s="107" t="s">
        <v>4</v>
      </c>
      <c r="U760" s="99" t="s">
        <v>12</v>
      </c>
      <c r="V760" s="99" t="s">
        <v>1962</v>
      </c>
      <c r="W760" s="99" t="s">
        <v>1970</v>
      </c>
    </row>
    <row r="761" spans="1:23" ht="18.600000000000001" customHeight="1">
      <c r="A761" s="123" t="str">
        <f>IF(priority(Main[[#This Row],[Comments]])&lt;&gt;0, priority(Main[[#This Row],[Comments]]),"")</f>
        <v/>
      </c>
      <c r="B761" s="127" t="s">
        <v>1622</v>
      </c>
      <c r="C761" s="99" t="s">
        <v>72</v>
      </c>
      <c r="D761" s="100" t="s">
        <v>671</v>
      </c>
      <c r="E761" s="101"/>
      <c r="F761" s="101"/>
      <c r="G761" s="102" t="str">
        <f>IF(stdProdLT(Main[[#This Row],[Comments]])=0.1,"N/A",IF(stdProdLT(Main[[#This Row],[Comments]])=0,"",stdProdLT(Main[[#This Row],[Comments]])))</f>
        <v/>
      </c>
      <c r="H761" s="103" t="str">
        <f>IF(AND(Main[[#This Row],[In Stock Date]]&lt;&gt;"",Main[[#This Row],[Revised Due Date]]&lt;&gt;""),Main[[#This Row],[In Stock Date]]-Main[[#This Row],[Revised Due Date]],"")</f>
        <v/>
      </c>
      <c r="I761" s="99" t="s">
        <v>4</v>
      </c>
      <c r="J761" s="99" t="s">
        <v>4</v>
      </c>
      <c r="K761" s="108" t="s">
        <v>4</v>
      </c>
      <c r="L761" s="101"/>
      <c r="M761" s="104" t="str">
        <f>IF(Main[[#This Row],[Tech Start Date]]&lt;1/1/1990,"",IF(Main[[#This Row],[Class]]="C",WORKDAY(Main[[#This Row],[Tech Start Date]],9),IF(Main[[#This Row],[Class]]="B", WORKDAY(Main[[#This Row],[Tech Start Date]],6),IF(Main[[#This Row],[Class]]="A",WORKDAY(Main[[#This Row],[Tech Start Date]],2),""))))</f>
        <v/>
      </c>
      <c r="N761" s="104" t="str">
        <f>IF(Main[[#This Row],[Tech Start Date]]&lt;1/1/1990,"",IF(Main[[#This Row],[Class]]="C",WORKDAY(Main[[#This Row],[Tech Start Date]],19),IF(Main[[#This Row],[Class]]="B", WORKDAY(Main[[#This Row],[Tech Start Date]],12),IF(Main[[#This Row],[Class]]="A",WORKDAY(Main[[#This Row],[Tech Start Date]],4),""))))</f>
        <v/>
      </c>
      <c r="O761" s="104" t="str">
        <f>IF(Main[[#This Row],[Tech Start Date]]&lt;1/1/1990,"",IF(Main[[#This Row],[Class]]="C",WORKDAY(Main[[#This Row],[Tech Start Date]],23),IF(Main[[#This Row],[Class]]="B", WORKDAY(Main[[#This Row],[Tech Start Date]],15),IF(Main[[#This Row],[Class]]="A",WORKDAY(Main[[#This Row],[Tech Start Date]],5),""))))</f>
        <v/>
      </c>
      <c r="P761" s="104" t="str">
        <f>IF(Main[[#This Row],[Tech Start Date]]&lt;1/1/1990,"",IF(Main[[#This Row],[Class]]="C",WORKDAY(Main[[#This Row],[Tech Start Date]],28),IF(Main[[#This Row],[Class]]="B", WORKDAY(Main[[#This Row],[Tech Start Date]],19),IF(Main[[#This Row],[Class]]="A",WORKDAY(Main[[#This Row],[Tech Start Date]],9),""))))</f>
        <v/>
      </c>
      <c r="Q761" s="101"/>
      <c r="R761" s="101"/>
      <c r="S761" s="99" t="s">
        <v>49</v>
      </c>
      <c r="T761" s="107" t="s">
        <v>4</v>
      </c>
      <c r="U761" s="99" t="s">
        <v>12</v>
      </c>
      <c r="V761" s="99" t="s">
        <v>1963</v>
      </c>
      <c r="W761" s="99" t="s">
        <v>1964</v>
      </c>
    </row>
    <row r="762" spans="1:23" ht="18.600000000000001" customHeight="1">
      <c r="A762" s="123" t="str">
        <f>IF(priority(Main[[#This Row],[Comments]])&lt;&gt;0, priority(Main[[#This Row],[Comments]]),"")</f>
        <v/>
      </c>
      <c r="B762" s="127" t="s">
        <v>1623</v>
      </c>
      <c r="C762" s="99" t="s">
        <v>33</v>
      </c>
      <c r="D762" s="100" t="s">
        <v>672</v>
      </c>
      <c r="E762" s="101"/>
      <c r="F762" s="101">
        <v>40566</v>
      </c>
      <c r="G762" s="102" t="str">
        <f>IF(stdProdLT(Main[[#This Row],[Comments]])=0.1,"N/A",IF(stdProdLT(Main[[#This Row],[Comments]])=0,"",stdProdLT(Main[[#This Row],[Comments]])))</f>
        <v/>
      </c>
      <c r="H762" s="103" t="str">
        <f>IF(AND(Main[[#This Row],[In Stock Date]]&lt;&gt;"",Main[[#This Row],[Revised Due Date]]&lt;&gt;""),Main[[#This Row],[In Stock Date]]-Main[[#This Row],[Revised Due Date]],"")</f>
        <v/>
      </c>
      <c r="I762" s="99" t="s">
        <v>4</v>
      </c>
      <c r="J762" s="99" t="s">
        <v>4</v>
      </c>
      <c r="K762" s="99" t="s">
        <v>4</v>
      </c>
      <c r="L762" s="101"/>
      <c r="M762" s="104" t="str">
        <f>IF(Main[[#This Row],[Tech Start Date]]&lt;1/1/1990,"",IF(Main[[#This Row],[Class]]="C",WORKDAY(Main[[#This Row],[Tech Start Date]],9),IF(Main[[#This Row],[Class]]="B", WORKDAY(Main[[#This Row],[Tech Start Date]],6),IF(Main[[#This Row],[Class]]="A",WORKDAY(Main[[#This Row],[Tech Start Date]],2),""))))</f>
        <v/>
      </c>
      <c r="N762" s="104" t="str">
        <f>IF(Main[[#This Row],[Tech Start Date]]&lt;1/1/1990,"",IF(Main[[#This Row],[Class]]="C",WORKDAY(Main[[#This Row],[Tech Start Date]],19),IF(Main[[#This Row],[Class]]="B", WORKDAY(Main[[#This Row],[Tech Start Date]],12),IF(Main[[#This Row],[Class]]="A",WORKDAY(Main[[#This Row],[Tech Start Date]],4),""))))</f>
        <v/>
      </c>
      <c r="O762" s="104" t="str">
        <f>IF(Main[[#This Row],[Tech Start Date]]&lt;1/1/1990,"",IF(Main[[#This Row],[Class]]="C",WORKDAY(Main[[#This Row],[Tech Start Date]],23),IF(Main[[#This Row],[Class]]="B", WORKDAY(Main[[#This Row],[Tech Start Date]],15),IF(Main[[#This Row],[Class]]="A",WORKDAY(Main[[#This Row],[Tech Start Date]],5),""))))</f>
        <v/>
      </c>
      <c r="P762" s="104" t="str">
        <f>IF(Main[[#This Row],[Tech Start Date]]&lt;1/1/1990,"",IF(Main[[#This Row],[Class]]="C",WORKDAY(Main[[#This Row],[Tech Start Date]],28),IF(Main[[#This Row],[Class]]="B", WORKDAY(Main[[#This Row],[Tech Start Date]],19),IF(Main[[#This Row],[Class]]="A",WORKDAY(Main[[#This Row],[Tech Start Date]],9),""))))</f>
        <v/>
      </c>
      <c r="Q762" s="101">
        <v>40532</v>
      </c>
      <c r="R762" s="101"/>
      <c r="S762" s="99" t="s">
        <v>11</v>
      </c>
      <c r="T762" s="107" t="s">
        <v>4</v>
      </c>
      <c r="U762" s="99" t="s">
        <v>12</v>
      </c>
      <c r="V762" s="99" t="s">
        <v>1963</v>
      </c>
      <c r="W762" s="99" t="s">
        <v>1970</v>
      </c>
    </row>
    <row r="763" spans="1:23" ht="18.600000000000001" customHeight="1">
      <c r="A763" s="123" t="str">
        <f>IF(priority(Main[[#This Row],[Comments]])&lt;&gt;0, priority(Main[[#This Row],[Comments]]),"")</f>
        <v/>
      </c>
      <c r="B763" s="127" t="s">
        <v>1624</v>
      </c>
      <c r="C763" s="99" t="s">
        <v>352</v>
      </c>
      <c r="D763" s="100" t="s">
        <v>673</v>
      </c>
      <c r="E763" s="101"/>
      <c r="F763" s="101"/>
      <c r="G763" s="102" t="str">
        <f>IF(stdProdLT(Main[[#This Row],[Comments]])=0.1,"N/A",IF(stdProdLT(Main[[#This Row],[Comments]])=0,"",stdProdLT(Main[[#This Row],[Comments]])))</f>
        <v/>
      </c>
      <c r="H763" s="103" t="str">
        <f>IF(AND(Main[[#This Row],[In Stock Date]]&lt;&gt;"",Main[[#This Row],[Revised Due Date]]&lt;&gt;""),Main[[#This Row],[In Stock Date]]-Main[[#This Row],[Revised Due Date]],"")</f>
        <v/>
      </c>
      <c r="I763" s="99" t="s">
        <v>4</v>
      </c>
      <c r="J763" s="99" t="s">
        <v>4</v>
      </c>
      <c r="K763" s="99" t="s">
        <v>4</v>
      </c>
      <c r="L763" s="101"/>
      <c r="M763" s="104" t="str">
        <f>IF(Main[[#This Row],[Tech Start Date]]&lt;1/1/1990,"",IF(Main[[#This Row],[Class]]="C",WORKDAY(Main[[#This Row],[Tech Start Date]],9),IF(Main[[#This Row],[Class]]="B", WORKDAY(Main[[#This Row],[Tech Start Date]],6),IF(Main[[#This Row],[Class]]="A",WORKDAY(Main[[#This Row],[Tech Start Date]],2),""))))</f>
        <v/>
      </c>
      <c r="N763" s="104" t="str">
        <f>IF(Main[[#This Row],[Tech Start Date]]&lt;1/1/1990,"",IF(Main[[#This Row],[Class]]="C",WORKDAY(Main[[#This Row],[Tech Start Date]],19),IF(Main[[#This Row],[Class]]="B", WORKDAY(Main[[#This Row],[Tech Start Date]],12),IF(Main[[#This Row],[Class]]="A",WORKDAY(Main[[#This Row],[Tech Start Date]],4),""))))</f>
        <v/>
      </c>
      <c r="O763" s="104" t="str">
        <f>IF(Main[[#This Row],[Tech Start Date]]&lt;1/1/1990,"",IF(Main[[#This Row],[Class]]="C",WORKDAY(Main[[#This Row],[Tech Start Date]],23),IF(Main[[#This Row],[Class]]="B", WORKDAY(Main[[#This Row],[Tech Start Date]],15),IF(Main[[#This Row],[Class]]="A",WORKDAY(Main[[#This Row],[Tech Start Date]],5),""))))</f>
        <v/>
      </c>
      <c r="P763" s="104" t="str">
        <f>IF(Main[[#This Row],[Tech Start Date]]&lt;1/1/1990,"",IF(Main[[#This Row],[Class]]="C",WORKDAY(Main[[#This Row],[Tech Start Date]],28),IF(Main[[#This Row],[Class]]="B", WORKDAY(Main[[#This Row],[Tech Start Date]],19),IF(Main[[#This Row],[Class]]="A",WORKDAY(Main[[#This Row],[Tech Start Date]],9),""))))</f>
        <v/>
      </c>
      <c r="Q763" s="101">
        <v>40494</v>
      </c>
      <c r="R763" s="101"/>
      <c r="S763" s="99" t="s">
        <v>11</v>
      </c>
      <c r="T763" s="107" t="s">
        <v>4</v>
      </c>
      <c r="U763" s="99" t="s">
        <v>14</v>
      </c>
      <c r="V763" s="99" t="s">
        <v>1972</v>
      </c>
      <c r="W763" s="99" t="s">
        <v>4</v>
      </c>
    </row>
    <row r="764" spans="1:23" ht="18.600000000000001" customHeight="1">
      <c r="A764" s="123" t="str">
        <f>IF(priority(Main[[#This Row],[Comments]])&lt;&gt;0, priority(Main[[#This Row],[Comments]]),"")</f>
        <v/>
      </c>
      <c r="B764" s="127" t="s">
        <v>1625</v>
      </c>
      <c r="C764" s="99" t="s">
        <v>4</v>
      </c>
      <c r="D764" s="100" t="s">
        <v>674</v>
      </c>
      <c r="E764" s="101">
        <v>40462.471782407411</v>
      </c>
      <c r="F764" s="101"/>
      <c r="G764" s="102" t="str">
        <f>IF(stdProdLT(Main[[#This Row],[Comments]])=0.1,"N/A",IF(stdProdLT(Main[[#This Row],[Comments]])=0,"",stdProdLT(Main[[#This Row],[Comments]])))</f>
        <v/>
      </c>
      <c r="H764" s="103" t="str">
        <f>IF(AND(Main[[#This Row],[In Stock Date]]&lt;&gt;"",Main[[#This Row],[Revised Due Date]]&lt;&gt;""),Main[[#This Row],[In Stock Date]]-Main[[#This Row],[Revised Due Date]],"")</f>
        <v/>
      </c>
      <c r="I764" s="99" t="s">
        <v>4</v>
      </c>
      <c r="J764" s="99" t="s">
        <v>4</v>
      </c>
      <c r="K764" s="99" t="s">
        <v>4</v>
      </c>
      <c r="L764" s="101"/>
      <c r="M764" s="104" t="str">
        <f>IF(Main[[#This Row],[Tech Start Date]]&lt;1/1/1990,"",IF(Main[[#This Row],[Class]]="C",WORKDAY(Main[[#This Row],[Tech Start Date]],9),IF(Main[[#This Row],[Class]]="B", WORKDAY(Main[[#This Row],[Tech Start Date]],6),IF(Main[[#This Row],[Class]]="A",WORKDAY(Main[[#This Row],[Tech Start Date]],2),""))))</f>
        <v/>
      </c>
      <c r="N764" s="104" t="str">
        <f>IF(Main[[#This Row],[Tech Start Date]]&lt;1/1/1990,"",IF(Main[[#This Row],[Class]]="C",WORKDAY(Main[[#This Row],[Tech Start Date]],19),IF(Main[[#This Row],[Class]]="B", WORKDAY(Main[[#This Row],[Tech Start Date]],12),IF(Main[[#This Row],[Class]]="A",WORKDAY(Main[[#This Row],[Tech Start Date]],4),""))))</f>
        <v/>
      </c>
      <c r="O764" s="104" t="str">
        <f>IF(Main[[#This Row],[Tech Start Date]]&lt;1/1/1990,"",IF(Main[[#This Row],[Class]]="C",WORKDAY(Main[[#This Row],[Tech Start Date]],23),IF(Main[[#This Row],[Class]]="B", WORKDAY(Main[[#This Row],[Tech Start Date]],15),IF(Main[[#This Row],[Class]]="A",WORKDAY(Main[[#This Row],[Tech Start Date]],5),""))))</f>
        <v/>
      </c>
      <c r="P764" s="104" t="str">
        <f>IF(Main[[#This Row],[Tech Start Date]]&lt;1/1/1990,"",IF(Main[[#This Row],[Class]]="C",WORKDAY(Main[[#This Row],[Tech Start Date]],28),IF(Main[[#This Row],[Class]]="B", WORKDAY(Main[[#This Row],[Tech Start Date]],19),IF(Main[[#This Row],[Class]]="A",WORKDAY(Main[[#This Row],[Tech Start Date]],9),""))))</f>
        <v/>
      </c>
      <c r="Q764" s="101"/>
      <c r="R764" s="101"/>
      <c r="S764" s="99" t="s">
        <v>6</v>
      </c>
      <c r="T764" s="107" t="s">
        <v>4</v>
      </c>
      <c r="U764" s="99" t="s">
        <v>7</v>
      </c>
      <c r="V764" s="99" t="s">
        <v>1962</v>
      </c>
      <c r="W764" s="99" t="s">
        <v>1966</v>
      </c>
    </row>
    <row r="765" spans="1:23" ht="18.600000000000001" customHeight="1">
      <c r="A765" s="123" t="str">
        <f>IF(priority(Main[[#This Row],[Comments]])&lt;&gt;0, priority(Main[[#This Row],[Comments]]),"")</f>
        <v/>
      </c>
      <c r="B765" s="127" t="s">
        <v>1626</v>
      </c>
      <c r="C765" s="99" t="s">
        <v>4</v>
      </c>
      <c r="D765" s="100" t="s">
        <v>39</v>
      </c>
      <c r="E765" s="101"/>
      <c r="F765" s="101"/>
      <c r="G765" s="102" t="str">
        <f>IF(stdProdLT(Main[[#This Row],[Comments]])=0.1,"N/A",IF(stdProdLT(Main[[#This Row],[Comments]])=0,"",stdProdLT(Main[[#This Row],[Comments]])))</f>
        <v/>
      </c>
      <c r="H765" s="103" t="str">
        <f>IF(AND(Main[[#This Row],[In Stock Date]]&lt;&gt;"",Main[[#This Row],[Revised Due Date]]&lt;&gt;""),Main[[#This Row],[In Stock Date]]-Main[[#This Row],[Revised Due Date]],"")</f>
        <v/>
      </c>
      <c r="I765" s="99" t="s">
        <v>4</v>
      </c>
      <c r="J765" s="99" t="s">
        <v>4</v>
      </c>
      <c r="K765" s="108" t="s">
        <v>4</v>
      </c>
      <c r="L765" s="101"/>
      <c r="M765" s="104" t="str">
        <f>IF(Main[[#This Row],[Tech Start Date]]&lt;1/1/1990,"",IF(Main[[#This Row],[Class]]="C",WORKDAY(Main[[#This Row],[Tech Start Date]],9),IF(Main[[#This Row],[Class]]="B", WORKDAY(Main[[#This Row],[Tech Start Date]],6),IF(Main[[#This Row],[Class]]="A",WORKDAY(Main[[#This Row],[Tech Start Date]],2),""))))</f>
        <v/>
      </c>
      <c r="N765" s="104" t="str">
        <f>IF(Main[[#This Row],[Tech Start Date]]&lt;1/1/1990,"",IF(Main[[#This Row],[Class]]="C",WORKDAY(Main[[#This Row],[Tech Start Date]],19),IF(Main[[#This Row],[Class]]="B", WORKDAY(Main[[#This Row],[Tech Start Date]],12),IF(Main[[#This Row],[Class]]="A",WORKDAY(Main[[#This Row],[Tech Start Date]],4),""))))</f>
        <v/>
      </c>
      <c r="O765" s="104" t="str">
        <f>IF(Main[[#This Row],[Tech Start Date]]&lt;1/1/1990,"",IF(Main[[#This Row],[Class]]="C",WORKDAY(Main[[#This Row],[Tech Start Date]],23),IF(Main[[#This Row],[Class]]="B", WORKDAY(Main[[#This Row],[Tech Start Date]],15),IF(Main[[#This Row],[Class]]="A",WORKDAY(Main[[#This Row],[Tech Start Date]],5),""))))</f>
        <v/>
      </c>
      <c r="P765" s="104" t="str">
        <f>IF(Main[[#This Row],[Tech Start Date]]&lt;1/1/1990,"",IF(Main[[#This Row],[Class]]="C",WORKDAY(Main[[#This Row],[Tech Start Date]],28),IF(Main[[#This Row],[Class]]="B", WORKDAY(Main[[#This Row],[Tech Start Date]],19),IF(Main[[#This Row],[Class]]="A",WORKDAY(Main[[#This Row],[Tech Start Date]],9),""))))</f>
        <v/>
      </c>
      <c r="Q765" s="101">
        <v>40669</v>
      </c>
      <c r="R765" s="101"/>
      <c r="S765" s="99" t="s">
        <v>6</v>
      </c>
      <c r="T765" s="107" t="s">
        <v>4</v>
      </c>
      <c r="U765" s="99" t="s">
        <v>14</v>
      </c>
      <c r="V765" s="99" t="s">
        <v>1965</v>
      </c>
      <c r="W765" s="99" t="s">
        <v>4</v>
      </c>
    </row>
    <row r="766" spans="1:23" ht="18.600000000000001" customHeight="1">
      <c r="A766" s="123" t="str">
        <f>IF(priority(Main[[#This Row],[Comments]])&lt;&gt;0, priority(Main[[#This Row],[Comments]]),"")</f>
        <v/>
      </c>
      <c r="B766" s="127" t="s">
        <v>1879</v>
      </c>
      <c r="C766" s="99" t="s">
        <v>4</v>
      </c>
      <c r="D766" s="100" t="s">
        <v>1997</v>
      </c>
      <c r="E766" s="101"/>
      <c r="F766" s="101">
        <v>40445</v>
      </c>
      <c r="G766" s="102" t="str">
        <f>IF(stdProdLT(Main[[#This Row],[Comments]])=0.1,"N/A",IF(stdProdLT(Main[[#This Row],[Comments]])=0,"",stdProdLT(Main[[#This Row],[Comments]])))</f>
        <v/>
      </c>
      <c r="H766" s="103">
        <f>IF(AND(Main[[#This Row],[In Stock Date]]&lt;&gt;"",Main[[#This Row],[Revised Due Date]]&lt;&gt;""),Main[[#This Row],[In Stock Date]]-Main[[#This Row],[Revised Due Date]],"")</f>
        <v>0</v>
      </c>
      <c r="I766" s="99" t="s">
        <v>4</v>
      </c>
      <c r="J766" s="99" t="s">
        <v>28</v>
      </c>
      <c r="K766" s="99" t="s">
        <v>1975</v>
      </c>
      <c r="L766" s="101"/>
      <c r="M766" s="104" t="str">
        <f>IF(Main[[#This Row],[Tech Start Date]]&lt;1/1/1990,"",IF(Main[[#This Row],[Class]]="C",WORKDAY(Main[[#This Row],[Tech Start Date]],9),IF(Main[[#This Row],[Class]]="B", WORKDAY(Main[[#This Row],[Tech Start Date]],6),IF(Main[[#This Row],[Class]]="A",WORKDAY(Main[[#This Row],[Tech Start Date]],2),""))))</f>
        <v/>
      </c>
      <c r="N766" s="104" t="str">
        <f>IF(Main[[#This Row],[Tech Start Date]]&lt;1/1/1990,"",IF(Main[[#This Row],[Class]]="C",WORKDAY(Main[[#This Row],[Tech Start Date]],19),IF(Main[[#This Row],[Class]]="B", WORKDAY(Main[[#This Row],[Tech Start Date]],12),IF(Main[[#This Row],[Class]]="A",WORKDAY(Main[[#This Row],[Tech Start Date]],4),""))))</f>
        <v/>
      </c>
      <c r="O766" s="104" t="str">
        <f>IF(Main[[#This Row],[Tech Start Date]]&lt;1/1/1990,"",IF(Main[[#This Row],[Class]]="C",WORKDAY(Main[[#This Row],[Tech Start Date]],23),IF(Main[[#This Row],[Class]]="B", WORKDAY(Main[[#This Row],[Tech Start Date]],15),IF(Main[[#This Row],[Class]]="A",WORKDAY(Main[[#This Row],[Tech Start Date]],5),""))))</f>
        <v/>
      </c>
      <c r="P766" s="104" t="str">
        <f>IF(Main[[#This Row],[Tech Start Date]]&lt;1/1/1990,"",IF(Main[[#This Row],[Class]]="C",WORKDAY(Main[[#This Row],[Tech Start Date]],28),IF(Main[[#This Row],[Class]]="B", WORKDAY(Main[[#This Row],[Tech Start Date]],19),IF(Main[[#This Row],[Class]]="A",WORKDAY(Main[[#This Row],[Tech Start Date]],9),""))))</f>
        <v/>
      </c>
      <c r="Q766" s="101">
        <v>40445</v>
      </c>
      <c r="R766" s="101">
        <v>40445</v>
      </c>
      <c r="S766" s="99" t="s">
        <v>11</v>
      </c>
      <c r="T766" s="107" t="s">
        <v>4</v>
      </c>
      <c r="U766" s="99" t="s">
        <v>14</v>
      </c>
      <c r="V766" s="99" t="s">
        <v>1963</v>
      </c>
      <c r="W766" s="99" t="s">
        <v>1967</v>
      </c>
    </row>
    <row r="767" spans="1:23" ht="18.600000000000001" customHeight="1">
      <c r="A767" s="123" t="str">
        <f>IF(priority(Main[[#This Row],[Comments]])&lt;&gt;0, priority(Main[[#This Row],[Comments]]),"")</f>
        <v/>
      </c>
      <c r="B767" s="127" t="s">
        <v>1627</v>
      </c>
      <c r="C767" s="99" t="s">
        <v>4</v>
      </c>
      <c r="D767" s="100" t="s">
        <v>675</v>
      </c>
      <c r="E767" s="101"/>
      <c r="F767" s="101"/>
      <c r="G767" s="102" t="str">
        <f>IF(stdProdLT(Main[[#This Row],[Comments]])=0.1,"N/A",IF(stdProdLT(Main[[#This Row],[Comments]])=0,"",stdProdLT(Main[[#This Row],[Comments]])))</f>
        <v/>
      </c>
      <c r="H767" s="103" t="str">
        <f>IF(AND(Main[[#This Row],[In Stock Date]]&lt;&gt;"",Main[[#This Row],[Revised Due Date]]&lt;&gt;""),Main[[#This Row],[In Stock Date]]-Main[[#This Row],[Revised Due Date]],"")</f>
        <v/>
      </c>
      <c r="I767" s="99" t="s">
        <v>4</v>
      </c>
      <c r="J767" s="99" t="s">
        <v>4</v>
      </c>
      <c r="K767" s="99" t="s">
        <v>4</v>
      </c>
      <c r="L767" s="101"/>
      <c r="M767" s="104" t="str">
        <f>IF(Main[[#This Row],[Tech Start Date]]&lt;1/1/1990,"",IF(Main[[#This Row],[Class]]="C",WORKDAY(Main[[#This Row],[Tech Start Date]],9),IF(Main[[#This Row],[Class]]="B", WORKDAY(Main[[#This Row],[Tech Start Date]],6),IF(Main[[#This Row],[Class]]="A",WORKDAY(Main[[#This Row],[Tech Start Date]],2),""))))</f>
        <v/>
      </c>
      <c r="N767" s="104" t="str">
        <f>IF(Main[[#This Row],[Tech Start Date]]&lt;1/1/1990,"",IF(Main[[#This Row],[Class]]="C",WORKDAY(Main[[#This Row],[Tech Start Date]],19),IF(Main[[#This Row],[Class]]="B", WORKDAY(Main[[#This Row],[Tech Start Date]],12),IF(Main[[#This Row],[Class]]="A",WORKDAY(Main[[#This Row],[Tech Start Date]],4),""))))</f>
        <v/>
      </c>
      <c r="O767" s="104" t="str">
        <f>IF(Main[[#This Row],[Tech Start Date]]&lt;1/1/1990,"",IF(Main[[#This Row],[Class]]="C",WORKDAY(Main[[#This Row],[Tech Start Date]],23),IF(Main[[#This Row],[Class]]="B", WORKDAY(Main[[#This Row],[Tech Start Date]],15),IF(Main[[#This Row],[Class]]="A",WORKDAY(Main[[#This Row],[Tech Start Date]],5),""))))</f>
        <v/>
      </c>
      <c r="P767" s="104" t="str">
        <f>IF(Main[[#This Row],[Tech Start Date]]&lt;1/1/1990,"",IF(Main[[#This Row],[Class]]="C",WORKDAY(Main[[#This Row],[Tech Start Date]],28),IF(Main[[#This Row],[Class]]="B", WORKDAY(Main[[#This Row],[Tech Start Date]],19),IF(Main[[#This Row],[Class]]="A",WORKDAY(Main[[#This Row],[Tech Start Date]],9),""))))</f>
        <v/>
      </c>
      <c r="Q767" s="101"/>
      <c r="R767" s="101"/>
      <c r="S767" s="99" t="s">
        <v>6</v>
      </c>
      <c r="T767" s="107" t="s">
        <v>4</v>
      </c>
      <c r="U767" s="99" t="s">
        <v>14</v>
      </c>
      <c r="V767" s="99" t="s">
        <v>1962</v>
      </c>
      <c r="W767" s="99" t="s">
        <v>1966</v>
      </c>
    </row>
    <row r="768" spans="1:23" ht="18.600000000000001" customHeight="1">
      <c r="A768" s="123" t="str">
        <f>IF(priority(Main[[#This Row],[Comments]])&lt;&gt;0, priority(Main[[#This Row],[Comments]]),"")</f>
        <v/>
      </c>
      <c r="B768" s="127" t="s">
        <v>1628</v>
      </c>
      <c r="C768" s="99" t="s">
        <v>4</v>
      </c>
      <c r="D768" s="100" t="s">
        <v>97</v>
      </c>
      <c r="E768" s="101"/>
      <c r="F768" s="101"/>
      <c r="G768" s="102" t="str">
        <f>IF(stdProdLT(Main[[#This Row],[Comments]])=0.1,"N/A",IF(stdProdLT(Main[[#This Row],[Comments]])=0,"",stdProdLT(Main[[#This Row],[Comments]])))</f>
        <v/>
      </c>
      <c r="H768" s="103" t="str">
        <f>IF(AND(Main[[#This Row],[In Stock Date]]&lt;&gt;"",Main[[#This Row],[Revised Due Date]]&lt;&gt;""),Main[[#This Row],[In Stock Date]]-Main[[#This Row],[Revised Due Date]],"")</f>
        <v/>
      </c>
      <c r="I768" s="99" t="s">
        <v>4</v>
      </c>
      <c r="J768" s="99" t="s">
        <v>4</v>
      </c>
      <c r="K768" s="108" t="s">
        <v>4</v>
      </c>
      <c r="L768" s="101"/>
      <c r="M768" s="104" t="str">
        <f>IF(Main[[#This Row],[Tech Start Date]]&lt;1/1/1990,"",IF(Main[[#This Row],[Class]]="C",WORKDAY(Main[[#This Row],[Tech Start Date]],9),IF(Main[[#This Row],[Class]]="B", WORKDAY(Main[[#This Row],[Tech Start Date]],6),IF(Main[[#This Row],[Class]]="A",WORKDAY(Main[[#This Row],[Tech Start Date]],2),""))))</f>
        <v/>
      </c>
      <c r="N768" s="104" t="str">
        <f>IF(Main[[#This Row],[Tech Start Date]]&lt;1/1/1990,"",IF(Main[[#This Row],[Class]]="C",WORKDAY(Main[[#This Row],[Tech Start Date]],19),IF(Main[[#This Row],[Class]]="B", WORKDAY(Main[[#This Row],[Tech Start Date]],12),IF(Main[[#This Row],[Class]]="A",WORKDAY(Main[[#This Row],[Tech Start Date]],4),""))))</f>
        <v/>
      </c>
      <c r="O768" s="104" t="str">
        <f>IF(Main[[#This Row],[Tech Start Date]]&lt;1/1/1990,"",IF(Main[[#This Row],[Class]]="C",WORKDAY(Main[[#This Row],[Tech Start Date]],23),IF(Main[[#This Row],[Class]]="B", WORKDAY(Main[[#This Row],[Tech Start Date]],15),IF(Main[[#This Row],[Class]]="A",WORKDAY(Main[[#This Row],[Tech Start Date]],5),""))))</f>
        <v/>
      </c>
      <c r="P768" s="104" t="str">
        <f>IF(Main[[#This Row],[Tech Start Date]]&lt;1/1/1990,"",IF(Main[[#This Row],[Class]]="C",WORKDAY(Main[[#This Row],[Tech Start Date]],28),IF(Main[[#This Row],[Class]]="B", WORKDAY(Main[[#This Row],[Tech Start Date]],19),IF(Main[[#This Row],[Class]]="A",WORKDAY(Main[[#This Row],[Tech Start Date]],9),""))))</f>
        <v/>
      </c>
      <c r="Q768" s="101">
        <v>40858</v>
      </c>
      <c r="R768" s="101"/>
      <c r="S768" s="99" t="s">
        <v>17</v>
      </c>
      <c r="T768" s="107" t="s">
        <v>4</v>
      </c>
      <c r="U768" s="99" t="s">
        <v>14</v>
      </c>
      <c r="V768" s="99" t="s">
        <v>1962</v>
      </c>
      <c r="W768" s="99" t="s">
        <v>1967</v>
      </c>
    </row>
    <row r="769" spans="1:23" ht="18.600000000000001" customHeight="1">
      <c r="A769" s="123" t="str">
        <f>IF(priority(Main[[#This Row],[Comments]])&lt;&gt;0, priority(Main[[#This Row],[Comments]]),"")</f>
        <v/>
      </c>
      <c r="B769" s="127" t="s">
        <v>1631</v>
      </c>
      <c r="C769" s="99" t="s">
        <v>677</v>
      </c>
      <c r="D769" s="100" t="s">
        <v>678</v>
      </c>
      <c r="E769" s="101"/>
      <c r="F769" s="101">
        <v>40633</v>
      </c>
      <c r="G769" s="102" t="str">
        <f>IF(stdProdLT(Main[[#This Row],[Comments]])=0.1,"N/A",IF(stdProdLT(Main[[#This Row],[Comments]])=0,"",stdProdLT(Main[[#This Row],[Comments]])))</f>
        <v/>
      </c>
      <c r="H769" s="103" t="str">
        <f>IF(AND(Main[[#This Row],[In Stock Date]]&lt;&gt;"",Main[[#This Row],[Revised Due Date]]&lt;&gt;""),Main[[#This Row],[In Stock Date]]-Main[[#This Row],[Revised Due Date]],"")</f>
        <v/>
      </c>
      <c r="I769" s="99" t="s">
        <v>4</v>
      </c>
      <c r="J769" s="99" t="s">
        <v>4</v>
      </c>
      <c r="K769" s="99" t="s">
        <v>4</v>
      </c>
      <c r="L769" s="101"/>
      <c r="M769" s="104" t="str">
        <f>IF(Main[[#This Row],[Tech Start Date]]&lt;1/1/1990,"",IF(Main[[#This Row],[Class]]="C",WORKDAY(Main[[#This Row],[Tech Start Date]],9),IF(Main[[#This Row],[Class]]="B", WORKDAY(Main[[#This Row],[Tech Start Date]],6),IF(Main[[#This Row],[Class]]="A",WORKDAY(Main[[#This Row],[Tech Start Date]],2),""))))</f>
        <v/>
      </c>
      <c r="N769" s="104" t="str">
        <f>IF(Main[[#This Row],[Tech Start Date]]&lt;1/1/1990,"",IF(Main[[#This Row],[Class]]="C",WORKDAY(Main[[#This Row],[Tech Start Date]],19),IF(Main[[#This Row],[Class]]="B", WORKDAY(Main[[#This Row],[Tech Start Date]],12),IF(Main[[#This Row],[Class]]="A",WORKDAY(Main[[#This Row],[Tech Start Date]],4),""))))</f>
        <v/>
      </c>
      <c r="O769" s="104" t="str">
        <f>IF(Main[[#This Row],[Tech Start Date]]&lt;1/1/1990,"",IF(Main[[#This Row],[Class]]="C",WORKDAY(Main[[#This Row],[Tech Start Date]],23),IF(Main[[#This Row],[Class]]="B", WORKDAY(Main[[#This Row],[Tech Start Date]],15),IF(Main[[#This Row],[Class]]="A",WORKDAY(Main[[#This Row],[Tech Start Date]],5),""))))</f>
        <v/>
      </c>
      <c r="P769" s="104" t="str">
        <f>IF(Main[[#This Row],[Tech Start Date]]&lt;1/1/1990,"",IF(Main[[#This Row],[Class]]="C",WORKDAY(Main[[#This Row],[Tech Start Date]],28),IF(Main[[#This Row],[Class]]="B", WORKDAY(Main[[#This Row],[Tech Start Date]],19),IF(Main[[#This Row],[Class]]="A",WORKDAY(Main[[#This Row],[Tech Start Date]],9),""))))</f>
        <v/>
      </c>
      <c r="Q769" s="101">
        <v>40574</v>
      </c>
      <c r="R769" s="101"/>
      <c r="S769" s="99" t="s">
        <v>11</v>
      </c>
      <c r="T769" s="107" t="s">
        <v>4</v>
      </c>
      <c r="U769" s="99" t="s">
        <v>14</v>
      </c>
      <c r="V769" s="99" t="s">
        <v>1965</v>
      </c>
      <c r="W769" s="99" t="s">
        <v>1968</v>
      </c>
    </row>
    <row r="770" spans="1:23" ht="18.600000000000001" customHeight="1">
      <c r="A770" s="123" t="str">
        <f>IF(priority(Main[[#This Row],[Comments]])&lt;&gt;0, priority(Main[[#This Row],[Comments]]),"")</f>
        <v/>
      </c>
      <c r="B770" s="127" t="s">
        <v>2252</v>
      </c>
      <c r="C770" s="99" t="s">
        <v>2244</v>
      </c>
      <c r="D770" s="100" t="s">
        <v>2253</v>
      </c>
      <c r="E770" s="101"/>
      <c r="F770" s="101">
        <v>40829</v>
      </c>
      <c r="G770" s="102" t="str">
        <f>IF(stdProdLT(Main[[#This Row],[Comments]])=0.1,"N/A",IF(stdProdLT(Main[[#This Row],[Comments]])=0,"",stdProdLT(Main[[#This Row],[Comments]])))</f>
        <v/>
      </c>
      <c r="H770" s="103" t="str">
        <f>IF(AND(Main[[#This Row],[In Stock Date]]&lt;&gt;"",Main[[#This Row],[Revised Due Date]]&lt;&gt;""),Main[[#This Row],[In Stock Date]]-Main[[#This Row],[Revised Due Date]],"")</f>
        <v/>
      </c>
      <c r="I770" s="99" t="s">
        <v>4</v>
      </c>
      <c r="J770" s="99" t="s">
        <v>4</v>
      </c>
      <c r="K770" s="99" t="s">
        <v>4</v>
      </c>
      <c r="L770" s="101"/>
      <c r="M770" s="104" t="str">
        <f>IF(Main[[#This Row],[Tech Start Date]]&lt;1/1/1990,"",IF(Main[[#This Row],[Class]]="C",WORKDAY(Main[[#This Row],[Tech Start Date]],9),IF(Main[[#This Row],[Class]]="B", WORKDAY(Main[[#This Row],[Tech Start Date]],6),IF(Main[[#This Row],[Class]]="A",WORKDAY(Main[[#This Row],[Tech Start Date]],2),""))))</f>
        <v/>
      </c>
      <c r="N770" s="104" t="str">
        <f>IF(Main[[#This Row],[Tech Start Date]]&lt;1/1/1990,"",IF(Main[[#This Row],[Class]]="C",WORKDAY(Main[[#This Row],[Tech Start Date]],19),IF(Main[[#This Row],[Class]]="B", WORKDAY(Main[[#This Row],[Tech Start Date]],12),IF(Main[[#This Row],[Class]]="A",WORKDAY(Main[[#This Row],[Tech Start Date]],4),""))))</f>
        <v/>
      </c>
      <c r="O770" s="104" t="str">
        <f>IF(Main[[#This Row],[Tech Start Date]]&lt;1/1/1990,"",IF(Main[[#This Row],[Class]]="C",WORKDAY(Main[[#This Row],[Tech Start Date]],23),IF(Main[[#This Row],[Class]]="B", WORKDAY(Main[[#This Row],[Tech Start Date]],15),IF(Main[[#This Row],[Class]]="A",WORKDAY(Main[[#This Row],[Tech Start Date]],5),""))))</f>
        <v/>
      </c>
      <c r="P770" s="104" t="str">
        <f>IF(Main[[#This Row],[Tech Start Date]]&lt;1/1/1990,"",IF(Main[[#This Row],[Class]]="C",WORKDAY(Main[[#This Row],[Tech Start Date]],28),IF(Main[[#This Row],[Class]]="B", WORKDAY(Main[[#This Row],[Tech Start Date]],19),IF(Main[[#This Row],[Class]]="A",WORKDAY(Main[[#This Row],[Tech Start Date]],9),""))))</f>
        <v/>
      </c>
      <c r="Q770" s="101">
        <v>40801</v>
      </c>
      <c r="R770" s="101"/>
      <c r="S770" s="99" t="s">
        <v>11</v>
      </c>
      <c r="T770" s="107" t="s">
        <v>4</v>
      </c>
      <c r="U770" s="99" t="s">
        <v>14</v>
      </c>
      <c r="V770" s="99" t="s">
        <v>1963</v>
      </c>
      <c r="W770" s="99" t="s">
        <v>1970</v>
      </c>
    </row>
    <row r="771" spans="1:23" ht="18.600000000000001" customHeight="1">
      <c r="A771" s="123" t="str">
        <f>IF(priority(Main[[#This Row],[Comments]])&lt;&gt;0, priority(Main[[#This Row],[Comments]]),"")</f>
        <v/>
      </c>
      <c r="B771" s="127" t="s">
        <v>1632</v>
      </c>
      <c r="C771" s="99" t="s">
        <v>4</v>
      </c>
      <c r="D771" s="100" t="s">
        <v>2388</v>
      </c>
      <c r="E771" s="101">
        <v>40515.590300925927</v>
      </c>
      <c r="F771" s="101"/>
      <c r="G771" s="102" t="str">
        <f>IF(stdProdLT(Main[[#This Row],[Comments]])=0.1,"N/A",IF(stdProdLT(Main[[#This Row],[Comments]])=0,"",stdProdLT(Main[[#This Row],[Comments]])))</f>
        <v/>
      </c>
      <c r="H771" s="103" t="str">
        <f>IF(AND(Main[[#This Row],[In Stock Date]]&lt;&gt;"",Main[[#This Row],[Revised Due Date]]&lt;&gt;""),Main[[#This Row],[In Stock Date]]-Main[[#This Row],[Revised Due Date]],"")</f>
        <v/>
      </c>
      <c r="I771" s="99" t="s">
        <v>929</v>
      </c>
      <c r="J771" s="99" t="s">
        <v>52</v>
      </c>
      <c r="K771" s="99" t="s">
        <v>1969</v>
      </c>
      <c r="L771" s="101"/>
      <c r="M771" s="104" t="str">
        <f>IF(Main[[#This Row],[Tech Start Date]]&lt;1/1/1990,"",IF(Main[[#This Row],[Class]]="C",WORKDAY(Main[[#This Row],[Tech Start Date]],9),IF(Main[[#This Row],[Class]]="B", WORKDAY(Main[[#This Row],[Tech Start Date]],6),IF(Main[[#This Row],[Class]]="A",WORKDAY(Main[[#This Row],[Tech Start Date]],2),""))))</f>
        <v/>
      </c>
      <c r="N771" s="104" t="str">
        <f>IF(Main[[#This Row],[Tech Start Date]]&lt;1/1/1990,"",IF(Main[[#This Row],[Class]]="C",WORKDAY(Main[[#This Row],[Tech Start Date]],19),IF(Main[[#This Row],[Class]]="B", WORKDAY(Main[[#This Row],[Tech Start Date]],12),IF(Main[[#This Row],[Class]]="A",WORKDAY(Main[[#This Row],[Tech Start Date]],4),""))))</f>
        <v/>
      </c>
      <c r="O771" s="104" t="str">
        <f>IF(Main[[#This Row],[Tech Start Date]]&lt;1/1/1990,"",IF(Main[[#This Row],[Class]]="C",WORKDAY(Main[[#This Row],[Tech Start Date]],23),IF(Main[[#This Row],[Class]]="B", WORKDAY(Main[[#This Row],[Tech Start Date]],15),IF(Main[[#This Row],[Class]]="A",WORKDAY(Main[[#This Row],[Tech Start Date]],5),""))))</f>
        <v/>
      </c>
      <c r="P771" s="104" t="str">
        <f>IF(Main[[#This Row],[Tech Start Date]]&lt;1/1/1990,"",IF(Main[[#This Row],[Class]]="C",WORKDAY(Main[[#This Row],[Tech Start Date]],28),IF(Main[[#This Row],[Class]]="B", WORKDAY(Main[[#This Row],[Tech Start Date]],19),IF(Main[[#This Row],[Class]]="A",WORKDAY(Main[[#This Row],[Tech Start Date]],9),""))))</f>
        <v/>
      </c>
      <c r="Q771" s="101">
        <v>40574</v>
      </c>
      <c r="R771" s="101"/>
      <c r="S771" s="99" t="s">
        <v>6</v>
      </c>
      <c r="T771" s="107" t="s">
        <v>4</v>
      </c>
      <c r="U771" s="99" t="s">
        <v>29</v>
      </c>
      <c r="V771" s="99" t="s">
        <v>1962</v>
      </c>
      <c r="W771" s="99" t="s">
        <v>1964</v>
      </c>
    </row>
    <row r="772" spans="1:23" ht="18.600000000000001" customHeight="1">
      <c r="A772" s="123" t="str">
        <f>IF(priority(Main[[#This Row],[Comments]])&lt;&gt;0, priority(Main[[#This Row],[Comments]]),"")</f>
        <v/>
      </c>
      <c r="B772" s="127" t="s">
        <v>1633</v>
      </c>
      <c r="C772" s="99" t="s">
        <v>442</v>
      </c>
      <c r="D772" s="100" t="s">
        <v>679</v>
      </c>
      <c r="E772" s="101"/>
      <c r="F772" s="101"/>
      <c r="G772" s="102" t="str">
        <f>IF(stdProdLT(Main[[#This Row],[Comments]])=0.1,"N/A",IF(stdProdLT(Main[[#This Row],[Comments]])=0,"",stdProdLT(Main[[#This Row],[Comments]])))</f>
        <v/>
      </c>
      <c r="H772" s="103" t="str">
        <f>IF(AND(Main[[#This Row],[In Stock Date]]&lt;&gt;"",Main[[#This Row],[Revised Due Date]]&lt;&gt;""),Main[[#This Row],[In Stock Date]]-Main[[#This Row],[Revised Due Date]],"")</f>
        <v/>
      </c>
      <c r="I772" s="99" t="s">
        <v>4</v>
      </c>
      <c r="J772" s="99" t="s">
        <v>4</v>
      </c>
      <c r="K772" s="99" t="s">
        <v>4</v>
      </c>
      <c r="L772" s="101"/>
      <c r="M772" s="104" t="str">
        <f>IF(Main[[#This Row],[Tech Start Date]]&lt;1/1/1990,"",IF(Main[[#This Row],[Class]]="C",WORKDAY(Main[[#This Row],[Tech Start Date]],9),IF(Main[[#This Row],[Class]]="B", WORKDAY(Main[[#This Row],[Tech Start Date]],6),IF(Main[[#This Row],[Class]]="A",WORKDAY(Main[[#This Row],[Tech Start Date]],2),""))))</f>
        <v/>
      </c>
      <c r="N772" s="104" t="str">
        <f>IF(Main[[#This Row],[Tech Start Date]]&lt;1/1/1990,"",IF(Main[[#This Row],[Class]]="C",WORKDAY(Main[[#This Row],[Tech Start Date]],19),IF(Main[[#This Row],[Class]]="B", WORKDAY(Main[[#This Row],[Tech Start Date]],12),IF(Main[[#This Row],[Class]]="A",WORKDAY(Main[[#This Row],[Tech Start Date]],4),""))))</f>
        <v/>
      </c>
      <c r="O772" s="104" t="str">
        <f>IF(Main[[#This Row],[Tech Start Date]]&lt;1/1/1990,"",IF(Main[[#This Row],[Class]]="C",WORKDAY(Main[[#This Row],[Tech Start Date]],23),IF(Main[[#This Row],[Class]]="B", WORKDAY(Main[[#This Row],[Tech Start Date]],15),IF(Main[[#This Row],[Class]]="A",WORKDAY(Main[[#This Row],[Tech Start Date]],5),""))))</f>
        <v/>
      </c>
      <c r="P772" s="104" t="str">
        <f>IF(Main[[#This Row],[Tech Start Date]]&lt;1/1/1990,"",IF(Main[[#This Row],[Class]]="C",WORKDAY(Main[[#This Row],[Tech Start Date]],28),IF(Main[[#This Row],[Class]]="B", WORKDAY(Main[[#This Row],[Tech Start Date]],19),IF(Main[[#This Row],[Class]]="A",WORKDAY(Main[[#This Row],[Tech Start Date]],9),""))))</f>
        <v/>
      </c>
      <c r="Q772" s="101"/>
      <c r="R772" s="101"/>
      <c r="S772" s="99" t="s">
        <v>11</v>
      </c>
      <c r="T772" s="107" t="s">
        <v>4</v>
      </c>
      <c r="U772" s="99" t="s">
        <v>14</v>
      </c>
      <c r="V772" s="99" t="s">
        <v>1963</v>
      </c>
      <c r="W772" s="99" t="s">
        <v>1970</v>
      </c>
    </row>
    <row r="773" spans="1:23" ht="18.600000000000001" customHeight="1">
      <c r="A773" s="123" t="str">
        <f>IF(priority(Main[[#This Row],[Comments]])&lt;&gt;0, priority(Main[[#This Row],[Comments]]),"")</f>
        <v/>
      </c>
      <c r="B773" s="127" t="s">
        <v>1634</v>
      </c>
      <c r="C773" s="99" t="s">
        <v>4</v>
      </c>
      <c r="D773" s="100" t="s">
        <v>680</v>
      </c>
      <c r="E773" s="101"/>
      <c r="F773" s="101"/>
      <c r="G773" s="102" t="str">
        <f>IF(stdProdLT(Main[[#This Row],[Comments]])=0.1,"N/A",IF(stdProdLT(Main[[#This Row],[Comments]])=0,"",stdProdLT(Main[[#This Row],[Comments]])))</f>
        <v/>
      </c>
      <c r="H773" s="103" t="str">
        <f>IF(AND(Main[[#This Row],[In Stock Date]]&lt;&gt;"",Main[[#This Row],[Revised Due Date]]&lt;&gt;""),Main[[#This Row],[In Stock Date]]-Main[[#This Row],[Revised Due Date]],"")</f>
        <v/>
      </c>
      <c r="I773" s="99" t="s">
        <v>4</v>
      </c>
      <c r="J773" s="99" t="s">
        <v>28</v>
      </c>
      <c r="K773" s="108" t="s">
        <v>4</v>
      </c>
      <c r="L773" s="101"/>
      <c r="M773" s="104" t="str">
        <f>IF(Main[[#This Row],[Tech Start Date]]&lt;1/1/1990,"",IF(Main[[#This Row],[Class]]="C",WORKDAY(Main[[#This Row],[Tech Start Date]],9),IF(Main[[#This Row],[Class]]="B", WORKDAY(Main[[#This Row],[Tech Start Date]],6),IF(Main[[#This Row],[Class]]="A",WORKDAY(Main[[#This Row],[Tech Start Date]],2),""))))</f>
        <v/>
      </c>
      <c r="N773" s="104" t="str">
        <f>IF(Main[[#This Row],[Tech Start Date]]&lt;1/1/1990,"",IF(Main[[#This Row],[Class]]="C",WORKDAY(Main[[#This Row],[Tech Start Date]],19),IF(Main[[#This Row],[Class]]="B", WORKDAY(Main[[#This Row],[Tech Start Date]],12),IF(Main[[#This Row],[Class]]="A",WORKDAY(Main[[#This Row],[Tech Start Date]],4),""))))</f>
        <v/>
      </c>
      <c r="O773" s="104" t="str">
        <f>IF(Main[[#This Row],[Tech Start Date]]&lt;1/1/1990,"",IF(Main[[#This Row],[Class]]="C",WORKDAY(Main[[#This Row],[Tech Start Date]],23),IF(Main[[#This Row],[Class]]="B", WORKDAY(Main[[#This Row],[Tech Start Date]],15),IF(Main[[#This Row],[Class]]="A",WORKDAY(Main[[#This Row],[Tech Start Date]],5),""))))</f>
        <v/>
      </c>
      <c r="P773" s="104" t="str">
        <f>IF(Main[[#This Row],[Tech Start Date]]&lt;1/1/1990,"",IF(Main[[#This Row],[Class]]="C",WORKDAY(Main[[#This Row],[Tech Start Date]],28),IF(Main[[#This Row],[Class]]="B", WORKDAY(Main[[#This Row],[Tech Start Date]],19),IF(Main[[#This Row],[Class]]="A",WORKDAY(Main[[#This Row],[Tech Start Date]],9),""))))</f>
        <v/>
      </c>
      <c r="Q773" s="101">
        <v>40471</v>
      </c>
      <c r="R773" s="101"/>
      <c r="S773" s="99" t="s">
        <v>301</v>
      </c>
      <c r="T773" s="107" t="s">
        <v>4</v>
      </c>
      <c r="U773" s="99" t="s">
        <v>14</v>
      </c>
      <c r="V773" s="99" t="s">
        <v>1972</v>
      </c>
      <c r="W773" s="99" t="s">
        <v>1964</v>
      </c>
    </row>
    <row r="774" spans="1:23" ht="18.600000000000001" customHeight="1">
      <c r="A774" s="123" t="str">
        <f>IF(priority(Main[[#This Row],[Comments]])&lt;&gt;0, priority(Main[[#This Row],[Comments]]),"")</f>
        <v/>
      </c>
      <c r="B774" s="127" t="s">
        <v>1648</v>
      </c>
      <c r="C774" s="99" t="s">
        <v>4</v>
      </c>
      <c r="D774" s="100" t="s">
        <v>692</v>
      </c>
      <c r="E774" s="101"/>
      <c r="F774" s="101"/>
      <c r="G774" s="102" t="str">
        <f>IF(stdProdLT(Main[[#This Row],[Comments]])=0.1,"N/A",IF(stdProdLT(Main[[#This Row],[Comments]])=0,"",stdProdLT(Main[[#This Row],[Comments]])))</f>
        <v/>
      </c>
      <c r="H774" s="103" t="str">
        <f>IF(AND(Main[[#This Row],[In Stock Date]]&lt;&gt;"",Main[[#This Row],[Revised Due Date]]&lt;&gt;""),Main[[#This Row],[In Stock Date]]-Main[[#This Row],[Revised Due Date]],"")</f>
        <v/>
      </c>
      <c r="I774" s="99" t="s">
        <v>4</v>
      </c>
      <c r="J774" s="99" t="s">
        <v>4</v>
      </c>
      <c r="K774" s="99" t="s">
        <v>4</v>
      </c>
      <c r="L774" s="101"/>
      <c r="M774" s="104" t="str">
        <f>IF(Main[[#This Row],[Tech Start Date]]&lt;1/1/1990,"",IF(Main[[#This Row],[Class]]="C",WORKDAY(Main[[#This Row],[Tech Start Date]],9),IF(Main[[#This Row],[Class]]="B", WORKDAY(Main[[#This Row],[Tech Start Date]],6),IF(Main[[#This Row],[Class]]="A",WORKDAY(Main[[#This Row],[Tech Start Date]],2),""))))</f>
        <v/>
      </c>
      <c r="N774" s="104" t="str">
        <f>IF(Main[[#This Row],[Tech Start Date]]&lt;1/1/1990,"",IF(Main[[#This Row],[Class]]="C",WORKDAY(Main[[#This Row],[Tech Start Date]],19),IF(Main[[#This Row],[Class]]="B", WORKDAY(Main[[#This Row],[Tech Start Date]],12),IF(Main[[#This Row],[Class]]="A",WORKDAY(Main[[#This Row],[Tech Start Date]],4),""))))</f>
        <v/>
      </c>
      <c r="O774" s="104" t="str">
        <f>IF(Main[[#This Row],[Tech Start Date]]&lt;1/1/1990,"",IF(Main[[#This Row],[Class]]="C",WORKDAY(Main[[#This Row],[Tech Start Date]],23),IF(Main[[#This Row],[Class]]="B", WORKDAY(Main[[#This Row],[Tech Start Date]],15),IF(Main[[#This Row],[Class]]="A",WORKDAY(Main[[#This Row],[Tech Start Date]],5),""))))</f>
        <v/>
      </c>
      <c r="P774" s="104" t="str">
        <f>IF(Main[[#This Row],[Tech Start Date]]&lt;1/1/1990,"",IF(Main[[#This Row],[Class]]="C",WORKDAY(Main[[#This Row],[Tech Start Date]],28),IF(Main[[#This Row],[Class]]="B", WORKDAY(Main[[#This Row],[Tech Start Date]],19),IF(Main[[#This Row],[Class]]="A",WORKDAY(Main[[#This Row],[Tech Start Date]],9),""))))</f>
        <v/>
      </c>
      <c r="Q774" s="101"/>
      <c r="R774" s="101"/>
      <c r="S774" s="99" t="s">
        <v>23</v>
      </c>
      <c r="T774" s="107" t="s">
        <v>4</v>
      </c>
      <c r="U774" s="99" t="s">
        <v>14</v>
      </c>
      <c r="V774" s="99" t="s">
        <v>1972</v>
      </c>
      <c r="W774" s="99" t="s">
        <v>1966</v>
      </c>
    </row>
    <row r="775" spans="1:23" ht="18.600000000000001" customHeight="1">
      <c r="A775" s="123" t="str">
        <f>IF(priority(Main[[#This Row],[Comments]])&lt;&gt;0, priority(Main[[#This Row],[Comments]]),"")</f>
        <v/>
      </c>
      <c r="B775" s="127" t="s">
        <v>1649</v>
      </c>
      <c r="C775" s="99" t="s">
        <v>4</v>
      </c>
      <c r="D775" s="100" t="s">
        <v>693</v>
      </c>
      <c r="E775" s="101">
        <v>40464.400208333333</v>
      </c>
      <c r="F775" s="101"/>
      <c r="G775" s="102" t="str">
        <f>IF(stdProdLT(Main[[#This Row],[Comments]])=0.1,"N/A",IF(stdProdLT(Main[[#This Row],[Comments]])=0,"",stdProdLT(Main[[#This Row],[Comments]])))</f>
        <v/>
      </c>
      <c r="H775" s="103" t="str">
        <f>IF(AND(Main[[#This Row],[In Stock Date]]&lt;&gt;"",Main[[#This Row],[Revised Due Date]]&lt;&gt;""),Main[[#This Row],[In Stock Date]]-Main[[#This Row],[Revised Due Date]],"")</f>
        <v/>
      </c>
      <c r="I775" s="99" t="s">
        <v>4</v>
      </c>
      <c r="J775" s="99" t="s">
        <v>4</v>
      </c>
      <c r="K775" s="99" t="s">
        <v>4</v>
      </c>
      <c r="L775" s="101"/>
      <c r="M775" s="104" t="str">
        <f>IF(Main[[#This Row],[Tech Start Date]]&lt;1/1/1990,"",IF(Main[[#This Row],[Class]]="C",WORKDAY(Main[[#This Row],[Tech Start Date]],9),IF(Main[[#This Row],[Class]]="B", WORKDAY(Main[[#This Row],[Tech Start Date]],6),IF(Main[[#This Row],[Class]]="A",WORKDAY(Main[[#This Row],[Tech Start Date]],2),""))))</f>
        <v/>
      </c>
      <c r="N775" s="104" t="str">
        <f>IF(Main[[#This Row],[Tech Start Date]]&lt;1/1/1990,"",IF(Main[[#This Row],[Class]]="C",WORKDAY(Main[[#This Row],[Tech Start Date]],19),IF(Main[[#This Row],[Class]]="B", WORKDAY(Main[[#This Row],[Tech Start Date]],12),IF(Main[[#This Row],[Class]]="A",WORKDAY(Main[[#This Row],[Tech Start Date]],4),""))))</f>
        <v/>
      </c>
      <c r="O775" s="104" t="str">
        <f>IF(Main[[#This Row],[Tech Start Date]]&lt;1/1/1990,"",IF(Main[[#This Row],[Class]]="C",WORKDAY(Main[[#This Row],[Tech Start Date]],23),IF(Main[[#This Row],[Class]]="B", WORKDAY(Main[[#This Row],[Tech Start Date]],15),IF(Main[[#This Row],[Class]]="A",WORKDAY(Main[[#This Row],[Tech Start Date]],5),""))))</f>
        <v/>
      </c>
      <c r="P775" s="104" t="str">
        <f>IF(Main[[#This Row],[Tech Start Date]]&lt;1/1/1990,"",IF(Main[[#This Row],[Class]]="C",WORKDAY(Main[[#This Row],[Tech Start Date]],28),IF(Main[[#This Row],[Class]]="B", WORKDAY(Main[[#This Row],[Tech Start Date]],19),IF(Main[[#This Row],[Class]]="A",WORKDAY(Main[[#This Row],[Tech Start Date]],9),""))))</f>
        <v/>
      </c>
      <c r="Q775" s="101">
        <v>40512</v>
      </c>
      <c r="R775" s="101"/>
      <c r="S775" s="99" t="s">
        <v>6</v>
      </c>
      <c r="T775" s="107" t="s">
        <v>4</v>
      </c>
      <c r="U775" s="99" t="s">
        <v>7</v>
      </c>
      <c r="V775" s="99" t="s">
        <v>1962</v>
      </c>
      <c r="W775" s="99" t="s">
        <v>4</v>
      </c>
    </row>
    <row r="776" spans="1:23" ht="18.600000000000001" customHeight="1">
      <c r="A776" s="123" t="str">
        <f>IF(priority(Main[[#This Row],[Comments]])&lt;&gt;0, priority(Main[[#This Row],[Comments]]),"")</f>
        <v/>
      </c>
      <c r="B776" s="127" t="s">
        <v>1887</v>
      </c>
      <c r="C776" s="99" t="s">
        <v>67</v>
      </c>
      <c r="D776" s="100" t="s">
        <v>918</v>
      </c>
      <c r="E776" s="101"/>
      <c r="F776" s="101"/>
      <c r="G776" s="102" t="str">
        <f>IF(stdProdLT(Main[[#This Row],[Comments]])=0.1,"N/A",IF(stdProdLT(Main[[#This Row],[Comments]])=0,"",stdProdLT(Main[[#This Row],[Comments]])))</f>
        <v/>
      </c>
      <c r="H776" s="103" t="str">
        <f>IF(AND(Main[[#This Row],[In Stock Date]]&lt;&gt;"",Main[[#This Row],[Revised Due Date]]&lt;&gt;""),Main[[#This Row],[In Stock Date]]-Main[[#This Row],[Revised Due Date]],"")</f>
        <v/>
      </c>
      <c r="I776" s="99" t="s">
        <v>165</v>
      </c>
      <c r="J776" s="99" t="s">
        <v>4</v>
      </c>
      <c r="K776" s="99" t="s">
        <v>1974</v>
      </c>
      <c r="L776" s="101"/>
      <c r="M776" s="104" t="str">
        <f>IF(Main[[#This Row],[Tech Start Date]]&lt;1/1/1990,"",IF(Main[[#This Row],[Class]]="C",WORKDAY(Main[[#This Row],[Tech Start Date]],9),IF(Main[[#This Row],[Class]]="B", WORKDAY(Main[[#This Row],[Tech Start Date]],6),IF(Main[[#This Row],[Class]]="A",WORKDAY(Main[[#This Row],[Tech Start Date]],2),""))))</f>
        <v/>
      </c>
      <c r="N776" s="104" t="str">
        <f>IF(Main[[#This Row],[Tech Start Date]]&lt;1/1/1990,"",IF(Main[[#This Row],[Class]]="C",WORKDAY(Main[[#This Row],[Tech Start Date]],19),IF(Main[[#This Row],[Class]]="B", WORKDAY(Main[[#This Row],[Tech Start Date]],12),IF(Main[[#This Row],[Class]]="A",WORKDAY(Main[[#This Row],[Tech Start Date]],4),""))))</f>
        <v/>
      </c>
      <c r="O776" s="104" t="str">
        <f>IF(Main[[#This Row],[Tech Start Date]]&lt;1/1/1990,"",IF(Main[[#This Row],[Class]]="C",WORKDAY(Main[[#This Row],[Tech Start Date]],23),IF(Main[[#This Row],[Class]]="B", WORKDAY(Main[[#This Row],[Tech Start Date]],15),IF(Main[[#This Row],[Class]]="A",WORKDAY(Main[[#This Row],[Tech Start Date]],5),""))))</f>
        <v/>
      </c>
      <c r="P776" s="104" t="str">
        <f>IF(Main[[#This Row],[Tech Start Date]]&lt;1/1/1990,"",IF(Main[[#This Row],[Class]]="C",WORKDAY(Main[[#This Row],[Tech Start Date]],28),IF(Main[[#This Row],[Class]]="B", WORKDAY(Main[[#This Row],[Tech Start Date]],19),IF(Main[[#This Row],[Class]]="A",WORKDAY(Main[[#This Row],[Tech Start Date]],9),""))))</f>
        <v/>
      </c>
      <c r="Q776" s="101">
        <v>39990</v>
      </c>
      <c r="R776" s="101">
        <v>40497</v>
      </c>
      <c r="S776" s="99" t="s">
        <v>17</v>
      </c>
      <c r="T776" s="107" t="s">
        <v>4</v>
      </c>
      <c r="U776" s="99" t="s">
        <v>14</v>
      </c>
      <c r="V776" s="99" t="s">
        <v>1965</v>
      </c>
      <c r="W776" s="99" t="s">
        <v>1967</v>
      </c>
    </row>
    <row r="777" spans="1:23" ht="18.600000000000001" customHeight="1">
      <c r="A777" s="123" t="str">
        <f>IF(priority(Main[[#This Row],[Comments]])&lt;&gt;0, priority(Main[[#This Row],[Comments]]),"")</f>
        <v/>
      </c>
      <c r="B777" s="127" t="s">
        <v>1635</v>
      </c>
      <c r="C777" s="99" t="s">
        <v>31</v>
      </c>
      <c r="D777" s="100" t="s">
        <v>681</v>
      </c>
      <c r="E777" s="101"/>
      <c r="F777" s="101">
        <v>40725</v>
      </c>
      <c r="G777" s="102" t="str">
        <f>IF(stdProdLT(Main[[#This Row],[Comments]])=0.1,"N/A",IF(stdProdLT(Main[[#This Row],[Comments]])=0,"",stdProdLT(Main[[#This Row],[Comments]])))</f>
        <v/>
      </c>
      <c r="H777" s="103" t="str">
        <f>IF(AND(Main[[#This Row],[In Stock Date]]&lt;&gt;"",Main[[#This Row],[Revised Due Date]]&lt;&gt;""),Main[[#This Row],[In Stock Date]]-Main[[#This Row],[Revised Due Date]],"")</f>
        <v/>
      </c>
      <c r="I777" s="99" t="s">
        <v>4</v>
      </c>
      <c r="J777" s="99" t="s">
        <v>4</v>
      </c>
      <c r="K777" s="99" t="s">
        <v>4</v>
      </c>
      <c r="L777" s="101"/>
      <c r="M777" s="104" t="str">
        <f>IF(Main[[#This Row],[Tech Start Date]]&lt;1/1/1990,"",IF(Main[[#This Row],[Class]]="C",WORKDAY(Main[[#This Row],[Tech Start Date]],9),IF(Main[[#This Row],[Class]]="B", WORKDAY(Main[[#This Row],[Tech Start Date]],6),IF(Main[[#This Row],[Class]]="A",WORKDAY(Main[[#This Row],[Tech Start Date]],2),""))))</f>
        <v/>
      </c>
      <c r="N777" s="104" t="str">
        <f>IF(Main[[#This Row],[Tech Start Date]]&lt;1/1/1990,"",IF(Main[[#This Row],[Class]]="C",WORKDAY(Main[[#This Row],[Tech Start Date]],19),IF(Main[[#This Row],[Class]]="B", WORKDAY(Main[[#This Row],[Tech Start Date]],12),IF(Main[[#This Row],[Class]]="A",WORKDAY(Main[[#This Row],[Tech Start Date]],4),""))))</f>
        <v/>
      </c>
      <c r="O777" s="104" t="str">
        <f>IF(Main[[#This Row],[Tech Start Date]]&lt;1/1/1990,"",IF(Main[[#This Row],[Class]]="C",WORKDAY(Main[[#This Row],[Tech Start Date]],23),IF(Main[[#This Row],[Class]]="B", WORKDAY(Main[[#This Row],[Tech Start Date]],15),IF(Main[[#This Row],[Class]]="A",WORKDAY(Main[[#This Row],[Tech Start Date]],5),""))))</f>
        <v/>
      </c>
      <c r="P777" s="104" t="str">
        <f>IF(Main[[#This Row],[Tech Start Date]]&lt;1/1/1990,"",IF(Main[[#This Row],[Class]]="C",WORKDAY(Main[[#This Row],[Tech Start Date]],28),IF(Main[[#This Row],[Class]]="B", WORKDAY(Main[[#This Row],[Tech Start Date]],19),IF(Main[[#This Row],[Class]]="A",WORKDAY(Main[[#This Row],[Tech Start Date]],9),""))))</f>
        <v/>
      </c>
      <c r="Q777" s="101">
        <v>40634</v>
      </c>
      <c r="R777" s="101"/>
      <c r="S777" s="99" t="s">
        <v>11</v>
      </c>
      <c r="T777" s="107" t="s">
        <v>4</v>
      </c>
      <c r="U777" s="99" t="s">
        <v>14</v>
      </c>
      <c r="V777" s="99" t="s">
        <v>1965</v>
      </c>
      <c r="W777" s="99" t="s">
        <v>1968</v>
      </c>
    </row>
    <row r="778" spans="1:23" ht="18.600000000000001" customHeight="1">
      <c r="A778" s="123" t="str">
        <f>IF(priority(Main[[#This Row],[Comments]])&lt;&gt;0, priority(Main[[#This Row],[Comments]]),"")</f>
        <v/>
      </c>
      <c r="B778" s="127" t="s">
        <v>1636</v>
      </c>
      <c r="C778" s="99" t="s">
        <v>4</v>
      </c>
      <c r="D778" s="100" t="s">
        <v>682</v>
      </c>
      <c r="E778" s="101"/>
      <c r="F778" s="101"/>
      <c r="G778" s="102" t="str">
        <f>IF(stdProdLT(Main[[#This Row],[Comments]])=0.1,"N/A",IF(stdProdLT(Main[[#This Row],[Comments]])=0,"",stdProdLT(Main[[#This Row],[Comments]])))</f>
        <v/>
      </c>
      <c r="H778" s="103" t="str">
        <f>IF(AND(Main[[#This Row],[In Stock Date]]&lt;&gt;"",Main[[#This Row],[Revised Due Date]]&lt;&gt;""),Main[[#This Row],[In Stock Date]]-Main[[#This Row],[Revised Due Date]],"")</f>
        <v/>
      </c>
      <c r="I778" s="99" t="s">
        <v>102</v>
      </c>
      <c r="J778" s="99" t="s">
        <v>4</v>
      </c>
      <c r="K778" s="108" t="s">
        <v>1969</v>
      </c>
      <c r="L778" s="101"/>
      <c r="M778" s="104" t="str">
        <f>IF(Main[[#This Row],[Tech Start Date]]&lt;1/1/1990,"",IF(Main[[#This Row],[Class]]="C",WORKDAY(Main[[#This Row],[Tech Start Date]],9),IF(Main[[#This Row],[Class]]="B", WORKDAY(Main[[#This Row],[Tech Start Date]],6),IF(Main[[#This Row],[Class]]="A",WORKDAY(Main[[#This Row],[Tech Start Date]],2),""))))</f>
        <v/>
      </c>
      <c r="N778" s="104" t="str">
        <f>IF(Main[[#This Row],[Tech Start Date]]&lt;1/1/1990,"",IF(Main[[#This Row],[Class]]="C",WORKDAY(Main[[#This Row],[Tech Start Date]],19),IF(Main[[#This Row],[Class]]="B", WORKDAY(Main[[#This Row],[Tech Start Date]],12),IF(Main[[#This Row],[Class]]="A",WORKDAY(Main[[#This Row],[Tech Start Date]],4),""))))</f>
        <v/>
      </c>
      <c r="O778" s="104" t="str">
        <f>IF(Main[[#This Row],[Tech Start Date]]&lt;1/1/1990,"",IF(Main[[#This Row],[Class]]="C",WORKDAY(Main[[#This Row],[Tech Start Date]],23),IF(Main[[#This Row],[Class]]="B", WORKDAY(Main[[#This Row],[Tech Start Date]],15),IF(Main[[#This Row],[Class]]="A",WORKDAY(Main[[#This Row],[Tech Start Date]],5),""))))</f>
        <v/>
      </c>
      <c r="P778" s="104" t="str">
        <f>IF(Main[[#This Row],[Tech Start Date]]&lt;1/1/1990,"",IF(Main[[#This Row],[Class]]="C",WORKDAY(Main[[#This Row],[Tech Start Date]],28),IF(Main[[#This Row],[Class]]="B", WORKDAY(Main[[#This Row],[Tech Start Date]],19),IF(Main[[#This Row],[Class]]="A",WORKDAY(Main[[#This Row],[Tech Start Date]],9),""))))</f>
        <v/>
      </c>
      <c r="Q778" s="101"/>
      <c r="R778" s="101"/>
      <c r="S778" s="99" t="s">
        <v>23</v>
      </c>
      <c r="T778" s="107" t="s">
        <v>4</v>
      </c>
      <c r="U778" s="99" t="s">
        <v>14</v>
      </c>
      <c r="V778" s="99" t="s">
        <v>1962</v>
      </c>
      <c r="W778" s="99" t="s">
        <v>1966</v>
      </c>
    </row>
    <row r="779" spans="1:23" ht="18.600000000000001" customHeight="1">
      <c r="A779" s="123" t="str">
        <f>IF(priority(Main[[#This Row],[Comments]])&lt;&gt;0, priority(Main[[#This Row],[Comments]]),"")</f>
        <v/>
      </c>
      <c r="B779" s="127" t="s">
        <v>1637</v>
      </c>
      <c r="C779" s="99" t="s">
        <v>4</v>
      </c>
      <c r="D779" s="100" t="s">
        <v>683</v>
      </c>
      <c r="E779" s="101">
        <v>40491.714780092596</v>
      </c>
      <c r="F779" s="101"/>
      <c r="G779" s="102" t="str">
        <f>IF(stdProdLT(Main[[#This Row],[Comments]])=0.1,"N/A",IF(stdProdLT(Main[[#This Row],[Comments]])=0,"",stdProdLT(Main[[#This Row],[Comments]])))</f>
        <v/>
      </c>
      <c r="H779" s="103" t="str">
        <f>IF(AND(Main[[#This Row],[In Stock Date]]&lt;&gt;"",Main[[#This Row],[Revised Due Date]]&lt;&gt;""),Main[[#This Row],[In Stock Date]]-Main[[#This Row],[Revised Due Date]],"")</f>
        <v/>
      </c>
      <c r="I779" s="99" t="s">
        <v>4</v>
      </c>
      <c r="J779" s="99" t="s">
        <v>28</v>
      </c>
      <c r="K779" s="99" t="s">
        <v>1969</v>
      </c>
      <c r="L779" s="101"/>
      <c r="M779" s="104" t="str">
        <f>IF(Main[[#This Row],[Tech Start Date]]&lt;1/1/1990,"",IF(Main[[#This Row],[Class]]="C",WORKDAY(Main[[#This Row],[Tech Start Date]],9),IF(Main[[#This Row],[Class]]="B", WORKDAY(Main[[#This Row],[Tech Start Date]],6),IF(Main[[#This Row],[Class]]="A",WORKDAY(Main[[#This Row],[Tech Start Date]],2),""))))</f>
        <v/>
      </c>
      <c r="N779" s="104" t="str">
        <f>IF(Main[[#This Row],[Tech Start Date]]&lt;1/1/1990,"",IF(Main[[#This Row],[Class]]="C",WORKDAY(Main[[#This Row],[Tech Start Date]],19),IF(Main[[#This Row],[Class]]="B", WORKDAY(Main[[#This Row],[Tech Start Date]],12),IF(Main[[#This Row],[Class]]="A",WORKDAY(Main[[#This Row],[Tech Start Date]],4),""))))</f>
        <v/>
      </c>
      <c r="O779" s="104" t="str">
        <f>IF(Main[[#This Row],[Tech Start Date]]&lt;1/1/1990,"",IF(Main[[#This Row],[Class]]="C",WORKDAY(Main[[#This Row],[Tech Start Date]],23),IF(Main[[#This Row],[Class]]="B", WORKDAY(Main[[#This Row],[Tech Start Date]],15),IF(Main[[#This Row],[Class]]="A",WORKDAY(Main[[#This Row],[Tech Start Date]],5),""))))</f>
        <v/>
      </c>
      <c r="P779" s="104" t="str">
        <f>IF(Main[[#This Row],[Tech Start Date]]&lt;1/1/1990,"",IF(Main[[#This Row],[Class]]="C",WORKDAY(Main[[#This Row],[Tech Start Date]],28),IF(Main[[#This Row],[Class]]="B", WORKDAY(Main[[#This Row],[Tech Start Date]],19),IF(Main[[#This Row],[Class]]="A",WORKDAY(Main[[#This Row],[Tech Start Date]],9),""))))</f>
        <v/>
      </c>
      <c r="Q779" s="101">
        <v>40520</v>
      </c>
      <c r="R779" s="101"/>
      <c r="S779" s="99" t="s">
        <v>6</v>
      </c>
      <c r="T779" s="107" t="s">
        <v>4</v>
      </c>
      <c r="U779" s="99" t="s">
        <v>7</v>
      </c>
      <c r="V779" s="99" t="s">
        <v>1962</v>
      </c>
      <c r="W779" s="99" t="s">
        <v>1964</v>
      </c>
    </row>
    <row r="780" spans="1:23" ht="18.600000000000001" customHeight="1">
      <c r="A780" s="123" t="str">
        <f>IF(priority(Main[[#This Row],[Comments]])&lt;&gt;0, priority(Main[[#This Row],[Comments]]),"")</f>
        <v/>
      </c>
      <c r="B780" s="127" t="s">
        <v>1638</v>
      </c>
      <c r="C780" s="99" t="s">
        <v>47</v>
      </c>
      <c r="D780" s="100" t="s">
        <v>684</v>
      </c>
      <c r="E780" s="101"/>
      <c r="F780" s="101"/>
      <c r="G780" s="102" t="str">
        <f>IF(stdProdLT(Main[[#This Row],[Comments]])=0.1,"N/A",IF(stdProdLT(Main[[#This Row],[Comments]])=0,"",stdProdLT(Main[[#This Row],[Comments]])))</f>
        <v/>
      </c>
      <c r="H780" s="103" t="str">
        <f>IF(AND(Main[[#This Row],[In Stock Date]]&lt;&gt;"",Main[[#This Row],[Revised Due Date]]&lt;&gt;""),Main[[#This Row],[In Stock Date]]-Main[[#This Row],[Revised Due Date]],"")</f>
        <v/>
      </c>
      <c r="I780" s="99" t="s">
        <v>4</v>
      </c>
      <c r="J780" s="99" t="s">
        <v>4</v>
      </c>
      <c r="K780" s="99" t="s">
        <v>4</v>
      </c>
      <c r="L780" s="101"/>
      <c r="M780" s="104" t="str">
        <f>IF(Main[[#This Row],[Tech Start Date]]&lt;1/1/1990,"",IF(Main[[#This Row],[Class]]="C",WORKDAY(Main[[#This Row],[Tech Start Date]],9),IF(Main[[#This Row],[Class]]="B", WORKDAY(Main[[#This Row],[Tech Start Date]],6),IF(Main[[#This Row],[Class]]="A",WORKDAY(Main[[#This Row],[Tech Start Date]],2),""))))</f>
        <v/>
      </c>
      <c r="N780" s="104" t="str">
        <f>IF(Main[[#This Row],[Tech Start Date]]&lt;1/1/1990,"",IF(Main[[#This Row],[Class]]="C",WORKDAY(Main[[#This Row],[Tech Start Date]],19),IF(Main[[#This Row],[Class]]="B", WORKDAY(Main[[#This Row],[Tech Start Date]],12),IF(Main[[#This Row],[Class]]="A",WORKDAY(Main[[#This Row],[Tech Start Date]],4),""))))</f>
        <v/>
      </c>
      <c r="O780" s="104" t="str">
        <f>IF(Main[[#This Row],[Tech Start Date]]&lt;1/1/1990,"",IF(Main[[#This Row],[Class]]="C",WORKDAY(Main[[#This Row],[Tech Start Date]],23),IF(Main[[#This Row],[Class]]="B", WORKDAY(Main[[#This Row],[Tech Start Date]],15),IF(Main[[#This Row],[Class]]="A",WORKDAY(Main[[#This Row],[Tech Start Date]],5),""))))</f>
        <v/>
      </c>
      <c r="P780" s="104" t="str">
        <f>IF(Main[[#This Row],[Tech Start Date]]&lt;1/1/1990,"",IF(Main[[#This Row],[Class]]="C",WORKDAY(Main[[#This Row],[Tech Start Date]],28),IF(Main[[#This Row],[Class]]="B", WORKDAY(Main[[#This Row],[Tech Start Date]],19),IF(Main[[#This Row],[Class]]="A",WORKDAY(Main[[#This Row],[Tech Start Date]],9),""))))</f>
        <v/>
      </c>
      <c r="Q780" s="101"/>
      <c r="R780" s="101"/>
      <c r="S780" s="99" t="s">
        <v>11</v>
      </c>
      <c r="T780" s="107" t="s">
        <v>4</v>
      </c>
      <c r="U780" s="99" t="s">
        <v>14</v>
      </c>
      <c r="V780" s="99" t="s">
        <v>1963</v>
      </c>
      <c r="W780" s="99" t="s">
        <v>1966</v>
      </c>
    </row>
    <row r="781" spans="1:23" ht="18.600000000000001" customHeight="1">
      <c r="A781" s="123" t="str">
        <f>IF(priority(Main[[#This Row],[Comments]])&lt;&gt;0, priority(Main[[#This Row],[Comments]]),"")</f>
        <v/>
      </c>
      <c r="B781" s="127" t="s">
        <v>1639</v>
      </c>
      <c r="C781" s="99" t="s">
        <v>280</v>
      </c>
      <c r="D781" s="100" t="s">
        <v>592</v>
      </c>
      <c r="E781" s="101"/>
      <c r="F781" s="101">
        <v>40186</v>
      </c>
      <c r="G781" s="102" t="str">
        <f>IF(stdProdLT(Main[[#This Row],[Comments]])=0.1,"N/A",IF(stdProdLT(Main[[#This Row],[Comments]])=0,"",stdProdLT(Main[[#This Row],[Comments]])))</f>
        <v/>
      </c>
      <c r="H781" s="103" t="str">
        <f>IF(AND(Main[[#This Row],[In Stock Date]]&lt;&gt;"",Main[[#This Row],[Revised Due Date]]&lt;&gt;""),Main[[#This Row],[In Stock Date]]-Main[[#This Row],[Revised Due Date]],"")</f>
        <v/>
      </c>
      <c r="I781" s="99" t="s">
        <v>4</v>
      </c>
      <c r="J781" s="99" t="s">
        <v>4</v>
      </c>
      <c r="K781" s="99" t="s">
        <v>4</v>
      </c>
      <c r="L781" s="101"/>
      <c r="M781" s="104" t="str">
        <f>IF(Main[[#This Row],[Tech Start Date]]&lt;1/1/1990,"",IF(Main[[#This Row],[Class]]="C",WORKDAY(Main[[#This Row],[Tech Start Date]],9),IF(Main[[#This Row],[Class]]="B", WORKDAY(Main[[#This Row],[Tech Start Date]],6),IF(Main[[#This Row],[Class]]="A",WORKDAY(Main[[#This Row],[Tech Start Date]],2),""))))</f>
        <v/>
      </c>
      <c r="N781" s="104" t="str">
        <f>IF(Main[[#This Row],[Tech Start Date]]&lt;1/1/1990,"",IF(Main[[#This Row],[Class]]="C",WORKDAY(Main[[#This Row],[Tech Start Date]],19),IF(Main[[#This Row],[Class]]="B", WORKDAY(Main[[#This Row],[Tech Start Date]],12),IF(Main[[#This Row],[Class]]="A",WORKDAY(Main[[#This Row],[Tech Start Date]],4),""))))</f>
        <v/>
      </c>
      <c r="O781" s="104" t="str">
        <f>IF(Main[[#This Row],[Tech Start Date]]&lt;1/1/1990,"",IF(Main[[#This Row],[Class]]="C",WORKDAY(Main[[#This Row],[Tech Start Date]],23),IF(Main[[#This Row],[Class]]="B", WORKDAY(Main[[#This Row],[Tech Start Date]],15),IF(Main[[#This Row],[Class]]="A",WORKDAY(Main[[#This Row],[Tech Start Date]],5),""))))</f>
        <v/>
      </c>
      <c r="P781" s="104" t="str">
        <f>IF(Main[[#This Row],[Tech Start Date]]&lt;1/1/1990,"",IF(Main[[#This Row],[Class]]="C",WORKDAY(Main[[#This Row],[Tech Start Date]],28),IF(Main[[#This Row],[Class]]="B", WORKDAY(Main[[#This Row],[Tech Start Date]],19),IF(Main[[#This Row],[Class]]="A",WORKDAY(Main[[#This Row],[Tech Start Date]],9),""))))</f>
        <v/>
      </c>
      <c r="Q781" s="101">
        <v>40186</v>
      </c>
      <c r="R781" s="101"/>
      <c r="S781" s="99" t="s">
        <v>11</v>
      </c>
      <c r="T781" s="107" t="s">
        <v>4</v>
      </c>
      <c r="U781" s="99" t="s">
        <v>14</v>
      </c>
      <c r="V781" s="99" t="s">
        <v>1965</v>
      </c>
      <c r="W781" s="99" t="s">
        <v>1970</v>
      </c>
    </row>
    <row r="782" spans="1:23" ht="18.600000000000001" customHeight="1">
      <c r="A782" s="123" t="str">
        <f>IF(priority(Main[[#This Row],[Comments]])&lt;&gt;0, priority(Main[[#This Row],[Comments]]),"")</f>
        <v/>
      </c>
      <c r="B782" s="127" t="s">
        <v>1087</v>
      </c>
      <c r="C782" s="99" t="s">
        <v>4</v>
      </c>
      <c r="D782" s="100" t="s">
        <v>39</v>
      </c>
      <c r="E782" s="101"/>
      <c r="F782" s="101"/>
      <c r="G782" s="102" t="str">
        <f>IF(stdProdLT(Main[[#This Row],[Comments]])=0.1,"N/A",IF(stdProdLT(Main[[#This Row],[Comments]])=0,"",stdProdLT(Main[[#This Row],[Comments]])))</f>
        <v/>
      </c>
      <c r="H782" s="103" t="str">
        <f>IF(AND(Main[[#This Row],[In Stock Date]]&lt;&gt;"",Main[[#This Row],[Revised Due Date]]&lt;&gt;""),Main[[#This Row],[In Stock Date]]-Main[[#This Row],[Revised Due Date]],"")</f>
        <v/>
      </c>
      <c r="I782" s="99" t="s">
        <v>495</v>
      </c>
      <c r="J782" s="99" t="s">
        <v>70</v>
      </c>
      <c r="K782" s="108" t="s">
        <v>1971</v>
      </c>
      <c r="L782" s="101"/>
      <c r="M782" s="104" t="str">
        <f>IF(Main[[#This Row],[Tech Start Date]]&lt;1/1/1990,"",IF(Main[[#This Row],[Class]]="C",WORKDAY(Main[[#This Row],[Tech Start Date]],9),IF(Main[[#This Row],[Class]]="B", WORKDAY(Main[[#This Row],[Tech Start Date]],6),IF(Main[[#This Row],[Class]]="A",WORKDAY(Main[[#This Row],[Tech Start Date]],2),""))))</f>
        <v/>
      </c>
      <c r="N782" s="104" t="str">
        <f>IF(Main[[#This Row],[Tech Start Date]]&lt;1/1/1990,"",IF(Main[[#This Row],[Class]]="C",WORKDAY(Main[[#This Row],[Tech Start Date]],19),IF(Main[[#This Row],[Class]]="B", WORKDAY(Main[[#This Row],[Tech Start Date]],12),IF(Main[[#This Row],[Class]]="A",WORKDAY(Main[[#This Row],[Tech Start Date]],4),""))))</f>
        <v/>
      </c>
      <c r="O782" s="104" t="str">
        <f>IF(Main[[#This Row],[Tech Start Date]]&lt;1/1/1990,"",IF(Main[[#This Row],[Class]]="C",WORKDAY(Main[[#This Row],[Tech Start Date]],23),IF(Main[[#This Row],[Class]]="B", WORKDAY(Main[[#This Row],[Tech Start Date]],15),IF(Main[[#This Row],[Class]]="A",WORKDAY(Main[[#This Row],[Tech Start Date]],5),""))))</f>
        <v/>
      </c>
      <c r="P782" s="104" t="str">
        <f>IF(Main[[#This Row],[Tech Start Date]]&lt;1/1/1990,"",IF(Main[[#This Row],[Class]]="C",WORKDAY(Main[[#This Row],[Tech Start Date]],28),IF(Main[[#This Row],[Class]]="B", WORKDAY(Main[[#This Row],[Tech Start Date]],19),IF(Main[[#This Row],[Class]]="A",WORKDAY(Main[[#This Row],[Tech Start Date]],9),""))))</f>
        <v/>
      </c>
      <c r="Q782" s="101">
        <v>40704</v>
      </c>
      <c r="R782" s="101"/>
      <c r="S782" s="99" t="s">
        <v>6</v>
      </c>
      <c r="T782" s="107" t="s">
        <v>4</v>
      </c>
      <c r="U782" s="99" t="s">
        <v>14</v>
      </c>
      <c r="V782" s="99" t="s">
        <v>1965</v>
      </c>
      <c r="W782" s="99" t="s">
        <v>1966</v>
      </c>
    </row>
    <row r="783" spans="1:23" ht="18.600000000000001" customHeight="1">
      <c r="A783" s="123" t="str">
        <f>IF(priority(Main[[#This Row],[Comments]])&lt;&gt;0, priority(Main[[#This Row],[Comments]]),"")</f>
        <v/>
      </c>
      <c r="B783" s="127" t="s">
        <v>1641</v>
      </c>
      <c r="C783" s="99" t="s">
        <v>4</v>
      </c>
      <c r="D783" s="100" t="s">
        <v>686</v>
      </c>
      <c r="E783" s="101">
        <v>40497.338240740741</v>
      </c>
      <c r="F783" s="101"/>
      <c r="G783" s="102" t="str">
        <f>IF(stdProdLT(Main[[#This Row],[Comments]])=0.1,"N/A",IF(stdProdLT(Main[[#This Row],[Comments]])=0,"",stdProdLT(Main[[#This Row],[Comments]])))</f>
        <v/>
      </c>
      <c r="H783" s="103" t="str">
        <f>IF(AND(Main[[#This Row],[In Stock Date]]&lt;&gt;"",Main[[#This Row],[Revised Due Date]]&lt;&gt;""),Main[[#This Row],[In Stock Date]]-Main[[#This Row],[Revised Due Date]],"")</f>
        <v/>
      </c>
      <c r="I783" s="99" t="s">
        <v>4</v>
      </c>
      <c r="J783" s="99" t="s">
        <v>4</v>
      </c>
      <c r="K783" s="99" t="s">
        <v>4</v>
      </c>
      <c r="L783" s="101"/>
      <c r="M783" s="104" t="str">
        <f>IF(Main[[#This Row],[Tech Start Date]]&lt;1/1/1990,"",IF(Main[[#This Row],[Class]]="C",WORKDAY(Main[[#This Row],[Tech Start Date]],9),IF(Main[[#This Row],[Class]]="B", WORKDAY(Main[[#This Row],[Tech Start Date]],6),IF(Main[[#This Row],[Class]]="A",WORKDAY(Main[[#This Row],[Tech Start Date]],2),""))))</f>
        <v/>
      </c>
      <c r="N783" s="104" t="str">
        <f>IF(Main[[#This Row],[Tech Start Date]]&lt;1/1/1990,"",IF(Main[[#This Row],[Class]]="C",WORKDAY(Main[[#This Row],[Tech Start Date]],19),IF(Main[[#This Row],[Class]]="B", WORKDAY(Main[[#This Row],[Tech Start Date]],12),IF(Main[[#This Row],[Class]]="A",WORKDAY(Main[[#This Row],[Tech Start Date]],4),""))))</f>
        <v/>
      </c>
      <c r="O783" s="104" t="str">
        <f>IF(Main[[#This Row],[Tech Start Date]]&lt;1/1/1990,"",IF(Main[[#This Row],[Class]]="C",WORKDAY(Main[[#This Row],[Tech Start Date]],23),IF(Main[[#This Row],[Class]]="B", WORKDAY(Main[[#This Row],[Tech Start Date]],15),IF(Main[[#This Row],[Class]]="A",WORKDAY(Main[[#This Row],[Tech Start Date]],5),""))))</f>
        <v/>
      </c>
      <c r="P783" s="104" t="str">
        <f>IF(Main[[#This Row],[Tech Start Date]]&lt;1/1/1990,"",IF(Main[[#This Row],[Class]]="C",WORKDAY(Main[[#This Row],[Tech Start Date]],28),IF(Main[[#This Row],[Class]]="B", WORKDAY(Main[[#This Row],[Tech Start Date]],19),IF(Main[[#This Row],[Class]]="A",WORKDAY(Main[[#This Row],[Tech Start Date]],9),""))))</f>
        <v/>
      </c>
      <c r="Q783" s="101">
        <v>40529</v>
      </c>
      <c r="R783" s="101"/>
      <c r="S783" s="99" t="s">
        <v>4</v>
      </c>
      <c r="T783" s="107" t="s">
        <v>4</v>
      </c>
      <c r="U783" s="99" t="s">
        <v>7</v>
      </c>
      <c r="V783" s="99" t="s">
        <v>1962</v>
      </c>
      <c r="W783" s="99" t="s">
        <v>4</v>
      </c>
    </row>
    <row r="784" spans="1:23" ht="18.600000000000001" customHeight="1">
      <c r="A784" s="123" t="str">
        <f>IF(priority(Main[[#This Row],[Comments]])&lt;&gt;0, priority(Main[[#This Row],[Comments]]),"")</f>
        <v/>
      </c>
      <c r="B784" s="127" t="s">
        <v>1642</v>
      </c>
      <c r="C784" s="99" t="s">
        <v>72</v>
      </c>
      <c r="D784" s="100" t="s">
        <v>653</v>
      </c>
      <c r="E784" s="101"/>
      <c r="F784" s="101"/>
      <c r="G784" s="102" t="str">
        <f>IF(stdProdLT(Main[[#This Row],[Comments]])=0.1,"N/A",IF(stdProdLT(Main[[#This Row],[Comments]])=0,"",stdProdLT(Main[[#This Row],[Comments]])))</f>
        <v/>
      </c>
      <c r="H784" s="103" t="str">
        <f>IF(AND(Main[[#This Row],[In Stock Date]]&lt;&gt;"",Main[[#This Row],[Revised Due Date]]&lt;&gt;""),Main[[#This Row],[In Stock Date]]-Main[[#This Row],[Revised Due Date]],"")</f>
        <v/>
      </c>
      <c r="I784" s="99" t="s">
        <v>4</v>
      </c>
      <c r="J784" s="99" t="s">
        <v>4</v>
      </c>
      <c r="K784" s="99" t="s">
        <v>4</v>
      </c>
      <c r="L784" s="101"/>
      <c r="M784" s="104" t="str">
        <f>IF(Main[[#This Row],[Tech Start Date]]&lt;1/1/1990,"",IF(Main[[#This Row],[Class]]="C",WORKDAY(Main[[#This Row],[Tech Start Date]],9),IF(Main[[#This Row],[Class]]="B", WORKDAY(Main[[#This Row],[Tech Start Date]],6),IF(Main[[#This Row],[Class]]="A",WORKDAY(Main[[#This Row],[Tech Start Date]],2),""))))</f>
        <v/>
      </c>
      <c r="N784" s="104" t="str">
        <f>IF(Main[[#This Row],[Tech Start Date]]&lt;1/1/1990,"",IF(Main[[#This Row],[Class]]="C",WORKDAY(Main[[#This Row],[Tech Start Date]],19),IF(Main[[#This Row],[Class]]="B", WORKDAY(Main[[#This Row],[Tech Start Date]],12),IF(Main[[#This Row],[Class]]="A",WORKDAY(Main[[#This Row],[Tech Start Date]],4),""))))</f>
        <v/>
      </c>
      <c r="O784" s="104" t="str">
        <f>IF(Main[[#This Row],[Tech Start Date]]&lt;1/1/1990,"",IF(Main[[#This Row],[Class]]="C",WORKDAY(Main[[#This Row],[Tech Start Date]],23),IF(Main[[#This Row],[Class]]="B", WORKDAY(Main[[#This Row],[Tech Start Date]],15),IF(Main[[#This Row],[Class]]="A",WORKDAY(Main[[#This Row],[Tech Start Date]],5),""))))</f>
        <v/>
      </c>
      <c r="P784" s="104" t="str">
        <f>IF(Main[[#This Row],[Tech Start Date]]&lt;1/1/1990,"",IF(Main[[#This Row],[Class]]="C",WORKDAY(Main[[#This Row],[Tech Start Date]],28),IF(Main[[#This Row],[Class]]="B", WORKDAY(Main[[#This Row],[Tech Start Date]],19),IF(Main[[#This Row],[Class]]="A",WORKDAY(Main[[#This Row],[Tech Start Date]],9),""))))</f>
        <v/>
      </c>
      <c r="Q784" s="101"/>
      <c r="R784" s="101"/>
      <c r="S784" s="99" t="s">
        <v>49</v>
      </c>
      <c r="T784" s="107" t="s">
        <v>4</v>
      </c>
      <c r="U784" s="99" t="s">
        <v>12</v>
      </c>
      <c r="V784" s="99" t="s">
        <v>1963</v>
      </c>
      <c r="W784" s="99" t="s">
        <v>1964</v>
      </c>
    </row>
    <row r="785" spans="1:23" ht="18.600000000000001" customHeight="1">
      <c r="A785" s="123" t="str">
        <f>IF(priority(Main[[#This Row],[Comments]])&lt;&gt;0, priority(Main[[#This Row],[Comments]]),"")</f>
        <v/>
      </c>
      <c r="B785" s="127" t="s">
        <v>1644</v>
      </c>
      <c r="C785" s="99" t="s">
        <v>4</v>
      </c>
      <c r="D785" s="100" t="s">
        <v>688</v>
      </c>
      <c r="E785" s="101">
        <v>40666.673935185187</v>
      </c>
      <c r="F785" s="101"/>
      <c r="G785" s="102" t="str">
        <f>IF(stdProdLT(Main[[#This Row],[Comments]])=0.1,"N/A",IF(stdProdLT(Main[[#This Row],[Comments]])=0,"",stdProdLT(Main[[#This Row],[Comments]])))</f>
        <v/>
      </c>
      <c r="H785" s="103" t="str">
        <f>IF(AND(Main[[#This Row],[In Stock Date]]&lt;&gt;"",Main[[#This Row],[Revised Due Date]]&lt;&gt;""),Main[[#This Row],[In Stock Date]]-Main[[#This Row],[Revised Due Date]],"")</f>
        <v/>
      </c>
      <c r="I785" s="99" t="s">
        <v>375</v>
      </c>
      <c r="J785" s="99" t="s">
        <v>4</v>
      </c>
      <c r="K785" s="99" t="s">
        <v>4</v>
      </c>
      <c r="L785" s="101"/>
      <c r="M785" s="104" t="str">
        <f>IF(Main[[#This Row],[Tech Start Date]]&lt;1/1/1990,"",IF(Main[[#This Row],[Class]]="C",WORKDAY(Main[[#This Row],[Tech Start Date]],9),IF(Main[[#This Row],[Class]]="B", WORKDAY(Main[[#This Row],[Tech Start Date]],6),IF(Main[[#This Row],[Class]]="A",WORKDAY(Main[[#This Row],[Tech Start Date]],2),""))))</f>
        <v/>
      </c>
      <c r="N785" s="104" t="str">
        <f>IF(Main[[#This Row],[Tech Start Date]]&lt;1/1/1990,"",IF(Main[[#This Row],[Class]]="C",WORKDAY(Main[[#This Row],[Tech Start Date]],19),IF(Main[[#This Row],[Class]]="B", WORKDAY(Main[[#This Row],[Tech Start Date]],12),IF(Main[[#This Row],[Class]]="A",WORKDAY(Main[[#This Row],[Tech Start Date]],4),""))))</f>
        <v/>
      </c>
      <c r="O785" s="104" t="str">
        <f>IF(Main[[#This Row],[Tech Start Date]]&lt;1/1/1990,"",IF(Main[[#This Row],[Class]]="C",WORKDAY(Main[[#This Row],[Tech Start Date]],23),IF(Main[[#This Row],[Class]]="B", WORKDAY(Main[[#This Row],[Tech Start Date]],15),IF(Main[[#This Row],[Class]]="A",WORKDAY(Main[[#This Row],[Tech Start Date]],5),""))))</f>
        <v/>
      </c>
      <c r="P785" s="104" t="str">
        <f>IF(Main[[#This Row],[Tech Start Date]]&lt;1/1/1990,"",IF(Main[[#This Row],[Class]]="C",WORKDAY(Main[[#This Row],[Tech Start Date]],28),IF(Main[[#This Row],[Class]]="B", WORKDAY(Main[[#This Row],[Tech Start Date]],19),IF(Main[[#This Row],[Class]]="A",WORKDAY(Main[[#This Row],[Tech Start Date]],9),""))))</f>
        <v/>
      </c>
      <c r="Q785" s="101"/>
      <c r="R785" s="101"/>
      <c r="S785" s="99" t="s">
        <v>6</v>
      </c>
      <c r="T785" s="107" t="s">
        <v>4</v>
      </c>
      <c r="U785" s="99" t="s">
        <v>29</v>
      </c>
      <c r="V785" s="99" t="s">
        <v>1965</v>
      </c>
      <c r="W785" s="99" t="s">
        <v>1966</v>
      </c>
    </row>
    <row r="786" spans="1:23" ht="18.600000000000001" customHeight="1">
      <c r="A786" s="123" t="str">
        <f>IF(priority(Main[[#This Row],[Comments]])&lt;&gt;0, priority(Main[[#This Row],[Comments]]),"")</f>
        <v/>
      </c>
      <c r="B786" s="127" t="s">
        <v>1645</v>
      </c>
      <c r="C786" s="99" t="s">
        <v>4</v>
      </c>
      <c r="D786" s="100" t="s">
        <v>689</v>
      </c>
      <c r="E786" s="101">
        <v>40603.482094907406</v>
      </c>
      <c r="F786" s="101"/>
      <c r="G786" s="102" t="str">
        <f>IF(stdProdLT(Main[[#This Row],[Comments]])=0.1,"N/A",IF(stdProdLT(Main[[#This Row],[Comments]])=0,"",stdProdLT(Main[[#This Row],[Comments]])))</f>
        <v/>
      </c>
      <c r="H786" s="103" t="str">
        <f>IF(AND(Main[[#This Row],[In Stock Date]]&lt;&gt;"",Main[[#This Row],[Revised Due Date]]&lt;&gt;""),Main[[#This Row],[In Stock Date]]-Main[[#This Row],[Revised Due Date]],"")</f>
        <v/>
      </c>
      <c r="I786" s="99" t="s">
        <v>44</v>
      </c>
      <c r="J786" s="99" t="s">
        <v>28</v>
      </c>
      <c r="K786" s="99" t="s">
        <v>1971</v>
      </c>
      <c r="L786" s="101"/>
      <c r="M786" s="104" t="str">
        <f>IF(Main[[#This Row],[Tech Start Date]]&lt;1/1/1990,"",IF(Main[[#This Row],[Class]]="C",WORKDAY(Main[[#This Row],[Tech Start Date]],9),IF(Main[[#This Row],[Class]]="B", WORKDAY(Main[[#This Row],[Tech Start Date]],6),IF(Main[[#This Row],[Class]]="A",WORKDAY(Main[[#This Row],[Tech Start Date]],2),""))))</f>
        <v/>
      </c>
      <c r="N786" s="104" t="str">
        <f>IF(Main[[#This Row],[Tech Start Date]]&lt;1/1/1990,"",IF(Main[[#This Row],[Class]]="C",WORKDAY(Main[[#This Row],[Tech Start Date]],19),IF(Main[[#This Row],[Class]]="B", WORKDAY(Main[[#This Row],[Tech Start Date]],12),IF(Main[[#This Row],[Class]]="A",WORKDAY(Main[[#This Row],[Tech Start Date]],4),""))))</f>
        <v/>
      </c>
      <c r="O786" s="104" t="str">
        <f>IF(Main[[#This Row],[Tech Start Date]]&lt;1/1/1990,"",IF(Main[[#This Row],[Class]]="C",WORKDAY(Main[[#This Row],[Tech Start Date]],23),IF(Main[[#This Row],[Class]]="B", WORKDAY(Main[[#This Row],[Tech Start Date]],15),IF(Main[[#This Row],[Class]]="A",WORKDAY(Main[[#This Row],[Tech Start Date]],5),""))))</f>
        <v/>
      </c>
      <c r="P786" s="104" t="str">
        <f>IF(Main[[#This Row],[Tech Start Date]]&lt;1/1/1990,"",IF(Main[[#This Row],[Class]]="C",WORKDAY(Main[[#This Row],[Tech Start Date]],28),IF(Main[[#This Row],[Class]]="B", WORKDAY(Main[[#This Row],[Tech Start Date]],19),IF(Main[[#This Row],[Class]]="A",WORKDAY(Main[[#This Row],[Tech Start Date]],9),""))))</f>
        <v/>
      </c>
      <c r="Q786" s="101">
        <v>40637</v>
      </c>
      <c r="R786" s="101"/>
      <c r="S786" s="99" t="s">
        <v>6</v>
      </c>
      <c r="T786" s="107" t="s">
        <v>4</v>
      </c>
      <c r="U786" s="99" t="s">
        <v>7</v>
      </c>
      <c r="V786" s="99" t="s">
        <v>1962</v>
      </c>
      <c r="W786" s="99" t="s">
        <v>1964</v>
      </c>
    </row>
    <row r="787" spans="1:23" ht="18.600000000000001" customHeight="1">
      <c r="A787" s="123" t="str">
        <f>IF(priority(Main[[#This Row],[Comments]])&lt;&gt;0, priority(Main[[#This Row],[Comments]]),"")</f>
        <v/>
      </c>
      <c r="B787" s="127" t="s">
        <v>1646</v>
      </c>
      <c r="C787" s="99" t="s">
        <v>113</v>
      </c>
      <c r="D787" s="100" t="s">
        <v>690</v>
      </c>
      <c r="E787" s="101"/>
      <c r="F787" s="101">
        <v>40193</v>
      </c>
      <c r="G787" s="102" t="str">
        <f>IF(stdProdLT(Main[[#This Row],[Comments]])=0.1,"N/A",IF(stdProdLT(Main[[#This Row],[Comments]])=0,"",stdProdLT(Main[[#This Row],[Comments]])))</f>
        <v/>
      </c>
      <c r="H787" s="103" t="str">
        <f>IF(AND(Main[[#This Row],[In Stock Date]]&lt;&gt;"",Main[[#This Row],[Revised Due Date]]&lt;&gt;""),Main[[#This Row],[In Stock Date]]-Main[[#This Row],[Revised Due Date]],"")</f>
        <v/>
      </c>
      <c r="I787" s="99" t="s">
        <v>4</v>
      </c>
      <c r="J787" s="99" t="s">
        <v>4</v>
      </c>
      <c r="K787" s="99" t="s">
        <v>4</v>
      </c>
      <c r="L787" s="101"/>
      <c r="M787" s="104" t="str">
        <f>IF(Main[[#This Row],[Tech Start Date]]&lt;1/1/1990,"",IF(Main[[#This Row],[Class]]="C",WORKDAY(Main[[#This Row],[Tech Start Date]],9),IF(Main[[#This Row],[Class]]="B", WORKDAY(Main[[#This Row],[Tech Start Date]],6),IF(Main[[#This Row],[Class]]="A",WORKDAY(Main[[#This Row],[Tech Start Date]],2),""))))</f>
        <v/>
      </c>
      <c r="N787" s="104" t="str">
        <f>IF(Main[[#This Row],[Tech Start Date]]&lt;1/1/1990,"",IF(Main[[#This Row],[Class]]="C",WORKDAY(Main[[#This Row],[Tech Start Date]],19),IF(Main[[#This Row],[Class]]="B", WORKDAY(Main[[#This Row],[Tech Start Date]],12),IF(Main[[#This Row],[Class]]="A",WORKDAY(Main[[#This Row],[Tech Start Date]],4),""))))</f>
        <v/>
      </c>
      <c r="O787" s="104" t="str">
        <f>IF(Main[[#This Row],[Tech Start Date]]&lt;1/1/1990,"",IF(Main[[#This Row],[Class]]="C",WORKDAY(Main[[#This Row],[Tech Start Date]],23),IF(Main[[#This Row],[Class]]="B", WORKDAY(Main[[#This Row],[Tech Start Date]],15),IF(Main[[#This Row],[Class]]="A",WORKDAY(Main[[#This Row],[Tech Start Date]],5),""))))</f>
        <v/>
      </c>
      <c r="P787" s="104" t="str">
        <f>IF(Main[[#This Row],[Tech Start Date]]&lt;1/1/1990,"",IF(Main[[#This Row],[Class]]="C",WORKDAY(Main[[#This Row],[Tech Start Date]],28),IF(Main[[#This Row],[Class]]="B", WORKDAY(Main[[#This Row],[Tech Start Date]],19),IF(Main[[#This Row],[Class]]="A",WORKDAY(Main[[#This Row],[Tech Start Date]],9),""))))</f>
        <v/>
      </c>
      <c r="Q787" s="101">
        <v>40470</v>
      </c>
      <c r="R787" s="101"/>
      <c r="S787" s="99" t="s">
        <v>11</v>
      </c>
      <c r="T787" s="107" t="s">
        <v>4</v>
      </c>
      <c r="U787" s="99" t="s">
        <v>14</v>
      </c>
      <c r="V787" s="99" t="s">
        <v>1972</v>
      </c>
      <c r="W787" s="99" t="s">
        <v>1968</v>
      </c>
    </row>
    <row r="788" spans="1:23" ht="18.600000000000001" customHeight="1">
      <c r="A788" s="123" t="str">
        <f>IF(priority(Main[[#This Row],[Comments]])&lt;&gt;0, priority(Main[[#This Row],[Comments]]),"")</f>
        <v/>
      </c>
      <c r="B788" s="127" t="s">
        <v>1647</v>
      </c>
      <c r="C788" s="99" t="s">
        <v>4</v>
      </c>
      <c r="D788" s="100" t="s">
        <v>691</v>
      </c>
      <c r="E788" s="101"/>
      <c r="F788" s="101"/>
      <c r="G788" s="102" t="str">
        <f>IF(stdProdLT(Main[[#This Row],[Comments]])=0.1,"N/A",IF(stdProdLT(Main[[#This Row],[Comments]])=0,"",stdProdLT(Main[[#This Row],[Comments]])))</f>
        <v/>
      </c>
      <c r="H788" s="103" t="str">
        <f>IF(AND(Main[[#This Row],[In Stock Date]]&lt;&gt;"",Main[[#This Row],[Revised Due Date]]&lt;&gt;""),Main[[#This Row],[In Stock Date]]-Main[[#This Row],[Revised Due Date]],"")</f>
        <v/>
      </c>
      <c r="I788" s="99" t="s">
        <v>423</v>
      </c>
      <c r="J788" s="99" t="s">
        <v>4</v>
      </c>
      <c r="K788" s="99" t="s">
        <v>4</v>
      </c>
      <c r="L788" s="101"/>
      <c r="M788" s="104" t="str">
        <f>IF(Main[[#This Row],[Tech Start Date]]&lt;1/1/1990,"",IF(Main[[#This Row],[Class]]="C",WORKDAY(Main[[#This Row],[Tech Start Date]],9),IF(Main[[#This Row],[Class]]="B", WORKDAY(Main[[#This Row],[Tech Start Date]],6),IF(Main[[#This Row],[Class]]="A",WORKDAY(Main[[#This Row],[Tech Start Date]],2),""))))</f>
        <v/>
      </c>
      <c r="N788" s="104" t="str">
        <f>IF(Main[[#This Row],[Tech Start Date]]&lt;1/1/1990,"",IF(Main[[#This Row],[Class]]="C",WORKDAY(Main[[#This Row],[Tech Start Date]],19),IF(Main[[#This Row],[Class]]="B", WORKDAY(Main[[#This Row],[Tech Start Date]],12),IF(Main[[#This Row],[Class]]="A",WORKDAY(Main[[#This Row],[Tech Start Date]],4),""))))</f>
        <v/>
      </c>
      <c r="O788" s="104" t="str">
        <f>IF(Main[[#This Row],[Tech Start Date]]&lt;1/1/1990,"",IF(Main[[#This Row],[Class]]="C",WORKDAY(Main[[#This Row],[Tech Start Date]],23),IF(Main[[#This Row],[Class]]="B", WORKDAY(Main[[#This Row],[Tech Start Date]],15),IF(Main[[#This Row],[Class]]="A",WORKDAY(Main[[#This Row],[Tech Start Date]],5),""))))</f>
        <v/>
      </c>
      <c r="P788" s="104" t="str">
        <f>IF(Main[[#This Row],[Tech Start Date]]&lt;1/1/1990,"",IF(Main[[#This Row],[Class]]="C",WORKDAY(Main[[#This Row],[Tech Start Date]],28),IF(Main[[#This Row],[Class]]="B", WORKDAY(Main[[#This Row],[Tech Start Date]],19),IF(Main[[#This Row],[Class]]="A",WORKDAY(Main[[#This Row],[Tech Start Date]],9),""))))</f>
        <v/>
      </c>
      <c r="Q788" s="101"/>
      <c r="R788" s="101"/>
      <c r="S788" s="99" t="s">
        <v>23</v>
      </c>
      <c r="T788" s="107" t="s">
        <v>4</v>
      </c>
      <c r="U788" s="99" t="s">
        <v>14</v>
      </c>
      <c r="V788" s="99" t="s">
        <v>1965</v>
      </c>
      <c r="W788" s="99" t="s">
        <v>1966</v>
      </c>
    </row>
    <row r="789" spans="1:23" ht="18.600000000000001" customHeight="1">
      <c r="A789" s="123" t="str">
        <f>IF(priority(Main[[#This Row],[Comments]])&lt;&gt;0, priority(Main[[#This Row],[Comments]]),"")</f>
        <v/>
      </c>
      <c r="B789" s="127" t="s">
        <v>1651</v>
      </c>
      <c r="C789" s="99" t="s">
        <v>695</v>
      </c>
      <c r="D789" s="100" t="s">
        <v>696</v>
      </c>
      <c r="E789" s="101"/>
      <c r="F789" s="101">
        <v>40527</v>
      </c>
      <c r="G789" s="102" t="str">
        <f>IF(stdProdLT(Main[[#This Row],[Comments]])=0.1,"N/A",IF(stdProdLT(Main[[#This Row],[Comments]])=0,"",stdProdLT(Main[[#This Row],[Comments]])))</f>
        <v/>
      </c>
      <c r="H789" s="103" t="str">
        <f>IF(AND(Main[[#This Row],[In Stock Date]]&lt;&gt;"",Main[[#This Row],[Revised Due Date]]&lt;&gt;""),Main[[#This Row],[In Stock Date]]-Main[[#This Row],[Revised Due Date]],"")</f>
        <v/>
      </c>
      <c r="I789" s="99" t="s">
        <v>4</v>
      </c>
      <c r="J789" s="99" t="s">
        <v>4</v>
      </c>
      <c r="K789" s="99" t="s">
        <v>4</v>
      </c>
      <c r="L789" s="101"/>
      <c r="M789" s="104" t="str">
        <f>IF(Main[[#This Row],[Tech Start Date]]&lt;1/1/1990,"",IF(Main[[#This Row],[Class]]="C",WORKDAY(Main[[#This Row],[Tech Start Date]],9),IF(Main[[#This Row],[Class]]="B", WORKDAY(Main[[#This Row],[Tech Start Date]],6),IF(Main[[#This Row],[Class]]="A",WORKDAY(Main[[#This Row],[Tech Start Date]],2),""))))</f>
        <v/>
      </c>
      <c r="N789" s="104" t="str">
        <f>IF(Main[[#This Row],[Tech Start Date]]&lt;1/1/1990,"",IF(Main[[#This Row],[Class]]="C",WORKDAY(Main[[#This Row],[Tech Start Date]],19),IF(Main[[#This Row],[Class]]="B", WORKDAY(Main[[#This Row],[Tech Start Date]],12),IF(Main[[#This Row],[Class]]="A",WORKDAY(Main[[#This Row],[Tech Start Date]],4),""))))</f>
        <v/>
      </c>
      <c r="O789" s="104" t="str">
        <f>IF(Main[[#This Row],[Tech Start Date]]&lt;1/1/1990,"",IF(Main[[#This Row],[Class]]="C",WORKDAY(Main[[#This Row],[Tech Start Date]],23),IF(Main[[#This Row],[Class]]="B", WORKDAY(Main[[#This Row],[Tech Start Date]],15),IF(Main[[#This Row],[Class]]="A",WORKDAY(Main[[#This Row],[Tech Start Date]],5),""))))</f>
        <v/>
      </c>
      <c r="P789" s="104" t="str">
        <f>IF(Main[[#This Row],[Tech Start Date]]&lt;1/1/1990,"",IF(Main[[#This Row],[Class]]="C",WORKDAY(Main[[#This Row],[Tech Start Date]],28),IF(Main[[#This Row],[Class]]="B", WORKDAY(Main[[#This Row],[Tech Start Date]],19),IF(Main[[#This Row],[Class]]="A",WORKDAY(Main[[#This Row],[Tech Start Date]],9),""))))</f>
        <v/>
      </c>
      <c r="Q789" s="101">
        <v>40480</v>
      </c>
      <c r="R789" s="101"/>
      <c r="S789" s="99" t="s">
        <v>11</v>
      </c>
      <c r="T789" s="107" t="s">
        <v>4</v>
      </c>
      <c r="U789" s="99" t="s">
        <v>14</v>
      </c>
      <c r="V789" s="99" t="s">
        <v>1963</v>
      </c>
      <c r="W789" s="99" t="s">
        <v>1968</v>
      </c>
    </row>
    <row r="790" spans="1:23" ht="18.600000000000001" customHeight="1">
      <c r="A790" s="123" t="str">
        <f>IF(priority(Main[[#This Row],[Comments]])&lt;&gt;0, priority(Main[[#This Row],[Comments]]),"")</f>
        <v/>
      </c>
      <c r="B790" s="127" t="s">
        <v>1652</v>
      </c>
      <c r="C790" s="99" t="s">
        <v>4</v>
      </c>
      <c r="D790" s="100" t="s">
        <v>697</v>
      </c>
      <c r="E790" s="101"/>
      <c r="F790" s="101"/>
      <c r="G790" s="102" t="str">
        <f>IF(stdProdLT(Main[[#This Row],[Comments]])=0.1,"N/A",IF(stdProdLT(Main[[#This Row],[Comments]])=0,"",stdProdLT(Main[[#This Row],[Comments]])))</f>
        <v/>
      </c>
      <c r="H790" s="103" t="str">
        <f>IF(AND(Main[[#This Row],[In Stock Date]]&lt;&gt;"",Main[[#This Row],[Revised Due Date]]&lt;&gt;""),Main[[#This Row],[In Stock Date]]-Main[[#This Row],[Revised Due Date]],"")</f>
        <v/>
      </c>
      <c r="I790" s="99" t="s">
        <v>4</v>
      </c>
      <c r="J790" s="99" t="s">
        <v>4</v>
      </c>
      <c r="K790" s="108" t="s">
        <v>4</v>
      </c>
      <c r="L790" s="101"/>
      <c r="M790" s="104" t="str">
        <f>IF(Main[[#This Row],[Tech Start Date]]&lt;1/1/1990,"",IF(Main[[#This Row],[Class]]="C",WORKDAY(Main[[#This Row],[Tech Start Date]],9),IF(Main[[#This Row],[Class]]="B", WORKDAY(Main[[#This Row],[Tech Start Date]],6),IF(Main[[#This Row],[Class]]="A",WORKDAY(Main[[#This Row],[Tech Start Date]],2),""))))</f>
        <v/>
      </c>
      <c r="N790" s="104" t="str">
        <f>IF(Main[[#This Row],[Tech Start Date]]&lt;1/1/1990,"",IF(Main[[#This Row],[Class]]="C",WORKDAY(Main[[#This Row],[Tech Start Date]],19),IF(Main[[#This Row],[Class]]="B", WORKDAY(Main[[#This Row],[Tech Start Date]],12),IF(Main[[#This Row],[Class]]="A",WORKDAY(Main[[#This Row],[Tech Start Date]],4),""))))</f>
        <v/>
      </c>
      <c r="O790" s="104" t="str">
        <f>IF(Main[[#This Row],[Tech Start Date]]&lt;1/1/1990,"",IF(Main[[#This Row],[Class]]="C",WORKDAY(Main[[#This Row],[Tech Start Date]],23),IF(Main[[#This Row],[Class]]="B", WORKDAY(Main[[#This Row],[Tech Start Date]],15),IF(Main[[#This Row],[Class]]="A",WORKDAY(Main[[#This Row],[Tech Start Date]],5),""))))</f>
        <v/>
      </c>
      <c r="P790" s="104" t="str">
        <f>IF(Main[[#This Row],[Tech Start Date]]&lt;1/1/1990,"",IF(Main[[#This Row],[Class]]="C",WORKDAY(Main[[#This Row],[Tech Start Date]],28),IF(Main[[#This Row],[Class]]="B", WORKDAY(Main[[#This Row],[Tech Start Date]],19),IF(Main[[#This Row],[Class]]="A",WORKDAY(Main[[#This Row],[Tech Start Date]],9),""))))</f>
        <v/>
      </c>
      <c r="Q790" s="101"/>
      <c r="R790" s="101"/>
      <c r="S790" s="99" t="s">
        <v>6</v>
      </c>
      <c r="T790" s="107" t="s">
        <v>4</v>
      </c>
      <c r="U790" s="99" t="s">
        <v>14</v>
      </c>
      <c r="V790" s="99" t="s">
        <v>1962</v>
      </c>
      <c r="W790" s="99" t="s">
        <v>1970</v>
      </c>
    </row>
    <row r="791" spans="1:23" ht="18.600000000000001" customHeight="1">
      <c r="A791" s="123" t="str">
        <f>IF(priority(Main[[#This Row],[Comments]])&lt;&gt;0, priority(Main[[#This Row],[Comments]]),"")</f>
        <v/>
      </c>
      <c r="B791" s="127" t="s">
        <v>2495</v>
      </c>
      <c r="C791" s="99" t="s">
        <v>4</v>
      </c>
      <c r="D791" s="100" t="s">
        <v>2496</v>
      </c>
      <c r="E791" s="101"/>
      <c r="F791" s="101"/>
      <c r="G791" s="102" t="str">
        <f>IF(stdProdLT(Main[[#This Row],[Comments]])=0.1,"N/A",IF(stdProdLT(Main[[#This Row],[Comments]])=0,"",stdProdLT(Main[[#This Row],[Comments]])))</f>
        <v/>
      </c>
      <c r="H791" s="103" t="str">
        <f>IF(AND(Main[[#This Row],[In Stock Date]]&lt;&gt;"",Main[[#This Row],[Revised Due Date]]&lt;&gt;""),Main[[#This Row],[In Stock Date]]-Main[[#This Row],[Revised Due Date]],"")</f>
        <v/>
      </c>
      <c r="I791" s="99" t="s">
        <v>4</v>
      </c>
      <c r="J791" s="99" t="s">
        <v>70</v>
      </c>
      <c r="K791" s="99" t="s">
        <v>4</v>
      </c>
      <c r="L791" s="101"/>
      <c r="M791" s="104" t="str">
        <f>IF(Main[[#This Row],[Tech Start Date]]&lt;1/1/1990,"",IF(Main[[#This Row],[Class]]="C",WORKDAY(Main[[#This Row],[Tech Start Date]],9),IF(Main[[#This Row],[Class]]="B", WORKDAY(Main[[#This Row],[Tech Start Date]],6),IF(Main[[#This Row],[Class]]="A",WORKDAY(Main[[#This Row],[Tech Start Date]],2),""))))</f>
        <v/>
      </c>
      <c r="N791" s="104" t="str">
        <f>IF(Main[[#This Row],[Tech Start Date]]&lt;1/1/1990,"",IF(Main[[#This Row],[Class]]="C",WORKDAY(Main[[#This Row],[Tech Start Date]],19),IF(Main[[#This Row],[Class]]="B", WORKDAY(Main[[#This Row],[Tech Start Date]],12),IF(Main[[#This Row],[Class]]="A",WORKDAY(Main[[#This Row],[Tech Start Date]],4),""))))</f>
        <v/>
      </c>
      <c r="O791" s="104" t="str">
        <f>IF(Main[[#This Row],[Tech Start Date]]&lt;1/1/1990,"",IF(Main[[#This Row],[Class]]="C",WORKDAY(Main[[#This Row],[Tech Start Date]],23),IF(Main[[#This Row],[Class]]="B", WORKDAY(Main[[#This Row],[Tech Start Date]],15),IF(Main[[#This Row],[Class]]="A",WORKDAY(Main[[#This Row],[Tech Start Date]],5),""))))</f>
        <v/>
      </c>
      <c r="P791" s="104" t="str">
        <f>IF(Main[[#This Row],[Tech Start Date]]&lt;1/1/1990,"",IF(Main[[#This Row],[Class]]="C",WORKDAY(Main[[#This Row],[Tech Start Date]],28),IF(Main[[#This Row],[Class]]="B", WORKDAY(Main[[#This Row],[Tech Start Date]],19),IF(Main[[#This Row],[Class]]="A",WORKDAY(Main[[#This Row],[Tech Start Date]],9),""))))</f>
        <v/>
      </c>
      <c r="Q791" s="101">
        <v>40877</v>
      </c>
      <c r="R791" s="101"/>
      <c r="S791" s="99" t="s">
        <v>6</v>
      </c>
      <c r="T791" s="107" t="s">
        <v>4</v>
      </c>
      <c r="U791" s="99" t="s">
        <v>14</v>
      </c>
      <c r="V791" s="99" t="s">
        <v>1965</v>
      </c>
      <c r="W791" s="99" t="s">
        <v>1966</v>
      </c>
    </row>
    <row r="792" spans="1:23" ht="18.600000000000001" customHeight="1">
      <c r="A792" s="123" t="str">
        <f>IF(priority(Main[[#This Row],[Comments]])&lt;&gt;0, priority(Main[[#This Row],[Comments]]),"")</f>
        <v/>
      </c>
      <c r="B792" s="127" t="s">
        <v>1653</v>
      </c>
      <c r="C792" s="99" t="s">
        <v>4</v>
      </c>
      <c r="D792" s="100" t="s">
        <v>698</v>
      </c>
      <c r="E792" s="101"/>
      <c r="F792" s="101"/>
      <c r="G792" s="102" t="str">
        <f>IF(stdProdLT(Main[[#This Row],[Comments]])=0.1,"N/A",IF(stdProdLT(Main[[#This Row],[Comments]])=0,"",stdProdLT(Main[[#This Row],[Comments]])))</f>
        <v/>
      </c>
      <c r="H792" s="103" t="str">
        <f>IF(AND(Main[[#This Row],[In Stock Date]]&lt;&gt;"",Main[[#This Row],[Revised Due Date]]&lt;&gt;""),Main[[#This Row],[In Stock Date]]-Main[[#This Row],[Revised Due Date]],"")</f>
        <v/>
      </c>
      <c r="I792" s="99" t="s">
        <v>4</v>
      </c>
      <c r="J792" s="99" t="s">
        <v>4</v>
      </c>
      <c r="K792" s="99" t="s">
        <v>4</v>
      </c>
      <c r="L792" s="101"/>
      <c r="M792" s="104" t="str">
        <f>IF(Main[[#This Row],[Tech Start Date]]&lt;1/1/1990,"",IF(Main[[#This Row],[Class]]="C",WORKDAY(Main[[#This Row],[Tech Start Date]],9),IF(Main[[#This Row],[Class]]="B", WORKDAY(Main[[#This Row],[Tech Start Date]],6),IF(Main[[#This Row],[Class]]="A",WORKDAY(Main[[#This Row],[Tech Start Date]],2),""))))</f>
        <v/>
      </c>
      <c r="N792" s="104" t="str">
        <f>IF(Main[[#This Row],[Tech Start Date]]&lt;1/1/1990,"",IF(Main[[#This Row],[Class]]="C",WORKDAY(Main[[#This Row],[Tech Start Date]],19),IF(Main[[#This Row],[Class]]="B", WORKDAY(Main[[#This Row],[Tech Start Date]],12),IF(Main[[#This Row],[Class]]="A",WORKDAY(Main[[#This Row],[Tech Start Date]],4),""))))</f>
        <v/>
      </c>
      <c r="O792" s="104" t="str">
        <f>IF(Main[[#This Row],[Tech Start Date]]&lt;1/1/1990,"",IF(Main[[#This Row],[Class]]="C",WORKDAY(Main[[#This Row],[Tech Start Date]],23),IF(Main[[#This Row],[Class]]="B", WORKDAY(Main[[#This Row],[Tech Start Date]],15),IF(Main[[#This Row],[Class]]="A",WORKDAY(Main[[#This Row],[Tech Start Date]],5),""))))</f>
        <v/>
      </c>
      <c r="P792" s="104" t="str">
        <f>IF(Main[[#This Row],[Tech Start Date]]&lt;1/1/1990,"",IF(Main[[#This Row],[Class]]="C",WORKDAY(Main[[#This Row],[Tech Start Date]],28),IF(Main[[#This Row],[Class]]="B", WORKDAY(Main[[#This Row],[Tech Start Date]],19),IF(Main[[#This Row],[Class]]="A",WORKDAY(Main[[#This Row],[Tech Start Date]],9),""))))</f>
        <v/>
      </c>
      <c r="Q792" s="101"/>
      <c r="R792" s="101"/>
      <c r="S792" s="99" t="s">
        <v>6</v>
      </c>
      <c r="T792" s="107" t="s">
        <v>4</v>
      </c>
      <c r="U792" s="99" t="s">
        <v>14</v>
      </c>
      <c r="V792" s="99" t="s">
        <v>1962</v>
      </c>
      <c r="W792" s="99" t="s">
        <v>4</v>
      </c>
    </row>
    <row r="793" spans="1:23" ht="18.600000000000001" customHeight="1">
      <c r="A793" s="123" t="str">
        <f>IF(priority(Main[[#This Row],[Comments]])&lt;&gt;0, priority(Main[[#This Row],[Comments]]),"")</f>
        <v/>
      </c>
      <c r="B793" s="127" t="s">
        <v>3027</v>
      </c>
      <c r="C793" s="99" t="s">
        <v>4</v>
      </c>
      <c r="D793" s="100" t="s">
        <v>3028</v>
      </c>
      <c r="E793" s="101"/>
      <c r="F793" s="101"/>
      <c r="G793" s="102" t="str">
        <f>IF(stdProdLT(Main[[#This Row],[Comments]])=0.1,"N/A",IF(stdProdLT(Main[[#This Row],[Comments]])=0,"",stdProdLT(Main[[#This Row],[Comments]])))</f>
        <v/>
      </c>
      <c r="H793" s="103" t="str">
        <f>IF(AND(Main[[#This Row],[In Stock Date]]&lt;&gt;"",Main[[#This Row],[Revised Due Date]]&lt;&gt;""),Main[[#This Row],[In Stock Date]]-Main[[#This Row],[Revised Due Date]],"")</f>
        <v/>
      </c>
      <c r="I793" s="99" t="s">
        <v>4</v>
      </c>
      <c r="J793" s="99" t="s">
        <v>4</v>
      </c>
      <c r="K793" s="99" t="s">
        <v>4</v>
      </c>
      <c r="L793" s="101"/>
      <c r="M793" s="104" t="str">
        <f>IF(Main[[#This Row],[Tech Start Date]]&lt;1/1/1990,"",IF(Main[[#This Row],[Class]]="C",WORKDAY(Main[[#This Row],[Tech Start Date]],9),IF(Main[[#This Row],[Class]]="B", WORKDAY(Main[[#This Row],[Tech Start Date]],6),IF(Main[[#This Row],[Class]]="A",WORKDAY(Main[[#This Row],[Tech Start Date]],2),""))))</f>
        <v/>
      </c>
      <c r="N793" s="104" t="str">
        <f>IF(Main[[#This Row],[Tech Start Date]]&lt;1/1/1990,"",IF(Main[[#This Row],[Class]]="C",WORKDAY(Main[[#This Row],[Tech Start Date]],19),IF(Main[[#This Row],[Class]]="B", WORKDAY(Main[[#This Row],[Tech Start Date]],12),IF(Main[[#This Row],[Class]]="A",WORKDAY(Main[[#This Row],[Tech Start Date]],4),""))))</f>
        <v/>
      </c>
      <c r="O793" s="104" t="str">
        <f>IF(Main[[#This Row],[Tech Start Date]]&lt;1/1/1990,"",IF(Main[[#This Row],[Class]]="C",WORKDAY(Main[[#This Row],[Tech Start Date]],23),IF(Main[[#This Row],[Class]]="B", WORKDAY(Main[[#This Row],[Tech Start Date]],15),IF(Main[[#This Row],[Class]]="A",WORKDAY(Main[[#This Row],[Tech Start Date]],5),""))))</f>
        <v/>
      </c>
      <c r="P793" s="104" t="str">
        <f>IF(Main[[#This Row],[Tech Start Date]]&lt;1/1/1990,"",IF(Main[[#This Row],[Class]]="C",WORKDAY(Main[[#This Row],[Tech Start Date]],28),IF(Main[[#This Row],[Class]]="B", WORKDAY(Main[[#This Row],[Tech Start Date]],19),IF(Main[[#This Row],[Class]]="A",WORKDAY(Main[[#This Row],[Tech Start Date]],9),""))))</f>
        <v/>
      </c>
      <c r="Q793" s="101">
        <v>40884</v>
      </c>
      <c r="R793" s="101"/>
      <c r="S793" s="99" t="s">
        <v>4</v>
      </c>
      <c r="T793" s="107" t="s">
        <v>4</v>
      </c>
      <c r="U793" s="99" t="s">
        <v>14</v>
      </c>
      <c r="V793" s="99" t="s">
        <v>1972</v>
      </c>
      <c r="W793" s="99" t="s">
        <v>1970</v>
      </c>
    </row>
    <row r="794" spans="1:23" ht="18.600000000000001" customHeight="1">
      <c r="A794" s="123" t="str">
        <f>IF(priority(Main[[#This Row],[Comments]])&lt;&gt;0, priority(Main[[#This Row],[Comments]]),"")</f>
        <v/>
      </c>
      <c r="B794" s="127" t="s">
        <v>2135</v>
      </c>
      <c r="C794" s="99" t="s">
        <v>4</v>
      </c>
      <c r="D794" s="100" t="s">
        <v>2507</v>
      </c>
      <c r="E794" s="101">
        <v>40760.554780092592</v>
      </c>
      <c r="F794" s="101"/>
      <c r="G794" s="102" t="str">
        <f>IF(stdProdLT(Main[[#This Row],[Comments]])=0.1,"N/A",IF(stdProdLT(Main[[#This Row],[Comments]])=0,"",stdProdLT(Main[[#This Row],[Comments]])))</f>
        <v/>
      </c>
      <c r="H794" s="103" t="str">
        <f>IF(AND(Main[[#This Row],[In Stock Date]]&lt;&gt;"",Main[[#This Row],[Revised Due Date]]&lt;&gt;""),Main[[#This Row],[In Stock Date]]-Main[[#This Row],[Revised Due Date]],"")</f>
        <v/>
      </c>
      <c r="I794" s="99" t="s">
        <v>4</v>
      </c>
      <c r="J794" s="99" t="s">
        <v>4</v>
      </c>
      <c r="K794" s="108" t="s">
        <v>4</v>
      </c>
      <c r="L794" s="101"/>
      <c r="M794" s="104" t="str">
        <f>IF(Main[[#This Row],[Tech Start Date]]&lt;1/1/1990,"",IF(Main[[#This Row],[Class]]="C",WORKDAY(Main[[#This Row],[Tech Start Date]],9),IF(Main[[#This Row],[Class]]="B", WORKDAY(Main[[#This Row],[Tech Start Date]],6),IF(Main[[#This Row],[Class]]="A",WORKDAY(Main[[#This Row],[Tech Start Date]],2),""))))</f>
        <v/>
      </c>
      <c r="N794" s="104" t="str">
        <f>IF(Main[[#This Row],[Tech Start Date]]&lt;1/1/1990,"",IF(Main[[#This Row],[Class]]="C",WORKDAY(Main[[#This Row],[Tech Start Date]],19),IF(Main[[#This Row],[Class]]="B", WORKDAY(Main[[#This Row],[Tech Start Date]],12),IF(Main[[#This Row],[Class]]="A",WORKDAY(Main[[#This Row],[Tech Start Date]],4),""))))</f>
        <v/>
      </c>
      <c r="O794" s="104" t="str">
        <f>IF(Main[[#This Row],[Tech Start Date]]&lt;1/1/1990,"",IF(Main[[#This Row],[Class]]="C",WORKDAY(Main[[#This Row],[Tech Start Date]],23),IF(Main[[#This Row],[Class]]="B", WORKDAY(Main[[#This Row],[Tech Start Date]],15),IF(Main[[#This Row],[Class]]="A",WORKDAY(Main[[#This Row],[Tech Start Date]],5),""))))</f>
        <v/>
      </c>
      <c r="P794" s="104" t="str">
        <f>IF(Main[[#This Row],[Tech Start Date]]&lt;1/1/1990,"",IF(Main[[#This Row],[Class]]="C",WORKDAY(Main[[#This Row],[Tech Start Date]],28),IF(Main[[#This Row],[Class]]="B", WORKDAY(Main[[#This Row],[Tech Start Date]],19),IF(Main[[#This Row],[Class]]="A",WORKDAY(Main[[#This Row],[Tech Start Date]],9),""))))</f>
        <v/>
      </c>
      <c r="Q794" s="101"/>
      <c r="R794" s="101"/>
      <c r="S794" s="99" t="s">
        <v>6</v>
      </c>
      <c r="T794" s="107" t="s">
        <v>4</v>
      </c>
      <c r="U794" s="99" t="s">
        <v>7</v>
      </c>
      <c r="V794" s="99" t="s">
        <v>1962</v>
      </c>
      <c r="W794" s="99" t="s">
        <v>1966</v>
      </c>
    </row>
    <row r="795" spans="1:23" ht="18.600000000000001" customHeight="1">
      <c r="A795" s="123" t="str">
        <f>IF(priority(Main[[#This Row],[Comments]])&lt;&gt;0, priority(Main[[#This Row],[Comments]]),"")</f>
        <v/>
      </c>
      <c r="B795" s="127" t="s">
        <v>1661</v>
      </c>
      <c r="C795" s="99" t="s">
        <v>4</v>
      </c>
      <c r="D795" s="100" t="s">
        <v>709</v>
      </c>
      <c r="E795" s="101"/>
      <c r="F795" s="101"/>
      <c r="G795" s="102" t="str">
        <f>IF(stdProdLT(Main[[#This Row],[Comments]])=0.1,"N/A",IF(stdProdLT(Main[[#This Row],[Comments]])=0,"",stdProdLT(Main[[#This Row],[Comments]])))</f>
        <v/>
      </c>
      <c r="H795" s="103" t="str">
        <f>IF(AND(Main[[#This Row],[In Stock Date]]&lt;&gt;"",Main[[#This Row],[Revised Due Date]]&lt;&gt;""),Main[[#This Row],[In Stock Date]]-Main[[#This Row],[Revised Due Date]],"")</f>
        <v/>
      </c>
      <c r="I795" s="99" t="s">
        <v>4</v>
      </c>
      <c r="J795" s="99" t="s">
        <v>4</v>
      </c>
      <c r="K795" s="99" t="s">
        <v>4</v>
      </c>
      <c r="L795" s="101"/>
      <c r="M795" s="104" t="str">
        <f>IF(Main[[#This Row],[Tech Start Date]]&lt;1/1/1990,"",IF(Main[[#This Row],[Class]]="C",WORKDAY(Main[[#This Row],[Tech Start Date]],9),IF(Main[[#This Row],[Class]]="B", WORKDAY(Main[[#This Row],[Tech Start Date]],6),IF(Main[[#This Row],[Class]]="A",WORKDAY(Main[[#This Row],[Tech Start Date]],2),""))))</f>
        <v/>
      </c>
      <c r="N795" s="104" t="str">
        <f>IF(Main[[#This Row],[Tech Start Date]]&lt;1/1/1990,"",IF(Main[[#This Row],[Class]]="C",WORKDAY(Main[[#This Row],[Tech Start Date]],19),IF(Main[[#This Row],[Class]]="B", WORKDAY(Main[[#This Row],[Tech Start Date]],12),IF(Main[[#This Row],[Class]]="A",WORKDAY(Main[[#This Row],[Tech Start Date]],4),""))))</f>
        <v/>
      </c>
      <c r="O795" s="104" t="str">
        <f>IF(Main[[#This Row],[Tech Start Date]]&lt;1/1/1990,"",IF(Main[[#This Row],[Class]]="C",WORKDAY(Main[[#This Row],[Tech Start Date]],23),IF(Main[[#This Row],[Class]]="B", WORKDAY(Main[[#This Row],[Tech Start Date]],15),IF(Main[[#This Row],[Class]]="A",WORKDAY(Main[[#This Row],[Tech Start Date]],5),""))))</f>
        <v/>
      </c>
      <c r="P795" s="104" t="str">
        <f>IF(Main[[#This Row],[Tech Start Date]]&lt;1/1/1990,"",IF(Main[[#This Row],[Class]]="C",WORKDAY(Main[[#This Row],[Tech Start Date]],28),IF(Main[[#This Row],[Class]]="B", WORKDAY(Main[[#This Row],[Tech Start Date]],19),IF(Main[[#This Row],[Class]]="A",WORKDAY(Main[[#This Row],[Tech Start Date]],9),""))))</f>
        <v/>
      </c>
      <c r="Q795" s="101"/>
      <c r="R795" s="101"/>
      <c r="S795" s="99" t="s">
        <v>49</v>
      </c>
      <c r="T795" s="107" t="s">
        <v>4</v>
      </c>
      <c r="U795" s="99" t="s">
        <v>14</v>
      </c>
      <c r="V795" s="99" t="s">
        <v>1962</v>
      </c>
      <c r="W795" s="99" t="s">
        <v>1966</v>
      </c>
    </row>
    <row r="796" spans="1:23" ht="18.600000000000001" customHeight="1">
      <c r="A796" s="123" t="str">
        <f>IF(priority(Main[[#This Row],[Comments]])&lt;&gt;0, priority(Main[[#This Row],[Comments]]),"")</f>
        <v/>
      </c>
      <c r="B796" s="127" t="s">
        <v>1662</v>
      </c>
      <c r="C796" s="99" t="s">
        <v>4</v>
      </c>
      <c r="D796" s="100" t="s">
        <v>710</v>
      </c>
      <c r="E796" s="101"/>
      <c r="F796" s="101"/>
      <c r="G796" s="102" t="str">
        <f>IF(stdProdLT(Main[[#This Row],[Comments]])=0.1,"N/A",IF(stdProdLT(Main[[#This Row],[Comments]])=0,"",stdProdLT(Main[[#This Row],[Comments]])))</f>
        <v/>
      </c>
      <c r="H796" s="103" t="str">
        <f>IF(AND(Main[[#This Row],[In Stock Date]]&lt;&gt;"",Main[[#This Row],[Revised Due Date]]&lt;&gt;""),Main[[#This Row],[In Stock Date]]-Main[[#This Row],[Revised Due Date]],"")</f>
        <v/>
      </c>
      <c r="I796" s="99" t="s">
        <v>4</v>
      </c>
      <c r="J796" s="99" t="s">
        <v>4</v>
      </c>
      <c r="K796" s="99" t="s">
        <v>4</v>
      </c>
      <c r="L796" s="101"/>
      <c r="M796" s="104" t="str">
        <f>IF(Main[[#This Row],[Tech Start Date]]&lt;1/1/1990,"",IF(Main[[#This Row],[Class]]="C",WORKDAY(Main[[#This Row],[Tech Start Date]],9),IF(Main[[#This Row],[Class]]="B", WORKDAY(Main[[#This Row],[Tech Start Date]],6),IF(Main[[#This Row],[Class]]="A",WORKDAY(Main[[#This Row],[Tech Start Date]],2),""))))</f>
        <v/>
      </c>
      <c r="N796" s="104" t="str">
        <f>IF(Main[[#This Row],[Tech Start Date]]&lt;1/1/1990,"",IF(Main[[#This Row],[Class]]="C",WORKDAY(Main[[#This Row],[Tech Start Date]],19),IF(Main[[#This Row],[Class]]="B", WORKDAY(Main[[#This Row],[Tech Start Date]],12),IF(Main[[#This Row],[Class]]="A",WORKDAY(Main[[#This Row],[Tech Start Date]],4),""))))</f>
        <v/>
      </c>
      <c r="O796" s="104" t="str">
        <f>IF(Main[[#This Row],[Tech Start Date]]&lt;1/1/1990,"",IF(Main[[#This Row],[Class]]="C",WORKDAY(Main[[#This Row],[Tech Start Date]],23),IF(Main[[#This Row],[Class]]="B", WORKDAY(Main[[#This Row],[Tech Start Date]],15),IF(Main[[#This Row],[Class]]="A",WORKDAY(Main[[#This Row],[Tech Start Date]],5),""))))</f>
        <v/>
      </c>
      <c r="P796" s="104" t="str">
        <f>IF(Main[[#This Row],[Tech Start Date]]&lt;1/1/1990,"",IF(Main[[#This Row],[Class]]="C",WORKDAY(Main[[#This Row],[Tech Start Date]],28),IF(Main[[#This Row],[Class]]="B", WORKDAY(Main[[#This Row],[Tech Start Date]],19),IF(Main[[#This Row],[Class]]="A",WORKDAY(Main[[#This Row],[Tech Start Date]],9),""))))</f>
        <v/>
      </c>
      <c r="Q796" s="101"/>
      <c r="R796" s="101"/>
      <c r="S796" s="99" t="s">
        <v>11</v>
      </c>
      <c r="T796" s="107" t="s">
        <v>4</v>
      </c>
      <c r="U796" s="99" t="s">
        <v>14</v>
      </c>
      <c r="V796" s="99" t="s">
        <v>1965</v>
      </c>
      <c r="W796" s="99" t="s">
        <v>1970</v>
      </c>
    </row>
    <row r="797" spans="1:23" ht="18.600000000000001" customHeight="1">
      <c r="A797" s="123" t="str">
        <f>IF(priority(Main[[#This Row],[Comments]])&lt;&gt;0, priority(Main[[#This Row],[Comments]]),"")</f>
        <v/>
      </c>
      <c r="B797" s="127" t="s">
        <v>1663</v>
      </c>
      <c r="C797" s="99" t="s">
        <v>214</v>
      </c>
      <c r="D797" s="100" t="s">
        <v>215</v>
      </c>
      <c r="E797" s="101"/>
      <c r="F797" s="101">
        <v>40452</v>
      </c>
      <c r="G797" s="102" t="str">
        <f>IF(stdProdLT(Main[[#This Row],[Comments]])=0.1,"N/A",IF(stdProdLT(Main[[#This Row],[Comments]])=0,"",stdProdLT(Main[[#This Row],[Comments]])))</f>
        <v/>
      </c>
      <c r="H797" s="103" t="str">
        <f>IF(AND(Main[[#This Row],[In Stock Date]]&lt;&gt;"",Main[[#This Row],[Revised Due Date]]&lt;&gt;""),Main[[#This Row],[In Stock Date]]-Main[[#This Row],[Revised Due Date]],"")</f>
        <v/>
      </c>
      <c r="I797" s="99" t="s">
        <v>4</v>
      </c>
      <c r="J797" s="99" t="s">
        <v>4</v>
      </c>
      <c r="K797" s="108" t="s">
        <v>4</v>
      </c>
      <c r="L797" s="101"/>
      <c r="M797" s="104" t="str">
        <f>IF(Main[[#This Row],[Tech Start Date]]&lt;1/1/1990,"",IF(Main[[#This Row],[Class]]="C",WORKDAY(Main[[#This Row],[Tech Start Date]],9),IF(Main[[#This Row],[Class]]="B", WORKDAY(Main[[#This Row],[Tech Start Date]],6),IF(Main[[#This Row],[Class]]="A",WORKDAY(Main[[#This Row],[Tech Start Date]],2),""))))</f>
        <v/>
      </c>
      <c r="N797" s="104" t="str">
        <f>IF(Main[[#This Row],[Tech Start Date]]&lt;1/1/1990,"",IF(Main[[#This Row],[Class]]="C",WORKDAY(Main[[#This Row],[Tech Start Date]],19),IF(Main[[#This Row],[Class]]="B", WORKDAY(Main[[#This Row],[Tech Start Date]],12),IF(Main[[#This Row],[Class]]="A",WORKDAY(Main[[#This Row],[Tech Start Date]],4),""))))</f>
        <v/>
      </c>
      <c r="O797" s="104" t="str">
        <f>IF(Main[[#This Row],[Tech Start Date]]&lt;1/1/1990,"",IF(Main[[#This Row],[Class]]="C",WORKDAY(Main[[#This Row],[Tech Start Date]],23),IF(Main[[#This Row],[Class]]="B", WORKDAY(Main[[#This Row],[Tech Start Date]],15),IF(Main[[#This Row],[Class]]="A",WORKDAY(Main[[#This Row],[Tech Start Date]],5),""))))</f>
        <v/>
      </c>
      <c r="P797" s="104" t="str">
        <f>IF(Main[[#This Row],[Tech Start Date]]&lt;1/1/1990,"",IF(Main[[#This Row],[Class]]="C",WORKDAY(Main[[#This Row],[Tech Start Date]],28),IF(Main[[#This Row],[Class]]="B", WORKDAY(Main[[#This Row],[Tech Start Date]],19),IF(Main[[#This Row],[Class]]="A",WORKDAY(Main[[#This Row],[Tech Start Date]],9),""))))</f>
        <v/>
      </c>
      <c r="Q797" s="101">
        <v>40357</v>
      </c>
      <c r="R797" s="101"/>
      <c r="S797" s="99" t="s">
        <v>11</v>
      </c>
      <c r="T797" s="107" t="s">
        <v>4</v>
      </c>
      <c r="U797" s="99" t="s">
        <v>12</v>
      </c>
      <c r="V797" s="99" t="s">
        <v>1962</v>
      </c>
      <c r="W797" s="99" t="s">
        <v>1970</v>
      </c>
    </row>
    <row r="798" spans="1:23" ht="18.600000000000001" customHeight="1">
      <c r="A798" s="123" t="str">
        <f>IF(priority(Main[[#This Row],[Comments]])&lt;&gt;0, priority(Main[[#This Row],[Comments]]),"")</f>
        <v/>
      </c>
      <c r="B798" s="127" t="s">
        <v>2300</v>
      </c>
      <c r="C798" s="99" t="s">
        <v>4</v>
      </c>
      <c r="D798" s="100" t="s">
        <v>2301</v>
      </c>
      <c r="E798" s="101">
        <v>40802.257071759261</v>
      </c>
      <c r="F798" s="101"/>
      <c r="G798" s="102" t="str">
        <f>IF(stdProdLT(Main[[#This Row],[Comments]])=0.1,"N/A",IF(stdProdLT(Main[[#This Row],[Comments]])=0,"",stdProdLT(Main[[#This Row],[Comments]])))</f>
        <v/>
      </c>
      <c r="H798" s="103" t="str">
        <f>IF(AND(Main[[#This Row],[In Stock Date]]&lt;&gt;"",Main[[#This Row],[Revised Due Date]]&lt;&gt;""),Main[[#This Row],[In Stock Date]]-Main[[#This Row],[Revised Due Date]],"")</f>
        <v/>
      </c>
      <c r="I798" s="99" t="s">
        <v>4</v>
      </c>
      <c r="J798" s="99" t="s">
        <v>4</v>
      </c>
      <c r="K798" s="99" t="s">
        <v>4</v>
      </c>
      <c r="L798" s="101"/>
      <c r="M798" s="104" t="str">
        <f>IF(Main[[#This Row],[Tech Start Date]]&lt;1/1/1990,"",IF(Main[[#This Row],[Class]]="C",WORKDAY(Main[[#This Row],[Tech Start Date]],9),IF(Main[[#This Row],[Class]]="B", WORKDAY(Main[[#This Row],[Tech Start Date]],6),IF(Main[[#This Row],[Class]]="A",WORKDAY(Main[[#This Row],[Tech Start Date]],2),""))))</f>
        <v/>
      </c>
      <c r="N798" s="104" t="str">
        <f>IF(Main[[#This Row],[Tech Start Date]]&lt;1/1/1990,"",IF(Main[[#This Row],[Class]]="C",WORKDAY(Main[[#This Row],[Tech Start Date]],19),IF(Main[[#This Row],[Class]]="B", WORKDAY(Main[[#This Row],[Tech Start Date]],12),IF(Main[[#This Row],[Class]]="A",WORKDAY(Main[[#This Row],[Tech Start Date]],4),""))))</f>
        <v/>
      </c>
      <c r="O798" s="104" t="str">
        <f>IF(Main[[#This Row],[Tech Start Date]]&lt;1/1/1990,"",IF(Main[[#This Row],[Class]]="C",WORKDAY(Main[[#This Row],[Tech Start Date]],23),IF(Main[[#This Row],[Class]]="B", WORKDAY(Main[[#This Row],[Tech Start Date]],15),IF(Main[[#This Row],[Class]]="A",WORKDAY(Main[[#This Row],[Tech Start Date]],5),""))))</f>
        <v/>
      </c>
      <c r="P798" s="104" t="str">
        <f>IF(Main[[#This Row],[Tech Start Date]]&lt;1/1/1990,"",IF(Main[[#This Row],[Class]]="C",WORKDAY(Main[[#This Row],[Tech Start Date]],28),IF(Main[[#This Row],[Class]]="B", WORKDAY(Main[[#This Row],[Tech Start Date]],19),IF(Main[[#This Row],[Class]]="A",WORKDAY(Main[[#This Row],[Tech Start Date]],9),""))))</f>
        <v/>
      </c>
      <c r="Q798" s="101">
        <v>40816</v>
      </c>
      <c r="R798" s="101"/>
      <c r="S798" s="99" t="s">
        <v>6</v>
      </c>
      <c r="T798" s="107" t="s">
        <v>4</v>
      </c>
      <c r="U798" s="99" t="s">
        <v>7</v>
      </c>
      <c r="V798" s="99" t="s">
        <v>1962</v>
      </c>
      <c r="W798" s="99" t="s">
        <v>1970</v>
      </c>
    </row>
    <row r="799" spans="1:23" ht="18.600000000000001" customHeight="1">
      <c r="A799" s="123" t="str">
        <f>IF(priority(Main[[#This Row],[Comments]])&lt;&gt;0, priority(Main[[#This Row],[Comments]]),"")</f>
        <v/>
      </c>
      <c r="B799" s="127" t="s">
        <v>1665</v>
      </c>
      <c r="C799" s="99" t="s">
        <v>352</v>
      </c>
      <c r="D799" s="100" t="s">
        <v>712</v>
      </c>
      <c r="E799" s="101"/>
      <c r="F799" s="101">
        <v>40664</v>
      </c>
      <c r="G799" s="102" t="str">
        <f>IF(stdProdLT(Main[[#This Row],[Comments]])=0.1,"N/A",IF(stdProdLT(Main[[#This Row],[Comments]])=0,"",stdProdLT(Main[[#This Row],[Comments]])))</f>
        <v/>
      </c>
      <c r="H799" s="103" t="str">
        <f>IF(AND(Main[[#This Row],[In Stock Date]]&lt;&gt;"",Main[[#This Row],[Revised Due Date]]&lt;&gt;""),Main[[#This Row],[In Stock Date]]-Main[[#This Row],[Revised Due Date]],"")</f>
        <v/>
      </c>
      <c r="I799" s="99" t="s">
        <v>404</v>
      </c>
      <c r="J799" s="99" t="s">
        <v>75</v>
      </c>
      <c r="K799" s="99" t="s">
        <v>1969</v>
      </c>
      <c r="L799" s="101"/>
      <c r="M799" s="104" t="str">
        <f>IF(Main[[#This Row],[Tech Start Date]]&lt;1/1/1990,"",IF(Main[[#This Row],[Class]]="C",WORKDAY(Main[[#This Row],[Tech Start Date]],9),IF(Main[[#This Row],[Class]]="B", WORKDAY(Main[[#This Row],[Tech Start Date]],6),IF(Main[[#This Row],[Class]]="A",WORKDAY(Main[[#This Row],[Tech Start Date]],2),""))))</f>
        <v/>
      </c>
      <c r="N799" s="104" t="str">
        <f>IF(Main[[#This Row],[Tech Start Date]]&lt;1/1/1990,"",IF(Main[[#This Row],[Class]]="C",WORKDAY(Main[[#This Row],[Tech Start Date]],19),IF(Main[[#This Row],[Class]]="B", WORKDAY(Main[[#This Row],[Tech Start Date]],12),IF(Main[[#This Row],[Class]]="A",WORKDAY(Main[[#This Row],[Tech Start Date]],4),""))))</f>
        <v/>
      </c>
      <c r="O799" s="104" t="str">
        <f>IF(Main[[#This Row],[Tech Start Date]]&lt;1/1/1990,"",IF(Main[[#This Row],[Class]]="C",WORKDAY(Main[[#This Row],[Tech Start Date]],23),IF(Main[[#This Row],[Class]]="B", WORKDAY(Main[[#This Row],[Tech Start Date]],15),IF(Main[[#This Row],[Class]]="A",WORKDAY(Main[[#This Row],[Tech Start Date]],5),""))))</f>
        <v/>
      </c>
      <c r="P799" s="104" t="str">
        <f>IF(Main[[#This Row],[Tech Start Date]]&lt;1/1/1990,"",IF(Main[[#This Row],[Class]]="C",WORKDAY(Main[[#This Row],[Tech Start Date]],28),IF(Main[[#This Row],[Class]]="B", WORKDAY(Main[[#This Row],[Tech Start Date]],19),IF(Main[[#This Row],[Class]]="A",WORKDAY(Main[[#This Row],[Tech Start Date]],9),""))))</f>
        <v/>
      </c>
      <c r="Q799" s="101"/>
      <c r="R799" s="101"/>
      <c r="S799" s="99" t="s">
        <v>11</v>
      </c>
      <c r="T799" s="107" t="s">
        <v>4</v>
      </c>
      <c r="U799" s="99" t="s">
        <v>14</v>
      </c>
      <c r="V799" s="99" t="s">
        <v>1965</v>
      </c>
      <c r="W799" s="99" t="s">
        <v>1968</v>
      </c>
    </row>
    <row r="800" spans="1:23" ht="18.600000000000001" customHeight="1">
      <c r="A800" s="123" t="str">
        <f>IF(priority(Main[[#This Row],[Comments]])&lt;&gt;0, priority(Main[[#This Row],[Comments]]),"")</f>
        <v/>
      </c>
      <c r="B800" s="127" t="s">
        <v>1666</v>
      </c>
      <c r="C800" s="99" t="s">
        <v>4</v>
      </c>
      <c r="D800" s="100" t="s">
        <v>97</v>
      </c>
      <c r="E800" s="101"/>
      <c r="F800" s="101"/>
      <c r="G800" s="102" t="str">
        <f>IF(stdProdLT(Main[[#This Row],[Comments]])=0.1,"N/A",IF(stdProdLT(Main[[#This Row],[Comments]])=0,"",stdProdLT(Main[[#This Row],[Comments]])))</f>
        <v/>
      </c>
      <c r="H800" s="103" t="str">
        <f>IF(AND(Main[[#This Row],[In Stock Date]]&lt;&gt;"",Main[[#This Row],[Revised Due Date]]&lt;&gt;""),Main[[#This Row],[In Stock Date]]-Main[[#This Row],[Revised Due Date]],"")</f>
        <v/>
      </c>
      <c r="I800" s="99" t="s">
        <v>4</v>
      </c>
      <c r="J800" s="99" t="s">
        <v>4</v>
      </c>
      <c r="K800" s="99" t="s">
        <v>4</v>
      </c>
      <c r="L800" s="101"/>
      <c r="M800" s="104" t="str">
        <f>IF(Main[[#This Row],[Tech Start Date]]&lt;1/1/1990,"",IF(Main[[#This Row],[Class]]="C",WORKDAY(Main[[#This Row],[Tech Start Date]],9),IF(Main[[#This Row],[Class]]="B", WORKDAY(Main[[#This Row],[Tech Start Date]],6),IF(Main[[#This Row],[Class]]="A",WORKDAY(Main[[#This Row],[Tech Start Date]],2),""))))</f>
        <v/>
      </c>
      <c r="N800" s="104" t="str">
        <f>IF(Main[[#This Row],[Tech Start Date]]&lt;1/1/1990,"",IF(Main[[#This Row],[Class]]="C",WORKDAY(Main[[#This Row],[Tech Start Date]],19),IF(Main[[#This Row],[Class]]="B", WORKDAY(Main[[#This Row],[Tech Start Date]],12),IF(Main[[#This Row],[Class]]="A",WORKDAY(Main[[#This Row],[Tech Start Date]],4),""))))</f>
        <v/>
      </c>
      <c r="O800" s="104" t="str">
        <f>IF(Main[[#This Row],[Tech Start Date]]&lt;1/1/1990,"",IF(Main[[#This Row],[Class]]="C",WORKDAY(Main[[#This Row],[Tech Start Date]],23),IF(Main[[#This Row],[Class]]="B", WORKDAY(Main[[#This Row],[Tech Start Date]],15),IF(Main[[#This Row],[Class]]="A",WORKDAY(Main[[#This Row],[Tech Start Date]],5),""))))</f>
        <v/>
      </c>
      <c r="P800" s="104" t="str">
        <f>IF(Main[[#This Row],[Tech Start Date]]&lt;1/1/1990,"",IF(Main[[#This Row],[Class]]="C",WORKDAY(Main[[#This Row],[Tech Start Date]],28),IF(Main[[#This Row],[Class]]="B", WORKDAY(Main[[#This Row],[Tech Start Date]],19),IF(Main[[#This Row],[Class]]="A",WORKDAY(Main[[#This Row],[Tech Start Date]],9),""))))</f>
        <v/>
      </c>
      <c r="Q800" s="101">
        <v>40858</v>
      </c>
      <c r="R800" s="101"/>
      <c r="S800" s="99" t="s">
        <v>17</v>
      </c>
      <c r="T800" s="107" t="s">
        <v>4</v>
      </c>
      <c r="U800" s="99" t="s">
        <v>14</v>
      </c>
      <c r="V800" s="99" t="s">
        <v>1962</v>
      </c>
      <c r="W800" s="99" t="s">
        <v>1967</v>
      </c>
    </row>
    <row r="801" spans="1:23" ht="18.600000000000001" customHeight="1">
      <c r="A801" s="123" t="str">
        <f>IF(priority(Main[[#This Row],[Comments]])&lt;&gt;0, priority(Main[[#This Row],[Comments]]),"")</f>
        <v/>
      </c>
      <c r="B801" s="127" t="s">
        <v>1667</v>
      </c>
      <c r="C801" s="99" t="s">
        <v>4</v>
      </c>
      <c r="D801" s="100" t="s">
        <v>97</v>
      </c>
      <c r="E801" s="101"/>
      <c r="F801" s="101"/>
      <c r="G801" s="102" t="str">
        <f>IF(stdProdLT(Main[[#This Row],[Comments]])=0.1,"N/A",IF(stdProdLT(Main[[#This Row],[Comments]])=0,"",stdProdLT(Main[[#This Row],[Comments]])))</f>
        <v/>
      </c>
      <c r="H801" s="103" t="str">
        <f>IF(AND(Main[[#This Row],[In Stock Date]]&lt;&gt;"",Main[[#This Row],[Revised Due Date]]&lt;&gt;""),Main[[#This Row],[In Stock Date]]-Main[[#This Row],[Revised Due Date]],"")</f>
        <v/>
      </c>
      <c r="I801" s="99" t="s">
        <v>4</v>
      </c>
      <c r="J801" s="99" t="s">
        <v>4</v>
      </c>
      <c r="K801" s="99" t="s">
        <v>4</v>
      </c>
      <c r="L801" s="101"/>
      <c r="M801" s="104" t="str">
        <f>IF(Main[[#This Row],[Tech Start Date]]&lt;1/1/1990,"",IF(Main[[#This Row],[Class]]="C",WORKDAY(Main[[#This Row],[Tech Start Date]],9),IF(Main[[#This Row],[Class]]="B", WORKDAY(Main[[#This Row],[Tech Start Date]],6),IF(Main[[#This Row],[Class]]="A",WORKDAY(Main[[#This Row],[Tech Start Date]],2),""))))</f>
        <v/>
      </c>
      <c r="N801" s="104" t="str">
        <f>IF(Main[[#This Row],[Tech Start Date]]&lt;1/1/1990,"",IF(Main[[#This Row],[Class]]="C",WORKDAY(Main[[#This Row],[Tech Start Date]],19),IF(Main[[#This Row],[Class]]="B", WORKDAY(Main[[#This Row],[Tech Start Date]],12),IF(Main[[#This Row],[Class]]="A",WORKDAY(Main[[#This Row],[Tech Start Date]],4),""))))</f>
        <v/>
      </c>
      <c r="O801" s="104" t="str">
        <f>IF(Main[[#This Row],[Tech Start Date]]&lt;1/1/1990,"",IF(Main[[#This Row],[Class]]="C",WORKDAY(Main[[#This Row],[Tech Start Date]],23),IF(Main[[#This Row],[Class]]="B", WORKDAY(Main[[#This Row],[Tech Start Date]],15),IF(Main[[#This Row],[Class]]="A",WORKDAY(Main[[#This Row],[Tech Start Date]],5),""))))</f>
        <v/>
      </c>
      <c r="P801" s="104" t="str">
        <f>IF(Main[[#This Row],[Tech Start Date]]&lt;1/1/1990,"",IF(Main[[#This Row],[Class]]="C",WORKDAY(Main[[#This Row],[Tech Start Date]],28),IF(Main[[#This Row],[Class]]="B", WORKDAY(Main[[#This Row],[Tech Start Date]],19),IF(Main[[#This Row],[Class]]="A",WORKDAY(Main[[#This Row],[Tech Start Date]],9),""))))</f>
        <v/>
      </c>
      <c r="Q801" s="101">
        <v>40858</v>
      </c>
      <c r="R801" s="101"/>
      <c r="S801" s="99" t="s">
        <v>17</v>
      </c>
      <c r="T801" s="107" t="s">
        <v>4</v>
      </c>
      <c r="U801" s="99" t="s">
        <v>12</v>
      </c>
      <c r="V801" s="99" t="s">
        <v>1962</v>
      </c>
      <c r="W801" s="99" t="s">
        <v>1967</v>
      </c>
    </row>
    <row r="802" spans="1:23" ht="18.600000000000001" customHeight="1">
      <c r="A802" s="123" t="str">
        <f>IF(priority(Main[[#This Row],[Comments]])&lt;&gt;0, priority(Main[[#This Row],[Comments]]),"")</f>
        <v/>
      </c>
      <c r="B802" s="127" t="s">
        <v>1668</v>
      </c>
      <c r="C802" s="99" t="s">
        <v>4</v>
      </c>
      <c r="D802" s="100" t="s">
        <v>713</v>
      </c>
      <c r="E802" s="101">
        <v>40455.919641203705</v>
      </c>
      <c r="F802" s="101"/>
      <c r="G802" s="102" t="str">
        <f>IF(stdProdLT(Main[[#This Row],[Comments]])=0.1,"N/A",IF(stdProdLT(Main[[#This Row],[Comments]])=0,"",stdProdLT(Main[[#This Row],[Comments]])))</f>
        <v/>
      </c>
      <c r="H802" s="103" t="str">
        <f>IF(AND(Main[[#This Row],[In Stock Date]]&lt;&gt;"",Main[[#This Row],[Revised Due Date]]&lt;&gt;""),Main[[#This Row],[In Stock Date]]-Main[[#This Row],[Revised Due Date]],"")</f>
        <v/>
      </c>
      <c r="I802" s="99" t="s">
        <v>4</v>
      </c>
      <c r="J802" s="99" t="s">
        <v>28</v>
      </c>
      <c r="K802" s="99" t="s">
        <v>1974</v>
      </c>
      <c r="L802" s="101"/>
      <c r="M802" s="104" t="str">
        <f>IF(Main[[#This Row],[Tech Start Date]]&lt;1/1/1990,"",IF(Main[[#This Row],[Class]]="C",WORKDAY(Main[[#This Row],[Tech Start Date]],9),IF(Main[[#This Row],[Class]]="B", WORKDAY(Main[[#This Row],[Tech Start Date]],6),IF(Main[[#This Row],[Class]]="A",WORKDAY(Main[[#This Row],[Tech Start Date]],2),""))))</f>
        <v/>
      </c>
      <c r="N802" s="104" t="str">
        <f>IF(Main[[#This Row],[Tech Start Date]]&lt;1/1/1990,"",IF(Main[[#This Row],[Class]]="C",WORKDAY(Main[[#This Row],[Tech Start Date]],19),IF(Main[[#This Row],[Class]]="B", WORKDAY(Main[[#This Row],[Tech Start Date]],12),IF(Main[[#This Row],[Class]]="A",WORKDAY(Main[[#This Row],[Tech Start Date]],4),""))))</f>
        <v/>
      </c>
      <c r="O802" s="104" t="str">
        <f>IF(Main[[#This Row],[Tech Start Date]]&lt;1/1/1990,"",IF(Main[[#This Row],[Class]]="C",WORKDAY(Main[[#This Row],[Tech Start Date]],23),IF(Main[[#This Row],[Class]]="B", WORKDAY(Main[[#This Row],[Tech Start Date]],15),IF(Main[[#This Row],[Class]]="A",WORKDAY(Main[[#This Row],[Tech Start Date]],5),""))))</f>
        <v/>
      </c>
      <c r="P802" s="104" t="str">
        <f>IF(Main[[#This Row],[Tech Start Date]]&lt;1/1/1990,"",IF(Main[[#This Row],[Class]]="C",WORKDAY(Main[[#This Row],[Tech Start Date]],28),IF(Main[[#This Row],[Class]]="B", WORKDAY(Main[[#This Row],[Tech Start Date]],19),IF(Main[[#This Row],[Class]]="A",WORKDAY(Main[[#This Row],[Tech Start Date]],9),""))))</f>
        <v/>
      </c>
      <c r="Q802" s="101">
        <v>40543</v>
      </c>
      <c r="R802" s="101"/>
      <c r="S802" s="99" t="s">
        <v>17</v>
      </c>
      <c r="T802" s="107" t="s">
        <v>4</v>
      </c>
      <c r="U802" s="99" t="s">
        <v>7</v>
      </c>
      <c r="V802" s="99" t="s">
        <v>1962</v>
      </c>
      <c r="W802" s="99" t="s">
        <v>1966</v>
      </c>
    </row>
    <row r="803" spans="1:23" ht="18.600000000000001" customHeight="1">
      <c r="A803" s="123" t="str">
        <f>IF(priority(Main[[#This Row],[Comments]])&lt;&gt;0, priority(Main[[#This Row],[Comments]]),"")</f>
        <v/>
      </c>
      <c r="B803" s="127" t="s">
        <v>1669</v>
      </c>
      <c r="C803" s="99" t="s">
        <v>4</v>
      </c>
      <c r="D803" s="100" t="s">
        <v>714</v>
      </c>
      <c r="E803" s="101">
        <v>40711.477789351855</v>
      </c>
      <c r="F803" s="101"/>
      <c r="G803" s="102" t="str">
        <f>IF(stdProdLT(Main[[#This Row],[Comments]])=0.1,"N/A",IF(stdProdLT(Main[[#This Row],[Comments]])=0,"",stdProdLT(Main[[#This Row],[Comments]])))</f>
        <v/>
      </c>
      <c r="H803" s="103" t="str">
        <f>IF(AND(Main[[#This Row],[In Stock Date]]&lt;&gt;"",Main[[#This Row],[Revised Due Date]]&lt;&gt;""),Main[[#This Row],[In Stock Date]]-Main[[#This Row],[Revised Due Date]],"")</f>
        <v/>
      </c>
      <c r="I803" s="99" t="s">
        <v>4</v>
      </c>
      <c r="J803" s="99" t="s">
        <v>4</v>
      </c>
      <c r="K803" s="99" t="s">
        <v>4</v>
      </c>
      <c r="L803" s="101"/>
      <c r="M803" s="104" t="str">
        <f>IF(Main[[#This Row],[Tech Start Date]]&lt;1/1/1990,"",IF(Main[[#This Row],[Class]]="C",WORKDAY(Main[[#This Row],[Tech Start Date]],9),IF(Main[[#This Row],[Class]]="B", WORKDAY(Main[[#This Row],[Tech Start Date]],6),IF(Main[[#This Row],[Class]]="A",WORKDAY(Main[[#This Row],[Tech Start Date]],2),""))))</f>
        <v/>
      </c>
      <c r="N803" s="104" t="str">
        <f>IF(Main[[#This Row],[Tech Start Date]]&lt;1/1/1990,"",IF(Main[[#This Row],[Class]]="C",WORKDAY(Main[[#This Row],[Tech Start Date]],19),IF(Main[[#This Row],[Class]]="B", WORKDAY(Main[[#This Row],[Tech Start Date]],12),IF(Main[[#This Row],[Class]]="A",WORKDAY(Main[[#This Row],[Tech Start Date]],4),""))))</f>
        <v/>
      </c>
      <c r="O803" s="104" t="str">
        <f>IF(Main[[#This Row],[Tech Start Date]]&lt;1/1/1990,"",IF(Main[[#This Row],[Class]]="C",WORKDAY(Main[[#This Row],[Tech Start Date]],23),IF(Main[[#This Row],[Class]]="B", WORKDAY(Main[[#This Row],[Tech Start Date]],15),IF(Main[[#This Row],[Class]]="A",WORKDAY(Main[[#This Row],[Tech Start Date]],5),""))))</f>
        <v/>
      </c>
      <c r="P803" s="104" t="str">
        <f>IF(Main[[#This Row],[Tech Start Date]]&lt;1/1/1990,"",IF(Main[[#This Row],[Class]]="C",WORKDAY(Main[[#This Row],[Tech Start Date]],28),IF(Main[[#This Row],[Class]]="B", WORKDAY(Main[[#This Row],[Tech Start Date]],19),IF(Main[[#This Row],[Class]]="A",WORKDAY(Main[[#This Row],[Tech Start Date]],9),""))))</f>
        <v/>
      </c>
      <c r="Q803" s="101">
        <v>40753</v>
      </c>
      <c r="R803" s="101"/>
      <c r="S803" s="99" t="s">
        <v>6</v>
      </c>
      <c r="T803" s="107" t="s">
        <v>4</v>
      </c>
      <c r="U803" s="99" t="s">
        <v>7</v>
      </c>
      <c r="V803" s="99" t="s">
        <v>1962</v>
      </c>
      <c r="W803" s="99" t="s">
        <v>1970</v>
      </c>
    </row>
    <row r="804" spans="1:23" ht="18.600000000000001" customHeight="1">
      <c r="A804" s="123" t="str">
        <f>IF(priority(Main[[#This Row],[Comments]])&lt;&gt;0, priority(Main[[#This Row],[Comments]]),"")</f>
        <v/>
      </c>
      <c r="B804" s="127" t="s">
        <v>1671</v>
      </c>
      <c r="C804" s="99" t="s">
        <v>47</v>
      </c>
      <c r="D804" s="100" t="s">
        <v>716</v>
      </c>
      <c r="E804" s="101"/>
      <c r="F804" s="101"/>
      <c r="G804" s="102" t="str">
        <f>IF(stdProdLT(Main[[#This Row],[Comments]])=0.1,"N/A",IF(stdProdLT(Main[[#This Row],[Comments]])=0,"",stdProdLT(Main[[#This Row],[Comments]])))</f>
        <v/>
      </c>
      <c r="H804" s="103" t="str">
        <f>IF(AND(Main[[#This Row],[In Stock Date]]&lt;&gt;"",Main[[#This Row],[Revised Due Date]]&lt;&gt;""),Main[[#This Row],[In Stock Date]]-Main[[#This Row],[Revised Due Date]],"")</f>
        <v/>
      </c>
      <c r="I804" s="99" t="s">
        <v>4</v>
      </c>
      <c r="J804" s="99" t="s">
        <v>4</v>
      </c>
      <c r="K804" s="99" t="s">
        <v>4</v>
      </c>
      <c r="L804" s="101"/>
      <c r="M804" s="104" t="str">
        <f>IF(Main[[#This Row],[Tech Start Date]]&lt;1/1/1990,"",IF(Main[[#This Row],[Class]]="C",WORKDAY(Main[[#This Row],[Tech Start Date]],9),IF(Main[[#This Row],[Class]]="B", WORKDAY(Main[[#This Row],[Tech Start Date]],6),IF(Main[[#This Row],[Class]]="A",WORKDAY(Main[[#This Row],[Tech Start Date]],2),""))))</f>
        <v/>
      </c>
      <c r="N804" s="104" t="str">
        <f>IF(Main[[#This Row],[Tech Start Date]]&lt;1/1/1990,"",IF(Main[[#This Row],[Class]]="C",WORKDAY(Main[[#This Row],[Tech Start Date]],19),IF(Main[[#This Row],[Class]]="B", WORKDAY(Main[[#This Row],[Tech Start Date]],12),IF(Main[[#This Row],[Class]]="A",WORKDAY(Main[[#This Row],[Tech Start Date]],4),""))))</f>
        <v/>
      </c>
      <c r="O804" s="104" t="str">
        <f>IF(Main[[#This Row],[Tech Start Date]]&lt;1/1/1990,"",IF(Main[[#This Row],[Class]]="C",WORKDAY(Main[[#This Row],[Tech Start Date]],23),IF(Main[[#This Row],[Class]]="B", WORKDAY(Main[[#This Row],[Tech Start Date]],15),IF(Main[[#This Row],[Class]]="A",WORKDAY(Main[[#This Row],[Tech Start Date]],5),""))))</f>
        <v/>
      </c>
      <c r="P804" s="104" t="str">
        <f>IF(Main[[#This Row],[Tech Start Date]]&lt;1/1/1990,"",IF(Main[[#This Row],[Class]]="C",WORKDAY(Main[[#This Row],[Tech Start Date]],28),IF(Main[[#This Row],[Class]]="B", WORKDAY(Main[[#This Row],[Tech Start Date]],19),IF(Main[[#This Row],[Class]]="A",WORKDAY(Main[[#This Row],[Tech Start Date]],9),""))))</f>
        <v/>
      </c>
      <c r="Q804" s="101"/>
      <c r="R804" s="101"/>
      <c r="S804" s="99" t="s">
        <v>49</v>
      </c>
      <c r="T804" s="107" t="s">
        <v>4</v>
      </c>
      <c r="U804" s="99" t="s">
        <v>14</v>
      </c>
      <c r="V804" s="99" t="s">
        <v>1965</v>
      </c>
      <c r="W804" s="99" t="s">
        <v>1966</v>
      </c>
    </row>
    <row r="805" spans="1:23" ht="18.600000000000001" customHeight="1">
      <c r="A805" s="123" t="str">
        <f>IF(priority(Main[[#This Row],[Comments]])&lt;&gt;0, priority(Main[[#This Row],[Comments]]),"")</f>
        <v/>
      </c>
      <c r="B805" s="127" t="s">
        <v>2106</v>
      </c>
      <c r="C805" s="99" t="s">
        <v>4</v>
      </c>
      <c r="D805" s="100" t="s">
        <v>2107</v>
      </c>
      <c r="E805" s="101">
        <v>40753.114606481482</v>
      </c>
      <c r="F805" s="101"/>
      <c r="G805" s="102" t="str">
        <f>IF(stdProdLT(Main[[#This Row],[Comments]])=0.1,"N/A",IF(stdProdLT(Main[[#This Row],[Comments]])=0,"",stdProdLT(Main[[#This Row],[Comments]])))</f>
        <v/>
      </c>
      <c r="H805" s="103" t="str">
        <f>IF(AND(Main[[#This Row],[In Stock Date]]&lt;&gt;"",Main[[#This Row],[Revised Due Date]]&lt;&gt;""),Main[[#This Row],[In Stock Date]]-Main[[#This Row],[Revised Due Date]],"")</f>
        <v/>
      </c>
      <c r="I805" s="99" t="s">
        <v>4</v>
      </c>
      <c r="J805" s="99" t="s">
        <v>4</v>
      </c>
      <c r="K805" s="99" t="s">
        <v>4</v>
      </c>
      <c r="L805" s="101"/>
      <c r="M805" s="104" t="str">
        <f>IF(Main[[#This Row],[Tech Start Date]]&lt;1/1/1990,"",IF(Main[[#This Row],[Class]]="C",WORKDAY(Main[[#This Row],[Tech Start Date]],9),IF(Main[[#This Row],[Class]]="B", WORKDAY(Main[[#This Row],[Tech Start Date]],6),IF(Main[[#This Row],[Class]]="A",WORKDAY(Main[[#This Row],[Tech Start Date]],2),""))))</f>
        <v/>
      </c>
      <c r="N805" s="104" t="str">
        <f>IF(Main[[#This Row],[Tech Start Date]]&lt;1/1/1990,"",IF(Main[[#This Row],[Class]]="C",WORKDAY(Main[[#This Row],[Tech Start Date]],19),IF(Main[[#This Row],[Class]]="B", WORKDAY(Main[[#This Row],[Tech Start Date]],12),IF(Main[[#This Row],[Class]]="A",WORKDAY(Main[[#This Row],[Tech Start Date]],4),""))))</f>
        <v/>
      </c>
      <c r="O805" s="104" t="str">
        <f>IF(Main[[#This Row],[Tech Start Date]]&lt;1/1/1990,"",IF(Main[[#This Row],[Class]]="C",WORKDAY(Main[[#This Row],[Tech Start Date]],23),IF(Main[[#This Row],[Class]]="B", WORKDAY(Main[[#This Row],[Tech Start Date]],15),IF(Main[[#This Row],[Class]]="A",WORKDAY(Main[[#This Row],[Tech Start Date]],5),""))))</f>
        <v/>
      </c>
      <c r="P805" s="104" t="str">
        <f>IF(Main[[#This Row],[Tech Start Date]]&lt;1/1/1990,"",IF(Main[[#This Row],[Class]]="C",WORKDAY(Main[[#This Row],[Tech Start Date]],28),IF(Main[[#This Row],[Class]]="B", WORKDAY(Main[[#This Row],[Tech Start Date]],19),IF(Main[[#This Row],[Class]]="A",WORKDAY(Main[[#This Row],[Tech Start Date]],9),""))))</f>
        <v/>
      </c>
      <c r="Q805" s="101">
        <v>40786</v>
      </c>
      <c r="R805" s="101"/>
      <c r="S805" s="99" t="s">
        <v>6</v>
      </c>
      <c r="T805" s="107" t="s">
        <v>4</v>
      </c>
      <c r="U805" s="99" t="s">
        <v>7</v>
      </c>
      <c r="V805" s="99" t="s">
        <v>1962</v>
      </c>
      <c r="W805" s="99" t="s">
        <v>4</v>
      </c>
    </row>
    <row r="806" spans="1:23" ht="18.600000000000001" customHeight="1">
      <c r="A806" s="123" t="str">
        <f>IF(priority(Main[[#This Row],[Comments]])&lt;&gt;0, priority(Main[[#This Row],[Comments]]),"")</f>
        <v/>
      </c>
      <c r="B806" s="127" t="s">
        <v>1679</v>
      </c>
      <c r="C806" s="99" t="s">
        <v>4</v>
      </c>
      <c r="D806" s="100" t="s">
        <v>39</v>
      </c>
      <c r="E806" s="101"/>
      <c r="F806" s="101"/>
      <c r="G806" s="102" t="str">
        <f>IF(stdProdLT(Main[[#This Row],[Comments]])=0.1,"N/A",IF(stdProdLT(Main[[#This Row],[Comments]])=0,"",stdProdLT(Main[[#This Row],[Comments]])))</f>
        <v/>
      </c>
      <c r="H806" s="103" t="str">
        <f>IF(AND(Main[[#This Row],[In Stock Date]]&lt;&gt;"",Main[[#This Row],[Revised Due Date]]&lt;&gt;""),Main[[#This Row],[In Stock Date]]-Main[[#This Row],[Revised Due Date]],"")</f>
        <v/>
      </c>
      <c r="I806" s="99" t="s">
        <v>4</v>
      </c>
      <c r="J806" s="99" t="s">
        <v>4</v>
      </c>
      <c r="K806" s="108" t="s">
        <v>4</v>
      </c>
      <c r="L806" s="101"/>
      <c r="M806" s="104" t="str">
        <f>IF(Main[[#This Row],[Tech Start Date]]&lt;1/1/1990,"",IF(Main[[#This Row],[Class]]="C",WORKDAY(Main[[#This Row],[Tech Start Date]],9),IF(Main[[#This Row],[Class]]="B", WORKDAY(Main[[#This Row],[Tech Start Date]],6),IF(Main[[#This Row],[Class]]="A",WORKDAY(Main[[#This Row],[Tech Start Date]],2),""))))</f>
        <v/>
      </c>
      <c r="N806" s="104" t="str">
        <f>IF(Main[[#This Row],[Tech Start Date]]&lt;1/1/1990,"",IF(Main[[#This Row],[Class]]="C",WORKDAY(Main[[#This Row],[Tech Start Date]],19),IF(Main[[#This Row],[Class]]="B", WORKDAY(Main[[#This Row],[Tech Start Date]],12),IF(Main[[#This Row],[Class]]="A",WORKDAY(Main[[#This Row],[Tech Start Date]],4),""))))</f>
        <v/>
      </c>
      <c r="O806" s="104" t="str">
        <f>IF(Main[[#This Row],[Tech Start Date]]&lt;1/1/1990,"",IF(Main[[#This Row],[Class]]="C",WORKDAY(Main[[#This Row],[Tech Start Date]],23),IF(Main[[#This Row],[Class]]="B", WORKDAY(Main[[#This Row],[Tech Start Date]],15),IF(Main[[#This Row],[Class]]="A",WORKDAY(Main[[#This Row],[Tech Start Date]],5),""))))</f>
        <v/>
      </c>
      <c r="P806" s="104" t="str">
        <f>IF(Main[[#This Row],[Tech Start Date]]&lt;1/1/1990,"",IF(Main[[#This Row],[Class]]="C",WORKDAY(Main[[#This Row],[Tech Start Date]],28),IF(Main[[#This Row],[Class]]="B", WORKDAY(Main[[#This Row],[Tech Start Date]],19),IF(Main[[#This Row],[Class]]="A",WORKDAY(Main[[#This Row],[Tech Start Date]],9),""))))</f>
        <v/>
      </c>
      <c r="Q806" s="101">
        <v>40669</v>
      </c>
      <c r="R806" s="101"/>
      <c r="S806" s="99" t="s">
        <v>6</v>
      </c>
      <c r="T806" s="107" t="s">
        <v>4</v>
      </c>
      <c r="U806" s="99" t="s">
        <v>14</v>
      </c>
      <c r="V806" s="99" t="s">
        <v>1965</v>
      </c>
      <c r="W806" s="99" t="s">
        <v>4</v>
      </c>
    </row>
    <row r="807" spans="1:23" ht="18.600000000000001" customHeight="1">
      <c r="A807" s="123" t="str">
        <f>IF(priority(Main[[#This Row],[Comments]])&lt;&gt;0, priority(Main[[#This Row],[Comments]]),"")</f>
        <v/>
      </c>
      <c r="B807" s="127" t="s">
        <v>1677</v>
      </c>
      <c r="C807" s="99" t="s">
        <v>67</v>
      </c>
      <c r="D807" s="100" t="s">
        <v>720</v>
      </c>
      <c r="E807" s="101"/>
      <c r="F807" s="101">
        <v>40751</v>
      </c>
      <c r="G807" s="102" t="str">
        <f>IF(stdProdLT(Main[[#This Row],[Comments]])=0.1,"N/A",IF(stdProdLT(Main[[#This Row],[Comments]])=0,"",stdProdLT(Main[[#This Row],[Comments]])))</f>
        <v/>
      </c>
      <c r="H807" s="103" t="str">
        <f>IF(AND(Main[[#This Row],[In Stock Date]]&lt;&gt;"",Main[[#This Row],[Revised Due Date]]&lt;&gt;""),Main[[#This Row],[In Stock Date]]-Main[[#This Row],[Revised Due Date]],"")</f>
        <v/>
      </c>
      <c r="I807" s="99" t="s">
        <v>4</v>
      </c>
      <c r="J807" s="99" t="s">
        <v>28</v>
      </c>
      <c r="K807" s="99" t="s">
        <v>1974</v>
      </c>
      <c r="L807" s="101"/>
      <c r="M807" s="104" t="str">
        <f>IF(Main[[#This Row],[Tech Start Date]]&lt;1/1/1990,"",IF(Main[[#This Row],[Class]]="C",WORKDAY(Main[[#This Row],[Tech Start Date]],9),IF(Main[[#This Row],[Class]]="B", WORKDAY(Main[[#This Row],[Tech Start Date]],6),IF(Main[[#This Row],[Class]]="A",WORKDAY(Main[[#This Row],[Tech Start Date]],2),""))))</f>
        <v/>
      </c>
      <c r="N807" s="104" t="str">
        <f>IF(Main[[#This Row],[Tech Start Date]]&lt;1/1/1990,"",IF(Main[[#This Row],[Class]]="C",WORKDAY(Main[[#This Row],[Tech Start Date]],19),IF(Main[[#This Row],[Class]]="B", WORKDAY(Main[[#This Row],[Tech Start Date]],12),IF(Main[[#This Row],[Class]]="A",WORKDAY(Main[[#This Row],[Tech Start Date]],4),""))))</f>
        <v/>
      </c>
      <c r="O807" s="104" t="str">
        <f>IF(Main[[#This Row],[Tech Start Date]]&lt;1/1/1990,"",IF(Main[[#This Row],[Class]]="C",WORKDAY(Main[[#This Row],[Tech Start Date]],23),IF(Main[[#This Row],[Class]]="B", WORKDAY(Main[[#This Row],[Tech Start Date]],15),IF(Main[[#This Row],[Class]]="A",WORKDAY(Main[[#This Row],[Tech Start Date]],5),""))))</f>
        <v/>
      </c>
      <c r="P807" s="104" t="str">
        <f>IF(Main[[#This Row],[Tech Start Date]]&lt;1/1/1990,"",IF(Main[[#This Row],[Class]]="C",WORKDAY(Main[[#This Row],[Tech Start Date]],28),IF(Main[[#This Row],[Class]]="B", WORKDAY(Main[[#This Row],[Tech Start Date]],19),IF(Main[[#This Row],[Class]]="A",WORKDAY(Main[[#This Row],[Tech Start Date]],9),""))))</f>
        <v/>
      </c>
      <c r="Q807" s="101">
        <v>40581</v>
      </c>
      <c r="R807" s="101"/>
      <c r="S807" s="99" t="s">
        <v>17</v>
      </c>
      <c r="T807" s="107" t="s">
        <v>4</v>
      </c>
      <c r="U807" s="99" t="s">
        <v>14</v>
      </c>
      <c r="V807" s="99" t="s">
        <v>1965</v>
      </c>
      <c r="W807" s="99" t="s">
        <v>1968</v>
      </c>
    </row>
    <row r="808" spans="1:23" ht="18.600000000000001" customHeight="1">
      <c r="A808" s="123" t="str">
        <f>IF(priority(Main[[#This Row],[Comments]])&lt;&gt;0, priority(Main[[#This Row],[Comments]]),"")</f>
        <v/>
      </c>
      <c r="B808" s="127" t="s">
        <v>1680</v>
      </c>
      <c r="C808" s="99" t="s">
        <v>4</v>
      </c>
      <c r="D808" s="100" t="s">
        <v>721</v>
      </c>
      <c r="E808" s="101"/>
      <c r="F808" s="101"/>
      <c r="G808" s="102" t="str">
        <f>IF(stdProdLT(Main[[#This Row],[Comments]])=0.1,"N/A",IF(stdProdLT(Main[[#This Row],[Comments]])=0,"",stdProdLT(Main[[#This Row],[Comments]])))</f>
        <v/>
      </c>
      <c r="H808" s="103" t="str">
        <f>IF(AND(Main[[#This Row],[In Stock Date]]&lt;&gt;"",Main[[#This Row],[Revised Due Date]]&lt;&gt;""),Main[[#This Row],[In Stock Date]]-Main[[#This Row],[Revised Due Date]],"")</f>
        <v/>
      </c>
      <c r="I808" s="99" t="s">
        <v>4</v>
      </c>
      <c r="J808" s="99" t="s">
        <v>28</v>
      </c>
      <c r="K808" s="99" t="s">
        <v>1971</v>
      </c>
      <c r="L808" s="101"/>
      <c r="M808" s="104" t="str">
        <f>IF(Main[[#This Row],[Tech Start Date]]&lt;1/1/1990,"",IF(Main[[#This Row],[Class]]="C",WORKDAY(Main[[#This Row],[Tech Start Date]],9),IF(Main[[#This Row],[Class]]="B", WORKDAY(Main[[#This Row],[Tech Start Date]],6),IF(Main[[#This Row],[Class]]="A",WORKDAY(Main[[#This Row],[Tech Start Date]],2),""))))</f>
        <v/>
      </c>
      <c r="N808" s="104" t="str">
        <f>IF(Main[[#This Row],[Tech Start Date]]&lt;1/1/1990,"",IF(Main[[#This Row],[Class]]="C",WORKDAY(Main[[#This Row],[Tech Start Date]],19),IF(Main[[#This Row],[Class]]="B", WORKDAY(Main[[#This Row],[Tech Start Date]],12),IF(Main[[#This Row],[Class]]="A",WORKDAY(Main[[#This Row],[Tech Start Date]],4),""))))</f>
        <v/>
      </c>
      <c r="O808" s="104" t="str">
        <f>IF(Main[[#This Row],[Tech Start Date]]&lt;1/1/1990,"",IF(Main[[#This Row],[Class]]="C",WORKDAY(Main[[#This Row],[Tech Start Date]],23),IF(Main[[#This Row],[Class]]="B", WORKDAY(Main[[#This Row],[Tech Start Date]],15),IF(Main[[#This Row],[Class]]="A",WORKDAY(Main[[#This Row],[Tech Start Date]],5),""))))</f>
        <v/>
      </c>
      <c r="P808" s="104" t="str">
        <f>IF(Main[[#This Row],[Tech Start Date]]&lt;1/1/1990,"",IF(Main[[#This Row],[Class]]="C",WORKDAY(Main[[#This Row],[Tech Start Date]],28),IF(Main[[#This Row],[Class]]="B", WORKDAY(Main[[#This Row],[Tech Start Date]],19),IF(Main[[#This Row],[Class]]="A",WORKDAY(Main[[#This Row],[Tech Start Date]],9),""))))</f>
        <v/>
      </c>
      <c r="Q808" s="101">
        <v>40647</v>
      </c>
      <c r="R808" s="101"/>
      <c r="S808" s="99" t="s">
        <v>6</v>
      </c>
      <c r="T808" s="107" t="s">
        <v>4</v>
      </c>
      <c r="U808" s="99" t="s">
        <v>14</v>
      </c>
      <c r="V808" s="99" t="s">
        <v>1962</v>
      </c>
      <c r="W808" s="99" t="s">
        <v>1966</v>
      </c>
    </row>
    <row r="809" spans="1:23" ht="18.600000000000001" customHeight="1">
      <c r="A809" s="123" t="str">
        <f>IF(priority(Main[[#This Row],[Comments]])&lt;&gt;0, priority(Main[[#This Row],[Comments]]),"")</f>
        <v/>
      </c>
      <c r="B809" s="127" t="s">
        <v>1654</v>
      </c>
      <c r="C809" s="99" t="s">
        <v>699</v>
      </c>
      <c r="D809" s="100" t="s">
        <v>700</v>
      </c>
      <c r="E809" s="101"/>
      <c r="F809" s="101">
        <v>40664</v>
      </c>
      <c r="G809" s="102" t="str">
        <f>IF(stdProdLT(Main[[#This Row],[Comments]])=0.1,"N/A",IF(stdProdLT(Main[[#This Row],[Comments]])=0,"",stdProdLT(Main[[#This Row],[Comments]])))</f>
        <v/>
      </c>
      <c r="H809" s="103" t="str">
        <f>IF(AND(Main[[#This Row],[In Stock Date]]&lt;&gt;"",Main[[#This Row],[Revised Due Date]]&lt;&gt;""),Main[[#This Row],[In Stock Date]]-Main[[#This Row],[Revised Due Date]],"")</f>
        <v/>
      </c>
      <c r="I809" s="99" t="s">
        <v>4</v>
      </c>
      <c r="J809" s="99" t="s">
        <v>4</v>
      </c>
      <c r="K809" s="99" t="s">
        <v>4</v>
      </c>
      <c r="L809" s="101"/>
      <c r="M809" s="104" t="str">
        <f>IF(Main[[#This Row],[Tech Start Date]]&lt;1/1/1990,"",IF(Main[[#This Row],[Class]]="C",WORKDAY(Main[[#This Row],[Tech Start Date]],9),IF(Main[[#This Row],[Class]]="B", WORKDAY(Main[[#This Row],[Tech Start Date]],6),IF(Main[[#This Row],[Class]]="A",WORKDAY(Main[[#This Row],[Tech Start Date]],2),""))))</f>
        <v/>
      </c>
      <c r="N809" s="104" t="str">
        <f>IF(Main[[#This Row],[Tech Start Date]]&lt;1/1/1990,"",IF(Main[[#This Row],[Class]]="C",WORKDAY(Main[[#This Row],[Tech Start Date]],19),IF(Main[[#This Row],[Class]]="B", WORKDAY(Main[[#This Row],[Tech Start Date]],12),IF(Main[[#This Row],[Class]]="A",WORKDAY(Main[[#This Row],[Tech Start Date]],4),""))))</f>
        <v/>
      </c>
      <c r="O809" s="104" t="str">
        <f>IF(Main[[#This Row],[Tech Start Date]]&lt;1/1/1990,"",IF(Main[[#This Row],[Class]]="C",WORKDAY(Main[[#This Row],[Tech Start Date]],23),IF(Main[[#This Row],[Class]]="B", WORKDAY(Main[[#This Row],[Tech Start Date]],15),IF(Main[[#This Row],[Class]]="A",WORKDAY(Main[[#This Row],[Tech Start Date]],5),""))))</f>
        <v/>
      </c>
      <c r="P809" s="104" t="str">
        <f>IF(Main[[#This Row],[Tech Start Date]]&lt;1/1/1990,"",IF(Main[[#This Row],[Class]]="C",WORKDAY(Main[[#This Row],[Tech Start Date]],28),IF(Main[[#This Row],[Class]]="B", WORKDAY(Main[[#This Row],[Tech Start Date]],19),IF(Main[[#This Row],[Class]]="A",WORKDAY(Main[[#This Row],[Tech Start Date]],9),""))))</f>
        <v/>
      </c>
      <c r="Q809" s="101">
        <v>40557</v>
      </c>
      <c r="R809" s="101"/>
      <c r="S809" s="99" t="s">
        <v>11</v>
      </c>
      <c r="T809" s="107" t="s">
        <v>4</v>
      </c>
      <c r="U809" s="99" t="s">
        <v>14</v>
      </c>
      <c r="V809" s="99" t="s">
        <v>1962</v>
      </c>
      <c r="W809" s="99" t="s">
        <v>1970</v>
      </c>
    </row>
    <row r="810" spans="1:23" ht="18.600000000000001" customHeight="1">
      <c r="A810" s="123" t="str">
        <f>IF(priority(Main[[#This Row],[Comments]])&lt;&gt;0, priority(Main[[#This Row],[Comments]]),"")</f>
        <v/>
      </c>
      <c r="B810" s="127" t="s">
        <v>1655</v>
      </c>
      <c r="C810" s="99" t="s">
        <v>4</v>
      </c>
      <c r="D810" s="100" t="s">
        <v>701</v>
      </c>
      <c r="E810" s="101"/>
      <c r="F810" s="101"/>
      <c r="G810" s="102" t="str">
        <f>IF(stdProdLT(Main[[#This Row],[Comments]])=0.1,"N/A",IF(stdProdLT(Main[[#This Row],[Comments]])=0,"",stdProdLT(Main[[#This Row],[Comments]])))</f>
        <v/>
      </c>
      <c r="H810" s="103" t="str">
        <f>IF(AND(Main[[#This Row],[In Stock Date]]&lt;&gt;"",Main[[#This Row],[Revised Due Date]]&lt;&gt;""),Main[[#This Row],[In Stock Date]]-Main[[#This Row],[Revised Due Date]],"")</f>
        <v/>
      </c>
      <c r="I810" s="99" t="s">
        <v>4</v>
      </c>
      <c r="J810" s="99" t="s">
        <v>4</v>
      </c>
      <c r="K810" s="99" t="s">
        <v>4</v>
      </c>
      <c r="L810" s="101"/>
      <c r="M810" s="104" t="str">
        <f>IF(Main[[#This Row],[Tech Start Date]]&lt;1/1/1990,"",IF(Main[[#This Row],[Class]]="C",WORKDAY(Main[[#This Row],[Tech Start Date]],9),IF(Main[[#This Row],[Class]]="B", WORKDAY(Main[[#This Row],[Tech Start Date]],6),IF(Main[[#This Row],[Class]]="A",WORKDAY(Main[[#This Row],[Tech Start Date]],2),""))))</f>
        <v/>
      </c>
      <c r="N810" s="104" t="str">
        <f>IF(Main[[#This Row],[Tech Start Date]]&lt;1/1/1990,"",IF(Main[[#This Row],[Class]]="C",WORKDAY(Main[[#This Row],[Tech Start Date]],19),IF(Main[[#This Row],[Class]]="B", WORKDAY(Main[[#This Row],[Tech Start Date]],12),IF(Main[[#This Row],[Class]]="A",WORKDAY(Main[[#This Row],[Tech Start Date]],4),""))))</f>
        <v/>
      </c>
      <c r="O810" s="104" t="str">
        <f>IF(Main[[#This Row],[Tech Start Date]]&lt;1/1/1990,"",IF(Main[[#This Row],[Class]]="C",WORKDAY(Main[[#This Row],[Tech Start Date]],23),IF(Main[[#This Row],[Class]]="B", WORKDAY(Main[[#This Row],[Tech Start Date]],15),IF(Main[[#This Row],[Class]]="A",WORKDAY(Main[[#This Row],[Tech Start Date]],5),""))))</f>
        <v/>
      </c>
      <c r="P810" s="104" t="str">
        <f>IF(Main[[#This Row],[Tech Start Date]]&lt;1/1/1990,"",IF(Main[[#This Row],[Class]]="C",WORKDAY(Main[[#This Row],[Tech Start Date]],28),IF(Main[[#This Row],[Class]]="B", WORKDAY(Main[[#This Row],[Tech Start Date]],19),IF(Main[[#This Row],[Class]]="A",WORKDAY(Main[[#This Row],[Tech Start Date]],9),""))))</f>
        <v/>
      </c>
      <c r="Q810" s="101"/>
      <c r="R810" s="101"/>
      <c r="S810" s="99" t="s">
        <v>11</v>
      </c>
      <c r="T810" s="107" t="s">
        <v>4</v>
      </c>
      <c r="U810" s="99" t="s">
        <v>14</v>
      </c>
      <c r="V810" s="99" t="s">
        <v>1962</v>
      </c>
      <c r="W810" s="99" t="s">
        <v>4</v>
      </c>
    </row>
    <row r="811" spans="1:23" ht="18.600000000000001" customHeight="1">
      <c r="A811" s="123" t="str">
        <f>IF(priority(Main[[#This Row],[Comments]])&lt;&gt;0, priority(Main[[#This Row],[Comments]]),"")</f>
        <v/>
      </c>
      <c r="B811" s="127" t="s">
        <v>1847</v>
      </c>
      <c r="C811" s="99" t="s">
        <v>4</v>
      </c>
      <c r="D811" s="100" t="s">
        <v>851</v>
      </c>
      <c r="E811" s="101">
        <v>40430.597812499997</v>
      </c>
      <c r="F811" s="101">
        <v>40574</v>
      </c>
      <c r="G811" s="102" t="str">
        <f>IF(stdProdLT(Main[[#This Row],[Comments]])=0.1,"N/A",IF(stdProdLT(Main[[#This Row],[Comments]])=0,"",stdProdLT(Main[[#This Row],[Comments]])))</f>
        <v/>
      </c>
      <c r="H811" s="103">
        <f>IF(AND(Main[[#This Row],[In Stock Date]]&lt;&gt;"",Main[[#This Row],[Revised Due Date]]&lt;&gt;""),Main[[#This Row],[In Stock Date]]-Main[[#This Row],[Revised Due Date]],"")</f>
        <v>384</v>
      </c>
      <c r="I811" s="99" t="s">
        <v>81</v>
      </c>
      <c r="J811" s="99" t="s">
        <v>52</v>
      </c>
      <c r="K811" s="99" t="s">
        <v>1974</v>
      </c>
      <c r="L811" s="101"/>
      <c r="M811" s="104" t="str">
        <f>IF(Main[[#This Row],[Tech Start Date]]&lt;1/1/1990,"",IF(Main[[#This Row],[Class]]="C",WORKDAY(Main[[#This Row],[Tech Start Date]],9),IF(Main[[#This Row],[Class]]="B", WORKDAY(Main[[#This Row],[Tech Start Date]],6),IF(Main[[#This Row],[Class]]="A",WORKDAY(Main[[#This Row],[Tech Start Date]],2),""))))</f>
        <v/>
      </c>
      <c r="N811" s="104" t="str">
        <f>IF(Main[[#This Row],[Tech Start Date]]&lt;1/1/1990,"",IF(Main[[#This Row],[Class]]="C",WORKDAY(Main[[#This Row],[Tech Start Date]],19),IF(Main[[#This Row],[Class]]="B", WORKDAY(Main[[#This Row],[Tech Start Date]],12),IF(Main[[#This Row],[Class]]="A",WORKDAY(Main[[#This Row],[Tech Start Date]],4),""))))</f>
        <v/>
      </c>
      <c r="O811" s="104" t="str">
        <f>IF(Main[[#This Row],[Tech Start Date]]&lt;1/1/1990,"",IF(Main[[#This Row],[Class]]="C",WORKDAY(Main[[#This Row],[Tech Start Date]],23),IF(Main[[#This Row],[Class]]="B", WORKDAY(Main[[#This Row],[Tech Start Date]],15),IF(Main[[#This Row],[Class]]="A",WORKDAY(Main[[#This Row],[Tech Start Date]],5),""))))</f>
        <v/>
      </c>
      <c r="P811" s="104" t="str">
        <f>IF(Main[[#This Row],[Tech Start Date]]&lt;1/1/1990,"",IF(Main[[#This Row],[Class]]="C",WORKDAY(Main[[#This Row],[Tech Start Date]],28),IF(Main[[#This Row],[Class]]="B", WORKDAY(Main[[#This Row],[Tech Start Date]],19),IF(Main[[#This Row],[Class]]="A",WORKDAY(Main[[#This Row],[Tech Start Date]],9),""))))</f>
        <v/>
      </c>
      <c r="Q811" s="101">
        <v>40190</v>
      </c>
      <c r="R811" s="101">
        <v>40190</v>
      </c>
      <c r="S811" s="99" t="s">
        <v>17</v>
      </c>
      <c r="T811" s="107" t="s">
        <v>4</v>
      </c>
      <c r="U811" s="99" t="s">
        <v>29</v>
      </c>
      <c r="V811" s="99" t="s">
        <v>1965</v>
      </c>
      <c r="W811" s="99" t="s">
        <v>1967</v>
      </c>
    </row>
    <row r="812" spans="1:23" ht="18.600000000000001" customHeight="1">
      <c r="A812" s="123" t="str">
        <f>IF(priority(Main[[#This Row],[Comments]])&lt;&gt;0, priority(Main[[#This Row],[Comments]]),"")</f>
        <v/>
      </c>
      <c r="B812" s="127" t="s">
        <v>2164</v>
      </c>
      <c r="C812" s="99" t="s">
        <v>2149</v>
      </c>
      <c r="D812" s="100" t="s">
        <v>2150</v>
      </c>
      <c r="E812" s="101"/>
      <c r="F812" s="101">
        <v>40831</v>
      </c>
      <c r="G812" s="102" t="str">
        <f>IF(stdProdLT(Main[[#This Row],[Comments]])=0.1,"N/A",IF(stdProdLT(Main[[#This Row],[Comments]])=0,"",stdProdLT(Main[[#This Row],[Comments]])))</f>
        <v/>
      </c>
      <c r="H812" s="103" t="str">
        <f>IF(AND(Main[[#This Row],[In Stock Date]]&lt;&gt;"",Main[[#This Row],[Revised Due Date]]&lt;&gt;""),Main[[#This Row],[In Stock Date]]-Main[[#This Row],[Revised Due Date]],"")</f>
        <v/>
      </c>
      <c r="I812" s="99" t="s">
        <v>4</v>
      </c>
      <c r="J812" s="99" t="s">
        <v>4</v>
      </c>
      <c r="K812" s="99" t="s">
        <v>4</v>
      </c>
      <c r="L812" s="101"/>
      <c r="M812" s="104" t="str">
        <f>IF(Main[[#This Row],[Tech Start Date]]&lt;1/1/1990,"",IF(Main[[#This Row],[Class]]="C",WORKDAY(Main[[#This Row],[Tech Start Date]],9),IF(Main[[#This Row],[Class]]="B", WORKDAY(Main[[#This Row],[Tech Start Date]],6),IF(Main[[#This Row],[Class]]="A",WORKDAY(Main[[#This Row],[Tech Start Date]],2),""))))</f>
        <v/>
      </c>
      <c r="N812" s="104" t="str">
        <f>IF(Main[[#This Row],[Tech Start Date]]&lt;1/1/1990,"",IF(Main[[#This Row],[Class]]="C",WORKDAY(Main[[#This Row],[Tech Start Date]],19),IF(Main[[#This Row],[Class]]="B", WORKDAY(Main[[#This Row],[Tech Start Date]],12),IF(Main[[#This Row],[Class]]="A",WORKDAY(Main[[#This Row],[Tech Start Date]],4),""))))</f>
        <v/>
      </c>
      <c r="O812" s="104" t="str">
        <f>IF(Main[[#This Row],[Tech Start Date]]&lt;1/1/1990,"",IF(Main[[#This Row],[Class]]="C",WORKDAY(Main[[#This Row],[Tech Start Date]],23),IF(Main[[#This Row],[Class]]="B", WORKDAY(Main[[#This Row],[Tech Start Date]],15),IF(Main[[#This Row],[Class]]="A",WORKDAY(Main[[#This Row],[Tech Start Date]],5),""))))</f>
        <v/>
      </c>
      <c r="P812" s="104" t="str">
        <f>IF(Main[[#This Row],[Tech Start Date]]&lt;1/1/1990,"",IF(Main[[#This Row],[Class]]="C",WORKDAY(Main[[#This Row],[Tech Start Date]],28),IF(Main[[#This Row],[Class]]="B", WORKDAY(Main[[#This Row],[Tech Start Date]],19),IF(Main[[#This Row],[Class]]="A",WORKDAY(Main[[#This Row],[Tech Start Date]],9),""))))</f>
        <v/>
      </c>
      <c r="Q812" s="101">
        <v>40786</v>
      </c>
      <c r="R812" s="101"/>
      <c r="S812" s="99" t="s">
        <v>11</v>
      </c>
      <c r="T812" s="107" t="s">
        <v>4</v>
      </c>
      <c r="U812" s="99" t="s">
        <v>12</v>
      </c>
      <c r="V812" s="99" t="s">
        <v>1965</v>
      </c>
      <c r="W812" s="99" t="s">
        <v>1970</v>
      </c>
    </row>
    <row r="813" spans="1:23" ht="18.600000000000001" customHeight="1">
      <c r="A813" s="123" t="str">
        <f>IF(priority(Main[[#This Row],[Comments]])&lt;&gt;0, priority(Main[[#This Row],[Comments]]),"")</f>
        <v/>
      </c>
      <c r="B813" s="127" t="s">
        <v>2142</v>
      </c>
      <c r="C813" s="99" t="s">
        <v>4</v>
      </c>
      <c r="D813" s="100" t="s">
        <v>2143</v>
      </c>
      <c r="E813" s="101"/>
      <c r="F813" s="101"/>
      <c r="G813" s="102" t="str">
        <f>IF(stdProdLT(Main[[#This Row],[Comments]])=0.1,"N/A",IF(stdProdLT(Main[[#This Row],[Comments]])=0,"",stdProdLT(Main[[#This Row],[Comments]])))</f>
        <v/>
      </c>
      <c r="H813" s="103" t="str">
        <f>IF(AND(Main[[#This Row],[In Stock Date]]&lt;&gt;"",Main[[#This Row],[Revised Due Date]]&lt;&gt;""),Main[[#This Row],[In Stock Date]]-Main[[#This Row],[Revised Due Date]],"")</f>
        <v/>
      </c>
      <c r="I813" s="99" t="s">
        <v>536</v>
      </c>
      <c r="J813" s="99" t="s">
        <v>28</v>
      </c>
      <c r="K813" s="99" t="s">
        <v>1971</v>
      </c>
      <c r="L813" s="101"/>
      <c r="M813" s="104" t="str">
        <f>IF(Main[[#This Row],[Tech Start Date]]&lt;1/1/1990,"",IF(Main[[#This Row],[Class]]="C",WORKDAY(Main[[#This Row],[Tech Start Date]],9),IF(Main[[#This Row],[Class]]="B", WORKDAY(Main[[#This Row],[Tech Start Date]],6),IF(Main[[#This Row],[Class]]="A",WORKDAY(Main[[#This Row],[Tech Start Date]],2),""))))</f>
        <v/>
      </c>
      <c r="N813" s="104" t="str">
        <f>IF(Main[[#This Row],[Tech Start Date]]&lt;1/1/1990,"",IF(Main[[#This Row],[Class]]="C",WORKDAY(Main[[#This Row],[Tech Start Date]],19),IF(Main[[#This Row],[Class]]="B", WORKDAY(Main[[#This Row],[Tech Start Date]],12),IF(Main[[#This Row],[Class]]="A",WORKDAY(Main[[#This Row],[Tech Start Date]],4),""))))</f>
        <v/>
      </c>
      <c r="O813" s="104" t="str">
        <f>IF(Main[[#This Row],[Tech Start Date]]&lt;1/1/1990,"",IF(Main[[#This Row],[Class]]="C",WORKDAY(Main[[#This Row],[Tech Start Date]],23),IF(Main[[#This Row],[Class]]="B", WORKDAY(Main[[#This Row],[Tech Start Date]],15),IF(Main[[#This Row],[Class]]="A",WORKDAY(Main[[#This Row],[Tech Start Date]],5),""))))</f>
        <v/>
      </c>
      <c r="P813" s="104" t="str">
        <f>IF(Main[[#This Row],[Tech Start Date]]&lt;1/1/1990,"",IF(Main[[#This Row],[Class]]="C",WORKDAY(Main[[#This Row],[Tech Start Date]],28),IF(Main[[#This Row],[Class]]="B", WORKDAY(Main[[#This Row],[Tech Start Date]],19),IF(Main[[#This Row],[Class]]="A",WORKDAY(Main[[#This Row],[Tech Start Date]],9),""))))</f>
        <v/>
      </c>
      <c r="Q813" s="101"/>
      <c r="R813" s="101"/>
      <c r="S813" s="99" t="s">
        <v>6</v>
      </c>
      <c r="T813" s="107" t="s">
        <v>4</v>
      </c>
      <c r="U813" s="99" t="s">
        <v>14</v>
      </c>
      <c r="V813" s="99" t="s">
        <v>1965</v>
      </c>
      <c r="W813" s="99" t="s">
        <v>1966</v>
      </c>
    </row>
    <row r="814" spans="1:23" ht="18.600000000000001" customHeight="1">
      <c r="A814" s="123" t="str">
        <f>IF(priority(Main[[#This Row],[Comments]])&lt;&gt;0, priority(Main[[#This Row],[Comments]]),"")</f>
        <v/>
      </c>
      <c r="B814" s="127" t="s">
        <v>1433</v>
      </c>
      <c r="C814" s="99" t="s">
        <v>4</v>
      </c>
      <c r="D814" s="100" t="s">
        <v>487</v>
      </c>
      <c r="E814" s="101">
        <v>40485.329618055555</v>
      </c>
      <c r="F814" s="101"/>
      <c r="G814" s="102" t="str">
        <f>IF(stdProdLT(Main[[#This Row],[Comments]])=0.1,"N/A",IF(stdProdLT(Main[[#This Row],[Comments]])=0,"",stdProdLT(Main[[#This Row],[Comments]])))</f>
        <v/>
      </c>
      <c r="H814" s="103" t="str">
        <f>IF(AND(Main[[#This Row],[In Stock Date]]&lt;&gt;"",Main[[#This Row],[Revised Due Date]]&lt;&gt;""),Main[[#This Row],[In Stock Date]]-Main[[#This Row],[Revised Due Date]],"")</f>
        <v/>
      </c>
      <c r="I814" s="99" t="s">
        <v>4</v>
      </c>
      <c r="J814" s="99" t="s">
        <v>28</v>
      </c>
      <c r="K814" s="108" t="s">
        <v>1974</v>
      </c>
      <c r="L814" s="101"/>
      <c r="M814" s="104" t="str">
        <f>IF(Main[[#This Row],[Tech Start Date]]&lt;1/1/1990,"",IF(Main[[#This Row],[Class]]="C",WORKDAY(Main[[#This Row],[Tech Start Date]],9),IF(Main[[#This Row],[Class]]="B", WORKDAY(Main[[#This Row],[Tech Start Date]],6),IF(Main[[#This Row],[Class]]="A",WORKDAY(Main[[#This Row],[Tech Start Date]],2),""))))</f>
        <v/>
      </c>
      <c r="N814" s="104" t="str">
        <f>IF(Main[[#This Row],[Tech Start Date]]&lt;1/1/1990,"",IF(Main[[#This Row],[Class]]="C",WORKDAY(Main[[#This Row],[Tech Start Date]],19),IF(Main[[#This Row],[Class]]="B", WORKDAY(Main[[#This Row],[Tech Start Date]],12),IF(Main[[#This Row],[Class]]="A",WORKDAY(Main[[#This Row],[Tech Start Date]],4),""))))</f>
        <v/>
      </c>
      <c r="O814" s="104" t="str">
        <f>IF(Main[[#This Row],[Tech Start Date]]&lt;1/1/1990,"",IF(Main[[#This Row],[Class]]="C",WORKDAY(Main[[#This Row],[Tech Start Date]],23),IF(Main[[#This Row],[Class]]="B", WORKDAY(Main[[#This Row],[Tech Start Date]],15),IF(Main[[#This Row],[Class]]="A",WORKDAY(Main[[#This Row],[Tech Start Date]],5),""))))</f>
        <v/>
      </c>
      <c r="P814" s="104" t="str">
        <f>IF(Main[[#This Row],[Tech Start Date]]&lt;1/1/1990,"",IF(Main[[#This Row],[Class]]="C",WORKDAY(Main[[#This Row],[Tech Start Date]],28),IF(Main[[#This Row],[Class]]="B", WORKDAY(Main[[#This Row],[Tech Start Date]],19),IF(Main[[#This Row],[Class]]="A",WORKDAY(Main[[#This Row],[Tech Start Date]],9),""))))</f>
        <v/>
      </c>
      <c r="Q814" s="101"/>
      <c r="R814" s="101"/>
      <c r="S814" s="99" t="s">
        <v>17</v>
      </c>
      <c r="T814" s="107" t="s">
        <v>4</v>
      </c>
      <c r="U814" s="99" t="s">
        <v>29</v>
      </c>
      <c r="V814" s="99" t="s">
        <v>1962</v>
      </c>
      <c r="W814" s="99" t="s">
        <v>1976</v>
      </c>
    </row>
    <row r="815" spans="1:23" ht="18.600000000000001" customHeight="1">
      <c r="A815" s="123" t="str">
        <f>IF(priority(Main[[#This Row],[Comments]])&lt;&gt;0, priority(Main[[#This Row],[Comments]]),"")</f>
        <v/>
      </c>
      <c r="B815" s="127" t="s">
        <v>1859</v>
      </c>
      <c r="C815" s="99" t="s">
        <v>42</v>
      </c>
      <c r="D815" s="100" t="s">
        <v>885</v>
      </c>
      <c r="E815" s="101">
        <v>39932.455243055556</v>
      </c>
      <c r="F815" s="101"/>
      <c r="G815" s="102" t="str">
        <f>IF(stdProdLT(Main[[#This Row],[Comments]])=0.1,"N/A",IF(stdProdLT(Main[[#This Row],[Comments]])=0,"",stdProdLT(Main[[#This Row],[Comments]])))</f>
        <v/>
      </c>
      <c r="H815" s="103" t="str">
        <f>IF(AND(Main[[#This Row],[In Stock Date]]&lt;&gt;"",Main[[#This Row],[Revised Due Date]]&lt;&gt;""),Main[[#This Row],[In Stock Date]]-Main[[#This Row],[Revised Due Date]],"")</f>
        <v/>
      </c>
      <c r="I815" s="99" t="s">
        <v>4</v>
      </c>
      <c r="J815" s="99" t="s">
        <v>4</v>
      </c>
      <c r="K815" s="99" t="s">
        <v>4</v>
      </c>
      <c r="L815" s="101"/>
      <c r="M815" s="104" t="str">
        <f>IF(Main[[#This Row],[Tech Start Date]]&lt;1/1/1990,"",IF(Main[[#This Row],[Class]]="C",WORKDAY(Main[[#This Row],[Tech Start Date]],9),IF(Main[[#This Row],[Class]]="B", WORKDAY(Main[[#This Row],[Tech Start Date]],6),IF(Main[[#This Row],[Class]]="A",WORKDAY(Main[[#This Row],[Tech Start Date]],2),""))))</f>
        <v/>
      </c>
      <c r="N815" s="104" t="str">
        <f>IF(Main[[#This Row],[Tech Start Date]]&lt;1/1/1990,"",IF(Main[[#This Row],[Class]]="C",WORKDAY(Main[[#This Row],[Tech Start Date]],19),IF(Main[[#This Row],[Class]]="B", WORKDAY(Main[[#This Row],[Tech Start Date]],12),IF(Main[[#This Row],[Class]]="A",WORKDAY(Main[[#This Row],[Tech Start Date]],4),""))))</f>
        <v/>
      </c>
      <c r="O815" s="104" t="str">
        <f>IF(Main[[#This Row],[Tech Start Date]]&lt;1/1/1990,"",IF(Main[[#This Row],[Class]]="C",WORKDAY(Main[[#This Row],[Tech Start Date]],23),IF(Main[[#This Row],[Class]]="B", WORKDAY(Main[[#This Row],[Tech Start Date]],15),IF(Main[[#This Row],[Class]]="A",WORKDAY(Main[[#This Row],[Tech Start Date]],5),""))))</f>
        <v/>
      </c>
      <c r="P815" s="104" t="str">
        <f>IF(Main[[#This Row],[Tech Start Date]]&lt;1/1/1990,"",IF(Main[[#This Row],[Class]]="C",WORKDAY(Main[[#This Row],[Tech Start Date]],28),IF(Main[[#This Row],[Class]]="B", WORKDAY(Main[[#This Row],[Tech Start Date]],19),IF(Main[[#This Row],[Class]]="A",WORKDAY(Main[[#This Row],[Tech Start Date]],9),""))))</f>
        <v/>
      </c>
      <c r="Q815" s="101">
        <v>40165</v>
      </c>
      <c r="R815" s="101">
        <v>40298</v>
      </c>
      <c r="S815" s="99" t="s">
        <v>17</v>
      </c>
      <c r="T815" s="107" t="s">
        <v>4</v>
      </c>
      <c r="U815" s="99" t="s">
        <v>29</v>
      </c>
      <c r="V815" s="99" t="s">
        <v>1963</v>
      </c>
      <c r="W815" s="99" t="s">
        <v>1966</v>
      </c>
    </row>
    <row r="816" spans="1:23" ht="18.600000000000001" customHeight="1">
      <c r="A816" s="123" t="str">
        <f>IF(priority(Main[[#This Row],[Comments]])&lt;&gt;0, priority(Main[[#This Row],[Comments]]),"")</f>
        <v/>
      </c>
      <c r="B816" s="127" t="s">
        <v>1657</v>
      </c>
      <c r="C816" s="99" t="s">
        <v>4</v>
      </c>
      <c r="D816" s="100" t="s">
        <v>705</v>
      </c>
      <c r="E816" s="101"/>
      <c r="F816" s="101"/>
      <c r="G816" s="102" t="str">
        <f>IF(stdProdLT(Main[[#This Row],[Comments]])=0.1,"N/A",IF(stdProdLT(Main[[#This Row],[Comments]])=0,"",stdProdLT(Main[[#This Row],[Comments]])))</f>
        <v/>
      </c>
      <c r="H816" s="103" t="str">
        <f>IF(AND(Main[[#This Row],[In Stock Date]]&lt;&gt;"",Main[[#This Row],[Revised Due Date]]&lt;&gt;""),Main[[#This Row],[In Stock Date]]-Main[[#This Row],[Revised Due Date]],"")</f>
        <v/>
      </c>
      <c r="I816" s="99" t="s">
        <v>4</v>
      </c>
      <c r="J816" s="99" t="s">
        <v>4</v>
      </c>
      <c r="K816" s="99" t="s">
        <v>4</v>
      </c>
      <c r="L816" s="101"/>
      <c r="M816" s="104" t="str">
        <f>IF(Main[[#This Row],[Tech Start Date]]&lt;1/1/1990,"",IF(Main[[#This Row],[Class]]="C",WORKDAY(Main[[#This Row],[Tech Start Date]],9),IF(Main[[#This Row],[Class]]="B", WORKDAY(Main[[#This Row],[Tech Start Date]],6),IF(Main[[#This Row],[Class]]="A",WORKDAY(Main[[#This Row],[Tech Start Date]],2),""))))</f>
        <v/>
      </c>
      <c r="N816" s="104" t="str">
        <f>IF(Main[[#This Row],[Tech Start Date]]&lt;1/1/1990,"",IF(Main[[#This Row],[Class]]="C",WORKDAY(Main[[#This Row],[Tech Start Date]],19),IF(Main[[#This Row],[Class]]="B", WORKDAY(Main[[#This Row],[Tech Start Date]],12),IF(Main[[#This Row],[Class]]="A",WORKDAY(Main[[#This Row],[Tech Start Date]],4),""))))</f>
        <v/>
      </c>
      <c r="O816" s="104" t="str">
        <f>IF(Main[[#This Row],[Tech Start Date]]&lt;1/1/1990,"",IF(Main[[#This Row],[Class]]="C",WORKDAY(Main[[#This Row],[Tech Start Date]],23),IF(Main[[#This Row],[Class]]="B", WORKDAY(Main[[#This Row],[Tech Start Date]],15),IF(Main[[#This Row],[Class]]="A",WORKDAY(Main[[#This Row],[Tech Start Date]],5),""))))</f>
        <v/>
      </c>
      <c r="P816" s="104" t="str">
        <f>IF(Main[[#This Row],[Tech Start Date]]&lt;1/1/1990,"",IF(Main[[#This Row],[Class]]="C",WORKDAY(Main[[#This Row],[Tech Start Date]],28),IF(Main[[#This Row],[Class]]="B", WORKDAY(Main[[#This Row],[Tech Start Date]],19),IF(Main[[#This Row],[Class]]="A",WORKDAY(Main[[#This Row],[Tech Start Date]],9),""))))</f>
        <v/>
      </c>
      <c r="Q816" s="101"/>
      <c r="R816" s="101"/>
      <c r="S816" s="99" t="s">
        <v>23</v>
      </c>
      <c r="T816" s="107" t="s">
        <v>4</v>
      </c>
      <c r="U816" s="99" t="s">
        <v>14</v>
      </c>
      <c r="V816" s="99" t="s">
        <v>1965</v>
      </c>
      <c r="W816" s="99" t="s">
        <v>1966</v>
      </c>
    </row>
    <row r="817" spans="1:23" ht="18.600000000000001" customHeight="1">
      <c r="A817" s="123" t="str">
        <f>IF(priority(Main[[#This Row],[Comments]])&lt;&gt;0, priority(Main[[#This Row],[Comments]]),"")</f>
        <v/>
      </c>
      <c r="B817" s="127" t="s">
        <v>1658</v>
      </c>
      <c r="C817" s="99" t="s">
        <v>122</v>
      </c>
      <c r="D817" s="100" t="s">
        <v>706</v>
      </c>
      <c r="E817" s="101"/>
      <c r="F817" s="101"/>
      <c r="G817" s="102" t="str">
        <f>IF(stdProdLT(Main[[#This Row],[Comments]])=0.1,"N/A",IF(stdProdLT(Main[[#This Row],[Comments]])=0,"",stdProdLT(Main[[#This Row],[Comments]])))</f>
        <v/>
      </c>
      <c r="H817" s="103" t="str">
        <f>IF(AND(Main[[#This Row],[In Stock Date]]&lt;&gt;"",Main[[#This Row],[Revised Due Date]]&lt;&gt;""),Main[[#This Row],[In Stock Date]]-Main[[#This Row],[Revised Due Date]],"")</f>
        <v/>
      </c>
      <c r="I817" s="99" t="s">
        <v>4</v>
      </c>
      <c r="J817" s="99" t="s">
        <v>4</v>
      </c>
      <c r="K817" s="99" t="s">
        <v>4</v>
      </c>
      <c r="L817" s="101"/>
      <c r="M817" s="104" t="str">
        <f>IF(Main[[#This Row],[Tech Start Date]]&lt;1/1/1990,"",IF(Main[[#This Row],[Class]]="C",WORKDAY(Main[[#This Row],[Tech Start Date]],9),IF(Main[[#This Row],[Class]]="B", WORKDAY(Main[[#This Row],[Tech Start Date]],6),IF(Main[[#This Row],[Class]]="A",WORKDAY(Main[[#This Row],[Tech Start Date]],2),""))))</f>
        <v/>
      </c>
      <c r="N817" s="104" t="str">
        <f>IF(Main[[#This Row],[Tech Start Date]]&lt;1/1/1990,"",IF(Main[[#This Row],[Class]]="C",WORKDAY(Main[[#This Row],[Tech Start Date]],19),IF(Main[[#This Row],[Class]]="B", WORKDAY(Main[[#This Row],[Tech Start Date]],12),IF(Main[[#This Row],[Class]]="A",WORKDAY(Main[[#This Row],[Tech Start Date]],4),""))))</f>
        <v/>
      </c>
      <c r="O817" s="104" t="str">
        <f>IF(Main[[#This Row],[Tech Start Date]]&lt;1/1/1990,"",IF(Main[[#This Row],[Class]]="C",WORKDAY(Main[[#This Row],[Tech Start Date]],23),IF(Main[[#This Row],[Class]]="B", WORKDAY(Main[[#This Row],[Tech Start Date]],15),IF(Main[[#This Row],[Class]]="A",WORKDAY(Main[[#This Row],[Tech Start Date]],5),""))))</f>
        <v/>
      </c>
      <c r="P817" s="104" t="str">
        <f>IF(Main[[#This Row],[Tech Start Date]]&lt;1/1/1990,"",IF(Main[[#This Row],[Class]]="C",WORKDAY(Main[[#This Row],[Tech Start Date]],28),IF(Main[[#This Row],[Class]]="B", WORKDAY(Main[[#This Row],[Tech Start Date]],19),IF(Main[[#This Row],[Class]]="A",WORKDAY(Main[[#This Row],[Tech Start Date]],9),""))))</f>
        <v/>
      </c>
      <c r="Q817" s="101"/>
      <c r="R817" s="101"/>
      <c r="S817" s="99" t="s">
        <v>11</v>
      </c>
      <c r="T817" s="107" t="s">
        <v>4</v>
      </c>
      <c r="U817" s="99" t="s">
        <v>14</v>
      </c>
      <c r="V817" s="99" t="s">
        <v>1962</v>
      </c>
      <c r="W817" s="99" t="s">
        <v>1973</v>
      </c>
    </row>
    <row r="818" spans="1:23" ht="18.600000000000001" customHeight="1">
      <c r="A818" s="123" t="str">
        <f>IF(priority(Main[[#This Row],[Comments]])&lt;&gt;0, priority(Main[[#This Row],[Comments]]),"")</f>
        <v/>
      </c>
      <c r="B818" s="127" t="s">
        <v>1659</v>
      </c>
      <c r="C818" s="99" t="s">
        <v>4</v>
      </c>
      <c r="D818" s="100" t="s">
        <v>707</v>
      </c>
      <c r="E818" s="101">
        <v>40626.478958333333</v>
      </c>
      <c r="F818" s="101"/>
      <c r="G818" s="102" t="str">
        <f>IF(stdProdLT(Main[[#This Row],[Comments]])=0.1,"N/A",IF(stdProdLT(Main[[#This Row],[Comments]])=0,"",stdProdLT(Main[[#This Row],[Comments]])))</f>
        <v/>
      </c>
      <c r="H818" s="103" t="str">
        <f>IF(AND(Main[[#This Row],[In Stock Date]]&lt;&gt;"",Main[[#This Row],[Revised Due Date]]&lt;&gt;""),Main[[#This Row],[In Stock Date]]-Main[[#This Row],[Revised Due Date]],"")</f>
        <v/>
      </c>
      <c r="I818" s="99" t="s">
        <v>375</v>
      </c>
      <c r="J818" s="99" t="s">
        <v>28</v>
      </c>
      <c r="K818" s="99" t="s">
        <v>1971</v>
      </c>
      <c r="L818" s="101"/>
      <c r="M818" s="104" t="str">
        <f>IF(Main[[#This Row],[Tech Start Date]]&lt;1/1/1990,"",IF(Main[[#This Row],[Class]]="C",WORKDAY(Main[[#This Row],[Tech Start Date]],9),IF(Main[[#This Row],[Class]]="B", WORKDAY(Main[[#This Row],[Tech Start Date]],6),IF(Main[[#This Row],[Class]]="A",WORKDAY(Main[[#This Row],[Tech Start Date]],2),""))))</f>
        <v/>
      </c>
      <c r="N818" s="104" t="str">
        <f>IF(Main[[#This Row],[Tech Start Date]]&lt;1/1/1990,"",IF(Main[[#This Row],[Class]]="C",WORKDAY(Main[[#This Row],[Tech Start Date]],19),IF(Main[[#This Row],[Class]]="B", WORKDAY(Main[[#This Row],[Tech Start Date]],12),IF(Main[[#This Row],[Class]]="A",WORKDAY(Main[[#This Row],[Tech Start Date]],4),""))))</f>
        <v/>
      </c>
      <c r="O818" s="104" t="str">
        <f>IF(Main[[#This Row],[Tech Start Date]]&lt;1/1/1990,"",IF(Main[[#This Row],[Class]]="C",WORKDAY(Main[[#This Row],[Tech Start Date]],23),IF(Main[[#This Row],[Class]]="B", WORKDAY(Main[[#This Row],[Tech Start Date]],15),IF(Main[[#This Row],[Class]]="A",WORKDAY(Main[[#This Row],[Tech Start Date]],5),""))))</f>
        <v/>
      </c>
      <c r="P818" s="104" t="str">
        <f>IF(Main[[#This Row],[Tech Start Date]]&lt;1/1/1990,"",IF(Main[[#This Row],[Class]]="C",WORKDAY(Main[[#This Row],[Tech Start Date]],28),IF(Main[[#This Row],[Class]]="B", WORKDAY(Main[[#This Row],[Tech Start Date]],19),IF(Main[[#This Row],[Class]]="A",WORKDAY(Main[[#This Row],[Tech Start Date]],9),""))))</f>
        <v/>
      </c>
      <c r="Q818" s="101"/>
      <c r="R818" s="101"/>
      <c r="S818" s="99" t="s">
        <v>6</v>
      </c>
      <c r="T818" s="107" t="s">
        <v>4</v>
      </c>
      <c r="U818" s="99" t="s">
        <v>29</v>
      </c>
      <c r="V818" s="99" t="s">
        <v>1965</v>
      </c>
      <c r="W818" s="99" t="s">
        <v>1966</v>
      </c>
    </row>
    <row r="819" spans="1:23" ht="18.600000000000001" customHeight="1">
      <c r="A819" s="123" t="str">
        <f>IF(priority(Main[[#This Row],[Comments]])&lt;&gt;0, priority(Main[[#This Row],[Comments]]),"")</f>
        <v/>
      </c>
      <c r="B819" s="127" t="s">
        <v>1660</v>
      </c>
      <c r="C819" s="99" t="s">
        <v>4</v>
      </c>
      <c r="D819" s="100" t="s">
        <v>708</v>
      </c>
      <c r="E819" s="101"/>
      <c r="F819" s="101">
        <v>40598</v>
      </c>
      <c r="G819" s="102" t="str">
        <f>IF(stdProdLT(Main[[#This Row],[Comments]])=0.1,"N/A",IF(stdProdLT(Main[[#This Row],[Comments]])=0,"",stdProdLT(Main[[#This Row],[Comments]])))</f>
        <v/>
      </c>
      <c r="H819" s="103" t="str">
        <f>IF(AND(Main[[#This Row],[In Stock Date]]&lt;&gt;"",Main[[#This Row],[Revised Due Date]]&lt;&gt;""),Main[[#This Row],[In Stock Date]]-Main[[#This Row],[Revised Due Date]],"")</f>
        <v/>
      </c>
      <c r="I819" s="99" t="s">
        <v>404</v>
      </c>
      <c r="J819" s="99" t="s">
        <v>75</v>
      </c>
      <c r="K819" s="99" t="s">
        <v>4</v>
      </c>
      <c r="L819" s="101"/>
      <c r="M819" s="104" t="str">
        <f>IF(Main[[#This Row],[Tech Start Date]]&lt;1/1/1990,"",IF(Main[[#This Row],[Class]]="C",WORKDAY(Main[[#This Row],[Tech Start Date]],9),IF(Main[[#This Row],[Class]]="B", WORKDAY(Main[[#This Row],[Tech Start Date]],6),IF(Main[[#This Row],[Class]]="A",WORKDAY(Main[[#This Row],[Tech Start Date]],2),""))))</f>
        <v/>
      </c>
      <c r="N819" s="104" t="str">
        <f>IF(Main[[#This Row],[Tech Start Date]]&lt;1/1/1990,"",IF(Main[[#This Row],[Class]]="C",WORKDAY(Main[[#This Row],[Tech Start Date]],19),IF(Main[[#This Row],[Class]]="B", WORKDAY(Main[[#This Row],[Tech Start Date]],12),IF(Main[[#This Row],[Class]]="A",WORKDAY(Main[[#This Row],[Tech Start Date]],4),""))))</f>
        <v/>
      </c>
      <c r="O819" s="104" t="str">
        <f>IF(Main[[#This Row],[Tech Start Date]]&lt;1/1/1990,"",IF(Main[[#This Row],[Class]]="C",WORKDAY(Main[[#This Row],[Tech Start Date]],23),IF(Main[[#This Row],[Class]]="B", WORKDAY(Main[[#This Row],[Tech Start Date]],15),IF(Main[[#This Row],[Class]]="A",WORKDAY(Main[[#This Row],[Tech Start Date]],5),""))))</f>
        <v/>
      </c>
      <c r="P819" s="104" t="str">
        <f>IF(Main[[#This Row],[Tech Start Date]]&lt;1/1/1990,"",IF(Main[[#This Row],[Class]]="C",WORKDAY(Main[[#This Row],[Tech Start Date]],28),IF(Main[[#This Row],[Class]]="B", WORKDAY(Main[[#This Row],[Tech Start Date]],19),IF(Main[[#This Row],[Class]]="A",WORKDAY(Main[[#This Row],[Tech Start Date]],9),""))))</f>
        <v/>
      </c>
      <c r="Q819" s="101">
        <v>40598</v>
      </c>
      <c r="R819" s="101"/>
      <c r="S819" s="99" t="s">
        <v>6</v>
      </c>
      <c r="T819" s="107" t="s">
        <v>4</v>
      </c>
      <c r="U819" s="99" t="s">
        <v>14</v>
      </c>
      <c r="V819" s="99" t="s">
        <v>1972</v>
      </c>
      <c r="W819" s="99" t="s">
        <v>1968</v>
      </c>
    </row>
    <row r="820" spans="1:23" ht="18.600000000000001" customHeight="1">
      <c r="A820" s="123" t="str">
        <f>IF(priority(Main[[#This Row],[Comments]])&lt;&gt;0, priority(Main[[#This Row],[Comments]]),"")</f>
        <v/>
      </c>
      <c r="B820" s="127" t="s">
        <v>2233</v>
      </c>
      <c r="C820" s="99" t="s">
        <v>2228</v>
      </c>
      <c r="D820" s="100" t="s">
        <v>3026</v>
      </c>
      <c r="E820" s="101">
        <v>40781.401631944442</v>
      </c>
      <c r="F820" s="101"/>
      <c r="G820" s="102" t="str">
        <f>IF(stdProdLT(Main[[#This Row],[Comments]])=0.1,"N/A",IF(stdProdLT(Main[[#This Row],[Comments]])=0,"",stdProdLT(Main[[#This Row],[Comments]])))</f>
        <v/>
      </c>
      <c r="H820" s="103" t="str">
        <f>IF(AND(Main[[#This Row],[In Stock Date]]&lt;&gt;"",Main[[#This Row],[Revised Due Date]]&lt;&gt;""),Main[[#This Row],[In Stock Date]]-Main[[#This Row],[Revised Due Date]],"")</f>
        <v/>
      </c>
      <c r="I820" s="99" t="s">
        <v>2110</v>
      </c>
      <c r="J820" s="99" t="s">
        <v>70</v>
      </c>
      <c r="K820" s="99" t="s">
        <v>1971</v>
      </c>
      <c r="L820" s="101"/>
      <c r="M820" s="104" t="str">
        <f>IF(Main[[#This Row],[Tech Start Date]]&lt;1/1/1990,"",IF(Main[[#This Row],[Class]]="C",WORKDAY(Main[[#This Row],[Tech Start Date]],9),IF(Main[[#This Row],[Class]]="B", WORKDAY(Main[[#This Row],[Tech Start Date]],6),IF(Main[[#This Row],[Class]]="A",WORKDAY(Main[[#This Row],[Tech Start Date]],2),""))))</f>
        <v/>
      </c>
      <c r="N820" s="104" t="str">
        <f>IF(Main[[#This Row],[Tech Start Date]]&lt;1/1/1990,"",IF(Main[[#This Row],[Class]]="C",WORKDAY(Main[[#This Row],[Tech Start Date]],19),IF(Main[[#This Row],[Class]]="B", WORKDAY(Main[[#This Row],[Tech Start Date]],12),IF(Main[[#This Row],[Class]]="A",WORKDAY(Main[[#This Row],[Tech Start Date]],4),""))))</f>
        <v/>
      </c>
      <c r="O820" s="104" t="str">
        <f>IF(Main[[#This Row],[Tech Start Date]]&lt;1/1/1990,"",IF(Main[[#This Row],[Class]]="C",WORKDAY(Main[[#This Row],[Tech Start Date]],23),IF(Main[[#This Row],[Class]]="B", WORKDAY(Main[[#This Row],[Tech Start Date]],15),IF(Main[[#This Row],[Class]]="A",WORKDAY(Main[[#This Row],[Tech Start Date]],5),""))))</f>
        <v/>
      </c>
      <c r="P820" s="104" t="str">
        <f>IF(Main[[#This Row],[Tech Start Date]]&lt;1/1/1990,"",IF(Main[[#This Row],[Class]]="C",WORKDAY(Main[[#This Row],[Tech Start Date]],28),IF(Main[[#This Row],[Class]]="B", WORKDAY(Main[[#This Row],[Tech Start Date]],19),IF(Main[[#This Row],[Class]]="A",WORKDAY(Main[[#This Row],[Tech Start Date]],9),""))))</f>
        <v/>
      </c>
      <c r="Q820" s="101">
        <v>40836</v>
      </c>
      <c r="R820" s="101"/>
      <c r="S820" s="99" t="s">
        <v>6</v>
      </c>
      <c r="T820" s="107" t="s">
        <v>4</v>
      </c>
      <c r="U820" s="99" t="s">
        <v>29</v>
      </c>
      <c r="V820" s="99" t="s">
        <v>1965</v>
      </c>
      <c r="W820" s="99" t="s">
        <v>1966</v>
      </c>
    </row>
    <row r="821" spans="1:23" ht="18.600000000000001" customHeight="1">
      <c r="A821" s="123" t="str">
        <f>IF(priority(Main[[#This Row],[Comments]])&lt;&gt;0, priority(Main[[#This Row],[Comments]]),"")</f>
        <v/>
      </c>
      <c r="B821" s="127" t="s">
        <v>1682</v>
      </c>
      <c r="C821" s="99" t="s">
        <v>4</v>
      </c>
      <c r="D821" s="100" t="s">
        <v>723</v>
      </c>
      <c r="E821" s="101"/>
      <c r="F821" s="101"/>
      <c r="G821" s="102" t="str">
        <f>IF(stdProdLT(Main[[#This Row],[Comments]])=0.1,"N/A",IF(stdProdLT(Main[[#This Row],[Comments]])=0,"",stdProdLT(Main[[#This Row],[Comments]])))</f>
        <v/>
      </c>
      <c r="H821" s="103" t="str">
        <f>IF(AND(Main[[#This Row],[In Stock Date]]&lt;&gt;"",Main[[#This Row],[Revised Due Date]]&lt;&gt;""),Main[[#This Row],[In Stock Date]]-Main[[#This Row],[Revised Due Date]],"")</f>
        <v/>
      </c>
      <c r="I821" s="99" t="s">
        <v>4</v>
      </c>
      <c r="J821" s="99" t="s">
        <v>4</v>
      </c>
      <c r="K821" s="99" t="s">
        <v>4</v>
      </c>
      <c r="L821" s="101"/>
      <c r="M821" s="104" t="str">
        <f>IF(Main[[#This Row],[Tech Start Date]]&lt;1/1/1990,"",IF(Main[[#This Row],[Class]]="C",WORKDAY(Main[[#This Row],[Tech Start Date]],9),IF(Main[[#This Row],[Class]]="B", WORKDAY(Main[[#This Row],[Tech Start Date]],6),IF(Main[[#This Row],[Class]]="A",WORKDAY(Main[[#This Row],[Tech Start Date]],2),""))))</f>
        <v/>
      </c>
      <c r="N821" s="104" t="str">
        <f>IF(Main[[#This Row],[Tech Start Date]]&lt;1/1/1990,"",IF(Main[[#This Row],[Class]]="C",WORKDAY(Main[[#This Row],[Tech Start Date]],19),IF(Main[[#This Row],[Class]]="B", WORKDAY(Main[[#This Row],[Tech Start Date]],12),IF(Main[[#This Row],[Class]]="A",WORKDAY(Main[[#This Row],[Tech Start Date]],4),""))))</f>
        <v/>
      </c>
      <c r="O821" s="104" t="str">
        <f>IF(Main[[#This Row],[Tech Start Date]]&lt;1/1/1990,"",IF(Main[[#This Row],[Class]]="C",WORKDAY(Main[[#This Row],[Tech Start Date]],23),IF(Main[[#This Row],[Class]]="B", WORKDAY(Main[[#This Row],[Tech Start Date]],15),IF(Main[[#This Row],[Class]]="A",WORKDAY(Main[[#This Row],[Tech Start Date]],5),""))))</f>
        <v/>
      </c>
      <c r="P821" s="104" t="str">
        <f>IF(Main[[#This Row],[Tech Start Date]]&lt;1/1/1990,"",IF(Main[[#This Row],[Class]]="C",WORKDAY(Main[[#This Row],[Tech Start Date]],28),IF(Main[[#This Row],[Class]]="B", WORKDAY(Main[[#This Row],[Tech Start Date]],19),IF(Main[[#This Row],[Class]]="A",WORKDAY(Main[[#This Row],[Tech Start Date]],9),""))))</f>
        <v/>
      </c>
      <c r="Q821" s="101"/>
      <c r="R821" s="101"/>
      <c r="S821" s="99" t="s">
        <v>23</v>
      </c>
      <c r="T821" s="107" t="s">
        <v>4</v>
      </c>
      <c r="U821" s="99" t="s">
        <v>14</v>
      </c>
      <c r="V821" s="99" t="s">
        <v>1965</v>
      </c>
      <c r="W821" s="99" t="s">
        <v>1966</v>
      </c>
    </row>
    <row r="822" spans="1:23" ht="18.600000000000001" customHeight="1">
      <c r="A822" s="123" t="str">
        <f>IF(priority(Main[[#This Row],[Comments]])&lt;&gt;0, priority(Main[[#This Row],[Comments]]),"")</f>
        <v/>
      </c>
      <c r="B822" s="127" t="s">
        <v>1896</v>
      </c>
      <c r="C822" s="99" t="s">
        <v>4</v>
      </c>
      <c r="D822" s="100" t="s">
        <v>926</v>
      </c>
      <c r="E822" s="101"/>
      <c r="F822" s="101"/>
      <c r="G822" s="102" t="str">
        <f>IF(stdProdLT(Main[[#This Row],[Comments]])=0.1,"N/A",IF(stdProdLT(Main[[#This Row],[Comments]])=0,"",stdProdLT(Main[[#This Row],[Comments]])))</f>
        <v/>
      </c>
      <c r="H822" s="103" t="str">
        <f>IF(AND(Main[[#This Row],[In Stock Date]]&lt;&gt;"",Main[[#This Row],[Revised Due Date]]&lt;&gt;""),Main[[#This Row],[In Stock Date]]-Main[[#This Row],[Revised Due Date]],"")</f>
        <v/>
      </c>
      <c r="I822" s="99" t="s">
        <v>868</v>
      </c>
      <c r="J822" s="99" t="s">
        <v>4</v>
      </c>
      <c r="K822" s="99" t="s">
        <v>1974</v>
      </c>
      <c r="L822" s="101"/>
      <c r="M822" s="104" t="str">
        <f>IF(Main[[#This Row],[Tech Start Date]]&lt;1/1/1990,"",IF(Main[[#This Row],[Class]]="C",WORKDAY(Main[[#This Row],[Tech Start Date]],9),IF(Main[[#This Row],[Class]]="B", WORKDAY(Main[[#This Row],[Tech Start Date]],6),IF(Main[[#This Row],[Class]]="A",WORKDAY(Main[[#This Row],[Tech Start Date]],2),""))))</f>
        <v/>
      </c>
      <c r="N822" s="104" t="str">
        <f>IF(Main[[#This Row],[Tech Start Date]]&lt;1/1/1990,"",IF(Main[[#This Row],[Class]]="C",WORKDAY(Main[[#This Row],[Tech Start Date]],19),IF(Main[[#This Row],[Class]]="B", WORKDAY(Main[[#This Row],[Tech Start Date]],12),IF(Main[[#This Row],[Class]]="A",WORKDAY(Main[[#This Row],[Tech Start Date]],4),""))))</f>
        <v/>
      </c>
      <c r="O822" s="104" t="str">
        <f>IF(Main[[#This Row],[Tech Start Date]]&lt;1/1/1990,"",IF(Main[[#This Row],[Class]]="C",WORKDAY(Main[[#This Row],[Tech Start Date]],23),IF(Main[[#This Row],[Class]]="B", WORKDAY(Main[[#This Row],[Tech Start Date]],15),IF(Main[[#This Row],[Class]]="A",WORKDAY(Main[[#This Row],[Tech Start Date]],5),""))))</f>
        <v/>
      </c>
      <c r="P822" s="104" t="str">
        <f>IF(Main[[#This Row],[Tech Start Date]]&lt;1/1/1990,"",IF(Main[[#This Row],[Class]]="C",WORKDAY(Main[[#This Row],[Tech Start Date]],28),IF(Main[[#This Row],[Class]]="B", WORKDAY(Main[[#This Row],[Tech Start Date]],19),IF(Main[[#This Row],[Class]]="A",WORKDAY(Main[[#This Row],[Tech Start Date]],9),""))))</f>
        <v/>
      </c>
      <c r="Q822" s="101"/>
      <c r="R822" s="101">
        <v>40543</v>
      </c>
      <c r="S822" s="99" t="s">
        <v>17</v>
      </c>
      <c r="T822" s="107" t="s">
        <v>4</v>
      </c>
      <c r="U822" s="99" t="s">
        <v>14</v>
      </c>
      <c r="V822" s="99" t="s">
        <v>1965</v>
      </c>
      <c r="W822" s="99" t="s">
        <v>1970</v>
      </c>
    </row>
    <row r="823" spans="1:23" ht="18.600000000000001" customHeight="1">
      <c r="A823" s="123" t="str">
        <f>IF(priority(Main[[#This Row],[Comments]])&lt;&gt;0, priority(Main[[#This Row],[Comments]]),"")</f>
        <v/>
      </c>
      <c r="B823" s="127" t="s">
        <v>1683</v>
      </c>
      <c r="C823" s="99" t="s">
        <v>113</v>
      </c>
      <c r="D823" s="100" t="s">
        <v>724</v>
      </c>
      <c r="E823" s="101"/>
      <c r="F823" s="101">
        <v>40817</v>
      </c>
      <c r="G823" s="102" t="str">
        <f>IF(stdProdLT(Main[[#This Row],[Comments]])=0.1,"N/A",IF(stdProdLT(Main[[#This Row],[Comments]])=0,"",stdProdLT(Main[[#This Row],[Comments]])))</f>
        <v/>
      </c>
      <c r="H823" s="103" t="str">
        <f>IF(AND(Main[[#This Row],[In Stock Date]]&lt;&gt;"",Main[[#This Row],[Revised Due Date]]&lt;&gt;""),Main[[#This Row],[In Stock Date]]-Main[[#This Row],[Revised Due Date]],"")</f>
        <v/>
      </c>
      <c r="I823" s="99" t="s">
        <v>4</v>
      </c>
      <c r="J823" s="99" t="s">
        <v>28</v>
      </c>
      <c r="K823" s="99" t="s">
        <v>1975</v>
      </c>
      <c r="L823" s="101"/>
      <c r="M823" s="104" t="str">
        <f>IF(Main[[#This Row],[Tech Start Date]]&lt;1/1/1990,"",IF(Main[[#This Row],[Class]]="C",WORKDAY(Main[[#This Row],[Tech Start Date]],9),IF(Main[[#This Row],[Class]]="B", WORKDAY(Main[[#This Row],[Tech Start Date]],6),IF(Main[[#This Row],[Class]]="A",WORKDAY(Main[[#This Row],[Tech Start Date]],2),""))))</f>
        <v/>
      </c>
      <c r="N823" s="104" t="str">
        <f>IF(Main[[#This Row],[Tech Start Date]]&lt;1/1/1990,"",IF(Main[[#This Row],[Class]]="C",WORKDAY(Main[[#This Row],[Tech Start Date]],19),IF(Main[[#This Row],[Class]]="B", WORKDAY(Main[[#This Row],[Tech Start Date]],12),IF(Main[[#This Row],[Class]]="A",WORKDAY(Main[[#This Row],[Tech Start Date]],4),""))))</f>
        <v/>
      </c>
      <c r="O823" s="104" t="str">
        <f>IF(Main[[#This Row],[Tech Start Date]]&lt;1/1/1990,"",IF(Main[[#This Row],[Class]]="C",WORKDAY(Main[[#This Row],[Tech Start Date]],23),IF(Main[[#This Row],[Class]]="B", WORKDAY(Main[[#This Row],[Tech Start Date]],15),IF(Main[[#This Row],[Class]]="A",WORKDAY(Main[[#This Row],[Tech Start Date]],5),""))))</f>
        <v/>
      </c>
      <c r="P823" s="104" t="str">
        <f>IF(Main[[#This Row],[Tech Start Date]]&lt;1/1/1990,"",IF(Main[[#This Row],[Class]]="C",WORKDAY(Main[[#This Row],[Tech Start Date]],28),IF(Main[[#This Row],[Class]]="B", WORKDAY(Main[[#This Row],[Tech Start Date]],19),IF(Main[[#This Row],[Class]]="A",WORKDAY(Main[[#This Row],[Tech Start Date]],9),""))))</f>
        <v/>
      </c>
      <c r="Q823" s="101">
        <v>40634</v>
      </c>
      <c r="R823" s="101"/>
      <c r="S823" s="99" t="s">
        <v>11</v>
      </c>
      <c r="T823" s="107" t="s">
        <v>4</v>
      </c>
      <c r="U823" s="99" t="s">
        <v>14</v>
      </c>
      <c r="V823" s="99" t="s">
        <v>1962</v>
      </c>
      <c r="W823" s="99" t="s">
        <v>1968</v>
      </c>
    </row>
    <row r="824" spans="1:23" ht="18.600000000000001" customHeight="1">
      <c r="A824" s="123" t="str">
        <f>IF(priority(Main[[#This Row],[Comments]])&lt;&gt;0, priority(Main[[#This Row],[Comments]]),"")</f>
        <v/>
      </c>
      <c r="B824" s="127" t="s">
        <v>1684</v>
      </c>
      <c r="C824" s="99" t="s">
        <v>4</v>
      </c>
      <c r="D824" s="100" t="s">
        <v>39</v>
      </c>
      <c r="E824" s="101"/>
      <c r="F824" s="101"/>
      <c r="G824" s="102" t="str">
        <f>IF(stdProdLT(Main[[#This Row],[Comments]])=0.1,"N/A",IF(stdProdLT(Main[[#This Row],[Comments]])=0,"",stdProdLT(Main[[#This Row],[Comments]])))</f>
        <v/>
      </c>
      <c r="H824" s="103" t="str">
        <f>IF(AND(Main[[#This Row],[In Stock Date]]&lt;&gt;"",Main[[#This Row],[Revised Due Date]]&lt;&gt;""),Main[[#This Row],[In Stock Date]]-Main[[#This Row],[Revised Due Date]],"")</f>
        <v/>
      </c>
      <c r="I824" s="99" t="s">
        <v>4</v>
      </c>
      <c r="J824" s="99" t="s">
        <v>4</v>
      </c>
      <c r="K824" s="99" t="s">
        <v>4</v>
      </c>
      <c r="L824" s="101"/>
      <c r="M824" s="104" t="str">
        <f>IF(Main[[#This Row],[Tech Start Date]]&lt;1/1/1990,"",IF(Main[[#This Row],[Class]]="C",WORKDAY(Main[[#This Row],[Tech Start Date]],9),IF(Main[[#This Row],[Class]]="B", WORKDAY(Main[[#This Row],[Tech Start Date]],6),IF(Main[[#This Row],[Class]]="A",WORKDAY(Main[[#This Row],[Tech Start Date]],2),""))))</f>
        <v/>
      </c>
      <c r="N824" s="104" t="str">
        <f>IF(Main[[#This Row],[Tech Start Date]]&lt;1/1/1990,"",IF(Main[[#This Row],[Class]]="C",WORKDAY(Main[[#This Row],[Tech Start Date]],19),IF(Main[[#This Row],[Class]]="B", WORKDAY(Main[[#This Row],[Tech Start Date]],12),IF(Main[[#This Row],[Class]]="A",WORKDAY(Main[[#This Row],[Tech Start Date]],4),""))))</f>
        <v/>
      </c>
      <c r="O824" s="104" t="str">
        <f>IF(Main[[#This Row],[Tech Start Date]]&lt;1/1/1990,"",IF(Main[[#This Row],[Class]]="C",WORKDAY(Main[[#This Row],[Tech Start Date]],23),IF(Main[[#This Row],[Class]]="B", WORKDAY(Main[[#This Row],[Tech Start Date]],15),IF(Main[[#This Row],[Class]]="A",WORKDAY(Main[[#This Row],[Tech Start Date]],5),""))))</f>
        <v/>
      </c>
      <c r="P824" s="104" t="str">
        <f>IF(Main[[#This Row],[Tech Start Date]]&lt;1/1/1990,"",IF(Main[[#This Row],[Class]]="C",WORKDAY(Main[[#This Row],[Tech Start Date]],28),IF(Main[[#This Row],[Class]]="B", WORKDAY(Main[[#This Row],[Tech Start Date]],19),IF(Main[[#This Row],[Class]]="A",WORKDAY(Main[[#This Row],[Tech Start Date]],9),""))))</f>
        <v/>
      </c>
      <c r="Q824" s="101">
        <v>40669</v>
      </c>
      <c r="R824" s="101"/>
      <c r="S824" s="99" t="s">
        <v>6</v>
      </c>
      <c r="T824" s="107" t="s">
        <v>4</v>
      </c>
      <c r="U824" s="99" t="s">
        <v>14</v>
      </c>
      <c r="V824" s="99" t="s">
        <v>1965</v>
      </c>
      <c r="W824" s="99" t="s">
        <v>4</v>
      </c>
    </row>
    <row r="825" spans="1:23" ht="18.600000000000001" customHeight="1">
      <c r="A825" s="123" t="str">
        <f>IF(priority(Main[[#This Row],[Comments]])&lt;&gt;0, priority(Main[[#This Row],[Comments]]),"")</f>
        <v/>
      </c>
      <c r="B825" s="127" t="s">
        <v>1685</v>
      </c>
      <c r="C825" s="99" t="s">
        <v>4</v>
      </c>
      <c r="D825" s="100" t="s">
        <v>725</v>
      </c>
      <c r="E825" s="101"/>
      <c r="F825" s="101"/>
      <c r="G825" s="102" t="str">
        <f>IF(stdProdLT(Main[[#This Row],[Comments]])=0.1,"N/A",IF(stdProdLT(Main[[#This Row],[Comments]])=0,"",stdProdLT(Main[[#This Row],[Comments]])))</f>
        <v/>
      </c>
      <c r="H825" s="103" t="str">
        <f>IF(AND(Main[[#This Row],[In Stock Date]]&lt;&gt;"",Main[[#This Row],[Revised Due Date]]&lt;&gt;""),Main[[#This Row],[In Stock Date]]-Main[[#This Row],[Revised Due Date]],"")</f>
        <v/>
      </c>
      <c r="I825" s="99" t="s">
        <v>4</v>
      </c>
      <c r="J825" s="99" t="s">
        <v>4</v>
      </c>
      <c r="K825" s="108" t="s">
        <v>4</v>
      </c>
      <c r="L825" s="101"/>
      <c r="M825" s="104" t="str">
        <f>IF(Main[[#This Row],[Tech Start Date]]&lt;1/1/1990,"",IF(Main[[#This Row],[Class]]="C",WORKDAY(Main[[#This Row],[Tech Start Date]],9),IF(Main[[#This Row],[Class]]="B", WORKDAY(Main[[#This Row],[Tech Start Date]],6),IF(Main[[#This Row],[Class]]="A",WORKDAY(Main[[#This Row],[Tech Start Date]],2),""))))</f>
        <v/>
      </c>
      <c r="N825" s="104" t="str">
        <f>IF(Main[[#This Row],[Tech Start Date]]&lt;1/1/1990,"",IF(Main[[#This Row],[Class]]="C",WORKDAY(Main[[#This Row],[Tech Start Date]],19),IF(Main[[#This Row],[Class]]="B", WORKDAY(Main[[#This Row],[Tech Start Date]],12),IF(Main[[#This Row],[Class]]="A",WORKDAY(Main[[#This Row],[Tech Start Date]],4),""))))</f>
        <v/>
      </c>
      <c r="O825" s="104" t="str">
        <f>IF(Main[[#This Row],[Tech Start Date]]&lt;1/1/1990,"",IF(Main[[#This Row],[Class]]="C",WORKDAY(Main[[#This Row],[Tech Start Date]],23),IF(Main[[#This Row],[Class]]="B", WORKDAY(Main[[#This Row],[Tech Start Date]],15),IF(Main[[#This Row],[Class]]="A",WORKDAY(Main[[#This Row],[Tech Start Date]],5),""))))</f>
        <v/>
      </c>
      <c r="P825" s="104" t="str">
        <f>IF(Main[[#This Row],[Tech Start Date]]&lt;1/1/1990,"",IF(Main[[#This Row],[Class]]="C",WORKDAY(Main[[#This Row],[Tech Start Date]],28),IF(Main[[#This Row],[Class]]="B", WORKDAY(Main[[#This Row],[Tech Start Date]],19),IF(Main[[#This Row],[Class]]="A",WORKDAY(Main[[#This Row],[Tech Start Date]],9),""))))</f>
        <v/>
      </c>
      <c r="Q825" s="101"/>
      <c r="R825" s="101"/>
      <c r="S825" s="99" t="s">
        <v>11</v>
      </c>
      <c r="T825" s="107" t="s">
        <v>4</v>
      </c>
      <c r="U825" s="99" t="s">
        <v>12</v>
      </c>
      <c r="V825" s="99" t="s">
        <v>1963</v>
      </c>
      <c r="W825" s="99" t="s">
        <v>4</v>
      </c>
    </row>
    <row r="826" spans="1:23" ht="18.600000000000001" customHeight="1">
      <c r="A826" s="123" t="str">
        <f>IF(priority(Main[[#This Row],[Comments]])&lt;&gt;0, priority(Main[[#This Row],[Comments]]),"")</f>
        <v/>
      </c>
      <c r="B826" s="127" t="s">
        <v>1687</v>
      </c>
      <c r="C826" s="99" t="s">
        <v>4</v>
      </c>
      <c r="D826" s="100" t="s">
        <v>726</v>
      </c>
      <c r="E826" s="101">
        <v>40715.129143518519</v>
      </c>
      <c r="F826" s="101"/>
      <c r="G826" s="102" t="str">
        <f>IF(stdProdLT(Main[[#This Row],[Comments]])=0.1,"N/A",IF(stdProdLT(Main[[#This Row],[Comments]])=0,"",stdProdLT(Main[[#This Row],[Comments]])))</f>
        <v/>
      </c>
      <c r="H826" s="103" t="str">
        <f>IF(AND(Main[[#This Row],[In Stock Date]]&lt;&gt;"",Main[[#This Row],[Revised Due Date]]&lt;&gt;""),Main[[#This Row],[In Stock Date]]-Main[[#This Row],[Revised Due Date]],"")</f>
        <v/>
      </c>
      <c r="I826" s="99" t="s">
        <v>4</v>
      </c>
      <c r="J826" s="99" t="s">
        <v>4</v>
      </c>
      <c r="K826" s="99" t="s">
        <v>4</v>
      </c>
      <c r="L826" s="101"/>
      <c r="M826" s="104" t="str">
        <f>IF(Main[[#This Row],[Tech Start Date]]&lt;1/1/1990,"",IF(Main[[#This Row],[Class]]="C",WORKDAY(Main[[#This Row],[Tech Start Date]],9),IF(Main[[#This Row],[Class]]="B", WORKDAY(Main[[#This Row],[Tech Start Date]],6),IF(Main[[#This Row],[Class]]="A",WORKDAY(Main[[#This Row],[Tech Start Date]],2),""))))</f>
        <v/>
      </c>
      <c r="N826" s="104" t="str">
        <f>IF(Main[[#This Row],[Tech Start Date]]&lt;1/1/1990,"",IF(Main[[#This Row],[Class]]="C",WORKDAY(Main[[#This Row],[Tech Start Date]],19),IF(Main[[#This Row],[Class]]="B", WORKDAY(Main[[#This Row],[Tech Start Date]],12),IF(Main[[#This Row],[Class]]="A",WORKDAY(Main[[#This Row],[Tech Start Date]],4),""))))</f>
        <v/>
      </c>
      <c r="O826" s="104" t="str">
        <f>IF(Main[[#This Row],[Tech Start Date]]&lt;1/1/1990,"",IF(Main[[#This Row],[Class]]="C",WORKDAY(Main[[#This Row],[Tech Start Date]],23),IF(Main[[#This Row],[Class]]="B", WORKDAY(Main[[#This Row],[Tech Start Date]],15),IF(Main[[#This Row],[Class]]="A",WORKDAY(Main[[#This Row],[Tech Start Date]],5),""))))</f>
        <v/>
      </c>
      <c r="P826" s="104" t="str">
        <f>IF(Main[[#This Row],[Tech Start Date]]&lt;1/1/1990,"",IF(Main[[#This Row],[Class]]="C",WORKDAY(Main[[#This Row],[Tech Start Date]],28),IF(Main[[#This Row],[Class]]="B", WORKDAY(Main[[#This Row],[Tech Start Date]],19),IF(Main[[#This Row],[Class]]="A",WORKDAY(Main[[#This Row],[Tech Start Date]],9),""))))</f>
        <v/>
      </c>
      <c r="Q826" s="101">
        <v>40717</v>
      </c>
      <c r="R826" s="101"/>
      <c r="S826" s="99" t="s">
        <v>49</v>
      </c>
      <c r="T826" s="107" t="s">
        <v>4</v>
      </c>
      <c r="U826" s="99" t="s">
        <v>7</v>
      </c>
      <c r="V826" s="99" t="s">
        <v>1963</v>
      </c>
      <c r="W826" s="99" t="s">
        <v>1966</v>
      </c>
    </row>
    <row r="827" spans="1:23" ht="18.600000000000001" customHeight="1">
      <c r="A827" s="123" t="str">
        <f>IF(priority(Main[[#This Row],[Comments]])&lt;&gt;0, priority(Main[[#This Row],[Comments]]),"")</f>
        <v/>
      </c>
      <c r="B827" s="127" t="s">
        <v>2165</v>
      </c>
      <c r="C827" s="99" t="s">
        <v>4</v>
      </c>
      <c r="D827" s="100" t="s">
        <v>2166</v>
      </c>
      <c r="E827" s="101">
        <v>40770.430092592593</v>
      </c>
      <c r="F827" s="101"/>
      <c r="G827" s="102" t="str">
        <f>IF(stdProdLT(Main[[#This Row],[Comments]])=0.1,"N/A",IF(stdProdLT(Main[[#This Row],[Comments]])=0,"",stdProdLT(Main[[#This Row],[Comments]])))</f>
        <v/>
      </c>
      <c r="H827" s="103" t="str">
        <f>IF(AND(Main[[#This Row],[In Stock Date]]&lt;&gt;"",Main[[#This Row],[Revised Due Date]]&lt;&gt;""),Main[[#This Row],[In Stock Date]]-Main[[#This Row],[Revised Due Date]],"")</f>
        <v/>
      </c>
      <c r="I827" s="99" t="s">
        <v>4</v>
      </c>
      <c r="J827" s="99" t="s">
        <v>4</v>
      </c>
      <c r="K827" s="99" t="s">
        <v>4</v>
      </c>
      <c r="L827" s="101"/>
      <c r="M827" s="104" t="str">
        <f>IF(Main[[#This Row],[Tech Start Date]]&lt;1/1/1990,"",IF(Main[[#This Row],[Class]]="C",WORKDAY(Main[[#This Row],[Tech Start Date]],9),IF(Main[[#This Row],[Class]]="B", WORKDAY(Main[[#This Row],[Tech Start Date]],6),IF(Main[[#This Row],[Class]]="A",WORKDAY(Main[[#This Row],[Tech Start Date]],2),""))))</f>
        <v/>
      </c>
      <c r="N827" s="104" t="str">
        <f>IF(Main[[#This Row],[Tech Start Date]]&lt;1/1/1990,"",IF(Main[[#This Row],[Class]]="C",WORKDAY(Main[[#This Row],[Tech Start Date]],19),IF(Main[[#This Row],[Class]]="B", WORKDAY(Main[[#This Row],[Tech Start Date]],12),IF(Main[[#This Row],[Class]]="A",WORKDAY(Main[[#This Row],[Tech Start Date]],4),""))))</f>
        <v/>
      </c>
      <c r="O827" s="104" t="str">
        <f>IF(Main[[#This Row],[Tech Start Date]]&lt;1/1/1990,"",IF(Main[[#This Row],[Class]]="C",WORKDAY(Main[[#This Row],[Tech Start Date]],23),IF(Main[[#This Row],[Class]]="B", WORKDAY(Main[[#This Row],[Tech Start Date]],15),IF(Main[[#This Row],[Class]]="A",WORKDAY(Main[[#This Row],[Tech Start Date]],5),""))))</f>
        <v/>
      </c>
      <c r="P827" s="104" t="str">
        <f>IF(Main[[#This Row],[Tech Start Date]]&lt;1/1/1990,"",IF(Main[[#This Row],[Class]]="C",WORKDAY(Main[[#This Row],[Tech Start Date]],28),IF(Main[[#This Row],[Class]]="B", WORKDAY(Main[[#This Row],[Tech Start Date]],19),IF(Main[[#This Row],[Class]]="A",WORKDAY(Main[[#This Row],[Tech Start Date]],9),""))))</f>
        <v/>
      </c>
      <c r="Q827" s="101">
        <v>40791</v>
      </c>
      <c r="R827" s="101"/>
      <c r="S827" s="99" t="s">
        <v>6</v>
      </c>
      <c r="T827" s="107" t="s">
        <v>4</v>
      </c>
      <c r="U827" s="99" t="s">
        <v>7</v>
      </c>
      <c r="V827" s="99" t="s">
        <v>1962</v>
      </c>
      <c r="W827" s="99" t="s">
        <v>4</v>
      </c>
    </row>
    <row r="828" spans="1:23" ht="18.600000000000001" customHeight="1">
      <c r="A828" s="123" t="str">
        <f>IF(priority(Main[[#This Row],[Comments]])&lt;&gt;0, priority(Main[[#This Row],[Comments]]),"")</f>
        <v/>
      </c>
      <c r="B828" s="127" t="s">
        <v>1688</v>
      </c>
      <c r="C828" s="99" t="s">
        <v>4</v>
      </c>
      <c r="D828" s="100" t="s">
        <v>727</v>
      </c>
      <c r="E828" s="101">
        <v>40651.462372685186</v>
      </c>
      <c r="F828" s="101"/>
      <c r="G828" s="102" t="str">
        <f>IF(stdProdLT(Main[[#This Row],[Comments]])=0.1,"N/A",IF(stdProdLT(Main[[#This Row],[Comments]])=0,"",stdProdLT(Main[[#This Row],[Comments]])))</f>
        <v/>
      </c>
      <c r="H828" s="103" t="str">
        <f>IF(AND(Main[[#This Row],[In Stock Date]]&lt;&gt;"",Main[[#This Row],[Revised Due Date]]&lt;&gt;""),Main[[#This Row],[In Stock Date]]-Main[[#This Row],[Revised Due Date]],"")</f>
        <v/>
      </c>
      <c r="I828" s="99" t="s">
        <v>30</v>
      </c>
      <c r="J828" s="99" t="s">
        <v>28</v>
      </c>
      <c r="K828" s="99" t="s">
        <v>1971</v>
      </c>
      <c r="L828" s="101"/>
      <c r="M828" s="104" t="str">
        <f>IF(Main[[#This Row],[Tech Start Date]]&lt;1/1/1990,"",IF(Main[[#This Row],[Class]]="C",WORKDAY(Main[[#This Row],[Tech Start Date]],9),IF(Main[[#This Row],[Class]]="B", WORKDAY(Main[[#This Row],[Tech Start Date]],6),IF(Main[[#This Row],[Class]]="A",WORKDAY(Main[[#This Row],[Tech Start Date]],2),""))))</f>
        <v/>
      </c>
      <c r="N828" s="104" t="str">
        <f>IF(Main[[#This Row],[Tech Start Date]]&lt;1/1/1990,"",IF(Main[[#This Row],[Class]]="C",WORKDAY(Main[[#This Row],[Tech Start Date]],19),IF(Main[[#This Row],[Class]]="B", WORKDAY(Main[[#This Row],[Tech Start Date]],12),IF(Main[[#This Row],[Class]]="A",WORKDAY(Main[[#This Row],[Tech Start Date]],4),""))))</f>
        <v/>
      </c>
      <c r="O828" s="104" t="str">
        <f>IF(Main[[#This Row],[Tech Start Date]]&lt;1/1/1990,"",IF(Main[[#This Row],[Class]]="C",WORKDAY(Main[[#This Row],[Tech Start Date]],23),IF(Main[[#This Row],[Class]]="B", WORKDAY(Main[[#This Row],[Tech Start Date]],15),IF(Main[[#This Row],[Class]]="A",WORKDAY(Main[[#This Row],[Tech Start Date]],5),""))))</f>
        <v/>
      </c>
      <c r="P828" s="104" t="str">
        <f>IF(Main[[#This Row],[Tech Start Date]]&lt;1/1/1990,"",IF(Main[[#This Row],[Class]]="C",WORKDAY(Main[[#This Row],[Tech Start Date]],28),IF(Main[[#This Row],[Class]]="B", WORKDAY(Main[[#This Row],[Tech Start Date]],19),IF(Main[[#This Row],[Class]]="A",WORKDAY(Main[[#This Row],[Tech Start Date]],9),""))))</f>
        <v/>
      </c>
      <c r="Q828" s="101">
        <v>40694</v>
      </c>
      <c r="R828" s="101"/>
      <c r="S828" s="99" t="s">
        <v>6</v>
      </c>
      <c r="T828" s="107" t="s">
        <v>4</v>
      </c>
      <c r="U828" s="99" t="s">
        <v>29</v>
      </c>
      <c r="V828" s="99" t="s">
        <v>1965</v>
      </c>
      <c r="W828" s="99" t="s">
        <v>1966</v>
      </c>
    </row>
    <row r="829" spans="1:23" ht="18.600000000000001" customHeight="1">
      <c r="A829" s="123" t="str">
        <f>IF(priority(Main[[#This Row],[Comments]])&lt;&gt;0, priority(Main[[#This Row],[Comments]]),"")</f>
        <v/>
      </c>
      <c r="B829" s="127" t="s">
        <v>2188</v>
      </c>
      <c r="C829" s="99" t="s">
        <v>4</v>
      </c>
      <c r="D829" s="100" t="s">
        <v>2189</v>
      </c>
      <c r="E829" s="101">
        <v>40764.690844907411</v>
      </c>
      <c r="F829" s="101"/>
      <c r="G829" s="102" t="str">
        <f>IF(stdProdLT(Main[[#This Row],[Comments]])=0.1,"N/A",IF(stdProdLT(Main[[#This Row],[Comments]])=0,"",stdProdLT(Main[[#This Row],[Comments]])))</f>
        <v/>
      </c>
      <c r="H829" s="103" t="str">
        <f>IF(AND(Main[[#This Row],[In Stock Date]]&lt;&gt;"",Main[[#This Row],[Revised Due Date]]&lt;&gt;""),Main[[#This Row],[In Stock Date]]-Main[[#This Row],[Revised Due Date]],"")</f>
        <v/>
      </c>
      <c r="I829" s="99" t="s">
        <v>2283</v>
      </c>
      <c r="J829" s="99" t="s">
        <v>4</v>
      </c>
      <c r="K829" s="99" t="s">
        <v>4</v>
      </c>
      <c r="L829" s="101"/>
      <c r="M829" s="104" t="str">
        <f>IF(Main[[#This Row],[Tech Start Date]]&lt;1/1/1990,"",IF(Main[[#This Row],[Class]]="C",WORKDAY(Main[[#This Row],[Tech Start Date]],9),IF(Main[[#This Row],[Class]]="B", WORKDAY(Main[[#This Row],[Tech Start Date]],6),IF(Main[[#This Row],[Class]]="A",WORKDAY(Main[[#This Row],[Tech Start Date]],2),""))))</f>
        <v/>
      </c>
      <c r="N829" s="104" t="str">
        <f>IF(Main[[#This Row],[Tech Start Date]]&lt;1/1/1990,"",IF(Main[[#This Row],[Class]]="C",WORKDAY(Main[[#This Row],[Tech Start Date]],19),IF(Main[[#This Row],[Class]]="B", WORKDAY(Main[[#This Row],[Tech Start Date]],12),IF(Main[[#This Row],[Class]]="A",WORKDAY(Main[[#This Row],[Tech Start Date]],4),""))))</f>
        <v/>
      </c>
      <c r="O829" s="104" t="str">
        <f>IF(Main[[#This Row],[Tech Start Date]]&lt;1/1/1990,"",IF(Main[[#This Row],[Class]]="C",WORKDAY(Main[[#This Row],[Tech Start Date]],23),IF(Main[[#This Row],[Class]]="B", WORKDAY(Main[[#This Row],[Tech Start Date]],15),IF(Main[[#This Row],[Class]]="A",WORKDAY(Main[[#This Row],[Tech Start Date]],5),""))))</f>
        <v/>
      </c>
      <c r="P829" s="104" t="str">
        <f>IF(Main[[#This Row],[Tech Start Date]]&lt;1/1/1990,"",IF(Main[[#This Row],[Class]]="C",WORKDAY(Main[[#This Row],[Tech Start Date]],28),IF(Main[[#This Row],[Class]]="B", WORKDAY(Main[[#This Row],[Tech Start Date]],19),IF(Main[[#This Row],[Class]]="A",WORKDAY(Main[[#This Row],[Tech Start Date]],9),""))))</f>
        <v/>
      </c>
      <c r="Q829" s="101"/>
      <c r="R829" s="101"/>
      <c r="S829" s="99" t="s">
        <v>6</v>
      </c>
      <c r="T829" s="107" t="s">
        <v>4</v>
      </c>
      <c r="U829" s="99" t="s">
        <v>7</v>
      </c>
      <c r="V829" s="99" t="s">
        <v>1977</v>
      </c>
      <c r="W829" s="99" t="s">
        <v>1964</v>
      </c>
    </row>
    <row r="830" spans="1:23" ht="18.600000000000001" customHeight="1">
      <c r="A830" s="123" t="str">
        <f>IF(priority(Main[[#This Row],[Comments]])&lt;&gt;0, priority(Main[[#This Row],[Comments]]),"")</f>
        <v/>
      </c>
      <c r="B830" s="127" t="s">
        <v>1236</v>
      </c>
      <c r="C830" s="99" t="s">
        <v>4</v>
      </c>
      <c r="D830" s="100" t="s">
        <v>264</v>
      </c>
      <c r="E830" s="101">
        <v>40667.612881944442</v>
      </c>
      <c r="F830" s="101"/>
      <c r="G830" s="102" t="str">
        <f>IF(stdProdLT(Main[[#This Row],[Comments]])=0.1,"N/A",IF(stdProdLT(Main[[#This Row],[Comments]])=0,"",stdProdLT(Main[[#This Row],[Comments]])))</f>
        <v/>
      </c>
      <c r="H830" s="103" t="str">
        <f>IF(AND(Main[[#This Row],[In Stock Date]]&lt;&gt;"",Main[[#This Row],[Revised Due Date]]&lt;&gt;""),Main[[#This Row],[In Stock Date]]-Main[[#This Row],[Revised Due Date]],"")</f>
        <v/>
      </c>
      <c r="I830" s="99" t="s">
        <v>4</v>
      </c>
      <c r="J830" s="99" t="s">
        <v>4</v>
      </c>
      <c r="K830" s="99" t="s">
        <v>4</v>
      </c>
      <c r="L830" s="101"/>
      <c r="M830" s="104" t="str">
        <f>IF(Main[[#This Row],[Tech Start Date]]&lt;1/1/1990,"",IF(Main[[#This Row],[Class]]="C",WORKDAY(Main[[#This Row],[Tech Start Date]],9),IF(Main[[#This Row],[Class]]="B", WORKDAY(Main[[#This Row],[Tech Start Date]],6),IF(Main[[#This Row],[Class]]="A",WORKDAY(Main[[#This Row],[Tech Start Date]],2),""))))</f>
        <v/>
      </c>
      <c r="N830" s="104" t="str">
        <f>IF(Main[[#This Row],[Tech Start Date]]&lt;1/1/1990,"",IF(Main[[#This Row],[Class]]="C",WORKDAY(Main[[#This Row],[Tech Start Date]],19),IF(Main[[#This Row],[Class]]="B", WORKDAY(Main[[#This Row],[Tech Start Date]],12),IF(Main[[#This Row],[Class]]="A",WORKDAY(Main[[#This Row],[Tech Start Date]],4),""))))</f>
        <v/>
      </c>
      <c r="O830" s="104" t="str">
        <f>IF(Main[[#This Row],[Tech Start Date]]&lt;1/1/1990,"",IF(Main[[#This Row],[Class]]="C",WORKDAY(Main[[#This Row],[Tech Start Date]],23),IF(Main[[#This Row],[Class]]="B", WORKDAY(Main[[#This Row],[Tech Start Date]],15),IF(Main[[#This Row],[Class]]="A",WORKDAY(Main[[#This Row],[Tech Start Date]],5),""))))</f>
        <v/>
      </c>
      <c r="P830" s="104" t="str">
        <f>IF(Main[[#This Row],[Tech Start Date]]&lt;1/1/1990,"",IF(Main[[#This Row],[Class]]="C",WORKDAY(Main[[#This Row],[Tech Start Date]],28),IF(Main[[#This Row],[Class]]="B", WORKDAY(Main[[#This Row],[Tech Start Date]],19),IF(Main[[#This Row],[Class]]="A",WORKDAY(Main[[#This Row],[Tech Start Date]],9),""))))</f>
        <v/>
      </c>
      <c r="Q830" s="101">
        <v>40858</v>
      </c>
      <c r="R830" s="101"/>
      <c r="S830" s="99" t="s">
        <v>17</v>
      </c>
      <c r="T830" s="107" t="s">
        <v>4</v>
      </c>
      <c r="U830" s="99" t="s">
        <v>7</v>
      </c>
      <c r="V830" s="99" t="s">
        <v>1962</v>
      </c>
      <c r="W830" s="99" t="s">
        <v>1967</v>
      </c>
    </row>
    <row r="831" spans="1:23" ht="18.600000000000001" customHeight="1">
      <c r="A831" s="123" t="str">
        <f>IF(priority(Main[[#This Row],[Comments]])&lt;&gt;0, priority(Main[[#This Row],[Comments]]),"")</f>
        <v/>
      </c>
      <c r="B831" s="127" t="s">
        <v>2122</v>
      </c>
      <c r="C831" s="99" t="s">
        <v>4</v>
      </c>
      <c r="D831" s="100" t="s">
        <v>2123</v>
      </c>
      <c r="E831" s="101">
        <v>40759.465995370374</v>
      </c>
      <c r="F831" s="101"/>
      <c r="G831" s="102" t="str">
        <f>IF(stdProdLT(Main[[#This Row],[Comments]])=0.1,"N/A",IF(stdProdLT(Main[[#This Row],[Comments]])=0,"",stdProdLT(Main[[#This Row],[Comments]])))</f>
        <v/>
      </c>
      <c r="H831" s="103" t="str">
        <f>IF(AND(Main[[#This Row],[In Stock Date]]&lt;&gt;"",Main[[#This Row],[Revised Due Date]]&lt;&gt;""),Main[[#This Row],[In Stock Date]]-Main[[#This Row],[Revised Due Date]],"")</f>
        <v/>
      </c>
      <c r="I831" s="99" t="s">
        <v>929</v>
      </c>
      <c r="J831" s="99" t="s">
        <v>52</v>
      </c>
      <c r="K831" s="99" t="s">
        <v>4</v>
      </c>
      <c r="L831" s="101"/>
      <c r="M831" s="104" t="str">
        <f>IF(Main[[#This Row],[Tech Start Date]]&lt;1/1/1990,"",IF(Main[[#This Row],[Class]]="C",WORKDAY(Main[[#This Row],[Tech Start Date]],9),IF(Main[[#This Row],[Class]]="B", WORKDAY(Main[[#This Row],[Tech Start Date]],6),IF(Main[[#This Row],[Class]]="A",WORKDAY(Main[[#This Row],[Tech Start Date]],2),""))))</f>
        <v/>
      </c>
      <c r="N831" s="104" t="str">
        <f>IF(Main[[#This Row],[Tech Start Date]]&lt;1/1/1990,"",IF(Main[[#This Row],[Class]]="C",WORKDAY(Main[[#This Row],[Tech Start Date]],19),IF(Main[[#This Row],[Class]]="B", WORKDAY(Main[[#This Row],[Tech Start Date]],12),IF(Main[[#This Row],[Class]]="A",WORKDAY(Main[[#This Row],[Tech Start Date]],4),""))))</f>
        <v/>
      </c>
      <c r="O831" s="104" t="str">
        <f>IF(Main[[#This Row],[Tech Start Date]]&lt;1/1/1990,"",IF(Main[[#This Row],[Class]]="C",WORKDAY(Main[[#This Row],[Tech Start Date]],23),IF(Main[[#This Row],[Class]]="B", WORKDAY(Main[[#This Row],[Tech Start Date]],15),IF(Main[[#This Row],[Class]]="A",WORKDAY(Main[[#This Row],[Tech Start Date]],5),""))))</f>
        <v/>
      </c>
      <c r="P831" s="104" t="str">
        <f>IF(Main[[#This Row],[Tech Start Date]]&lt;1/1/1990,"",IF(Main[[#This Row],[Class]]="C",WORKDAY(Main[[#This Row],[Tech Start Date]],28),IF(Main[[#This Row],[Class]]="B", WORKDAY(Main[[#This Row],[Tech Start Date]],19),IF(Main[[#This Row],[Class]]="A",WORKDAY(Main[[#This Row],[Tech Start Date]],9),""))))</f>
        <v/>
      </c>
      <c r="Q831" s="101"/>
      <c r="R831" s="101"/>
      <c r="S831" s="99" t="s">
        <v>6</v>
      </c>
      <c r="T831" s="107" t="s">
        <v>4</v>
      </c>
      <c r="U831" s="99" t="s">
        <v>29</v>
      </c>
      <c r="V831" s="99" t="s">
        <v>1962</v>
      </c>
      <c r="W831" s="99" t="s">
        <v>1966</v>
      </c>
    </row>
    <row r="832" spans="1:23" ht="18.600000000000001" customHeight="1">
      <c r="A832" s="123" t="str">
        <f>IF(priority(Main[[#This Row],[Comments]])&lt;&gt;0, priority(Main[[#This Row],[Comments]]),"")</f>
        <v/>
      </c>
      <c r="B832" s="127" t="s">
        <v>1689</v>
      </c>
      <c r="C832" s="99" t="s">
        <v>33</v>
      </c>
      <c r="D832" s="100" t="s">
        <v>728</v>
      </c>
      <c r="E832" s="101"/>
      <c r="F832" s="101">
        <v>40530</v>
      </c>
      <c r="G832" s="102" t="str">
        <f>IF(stdProdLT(Main[[#This Row],[Comments]])=0.1,"N/A",IF(stdProdLT(Main[[#This Row],[Comments]])=0,"",stdProdLT(Main[[#This Row],[Comments]])))</f>
        <v/>
      </c>
      <c r="H832" s="103" t="str">
        <f>IF(AND(Main[[#This Row],[In Stock Date]]&lt;&gt;"",Main[[#This Row],[Revised Due Date]]&lt;&gt;""),Main[[#This Row],[In Stock Date]]-Main[[#This Row],[Revised Due Date]],"")</f>
        <v/>
      </c>
      <c r="I832" s="99" t="s">
        <v>74</v>
      </c>
      <c r="J832" s="99" t="s">
        <v>28</v>
      </c>
      <c r="K832" s="99" t="s">
        <v>1974</v>
      </c>
      <c r="L832" s="101"/>
      <c r="M832" s="104" t="str">
        <f>IF(Main[[#This Row],[Tech Start Date]]&lt;1/1/1990,"",IF(Main[[#This Row],[Class]]="C",WORKDAY(Main[[#This Row],[Tech Start Date]],9),IF(Main[[#This Row],[Class]]="B", WORKDAY(Main[[#This Row],[Tech Start Date]],6),IF(Main[[#This Row],[Class]]="A",WORKDAY(Main[[#This Row],[Tech Start Date]],2),""))))</f>
        <v/>
      </c>
      <c r="N832" s="104" t="str">
        <f>IF(Main[[#This Row],[Tech Start Date]]&lt;1/1/1990,"",IF(Main[[#This Row],[Class]]="C",WORKDAY(Main[[#This Row],[Tech Start Date]],19),IF(Main[[#This Row],[Class]]="B", WORKDAY(Main[[#This Row],[Tech Start Date]],12),IF(Main[[#This Row],[Class]]="A",WORKDAY(Main[[#This Row],[Tech Start Date]],4),""))))</f>
        <v/>
      </c>
      <c r="O832" s="104" t="str">
        <f>IF(Main[[#This Row],[Tech Start Date]]&lt;1/1/1990,"",IF(Main[[#This Row],[Class]]="C",WORKDAY(Main[[#This Row],[Tech Start Date]],23),IF(Main[[#This Row],[Class]]="B", WORKDAY(Main[[#This Row],[Tech Start Date]],15),IF(Main[[#This Row],[Class]]="A",WORKDAY(Main[[#This Row],[Tech Start Date]],5),""))))</f>
        <v/>
      </c>
      <c r="P832" s="104" t="str">
        <f>IF(Main[[#This Row],[Tech Start Date]]&lt;1/1/1990,"",IF(Main[[#This Row],[Class]]="C",WORKDAY(Main[[#This Row],[Tech Start Date]],28),IF(Main[[#This Row],[Class]]="B", WORKDAY(Main[[#This Row],[Tech Start Date]],19),IF(Main[[#This Row],[Class]]="A",WORKDAY(Main[[#This Row],[Tech Start Date]],9),""))))</f>
        <v/>
      </c>
      <c r="Q832" s="101">
        <v>40390</v>
      </c>
      <c r="R832" s="101"/>
      <c r="S832" s="99" t="s">
        <v>17</v>
      </c>
      <c r="T832" s="107" t="s">
        <v>4</v>
      </c>
      <c r="U832" s="99" t="s">
        <v>14</v>
      </c>
      <c r="V832" s="99" t="s">
        <v>1965</v>
      </c>
      <c r="W832" s="99" t="s">
        <v>1967</v>
      </c>
    </row>
    <row r="833" spans="1:23" ht="18.600000000000001" customHeight="1">
      <c r="A833" s="123" t="str">
        <f>IF(priority(Main[[#This Row],[Comments]])&lt;&gt;0, priority(Main[[#This Row],[Comments]]),"")</f>
        <v/>
      </c>
      <c r="B833" s="127" t="s">
        <v>1690</v>
      </c>
      <c r="C833" s="99" t="s">
        <v>4</v>
      </c>
      <c r="D833" s="100" t="s">
        <v>543</v>
      </c>
      <c r="E833" s="101"/>
      <c r="F833" s="101"/>
      <c r="G833" s="102" t="str">
        <f>IF(stdProdLT(Main[[#This Row],[Comments]])=0.1,"N/A",IF(stdProdLT(Main[[#This Row],[Comments]])=0,"",stdProdLT(Main[[#This Row],[Comments]])))</f>
        <v/>
      </c>
      <c r="H833" s="103" t="str">
        <f>IF(AND(Main[[#This Row],[In Stock Date]]&lt;&gt;"",Main[[#This Row],[Revised Due Date]]&lt;&gt;""),Main[[#This Row],[In Stock Date]]-Main[[#This Row],[Revised Due Date]],"")</f>
        <v/>
      </c>
      <c r="I833" s="99" t="s">
        <v>4</v>
      </c>
      <c r="J833" s="99" t="s">
        <v>4</v>
      </c>
      <c r="K833" s="99" t="s">
        <v>4</v>
      </c>
      <c r="L833" s="101"/>
      <c r="M833" s="104" t="str">
        <f>IF(Main[[#This Row],[Tech Start Date]]&lt;1/1/1990,"",IF(Main[[#This Row],[Class]]="C",WORKDAY(Main[[#This Row],[Tech Start Date]],9),IF(Main[[#This Row],[Class]]="B", WORKDAY(Main[[#This Row],[Tech Start Date]],6),IF(Main[[#This Row],[Class]]="A",WORKDAY(Main[[#This Row],[Tech Start Date]],2),""))))</f>
        <v/>
      </c>
      <c r="N833" s="104" t="str">
        <f>IF(Main[[#This Row],[Tech Start Date]]&lt;1/1/1990,"",IF(Main[[#This Row],[Class]]="C",WORKDAY(Main[[#This Row],[Tech Start Date]],19),IF(Main[[#This Row],[Class]]="B", WORKDAY(Main[[#This Row],[Tech Start Date]],12),IF(Main[[#This Row],[Class]]="A",WORKDAY(Main[[#This Row],[Tech Start Date]],4),""))))</f>
        <v/>
      </c>
      <c r="O833" s="104" t="str">
        <f>IF(Main[[#This Row],[Tech Start Date]]&lt;1/1/1990,"",IF(Main[[#This Row],[Class]]="C",WORKDAY(Main[[#This Row],[Tech Start Date]],23),IF(Main[[#This Row],[Class]]="B", WORKDAY(Main[[#This Row],[Tech Start Date]],15),IF(Main[[#This Row],[Class]]="A",WORKDAY(Main[[#This Row],[Tech Start Date]],5),""))))</f>
        <v/>
      </c>
      <c r="P833" s="104" t="str">
        <f>IF(Main[[#This Row],[Tech Start Date]]&lt;1/1/1990,"",IF(Main[[#This Row],[Class]]="C",WORKDAY(Main[[#This Row],[Tech Start Date]],28),IF(Main[[#This Row],[Class]]="B", WORKDAY(Main[[#This Row],[Tech Start Date]],19),IF(Main[[#This Row],[Class]]="A",WORKDAY(Main[[#This Row],[Tech Start Date]],9),""))))</f>
        <v/>
      </c>
      <c r="Q833" s="101">
        <v>40606</v>
      </c>
      <c r="R833" s="101"/>
      <c r="S833" s="99" t="s">
        <v>6</v>
      </c>
      <c r="T833" s="107" t="s">
        <v>4</v>
      </c>
      <c r="U833" s="99" t="s">
        <v>14</v>
      </c>
      <c r="V833" s="99" t="s">
        <v>1965</v>
      </c>
      <c r="W833" s="99" t="s">
        <v>1966</v>
      </c>
    </row>
    <row r="834" spans="1:23" ht="18.600000000000001" customHeight="1">
      <c r="A834" s="123" t="str">
        <f>IF(priority(Main[[#This Row],[Comments]])&lt;&gt;0, priority(Main[[#This Row],[Comments]]),"")</f>
        <v/>
      </c>
      <c r="B834" s="127" t="s">
        <v>1444</v>
      </c>
      <c r="C834" s="99" t="s">
        <v>4</v>
      </c>
      <c r="D834" s="100" t="s">
        <v>2000</v>
      </c>
      <c r="E834" s="101"/>
      <c r="F834" s="101"/>
      <c r="G834" s="102" t="str">
        <f>IF(stdProdLT(Main[[#This Row],[Comments]])=0.1,"N/A",IF(stdProdLT(Main[[#This Row],[Comments]])=0,"",stdProdLT(Main[[#This Row],[Comments]])))</f>
        <v/>
      </c>
      <c r="H834" s="103" t="str">
        <f>IF(AND(Main[[#This Row],[In Stock Date]]&lt;&gt;"",Main[[#This Row],[Revised Due Date]]&lt;&gt;""),Main[[#This Row],[In Stock Date]]-Main[[#This Row],[Revised Due Date]],"")</f>
        <v/>
      </c>
      <c r="I834" s="99" t="s">
        <v>4</v>
      </c>
      <c r="J834" s="99" t="s">
        <v>4</v>
      </c>
      <c r="K834" s="108" t="s">
        <v>4</v>
      </c>
      <c r="L834" s="101"/>
      <c r="M834" s="104" t="str">
        <f>IF(Main[[#This Row],[Tech Start Date]]&lt;1/1/1990,"",IF(Main[[#This Row],[Class]]="C",WORKDAY(Main[[#This Row],[Tech Start Date]],9),IF(Main[[#This Row],[Class]]="B", WORKDAY(Main[[#This Row],[Tech Start Date]],6),IF(Main[[#This Row],[Class]]="A",WORKDAY(Main[[#This Row],[Tech Start Date]],2),""))))</f>
        <v/>
      </c>
      <c r="N834" s="104" t="str">
        <f>IF(Main[[#This Row],[Tech Start Date]]&lt;1/1/1990,"",IF(Main[[#This Row],[Class]]="C",WORKDAY(Main[[#This Row],[Tech Start Date]],19),IF(Main[[#This Row],[Class]]="B", WORKDAY(Main[[#This Row],[Tech Start Date]],12),IF(Main[[#This Row],[Class]]="A",WORKDAY(Main[[#This Row],[Tech Start Date]],4),""))))</f>
        <v/>
      </c>
      <c r="O834" s="104" t="str">
        <f>IF(Main[[#This Row],[Tech Start Date]]&lt;1/1/1990,"",IF(Main[[#This Row],[Class]]="C",WORKDAY(Main[[#This Row],[Tech Start Date]],23),IF(Main[[#This Row],[Class]]="B", WORKDAY(Main[[#This Row],[Tech Start Date]],15),IF(Main[[#This Row],[Class]]="A",WORKDAY(Main[[#This Row],[Tech Start Date]],5),""))))</f>
        <v/>
      </c>
      <c r="P834" s="104" t="str">
        <f>IF(Main[[#This Row],[Tech Start Date]]&lt;1/1/1990,"",IF(Main[[#This Row],[Class]]="C",WORKDAY(Main[[#This Row],[Tech Start Date]],28),IF(Main[[#This Row],[Class]]="B", WORKDAY(Main[[#This Row],[Tech Start Date]],19),IF(Main[[#This Row],[Class]]="A",WORKDAY(Main[[#This Row],[Tech Start Date]],9),""))))</f>
        <v/>
      </c>
      <c r="Q834" s="101"/>
      <c r="R834" s="101"/>
      <c r="S834" s="99" t="s">
        <v>6</v>
      </c>
      <c r="T834" s="107" t="s">
        <v>4</v>
      </c>
      <c r="U834" s="99" t="s">
        <v>14</v>
      </c>
      <c r="V834" s="99" t="s">
        <v>1963</v>
      </c>
      <c r="W834" s="99" t="s">
        <v>1964</v>
      </c>
    </row>
    <row r="835" spans="1:23" ht="18.600000000000001" customHeight="1">
      <c r="A835" s="123" t="str">
        <f>IF(priority(Main[[#This Row],[Comments]])&lt;&gt;0, priority(Main[[#This Row],[Comments]]),"")</f>
        <v/>
      </c>
      <c r="B835" s="127" t="s">
        <v>1691</v>
      </c>
      <c r="C835" s="99" t="s">
        <v>4</v>
      </c>
      <c r="D835" s="100" t="s">
        <v>729</v>
      </c>
      <c r="E835" s="101"/>
      <c r="F835" s="101">
        <v>40598</v>
      </c>
      <c r="G835" s="102" t="str">
        <f>IF(stdProdLT(Main[[#This Row],[Comments]])=0.1,"N/A",IF(stdProdLT(Main[[#This Row],[Comments]])=0,"",stdProdLT(Main[[#This Row],[Comments]])))</f>
        <v/>
      </c>
      <c r="H835" s="103" t="str">
        <f>IF(AND(Main[[#This Row],[In Stock Date]]&lt;&gt;"",Main[[#This Row],[Revised Due Date]]&lt;&gt;""),Main[[#This Row],[In Stock Date]]-Main[[#This Row],[Revised Due Date]],"")</f>
        <v/>
      </c>
      <c r="I835" s="99" t="s">
        <v>311</v>
      </c>
      <c r="J835" s="99" t="s">
        <v>75</v>
      </c>
      <c r="K835" s="99" t="s">
        <v>4</v>
      </c>
      <c r="L835" s="101"/>
      <c r="M835" s="104" t="str">
        <f>IF(Main[[#This Row],[Tech Start Date]]&lt;1/1/1990,"",IF(Main[[#This Row],[Class]]="C",WORKDAY(Main[[#This Row],[Tech Start Date]],9),IF(Main[[#This Row],[Class]]="B", WORKDAY(Main[[#This Row],[Tech Start Date]],6),IF(Main[[#This Row],[Class]]="A",WORKDAY(Main[[#This Row],[Tech Start Date]],2),""))))</f>
        <v/>
      </c>
      <c r="N835" s="104" t="str">
        <f>IF(Main[[#This Row],[Tech Start Date]]&lt;1/1/1990,"",IF(Main[[#This Row],[Class]]="C",WORKDAY(Main[[#This Row],[Tech Start Date]],19),IF(Main[[#This Row],[Class]]="B", WORKDAY(Main[[#This Row],[Tech Start Date]],12),IF(Main[[#This Row],[Class]]="A",WORKDAY(Main[[#This Row],[Tech Start Date]],4),""))))</f>
        <v/>
      </c>
      <c r="O835" s="104" t="str">
        <f>IF(Main[[#This Row],[Tech Start Date]]&lt;1/1/1990,"",IF(Main[[#This Row],[Class]]="C",WORKDAY(Main[[#This Row],[Tech Start Date]],23),IF(Main[[#This Row],[Class]]="B", WORKDAY(Main[[#This Row],[Tech Start Date]],15),IF(Main[[#This Row],[Class]]="A",WORKDAY(Main[[#This Row],[Tech Start Date]],5),""))))</f>
        <v/>
      </c>
      <c r="P835" s="104" t="str">
        <f>IF(Main[[#This Row],[Tech Start Date]]&lt;1/1/1990,"",IF(Main[[#This Row],[Class]]="C",WORKDAY(Main[[#This Row],[Tech Start Date]],28),IF(Main[[#This Row],[Class]]="B", WORKDAY(Main[[#This Row],[Tech Start Date]],19),IF(Main[[#This Row],[Class]]="A",WORKDAY(Main[[#This Row],[Tech Start Date]],9),""))))</f>
        <v/>
      </c>
      <c r="Q835" s="101">
        <v>40598</v>
      </c>
      <c r="R835" s="101"/>
      <c r="S835" s="99" t="s">
        <v>6</v>
      </c>
      <c r="T835" s="107" t="s">
        <v>4</v>
      </c>
      <c r="U835" s="99" t="s">
        <v>14</v>
      </c>
      <c r="V835" s="99" t="s">
        <v>1972</v>
      </c>
      <c r="W835" s="99" t="s">
        <v>1968</v>
      </c>
    </row>
    <row r="836" spans="1:23" ht="18.600000000000001" customHeight="1">
      <c r="A836" s="123" t="str">
        <f>IF(priority(Main[[#This Row],[Comments]])&lt;&gt;0, priority(Main[[#This Row],[Comments]]),"")</f>
        <v/>
      </c>
      <c r="B836" s="127" t="s">
        <v>1692</v>
      </c>
      <c r="C836" s="99" t="s">
        <v>352</v>
      </c>
      <c r="D836" s="100" t="s">
        <v>730</v>
      </c>
      <c r="E836" s="101"/>
      <c r="F836" s="101"/>
      <c r="G836" s="102" t="str">
        <f>IF(stdProdLT(Main[[#This Row],[Comments]])=0.1,"N/A",IF(stdProdLT(Main[[#This Row],[Comments]])=0,"",stdProdLT(Main[[#This Row],[Comments]])))</f>
        <v/>
      </c>
      <c r="H836" s="103" t="str">
        <f>IF(AND(Main[[#This Row],[In Stock Date]]&lt;&gt;"",Main[[#This Row],[Revised Due Date]]&lt;&gt;""),Main[[#This Row],[In Stock Date]]-Main[[#This Row],[Revised Due Date]],"")</f>
        <v/>
      </c>
      <c r="I836" s="99" t="s">
        <v>4</v>
      </c>
      <c r="J836" s="99" t="s">
        <v>28</v>
      </c>
      <c r="K836" s="99" t="s">
        <v>1974</v>
      </c>
      <c r="L836" s="101"/>
      <c r="M836" s="104" t="str">
        <f>IF(Main[[#This Row],[Tech Start Date]]&lt;1/1/1990,"",IF(Main[[#This Row],[Class]]="C",WORKDAY(Main[[#This Row],[Tech Start Date]],9),IF(Main[[#This Row],[Class]]="B", WORKDAY(Main[[#This Row],[Tech Start Date]],6),IF(Main[[#This Row],[Class]]="A",WORKDAY(Main[[#This Row],[Tech Start Date]],2),""))))</f>
        <v/>
      </c>
      <c r="N836" s="104" t="str">
        <f>IF(Main[[#This Row],[Tech Start Date]]&lt;1/1/1990,"",IF(Main[[#This Row],[Class]]="C",WORKDAY(Main[[#This Row],[Tech Start Date]],19),IF(Main[[#This Row],[Class]]="B", WORKDAY(Main[[#This Row],[Tech Start Date]],12),IF(Main[[#This Row],[Class]]="A",WORKDAY(Main[[#This Row],[Tech Start Date]],4),""))))</f>
        <v/>
      </c>
      <c r="O836" s="104" t="str">
        <f>IF(Main[[#This Row],[Tech Start Date]]&lt;1/1/1990,"",IF(Main[[#This Row],[Class]]="C",WORKDAY(Main[[#This Row],[Tech Start Date]],23),IF(Main[[#This Row],[Class]]="B", WORKDAY(Main[[#This Row],[Tech Start Date]],15),IF(Main[[#This Row],[Class]]="A",WORKDAY(Main[[#This Row],[Tech Start Date]],5),""))))</f>
        <v/>
      </c>
      <c r="P836" s="104" t="str">
        <f>IF(Main[[#This Row],[Tech Start Date]]&lt;1/1/1990,"",IF(Main[[#This Row],[Class]]="C",WORKDAY(Main[[#This Row],[Tech Start Date]],28),IF(Main[[#This Row],[Class]]="B", WORKDAY(Main[[#This Row],[Tech Start Date]],19),IF(Main[[#This Row],[Class]]="A",WORKDAY(Main[[#This Row],[Tech Start Date]],9),""))))</f>
        <v/>
      </c>
      <c r="Q836" s="101"/>
      <c r="R836" s="101"/>
      <c r="S836" s="99" t="s">
        <v>17</v>
      </c>
      <c r="T836" s="107" t="s">
        <v>4</v>
      </c>
      <c r="U836" s="99" t="s">
        <v>14</v>
      </c>
      <c r="V836" s="99" t="s">
        <v>1965</v>
      </c>
      <c r="W836" s="99" t="s">
        <v>1967</v>
      </c>
    </row>
    <row r="837" spans="1:23" ht="18.600000000000001" customHeight="1">
      <c r="A837" s="123" t="str">
        <f>IF(priority(Main[[#This Row],[Comments]])&lt;&gt;0, priority(Main[[#This Row],[Comments]]),"")</f>
        <v/>
      </c>
      <c r="B837" s="127" t="s">
        <v>1694</v>
      </c>
      <c r="C837" s="99" t="s">
        <v>31</v>
      </c>
      <c r="D837" s="100" t="s">
        <v>393</v>
      </c>
      <c r="E837" s="101"/>
      <c r="F837" s="101">
        <v>40288</v>
      </c>
      <c r="G837" s="102" t="str">
        <f>IF(stdProdLT(Main[[#This Row],[Comments]])=0.1,"N/A",IF(stdProdLT(Main[[#This Row],[Comments]])=0,"",stdProdLT(Main[[#This Row],[Comments]])))</f>
        <v/>
      </c>
      <c r="H837" s="103" t="str">
        <f>IF(AND(Main[[#This Row],[In Stock Date]]&lt;&gt;"",Main[[#This Row],[Revised Due Date]]&lt;&gt;""),Main[[#This Row],[In Stock Date]]-Main[[#This Row],[Revised Due Date]],"")</f>
        <v/>
      </c>
      <c r="I837" s="99" t="s">
        <v>4</v>
      </c>
      <c r="J837" s="99" t="s">
        <v>4</v>
      </c>
      <c r="K837" s="108" t="s">
        <v>4</v>
      </c>
      <c r="L837" s="101"/>
      <c r="M837" s="104" t="str">
        <f>IF(Main[[#This Row],[Tech Start Date]]&lt;1/1/1990,"",IF(Main[[#This Row],[Class]]="C",WORKDAY(Main[[#This Row],[Tech Start Date]],9),IF(Main[[#This Row],[Class]]="B", WORKDAY(Main[[#This Row],[Tech Start Date]],6),IF(Main[[#This Row],[Class]]="A",WORKDAY(Main[[#This Row],[Tech Start Date]],2),""))))</f>
        <v/>
      </c>
      <c r="N837" s="104" t="str">
        <f>IF(Main[[#This Row],[Tech Start Date]]&lt;1/1/1990,"",IF(Main[[#This Row],[Class]]="C",WORKDAY(Main[[#This Row],[Tech Start Date]],19),IF(Main[[#This Row],[Class]]="B", WORKDAY(Main[[#This Row],[Tech Start Date]],12),IF(Main[[#This Row],[Class]]="A",WORKDAY(Main[[#This Row],[Tech Start Date]],4),""))))</f>
        <v/>
      </c>
      <c r="O837" s="104" t="str">
        <f>IF(Main[[#This Row],[Tech Start Date]]&lt;1/1/1990,"",IF(Main[[#This Row],[Class]]="C",WORKDAY(Main[[#This Row],[Tech Start Date]],23),IF(Main[[#This Row],[Class]]="B", WORKDAY(Main[[#This Row],[Tech Start Date]],15),IF(Main[[#This Row],[Class]]="A",WORKDAY(Main[[#This Row],[Tech Start Date]],5),""))))</f>
        <v/>
      </c>
      <c r="P837" s="104" t="str">
        <f>IF(Main[[#This Row],[Tech Start Date]]&lt;1/1/1990,"",IF(Main[[#This Row],[Class]]="C",WORKDAY(Main[[#This Row],[Tech Start Date]],28),IF(Main[[#This Row],[Class]]="B", WORKDAY(Main[[#This Row],[Tech Start Date]],19),IF(Main[[#This Row],[Class]]="A",WORKDAY(Main[[#This Row],[Tech Start Date]],9),""))))</f>
        <v/>
      </c>
      <c r="Q837" s="101">
        <v>40106</v>
      </c>
      <c r="R837" s="101"/>
      <c r="S837" s="99" t="s">
        <v>11</v>
      </c>
      <c r="T837" s="107" t="s">
        <v>4</v>
      </c>
      <c r="U837" s="99" t="s">
        <v>14</v>
      </c>
      <c r="V837" s="99" t="s">
        <v>1965</v>
      </c>
      <c r="W837" s="99" t="s">
        <v>1973</v>
      </c>
    </row>
    <row r="838" spans="1:23" ht="18.600000000000001" customHeight="1">
      <c r="A838" s="123" t="str">
        <f>IF(priority(Main[[#This Row],[Comments]])&lt;&gt;0, priority(Main[[#This Row],[Comments]]),"")</f>
        <v/>
      </c>
      <c r="B838" s="127" t="s">
        <v>1695</v>
      </c>
      <c r="C838" s="99" t="s">
        <v>4</v>
      </c>
      <c r="D838" s="100" t="s">
        <v>732</v>
      </c>
      <c r="E838" s="101"/>
      <c r="F838" s="101">
        <v>40640</v>
      </c>
      <c r="G838" s="102" t="str">
        <f>IF(stdProdLT(Main[[#This Row],[Comments]])=0.1,"N/A",IF(stdProdLT(Main[[#This Row],[Comments]])=0,"",stdProdLT(Main[[#This Row],[Comments]])))</f>
        <v/>
      </c>
      <c r="H838" s="103" t="str">
        <f>IF(AND(Main[[#This Row],[In Stock Date]]&lt;&gt;"",Main[[#This Row],[Revised Due Date]]&lt;&gt;""),Main[[#This Row],[In Stock Date]]-Main[[#This Row],[Revised Due Date]],"")</f>
        <v/>
      </c>
      <c r="I838" s="99" t="s">
        <v>4</v>
      </c>
      <c r="J838" s="99" t="s">
        <v>28</v>
      </c>
      <c r="K838" s="99" t="s">
        <v>1975</v>
      </c>
      <c r="L838" s="101"/>
      <c r="M838" s="104" t="str">
        <f>IF(Main[[#This Row],[Tech Start Date]]&lt;1/1/1990,"",IF(Main[[#This Row],[Class]]="C",WORKDAY(Main[[#This Row],[Tech Start Date]],9),IF(Main[[#This Row],[Class]]="B", WORKDAY(Main[[#This Row],[Tech Start Date]],6),IF(Main[[#This Row],[Class]]="A",WORKDAY(Main[[#This Row],[Tech Start Date]],2),""))))</f>
        <v/>
      </c>
      <c r="N838" s="104" t="str">
        <f>IF(Main[[#This Row],[Tech Start Date]]&lt;1/1/1990,"",IF(Main[[#This Row],[Class]]="C",WORKDAY(Main[[#This Row],[Tech Start Date]],19),IF(Main[[#This Row],[Class]]="B", WORKDAY(Main[[#This Row],[Tech Start Date]],12),IF(Main[[#This Row],[Class]]="A",WORKDAY(Main[[#This Row],[Tech Start Date]],4),""))))</f>
        <v/>
      </c>
      <c r="O838" s="104" t="str">
        <f>IF(Main[[#This Row],[Tech Start Date]]&lt;1/1/1990,"",IF(Main[[#This Row],[Class]]="C",WORKDAY(Main[[#This Row],[Tech Start Date]],23),IF(Main[[#This Row],[Class]]="B", WORKDAY(Main[[#This Row],[Tech Start Date]],15),IF(Main[[#This Row],[Class]]="A",WORKDAY(Main[[#This Row],[Tech Start Date]],5),""))))</f>
        <v/>
      </c>
      <c r="P838" s="104" t="str">
        <f>IF(Main[[#This Row],[Tech Start Date]]&lt;1/1/1990,"",IF(Main[[#This Row],[Class]]="C",WORKDAY(Main[[#This Row],[Tech Start Date]],28),IF(Main[[#This Row],[Class]]="B", WORKDAY(Main[[#This Row],[Tech Start Date]],19),IF(Main[[#This Row],[Class]]="A",WORKDAY(Main[[#This Row],[Tech Start Date]],9),""))))</f>
        <v/>
      </c>
      <c r="Q838" s="101">
        <v>40640</v>
      </c>
      <c r="R838" s="101"/>
      <c r="S838" s="99" t="s">
        <v>11</v>
      </c>
      <c r="T838" s="107" t="s">
        <v>4</v>
      </c>
      <c r="U838" s="99" t="s">
        <v>14</v>
      </c>
      <c r="V838" s="99" t="s">
        <v>1962</v>
      </c>
      <c r="W838" s="99" t="s">
        <v>1970</v>
      </c>
    </row>
    <row r="839" spans="1:23" ht="18.600000000000001" customHeight="1">
      <c r="A839" s="123" t="str">
        <f>IF(priority(Main[[#This Row],[Comments]])&lt;&gt;0, priority(Main[[#This Row],[Comments]]),"")</f>
        <v/>
      </c>
      <c r="B839" s="127" t="s">
        <v>1696</v>
      </c>
      <c r="C839" s="99" t="s">
        <v>4</v>
      </c>
      <c r="D839" s="100" t="s">
        <v>733</v>
      </c>
      <c r="E839" s="101"/>
      <c r="F839" s="101"/>
      <c r="G839" s="102" t="str">
        <f>IF(stdProdLT(Main[[#This Row],[Comments]])=0.1,"N/A",IF(stdProdLT(Main[[#This Row],[Comments]])=0,"",stdProdLT(Main[[#This Row],[Comments]])))</f>
        <v/>
      </c>
      <c r="H839" s="103" t="str">
        <f>IF(AND(Main[[#This Row],[In Stock Date]]&lt;&gt;"",Main[[#This Row],[Revised Due Date]]&lt;&gt;""),Main[[#This Row],[In Stock Date]]-Main[[#This Row],[Revised Due Date]],"")</f>
        <v/>
      </c>
      <c r="I839" s="99" t="s">
        <v>4</v>
      </c>
      <c r="J839" s="99" t="s">
        <v>4</v>
      </c>
      <c r="K839" s="99" t="s">
        <v>4</v>
      </c>
      <c r="L839" s="101"/>
      <c r="M839" s="104" t="str">
        <f>IF(Main[[#This Row],[Tech Start Date]]&lt;1/1/1990,"",IF(Main[[#This Row],[Class]]="C",WORKDAY(Main[[#This Row],[Tech Start Date]],9),IF(Main[[#This Row],[Class]]="B", WORKDAY(Main[[#This Row],[Tech Start Date]],6),IF(Main[[#This Row],[Class]]="A",WORKDAY(Main[[#This Row],[Tech Start Date]],2),""))))</f>
        <v/>
      </c>
      <c r="N839" s="104" t="str">
        <f>IF(Main[[#This Row],[Tech Start Date]]&lt;1/1/1990,"",IF(Main[[#This Row],[Class]]="C",WORKDAY(Main[[#This Row],[Tech Start Date]],19),IF(Main[[#This Row],[Class]]="B", WORKDAY(Main[[#This Row],[Tech Start Date]],12),IF(Main[[#This Row],[Class]]="A",WORKDAY(Main[[#This Row],[Tech Start Date]],4),""))))</f>
        <v/>
      </c>
      <c r="O839" s="104" t="str">
        <f>IF(Main[[#This Row],[Tech Start Date]]&lt;1/1/1990,"",IF(Main[[#This Row],[Class]]="C",WORKDAY(Main[[#This Row],[Tech Start Date]],23),IF(Main[[#This Row],[Class]]="B", WORKDAY(Main[[#This Row],[Tech Start Date]],15),IF(Main[[#This Row],[Class]]="A",WORKDAY(Main[[#This Row],[Tech Start Date]],5),""))))</f>
        <v/>
      </c>
      <c r="P839" s="104" t="str">
        <f>IF(Main[[#This Row],[Tech Start Date]]&lt;1/1/1990,"",IF(Main[[#This Row],[Class]]="C",WORKDAY(Main[[#This Row],[Tech Start Date]],28),IF(Main[[#This Row],[Class]]="B", WORKDAY(Main[[#This Row],[Tech Start Date]],19),IF(Main[[#This Row],[Class]]="A",WORKDAY(Main[[#This Row],[Tech Start Date]],9),""))))</f>
        <v/>
      </c>
      <c r="Q839" s="101">
        <v>40385</v>
      </c>
      <c r="R839" s="101"/>
      <c r="S839" s="99" t="s">
        <v>6</v>
      </c>
      <c r="T839" s="107" t="s">
        <v>4</v>
      </c>
      <c r="U839" s="99" t="s">
        <v>14</v>
      </c>
      <c r="V839" s="99" t="s">
        <v>1965</v>
      </c>
      <c r="W839" s="99" t="s">
        <v>1964</v>
      </c>
    </row>
    <row r="840" spans="1:23" ht="18.600000000000001" customHeight="1">
      <c r="A840" s="123" t="str">
        <f>IF(priority(Main[[#This Row],[Comments]])&lt;&gt;0, priority(Main[[#This Row],[Comments]]),"")</f>
        <v/>
      </c>
      <c r="B840" s="127" t="s">
        <v>2169</v>
      </c>
      <c r="C840" s="99" t="s">
        <v>2170</v>
      </c>
      <c r="D840" s="100" t="s">
        <v>2171</v>
      </c>
      <c r="E840" s="101">
        <v>40766.692789351851</v>
      </c>
      <c r="F840" s="101"/>
      <c r="G840" s="102" t="str">
        <f>IF(stdProdLT(Main[[#This Row],[Comments]])=0.1,"N/A",IF(stdProdLT(Main[[#This Row],[Comments]])=0,"",stdProdLT(Main[[#This Row],[Comments]])))</f>
        <v/>
      </c>
      <c r="H840" s="103" t="str">
        <f>IF(AND(Main[[#This Row],[In Stock Date]]&lt;&gt;"",Main[[#This Row],[Revised Due Date]]&lt;&gt;""),Main[[#This Row],[In Stock Date]]-Main[[#This Row],[Revised Due Date]],"")</f>
        <v/>
      </c>
      <c r="I840" s="99" t="s">
        <v>4</v>
      </c>
      <c r="J840" s="99" t="s">
        <v>4</v>
      </c>
      <c r="K840" s="99" t="s">
        <v>4</v>
      </c>
      <c r="L840" s="101"/>
      <c r="M840" s="104" t="str">
        <f>IF(Main[[#This Row],[Tech Start Date]]&lt;1/1/1990,"",IF(Main[[#This Row],[Class]]="C",WORKDAY(Main[[#This Row],[Tech Start Date]],9),IF(Main[[#This Row],[Class]]="B", WORKDAY(Main[[#This Row],[Tech Start Date]],6),IF(Main[[#This Row],[Class]]="A",WORKDAY(Main[[#This Row],[Tech Start Date]],2),""))))</f>
        <v/>
      </c>
      <c r="N840" s="104" t="str">
        <f>IF(Main[[#This Row],[Tech Start Date]]&lt;1/1/1990,"",IF(Main[[#This Row],[Class]]="C",WORKDAY(Main[[#This Row],[Tech Start Date]],19),IF(Main[[#This Row],[Class]]="B", WORKDAY(Main[[#This Row],[Tech Start Date]],12),IF(Main[[#This Row],[Class]]="A",WORKDAY(Main[[#This Row],[Tech Start Date]],4),""))))</f>
        <v/>
      </c>
      <c r="O840" s="104" t="str">
        <f>IF(Main[[#This Row],[Tech Start Date]]&lt;1/1/1990,"",IF(Main[[#This Row],[Class]]="C",WORKDAY(Main[[#This Row],[Tech Start Date]],23),IF(Main[[#This Row],[Class]]="B", WORKDAY(Main[[#This Row],[Tech Start Date]],15),IF(Main[[#This Row],[Class]]="A",WORKDAY(Main[[#This Row],[Tech Start Date]],5),""))))</f>
        <v/>
      </c>
      <c r="P840" s="104" t="str">
        <f>IF(Main[[#This Row],[Tech Start Date]]&lt;1/1/1990,"",IF(Main[[#This Row],[Class]]="C",WORKDAY(Main[[#This Row],[Tech Start Date]],28),IF(Main[[#This Row],[Class]]="B", WORKDAY(Main[[#This Row],[Tech Start Date]],19),IF(Main[[#This Row],[Class]]="A",WORKDAY(Main[[#This Row],[Tech Start Date]],9),""))))</f>
        <v/>
      </c>
      <c r="Q840" s="101">
        <v>40879</v>
      </c>
      <c r="R840" s="101"/>
      <c r="S840" s="99" t="s">
        <v>17</v>
      </c>
      <c r="T840" s="107" t="s">
        <v>4</v>
      </c>
      <c r="U840" s="99" t="s">
        <v>7</v>
      </c>
      <c r="V840" s="99" t="s">
        <v>1977</v>
      </c>
      <c r="W840" s="99" t="s">
        <v>4</v>
      </c>
    </row>
    <row r="841" spans="1:23" ht="18.600000000000001" customHeight="1">
      <c r="A841" s="123" t="str">
        <f>IF(priority(Main[[#This Row],[Comments]])&lt;&gt;0, priority(Main[[#This Row],[Comments]]),"")</f>
        <v/>
      </c>
      <c r="B841" s="127" t="s">
        <v>2063</v>
      </c>
      <c r="C841" s="99" t="s">
        <v>4</v>
      </c>
      <c r="D841" s="100" t="s">
        <v>2151</v>
      </c>
      <c r="E841" s="101">
        <v>40745.696377314816</v>
      </c>
      <c r="F841" s="101"/>
      <c r="G841" s="102" t="str">
        <f>IF(stdProdLT(Main[[#This Row],[Comments]])=0.1,"N/A",IF(stdProdLT(Main[[#This Row],[Comments]])=0,"",stdProdLT(Main[[#This Row],[Comments]])))</f>
        <v/>
      </c>
      <c r="H841" s="103" t="str">
        <f>IF(AND(Main[[#This Row],[In Stock Date]]&lt;&gt;"",Main[[#This Row],[Revised Due Date]]&lt;&gt;""),Main[[#This Row],[In Stock Date]]-Main[[#This Row],[Revised Due Date]],"")</f>
        <v/>
      </c>
      <c r="I841" s="99" t="s">
        <v>437</v>
      </c>
      <c r="J841" s="99" t="s">
        <v>21</v>
      </c>
      <c r="K841" s="99" t="s">
        <v>1971</v>
      </c>
      <c r="L841" s="101"/>
      <c r="M841" s="104" t="str">
        <f>IF(Main[[#This Row],[Tech Start Date]]&lt;1/1/1990,"",IF(Main[[#This Row],[Class]]="C",WORKDAY(Main[[#This Row],[Tech Start Date]],9),IF(Main[[#This Row],[Class]]="B", WORKDAY(Main[[#This Row],[Tech Start Date]],6),IF(Main[[#This Row],[Class]]="A",WORKDAY(Main[[#This Row],[Tech Start Date]],2),""))))</f>
        <v/>
      </c>
      <c r="N841" s="104" t="str">
        <f>IF(Main[[#This Row],[Tech Start Date]]&lt;1/1/1990,"",IF(Main[[#This Row],[Class]]="C",WORKDAY(Main[[#This Row],[Tech Start Date]],19),IF(Main[[#This Row],[Class]]="B", WORKDAY(Main[[#This Row],[Tech Start Date]],12),IF(Main[[#This Row],[Class]]="A",WORKDAY(Main[[#This Row],[Tech Start Date]],4),""))))</f>
        <v/>
      </c>
      <c r="O841" s="104" t="str">
        <f>IF(Main[[#This Row],[Tech Start Date]]&lt;1/1/1990,"",IF(Main[[#This Row],[Class]]="C",WORKDAY(Main[[#This Row],[Tech Start Date]],23),IF(Main[[#This Row],[Class]]="B", WORKDAY(Main[[#This Row],[Tech Start Date]],15),IF(Main[[#This Row],[Class]]="A",WORKDAY(Main[[#This Row],[Tech Start Date]],5),""))))</f>
        <v/>
      </c>
      <c r="P841" s="104" t="str">
        <f>IF(Main[[#This Row],[Tech Start Date]]&lt;1/1/1990,"",IF(Main[[#This Row],[Class]]="C",WORKDAY(Main[[#This Row],[Tech Start Date]],28),IF(Main[[#This Row],[Class]]="B", WORKDAY(Main[[#This Row],[Tech Start Date]],19),IF(Main[[#This Row],[Class]]="A",WORKDAY(Main[[#This Row],[Tech Start Date]],9),""))))</f>
        <v/>
      </c>
      <c r="Q841" s="101">
        <v>40786</v>
      </c>
      <c r="R841" s="101"/>
      <c r="S841" s="99" t="s">
        <v>6</v>
      </c>
      <c r="T841" s="107" t="s">
        <v>4</v>
      </c>
      <c r="U841" s="99" t="s">
        <v>29</v>
      </c>
      <c r="V841" s="99" t="s">
        <v>1965</v>
      </c>
      <c r="W841" s="99" t="s">
        <v>1966</v>
      </c>
    </row>
    <row r="842" spans="1:23" ht="18.600000000000001" customHeight="1">
      <c r="A842" s="123" t="str">
        <f>IF(priority(Main[[#This Row],[Comments]])&lt;&gt;0, priority(Main[[#This Row],[Comments]]),"")</f>
        <v/>
      </c>
      <c r="B842" s="127" t="s">
        <v>2256</v>
      </c>
      <c r="C842" s="99" t="s">
        <v>4</v>
      </c>
      <c r="D842" s="100" t="s">
        <v>2257</v>
      </c>
      <c r="E842" s="101"/>
      <c r="F842" s="101"/>
      <c r="G842" s="102" t="str">
        <f>IF(stdProdLT(Main[[#This Row],[Comments]])=0.1,"N/A",IF(stdProdLT(Main[[#This Row],[Comments]])=0,"",stdProdLT(Main[[#This Row],[Comments]])))</f>
        <v/>
      </c>
      <c r="H842" s="103" t="str">
        <f>IF(AND(Main[[#This Row],[In Stock Date]]&lt;&gt;"",Main[[#This Row],[Revised Due Date]]&lt;&gt;""),Main[[#This Row],[In Stock Date]]-Main[[#This Row],[Revised Due Date]],"")</f>
        <v/>
      </c>
      <c r="I842" s="99" t="s">
        <v>4</v>
      </c>
      <c r="J842" s="99" t="s">
        <v>4</v>
      </c>
      <c r="K842" s="99" t="s">
        <v>4</v>
      </c>
      <c r="L842" s="101"/>
      <c r="M842" s="104" t="str">
        <f>IF(Main[[#This Row],[Tech Start Date]]&lt;1/1/1990,"",IF(Main[[#This Row],[Class]]="C",WORKDAY(Main[[#This Row],[Tech Start Date]],9),IF(Main[[#This Row],[Class]]="B", WORKDAY(Main[[#This Row],[Tech Start Date]],6),IF(Main[[#This Row],[Class]]="A",WORKDAY(Main[[#This Row],[Tech Start Date]],2),""))))</f>
        <v/>
      </c>
      <c r="N842" s="104" t="str">
        <f>IF(Main[[#This Row],[Tech Start Date]]&lt;1/1/1990,"",IF(Main[[#This Row],[Class]]="C",WORKDAY(Main[[#This Row],[Tech Start Date]],19),IF(Main[[#This Row],[Class]]="B", WORKDAY(Main[[#This Row],[Tech Start Date]],12),IF(Main[[#This Row],[Class]]="A",WORKDAY(Main[[#This Row],[Tech Start Date]],4),""))))</f>
        <v/>
      </c>
      <c r="O842" s="104" t="str">
        <f>IF(Main[[#This Row],[Tech Start Date]]&lt;1/1/1990,"",IF(Main[[#This Row],[Class]]="C",WORKDAY(Main[[#This Row],[Tech Start Date]],23),IF(Main[[#This Row],[Class]]="B", WORKDAY(Main[[#This Row],[Tech Start Date]],15),IF(Main[[#This Row],[Class]]="A",WORKDAY(Main[[#This Row],[Tech Start Date]],5),""))))</f>
        <v/>
      </c>
      <c r="P842" s="104" t="str">
        <f>IF(Main[[#This Row],[Tech Start Date]]&lt;1/1/1990,"",IF(Main[[#This Row],[Class]]="C",WORKDAY(Main[[#This Row],[Tech Start Date]],28),IF(Main[[#This Row],[Class]]="B", WORKDAY(Main[[#This Row],[Tech Start Date]],19),IF(Main[[#This Row],[Class]]="A",WORKDAY(Main[[#This Row],[Tech Start Date]],9),""))))</f>
        <v/>
      </c>
      <c r="Q842" s="101">
        <v>40798</v>
      </c>
      <c r="R842" s="101"/>
      <c r="S842" s="99" t="s">
        <v>49</v>
      </c>
      <c r="T842" s="107" t="s">
        <v>4</v>
      </c>
      <c r="U842" s="99" t="s">
        <v>14</v>
      </c>
      <c r="V842" s="99" t="s">
        <v>1972</v>
      </c>
      <c r="W842" s="99" t="s">
        <v>1970</v>
      </c>
    </row>
    <row r="843" spans="1:23" ht="18.600000000000001" customHeight="1">
      <c r="A843" s="123" t="str">
        <f>IF(priority(Main[[#This Row],[Comments]])&lt;&gt;0, priority(Main[[#This Row],[Comments]]),"")</f>
        <v/>
      </c>
      <c r="B843" s="127" t="s">
        <v>1716</v>
      </c>
      <c r="C843" s="99" t="s">
        <v>72</v>
      </c>
      <c r="D843" s="100" t="s">
        <v>747</v>
      </c>
      <c r="E843" s="101"/>
      <c r="F843" s="101"/>
      <c r="G843" s="102" t="str">
        <f>IF(stdProdLT(Main[[#This Row],[Comments]])=0.1,"N/A",IF(stdProdLT(Main[[#This Row],[Comments]])=0,"",stdProdLT(Main[[#This Row],[Comments]])))</f>
        <v/>
      </c>
      <c r="H843" s="103" t="str">
        <f>IF(AND(Main[[#This Row],[In Stock Date]]&lt;&gt;"",Main[[#This Row],[Revised Due Date]]&lt;&gt;""),Main[[#This Row],[In Stock Date]]-Main[[#This Row],[Revised Due Date]],"")</f>
        <v/>
      </c>
      <c r="I843" s="99" t="s">
        <v>4</v>
      </c>
      <c r="J843" s="99" t="s">
        <v>28</v>
      </c>
      <c r="K843" s="99" t="s">
        <v>1971</v>
      </c>
      <c r="L843" s="101"/>
      <c r="M843" s="104" t="str">
        <f>IF(Main[[#This Row],[Tech Start Date]]&lt;1/1/1990,"",IF(Main[[#This Row],[Class]]="C",WORKDAY(Main[[#This Row],[Tech Start Date]],9),IF(Main[[#This Row],[Class]]="B", WORKDAY(Main[[#This Row],[Tech Start Date]],6),IF(Main[[#This Row],[Class]]="A",WORKDAY(Main[[#This Row],[Tech Start Date]],2),""))))</f>
        <v/>
      </c>
      <c r="N843" s="104" t="str">
        <f>IF(Main[[#This Row],[Tech Start Date]]&lt;1/1/1990,"",IF(Main[[#This Row],[Class]]="C",WORKDAY(Main[[#This Row],[Tech Start Date]],19),IF(Main[[#This Row],[Class]]="B", WORKDAY(Main[[#This Row],[Tech Start Date]],12),IF(Main[[#This Row],[Class]]="A",WORKDAY(Main[[#This Row],[Tech Start Date]],4),""))))</f>
        <v/>
      </c>
      <c r="O843" s="104" t="str">
        <f>IF(Main[[#This Row],[Tech Start Date]]&lt;1/1/1990,"",IF(Main[[#This Row],[Class]]="C",WORKDAY(Main[[#This Row],[Tech Start Date]],23),IF(Main[[#This Row],[Class]]="B", WORKDAY(Main[[#This Row],[Tech Start Date]],15),IF(Main[[#This Row],[Class]]="A",WORKDAY(Main[[#This Row],[Tech Start Date]],5),""))))</f>
        <v/>
      </c>
      <c r="P843" s="104" t="str">
        <f>IF(Main[[#This Row],[Tech Start Date]]&lt;1/1/1990,"",IF(Main[[#This Row],[Class]]="C",WORKDAY(Main[[#This Row],[Tech Start Date]],28),IF(Main[[#This Row],[Class]]="B", WORKDAY(Main[[#This Row],[Tech Start Date]],19),IF(Main[[#This Row],[Class]]="A",WORKDAY(Main[[#This Row],[Tech Start Date]],9),""))))</f>
        <v/>
      </c>
      <c r="Q843" s="101"/>
      <c r="R843" s="101"/>
      <c r="S843" s="99" t="s">
        <v>6</v>
      </c>
      <c r="T843" s="107" t="s">
        <v>4</v>
      </c>
      <c r="U843" s="99" t="s">
        <v>14</v>
      </c>
      <c r="V843" s="99" t="s">
        <v>1965</v>
      </c>
      <c r="W843" s="99" t="s">
        <v>1964</v>
      </c>
    </row>
    <row r="844" spans="1:23" ht="18.600000000000001" customHeight="1">
      <c r="A844" s="123" t="str">
        <f>IF(priority(Main[[#This Row],[Comments]])&lt;&gt;0, priority(Main[[#This Row],[Comments]]),"")</f>
        <v/>
      </c>
      <c r="B844" s="127" t="s">
        <v>1718</v>
      </c>
      <c r="C844" s="99" t="s">
        <v>4</v>
      </c>
      <c r="D844" s="100" t="s">
        <v>39</v>
      </c>
      <c r="E844" s="101"/>
      <c r="F844" s="101"/>
      <c r="G844" s="102" t="str">
        <f>IF(stdProdLT(Main[[#This Row],[Comments]])=0.1,"N/A",IF(stdProdLT(Main[[#This Row],[Comments]])=0,"",stdProdLT(Main[[#This Row],[Comments]])))</f>
        <v/>
      </c>
      <c r="H844" s="103" t="str">
        <f>IF(AND(Main[[#This Row],[In Stock Date]]&lt;&gt;"",Main[[#This Row],[Revised Due Date]]&lt;&gt;""),Main[[#This Row],[In Stock Date]]-Main[[#This Row],[Revised Due Date]],"")</f>
        <v/>
      </c>
      <c r="I844" s="99" t="s">
        <v>4</v>
      </c>
      <c r="J844" s="99" t="s">
        <v>4</v>
      </c>
      <c r="K844" s="108" t="s">
        <v>4</v>
      </c>
      <c r="L844" s="101"/>
      <c r="M844" s="104" t="str">
        <f>IF(Main[[#This Row],[Tech Start Date]]&lt;1/1/1990,"",IF(Main[[#This Row],[Class]]="C",WORKDAY(Main[[#This Row],[Tech Start Date]],9),IF(Main[[#This Row],[Class]]="B", WORKDAY(Main[[#This Row],[Tech Start Date]],6),IF(Main[[#This Row],[Class]]="A",WORKDAY(Main[[#This Row],[Tech Start Date]],2),""))))</f>
        <v/>
      </c>
      <c r="N844" s="104" t="str">
        <f>IF(Main[[#This Row],[Tech Start Date]]&lt;1/1/1990,"",IF(Main[[#This Row],[Class]]="C",WORKDAY(Main[[#This Row],[Tech Start Date]],19),IF(Main[[#This Row],[Class]]="B", WORKDAY(Main[[#This Row],[Tech Start Date]],12),IF(Main[[#This Row],[Class]]="A",WORKDAY(Main[[#This Row],[Tech Start Date]],4),""))))</f>
        <v/>
      </c>
      <c r="O844" s="104" t="str">
        <f>IF(Main[[#This Row],[Tech Start Date]]&lt;1/1/1990,"",IF(Main[[#This Row],[Class]]="C",WORKDAY(Main[[#This Row],[Tech Start Date]],23),IF(Main[[#This Row],[Class]]="B", WORKDAY(Main[[#This Row],[Tech Start Date]],15),IF(Main[[#This Row],[Class]]="A",WORKDAY(Main[[#This Row],[Tech Start Date]],5),""))))</f>
        <v/>
      </c>
      <c r="P844" s="104" t="str">
        <f>IF(Main[[#This Row],[Tech Start Date]]&lt;1/1/1990,"",IF(Main[[#This Row],[Class]]="C",WORKDAY(Main[[#This Row],[Tech Start Date]],28),IF(Main[[#This Row],[Class]]="B", WORKDAY(Main[[#This Row],[Tech Start Date]],19),IF(Main[[#This Row],[Class]]="A",WORKDAY(Main[[#This Row],[Tech Start Date]],9),""))))</f>
        <v/>
      </c>
      <c r="Q844" s="101">
        <v>40669</v>
      </c>
      <c r="R844" s="101"/>
      <c r="S844" s="99" t="s">
        <v>6</v>
      </c>
      <c r="T844" s="107" t="s">
        <v>4</v>
      </c>
      <c r="U844" s="99" t="s">
        <v>14</v>
      </c>
      <c r="V844" s="99" t="s">
        <v>1965</v>
      </c>
      <c r="W844" s="99" t="s">
        <v>4</v>
      </c>
    </row>
    <row r="845" spans="1:23" ht="18.600000000000001" customHeight="1">
      <c r="A845" s="123" t="str">
        <f>IF(priority(Main[[#This Row],[Comments]])&lt;&gt;0, priority(Main[[#This Row],[Comments]]),"")</f>
        <v/>
      </c>
      <c r="B845" s="127" t="s">
        <v>1698</v>
      </c>
      <c r="C845" s="99" t="s">
        <v>72</v>
      </c>
      <c r="D845" s="100" t="s">
        <v>734</v>
      </c>
      <c r="E845" s="101"/>
      <c r="F845" s="101"/>
      <c r="G845" s="102" t="str">
        <f>IF(stdProdLT(Main[[#This Row],[Comments]])=0.1,"N/A",IF(stdProdLT(Main[[#This Row],[Comments]])=0,"",stdProdLT(Main[[#This Row],[Comments]])))</f>
        <v/>
      </c>
      <c r="H845" s="103" t="str">
        <f>IF(AND(Main[[#This Row],[In Stock Date]]&lt;&gt;"",Main[[#This Row],[Revised Due Date]]&lt;&gt;""),Main[[#This Row],[In Stock Date]]-Main[[#This Row],[Revised Due Date]],"")</f>
        <v/>
      </c>
      <c r="I845" s="99" t="s">
        <v>4</v>
      </c>
      <c r="J845" s="99" t="s">
        <v>4</v>
      </c>
      <c r="K845" s="99" t="s">
        <v>4</v>
      </c>
      <c r="L845" s="101"/>
      <c r="M845" s="104" t="str">
        <f>IF(Main[[#This Row],[Tech Start Date]]&lt;1/1/1990,"",IF(Main[[#This Row],[Class]]="C",WORKDAY(Main[[#This Row],[Tech Start Date]],9),IF(Main[[#This Row],[Class]]="B", WORKDAY(Main[[#This Row],[Tech Start Date]],6),IF(Main[[#This Row],[Class]]="A",WORKDAY(Main[[#This Row],[Tech Start Date]],2),""))))</f>
        <v/>
      </c>
      <c r="N845" s="104" t="str">
        <f>IF(Main[[#This Row],[Tech Start Date]]&lt;1/1/1990,"",IF(Main[[#This Row],[Class]]="C",WORKDAY(Main[[#This Row],[Tech Start Date]],19),IF(Main[[#This Row],[Class]]="B", WORKDAY(Main[[#This Row],[Tech Start Date]],12),IF(Main[[#This Row],[Class]]="A",WORKDAY(Main[[#This Row],[Tech Start Date]],4),""))))</f>
        <v/>
      </c>
      <c r="O845" s="104" t="str">
        <f>IF(Main[[#This Row],[Tech Start Date]]&lt;1/1/1990,"",IF(Main[[#This Row],[Class]]="C",WORKDAY(Main[[#This Row],[Tech Start Date]],23),IF(Main[[#This Row],[Class]]="B", WORKDAY(Main[[#This Row],[Tech Start Date]],15),IF(Main[[#This Row],[Class]]="A",WORKDAY(Main[[#This Row],[Tech Start Date]],5),""))))</f>
        <v/>
      </c>
      <c r="P845" s="104" t="str">
        <f>IF(Main[[#This Row],[Tech Start Date]]&lt;1/1/1990,"",IF(Main[[#This Row],[Class]]="C",WORKDAY(Main[[#This Row],[Tech Start Date]],28),IF(Main[[#This Row],[Class]]="B", WORKDAY(Main[[#This Row],[Tech Start Date]],19),IF(Main[[#This Row],[Class]]="A",WORKDAY(Main[[#This Row],[Tech Start Date]],9),""))))</f>
        <v/>
      </c>
      <c r="Q845" s="101"/>
      <c r="R845" s="101"/>
      <c r="S845" s="99" t="s">
        <v>11</v>
      </c>
      <c r="T845" s="107" t="s">
        <v>4</v>
      </c>
      <c r="U845" s="99" t="s">
        <v>14</v>
      </c>
      <c r="V845" s="99" t="s">
        <v>1963</v>
      </c>
      <c r="W845" s="99" t="s">
        <v>1970</v>
      </c>
    </row>
    <row r="846" spans="1:23" ht="18.600000000000001" customHeight="1">
      <c r="A846" s="123" t="str">
        <f>IF(priority(Main[[#This Row],[Comments]])&lt;&gt;0, priority(Main[[#This Row],[Comments]]),"")</f>
        <v/>
      </c>
      <c r="B846" s="127" t="s">
        <v>2231</v>
      </c>
      <c r="C846" s="99" t="s">
        <v>4</v>
      </c>
      <c r="D846" s="100" t="s">
        <v>2508</v>
      </c>
      <c r="E846" s="101">
        <v>40780.672893518517</v>
      </c>
      <c r="F846" s="101"/>
      <c r="G846" s="102" t="str">
        <f>IF(stdProdLT(Main[[#This Row],[Comments]])=0.1,"N/A",IF(stdProdLT(Main[[#This Row],[Comments]])=0,"",stdProdLT(Main[[#This Row],[Comments]])))</f>
        <v/>
      </c>
      <c r="H846" s="103" t="str">
        <f>IF(AND(Main[[#This Row],[In Stock Date]]&lt;&gt;"",Main[[#This Row],[Revised Due Date]]&lt;&gt;""),Main[[#This Row],[In Stock Date]]-Main[[#This Row],[Revised Due Date]],"")</f>
        <v/>
      </c>
      <c r="I846" s="99" t="s">
        <v>929</v>
      </c>
      <c r="J846" s="99" t="s">
        <v>52</v>
      </c>
      <c r="K846" s="99" t="s">
        <v>4</v>
      </c>
      <c r="L846" s="101"/>
      <c r="M846" s="104" t="str">
        <f>IF(Main[[#This Row],[Tech Start Date]]&lt;1/1/1990,"",IF(Main[[#This Row],[Class]]="C",WORKDAY(Main[[#This Row],[Tech Start Date]],9),IF(Main[[#This Row],[Class]]="B", WORKDAY(Main[[#This Row],[Tech Start Date]],6),IF(Main[[#This Row],[Class]]="A",WORKDAY(Main[[#This Row],[Tech Start Date]],2),""))))</f>
        <v/>
      </c>
      <c r="N846" s="104" t="str">
        <f>IF(Main[[#This Row],[Tech Start Date]]&lt;1/1/1990,"",IF(Main[[#This Row],[Class]]="C",WORKDAY(Main[[#This Row],[Tech Start Date]],19),IF(Main[[#This Row],[Class]]="B", WORKDAY(Main[[#This Row],[Tech Start Date]],12),IF(Main[[#This Row],[Class]]="A",WORKDAY(Main[[#This Row],[Tech Start Date]],4),""))))</f>
        <v/>
      </c>
      <c r="O846" s="104" t="str">
        <f>IF(Main[[#This Row],[Tech Start Date]]&lt;1/1/1990,"",IF(Main[[#This Row],[Class]]="C",WORKDAY(Main[[#This Row],[Tech Start Date]],23),IF(Main[[#This Row],[Class]]="B", WORKDAY(Main[[#This Row],[Tech Start Date]],15),IF(Main[[#This Row],[Class]]="A",WORKDAY(Main[[#This Row],[Tech Start Date]],5),""))))</f>
        <v/>
      </c>
      <c r="P846" s="104" t="str">
        <f>IF(Main[[#This Row],[Tech Start Date]]&lt;1/1/1990,"",IF(Main[[#This Row],[Class]]="C",WORKDAY(Main[[#This Row],[Tech Start Date]],28),IF(Main[[#This Row],[Class]]="B", WORKDAY(Main[[#This Row],[Tech Start Date]],19),IF(Main[[#This Row],[Class]]="A",WORKDAY(Main[[#This Row],[Tech Start Date]],9),""))))</f>
        <v/>
      </c>
      <c r="Q846" s="101">
        <v>40794</v>
      </c>
      <c r="R846" s="101"/>
      <c r="S846" s="99" t="s">
        <v>6</v>
      </c>
      <c r="T846" s="107" t="s">
        <v>4</v>
      </c>
      <c r="U846" s="99" t="s">
        <v>29</v>
      </c>
      <c r="V846" s="99" t="s">
        <v>1962</v>
      </c>
      <c r="W846" s="99" t="s">
        <v>1970</v>
      </c>
    </row>
    <row r="847" spans="1:23" ht="18.600000000000001" customHeight="1">
      <c r="A847" s="123" t="str">
        <f>IF(priority(Main[[#This Row],[Comments]])&lt;&gt;0, priority(Main[[#This Row],[Comments]]),"")</f>
        <v/>
      </c>
      <c r="B847" s="127" t="s">
        <v>1699</v>
      </c>
      <c r="C847" s="99" t="s">
        <v>4</v>
      </c>
      <c r="D847" s="100" t="s">
        <v>735</v>
      </c>
      <c r="E847" s="101"/>
      <c r="F847" s="101"/>
      <c r="G847" s="102" t="str">
        <f>IF(stdProdLT(Main[[#This Row],[Comments]])=0.1,"N/A",IF(stdProdLT(Main[[#This Row],[Comments]])=0,"",stdProdLT(Main[[#This Row],[Comments]])))</f>
        <v/>
      </c>
      <c r="H847" s="103" t="str">
        <f>IF(AND(Main[[#This Row],[In Stock Date]]&lt;&gt;"",Main[[#This Row],[Revised Due Date]]&lt;&gt;""),Main[[#This Row],[In Stock Date]]-Main[[#This Row],[Revised Due Date]],"")</f>
        <v/>
      </c>
      <c r="I847" s="99" t="s">
        <v>4</v>
      </c>
      <c r="J847" s="99" t="s">
        <v>4</v>
      </c>
      <c r="K847" s="99" t="s">
        <v>4</v>
      </c>
      <c r="L847" s="101"/>
      <c r="M847" s="104" t="str">
        <f>IF(Main[[#This Row],[Tech Start Date]]&lt;1/1/1990,"",IF(Main[[#This Row],[Class]]="C",WORKDAY(Main[[#This Row],[Tech Start Date]],9),IF(Main[[#This Row],[Class]]="B", WORKDAY(Main[[#This Row],[Tech Start Date]],6),IF(Main[[#This Row],[Class]]="A",WORKDAY(Main[[#This Row],[Tech Start Date]],2),""))))</f>
        <v/>
      </c>
      <c r="N847" s="104" t="str">
        <f>IF(Main[[#This Row],[Tech Start Date]]&lt;1/1/1990,"",IF(Main[[#This Row],[Class]]="C",WORKDAY(Main[[#This Row],[Tech Start Date]],19),IF(Main[[#This Row],[Class]]="B", WORKDAY(Main[[#This Row],[Tech Start Date]],12),IF(Main[[#This Row],[Class]]="A",WORKDAY(Main[[#This Row],[Tech Start Date]],4),""))))</f>
        <v/>
      </c>
      <c r="O847" s="104" t="str">
        <f>IF(Main[[#This Row],[Tech Start Date]]&lt;1/1/1990,"",IF(Main[[#This Row],[Class]]="C",WORKDAY(Main[[#This Row],[Tech Start Date]],23),IF(Main[[#This Row],[Class]]="B", WORKDAY(Main[[#This Row],[Tech Start Date]],15),IF(Main[[#This Row],[Class]]="A",WORKDAY(Main[[#This Row],[Tech Start Date]],5),""))))</f>
        <v/>
      </c>
      <c r="P847" s="104" t="str">
        <f>IF(Main[[#This Row],[Tech Start Date]]&lt;1/1/1990,"",IF(Main[[#This Row],[Class]]="C",WORKDAY(Main[[#This Row],[Tech Start Date]],28),IF(Main[[#This Row],[Class]]="B", WORKDAY(Main[[#This Row],[Tech Start Date]],19),IF(Main[[#This Row],[Class]]="A",WORKDAY(Main[[#This Row],[Tech Start Date]],9),""))))</f>
        <v/>
      </c>
      <c r="Q847" s="101">
        <v>40403</v>
      </c>
      <c r="R847" s="101"/>
      <c r="S847" s="99" t="s">
        <v>17</v>
      </c>
      <c r="T847" s="107" t="s">
        <v>4</v>
      </c>
      <c r="U847" s="99" t="s">
        <v>14</v>
      </c>
      <c r="V847" s="99" t="s">
        <v>1962</v>
      </c>
      <c r="W847" s="99" t="s">
        <v>1970</v>
      </c>
    </row>
    <row r="848" spans="1:23" ht="18.600000000000001" customHeight="1">
      <c r="A848" s="123" t="str">
        <f>IF(priority(Main[[#This Row],[Comments]])&lt;&gt;0, priority(Main[[#This Row],[Comments]]),"")</f>
        <v/>
      </c>
      <c r="B848" s="127" t="s">
        <v>1700</v>
      </c>
      <c r="C848" s="99" t="s">
        <v>58</v>
      </c>
      <c r="D848" s="100" t="s">
        <v>205</v>
      </c>
      <c r="E848" s="101"/>
      <c r="F848" s="101">
        <v>40697</v>
      </c>
      <c r="G848" s="102" t="str">
        <f>IF(stdProdLT(Main[[#This Row],[Comments]])=0.1,"N/A",IF(stdProdLT(Main[[#This Row],[Comments]])=0,"",stdProdLT(Main[[#This Row],[Comments]])))</f>
        <v/>
      </c>
      <c r="H848" s="103" t="str">
        <f>IF(AND(Main[[#This Row],[In Stock Date]]&lt;&gt;"",Main[[#This Row],[Revised Due Date]]&lt;&gt;""),Main[[#This Row],[In Stock Date]]-Main[[#This Row],[Revised Due Date]],"")</f>
        <v/>
      </c>
      <c r="I848" s="99" t="s">
        <v>4</v>
      </c>
      <c r="J848" s="99" t="s">
        <v>4</v>
      </c>
      <c r="K848" s="99" t="s">
        <v>4</v>
      </c>
      <c r="L848" s="101"/>
      <c r="M848" s="104" t="str">
        <f>IF(Main[[#This Row],[Tech Start Date]]&lt;1/1/1990,"",IF(Main[[#This Row],[Class]]="C",WORKDAY(Main[[#This Row],[Tech Start Date]],9),IF(Main[[#This Row],[Class]]="B", WORKDAY(Main[[#This Row],[Tech Start Date]],6),IF(Main[[#This Row],[Class]]="A",WORKDAY(Main[[#This Row],[Tech Start Date]],2),""))))</f>
        <v/>
      </c>
      <c r="N848" s="104" t="str">
        <f>IF(Main[[#This Row],[Tech Start Date]]&lt;1/1/1990,"",IF(Main[[#This Row],[Class]]="C",WORKDAY(Main[[#This Row],[Tech Start Date]],19),IF(Main[[#This Row],[Class]]="B", WORKDAY(Main[[#This Row],[Tech Start Date]],12),IF(Main[[#This Row],[Class]]="A",WORKDAY(Main[[#This Row],[Tech Start Date]],4),""))))</f>
        <v/>
      </c>
      <c r="O848" s="104" t="str">
        <f>IF(Main[[#This Row],[Tech Start Date]]&lt;1/1/1990,"",IF(Main[[#This Row],[Class]]="C",WORKDAY(Main[[#This Row],[Tech Start Date]],23),IF(Main[[#This Row],[Class]]="B", WORKDAY(Main[[#This Row],[Tech Start Date]],15),IF(Main[[#This Row],[Class]]="A",WORKDAY(Main[[#This Row],[Tech Start Date]],5),""))))</f>
        <v/>
      </c>
      <c r="P848" s="104" t="str">
        <f>IF(Main[[#This Row],[Tech Start Date]]&lt;1/1/1990,"",IF(Main[[#This Row],[Class]]="C",WORKDAY(Main[[#This Row],[Tech Start Date]],28),IF(Main[[#This Row],[Class]]="B", WORKDAY(Main[[#This Row],[Tech Start Date]],19),IF(Main[[#This Row],[Class]]="A",WORKDAY(Main[[#This Row],[Tech Start Date]],9),""))))</f>
        <v/>
      </c>
      <c r="Q848" s="101">
        <v>40539</v>
      </c>
      <c r="R848" s="101"/>
      <c r="S848" s="99" t="s">
        <v>11</v>
      </c>
      <c r="T848" s="107" t="s">
        <v>4</v>
      </c>
      <c r="U848" s="99" t="s">
        <v>14</v>
      </c>
      <c r="V848" s="99" t="s">
        <v>1962</v>
      </c>
      <c r="W848" s="99" t="s">
        <v>1968</v>
      </c>
    </row>
    <row r="849" spans="1:23" ht="18.600000000000001" customHeight="1">
      <c r="A849" s="123" t="str">
        <f>IF(priority(Main[[#This Row],[Comments]])&lt;&gt;0, priority(Main[[#This Row],[Comments]]),"")</f>
        <v/>
      </c>
      <c r="B849" s="127" t="s">
        <v>1703</v>
      </c>
      <c r="C849" s="99" t="s">
        <v>738</v>
      </c>
      <c r="D849" s="100" t="s">
        <v>739</v>
      </c>
      <c r="E849" s="101"/>
      <c r="F849" s="101">
        <v>40633</v>
      </c>
      <c r="G849" s="102" t="str">
        <f>IF(stdProdLT(Main[[#This Row],[Comments]])=0.1,"N/A",IF(stdProdLT(Main[[#This Row],[Comments]])=0,"",stdProdLT(Main[[#This Row],[Comments]])))</f>
        <v/>
      </c>
      <c r="H849" s="103" t="str">
        <f>IF(AND(Main[[#This Row],[In Stock Date]]&lt;&gt;"",Main[[#This Row],[Revised Due Date]]&lt;&gt;""),Main[[#This Row],[In Stock Date]]-Main[[#This Row],[Revised Due Date]],"")</f>
        <v/>
      </c>
      <c r="I849" s="99" t="s">
        <v>4</v>
      </c>
      <c r="J849" s="99" t="s">
        <v>4</v>
      </c>
      <c r="K849" s="99" t="s">
        <v>4</v>
      </c>
      <c r="L849" s="101"/>
      <c r="M849" s="104" t="str">
        <f>IF(Main[[#This Row],[Tech Start Date]]&lt;1/1/1990,"",IF(Main[[#This Row],[Class]]="C",WORKDAY(Main[[#This Row],[Tech Start Date]],9),IF(Main[[#This Row],[Class]]="B", WORKDAY(Main[[#This Row],[Tech Start Date]],6),IF(Main[[#This Row],[Class]]="A",WORKDAY(Main[[#This Row],[Tech Start Date]],2),""))))</f>
        <v/>
      </c>
      <c r="N849" s="104" t="str">
        <f>IF(Main[[#This Row],[Tech Start Date]]&lt;1/1/1990,"",IF(Main[[#This Row],[Class]]="C",WORKDAY(Main[[#This Row],[Tech Start Date]],19),IF(Main[[#This Row],[Class]]="B", WORKDAY(Main[[#This Row],[Tech Start Date]],12),IF(Main[[#This Row],[Class]]="A",WORKDAY(Main[[#This Row],[Tech Start Date]],4),""))))</f>
        <v/>
      </c>
      <c r="O849" s="104" t="str">
        <f>IF(Main[[#This Row],[Tech Start Date]]&lt;1/1/1990,"",IF(Main[[#This Row],[Class]]="C",WORKDAY(Main[[#This Row],[Tech Start Date]],23),IF(Main[[#This Row],[Class]]="B", WORKDAY(Main[[#This Row],[Tech Start Date]],15),IF(Main[[#This Row],[Class]]="A",WORKDAY(Main[[#This Row],[Tech Start Date]],5),""))))</f>
        <v/>
      </c>
      <c r="P849" s="104" t="str">
        <f>IF(Main[[#This Row],[Tech Start Date]]&lt;1/1/1990,"",IF(Main[[#This Row],[Class]]="C",WORKDAY(Main[[#This Row],[Tech Start Date]],28),IF(Main[[#This Row],[Class]]="B", WORKDAY(Main[[#This Row],[Tech Start Date]],19),IF(Main[[#This Row],[Class]]="A",WORKDAY(Main[[#This Row],[Tech Start Date]],9),""))))</f>
        <v/>
      </c>
      <c r="Q849" s="101">
        <v>40623</v>
      </c>
      <c r="R849" s="101"/>
      <c r="S849" s="99" t="s">
        <v>11</v>
      </c>
      <c r="T849" s="107" t="s">
        <v>4</v>
      </c>
      <c r="U849" s="99" t="s">
        <v>14</v>
      </c>
      <c r="V849" s="99" t="s">
        <v>1963</v>
      </c>
      <c r="W849" s="99" t="s">
        <v>1970</v>
      </c>
    </row>
    <row r="850" spans="1:23" ht="18.600000000000001" customHeight="1">
      <c r="A850" s="123" t="str">
        <f>IF(priority(Main[[#This Row],[Comments]])&lt;&gt;0, priority(Main[[#This Row],[Comments]]),"")</f>
        <v/>
      </c>
      <c r="B850" s="127" t="s">
        <v>1705</v>
      </c>
      <c r="C850" s="99" t="s">
        <v>4</v>
      </c>
      <c r="D850" s="100" t="s">
        <v>97</v>
      </c>
      <c r="E850" s="101"/>
      <c r="F850" s="101"/>
      <c r="G850" s="102" t="str">
        <f>IF(stdProdLT(Main[[#This Row],[Comments]])=0.1,"N/A",IF(stdProdLT(Main[[#This Row],[Comments]])=0,"",stdProdLT(Main[[#This Row],[Comments]])))</f>
        <v/>
      </c>
      <c r="H850" s="103" t="str">
        <f>IF(AND(Main[[#This Row],[In Stock Date]]&lt;&gt;"",Main[[#This Row],[Revised Due Date]]&lt;&gt;""),Main[[#This Row],[In Stock Date]]-Main[[#This Row],[Revised Due Date]],"")</f>
        <v/>
      </c>
      <c r="I850" s="99" t="s">
        <v>4</v>
      </c>
      <c r="J850" s="99" t="s">
        <v>4</v>
      </c>
      <c r="K850" s="99" t="s">
        <v>4</v>
      </c>
      <c r="L850" s="101"/>
      <c r="M850" s="104" t="str">
        <f>IF(Main[[#This Row],[Tech Start Date]]&lt;1/1/1990,"",IF(Main[[#This Row],[Class]]="C",WORKDAY(Main[[#This Row],[Tech Start Date]],9),IF(Main[[#This Row],[Class]]="B", WORKDAY(Main[[#This Row],[Tech Start Date]],6),IF(Main[[#This Row],[Class]]="A",WORKDAY(Main[[#This Row],[Tech Start Date]],2),""))))</f>
        <v/>
      </c>
      <c r="N850" s="104" t="str">
        <f>IF(Main[[#This Row],[Tech Start Date]]&lt;1/1/1990,"",IF(Main[[#This Row],[Class]]="C",WORKDAY(Main[[#This Row],[Tech Start Date]],19),IF(Main[[#This Row],[Class]]="B", WORKDAY(Main[[#This Row],[Tech Start Date]],12),IF(Main[[#This Row],[Class]]="A",WORKDAY(Main[[#This Row],[Tech Start Date]],4),""))))</f>
        <v/>
      </c>
      <c r="O850" s="104" t="str">
        <f>IF(Main[[#This Row],[Tech Start Date]]&lt;1/1/1990,"",IF(Main[[#This Row],[Class]]="C",WORKDAY(Main[[#This Row],[Tech Start Date]],23),IF(Main[[#This Row],[Class]]="B", WORKDAY(Main[[#This Row],[Tech Start Date]],15),IF(Main[[#This Row],[Class]]="A",WORKDAY(Main[[#This Row],[Tech Start Date]],5),""))))</f>
        <v/>
      </c>
      <c r="P850" s="104" t="str">
        <f>IF(Main[[#This Row],[Tech Start Date]]&lt;1/1/1990,"",IF(Main[[#This Row],[Class]]="C",WORKDAY(Main[[#This Row],[Tech Start Date]],28),IF(Main[[#This Row],[Class]]="B", WORKDAY(Main[[#This Row],[Tech Start Date]],19),IF(Main[[#This Row],[Class]]="A",WORKDAY(Main[[#This Row],[Tech Start Date]],9),""))))</f>
        <v/>
      </c>
      <c r="Q850" s="101">
        <v>40858</v>
      </c>
      <c r="R850" s="101"/>
      <c r="S850" s="99" t="s">
        <v>17</v>
      </c>
      <c r="T850" s="107" t="s">
        <v>4</v>
      </c>
      <c r="U850" s="99" t="s">
        <v>14</v>
      </c>
      <c r="V850" s="99" t="s">
        <v>1962</v>
      </c>
      <c r="W850" s="99" t="s">
        <v>1967</v>
      </c>
    </row>
    <row r="851" spans="1:23" ht="18.600000000000001" customHeight="1">
      <c r="A851" s="123" t="str">
        <f>IF(priority(Main[[#This Row],[Comments]])&lt;&gt;0, priority(Main[[#This Row],[Comments]]),"")</f>
        <v/>
      </c>
      <c r="B851" s="127" t="s">
        <v>1706</v>
      </c>
      <c r="C851" s="99" t="s">
        <v>4</v>
      </c>
      <c r="D851" s="100" t="s">
        <v>97</v>
      </c>
      <c r="E851" s="101"/>
      <c r="F851" s="101"/>
      <c r="G851" s="102" t="str">
        <f>IF(stdProdLT(Main[[#This Row],[Comments]])=0.1,"N/A",IF(stdProdLT(Main[[#This Row],[Comments]])=0,"",stdProdLT(Main[[#This Row],[Comments]])))</f>
        <v/>
      </c>
      <c r="H851" s="103" t="str">
        <f>IF(AND(Main[[#This Row],[In Stock Date]]&lt;&gt;"",Main[[#This Row],[Revised Due Date]]&lt;&gt;""),Main[[#This Row],[In Stock Date]]-Main[[#This Row],[Revised Due Date]],"")</f>
        <v/>
      </c>
      <c r="I851" s="99" t="s">
        <v>4</v>
      </c>
      <c r="J851" s="99" t="s">
        <v>4</v>
      </c>
      <c r="K851" s="99" t="s">
        <v>4</v>
      </c>
      <c r="L851" s="101"/>
      <c r="M851" s="104" t="str">
        <f>IF(Main[[#This Row],[Tech Start Date]]&lt;1/1/1990,"",IF(Main[[#This Row],[Class]]="C",WORKDAY(Main[[#This Row],[Tech Start Date]],9),IF(Main[[#This Row],[Class]]="B", WORKDAY(Main[[#This Row],[Tech Start Date]],6),IF(Main[[#This Row],[Class]]="A",WORKDAY(Main[[#This Row],[Tech Start Date]],2),""))))</f>
        <v/>
      </c>
      <c r="N851" s="104" t="str">
        <f>IF(Main[[#This Row],[Tech Start Date]]&lt;1/1/1990,"",IF(Main[[#This Row],[Class]]="C",WORKDAY(Main[[#This Row],[Tech Start Date]],19),IF(Main[[#This Row],[Class]]="B", WORKDAY(Main[[#This Row],[Tech Start Date]],12),IF(Main[[#This Row],[Class]]="A",WORKDAY(Main[[#This Row],[Tech Start Date]],4),""))))</f>
        <v/>
      </c>
      <c r="O851" s="104" t="str">
        <f>IF(Main[[#This Row],[Tech Start Date]]&lt;1/1/1990,"",IF(Main[[#This Row],[Class]]="C",WORKDAY(Main[[#This Row],[Tech Start Date]],23),IF(Main[[#This Row],[Class]]="B", WORKDAY(Main[[#This Row],[Tech Start Date]],15),IF(Main[[#This Row],[Class]]="A",WORKDAY(Main[[#This Row],[Tech Start Date]],5),""))))</f>
        <v/>
      </c>
      <c r="P851" s="104" t="str">
        <f>IF(Main[[#This Row],[Tech Start Date]]&lt;1/1/1990,"",IF(Main[[#This Row],[Class]]="C",WORKDAY(Main[[#This Row],[Tech Start Date]],28),IF(Main[[#This Row],[Class]]="B", WORKDAY(Main[[#This Row],[Tech Start Date]],19),IF(Main[[#This Row],[Class]]="A",WORKDAY(Main[[#This Row],[Tech Start Date]],9),""))))</f>
        <v/>
      </c>
      <c r="Q851" s="101">
        <v>40858</v>
      </c>
      <c r="R851" s="101"/>
      <c r="S851" s="99" t="s">
        <v>17</v>
      </c>
      <c r="T851" s="107" t="s">
        <v>4</v>
      </c>
      <c r="U851" s="99" t="s">
        <v>14</v>
      </c>
      <c r="V851" s="99" t="s">
        <v>1962</v>
      </c>
      <c r="W851" s="99" t="s">
        <v>1967</v>
      </c>
    </row>
    <row r="852" spans="1:23" ht="18.600000000000001" customHeight="1">
      <c r="A852" s="123" t="str">
        <f>IF(priority(Main[[#This Row],[Comments]])&lt;&gt;0, priority(Main[[#This Row],[Comments]]),"")</f>
        <v/>
      </c>
      <c r="B852" s="127" t="s">
        <v>1707</v>
      </c>
      <c r="C852" s="99" t="s">
        <v>4</v>
      </c>
      <c r="D852" s="100" t="s">
        <v>97</v>
      </c>
      <c r="E852" s="101"/>
      <c r="F852" s="101"/>
      <c r="G852" s="102" t="str">
        <f>IF(stdProdLT(Main[[#This Row],[Comments]])=0.1,"N/A",IF(stdProdLT(Main[[#This Row],[Comments]])=0,"",stdProdLT(Main[[#This Row],[Comments]])))</f>
        <v/>
      </c>
      <c r="H852" s="103" t="str">
        <f>IF(AND(Main[[#This Row],[In Stock Date]]&lt;&gt;"",Main[[#This Row],[Revised Due Date]]&lt;&gt;""),Main[[#This Row],[In Stock Date]]-Main[[#This Row],[Revised Due Date]],"")</f>
        <v/>
      </c>
      <c r="I852" s="99" t="s">
        <v>4</v>
      </c>
      <c r="J852" s="99" t="s">
        <v>4</v>
      </c>
      <c r="K852" s="108" t="s">
        <v>4</v>
      </c>
      <c r="L852" s="101"/>
      <c r="M852" s="104" t="str">
        <f>IF(Main[[#This Row],[Tech Start Date]]&lt;1/1/1990,"",IF(Main[[#This Row],[Class]]="C",WORKDAY(Main[[#This Row],[Tech Start Date]],9),IF(Main[[#This Row],[Class]]="B", WORKDAY(Main[[#This Row],[Tech Start Date]],6),IF(Main[[#This Row],[Class]]="A",WORKDAY(Main[[#This Row],[Tech Start Date]],2),""))))</f>
        <v/>
      </c>
      <c r="N852" s="104" t="str">
        <f>IF(Main[[#This Row],[Tech Start Date]]&lt;1/1/1990,"",IF(Main[[#This Row],[Class]]="C",WORKDAY(Main[[#This Row],[Tech Start Date]],19),IF(Main[[#This Row],[Class]]="B", WORKDAY(Main[[#This Row],[Tech Start Date]],12),IF(Main[[#This Row],[Class]]="A",WORKDAY(Main[[#This Row],[Tech Start Date]],4),""))))</f>
        <v/>
      </c>
      <c r="O852" s="104" t="str">
        <f>IF(Main[[#This Row],[Tech Start Date]]&lt;1/1/1990,"",IF(Main[[#This Row],[Class]]="C",WORKDAY(Main[[#This Row],[Tech Start Date]],23),IF(Main[[#This Row],[Class]]="B", WORKDAY(Main[[#This Row],[Tech Start Date]],15),IF(Main[[#This Row],[Class]]="A",WORKDAY(Main[[#This Row],[Tech Start Date]],5),""))))</f>
        <v/>
      </c>
      <c r="P852" s="104" t="str">
        <f>IF(Main[[#This Row],[Tech Start Date]]&lt;1/1/1990,"",IF(Main[[#This Row],[Class]]="C",WORKDAY(Main[[#This Row],[Tech Start Date]],28),IF(Main[[#This Row],[Class]]="B", WORKDAY(Main[[#This Row],[Tech Start Date]],19),IF(Main[[#This Row],[Class]]="A",WORKDAY(Main[[#This Row],[Tech Start Date]],9),""))))</f>
        <v/>
      </c>
      <c r="Q852" s="101">
        <v>40858</v>
      </c>
      <c r="R852" s="101"/>
      <c r="S852" s="99" t="s">
        <v>17</v>
      </c>
      <c r="T852" s="107" t="s">
        <v>4</v>
      </c>
      <c r="U852" s="99" t="s">
        <v>14</v>
      </c>
      <c r="V852" s="99" t="s">
        <v>1962</v>
      </c>
      <c r="W852" s="99" t="s">
        <v>1967</v>
      </c>
    </row>
    <row r="853" spans="1:23" ht="18.600000000000001" customHeight="1">
      <c r="A853" s="123" t="str">
        <f>IF(priority(Main[[#This Row],[Comments]])&lt;&gt;0, priority(Main[[#This Row],[Comments]]),"")</f>
        <v/>
      </c>
      <c r="B853" s="127" t="s">
        <v>1286</v>
      </c>
      <c r="C853" s="99" t="s">
        <v>4</v>
      </c>
      <c r="D853" s="100" t="s">
        <v>321</v>
      </c>
      <c r="E853" s="101"/>
      <c r="F853" s="101"/>
      <c r="G853" s="102" t="str">
        <f>IF(stdProdLT(Main[[#This Row],[Comments]])=0.1,"N/A",IF(stdProdLT(Main[[#This Row],[Comments]])=0,"",stdProdLT(Main[[#This Row],[Comments]])))</f>
        <v/>
      </c>
      <c r="H853" s="103" t="str">
        <f>IF(AND(Main[[#This Row],[In Stock Date]]&lt;&gt;"",Main[[#This Row],[Revised Due Date]]&lt;&gt;""),Main[[#This Row],[In Stock Date]]-Main[[#This Row],[Revised Due Date]],"")</f>
        <v/>
      </c>
      <c r="I853" s="99" t="s">
        <v>4</v>
      </c>
      <c r="J853" s="99" t="s">
        <v>4</v>
      </c>
      <c r="K853" s="99" t="s">
        <v>4</v>
      </c>
      <c r="L853" s="101"/>
      <c r="M853" s="104" t="str">
        <f>IF(Main[[#This Row],[Tech Start Date]]&lt;1/1/1990,"",IF(Main[[#This Row],[Class]]="C",WORKDAY(Main[[#This Row],[Tech Start Date]],9),IF(Main[[#This Row],[Class]]="B", WORKDAY(Main[[#This Row],[Tech Start Date]],6),IF(Main[[#This Row],[Class]]="A",WORKDAY(Main[[#This Row],[Tech Start Date]],2),""))))</f>
        <v/>
      </c>
      <c r="N853" s="104" t="str">
        <f>IF(Main[[#This Row],[Tech Start Date]]&lt;1/1/1990,"",IF(Main[[#This Row],[Class]]="C",WORKDAY(Main[[#This Row],[Tech Start Date]],19),IF(Main[[#This Row],[Class]]="B", WORKDAY(Main[[#This Row],[Tech Start Date]],12),IF(Main[[#This Row],[Class]]="A",WORKDAY(Main[[#This Row],[Tech Start Date]],4),""))))</f>
        <v/>
      </c>
      <c r="O853" s="104" t="str">
        <f>IF(Main[[#This Row],[Tech Start Date]]&lt;1/1/1990,"",IF(Main[[#This Row],[Class]]="C",WORKDAY(Main[[#This Row],[Tech Start Date]],23),IF(Main[[#This Row],[Class]]="B", WORKDAY(Main[[#This Row],[Tech Start Date]],15),IF(Main[[#This Row],[Class]]="A",WORKDAY(Main[[#This Row],[Tech Start Date]],5),""))))</f>
        <v/>
      </c>
      <c r="P853" s="104" t="str">
        <f>IF(Main[[#This Row],[Tech Start Date]]&lt;1/1/1990,"",IF(Main[[#This Row],[Class]]="C",WORKDAY(Main[[#This Row],[Tech Start Date]],28),IF(Main[[#This Row],[Class]]="B", WORKDAY(Main[[#This Row],[Tech Start Date]],19),IF(Main[[#This Row],[Class]]="A",WORKDAY(Main[[#This Row],[Tech Start Date]],9),""))))</f>
        <v/>
      </c>
      <c r="Q853" s="101">
        <v>40229</v>
      </c>
      <c r="R853" s="101"/>
      <c r="S853" s="99" t="s">
        <v>6</v>
      </c>
      <c r="T853" s="107" t="s">
        <v>4</v>
      </c>
      <c r="U853" s="99" t="s">
        <v>14</v>
      </c>
      <c r="V853" s="99" t="s">
        <v>1962</v>
      </c>
      <c r="W853" s="99" t="s">
        <v>1966</v>
      </c>
    </row>
    <row r="854" spans="1:23" ht="18.600000000000001" customHeight="1">
      <c r="A854" s="123" t="str">
        <f>IF(priority(Main[[#This Row],[Comments]])&lt;&gt;0, priority(Main[[#This Row],[Comments]]),"")</f>
        <v/>
      </c>
      <c r="B854" s="127" t="s">
        <v>1708</v>
      </c>
      <c r="C854" s="99" t="s">
        <v>4</v>
      </c>
      <c r="D854" s="100" t="s">
        <v>741</v>
      </c>
      <c r="E854" s="101"/>
      <c r="F854" s="101"/>
      <c r="G854" s="102" t="str">
        <f>IF(stdProdLT(Main[[#This Row],[Comments]])=0.1,"N/A",IF(stdProdLT(Main[[#This Row],[Comments]])=0,"",stdProdLT(Main[[#This Row],[Comments]])))</f>
        <v/>
      </c>
      <c r="H854" s="103" t="str">
        <f>IF(AND(Main[[#This Row],[In Stock Date]]&lt;&gt;"",Main[[#This Row],[Revised Due Date]]&lt;&gt;""),Main[[#This Row],[In Stock Date]]-Main[[#This Row],[Revised Due Date]],"")</f>
        <v/>
      </c>
      <c r="I854" s="99" t="s">
        <v>4</v>
      </c>
      <c r="J854" s="99" t="s">
        <v>4</v>
      </c>
      <c r="K854" s="99" t="s">
        <v>4</v>
      </c>
      <c r="L854" s="101"/>
      <c r="M854" s="104" t="str">
        <f>IF(Main[[#This Row],[Tech Start Date]]&lt;1/1/1990,"",IF(Main[[#This Row],[Class]]="C",WORKDAY(Main[[#This Row],[Tech Start Date]],9),IF(Main[[#This Row],[Class]]="B", WORKDAY(Main[[#This Row],[Tech Start Date]],6),IF(Main[[#This Row],[Class]]="A",WORKDAY(Main[[#This Row],[Tech Start Date]],2),""))))</f>
        <v/>
      </c>
      <c r="N854" s="104" t="str">
        <f>IF(Main[[#This Row],[Tech Start Date]]&lt;1/1/1990,"",IF(Main[[#This Row],[Class]]="C",WORKDAY(Main[[#This Row],[Tech Start Date]],19),IF(Main[[#This Row],[Class]]="B", WORKDAY(Main[[#This Row],[Tech Start Date]],12),IF(Main[[#This Row],[Class]]="A",WORKDAY(Main[[#This Row],[Tech Start Date]],4),""))))</f>
        <v/>
      </c>
      <c r="O854" s="104" t="str">
        <f>IF(Main[[#This Row],[Tech Start Date]]&lt;1/1/1990,"",IF(Main[[#This Row],[Class]]="C",WORKDAY(Main[[#This Row],[Tech Start Date]],23),IF(Main[[#This Row],[Class]]="B", WORKDAY(Main[[#This Row],[Tech Start Date]],15),IF(Main[[#This Row],[Class]]="A",WORKDAY(Main[[#This Row],[Tech Start Date]],5),""))))</f>
        <v/>
      </c>
      <c r="P854" s="104" t="str">
        <f>IF(Main[[#This Row],[Tech Start Date]]&lt;1/1/1990,"",IF(Main[[#This Row],[Class]]="C",WORKDAY(Main[[#This Row],[Tech Start Date]],28),IF(Main[[#This Row],[Class]]="B", WORKDAY(Main[[#This Row],[Tech Start Date]],19),IF(Main[[#This Row],[Class]]="A",WORKDAY(Main[[#This Row],[Tech Start Date]],9),""))))</f>
        <v/>
      </c>
      <c r="Q854" s="101"/>
      <c r="R854" s="101"/>
      <c r="S854" s="99" t="s">
        <v>23</v>
      </c>
      <c r="T854" s="107" t="s">
        <v>4</v>
      </c>
      <c r="U854" s="99" t="s">
        <v>14</v>
      </c>
      <c r="V854" s="99" t="s">
        <v>1962</v>
      </c>
      <c r="W854" s="99" t="s">
        <v>1966</v>
      </c>
    </row>
    <row r="855" spans="1:23" ht="18.600000000000001" customHeight="1">
      <c r="A855" s="123" t="str">
        <f>IF(priority(Main[[#This Row],[Comments]])&lt;&gt;0, priority(Main[[#This Row],[Comments]]),"")</f>
        <v/>
      </c>
      <c r="B855" s="127" t="s">
        <v>1710</v>
      </c>
      <c r="C855" s="99" t="s">
        <v>4</v>
      </c>
      <c r="D855" s="100" t="s">
        <v>743</v>
      </c>
      <c r="E855" s="101">
        <v>40679.253067129626</v>
      </c>
      <c r="F855" s="101"/>
      <c r="G855" s="102" t="str">
        <f>IF(stdProdLT(Main[[#This Row],[Comments]])=0.1,"N/A",IF(stdProdLT(Main[[#This Row],[Comments]])=0,"",stdProdLT(Main[[#This Row],[Comments]])))</f>
        <v/>
      </c>
      <c r="H855" s="103" t="str">
        <f>IF(AND(Main[[#This Row],[In Stock Date]]&lt;&gt;"",Main[[#This Row],[Revised Due Date]]&lt;&gt;""),Main[[#This Row],[In Stock Date]]-Main[[#This Row],[Revised Due Date]],"")</f>
        <v/>
      </c>
      <c r="I855" s="99" t="s">
        <v>4</v>
      </c>
      <c r="J855" s="99" t="s">
        <v>4</v>
      </c>
      <c r="K855" s="99" t="s">
        <v>4</v>
      </c>
      <c r="L855" s="101"/>
      <c r="M855" s="104" t="str">
        <f>IF(Main[[#This Row],[Tech Start Date]]&lt;1/1/1990,"",IF(Main[[#This Row],[Class]]="C",WORKDAY(Main[[#This Row],[Tech Start Date]],9),IF(Main[[#This Row],[Class]]="B", WORKDAY(Main[[#This Row],[Tech Start Date]],6),IF(Main[[#This Row],[Class]]="A",WORKDAY(Main[[#This Row],[Tech Start Date]],2),""))))</f>
        <v/>
      </c>
      <c r="N855" s="104" t="str">
        <f>IF(Main[[#This Row],[Tech Start Date]]&lt;1/1/1990,"",IF(Main[[#This Row],[Class]]="C",WORKDAY(Main[[#This Row],[Tech Start Date]],19),IF(Main[[#This Row],[Class]]="B", WORKDAY(Main[[#This Row],[Tech Start Date]],12),IF(Main[[#This Row],[Class]]="A",WORKDAY(Main[[#This Row],[Tech Start Date]],4),""))))</f>
        <v/>
      </c>
      <c r="O855" s="104" t="str">
        <f>IF(Main[[#This Row],[Tech Start Date]]&lt;1/1/1990,"",IF(Main[[#This Row],[Class]]="C",WORKDAY(Main[[#This Row],[Tech Start Date]],23),IF(Main[[#This Row],[Class]]="B", WORKDAY(Main[[#This Row],[Tech Start Date]],15),IF(Main[[#This Row],[Class]]="A",WORKDAY(Main[[#This Row],[Tech Start Date]],5),""))))</f>
        <v/>
      </c>
      <c r="P855" s="104" t="str">
        <f>IF(Main[[#This Row],[Tech Start Date]]&lt;1/1/1990,"",IF(Main[[#This Row],[Class]]="C",WORKDAY(Main[[#This Row],[Tech Start Date]],28),IF(Main[[#This Row],[Class]]="B", WORKDAY(Main[[#This Row],[Tech Start Date]],19),IF(Main[[#This Row],[Class]]="A",WORKDAY(Main[[#This Row],[Tech Start Date]],9),""))))</f>
        <v/>
      </c>
      <c r="Q855" s="101">
        <v>40724</v>
      </c>
      <c r="R855" s="101"/>
      <c r="S855" s="99" t="s">
        <v>6</v>
      </c>
      <c r="T855" s="107" t="s">
        <v>4</v>
      </c>
      <c r="U855" s="99" t="s">
        <v>7</v>
      </c>
      <c r="V855" s="99" t="s">
        <v>1962</v>
      </c>
      <c r="W855" s="99" t="s">
        <v>4</v>
      </c>
    </row>
    <row r="856" spans="1:23" ht="18.600000000000001" customHeight="1">
      <c r="A856" s="123" t="str">
        <f>IF(priority(Main[[#This Row],[Comments]])&lt;&gt;0, priority(Main[[#This Row],[Comments]]),"")</f>
        <v/>
      </c>
      <c r="B856" s="127" t="s">
        <v>1711</v>
      </c>
      <c r="C856" s="99" t="s">
        <v>4</v>
      </c>
      <c r="D856" s="100" t="s">
        <v>744</v>
      </c>
      <c r="E856" s="101">
        <v>40679.252465277779</v>
      </c>
      <c r="F856" s="101"/>
      <c r="G856" s="102" t="str">
        <f>IF(stdProdLT(Main[[#This Row],[Comments]])=0.1,"N/A",IF(stdProdLT(Main[[#This Row],[Comments]])=0,"",stdProdLT(Main[[#This Row],[Comments]])))</f>
        <v/>
      </c>
      <c r="H856" s="103" t="str">
        <f>IF(AND(Main[[#This Row],[In Stock Date]]&lt;&gt;"",Main[[#This Row],[Revised Due Date]]&lt;&gt;""),Main[[#This Row],[In Stock Date]]-Main[[#This Row],[Revised Due Date]],"")</f>
        <v/>
      </c>
      <c r="I856" s="99" t="s">
        <v>4</v>
      </c>
      <c r="J856" s="99" t="s">
        <v>4</v>
      </c>
      <c r="K856" s="108" t="s">
        <v>4</v>
      </c>
      <c r="L856" s="101"/>
      <c r="M856" s="104" t="str">
        <f>IF(Main[[#This Row],[Tech Start Date]]&lt;1/1/1990,"",IF(Main[[#This Row],[Class]]="C",WORKDAY(Main[[#This Row],[Tech Start Date]],9),IF(Main[[#This Row],[Class]]="B", WORKDAY(Main[[#This Row],[Tech Start Date]],6),IF(Main[[#This Row],[Class]]="A",WORKDAY(Main[[#This Row],[Tech Start Date]],2),""))))</f>
        <v/>
      </c>
      <c r="N856" s="104" t="str">
        <f>IF(Main[[#This Row],[Tech Start Date]]&lt;1/1/1990,"",IF(Main[[#This Row],[Class]]="C",WORKDAY(Main[[#This Row],[Tech Start Date]],19),IF(Main[[#This Row],[Class]]="B", WORKDAY(Main[[#This Row],[Tech Start Date]],12),IF(Main[[#This Row],[Class]]="A",WORKDAY(Main[[#This Row],[Tech Start Date]],4),""))))</f>
        <v/>
      </c>
      <c r="O856" s="104" t="str">
        <f>IF(Main[[#This Row],[Tech Start Date]]&lt;1/1/1990,"",IF(Main[[#This Row],[Class]]="C",WORKDAY(Main[[#This Row],[Tech Start Date]],23),IF(Main[[#This Row],[Class]]="B", WORKDAY(Main[[#This Row],[Tech Start Date]],15),IF(Main[[#This Row],[Class]]="A",WORKDAY(Main[[#This Row],[Tech Start Date]],5),""))))</f>
        <v/>
      </c>
      <c r="P856" s="104" t="str">
        <f>IF(Main[[#This Row],[Tech Start Date]]&lt;1/1/1990,"",IF(Main[[#This Row],[Class]]="C",WORKDAY(Main[[#This Row],[Tech Start Date]],28),IF(Main[[#This Row],[Class]]="B", WORKDAY(Main[[#This Row],[Tech Start Date]],19),IF(Main[[#This Row],[Class]]="A",WORKDAY(Main[[#This Row],[Tech Start Date]],9),""))))</f>
        <v/>
      </c>
      <c r="Q856" s="101">
        <v>40724</v>
      </c>
      <c r="R856" s="101"/>
      <c r="S856" s="99" t="s">
        <v>6</v>
      </c>
      <c r="T856" s="107" t="s">
        <v>4</v>
      </c>
      <c r="U856" s="99" t="s">
        <v>7</v>
      </c>
      <c r="V856" s="99" t="s">
        <v>1962</v>
      </c>
      <c r="W856" s="99" t="s">
        <v>4</v>
      </c>
    </row>
    <row r="857" spans="1:23" ht="18.600000000000001" customHeight="1">
      <c r="A857" s="123" t="str">
        <f>IF(priority(Main[[#This Row],[Comments]])&lt;&gt;0, priority(Main[[#This Row],[Comments]]),"")</f>
        <v/>
      </c>
      <c r="B857" s="127" t="s">
        <v>1712</v>
      </c>
      <c r="C857" s="99" t="s">
        <v>4</v>
      </c>
      <c r="D857" s="100" t="s">
        <v>745</v>
      </c>
      <c r="E857" s="101">
        <v>40679.253668981481</v>
      </c>
      <c r="F857" s="101"/>
      <c r="G857" s="102" t="str">
        <f>IF(stdProdLT(Main[[#This Row],[Comments]])=0.1,"N/A",IF(stdProdLT(Main[[#This Row],[Comments]])=0,"",stdProdLT(Main[[#This Row],[Comments]])))</f>
        <v/>
      </c>
      <c r="H857" s="103" t="str">
        <f>IF(AND(Main[[#This Row],[In Stock Date]]&lt;&gt;"",Main[[#This Row],[Revised Due Date]]&lt;&gt;""),Main[[#This Row],[In Stock Date]]-Main[[#This Row],[Revised Due Date]],"")</f>
        <v/>
      </c>
      <c r="I857" s="99" t="s">
        <v>4</v>
      </c>
      <c r="J857" s="99" t="s">
        <v>4</v>
      </c>
      <c r="K857" s="99" t="s">
        <v>4</v>
      </c>
      <c r="L857" s="101"/>
      <c r="M857" s="104" t="str">
        <f>IF(Main[[#This Row],[Tech Start Date]]&lt;1/1/1990,"",IF(Main[[#This Row],[Class]]="C",WORKDAY(Main[[#This Row],[Tech Start Date]],9),IF(Main[[#This Row],[Class]]="B", WORKDAY(Main[[#This Row],[Tech Start Date]],6),IF(Main[[#This Row],[Class]]="A",WORKDAY(Main[[#This Row],[Tech Start Date]],2),""))))</f>
        <v/>
      </c>
      <c r="N857" s="104" t="str">
        <f>IF(Main[[#This Row],[Tech Start Date]]&lt;1/1/1990,"",IF(Main[[#This Row],[Class]]="C",WORKDAY(Main[[#This Row],[Tech Start Date]],19),IF(Main[[#This Row],[Class]]="B", WORKDAY(Main[[#This Row],[Tech Start Date]],12),IF(Main[[#This Row],[Class]]="A",WORKDAY(Main[[#This Row],[Tech Start Date]],4),""))))</f>
        <v/>
      </c>
      <c r="O857" s="104" t="str">
        <f>IF(Main[[#This Row],[Tech Start Date]]&lt;1/1/1990,"",IF(Main[[#This Row],[Class]]="C",WORKDAY(Main[[#This Row],[Tech Start Date]],23),IF(Main[[#This Row],[Class]]="B", WORKDAY(Main[[#This Row],[Tech Start Date]],15),IF(Main[[#This Row],[Class]]="A",WORKDAY(Main[[#This Row],[Tech Start Date]],5),""))))</f>
        <v/>
      </c>
      <c r="P857" s="104" t="str">
        <f>IF(Main[[#This Row],[Tech Start Date]]&lt;1/1/1990,"",IF(Main[[#This Row],[Class]]="C",WORKDAY(Main[[#This Row],[Tech Start Date]],28),IF(Main[[#This Row],[Class]]="B", WORKDAY(Main[[#This Row],[Tech Start Date]],19),IF(Main[[#This Row],[Class]]="A",WORKDAY(Main[[#This Row],[Tech Start Date]],9),""))))</f>
        <v/>
      </c>
      <c r="Q857" s="101">
        <v>40724</v>
      </c>
      <c r="R857" s="101"/>
      <c r="S857" s="99" t="s">
        <v>6</v>
      </c>
      <c r="T857" s="107" t="s">
        <v>4</v>
      </c>
      <c r="U857" s="99" t="s">
        <v>7</v>
      </c>
      <c r="V857" s="99" t="s">
        <v>1962</v>
      </c>
      <c r="W857" s="99" t="s">
        <v>4</v>
      </c>
    </row>
    <row r="858" spans="1:23" ht="18.600000000000001" customHeight="1">
      <c r="A858" s="123" t="str">
        <f>IF(priority(Main[[#This Row],[Comments]])&lt;&gt;0, priority(Main[[#This Row],[Comments]]),"")</f>
        <v/>
      </c>
      <c r="B858" s="127" t="s">
        <v>1719</v>
      </c>
      <c r="C858" s="99" t="s">
        <v>4</v>
      </c>
      <c r="D858" s="100" t="s">
        <v>749</v>
      </c>
      <c r="E858" s="101"/>
      <c r="F858" s="101">
        <v>40598</v>
      </c>
      <c r="G858" s="102" t="str">
        <f>IF(stdProdLT(Main[[#This Row],[Comments]])=0.1,"N/A",IF(stdProdLT(Main[[#This Row],[Comments]])=0,"",stdProdLT(Main[[#This Row],[Comments]])))</f>
        <v/>
      </c>
      <c r="H858" s="103" t="str">
        <f>IF(AND(Main[[#This Row],[In Stock Date]]&lt;&gt;"",Main[[#This Row],[Revised Due Date]]&lt;&gt;""),Main[[#This Row],[In Stock Date]]-Main[[#This Row],[Revised Due Date]],"")</f>
        <v/>
      </c>
      <c r="I858" s="99" t="s">
        <v>4</v>
      </c>
      <c r="J858" s="99" t="s">
        <v>4</v>
      </c>
      <c r="K858" s="108" t="s">
        <v>4</v>
      </c>
      <c r="L858" s="101"/>
      <c r="M858" s="104" t="str">
        <f>IF(Main[[#This Row],[Tech Start Date]]&lt;1/1/1990,"",IF(Main[[#This Row],[Class]]="C",WORKDAY(Main[[#This Row],[Tech Start Date]],9),IF(Main[[#This Row],[Class]]="B", WORKDAY(Main[[#This Row],[Tech Start Date]],6),IF(Main[[#This Row],[Class]]="A",WORKDAY(Main[[#This Row],[Tech Start Date]],2),""))))</f>
        <v/>
      </c>
      <c r="N858" s="104" t="str">
        <f>IF(Main[[#This Row],[Tech Start Date]]&lt;1/1/1990,"",IF(Main[[#This Row],[Class]]="C",WORKDAY(Main[[#This Row],[Tech Start Date]],19),IF(Main[[#This Row],[Class]]="B", WORKDAY(Main[[#This Row],[Tech Start Date]],12),IF(Main[[#This Row],[Class]]="A",WORKDAY(Main[[#This Row],[Tech Start Date]],4),""))))</f>
        <v/>
      </c>
      <c r="O858" s="104" t="str">
        <f>IF(Main[[#This Row],[Tech Start Date]]&lt;1/1/1990,"",IF(Main[[#This Row],[Class]]="C",WORKDAY(Main[[#This Row],[Tech Start Date]],23),IF(Main[[#This Row],[Class]]="B", WORKDAY(Main[[#This Row],[Tech Start Date]],15),IF(Main[[#This Row],[Class]]="A",WORKDAY(Main[[#This Row],[Tech Start Date]],5),""))))</f>
        <v/>
      </c>
      <c r="P858" s="104" t="str">
        <f>IF(Main[[#This Row],[Tech Start Date]]&lt;1/1/1990,"",IF(Main[[#This Row],[Class]]="C",WORKDAY(Main[[#This Row],[Tech Start Date]],28),IF(Main[[#This Row],[Class]]="B", WORKDAY(Main[[#This Row],[Tech Start Date]],19),IF(Main[[#This Row],[Class]]="A",WORKDAY(Main[[#This Row],[Tech Start Date]],9),""))))</f>
        <v/>
      </c>
      <c r="Q858" s="101">
        <v>40598</v>
      </c>
      <c r="R858" s="101"/>
      <c r="S858" s="99" t="s">
        <v>11</v>
      </c>
      <c r="T858" s="107" t="s">
        <v>4</v>
      </c>
      <c r="U858" s="99" t="s">
        <v>14</v>
      </c>
      <c r="V858" s="99" t="s">
        <v>1972</v>
      </c>
      <c r="W858" s="99" t="s">
        <v>1968</v>
      </c>
    </row>
    <row r="859" spans="1:23" ht="18.600000000000001" customHeight="1">
      <c r="A859" s="123" t="str">
        <f>IF(priority(Main[[#This Row],[Comments]])&lt;&gt;0, priority(Main[[#This Row],[Comments]]),"")</f>
        <v/>
      </c>
      <c r="B859" s="127" t="s">
        <v>1722</v>
      </c>
      <c r="C859" s="99" t="s">
        <v>4</v>
      </c>
      <c r="D859" s="100" t="s">
        <v>753</v>
      </c>
      <c r="E859" s="101">
        <v>40591.815474537034</v>
      </c>
      <c r="F859" s="101"/>
      <c r="G859" s="102" t="str">
        <f>IF(stdProdLT(Main[[#This Row],[Comments]])=0.1,"N/A",IF(stdProdLT(Main[[#This Row],[Comments]])=0,"",stdProdLT(Main[[#This Row],[Comments]])))</f>
        <v/>
      </c>
      <c r="H859" s="103" t="str">
        <f>IF(AND(Main[[#This Row],[In Stock Date]]&lt;&gt;"",Main[[#This Row],[Revised Due Date]]&lt;&gt;""),Main[[#This Row],[In Stock Date]]-Main[[#This Row],[Revised Due Date]],"")</f>
        <v/>
      </c>
      <c r="I859" s="99" t="s">
        <v>131</v>
      </c>
      <c r="J859" s="99" t="s">
        <v>70</v>
      </c>
      <c r="K859" s="99" t="s">
        <v>1971</v>
      </c>
      <c r="L859" s="101"/>
      <c r="M859" s="104" t="str">
        <f>IF(Main[[#This Row],[Tech Start Date]]&lt;1/1/1990,"",IF(Main[[#This Row],[Class]]="C",WORKDAY(Main[[#This Row],[Tech Start Date]],9),IF(Main[[#This Row],[Class]]="B", WORKDAY(Main[[#This Row],[Tech Start Date]],6),IF(Main[[#This Row],[Class]]="A",WORKDAY(Main[[#This Row],[Tech Start Date]],2),""))))</f>
        <v/>
      </c>
      <c r="N859" s="104" t="str">
        <f>IF(Main[[#This Row],[Tech Start Date]]&lt;1/1/1990,"",IF(Main[[#This Row],[Class]]="C",WORKDAY(Main[[#This Row],[Tech Start Date]],19),IF(Main[[#This Row],[Class]]="B", WORKDAY(Main[[#This Row],[Tech Start Date]],12),IF(Main[[#This Row],[Class]]="A",WORKDAY(Main[[#This Row],[Tech Start Date]],4),""))))</f>
        <v/>
      </c>
      <c r="O859" s="104" t="str">
        <f>IF(Main[[#This Row],[Tech Start Date]]&lt;1/1/1990,"",IF(Main[[#This Row],[Class]]="C",WORKDAY(Main[[#This Row],[Tech Start Date]],23),IF(Main[[#This Row],[Class]]="B", WORKDAY(Main[[#This Row],[Tech Start Date]],15),IF(Main[[#This Row],[Class]]="A",WORKDAY(Main[[#This Row],[Tech Start Date]],5),""))))</f>
        <v/>
      </c>
      <c r="P859" s="104" t="str">
        <f>IF(Main[[#This Row],[Tech Start Date]]&lt;1/1/1990,"",IF(Main[[#This Row],[Class]]="C",WORKDAY(Main[[#This Row],[Tech Start Date]],28),IF(Main[[#This Row],[Class]]="B", WORKDAY(Main[[#This Row],[Tech Start Date]],19),IF(Main[[#This Row],[Class]]="A",WORKDAY(Main[[#This Row],[Tech Start Date]],9),""))))</f>
        <v/>
      </c>
      <c r="Q859" s="101">
        <v>40736</v>
      </c>
      <c r="R859" s="101"/>
      <c r="S859" s="99" t="s">
        <v>6</v>
      </c>
      <c r="T859" s="107" t="s">
        <v>4</v>
      </c>
      <c r="U859" s="99" t="s">
        <v>29</v>
      </c>
      <c r="V859" s="99" t="s">
        <v>1965</v>
      </c>
      <c r="W859" s="99" t="s">
        <v>1966</v>
      </c>
    </row>
    <row r="860" spans="1:23" ht="18.600000000000001" customHeight="1">
      <c r="A860" s="123" t="str">
        <f>IF(priority(Main[[#This Row],[Comments]])&lt;&gt;0, priority(Main[[#This Row],[Comments]]),"")</f>
        <v/>
      </c>
      <c r="B860" s="127" t="s">
        <v>2087</v>
      </c>
      <c r="C860" s="99" t="s">
        <v>37</v>
      </c>
      <c r="D860" s="100" t="s">
        <v>491</v>
      </c>
      <c r="E860" s="101"/>
      <c r="F860" s="101"/>
      <c r="G860" s="102" t="str">
        <f>IF(stdProdLT(Main[[#This Row],[Comments]])=0.1,"N/A",IF(stdProdLT(Main[[#This Row],[Comments]])=0,"",stdProdLT(Main[[#This Row],[Comments]])))</f>
        <v/>
      </c>
      <c r="H860" s="103" t="str">
        <f>IF(AND(Main[[#This Row],[In Stock Date]]&lt;&gt;"",Main[[#This Row],[Revised Due Date]]&lt;&gt;""),Main[[#This Row],[In Stock Date]]-Main[[#This Row],[Revised Due Date]],"")</f>
        <v/>
      </c>
      <c r="I860" s="99" t="s">
        <v>4</v>
      </c>
      <c r="J860" s="99" t="s">
        <v>21</v>
      </c>
      <c r="K860" s="99" t="s">
        <v>4</v>
      </c>
      <c r="L860" s="101"/>
      <c r="M860" s="104" t="str">
        <f>IF(Main[[#This Row],[Tech Start Date]]&lt;1/1/1990,"",IF(Main[[#This Row],[Class]]="C",WORKDAY(Main[[#This Row],[Tech Start Date]],9),IF(Main[[#This Row],[Class]]="B", WORKDAY(Main[[#This Row],[Tech Start Date]],6),IF(Main[[#This Row],[Class]]="A",WORKDAY(Main[[#This Row],[Tech Start Date]],2),""))))</f>
        <v/>
      </c>
      <c r="N860" s="104" t="str">
        <f>IF(Main[[#This Row],[Tech Start Date]]&lt;1/1/1990,"",IF(Main[[#This Row],[Class]]="C",WORKDAY(Main[[#This Row],[Tech Start Date]],19),IF(Main[[#This Row],[Class]]="B", WORKDAY(Main[[#This Row],[Tech Start Date]],12),IF(Main[[#This Row],[Class]]="A",WORKDAY(Main[[#This Row],[Tech Start Date]],4),""))))</f>
        <v/>
      </c>
      <c r="O860" s="104" t="str">
        <f>IF(Main[[#This Row],[Tech Start Date]]&lt;1/1/1990,"",IF(Main[[#This Row],[Class]]="C",WORKDAY(Main[[#This Row],[Tech Start Date]],23),IF(Main[[#This Row],[Class]]="B", WORKDAY(Main[[#This Row],[Tech Start Date]],15),IF(Main[[#This Row],[Class]]="A",WORKDAY(Main[[#This Row],[Tech Start Date]],5),""))))</f>
        <v/>
      </c>
      <c r="P860" s="104" t="str">
        <f>IF(Main[[#This Row],[Tech Start Date]]&lt;1/1/1990,"",IF(Main[[#This Row],[Class]]="C",WORKDAY(Main[[#This Row],[Tech Start Date]],28),IF(Main[[#This Row],[Class]]="B", WORKDAY(Main[[#This Row],[Tech Start Date]],19),IF(Main[[#This Row],[Class]]="A",WORKDAY(Main[[#This Row],[Tech Start Date]],9),""))))</f>
        <v/>
      </c>
      <c r="Q860" s="101">
        <v>40696</v>
      </c>
      <c r="R860" s="101"/>
      <c r="S860" s="99" t="s">
        <v>6</v>
      </c>
      <c r="T860" s="107" t="s">
        <v>4</v>
      </c>
      <c r="U860" s="99" t="s">
        <v>12</v>
      </c>
      <c r="V860" s="99" t="s">
        <v>1962</v>
      </c>
      <c r="W860" s="99" t="s">
        <v>1973</v>
      </c>
    </row>
    <row r="861" spans="1:23" ht="18.600000000000001" customHeight="1">
      <c r="A861" s="123" t="str">
        <f>IF(priority(Main[[#This Row],[Comments]])&lt;&gt;0, priority(Main[[#This Row],[Comments]]),"")</f>
        <v/>
      </c>
      <c r="B861" s="127" t="s">
        <v>2260</v>
      </c>
      <c r="C861" s="99" t="s">
        <v>4</v>
      </c>
      <c r="D861" s="100" t="s">
        <v>2261</v>
      </c>
      <c r="E861" s="101"/>
      <c r="F861" s="101">
        <v>40848</v>
      </c>
      <c r="G861" s="102" t="str">
        <f>IF(stdProdLT(Main[[#This Row],[Comments]])=0.1,"N/A",IF(stdProdLT(Main[[#This Row],[Comments]])=0,"",stdProdLT(Main[[#This Row],[Comments]])))</f>
        <v/>
      </c>
      <c r="H861" s="103" t="str">
        <f>IF(AND(Main[[#This Row],[In Stock Date]]&lt;&gt;"",Main[[#This Row],[Revised Due Date]]&lt;&gt;""),Main[[#This Row],[In Stock Date]]-Main[[#This Row],[Revised Due Date]],"")</f>
        <v/>
      </c>
      <c r="I861" s="99" t="s">
        <v>4</v>
      </c>
      <c r="J861" s="99" t="s">
        <v>4</v>
      </c>
      <c r="K861" s="99" t="s">
        <v>4</v>
      </c>
      <c r="L861" s="101"/>
      <c r="M861" s="104" t="str">
        <f>IF(Main[[#This Row],[Tech Start Date]]&lt;1/1/1990,"",IF(Main[[#This Row],[Class]]="C",WORKDAY(Main[[#This Row],[Tech Start Date]],9),IF(Main[[#This Row],[Class]]="B", WORKDAY(Main[[#This Row],[Tech Start Date]],6),IF(Main[[#This Row],[Class]]="A",WORKDAY(Main[[#This Row],[Tech Start Date]],2),""))))</f>
        <v/>
      </c>
      <c r="N861" s="104" t="str">
        <f>IF(Main[[#This Row],[Tech Start Date]]&lt;1/1/1990,"",IF(Main[[#This Row],[Class]]="C",WORKDAY(Main[[#This Row],[Tech Start Date]],19),IF(Main[[#This Row],[Class]]="B", WORKDAY(Main[[#This Row],[Tech Start Date]],12),IF(Main[[#This Row],[Class]]="A",WORKDAY(Main[[#This Row],[Tech Start Date]],4),""))))</f>
        <v/>
      </c>
      <c r="O861" s="104" t="str">
        <f>IF(Main[[#This Row],[Tech Start Date]]&lt;1/1/1990,"",IF(Main[[#This Row],[Class]]="C",WORKDAY(Main[[#This Row],[Tech Start Date]],23),IF(Main[[#This Row],[Class]]="B", WORKDAY(Main[[#This Row],[Tech Start Date]],15),IF(Main[[#This Row],[Class]]="A",WORKDAY(Main[[#This Row],[Tech Start Date]],5),""))))</f>
        <v/>
      </c>
      <c r="P861" s="104" t="str">
        <f>IF(Main[[#This Row],[Tech Start Date]]&lt;1/1/1990,"",IF(Main[[#This Row],[Class]]="C",WORKDAY(Main[[#This Row],[Tech Start Date]],28),IF(Main[[#This Row],[Class]]="B", WORKDAY(Main[[#This Row],[Tech Start Date]],19),IF(Main[[#This Row],[Class]]="A",WORKDAY(Main[[#This Row],[Tech Start Date]],9),""))))</f>
        <v/>
      </c>
      <c r="Q861" s="101">
        <v>40800</v>
      </c>
      <c r="R861" s="101"/>
      <c r="S861" s="99" t="s">
        <v>11</v>
      </c>
      <c r="T861" s="107" t="s">
        <v>4</v>
      </c>
      <c r="U861" s="99" t="s">
        <v>14</v>
      </c>
      <c r="V861" s="99" t="s">
        <v>1972</v>
      </c>
      <c r="W861" s="99" t="s">
        <v>1970</v>
      </c>
    </row>
    <row r="862" spans="1:23" ht="18.600000000000001" customHeight="1">
      <c r="A862" s="123" t="str">
        <f>IF(priority(Main[[#This Row],[Comments]])&lt;&gt;0, priority(Main[[#This Row],[Comments]]),"")</f>
        <v/>
      </c>
      <c r="B862" s="127" t="s">
        <v>1723</v>
      </c>
      <c r="C862" s="99" t="s">
        <v>4</v>
      </c>
      <c r="D862" s="100" t="s">
        <v>750</v>
      </c>
      <c r="E862" s="101">
        <v>40520.411597222221</v>
      </c>
      <c r="F862" s="101"/>
      <c r="G862" s="102" t="str">
        <f>IF(stdProdLT(Main[[#This Row],[Comments]])=0.1,"N/A",IF(stdProdLT(Main[[#This Row],[Comments]])=0,"",stdProdLT(Main[[#This Row],[Comments]])))</f>
        <v/>
      </c>
      <c r="H862" s="103" t="str">
        <f>IF(AND(Main[[#This Row],[In Stock Date]]&lt;&gt;"",Main[[#This Row],[Revised Due Date]]&lt;&gt;""),Main[[#This Row],[In Stock Date]]-Main[[#This Row],[Revised Due Date]],"")</f>
        <v/>
      </c>
      <c r="I862" s="99" t="s">
        <v>4</v>
      </c>
      <c r="J862" s="99" t="s">
        <v>28</v>
      </c>
      <c r="K862" s="99" t="s">
        <v>4</v>
      </c>
      <c r="L862" s="101"/>
      <c r="M862" s="104" t="str">
        <f>IF(Main[[#This Row],[Tech Start Date]]&lt;1/1/1990,"",IF(Main[[#This Row],[Class]]="C",WORKDAY(Main[[#This Row],[Tech Start Date]],9),IF(Main[[#This Row],[Class]]="B", WORKDAY(Main[[#This Row],[Tech Start Date]],6),IF(Main[[#This Row],[Class]]="A",WORKDAY(Main[[#This Row],[Tech Start Date]],2),""))))</f>
        <v/>
      </c>
      <c r="N862" s="104" t="str">
        <f>IF(Main[[#This Row],[Tech Start Date]]&lt;1/1/1990,"",IF(Main[[#This Row],[Class]]="C",WORKDAY(Main[[#This Row],[Tech Start Date]],19),IF(Main[[#This Row],[Class]]="B", WORKDAY(Main[[#This Row],[Tech Start Date]],12),IF(Main[[#This Row],[Class]]="A",WORKDAY(Main[[#This Row],[Tech Start Date]],4),""))))</f>
        <v/>
      </c>
      <c r="O862" s="104" t="str">
        <f>IF(Main[[#This Row],[Tech Start Date]]&lt;1/1/1990,"",IF(Main[[#This Row],[Class]]="C",WORKDAY(Main[[#This Row],[Tech Start Date]],23),IF(Main[[#This Row],[Class]]="B", WORKDAY(Main[[#This Row],[Tech Start Date]],15),IF(Main[[#This Row],[Class]]="A",WORKDAY(Main[[#This Row],[Tech Start Date]],5),""))))</f>
        <v/>
      </c>
      <c r="P862" s="104" t="str">
        <f>IF(Main[[#This Row],[Tech Start Date]]&lt;1/1/1990,"",IF(Main[[#This Row],[Class]]="C",WORKDAY(Main[[#This Row],[Tech Start Date]],28),IF(Main[[#This Row],[Class]]="B", WORKDAY(Main[[#This Row],[Tech Start Date]],19),IF(Main[[#This Row],[Class]]="A",WORKDAY(Main[[#This Row],[Tech Start Date]],9),""))))</f>
        <v/>
      </c>
      <c r="Q862" s="101">
        <v>40571</v>
      </c>
      <c r="R862" s="101"/>
      <c r="S862" s="99" t="s">
        <v>6</v>
      </c>
      <c r="T862" s="107" t="s">
        <v>4</v>
      </c>
      <c r="U862" s="99" t="s">
        <v>7</v>
      </c>
      <c r="V862" s="99" t="s">
        <v>1962</v>
      </c>
      <c r="W862" s="99" t="s">
        <v>1964</v>
      </c>
    </row>
    <row r="863" spans="1:23" ht="18.600000000000001" customHeight="1">
      <c r="A863" s="123" t="str">
        <f>IF(priority(Main[[#This Row],[Comments]])&lt;&gt;0, priority(Main[[#This Row],[Comments]]),"")</f>
        <v/>
      </c>
      <c r="B863" s="127" t="s">
        <v>1724</v>
      </c>
      <c r="C863" s="99" t="s">
        <v>4</v>
      </c>
      <c r="D863" s="100" t="s">
        <v>751</v>
      </c>
      <c r="E863" s="101"/>
      <c r="F863" s="101"/>
      <c r="G863" s="102" t="str">
        <f>IF(stdProdLT(Main[[#This Row],[Comments]])=0.1,"N/A",IF(stdProdLT(Main[[#This Row],[Comments]])=0,"",stdProdLT(Main[[#This Row],[Comments]])))</f>
        <v/>
      </c>
      <c r="H863" s="103" t="str">
        <f>IF(AND(Main[[#This Row],[In Stock Date]]&lt;&gt;"",Main[[#This Row],[Revised Due Date]]&lt;&gt;""),Main[[#This Row],[In Stock Date]]-Main[[#This Row],[Revised Due Date]],"")</f>
        <v/>
      </c>
      <c r="I863" s="99" t="s">
        <v>4</v>
      </c>
      <c r="J863" s="99" t="s">
        <v>28</v>
      </c>
      <c r="K863" s="99" t="s">
        <v>4</v>
      </c>
      <c r="L863" s="101"/>
      <c r="M863" s="104" t="str">
        <f>IF(Main[[#This Row],[Tech Start Date]]&lt;1/1/1990,"",IF(Main[[#This Row],[Class]]="C",WORKDAY(Main[[#This Row],[Tech Start Date]],9),IF(Main[[#This Row],[Class]]="B", WORKDAY(Main[[#This Row],[Tech Start Date]],6),IF(Main[[#This Row],[Class]]="A",WORKDAY(Main[[#This Row],[Tech Start Date]],2),""))))</f>
        <v/>
      </c>
      <c r="N863" s="104" t="str">
        <f>IF(Main[[#This Row],[Tech Start Date]]&lt;1/1/1990,"",IF(Main[[#This Row],[Class]]="C",WORKDAY(Main[[#This Row],[Tech Start Date]],19),IF(Main[[#This Row],[Class]]="B", WORKDAY(Main[[#This Row],[Tech Start Date]],12),IF(Main[[#This Row],[Class]]="A",WORKDAY(Main[[#This Row],[Tech Start Date]],4),""))))</f>
        <v/>
      </c>
      <c r="O863" s="104" t="str">
        <f>IF(Main[[#This Row],[Tech Start Date]]&lt;1/1/1990,"",IF(Main[[#This Row],[Class]]="C",WORKDAY(Main[[#This Row],[Tech Start Date]],23),IF(Main[[#This Row],[Class]]="B", WORKDAY(Main[[#This Row],[Tech Start Date]],15),IF(Main[[#This Row],[Class]]="A",WORKDAY(Main[[#This Row],[Tech Start Date]],5),""))))</f>
        <v/>
      </c>
      <c r="P863" s="104" t="str">
        <f>IF(Main[[#This Row],[Tech Start Date]]&lt;1/1/1990,"",IF(Main[[#This Row],[Class]]="C",WORKDAY(Main[[#This Row],[Tech Start Date]],28),IF(Main[[#This Row],[Class]]="B", WORKDAY(Main[[#This Row],[Tech Start Date]],19),IF(Main[[#This Row],[Class]]="A",WORKDAY(Main[[#This Row],[Tech Start Date]],9),""))))</f>
        <v/>
      </c>
      <c r="Q863" s="101"/>
      <c r="R863" s="101"/>
      <c r="S863" s="99" t="s">
        <v>17</v>
      </c>
      <c r="T863" s="107" t="s">
        <v>4</v>
      </c>
      <c r="U863" s="99" t="s">
        <v>14</v>
      </c>
      <c r="V863" s="99" t="s">
        <v>1962</v>
      </c>
      <c r="W863" s="99" t="s">
        <v>1970</v>
      </c>
    </row>
    <row r="864" spans="1:23" ht="18.600000000000001" customHeight="1">
      <c r="A864" s="123" t="str">
        <f>IF(priority(Main[[#This Row],[Comments]])&lt;&gt;0, priority(Main[[#This Row],[Comments]]),"")</f>
        <v/>
      </c>
      <c r="B864" s="127" t="s">
        <v>1727</v>
      </c>
      <c r="C864" s="99" t="s">
        <v>4</v>
      </c>
      <c r="D864" s="100" t="s">
        <v>755</v>
      </c>
      <c r="E864" s="101"/>
      <c r="F864" s="101"/>
      <c r="G864" s="102" t="str">
        <f>IF(stdProdLT(Main[[#This Row],[Comments]])=0.1,"N/A",IF(stdProdLT(Main[[#This Row],[Comments]])=0,"",stdProdLT(Main[[#This Row],[Comments]])))</f>
        <v/>
      </c>
      <c r="H864" s="103" t="str">
        <f>IF(AND(Main[[#This Row],[In Stock Date]]&lt;&gt;"",Main[[#This Row],[Revised Due Date]]&lt;&gt;""),Main[[#This Row],[In Stock Date]]-Main[[#This Row],[Revised Due Date]],"")</f>
        <v/>
      </c>
      <c r="I864" s="99" t="s">
        <v>4</v>
      </c>
      <c r="J864" s="99" t="s">
        <v>4</v>
      </c>
      <c r="K864" s="99" t="s">
        <v>4</v>
      </c>
      <c r="L864" s="101"/>
      <c r="M864" s="104" t="str">
        <f>IF(Main[[#This Row],[Tech Start Date]]&lt;1/1/1990,"",IF(Main[[#This Row],[Class]]="C",WORKDAY(Main[[#This Row],[Tech Start Date]],9),IF(Main[[#This Row],[Class]]="B", WORKDAY(Main[[#This Row],[Tech Start Date]],6),IF(Main[[#This Row],[Class]]="A",WORKDAY(Main[[#This Row],[Tech Start Date]],2),""))))</f>
        <v/>
      </c>
      <c r="N864" s="104" t="str">
        <f>IF(Main[[#This Row],[Tech Start Date]]&lt;1/1/1990,"",IF(Main[[#This Row],[Class]]="C",WORKDAY(Main[[#This Row],[Tech Start Date]],19),IF(Main[[#This Row],[Class]]="B", WORKDAY(Main[[#This Row],[Tech Start Date]],12),IF(Main[[#This Row],[Class]]="A",WORKDAY(Main[[#This Row],[Tech Start Date]],4),""))))</f>
        <v/>
      </c>
      <c r="O864" s="104" t="str">
        <f>IF(Main[[#This Row],[Tech Start Date]]&lt;1/1/1990,"",IF(Main[[#This Row],[Class]]="C",WORKDAY(Main[[#This Row],[Tech Start Date]],23),IF(Main[[#This Row],[Class]]="B", WORKDAY(Main[[#This Row],[Tech Start Date]],15),IF(Main[[#This Row],[Class]]="A",WORKDAY(Main[[#This Row],[Tech Start Date]],5),""))))</f>
        <v/>
      </c>
      <c r="P864" s="104" t="str">
        <f>IF(Main[[#This Row],[Tech Start Date]]&lt;1/1/1990,"",IF(Main[[#This Row],[Class]]="C",WORKDAY(Main[[#This Row],[Tech Start Date]],28),IF(Main[[#This Row],[Class]]="B", WORKDAY(Main[[#This Row],[Tech Start Date]],19),IF(Main[[#This Row],[Class]]="A",WORKDAY(Main[[#This Row],[Tech Start Date]],9),""))))</f>
        <v/>
      </c>
      <c r="Q864" s="101"/>
      <c r="R864" s="101"/>
      <c r="S864" s="99" t="s">
        <v>23</v>
      </c>
      <c r="T864" s="107" t="s">
        <v>4</v>
      </c>
      <c r="U864" s="99" t="s">
        <v>14</v>
      </c>
      <c r="V864" s="99" t="s">
        <v>1962</v>
      </c>
      <c r="W864" s="99" t="s">
        <v>1966</v>
      </c>
    </row>
    <row r="865" spans="1:23" ht="18.600000000000001" customHeight="1">
      <c r="A865" s="123" t="str">
        <f>IF(priority(Main[[#This Row],[Comments]])&lt;&gt;0, priority(Main[[#This Row],[Comments]]),"")</f>
        <v/>
      </c>
      <c r="B865" s="127" t="s">
        <v>1875</v>
      </c>
      <c r="C865" s="99" t="s">
        <v>4</v>
      </c>
      <c r="D865" s="100" t="s">
        <v>903</v>
      </c>
      <c r="E865" s="101">
        <v>40371.599317129629</v>
      </c>
      <c r="F865" s="101"/>
      <c r="G865" s="102" t="str">
        <f>IF(stdProdLT(Main[[#This Row],[Comments]])=0.1,"N/A",IF(stdProdLT(Main[[#This Row],[Comments]])=0,"",stdProdLT(Main[[#This Row],[Comments]])))</f>
        <v/>
      </c>
      <c r="H865" s="103" t="str">
        <f>IF(AND(Main[[#This Row],[In Stock Date]]&lt;&gt;"",Main[[#This Row],[Revised Due Date]]&lt;&gt;""),Main[[#This Row],[In Stock Date]]-Main[[#This Row],[Revised Due Date]],"")</f>
        <v/>
      </c>
      <c r="I865" s="99" t="s">
        <v>126</v>
      </c>
      <c r="J865" s="99" t="s">
        <v>28</v>
      </c>
      <c r="K865" s="99" t="s">
        <v>1974</v>
      </c>
      <c r="L865" s="101"/>
      <c r="M865" s="104" t="str">
        <f>IF(Main[[#This Row],[Tech Start Date]]&lt;1/1/1990,"",IF(Main[[#This Row],[Class]]="C",WORKDAY(Main[[#This Row],[Tech Start Date]],9),IF(Main[[#This Row],[Class]]="B", WORKDAY(Main[[#This Row],[Tech Start Date]],6),IF(Main[[#This Row],[Class]]="A",WORKDAY(Main[[#This Row],[Tech Start Date]],2),""))))</f>
        <v/>
      </c>
      <c r="N865" s="104" t="str">
        <f>IF(Main[[#This Row],[Tech Start Date]]&lt;1/1/1990,"",IF(Main[[#This Row],[Class]]="C",WORKDAY(Main[[#This Row],[Tech Start Date]],19),IF(Main[[#This Row],[Class]]="B", WORKDAY(Main[[#This Row],[Tech Start Date]],12),IF(Main[[#This Row],[Class]]="A",WORKDAY(Main[[#This Row],[Tech Start Date]],4),""))))</f>
        <v/>
      </c>
      <c r="O865" s="104" t="str">
        <f>IF(Main[[#This Row],[Tech Start Date]]&lt;1/1/1990,"",IF(Main[[#This Row],[Class]]="C",WORKDAY(Main[[#This Row],[Tech Start Date]],23),IF(Main[[#This Row],[Class]]="B", WORKDAY(Main[[#This Row],[Tech Start Date]],15),IF(Main[[#This Row],[Class]]="A",WORKDAY(Main[[#This Row],[Tech Start Date]],5),""))))</f>
        <v/>
      </c>
      <c r="P865" s="104" t="str">
        <f>IF(Main[[#This Row],[Tech Start Date]]&lt;1/1/1990,"",IF(Main[[#This Row],[Class]]="C",WORKDAY(Main[[#This Row],[Tech Start Date]],28),IF(Main[[#This Row],[Class]]="B", WORKDAY(Main[[#This Row],[Tech Start Date]],19),IF(Main[[#This Row],[Class]]="A",WORKDAY(Main[[#This Row],[Tech Start Date]],9),""))))</f>
        <v/>
      </c>
      <c r="Q865" s="101">
        <v>40420</v>
      </c>
      <c r="R865" s="101">
        <v>40420</v>
      </c>
      <c r="S865" s="99" t="s">
        <v>17</v>
      </c>
      <c r="T865" s="107" t="s">
        <v>4</v>
      </c>
      <c r="U865" s="99" t="s">
        <v>29</v>
      </c>
      <c r="V865" s="99" t="s">
        <v>1962</v>
      </c>
      <c r="W865" s="99" t="s">
        <v>1970</v>
      </c>
    </row>
    <row r="866" spans="1:23" ht="18.600000000000001" customHeight="1">
      <c r="A866" s="123" t="str">
        <f>IF(priority(Main[[#This Row],[Comments]])&lt;&gt;0, priority(Main[[#This Row],[Comments]]),"")</f>
        <v/>
      </c>
      <c r="B866" s="127" t="s">
        <v>1728</v>
      </c>
      <c r="C866" s="99" t="s">
        <v>4</v>
      </c>
      <c r="D866" s="100" t="s">
        <v>756</v>
      </c>
      <c r="E866" s="101"/>
      <c r="F866" s="101"/>
      <c r="G866" s="102" t="str">
        <f>IF(stdProdLT(Main[[#This Row],[Comments]])=0.1,"N/A",IF(stdProdLT(Main[[#This Row],[Comments]])=0,"",stdProdLT(Main[[#This Row],[Comments]])))</f>
        <v/>
      </c>
      <c r="H866" s="103" t="str">
        <f>IF(AND(Main[[#This Row],[In Stock Date]]&lt;&gt;"",Main[[#This Row],[Revised Due Date]]&lt;&gt;""),Main[[#This Row],[In Stock Date]]-Main[[#This Row],[Revised Due Date]],"")</f>
        <v/>
      </c>
      <c r="I866" s="99" t="s">
        <v>4</v>
      </c>
      <c r="J866" s="99" t="s">
        <v>28</v>
      </c>
      <c r="K866" s="99" t="s">
        <v>1969</v>
      </c>
      <c r="L866" s="101"/>
      <c r="M866" s="104" t="str">
        <f>IF(Main[[#This Row],[Tech Start Date]]&lt;1/1/1990,"",IF(Main[[#This Row],[Class]]="C",WORKDAY(Main[[#This Row],[Tech Start Date]],9),IF(Main[[#This Row],[Class]]="B", WORKDAY(Main[[#This Row],[Tech Start Date]],6),IF(Main[[#This Row],[Class]]="A",WORKDAY(Main[[#This Row],[Tech Start Date]],2),""))))</f>
        <v/>
      </c>
      <c r="N866" s="104" t="str">
        <f>IF(Main[[#This Row],[Tech Start Date]]&lt;1/1/1990,"",IF(Main[[#This Row],[Class]]="C",WORKDAY(Main[[#This Row],[Tech Start Date]],19),IF(Main[[#This Row],[Class]]="B", WORKDAY(Main[[#This Row],[Tech Start Date]],12),IF(Main[[#This Row],[Class]]="A",WORKDAY(Main[[#This Row],[Tech Start Date]],4),""))))</f>
        <v/>
      </c>
      <c r="O866" s="104" t="str">
        <f>IF(Main[[#This Row],[Tech Start Date]]&lt;1/1/1990,"",IF(Main[[#This Row],[Class]]="C",WORKDAY(Main[[#This Row],[Tech Start Date]],23),IF(Main[[#This Row],[Class]]="B", WORKDAY(Main[[#This Row],[Tech Start Date]],15),IF(Main[[#This Row],[Class]]="A",WORKDAY(Main[[#This Row],[Tech Start Date]],5),""))))</f>
        <v/>
      </c>
      <c r="P866" s="104" t="str">
        <f>IF(Main[[#This Row],[Tech Start Date]]&lt;1/1/1990,"",IF(Main[[#This Row],[Class]]="C",WORKDAY(Main[[#This Row],[Tech Start Date]],28),IF(Main[[#This Row],[Class]]="B", WORKDAY(Main[[#This Row],[Tech Start Date]],19),IF(Main[[#This Row],[Class]]="A",WORKDAY(Main[[#This Row],[Tech Start Date]],9),""))))</f>
        <v/>
      </c>
      <c r="Q866" s="101"/>
      <c r="R866" s="101"/>
      <c r="S866" s="99" t="s">
        <v>6</v>
      </c>
      <c r="T866" s="107" t="s">
        <v>4</v>
      </c>
      <c r="U866" s="99" t="s">
        <v>14</v>
      </c>
      <c r="V866" s="99" t="s">
        <v>1962</v>
      </c>
      <c r="W866" s="99" t="s">
        <v>1966</v>
      </c>
    </row>
    <row r="867" spans="1:23" ht="18.600000000000001" customHeight="1">
      <c r="A867" s="123" t="str">
        <f>IF(priority(Main[[#This Row],[Comments]])&lt;&gt;0, priority(Main[[#This Row],[Comments]]),"")</f>
        <v/>
      </c>
      <c r="B867" s="127" t="s">
        <v>1730</v>
      </c>
      <c r="C867" s="99" t="s">
        <v>4</v>
      </c>
      <c r="D867" s="100" t="s">
        <v>759</v>
      </c>
      <c r="E867" s="101"/>
      <c r="F867" s="101"/>
      <c r="G867" s="102" t="str">
        <f>IF(stdProdLT(Main[[#This Row],[Comments]])=0.1,"N/A",IF(stdProdLT(Main[[#This Row],[Comments]])=0,"",stdProdLT(Main[[#This Row],[Comments]])))</f>
        <v/>
      </c>
      <c r="H867" s="103" t="str">
        <f>IF(AND(Main[[#This Row],[In Stock Date]]&lt;&gt;"",Main[[#This Row],[Revised Due Date]]&lt;&gt;""),Main[[#This Row],[In Stock Date]]-Main[[#This Row],[Revised Due Date]],"")</f>
        <v/>
      </c>
      <c r="I867" s="99" t="s">
        <v>4</v>
      </c>
      <c r="J867" s="99" t="s">
        <v>4</v>
      </c>
      <c r="K867" s="99" t="s">
        <v>4</v>
      </c>
      <c r="L867" s="101"/>
      <c r="M867" s="104" t="str">
        <f>IF(Main[[#This Row],[Tech Start Date]]&lt;1/1/1990,"",IF(Main[[#This Row],[Class]]="C",WORKDAY(Main[[#This Row],[Tech Start Date]],9),IF(Main[[#This Row],[Class]]="B", WORKDAY(Main[[#This Row],[Tech Start Date]],6),IF(Main[[#This Row],[Class]]="A",WORKDAY(Main[[#This Row],[Tech Start Date]],2),""))))</f>
        <v/>
      </c>
      <c r="N867" s="104" t="str">
        <f>IF(Main[[#This Row],[Tech Start Date]]&lt;1/1/1990,"",IF(Main[[#This Row],[Class]]="C",WORKDAY(Main[[#This Row],[Tech Start Date]],19),IF(Main[[#This Row],[Class]]="B", WORKDAY(Main[[#This Row],[Tech Start Date]],12),IF(Main[[#This Row],[Class]]="A",WORKDAY(Main[[#This Row],[Tech Start Date]],4),""))))</f>
        <v/>
      </c>
      <c r="O867" s="104" t="str">
        <f>IF(Main[[#This Row],[Tech Start Date]]&lt;1/1/1990,"",IF(Main[[#This Row],[Class]]="C",WORKDAY(Main[[#This Row],[Tech Start Date]],23),IF(Main[[#This Row],[Class]]="B", WORKDAY(Main[[#This Row],[Tech Start Date]],15),IF(Main[[#This Row],[Class]]="A",WORKDAY(Main[[#This Row],[Tech Start Date]],5),""))))</f>
        <v/>
      </c>
      <c r="P867" s="104" t="str">
        <f>IF(Main[[#This Row],[Tech Start Date]]&lt;1/1/1990,"",IF(Main[[#This Row],[Class]]="C",WORKDAY(Main[[#This Row],[Tech Start Date]],28),IF(Main[[#This Row],[Class]]="B", WORKDAY(Main[[#This Row],[Tech Start Date]],19),IF(Main[[#This Row],[Class]]="A",WORKDAY(Main[[#This Row],[Tech Start Date]],9),""))))</f>
        <v/>
      </c>
      <c r="Q867" s="101"/>
      <c r="R867" s="101"/>
      <c r="S867" s="99" t="s">
        <v>11</v>
      </c>
      <c r="T867" s="107" t="s">
        <v>4</v>
      </c>
      <c r="U867" s="99" t="s">
        <v>14</v>
      </c>
      <c r="V867" s="99" t="s">
        <v>1962</v>
      </c>
      <c r="W867" s="99" t="s">
        <v>1966</v>
      </c>
    </row>
    <row r="868" spans="1:23" ht="18.600000000000001" customHeight="1">
      <c r="A868" s="123" t="str">
        <f>IF(priority(Main[[#This Row],[Comments]])&lt;&gt;0, priority(Main[[#This Row],[Comments]]),"")</f>
        <v/>
      </c>
      <c r="B868" s="127" t="s">
        <v>1731</v>
      </c>
      <c r="C868" s="99" t="s">
        <v>4</v>
      </c>
      <c r="D868" s="100" t="s">
        <v>760</v>
      </c>
      <c r="E868" s="101"/>
      <c r="F868" s="101"/>
      <c r="G868" s="102" t="str">
        <f>IF(stdProdLT(Main[[#This Row],[Comments]])=0.1,"N/A",IF(stdProdLT(Main[[#This Row],[Comments]])=0,"",stdProdLT(Main[[#This Row],[Comments]])))</f>
        <v/>
      </c>
      <c r="H868" s="103" t="str">
        <f>IF(AND(Main[[#This Row],[In Stock Date]]&lt;&gt;"",Main[[#This Row],[Revised Due Date]]&lt;&gt;""),Main[[#This Row],[In Stock Date]]-Main[[#This Row],[Revised Due Date]],"")</f>
        <v/>
      </c>
      <c r="I868" s="99" t="s">
        <v>435</v>
      </c>
      <c r="J868" s="99" t="s">
        <v>70</v>
      </c>
      <c r="K868" s="99" t="s">
        <v>4</v>
      </c>
      <c r="L868" s="101"/>
      <c r="M868" s="104" t="str">
        <f>IF(Main[[#This Row],[Tech Start Date]]&lt;1/1/1990,"",IF(Main[[#This Row],[Class]]="C",WORKDAY(Main[[#This Row],[Tech Start Date]],9),IF(Main[[#This Row],[Class]]="B", WORKDAY(Main[[#This Row],[Tech Start Date]],6),IF(Main[[#This Row],[Class]]="A",WORKDAY(Main[[#This Row],[Tech Start Date]],2),""))))</f>
        <v/>
      </c>
      <c r="N868" s="104" t="str">
        <f>IF(Main[[#This Row],[Tech Start Date]]&lt;1/1/1990,"",IF(Main[[#This Row],[Class]]="C",WORKDAY(Main[[#This Row],[Tech Start Date]],19),IF(Main[[#This Row],[Class]]="B", WORKDAY(Main[[#This Row],[Tech Start Date]],12),IF(Main[[#This Row],[Class]]="A",WORKDAY(Main[[#This Row],[Tech Start Date]],4),""))))</f>
        <v/>
      </c>
      <c r="O868" s="104" t="str">
        <f>IF(Main[[#This Row],[Tech Start Date]]&lt;1/1/1990,"",IF(Main[[#This Row],[Class]]="C",WORKDAY(Main[[#This Row],[Tech Start Date]],23),IF(Main[[#This Row],[Class]]="B", WORKDAY(Main[[#This Row],[Tech Start Date]],15),IF(Main[[#This Row],[Class]]="A",WORKDAY(Main[[#This Row],[Tech Start Date]],5),""))))</f>
        <v/>
      </c>
      <c r="P868" s="104" t="str">
        <f>IF(Main[[#This Row],[Tech Start Date]]&lt;1/1/1990,"",IF(Main[[#This Row],[Class]]="C",WORKDAY(Main[[#This Row],[Tech Start Date]],28),IF(Main[[#This Row],[Class]]="B", WORKDAY(Main[[#This Row],[Tech Start Date]],19),IF(Main[[#This Row],[Class]]="A",WORKDAY(Main[[#This Row],[Tech Start Date]],9),""))))</f>
        <v/>
      </c>
      <c r="Q868" s="101">
        <v>40437</v>
      </c>
      <c r="R868" s="101"/>
      <c r="S868" s="99" t="s">
        <v>6</v>
      </c>
      <c r="T868" s="107" t="s">
        <v>4</v>
      </c>
      <c r="U868" s="99" t="s">
        <v>14</v>
      </c>
      <c r="V868" s="99" t="s">
        <v>1965</v>
      </c>
      <c r="W868" s="99" t="s">
        <v>1964</v>
      </c>
    </row>
    <row r="869" spans="1:23" ht="18.600000000000001" customHeight="1">
      <c r="A869" s="123" t="str">
        <f>IF(priority(Main[[#This Row],[Comments]])&lt;&gt;0, priority(Main[[#This Row],[Comments]]),"")</f>
        <v/>
      </c>
      <c r="B869" s="127" t="s">
        <v>1735</v>
      </c>
      <c r="C869" s="99" t="s">
        <v>47</v>
      </c>
      <c r="D869" s="100" t="s">
        <v>764</v>
      </c>
      <c r="E869" s="101"/>
      <c r="F869" s="101"/>
      <c r="G869" s="102" t="str">
        <f>IF(stdProdLT(Main[[#This Row],[Comments]])=0.1,"N/A",IF(stdProdLT(Main[[#This Row],[Comments]])=0,"",stdProdLT(Main[[#This Row],[Comments]])))</f>
        <v/>
      </c>
      <c r="H869" s="103" t="str">
        <f>IF(AND(Main[[#This Row],[In Stock Date]]&lt;&gt;"",Main[[#This Row],[Revised Due Date]]&lt;&gt;""),Main[[#This Row],[In Stock Date]]-Main[[#This Row],[Revised Due Date]],"")</f>
        <v/>
      </c>
      <c r="I869" s="99" t="s">
        <v>4</v>
      </c>
      <c r="J869" s="99" t="s">
        <v>4</v>
      </c>
      <c r="K869" s="99" t="s">
        <v>4</v>
      </c>
      <c r="L869" s="101"/>
      <c r="M869" s="104" t="str">
        <f>IF(Main[[#This Row],[Tech Start Date]]&lt;1/1/1990,"",IF(Main[[#This Row],[Class]]="C",WORKDAY(Main[[#This Row],[Tech Start Date]],9),IF(Main[[#This Row],[Class]]="B", WORKDAY(Main[[#This Row],[Tech Start Date]],6),IF(Main[[#This Row],[Class]]="A",WORKDAY(Main[[#This Row],[Tech Start Date]],2),""))))</f>
        <v/>
      </c>
      <c r="N869" s="104" t="str">
        <f>IF(Main[[#This Row],[Tech Start Date]]&lt;1/1/1990,"",IF(Main[[#This Row],[Class]]="C",WORKDAY(Main[[#This Row],[Tech Start Date]],19),IF(Main[[#This Row],[Class]]="B", WORKDAY(Main[[#This Row],[Tech Start Date]],12),IF(Main[[#This Row],[Class]]="A",WORKDAY(Main[[#This Row],[Tech Start Date]],4),""))))</f>
        <v/>
      </c>
      <c r="O869" s="104" t="str">
        <f>IF(Main[[#This Row],[Tech Start Date]]&lt;1/1/1990,"",IF(Main[[#This Row],[Class]]="C",WORKDAY(Main[[#This Row],[Tech Start Date]],23),IF(Main[[#This Row],[Class]]="B", WORKDAY(Main[[#This Row],[Tech Start Date]],15),IF(Main[[#This Row],[Class]]="A",WORKDAY(Main[[#This Row],[Tech Start Date]],5),""))))</f>
        <v/>
      </c>
      <c r="P869" s="104" t="str">
        <f>IF(Main[[#This Row],[Tech Start Date]]&lt;1/1/1990,"",IF(Main[[#This Row],[Class]]="C",WORKDAY(Main[[#This Row],[Tech Start Date]],28),IF(Main[[#This Row],[Class]]="B", WORKDAY(Main[[#This Row],[Tech Start Date]],19),IF(Main[[#This Row],[Class]]="A",WORKDAY(Main[[#This Row],[Tech Start Date]],9),""))))</f>
        <v/>
      </c>
      <c r="Q869" s="101"/>
      <c r="R869" s="101"/>
      <c r="S869" s="99" t="s">
        <v>49</v>
      </c>
      <c r="T869" s="107" t="s">
        <v>4</v>
      </c>
      <c r="U869" s="99" t="s">
        <v>14</v>
      </c>
      <c r="V869" s="99" t="s">
        <v>1965</v>
      </c>
      <c r="W869" s="99" t="s">
        <v>1966</v>
      </c>
    </row>
    <row r="870" spans="1:23" ht="18.600000000000001" customHeight="1">
      <c r="A870" s="123" t="str">
        <f>IF(priority(Main[[#This Row],[Comments]])&lt;&gt;0, priority(Main[[#This Row],[Comments]]),"")</f>
        <v/>
      </c>
      <c r="B870" s="127" t="s">
        <v>2158</v>
      </c>
      <c r="C870" s="99" t="s">
        <v>974</v>
      </c>
      <c r="D870" s="100" t="s">
        <v>2159</v>
      </c>
      <c r="E870" s="101"/>
      <c r="F870" s="101">
        <v>40871</v>
      </c>
      <c r="G870" s="102" t="str">
        <f>IF(stdProdLT(Main[[#This Row],[Comments]])=0.1,"N/A",IF(stdProdLT(Main[[#This Row],[Comments]])=0,"",stdProdLT(Main[[#This Row],[Comments]])))</f>
        <v/>
      </c>
      <c r="H870" s="103" t="str">
        <f>IF(AND(Main[[#This Row],[In Stock Date]]&lt;&gt;"",Main[[#This Row],[Revised Due Date]]&lt;&gt;""),Main[[#This Row],[In Stock Date]]-Main[[#This Row],[Revised Due Date]],"")</f>
        <v/>
      </c>
      <c r="I870" s="99" t="s">
        <v>4</v>
      </c>
      <c r="J870" s="99" t="s">
        <v>4</v>
      </c>
      <c r="K870" s="99" t="s">
        <v>4</v>
      </c>
      <c r="L870" s="101"/>
      <c r="M870" s="104" t="str">
        <f>IF(Main[[#This Row],[Tech Start Date]]&lt;1/1/1990,"",IF(Main[[#This Row],[Class]]="C",WORKDAY(Main[[#This Row],[Tech Start Date]],9),IF(Main[[#This Row],[Class]]="B", WORKDAY(Main[[#This Row],[Tech Start Date]],6),IF(Main[[#This Row],[Class]]="A",WORKDAY(Main[[#This Row],[Tech Start Date]],2),""))))</f>
        <v/>
      </c>
      <c r="N870" s="104" t="str">
        <f>IF(Main[[#This Row],[Tech Start Date]]&lt;1/1/1990,"",IF(Main[[#This Row],[Class]]="C",WORKDAY(Main[[#This Row],[Tech Start Date]],19),IF(Main[[#This Row],[Class]]="B", WORKDAY(Main[[#This Row],[Tech Start Date]],12),IF(Main[[#This Row],[Class]]="A",WORKDAY(Main[[#This Row],[Tech Start Date]],4),""))))</f>
        <v/>
      </c>
      <c r="O870" s="104" t="str">
        <f>IF(Main[[#This Row],[Tech Start Date]]&lt;1/1/1990,"",IF(Main[[#This Row],[Class]]="C",WORKDAY(Main[[#This Row],[Tech Start Date]],23),IF(Main[[#This Row],[Class]]="B", WORKDAY(Main[[#This Row],[Tech Start Date]],15),IF(Main[[#This Row],[Class]]="A",WORKDAY(Main[[#This Row],[Tech Start Date]],5),""))))</f>
        <v/>
      </c>
      <c r="P870" s="104" t="str">
        <f>IF(Main[[#This Row],[Tech Start Date]]&lt;1/1/1990,"",IF(Main[[#This Row],[Class]]="C",WORKDAY(Main[[#This Row],[Tech Start Date]],28),IF(Main[[#This Row],[Class]]="B", WORKDAY(Main[[#This Row],[Tech Start Date]],19),IF(Main[[#This Row],[Class]]="A",WORKDAY(Main[[#This Row],[Tech Start Date]],9),""))))</f>
        <v/>
      </c>
      <c r="Q870" s="101"/>
      <c r="R870" s="101"/>
      <c r="S870" s="99" t="s">
        <v>11</v>
      </c>
      <c r="T870" s="107" t="s">
        <v>4</v>
      </c>
      <c r="U870" s="99" t="s">
        <v>14</v>
      </c>
      <c r="V870" s="99" t="s">
        <v>1965</v>
      </c>
      <c r="W870" s="99" t="s">
        <v>1970</v>
      </c>
    </row>
    <row r="871" spans="1:23" ht="18.600000000000001" customHeight="1">
      <c r="A871" s="123" t="str">
        <f>IF(priority(Main[[#This Row],[Comments]])&lt;&gt;0, priority(Main[[#This Row],[Comments]]),"")</f>
        <v/>
      </c>
      <c r="B871" s="127" t="s">
        <v>1946</v>
      </c>
      <c r="C871" s="99" t="s">
        <v>72</v>
      </c>
      <c r="D871" s="100" t="s">
        <v>2174</v>
      </c>
      <c r="E871" s="101">
        <v>40469.926608796297</v>
      </c>
      <c r="F871" s="101">
        <v>40487</v>
      </c>
      <c r="G871" s="102">
        <f>IF(stdProdLT(Main[[#This Row],[Comments]])=0.1,"N/A",IF(stdProdLT(Main[[#This Row],[Comments]])=0,"",stdProdLT(Main[[#This Row],[Comments]])))</f>
        <v>42</v>
      </c>
      <c r="H871" s="103">
        <f>IF(AND(Main[[#This Row],[In Stock Date]]&lt;&gt;"",Main[[#This Row],[Revised Due Date]]&lt;&gt;""),Main[[#This Row],[In Stock Date]]-Main[[#This Row],[Revised Due Date]],"")</f>
        <v>-294</v>
      </c>
      <c r="I871" s="99" t="s">
        <v>2112</v>
      </c>
      <c r="J871" s="99" t="s">
        <v>52</v>
      </c>
      <c r="K871" s="99" t="s">
        <v>1975</v>
      </c>
      <c r="L871" s="101"/>
      <c r="M871" s="104" t="str">
        <f>IF(Main[[#This Row],[Tech Start Date]]&lt;1/1/1990,"",IF(Main[[#This Row],[Class]]="C",WORKDAY(Main[[#This Row],[Tech Start Date]],9),IF(Main[[#This Row],[Class]]="B", WORKDAY(Main[[#This Row],[Tech Start Date]],6),IF(Main[[#This Row],[Class]]="A",WORKDAY(Main[[#This Row],[Tech Start Date]],2),""))))</f>
        <v/>
      </c>
      <c r="N871" s="104" t="str">
        <f>IF(Main[[#This Row],[Tech Start Date]]&lt;1/1/1990,"",IF(Main[[#This Row],[Class]]="C",WORKDAY(Main[[#This Row],[Tech Start Date]],19),IF(Main[[#This Row],[Class]]="B", WORKDAY(Main[[#This Row],[Tech Start Date]],12),IF(Main[[#This Row],[Class]]="A",WORKDAY(Main[[#This Row],[Tech Start Date]],4),""))))</f>
        <v/>
      </c>
      <c r="O871" s="104" t="str">
        <f>IF(Main[[#This Row],[Tech Start Date]]&lt;1/1/1990,"",IF(Main[[#This Row],[Class]]="C",WORKDAY(Main[[#This Row],[Tech Start Date]],23),IF(Main[[#This Row],[Class]]="B", WORKDAY(Main[[#This Row],[Tech Start Date]],15),IF(Main[[#This Row],[Class]]="A",WORKDAY(Main[[#This Row],[Tech Start Date]],5),""))))</f>
        <v/>
      </c>
      <c r="P871" s="104" t="str">
        <f>IF(Main[[#This Row],[Tech Start Date]]&lt;1/1/1990,"",IF(Main[[#This Row],[Class]]="C",WORKDAY(Main[[#This Row],[Tech Start Date]],28),IF(Main[[#This Row],[Class]]="B", WORKDAY(Main[[#This Row],[Tech Start Date]],19),IF(Main[[#This Row],[Class]]="A",WORKDAY(Main[[#This Row],[Tech Start Date]],9),""))))</f>
        <v/>
      </c>
      <c r="Q871" s="101"/>
      <c r="R871" s="101">
        <v>40781</v>
      </c>
      <c r="S871" s="99" t="s">
        <v>6</v>
      </c>
      <c r="T871" s="107" t="s">
        <v>2175</v>
      </c>
      <c r="U871" s="99" t="s">
        <v>29</v>
      </c>
      <c r="V871" s="99" t="s">
        <v>1963</v>
      </c>
      <c r="W871" s="99" t="s">
        <v>1964</v>
      </c>
    </row>
    <row r="872" spans="1:23" ht="18.600000000000001" customHeight="1">
      <c r="A872" s="123" t="str">
        <f>IF(priority(Main[[#This Row],[Comments]])&lt;&gt;0, priority(Main[[#This Row],[Comments]]),"")</f>
        <v/>
      </c>
      <c r="B872" s="127" t="s">
        <v>1905</v>
      </c>
      <c r="C872" s="99" t="s">
        <v>31</v>
      </c>
      <c r="D872" s="100" t="s">
        <v>935</v>
      </c>
      <c r="E872" s="101"/>
      <c r="F872" s="101">
        <v>40664</v>
      </c>
      <c r="G872" s="102" t="str">
        <f>IF(stdProdLT(Main[[#This Row],[Comments]])=0.1,"N/A",IF(stdProdLT(Main[[#This Row],[Comments]])=0,"",stdProdLT(Main[[#This Row],[Comments]])))</f>
        <v/>
      </c>
      <c r="H872" s="103">
        <f>IF(AND(Main[[#This Row],[In Stock Date]]&lt;&gt;"",Main[[#This Row],[Revised Due Date]]&lt;&gt;""),Main[[#This Row],[In Stock Date]]-Main[[#This Row],[Revised Due Date]],"")</f>
        <v>87</v>
      </c>
      <c r="I872" s="99" t="s">
        <v>423</v>
      </c>
      <c r="J872" s="99" t="s">
        <v>75</v>
      </c>
      <c r="K872" s="108" t="s">
        <v>1971</v>
      </c>
      <c r="L872" s="101"/>
      <c r="M872" s="104" t="str">
        <f>IF(Main[[#This Row],[Tech Start Date]]&lt;1/1/1990,"",IF(Main[[#This Row],[Class]]="C",WORKDAY(Main[[#This Row],[Tech Start Date]],9),IF(Main[[#This Row],[Class]]="B", WORKDAY(Main[[#This Row],[Tech Start Date]],6),IF(Main[[#This Row],[Class]]="A",WORKDAY(Main[[#This Row],[Tech Start Date]],2),""))))</f>
        <v/>
      </c>
      <c r="N872" s="104" t="str">
        <f>IF(Main[[#This Row],[Tech Start Date]]&lt;1/1/1990,"",IF(Main[[#This Row],[Class]]="C",WORKDAY(Main[[#This Row],[Tech Start Date]],19),IF(Main[[#This Row],[Class]]="B", WORKDAY(Main[[#This Row],[Tech Start Date]],12),IF(Main[[#This Row],[Class]]="A",WORKDAY(Main[[#This Row],[Tech Start Date]],4),""))))</f>
        <v/>
      </c>
      <c r="O872" s="104" t="str">
        <f>IF(Main[[#This Row],[Tech Start Date]]&lt;1/1/1990,"",IF(Main[[#This Row],[Class]]="C",WORKDAY(Main[[#This Row],[Tech Start Date]],23),IF(Main[[#This Row],[Class]]="B", WORKDAY(Main[[#This Row],[Tech Start Date]],15),IF(Main[[#This Row],[Class]]="A",WORKDAY(Main[[#This Row],[Tech Start Date]],5),""))))</f>
        <v/>
      </c>
      <c r="P872" s="104" t="str">
        <f>IF(Main[[#This Row],[Tech Start Date]]&lt;1/1/1990,"",IF(Main[[#This Row],[Class]]="C",WORKDAY(Main[[#This Row],[Tech Start Date]],28),IF(Main[[#This Row],[Class]]="B", WORKDAY(Main[[#This Row],[Tech Start Date]],19),IF(Main[[#This Row],[Class]]="A",WORKDAY(Main[[#This Row],[Tech Start Date]],9),""))))</f>
        <v/>
      </c>
      <c r="Q872" s="101">
        <v>40589</v>
      </c>
      <c r="R872" s="101">
        <v>40577</v>
      </c>
      <c r="S872" s="99" t="s">
        <v>11</v>
      </c>
      <c r="T872" s="107" t="s">
        <v>4</v>
      </c>
      <c r="U872" s="99" t="s">
        <v>14</v>
      </c>
      <c r="V872" s="99" t="s">
        <v>1965</v>
      </c>
      <c r="W872" s="99" t="s">
        <v>1968</v>
      </c>
    </row>
    <row r="873" spans="1:23" ht="18.600000000000001" customHeight="1">
      <c r="A873" s="123" t="str">
        <f>IF(priority(Main[[#This Row],[Comments]])&lt;&gt;0, priority(Main[[#This Row],[Comments]]),"")</f>
        <v/>
      </c>
      <c r="B873" s="127" t="s">
        <v>1732</v>
      </c>
      <c r="C873" s="99" t="s">
        <v>4</v>
      </c>
      <c r="D873" s="100" t="s">
        <v>761</v>
      </c>
      <c r="E873" s="101"/>
      <c r="F873" s="101"/>
      <c r="G873" s="102" t="str">
        <f>IF(stdProdLT(Main[[#This Row],[Comments]])=0.1,"N/A",IF(stdProdLT(Main[[#This Row],[Comments]])=0,"",stdProdLT(Main[[#This Row],[Comments]])))</f>
        <v/>
      </c>
      <c r="H873" s="103" t="str">
        <f>IF(AND(Main[[#This Row],[In Stock Date]]&lt;&gt;"",Main[[#This Row],[Revised Due Date]]&lt;&gt;""),Main[[#This Row],[In Stock Date]]-Main[[#This Row],[Revised Due Date]],"")</f>
        <v/>
      </c>
      <c r="I873" s="99" t="s">
        <v>4</v>
      </c>
      <c r="J873" s="99" t="s">
        <v>28</v>
      </c>
      <c r="K873" s="99" t="s">
        <v>1974</v>
      </c>
      <c r="L873" s="101"/>
      <c r="M873" s="104" t="str">
        <f>IF(Main[[#This Row],[Tech Start Date]]&lt;1/1/1990,"",IF(Main[[#This Row],[Class]]="C",WORKDAY(Main[[#This Row],[Tech Start Date]],9),IF(Main[[#This Row],[Class]]="B", WORKDAY(Main[[#This Row],[Tech Start Date]],6),IF(Main[[#This Row],[Class]]="A",WORKDAY(Main[[#This Row],[Tech Start Date]],2),""))))</f>
        <v/>
      </c>
      <c r="N873" s="104" t="str">
        <f>IF(Main[[#This Row],[Tech Start Date]]&lt;1/1/1990,"",IF(Main[[#This Row],[Class]]="C",WORKDAY(Main[[#This Row],[Tech Start Date]],19),IF(Main[[#This Row],[Class]]="B", WORKDAY(Main[[#This Row],[Tech Start Date]],12),IF(Main[[#This Row],[Class]]="A",WORKDAY(Main[[#This Row],[Tech Start Date]],4),""))))</f>
        <v/>
      </c>
      <c r="O873" s="104" t="str">
        <f>IF(Main[[#This Row],[Tech Start Date]]&lt;1/1/1990,"",IF(Main[[#This Row],[Class]]="C",WORKDAY(Main[[#This Row],[Tech Start Date]],23),IF(Main[[#This Row],[Class]]="B", WORKDAY(Main[[#This Row],[Tech Start Date]],15),IF(Main[[#This Row],[Class]]="A",WORKDAY(Main[[#This Row],[Tech Start Date]],5),""))))</f>
        <v/>
      </c>
      <c r="P873" s="104" t="str">
        <f>IF(Main[[#This Row],[Tech Start Date]]&lt;1/1/1990,"",IF(Main[[#This Row],[Class]]="C",WORKDAY(Main[[#This Row],[Tech Start Date]],28),IF(Main[[#This Row],[Class]]="B", WORKDAY(Main[[#This Row],[Tech Start Date]],19),IF(Main[[#This Row],[Class]]="A",WORKDAY(Main[[#This Row],[Tech Start Date]],9),""))))</f>
        <v/>
      </c>
      <c r="Q873" s="101">
        <v>40522</v>
      </c>
      <c r="R873" s="101"/>
      <c r="S873" s="99" t="s">
        <v>17</v>
      </c>
      <c r="T873" s="107" t="s">
        <v>4</v>
      </c>
      <c r="U873" s="99" t="s">
        <v>14</v>
      </c>
      <c r="V873" s="99" t="s">
        <v>1962</v>
      </c>
      <c r="W873" s="99" t="s">
        <v>1967</v>
      </c>
    </row>
    <row r="874" spans="1:23" ht="18.600000000000001" customHeight="1">
      <c r="A874" s="123" t="str">
        <f>IF(priority(Main[[#This Row],[Comments]])&lt;&gt;0, priority(Main[[#This Row],[Comments]]),"")</f>
        <v/>
      </c>
      <c r="B874" s="127" t="s">
        <v>1733</v>
      </c>
      <c r="C874" s="99" t="s">
        <v>67</v>
      </c>
      <c r="D874" s="100" t="s">
        <v>762</v>
      </c>
      <c r="E874" s="101"/>
      <c r="F874" s="101"/>
      <c r="G874" s="102" t="str">
        <f>IF(stdProdLT(Main[[#This Row],[Comments]])=0.1,"N/A",IF(stdProdLT(Main[[#This Row],[Comments]])=0,"",stdProdLT(Main[[#This Row],[Comments]])))</f>
        <v/>
      </c>
      <c r="H874" s="103" t="str">
        <f>IF(AND(Main[[#This Row],[In Stock Date]]&lt;&gt;"",Main[[#This Row],[Revised Due Date]]&lt;&gt;""),Main[[#This Row],[In Stock Date]]-Main[[#This Row],[Revised Due Date]],"")</f>
        <v/>
      </c>
      <c r="I874" s="99" t="s">
        <v>4</v>
      </c>
      <c r="J874" s="99" t="s">
        <v>4</v>
      </c>
      <c r="K874" s="99" t="s">
        <v>4</v>
      </c>
      <c r="L874" s="101"/>
      <c r="M874" s="104" t="str">
        <f>IF(Main[[#This Row],[Tech Start Date]]&lt;1/1/1990,"",IF(Main[[#This Row],[Class]]="C",WORKDAY(Main[[#This Row],[Tech Start Date]],9),IF(Main[[#This Row],[Class]]="B", WORKDAY(Main[[#This Row],[Tech Start Date]],6),IF(Main[[#This Row],[Class]]="A",WORKDAY(Main[[#This Row],[Tech Start Date]],2),""))))</f>
        <v/>
      </c>
      <c r="N874" s="104" t="str">
        <f>IF(Main[[#This Row],[Tech Start Date]]&lt;1/1/1990,"",IF(Main[[#This Row],[Class]]="C",WORKDAY(Main[[#This Row],[Tech Start Date]],19),IF(Main[[#This Row],[Class]]="B", WORKDAY(Main[[#This Row],[Tech Start Date]],12),IF(Main[[#This Row],[Class]]="A",WORKDAY(Main[[#This Row],[Tech Start Date]],4),""))))</f>
        <v/>
      </c>
      <c r="O874" s="104" t="str">
        <f>IF(Main[[#This Row],[Tech Start Date]]&lt;1/1/1990,"",IF(Main[[#This Row],[Class]]="C",WORKDAY(Main[[#This Row],[Tech Start Date]],23),IF(Main[[#This Row],[Class]]="B", WORKDAY(Main[[#This Row],[Tech Start Date]],15),IF(Main[[#This Row],[Class]]="A",WORKDAY(Main[[#This Row],[Tech Start Date]],5),""))))</f>
        <v/>
      </c>
      <c r="P874" s="104" t="str">
        <f>IF(Main[[#This Row],[Tech Start Date]]&lt;1/1/1990,"",IF(Main[[#This Row],[Class]]="C",WORKDAY(Main[[#This Row],[Tech Start Date]],28),IF(Main[[#This Row],[Class]]="B", WORKDAY(Main[[#This Row],[Tech Start Date]],19),IF(Main[[#This Row],[Class]]="A",WORKDAY(Main[[#This Row],[Tech Start Date]],9),""))))</f>
        <v/>
      </c>
      <c r="Q874" s="101">
        <v>40241</v>
      </c>
      <c r="R874" s="101"/>
      <c r="S874" s="99" t="s">
        <v>11</v>
      </c>
      <c r="T874" s="107" t="s">
        <v>4</v>
      </c>
      <c r="U874" s="99" t="s">
        <v>14</v>
      </c>
      <c r="V874" s="99" t="s">
        <v>1972</v>
      </c>
      <c r="W874" s="99" t="s">
        <v>1964</v>
      </c>
    </row>
    <row r="875" spans="1:23" ht="18.600000000000001" customHeight="1">
      <c r="A875" s="123" t="str">
        <f>IF(priority(Main[[#This Row],[Comments]])&lt;&gt;0, priority(Main[[#This Row],[Comments]]),"")</f>
        <v/>
      </c>
      <c r="B875" s="127" t="s">
        <v>1734</v>
      </c>
      <c r="C875" s="99" t="s">
        <v>4</v>
      </c>
      <c r="D875" s="100" t="s">
        <v>763</v>
      </c>
      <c r="E875" s="101"/>
      <c r="F875" s="101"/>
      <c r="G875" s="102" t="str">
        <f>IF(stdProdLT(Main[[#This Row],[Comments]])=0.1,"N/A",IF(stdProdLT(Main[[#This Row],[Comments]])=0,"",stdProdLT(Main[[#This Row],[Comments]])))</f>
        <v/>
      </c>
      <c r="H875" s="103" t="str">
        <f>IF(AND(Main[[#This Row],[In Stock Date]]&lt;&gt;"",Main[[#This Row],[Revised Due Date]]&lt;&gt;""),Main[[#This Row],[In Stock Date]]-Main[[#This Row],[Revised Due Date]],"")</f>
        <v/>
      </c>
      <c r="I875" s="99" t="s">
        <v>4</v>
      </c>
      <c r="J875" s="99" t="s">
        <v>28</v>
      </c>
      <c r="K875" s="99" t="s">
        <v>4</v>
      </c>
      <c r="L875" s="101"/>
      <c r="M875" s="104" t="str">
        <f>IF(Main[[#This Row],[Tech Start Date]]&lt;1/1/1990,"",IF(Main[[#This Row],[Class]]="C",WORKDAY(Main[[#This Row],[Tech Start Date]],9),IF(Main[[#This Row],[Class]]="B", WORKDAY(Main[[#This Row],[Tech Start Date]],6),IF(Main[[#This Row],[Class]]="A",WORKDAY(Main[[#This Row],[Tech Start Date]],2),""))))</f>
        <v/>
      </c>
      <c r="N875" s="104" t="str">
        <f>IF(Main[[#This Row],[Tech Start Date]]&lt;1/1/1990,"",IF(Main[[#This Row],[Class]]="C",WORKDAY(Main[[#This Row],[Tech Start Date]],19),IF(Main[[#This Row],[Class]]="B", WORKDAY(Main[[#This Row],[Tech Start Date]],12),IF(Main[[#This Row],[Class]]="A",WORKDAY(Main[[#This Row],[Tech Start Date]],4),""))))</f>
        <v/>
      </c>
      <c r="O875" s="104" t="str">
        <f>IF(Main[[#This Row],[Tech Start Date]]&lt;1/1/1990,"",IF(Main[[#This Row],[Class]]="C",WORKDAY(Main[[#This Row],[Tech Start Date]],23),IF(Main[[#This Row],[Class]]="B", WORKDAY(Main[[#This Row],[Tech Start Date]],15),IF(Main[[#This Row],[Class]]="A",WORKDAY(Main[[#This Row],[Tech Start Date]],5),""))))</f>
        <v/>
      </c>
      <c r="P875" s="104" t="str">
        <f>IF(Main[[#This Row],[Tech Start Date]]&lt;1/1/1990,"",IF(Main[[#This Row],[Class]]="C",WORKDAY(Main[[#This Row],[Tech Start Date]],28),IF(Main[[#This Row],[Class]]="B", WORKDAY(Main[[#This Row],[Tech Start Date]],19),IF(Main[[#This Row],[Class]]="A",WORKDAY(Main[[#This Row],[Tech Start Date]],9),""))))</f>
        <v/>
      </c>
      <c r="Q875" s="101">
        <v>40471</v>
      </c>
      <c r="R875" s="101"/>
      <c r="S875" s="99" t="s">
        <v>6</v>
      </c>
      <c r="T875" s="107" t="s">
        <v>4</v>
      </c>
      <c r="U875" s="99" t="s">
        <v>14</v>
      </c>
      <c r="V875" s="99" t="s">
        <v>1972</v>
      </c>
      <c r="W875" s="99" t="s">
        <v>1964</v>
      </c>
    </row>
    <row r="876" spans="1:23" ht="18.600000000000001" customHeight="1">
      <c r="A876" s="123" t="str">
        <f>IF(priority(Main[[#This Row],[Comments]])&lt;&gt;0, priority(Main[[#This Row],[Comments]]),"")</f>
        <v/>
      </c>
      <c r="B876" s="127" t="s">
        <v>1737</v>
      </c>
      <c r="C876" s="99" t="s">
        <v>280</v>
      </c>
      <c r="D876" s="100" t="s">
        <v>766</v>
      </c>
      <c r="E876" s="101"/>
      <c r="F876" s="101">
        <v>40451</v>
      </c>
      <c r="G876" s="102" t="str">
        <f>IF(stdProdLT(Main[[#This Row],[Comments]])=0.1,"N/A",IF(stdProdLT(Main[[#This Row],[Comments]])=0,"",stdProdLT(Main[[#This Row],[Comments]])))</f>
        <v/>
      </c>
      <c r="H876" s="103" t="str">
        <f>IF(AND(Main[[#This Row],[In Stock Date]]&lt;&gt;"",Main[[#This Row],[Revised Due Date]]&lt;&gt;""),Main[[#This Row],[In Stock Date]]-Main[[#This Row],[Revised Due Date]],"")</f>
        <v/>
      </c>
      <c r="I876" s="99" t="s">
        <v>4</v>
      </c>
      <c r="J876" s="99" t="s">
        <v>4</v>
      </c>
      <c r="K876" s="99" t="s">
        <v>4</v>
      </c>
      <c r="L876" s="101"/>
      <c r="M876" s="104" t="str">
        <f>IF(Main[[#This Row],[Tech Start Date]]&lt;1/1/1990,"",IF(Main[[#This Row],[Class]]="C",WORKDAY(Main[[#This Row],[Tech Start Date]],9),IF(Main[[#This Row],[Class]]="B", WORKDAY(Main[[#This Row],[Tech Start Date]],6),IF(Main[[#This Row],[Class]]="A",WORKDAY(Main[[#This Row],[Tech Start Date]],2),""))))</f>
        <v/>
      </c>
      <c r="N876" s="104" t="str">
        <f>IF(Main[[#This Row],[Tech Start Date]]&lt;1/1/1990,"",IF(Main[[#This Row],[Class]]="C",WORKDAY(Main[[#This Row],[Tech Start Date]],19),IF(Main[[#This Row],[Class]]="B", WORKDAY(Main[[#This Row],[Tech Start Date]],12),IF(Main[[#This Row],[Class]]="A",WORKDAY(Main[[#This Row],[Tech Start Date]],4),""))))</f>
        <v/>
      </c>
      <c r="O876" s="104" t="str">
        <f>IF(Main[[#This Row],[Tech Start Date]]&lt;1/1/1990,"",IF(Main[[#This Row],[Class]]="C",WORKDAY(Main[[#This Row],[Tech Start Date]],23),IF(Main[[#This Row],[Class]]="B", WORKDAY(Main[[#This Row],[Tech Start Date]],15),IF(Main[[#This Row],[Class]]="A",WORKDAY(Main[[#This Row],[Tech Start Date]],5),""))))</f>
        <v/>
      </c>
      <c r="P876" s="104" t="str">
        <f>IF(Main[[#This Row],[Tech Start Date]]&lt;1/1/1990,"",IF(Main[[#This Row],[Class]]="C",WORKDAY(Main[[#This Row],[Tech Start Date]],28),IF(Main[[#This Row],[Class]]="B", WORKDAY(Main[[#This Row],[Tech Start Date]],19),IF(Main[[#This Row],[Class]]="A",WORKDAY(Main[[#This Row],[Tech Start Date]],9),""))))</f>
        <v/>
      </c>
      <c r="Q876" s="101">
        <v>40269</v>
      </c>
      <c r="R876" s="101"/>
      <c r="S876" s="99" t="s">
        <v>11</v>
      </c>
      <c r="T876" s="107" t="s">
        <v>4</v>
      </c>
      <c r="U876" s="99" t="s">
        <v>14</v>
      </c>
      <c r="V876" s="99" t="s">
        <v>1965</v>
      </c>
      <c r="W876" s="99" t="s">
        <v>1967</v>
      </c>
    </row>
    <row r="877" spans="1:23" ht="18.600000000000001" customHeight="1">
      <c r="A877" s="123" t="str">
        <f>IF(priority(Main[[#This Row],[Comments]])&lt;&gt;0, priority(Main[[#This Row],[Comments]]),"")</f>
        <v/>
      </c>
      <c r="B877" s="127" t="s">
        <v>1744</v>
      </c>
      <c r="C877" s="99" t="s">
        <v>31</v>
      </c>
      <c r="D877" s="100" t="s">
        <v>767</v>
      </c>
      <c r="E877" s="101"/>
      <c r="F877" s="101">
        <v>40602</v>
      </c>
      <c r="G877" s="102" t="str">
        <f>IF(stdProdLT(Main[[#This Row],[Comments]])=0.1,"N/A",IF(stdProdLT(Main[[#This Row],[Comments]])=0,"",stdProdLT(Main[[#This Row],[Comments]])))</f>
        <v/>
      </c>
      <c r="H877" s="103" t="str">
        <f>IF(AND(Main[[#This Row],[In Stock Date]]&lt;&gt;"",Main[[#This Row],[Revised Due Date]]&lt;&gt;""),Main[[#This Row],[In Stock Date]]-Main[[#This Row],[Revised Due Date]],"")</f>
        <v/>
      </c>
      <c r="I877" s="99" t="s">
        <v>404</v>
      </c>
      <c r="J877" s="99" t="s">
        <v>75</v>
      </c>
      <c r="K877" s="99" t="s">
        <v>1971</v>
      </c>
      <c r="L877" s="101"/>
      <c r="M877" s="104" t="str">
        <f>IF(Main[[#This Row],[Tech Start Date]]&lt;1/1/1990,"",IF(Main[[#This Row],[Class]]="C",WORKDAY(Main[[#This Row],[Tech Start Date]],9),IF(Main[[#This Row],[Class]]="B", WORKDAY(Main[[#This Row],[Tech Start Date]],6),IF(Main[[#This Row],[Class]]="A",WORKDAY(Main[[#This Row],[Tech Start Date]],2),""))))</f>
        <v/>
      </c>
      <c r="N877" s="104" t="str">
        <f>IF(Main[[#This Row],[Tech Start Date]]&lt;1/1/1990,"",IF(Main[[#This Row],[Class]]="C",WORKDAY(Main[[#This Row],[Tech Start Date]],19),IF(Main[[#This Row],[Class]]="B", WORKDAY(Main[[#This Row],[Tech Start Date]],12),IF(Main[[#This Row],[Class]]="A",WORKDAY(Main[[#This Row],[Tech Start Date]],4),""))))</f>
        <v/>
      </c>
      <c r="O877" s="104" t="str">
        <f>IF(Main[[#This Row],[Tech Start Date]]&lt;1/1/1990,"",IF(Main[[#This Row],[Class]]="C",WORKDAY(Main[[#This Row],[Tech Start Date]],23),IF(Main[[#This Row],[Class]]="B", WORKDAY(Main[[#This Row],[Tech Start Date]],15),IF(Main[[#This Row],[Class]]="A",WORKDAY(Main[[#This Row],[Tech Start Date]],5),""))))</f>
        <v/>
      </c>
      <c r="P877" s="104" t="str">
        <f>IF(Main[[#This Row],[Tech Start Date]]&lt;1/1/1990,"",IF(Main[[#This Row],[Class]]="C",WORKDAY(Main[[#This Row],[Tech Start Date]],28),IF(Main[[#This Row],[Class]]="B", WORKDAY(Main[[#This Row],[Tech Start Date]],19),IF(Main[[#This Row],[Class]]="A",WORKDAY(Main[[#This Row],[Tech Start Date]],9),""))))</f>
        <v/>
      </c>
      <c r="Q877" s="101"/>
      <c r="R877" s="101"/>
      <c r="S877" s="99" t="s">
        <v>11</v>
      </c>
      <c r="T877" s="107" t="s">
        <v>4</v>
      </c>
      <c r="U877" s="99" t="s">
        <v>14</v>
      </c>
      <c r="V877" s="99" t="s">
        <v>1965</v>
      </c>
      <c r="W877" s="99" t="s">
        <v>1968</v>
      </c>
    </row>
    <row r="878" spans="1:23" ht="18.600000000000001" customHeight="1">
      <c r="A878" s="123" t="str">
        <f>IF(priority(Main[[#This Row],[Comments]])&lt;&gt;0, priority(Main[[#This Row],[Comments]]),"")</f>
        <v/>
      </c>
      <c r="B878" s="127" t="s">
        <v>1745</v>
      </c>
      <c r="C878" s="99" t="s">
        <v>93</v>
      </c>
      <c r="D878" s="100" t="s">
        <v>768</v>
      </c>
      <c r="E878" s="101"/>
      <c r="F878" s="101">
        <v>40302</v>
      </c>
      <c r="G878" s="102" t="str">
        <f>IF(stdProdLT(Main[[#This Row],[Comments]])=0.1,"N/A",IF(stdProdLT(Main[[#This Row],[Comments]])=0,"",stdProdLT(Main[[#This Row],[Comments]])))</f>
        <v/>
      </c>
      <c r="H878" s="103" t="str">
        <f>IF(AND(Main[[#This Row],[In Stock Date]]&lt;&gt;"",Main[[#This Row],[Revised Due Date]]&lt;&gt;""),Main[[#This Row],[In Stock Date]]-Main[[#This Row],[Revised Due Date]],"")</f>
        <v/>
      </c>
      <c r="I878" s="99" t="s">
        <v>4</v>
      </c>
      <c r="J878" s="99" t="s">
        <v>4</v>
      </c>
      <c r="K878" s="99" t="s">
        <v>4</v>
      </c>
      <c r="L878" s="101"/>
      <c r="M878" s="104" t="str">
        <f>IF(Main[[#This Row],[Tech Start Date]]&lt;1/1/1990,"",IF(Main[[#This Row],[Class]]="C",WORKDAY(Main[[#This Row],[Tech Start Date]],9),IF(Main[[#This Row],[Class]]="B", WORKDAY(Main[[#This Row],[Tech Start Date]],6),IF(Main[[#This Row],[Class]]="A",WORKDAY(Main[[#This Row],[Tech Start Date]],2),""))))</f>
        <v/>
      </c>
      <c r="N878" s="104" t="str">
        <f>IF(Main[[#This Row],[Tech Start Date]]&lt;1/1/1990,"",IF(Main[[#This Row],[Class]]="C",WORKDAY(Main[[#This Row],[Tech Start Date]],19),IF(Main[[#This Row],[Class]]="B", WORKDAY(Main[[#This Row],[Tech Start Date]],12),IF(Main[[#This Row],[Class]]="A",WORKDAY(Main[[#This Row],[Tech Start Date]],4),""))))</f>
        <v/>
      </c>
      <c r="O878" s="104" t="str">
        <f>IF(Main[[#This Row],[Tech Start Date]]&lt;1/1/1990,"",IF(Main[[#This Row],[Class]]="C",WORKDAY(Main[[#This Row],[Tech Start Date]],23),IF(Main[[#This Row],[Class]]="B", WORKDAY(Main[[#This Row],[Tech Start Date]],15),IF(Main[[#This Row],[Class]]="A",WORKDAY(Main[[#This Row],[Tech Start Date]],5),""))))</f>
        <v/>
      </c>
      <c r="P878" s="104" t="str">
        <f>IF(Main[[#This Row],[Tech Start Date]]&lt;1/1/1990,"",IF(Main[[#This Row],[Class]]="C",WORKDAY(Main[[#This Row],[Tech Start Date]],28),IF(Main[[#This Row],[Class]]="B", WORKDAY(Main[[#This Row],[Tech Start Date]],19),IF(Main[[#This Row],[Class]]="A",WORKDAY(Main[[#This Row],[Tech Start Date]],9),""))))</f>
        <v/>
      </c>
      <c r="Q878" s="101">
        <v>40190</v>
      </c>
      <c r="R878" s="101"/>
      <c r="S878" s="99" t="s">
        <v>11</v>
      </c>
      <c r="T878" s="107" t="s">
        <v>4</v>
      </c>
      <c r="U878" s="99" t="s">
        <v>12</v>
      </c>
      <c r="V878" s="99" t="s">
        <v>1972</v>
      </c>
      <c r="W878" s="99" t="s">
        <v>1968</v>
      </c>
    </row>
    <row r="879" spans="1:23" ht="18.600000000000001" customHeight="1">
      <c r="A879" s="123" t="str">
        <f>IF(priority(Main[[#This Row],[Comments]])&lt;&gt;0, priority(Main[[#This Row],[Comments]]),"")</f>
        <v/>
      </c>
      <c r="B879" s="127" t="s">
        <v>1903</v>
      </c>
      <c r="C879" s="99" t="s">
        <v>31</v>
      </c>
      <c r="D879" s="100" t="s">
        <v>934</v>
      </c>
      <c r="E879" s="101"/>
      <c r="F879" s="101">
        <v>40664</v>
      </c>
      <c r="G879" s="102" t="str">
        <f>IF(stdProdLT(Main[[#This Row],[Comments]])=0.1,"N/A",IF(stdProdLT(Main[[#This Row],[Comments]])=0,"",stdProdLT(Main[[#This Row],[Comments]])))</f>
        <v/>
      </c>
      <c r="H879" s="103">
        <f>IF(AND(Main[[#This Row],[In Stock Date]]&lt;&gt;"",Main[[#This Row],[Revised Due Date]]&lt;&gt;""),Main[[#This Row],[In Stock Date]]-Main[[#This Row],[Revised Due Date]],"")</f>
        <v>87</v>
      </c>
      <c r="I879" s="99" t="s">
        <v>404</v>
      </c>
      <c r="J879" s="99" t="s">
        <v>75</v>
      </c>
      <c r="K879" s="99" t="s">
        <v>1971</v>
      </c>
      <c r="L879" s="101"/>
      <c r="M879" s="104" t="str">
        <f>IF(Main[[#This Row],[Tech Start Date]]&lt;1/1/1990,"",IF(Main[[#This Row],[Class]]="C",WORKDAY(Main[[#This Row],[Tech Start Date]],9),IF(Main[[#This Row],[Class]]="B", WORKDAY(Main[[#This Row],[Tech Start Date]],6),IF(Main[[#This Row],[Class]]="A",WORKDAY(Main[[#This Row],[Tech Start Date]],2),""))))</f>
        <v/>
      </c>
      <c r="N879" s="104" t="str">
        <f>IF(Main[[#This Row],[Tech Start Date]]&lt;1/1/1990,"",IF(Main[[#This Row],[Class]]="C",WORKDAY(Main[[#This Row],[Tech Start Date]],19),IF(Main[[#This Row],[Class]]="B", WORKDAY(Main[[#This Row],[Tech Start Date]],12),IF(Main[[#This Row],[Class]]="A",WORKDAY(Main[[#This Row],[Tech Start Date]],4),""))))</f>
        <v/>
      </c>
      <c r="O879" s="104" t="str">
        <f>IF(Main[[#This Row],[Tech Start Date]]&lt;1/1/1990,"",IF(Main[[#This Row],[Class]]="C",WORKDAY(Main[[#This Row],[Tech Start Date]],23),IF(Main[[#This Row],[Class]]="B", WORKDAY(Main[[#This Row],[Tech Start Date]],15),IF(Main[[#This Row],[Class]]="A",WORKDAY(Main[[#This Row],[Tech Start Date]],5),""))))</f>
        <v/>
      </c>
      <c r="P879" s="104" t="str">
        <f>IF(Main[[#This Row],[Tech Start Date]]&lt;1/1/1990,"",IF(Main[[#This Row],[Class]]="C",WORKDAY(Main[[#This Row],[Tech Start Date]],28),IF(Main[[#This Row],[Class]]="B", WORKDAY(Main[[#This Row],[Tech Start Date]],19),IF(Main[[#This Row],[Class]]="A",WORKDAY(Main[[#This Row],[Tech Start Date]],9),""))))</f>
        <v/>
      </c>
      <c r="Q879" s="101"/>
      <c r="R879" s="101">
        <v>40577</v>
      </c>
      <c r="S879" s="99" t="s">
        <v>11</v>
      </c>
      <c r="T879" s="107" t="s">
        <v>4</v>
      </c>
      <c r="U879" s="99" t="s">
        <v>14</v>
      </c>
      <c r="V879" s="99" t="s">
        <v>1965</v>
      </c>
      <c r="W879" s="99" t="s">
        <v>1968</v>
      </c>
    </row>
    <row r="880" spans="1:23" ht="18.600000000000001" customHeight="1">
      <c r="A880" s="123" t="str">
        <f>IF(priority(Main[[#This Row],[Comments]])&lt;&gt;0, priority(Main[[#This Row],[Comments]]),"")</f>
        <v/>
      </c>
      <c r="B880" s="127" t="s">
        <v>1766</v>
      </c>
      <c r="C880" s="99" t="s">
        <v>4</v>
      </c>
      <c r="D880" s="100" t="s">
        <v>795</v>
      </c>
      <c r="E880" s="101"/>
      <c r="F880" s="101"/>
      <c r="G880" s="102" t="str">
        <f>IF(stdProdLT(Main[[#This Row],[Comments]])=0.1,"N/A",IF(stdProdLT(Main[[#This Row],[Comments]])=0,"",stdProdLT(Main[[#This Row],[Comments]])))</f>
        <v/>
      </c>
      <c r="H880" s="103" t="str">
        <f>IF(AND(Main[[#This Row],[In Stock Date]]&lt;&gt;"",Main[[#This Row],[Revised Due Date]]&lt;&gt;""),Main[[#This Row],[In Stock Date]]-Main[[#This Row],[Revised Due Date]],"")</f>
        <v/>
      </c>
      <c r="I880" s="99" t="s">
        <v>4</v>
      </c>
      <c r="J880" s="99" t="s">
        <v>4</v>
      </c>
      <c r="K880" s="99" t="s">
        <v>4</v>
      </c>
      <c r="L880" s="101"/>
      <c r="M880" s="104" t="str">
        <f>IF(Main[[#This Row],[Tech Start Date]]&lt;1/1/1990,"",IF(Main[[#This Row],[Class]]="C",WORKDAY(Main[[#This Row],[Tech Start Date]],9),IF(Main[[#This Row],[Class]]="B", WORKDAY(Main[[#This Row],[Tech Start Date]],6),IF(Main[[#This Row],[Class]]="A",WORKDAY(Main[[#This Row],[Tech Start Date]],2),""))))</f>
        <v/>
      </c>
      <c r="N880" s="104" t="str">
        <f>IF(Main[[#This Row],[Tech Start Date]]&lt;1/1/1990,"",IF(Main[[#This Row],[Class]]="C",WORKDAY(Main[[#This Row],[Tech Start Date]],19),IF(Main[[#This Row],[Class]]="B", WORKDAY(Main[[#This Row],[Tech Start Date]],12),IF(Main[[#This Row],[Class]]="A",WORKDAY(Main[[#This Row],[Tech Start Date]],4),""))))</f>
        <v/>
      </c>
      <c r="O880" s="104" t="str">
        <f>IF(Main[[#This Row],[Tech Start Date]]&lt;1/1/1990,"",IF(Main[[#This Row],[Class]]="C",WORKDAY(Main[[#This Row],[Tech Start Date]],23),IF(Main[[#This Row],[Class]]="B", WORKDAY(Main[[#This Row],[Tech Start Date]],15),IF(Main[[#This Row],[Class]]="A",WORKDAY(Main[[#This Row],[Tech Start Date]],5),""))))</f>
        <v/>
      </c>
      <c r="P880" s="104" t="str">
        <f>IF(Main[[#This Row],[Tech Start Date]]&lt;1/1/1990,"",IF(Main[[#This Row],[Class]]="C",WORKDAY(Main[[#This Row],[Tech Start Date]],28),IF(Main[[#This Row],[Class]]="B", WORKDAY(Main[[#This Row],[Tech Start Date]],19),IF(Main[[#This Row],[Class]]="A",WORKDAY(Main[[#This Row],[Tech Start Date]],9),""))))</f>
        <v/>
      </c>
      <c r="Q880" s="101"/>
      <c r="R880" s="101"/>
      <c r="S880" s="99" t="s">
        <v>49</v>
      </c>
      <c r="T880" s="107" t="s">
        <v>4</v>
      </c>
      <c r="U880" s="99" t="s">
        <v>103</v>
      </c>
      <c r="V880" s="99" t="s">
        <v>1963</v>
      </c>
      <c r="W880" s="99" t="s">
        <v>1966</v>
      </c>
    </row>
    <row r="881" spans="1:23" ht="18.600000000000001" customHeight="1">
      <c r="A881" s="123" t="str">
        <f>IF(priority(Main[[#This Row],[Comments]])&lt;&gt;0, priority(Main[[#This Row],[Comments]]),"")</f>
        <v/>
      </c>
      <c r="B881" s="127" t="s">
        <v>1841</v>
      </c>
      <c r="C881" s="99" t="s">
        <v>4</v>
      </c>
      <c r="D881" s="100" t="s">
        <v>859</v>
      </c>
      <c r="E881" s="101">
        <v>40674.741215277776</v>
      </c>
      <c r="F881" s="101"/>
      <c r="G881" s="102" t="str">
        <f>IF(stdProdLT(Main[[#This Row],[Comments]])=0.1,"N/A",IF(stdProdLT(Main[[#This Row],[Comments]])=0,"",stdProdLT(Main[[#This Row],[Comments]])))</f>
        <v/>
      </c>
      <c r="H881" s="103" t="str">
        <f>IF(AND(Main[[#This Row],[In Stock Date]]&lt;&gt;"",Main[[#This Row],[Revised Due Date]]&lt;&gt;""),Main[[#This Row],[In Stock Date]]-Main[[#This Row],[Revised Due Date]],"")</f>
        <v/>
      </c>
      <c r="I881" s="99" t="s">
        <v>536</v>
      </c>
      <c r="J881" s="99" t="s">
        <v>52</v>
      </c>
      <c r="K881" s="99" t="s">
        <v>1971</v>
      </c>
      <c r="L881" s="101"/>
      <c r="M881" s="104" t="str">
        <f>IF(Main[[#This Row],[Tech Start Date]]&lt;1/1/1990,"",IF(Main[[#This Row],[Class]]="C",WORKDAY(Main[[#This Row],[Tech Start Date]],9),IF(Main[[#This Row],[Class]]="B", WORKDAY(Main[[#This Row],[Tech Start Date]],6),IF(Main[[#This Row],[Class]]="A",WORKDAY(Main[[#This Row],[Tech Start Date]],2),""))))</f>
        <v/>
      </c>
      <c r="N881" s="104" t="str">
        <f>IF(Main[[#This Row],[Tech Start Date]]&lt;1/1/1990,"",IF(Main[[#This Row],[Class]]="C",WORKDAY(Main[[#This Row],[Tech Start Date]],19),IF(Main[[#This Row],[Class]]="B", WORKDAY(Main[[#This Row],[Tech Start Date]],12),IF(Main[[#This Row],[Class]]="A",WORKDAY(Main[[#This Row],[Tech Start Date]],4),""))))</f>
        <v/>
      </c>
      <c r="O881" s="104" t="str">
        <f>IF(Main[[#This Row],[Tech Start Date]]&lt;1/1/1990,"",IF(Main[[#This Row],[Class]]="C",WORKDAY(Main[[#This Row],[Tech Start Date]],23),IF(Main[[#This Row],[Class]]="B", WORKDAY(Main[[#This Row],[Tech Start Date]],15),IF(Main[[#This Row],[Class]]="A",WORKDAY(Main[[#This Row],[Tech Start Date]],5),""))))</f>
        <v/>
      </c>
      <c r="P881" s="104" t="str">
        <f>IF(Main[[#This Row],[Tech Start Date]]&lt;1/1/1990,"",IF(Main[[#This Row],[Class]]="C",WORKDAY(Main[[#This Row],[Tech Start Date]],28),IF(Main[[#This Row],[Class]]="B", WORKDAY(Main[[#This Row],[Tech Start Date]],19),IF(Main[[#This Row],[Class]]="A",WORKDAY(Main[[#This Row],[Tech Start Date]],9),""))))</f>
        <v/>
      </c>
      <c r="Q881" s="101"/>
      <c r="R881" s="101"/>
      <c r="S881" s="99" t="s">
        <v>6</v>
      </c>
      <c r="T881" s="107" t="s">
        <v>4</v>
      </c>
      <c r="U881" s="99" t="s">
        <v>29</v>
      </c>
      <c r="V881" s="99" t="s">
        <v>1965</v>
      </c>
      <c r="W881" s="99" t="s">
        <v>1966</v>
      </c>
    </row>
    <row r="882" spans="1:23" ht="18.600000000000001" customHeight="1">
      <c r="A882" s="123" t="str">
        <f>IF(priority(Main[[#This Row],[Comments]])&lt;&gt;0, priority(Main[[#This Row],[Comments]]),"")</f>
        <v/>
      </c>
      <c r="B882" s="127" t="s">
        <v>2262</v>
      </c>
      <c r="C882" s="99" t="s">
        <v>4</v>
      </c>
      <c r="D882" s="100" t="s">
        <v>2263</v>
      </c>
      <c r="E882" s="101"/>
      <c r="F882" s="101"/>
      <c r="G882" s="102" t="str">
        <f>IF(stdProdLT(Main[[#This Row],[Comments]])=0.1,"N/A",IF(stdProdLT(Main[[#This Row],[Comments]])=0,"",stdProdLT(Main[[#This Row],[Comments]])))</f>
        <v/>
      </c>
      <c r="H882" s="103" t="str">
        <f>IF(AND(Main[[#This Row],[In Stock Date]]&lt;&gt;"",Main[[#This Row],[Revised Due Date]]&lt;&gt;""),Main[[#This Row],[In Stock Date]]-Main[[#This Row],[Revised Due Date]],"")</f>
        <v/>
      </c>
      <c r="I882" s="99" t="s">
        <v>4</v>
      </c>
      <c r="J882" s="99" t="s">
        <v>4</v>
      </c>
      <c r="K882" s="99" t="s">
        <v>4</v>
      </c>
      <c r="L882" s="101"/>
      <c r="M882" s="104" t="str">
        <f>IF(Main[[#This Row],[Tech Start Date]]&lt;1/1/1990,"",IF(Main[[#This Row],[Class]]="C",WORKDAY(Main[[#This Row],[Tech Start Date]],9),IF(Main[[#This Row],[Class]]="B", WORKDAY(Main[[#This Row],[Tech Start Date]],6),IF(Main[[#This Row],[Class]]="A",WORKDAY(Main[[#This Row],[Tech Start Date]],2),""))))</f>
        <v/>
      </c>
      <c r="N882" s="104" t="str">
        <f>IF(Main[[#This Row],[Tech Start Date]]&lt;1/1/1990,"",IF(Main[[#This Row],[Class]]="C",WORKDAY(Main[[#This Row],[Tech Start Date]],19),IF(Main[[#This Row],[Class]]="B", WORKDAY(Main[[#This Row],[Tech Start Date]],12),IF(Main[[#This Row],[Class]]="A",WORKDAY(Main[[#This Row],[Tech Start Date]],4),""))))</f>
        <v/>
      </c>
      <c r="O882" s="104" t="str">
        <f>IF(Main[[#This Row],[Tech Start Date]]&lt;1/1/1990,"",IF(Main[[#This Row],[Class]]="C",WORKDAY(Main[[#This Row],[Tech Start Date]],23),IF(Main[[#This Row],[Class]]="B", WORKDAY(Main[[#This Row],[Tech Start Date]],15),IF(Main[[#This Row],[Class]]="A",WORKDAY(Main[[#This Row],[Tech Start Date]],5),""))))</f>
        <v/>
      </c>
      <c r="P882" s="104" t="str">
        <f>IF(Main[[#This Row],[Tech Start Date]]&lt;1/1/1990,"",IF(Main[[#This Row],[Class]]="C",WORKDAY(Main[[#This Row],[Tech Start Date]],28),IF(Main[[#This Row],[Class]]="B", WORKDAY(Main[[#This Row],[Tech Start Date]],19),IF(Main[[#This Row],[Class]]="A",WORKDAY(Main[[#This Row],[Tech Start Date]],9),""))))</f>
        <v/>
      </c>
      <c r="Q882" s="101"/>
      <c r="R882" s="101"/>
      <c r="S882" s="99" t="s">
        <v>6</v>
      </c>
      <c r="T882" s="107" t="s">
        <v>4</v>
      </c>
      <c r="U882" s="99" t="s">
        <v>14</v>
      </c>
      <c r="V882" s="99" t="s">
        <v>1977</v>
      </c>
      <c r="W882" s="99" t="s">
        <v>4</v>
      </c>
    </row>
    <row r="883" spans="1:23" ht="18.600000000000001" customHeight="1">
      <c r="A883" s="123" t="str">
        <f>IF(priority(Main[[#This Row],[Comments]])&lt;&gt;0, priority(Main[[#This Row],[Comments]]),"")</f>
        <v/>
      </c>
      <c r="B883" s="127" t="s">
        <v>1739</v>
      </c>
      <c r="C883" s="99" t="s">
        <v>769</v>
      </c>
      <c r="D883" s="100" t="s">
        <v>770</v>
      </c>
      <c r="E883" s="101"/>
      <c r="F883" s="101"/>
      <c r="G883" s="102" t="str">
        <f>IF(stdProdLT(Main[[#This Row],[Comments]])=0.1,"N/A",IF(stdProdLT(Main[[#This Row],[Comments]])=0,"",stdProdLT(Main[[#This Row],[Comments]])))</f>
        <v/>
      </c>
      <c r="H883" s="103" t="str">
        <f>IF(AND(Main[[#This Row],[In Stock Date]]&lt;&gt;"",Main[[#This Row],[Revised Due Date]]&lt;&gt;""),Main[[#This Row],[In Stock Date]]-Main[[#This Row],[Revised Due Date]],"")</f>
        <v/>
      </c>
      <c r="I883" s="99" t="s">
        <v>4</v>
      </c>
      <c r="J883" s="99" t="s">
        <v>4</v>
      </c>
      <c r="K883" s="108" t="s">
        <v>4</v>
      </c>
      <c r="L883" s="101"/>
      <c r="M883" s="104" t="str">
        <f>IF(Main[[#This Row],[Tech Start Date]]&lt;1/1/1990,"",IF(Main[[#This Row],[Class]]="C",WORKDAY(Main[[#This Row],[Tech Start Date]],9),IF(Main[[#This Row],[Class]]="B", WORKDAY(Main[[#This Row],[Tech Start Date]],6),IF(Main[[#This Row],[Class]]="A",WORKDAY(Main[[#This Row],[Tech Start Date]],2),""))))</f>
        <v/>
      </c>
      <c r="N883" s="104" t="str">
        <f>IF(Main[[#This Row],[Tech Start Date]]&lt;1/1/1990,"",IF(Main[[#This Row],[Class]]="C",WORKDAY(Main[[#This Row],[Tech Start Date]],19),IF(Main[[#This Row],[Class]]="B", WORKDAY(Main[[#This Row],[Tech Start Date]],12),IF(Main[[#This Row],[Class]]="A",WORKDAY(Main[[#This Row],[Tech Start Date]],4),""))))</f>
        <v/>
      </c>
      <c r="O883" s="104" t="str">
        <f>IF(Main[[#This Row],[Tech Start Date]]&lt;1/1/1990,"",IF(Main[[#This Row],[Class]]="C",WORKDAY(Main[[#This Row],[Tech Start Date]],23),IF(Main[[#This Row],[Class]]="B", WORKDAY(Main[[#This Row],[Tech Start Date]],15),IF(Main[[#This Row],[Class]]="A",WORKDAY(Main[[#This Row],[Tech Start Date]],5),""))))</f>
        <v/>
      </c>
      <c r="P883" s="104" t="str">
        <f>IF(Main[[#This Row],[Tech Start Date]]&lt;1/1/1990,"",IF(Main[[#This Row],[Class]]="C",WORKDAY(Main[[#This Row],[Tech Start Date]],28),IF(Main[[#This Row],[Class]]="B", WORKDAY(Main[[#This Row],[Tech Start Date]],19),IF(Main[[#This Row],[Class]]="A",WORKDAY(Main[[#This Row],[Tech Start Date]],9),""))))</f>
        <v/>
      </c>
      <c r="Q883" s="101"/>
      <c r="R883" s="101"/>
      <c r="S883" s="99" t="s">
        <v>11</v>
      </c>
      <c r="T883" s="107" t="s">
        <v>4</v>
      </c>
      <c r="U883" s="99" t="s">
        <v>14</v>
      </c>
      <c r="V883" s="99" t="s">
        <v>1963</v>
      </c>
      <c r="W883" s="99" t="s">
        <v>1970</v>
      </c>
    </row>
    <row r="884" spans="1:23" ht="18.600000000000001" customHeight="1">
      <c r="A884" s="123" t="str">
        <f>IF(priority(Main[[#This Row],[Comments]])&lt;&gt;0, priority(Main[[#This Row],[Comments]]),"")</f>
        <v/>
      </c>
      <c r="B884" s="127" t="s">
        <v>1740</v>
      </c>
      <c r="C884" s="99" t="s">
        <v>4</v>
      </c>
      <c r="D884" s="100" t="s">
        <v>771</v>
      </c>
      <c r="E884" s="101">
        <v>40436.644293981481</v>
      </c>
      <c r="F884" s="101"/>
      <c r="G884" s="102" t="str">
        <f>IF(stdProdLT(Main[[#This Row],[Comments]])=0.1,"N/A",IF(stdProdLT(Main[[#This Row],[Comments]])=0,"",stdProdLT(Main[[#This Row],[Comments]])))</f>
        <v/>
      </c>
      <c r="H884" s="103" t="str">
        <f>IF(AND(Main[[#This Row],[In Stock Date]]&lt;&gt;"",Main[[#This Row],[Revised Due Date]]&lt;&gt;""),Main[[#This Row],[In Stock Date]]-Main[[#This Row],[Revised Due Date]],"")</f>
        <v/>
      </c>
      <c r="I884" s="99" t="s">
        <v>4</v>
      </c>
      <c r="J884" s="99" t="s">
        <v>28</v>
      </c>
      <c r="K884" s="99" t="s">
        <v>4</v>
      </c>
      <c r="L884" s="101"/>
      <c r="M884" s="104" t="str">
        <f>IF(Main[[#This Row],[Tech Start Date]]&lt;1/1/1990,"",IF(Main[[#This Row],[Class]]="C",WORKDAY(Main[[#This Row],[Tech Start Date]],9),IF(Main[[#This Row],[Class]]="B", WORKDAY(Main[[#This Row],[Tech Start Date]],6),IF(Main[[#This Row],[Class]]="A",WORKDAY(Main[[#This Row],[Tech Start Date]],2),""))))</f>
        <v/>
      </c>
      <c r="N884" s="104" t="str">
        <f>IF(Main[[#This Row],[Tech Start Date]]&lt;1/1/1990,"",IF(Main[[#This Row],[Class]]="C",WORKDAY(Main[[#This Row],[Tech Start Date]],19),IF(Main[[#This Row],[Class]]="B", WORKDAY(Main[[#This Row],[Tech Start Date]],12),IF(Main[[#This Row],[Class]]="A",WORKDAY(Main[[#This Row],[Tech Start Date]],4),""))))</f>
        <v/>
      </c>
      <c r="O884" s="104" t="str">
        <f>IF(Main[[#This Row],[Tech Start Date]]&lt;1/1/1990,"",IF(Main[[#This Row],[Class]]="C",WORKDAY(Main[[#This Row],[Tech Start Date]],23),IF(Main[[#This Row],[Class]]="B", WORKDAY(Main[[#This Row],[Tech Start Date]],15),IF(Main[[#This Row],[Class]]="A",WORKDAY(Main[[#This Row],[Tech Start Date]],5),""))))</f>
        <v/>
      </c>
      <c r="P884" s="104" t="str">
        <f>IF(Main[[#This Row],[Tech Start Date]]&lt;1/1/1990,"",IF(Main[[#This Row],[Class]]="C",WORKDAY(Main[[#This Row],[Tech Start Date]],28),IF(Main[[#This Row],[Class]]="B", WORKDAY(Main[[#This Row],[Tech Start Date]],19),IF(Main[[#This Row],[Class]]="A",WORKDAY(Main[[#This Row],[Tech Start Date]],9),""))))</f>
        <v/>
      </c>
      <c r="Q884" s="101"/>
      <c r="R884" s="101"/>
      <c r="S884" s="99" t="s">
        <v>6</v>
      </c>
      <c r="T884" s="107" t="s">
        <v>4</v>
      </c>
      <c r="U884" s="99" t="s">
        <v>7</v>
      </c>
      <c r="V884" s="99" t="s">
        <v>1962</v>
      </c>
      <c r="W884" s="99" t="s">
        <v>1966</v>
      </c>
    </row>
    <row r="885" spans="1:23" ht="18.600000000000001" customHeight="1">
      <c r="A885" s="123" t="str">
        <f>IF(priority(Main[[#This Row],[Comments]])&lt;&gt;0, priority(Main[[#This Row],[Comments]]),"")</f>
        <v/>
      </c>
      <c r="B885" s="127" t="s">
        <v>1741</v>
      </c>
      <c r="C885" s="99" t="s">
        <v>772</v>
      </c>
      <c r="D885" s="100" t="s">
        <v>773</v>
      </c>
      <c r="E885" s="101"/>
      <c r="F885" s="101"/>
      <c r="G885" s="102" t="str">
        <f>IF(stdProdLT(Main[[#This Row],[Comments]])=0.1,"N/A",IF(stdProdLT(Main[[#This Row],[Comments]])=0,"",stdProdLT(Main[[#This Row],[Comments]])))</f>
        <v/>
      </c>
      <c r="H885" s="103" t="str">
        <f>IF(AND(Main[[#This Row],[In Stock Date]]&lt;&gt;"",Main[[#This Row],[Revised Due Date]]&lt;&gt;""),Main[[#This Row],[In Stock Date]]-Main[[#This Row],[Revised Due Date]],"")</f>
        <v/>
      </c>
      <c r="I885" s="99" t="s">
        <v>165</v>
      </c>
      <c r="J885" s="99" t="s">
        <v>4</v>
      </c>
      <c r="K885" s="99" t="s">
        <v>1969</v>
      </c>
      <c r="L885" s="101"/>
      <c r="M885" s="104" t="str">
        <f>IF(Main[[#This Row],[Tech Start Date]]&lt;1/1/1990,"",IF(Main[[#This Row],[Class]]="C",WORKDAY(Main[[#This Row],[Tech Start Date]],9),IF(Main[[#This Row],[Class]]="B", WORKDAY(Main[[#This Row],[Tech Start Date]],6),IF(Main[[#This Row],[Class]]="A",WORKDAY(Main[[#This Row],[Tech Start Date]],2),""))))</f>
        <v/>
      </c>
      <c r="N885" s="104" t="str">
        <f>IF(Main[[#This Row],[Tech Start Date]]&lt;1/1/1990,"",IF(Main[[#This Row],[Class]]="C",WORKDAY(Main[[#This Row],[Tech Start Date]],19),IF(Main[[#This Row],[Class]]="B", WORKDAY(Main[[#This Row],[Tech Start Date]],12),IF(Main[[#This Row],[Class]]="A",WORKDAY(Main[[#This Row],[Tech Start Date]],4),""))))</f>
        <v/>
      </c>
      <c r="O885" s="104" t="str">
        <f>IF(Main[[#This Row],[Tech Start Date]]&lt;1/1/1990,"",IF(Main[[#This Row],[Class]]="C",WORKDAY(Main[[#This Row],[Tech Start Date]],23),IF(Main[[#This Row],[Class]]="B", WORKDAY(Main[[#This Row],[Tech Start Date]],15),IF(Main[[#This Row],[Class]]="A",WORKDAY(Main[[#This Row],[Tech Start Date]],5),""))))</f>
        <v/>
      </c>
      <c r="P885" s="104" t="str">
        <f>IF(Main[[#This Row],[Tech Start Date]]&lt;1/1/1990,"",IF(Main[[#This Row],[Class]]="C",WORKDAY(Main[[#This Row],[Tech Start Date]],28),IF(Main[[#This Row],[Class]]="B", WORKDAY(Main[[#This Row],[Tech Start Date]],19),IF(Main[[#This Row],[Class]]="A",WORKDAY(Main[[#This Row],[Tech Start Date]],9),""))))</f>
        <v/>
      </c>
      <c r="Q885" s="101">
        <v>40421</v>
      </c>
      <c r="R885" s="101"/>
      <c r="S885" s="99" t="s">
        <v>17</v>
      </c>
      <c r="T885" s="107" t="s">
        <v>4</v>
      </c>
      <c r="U885" s="99" t="s">
        <v>14</v>
      </c>
      <c r="V885" s="99" t="s">
        <v>1965</v>
      </c>
      <c r="W885" s="99" t="s">
        <v>1966</v>
      </c>
    </row>
    <row r="886" spans="1:23" ht="18.600000000000001" customHeight="1">
      <c r="A886" s="123" t="str">
        <f>IF(priority(Main[[#This Row],[Comments]])&lt;&gt;0, priority(Main[[#This Row],[Comments]]),"")</f>
        <v/>
      </c>
      <c r="B886" s="127" t="s">
        <v>1742</v>
      </c>
      <c r="C886" s="99" t="s">
        <v>4</v>
      </c>
      <c r="D886" s="100" t="s">
        <v>774</v>
      </c>
      <c r="E886" s="101"/>
      <c r="F886" s="101"/>
      <c r="G886" s="102" t="str">
        <f>IF(stdProdLT(Main[[#This Row],[Comments]])=0.1,"N/A",IF(stdProdLT(Main[[#This Row],[Comments]])=0,"",stdProdLT(Main[[#This Row],[Comments]])))</f>
        <v/>
      </c>
      <c r="H886" s="103" t="str">
        <f>IF(AND(Main[[#This Row],[In Stock Date]]&lt;&gt;"",Main[[#This Row],[Revised Due Date]]&lt;&gt;""),Main[[#This Row],[In Stock Date]]-Main[[#This Row],[Revised Due Date]],"")</f>
        <v/>
      </c>
      <c r="I886" s="99" t="s">
        <v>4</v>
      </c>
      <c r="J886" s="99" t="s">
        <v>4</v>
      </c>
      <c r="K886" s="108" t="s">
        <v>4</v>
      </c>
      <c r="L886" s="101"/>
      <c r="M886" s="104" t="str">
        <f>IF(Main[[#This Row],[Tech Start Date]]&lt;1/1/1990,"",IF(Main[[#This Row],[Class]]="C",WORKDAY(Main[[#This Row],[Tech Start Date]],9),IF(Main[[#This Row],[Class]]="B", WORKDAY(Main[[#This Row],[Tech Start Date]],6),IF(Main[[#This Row],[Class]]="A",WORKDAY(Main[[#This Row],[Tech Start Date]],2),""))))</f>
        <v/>
      </c>
      <c r="N886" s="104" t="str">
        <f>IF(Main[[#This Row],[Tech Start Date]]&lt;1/1/1990,"",IF(Main[[#This Row],[Class]]="C",WORKDAY(Main[[#This Row],[Tech Start Date]],19),IF(Main[[#This Row],[Class]]="B", WORKDAY(Main[[#This Row],[Tech Start Date]],12),IF(Main[[#This Row],[Class]]="A",WORKDAY(Main[[#This Row],[Tech Start Date]],4),""))))</f>
        <v/>
      </c>
      <c r="O886" s="104" t="str">
        <f>IF(Main[[#This Row],[Tech Start Date]]&lt;1/1/1990,"",IF(Main[[#This Row],[Class]]="C",WORKDAY(Main[[#This Row],[Tech Start Date]],23),IF(Main[[#This Row],[Class]]="B", WORKDAY(Main[[#This Row],[Tech Start Date]],15),IF(Main[[#This Row],[Class]]="A",WORKDAY(Main[[#This Row],[Tech Start Date]],5),""))))</f>
        <v/>
      </c>
      <c r="P886" s="104" t="str">
        <f>IF(Main[[#This Row],[Tech Start Date]]&lt;1/1/1990,"",IF(Main[[#This Row],[Class]]="C",WORKDAY(Main[[#This Row],[Tech Start Date]],28),IF(Main[[#This Row],[Class]]="B", WORKDAY(Main[[#This Row],[Tech Start Date]],19),IF(Main[[#This Row],[Class]]="A",WORKDAY(Main[[#This Row],[Tech Start Date]],9),""))))</f>
        <v/>
      </c>
      <c r="Q886" s="101">
        <v>40500</v>
      </c>
      <c r="R886" s="101"/>
      <c r="S886" s="99" t="s">
        <v>11</v>
      </c>
      <c r="T886" s="107" t="s">
        <v>4</v>
      </c>
      <c r="U886" s="99" t="s">
        <v>14</v>
      </c>
      <c r="V886" s="99" t="s">
        <v>1962</v>
      </c>
      <c r="W886" s="99" t="s">
        <v>4</v>
      </c>
    </row>
    <row r="887" spans="1:23" ht="18.600000000000001" customHeight="1">
      <c r="A887" s="123" t="str">
        <f>IF(priority(Main[[#This Row],[Comments]])&lt;&gt;0, priority(Main[[#This Row],[Comments]]),"")</f>
        <v/>
      </c>
      <c r="B887" s="127" t="s">
        <v>1743</v>
      </c>
      <c r="C887" s="99" t="s">
        <v>122</v>
      </c>
      <c r="D887" s="100" t="s">
        <v>706</v>
      </c>
      <c r="E887" s="101"/>
      <c r="F887" s="101"/>
      <c r="G887" s="102" t="str">
        <f>IF(stdProdLT(Main[[#This Row],[Comments]])=0.1,"N/A",IF(stdProdLT(Main[[#This Row],[Comments]])=0,"",stdProdLT(Main[[#This Row],[Comments]])))</f>
        <v/>
      </c>
      <c r="H887" s="103" t="str">
        <f>IF(AND(Main[[#This Row],[In Stock Date]]&lt;&gt;"",Main[[#This Row],[Revised Due Date]]&lt;&gt;""),Main[[#This Row],[In Stock Date]]-Main[[#This Row],[Revised Due Date]],"")</f>
        <v/>
      </c>
      <c r="I887" s="99" t="s">
        <v>4</v>
      </c>
      <c r="J887" s="99" t="s">
        <v>4</v>
      </c>
      <c r="K887" s="99" t="s">
        <v>4</v>
      </c>
      <c r="L887" s="101"/>
      <c r="M887" s="104" t="str">
        <f>IF(Main[[#This Row],[Tech Start Date]]&lt;1/1/1990,"",IF(Main[[#This Row],[Class]]="C",WORKDAY(Main[[#This Row],[Tech Start Date]],9),IF(Main[[#This Row],[Class]]="B", WORKDAY(Main[[#This Row],[Tech Start Date]],6),IF(Main[[#This Row],[Class]]="A",WORKDAY(Main[[#This Row],[Tech Start Date]],2),""))))</f>
        <v/>
      </c>
      <c r="N887" s="104" t="str">
        <f>IF(Main[[#This Row],[Tech Start Date]]&lt;1/1/1990,"",IF(Main[[#This Row],[Class]]="C",WORKDAY(Main[[#This Row],[Tech Start Date]],19),IF(Main[[#This Row],[Class]]="B", WORKDAY(Main[[#This Row],[Tech Start Date]],12),IF(Main[[#This Row],[Class]]="A",WORKDAY(Main[[#This Row],[Tech Start Date]],4),""))))</f>
        <v/>
      </c>
      <c r="O887" s="104" t="str">
        <f>IF(Main[[#This Row],[Tech Start Date]]&lt;1/1/1990,"",IF(Main[[#This Row],[Class]]="C",WORKDAY(Main[[#This Row],[Tech Start Date]],23),IF(Main[[#This Row],[Class]]="B", WORKDAY(Main[[#This Row],[Tech Start Date]],15),IF(Main[[#This Row],[Class]]="A",WORKDAY(Main[[#This Row],[Tech Start Date]],5),""))))</f>
        <v/>
      </c>
      <c r="P887" s="104" t="str">
        <f>IF(Main[[#This Row],[Tech Start Date]]&lt;1/1/1990,"",IF(Main[[#This Row],[Class]]="C",WORKDAY(Main[[#This Row],[Tech Start Date]],28),IF(Main[[#This Row],[Class]]="B", WORKDAY(Main[[#This Row],[Tech Start Date]],19),IF(Main[[#This Row],[Class]]="A",WORKDAY(Main[[#This Row],[Tech Start Date]],9),""))))</f>
        <v/>
      </c>
      <c r="Q887" s="101"/>
      <c r="R887" s="101"/>
      <c r="S887" s="99" t="s">
        <v>11</v>
      </c>
      <c r="T887" s="107" t="s">
        <v>4</v>
      </c>
      <c r="U887" s="99" t="s">
        <v>14</v>
      </c>
      <c r="V887" s="99" t="s">
        <v>1962</v>
      </c>
      <c r="W887" s="99" t="s">
        <v>1973</v>
      </c>
    </row>
    <row r="888" spans="1:23" ht="18.600000000000001" customHeight="1">
      <c r="A888" s="123" t="str">
        <f>IF(priority(Main[[#This Row],[Comments]])&lt;&gt;0, priority(Main[[#This Row],[Comments]]),"")</f>
        <v/>
      </c>
      <c r="B888" s="127" t="s">
        <v>1746</v>
      </c>
      <c r="C888" s="99" t="s">
        <v>4</v>
      </c>
      <c r="D888" s="100" t="s">
        <v>780</v>
      </c>
      <c r="E888" s="101"/>
      <c r="F888" s="101"/>
      <c r="G888" s="102" t="str">
        <f>IF(stdProdLT(Main[[#This Row],[Comments]])=0.1,"N/A",IF(stdProdLT(Main[[#This Row],[Comments]])=0,"",stdProdLT(Main[[#This Row],[Comments]])))</f>
        <v/>
      </c>
      <c r="H888" s="103" t="str">
        <f>IF(AND(Main[[#This Row],[In Stock Date]]&lt;&gt;"",Main[[#This Row],[Revised Due Date]]&lt;&gt;""),Main[[#This Row],[In Stock Date]]-Main[[#This Row],[Revised Due Date]],"")</f>
        <v/>
      </c>
      <c r="I888" s="99" t="s">
        <v>4</v>
      </c>
      <c r="J888" s="99" t="s">
        <v>4</v>
      </c>
      <c r="K888" s="99" t="s">
        <v>4</v>
      </c>
      <c r="L888" s="101"/>
      <c r="M888" s="104" t="str">
        <f>IF(Main[[#This Row],[Tech Start Date]]&lt;1/1/1990,"",IF(Main[[#This Row],[Class]]="C",WORKDAY(Main[[#This Row],[Tech Start Date]],9),IF(Main[[#This Row],[Class]]="B", WORKDAY(Main[[#This Row],[Tech Start Date]],6),IF(Main[[#This Row],[Class]]="A",WORKDAY(Main[[#This Row],[Tech Start Date]],2),""))))</f>
        <v/>
      </c>
      <c r="N888" s="104" t="str">
        <f>IF(Main[[#This Row],[Tech Start Date]]&lt;1/1/1990,"",IF(Main[[#This Row],[Class]]="C",WORKDAY(Main[[#This Row],[Tech Start Date]],19),IF(Main[[#This Row],[Class]]="B", WORKDAY(Main[[#This Row],[Tech Start Date]],12),IF(Main[[#This Row],[Class]]="A",WORKDAY(Main[[#This Row],[Tech Start Date]],4),""))))</f>
        <v/>
      </c>
      <c r="O888" s="104" t="str">
        <f>IF(Main[[#This Row],[Tech Start Date]]&lt;1/1/1990,"",IF(Main[[#This Row],[Class]]="C",WORKDAY(Main[[#This Row],[Tech Start Date]],23),IF(Main[[#This Row],[Class]]="B", WORKDAY(Main[[#This Row],[Tech Start Date]],15),IF(Main[[#This Row],[Class]]="A",WORKDAY(Main[[#This Row],[Tech Start Date]],5),""))))</f>
        <v/>
      </c>
      <c r="P888" s="104" t="str">
        <f>IF(Main[[#This Row],[Tech Start Date]]&lt;1/1/1990,"",IF(Main[[#This Row],[Class]]="C",WORKDAY(Main[[#This Row],[Tech Start Date]],28),IF(Main[[#This Row],[Class]]="B", WORKDAY(Main[[#This Row],[Tech Start Date]],19),IF(Main[[#This Row],[Class]]="A",WORKDAY(Main[[#This Row],[Tech Start Date]],9),""))))</f>
        <v/>
      </c>
      <c r="Q888" s="101"/>
      <c r="R888" s="101"/>
      <c r="S888" s="99" t="s">
        <v>17</v>
      </c>
      <c r="T888" s="107" t="s">
        <v>4</v>
      </c>
      <c r="U888" s="99" t="s">
        <v>14</v>
      </c>
      <c r="V888" s="99" t="s">
        <v>1965</v>
      </c>
      <c r="W888" s="99" t="s">
        <v>4</v>
      </c>
    </row>
    <row r="889" spans="1:23" ht="18.600000000000001" customHeight="1">
      <c r="A889" s="123" t="str">
        <f>IF(priority(Main[[#This Row],[Comments]])&lt;&gt;0, priority(Main[[#This Row],[Comments]]),"")</f>
        <v/>
      </c>
      <c r="B889" s="127" t="s">
        <v>1747</v>
      </c>
      <c r="C889" s="99" t="s">
        <v>58</v>
      </c>
      <c r="D889" s="100" t="s">
        <v>205</v>
      </c>
      <c r="E889" s="101"/>
      <c r="F889" s="101">
        <v>40697</v>
      </c>
      <c r="G889" s="102" t="str">
        <f>IF(stdProdLT(Main[[#This Row],[Comments]])=0.1,"N/A",IF(stdProdLT(Main[[#This Row],[Comments]])=0,"",stdProdLT(Main[[#This Row],[Comments]])))</f>
        <v/>
      </c>
      <c r="H889" s="103" t="str">
        <f>IF(AND(Main[[#This Row],[In Stock Date]]&lt;&gt;"",Main[[#This Row],[Revised Due Date]]&lt;&gt;""),Main[[#This Row],[In Stock Date]]-Main[[#This Row],[Revised Due Date]],"")</f>
        <v/>
      </c>
      <c r="I889" s="99" t="s">
        <v>4</v>
      </c>
      <c r="J889" s="99" t="s">
        <v>4</v>
      </c>
      <c r="K889" s="99" t="s">
        <v>4</v>
      </c>
      <c r="L889" s="101"/>
      <c r="M889" s="104" t="str">
        <f>IF(Main[[#This Row],[Tech Start Date]]&lt;1/1/1990,"",IF(Main[[#This Row],[Class]]="C",WORKDAY(Main[[#This Row],[Tech Start Date]],9),IF(Main[[#This Row],[Class]]="B", WORKDAY(Main[[#This Row],[Tech Start Date]],6),IF(Main[[#This Row],[Class]]="A",WORKDAY(Main[[#This Row],[Tech Start Date]],2),""))))</f>
        <v/>
      </c>
      <c r="N889" s="104" t="str">
        <f>IF(Main[[#This Row],[Tech Start Date]]&lt;1/1/1990,"",IF(Main[[#This Row],[Class]]="C",WORKDAY(Main[[#This Row],[Tech Start Date]],19),IF(Main[[#This Row],[Class]]="B", WORKDAY(Main[[#This Row],[Tech Start Date]],12),IF(Main[[#This Row],[Class]]="A",WORKDAY(Main[[#This Row],[Tech Start Date]],4),""))))</f>
        <v/>
      </c>
      <c r="O889" s="104" t="str">
        <f>IF(Main[[#This Row],[Tech Start Date]]&lt;1/1/1990,"",IF(Main[[#This Row],[Class]]="C",WORKDAY(Main[[#This Row],[Tech Start Date]],23),IF(Main[[#This Row],[Class]]="B", WORKDAY(Main[[#This Row],[Tech Start Date]],15),IF(Main[[#This Row],[Class]]="A",WORKDAY(Main[[#This Row],[Tech Start Date]],5),""))))</f>
        <v/>
      </c>
      <c r="P889" s="104" t="str">
        <f>IF(Main[[#This Row],[Tech Start Date]]&lt;1/1/1990,"",IF(Main[[#This Row],[Class]]="C",WORKDAY(Main[[#This Row],[Tech Start Date]],28),IF(Main[[#This Row],[Class]]="B", WORKDAY(Main[[#This Row],[Tech Start Date]],19),IF(Main[[#This Row],[Class]]="A",WORKDAY(Main[[#This Row],[Tech Start Date]],9),""))))</f>
        <v/>
      </c>
      <c r="Q889" s="101">
        <v>40539</v>
      </c>
      <c r="R889" s="101"/>
      <c r="S889" s="99" t="s">
        <v>11</v>
      </c>
      <c r="T889" s="107" t="s">
        <v>4</v>
      </c>
      <c r="U889" s="99" t="s">
        <v>14</v>
      </c>
      <c r="V889" s="99" t="s">
        <v>1962</v>
      </c>
      <c r="W889" s="99" t="s">
        <v>1968</v>
      </c>
    </row>
    <row r="890" spans="1:23" ht="18.600000000000001" customHeight="1">
      <c r="A890" s="123" t="str">
        <f>IF(priority(Main[[#This Row],[Comments]])&lt;&gt;0, priority(Main[[#This Row],[Comments]]),"")</f>
        <v/>
      </c>
      <c r="B890" s="127" t="s">
        <v>1650</v>
      </c>
      <c r="C890" s="99" t="s">
        <v>4</v>
      </c>
      <c r="D890" s="100" t="s">
        <v>694</v>
      </c>
      <c r="E890" s="101">
        <v>40031.45721064815</v>
      </c>
      <c r="F890" s="101"/>
      <c r="G890" s="102" t="str">
        <f>IF(stdProdLT(Main[[#This Row],[Comments]])=0.1,"N/A",IF(stdProdLT(Main[[#This Row],[Comments]])=0,"",stdProdLT(Main[[#This Row],[Comments]])))</f>
        <v/>
      </c>
      <c r="H890" s="103" t="str">
        <f>IF(AND(Main[[#This Row],[In Stock Date]]&lt;&gt;"",Main[[#This Row],[Revised Due Date]]&lt;&gt;""),Main[[#This Row],[In Stock Date]]-Main[[#This Row],[Revised Due Date]],"")</f>
        <v/>
      </c>
      <c r="I890" s="99" t="s">
        <v>30</v>
      </c>
      <c r="J890" s="99" t="s">
        <v>21</v>
      </c>
      <c r="K890" s="99" t="s">
        <v>1971</v>
      </c>
      <c r="L890" s="101"/>
      <c r="M890" s="104" t="str">
        <f>IF(Main[[#This Row],[Tech Start Date]]&lt;1/1/1990,"",IF(Main[[#This Row],[Class]]="C",WORKDAY(Main[[#This Row],[Tech Start Date]],9),IF(Main[[#This Row],[Class]]="B", WORKDAY(Main[[#This Row],[Tech Start Date]],6),IF(Main[[#This Row],[Class]]="A",WORKDAY(Main[[#This Row],[Tech Start Date]],2),""))))</f>
        <v/>
      </c>
      <c r="N890" s="104" t="str">
        <f>IF(Main[[#This Row],[Tech Start Date]]&lt;1/1/1990,"",IF(Main[[#This Row],[Class]]="C",WORKDAY(Main[[#This Row],[Tech Start Date]],19),IF(Main[[#This Row],[Class]]="B", WORKDAY(Main[[#This Row],[Tech Start Date]],12),IF(Main[[#This Row],[Class]]="A",WORKDAY(Main[[#This Row],[Tech Start Date]],4),""))))</f>
        <v/>
      </c>
      <c r="O890" s="104" t="str">
        <f>IF(Main[[#This Row],[Tech Start Date]]&lt;1/1/1990,"",IF(Main[[#This Row],[Class]]="C",WORKDAY(Main[[#This Row],[Tech Start Date]],23),IF(Main[[#This Row],[Class]]="B", WORKDAY(Main[[#This Row],[Tech Start Date]],15),IF(Main[[#This Row],[Class]]="A",WORKDAY(Main[[#This Row],[Tech Start Date]],5),""))))</f>
        <v/>
      </c>
      <c r="P890" s="104" t="str">
        <f>IF(Main[[#This Row],[Tech Start Date]]&lt;1/1/1990,"",IF(Main[[#This Row],[Class]]="C",WORKDAY(Main[[#This Row],[Tech Start Date]],28),IF(Main[[#This Row],[Class]]="B", WORKDAY(Main[[#This Row],[Tech Start Date]],19),IF(Main[[#This Row],[Class]]="A",WORKDAY(Main[[#This Row],[Tech Start Date]],9),""))))</f>
        <v/>
      </c>
      <c r="Q890" s="101"/>
      <c r="R890" s="101"/>
      <c r="S890" s="99" t="s">
        <v>6</v>
      </c>
      <c r="T890" s="107" t="s">
        <v>4</v>
      </c>
      <c r="U890" s="99" t="s">
        <v>29</v>
      </c>
      <c r="V890" s="99" t="s">
        <v>1965</v>
      </c>
      <c r="W890" s="99" t="s">
        <v>1966</v>
      </c>
    </row>
    <row r="891" spans="1:23" ht="18.600000000000001" customHeight="1">
      <c r="A891" s="123" t="str">
        <f>IF(priority(Main[[#This Row],[Comments]])&lt;&gt;0, priority(Main[[#This Row],[Comments]]),"")</f>
        <v/>
      </c>
      <c r="B891" s="127" t="s">
        <v>1748</v>
      </c>
      <c r="C891" s="99" t="s">
        <v>4</v>
      </c>
      <c r="D891" s="100" t="s">
        <v>721</v>
      </c>
      <c r="E891" s="101"/>
      <c r="F891" s="101"/>
      <c r="G891" s="102" t="str">
        <f>IF(stdProdLT(Main[[#This Row],[Comments]])=0.1,"N/A",IF(stdProdLT(Main[[#This Row],[Comments]])=0,"",stdProdLT(Main[[#This Row],[Comments]])))</f>
        <v/>
      </c>
      <c r="H891" s="103" t="str">
        <f>IF(AND(Main[[#This Row],[In Stock Date]]&lt;&gt;"",Main[[#This Row],[Revised Due Date]]&lt;&gt;""),Main[[#This Row],[In Stock Date]]-Main[[#This Row],[Revised Due Date]],"")</f>
        <v/>
      </c>
      <c r="I891" s="99" t="s">
        <v>4</v>
      </c>
      <c r="J891" s="99" t="s">
        <v>28</v>
      </c>
      <c r="K891" s="99" t="s">
        <v>1971</v>
      </c>
      <c r="L891" s="101"/>
      <c r="M891" s="104" t="str">
        <f>IF(Main[[#This Row],[Tech Start Date]]&lt;1/1/1990,"",IF(Main[[#This Row],[Class]]="C",WORKDAY(Main[[#This Row],[Tech Start Date]],9),IF(Main[[#This Row],[Class]]="B", WORKDAY(Main[[#This Row],[Tech Start Date]],6),IF(Main[[#This Row],[Class]]="A",WORKDAY(Main[[#This Row],[Tech Start Date]],2),""))))</f>
        <v/>
      </c>
      <c r="N891" s="104" t="str">
        <f>IF(Main[[#This Row],[Tech Start Date]]&lt;1/1/1990,"",IF(Main[[#This Row],[Class]]="C",WORKDAY(Main[[#This Row],[Tech Start Date]],19),IF(Main[[#This Row],[Class]]="B", WORKDAY(Main[[#This Row],[Tech Start Date]],12),IF(Main[[#This Row],[Class]]="A",WORKDAY(Main[[#This Row],[Tech Start Date]],4),""))))</f>
        <v/>
      </c>
      <c r="O891" s="104" t="str">
        <f>IF(Main[[#This Row],[Tech Start Date]]&lt;1/1/1990,"",IF(Main[[#This Row],[Class]]="C",WORKDAY(Main[[#This Row],[Tech Start Date]],23),IF(Main[[#This Row],[Class]]="B", WORKDAY(Main[[#This Row],[Tech Start Date]],15),IF(Main[[#This Row],[Class]]="A",WORKDAY(Main[[#This Row],[Tech Start Date]],5),""))))</f>
        <v/>
      </c>
      <c r="P891" s="104" t="str">
        <f>IF(Main[[#This Row],[Tech Start Date]]&lt;1/1/1990,"",IF(Main[[#This Row],[Class]]="C",WORKDAY(Main[[#This Row],[Tech Start Date]],28),IF(Main[[#This Row],[Class]]="B", WORKDAY(Main[[#This Row],[Tech Start Date]],19),IF(Main[[#This Row],[Class]]="A",WORKDAY(Main[[#This Row],[Tech Start Date]],9),""))))</f>
        <v/>
      </c>
      <c r="Q891" s="101">
        <v>40647</v>
      </c>
      <c r="R891" s="101"/>
      <c r="S891" s="99" t="s">
        <v>6</v>
      </c>
      <c r="T891" s="107" t="s">
        <v>4</v>
      </c>
      <c r="U891" s="99" t="s">
        <v>14</v>
      </c>
      <c r="V891" s="99" t="s">
        <v>1962</v>
      </c>
      <c r="W891" s="99" t="s">
        <v>1966</v>
      </c>
    </row>
    <row r="892" spans="1:23" ht="18.600000000000001" customHeight="1">
      <c r="A892" s="123" t="str">
        <f>IF(priority(Main[[#This Row],[Comments]])&lt;&gt;0, priority(Main[[#This Row],[Comments]]),"")</f>
        <v/>
      </c>
      <c r="B892" s="127" t="s">
        <v>2134</v>
      </c>
      <c r="C892" s="99" t="s">
        <v>4</v>
      </c>
      <c r="D892" s="100" t="s">
        <v>2509</v>
      </c>
      <c r="E892" s="101">
        <v>40760.555381944447</v>
      </c>
      <c r="F892" s="101"/>
      <c r="G892" s="102" t="str">
        <f>IF(stdProdLT(Main[[#This Row],[Comments]])=0.1,"N/A",IF(stdProdLT(Main[[#This Row],[Comments]])=0,"",stdProdLT(Main[[#This Row],[Comments]])))</f>
        <v/>
      </c>
      <c r="H892" s="103" t="str">
        <f>IF(AND(Main[[#This Row],[In Stock Date]]&lt;&gt;"",Main[[#This Row],[Revised Due Date]]&lt;&gt;""),Main[[#This Row],[In Stock Date]]-Main[[#This Row],[Revised Due Date]],"")</f>
        <v/>
      </c>
      <c r="I892" s="99" t="s">
        <v>4</v>
      </c>
      <c r="J892" s="99" t="s">
        <v>4</v>
      </c>
      <c r="K892" s="99" t="s">
        <v>4</v>
      </c>
      <c r="L892" s="101"/>
      <c r="M892" s="104" t="str">
        <f>IF(Main[[#This Row],[Tech Start Date]]&lt;1/1/1990,"",IF(Main[[#This Row],[Class]]="C",WORKDAY(Main[[#This Row],[Tech Start Date]],9),IF(Main[[#This Row],[Class]]="B", WORKDAY(Main[[#This Row],[Tech Start Date]],6),IF(Main[[#This Row],[Class]]="A",WORKDAY(Main[[#This Row],[Tech Start Date]],2),""))))</f>
        <v/>
      </c>
      <c r="N892" s="104" t="str">
        <f>IF(Main[[#This Row],[Tech Start Date]]&lt;1/1/1990,"",IF(Main[[#This Row],[Class]]="C",WORKDAY(Main[[#This Row],[Tech Start Date]],19),IF(Main[[#This Row],[Class]]="B", WORKDAY(Main[[#This Row],[Tech Start Date]],12),IF(Main[[#This Row],[Class]]="A",WORKDAY(Main[[#This Row],[Tech Start Date]],4),""))))</f>
        <v/>
      </c>
      <c r="O892" s="104" t="str">
        <f>IF(Main[[#This Row],[Tech Start Date]]&lt;1/1/1990,"",IF(Main[[#This Row],[Class]]="C",WORKDAY(Main[[#This Row],[Tech Start Date]],23),IF(Main[[#This Row],[Class]]="B", WORKDAY(Main[[#This Row],[Tech Start Date]],15),IF(Main[[#This Row],[Class]]="A",WORKDAY(Main[[#This Row],[Tech Start Date]],5),""))))</f>
        <v/>
      </c>
      <c r="P892" s="104" t="str">
        <f>IF(Main[[#This Row],[Tech Start Date]]&lt;1/1/1990,"",IF(Main[[#This Row],[Class]]="C",WORKDAY(Main[[#This Row],[Tech Start Date]],28),IF(Main[[#This Row],[Class]]="B", WORKDAY(Main[[#This Row],[Tech Start Date]],19),IF(Main[[#This Row],[Class]]="A",WORKDAY(Main[[#This Row],[Tech Start Date]],9),""))))</f>
        <v/>
      </c>
      <c r="Q892" s="101"/>
      <c r="R892" s="101"/>
      <c r="S892" s="99" t="s">
        <v>6</v>
      </c>
      <c r="T892" s="107" t="s">
        <v>4</v>
      </c>
      <c r="U892" s="99" t="s">
        <v>7</v>
      </c>
      <c r="V892" s="99" t="s">
        <v>1962</v>
      </c>
      <c r="W892" s="99" t="s">
        <v>1966</v>
      </c>
    </row>
    <row r="893" spans="1:23" ht="18.600000000000001" customHeight="1">
      <c r="A893" s="123" t="str">
        <f>IF(priority(Main[[#This Row],[Comments]])&lt;&gt;0, priority(Main[[#This Row],[Comments]]),"")</f>
        <v/>
      </c>
      <c r="B893" s="127" t="s">
        <v>1753</v>
      </c>
      <c r="C893" s="99" t="s">
        <v>4</v>
      </c>
      <c r="D893" s="100" t="s">
        <v>777</v>
      </c>
      <c r="E893" s="101"/>
      <c r="F893" s="101"/>
      <c r="G893" s="102" t="str">
        <f>IF(stdProdLT(Main[[#This Row],[Comments]])=0.1,"N/A",IF(stdProdLT(Main[[#This Row],[Comments]])=0,"",stdProdLT(Main[[#This Row],[Comments]])))</f>
        <v/>
      </c>
      <c r="H893" s="103" t="str">
        <f>IF(AND(Main[[#This Row],[In Stock Date]]&lt;&gt;"",Main[[#This Row],[Revised Due Date]]&lt;&gt;""),Main[[#This Row],[In Stock Date]]-Main[[#This Row],[Revised Due Date]],"")</f>
        <v/>
      </c>
      <c r="I893" s="99" t="s">
        <v>404</v>
      </c>
      <c r="J893" s="99" t="s">
        <v>75</v>
      </c>
      <c r="K893" s="99" t="s">
        <v>4</v>
      </c>
      <c r="L893" s="101"/>
      <c r="M893" s="104" t="str">
        <f>IF(Main[[#This Row],[Tech Start Date]]&lt;1/1/1990,"",IF(Main[[#This Row],[Class]]="C",WORKDAY(Main[[#This Row],[Tech Start Date]],9),IF(Main[[#This Row],[Class]]="B", WORKDAY(Main[[#This Row],[Tech Start Date]],6),IF(Main[[#This Row],[Class]]="A",WORKDAY(Main[[#This Row],[Tech Start Date]],2),""))))</f>
        <v/>
      </c>
      <c r="N893" s="104" t="str">
        <f>IF(Main[[#This Row],[Tech Start Date]]&lt;1/1/1990,"",IF(Main[[#This Row],[Class]]="C",WORKDAY(Main[[#This Row],[Tech Start Date]],19),IF(Main[[#This Row],[Class]]="B", WORKDAY(Main[[#This Row],[Tech Start Date]],12),IF(Main[[#This Row],[Class]]="A",WORKDAY(Main[[#This Row],[Tech Start Date]],4),""))))</f>
        <v/>
      </c>
      <c r="O893" s="104" t="str">
        <f>IF(Main[[#This Row],[Tech Start Date]]&lt;1/1/1990,"",IF(Main[[#This Row],[Class]]="C",WORKDAY(Main[[#This Row],[Tech Start Date]],23),IF(Main[[#This Row],[Class]]="B", WORKDAY(Main[[#This Row],[Tech Start Date]],15),IF(Main[[#This Row],[Class]]="A",WORKDAY(Main[[#This Row],[Tech Start Date]],5),""))))</f>
        <v/>
      </c>
      <c r="P893" s="104" t="str">
        <f>IF(Main[[#This Row],[Tech Start Date]]&lt;1/1/1990,"",IF(Main[[#This Row],[Class]]="C",WORKDAY(Main[[#This Row],[Tech Start Date]],28),IF(Main[[#This Row],[Class]]="B", WORKDAY(Main[[#This Row],[Tech Start Date]],19),IF(Main[[#This Row],[Class]]="A",WORKDAY(Main[[#This Row],[Tech Start Date]],9),""))))</f>
        <v/>
      </c>
      <c r="Q893" s="101">
        <v>40401</v>
      </c>
      <c r="R893" s="101"/>
      <c r="S893" s="99" t="s">
        <v>6</v>
      </c>
      <c r="T893" s="107" t="s">
        <v>4</v>
      </c>
      <c r="U893" s="99" t="s">
        <v>14</v>
      </c>
      <c r="V893" s="99" t="s">
        <v>1965</v>
      </c>
      <c r="W893" s="99" t="s">
        <v>1966</v>
      </c>
    </row>
    <row r="894" spans="1:23" ht="18.600000000000001" customHeight="1">
      <c r="A894" s="123" t="str">
        <f>IF(priority(Main[[#This Row],[Comments]])&lt;&gt;0, priority(Main[[#This Row],[Comments]]),"")</f>
        <v/>
      </c>
      <c r="B894" s="127" t="s">
        <v>1754</v>
      </c>
      <c r="C894" s="99" t="s">
        <v>4</v>
      </c>
      <c r="D894" s="100" t="s">
        <v>779</v>
      </c>
      <c r="E894" s="101">
        <v>40647.40420138889</v>
      </c>
      <c r="F894" s="101"/>
      <c r="G894" s="102" t="str">
        <f>IF(stdProdLT(Main[[#This Row],[Comments]])=0.1,"N/A",IF(stdProdLT(Main[[#This Row],[Comments]])=0,"",stdProdLT(Main[[#This Row],[Comments]])))</f>
        <v/>
      </c>
      <c r="H894" s="103" t="str">
        <f>IF(AND(Main[[#This Row],[In Stock Date]]&lt;&gt;"",Main[[#This Row],[Revised Due Date]]&lt;&gt;""),Main[[#This Row],[In Stock Date]]-Main[[#This Row],[Revised Due Date]],"")</f>
        <v/>
      </c>
      <c r="I894" s="99" t="s">
        <v>4</v>
      </c>
      <c r="J894" s="99" t="s">
        <v>4</v>
      </c>
      <c r="K894" s="99" t="s">
        <v>4</v>
      </c>
      <c r="L894" s="101"/>
      <c r="M894" s="104" t="str">
        <f>IF(Main[[#This Row],[Tech Start Date]]&lt;1/1/1990,"",IF(Main[[#This Row],[Class]]="C",WORKDAY(Main[[#This Row],[Tech Start Date]],9),IF(Main[[#This Row],[Class]]="B", WORKDAY(Main[[#This Row],[Tech Start Date]],6),IF(Main[[#This Row],[Class]]="A",WORKDAY(Main[[#This Row],[Tech Start Date]],2),""))))</f>
        <v/>
      </c>
      <c r="N894" s="104" t="str">
        <f>IF(Main[[#This Row],[Tech Start Date]]&lt;1/1/1990,"",IF(Main[[#This Row],[Class]]="C",WORKDAY(Main[[#This Row],[Tech Start Date]],19),IF(Main[[#This Row],[Class]]="B", WORKDAY(Main[[#This Row],[Tech Start Date]],12),IF(Main[[#This Row],[Class]]="A",WORKDAY(Main[[#This Row],[Tech Start Date]],4),""))))</f>
        <v/>
      </c>
      <c r="O894" s="104" t="str">
        <f>IF(Main[[#This Row],[Tech Start Date]]&lt;1/1/1990,"",IF(Main[[#This Row],[Class]]="C",WORKDAY(Main[[#This Row],[Tech Start Date]],23),IF(Main[[#This Row],[Class]]="B", WORKDAY(Main[[#This Row],[Tech Start Date]],15),IF(Main[[#This Row],[Class]]="A",WORKDAY(Main[[#This Row],[Tech Start Date]],5),""))))</f>
        <v/>
      </c>
      <c r="P894" s="104" t="str">
        <f>IF(Main[[#This Row],[Tech Start Date]]&lt;1/1/1990,"",IF(Main[[#This Row],[Class]]="C",WORKDAY(Main[[#This Row],[Tech Start Date]],28),IF(Main[[#This Row],[Class]]="B", WORKDAY(Main[[#This Row],[Tech Start Date]],19),IF(Main[[#This Row],[Class]]="A",WORKDAY(Main[[#This Row],[Tech Start Date]],9),""))))</f>
        <v/>
      </c>
      <c r="Q894" s="101">
        <v>40676</v>
      </c>
      <c r="R894" s="101"/>
      <c r="S894" s="99" t="s">
        <v>6</v>
      </c>
      <c r="T894" s="107" t="s">
        <v>4</v>
      </c>
      <c r="U894" s="99" t="s">
        <v>7</v>
      </c>
      <c r="V894" s="99" t="s">
        <v>1962</v>
      </c>
      <c r="W894" s="99" t="s">
        <v>4</v>
      </c>
    </row>
    <row r="895" spans="1:23" ht="18.600000000000001" customHeight="1">
      <c r="A895" s="123" t="str">
        <f>IF(priority(Main[[#This Row],[Comments]])&lt;&gt;0, priority(Main[[#This Row],[Comments]]),"")</f>
        <v/>
      </c>
      <c r="B895" s="127" t="s">
        <v>1867</v>
      </c>
      <c r="C895" s="99" t="s">
        <v>47</v>
      </c>
      <c r="D895" s="100" t="s">
        <v>892</v>
      </c>
      <c r="E895" s="101">
        <v>39937.613564814812</v>
      </c>
      <c r="F895" s="101"/>
      <c r="G895" s="102" t="str">
        <f>IF(stdProdLT(Main[[#This Row],[Comments]])=0.1,"N/A",IF(stdProdLT(Main[[#This Row],[Comments]])=0,"",stdProdLT(Main[[#This Row],[Comments]])))</f>
        <v/>
      </c>
      <c r="H895" s="103" t="str">
        <f>IF(AND(Main[[#This Row],[In Stock Date]]&lt;&gt;"",Main[[#This Row],[Revised Due Date]]&lt;&gt;""),Main[[#This Row],[In Stock Date]]-Main[[#This Row],[Revised Due Date]],"")</f>
        <v/>
      </c>
      <c r="I895" s="99" t="s">
        <v>893</v>
      </c>
      <c r="J895" s="99" t="s">
        <v>4</v>
      </c>
      <c r="K895" s="99" t="s">
        <v>1974</v>
      </c>
      <c r="L895" s="101"/>
      <c r="M895" s="104" t="str">
        <f>IF(Main[[#This Row],[Tech Start Date]]&lt;1/1/1990,"",IF(Main[[#This Row],[Class]]="C",WORKDAY(Main[[#This Row],[Tech Start Date]],9),IF(Main[[#This Row],[Class]]="B", WORKDAY(Main[[#This Row],[Tech Start Date]],6),IF(Main[[#This Row],[Class]]="A",WORKDAY(Main[[#This Row],[Tech Start Date]],2),""))))</f>
        <v/>
      </c>
      <c r="N895" s="104" t="str">
        <f>IF(Main[[#This Row],[Tech Start Date]]&lt;1/1/1990,"",IF(Main[[#This Row],[Class]]="C",WORKDAY(Main[[#This Row],[Tech Start Date]],19),IF(Main[[#This Row],[Class]]="B", WORKDAY(Main[[#This Row],[Tech Start Date]],12),IF(Main[[#This Row],[Class]]="A",WORKDAY(Main[[#This Row],[Tech Start Date]],4),""))))</f>
        <v/>
      </c>
      <c r="O895" s="104" t="str">
        <f>IF(Main[[#This Row],[Tech Start Date]]&lt;1/1/1990,"",IF(Main[[#This Row],[Class]]="C",WORKDAY(Main[[#This Row],[Tech Start Date]],23),IF(Main[[#This Row],[Class]]="B", WORKDAY(Main[[#This Row],[Tech Start Date]],15),IF(Main[[#This Row],[Class]]="A",WORKDAY(Main[[#This Row],[Tech Start Date]],5),""))))</f>
        <v/>
      </c>
      <c r="P895" s="104" t="str">
        <f>IF(Main[[#This Row],[Tech Start Date]]&lt;1/1/1990,"",IF(Main[[#This Row],[Class]]="C",WORKDAY(Main[[#This Row],[Tech Start Date]],28),IF(Main[[#This Row],[Class]]="B", WORKDAY(Main[[#This Row],[Tech Start Date]],19),IF(Main[[#This Row],[Class]]="A",WORKDAY(Main[[#This Row],[Tech Start Date]],9),""))))</f>
        <v/>
      </c>
      <c r="Q895" s="101">
        <v>40267</v>
      </c>
      <c r="R895" s="101">
        <v>40359</v>
      </c>
      <c r="S895" s="99" t="s">
        <v>17</v>
      </c>
      <c r="T895" s="107" t="s">
        <v>4</v>
      </c>
      <c r="U895" s="99" t="s">
        <v>29</v>
      </c>
      <c r="V895" s="99" t="s">
        <v>1962</v>
      </c>
      <c r="W895" s="99" t="s">
        <v>1966</v>
      </c>
    </row>
    <row r="896" spans="1:23" ht="18.600000000000001" customHeight="1">
      <c r="A896" s="123" t="str">
        <f>IF(priority(Main[[#This Row],[Comments]])&lt;&gt;0, priority(Main[[#This Row],[Comments]]),"")</f>
        <v/>
      </c>
      <c r="B896" s="127" t="s">
        <v>1755</v>
      </c>
      <c r="C896" s="99" t="s">
        <v>4</v>
      </c>
      <c r="D896" s="100" t="s">
        <v>515</v>
      </c>
      <c r="E896" s="101"/>
      <c r="F896" s="101"/>
      <c r="G896" s="102" t="str">
        <f>IF(stdProdLT(Main[[#This Row],[Comments]])=0.1,"N/A",IF(stdProdLT(Main[[#This Row],[Comments]])=0,"",stdProdLT(Main[[#This Row],[Comments]])))</f>
        <v/>
      </c>
      <c r="H896" s="103" t="str">
        <f>IF(AND(Main[[#This Row],[In Stock Date]]&lt;&gt;"",Main[[#This Row],[Revised Due Date]]&lt;&gt;""),Main[[#This Row],[In Stock Date]]-Main[[#This Row],[Revised Due Date]],"")</f>
        <v/>
      </c>
      <c r="I896" s="99" t="s">
        <v>4</v>
      </c>
      <c r="J896" s="99" t="s">
        <v>4</v>
      </c>
      <c r="K896" s="108" t="s">
        <v>4</v>
      </c>
      <c r="L896" s="101"/>
      <c r="M896" s="104" t="str">
        <f>IF(Main[[#This Row],[Tech Start Date]]&lt;1/1/1990,"",IF(Main[[#This Row],[Class]]="C",WORKDAY(Main[[#This Row],[Tech Start Date]],9),IF(Main[[#This Row],[Class]]="B", WORKDAY(Main[[#This Row],[Tech Start Date]],6),IF(Main[[#This Row],[Class]]="A",WORKDAY(Main[[#This Row],[Tech Start Date]],2),""))))</f>
        <v/>
      </c>
      <c r="N896" s="104" t="str">
        <f>IF(Main[[#This Row],[Tech Start Date]]&lt;1/1/1990,"",IF(Main[[#This Row],[Class]]="C",WORKDAY(Main[[#This Row],[Tech Start Date]],19),IF(Main[[#This Row],[Class]]="B", WORKDAY(Main[[#This Row],[Tech Start Date]],12),IF(Main[[#This Row],[Class]]="A",WORKDAY(Main[[#This Row],[Tech Start Date]],4),""))))</f>
        <v/>
      </c>
      <c r="O896" s="104" t="str">
        <f>IF(Main[[#This Row],[Tech Start Date]]&lt;1/1/1990,"",IF(Main[[#This Row],[Class]]="C",WORKDAY(Main[[#This Row],[Tech Start Date]],23),IF(Main[[#This Row],[Class]]="B", WORKDAY(Main[[#This Row],[Tech Start Date]],15),IF(Main[[#This Row],[Class]]="A",WORKDAY(Main[[#This Row],[Tech Start Date]],5),""))))</f>
        <v/>
      </c>
      <c r="P896" s="104" t="str">
        <f>IF(Main[[#This Row],[Tech Start Date]]&lt;1/1/1990,"",IF(Main[[#This Row],[Class]]="C",WORKDAY(Main[[#This Row],[Tech Start Date]],28),IF(Main[[#This Row],[Class]]="B", WORKDAY(Main[[#This Row],[Tech Start Date]],19),IF(Main[[#This Row],[Class]]="A",WORKDAY(Main[[#This Row],[Tech Start Date]],9),""))))</f>
        <v/>
      </c>
      <c r="Q896" s="101"/>
      <c r="R896" s="101"/>
      <c r="S896" s="99" t="s">
        <v>4</v>
      </c>
      <c r="T896" s="107" t="s">
        <v>4</v>
      </c>
      <c r="U896" s="99" t="s">
        <v>14</v>
      </c>
      <c r="V896" s="99" t="s">
        <v>1965</v>
      </c>
      <c r="W896" s="99" t="s">
        <v>4</v>
      </c>
    </row>
    <row r="897" spans="1:23" ht="18.600000000000001" customHeight="1">
      <c r="A897" s="123" t="str">
        <f>IF(priority(Main[[#This Row],[Comments]])&lt;&gt;0, priority(Main[[#This Row],[Comments]]),"")</f>
        <v/>
      </c>
      <c r="B897" s="127" t="s">
        <v>1756</v>
      </c>
      <c r="C897" s="99" t="s">
        <v>282</v>
      </c>
      <c r="D897" s="100" t="s">
        <v>783</v>
      </c>
      <c r="E897" s="101"/>
      <c r="F897" s="101">
        <v>40602</v>
      </c>
      <c r="G897" s="102" t="str">
        <f>IF(stdProdLT(Main[[#This Row],[Comments]])=0.1,"N/A",IF(stdProdLT(Main[[#This Row],[Comments]])=0,"",stdProdLT(Main[[#This Row],[Comments]])))</f>
        <v/>
      </c>
      <c r="H897" s="103" t="str">
        <f>IF(AND(Main[[#This Row],[In Stock Date]]&lt;&gt;"",Main[[#This Row],[Revised Due Date]]&lt;&gt;""),Main[[#This Row],[In Stock Date]]-Main[[#This Row],[Revised Due Date]],"")</f>
        <v/>
      </c>
      <c r="I897" s="99" t="s">
        <v>4</v>
      </c>
      <c r="J897" s="99" t="s">
        <v>4</v>
      </c>
      <c r="K897" s="99" t="s">
        <v>4</v>
      </c>
      <c r="L897" s="101"/>
      <c r="M897" s="104" t="str">
        <f>IF(Main[[#This Row],[Tech Start Date]]&lt;1/1/1990,"",IF(Main[[#This Row],[Class]]="C",WORKDAY(Main[[#This Row],[Tech Start Date]],9),IF(Main[[#This Row],[Class]]="B", WORKDAY(Main[[#This Row],[Tech Start Date]],6),IF(Main[[#This Row],[Class]]="A",WORKDAY(Main[[#This Row],[Tech Start Date]],2),""))))</f>
        <v/>
      </c>
      <c r="N897" s="104" t="str">
        <f>IF(Main[[#This Row],[Tech Start Date]]&lt;1/1/1990,"",IF(Main[[#This Row],[Class]]="C",WORKDAY(Main[[#This Row],[Tech Start Date]],19),IF(Main[[#This Row],[Class]]="B", WORKDAY(Main[[#This Row],[Tech Start Date]],12),IF(Main[[#This Row],[Class]]="A",WORKDAY(Main[[#This Row],[Tech Start Date]],4),""))))</f>
        <v/>
      </c>
      <c r="O897" s="104" t="str">
        <f>IF(Main[[#This Row],[Tech Start Date]]&lt;1/1/1990,"",IF(Main[[#This Row],[Class]]="C",WORKDAY(Main[[#This Row],[Tech Start Date]],23),IF(Main[[#This Row],[Class]]="B", WORKDAY(Main[[#This Row],[Tech Start Date]],15),IF(Main[[#This Row],[Class]]="A",WORKDAY(Main[[#This Row],[Tech Start Date]],5),""))))</f>
        <v/>
      </c>
      <c r="P897" s="104" t="str">
        <f>IF(Main[[#This Row],[Tech Start Date]]&lt;1/1/1990,"",IF(Main[[#This Row],[Class]]="C",WORKDAY(Main[[#This Row],[Tech Start Date]],28),IF(Main[[#This Row],[Class]]="B", WORKDAY(Main[[#This Row],[Tech Start Date]],19),IF(Main[[#This Row],[Class]]="A",WORKDAY(Main[[#This Row],[Tech Start Date]],9),""))))</f>
        <v/>
      </c>
      <c r="Q897" s="101">
        <v>40602</v>
      </c>
      <c r="R897" s="101"/>
      <c r="S897" s="99" t="s">
        <v>11</v>
      </c>
      <c r="T897" s="107" t="s">
        <v>4</v>
      </c>
      <c r="U897" s="99" t="s">
        <v>12</v>
      </c>
      <c r="V897" s="99" t="s">
        <v>1963</v>
      </c>
      <c r="W897" s="99" t="s">
        <v>1967</v>
      </c>
    </row>
    <row r="898" spans="1:23" ht="18.600000000000001" customHeight="1">
      <c r="A898" s="123" t="str">
        <f>IF(priority(Main[[#This Row],[Comments]])&lt;&gt;0, priority(Main[[#This Row],[Comments]]),"")</f>
        <v/>
      </c>
      <c r="B898" s="127" t="s">
        <v>1757</v>
      </c>
      <c r="C898" s="99" t="s">
        <v>282</v>
      </c>
      <c r="D898" s="100" t="s">
        <v>784</v>
      </c>
      <c r="E898" s="101"/>
      <c r="F898" s="101">
        <v>40602</v>
      </c>
      <c r="G898" s="102" t="str">
        <f>IF(stdProdLT(Main[[#This Row],[Comments]])=0.1,"N/A",IF(stdProdLT(Main[[#This Row],[Comments]])=0,"",stdProdLT(Main[[#This Row],[Comments]])))</f>
        <v/>
      </c>
      <c r="H898" s="103" t="str">
        <f>IF(AND(Main[[#This Row],[In Stock Date]]&lt;&gt;"",Main[[#This Row],[Revised Due Date]]&lt;&gt;""),Main[[#This Row],[In Stock Date]]-Main[[#This Row],[Revised Due Date]],"")</f>
        <v/>
      </c>
      <c r="I898" s="99" t="s">
        <v>4</v>
      </c>
      <c r="J898" s="99" t="s">
        <v>4</v>
      </c>
      <c r="K898" s="99" t="s">
        <v>4</v>
      </c>
      <c r="L898" s="101"/>
      <c r="M898" s="104" t="str">
        <f>IF(Main[[#This Row],[Tech Start Date]]&lt;1/1/1990,"",IF(Main[[#This Row],[Class]]="C",WORKDAY(Main[[#This Row],[Tech Start Date]],9),IF(Main[[#This Row],[Class]]="B", WORKDAY(Main[[#This Row],[Tech Start Date]],6),IF(Main[[#This Row],[Class]]="A",WORKDAY(Main[[#This Row],[Tech Start Date]],2),""))))</f>
        <v/>
      </c>
      <c r="N898" s="104" t="str">
        <f>IF(Main[[#This Row],[Tech Start Date]]&lt;1/1/1990,"",IF(Main[[#This Row],[Class]]="C",WORKDAY(Main[[#This Row],[Tech Start Date]],19),IF(Main[[#This Row],[Class]]="B", WORKDAY(Main[[#This Row],[Tech Start Date]],12),IF(Main[[#This Row],[Class]]="A",WORKDAY(Main[[#This Row],[Tech Start Date]],4),""))))</f>
        <v/>
      </c>
      <c r="O898" s="104" t="str">
        <f>IF(Main[[#This Row],[Tech Start Date]]&lt;1/1/1990,"",IF(Main[[#This Row],[Class]]="C",WORKDAY(Main[[#This Row],[Tech Start Date]],23),IF(Main[[#This Row],[Class]]="B", WORKDAY(Main[[#This Row],[Tech Start Date]],15),IF(Main[[#This Row],[Class]]="A",WORKDAY(Main[[#This Row],[Tech Start Date]],5),""))))</f>
        <v/>
      </c>
      <c r="P898" s="104" t="str">
        <f>IF(Main[[#This Row],[Tech Start Date]]&lt;1/1/1990,"",IF(Main[[#This Row],[Class]]="C",WORKDAY(Main[[#This Row],[Tech Start Date]],28),IF(Main[[#This Row],[Class]]="B", WORKDAY(Main[[#This Row],[Tech Start Date]],19),IF(Main[[#This Row],[Class]]="A",WORKDAY(Main[[#This Row],[Tech Start Date]],9),""))))</f>
        <v/>
      </c>
      <c r="Q898" s="101">
        <v>40602</v>
      </c>
      <c r="R898" s="101"/>
      <c r="S898" s="99" t="s">
        <v>11</v>
      </c>
      <c r="T898" s="107" t="s">
        <v>4</v>
      </c>
      <c r="U898" s="99" t="s">
        <v>12</v>
      </c>
      <c r="V898" s="99" t="s">
        <v>1965</v>
      </c>
      <c r="W898" s="99" t="s">
        <v>1967</v>
      </c>
    </row>
    <row r="899" spans="1:23" ht="18.600000000000001" customHeight="1">
      <c r="A899" s="123" t="str">
        <f>IF(priority(Main[[#This Row],[Comments]])&lt;&gt;0, priority(Main[[#This Row],[Comments]]),"")</f>
        <v/>
      </c>
      <c r="B899" s="127" t="s">
        <v>1904</v>
      </c>
      <c r="C899" s="99" t="s">
        <v>31</v>
      </c>
      <c r="D899" s="100" t="s">
        <v>936</v>
      </c>
      <c r="E899" s="101"/>
      <c r="F899" s="101">
        <v>40664</v>
      </c>
      <c r="G899" s="102" t="str">
        <f>IF(stdProdLT(Main[[#This Row],[Comments]])=0.1,"N/A",IF(stdProdLT(Main[[#This Row],[Comments]])=0,"",stdProdLT(Main[[#This Row],[Comments]])))</f>
        <v/>
      </c>
      <c r="H899" s="103">
        <f>IF(AND(Main[[#This Row],[In Stock Date]]&lt;&gt;"",Main[[#This Row],[Revised Due Date]]&lt;&gt;""),Main[[#This Row],[In Stock Date]]-Main[[#This Row],[Revised Due Date]],"")</f>
        <v>87</v>
      </c>
      <c r="I899" s="99" t="s">
        <v>102</v>
      </c>
      <c r="J899" s="99" t="s">
        <v>75</v>
      </c>
      <c r="K899" s="99" t="s">
        <v>1971</v>
      </c>
      <c r="L899" s="101"/>
      <c r="M899" s="104" t="str">
        <f>IF(Main[[#This Row],[Tech Start Date]]&lt;1/1/1990,"",IF(Main[[#This Row],[Class]]="C",WORKDAY(Main[[#This Row],[Tech Start Date]],9),IF(Main[[#This Row],[Class]]="B", WORKDAY(Main[[#This Row],[Tech Start Date]],6),IF(Main[[#This Row],[Class]]="A",WORKDAY(Main[[#This Row],[Tech Start Date]],2),""))))</f>
        <v/>
      </c>
      <c r="N899" s="104" t="str">
        <f>IF(Main[[#This Row],[Tech Start Date]]&lt;1/1/1990,"",IF(Main[[#This Row],[Class]]="C",WORKDAY(Main[[#This Row],[Tech Start Date]],19),IF(Main[[#This Row],[Class]]="B", WORKDAY(Main[[#This Row],[Tech Start Date]],12),IF(Main[[#This Row],[Class]]="A",WORKDAY(Main[[#This Row],[Tech Start Date]],4),""))))</f>
        <v/>
      </c>
      <c r="O899" s="104" t="str">
        <f>IF(Main[[#This Row],[Tech Start Date]]&lt;1/1/1990,"",IF(Main[[#This Row],[Class]]="C",WORKDAY(Main[[#This Row],[Tech Start Date]],23),IF(Main[[#This Row],[Class]]="B", WORKDAY(Main[[#This Row],[Tech Start Date]],15),IF(Main[[#This Row],[Class]]="A",WORKDAY(Main[[#This Row],[Tech Start Date]],5),""))))</f>
        <v/>
      </c>
      <c r="P899" s="104" t="str">
        <f>IF(Main[[#This Row],[Tech Start Date]]&lt;1/1/1990,"",IF(Main[[#This Row],[Class]]="C",WORKDAY(Main[[#This Row],[Tech Start Date]],28),IF(Main[[#This Row],[Class]]="B", WORKDAY(Main[[#This Row],[Tech Start Date]],19),IF(Main[[#This Row],[Class]]="A",WORKDAY(Main[[#This Row],[Tech Start Date]],9),""))))</f>
        <v/>
      </c>
      <c r="Q899" s="101">
        <v>40589</v>
      </c>
      <c r="R899" s="101">
        <v>40577</v>
      </c>
      <c r="S899" s="99" t="s">
        <v>11</v>
      </c>
      <c r="T899" s="107" t="s">
        <v>4</v>
      </c>
      <c r="U899" s="99" t="s">
        <v>14</v>
      </c>
      <c r="V899" s="99" t="s">
        <v>1965</v>
      </c>
      <c r="W899" s="99" t="s">
        <v>1968</v>
      </c>
    </row>
    <row r="900" spans="1:23" ht="18.600000000000001" customHeight="1">
      <c r="A900" s="123" t="str">
        <f>IF(priority(Main[[#This Row],[Comments]])&lt;&gt;0, priority(Main[[#This Row],[Comments]]),"")</f>
        <v/>
      </c>
      <c r="B900" s="127" t="s">
        <v>1760</v>
      </c>
      <c r="C900" s="99" t="s">
        <v>4</v>
      </c>
      <c r="D900" s="100" t="s">
        <v>788</v>
      </c>
      <c r="E900" s="101"/>
      <c r="F900" s="101"/>
      <c r="G900" s="102" t="str">
        <f>IF(stdProdLT(Main[[#This Row],[Comments]])=0.1,"N/A",IF(stdProdLT(Main[[#This Row],[Comments]])=0,"",stdProdLT(Main[[#This Row],[Comments]])))</f>
        <v/>
      </c>
      <c r="H900" s="103" t="str">
        <f>IF(AND(Main[[#This Row],[In Stock Date]]&lt;&gt;"",Main[[#This Row],[Revised Due Date]]&lt;&gt;""),Main[[#This Row],[In Stock Date]]-Main[[#This Row],[Revised Due Date]],"")</f>
        <v/>
      </c>
      <c r="I900" s="99" t="s">
        <v>4</v>
      </c>
      <c r="J900" s="99" t="s">
        <v>4</v>
      </c>
      <c r="K900" s="99" t="s">
        <v>4</v>
      </c>
      <c r="L900" s="101"/>
      <c r="M900" s="104" t="str">
        <f>IF(Main[[#This Row],[Tech Start Date]]&lt;1/1/1990,"",IF(Main[[#This Row],[Class]]="C",WORKDAY(Main[[#This Row],[Tech Start Date]],9),IF(Main[[#This Row],[Class]]="B", WORKDAY(Main[[#This Row],[Tech Start Date]],6),IF(Main[[#This Row],[Class]]="A",WORKDAY(Main[[#This Row],[Tech Start Date]],2),""))))</f>
        <v/>
      </c>
      <c r="N900" s="104" t="str">
        <f>IF(Main[[#This Row],[Tech Start Date]]&lt;1/1/1990,"",IF(Main[[#This Row],[Class]]="C",WORKDAY(Main[[#This Row],[Tech Start Date]],19),IF(Main[[#This Row],[Class]]="B", WORKDAY(Main[[#This Row],[Tech Start Date]],12),IF(Main[[#This Row],[Class]]="A",WORKDAY(Main[[#This Row],[Tech Start Date]],4),""))))</f>
        <v/>
      </c>
      <c r="O900" s="104" t="str">
        <f>IF(Main[[#This Row],[Tech Start Date]]&lt;1/1/1990,"",IF(Main[[#This Row],[Class]]="C",WORKDAY(Main[[#This Row],[Tech Start Date]],23),IF(Main[[#This Row],[Class]]="B", WORKDAY(Main[[#This Row],[Tech Start Date]],15),IF(Main[[#This Row],[Class]]="A",WORKDAY(Main[[#This Row],[Tech Start Date]],5),""))))</f>
        <v/>
      </c>
      <c r="P900" s="104" t="str">
        <f>IF(Main[[#This Row],[Tech Start Date]]&lt;1/1/1990,"",IF(Main[[#This Row],[Class]]="C",WORKDAY(Main[[#This Row],[Tech Start Date]],28),IF(Main[[#This Row],[Class]]="B", WORKDAY(Main[[#This Row],[Tech Start Date]],19),IF(Main[[#This Row],[Class]]="A",WORKDAY(Main[[#This Row],[Tech Start Date]],9),""))))</f>
        <v/>
      </c>
      <c r="Q900" s="101"/>
      <c r="R900" s="101"/>
      <c r="S900" s="99" t="s">
        <v>4</v>
      </c>
      <c r="T900" s="107" t="s">
        <v>4</v>
      </c>
      <c r="U900" s="99" t="s">
        <v>12</v>
      </c>
      <c r="V900" s="99" t="s">
        <v>1965</v>
      </c>
      <c r="W900" s="99" t="s">
        <v>4</v>
      </c>
    </row>
    <row r="901" spans="1:23" ht="18.600000000000001" customHeight="1">
      <c r="A901" s="123" t="str">
        <f>IF(priority(Main[[#This Row],[Comments]])&lt;&gt;0, priority(Main[[#This Row],[Comments]]),"")</f>
        <v/>
      </c>
      <c r="B901" s="127" t="s">
        <v>1761</v>
      </c>
      <c r="C901" s="99" t="s">
        <v>4</v>
      </c>
      <c r="D901" s="100" t="s">
        <v>789</v>
      </c>
      <c r="E901" s="101"/>
      <c r="F901" s="101">
        <v>40025</v>
      </c>
      <c r="G901" s="102" t="str">
        <f>IF(stdProdLT(Main[[#This Row],[Comments]])=0.1,"N/A",IF(stdProdLT(Main[[#This Row],[Comments]])=0,"",stdProdLT(Main[[#This Row],[Comments]])))</f>
        <v/>
      </c>
      <c r="H901" s="103" t="str">
        <f>IF(AND(Main[[#This Row],[In Stock Date]]&lt;&gt;"",Main[[#This Row],[Revised Due Date]]&lt;&gt;""),Main[[#This Row],[In Stock Date]]-Main[[#This Row],[Revised Due Date]],"")</f>
        <v/>
      </c>
      <c r="I901" s="99" t="s">
        <v>4</v>
      </c>
      <c r="J901" s="99" t="s">
        <v>4</v>
      </c>
      <c r="K901" s="108" t="s">
        <v>4</v>
      </c>
      <c r="L901" s="101"/>
      <c r="M901" s="104" t="str">
        <f>IF(Main[[#This Row],[Tech Start Date]]&lt;1/1/1990,"",IF(Main[[#This Row],[Class]]="C",WORKDAY(Main[[#This Row],[Tech Start Date]],9),IF(Main[[#This Row],[Class]]="B", WORKDAY(Main[[#This Row],[Tech Start Date]],6),IF(Main[[#This Row],[Class]]="A",WORKDAY(Main[[#This Row],[Tech Start Date]],2),""))))</f>
        <v/>
      </c>
      <c r="N901" s="104" t="str">
        <f>IF(Main[[#This Row],[Tech Start Date]]&lt;1/1/1990,"",IF(Main[[#This Row],[Class]]="C",WORKDAY(Main[[#This Row],[Tech Start Date]],19),IF(Main[[#This Row],[Class]]="B", WORKDAY(Main[[#This Row],[Tech Start Date]],12),IF(Main[[#This Row],[Class]]="A",WORKDAY(Main[[#This Row],[Tech Start Date]],4),""))))</f>
        <v/>
      </c>
      <c r="O901" s="104" t="str">
        <f>IF(Main[[#This Row],[Tech Start Date]]&lt;1/1/1990,"",IF(Main[[#This Row],[Class]]="C",WORKDAY(Main[[#This Row],[Tech Start Date]],23),IF(Main[[#This Row],[Class]]="B", WORKDAY(Main[[#This Row],[Tech Start Date]],15),IF(Main[[#This Row],[Class]]="A",WORKDAY(Main[[#This Row],[Tech Start Date]],5),""))))</f>
        <v/>
      </c>
      <c r="P901" s="104" t="str">
        <f>IF(Main[[#This Row],[Tech Start Date]]&lt;1/1/1990,"",IF(Main[[#This Row],[Class]]="C",WORKDAY(Main[[#This Row],[Tech Start Date]],28),IF(Main[[#This Row],[Class]]="B", WORKDAY(Main[[#This Row],[Tech Start Date]],19),IF(Main[[#This Row],[Class]]="A",WORKDAY(Main[[#This Row],[Tech Start Date]],9),""))))</f>
        <v/>
      </c>
      <c r="Q901" s="101">
        <v>39963</v>
      </c>
      <c r="R901" s="101"/>
      <c r="S901" s="99" t="s">
        <v>11</v>
      </c>
      <c r="T901" s="107" t="s">
        <v>4</v>
      </c>
      <c r="U901" s="99" t="s">
        <v>14</v>
      </c>
      <c r="V901" s="99" t="s">
        <v>1972</v>
      </c>
      <c r="W901" s="99" t="s">
        <v>1970</v>
      </c>
    </row>
    <row r="902" spans="1:23" ht="18.600000000000001" customHeight="1">
      <c r="A902" s="123" t="str">
        <f>IF(priority(Main[[#This Row],[Comments]])&lt;&gt;0, priority(Main[[#This Row],[Comments]]),"")</f>
        <v/>
      </c>
      <c r="B902" s="127" t="s">
        <v>1762</v>
      </c>
      <c r="C902" s="99" t="s">
        <v>4</v>
      </c>
      <c r="D902" s="100" t="s">
        <v>790</v>
      </c>
      <c r="E902" s="101">
        <v>40506.439513888887</v>
      </c>
      <c r="F902" s="101"/>
      <c r="G902" s="102" t="str">
        <f>IF(stdProdLT(Main[[#This Row],[Comments]])=0.1,"N/A",IF(stdProdLT(Main[[#This Row],[Comments]])=0,"",stdProdLT(Main[[#This Row],[Comments]])))</f>
        <v/>
      </c>
      <c r="H902" s="103" t="str">
        <f>IF(AND(Main[[#This Row],[In Stock Date]]&lt;&gt;"",Main[[#This Row],[Revised Due Date]]&lt;&gt;""),Main[[#This Row],[In Stock Date]]-Main[[#This Row],[Revised Due Date]],"")</f>
        <v/>
      </c>
      <c r="I902" s="99" t="s">
        <v>4</v>
      </c>
      <c r="J902" s="99" t="s">
        <v>28</v>
      </c>
      <c r="K902" s="99" t="s">
        <v>1969</v>
      </c>
      <c r="L902" s="101"/>
      <c r="M902" s="104" t="str">
        <f>IF(Main[[#This Row],[Tech Start Date]]&lt;1/1/1990,"",IF(Main[[#This Row],[Class]]="C",WORKDAY(Main[[#This Row],[Tech Start Date]],9),IF(Main[[#This Row],[Class]]="B", WORKDAY(Main[[#This Row],[Tech Start Date]],6),IF(Main[[#This Row],[Class]]="A",WORKDAY(Main[[#This Row],[Tech Start Date]],2),""))))</f>
        <v/>
      </c>
      <c r="N902" s="104" t="str">
        <f>IF(Main[[#This Row],[Tech Start Date]]&lt;1/1/1990,"",IF(Main[[#This Row],[Class]]="C",WORKDAY(Main[[#This Row],[Tech Start Date]],19),IF(Main[[#This Row],[Class]]="B", WORKDAY(Main[[#This Row],[Tech Start Date]],12),IF(Main[[#This Row],[Class]]="A",WORKDAY(Main[[#This Row],[Tech Start Date]],4),""))))</f>
        <v/>
      </c>
      <c r="O902" s="104" t="str">
        <f>IF(Main[[#This Row],[Tech Start Date]]&lt;1/1/1990,"",IF(Main[[#This Row],[Class]]="C",WORKDAY(Main[[#This Row],[Tech Start Date]],23),IF(Main[[#This Row],[Class]]="B", WORKDAY(Main[[#This Row],[Tech Start Date]],15),IF(Main[[#This Row],[Class]]="A",WORKDAY(Main[[#This Row],[Tech Start Date]],5),""))))</f>
        <v/>
      </c>
      <c r="P902" s="104" t="str">
        <f>IF(Main[[#This Row],[Tech Start Date]]&lt;1/1/1990,"",IF(Main[[#This Row],[Class]]="C",WORKDAY(Main[[#This Row],[Tech Start Date]],28),IF(Main[[#This Row],[Class]]="B", WORKDAY(Main[[#This Row],[Tech Start Date]],19),IF(Main[[#This Row],[Class]]="A",WORKDAY(Main[[#This Row],[Tech Start Date]],9),""))))</f>
        <v/>
      </c>
      <c r="Q902" s="101">
        <v>40555</v>
      </c>
      <c r="R902" s="101"/>
      <c r="S902" s="99" t="s">
        <v>6</v>
      </c>
      <c r="T902" s="107" t="s">
        <v>4</v>
      </c>
      <c r="U902" s="99" t="s">
        <v>7</v>
      </c>
      <c r="V902" s="99" t="s">
        <v>1962</v>
      </c>
      <c r="W902" s="99" t="s">
        <v>1966</v>
      </c>
    </row>
    <row r="903" spans="1:23" ht="18.600000000000001" customHeight="1">
      <c r="A903" s="123" t="str">
        <f>IF(priority(Main[[#This Row],[Comments]])&lt;&gt;0, priority(Main[[#This Row],[Comments]]),"")</f>
        <v/>
      </c>
      <c r="B903" s="127" t="s">
        <v>1672</v>
      </c>
      <c r="C903" s="99" t="s">
        <v>4</v>
      </c>
      <c r="D903" s="100" t="s">
        <v>2510</v>
      </c>
      <c r="E903" s="101">
        <v>40567.655532407407</v>
      </c>
      <c r="F903" s="101">
        <v>40602</v>
      </c>
      <c r="G903" s="102" t="str">
        <f>IF(stdProdLT(Main[[#This Row],[Comments]])=0.1,"N/A",IF(stdProdLT(Main[[#This Row],[Comments]])=0,"",stdProdLT(Main[[#This Row],[Comments]])))</f>
        <v/>
      </c>
      <c r="H903" s="103" t="str">
        <f>IF(AND(Main[[#This Row],[In Stock Date]]&lt;&gt;"",Main[[#This Row],[Revised Due Date]]&lt;&gt;""),Main[[#This Row],[In Stock Date]]-Main[[#This Row],[Revised Due Date]],"")</f>
        <v/>
      </c>
      <c r="I903" s="99" t="s">
        <v>929</v>
      </c>
      <c r="J903" s="99" t="s">
        <v>52</v>
      </c>
      <c r="K903" s="99" t="s">
        <v>1971</v>
      </c>
      <c r="L903" s="101"/>
      <c r="M903" s="104" t="str">
        <f>IF(Main[[#This Row],[Tech Start Date]]&lt;1/1/1990,"",IF(Main[[#This Row],[Class]]="C",WORKDAY(Main[[#This Row],[Tech Start Date]],9),IF(Main[[#This Row],[Class]]="B", WORKDAY(Main[[#This Row],[Tech Start Date]],6),IF(Main[[#This Row],[Class]]="A",WORKDAY(Main[[#This Row],[Tech Start Date]],2),""))))</f>
        <v/>
      </c>
      <c r="N903" s="104" t="str">
        <f>IF(Main[[#This Row],[Tech Start Date]]&lt;1/1/1990,"",IF(Main[[#This Row],[Class]]="C",WORKDAY(Main[[#This Row],[Tech Start Date]],19),IF(Main[[#This Row],[Class]]="B", WORKDAY(Main[[#This Row],[Tech Start Date]],12),IF(Main[[#This Row],[Class]]="A",WORKDAY(Main[[#This Row],[Tech Start Date]],4),""))))</f>
        <v/>
      </c>
      <c r="O903" s="104" t="str">
        <f>IF(Main[[#This Row],[Tech Start Date]]&lt;1/1/1990,"",IF(Main[[#This Row],[Class]]="C",WORKDAY(Main[[#This Row],[Tech Start Date]],23),IF(Main[[#This Row],[Class]]="B", WORKDAY(Main[[#This Row],[Tech Start Date]],15),IF(Main[[#This Row],[Class]]="A",WORKDAY(Main[[#This Row],[Tech Start Date]],5),""))))</f>
        <v/>
      </c>
      <c r="P903" s="104" t="str">
        <f>IF(Main[[#This Row],[Tech Start Date]]&lt;1/1/1990,"",IF(Main[[#This Row],[Class]]="C",WORKDAY(Main[[#This Row],[Tech Start Date]],28),IF(Main[[#This Row],[Class]]="B", WORKDAY(Main[[#This Row],[Tech Start Date]],19),IF(Main[[#This Row],[Class]]="A",WORKDAY(Main[[#This Row],[Tech Start Date]],9),""))))</f>
        <v/>
      </c>
      <c r="Q903" s="101">
        <v>40602</v>
      </c>
      <c r="R903" s="101"/>
      <c r="S903" s="99" t="s">
        <v>6</v>
      </c>
      <c r="T903" s="107" t="s">
        <v>4</v>
      </c>
      <c r="U903" s="99" t="s">
        <v>29</v>
      </c>
      <c r="V903" s="99" t="s">
        <v>1962</v>
      </c>
      <c r="W903" s="99" t="s">
        <v>1964</v>
      </c>
    </row>
    <row r="904" spans="1:23" ht="18.600000000000001" customHeight="1">
      <c r="A904" s="123" t="str">
        <f>IF(priority(Main[[#This Row],[Comments]])&lt;&gt;0, priority(Main[[#This Row],[Comments]]),"")</f>
        <v/>
      </c>
      <c r="B904" s="127" t="s">
        <v>1749</v>
      </c>
      <c r="C904" s="99" t="s">
        <v>31</v>
      </c>
      <c r="D904" s="100" t="s">
        <v>781</v>
      </c>
      <c r="E904" s="101"/>
      <c r="F904" s="101">
        <v>40664</v>
      </c>
      <c r="G904" s="102" t="str">
        <f>IF(stdProdLT(Main[[#This Row],[Comments]])=0.1,"N/A",IF(stdProdLT(Main[[#This Row],[Comments]])=0,"",stdProdLT(Main[[#This Row],[Comments]])))</f>
        <v/>
      </c>
      <c r="H904" s="103" t="str">
        <f>IF(AND(Main[[#This Row],[In Stock Date]]&lt;&gt;"",Main[[#This Row],[Revised Due Date]]&lt;&gt;""),Main[[#This Row],[In Stock Date]]-Main[[#This Row],[Revised Due Date]],"")</f>
        <v/>
      </c>
      <c r="I904" s="99" t="s">
        <v>4</v>
      </c>
      <c r="J904" s="99" t="s">
        <v>28</v>
      </c>
      <c r="K904" s="99" t="s">
        <v>4</v>
      </c>
      <c r="L904" s="101"/>
      <c r="M904" s="104" t="str">
        <f>IF(Main[[#This Row],[Tech Start Date]]&lt;1/1/1990,"",IF(Main[[#This Row],[Class]]="C",WORKDAY(Main[[#This Row],[Tech Start Date]],9),IF(Main[[#This Row],[Class]]="B", WORKDAY(Main[[#This Row],[Tech Start Date]],6),IF(Main[[#This Row],[Class]]="A",WORKDAY(Main[[#This Row],[Tech Start Date]],2),""))))</f>
        <v/>
      </c>
      <c r="N904" s="104" t="str">
        <f>IF(Main[[#This Row],[Tech Start Date]]&lt;1/1/1990,"",IF(Main[[#This Row],[Class]]="C",WORKDAY(Main[[#This Row],[Tech Start Date]],19),IF(Main[[#This Row],[Class]]="B", WORKDAY(Main[[#This Row],[Tech Start Date]],12),IF(Main[[#This Row],[Class]]="A",WORKDAY(Main[[#This Row],[Tech Start Date]],4),""))))</f>
        <v/>
      </c>
      <c r="O904" s="104" t="str">
        <f>IF(Main[[#This Row],[Tech Start Date]]&lt;1/1/1990,"",IF(Main[[#This Row],[Class]]="C",WORKDAY(Main[[#This Row],[Tech Start Date]],23),IF(Main[[#This Row],[Class]]="B", WORKDAY(Main[[#This Row],[Tech Start Date]],15),IF(Main[[#This Row],[Class]]="A",WORKDAY(Main[[#This Row],[Tech Start Date]],5),""))))</f>
        <v/>
      </c>
      <c r="P904" s="104" t="str">
        <f>IF(Main[[#This Row],[Tech Start Date]]&lt;1/1/1990,"",IF(Main[[#This Row],[Class]]="C",WORKDAY(Main[[#This Row],[Tech Start Date]],28),IF(Main[[#This Row],[Class]]="B", WORKDAY(Main[[#This Row],[Tech Start Date]],19),IF(Main[[#This Row],[Class]]="A",WORKDAY(Main[[#This Row],[Tech Start Date]],9),""))))</f>
        <v/>
      </c>
      <c r="Q904" s="101">
        <v>40589</v>
      </c>
      <c r="R904" s="101"/>
      <c r="S904" s="99" t="s">
        <v>11</v>
      </c>
      <c r="T904" s="107" t="s">
        <v>4</v>
      </c>
      <c r="U904" s="99" t="s">
        <v>12</v>
      </c>
      <c r="V904" s="99" t="s">
        <v>1965</v>
      </c>
      <c r="W904" s="99" t="s">
        <v>1968</v>
      </c>
    </row>
    <row r="905" spans="1:23" ht="18.600000000000001" customHeight="1">
      <c r="A905" s="123" t="str">
        <f>IF(priority(Main[[#This Row],[Comments]])&lt;&gt;0, priority(Main[[#This Row],[Comments]]),"")</f>
        <v/>
      </c>
      <c r="B905" s="127" t="s">
        <v>1750</v>
      </c>
      <c r="C905" s="99" t="s">
        <v>4</v>
      </c>
      <c r="D905" s="100" t="s">
        <v>782</v>
      </c>
      <c r="E905" s="101"/>
      <c r="F905" s="101"/>
      <c r="G905" s="102" t="str">
        <f>IF(stdProdLT(Main[[#This Row],[Comments]])=0.1,"N/A",IF(stdProdLT(Main[[#This Row],[Comments]])=0,"",stdProdLT(Main[[#This Row],[Comments]])))</f>
        <v/>
      </c>
      <c r="H905" s="103" t="str">
        <f>IF(AND(Main[[#This Row],[In Stock Date]]&lt;&gt;"",Main[[#This Row],[Revised Due Date]]&lt;&gt;""),Main[[#This Row],[In Stock Date]]-Main[[#This Row],[Revised Due Date]],"")</f>
        <v/>
      </c>
      <c r="I905" s="99" t="s">
        <v>4</v>
      </c>
      <c r="J905" s="99" t="s">
        <v>4</v>
      </c>
      <c r="K905" s="99" t="s">
        <v>4</v>
      </c>
      <c r="L905" s="101"/>
      <c r="M905" s="104" t="str">
        <f>IF(Main[[#This Row],[Tech Start Date]]&lt;1/1/1990,"",IF(Main[[#This Row],[Class]]="C",WORKDAY(Main[[#This Row],[Tech Start Date]],9),IF(Main[[#This Row],[Class]]="B", WORKDAY(Main[[#This Row],[Tech Start Date]],6),IF(Main[[#This Row],[Class]]="A",WORKDAY(Main[[#This Row],[Tech Start Date]],2),""))))</f>
        <v/>
      </c>
      <c r="N905" s="104" t="str">
        <f>IF(Main[[#This Row],[Tech Start Date]]&lt;1/1/1990,"",IF(Main[[#This Row],[Class]]="C",WORKDAY(Main[[#This Row],[Tech Start Date]],19),IF(Main[[#This Row],[Class]]="B", WORKDAY(Main[[#This Row],[Tech Start Date]],12),IF(Main[[#This Row],[Class]]="A",WORKDAY(Main[[#This Row],[Tech Start Date]],4),""))))</f>
        <v/>
      </c>
      <c r="O905" s="104" t="str">
        <f>IF(Main[[#This Row],[Tech Start Date]]&lt;1/1/1990,"",IF(Main[[#This Row],[Class]]="C",WORKDAY(Main[[#This Row],[Tech Start Date]],23),IF(Main[[#This Row],[Class]]="B", WORKDAY(Main[[#This Row],[Tech Start Date]],15),IF(Main[[#This Row],[Class]]="A",WORKDAY(Main[[#This Row],[Tech Start Date]],5),""))))</f>
        <v/>
      </c>
      <c r="P905" s="104" t="str">
        <f>IF(Main[[#This Row],[Tech Start Date]]&lt;1/1/1990,"",IF(Main[[#This Row],[Class]]="C",WORKDAY(Main[[#This Row],[Tech Start Date]],28),IF(Main[[#This Row],[Class]]="B", WORKDAY(Main[[#This Row],[Tech Start Date]],19),IF(Main[[#This Row],[Class]]="A",WORKDAY(Main[[#This Row],[Tech Start Date]],9),""))))</f>
        <v/>
      </c>
      <c r="Q905" s="101"/>
      <c r="R905" s="101"/>
      <c r="S905" s="99" t="s">
        <v>6</v>
      </c>
      <c r="T905" s="107" t="s">
        <v>4</v>
      </c>
      <c r="U905" s="99" t="s">
        <v>12</v>
      </c>
      <c r="V905" s="99" t="s">
        <v>1962</v>
      </c>
      <c r="W905" s="99" t="s">
        <v>1966</v>
      </c>
    </row>
    <row r="906" spans="1:23" ht="18.600000000000001" customHeight="1">
      <c r="A906" s="123" t="str">
        <f>IF(priority(Main[[#This Row],[Comments]])&lt;&gt;0, priority(Main[[#This Row],[Comments]]),"")</f>
        <v/>
      </c>
      <c r="B906" s="127" t="s">
        <v>1681</v>
      </c>
      <c r="C906" s="99" t="s">
        <v>4</v>
      </c>
      <c r="D906" s="100" t="s">
        <v>722</v>
      </c>
      <c r="E906" s="101"/>
      <c r="F906" s="101"/>
      <c r="G906" s="102" t="str">
        <f>IF(stdProdLT(Main[[#This Row],[Comments]])=0.1,"N/A",IF(stdProdLT(Main[[#This Row],[Comments]])=0,"",stdProdLT(Main[[#This Row],[Comments]])))</f>
        <v/>
      </c>
      <c r="H906" s="103" t="str">
        <f>IF(AND(Main[[#This Row],[In Stock Date]]&lt;&gt;"",Main[[#This Row],[Revised Due Date]]&lt;&gt;""),Main[[#This Row],[In Stock Date]]-Main[[#This Row],[Revised Due Date]],"")</f>
        <v/>
      </c>
      <c r="I906" s="99" t="s">
        <v>4</v>
      </c>
      <c r="J906" s="99" t="s">
        <v>4</v>
      </c>
      <c r="K906" s="99" t="s">
        <v>4</v>
      </c>
      <c r="L906" s="101"/>
      <c r="M906" s="104" t="str">
        <f>IF(Main[[#This Row],[Tech Start Date]]&lt;1/1/1990,"",IF(Main[[#This Row],[Class]]="C",WORKDAY(Main[[#This Row],[Tech Start Date]],9),IF(Main[[#This Row],[Class]]="B", WORKDAY(Main[[#This Row],[Tech Start Date]],6),IF(Main[[#This Row],[Class]]="A",WORKDAY(Main[[#This Row],[Tech Start Date]],2),""))))</f>
        <v/>
      </c>
      <c r="N906" s="104" t="str">
        <f>IF(Main[[#This Row],[Tech Start Date]]&lt;1/1/1990,"",IF(Main[[#This Row],[Class]]="C",WORKDAY(Main[[#This Row],[Tech Start Date]],19),IF(Main[[#This Row],[Class]]="B", WORKDAY(Main[[#This Row],[Tech Start Date]],12),IF(Main[[#This Row],[Class]]="A",WORKDAY(Main[[#This Row],[Tech Start Date]],4),""))))</f>
        <v/>
      </c>
      <c r="O906" s="104" t="str">
        <f>IF(Main[[#This Row],[Tech Start Date]]&lt;1/1/1990,"",IF(Main[[#This Row],[Class]]="C",WORKDAY(Main[[#This Row],[Tech Start Date]],23),IF(Main[[#This Row],[Class]]="B", WORKDAY(Main[[#This Row],[Tech Start Date]],15),IF(Main[[#This Row],[Class]]="A",WORKDAY(Main[[#This Row],[Tech Start Date]],5),""))))</f>
        <v/>
      </c>
      <c r="P906" s="104" t="str">
        <f>IF(Main[[#This Row],[Tech Start Date]]&lt;1/1/1990,"",IF(Main[[#This Row],[Class]]="C",WORKDAY(Main[[#This Row],[Tech Start Date]],28),IF(Main[[#This Row],[Class]]="B", WORKDAY(Main[[#This Row],[Tech Start Date]],19),IF(Main[[#This Row],[Class]]="A",WORKDAY(Main[[#This Row],[Tech Start Date]],9),""))))</f>
        <v/>
      </c>
      <c r="Q906" s="101">
        <v>40672</v>
      </c>
      <c r="R906" s="101"/>
      <c r="S906" s="99" t="s">
        <v>6</v>
      </c>
      <c r="T906" s="107" t="s">
        <v>4</v>
      </c>
      <c r="U906" s="99" t="s">
        <v>14</v>
      </c>
      <c r="V906" s="99" t="s">
        <v>1965</v>
      </c>
      <c r="W906" s="99" t="s">
        <v>4</v>
      </c>
    </row>
    <row r="907" spans="1:23" ht="18.600000000000001" customHeight="1">
      <c r="A907" s="123" t="str">
        <f>IF(priority(Main[[#This Row],[Comments]])&lt;&gt;0, priority(Main[[#This Row],[Comments]]),"")</f>
        <v/>
      </c>
      <c r="B907" s="127" t="s">
        <v>1764</v>
      </c>
      <c r="C907" s="99" t="s">
        <v>792</v>
      </c>
      <c r="D907" s="100" t="s">
        <v>793</v>
      </c>
      <c r="E907" s="101"/>
      <c r="F907" s="101">
        <v>40591</v>
      </c>
      <c r="G907" s="102" t="str">
        <f>IF(stdProdLT(Main[[#This Row],[Comments]])=0.1,"N/A",IF(stdProdLT(Main[[#This Row],[Comments]])=0,"",stdProdLT(Main[[#This Row],[Comments]])))</f>
        <v/>
      </c>
      <c r="H907" s="103" t="str">
        <f>IF(AND(Main[[#This Row],[In Stock Date]]&lt;&gt;"",Main[[#This Row],[Revised Due Date]]&lt;&gt;""),Main[[#This Row],[In Stock Date]]-Main[[#This Row],[Revised Due Date]],"")</f>
        <v/>
      </c>
      <c r="I907" s="99" t="s">
        <v>4</v>
      </c>
      <c r="J907" s="99" t="s">
        <v>4</v>
      </c>
      <c r="K907" s="99" t="s">
        <v>1974</v>
      </c>
      <c r="L907" s="101"/>
      <c r="M907" s="104" t="str">
        <f>IF(Main[[#This Row],[Tech Start Date]]&lt;1/1/1990,"",IF(Main[[#This Row],[Class]]="C",WORKDAY(Main[[#This Row],[Tech Start Date]],9),IF(Main[[#This Row],[Class]]="B", WORKDAY(Main[[#This Row],[Tech Start Date]],6),IF(Main[[#This Row],[Class]]="A",WORKDAY(Main[[#This Row],[Tech Start Date]],2),""))))</f>
        <v/>
      </c>
      <c r="N907" s="104" t="str">
        <f>IF(Main[[#This Row],[Tech Start Date]]&lt;1/1/1990,"",IF(Main[[#This Row],[Class]]="C",WORKDAY(Main[[#This Row],[Tech Start Date]],19),IF(Main[[#This Row],[Class]]="B", WORKDAY(Main[[#This Row],[Tech Start Date]],12),IF(Main[[#This Row],[Class]]="A",WORKDAY(Main[[#This Row],[Tech Start Date]],4),""))))</f>
        <v/>
      </c>
      <c r="O907" s="104" t="str">
        <f>IF(Main[[#This Row],[Tech Start Date]]&lt;1/1/1990,"",IF(Main[[#This Row],[Class]]="C",WORKDAY(Main[[#This Row],[Tech Start Date]],23),IF(Main[[#This Row],[Class]]="B", WORKDAY(Main[[#This Row],[Tech Start Date]],15),IF(Main[[#This Row],[Class]]="A",WORKDAY(Main[[#This Row],[Tech Start Date]],5),""))))</f>
        <v/>
      </c>
      <c r="P907" s="104" t="str">
        <f>IF(Main[[#This Row],[Tech Start Date]]&lt;1/1/1990,"",IF(Main[[#This Row],[Class]]="C",WORKDAY(Main[[#This Row],[Tech Start Date]],28),IF(Main[[#This Row],[Class]]="B", WORKDAY(Main[[#This Row],[Tech Start Date]],19),IF(Main[[#This Row],[Class]]="A",WORKDAY(Main[[#This Row],[Tech Start Date]],9),""))))</f>
        <v/>
      </c>
      <c r="Q907" s="101">
        <v>40514</v>
      </c>
      <c r="R907" s="101"/>
      <c r="S907" s="99" t="s">
        <v>11</v>
      </c>
      <c r="T907" s="107" t="s">
        <v>794</v>
      </c>
      <c r="U907" s="99" t="s">
        <v>14</v>
      </c>
      <c r="V907" s="99" t="s">
        <v>1962</v>
      </c>
      <c r="W907" s="99" t="s">
        <v>1967</v>
      </c>
    </row>
    <row r="908" spans="1:23" ht="18.600000000000001" customHeight="1">
      <c r="A908" s="123" t="str">
        <f>IF(priority(Main[[#This Row],[Comments]])&lt;&gt;0, priority(Main[[#This Row],[Comments]]),"")</f>
        <v/>
      </c>
      <c r="B908" s="127" t="s">
        <v>1768</v>
      </c>
      <c r="C908" s="99" t="s">
        <v>4</v>
      </c>
      <c r="D908" s="100" t="s">
        <v>797</v>
      </c>
      <c r="E908" s="101">
        <v>40646.604930555557</v>
      </c>
      <c r="F908" s="101"/>
      <c r="G908" s="102" t="str">
        <f>IF(stdProdLT(Main[[#This Row],[Comments]])=0.1,"N/A",IF(stdProdLT(Main[[#This Row],[Comments]])=0,"",stdProdLT(Main[[#This Row],[Comments]])))</f>
        <v/>
      </c>
      <c r="H908" s="103" t="str">
        <f>IF(AND(Main[[#This Row],[In Stock Date]]&lt;&gt;"",Main[[#This Row],[Revised Due Date]]&lt;&gt;""),Main[[#This Row],[In Stock Date]]-Main[[#This Row],[Revised Due Date]],"")</f>
        <v/>
      </c>
      <c r="I908" s="99" t="s">
        <v>4</v>
      </c>
      <c r="J908" s="99" t="s">
        <v>4</v>
      </c>
      <c r="K908" s="99" t="s">
        <v>4</v>
      </c>
      <c r="L908" s="101"/>
      <c r="M908" s="104" t="str">
        <f>IF(Main[[#This Row],[Tech Start Date]]&lt;1/1/1990,"",IF(Main[[#This Row],[Class]]="C",WORKDAY(Main[[#This Row],[Tech Start Date]],9),IF(Main[[#This Row],[Class]]="B", WORKDAY(Main[[#This Row],[Tech Start Date]],6),IF(Main[[#This Row],[Class]]="A",WORKDAY(Main[[#This Row],[Tech Start Date]],2),""))))</f>
        <v/>
      </c>
      <c r="N908" s="104" t="str">
        <f>IF(Main[[#This Row],[Tech Start Date]]&lt;1/1/1990,"",IF(Main[[#This Row],[Class]]="C",WORKDAY(Main[[#This Row],[Tech Start Date]],19),IF(Main[[#This Row],[Class]]="B", WORKDAY(Main[[#This Row],[Tech Start Date]],12),IF(Main[[#This Row],[Class]]="A",WORKDAY(Main[[#This Row],[Tech Start Date]],4),""))))</f>
        <v/>
      </c>
      <c r="O908" s="104" t="str">
        <f>IF(Main[[#This Row],[Tech Start Date]]&lt;1/1/1990,"",IF(Main[[#This Row],[Class]]="C",WORKDAY(Main[[#This Row],[Tech Start Date]],23),IF(Main[[#This Row],[Class]]="B", WORKDAY(Main[[#This Row],[Tech Start Date]],15),IF(Main[[#This Row],[Class]]="A",WORKDAY(Main[[#This Row],[Tech Start Date]],5),""))))</f>
        <v/>
      </c>
      <c r="P908" s="104" t="str">
        <f>IF(Main[[#This Row],[Tech Start Date]]&lt;1/1/1990,"",IF(Main[[#This Row],[Class]]="C",WORKDAY(Main[[#This Row],[Tech Start Date]],28),IF(Main[[#This Row],[Class]]="B", WORKDAY(Main[[#This Row],[Tech Start Date]],19),IF(Main[[#This Row],[Class]]="A",WORKDAY(Main[[#This Row],[Tech Start Date]],9),""))))</f>
        <v/>
      </c>
      <c r="Q908" s="101">
        <v>40683</v>
      </c>
      <c r="R908" s="101"/>
      <c r="S908" s="99" t="s">
        <v>6</v>
      </c>
      <c r="T908" s="107" t="s">
        <v>4</v>
      </c>
      <c r="U908" s="99" t="s">
        <v>7</v>
      </c>
      <c r="V908" s="99" t="s">
        <v>1962</v>
      </c>
      <c r="W908" s="99" t="s">
        <v>4</v>
      </c>
    </row>
    <row r="909" spans="1:23" ht="18.600000000000001" customHeight="1">
      <c r="A909" s="123" t="str">
        <f>IF(priority(Main[[#This Row],[Comments]])&lt;&gt;0, priority(Main[[#This Row],[Comments]]),"")</f>
        <v/>
      </c>
      <c r="B909" s="127" t="s">
        <v>1771</v>
      </c>
      <c r="C909" s="99" t="s">
        <v>4</v>
      </c>
      <c r="D909" s="100" t="s">
        <v>799</v>
      </c>
      <c r="E909" s="101">
        <v>40371.351643518516</v>
      </c>
      <c r="F909" s="101"/>
      <c r="G909" s="102" t="str">
        <f>IF(stdProdLT(Main[[#This Row],[Comments]])=0.1,"N/A",IF(stdProdLT(Main[[#This Row],[Comments]])=0,"",stdProdLT(Main[[#This Row],[Comments]])))</f>
        <v/>
      </c>
      <c r="H909" s="103" t="str">
        <f>IF(AND(Main[[#This Row],[In Stock Date]]&lt;&gt;"",Main[[#This Row],[Revised Due Date]]&lt;&gt;""),Main[[#This Row],[In Stock Date]]-Main[[#This Row],[Revised Due Date]],"")</f>
        <v/>
      </c>
      <c r="I909" s="99" t="s">
        <v>4</v>
      </c>
      <c r="J909" s="99" t="s">
        <v>4</v>
      </c>
      <c r="K909" s="99" t="s">
        <v>4</v>
      </c>
      <c r="L909" s="101"/>
      <c r="M909" s="104" t="str">
        <f>IF(Main[[#This Row],[Tech Start Date]]&lt;1/1/1990,"",IF(Main[[#This Row],[Class]]="C",WORKDAY(Main[[#This Row],[Tech Start Date]],9),IF(Main[[#This Row],[Class]]="B", WORKDAY(Main[[#This Row],[Tech Start Date]],6),IF(Main[[#This Row],[Class]]="A",WORKDAY(Main[[#This Row],[Tech Start Date]],2),""))))</f>
        <v/>
      </c>
      <c r="N909" s="104" t="str">
        <f>IF(Main[[#This Row],[Tech Start Date]]&lt;1/1/1990,"",IF(Main[[#This Row],[Class]]="C",WORKDAY(Main[[#This Row],[Tech Start Date]],19),IF(Main[[#This Row],[Class]]="B", WORKDAY(Main[[#This Row],[Tech Start Date]],12),IF(Main[[#This Row],[Class]]="A",WORKDAY(Main[[#This Row],[Tech Start Date]],4),""))))</f>
        <v/>
      </c>
      <c r="O909" s="104" t="str">
        <f>IF(Main[[#This Row],[Tech Start Date]]&lt;1/1/1990,"",IF(Main[[#This Row],[Class]]="C",WORKDAY(Main[[#This Row],[Tech Start Date]],23),IF(Main[[#This Row],[Class]]="B", WORKDAY(Main[[#This Row],[Tech Start Date]],15),IF(Main[[#This Row],[Class]]="A",WORKDAY(Main[[#This Row],[Tech Start Date]],5),""))))</f>
        <v/>
      </c>
      <c r="P909" s="104" t="str">
        <f>IF(Main[[#This Row],[Tech Start Date]]&lt;1/1/1990,"",IF(Main[[#This Row],[Class]]="C",WORKDAY(Main[[#This Row],[Tech Start Date]],28),IF(Main[[#This Row],[Class]]="B", WORKDAY(Main[[#This Row],[Tech Start Date]],19),IF(Main[[#This Row],[Class]]="A",WORKDAY(Main[[#This Row],[Tech Start Date]],9),""))))</f>
        <v/>
      </c>
      <c r="Q909" s="101">
        <v>40385</v>
      </c>
      <c r="R909" s="101"/>
      <c r="S909" s="99" t="s">
        <v>6</v>
      </c>
      <c r="T909" s="107" t="s">
        <v>4</v>
      </c>
      <c r="U909" s="99" t="s">
        <v>7</v>
      </c>
      <c r="V909" s="99" t="s">
        <v>1962</v>
      </c>
      <c r="W909" s="99" t="s">
        <v>1964</v>
      </c>
    </row>
    <row r="910" spans="1:23" ht="18.600000000000001" customHeight="1">
      <c r="A910" s="123" t="str">
        <f>IF(priority(Main[[#This Row],[Comments]])&lt;&gt;0, priority(Main[[#This Row],[Comments]]),"")</f>
        <v/>
      </c>
      <c r="B910" s="127" t="s">
        <v>1796</v>
      </c>
      <c r="C910" s="99" t="s">
        <v>4</v>
      </c>
      <c r="D910" s="100" t="s">
        <v>808</v>
      </c>
      <c r="E910" s="101"/>
      <c r="F910" s="101"/>
      <c r="G910" s="102" t="str">
        <f>IF(stdProdLT(Main[[#This Row],[Comments]])=0.1,"N/A",IF(stdProdLT(Main[[#This Row],[Comments]])=0,"",stdProdLT(Main[[#This Row],[Comments]])))</f>
        <v/>
      </c>
      <c r="H910" s="103" t="str">
        <f>IF(AND(Main[[#This Row],[In Stock Date]]&lt;&gt;"",Main[[#This Row],[Revised Due Date]]&lt;&gt;""),Main[[#This Row],[In Stock Date]]-Main[[#This Row],[Revised Due Date]],"")</f>
        <v/>
      </c>
      <c r="I910" s="99" t="s">
        <v>4</v>
      </c>
      <c r="J910" s="99" t="s">
        <v>4</v>
      </c>
      <c r="K910" s="99" t="s">
        <v>4</v>
      </c>
      <c r="L910" s="101"/>
      <c r="M910" s="104" t="str">
        <f>IF(Main[[#This Row],[Tech Start Date]]&lt;1/1/1990,"",IF(Main[[#This Row],[Class]]="C",WORKDAY(Main[[#This Row],[Tech Start Date]],9),IF(Main[[#This Row],[Class]]="B", WORKDAY(Main[[#This Row],[Tech Start Date]],6),IF(Main[[#This Row],[Class]]="A",WORKDAY(Main[[#This Row],[Tech Start Date]],2),""))))</f>
        <v/>
      </c>
      <c r="N910" s="104" t="str">
        <f>IF(Main[[#This Row],[Tech Start Date]]&lt;1/1/1990,"",IF(Main[[#This Row],[Class]]="C",WORKDAY(Main[[#This Row],[Tech Start Date]],19),IF(Main[[#This Row],[Class]]="B", WORKDAY(Main[[#This Row],[Tech Start Date]],12),IF(Main[[#This Row],[Class]]="A",WORKDAY(Main[[#This Row],[Tech Start Date]],4),""))))</f>
        <v/>
      </c>
      <c r="O910" s="104" t="str">
        <f>IF(Main[[#This Row],[Tech Start Date]]&lt;1/1/1990,"",IF(Main[[#This Row],[Class]]="C",WORKDAY(Main[[#This Row],[Tech Start Date]],23),IF(Main[[#This Row],[Class]]="B", WORKDAY(Main[[#This Row],[Tech Start Date]],15),IF(Main[[#This Row],[Class]]="A",WORKDAY(Main[[#This Row],[Tech Start Date]],5),""))))</f>
        <v/>
      </c>
      <c r="P910" s="104" t="str">
        <f>IF(Main[[#This Row],[Tech Start Date]]&lt;1/1/1990,"",IF(Main[[#This Row],[Class]]="C",WORKDAY(Main[[#This Row],[Tech Start Date]],28),IF(Main[[#This Row],[Class]]="B", WORKDAY(Main[[#This Row],[Tech Start Date]],19),IF(Main[[#This Row],[Class]]="A",WORKDAY(Main[[#This Row],[Tech Start Date]],9),""))))</f>
        <v/>
      </c>
      <c r="Q910" s="101"/>
      <c r="R910" s="101"/>
      <c r="S910" s="99" t="s">
        <v>23</v>
      </c>
      <c r="T910" s="107" t="s">
        <v>4</v>
      </c>
      <c r="U910" s="99" t="s">
        <v>14</v>
      </c>
      <c r="V910" s="99" t="s">
        <v>1965</v>
      </c>
      <c r="W910" s="99" t="s">
        <v>1966</v>
      </c>
    </row>
    <row r="911" spans="1:23" ht="18.600000000000001" customHeight="1">
      <c r="A911" s="123" t="str">
        <f>IF(priority(Main[[#This Row],[Comments]])&lt;&gt;0, priority(Main[[#This Row],[Comments]]),"")</f>
        <v/>
      </c>
      <c r="B911" s="127" t="s">
        <v>1797</v>
      </c>
      <c r="C911" s="99" t="s">
        <v>122</v>
      </c>
      <c r="D911" s="100" t="s">
        <v>809</v>
      </c>
      <c r="E911" s="101"/>
      <c r="F911" s="101"/>
      <c r="G911" s="102" t="str">
        <f>IF(stdProdLT(Main[[#This Row],[Comments]])=0.1,"N/A",IF(stdProdLT(Main[[#This Row],[Comments]])=0,"",stdProdLT(Main[[#This Row],[Comments]])))</f>
        <v/>
      </c>
      <c r="H911" s="103" t="str">
        <f>IF(AND(Main[[#This Row],[In Stock Date]]&lt;&gt;"",Main[[#This Row],[Revised Due Date]]&lt;&gt;""),Main[[#This Row],[In Stock Date]]-Main[[#This Row],[Revised Due Date]],"")</f>
        <v/>
      </c>
      <c r="I911" s="99" t="s">
        <v>4</v>
      </c>
      <c r="J911" s="99" t="s">
        <v>4</v>
      </c>
      <c r="K911" s="108" t="s">
        <v>4</v>
      </c>
      <c r="L911" s="101"/>
      <c r="M911" s="104" t="str">
        <f>IF(Main[[#This Row],[Tech Start Date]]&lt;1/1/1990,"",IF(Main[[#This Row],[Class]]="C",WORKDAY(Main[[#This Row],[Tech Start Date]],9),IF(Main[[#This Row],[Class]]="B", WORKDAY(Main[[#This Row],[Tech Start Date]],6),IF(Main[[#This Row],[Class]]="A",WORKDAY(Main[[#This Row],[Tech Start Date]],2),""))))</f>
        <v/>
      </c>
      <c r="N911" s="104" t="str">
        <f>IF(Main[[#This Row],[Tech Start Date]]&lt;1/1/1990,"",IF(Main[[#This Row],[Class]]="C",WORKDAY(Main[[#This Row],[Tech Start Date]],19),IF(Main[[#This Row],[Class]]="B", WORKDAY(Main[[#This Row],[Tech Start Date]],12),IF(Main[[#This Row],[Class]]="A",WORKDAY(Main[[#This Row],[Tech Start Date]],4),""))))</f>
        <v/>
      </c>
      <c r="O911" s="104" t="str">
        <f>IF(Main[[#This Row],[Tech Start Date]]&lt;1/1/1990,"",IF(Main[[#This Row],[Class]]="C",WORKDAY(Main[[#This Row],[Tech Start Date]],23),IF(Main[[#This Row],[Class]]="B", WORKDAY(Main[[#This Row],[Tech Start Date]],15),IF(Main[[#This Row],[Class]]="A",WORKDAY(Main[[#This Row],[Tech Start Date]],5),""))))</f>
        <v/>
      </c>
      <c r="P911" s="104" t="str">
        <f>IF(Main[[#This Row],[Tech Start Date]]&lt;1/1/1990,"",IF(Main[[#This Row],[Class]]="C",WORKDAY(Main[[#This Row],[Tech Start Date]],28),IF(Main[[#This Row],[Class]]="B", WORKDAY(Main[[#This Row],[Tech Start Date]],19),IF(Main[[#This Row],[Class]]="A",WORKDAY(Main[[#This Row],[Tech Start Date]],9),""))))</f>
        <v/>
      </c>
      <c r="Q911" s="101">
        <v>40245</v>
      </c>
      <c r="R911" s="101"/>
      <c r="S911" s="99" t="s">
        <v>11</v>
      </c>
      <c r="T911" s="107" t="s">
        <v>4</v>
      </c>
      <c r="U911" s="99" t="s">
        <v>14</v>
      </c>
      <c r="V911" s="99" t="s">
        <v>1965</v>
      </c>
      <c r="W911" s="99" t="s">
        <v>1964</v>
      </c>
    </row>
    <row r="912" spans="1:23" ht="18.600000000000001" customHeight="1">
      <c r="A912" s="123" t="str">
        <f>IF(priority(Main[[#This Row],[Comments]])&lt;&gt;0, priority(Main[[#This Row],[Comments]]),"")</f>
        <v/>
      </c>
      <c r="B912" s="127" t="s">
        <v>1773</v>
      </c>
      <c r="C912" s="99" t="s">
        <v>4</v>
      </c>
      <c r="D912" s="100" t="s">
        <v>800</v>
      </c>
      <c r="E912" s="101"/>
      <c r="F912" s="101"/>
      <c r="G912" s="102" t="str">
        <f>IF(stdProdLT(Main[[#This Row],[Comments]])=0.1,"N/A",IF(stdProdLT(Main[[#This Row],[Comments]])=0,"",stdProdLT(Main[[#This Row],[Comments]])))</f>
        <v/>
      </c>
      <c r="H912" s="103" t="str">
        <f>IF(AND(Main[[#This Row],[In Stock Date]]&lt;&gt;"",Main[[#This Row],[Revised Due Date]]&lt;&gt;""),Main[[#This Row],[In Stock Date]]-Main[[#This Row],[Revised Due Date]],"")</f>
        <v/>
      </c>
      <c r="I912" s="99" t="s">
        <v>4</v>
      </c>
      <c r="J912" s="99" t="s">
        <v>28</v>
      </c>
      <c r="K912" s="99" t="s">
        <v>4</v>
      </c>
      <c r="L912" s="101"/>
      <c r="M912" s="104" t="str">
        <f>IF(Main[[#This Row],[Tech Start Date]]&lt;1/1/1990,"",IF(Main[[#This Row],[Class]]="C",WORKDAY(Main[[#This Row],[Tech Start Date]],9),IF(Main[[#This Row],[Class]]="B", WORKDAY(Main[[#This Row],[Tech Start Date]],6),IF(Main[[#This Row],[Class]]="A",WORKDAY(Main[[#This Row],[Tech Start Date]],2),""))))</f>
        <v/>
      </c>
      <c r="N912" s="104" t="str">
        <f>IF(Main[[#This Row],[Tech Start Date]]&lt;1/1/1990,"",IF(Main[[#This Row],[Class]]="C",WORKDAY(Main[[#This Row],[Tech Start Date]],19),IF(Main[[#This Row],[Class]]="B", WORKDAY(Main[[#This Row],[Tech Start Date]],12),IF(Main[[#This Row],[Class]]="A",WORKDAY(Main[[#This Row],[Tech Start Date]],4),""))))</f>
        <v/>
      </c>
      <c r="O912" s="104" t="str">
        <f>IF(Main[[#This Row],[Tech Start Date]]&lt;1/1/1990,"",IF(Main[[#This Row],[Class]]="C",WORKDAY(Main[[#This Row],[Tech Start Date]],23),IF(Main[[#This Row],[Class]]="B", WORKDAY(Main[[#This Row],[Tech Start Date]],15),IF(Main[[#This Row],[Class]]="A",WORKDAY(Main[[#This Row],[Tech Start Date]],5),""))))</f>
        <v/>
      </c>
      <c r="P912" s="104" t="str">
        <f>IF(Main[[#This Row],[Tech Start Date]]&lt;1/1/1990,"",IF(Main[[#This Row],[Class]]="C",WORKDAY(Main[[#This Row],[Tech Start Date]],28),IF(Main[[#This Row],[Class]]="B", WORKDAY(Main[[#This Row],[Tech Start Date]],19),IF(Main[[#This Row],[Class]]="A",WORKDAY(Main[[#This Row],[Tech Start Date]],9),""))))</f>
        <v/>
      </c>
      <c r="Q912" s="101">
        <v>40466</v>
      </c>
      <c r="R912" s="101"/>
      <c r="S912" s="99" t="s">
        <v>6</v>
      </c>
      <c r="T912" s="107" t="s">
        <v>4</v>
      </c>
      <c r="U912" s="99" t="s">
        <v>14</v>
      </c>
      <c r="V912" s="99" t="s">
        <v>1962</v>
      </c>
      <c r="W912" s="99" t="s">
        <v>1966</v>
      </c>
    </row>
    <row r="913" spans="1:23" ht="18.600000000000001" customHeight="1">
      <c r="A913" s="123" t="str">
        <f>IF(priority(Main[[#This Row],[Comments]])&lt;&gt;0, priority(Main[[#This Row],[Comments]]),"")</f>
        <v/>
      </c>
      <c r="B913" s="127" t="s">
        <v>1774</v>
      </c>
      <c r="C913" s="99" t="s">
        <v>47</v>
      </c>
      <c r="D913" s="100" t="s">
        <v>801</v>
      </c>
      <c r="E913" s="101">
        <v>39937.598969907405</v>
      </c>
      <c r="F913" s="101"/>
      <c r="G913" s="102" t="str">
        <f>IF(stdProdLT(Main[[#This Row],[Comments]])=0.1,"N/A",IF(stdProdLT(Main[[#This Row],[Comments]])=0,"",stdProdLT(Main[[#This Row],[Comments]])))</f>
        <v/>
      </c>
      <c r="H913" s="103" t="str">
        <f>IF(AND(Main[[#This Row],[In Stock Date]]&lt;&gt;"",Main[[#This Row],[Revised Due Date]]&lt;&gt;""),Main[[#This Row],[In Stock Date]]-Main[[#This Row],[Revised Due Date]],"")</f>
        <v/>
      </c>
      <c r="I913" s="99" t="s">
        <v>4</v>
      </c>
      <c r="J913" s="99" t="s">
        <v>4</v>
      </c>
      <c r="K913" s="108" t="s">
        <v>4</v>
      </c>
      <c r="L913" s="101"/>
      <c r="M913" s="104" t="str">
        <f>IF(Main[[#This Row],[Tech Start Date]]&lt;1/1/1990,"",IF(Main[[#This Row],[Class]]="C",WORKDAY(Main[[#This Row],[Tech Start Date]],9),IF(Main[[#This Row],[Class]]="B", WORKDAY(Main[[#This Row],[Tech Start Date]],6),IF(Main[[#This Row],[Class]]="A",WORKDAY(Main[[#This Row],[Tech Start Date]],2),""))))</f>
        <v/>
      </c>
      <c r="N913" s="104" t="str">
        <f>IF(Main[[#This Row],[Tech Start Date]]&lt;1/1/1990,"",IF(Main[[#This Row],[Class]]="C",WORKDAY(Main[[#This Row],[Tech Start Date]],19),IF(Main[[#This Row],[Class]]="B", WORKDAY(Main[[#This Row],[Tech Start Date]],12),IF(Main[[#This Row],[Class]]="A",WORKDAY(Main[[#This Row],[Tech Start Date]],4),""))))</f>
        <v/>
      </c>
      <c r="O913" s="104" t="str">
        <f>IF(Main[[#This Row],[Tech Start Date]]&lt;1/1/1990,"",IF(Main[[#This Row],[Class]]="C",WORKDAY(Main[[#This Row],[Tech Start Date]],23),IF(Main[[#This Row],[Class]]="B", WORKDAY(Main[[#This Row],[Tech Start Date]],15),IF(Main[[#This Row],[Class]]="A",WORKDAY(Main[[#This Row],[Tech Start Date]],5),""))))</f>
        <v/>
      </c>
      <c r="P913" s="104" t="str">
        <f>IF(Main[[#This Row],[Tech Start Date]]&lt;1/1/1990,"",IF(Main[[#This Row],[Class]]="C",WORKDAY(Main[[#This Row],[Tech Start Date]],28),IF(Main[[#This Row],[Class]]="B", WORKDAY(Main[[#This Row],[Tech Start Date]],19),IF(Main[[#This Row],[Class]]="A",WORKDAY(Main[[#This Row],[Tech Start Date]],9),""))))</f>
        <v/>
      </c>
      <c r="Q913" s="101"/>
      <c r="R913" s="101">
        <v>41172</v>
      </c>
      <c r="S913" s="99" t="s">
        <v>17</v>
      </c>
      <c r="T913" s="107" t="s">
        <v>4</v>
      </c>
      <c r="U913" s="99" t="s">
        <v>29</v>
      </c>
      <c r="V913" s="99" t="s">
        <v>1965</v>
      </c>
      <c r="W913" s="99" t="s">
        <v>4</v>
      </c>
    </row>
    <row r="914" spans="1:23" ht="18.600000000000001" customHeight="1">
      <c r="A914" s="123" t="str">
        <f>IF(priority(Main[[#This Row],[Comments]])&lt;&gt;0, priority(Main[[#This Row],[Comments]]),"")</f>
        <v/>
      </c>
      <c r="B914" s="127" t="s">
        <v>1776</v>
      </c>
      <c r="C914" s="99" t="s">
        <v>4</v>
      </c>
      <c r="D914" s="100" t="s">
        <v>436</v>
      </c>
      <c r="E914" s="101"/>
      <c r="F914" s="101"/>
      <c r="G914" s="102" t="str">
        <f>IF(stdProdLT(Main[[#This Row],[Comments]])=0.1,"N/A",IF(stdProdLT(Main[[#This Row],[Comments]])=0,"",stdProdLT(Main[[#This Row],[Comments]])))</f>
        <v/>
      </c>
      <c r="H914" s="103" t="str">
        <f>IF(AND(Main[[#This Row],[In Stock Date]]&lt;&gt;"",Main[[#This Row],[Revised Due Date]]&lt;&gt;""),Main[[#This Row],[In Stock Date]]-Main[[#This Row],[Revised Due Date]],"")</f>
        <v/>
      </c>
      <c r="I914" s="99" t="s">
        <v>4</v>
      </c>
      <c r="J914" s="99" t="s">
        <v>4</v>
      </c>
      <c r="K914" s="99" t="s">
        <v>4</v>
      </c>
      <c r="L914" s="101"/>
      <c r="M914" s="104" t="str">
        <f>IF(Main[[#This Row],[Tech Start Date]]&lt;1/1/1990,"",IF(Main[[#This Row],[Class]]="C",WORKDAY(Main[[#This Row],[Tech Start Date]],9),IF(Main[[#This Row],[Class]]="B", WORKDAY(Main[[#This Row],[Tech Start Date]],6),IF(Main[[#This Row],[Class]]="A",WORKDAY(Main[[#This Row],[Tech Start Date]],2),""))))</f>
        <v/>
      </c>
      <c r="N914" s="104" t="str">
        <f>IF(Main[[#This Row],[Tech Start Date]]&lt;1/1/1990,"",IF(Main[[#This Row],[Class]]="C",WORKDAY(Main[[#This Row],[Tech Start Date]],19),IF(Main[[#This Row],[Class]]="B", WORKDAY(Main[[#This Row],[Tech Start Date]],12),IF(Main[[#This Row],[Class]]="A",WORKDAY(Main[[#This Row],[Tech Start Date]],4),""))))</f>
        <v/>
      </c>
      <c r="O914" s="104" t="str">
        <f>IF(Main[[#This Row],[Tech Start Date]]&lt;1/1/1990,"",IF(Main[[#This Row],[Class]]="C",WORKDAY(Main[[#This Row],[Tech Start Date]],23),IF(Main[[#This Row],[Class]]="B", WORKDAY(Main[[#This Row],[Tech Start Date]],15),IF(Main[[#This Row],[Class]]="A",WORKDAY(Main[[#This Row],[Tech Start Date]],5),""))))</f>
        <v/>
      </c>
      <c r="P914" s="104" t="str">
        <f>IF(Main[[#This Row],[Tech Start Date]]&lt;1/1/1990,"",IF(Main[[#This Row],[Class]]="C",WORKDAY(Main[[#This Row],[Tech Start Date]],28),IF(Main[[#This Row],[Class]]="B", WORKDAY(Main[[#This Row],[Tech Start Date]],19),IF(Main[[#This Row],[Class]]="A",WORKDAY(Main[[#This Row],[Tech Start Date]],9),""))))</f>
        <v/>
      </c>
      <c r="Q914" s="101"/>
      <c r="R914" s="101"/>
      <c r="S914" s="99" t="s">
        <v>6</v>
      </c>
      <c r="T914" s="107" t="s">
        <v>4</v>
      </c>
      <c r="U914" s="99" t="s">
        <v>14</v>
      </c>
      <c r="V914" s="99" t="s">
        <v>1965</v>
      </c>
      <c r="W914" s="99" t="s">
        <v>1966</v>
      </c>
    </row>
    <row r="915" spans="1:23" ht="18.600000000000001" customHeight="1">
      <c r="A915" s="123" t="str">
        <f>IF(priority(Main[[#This Row],[Comments]])&lt;&gt;0, priority(Main[[#This Row],[Comments]]),"")</f>
        <v/>
      </c>
      <c r="B915" s="127" t="s">
        <v>1777</v>
      </c>
      <c r="C915" s="99" t="s">
        <v>442</v>
      </c>
      <c r="D915" s="100" t="s">
        <v>803</v>
      </c>
      <c r="E915" s="101"/>
      <c r="F915" s="101"/>
      <c r="G915" s="102" t="str">
        <f>IF(stdProdLT(Main[[#This Row],[Comments]])=0.1,"N/A",IF(stdProdLT(Main[[#This Row],[Comments]])=0,"",stdProdLT(Main[[#This Row],[Comments]])))</f>
        <v/>
      </c>
      <c r="H915" s="103" t="str">
        <f>IF(AND(Main[[#This Row],[In Stock Date]]&lt;&gt;"",Main[[#This Row],[Revised Due Date]]&lt;&gt;""),Main[[#This Row],[In Stock Date]]-Main[[#This Row],[Revised Due Date]],"")</f>
        <v/>
      </c>
      <c r="I915" s="99" t="s">
        <v>4</v>
      </c>
      <c r="J915" s="99" t="s">
        <v>4</v>
      </c>
      <c r="K915" s="99" t="s">
        <v>4</v>
      </c>
      <c r="L915" s="101"/>
      <c r="M915" s="104" t="str">
        <f>IF(Main[[#This Row],[Tech Start Date]]&lt;1/1/1990,"",IF(Main[[#This Row],[Class]]="C",WORKDAY(Main[[#This Row],[Tech Start Date]],9),IF(Main[[#This Row],[Class]]="B", WORKDAY(Main[[#This Row],[Tech Start Date]],6),IF(Main[[#This Row],[Class]]="A",WORKDAY(Main[[#This Row],[Tech Start Date]],2),""))))</f>
        <v/>
      </c>
      <c r="N915" s="104" t="str">
        <f>IF(Main[[#This Row],[Tech Start Date]]&lt;1/1/1990,"",IF(Main[[#This Row],[Class]]="C",WORKDAY(Main[[#This Row],[Tech Start Date]],19),IF(Main[[#This Row],[Class]]="B", WORKDAY(Main[[#This Row],[Tech Start Date]],12),IF(Main[[#This Row],[Class]]="A",WORKDAY(Main[[#This Row],[Tech Start Date]],4),""))))</f>
        <v/>
      </c>
      <c r="O915" s="104" t="str">
        <f>IF(Main[[#This Row],[Tech Start Date]]&lt;1/1/1990,"",IF(Main[[#This Row],[Class]]="C",WORKDAY(Main[[#This Row],[Tech Start Date]],23),IF(Main[[#This Row],[Class]]="B", WORKDAY(Main[[#This Row],[Tech Start Date]],15),IF(Main[[#This Row],[Class]]="A",WORKDAY(Main[[#This Row],[Tech Start Date]],5),""))))</f>
        <v/>
      </c>
      <c r="P915" s="104" t="str">
        <f>IF(Main[[#This Row],[Tech Start Date]]&lt;1/1/1990,"",IF(Main[[#This Row],[Class]]="C",WORKDAY(Main[[#This Row],[Tech Start Date]],28),IF(Main[[#This Row],[Class]]="B", WORKDAY(Main[[#This Row],[Tech Start Date]],19),IF(Main[[#This Row],[Class]]="A",WORKDAY(Main[[#This Row],[Tech Start Date]],9),""))))</f>
        <v/>
      </c>
      <c r="Q915" s="101"/>
      <c r="R915" s="101"/>
      <c r="S915" s="99" t="s">
        <v>11</v>
      </c>
      <c r="T915" s="107" t="s">
        <v>4</v>
      </c>
      <c r="U915" s="99" t="s">
        <v>14</v>
      </c>
      <c r="V915" s="99" t="s">
        <v>1962</v>
      </c>
      <c r="W915" s="99" t="s">
        <v>1970</v>
      </c>
    </row>
    <row r="916" spans="1:23" ht="18.600000000000001" customHeight="1">
      <c r="A916" s="123" t="str">
        <f>IF(priority(Main[[#This Row],[Comments]])&lt;&gt;0, priority(Main[[#This Row],[Comments]]),"")</f>
        <v/>
      </c>
      <c r="B916" s="127" t="s">
        <v>1778</v>
      </c>
      <c r="C916" s="99" t="s">
        <v>4</v>
      </c>
      <c r="D916" s="100" t="s">
        <v>804</v>
      </c>
      <c r="E916" s="101">
        <v>40479.428263888891</v>
      </c>
      <c r="F916" s="101"/>
      <c r="G916" s="102" t="str">
        <f>IF(stdProdLT(Main[[#This Row],[Comments]])=0.1,"N/A",IF(stdProdLT(Main[[#This Row],[Comments]])=0,"",stdProdLT(Main[[#This Row],[Comments]])))</f>
        <v/>
      </c>
      <c r="H916" s="103" t="str">
        <f>IF(AND(Main[[#This Row],[In Stock Date]]&lt;&gt;"",Main[[#This Row],[Revised Due Date]]&lt;&gt;""),Main[[#This Row],[In Stock Date]]-Main[[#This Row],[Revised Due Date]],"")</f>
        <v/>
      </c>
      <c r="I916" s="99" t="s">
        <v>30</v>
      </c>
      <c r="J916" s="99" t="s">
        <v>28</v>
      </c>
      <c r="K916" s="99" t="s">
        <v>1971</v>
      </c>
      <c r="L916" s="101"/>
      <c r="M916" s="104" t="str">
        <f>IF(Main[[#This Row],[Tech Start Date]]&lt;1/1/1990,"",IF(Main[[#This Row],[Class]]="C",WORKDAY(Main[[#This Row],[Tech Start Date]],9),IF(Main[[#This Row],[Class]]="B", WORKDAY(Main[[#This Row],[Tech Start Date]],6),IF(Main[[#This Row],[Class]]="A",WORKDAY(Main[[#This Row],[Tech Start Date]],2),""))))</f>
        <v/>
      </c>
      <c r="N916" s="104" t="str">
        <f>IF(Main[[#This Row],[Tech Start Date]]&lt;1/1/1990,"",IF(Main[[#This Row],[Class]]="C",WORKDAY(Main[[#This Row],[Tech Start Date]],19),IF(Main[[#This Row],[Class]]="B", WORKDAY(Main[[#This Row],[Tech Start Date]],12),IF(Main[[#This Row],[Class]]="A",WORKDAY(Main[[#This Row],[Tech Start Date]],4),""))))</f>
        <v/>
      </c>
      <c r="O916" s="104" t="str">
        <f>IF(Main[[#This Row],[Tech Start Date]]&lt;1/1/1990,"",IF(Main[[#This Row],[Class]]="C",WORKDAY(Main[[#This Row],[Tech Start Date]],23),IF(Main[[#This Row],[Class]]="B", WORKDAY(Main[[#This Row],[Tech Start Date]],15),IF(Main[[#This Row],[Class]]="A",WORKDAY(Main[[#This Row],[Tech Start Date]],5),""))))</f>
        <v/>
      </c>
      <c r="P916" s="104" t="str">
        <f>IF(Main[[#This Row],[Tech Start Date]]&lt;1/1/1990,"",IF(Main[[#This Row],[Class]]="C",WORKDAY(Main[[#This Row],[Tech Start Date]],28),IF(Main[[#This Row],[Class]]="B", WORKDAY(Main[[#This Row],[Tech Start Date]],19),IF(Main[[#This Row],[Class]]="A",WORKDAY(Main[[#This Row],[Tech Start Date]],9),""))))</f>
        <v/>
      </c>
      <c r="Q916" s="101">
        <v>40512</v>
      </c>
      <c r="R916" s="101"/>
      <c r="S916" s="99" t="s">
        <v>6</v>
      </c>
      <c r="T916" s="107" t="s">
        <v>4</v>
      </c>
      <c r="U916" s="99" t="s">
        <v>540</v>
      </c>
      <c r="V916" s="99" t="s">
        <v>1965</v>
      </c>
      <c r="W916" s="99" t="s">
        <v>1966</v>
      </c>
    </row>
    <row r="917" spans="1:23" ht="18.600000000000001" customHeight="1">
      <c r="A917" s="123" t="str">
        <f>IF(priority(Main[[#This Row],[Comments]])&lt;&gt;0, priority(Main[[#This Row],[Comments]]),"")</f>
        <v/>
      </c>
      <c r="B917" s="127" t="s">
        <v>1779</v>
      </c>
      <c r="C917" s="99" t="s">
        <v>4</v>
      </c>
      <c r="D917" s="100" t="s">
        <v>39</v>
      </c>
      <c r="E917" s="101"/>
      <c r="F917" s="101"/>
      <c r="G917" s="102" t="str">
        <f>IF(stdProdLT(Main[[#This Row],[Comments]])=0.1,"N/A",IF(stdProdLT(Main[[#This Row],[Comments]])=0,"",stdProdLT(Main[[#This Row],[Comments]])))</f>
        <v/>
      </c>
      <c r="H917" s="103" t="str">
        <f>IF(AND(Main[[#This Row],[In Stock Date]]&lt;&gt;"",Main[[#This Row],[Revised Due Date]]&lt;&gt;""),Main[[#This Row],[In Stock Date]]-Main[[#This Row],[Revised Due Date]],"")</f>
        <v/>
      </c>
      <c r="I917" s="99" t="s">
        <v>4</v>
      </c>
      <c r="J917" s="99" t="s">
        <v>4</v>
      </c>
      <c r="K917" s="99" t="s">
        <v>4</v>
      </c>
      <c r="L917" s="101"/>
      <c r="M917" s="104" t="str">
        <f>IF(Main[[#This Row],[Tech Start Date]]&lt;1/1/1990,"",IF(Main[[#This Row],[Class]]="C",WORKDAY(Main[[#This Row],[Tech Start Date]],9),IF(Main[[#This Row],[Class]]="B", WORKDAY(Main[[#This Row],[Tech Start Date]],6),IF(Main[[#This Row],[Class]]="A",WORKDAY(Main[[#This Row],[Tech Start Date]],2),""))))</f>
        <v/>
      </c>
      <c r="N917" s="104" t="str">
        <f>IF(Main[[#This Row],[Tech Start Date]]&lt;1/1/1990,"",IF(Main[[#This Row],[Class]]="C",WORKDAY(Main[[#This Row],[Tech Start Date]],19),IF(Main[[#This Row],[Class]]="B", WORKDAY(Main[[#This Row],[Tech Start Date]],12),IF(Main[[#This Row],[Class]]="A",WORKDAY(Main[[#This Row],[Tech Start Date]],4),""))))</f>
        <v/>
      </c>
      <c r="O917" s="104" t="str">
        <f>IF(Main[[#This Row],[Tech Start Date]]&lt;1/1/1990,"",IF(Main[[#This Row],[Class]]="C",WORKDAY(Main[[#This Row],[Tech Start Date]],23),IF(Main[[#This Row],[Class]]="B", WORKDAY(Main[[#This Row],[Tech Start Date]],15),IF(Main[[#This Row],[Class]]="A",WORKDAY(Main[[#This Row],[Tech Start Date]],5),""))))</f>
        <v/>
      </c>
      <c r="P917" s="104" t="str">
        <f>IF(Main[[#This Row],[Tech Start Date]]&lt;1/1/1990,"",IF(Main[[#This Row],[Class]]="C",WORKDAY(Main[[#This Row],[Tech Start Date]],28),IF(Main[[#This Row],[Class]]="B", WORKDAY(Main[[#This Row],[Tech Start Date]],19),IF(Main[[#This Row],[Class]]="A",WORKDAY(Main[[#This Row],[Tech Start Date]],9),""))))</f>
        <v/>
      </c>
      <c r="Q917" s="101">
        <v>40669</v>
      </c>
      <c r="R917" s="101"/>
      <c r="S917" s="99" t="s">
        <v>6</v>
      </c>
      <c r="T917" s="107" t="s">
        <v>4</v>
      </c>
      <c r="U917" s="99" t="s">
        <v>14</v>
      </c>
      <c r="V917" s="99" t="s">
        <v>1965</v>
      </c>
      <c r="W917" s="99" t="s">
        <v>4</v>
      </c>
    </row>
    <row r="918" spans="1:23" ht="18.600000000000001" customHeight="1">
      <c r="A918" s="123" t="str">
        <f>IF(priority(Main[[#This Row],[Comments]])&lt;&gt;0, priority(Main[[#This Row],[Comments]]),"")</f>
        <v/>
      </c>
      <c r="B918" s="127" t="s">
        <v>1780</v>
      </c>
      <c r="C918" s="99" t="s">
        <v>4</v>
      </c>
      <c r="D918" s="100" t="s">
        <v>805</v>
      </c>
      <c r="E918" s="101"/>
      <c r="F918" s="101"/>
      <c r="G918" s="102" t="str">
        <f>IF(stdProdLT(Main[[#This Row],[Comments]])=0.1,"N/A",IF(stdProdLT(Main[[#This Row],[Comments]])=0,"",stdProdLT(Main[[#This Row],[Comments]])))</f>
        <v/>
      </c>
      <c r="H918" s="103" t="str">
        <f>IF(AND(Main[[#This Row],[In Stock Date]]&lt;&gt;"",Main[[#This Row],[Revised Due Date]]&lt;&gt;""),Main[[#This Row],[In Stock Date]]-Main[[#This Row],[Revised Due Date]],"")</f>
        <v/>
      </c>
      <c r="I918" s="99" t="s">
        <v>4</v>
      </c>
      <c r="J918" s="99" t="s">
        <v>4</v>
      </c>
      <c r="K918" s="99" t="s">
        <v>4</v>
      </c>
      <c r="L918" s="101"/>
      <c r="M918" s="104" t="str">
        <f>IF(Main[[#This Row],[Tech Start Date]]&lt;1/1/1990,"",IF(Main[[#This Row],[Class]]="C",WORKDAY(Main[[#This Row],[Tech Start Date]],9),IF(Main[[#This Row],[Class]]="B", WORKDAY(Main[[#This Row],[Tech Start Date]],6),IF(Main[[#This Row],[Class]]="A",WORKDAY(Main[[#This Row],[Tech Start Date]],2),""))))</f>
        <v/>
      </c>
      <c r="N918" s="104" t="str">
        <f>IF(Main[[#This Row],[Tech Start Date]]&lt;1/1/1990,"",IF(Main[[#This Row],[Class]]="C",WORKDAY(Main[[#This Row],[Tech Start Date]],19),IF(Main[[#This Row],[Class]]="B", WORKDAY(Main[[#This Row],[Tech Start Date]],12),IF(Main[[#This Row],[Class]]="A",WORKDAY(Main[[#This Row],[Tech Start Date]],4),""))))</f>
        <v/>
      </c>
      <c r="O918" s="104" t="str">
        <f>IF(Main[[#This Row],[Tech Start Date]]&lt;1/1/1990,"",IF(Main[[#This Row],[Class]]="C",WORKDAY(Main[[#This Row],[Tech Start Date]],23),IF(Main[[#This Row],[Class]]="B", WORKDAY(Main[[#This Row],[Tech Start Date]],15),IF(Main[[#This Row],[Class]]="A",WORKDAY(Main[[#This Row],[Tech Start Date]],5),""))))</f>
        <v/>
      </c>
      <c r="P918" s="104" t="str">
        <f>IF(Main[[#This Row],[Tech Start Date]]&lt;1/1/1990,"",IF(Main[[#This Row],[Class]]="C",WORKDAY(Main[[#This Row],[Tech Start Date]],28),IF(Main[[#This Row],[Class]]="B", WORKDAY(Main[[#This Row],[Tech Start Date]],19),IF(Main[[#This Row],[Class]]="A",WORKDAY(Main[[#This Row],[Tech Start Date]],9),""))))</f>
        <v/>
      </c>
      <c r="Q918" s="101"/>
      <c r="R918" s="101"/>
      <c r="S918" s="99" t="s">
        <v>17</v>
      </c>
      <c r="T918" s="107" t="s">
        <v>4</v>
      </c>
      <c r="U918" s="99" t="s">
        <v>14</v>
      </c>
      <c r="V918" s="99" t="s">
        <v>1965</v>
      </c>
      <c r="W918" s="99" t="s">
        <v>4</v>
      </c>
    </row>
    <row r="919" spans="1:23" ht="18.600000000000001" customHeight="1">
      <c r="A919" s="123" t="str">
        <f>IF(priority(Main[[#This Row],[Comments]])&lt;&gt;0, priority(Main[[#This Row],[Comments]]),"")</f>
        <v/>
      </c>
      <c r="B919" s="127" t="s">
        <v>1526</v>
      </c>
      <c r="C919" s="99" t="s">
        <v>37</v>
      </c>
      <c r="D919" s="100" t="s">
        <v>2511</v>
      </c>
      <c r="E919" s="101">
        <v>40682.490115740744</v>
      </c>
      <c r="F919" s="101"/>
      <c r="G919" s="102" t="str">
        <f>IF(stdProdLT(Main[[#This Row],[Comments]])=0.1,"N/A",IF(stdProdLT(Main[[#This Row],[Comments]])=0,"",stdProdLT(Main[[#This Row],[Comments]])))</f>
        <v/>
      </c>
      <c r="H919" s="103" t="str">
        <f>IF(AND(Main[[#This Row],[In Stock Date]]&lt;&gt;"",Main[[#This Row],[Revised Due Date]]&lt;&gt;""),Main[[#This Row],[In Stock Date]]-Main[[#This Row],[Revised Due Date]],"")</f>
        <v/>
      </c>
      <c r="I919" s="99" t="s">
        <v>4</v>
      </c>
      <c r="J919" s="99" t="s">
        <v>4</v>
      </c>
      <c r="K919" s="99" t="s">
        <v>4</v>
      </c>
      <c r="L919" s="101"/>
      <c r="M919" s="104" t="str">
        <f>IF(Main[[#This Row],[Tech Start Date]]&lt;1/1/1990,"",IF(Main[[#This Row],[Class]]="C",WORKDAY(Main[[#This Row],[Tech Start Date]],9),IF(Main[[#This Row],[Class]]="B", WORKDAY(Main[[#This Row],[Tech Start Date]],6),IF(Main[[#This Row],[Class]]="A",WORKDAY(Main[[#This Row],[Tech Start Date]],2),""))))</f>
        <v/>
      </c>
      <c r="N919" s="104" t="str">
        <f>IF(Main[[#This Row],[Tech Start Date]]&lt;1/1/1990,"",IF(Main[[#This Row],[Class]]="C",WORKDAY(Main[[#This Row],[Tech Start Date]],19),IF(Main[[#This Row],[Class]]="B", WORKDAY(Main[[#This Row],[Tech Start Date]],12),IF(Main[[#This Row],[Class]]="A",WORKDAY(Main[[#This Row],[Tech Start Date]],4),""))))</f>
        <v/>
      </c>
      <c r="O919" s="104" t="str">
        <f>IF(Main[[#This Row],[Tech Start Date]]&lt;1/1/1990,"",IF(Main[[#This Row],[Class]]="C",WORKDAY(Main[[#This Row],[Tech Start Date]],23),IF(Main[[#This Row],[Class]]="B", WORKDAY(Main[[#This Row],[Tech Start Date]],15),IF(Main[[#This Row],[Class]]="A",WORKDAY(Main[[#This Row],[Tech Start Date]],5),""))))</f>
        <v/>
      </c>
      <c r="P919" s="104" t="str">
        <f>IF(Main[[#This Row],[Tech Start Date]]&lt;1/1/1990,"",IF(Main[[#This Row],[Class]]="C",WORKDAY(Main[[#This Row],[Tech Start Date]],28),IF(Main[[#This Row],[Class]]="B", WORKDAY(Main[[#This Row],[Tech Start Date]],19),IF(Main[[#This Row],[Class]]="A",WORKDAY(Main[[#This Row],[Tech Start Date]],9),""))))</f>
        <v/>
      </c>
      <c r="Q919" s="101">
        <v>40703</v>
      </c>
      <c r="R919" s="101"/>
      <c r="S919" s="99" t="s">
        <v>6</v>
      </c>
      <c r="T919" s="107" t="s">
        <v>4</v>
      </c>
      <c r="U919" s="99" t="s">
        <v>7</v>
      </c>
      <c r="V919" s="99" t="s">
        <v>1962</v>
      </c>
      <c r="W919" s="99" t="s">
        <v>1973</v>
      </c>
    </row>
    <row r="920" spans="1:23" ht="18.600000000000001" customHeight="1">
      <c r="A920" s="123" t="str">
        <f>IF(priority(Main[[#This Row],[Comments]])&lt;&gt;0, priority(Main[[#This Row],[Comments]]),"")</f>
        <v/>
      </c>
      <c r="B920" s="127" t="s">
        <v>1782</v>
      </c>
      <c r="C920" s="99" t="s">
        <v>4</v>
      </c>
      <c r="D920" s="100" t="s">
        <v>691</v>
      </c>
      <c r="E920" s="101"/>
      <c r="F920" s="101"/>
      <c r="G920" s="102" t="str">
        <f>IF(stdProdLT(Main[[#This Row],[Comments]])=0.1,"N/A",IF(stdProdLT(Main[[#This Row],[Comments]])=0,"",stdProdLT(Main[[#This Row],[Comments]])))</f>
        <v/>
      </c>
      <c r="H920" s="103" t="str">
        <f>IF(AND(Main[[#This Row],[In Stock Date]]&lt;&gt;"",Main[[#This Row],[Revised Due Date]]&lt;&gt;""),Main[[#This Row],[In Stock Date]]-Main[[#This Row],[Revised Due Date]],"")</f>
        <v/>
      </c>
      <c r="I920" s="99" t="s">
        <v>4</v>
      </c>
      <c r="J920" s="99" t="s">
        <v>4</v>
      </c>
      <c r="K920" s="99" t="s">
        <v>4</v>
      </c>
      <c r="L920" s="101"/>
      <c r="M920" s="104" t="str">
        <f>IF(Main[[#This Row],[Tech Start Date]]&lt;1/1/1990,"",IF(Main[[#This Row],[Class]]="C",WORKDAY(Main[[#This Row],[Tech Start Date]],9),IF(Main[[#This Row],[Class]]="B", WORKDAY(Main[[#This Row],[Tech Start Date]],6),IF(Main[[#This Row],[Class]]="A",WORKDAY(Main[[#This Row],[Tech Start Date]],2),""))))</f>
        <v/>
      </c>
      <c r="N920" s="104" t="str">
        <f>IF(Main[[#This Row],[Tech Start Date]]&lt;1/1/1990,"",IF(Main[[#This Row],[Class]]="C",WORKDAY(Main[[#This Row],[Tech Start Date]],19),IF(Main[[#This Row],[Class]]="B", WORKDAY(Main[[#This Row],[Tech Start Date]],12),IF(Main[[#This Row],[Class]]="A",WORKDAY(Main[[#This Row],[Tech Start Date]],4),""))))</f>
        <v/>
      </c>
      <c r="O920" s="104" t="str">
        <f>IF(Main[[#This Row],[Tech Start Date]]&lt;1/1/1990,"",IF(Main[[#This Row],[Class]]="C",WORKDAY(Main[[#This Row],[Tech Start Date]],23),IF(Main[[#This Row],[Class]]="B", WORKDAY(Main[[#This Row],[Tech Start Date]],15),IF(Main[[#This Row],[Class]]="A",WORKDAY(Main[[#This Row],[Tech Start Date]],5),""))))</f>
        <v/>
      </c>
      <c r="P920" s="104" t="str">
        <f>IF(Main[[#This Row],[Tech Start Date]]&lt;1/1/1990,"",IF(Main[[#This Row],[Class]]="C",WORKDAY(Main[[#This Row],[Tech Start Date]],28),IF(Main[[#This Row],[Class]]="B", WORKDAY(Main[[#This Row],[Tech Start Date]],19),IF(Main[[#This Row],[Class]]="A",WORKDAY(Main[[#This Row],[Tech Start Date]],9),""))))</f>
        <v/>
      </c>
      <c r="Q920" s="101"/>
      <c r="R920" s="101"/>
      <c r="S920" s="99" t="s">
        <v>23</v>
      </c>
      <c r="T920" s="107" t="s">
        <v>4</v>
      </c>
      <c r="U920" s="99" t="s">
        <v>14</v>
      </c>
      <c r="V920" s="99" t="s">
        <v>1965</v>
      </c>
      <c r="W920" s="99" t="s">
        <v>1966</v>
      </c>
    </row>
    <row r="921" spans="1:23" ht="18.600000000000001" customHeight="1">
      <c r="A921" s="123" t="str">
        <f>IF(priority(Main[[#This Row],[Comments]])&lt;&gt;0, priority(Main[[#This Row],[Comments]]),"")</f>
        <v/>
      </c>
      <c r="B921" s="127" t="s">
        <v>1783</v>
      </c>
      <c r="C921" s="99" t="s">
        <v>31</v>
      </c>
      <c r="D921" s="100" t="s">
        <v>806</v>
      </c>
      <c r="E921" s="101"/>
      <c r="F921" s="101"/>
      <c r="G921" s="102" t="str">
        <f>IF(stdProdLT(Main[[#This Row],[Comments]])=0.1,"N/A",IF(stdProdLT(Main[[#This Row],[Comments]])=0,"",stdProdLT(Main[[#This Row],[Comments]])))</f>
        <v/>
      </c>
      <c r="H921" s="103" t="str">
        <f>IF(AND(Main[[#This Row],[In Stock Date]]&lt;&gt;"",Main[[#This Row],[Revised Due Date]]&lt;&gt;""),Main[[#This Row],[In Stock Date]]-Main[[#This Row],[Revised Due Date]],"")</f>
        <v/>
      </c>
      <c r="I921" s="99" t="s">
        <v>4</v>
      </c>
      <c r="J921" s="99" t="s">
        <v>4</v>
      </c>
      <c r="K921" s="99" t="s">
        <v>4</v>
      </c>
      <c r="L921" s="101"/>
      <c r="M921" s="104" t="str">
        <f>IF(Main[[#This Row],[Tech Start Date]]&lt;1/1/1990,"",IF(Main[[#This Row],[Class]]="C",WORKDAY(Main[[#This Row],[Tech Start Date]],9),IF(Main[[#This Row],[Class]]="B", WORKDAY(Main[[#This Row],[Tech Start Date]],6),IF(Main[[#This Row],[Class]]="A",WORKDAY(Main[[#This Row],[Tech Start Date]],2),""))))</f>
        <v/>
      </c>
      <c r="N921" s="104" t="str">
        <f>IF(Main[[#This Row],[Tech Start Date]]&lt;1/1/1990,"",IF(Main[[#This Row],[Class]]="C",WORKDAY(Main[[#This Row],[Tech Start Date]],19),IF(Main[[#This Row],[Class]]="B", WORKDAY(Main[[#This Row],[Tech Start Date]],12),IF(Main[[#This Row],[Class]]="A",WORKDAY(Main[[#This Row],[Tech Start Date]],4),""))))</f>
        <v/>
      </c>
      <c r="O921" s="104" t="str">
        <f>IF(Main[[#This Row],[Tech Start Date]]&lt;1/1/1990,"",IF(Main[[#This Row],[Class]]="C",WORKDAY(Main[[#This Row],[Tech Start Date]],23),IF(Main[[#This Row],[Class]]="B", WORKDAY(Main[[#This Row],[Tech Start Date]],15),IF(Main[[#This Row],[Class]]="A",WORKDAY(Main[[#This Row],[Tech Start Date]],5),""))))</f>
        <v/>
      </c>
      <c r="P921" s="104" t="str">
        <f>IF(Main[[#This Row],[Tech Start Date]]&lt;1/1/1990,"",IF(Main[[#This Row],[Class]]="C",WORKDAY(Main[[#This Row],[Tech Start Date]],28),IF(Main[[#This Row],[Class]]="B", WORKDAY(Main[[#This Row],[Tech Start Date]],19),IF(Main[[#This Row],[Class]]="A",WORKDAY(Main[[#This Row],[Tech Start Date]],9),""))))</f>
        <v/>
      </c>
      <c r="Q921" s="101">
        <v>40318</v>
      </c>
      <c r="R921" s="101"/>
      <c r="S921" s="99" t="s">
        <v>11</v>
      </c>
      <c r="T921" s="107" t="s">
        <v>4</v>
      </c>
      <c r="U921" s="99" t="s">
        <v>14</v>
      </c>
      <c r="V921" s="99" t="s">
        <v>1972</v>
      </c>
      <c r="W921" s="99" t="s">
        <v>1964</v>
      </c>
    </row>
    <row r="922" spans="1:23" ht="18.600000000000001" customHeight="1">
      <c r="A922" s="123" t="str">
        <f>IF(priority(Main[[#This Row],[Comments]])&lt;&gt;0, priority(Main[[#This Row],[Comments]]),"")</f>
        <v/>
      </c>
      <c r="B922" s="127" t="s">
        <v>1810</v>
      </c>
      <c r="C922" s="99" t="s">
        <v>4</v>
      </c>
      <c r="D922" s="100" t="s">
        <v>819</v>
      </c>
      <c r="E922" s="101"/>
      <c r="F922" s="101"/>
      <c r="G922" s="102" t="str">
        <f>IF(stdProdLT(Main[[#This Row],[Comments]])=0.1,"N/A",IF(stdProdLT(Main[[#This Row],[Comments]])=0,"",stdProdLT(Main[[#This Row],[Comments]])))</f>
        <v/>
      </c>
      <c r="H922" s="103" t="str">
        <f>IF(AND(Main[[#This Row],[In Stock Date]]&lt;&gt;"",Main[[#This Row],[Revised Due Date]]&lt;&gt;""),Main[[#This Row],[In Stock Date]]-Main[[#This Row],[Revised Due Date]],"")</f>
        <v/>
      </c>
      <c r="I922" s="99" t="s">
        <v>4</v>
      </c>
      <c r="J922" s="99" t="s">
        <v>4</v>
      </c>
      <c r="K922" s="108" t="s">
        <v>4</v>
      </c>
      <c r="L922" s="101"/>
      <c r="M922" s="104" t="str">
        <f>IF(Main[[#This Row],[Tech Start Date]]&lt;1/1/1990,"",IF(Main[[#This Row],[Class]]="C",WORKDAY(Main[[#This Row],[Tech Start Date]],9),IF(Main[[#This Row],[Class]]="B", WORKDAY(Main[[#This Row],[Tech Start Date]],6),IF(Main[[#This Row],[Class]]="A",WORKDAY(Main[[#This Row],[Tech Start Date]],2),""))))</f>
        <v/>
      </c>
      <c r="N922" s="104" t="str">
        <f>IF(Main[[#This Row],[Tech Start Date]]&lt;1/1/1990,"",IF(Main[[#This Row],[Class]]="C",WORKDAY(Main[[#This Row],[Tech Start Date]],19),IF(Main[[#This Row],[Class]]="B", WORKDAY(Main[[#This Row],[Tech Start Date]],12),IF(Main[[#This Row],[Class]]="A",WORKDAY(Main[[#This Row],[Tech Start Date]],4),""))))</f>
        <v/>
      </c>
      <c r="O922" s="104" t="str">
        <f>IF(Main[[#This Row],[Tech Start Date]]&lt;1/1/1990,"",IF(Main[[#This Row],[Class]]="C",WORKDAY(Main[[#This Row],[Tech Start Date]],23),IF(Main[[#This Row],[Class]]="B", WORKDAY(Main[[#This Row],[Tech Start Date]],15),IF(Main[[#This Row],[Class]]="A",WORKDAY(Main[[#This Row],[Tech Start Date]],5),""))))</f>
        <v/>
      </c>
      <c r="P922" s="104" t="str">
        <f>IF(Main[[#This Row],[Tech Start Date]]&lt;1/1/1990,"",IF(Main[[#This Row],[Class]]="C",WORKDAY(Main[[#This Row],[Tech Start Date]],28),IF(Main[[#This Row],[Class]]="B", WORKDAY(Main[[#This Row],[Tech Start Date]],19),IF(Main[[#This Row],[Class]]="A",WORKDAY(Main[[#This Row],[Tech Start Date]],9),""))))</f>
        <v/>
      </c>
      <c r="Q922" s="101"/>
      <c r="R922" s="101"/>
      <c r="S922" s="99" t="s">
        <v>49</v>
      </c>
      <c r="T922" s="107" t="s">
        <v>4</v>
      </c>
      <c r="U922" s="99" t="s">
        <v>14</v>
      </c>
      <c r="V922" s="99" t="s">
        <v>1965</v>
      </c>
      <c r="W922" s="99" t="s">
        <v>1966</v>
      </c>
    </row>
    <row r="923" spans="1:23" ht="18.600000000000001" customHeight="1">
      <c r="A923" s="123" t="str">
        <f>IF(priority(Main[[#This Row],[Comments]])&lt;&gt;0, priority(Main[[#This Row],[Comments]]),"")</f>
        <v/>
      </c>
      <c r="B923" s="127" t="s">
        <v>1811</v>
      </c>
      <c r="C923" s="99" t="s">
        <v>4</v>
      </c>
      <c r="D923" s="100" t="s">
        <v>820</v>
      </c>
      <c r="E923" s="101"/>
      <c r="F923" s="101"/>
      <c r="G923" s="102" t="str">
        <f>IF(stdProdLT(Main[[#This Row],[Comments]])=0.1,"N/A",IF(stdProdLT(Main[[#This Row],[Comments]])=0,"",stdProdLT(Main[[#This Row],[Comments]])))</f>
        <v/>
      </c>
      <c r="H923" s="103" t="str">
        <f>IF(AND(Main[[#This Row],[In Stock Date]]&lt;&gt;"",Main[[#This Row],[Revised Due Date]]&lt;&gt;""),Main[[#This Row],[In Stock Date]]-Main[[#This Row],[Revised Due Date]],"")</f>
        <v/>
      </c>
      <c r="I923" s="99" t="s">
        <v>4</v>
      </c>
      <c r="J923" s="99" t="s">
        <v>4</v>
      </c>
      <c r="K923" s="99" t="s">
        <v>4</v>
      </c>
      <c r="L923" s="101"/>
      <c r="M923" s="104" t="str">
        <f>IF(Main[[#This Row],[Tech Start Date]]&lt;1/1/1990,"",IF(Main[[#This Row],[Class]]="C",WORKDAY(Main[[#This Row],[Tech Start Date]],9),IF(Main[[#This Row],[Class]]="B", WORKDAY(Main[[#This Row],[Tech Start Date]],6),IF(Main[[#This Row],[Class]]="A",WORKDAY(Main[[#This Row],[Tech Start Date]],2),""))))</f>
        <v/>
      </c>
      <c r="N923" s="104" t="str">
        <f>IF(Main[[#This Row],[Tech Start Date]]&lt;1/1/1990,"",IF(Main[[#This Row],[Class]]="C",WORKDAY(Main[[#This Row],[Tech Start Date]],19),IF(Main[[#This Row],[Class]]="B", WORKDAY(Main[[#This Row],[Tech Start Date]],12),IF(Main[[#This Row],[Class]]="A",WORKDAY(Main[[#This Row],[Tech Start Date]],4),""))))</f>
        <v/>
      </c>
      <c r="O923" s="104" t="str">
        <f>IF(Main[[#This Row],[Tech Start Date]]&lt;1/1/1990,"",IF(Main[[#This Row],[Class]]="C",WORKDAY(Main[[#This Row],[Tech Start Date]],23),IF(Main[[#This Row],[Class]]="B", WORKDAY(Main[[#This Row],[Tech Start Date]],15),IF(Main[[#This Row],[Class]]="A",WORKDAY(Main[[#This Row],[Tech Start Date]],5),""))))</f>
        <v/>
      </c>
      <c r="P923" s="104" t="str">
        <f>IF(Main[[#This Row],[Tech Start Date]]&lt;1/1/1990,"",IF(Main[[#This Row],[Class]]="C",WORKDAY(Main[[#This Row],[Tech Start Date]],28),IF(Main[[#This Row],[Class]]="B", WORKDAY(Main[[#This Row],[Tech Start Date]],19),IF(Main[[#This Row],[Class]]="A",WORKDAY(Main[[#This Row],[Tech Start Date]],9),""))))</f>
        <v/>
      </c>
      <c r="Q923" s="101"/>
      <c r="R923" s="101"/>
      <c r="S923" s="99" t="s">
        <v>6</v>
      </c>
      <c r="T923" s="107" t="s">
        <v>4</v>
      </c>
      <c r="U923" s="99" t="s">
        <v>12</v>
      </c>
      <c r="V923" s="99" t="s">
        <v>1962</v>
      </c>
      <c r="W923" s="99" t="s">
        <v>1966</v>
      </c>
    </row>
    <row r="924" spans="1:23" ht="18.600000000000001" customHeight="1">
      <c r="A924" s="123" t="str">
        <f>IF(priority(Main[[#This Row],[Comments]])&lt;&gt;0, priority(Main[[#This Row],[Comments]]),"")</f>
        <v/>
      </c>
      <c r="B924" s="127" t="s">
        <v>1785</v>
      </c>
      <c r="C924" s="99" t="s">
        <v>289</v>
      </c>
      <c r="D924" s="100" t="s">
        <v>810</v>
      </c>
      <c r="E924" s="101"/>
      <c r="F924" s="101"/>
      <c r="G924" s="102" t="str">
        <f>IF(stdProdLT(Main[[#This Row],[Comments]])=0.1,"N/A",IF(stdProdLT(Main[[#This Row],[Comments]])=0,"",stdProdLT(Main[[#This Row],[Comments]])))</f>
        <v/>
      </c>
      <c r="H924" s="103" t="str">
        <f>IF(AND(Main[[#This Row],[In Stock Date]]&lt;&gt;"",Main[[#This Row],[Revised Due Date]]&lt;&gt;""),Main[[#This Row],[In Stock Date]]-Main[[#This Row],[Revised Due Date]],"")</f>
        <v/>
      </c>
      <c r="I924" s="99" t="s">
        <v>4</v>
      </c>
      <c r="J924" s="99" t="s">
        <v>4</v>
      </c>
      <c r="K924" s="108" t="s">
        <v>4</v>
      </c>
      <c r="L924" s="101"/>
      <c r="M924" s="104" t="str">
        <f>IF(Main[[#This Row],[Tech Start Date]]&lt;1/1/1990,"",IF(Main[[#This Row],[Class]]="C",WORKDAY(Main[[#This Row],[Tech Start Date]],9),IF(Main[[#This Row],[Class]]="B", WORKDAY(Main[[#This Row],[Tech Start Date]],6),IF(Main[[#This Row],[Class]]="A",WORKDAY(Main[[#This Row],[Tech Start Date]],2),""))))</f>
        <v/>
      </c>
      <c r="N924" s="104" t="str">
        <f>IF(Main[[#This Row],[Tech Start Date]]&lt;1/1/1990,"",IF(Main[[#This Row],[Class]]="C",WORKDAY(Main[[#This Row],[Tech Start Date]],19),IF(Main[[#This Row],[Class]]="B", WORKDAY(Main[[#This Row],[Tech Start Date]],12),IF(Main[[#This Row],[Class]]="A",WORKDAY(Main[[#This Row],[Tech Start Date]],4),""))))</f>
        <v/>
      </c>
      <c r="O924" s="104" t="str">
        <f>IF(Main[[#This Row],[Tech Start Date]]&lt;1/1/1990,"",IF(Main[[#This Row],[Class]]="C",WORKDAY(Main[[#This Row],[Tech Start Date]],23),IF(Main[[#This Row],[Class]]="B", WORKDAY(Main[[#This Row],[Tech Start Date]],15),IF(Main[[#This Row],[Class]]="A",WORKDAY(Main[[#This Row],[Tech Start Date]],5),""))))</f>
        <v/>
      </c>
      <c r="P924" s="104" t="str">
        <f>IF(Main[[#This Row],[Tech Start Date]]&lt;1/1/1990,"",IF(Main[[#This Row],[Class]]="C",WORKDAY(Main[[#This Row],[Tech Start Date]],28),IF(Main[[#This Row],[Class]]="B", WORKDAY(Main[[#This Row],[Tech Start Date]],19),IF(Main[[#This Row],[Class]]="A",WORKDAY(Main[[#This Row],[Tech Start Date]],9),""))))</f>
        <v/>
      </c>
      <c r="Q924" s="101">
        <v>40134</v>
      </c>
      <c r="R924" s="101"/>
      <c r="S924" s="99" t="s">
        <v>11</v>
      </c>
      <c r="T924" s="107" t="s">
        <v>4</v>
      </c>
      <c r="U924" s="99" t="s">
        <v>14</v>
      </c>
      <c r="V924" s="99" t="s">
        <v>1972</v>
      </c>
      <c r="W924" s="99" t="s">
        <v>1970</v>
      </c>
    </row>
    <row r="925" spans="1:23" ht="18.600000000000001" customHeight="1">
      <c r="A925" s="123" t="str">
        <f>IF(priority(Main[[#This Row],[Comments]])&lt;&gt;0, priority(Main[[#This Row],[Comments]]),"")</f>
        <v/>
      </c>
      <c r="B925" s="127" t="s">
        <v>1786</v>
      </c>
      <c r="C925" s="99" t="s">
        <v>4</v>
      </c>
      <c r="D925" s="100" t="s">
        <v>811</v>
      </c>
      <c r="E925" s="101"/>
      <c r="F925" s="101">
        <v>40598</v>
      </c>
      <c r="G925" s="102" t="str">
        <f>IF(stdProdLT(Main[[#This Row],[Comments]])=0.1,"N/A",IF(stdProdLT(Main[[#This Row],[Comments]])=0,"",stdProdLT(Main[[#This Row],[Comments]])))</f>
        <v/>
      </c>
      <c r="H925" s="103" t="str">
        <f>IF(AND(Main[[#This Row],[In Stock Date]]&lt;&gt;"",Main[[#This Row],[Revised Due Date]]&lt;&gt;""),Main[[#This Row],[In Stock Date]]-Main[[#This Row],[Revised Due Date]],"")</f>
        <v/>
      </c>
      <c r="I925" s="99" t="s">
        <v>4</v>
      </c>
      <c r="J925" s="99" t="s">
        <v>4</v>
      </c>
      <c r="K925" s="99" t="s">
        <v>4</v>
      </c>
      <c r="L925" s="101"/>
      <c r="M925" s="104" t="str">
        <f>IF(Main[[#This Row],[Tech Start Date]]&lt;1/1/1990,"",IF(Main[[#This Row],[Class]]="C",WORKDAY(Main[[#This Row],[Tech Start Date]],9),IF(Main[[#This Row],[Class]]="B", WORKDAY(Main[[#This Row],[Tech Start Date]],6),IF(Main[[#This Row],[Class]]="A",WORKDAY(Main[[#This Row],[Tech Start Date]],2),""))))</f>
        <v/>
      </c>
      <c r="N925" s="104" t="str">
        <f>IF(Main[[#This Row],[Tech Start Date]]&lt;1/1/1990,"",IF(Main[[#This Row],[Class]]="C",WORKDAY(Main[[#This Row],[Tech Start Date]],19),IF(Main[[#This Row],[Class]]="B", WORKDAY(Main[[#This Row],[Tech Start Date]],12),IF(Main[[#This Row],[Class]]="A",WORKDAY(Main[[#This Row],[Tech Start Date]],4),""))))</f>
        <v/>
      </c>
      <c r="O925" s="104" t="str">
        <f>IF(Main[[#This Row],[Tech Start Date]]&lt;1/1/1990,"",IF(Main[[#This Row],[Class]]="C",WORKDAY(Main[[#This Row],[Tech Start Date]],23),IF(Main[[#This Row],[Class]]="B", WORKDAY(Main[[#This Row],[Tech Start Date]],15),IF(Main[[#This Row],[Class]]="A",WORKDAY(Main[[#This Row],[Tech Start Date]],5),""))))</f>
        <v/>
      </c>
      <c r="P925" s="104" t="str">
        <f>IF(Main[[#This Row],[Tech Start Date]]&lt;1/1/1990,"",IF(Main[[#This Row],[Class]]="C",WORKDAY(Main[[#This Row],[Tech Start Date]],28),IF(Main[[#This Row],[Class]]="B", WORKDAY(Main[[#This Row],[Tech Start Date]],19),IF(Main[[#This Row],[Class]]="A",WORKDAY(Main[[#This Row],[Tech Start Date]],9),""))))</f>
        <v/>
      </c>
      <c r="Q925" s="101">
        <v>40598</v>
      </c>
      <c r="R925" s="101"/>
      <c r="S925" s="99" t="s">
        <v>11</v>
      </c>
      <c r="T925" s="107" t="s">
        <v>4</v>
      </c>
      <c r="U925" s="99" t="s">
        <v>14</v>
      </c>
      <c r="V925" s="99" t="s">
        <v>1972</v>
      </c>
      <c r="W925" s="99" t="s">
        <v>1968</v>
      </c>
    </row>
    <row r="926" spans="1:23" ht="18.600000000000001" customHeight="1">
      <c r="A926" s="123" t="str">
        <f>IF(priority(Main[[#This Row],[Comments]])&lt;&gt;0, priority(Main[[#This Row],[Comments]]),"")</f>
        <v/>
      </c>
      <c r="B926" s="127" t="s">
        <v>1787</v>
      </c>
      <c r="C926" s="99" t="s">
        <v>442</v>
      </c>
      <c r="D926" s="100" t="s">
        <v>803</v>
      </c>
      <c r="E926" s="101"/>
      <c r="F926" s="101"/>
      <c r="G926" s="102" t="str">
        <f>IF(stdProdLT(Main[[#This Row],[Comments]])=0.1,"N/A",IF(stdProdLT(Main[[#This Row],[Comments]])=0,"",stdProdLT(Main[[#This Row],[Comments]])))</f>
        <v/>
      </c>
      <c r="H926" s="103" t="str">
        <f>IF(AND(Main[[#This Row],[In Stock Date]]&lt;&gt;"",Main[[#This Row],[Revised Due Date]]&lt;&gt;""),Main[[#This Row],[In Stock Date]]-Main[[#This Row],[Revised Due Date]],"")</f>
        <v/>
      </c>
      <c r="I926" s="99" t="s">
        <v>4</v>
      </c>
      <c r="J926" s="99" t="s">
        <v>4</v>
      </c>
      <c r="K926" s="99" t="s">
        <v>4</v>
      </c>
      <c r="L926" s="101"/>
      <c r="M926" s="104" t="str">
        <f>IF(Main[[#This Row],[Tech Start Date]]&lt;1/1/1990,"",IF(Main[[#This Row],[Class]]="C",WORKDAY(Main[[#This Row],[Tech Start Date]],9),IF(Main[[#This Row],[Class]]="B", WORKDAY(Main[[#This Row],[Tech Start Date]],6),IF(Main[[#This Row],[Class]]="A",WORKDAY(Main[[#This Row],[Tech Start Date]],2),""))))</f>
        <v/>
      </c>
      <c r="N926" s="104" t="str">
        <f>IF(Main[[#This Row],[Tech Start Date]]&lt;1/1/1990,"",IF(Main[[#This Row],[Class]]="C",WORKDAY(Main[[#This Row],[Tech Start Date]],19),IF(Main[[#This Row],[Class]]="B", WORKDAY(Main[[#This Row],[Tech Start Date]],12),IF(Main[[#This Row],[Class]]="A",WORKDAY(Main[[#This Row],[Tech Start Date]],4),""))))</f>
        <v/>
      </c>
      <c r="O926" s="104" t="str">
        <f>IF(Main[[#This Row],[Tech Start Date]]&lt;1/1/1990,"",IF(Main[[#This Row],[Class]]="C",WORKDAY(Main[[#This Row],[Tech Start Date]],23),IF(Main[[#This Row],[Class]]="B", WORKDAY(Main[[#This Row],[Tech Start Date]],15),IF(Main[[#This Row],[Class]]="A",WORKDAY(Main[[#This Row],[Tech Start Date]],5),""))))</f>
        <v/>
      </c>
      <c r="P926" s="104" t="str">
        <f>IF(Main[[#This Row],[Tech Start Date]]&lt;1/1/1990,"",IF(Main[[#This Row],[Class]]="C",WORKDAY(Main[[#This Row],[Tech Start Date]],28),IF(Main[[#This Row],[Class]]="B", WORKDAY(Main[[#This Row],[Tech Start Date]],19),IF(Main[[#This Row],[Class]]="A",WORKDAY(Main[[#This Row],[Tech Start Date]],9),""))))</f>
        <v/>
      </c>
      <c r="Q926" s="101"/>
      <c r="R926" s="101"/>
      <c r="S926" s="99" t="s">
        <v>11</v>
      </c>
      <c r="T926" s="107" t="s">
        <v>4</v>
      </c>
      <c r="U926" s="99" t="s">
        <v>14</v>
      </c>
      <c r="V926" s="99" t="s">
        <v>1962</v>
      </c>
      <c r="W926" s="99" t="s">
        <v>1970</v>
      </c>
    </row>
    <row r="927" spans="1:23" ht="18.600000000000001" customHeight="1">
      <c r="A927" s="123" t="str">
        <f>IF(priority(Main[[#This Row],[Comments]])&lt;&gt;0, priority(Main[[#This Row],[Comments]]),"")</f>
        <v/>
      </c>
      <c r="B927" s="127" t="s">
        <v>1789</v>
      </c>
      <c r="C927" s="99" t="s">
        <v>4</v>
      </c>
      <c r="D927" s="100" t="s">
        <v>812</v>
      </c>
      <c r="E927" s="101"/>
      <c r="F927" s="101"/>
      <c r="G927" s="102" t="str">
        <f>IF(stdProdLT(Main[[#This Row],[Comments]])=0.1,"N/A",IF(stdProdLT(Main[[#This Row],[Comments]])=0,"",stdProdLT(Main[[#This Row],[Comments]])))</f>
        <v/>
      </c>
      <c r="H927" s="103" t="str">
        <f>IF(AND(Main[[#This Row],[In Stock Date]]&lt;&gt;"",Main[[#This Row],[Revised Due Date]]&lt;&gt;""),Main[[#This Row],[In Stock Date]]-Main[[#This Row],[Revised Due Date]],"")</f>
        <v/>
      </c>
      <c r="I927" s="99" t="s">
        <v>4</v>
      </c>
      <c r="J927" s="99" t="s">
        <v>4</v>
      </c>
      <c r="K927" s="108" t="s">
        <v>4</v>
      </c>
      <c r="L927" s="101"/>
      <c r="M927" s="104" t="str">
        <f>IF(Main[[#This Row],[Tech Start Date]]&lt;1/1/1990,"",IF(Main[[#This Row],[Class]]="C",WORKDAY(Main[[#This Row],[Tech Start Date]],9),IF(Main[[#This Row],[Class]]="B", WORKDAY(Main[[#This Row],[Tech Start Date]],6),IF(Main[[#This Row],[Class]]="A",WORKDAY(Main[[#This Row],[Tech Start Date]],2),""))))</f>
        <v/>
      </c>
      <c r="N927" s="104" t="str">
        <f>IF(Main[[#This Row],[Tech Start Date]]&lt;1/1/1990,"",IF(Main[[#This Row],[Class]]="C",WORKDAY(Main[[#This Row],[Tech Start Date]],19),IF(Main[[#This Row],[Class]]="B", WORKDAY(Main[[#This Row],[Tech Start Date]],12),IF(Main[[#This Row],[Class]]="A",WORKDAY(Main[[#This Row],[Tech Start Date]],4),""))))</f>
        <v/>
      </c>
      <c r="O927" s="104" t="str">
        <f>IF(Main[[#This Row],[Tech Start Date]]&lt;1/1/1990,"",IF(Main[[#This Row],[Class]]="C",WORKDAY(Main[[#This Row],[Tech Start Date]],23),IF(Main[[#This Row],[Class]]="B", WORKDAY(Main[[#This Row],[Tech Start Date]],15),IF(Main[[#This Row],[Class]]="A",WORKDAY(Main[[#This Row],[Tech Start Date]],5),""))))</f>
        <v/>
      </c>
      <c r="P927" s="104" t="str">
        <f>IF(Main[[#This Row],[Tech Start Date]]&lt;1/1/1990,"",IF(Main[[#This Row],[Class]]="C",WORKDAY(Main[[#This Row],[Tech Start Date]],28),IF(Main[[#This Row],[Class]]="B", WORKDAY(Main[[#This Row],[Tech Start Date]],19),IF(Main[[#This Row],[Class]]="A",WORKDAY(Main[[#This Row],[Tech Start Date]],9),""))))</f>
        <v/>
      </c>
      <c r="Q927" s="101"/>
      <c r="R927" s="101"/>
      <c r="S927" s="99" t="s">
        <v>23</v>
      </c>
      <c r="T927" s="107" t="s">
        <v>4</v>
      </c>
      <c r="U927" s="99" t="s">
        <v>14</v>
      </c>
      <c r="V927" s="99" t="s">
        <v>1972</v>
      </c>
      <c r="W927" s="99" t="s">
        <v>1966</v>
      </c>
    </row>
    <row r="928" spans="1:23" ht="18.600000000000001" customHeight="1">
      <c r="A928" s="123" t="str">
        <f>IF(priority(Main[[#This Row],[Comments]])&lt;&gt;0, priority(Main[[#This Row],[Comments]]),"")</f>
        <v/>
      </c>
      <c r="B928" s="127" t="s">
        <v>1128</v>
      </c>
      <c r="C928" s="99" t="s">
        <v>4</v>
      </c>
      <c r="D928" s="100" t="s">
        <v>146</v>
      </c>
      <c r="E928" s="101"/>
      <c r="F928" s="101"/>
      <c r="G928" s="102" t="str">
        <f>IF(stdProdLT(Main[[#This Row],[Comments]])=0.1,"N/A",IF(stdProdLT(Main[[#This Row],[Comments]])=0,"",stdProdLT(Main[[#This Row],[Comments]])))</f>
        <v/>
      </c>
      <c r="H928" s="103" t="str">
        <f>IF(AND(Main[[#This Row],[In Stock Date]]&lt;&gt;"",Main[[#This Row],[Revised Due Date]]&lt;&gt;""),Main[[#This Row],[In Stock Date]]-Main[[#This Row],[Revised Due Date]],"")</f>
        <v/>
      </c>
      <c r="I928" s="99" t="s">
        <v>4</v>
      </c>
      <c r="J928" s="99" t="s">
        <v>4</v>
      </c>
      <c r="K928" s="108" t="s">
        <v>4</v>
      </c>
      <c r="L928" s="101"/>
      <c r="M928" s="104" t="str">
        <f>IF(Main[[#This Row],[Tech Start Date]]&lt;1/1/1990,"",IF(Main[[#This Row],[Class]]="C",WORKDAY(Main[[#This Row],[Tech Start Date]],9),IF(Main[[#This Row],[Class]]="B", WORKDAY(Main[[#This Row],[Tech Start Date]],6),IF(Main[[#This Row],[Class]]="A",WORKDAY(Main[[#This Row],[Tech Start Date]],2),""))))</f>
        <v/>
      </c>
      <c r="N928" s="104" t="str">
        <f>IF(Main[[#This Row],[Tech Start Date]]&lt;1/1/1990,"",IF(Main[[#This Row],[Class]]="C",WORKDAY(Main[[#This Row],[Tech Start Date]],19),IF(Main[[#This Row],[Class]]="B", WORKDAY(Main[[#This Row],[Tech Start Date]],12),IF(Main[[#This Row],[Class]]="A",WORKDAY(Main[[#This Row],[Tech Start Date]],4),""))))</f>
        <v/>
      </c>
      <c r="O928" s="104" t="str">
        <f>IF(Main[[#This Row],[Tech Start Date]]&lt;1/1/1990,"",IF(Main[[#This Row],[Class]]="C",WORKDAY(Main[[#This Row],[Tech Start Date]],23),IF(Main[[#This Row],[Class]]="B", WORKDAY(Main[[#This Row],[Tech Start Date]],15),IF(Main[[#This Row],[Class]]="A",WORKDAY(Main[[#This Row],[Tech Start Date]],5),""))))</f>
        <v/>
      </c>
      <c r="P928" s="104" t="str">
        <f>IF(Main[[#This Row],[Tech Start Date]]&lt;1/1/1990,"",IF(Main[[#This Row],[Class]]="C",WORKDAY(Main[[#This Row],[Tech Start Date]],28),IF(Main[[#This Row],[Class]]="B", WORKDAY(Main[[#This Row],[Tech Start Date]],19),IF(Main[[#This Row],[Class]]="A",WORKDAY(Main[[#This Row],[Tech Start Date]],9),""))))</f>
        <v/>
      </c>
      <c r="Q928" s="101"/>
      <c r="R928" s="101"/>
      <c r="S928" s="99" t="s">
        <v>17</v>
      </c>
      <c r="T928" s="107" t="s">
        <v>4</v>
      </c>
      <c r="U928" s="99" t="s">
        <v>14</v>
      </c>
      <c r="V928" s="99" t="s">
        <v>1977</v>
      </c>
      <c r="W928" s="99" t="s">
        <v>1964</v>
      </c>
    </row>
    <row r="929" spans="1:23" ht="18.600000000000001" customHeight="1">
      <c r="A929" s="123" t="str">
        <f>IF(priority(Main[[#This Row],[Comments]])&lt;&gt;0, priority(Main[[#This Row],[Comments]]),"")</f>
        <v/>
      </c>
      <c r="B929" s="127" t="s">
        <v>1721</v>
      </c>
      <c r="C929" s="99" t="s">
        <v>37</v>
      </c>
      <c r="D929" s="100" t="s">
        <v>2512</v>
      </c>
      <c r="E929" s="101">
        <v>40682.483831018515</v>
      </c>
      <c r="F929" s="101"/>
      <c r="G929" s="102" t="str">
        <f>IF(stdProdLT(Main[[#This Row],[Comments]])=0.1,"N/A",IF(stdProdLT(Main[[#This Row],[Comments]])=0,"",stdProdLT(Main[[#This Row],[Comments]])))</f>
        <v/>
      </c>
      <c r="H929" s="103" t="str">
        <f>IF(AND(Main[[#This Row],[In Stock Date]]&lt;&gt;"",Main[[#This Row],[Revised Due Date]]&lt;&gt;""),Main[[#This Row],[In Stock Date]]-Main[[#This Row],[Revised Due Date]],"")</f>
        <v/>
      </c>
      <c r="I929" s="99" t="s">
        <v>4</v>
      </c>
      <c r="J929" s="99" t="s">
        <v>4</v>
      </c>
      <c r="K929" s="99" t="s">
        <v>4</v>
      </c>
      <c r="L929" s="101"/>
      <c r="M929" s="104" t="str">
        <f>IF(Main[[#This Row],[Tech Start Date]]&lt;1/1/1990,"",IF(Main[[#This Row],[Class]]="C",WORKDAY(Main[[#This Row],[Tech Start Date]],9),IF(Main[[#This Row],[Class]]="B", WORKDAY(Main[[#This Row],[Tech Start Date]],6),IF(Main[[#This Row],[Class]]="A",WORKDAY(Main[[#This Row],[Tech Start Date]],2),""))))</f>
        <v/>
      </c>
      <c r="N929" s="104" t="str">
        <f>IF(Main[[#This Row],[Tech Start Date]]&lt;1/1/1990,"",IF(Main[[#This Row],[Class]]="C",WORKDAY(Main[[#This Row],[Tech Start Date]],19),IF(Main[[#This Row],[Class]]="B", WORKDAY(Main[[#This Row],[Tech Start Date]],12),IF(Main[[#This Row],[Class]]="A",WORKDAY(Main[[#This Row],[Tech Start Date]],4),""))))</f>
        <v/>
      </c>
      <c r="O929" s="104" t="str">
        <f>IF(Main[[#This Row],[Tech Start Date]]&lt;1/1/1990,"",IF(Main[[#This Row],[Class]]="C",WORKDAY(Main[[#This Row],[Tech Start Date]],23),IF(Main[[#This Row],[Class]]="B", WORKDAY(Main[[#This Row],[Tech Start Date]],15),IF(Main[[#This Row],[Class]]="A",WORKDAY(Main[[#This Row],[Tech Start Date]],5),""))))</f>
        <v/>
      </c>
      <c r="P929" s="104" t="str">
        <f>IF(Main[[#This Row],[Tech Start Date]]&lt;1/1/1990,"",IF(Main[[#This Row],[Class]]="C",WORKDAY(Main[[#This Row],[Tech Start Date]],28),IF(Main[[#This Row],[Class]]="B", WORKDAY(Main[[#This Row],[Tech Start Date]],19),IF(Main[[#This Row],[Class]]="A",WORKDAY(Main[[#This Row],[Tech Start Date]],9),""))))</f>
        <v/>
      </c>
      <c r="Q929" s="101">
        <v>40700</v>
      </c>
      <c r="R929" s="101"/>
      <c r="S929" s="99" t="s">
        <v>6</v>
      </c>
      <c r="T929" s="107" t="s">
        <v>4</v>
      </c>
      <c r="U929" s="99" t="s">
        <v>540</v>
      </c>
      <c r="V929" s="99" t="s">
        <v>1962</v>
      </c>
      <c r="W929" s="99" t="s">
        <v>1973</v>
      </c>
    </row>
    <row r="930" spans="1:23" ht="18.600000000000001" customHeight="1">
      <c r="A930" s="123" t="str">
        <f>IF(priority(Main[[#This Row],[Comments]])&lt;&gt;0, priority(Main[[#This Row],[Comments]]),"")</f>
        <v/>
      </c>
      <c r="B930" s="127" t="s">
        <v>1790</v>
      </c>
      <c r="C930" s="99" t="s">
        <v>702</v>
      </c>
      <c r="D930" s="100" t="s">
        <v>703</v>
      </c>
      <c r="E930" s="101"/>
      <c r="F930" s="101"/>
      <c r="G930" s="102" t="str">
        <f>IF(stdProdLT(Main[[#This Row],[Comments]])=0.1,"N/A",IF(stdProdLT(Main[[#This Row],[Comments]])=0,"",stdProdLT(Main[[#This Row],[Comments]])))</f>
        <v/>
      </c>
      <c r="H930" s="103" t="str">
        <f>IF(AND(Main[[#This Row],[In Stock Date]]&lt;&gt;"",Main[[#This Row],[Revised Due Date]]&lt;&gt;""),Main[[#This Row],[In Stock Date]]-Main[[#This Row],[Revised Due Date]],"")</f>
        <v/>
      </c>
      <c r="I930" s="99" t="s">
        <v>4</v>
      </c>
      <c r="J930" s="99" t="s">
        <v>4</v>
      </c>
      <c r="K930" s="99" t="s">
        <v>4</v>
      </c>
      <c r="L930" s="101"/>
      <c r="M930" s="104" t="str">
        <f>IF(Main[[#This Row],[Tech Start Date]]&lt;1/1/1990,"",IF(Main[[#This Row],[Class]]="C",WORKDAY(Main[[#This Row],[Tech Start Date]],9),IF(Main[[#This Row],[Class]]="B", WORKDAY(Main[[#This Row],[Tech Start Date]],6),IF(Main[[#This Row],[Class]]="A",WORKDAY(Main[[#This Row],[Tech Start Date]],2),""))))</f>
        <v/>
      </c>
      <c r="N930" s="104" t="str">
        <f>IF(Main[[#This Row],[Tech Start Date]]&lt;1/1/1990,"",IF(Main[[#This Row],[Class]]="C",WORKDAY(Main[[#This Row],[Tech Start Date]],19),IF(Main[[#This Row],[Class]]="B", WORKDAY(Main[[#This Row],[Tech Start Date]],12),IF(Main[[#This Row],[Class]]="A",WORKDAY(Main[[#This Row],[Tech Start Date]],4),""))))</f>
        <v/>
      </c>
      <c r="O930" s="104" t="str">
        <f>IF(Main[[#This Row],[Tech Start Date]]&lt;1/1/1990,"",IF(Main[[#This Row],[Class]]="C",WORKDAY(Main[[#This Row],[Tech Start Date]],23),IF(Main[[#This Row],[Class]]="B", WORKDAY(Main[[#This Row],[Tech Start Date]],15),IF(Main[[#This Row],[Class]]="A",WORKDAY(Main[[#This Row],[Tech Start Date]],5),""))))</f>
        <v/>
      </c>
      <c r="P930" s="104" t="str">
        <f>IF(Main[[#This Row],[Tech Start Date]]&lt;1/1/1990,"",IF(Main[[#This Row],[Class]]="C",WORKDAY(Main[[#This Row],[Tech Start Date]],28),IF(Main[[#This Row],[Class]]="B", WORKDAY(Main[[#This Row],[Tech Start Date]],19),IF(Main[[#This Row],[Class]]="A",WORKDAY(Main[[#This Row],[Tech Start Date]],9),""))))</f>
        <v/>
      </c>
      <c r="Q930" s="101">
        <v>40672</v>
      </c>
      <c r="R930" s="101"/>
      <c r="S930" s="99" t="s">
        <v>11</v>
      </c>
      <c r="T930" s="107" t="s">
        <v>4</v>
      </c>
      <c r="U930" s="99" t="s">
        <v>12</v>
      </c>
      <c r="V930" s="99" t="s">
        <v>1962</v>
      </c>
      <c r="W930" s="99" t="s">
        <v>1964</v>
      </c>
    </row>
    <row r="931" spans="1:23" ht="18.600000000000001" customHeight="1">
      <c r="A931" s="123" t="str">
        <f>IF(priority(Main[[#This Row],[Comments]])&lt;&gt;0, priority(Main[[#This Row],[Comments]]),"")</f>
        <v/>
      </c>
      <c r="B931" s="127" t="s">
        <v>1791</v>
      </c>
      <c r="C931" s="99" t="s">
        <v>4</v>
      </c>
      <c r="D931" s="100" t="s">
        <v>813</v>
      </c>
      <c r="E931" s="101"/>
      <c r="F931" s="101"/>
      <c r="G931" s="102" t="str">
        <f>IF(stdProdLT(Main[[#This Row],[Comments]])=0.1,"N/A",IF(stdProdLT(Main[[#This Row],[Comments]])=0,"",stdProdLT(Main[[#This Row],[Comments]])))</f>
        <v/>
      </c>
      <c r="H931" s="103" t="str">
        <f>IF(AND(Main[[#This Row],[In Stock Date]]&lt;&gt;"",Main[[#This Row],[Revised Due Date]]&lt;&gt;""),Main[[#This Row],[In Stock Date]]-Main[[#This Row],[Revised Due Date]],"")</f>
        <v/>
      </c>
      <c r="I931" s="99" t="s">
        <v>4</v>
      </c>
      <c r="J931" s="99" t="s">
        <v>28</v>
      </c>
      <c r="K931" s="99" t="s">
        <v>1971</v>
      </c>
      <c r="L931" s="101"/>
      <c r="M931" s="104" t="str">
        <f>IF(Main[[#This Row],[Tech Start Date]]&lt;1/1/1990,"",IF(Main[[#This Row],[Class]]="C",WORKDAY(Main[[#This Row],[Tech Start Date]],9),IF(Main[[#This Row],[Class]]="B", WORKDAY(Main[[#This Row],[Tech Start Date]],6),IF(Main[[#This Row],[Class]]="A",WORKDAY(Main[[#This Row],[Tech Start Date]],2),""))))</f>
        <v/>
      </c>
      <c r="N931" s="104" t="str">
        <f>IF(Main[[#This Row],[Tech Start Date]]&lt;1/1/1990,"",IF(Main[[#This Row],[Class]]="C",WORKDAY(Main[[#This Row],[Tech Start Date]],19),IF(Main[[#This Row],[Class]]="B", WORKDAY(Main[[#This Row],[Tech Start Date]],12),IF(Main[[#This Row],[Class]]="A",WORKDAY(Main[[#This Row],[Tech Start Date]],4),""))))</f>
        <v/>
      </c>
      <c r="O931" s="104" t="str">
        <f>IF(Main[[#This Row],[Tech Start Date]]&lt;1/1/1990,"",IF(Main[[#This Row],[Class]]="C",WORKDAY(Main[[#This Row],[Tech Start Date]],23),IF(Main[[#This Row],[Class]]="B", WORKDAY(Main[[#This Row],[Tech Start Date]],15),IF(Main[[#This Row],[Class]]="A",WORKDAY(Main[[#This Row],[Tech Start Date]],5),""))))</f>
        <v/>
      </c>
      <c r="P931" s="104" t="str">
        <f>IF(Main[[#This Row],[Tech Start Date]]&lt;1/1/1990,"",IF(Main[[#This Row],[Class]]="C",WORKDAY(Main[[#This Row],[Tech Start Date]],28),IF(Main[[#This Row],[Class]]="B", WORKDAY(Main[[#This Row],[Tech Start Date]],19),IF(Main[[#This Row],[Class]]="A",WORKDAY(Main[[#This Row],[Tech Start Date]],9),""))))</f>
        <v/>
      </c>
      <c r="Q931" s="101">
        <v>40672</v>
      </c>
      <c r="R931" s="101"/>
      <c r="S931" s="99" t="s">
        <v>6</v>
      </c>
      <c r="T931" s="107" t="s">
        <v>4</v>
      </c>
      <c r="U931" s="99" t="s">
        <v>14</v>
      </c>
      <c r="V931" s="99" t="s">
        <v>1965</v>
      </c>
      <c r="W931" s="99" t="s">
        <v>1964</v>
      </c>
    </row>
    <row r="932" spans="1:23" ht="18.600000000000001" customHeight="1">
      <c r="A932" s="123" t="str">
        <f>IF(priority(Main[[#This Row],[Comments]])&lt;&gt;0, priority(Main[[#This Row],[Comments]]),"")</f>
        <v/>
      </c>
      <c r="B932" s="127" t="s">
        <v>1792</v>
      </c>
      <c r="C932" s="99" t="s">
        <v>72</v>
      </c>
      <c r="D932" s="100" t="s">
        <v>814</v>
      </c>
      <c r="E932" s="101"/>
      <c r="F932" s="101"/>
      <c r="G932" s="102" t="str">
        <f>IF(stdProdLT(Main[[#This Row],[Comments]])=0.1,"N/A",IF(stdProdLT(Main[[#This Row],[Comments]])=0,"",stdProdLT(Main[[#This Row],[Comments]])))</f>
        <v/>
      </c>
      <c r="H932" s="103" t="str">
        <f>IF(AND(Main[[#This Row],[In Stock Date]]&lt;&gt;"",Main[[#This Row],[Revised Due Date]]&lt;&gt;""),Main[[#This Row],[In Stock Date]]-Main[[#This Row],[Revised Due Date]],"")</f>
        <v/>
      </c>
      <c r="I932" s="99" t="s">
        <v>4</v>
      </c>
      <c r="J932" s="99" t="s">
        <v>52</v>
      </c>
      <c r="K932" s="99" t="s">
        <v>4</v>
      </c>
      <c r="L932" s="101"/>
      <c r="M932" s="104" t="str">
        <f>IF(Main[[#This Row],[Tech Start Date]]&lt;1/1/1990,"",IF(Main[[#This Row],[Class]]="C",WORKDAY(Main[[#This Row],[Tech Start Date]],9),IF(Main[[#This Row],[Class]]="B", WORKDAY(Main[[#This Row],[Tech Start Date]],6),IF(Main[[#This Row],[Class]]="A",WORKDAY(Main[[#This Row],[Tech Start Date]],2),""))))</f>
        <v/>
      </c>
      <c r="N932" s="104" t="str">
        <f>IF(Main[[#This Row],[Tech Start Date]]&lt;1/1/1990,"",IF(Main[[#This Row],[Class]]="C",WORKDAY(Main[[#This Row],[Tech Start Date]],19),IF(Main[[#This Row],[Class]]="B", WORKDAY(Main[[#This Row],[Tech Start Date]],12),IF(Main[[#This Row],[Class]]="A",WORKDAY(Main[[#This Row],[Tech Start Date]],4),""))))</f>
        <v/>
      </c>
      <c r="O932" s="104" t="str">
        <f>IF(Main[[#This Row],[Tech Start Date]]&lt;1/1/1990,"",IF(Main[[#This Row],[Class]]="C",WORKDAY(Main[[#This Row],[Tech Start Date]],23),IF(Main[[#This Row],[Class]]="B", WORKDAY(Main[[#This Row],[Tech Start Date]],15),IF(Main[[#This Row],[Class]]="A",WORKDAY(Main[[#This Row],[Tech Start Date]],5),""))))</f>
        <v/>
      </c>
      <c r="P932" s="104" t="str">
        <f>IF(Main[[#This Row],[Tech Start Date]]&lt;1/1/1990,"",IF(Main[[#This Row],[Class]]="C",WORKDAY(Main[[#This Row],[Tech Start Date]],28),IF(Main[[#This Row],[Class]]="B", WORKDAY(Main[[#This Row],[Tech Start Date]],19),IF(Main[[#This Row],[Class]]="A",WORKDAY(Main[[#This Row],[Tech Start Date]],9),""))))</f>
        <v/>
      </c>
      <c r="Q932" s="101">
        <v>40482</v>
      </c>
      <c r="R932" s="101"/>
      <c r="S932" s="99" t="s">
        <v>11</v>
      </c>
      <c r="T932" s="107" t="s">
        <v>4</v>
      </c>
      <c r="U932" s="99" t="s">
        <v>14</v>
      </c>
      <c r="V932" s="99" t="s">
        <v>1965</v>
      </c>
      <c r="W932" s="99" t="s">
        <v>1970</v>
      </c>
    </row>
    <row r="933" spans="1:23" ht="18.600000000000001" customHeight="1">
      <c r="A933" s="123" t="str">
        <f>IF(priority(Main[[#This Row],[Comments]])&lt;&gt;0, priority(Main[[#This Row],[Comments]]),"")</f>
        <v/>
      </c>
      <c r="B933" s="127" t="s">
        <v>1793</v>
      </c>
      <c r="C933" s="99" t="s">
        <v>4</v>
      </c>
      <c r="D933" s="100" t="s">
        <v>815</v>
      </c>
      <c r="E933" s="101"/>
      <c r="F933" s="101"/>
      <c r="G933" s="102" t="str">
        <f>IF(stdProdLT(Main[[#This Row],[Comments]])=0.1,"N/A",IF(stdProdLT(Main[[#This Row],[Comments]])=0,"",stdProdLT(Main[[#This Row],[Comments]])))</f>
        <v/>
      </c>
      <c r="H933" s="103" t="str">
        <f>IF(AND(Main[[#This Row],[In Stock Date]]&lt;&gt;"",Main[[#This Row],[Revised Due Date]]&lt;&gt;""),Main[[#This Row],[In Stock Date]]-Main[[#This Row],[Revised Due Date]],"")</f>
        <v/>
      </c>
      <c r="I933" s="99" t="s">
        <v>404</v>
      </c>
      <c r="J933" s="99" t="s">
        <v>4</v>
      </c>
      <c r="K933" s="108" t="s">
        <v>4</v>
      </c>
      <c r="L933" s="101"/>
      <c r="M933" s="104" t="str">
        <f>IF(Main[[#This Row],[Tech Start Date]]&lt;1/1/1990,"",IF(Main[[#This Row],[Class]]="C",WORKDAY(Main[[#This Row],[Tech Start Date]],9),IF(Main[[#This Row],[Class]]="B", WORKDAY(Main[[#This Row],[Tech Start Date]],6),IF(Main[[#This Row],[Class]]="A",WORKDAY(Main[[#This Row],[Tech Start Date]],2),""))))</f>
        <v/>
      </c>
      <c r="N933" s="104" t="str">
        <f>IF(Main[[#This Row],[Tech Start Date]]&lt;1/1/1990,"",IF(Main[[#This Row],[Class]]="C",WORKDAY(Main[[#This Row],[Tech Start Date]],19),IF(Main[[#This Row],[Class]]="B", WORKDAY(Main[[#This Row],[Tech Start Date]],12),IF(Main[[#This Row],[Class]]="A",WORKDAY(Main[[#This Row],[Tech Start Date]],4),""))))</f>
        <v/>
      </c>
      <c r="O933" s="104" t="str">
        <f>IF(Main[[#This Row],[Tech Start Date]]&lt;1/1/1990,"",IF(Main[[#This Row],[Class]]="C",WORKDAY(Main[[#This Row],[Tech Start Date]],23),IF(Main[[#This Row],[Class]]="B", WORKDAY(Main[[#This Row],[Tech Start Date]],15),IF(Main[[#This Row],[Class]]="A",WORKDAY(Main[[#This Row],[Tech Start Date]],5),""))))</f>
        <v/>
      </c>
      <c r="P933" s="104" t="str">
        <f>IF(Main[[#This Row],[Tech Start Date]]&lt;1/1/1990,"",IF(Main[[#This Row],[Class]]="C",WORKDAY(Main[[#This Row],[Tech Start Date]],28),IF(Main[[#This Row],[Class]]="B", WORKDAY(Main[[#This Row],[Tech Start Date]],19),IF(Main[[#This Row],[Class]]="A",WORKDAY(Main[[#This Row],[Tech Start Date]],9),""))))</f>
        <v/>
      </c>
      <c r="Q933" s="101">
        <v>40359</v>
      </c>
      <c r="R933" s="101"/>
      <c r="S933" s="99" t="s">
        <v>11</v>
      </c>
      <c r="T933" s="107" t="s">
        <v>4</v>
      </c>
      <c r="U933" s="99" t="s">
        <v>14</v>
      </c>
      <c r="V933" s="99" t="s">
        <v>1965</v>
      </c>
      <c r="W933" s="99" t="s">
        <v>1968</v>
      </c>
    </row>
    <row r="934" spans="1:23" ht="18.600000000000001" customHeight="1">
      <c r="A934" s="123" t="str">
        <f>IF(priority(Main[[#This Row],[Comments]])&lt;&gt;0, priority(Main[[#This Row],[Comments]]),"")</f>
        <v/>
      </c>
      <c r="B934" s="127" t="s">
        <v>1794</v>
      </c>
      <c r="C934" s="99" t="s">
        <v>42</v>
      </c>
      <c r="D934" s="100" t="s">
        <v>816</v>
      </c>
      <c r="E934" s="101">
        <v>39932.448611111111</v>
      </c>
      <c r="F934" s="101"/>
      <c r="G934" s="102" t="str">
        <f>IF(stdProdLT(Main[[#This Row],[Comments]])=0.1,"N/A",IF(stdProdLT(Main[[#This Row],[Comments]])=0,"",stdProdLT(Main[[#This Row],[Comments]])))</f>
        <v/>
      </c>
      <c r="H934" s="103" t="str">
        <f>IF(AND(Main[[#This Row],[In Stock Date]]&lt;&gt;"",Main[[#This Row],[Revised Due Date]]&lt;&gt;""),Main[[#This Row],[In Stock Date]]-Main[[#This Row],[Revised Due Date]],"")</f>
        <v/>
      </c>
      <c r="I934" s="99" t="s">
        <v>4</v>
      </c>
      <c r="J934" s="99" t="s">
        <v>4</v>
      </c>
      <c r="K934" s="99" t="s">
        <v>4</v>
      </c>
      <c r="L934" s="101"/>
      <c r="M934" s="104" t="str">
        <f>IF(Main[[#This Row],[Tech Start Date]]&lt;1/1/1990,"",IF(Main[[#This Row],[Class]]="C",WORKDAY(Main[[#This Row],[Tech Start Date]],9),IF(Main[[#This Row],[Class]]="B", WORKDAY(Main[[#This Row],[Tech Start Date]],6),IF(Main[[#This Row],[Class]]="A",WORKDAY(Main[[#This Row],[Tech Start Date]],2),""))))</f>
        <v/>
      </c>
      <c r="N934" s="104" t="str">
        <f>IF(Main[[#This Row],[Tech Start Date]]&lt;1/1/1990,"",IF(Main[[#This Row],[Class]]="C",WORKDAY(Main[[#This Row],[Tech Start Date]],19),IF(Main[[#This Row],[Class]]="B", WORKDAY(Main[[#This Row],[Tech Start Date]],12),IF(Main[[#This Row],[Class]]="A",WORKDAY(Main[[#This Row],[Tech Start Date]],4),""))))</f>
        <v/>
      </c>
      <c r="O934" s="104" t="str">
        <f>IF(Main[[#This Row],[Tech Start Date]]&lt;1/1/1990,"",IF(Main[[#This Row],[Class]]="C",WORKDAY(Main[[#This Row],[Tech Start Date]],23),IF(Main[[#This Row],[Class]]="B", WORKDAY(Main[[#This Row],[Tech Start Date]],15),IF(Main[[#This Row],[Class]]="A",WORKDAY(Main[[#This Row],[Tech Start Date]],5),""))))</f>
        <v/>
      </c>
      <c r="P934" s="104" t="str">
        <f>IF(Main[[#This Row],[Tech Start Date]]&lt;1/1/1990,"",IF(Main[[#This Row],[Class]]="C",WORKDAY(Main[[#This Row],[Tech Start Date]],28),IF(Main[[#This Row],[Class]]="B", WORKDAY(Main[[#This Row],[Tech Start Date]],19),IF(Main[[#This Row],[Class]]="A",WORKDAY(Main[[#This Row],[Tech Start Date]],9),""))))</f>
        <v/>
      </c>
      <c r="Q934" s="101"/>
      <c r="R934" s="101"/>
      <c r="S934" s="99" t="s">
        <v>17</v>
      </c>
      <c r="T934" s="107" t="s">
        <v>4</v>
      </c>
      <c r="U934" s="99" t="s">
        <v>7</v>
      </c>
      <c r="V934" s="99" t="s">
        <v>1965</v>
      </c>
      <c r="W934" s="99" t="s">
        <v>4</v>
      </c>
    </row>
    <row r="935" spans="1:23" ht="18.600000000000001" customHeight="1">
      <c r="A935" s="123" t="str">
        <f>IF(priority(Main[[#This Row],[Comments]])&lt;&gt;0, priority(Main[[#This Row],[Comments]]),"")</f>
        <v/>
      </c>
      <c r="B935" s="127" t="s">
        <v>3029</v>
      </c>
      <c r="C935" s="99" t="s">
        <v>4</v>
      </c>
      <c r="D935" s="100" t="s">
        <v>3030</v>
      </c>
      <c r="E935" s="101">
        <v>40879.405844907407</v>
      </c>
      <c r="F935" s="101"/>
      <c r="G935" s="102" t="str">
        <f>IF(stdProdLT(Main[[#This Row],[Comments]])=0.1,"N/A",IF(stdProdLT(Main[[#This Row],[Comments]])=0,"",stdProdLT(Main[[#This Row],[Comments]])))</f>
        <v/>
      </c>
      <c r="H935" s="103" t="str">
        <f>IF(AND(Main[[#This Row],[In Stock Date]]&lt;&gt;"",Main[[#This Row],[Revised Due Date]]&lt;&gt;""),Main[[#This Row],[In Stock Date]]-Main[[#This Row],[Revised Due Date]],"")</f>
        <v/>
      </c>
      <c r="I935" s="99" t="s">
        <v>2110</v>
      </c>
      <c r="J935" s="99" t="s">
        <v>28</v>
      </c>
      <c r="K935" s="99" t="s">
        <v>1971</v>
      </c>
      <c r="L935" s="101"/>
      <c r="M935" s="104" t="str">
        <f>IF(Main[[#This Row],[Tech Start Date]]&lt;1/1/1990,"",IF(Main[[#This Row],[Class]]="C",WORKDAY(Main[[#This Row],[Tech Start Date]],9),IF(Main[[#This Row],[Class]]="B", WORKDAY(Main[[#This Row],[Tech Start Date]],6),IF(Main[[#This Row],[Class]]="A",WORKDAY(Main[[#This Row],[Tech Start Date]],2),""))))</f>
        <v/>
      </c>
      <c r="N935" s="104" t="str">
        <f>IF(Main[[#This Row],[Tech Start Date]]&lt;1/1/1990,"",IF(Main[[#This Row],[Class]]="C",WORKDAY(Main[[#This Row],[Tech Start Date]],19),IF(Main[[#This Row],[Class]]="B", WORKDAY(Main[[#This Row],[Tech Start Date]],12),IF(Main[[#This Row],[Class]]="A",WORKDAY(Main[[#This Row],[Tech Start Date]],4),""))))</f>
        <v/>
      </c>
      <c r="O935" s="104" t="str">
        <f>IF(Main[[#This Row],[Tech Start Date]]&lt;1/1/1990,"",IF(Main[[#This Row],[Class]]="C",WORKDAY(Main[[#This Row],[Tech Start Date]],23),IF(Main[[#This Row],[Class]]="B", WORKDAY(Main[[#This Row],[Tech Start Date]],15),IF(Main[[#This Row],[Class]]="A",WORKDAY(Main[[#This Row],[Tech Start Date]],5),""))))</f>
        <v/>
      </c>
      <c r="P935" s="104" t="str">
        <f>IF(Main[[#This Row],[Tech Start Date]]&lt;1/1/1990,"",IF(Main[[#This Row],[Class]]="C",WORKDAY(Main[[#This Row],[Tech Start Date]],28),IF(Main[[#This Row],[Class]]="B", WORKDAY(Main[[#This Row],[Tech Start Date]],19),IF(Main[[#This Row],[Class]]="A",WORKDAY(Main[[#This Row],[Tech Start Date]],9),""))))</f>
        <v/>
      </c>
      <c r="Q935" s="101">
        <v>40892</v>
      </c>
      <c r="R935" s="101"/>
      <c r="S935" s="99" t="s">
        <v>6</v>
      </c>
      <c r="T935" s="107" t="s">
        <v>4</v>
      </c>
      <c r="U935" s="99" t="s">
        <v>29</v>
      </c>
      <c r="V935" s="99" t="s">
        <v>1965</v>
      </c>
      <c r="W935" s="99" t="s">
        <v>1966</v>
      </c>
    </row>
    <row r="936" spans="1:23" ht="18.600000000000001" customHeight="1">
      <c r="A936" s="123" t="str">
        <f>IF(priority(Main[[#This Row],[Comments]])&lt;&gt;0, priority(Main[[#This Row],[Comments]]),"")</f>
        <v/>
      </c>
      <c r="B936" s="127" t="s">
        <v>1799</v>
      </c>
      <c r="C936" s="99" t="s">
        <v>4</v>
      </c>
      <c r="D936" s="100" t="s">
        <v>818</v>
      </c>
      <c r="E936" s="101">
        <v>40626.476493055554</v>
      </c>
      <c r="F936" s="101"/>
      <c r="G936" s="102" t="str">
        <f>IF(stdProdLT(Main[[#This Row],[Comments]])=0.1,"N/A",IF(stdProdLT(Main[[#This Row],[Comments]])=0,"",stdProdLT(Main[[#This Row],[Comments]])))</f>
        <v/>
      </c>
      <c r="H936" s="103" t="str">
        <f>IF(AND(Main[[#This Row],[In Stock Date]]&lt;&gt;"",Main[[#This Row],[Revised Due Date]]&lt;&gt;""),Main[[#This Row],[In Stock Date]]-Main[[#This Row],[Revised Due Date]],"")</f>
        <v/>
      </c>
      <c r="I936" s="99" t="s">
        <v>375</v>
      </c>
      <c r="J936" s="99" t="s">
        <v>28</v>
      </c>
      <c r="K936" s="99" t="s">
        <v>1971</v>
      </c>
      <c r="L936" s="101"/>
      <c r="M936" s="104" t="str">
        <f>IF(Main[[#This Row],[Tech Start Date]]&lt;1/1/1990,"",IF(Main[[#This Row],[Class]]="C",WORKDAY(Main[[#This Row],[Tech Start Date]],9),IF(Main[[#This Row],[Class]]="B", WORKDAY(Main[[#This Row],[Tech Start Date]],6),IF(Main[[#This Row],[Class]]="A",WORKDAY(Main[[#This Row],[Tech Start Date]],2),""))))</f>
        <v/>
      </c>
      <c r="N936" s="104" t="str">
        <f>IF(Main[[#This Row],[Tech Start Date]]&lt;1/1/1990,"",IF(Main[[#This Row],[Class]]="C",WORKDAY(Main[[#This Row],[Tech Start Date]],19),IF(Main[[#This Row],[Class]]="B", WORKDAY(Main[[#This Row],[Tech Start Date]],12),IF(Main[[#This Row],[Class]]="A",WORKDAY(Main[[#This Row],[Tech Start Date]],4),""))))</f>
        <v/>
      </c>
      <c r="O936" s="104" t="str">
        <f>IF(Main[[#This Row],[Tech Start Date]]&lt;1/1/1990,"",IF(Main[[#This Row],[Class]]="C",WORKDAY(Main[[#This Row],[Tech Start Date]],23),IF(Main[[#This Row],[Class]]="B", WORKDAY(Main[[#This Row],[Tech Start Date]],15),IF(Main[[#This Row],[Class]]="A",WORKDAY(Main[[#This Row],[Tech Start Date]],5),""))))</f>
        <v/>
      </c>
      <c r="P936" s="104" t="str">
        <f>IF(Main[[#This Row],[Tech Start Date]]&lt;1/1/1990,"",IF(Main[[#This Row],[Class]]="C",WORKDAY(Main[[#This Row],[Tech Start Date]],28),IF(Main[[#This Row],[Class]]="B", WORKDAY(Main[[#This Row],[Tech Start Date]],19),IF(Main[[#This Row],[Class]]="A",WORKDAY(Main[[#This Row],[Tech Start Date]],9),""))))</f>
        <v/>
      </c>
      <c r="Q936" s="101"/>
      <c r="R936" s="101"/>
      <c r="S936" s="99" t="s">
        <v>6</v>
      </c>
      <c r="T936" s="107" t="s">
        <v>4</v>
      </c>
      <c r="U936" s="99" t="s">
        <v>29</v>
      </c>
      <c r="V936" s="99" t="s">
        <v>1965</v>
      </c>
      <c r="W936" s="99" t="s">
        <v>1966</v>
      </c>
    </row>
    <row r="937" spans="1:23" ht="18.600000000000001" customHeight="1">
      <c r="A937" s="123" t="str">
        <f>IF(priority(Main[[#This Row],[Comments]])&lt;&gt;0, priority(Main[[#This Row],[Comments]]),"")</f>
        <v/>
      </c>
      <c r="B937" s="127" t="s">
        <v>1240</v>
      </c>
      <c r="C937" s="99" t="s">
        <v>116</v>
      </c>
      <c r="D937" s="100" t="s">
        <v>268</v>
      </c>
      <c r="E937" s="101">
        <v>40681.362476851849</v>
      </c>
      <c r="F937" s="101">
        <v>40734</v>
      </c>
      <c r="G937" s="102" t="str">
        <f>IF(stdProdLT(Main[[#This Row],[Comments]])=0.1,"N/A",IF(stdProdLT(Main[[#This Row],[Comments]])=0,"",stdProdLT(Main[[#This Row],[Comments]])))</f>
        <v/>
      </c>
      <c r="H937" s="103" t="str">
        <f>IF(AND(Main[[#This Row],[In Stock Date]]&lt;&gt;"",Main[[#This Row],[Revised Due Date]]&lt;&gt;""),Main[[#This Row],[In Stock Date]]-Main[[#This Row],[Revised Due Date]],"")</f>
        <v/>
      </c>
      <c r="I937" s="99" t="s">
        <v>4</v>
      </c>
      <c r="J937" s="99" t="s">
        <v>4</v>
      </c>
      <c r="K937" s="108" t="s">
        <v>4</v>
      </c>
      <c r="L937" s="101"/>
      <c r="M937" s="104" t="str">
        <f>IF(Main[[#This Row],[Tech Start Date]]&lt;1/1/1990,"",IF(Main[[#This Row],[Class]]="C",WORKDAY(Main[[#This Row],[Tech Start Date]],9),IF(Main[[#This Row],[Class]]="B", WORKDAY(Main[[#This Row],[Tech Start Date]],6),IF(Main[[#This Row],[Class]]="A",WORKDAY(Main[[#This Row],[Tech Start Date]],2),""))))</f>
        <v/>
      </c>
      <c r="N937" s="104" t="str">
        <f>IF(Main[[#This Row],[Tech Start Date]]&lt;1/1/1990,"",IF(Main[[#This Row],[Class]]="C",WORKDAY(Main[[#This Row],[Tech Start Date]],19),IF(Main[[#This Row],[Class]]="B", WORKDAY(Main[[#This Row],[Tech Start Date]],12),IF(Main[[#This Row],[Class]]="A",WORKDAY(Main[[#This Row],[Tech Start Date]],4),""))))</f>
        <v/>
      </c>
      <c r="O937" s="104" t="str">
        <f>IF(Main[[#This Row],[Tech Start Date]]&lt;1/1/1990,"",IF(Main[[#This Row],[Class]]="C",WORKDAY(Main[[#This Row],[Tech Start Date]],23),IF(Main[[#This Row],[Class]]="B", WORKDAY(Main[[#This Row],[Tech Start Date]],15),IF(Main[[#This Row],[Class]]="A",WORKDAY(Main[[#This Row],[Tech Start Date]],5),""))))</f>
        <v/>
      </c>
      <c r="P937" s="104" t="str">
        <f>IF(Main[[#This Row],[Tech Start Date]]&lt;1/1/1990,"",IF(Main[[#This Row],[Class]]="C",WORKDAY(Main[[#This Row],[Tech Start Date]],28),IF(Main[[#This Row],[Class]]="B", WORKDAY(Main[[#This Row],[Tech Start Date]],19),IF(Main[[#This Row],[Class]]="A",WORKDAY(Main[[#This Row],[Tech Start Date]],9),""))))</f>
        <v/>
      </c>
      <c r="Q937" s="101">
        <v>40724</v>
      </c>
      <c r="R937" s="101"/>
      <c r="S937" s="99" t="s">
        <v>17</v>
      </c>
      <c r="T937" s="107" t="s">
        <v>4</v>
      </c>
      <c r="U937" s="99" t="s">
        <v>7</v>
      </c>
      <c r="V937" s="99" t="s">
        <v>1965</v>
      </c>
      <c r="W937" s="99" t="s">
        <v>1966</v>
      </c>
    </row>
    <row r="938" spans="1:23" ht="18.600000000000001" customHeight="1">
      <c r="A938" s="123" t="str">
        <f>IF(priority(Main[[#This Row],[Comments]])&lt;&gt;0, priority(Main[[#This Row],[Comments]]),"")</f>
        <v/>
      </c>
      <c r="B938" s="127" t="s">
        <v>2515</v>
      </c>
      <c r="C938" s="99" t="s">
        <v>4</v>
      </c>
      <c r="D938" s="100" t="s">
        <v>2516</v>
      </c>
      <c r="E938" s="101"/>
      <c r="F938" s="101"/>
      <c r="G938" s="102" t="str">
        <f>IF(stdProdLT(Main[[#This Row],[Comments]])=0.1,"N/A",IF(stdProdLT(Main[[#This Row],[Comments]])=0,"",stdProdLT(Main[[#This Row],[Comments]])))</f>
        <v/>
      </c>
      <c r="H938" s="103" t="str">
        <f>IF(AND(Main[[#This Row],[In Stock Date]]&lt;&gt;"",Main[[#This Row],[Revised Due Date]]&lt;&gt;""),Main[[#This Row],[In Stock Date]]-Main[[#This Row],[Revised Due Date]],"")</f>
        <v/>
      </c>
      <c r="I938" s="99" t="s">
        <v>4</v>
      </c>
      <c r="J938" s="99" t="s">
        <v>4</v>
      </c>
      <c r="K938" s="99" t="s">
        <v>4</v>
      </c>
      <c r="L938" s="101"/>
      <c r="M938" s="104" t="str">
        <f>IF(Main[[#This Row],[Tech Start Date]]&lt;1/1/1990,"",IF(Main[[#This Row],[Class]]="C",WORKDAY(Main[[#This Row],[Tech Start Date]],9),IF(Main[[#This Row],[Class]]="B", WORKDAY(Main[[#This Row],[Tech Start Date]],6),IF(Main[[#This Row],[Class]]="A",WORKDAY(Main[[#This Row],[Tech Start Date]],2),""))))</f>
        <v/>
      </c>
      <c r="N938" s="104" t="str">
        <f>IF(Main[[#This Row],[Tech Start Date]]&lt;1/1/1990,"",IF(Main[[#This Row],[Class]]="C",WORKDAY(Main[[#This Row],[Tech Start Date]],19),IF(Main[[#This Row],[Class]]="B", WORKDAY(Main[[#This Row],[Tech Start Date]],12),IF(Main[[#This Row],[Class]]="A",WORKDAY(Main[[#This Row],[Tech Start Date]],4),""))))</f>
        <v/>
      </c>
      <c r="O938" s="104" t="str">
        <f>IF(Main[[#This Row],[Tech Start Date]]&lt;1/1/1990,"",IF(Main[[#This Row],[Class]]="C",WORKDAY(Main[[#This Row],[Tech Start Date]],23),IF(Main[[#This Row],[Class]]="B", WORKDAY(Main[[#This Row],[Tech Start Date]],15),IF(Main[[#This Row],[Class]]="A",WORKDAY(Main[[#This Row],[Tech Start Date]],5),""))))</f>
        <v/>
      </c>
      <c r="P938" s="104" t="str">
        <f>IF(Main[[#This Row],[Tech Start Date]]&lt;1/1/1990,"",IF(Main[[#This Row],[Class]]="C",WORKDAY(Main[[#This Row],[Tech Start Date]],28),IF(Main[[#This Row],[Class]]="B", WORKDAY(Main[[#This Row],[Tech Start Date]],19),IF(Main[[#This Row],[Class]]="A",WORKDAY(Main[[#This Row],[Tech Start Date]],9),""))))</f>
        <v/>
      </c>
      <c r="Q938" s="101"/>
      <c r="R938" s="101"/>
      <c r="S938" s="99" t="s">
        <v>11</v>
      </c>
      <c r="T938" s="107" t="s">
        <v>4</v>
      </c>
      <c r="U938" s="99" t="s">
        <v>14</v>
      </c>
      <c r="V938" s="99" t="s">
        <v>1963</v>
      </c>
      <c r="W938" s="99" t="s">
        <v>4</v>
      </c>
    </row>
    <row r="939" spans="1:23" ht="18.600000000000001" customHeight="1">
      <c r="A939" s="123" t="str">
        <f>IF(priority(Main[[#This Row],[Comments]])&lt;&gt;0, priority(Main[[#This Row],[Comments]]),"")</f>
        <v/>
      </c>
      <c r="B939" s="127" t="s">
        <v>1869</v>
      </c>
      <c r="C939" s="99" t="s">
        <v>370</v>
      </c>
      <c r="D939" s="100" t="s">
        <v>2181</v>
      </c>
      <c r="E939" s="101">
        <v>40002.664317129631</v>
      </c>
      <c r="F939" s="101">
        <v>40074</v>
      </c>
      <c r="G939" s="102">
        <f>IF(stdProdLT(Main[[#This Row],[Comments]])=0.1,"N/A",IF(stdProdLT(Main[[#This Row],[Comments]])=0,"",stdProdLT(Main[[#This Row],[Comments]])))</f>
        <v>126</v>
      </c>
      <c r="H939" s="103">
        <f>IF(AND(Main[[#This Row],[In Stock Date]]&lt;&gt;"",Main[[#This Row],[Revised Due Date]]&lt;&gt;""),Main[[#This Row],[In Stock Date]]-Main[[#This Row],[Revised Due Date]],"")</f>
        <v>-399</v>
      </c>
      <c r="I939" s="99" t="s">
        <v>2112</v>
      </c>
      <c r="J939" s="99" t="s">
        <v>28</v>
      </c>
      <c r="K939" s="99" t="s">
        <v>1975</v>
      </c>
      <c r="L939" s="101"/>
      <c r="M939" s="104" t="str">
        <f>IF(Main[[#This Row],[Tech Start Date]]&lt;1/1/1990,"",IF(Main[[#This Row],[Class]]="C",WORKDAY(Main[[#This Row],[Tech Start Date]],9),IF(Main[[#This Row],[Class]]="B", WORKDAY(Main[[#This Row],[Tech Start Date]],6),IF(Main[[#This Row],[Class]]="A",WORKDAY(Main[[#This Row],[Tech Start Date]],2),""))))</f>
        <v/>
      </c>
      <c r="N939" s="104" t="str">
        <f>IF(Main[[#This Row],[Tech Start Date]]&lt;1/1/1990,"",IF(Main[[#This Row],[Class]]="C",WORKDAY(Main[[#This Row],[Tech Start Date]],19),IF(Main[[#This Row],[Class]]="B", WORKDAY(Main[[#This Row],[Tech Start Date]],12),IF(Main[[#This Row],[Class]]="A",WORKDAY(Main[[#This Row],[Tech Start Date]],4),""))))</f>
        <v/>
      </c>
      <c r="O939" s="104" t="str">
        <f>IF(Main[[#This Row],[Tech Start Date]]&lt;1/1/1990,"",IF(Main[[#This Row],[Class]]="C",WORKDAY(Main[[#This Row],[Tech Start Date]],23),IF(Main[[#This Row],[Class]]="B", WORKDAY(Main[[#This Row],[Tech Start Date]],15),IF(Main[[#This Row],[Class]]="A",WORKDAY(Main[[#This Row],[Tech Start Date]],5),""))))</f>
        <v/>
      </c>
      <c r="P939" s="104" t="str">
        <f>IF(Main[[#This Row],[Tech Start Date]]&lt;1/1/1990,"",IF(Main[[#This Row],[Class]]="C",WORKDAY(Main[[#This Row],[Tech Start Date]],28),IF(Main[[#This Row],[Class]]="B", WORKDAY(Main[[#This Row],[Tech Start Date]],19),IF(Main[[#This Row],[Class]]="A",WORKDAY(Main[[#This Row],[Tech Start Date]],9),""))))</f>
        <v/>
      </c>
      <c r="Q939" s="101">
        <v>40057</v>
      </c>
      <c r="R939" s="101">
        <v>40473</v>
      </c>
      <c r="S939" s="99" t="s">
        <v>6</v>
      </c>
      <c r="T939" s="107" t="s">
        <v>2182</v>
      </c>
      <c r="U939" s="99" t="s">
        <v>29</v>
      </c>
      <c r="V939" s="99" t="s">
        <v>1963</v>
      </c>
      <c r="W939" s="99" t="s">
        <v>1966</v>
      </c>
    </row>
    <row r="940" spans="1:23" ht="18.600000000000001" customHeight="1">
      <c r="A940" s="123" t="str">
        <f>IF(priority(Main[[#This Row],[Comments]])&lt;&gt;0, priority(Main[[#This Row],[Comments]]),"")</f>
        <v/>
      </c>
      <c r="B940" s="127" t="s">
        <v>1800</v>
      </c>
      <c r="C940" s="99" t="s">
        <v>72</v>
      </c>
      <c r="D940" s="100" t="s">
        <v>821</v>
      </c>
      <c r="E940" s="101"/>
      <c r="F940" s="101">
        <v>40756</v>
      </c>
      <c r="G940" s="102" t="str">
        <f>IF(stdProdLT(Main[[#This Row],[Comments]])=0.1,"N/A",IF(stdProdLT(Main[[#This Row],[Comments]])=0,"",stdProdLT(Main[[#This Row],[Comments]])))</f>
        <v/>
      </c>
      <c r="H940" s="103" t="str">
        <f>IF(AND(Main[[#This Row],[In Stock Date]]&lt;&gt;"",Main[[#This Row],[Revised Due Date]]&lt;&gt;""),Main[[#This Row],[In Stock Date]]-Main[[#This Row],[Revised Due Date]],"")</f>
        <v/>
      </c>
      <c r="I940" s="99" t="s">
        <v>4</v>
      </c>
      <c r="J940" s="99" t="s">
        <v>28</v>
      </c>
      <c r="K940" s="99" t="s">
        <v>4</v>
      </c>
      <c r="L940" s="101"/>
      <c r="M940" s="104" t="str">
        <f>IF(Main[[#This Row],[Tech Start Date]]&lt;1/1/1990,"",IF(Main[[#This Row],[Class]]="C",WORKDAY(Main[[#This Row],[Tech Start Date]],9),IF(Main[[#This Row],[Class]]="B", WORKDAY(Main[[#This Row],[Tech Start Date]],6),IF(Main[[#This Row],[Class]]="A",WORKDAY(Main[[#This Row],[Tech Start Date]],2),""))))</f>
        <v/>
      </c>
      <c r="N940" s="104" t="str">
        <f>IF(Main[[#This Row],[Tech Start Date]]&lt;1/1/1990,"",IF(Main[[#This Row],[Class]]="C",WORKDAY(Main[[#This Row],[Tech Start Date]],19),IF(Main[[#This Row],[Class]]="B", WORKDAY(Main[[#This Row],[Tech Start Date]],12),IF(Main[[#This Row],[Class]]="A",WORKDAY(Main[[#This Row],[Tech Start Date]],4),""))))</f>
        <v/>
      </c>
      <c r="O940" s="104" t="str">
        <f>IF(Main[[#This Row],[Tech Start Date]]&lt;1/1/1990,"",IF(Main[[#This Row],[Class]]="C",WORKDAY(Main[[#This Row],[Tech Start Date]],23),IF(Main[[#This Row],[Class]]="B", WORKDAY(Main[[#This Row],[Tech Start Date]],15),IF(Main[[#This Row],[Class]]="A",WORKDAY(Main[[#This Row],[Tech Start Date]],5),""))))</f>
        <v/>
      </c>
      <c r="P940" s="104" t="str">
        <f>IF(Main[[#This Row],[Tech Start Date]]&lt;1/1/1990,"",IF(Main[[#This Row],[Class]]="C",WORKDAY(Main[[#This Row],[Tech Start Date]],28),IF(Main[[#This Row],[Class]]="B", WORKDAY(Main[[#This Row],[Tech Start Date]],19),IF(Main[[#This Row],[Class]]="A",WORKDAY(Main[[#This Row],[Tech Start Date]],9),""))))</f>
        <v/>
      </c>
      <c r="Q940" s="101"/>
      <c r="R940" s="101"/>
      <c r="S940" s="99" t="s">
        <v>11</v>
      </c>
      <c r="T940" s="107" t="s">
        <v>4</v>
      </c>
      <c r="U940" s="99" t="s">
        <v>12</v>
      </c>
      <c r="V940" s="99" t="s">
        <v>1965</v>
      </c>
      <c r="W940" s="99" t="s">
        <v>1967</v>
      </c>
    </row>
    <row r="941" spans="1:23" ht="18.600000000000001" customHeight="1">
      <c r="A941" s="123" t="str">
        <f>IF(priority(Main[[#This Row],[Comments]])&lt;&gt;0, priority(Main[[#This Row],[Comments]]),"")</f>
        <v/>
      </c>
      <c r="B941" s="127" t="s">
        <v>1801</v>
      </c>
      <c r="C941" s="99" t="s">
        <v>47</v>
      </c>
      <c r="D941" s="100" t="s">
        <v>822</v>
      </c>
      <c r="E941" s="101"/>
      <c r="F941" s="101"/>
      <c r="G941" s="102" t="str">
        <f>IF(stdProdLT(Main[[#This Row],[Comments]])=0.1,"N/A",IF(stdProdLT(Main[[#This Row],[Comments]])=0,"",stdProdLT(Main[[#This Row],[Comments]])))</f>
        <v/>
      </c>
      <c r="H941" s="103" t="str">
        <f>IF(AND(Main[[#This Row],[In Stock Date]]&lt;&gt;"",Main[[#This Row],[Revised Due Date]]&lt;&gt;""),Main[[#This Row],[In Stock Date]]-Main[[#This Row],[Revised Due Date]],"")</f>
        <v/>
      </c>
      <c r="I941" s="99" t="s">
        <v>4</v>
      </c>
      <c r="J941" s="99" t="s">
        <v>4</v>
      </c>
      <c r="K941" s="108" t="s">
        <v>4</v>
      </c>
      <c r="L941" s="101"/>
      <c r="M941" s="104" t="str">
        <f>IF(Main[[#This Row],[Tech Start Date]]&lt;1/1/1990,"",IF(Main[[#This Row],[Class]]="C",WORKDAY(Main[[#This Row],[Tech Start Date]],9),IF(Main[[#This Row],[Class]]="B", WORKDAY(Main[[#This Row],[Tech Start Date]],6),IF(Main[[#This Row],[Class]]="A",WORKDAY(Main[[#This Row],[Tech Start Date]],2),""))))</f>
        <v/>
      </c>
      <c r="N941" s="104" t="str">
        <f>IF(Main[[#This Row],[Tech Start Date]]&lt;1/1/1990,"",IF(Main[[#This Row],[Class]]="C",WORKDAY(Main[[#This Row],[Tech Start Date]],19),IF(Main[[#This Row],[Class]]="B", WORKDAY(Main[[#This Row],[Tech Start Date]],12),IF(Main[[#This Row],[Class]]="A",WORKDAY(Main[[#This Row],[Tech Start Date]],4),""))))</f>
        <v/>
      </c>
      <c r="O941" s="104" t="str">
        <f>IF(Main[[#This Row],[Tech Start Date]]&lt;1/1/1990,"",IF(Main[[#This Row],[Class]]="C",WORKDAY(Main[[#This Row],[Tech Start Date]],23),IF(Main[[#This Row],[Class]]="B", WORKDAY(Main[[#This Row],[Tech Start Date]],15),IF(Main[[#This Row],[Class]]="A",WORKDAY(Main[[#This Row],[Tech Start Date]],5),""))))</f>
        <v/>
      </c>
      <c r="P941" s="104" t="str">
        <f>IF(Main[[#This Row],[Tech Start Date]]&lt;1/1/1990,"",IF(Main[[#This Row],[Class]]="C",WORKDAY(Main[[#This Row],[Tech Start Date]],28),IF(Main[[#This Row],[Class]]="B", WORKDAY(Main[[#This Row],[Tech Start Date]],19),IF(Main[[#This Row],[Class]]="A",WORKDAY(Main[[#This Row],[Tech Start Date]],9),""))))</f>
        <v/>
      </c>
      <c r="Q941" s="101"/>
      <c r="R941" s="101"/>
      <c r="S941" s="99" t="s">
        <v>17</v>
      </c>
      <c r="T941" s="107" t="s">
        <v>4</v>
      </c>
      <c r="U941" s="99" t="s">
        <v>14</v>
      </c>
      <c r="V941" s="99" t="s">
        <v>1963</v>
      </c>
      <c r="W941" s="99" t="s">
        <v>1970</v>
      </c>
    </row>
    <row r="942" spans="1:23" ht="18.600000000000001" customHeight="1">
      <c r="A942" s="123" t="str">
        <f>IF(priority(Main[[#This Row],[Comments]])&lt;&gt;0, priority(Main[[#This Row],[Comments]]),"")</f>
        <v/>
      </c>
      <c r="B942" s="127" t="s">
        <v>1802</v>
      </c>
      <c r="C942" s="99" t="s">
        <v>4</v>
      </c>
      <c r="D942" s="100" t="s">
        <v>823</v>
      </c>
      <c r="E942" s="101">
        <v>40634.342361111114</v>
      </c>
      <c r="F942" s="101"/>
      <c r="G942" s="102" t="str">
        <f>IF(stdProdLT(Main[[#This Row],[Comments]])=0.1,"N/A",IF(stdProdLT(Main[[#This Row],[Comments]])=0,"",stdProdLT(Main[[#This Row],[Comments]])))</f>
        <v/>
      </c>
      <c r="H942" s="103" t="str">
        <f>IF(AND(Main[[#This Row],[In Stock Date]]&lt;&gt;"",Main[[#This Row],[Revised Due Date]]&lt;&gt;""),Main[[#This Row],[In Stock Date]]-Main[[#This Row],[Revised Due Date]],"")</f>
        <v/>
      </c>
      <c r="I942" s="99" t="s">
        <v>4</v>
      </c>
      <c r="J942" s="99" t="s">
        <v>4</v>
      </c>
      <c r="K942" s="99" t="s">
        <v>4</v>
      </c>
      <c r="L942" s="101"/>
      <c r="M942" s="104" t="str">
        <f>IF(Main[[#This Row],[Tech Start Date]]&lt;1/1/1990,"",IF(Main[[#This Row],[Class]]="C",WORKDAY(Main[[#This Row],[Tech Start Date]],9),IF(Main[[#This Row],[Class]]="B", WORKDAY(Main[[#This Row],[Tech Start Date]],6),IF(Main[[#This Row],[Class]]="A",WORKDAY(Main[[#This Row],[Tech Start Date]],2),""))))</f>
        <v/>
      </c>
      <c r="N942" s="104" t="str">
        <f>IF(Main[[#This Row],[Tech Start Date]]&lt;1/1/1990,"",IF(Main[[#This Row],[Class]]="C",WORKDAY(Main[[#This Row],[Tech Start Date]],19),IF(Main[[#This Row],[Class]]="B", WORKDAY(Main[[#This Row],[Tech Start Date]],12),IF(Main[[#This Row],[Class]]="A",WORKDAY(Main[[#This Row],[Tech Start Date]],4),""))))</f>
        <v/>
      </c>
      <c r="O942" s="104" t="str">
        <f>IF(Main[[#This Row],[Tech Start Date]]&lt;1/1/1990,"",IF(Main[[#This Row],[Class]]="C",WORKDAY(Main[[#This Row],[Tech Start Date]],23),IF(Main[[#This Row],[Class]]="B", WORKDAY(Main[[#This Row],[Tech Start Date]],15),IF(Main[[#This Row],[Class]]="A",WORKDAY(Main[[#This Row],[Tech Start Date]],5),""))))</f>
        <v/>
      </c>
      <c r="P942" s="104" t="str">
        <f>IF(Main[[#This Row],[Tech Start Date]]&lt;1/1/1990,"",IF(Main[[#This Row],[Class]]="C",WORKDAY(Main[[#This Row],[Tech Start Date]],28),IF(Main[[#This Row],[Class]]="B", WORKDAY(Main[[#This Row],[Tech Start Date]],19),IF(Main[[#This Row],[Class]]="A",WORKDAY(Main[[#This Row],[Tech Start Date]],9),""))))</f>
        <v/>
      </c>
      <c r="Q942" s="101">
        <v>40676</v>
      </c>
      <c r="R942" s="101"/>
      <c r="S942" s="99" t="s">
        <v>6</v>
      </c>
      <c r="T942" s="107" t="s">
        <v>4</v>
      </c>
      <c r="U942" s="99" t="s">
        <v>7</v>
      </c>
      <c r="V942" s="99" t="s">
        <v>1963</v>
      </c>
      <c r="W942" s="99" t="s">
        <v>4</v>
      </c>
    </row>
    <row r="943" spans="1:23" ht="18.600000000000001" customHeight="1">
      <c r="A943" s="123" t="str">
        <f>IF(priority(Main[[#This Row],[Comments]])&lt;&gt;0, priority(Main[[#This Row],[Comments]]),"")</f>
        <v/>
      </c>
      <c r="B943" s="127" t="s">
        <v>1803</v>
      </c>
      <c r="C943" s="99" t="s">
        <v>31</v>
      </c>
      <c r="D943" s="100" t="s">
        <v>824</v>
      </c>
      <c r="E943" s="101"/>
      <c r="F943" s="101"/>
      <c r="G943" s="102" t="str">
        <f>IF(stdProdLT(Main[[#This Row],[Comments]])=0.1,"N/A",IF(stdProdLT(Main[[#This Row],[Comments]])=0,"",stdProdLT(Main[[#This Row],[Comments]])))</f>
        <v/>
      </c>
      <c r="H943" s="103" t="str">
        <f>IF(AND(Main[[#This Row],[In Stock Date]]&lt;&gt;"",Main[[#This Row],[Revised Due Date]]&lt;&gt;""),Main[[#This Row],[In Stock Date]]-Main[[#This Row],[Revised Due Date]],"")</f>
        <v/>
      </c>
      <c r="I943" s="99" t="s">
        <v>4</v>
      </c>
      <c r="J943" s="99" t="s">
        <v>4</v>
      </c>
      <c r="K943" s="99" t="s">
        <v>4</v>
      </c>
      <c r="L943" s="101"/>
      <c r="M943" s="104" t="str">
        <f>IF(Main[[#This Row],[Tech Start Date]]&lt;1/1/1990,"",IF(Main[[#This Row],[Class]]="C",WORKDAY(Main[[#This Row],[Tech Start Date]],9),IF(Main[[#This Row],[Class]]="B", WORKDAY(Main[[#This Row],[Tech Start Date]],6),IF(Main[[#This Row],[Class]]="A",WORKDAY(Main[[#This Row],[Tech Start Date]],2),""))))</f>
        <v/>
      </c>
      <c r="N943" s="104" t="str">
        <f>IF(Main[[#This Row],[Tech Start Date]]&lt;1/1/1990,"",IF(Main[[#This Row],[Class]]="C",WORKDAY(Main[[#This Row],[Tech Start Date]],19),IF(Main[[#This Row],[Class]]="B", WORKDAY(Main[[#This Row],[Tech Start Date]],12),IF(Main[[#This Row],[Class]]="A",WORKDAY(Main[[#This Row],[Tech Start Date]],4),""))))</f>
        <v/>
      </c>
      <c r="O943" s="104" t="str">
        <f>IF(Main[[#This Row],[Tech Start Date]]&lt;1/1/1990,"",IF(Main[[#This Row],[Class]]="C",WORKDAY(Main[[#This Row],[Tech Start Date]],23),IF(Main[[#This Row],[Class]]="B", WORKDAY(Main[[#This Row],[Tech Start Date]],15),IF(Main[[#This Row],[Class]]="A",WORKDAY(Main[[#This Row],[Tech Start Date]],5),""))))</f>
        <v/>
      </c>
      <c r="P943" s="104" t="str">
        <f>IF(Main[[#This Row],[Tech Start Date]]&lt;1/1/1990,"",IF(Main[[#This Row],[Class]]="C",WORKDAY(Main[[#This Row],[Tech Start Date]],28),IF(Main[[#This Row],[Class]]="B", WORKDAY(Main[[#This Row],[Tech Start Date]],19),IF(Main[[#This Row],[Class]]="A",WORKDAY(Main[[#This Row],[Tech Start Date]],9),""))))</f>
        <v/>
      </c>
      <c r="Q943" s="101">
        <v>40318</v>
      </c>
      <c r="R943" s="101"/>
      <c r="S943" s="99" t="s">
        <v>11</v>
      </c>
      <c r="T943" s="107" t="s">
        <v>4</v>
      </c>
      <c r="U943" s="99" t="s">
        <v>14</v>
      </c>
      <c r="V943" s="99" t="s">
        <v>1965</v>
      </c>
      <c r="W943" s="99" t="s">
        <v>1964</v>
      </c>
    </row>
    <row r="944" spans="1:23" ht="18.600000000000001" customHeight="1">
      <c r="A944" s="123" t="str">
        <f>IF(priority(Main[[#This Row],[Comments]])&lt;&gt;0, priority(Main[[#This Row],[Comments]]),"")</f>
        <v/>
      </c>
      <c r="B944" s="127" t="s">
        <v>1804</v>
      </c>
      <c r="C944" s="99" t="s">
        <v>4</v>
      </c>
      <c r="D944" s="100" t="s">
        <v>120</v>
      </c>
      <c r="E944" s="101"/>
      <c r="F944" s="101"/>
      <c r="G944" s="102" t="str">
        <f>IF(stdProdLT(Main[[#This Row],[Comments]])=0.1,"N/A",IF(stdProdLT(Main[[#This Row],[Comments]])=0,"",stdProdLT(Main[[#This Row],[Comments]])))</f>
        <v/>
      </c>
      <c r="H944" s="103" t="str">
        <f>IF(AND(Main[[#This Row],[In Stock Date]]&lt;&gt;"",Main[[#This Row],[Revised Due Date]]&lt;&gt;""),Main[[#This Row],[In Stock Date]]-Main[[#This Row],[Revised Due Date]],"")</f>
        <v/>
      </c>
      <c r="I944" s="99" t="s">
        <v>4</v>
      </c>
      <c r="J944" s="99" t="s">
        <v>4</v>
      </c>
      <c r="K944" s="108" t="s">
        <v>4</v>
      </c>
      <c r="L944" s="101"/>
      <c r="M944" s="104" t="str">
        <f>IF(Main[[#This Row],[Tech Start Date]]&lt;1/1/1990,"",IF(Main[[#This Row],[Class]]="C",WORKDAY(Main[[#This Row],[Tech Start Date]],9),IF(Main[[#This Row],[Class]]="B", WORKDAY(Main[[#This Row],[Tech Start Date]],6),IF(Main[[#This Row],[Class]]="A",WORKDAY(Main[[#This Row],[Tech Start Date]],2),""))))</f>
        <v/>
      </c>
      <c r="N944" s="104" t="str">
        <f>IF(Main[[#This Row],[Tech Start Date]]&lt;1/1/1990,"",IF(Main[[#This Row],[Class]]="C",WORKDAY(Main[[#This Row],[Tech Start Date]],19),IF(Main[[#This Row],[Class]]="B", WORKDAY(Main[[#This Row],[Tech Start Date]],12),IF(Main[[#This Row],[Class]]="A",WORKDAY(Main[[#This Row],[Tech Start Date]],4),""))))</f>
        <v/>
      </c>
      <c r="O944" s="104" t="str">
        <f>IF(Main[[#This Row],[Tech Start Date]]&lt;1/1/1990,"",IF(Main[[#This Row],[Class]]="C",WORKDAY(Main[[#This Row],[Tech Start Date]],23),IF(Main[[#This Row],[Class]]="B", WORKDAY(Main[[#This Row],[Tech Start Date]],15),IF(Main[[#This Row],[Class]]="A",WORKDAY(Main[[#This Row],[Tech Start Date]],5),""))))</f>
        <v/>
      </c>
      <c r="P944" s="104" t="str">
        <f>IF(Main[[#This Row],[Tech Start Date]]&lt;1/1/1990,"",IF(Main[[#This Row],[Class]]="C",WORKDAY(Main[[#This Row],[Tech Start Date]],28),IF(Main[[#This Row],[Class]]="B", WORKDAY(Main[[#This Row],[Tech Start Date]],19),IF(Main[[#This Row],[Class]]="A",WORKDAY(Main[[#This Row],[Tech Start Date]],9),""))))</f>
        <v/>
      </c>
      <c r="Q944" s="101"/>
      <c r="R944" s="101"/>
      <c r="S944" s="99" t="s">
        <v>11</v>
      </c>
      <c r="T944" s="107" t="s">
        <v>4</v>
      </c>
      <c r="U944" s="99" t="s">
        <v>14</v>
      </c>
      <c r="V944" s="99" t="s">
        <v>1965</v>
      </c>
      <c r="W944" s="99" t="s">
        <v>1976</v>
      </c>
    </row>
    <row r="945" spans="1:23" ht="18.600000000000001" customHeight="1">
      <c r="A945" s="123" t="str">
        <f>IF(priority(Main[[#This Row],[Comments]])&lt;&gt;0, priority(Main[[#This Row],[Comments]]),"")</f>
        <v/>
      </c>
      <c r="B945" s="127" t="s">
        <v>1805</v>
      </c>
      <c r="C945" s="99" t="s">
        <v>4</v>
      </c>
      <c r="D945" s="100" t="s">
        <v>825</v>
      </c>
      <c r="E945" s="101">
        <v>40687.166759259257</v>
      </c>
      <c r="F945" s="101"/>
      <c r="G945" s="102" t="str">
        <f>IF(stdProdLT(Main[[#This Row],[Comments]])=0.1,"N/A",IF(stdProdLT(Main[[#This Row],[Comments]])=0,"",stdProdLT(Main[[#This Row],[Comments]])))</f>
        <v/>
      </c>
      <c r="H945" s="103" t="str">
        <f>IF(AND(Main[[#This Row],[In Stock Date]]&lt;&gt;"",Main[[#This Row],[Revised Due Date]]&lt;&gt;""),Main[[#This Row],[In Stock Date]]-Main[[#This Row],[Revised Due Date]],"")</f>
        <v/>
      </c>
      <c r="I945" s="99" t="s">
        <v>4</v>
      </c>
      <c r="J945" s="99" t="s">
        <v>4</v>
      </c>
      <c r="K945" s="99" t="s">
        <v>4</v>
      </c>
      <c r="L945" s="101"/>
      <c r="M945" s="104" t="str">
        <f>IF(Main[[#This Row],[Tech Start Date]]&lt;1/1/1990,"",IF(Main[[#This Row],[Class]]="C",WORKDAY(Main[[#This Row],[Tech Start Date]],9),IF(Main[[#This Row],[Class]]="B", WORKDAY(Main[[#This Row],[Tech Start Date]],6),IF(Main[[#This Row],[Class]]="A",WORKDAY(Main[[#This Row],[Tech Start Date]],2),""))))</f>
        <v/>
      </c>
      <c r="N945" s="104" t="str">
        <f>IF(Main[[#This Row],[Tech Start Date]]&lt;1/1/1990,"",IF(Main[[#This Row],[Class]]="C",WORKDAY(Main[[#This Row],[Tech Start Date]],19),IF(Main[[#This Row],[Class]]="B", WORKDAY(Main[[#This Row],[Tech Start Date]],12),IF(Main[[#This Row],[Class]]="A",WORKDAY(Main[[#This Row],[Tech Start Date]],4),""))))</f>
        <v/>
      </c>
      <c r="O945" s="104" t="str">
        <f>IF(Main[[#This Row],[Tech Start Date]]&lt;1/1/1990,"",IF(Main[[#This Row],[Class]]="C",WORKDAY(Main[[#This Row],[Tech Start Date]],23),IF(Main[[#This Row],[Class]]="B", WORKDAY(Main[[#This Row],[Tech Start Date]],15),IF(Main[[#This Row],[Class]]="A",WORKDAY(Main[[#This Row],[Tech Start Date]],5),""))))</f>
        <v/>
      </c>
      <c r="P945" s="104" t="str">
        <f>IF(Main[[#This Row],[Tech Start Date]]&lt;1/1/1990,"",IF(Main[[#This Row],[Class]]="C",WORKDAY(Main[[#This Row],[Tech Start Date]],28),IF(Main[[#This Row],[Class]]="B", WORKDAY(Main[[#This Row],[Tech Start Date]],19),IF(Main[[#This Row],[Class]]="A",WORKDAY(Main[[#This Row],[Tech Start Date]],9),""))))</f>
        <v/>
      </c>
      <c r="Q945" s="101">
        <v>40724</v>
      </c>
      <c r="R945" s="101"/>
      <c r="S945" s="99" t="s">
        <v>6</v>
      </c>
      <c r="T945" s="107" t="s">
        <v>4</v>
      </c>
      <c r="U945" s="99" t="s">
        <v>7</v>
      </c>
      <c r="V945" s="99" t="s">
        <v>1962</v>
      </c>
      <c r="W945" s="99" t="s">
        <v>4</v>
      </c>
    </row>
    <row r="946" spans="1:23" ht="18.600000000000001" customHeight="1">
      <c r="A946" s="123" t="str">
        <f>IF(priority(Main[[#This Row],[Comments]])&lt;&gt;0, priority(Main[[#This Row],[Comments]]),"")</f>
        <v/>
      </c>
      <c r="B946" s="127" t="s">
        <v>1807</v>
      </c>
      <c r="C946" s="99" t="s">
        <v>4</v>
      </c>
      <c r="D946" s="100" t="s">
        <v>826</v>
      </c>
      <c r="E946" s="101"/>
      <c r="F946" s="101">
        <v>40598</v>
      </c>
      <c r="G946" s="102" t="str">
        <f>IF(stdProdLT(Main[[#This Row],[Comments]])=0.1,"N/A",IF(stdProdLT(Main[[#This Row],[Comments]])=0,"",stdProdLT(Main[[#This Row],[Comments]])))</f>
        <v/>
      </c>
      <c r="H946" s="103" t="str">
        <f>IF(AND(Main[[#This Row],[In Stock Date]]&lt;&gt;"",Main[[#This Row],[Revised Due Date]]&lt;&gt;""),Main[[#This Row],[In Stock Date]]-Main[[#This Row],[Revised Due Date]],"")</f>
        <v/>
      </c>
      <c r="I946" s="99" t="s">
        <v>4</v>
      </c>
      <c r="J946" s="99" t="s">
        <v>4</v>
      </c>
      <c r="K946" s="99" t="s">
        <v>4</v>
      </c>
      <c r="L946" s="101"/>
      <c r="M946" s="104" t="str">
        <f>IF(Main[[#This Row],[Tech Start Date]]&lt;1/1/1990,"",IF(Main[[#This Row],[Class]]="C",WORKDAY(Main[[#This Row],[Tech Start Date]],9),IF(Main[[#This Row],[Class]]="B", WORKDAY(Main[[#This Row],[Tech Start Date]],6),IF(Main[[#This Row],[Class]]="A",WORKDAY(Main[[#This Row],[Tech Start Date]],2),""))))</f>
        <v/>
      </c>
      <c r="N946" s="104" t="str">
        <f>IF(Main[[#This Row],[Tech Start Date]]&lt;1/1/1990,"",IF(Main[[#This Row],[Class]]="C",WORKDAY(Main[[#This Row],[Tech Start Date]],19),IF(Main[[#This Row],[Class]]="B", WORKDAY(Main[[#This Row],[Tech Start Date]],12),IF(Main[[#This Row],[Class]]="A",WORKDAY(Main[[#This Row],[Tech Start Date]],4),""))))</f>
        <v/>
      </c>
      <c r="O946" s="104" t="str">
        <f>IF(Main[[#This Row],[Tech Start Date]]&lt;1/1/1990,"",IF(Main[[#This Row],[Class]]="C",WORKDAY(Main[[#This Row],[Tech Start Date]],23),IF(Main[[#This Row],[Class]]="B", WORKDAY(Main[[#This Row],[Tech Start Date]],15),IF(Main[[#This Row],[Class]]="A",WORKDAY(Main[[#This Row],[Tech Start Date]],5),""))))</f>
        <v/>
      </c>
      <c r="P946" s="104" t="str">
        <f>IF(Main[[#This Row],[Tech Start Date]]&lt;1/1/1990,"",IF(Main[[#This Row],[Class]]="C",WORKDAY(Main[[#This Row],[Tech Start Date]],28),IF(Main[[#This Row],[Class]]="B", WORKDAY(Main[[#This Row],[Tech Start Date]],19),IF(Main[[#This Row],[Class]]="A",WORKDAY(Main[[#This Row],[Tech Start Date]],9),""))))</f>
        <v/>
      </c>
      <c r="Q946" s="101">
        <v>40598</v>
      </c>
      <c r="R946" s="101"/>
      <c r="S946" s="99" t="s">
        <v>11</v>
      </c>
      <c r="T946" s="107" t="s">
        <v>4</v>
      </c>
      <c r="U946" s="99" t="s">
        <v>14</v>
      </c>
      <c r="V946" s="99" t="s">
        <v>1972</v>
      </c>
      <c r="W946" s="99" t="s">
        <v>1968</v>
      </c>
    </row>
    <row r="947" spans="1:23" ht="18.600000000000001" customHeight="1">
      <c r="A947" s="123" t="str">
        <f>IF(priority(Main[[#This Row],[Comments]])&lt;&gt;0, priority(Main[[#This Row],[Comments]]),"")</f>
        <v/>
      </c>
      <c r="B947" s="127" t="s">
        <v>1955</v>
      </c>
      <c r="C947" s="99" t="s">
        <v>4</v>
      </c>
      <c r="D947" s="100" t="s">
        <v>980</v>
      </c>
      <c r="E947" s="101">
        <v>40140.581273148149</v>
      </c>
      <c r="F947" s="101"/>
      <c r="G947" s="102" t="str">
        <f>IF(stdProdLT(Main[[#This Row],[Comments]])=0.1,"N/A",IF(stdProdLT(Main[[#This Row],[Comments]])=0,"",stdProdLT(Main[[#This Row],[Comments]])))</f>
        <v/>
      </c>
      <c r="H947" s="103" t="str">
        <f>IF(AND(Main[[#This Row],[In Stock Date]]&lt;&gt;"",Main[[#This Row],[Revised Due Date]]&lt;&gt;""),Main[[#This Row],[In Stock Date]]-Main[[#This Row],[Revised Due Date]],"")</f>
        <v/>
      </c>
      <c r="I947" s="99" t="s">
        <v>437</v>
      </c>
      <c r="J947" s="99" t="s">
        <v>28</v>
      </c>
      <c r="K947" s="99" t="s">
        <v>1974</v>
      </c>
      <c r="L947" s="101"/>
      <c r="M947" s="104" t="str">
        <f>IF(Main[[#This Row],[Tech Start Date]]&lt;1/1/1990,"",IF(Main[[#This Row],[Class]]="C",WORKDAY(Main[[#This Row],[Tech Start Date]],9),IF(Main[[#This Row],[Class]]="B", WORKDAY(Main[[#This Row],[Tech Start Date]],6),IF(Main[[#This Row],[Class]]="A",WORKDAY(Main[[#This Row],[Tech Start Date]],2),""))))</f>
        <v/>
      </c>
      <c r="N947" s="104" t="str">
        <f>IF(Main[[#This Row],[Tech Start Date]]&lt;1/1/1990,"",IF(Main[[#This Row],[Class]]="C",WORKDAY(Main[[#This Row],[Tech Start Date]],19),IF(Main[[#This Row],[Class]]="B", WORKDAY(Main[[#This Row],[Tech Start Date]],12),IF(Main[[#This Row],[Class]]="A",WORKDAY(Main[[#This Row],[Tech Start Date]],4),""))))</f>
        <v/>
      </c>
      <c r="O947" s="104" t="str">
        <f>IF(Main[[#This Row],[Tech Start Date]]&lt;1/1/1990,"",IF(Main[[#This Row],[Class]]="C",WORKDAY(Main[[#This Row],[Tech Start Date]],23),IF(Main[[#This Row],[Class]]="B", WORKDAY(Main[[#This Row],[Tech Start Date]],15),IF(Main[[#This Row],[Class]]="A",WORKDAY(Main[[#This Row],[Tech Start Date]],5),""))))</f>
        <v/>
      </c>
      <c r="P947" s="104" t="str">
        <f>IF(Main[[#This Row],[Tech Start Date]]&lt;1/1/1990,"",IF(Main[[#This Row],[Class]]="C",WORKDAY(Main[[#This Row],[Tech Start Date]],28),IF(Main[[#This Row],[Class]]="B", WORKDAY(Main[[#This Row],[Tech Start Date]],19),IF(Main[[#This Row],[Class]]="A",WORKDAY(Main[[#This Row],[Tech Start Date]],9),""))))</f>
        <v/>
      </c>
      <c r="Q947" s="101">
        <v>40326</v>
      </c>
      <c r="R947" s="101">
        <v>40966</v>
      </c>
      <c r="S947" s="99" t="s">
        <v>17</v>
      </c>
      <c r="T947" s="107" t="s">
        <v>4</v>
      </c>
      <c r="U947" s="99" t="s">
        <v>29</v>
      </c>
      <c r="V947" s="99" t="s">
        <v>1965</v>
      </c>
      <c r="W947" s="99" t="s">
        <v>1967</v>
      </c>
    </row>
    <row r="948" spans="1:23" ht="18.600000000000001" customHeight="1">
      <c r="A948" s="123" t="str">
        <f>IF(priority(Main[[#This Row],[Comments]])&lt;&gt;0, priority(Main[[#This Row],[Comments]]),"")</f>
        <v/>
      </c>
      <c r="B948" s="127" t="s">
        <v>1813</v>
      </c>
      <c r="C948" s="99" t="s">
        <v>4</v>
      </c>
      <c r="D948" s="100" t="s">
        <v>2183</v>
      </c>
      <c r="E948" s="101"/>
      <c r="F948" s="101"/>
      <c r="G948" s="102" t="str">
        <f>IF(stdProdLT(Main[[#This Row],[Comments]])=0.1,"N/A",IF(stdProdLT(Main[[#This Row],[Comments]])=0,"",stdProdLT(Main[[#This Row],[Comments]])))</f>
        <v/>
      </c>
      <c r="H948" s="103" t="str">
        <f>IF(AND(Main[[#This Row],[In Stock Date]]&lt;&gt;"",Main[[#This Row],[Revised Due Date]]&lt;&gt;""),Main[[#This Row],[In Stock Date]]-Main[[#This Row],[Revised Due Date]],"")</f>
        <v/>
      </c>
      <c r="I948" s="99" t="s">
        <v>435</v>
      </c>
      <c r="J948" s="99" t="s">
        <v>70</v>
      </c>
      <c r="K948" s="99" t="s">
        <v>1971</v>
      </c>
      <c r="L948" s="101"/>
      <c r="M948" s="104" t="str">
        <f>IF(Main[[#This Row],[Tech Start Date]]&lt;1/1/1990,"",IF(Main[[#This Row],[Class]]="C",WORKDAY(Main[[#This Row],[Tech Start Date]],9),IF(Main[[#This Row],[Class]]="B", WORKDAY(Main[[#This Row],[Tech Start Date]],6),IF(Main[[#This Row],[Class]]="A",WORKDAY(Main[[#This Row],[Tech Start Date]],2),""))))</f>
        <v/>
      </c>
      <c r="N948" s="104" t="str">
        <f>IF(Main[[#This Row],[Tech Start Date]]&lt;1/1/1990,"",IF(Main[[#This Row],[Class]]="C",WORKDAY(Main[[#This Row],[Tech Start Date]],19),IF(Main[[#This Row],[Class]]="B", WORKDAY(Main[[#This Row],[Tech Start Date]],12),IF(Main[[#This Row],[Class]]="A",WORKDAY(Main[[#This Row],[Tech Start Date]],4),""))))</f>
        <v/>
      </c>
      <c r="O948" s="104" t="str">
        <f>IF(Main[[#This Row],[Tech Start Date]]&lt;1/1/1990,"",IF(Main[[#This Row],[Class]]="C",WORKDAY(Main[[#This Row],[Tech Start Date]],23),IF(Main[[#This Row],[Class]]="B", WORKDAY(Main[[#This Row],[Tech Start Date]],15),IF(Main[[#This Row],[Class]]="A",WORKDAY(Main[[#This Row],[Tech Start Date]],5),""))))</f>
        <v/>
      </c>
      <c r="P948" s="104" t="str">
        <f>IF(Main[[#This Row],[Tech Start Date]]&lt;1/1/1990,"",IF(Main[[#This Row],[Class]]="C",WORKDAY(Main[[#This Row],[Tech Start Date]],28),IF(Main[[#This Row],[Class]]="B", WORKDAY(Main[[#This Row],[Tech Start Date]],19),IF(Main[[#This Row],[Class]]="A",WORKDAY(Main[[#This Row],[Tech Start Date]],9),""))))</f>
        <v/>
      </c>
      <c r="Q948" s="101">
        <v>40714</v>
      </c>
      <c r="R948" s="101"/>
      <c r="S948" s="99" t="s">
        <v>6</v>
      </c>
      <c r="T948" s="107" t="s">
        <v>4</v>
      </c>
      <c r="U948" s="99" t="s">
        <v>14</v>
      </c>
      <c r="V948" s="99" t="s">
        <v>1965</v>
      </c>
      <c r="W948" s="99" t="s">
        <v>1966</v>
      </c>
    </row>
    <row r="949" spans="1:23" ht="18.600000000000001" customHeight="1">
      <c r="A949" s="123" t="str">
        <f>IF(priority(Main[[#This Row],[Comments]])&lt;&gt;0, priority(Main[[#This Row],[Comments]]),"")</f>
        <v/>
      </c>
      <c r="B949" s="127" t="s">
        <v>1814</v>
      </c>
      <c r="C949" s="99" t="s">
        <v>4</v>
      </c>
      <c r="D949" s="100" t="s">
        <v>832</v>
      </c>
      <c r="E949" s="101"/>
      <c r="F949" s="101"/>
      <c r="G949" s="102" t="str">
        <f>IF(stdProdLT(Main[[#This Row],[Comments]])=0.1,"N/A",IF(stdProdLT(Main[[#This Row],[Comments]])=0,"",stdProdLT(Main[[#This Row],[Comments]])))</f>
        <v/>
      </c>
      <c r="H949" s="103" t="str">
        <f>IF(AND(Main[[#This Row],[In Stock Date]]&lt;&gt;"",Main[[#This Row],[Revised Due Date]]&lt;&gt;""),Main[[#This Row],[In Stock Date]]-Main[[#This Row],[Revised Due Date]],"")</f>
        <v/>
      </c>
      <c r="I949" s="99" t="s">
        <v>4</v>
      </c>
      <c r="J949" s="99" t="s">
        <v>4</v>
      </c>
      <c r="K949" s="99" t="s">
        <v>4</v>
      </c>
      <c r="L949" s="101"/>
      <c r="M949" s="104" t="str">
        <f>IF(Main[[#This Row],[Tech Start Date]]&lt;1/1/1990,"",IF(Main[[#This Row],[Class]]="C",WORKDAY(Main[[#This Row],[Tech Start Date]],9),IF(Main[[#This Row],[Class]]="B", WORKDAY(Main[[#This Row],[Tech Start Date]],6),IF(Main[[#This Row],[Class]]="A",WORKDAY(Main[[#This Row],[Tech Start Date]],2),""))))</f>
        <v/>
      </c>
      <c r="N949" s="104" t="str">
        <f>IF(Main[[#This Row],[Tech Start Date]]&lt;1/1/1990,"",IF(Main[[#This Row],[Class]]="C",WORKDAY(Main[[#This Row],[Tech Start Date]],19),IF(Main[[#This Row],[Class]]="B", WORKDAY(Main[[#This Row],[Tech Start Date]],12),IF(Main[[#This Row],[Class]]="A",WORKDAY(Main[[#This Row],[Tech Start Date]],4),""))))</f>
        <v/>
      </c>
      <c r="O949" s="104" t="str">
        <f>IF(Main[[#This Row],[Tech Start Date]]&lt;1/1/1990,"",IF(Main[[#This Row],[Class]]="C",WORKDAY(Main[[#This Row],[Tech Start Date]],23),IF(Main[[#This Row],[Class]]="B", WORKDAY(Main[[#This Row],[Tech Start Date]],15),IF(Main[[#This Row],[Class]]="A",WORKDAY(Main[[#This Row],[Tech Start Date]],5),""))))</f>
        <v/>
      </c>
      <c r="P949" s="104" t="str">
        <f>IF(Main[[#This Row],[Tech Start Date]]&lt;1/1/1990,"",IF(Main[[#This Row],[Class]]="C",WORKDAY(Main[[#This Row],[Tech Start Date]],28),IF(Main[[#This Row],[Class]]="B", WORKDAY(Main[[#This Row],[Tech Start Date]],19),IF(Main[[#This Row],[Class]]="A",WORKDAY(Main[[#This Row],[Tech Start Date]],9),""))))</f>
        <v/>
      </c>
      <c r="Q949" s="101"/>
      <c r="R949" s="101"/>
      <c r="S949" s="99" t="s">
        <v>6</v>
      </c>
      <c r="T949" s="107" t="s">
        <v>4</v>
      </c>
      <c r="U949" s="99" t="s">
        <v>14</v>
      </c>
      <c r="V949" s="99" t="s">
        <v>1962</v>
      </c>
      <c r="W949" s="99" t="s">
        <v>1966</v>
      </c>
    </row>
    <row r="950" spans="1:23" ht="18.600000000000001" customHeight="1">
      <c r="A950" s="123" t="str">
        <f>IF(priority(Main[[#This Row],[Comments]])&lt;&gt;0, priority(Main[[#This Row],[Comments]]),"")</f>
        <v/>
      </c>
      <c r="B950" s="127" t="s">
        <v>1815</v>
      </c>
      <c r="C950" s="99" t="s">
        <v>833</v>
      </c>
      <c r="D950" s="100" t="s">
        <v>834</v>
      </c>
      <c r="E950" s="101"/>
      <c r="F950" s="101">
        <v>40421</v>
      </c>
      <c r="G950" s="102" t="str">
        <f>IF(stdProdLT(Main[[#This Row],[Comments]])=0.1,"N/A",IF(stdProdLT(Main[[#This Row],[Comments]])=0,"",stdProdLT(Main[[#This Row],[Comments]])))</f>
        <v/>
      </c>
      <c r="H950" s="103" t="str">
        <f>IF(AND(Main[[#This Row],[In Stock Date]]&lt;&gt;"",Main[[#This Row],[Revised Due Date]]&lt;&gt;""),Main[[#This Row],[In Stock Date]]-Main[[#This Row],[Revised Due Date]],"")</f>
        <v/>
      </c>
      <c r="I950" s="99" t="s">
        <v>4</v>
      </c>
      <c r="J950" s="99" t="s">
        <v>4</v>
      </c>
      <c r="K950" s="99" t="s">
        <v>4</v>
      </c>
      <c r="L950" s="101"/>
      <c r="M950" s="104" t="str">
        <f>IF(Main[[#This Row],[Tech Start Date]]&lt;1/1/1990,"",IF(Main[[#This Row],[Class]]="C",WORKDAY(Main[[#This Row],[Tech Start Date]],9),IF(Main[[#This Row],[Class]]="B", WORKDAY(Main[[#This Row],[Tech Start Date]],6),IF(Main[[#This Row],[Class]]="A",WORKDAY(Main[[#This Row],[Tech Start Date]],2),""))))</f>
        <v/>
      </c>
      <c r="N950" s="104" t="str">
        <f>IF(Main[[#This Row],[Tech Start Date]]&lt;1/1/1990,"",IF(Main[[#This Row],[Class]]="C",WORKDAY(Main[[#This Row],[Tech Start Date]],19),IF(Main[[#This Row],[Class]]="B", WORKDAY(Main[[#This Row],[Tech Start Date]],12),IF(Main[[#This Row],[Class]]="A",WORKDAY(Main[[#This Row],[Tech Start Date]],4),""))))</f>
        <v/>
      </c>
      <c r="O950" s="104" t="str">
        <f>IF(Main[[#This Row],[Tech Start Date]]&lt;1/1/1990,"",IF(Main[[#This Row],[Class]]="C",WORKDAY(Main[[#This Row],[Tech Start Date]],23),IF(Main[[#This Row],[Class]]="B", WORKDAY(Main[[#This Row],[Tech Start Date]],15),IF(Main[[#This Row],[Class]]="A",WORKDAY(Main[[#This Row],[Tech Start Date]],5),""))))</f>
        <v/>
      </c>
      <c r="P950" s="104" t="str">
        <f>IF(Main[[#This Row],[Tech Start Date]]&lt;1/1/1990,"",IF(Main[[#This Row],[Class]]="C",WORKDAY(Main[[#This Row],[Tech Start Date]],28),IF(Main[[#This Row],[Class]]="B", WORKDAY(Main[[#This Row],[Tech Start Date]],19),IF(Main[[#This Row],[Class]]="A",WORKDAY(Main[[#This Row],[Tech Start Date]],9),""))))</f>
        <v/>
      </c>
      <c r="Q950" s="101"/>
      <c r="R950" s="101"/>
      <c r="S950" s="99" t="s">
        <v>11</v>
      </c>
      <c r="T950" s="107" t="s">
        <v>4</v>
      </c>
      <c r="U950" s="99" t="s">
        <v>12</v>
      </c>
      <c r="V950" s="99" t="s">
        <v>1972</v>
      </c>
      <c r="W950" s="99" t="s">
        <v>1968</v>
      </c>
    </row>
    <row r="951" spans="1:23" ht="18.600000000000001" customHeight="1">
      <c r="A951" s="123" t="str">
        <f>IF(priority(Main[[#This Row],[Comments]])&lt;&gt;0, priority(Main[[#This Row],[Comments]]),"")</f>
        <v/>
      </c>
      <c r="B951" s="127" t="s">
        <v>1816</v>
      </c>
      <c r="C951" s="99" t="s">
        <v>4</v>
      </c>
      <c r="D951" s="100" t="s">
        <v>835</v>
      </c>
      <c r="E951" s="101"/>
      <c r="F951" s="101"/>
      <c r="G951" s="102" t="str">
        <f>IF(stdProdLT(Main[[#This Row],[Comments]])=0.1,"N/A",IF(stdProdLT(Main[[#This Row],[Comments]])=0,"",stdProdLT(Main[[#This Row],[Comments]])))</f>
        <v/>
      </c>
      <c r="H951" s="103" t="str">
        <f>IF(AND(Main[[#This Row],[In Stock Date]]&lt;&gt;"",Main[[#This Row],[Revised Due Date]]&lt;&gt;""),Main[[#This Row],[In Stock Date]]-Main[[#This Row],[Revised Due Date]],"")</f>
        <v/>
      </c>
      <c r="I951" s="99" t="s">
        <v>423</v>
      </c>
      <c r="J951" s="99" t="s">
        <v>75</v>
      </c>
      <c r="K951" s="99" t="s">
        <v>1969</v>
      </c>
      <c r="L951" s="101"/>
      <c r="M951" s="104" t="str">
        <f>IF(Main[[#This Row],[Tech Start Date]]&lt;1/1/1990,"",IF(Main[[#This Row],[Class]]="C",WORKDAY(Main[[#This Row],[Tech Start Date]],9),IF(Main[[#This Row],[Class]]="B", WORKDAY(Main[[#This Row],[Tech Start Date]],6),IF(Main[[#This Row],[Class]]="A",WORKDAY(Main[[#This Row],[Tech Start Date]],2),""))))</f>
        <v/>
      </c>
      <c r="N951" s="104" t="str">
        <f>IF(Main[[#This Row],[Tech Start Date]]&lt;1/1/1990,"",IF(Main[[#This Row],[Class]]="C",WORKDAY(Main[[#This Row],[Tech Start Date]],19),IF(Main[[#This Row],[Class]]="B", WORKDAY(Main[[#This Row],[Tech Start Date]],12),IF(Main[[#This Row],[Class]]="A",WORKDAY(Main[[#This Row],[Tech Start Date]],4),""))))</f>
        <v/>
      </c>
      <c r="O951" s="104" t="str">
        <f>IF(Main[[#This Row],[Tech Start Date]]&lt;1/1/1990,"",IF(Main[[#This Row],[Class]]="C",WORKDAY(Main[[#This Row],[Tech Start Date]],23),IF(Main[[#This Row],[Class]]="B", WORKDAY(Main[[#This Row],[Tech Start Date]],15),IF(Main[[#This Row],[Class]]="A",WORKDAY(Main[[#This Row],[Tech Start Date]],5),""))))</f>
        <v/>
      </c>
      <c r="P951" s="104" t="str">
        <f>IF(Main[[#This Row],[Tech Start Date]]&lt;1/1/1990,"",IF(Main[[#This Row],[Class]]="C",WORKDAY(Main[[#This Row],[Tech Start Date]],28),IF(Main[[#This Row],[Class]]="B", WORKDAY(Main[[#This Row],[Tech Start Date]],19),IF(Main[[#This Row],[Class]]="A",WORKDAY(Main[[#This Row],[Tech Start Date]],9),""))))</f>
        <v/>
      </c>
      <c r="Q951" s="101">
        <v>40529</v>
      </c>
      <c r="R951" s="101"/>
      <c r="S951" s="99" t="s">
        <v>6</v>
      </c>
      <c r="T951" s="107" t="s">
        <v>4</v>
      </c>
      <c r="U951" s="99" t="s">
        <v>14</v>
      </c>
      <c r="V951" s="99" t="s">
        <v>1965</v>
      </c>
      <c r="W951" s="99" t="s">
        <v>1973</v>
      </c>
    </row>
    <row r="952" spans="1:23" ht="18.600000000000001" customHeight="1">
      <c r="A952" s="123" t="str">
        <f>IF(priority(Main[[#This Row],[Comments]])&lt;&gt;0, priority(Main[[#This Row],[Comments]]),"")</f>
        <v/>
      </c>
      <c r="B952" s="127" t="s">
        <v>1817</v>
      </c>
      <c r="C952" s="99" t="s">
        <v>4</v>
      </c>
      <c r="D952" s="100" t="s">
        <v>836</v>
      </c>
      <c r="E952" s="101"/>
      <c r="F952" s="101">
        <v>40602</v>
      </c>
      <c r="G952" s="102" t="str">
        <f>IF(stdProdLT(Main[[#This Row],[Comments]])=0.1,"N/A",IF(stdProdLT(Main[[#This Row],[Comments]])=0,"",stdProdLT(Main[[#This Row],[Comments]])))</f>
        <v/>
      </c>
      <c r="H952" s="103" t="str">
        <f>IF(AND(Main[[#This Row],[In Stock Date]]&lt;&gt;"",Main[[#This Row],[Revised Due Date]]&lt;&gt;""),Main[[#This Row],[In Stock Date]]-Main[[#This Row],[Revised Due Date]],"")</f>
        <v/>
      </c>
      <c r="I952" s="99" t="s">
        <v>4</v>
      </c>
      <c r="J952" s="99" t="s">
        <v>28</v>
      </c>
      <c r="K952" s="99" t="s">
        <v>4</v>
      </c>
      <c r="L952" s="101"/>
      <c r="M952" s="104" t="str">
        <f>IF(Main[[#This Row],[Tech Start Date]]&lt;1/1/1990,"",IF(Main[[#This Row],[Class]]="C",WORKDAY(Main[[#This Row],[Tech Start Date]],9),IF(Main[[#This Row],[Class]]="B", WORKDAY(Main[[#This Row],[Tech Start Date]],6),IF(Main[[#This Row],[Class]]="A",WORKDAY(Main[[#This Row],[Tech Start Date]],2),""))))</f>
        <v/>
      </c>
      <c r="N952" s="104" t="str">
        <f>IF(Main[[#This Row],[Tech Start Date]]&lt;1/1/1990,"",IF(Main[[#This Row],[Class]]="C",WORKDAY(Main[[#This Row],[Tech Start Date]],19),IF(Main[[#This Row],[Class]]="B", WORKDAY(Main[[#This Row],[Tech Start Date]],12),IF(Main[[#This Row],[Class]]="A",WORKDAY(Main[[#This Row],[Tech Start Date]],4),""))))</f>
        <v/>
      </c>
      <c r="O952" s="104" t="str">
        <f>IF(Main[[#This Row],[Tech Start Date]]&lt;1/1/1990,"",IF(Main[[#This Row],[Class]]="C",WORKDAY(Main[[#This Row],[Tech Start Date]],23),IF(Main[[#This Row],[Class]]="B", WORKDAY(Main[[#This Row],[Tech Start Date]],15),IF(Main[[#This Row],[Class]]="A",WORKDAY(Main[[#This Row],[Tech Start Date]],5),""))))</f>
        <v/>
      </c>
      <c r="P952" s="104" t="str">
        <f>IF(Main[[#This Row],[Tech Start Date]]&lt;1/1/1990,"",IF(Main[[#This Row],[Class]]="C",WORKDAY(Main[[#This Row],[Tech Start Date]],28),IF(Main[[#This Row],[Class]]="B", WORKDAY(Main[[#This Row],[Tech Start Date]],19),IF(Main[[#This Row],[Class]]="A",WORKDAY(Main[[#This Row],[Tech Start Date]],9),""))))</f>
        <v/>
      </c>
      <c r="Q952" s="101">
        <v>40612</v>
      </c>
      <c r="R952" s="101"/>
      <c r="S952" s="99" t="s">
        <v>6</v>
      </c>
      <c r="T952" s="107" t="s">
        <v>4</v>
      </c>
      <c r="U952" s="99" t="s">
        <v>14</v>
      </c>
      <c r="V952" s="99" t="s">
        <v>1972</v>
      </c>
      <c r="W952" s="99" t="s">
        <v>1966</v>
      </c>
    </row>
    <row r="953" spans="1:23" ht="18.600000000000001" customHeight="1">
      <c r="A953" s="123" t="str">
        <f>IF(priority(Main[[#This Row],[Comments]])&lt;&gt;0, priority(Main[[#This Row],[Comments]]),"")</f>
        <v/>
      </c>
      <c r="B953" s="127" t="s">
        <v>1843</v>
      </c>
      <c r="C953" s="99" t="s">
        <v>356</v>
      </c>
      <c r="D953" s="100" t="s">
        <v>837</v>
      </c>
      <c r="E953" s="101"/>
      <c r="F953" s="101">
        <v>40360</v>
      </c>
      <c r="G953" s="102" t="str">
        <f>IF(stdProdLT(Main[[#This Row],[Comments]])=0.1,"N/A",IF(stdProdLT(Main[[#This Row],[Comments]])=0,"",stdProdLT(Main[[#This Row],[Comments]])))</f>
        <v/>
      </c>
      <c r="H953" s="103" t="str">
        <f>IF(AND(Main[[#This Row],[In Stock Date]]&lt;&gt;"",Main[[#This Row],[Revised Due Date]]&lt;&gt;""),Main[[#This Row],[In Stock Date]]-Main[[#This Row],[Revised Due Date]],"")</f>
        <v/>
      </c>
      <c r="I953" s="99" t="s">
        <v>4</v>
      </c>
      <c r="J953" s="99" t="s">
        <v>4</v>
      </c>
      <c r="K953" s="99" t="s">
        <v>4</v>
      </c>
      <c r="L953" s="101"/>
      <c r="M953" s="104" t="str">
        <f>IF(Main[[#This Row],[Tech Start Date]]&lt;1/1/1990,"",IF(Main[[#This Row],[Class]]="C",WORKDAY(Main[[#This Row],[Tech Start Date]],9),IF(Main[[#This Row],[Class]]="B", WORKDAY(Main[[#This Row],[Tech Start Date]],6),IF(Main[[#This Row],[Class]]="A",WORKDAY(Main[[#This Row],[Tech Start Date]],2),""))))</f>
        <v/>
      </c>
      <c r="N953" s="104" t="str">
        <f>IF(Main[[#This Row],[Tech Start Date]]&lt;1/1/1990,"",IF(Main[[#This Row],[Class]]="C",WORKDAY(Main[[#This Row],[Tech Start Date]],19),IF(Main[[#This Row],[Class]]="B", WORKDAY(Main[[#This Row],[Tech Start Date]],12),IF(Main[[#This Row],[Class]]="A",WORKDAY(Main[[#This Row],[Tech Start Date]],4),""))))</f>
        <v/>
      </c>
      <c r="O953" s="104" t="str">
        <f>IF(Main[[#This Row],[Tech Start Date]]&lt;1/1/1990,"",IF(Main[[#This Row],[Class]]="C",WORKDAY(Main[[#This Row],[Tech Start Date]],23),IF(Main[[#This Row],[Class]]="B", WORKDAY(Main[[#This Row],[Tech Start Date]],15),IF(Main[[#This Row],[Class]]="A",WORKDAY(Main[[#This Row],[Tech Start Date]],5),""))))</f>
        <v/>
      </c>
      <c r="P953" s="104" t="str">
        <f>IF(Main[[#This Row],[Tech Start Date]]&lt;1/1/1990,"",IF(Main[[#This Row],[Class]]="C",WORKDAY(Main[[#This Row],[Tech Start Date]],28),IF(Main[[#This Row],[Class]]="B", WORKDAY(Main[[#This Row],[Tech Start Date]],19),IF(Main[[#This Row],[Class]]="A",WORKDAY(Main[[#This Row],[Tech Start Date]],9),""))))</f>
        <v/>
      </c>
      <c r="Q953" s="101">
        <v>40329</v>
      </c>
      <c r="R953" s="101"/>
      <c r="S953" s="99" t="s">
        <v>11</v>
      </c>
      <c r="T953" s="107" t="s">
        <v>4</v>
      </c>
      <c r="U953" s="99" t="s">
        <v>12</v>
      </c>
      <c r="V953" s="99" t="s">
        <v>1972</v>
      </c>
      <c r="W953" s="99" t="s">
        <v>1968</v>
      </c>
    </row>
    <row r="954" spans="1:23" ht="18.600000000000001" customHeight="1">
      <c r="A954" s="123" t="str">
        <f>IF(priority(Main[[#This Row],[Comments]])&lt;&gt;0, priority(Main[[#This Row],[Comments]]),"")</f>
        <v/>
      </c>
      <c r="B954" s="127" t="s">
        <v>1819</v>
      </c>
      <c r="C954" s="99" t="s">
        <v>4</v>
      </c>
      <c r="D954" s="100" t="s">
        <v>862</v>
      </c>
      <c r="E954" s="101"/>
      <c r="F954" s="101"/>
      <c r="G954" s="102" t="str">
        <f>IF(stdProdLT(Main[[#This Row],[Comments]])=0.1,"N/A",IF(stdProdLT(Main[[#This Row],[Comments]])=0,"",stdProdLT(Main[[#This Row],[Comments]])))</f>
        <v/>
      </c>
      <c r="H954" s="103" t="str">
        <f>IF(AND(Main[[#This Row],[In Stock Date]]&lt;&gt;"",Main[[#This Row],[Revised Due Date]]&lt;&gt;""),Main[[#This Row],[In Stock Date]]-Main[[#This Row],[Revised Due Date]],"")</f>
        <v/>
      </c>
      <c r="I954" s="99" t="s">
        <v>4</v>
      </c>
      <c r="J954" s="99" t="s">
        <v>4</v>
      </c>
      <c r="K954" s="99" t="s">
        <v>4</v>
      </c>
      <c r="L954" s="101"/>
      <c r="M954" s="104" t="str">
        <f>IF(Main[[#This Row],[Tech Start Date]]&lt;1/1/1990,"",IF(Main[[#This Row],[Class]]="C",WORKDAY(Main[[#This Row],[Tech Start Date]],9),IF(Main[[#This Row],[Class]]="B", WORKDAY(Main[[#This Row],[Tech Start Date]],6),IF(Main[[#This Row],[Class]]="A",WORKDAY(Main[[#This Row],[Tech Start Date]],2),""))))</f>
        <v/>
      </c>
      <c r="N954" s="104" t="str">
        <f>IF(Main[[#This Row],[Tech Start Date]]&lt;1/1/1990,"",IF(Main[[#This Row],[Class]]="C",WORKDAY(Main[[#This Row],[Tech Start Date]],19),IF(Main[[#This Row],[Class]]="B", WORKDAY(Main[[#This Row],[Tech Start Date]],12),IF(Main[[#This Row],[Class]]="A",WORKDAY(Main[[#This Row],[Tech Start Date]],4),""))))</f>
        <v/>
      </c>
      <c r="O954" s="104" t="str">
        <f>IF(Main[[#This Row],[Tech Start Date]]&lt;1/1/1990,"",IF(Main[[#This Row],[Class]]="C",WORKDAY(Main[[#This Row],[Tech Start Date]],23),IF(Main[[#This Row],[Class]]="B", WORKDAY(Main[[#This Row],[Tech Start Date]],15),IF(Main[[#This Row],[Class]]="A",WORKDAY(Main[[#This Row],[Tech Start Date]],5),""))))</f>
        <v/>
      </c>
      <c r="P954" s="104" t="str">
        <f>IF(Main[[#This Row],[Tech Start Date]]&lt;1/1/1990,"",IF(Main[[#This Row],[Class]]="C",WORKDAY(Main[[#This Row],[Tech Start Date]],28),IF(Main[[#This Row],[Class]]="B", WORKDAY(Main[[#This Row],[Tech Start Date]],19),IF(Main[[#This Row],[Class]]="A",WORKDAY(Main[[#This Row],[Tech Start Date]],9),""))))</f>
        <v/>
      </c>
      <c r="Q954" s="101"/>
      <c r="R954" s="101"/>
      <c r="S954" s="99" t="s">
        <v>49</v>
      </c>
      <c r="T954" s="107" t="s">
        <v>4</v>
      </c>
      <c r="U954" s="99" t="s">
        <v>14</v>
      </c>
      <c r="V954" s="99" t="s">
        <v>1965</v>
      </c>
      <c r="W954" s="99" t="s">
        <v>1966</v>
      </c>
    </row>
    <row r="955" spans="1:23" ht="18.600000000000001" customHeight="1">
      <c r="A955" s="123" t="str">
        <f>IF(priority(Main[[#This Row],[Comments]])&lt;&gt;0, priority(Main[[#This Row],[Comments]]),"")</f>
        <v/>
      </c>
      <c r="B955" s="127" t="s">
        <v>1820</v>
      </c>
      <c r="C955" s="99" t="s">
        <v>4</v>
      </c>
      <c r="D955" s="100" t="s">
        <v>863</v>
      </c>
      <c r="E955" s="101"/>
      <c r="F955" s="101"/>
      <c r="G955" s="102" t="str">
        <f>IF(stdProdLT(Main[[#This Row],[Comments]])=0.1,"N/A",IF(stdProdLT(Main[[#This Row],[Comments]])=0,"",stdProdLT(Main[[#This Row],[Comments]])))</f>
        <v/>
      </c>
      <c r="H955" s="103" t="str">
        <f>IF(AND(Main[[#This Row],[In Stock Date]]&lt;&gt;"",Main[[#This Row],[Revised Due Date]]&lt;&gt;""),Main[[#This Row],[In Stock Date]]-Main[[#This Row],[Revised Due Date]],"")</f>
        <v/>
      </c>
      <c r="I955" s="99" t="s">
        <v>4</v>
      </c>
      <c r="J955" s="99" t="s">
        <v>4</v>
      </c>
      <c r="K955" s="99" t="s">
        <v>4</v>
      </c>
      <c r="L955" s="101"/>
      <c r="M955" s="104" t="str">
        <f>IF(Main[[#This Row],[Tech Start Date]]&lt;1/1/1990,"",IF(Main[[#This Row],[Class]]="C",WORKDAY(Main[[#This Row],[Tech Start Date]],9),IF(Main[[#This Row],[Class]]="B", WORKDAY(Main[[#This Row],[Tech Start Date]],6),IF(Main[[#This Row],[Class]]="A",WORKDAY(Main[[#This Row],[Tech Start Date]],2),""))))</f>
        <v/>
      </c>
      <c r="N955" s="104" t="str">
        <f>IF(Main[[#This Row],[Tech Start Date]]&lt;1/1/1990,"",IF(Main[[#This Row],[Class]]="C",WORKDAY(Main[[#This Row],[Tech Start Date]],19),IF(Main[[#This Row],[Class]]="B", WORKDAY(Main[[#This Row],[Tech Start Date]],12),IF(Main[[#This Row],[Class]]="A",WORKDAY(Main[[#This Row],[Tech Start Date]],4),""))))</f>
        <v/>
      </c>
      <c r="O955" s="104" t="str">
        <f>IF(Main[[#This Row],[Tech Start Date]]&lt;1/1/1990,"",IF(Main[[#This Row],[Class]]="C",WORKDAY(Main[[#This Row],[Tech Start Date]],23),IF(Main[[#This Row],[Class]]="B", WORKDAY(Main[[#This Row],[Tech Start Date]],15),IF(Main[[#This Row],[Class]]="A",WORKDAY(Main[[#This Row],[Tech Start Date]],5),""))))</f>
        <v/>
      </c>
      <c r="P955" s="104" t="str">
        <f>IF(Main[[#This Row],[Tech Start Date]]&lt;1/1/1990,"",IF(Main[[#This Row],[Class]]="C",WORKDAY(Main[[#This Row],[Tech Start Date]],28),IF(Main[[#This Row],[Class]]="B", WORKDAY(Main[[#This Row],[Tech Start Date]],19),IF(Main[[#This Row],[Class]]="A",WORKDAY(Main[[#This Row],[Tech Start Date]],9),""))))</f>
        <v/>
      </c>
      <c r="Q955" s="101"/>
      <c r="R955" s="101"/>
      <c r="S955" s="99" t="s">
        <v>23</v>
      </c>
      <c r="T955" s="107" t="s">
        <v>4</v>
      </c>
      <c r="U955" s="99" t="s">
        <v>14</v>
      </c>
      <c r="V955" s="99" t="s">
        <v>1965</v>
      </c>
      <c r="W955" s="99" t="s">
        <v>1966</v>
      </c>
    </row>
    <row r="956" spans="1:23" ht="18.600000000000001" customHeight="1">
      <c r="A956" s="123" t="str">
        <f>IF(priority(Main[[#This Row],[Comments]])&lt;&gt;0, priority(Main[[#This Row],[Comments]]),"")</f>
        <v/>
      </c>
      <c r="B956" s="127" t="s">
        <v>1808</v>
      </c>
      <c r="C956" s="99" t="s">
        <v>4</v>
      </c>
      <c r="D956" s="100" t="s">
        <v>827</v>
      </c>
      <c r="E956" s="101"/>
      <c r="F956" s="101"/>
      <c r="G956" s="102" t="str">
        <f>IF(stdProdLT(Main[[#This Row],[Comments]])=0.1,"N/A",IF(stdProdLT(Main[[#This Row],[Comments]])=0,"",stdProdLT(Main[[#This Row],[Comments]])))</f>
        <v/>
      </c>
      <c r="H956" s="103" t="str">
        <f>IF(AND(Main[[#This Row],[In Stock Date]]&lt;&gt;"",Main[[#This Row],[Revised Due Date]]&lt;&gt;""),Main[[#This Row],[In Stock Date]]-Main[[#This Row],[Revised Due Date]],"")</f>
        <v/>
      </c>
      <c r="I956" s="99" t="s">
        <v>4</v>
      </c>
      <c r="J956" s="99" t="s">
        <v>4</v>
      </c>
      <c r="K956" s="99" t="s">
        <v>4</v>
      </c>
      <c r="L956" s="101"/>
      <c r="M956" s="104" t="str">
        <f>IF(Main[[#This Row],[Tech Start Date]]&lt;1/1/1990,"",IF(Main[[#This Row],[Class]]="C",WORKDAY(Main[[#This Row],[Tech Start Date]],9),IF(Main[[#This Row],[Class]]="B", WORKDAY(Main[[#This Row],[Tech Start Date]],6),IF(Main[[#This Row],[Class]]="A",WORKDAY(Main[[#This Row],[Tech Start Date]],2),""))))</f>
        <v/>
      </c>
      <c r="N956" s="104" t="str">
        <f>IF(Main[[#This Row],[Tech Start Date]]&lt;1/1/1990,"",IF(Main[[#This Row],[Class]]="C",WORKDAY(Main[[#This Row],[Tech Start Date]],19),IF(Main[[#This Row],[Class]]="B", WORKDAY(Main[[#This Row],[Tech Start Date]],12),IF(Main[[#This Row],[Class]]="A",WORKDAY(Main[[#This Row],[Tech Start Date]],4),""))))</f>
        <v/>
      </c>
      <c r="O956" s="104" t="str">
        <f>IF(Main[[#This Row],[Tech Start Date]]&lt;1/1/1990,"",IF(Main[[#This Row],[Class]]="C",WORKDAY(Main[[#This Row],[Tech Start Date]],23),IF(Main[[#This Row],[Class]]="B", WORKDAY(Main[[#This Row],[Tech Start Date]],15),IF(Main[[#This Row],[Class]]="A",WORKDAY(Main[[#This Row],[Tech Start Date]],5),""))))</f>
        <v/>
      </c>
      <c r="P956" s="104" t="str">
        <f>IF(Main[[#This Row],[Tech Start Date]]&lt;1/1/1990,"",IF(Main[[#This Row],[Class]]="C",WORKDAY(Main[[#This Row],[Tech Start Date]],28),IF(Main[[#This Row],[Class]]="B", WORKDAY(Main[[#This Row],[Tech Start Date]],19),IF(Main[[#This Row],[Class]]="A",WORKDAY(Main[[#This Row],[Tech Start Date]],9),""))))</f>
        <v/>
      </c>
      <c r="Q956" s="101">
        <v>40209</v>
      </c>
      <c r="R956" s="101"/>
      <c r="S956" s="99" t="s">
        <v>6</v>
      </c>
      <c r="T956" s="107" t="s">
        <v>4</v>
      </c>
      <c r="U956" s="99" t="s">
        <v>14</v>
      </c>
      <c r="V956" s="99" t="s">
        <v>1965</v>
      </c>
      <c r="W956" s="99" t="s">
        <v>4</v>
      </c>
    </row>
    <row r="957" spans="1:23" ht="18.600000000000001" customHeight="1">
      <c r="A957" s="123" t="str">
        <f>IF(priority(Main[[#This Row],[Comments]])&lt;&gt;0, priority(Main[[#This Row],[Comments]]),"")</f>
        <v/>
      </c>
      <c r="B957" s="127" t="s">
        <v>1809</v>
      </c>
      <c r="C957" s="99" t="s">
        <v>828</v>
      </c>
      <c r="D957" s="100" t="s">
        <v>829</v>
      </c>
      <c r="E957" s="101"/>
      <c r="F957" s="101">
        <v>40678</v>
      </c>
      <c r="G957" s="102" t="str">
        <f>IF(stdProdLT(Main[[#This Row],[Comments]])=0.1,"N/A",IF(stdProdLT(Main[[#This Row],[Comments]])=0,"",stdProdLT(Main[[#This Row],[Comments]])))</f>
        <v/>
      </c>
      <c r="H957" s="103" t="str">
        <f>IF(AND(Main[[#This Row],[In Stock Date]]&lt;&gt;"",Main[[#This Row],[Revised Due Date]]&lt;&gt;""),Main[[#This Row],[In Stock Date]]-Main[[#This Row],[Revised Due Date]],"")</f>
        <v/>
      </c>
      <c r="I957" s="99" t="s">
        <v>4</v>
      </c>
      <c r="J957" s="99" t="s">
        <v>4</v>
      </c>
      <c r="K957" s="99" t="s">
        <v>4</v>
      </c>
      <c r="L957" s="101"/>
      <c r="M957" s="104" t="str">
        <f>IF(Main[[#This Row],[Tech Start Date]]&lt;1/1/1990,"",IF(Main[[#This Row],[Class]]="C",WORKDAY(Main[[#This Row],[Tech Start Date]],9),IF(Main[[#This Row],[Class]]="B", WORKDAY(Main[[#This Row],[Tech Start Date]],6),IF(Main[[#This Row],[Class]]="A",WORKDAY(Main[[#This Row],[Tech Start Date]],2),""))))</f>
        <v/>
      </c>
      <c r="N957" s="104" t="str">
        <f>IF(Main[[#This Row],[Tech Start Date]]&lt;1/1/1990,"",IF(Main[[#This Row],[Class]]="C",WORKDAY(Main[[#This Row],[Tech Start Date]],19),IF(Main[[#This Row],[Class]]="B", WORKDAY(Main[[#This Row],[Tech Start Date]],12),IF(Main[[#This Row],[Class]]="A",WORKDAY(Main[[#This Row],[Tech Start Date]],4),""))))</f>
        <v/>
      </c>
      <c r="O957" s="104" t="str">
        <f>IF(Main[[#This Row],[Tech Start Date]]&lt;1/1/1990,"",IF(Main[[#This Row],[Class]]="C",WORKDAY(Main[[#This Row],[Tech Start Date]],23),IF(Main[[#This Row],[Class]]="B", WORKDAY(Main[[#This Row],[Tech Start Date]],15),IF(Main[[#This Row],[Class]]="A",WORKDAY(Main[[#This Row],[Tech Start Date]],5),""))))</f>
        <v/>
      </c>
      <c r="P957" s="104" t="str">
        <f>IF(Main[[#This Row],[Tech Start Date]]&lt;1/1/1990,"",IF(Main[[#This Row],[Class]]="C",WORKDAY(Main[[#This Row],[Tech Start Date]],28),IF(Main[[#This Row],[Class]]="B", WORKDAY(Main[[#This Row],[Tech Start Date]],19),IF(Main[[#This Row],[Class]]="A",WORKDAY(Main[[#This Row],[Tech Start Date]],9),""))))</f>
        <v/>
      </c>
      <c r="Q957" s="101">
        <v>40602</v>
      </c>
      <c r="R957" s="101"/>
      <c r="S957" s="99" t="s">
        <v>11</v>
      </c>
      <c r="T957" s="107" t="s">
        <v>4</v>
      </c>
      <c r="U957" s="99" t="s">
        <v>14</v>
      </c>
      <c r="V957" s="99" t="s">
        <v>1962</v>
      </c>
      <c r="W957" s="99" t="s">
        <v>1968</v>
      </c>
    </row>
    <row r="958" spans="1:23" ht="18.600000000000001" customHeight="1">
      <c r="A958" s="123" t="str">
        <f>IF(priority(Main[[#This Row],[Comments]])&lt;&gt;0, priority(Main[[#This Row],[Comments]]),"")</f>
        <v/>
      </c>
      <c r="B958" s="127" t="s">
        <v>1812</v>
      </c>
      <c r="C958" s="99" t="s">
        <v>830</v>
      </c>
      <c r="D958" s="100" t="s">
        <v>831</v>
      </c>
      <c r="E958" s="101"/>
      <c r="F958" s="101"/>
      <c r="G958" s="102" t="str">
        <f>IF(stdProdLT(Main[[#This Row],[Comments]])=0.1,"N/A",IF(stdProdLT(Main[[#This Row],[Comments]])=0,"",stdProdLT(Main[[#This Row],[Comments]])))</f>
        <v/>
      </c>
      <c r="H958" s="103" t="str">
        <f>IF(AND(Main[[#This Row],[In Stock Date]]&lt;&gt;"",Main[[#This Row],[Revised Due Date]]&lt;&gt;""),Main[[#This Row],[In Stock Date]]-Main[[#This Row],[Revised Due Date]],"")</f>
        <v/>
      </c>
      <c r="I958" s="99" t="s">
        <v>4</v>
      </c>
      <c r="J958" s="99" t="s">
        <v>4</v>
      </c>
      <c r="K958" s="99" t="s">
        <v>4</v>
      </c>
      <c r="L958" s="101"/>
      <c r="M958" s="104" t="str">
        <f>IF(Main[[#This Row],[Tech Start Date]]&lt;1/1/1990,"",IF(Main[[#This Row],[Class]]="C",WORKDAY(Main[[#This Row],[Tech Start Date]],9),IF(Main[[#This Row],[Class]]="B", WORKDAY(Main[[#This Row],[Tech Start Date]],6),IF(Main[[#This Row],[Class]]="A",WORKDAY(Main[[#This Row],[Tech Start Date]],2),""))))</f>
        <v/>
      </c>
      <c r="N958" s="104" t="str">
        <f>IF(Main[[#This Row],[Tech Start Date]]&lt;1/1/1990,"",IF(Main[[#This Row],[Class]]="C",WORKDAY(Main[[#This Row],[Tech Start Date]],19),IF(Main[[#This Row],[Class]]="B", WORKDAY(Main[[#This Row],[Tech Start Date]],12),IF(Main[[#This Row],[Class]]="A",WORKDAY(Main[[#This Row],[Tech Start Date]],4),""))))</f>
        <v/>
      </c>
      <c r="O958" s="104" t="str">
        <f>IF(Main[[#This Row],[Tech Start Date]]&lt;1/1/1990,"",IF(Main[[#This Row],[Class]]="C",WORKDAY(Main[[#This Row],[Tech Start Date]],23),IF(Main[[#This Row],[Class]]="B", WORKDAY(Main[[#This Row],[Tech Start Date]],15),IF(Main[[#This Row],[Class]]="A",WORKDAY(Main[[#This Row],[Tech Start Date]],5),""))))</f>
        <v/>
      </c>
      <c r="P958" s="104" t="str">
        <f>IF(Main[[#This Row],[Tech Start Date]]&lt;1/1/1990,"",IF(Main[[#This Row],[Class]]="C",WORKDAY(Main[[#This Row],[Tech Start Date]],28),IF(Main[[#This Row],[Class]]="B", WORKDAY(Main[[#This Row],[Tech Start Date]],19),IF(Main[[#This Row],[Class]]="A",WORKDAY(Main[[#This Row],[Tech Start Date]],9),""))))</f>
        <v/>
      </c>
      <c r="Q958" s="101">
        <v>40715</v>
      </c>
      <c r="R958" s="101"/>
      <c r="S958" s="99" t="s">
        <v>11</v>
      </c>
      <c r="T958" s="107" t="s">
        <v>4</v>
      </c>
      <c r="U958" s="99" t="s">
        <v>14</v>
      </c>
      <c r="V958" s="99" t="s">
        <v>1963</v>
      </c>
      <c r="W958" s="99" t="s">
        <v>1964</v>
      </c>
    </row>
    <row r="959" spans="1:23" ht="18.600000000000001" customHeight="1">
      <c r="A959" s="123" t="str">
        <f>IF(priority(Main[[#This Row],[Comments]])&lt;&gt;0, priority(Main[[#This Row],[Comments]]),"")</f>
        <v/>
      </c>
      <c r="B959" s="127" t="s">
        <v>2234</v>
      </c>
      <c r="C959" s="99" t="s">
        <v>2228</v>
      </c>
      <c r="D959" s="100" t="s">
        <v>2229</v>
      </c>
      <c r="E959" s="101">
        <v>40781.39603009259</v>
      </c>
      <c r="F959" s="101"/>
      <c r="G959" s="102" t="str">
        <f>IF(stdProdLT(Main[[#This Row],[Comments]])=0.1,"N/A",IF(stdProdLT(Main[[#This Row],[Comments]])=0,"",stdProdLT(Main[[#This Row],[Comments]])))</f>
        <v/>
      </c>
      <c r="H959" s="103" t="str">
        <f>IF(AND(Main[[#This Row],[In Stock Date]]&lt;&gt;"",Main[[#This Row],[Revised Due Date]]&lt;&gt;""),Main[[#This Row],[In Stock Date]]-Main[[#This Row],[Revised Due Date]],"")</f>
        <v/>
      </c>
      <c r="I959" s="99" t="s">
        <v>69</v>
      </c>
      <c r="J959" s="99" t="s">
        <v>2029</v>
      </c>
      <c r="K959" s="99" t="s">
        <v>1971</v>
      </c>
      <c r="L959" s="101"/>
      <c r="M959" s="104" t="str">
        <f>IF(Main[[#This Row],[Tech Start Date]]&lt;1/1/1990,"",IF(Main[[#This Row],[Class]]="C",WORKDAY(Main[[#This Row],[Tech Start Date]],9),IF(Main[[#This Row],[Class]]="B", WORKDAY(Main[[#This Row],[Tech Start Date]],6),IF(Main[[#This Row],[Class]]="A",WORKDAY(Main[[#This Row],[Tech Start Date]],2),""))))</f>
        <v/>
      </c>
      <c r="N959" s="104" t="str">
        <f>IF(Main[[#This Row],[Tech Start Date]]&lt;1/1/1990,"",IF(Main[[#This Row],[Class]]="C",WORKDAY(Main[[#This Row],[Tech Start Date]],19),IF(Main[[#This Row],[Class]]="B", WORKDAY(Main[[#This Row],[Tech Start Date]],12),IF(Main[[#This Row],[Class]]="A",WORKDAY(Main[[#This Row],[Tech Start Date]],4),""))))</f>
        <v/>
      </c>
      <c r="O959" s="104" t="str">
        <f>IF(Main[[#This Row],[Tech Start Date]]&lt;1/1/1990,"",IF(Main[[#This Row],[Class]]="C",WORKDAY(Main[[#This Row],[Tech Start Date]],23),IF(Main[[#This Row],[Class]]="B", WORKDAY(Main[[#This Row],[Tech Start Date]],15),IF(Main[[#This Row],[Class]]="A",WORKDAY(Main[[#This Row],[Tech Start Date]],5),""))))</f>
        <v/>
      </c>
      <c r="P959" s="104" t="str">
        <f>IF(Main[[#This Row],[Tech Start Date]]&lt;1/1/1990,"",IF(Main[[#This Row],[Class]]="C",WORKDAY(Main[[#This Row],[Tech Start Date]],28),IF(Main[[#This Row],[Class]]="B", WORKDAY(Main[[#This Row],[Tech Start Date]],19),IF(Main[[#This Row],[Class]]="A",WORKDAY(Main[[#This Row],[Tech Start Date]],9),""))))</f>
        <v/>
      </c>
      <c r="Q959" s="101">
        <v>40836</v>
      </c>
      <c r="R959" s="101"/>
      <c r="S959" s="99" t="s">
        <v>6</v>
      </c>
      <c r="T959" s="107" t="s">
        <v>4</v>
      </c>
      <c r="U959" s="99" t="s">
        <v>29</v>
      </c>
      <c r="V959" s="99" t="s">
        <v>1965</v>
      </c>
      <c r="W959" s="99" t="s">
        <v>1966</v>
      </c>
    </row>
    <row r="960" spans="1:23" ht="18.600000000000001" customHeight="1">
      <c r="A960" s="123" t="str">
        <f>IF(priority(Main[[#This Row],[Comments]])&lt;&gt;0, priority(Main[[#This Row],[Comments]]),"")</f>
        <v/>
      </c>
      <c r="B960" s="127" t="s">
        <v>1822</v>
      </c>
      <c r="C960" s="99" t="s">
        <v>183</v>
      </c>
      <c r="D960" s="100" t="s">
        <v>838</v>
      </c>
      <c r="E960" s="101"/>
      <c r="F960" s="101">
        <v>40389</v>
      </c>
      <c r="G960" s="102" t="str">
        <f>IF(stdProdLT(Main[[#This Row],[Comments]])=0.1,"N/A",IF(stdProdLT(Main[[#This Row],[Comments]])=0,"",stdProdLT(Main[[#This Row],[Comments]])))</f>
        <v/>
      </c>
      <c r="H960" s="103" t="str">
        <f>IF(AND(Main[[#This Row],[In Stock Date]]&lt;&gt;"",Main[[#This Row],[Revised Due Date]]&lt;&gt;""),Main[[#This Row],[In Stock Date]]-Main[[#This Row],[Revised Due Date]],"")</f>
        <v/>
      </c>
      <c r="I960" s="99" t="s">
        <v>4</v>
      </c>
      <c r="J960" s="99" t="s">
        <v>4</v>
      </c>
      <c r="K960" s="99" t="s">
        <v>4</v>
      </c>
      <c r="L960" s="101"/>
      <c r="M960" s="104" t="str">
        <f>IF(Main[[#This Row],[Tech Start Date]]&lt;1/1/1990,"",IF(Main[[#This Row],[Class]]="C",WORKDAY(Main[[#This Row],[Tech Start Date]],9),IF(Main[[#This Row],[Class]]="B", WORKDAY(Main[[#This Row],[Tech Start Date]],6),IF(Main[[#This Row],[Class]]="A",WORKDAY(Main[[#This Row],[Tech Start Date]],2),""))))</f>
        <v/>
      </c>
      <c r="N960" s="104" t="str">
        <f>IF(Main[[#This Row],[Tech Start Date]]&lt;1/1/1990,"",IF(Main[[#This Row],[Class]]="C",WORKDAY(Main[[#This Row],[Tech Start Date]],19),IF(Main[[#This Row],[Class]]="B", WORKDAY(Main[[#This Row],[Tech Start Date]],12),IF(Main[[#This Row],[Class]]="A",WORKDAY(Main[[#This Row],[Tech Start Date]],4),""))))</f>
        <v/>
      </c>
      <c r="O960" s="104" t="str">
        <f>IF(Main[[#This Row],[Tech Start Date]]&lt;1/1/1990,"",IF(Main[[#This Row],[Class]]="C",WORKDAY(Main[[#This Row],[Tech Start Date]],23),IF(Main[[#This Row],[Class]]="B", WORKDAY(Main[[#This Row],[Tech Start Date]],15),IF(Main[[#This Row],[Class]]="A",WORKDAY(Main[[#This Row],[Tech Start Date]],5),""))))</f>
        <v/>
      </c>
      <c r="P960" s="104" t="str">
        <f>IF(Main[[#This Row],[Tech Start Date]]&lt;1/1/1990,"",IF(Main[[#This Row],[Class]]="C",WORKDAY(Main[[#This Row],[Tech Start Date]],28),IF(Main[[#This Row],[Class]]="B", WORKDAY(Main[[#This Row],[Tech Start Date]],19),IF(Main[[#This Row],[Class]]="A",WORKDAY(Main[[#This Row],[Tech Start Date]],9),""))))</f>
        <v/>
      </c>
      <c r="Q960" s="101">
        <v>40298</v>
      </c>
      <c r="R960" s="101"/>
      <c r="S960" s="99" t="s">
        <v>11</v>
      </c>
      <c r="T960" s="107" t="s">
        <v>4</v>
      </c>
      <c r="U960" s="99" t="s">
        <v>14</v>
      </c>
      <c r="V960" s="99" t="s">
        <v>1962</v>
      </c>
      <c r="W960" s="99" t="s">
        <v>1968</v>
      </c>
    </row>
    <row r="961" spans="1:23" ht="18.600000000000001" customHeight="1">
      <c r="A961" s="123" t="str">
        <f>IF(priority(Main[[#This Row],[Comments]])&lt;&gt;0, priority(Main[[#This Row],[Comments]]),"")</f>
        <v/>
      </c>
      <c r="B961" s="127" t="s">
        <v>1823</v>
      </c>
      <c r="C961" s="99" t="s">
        <v>839</v>
      </c>
      <c r="D961" s="100" t="s">
        <v>840</v>
      </c>
      <c r="E961" s="101"/>
      <c r="F961" s="101"/>
      <c r="G961" s="102" t="str">
        <f>IF(stdProdLT(Main[[#This Row],[Comments]])=0.1,"N/A",IF(stdProdLT(Main[[#This Row],[Comments]])=0,"",stdProdLT(Main[[#This Row],[Comments]])))</f>
        <v/>
      </c>
      <c r="H961" s="103" t="str">
        <f>IF(AND(Main[[#This Row],[In Stock Date]]&lt;&gt;"",Main[[#This Row],[Revised Due Date]]&lt;&gt;""),Main[[#This Row],[In Stock Date]]-Main[[#This Row],[Revised Due Date]],"")</f>
        <v/>
      </c>
      <c r="I961" s="99" t="s">
        <v>4</v>
      </c>
      <c r="J961" s="99" t="s">
        <v>4</v>
      </c>
      <c r="K961" s="99" t="s">
        <v>4</v>
      </c>
      <c r="L961" s="101"/>
      <c r="M961" s="104" t="str">
        <f>IF(Main[[#This Row],[Tech Start Date]]&lt;1/1/1990,"",IF(Main[[#This Row],[Class]]="C",WORKDAY(Main[[#This Row],[Tech Start Date]],9),IF(Main[[#This Row],[Class]]="B", WORKDAY(Main[[#This Row],[Tech Start Date]],6),IF(Main[[#This Row],[Class]]="A",WORKDAY(Main[[#This Row],[Tech Start Date]],2),""))))</f>
        <v/>
      </c>
      <c r="N961" s="104" t="str">
        <f>IF(Main[[#This Row],[Tech Start Date]]&lt;1/1/1990,"",IF(Main[[#This Row],[Class]]="C",WORKDAY(Main[[#This Row],[Tech Start Date]],19),IF(Main[[#This Row],[Class]]="B", WORKDAY(Main[[#This Row],[Tech Start Date]],12),IF(Main[[#This Row],[Class]]="A",WORKDAY(Main[[#This Row],[Tech Start Date]],4),""))))</f>
        <v/>
      </c>
      <c r="O961" s="104" t="str">
        <f>IF(Main[[#This Row],[Tech Start Date]]&lt;1/1/1990,"",IF(Main[[#This Row],[Class]]="C",WORKDAY(Main[[#This Row],[Tech Start Date]],23),IF(Main[[#This Row],[Class]]="B", WORKDAY(Main[[#This Row],[Tech Start Date]],15),IF(Main[[#This Row],[Class]]="A",WORKDAY(Main[[#This Row],[Tech Start Date]],5),""))))</f>
        <v/>
      </c>
      <c r="P961" s="104" t="str">
        <f>IF(Main[[#This Row],[Tech Start Date]]&lt;1/1/1990,"",IF(Main[[#This Row],[Class]]="C",WORKDAY(Main[[#This Row],[Tech Start Date]],28),IF(Main[[#This Row],[Class]]="B", WORKDAY(Main[[#This Row],[Tech Start Date]],19),IF(Main[[#This Row],[Class]]="A",WORKDAY(Main[[#This Row],[Tech Start Date]],9),""))))</f>
        <v/>
      </c>
      <c r="Q961" s="101"/>
      <c r="R961" s="101"/>
      <c r="S961" s="99" t="s">
        <v>11</v>
      </c>
      <c r="T961" s="107" t="s">
        <v>4</v>
      </c>
      <c r="U961" s="99" t="s">
        <v>14</v>
      </c>
      <c r="V961" s="99" t="s">
        <v>1965</v>
      </c>
      <c r="W961" s="99" t="s">
        <v>1973</v>
      </c>
    </row>
    <row r="962" spans="1:23" ht="18.600000000000001" customHeight="1">
      <c r="A962" s="123" t="str">
        <f>IF(priority(Main[[#This Row],[Comments]])&lt;&gt;0, priority(Main[[#This Row],[Comments]]),"")</f>
        <v/>
      </c>
      <c r="B962" s="127" t="s">
        <v>1825</v>
      </c>
      <c r="C962" s="99" t="s">
        <v>4</v>
      </c>
      <c r="D962" s="100" t="s">
        <v>843</v>
      </c>
      <c r="E962" s="101"/>
      <c r="F962" s="101"/>
      <c r="G962" s="102" t="str">
        <f>IF(stdProdLT(Main[[#This Row],[Comments]])=0.1,"N/A",IF(stdProdLT(Main[[#This Row],[Comments]])=0,"",stdProdLT(Main[[#This Row],[Comments]])))</f>
        <v/>
      </c>
      <c r="H962" s="103" t="str">
        <f>IF(AND(Main[[#This Row],[In Stock Date]]&lt;&gt;"",Main[[#This Row],[Revised Due Date]]&lt;&gt;""),Main[[#This Row],[In Stock Date]]-Main[[#This Row],[Revised Due Date]],"")</f>
        <v/>
      </c>
      <c r="I962" s="99" t="s">
        <v>4</v>
      </c>
      <c r="J962" s="99" t="s">
        <v>4</v>
      </c>
      <c r="K962" s="108" t="s">
        <v>4</v>
      </c>
      <c r="L962" s="101"/>
      <c r="M962" s="104" t="str">
        <f>IF(Main[[#This Row],[Tech Start Date]]&lt;1/1/1990,"",IF(Main[[#This Row],[Class]]="C",WORKDAY(Main[[#This Row],[Tech Start Date]],9),IF(Main[[#This Row],[Class]]="B", WORKDAY(Main[[#This Row],[Tech Start Date]],6),IF(Main[[#This Row],[Class]]="A",WORKDAY(Main[[#This Row],[Tech Start Date]],2),""))))</f>
        <v/>
      </c>
      <c r="N962" s="104" t="str">
        <f>IF(Main[[#This Row],[Tech Start Date]]&lt;1/1/1990,"",IF(Main[[#This Row],[Class]]="C",WORKDAY(Main[[#This Row],[Tech Start Date]],19),IF(Main[[#This Row],[Class]]="B", WORKDAY(Main[[#This Row],[Tech Start Date]],12),IF(Main[[#This Row],[Class]]="A",WORKDAY(Main[[#This Row],[Tech Start Date]],4),""))))</f>
        <v/>
      </c>
      <c r="O962" s="104" t="str">
        <f>IF(Main[[#This Row],[Tech Start Date]]&lt;1/1/1990,"",IF(Main[[#This Row],[Class]]="C",WORKDAY(Main[[#This Row],[Tech Start Date]],23),IF(Main[[#This Row],[Class]]="B", WORKDAY(Main[[#This Row],[Tech Start Date]],15),IF(Main[[#This Row],[Class]]="A",WORKDAY(Main[[#This Row],[Tech Start Date]],5),""))))</f>
        <v/>
      </c>
      <c r="P962" s="104" t="str">
        <f>IF(Main[[#This Row],[Tech Start Date]]&lt;1/1/1990,"",IF(Main[[#This Row],[Class]]="C",WORKDAY(Main[[#This Row],[Tech Start Date]],28),IF(Main[[#This Row],[Class]]="B", WORKDAY(Main[[#This Row],[Tech Start Date]],19),IF(Main[[#This Row],[Class]]="A",WORKDAY(Main[[#This Row],[Tech Start Date]],9),""))))</f>
        <v/>
      </c>
      <c r="Q962" s="101"/>
      <c r="R962" s="101"/>
      <c r="S962" s="99" t="s">
        <v>11</v>
      </c>
      <c r="T962" s="107" t="s">
        <v>4</v>
      </c>
      <c r="U962" s="99" t="s">
        <v>12</v>
      </c>
      <c r="V962" s="99" t="s">
        <v>1963</v>
      </c>
      <c r="W962" s="99" t="s">
        <v>1967</v>
      </c>
    </row>
    <row r="963" spans="1:23" ht="18.600000000000001" customHeight="1">
      <c r="A963" s="123" t="str">
        <f>IF(priority(Main[[#This Row],[Comments]])&lt;&gt;0, priority(Main[[#This Row],[Comments]]),"")</f>
        <v/>
      </c>
      <c r="B963" s="127" t="s">
        <v>1827</v>
      </c>
      <c r="C963" s="99" t="s">
        <v>845</v>
      </c>
      <c r="D963" s="100" t="s">
        <v>846</v>
      </c>
      <c r="E963" s="101"/>
      <c r="F963" s="101"/>
      <c r="G963" s="102" t="str">
        <f>IF(stdProdLT(Main[[#This Row],[Comments]])=0.1,"N/A",IF(stdProdLT(Main[[#This Row],[Comments]])=0,"",stdProdLT(Main[[#This Row],[Comments]])))</f>
        <v/>
      </c>
      <c r="H963" s="103" t="str">
        <f>IF(AND(Main[[#This Row],[In Stock Date]]&lt;&gt;"",Main[[#This Row],[Revised Due Date]]&lt;&gt;""),Main[[#This Row],[In Stock Date]]-Main[[#This Row],[Revised Due Date]],"")</f>
        <v/>
      </c>
      <c r="I963" s="99" t="s">
        <v>4</v>
      </c>
      <c r="J963" s="99" t="s">
        <v>4</v>
      </c>
      <c r="K963" s="99" t="s">
        <v>4</v>
      </c>
      <c r="L963" s="101"/>
      <c r="M963" s="104" t="str">
        <f>IF(Main[[#This Row],[Tech Start Date]]&lt;1/1/1990,"",IF(Main[[#This Row],[Class]]="C",WORKDAY(Main[[#This Row],[Tech Start Date]],9),IF(Main[[#This Row],[Class]]="B", WORKDAY(Main[[#This Row],[Tech Start Date]],6),IF(Main[[#This Row],[Class]]="A",WORKDAY(Main[[#This Row],[Tech Start Date]],2),""))))</f>
        <v/>
      </c>
      <c r="N963" s="104" t="str">
        <f>IF(Main[[#This Row],[Tech Start Date]]&lt;1/1/1990,"",IF(Main[[#This Row],[Class]]="C",WORKDAY(Main[[#This Row],[Tech Start Date]],19),IF(Main[[#This Row],[Class]]="B", WORKDAY(Main[[#This Row],[Tech Start Date]],12),IF(Main[[#This Row],[Class]]="A",WORKDAY(Main[[#This Row],[Tech Start Date]],4),""))))</f>
        <v/>
      </c>
      <c r="O963" s="104" t="str">
        <f>IF(Main[[#This Row],[Tech Start Date]]&lt;1/1/1990,"",IF(Main[[#This Row],[Class]]="C",WORKDAY(Main[[#This Row],[Tech Start Date]],23),IF(Main[[#This Row],[Class]]="B", WORKDAY(Main[[#This Row],[Tech Start Date]],15),IF(Main[[#This Row],[Class]]="A",WORKDAY(Main[[#This Row],[Tech Start Date]],5),""))))</f>
        <v/>
      </c>
      <c r="P963" s="104" t="str">
        <f>IF(Main[[#This Row],[Tech Start Date]]&lt;1/1/1990,"",IF(Main[[#This Row],[Class]]="C",WORKDAY(Main[[#This Row],[Tech Start Date]],28),IF(Main[[#This Row],[Class]]="B", WORKDAY(Main[[#This Row],[Tech Start Date]],19),IF(Main[[#This Row],[Class]]="A",WORKDAY(Main[[#This Row],[Tech Start Date]],9),""))))</f>
        <v/>
      </c>
      <c r="Q963" s="101"/>
      <c r="R963" s="101"/>
      <c r="S963" s="99" t="s">
        <v>11</v>
      </c>
      <c r="T963" s="107" t="s">
        <v>4</v>
      </c>
      <c r="U963" s="99" t="s">
        <v>14</v>
      </c>
      <c r="V963" s="99" t="s">
        <v>1963</v>
      </c>
      <c r="W963" s="99" t="s">
        <v>1970</v>
      </c>
    </row>
    <row r="964" spans="1:23" ht="18.600000000000001" customHeight="1">
      <c r="A964" s="123" t="str">
        <f>IF(priority(Main[[#This Row],[Comments]])&lt;&gt;0, priority(Main[[#This Row],[Comments]]),"")</f>
        <v/>
      </c>
      <c r="B964" s="127" t="s">
        <v>1828</v>
      </c>
      <c r="C964" s="99" t="s">
        <v>93</v>
      </c>
      <c r="D964" s="100" t="s">
        <v>847</v>
      </c>
      <c r="E964" s="101"/>
      <c r="F964" s="101">
        <v>40299</v>
      </c>
      <c r="G964" s="102" t="str">
        <f>IF(stdProdLT(Main[[#This Row],[Comments]])=0.1,"N/A",IF(stdProdLT(Main[[#This Row],[Comments]])=0,"",stdProdLT(Main[[#This Row],[Comments]])))</f>
        <v/>
      </c>
      <c r="H964" s="103" t="str">
        <f>IF(AND(Main[[#This Row],[In Stock Date]]&lt;&gt;"",Main[[#This Row],[Revised Due Date]]&lt;&gt;""),Main[[#This Row],[In Stock Date]]-Main[[#This Row],[Revised Due Date]],"")</f>
        <v/>
      </c>
      <c r="I964" s="99" t="s">
        <v>4</v>
      </c>
      <c r="J964" s="99" t="s">
        <v>4</v>
      </c>
      <c r="K964" s="99" t="s">
        <v>4</v>
      </c>
      <c r="L964" s="101"/>
      <c r="M964" s="104" t="str">
        <f>IF(Main[[#This Row],[Tech Start Date]]&lt;1/1/1990,"",IF(Main[[#This Row],[Class]]="C",WORKDAY(Main[[#This Row],[Tech Start Date]],9),IF(Main[[#This Row],[Class]]="B", WORKDAY(Main[[#This Row],[Tech Start Date]],6),IF(Main[[#This Row],[Class]]="A",WORKDAY(Main[[#This Row],[Tech Start Date]],2),""))))</f>
        <v/>
      </c>
      <c r="N964" s="104" t="str">
        <f>IF(Main[[#This Row],[Tech Start Date]]&lt;1/1/1990,"",IF(Main[[#This Row],[Class]]="C",WORKDAY(Main[[#This Row],[Tech Start Date]],19),IF(Main[[#This Row],[Class]]="B", WORKDAY(Main[[#This Row],[Tech Start Date]],12),IF(Main[[#This Row],[Class]]="A",WORKDAY(Main[[#This Row],[Tech Start Date]],4),""))))</f>
        <v/>
      </c>
      <c r="O964" s="104" t="str">
        <f>IF(Main[[#This Row],[Tech Start Date]]&lt;1/1/1990,"",IF(Main[[#This Row],[Class]]="C",WORKDAY(Main[[#This Row],[Tech Start Date]],23),IF(Main[[#This Row],[Class]]="B", WORKDAY(Main[[#This Row],[Tech Start Date]],15),IF(Main[[#This Row],[Class]]="A",WORKDAY(Main[[#This Row],[Tech Start Date]],5),""))))</f>
        <v/>
      </c>
      <c r="P964" s="104" t="str">
        <f>IF(Main[[#This Row],[Tech Start Date]]&lt;1/1/1990,"",IF(Main[[#This Row],[Class]]="C",WORKDAY(Main[[#This Row],[Tech Start Date]],28),IF(Main[[#This Row],[Class]]="B", WORKDAY(Main[[#This Row],[Tech Start Date]],19),IF(Main[[#This Row],[Class]]="A",WORKDAY(Main[[#This Row],[Tech Start Date]],9),""))))</f>
        <v/>
      </c>
      <c r="Q964" s="101">
        <v>40171</v>
      </c>
      <c r="R964" s="101"/>
      <c r="S964" s="99" t="s">
        <v>11</v>
      </c>
      <c r="T964" s="107" t="s">
        <v>4</v>
      </c>
      <c r="U964" s="99" t="s">
        <v>14</v>
      </c>
      <c r="V964" s="99" t="s">
        <v>1965</v>
      </c>
      <c r="W964" s="99" t="s">
        <v>1968</v>
      </c>
    </row>
    <row r="965" spans="1:23" ht="18.600000000000001" customHeight="1">
      <c r="A965" s="123" t="str">
        <f>IF(priority(Main[[#This Row],[Comments]])&lt;&gt;0, priority(Main[[#This Row],[Comments]]),"")</f>
        <v/>
      </c>
      <c r="B965" s="127" t="s">
        <v>1829</v>
      </c>
      <c r="C965" s="99" t="s">
        <v>4</v>
      </c>
      <c r="D965" s="100" t="s">
        <v>848</v>
      </c>
      <c r="E965" s="101">
        <v>40682.311319444445</v>
      </c>
      <c r="F965" s="101"/>
      <c r="G965" s="102" t="str">
        <f>IF(stdProdLT(Main[[#This Row],[Comments]])=0.1,"N/A",IF(stdProdLT(Main[[#This Row],[Comments]])=0,"",stdProdLT(Main[[#This Row],[Comments]])))</f>
        <v/>
      </c>
      <c r="H965" s="103" t="str">
        <f>IF(AND(Main[[#This Row],[In Stock Date]]&lt;&gt;"",Main[[#This Row],[Revised Due Date]]&lt;&gt;""),Main[[#This Row],[In Stock Date]]-Main[[#This Row],[Revised Due Date]],"")</f>
        <v/>
      </c>
      <c r="I965" s="99" t="s">
        <v>4</v>
      </c>
      <c r="J965" s="99" t="s">
        <v>4</v>
      </c>
      <c r="K965" s="99" t="s">
        <v>4</v>
      </c>
      <c r="L965" s="101"/>
      <c r="M965" s="104" t="str">
        <f>IF(Main[[#This Row],[Tech Start Date]]&lt;1/1/1990,"",IF(Main[[#This Row],[Class]]="C",WORKDAY(Main[[#This Row],[Tech Start Date]],9),IF(Main[[#This Row],[Class]]="B", WORKDAY(Main[[#This Row],[Tech Start Date]],6),IF(Main[[#This Row],[Class]]="A",WORKDAY(Main[[#This Row],[Tech Start Date]],2),""))))</f>
        <v/>
      </c>
      <c r="N965" s="104" t="str">
        <f>IF(Main[[#This Row],[Tech Start Date]]&lt;1/1/1990,"",IF(Main[[#This Row],[Class]]="C",WORKDAY(Main[[#This Row],[Tech Start Date]],19),IF(Main[[#This Row],[Class]]="B", WORKDAY(Main[[#This Row],[Tech Start Date]],12),IF(Main[[#This Row],[Class]]="A",WORKDAY(Main[[#This Row],[Tech Start Date]],4),""))))</f>
        <v/>
      </c>
      <c r="O965" s="104" t="str">
        <f>IF(Main[[#This Row],[Tech Start Date]]&lt;1/1/1990,"",IF(Main[[#This Row],[Class]]="C",WORKDAY(Main[[#This Row],[Tech Start Date]],23),IF(Main[[#This Row],[Class]]="B", WORKDAY(Main[[#This Row],[Tech Start Date]],15),IF(Main[[#This Row],[Class]]="A",WORKDAY(Main[[#This Row],[Tech Start Date]],5),""))))</f>
        <v/>
      </c>
      <c r="P965" s="104" t="str">
        <f>IF(Main[[#This Row],[Tech Start Date]]&lt;1/1/1990,"",IF(Main[[#This Row],[Class]]="C",WORKDAY(Main[[#This Row],[Tech Start Date]],28),IF(Main[[#This Row],[Class]]="B", WORKDAY(Main[[#This Row],[Tech Start Date]],19),IF(Main[[#This Row],[Class]]="A",WORKDAY(Main[[#This Row],[Tech Start Date]],9),""))))</f>
        <v/>
      </c>
      <c r="Q965" s="101">
        <v>40724</v>
      </c>
      <c r="R965" s="101"/>
      <c r="S965" s="99" t="s">
        <v>6</v>
      </c>
      <c r="T965" s="107" t="s">
        <v>4</v>
      </c>
      <c r="U965" s="99" t="s">
        <v>7</v>
      </c>
      <c r="V965" s="99" t="s">
        <v>1962</v>
      </c>
      <c r="W965" s="99" t="s">
        <v>4</v>
      </c>
    </row>
    <row r="966" spans="1:23" ht="18.600000000000001" customHeight="1">
      <c r="A966" s="123" t="str">
        <f>IF(priority(Main[[#This Row],[Comments]])&lt;&gt;0, priority(Main[[#This Row],[Comments]]),"")</f>
        <v/>
      </c>
      <c r="B966" s="127" t="s">
        <v>1830</v>
      </c>
      <c r="C966" s="99" t="s">
        <v>4</v>
      </c>
      <c r="D966" s="100" t="s">
        <v>849</v>
      </c>
      <c r="E966" s="101"/>
      <c r="F966" s="101"/>
      <c r="G966" s="102" t="str">
        <f>IF(stdProdLT(Main[[#This Row],[Comments]])=0.1,"N/A",IF(stdProdLT(Main[[#This Row],[Comments]])=0,"",stdProdLT(Main[[#This Row],[Comments]])))</f>
        <v/>
      </c>
      <c r="H966" s="103" t="str">
        <f>IF(AND(Main[[#This Row],[In Stock Date]]&lt;&gt;"",Main[[#This Row],[Revised Due Date]]&lt;&gt;""),Main[[#This Row],[In Stock Date]]-Main[[#This Row],[Revised Due Date]],"")</f>
        <v/>
      </c>
      <c r="I966" s="99" t="s">
        <v>4</v>
      </c>
      <c r="J966" s="99" t="s">
        <v>4</v>
      </c>
      <c r="K966" s="99" t="s">
        <v>4</v>
      </c>
      <c r="L966" s="101"/>
      <c r="M966" s="104" t="str">
        <f>IF(Main[[#This Row],[Tech Start Date]]&lt;1/1/1990,"",IF(Main[[#This Row],[Class]]="C",WORKDAY(Main[[#This Row],[Tech Start Date]],9),IF(Main[[#This Row],[Class]]="B", WORKDAY(Main[[#This Row],[Tech Start Date]],6),IF(Main[[#This Row],[Class]]="A",WORKDAY(Main[[#This Row],[Tech Start Date]],2),""))))</f>
        <v/>
      </c>
      <c r="N966" s="104" t="str">
        <f>IF(Main[[#This Row],[Tech Start Date]]&lt;1/1/1990,"",IF(Main[[#This Row],[Class]]="C",WORKDAY(Main[[#This Row],[Tech Start Date]],19),IF(Main[[#This Row],[Class]]="B", WORKDAY(Main[[#This Row],[Tech Start Date]],12),IF(Main[[#This Row],[Class]]="A",WORKDAY(Main[[#This Row],[Tech Start Date]],4),""))))</f>
        <v/>
      </c>
      <c r="O966" s="104" t="str">
        <f>IF(Main[[#This Row],[Tech Start Date]]&lt;1/1/1990,"",IF(Main[[#This Row],[Class]]="C",WORKDAY(Main[[#This Row],[Tech Start Date]],23),IF(Main[[#This Row],[Class]]="B", WORKDAY(Main[[#This Row],[Tech Start Date]],15),IF(Main[[#This Row],[Class]]="A",WORKDAY(Main[[#This Row],[Tech Start Date]],5),""))))</f>
        <v/>
      </c>
      <c r="P966" s="104" t="str">
        <f>IF(Main[[#This Row],[Tech Start Date]]&lt;1/1/1990,"",IF(Main[[#This Row],[Class]]="C",WORKDAY(Main[[#This Row],[Tech Start Date]],28),IF(Main[[#This Row],[Class]]="B", WORKDAY(Main[[#This Row],[Tech Start Date]],19),IF(Main[[#This Row],[Class]]="A",WORKDAY(Main[[#This Row],[Tech Start Date]],9),""))))</f>
        <v/>
      </c>
      <c r="Q966" s="101"/>
      <c r="R966" s="101"/>
      <c r="S966" s="99" t="s">
        <v>6</v>
      </c>
      <c r="T966" s="107" t="s">
        <v>4</v>
      </c>
      <c r="U966" s="99" t="s">
        <v>14</v>
      </c>
      <c r="V966" s="99" t="s">
        <v>1965</v>
      </c>
      <c r="W966" s="99" t="s">
        <v>1966</v>
      </c>
    </row>
    <row r="967" spans="1:23" ht="18.600000000000001" customHeight="1">
      <c r="A967" s="123" t="str">
        <f>IF(priority(Main[[#This Row],[Comments]])&lt;&gt;0, priority(Main[[#This Row],[Comments]]),"")</f>
        <v/>
      </c>
      <c r="B967" s="127" t="s">
        <v>1831</v>
      </c>
      <c r="C967" s="99" t="s">
        <v>4</v>
      </c>
      <c r="D967" s="100" t="s">
        <v>850</v>
      </c>
      <c r="E967" s="101">
        <v>40686.396180555559</v>
      </c>
      <c r="F967" s="101"/>
      <c r="G967" s="102" t="str">
        <f>IF(stdProdLT(Main[[#This Row],[Comments]])=0.1,"N/A",IF(stdProdLT(Main[[#This Row],[Comments]])=0,"",stdProdLT(Main[[#This Row],[Comments]])))</f>
        <v/>
      </c>
      <c r="H967" s="103" t="str">
        <f>IF(AND(Main[[#This Row],[In Stock Date]]&lt;&gt;"",Main[[#This Row],[Revised Due Date]]&lt;&gt;""),Main[[#This Row],[In Stock Date]]-Main[[#This Row],[Revised Due Date]],"")</f>
        <v/>
      </c>
      <c r="I967" s="99" t="s">
        <v>4</v>
      </c>
      <c r="J967" s="99" t="s">
        <v>4</v>
      </c>
      <c r="K967" s="99" t="s">
        <v>4</v>
      </c>
      <c r="L967" s="101"/>
      <c r="M967" s="104" t="str">
        <f>IF(Main[[#This Row],[Tech Start Date]]&lt;1/1/1990,"",IF(Main[[#This Row],[Class]]="C",WORKDAY(Main[[#This Row],[Tech Start Date]],9),IF(Main[[#This Row],[Class]]="B", WORKDAY(Main[[#This Row],[Tech Start Date]],6),IF(Main[[#This Row],[Class]]="A",WORKDAY(Main[[#This Row],[Tech Start Date]],2),""))))</f>
        <v/>
      </c>
      <c r="N967" s="104" t="str">
        <f>IF(Main[[#This Row],[Tech Start Date]]&lt;1/1/1990,"",IF(Main[[#This Row],[Class]]="C",WORKDAY(Main[[#This Row],[Tech Start Date]],19),IF(Main[[#This Row],[Class]]="B", WORKDAY(Main[[#This Row],[Tech Start Date]],12),IF(Main[[#This Row],[Class]]="A",WORKDAY(Main[[#This Row],[Tech Start Date]],4),""))))</f>
        <v/>
      </c>
      <c r="O967" s="104" t="str">
        <f>IF(Main[[#This Row],[Tech Start Date]]&lt;1/1/1990,"",IF(Main[[#This Row],[Class]]="C",WORKDAY(Main[[#This Row],[Tech Start Date]],23),IF(Main[[#This Row],[Class]]="B", WORKDAY(Main[[#This Row],[Tech Start Date]],15),IF(Main[[#This Row],[Class]]="A",WORKDAY(Main[[#This Row],[Tech Start Date]],5),""))))</f>
        <v/>
      </c>
      <c r="P967" s="104" t="str">
        <f>IF(Main[[#This Row],[Tech Start Date]]&lt;1/1/1990,"",IF(Main[[#This Row],[Class]]="C",WORKDAY(Main[[#This Row],[Tech Start Date]],28),IF(Main[[#This Row],[Class]]="B", WORKDAY(Main[[#This Row],[Tech Start Date]],19),IF(Main[[#This Row],[Class]]="A",WORKDAY(Main[[#This Row],[Tech Start Date]],9),""))))</f>
        <v/>
      </c>
      <c r="Q967" s="101">
        <v>40704</v>
      </c>
      <c r="R967" s="101"/>
      <c r="S967" s="99" t="s">
        <v>6</v>
      </c>
      <c r="T967" s="107" t="s">
        <v>4</v>
      </c>
      <c r="U967" s="99" t="s">
        <v>7</v>
      </c>
      <c r="V967" s="99" t="s">
        <v>1962</v>
      </c>
      <c r="W967" s="99" t="s">
        <v>1966</v>
      </c>
    </row>
    <row r="968" spans="1:23" ht="18.600000000000001" customHeight="1">
      <c r="A968" s="123" t="str">
        <f>IF(priority(Main[[#This Row],[Comments]])&lt;&gt;0, priority(Main[[#This Row],[Comments]]),"")</f>
        <v/>
      </c>
      <c r="B968" s="127" t="s">
        <v>1186</v>
      </c>
      <c r="C968" s="99" t="s">
        <v>4</v>
      </c>
      <c r="D968" s="100" t="s">
        <v>97</v>
      </c>
      <c r="E968" s="101">
        <v>40667.587465277778</v>
      </c>
      <c r="F968" s="101"/>
      <c r="G968" s="102" t="str">
        <f>IF(stdProdLT(Main[[#This Row],[Comments]])=0.1,"N/A",IF(stdProdLT(Main[[#This Row],[Comments]])=0,"",stdProdLT(Main[[#This Row],[Comments]])))</f>
        <v/>
      </c>
      <c r="H968" s="103" t="str">
        <f>IF(AND(Main[[#This Row],[In Stock Date]]&lt;&gt;"",Main[[#This Row],[Revised Due Date]]&lt;&gt;""),Main[[#This Row],[In Stock Date]]-Main[[#This Row],[Revised Due Date]],"")</f>
        <v/>
      </c>
      <c r="I968" s="99" t="s">
        <v>4</v>
      </c>
      <c r="J968" s="99" t="s">
        <v>4</v>
      </c>
      <c r="K968" s="99" t="s">
        <v>4</v>
      </c>
      <c r="L968" s="101"/>
      <c r="M968" s="104" t="str">
        <f>IF(Main[[#This Row],[Tech Start Date]]&lt;1/1/1990,"",IF(Main[[#This Row],[Class]]="C",WORKDAY(Main[[#This Row],[Tech Start Date]],9),IF(Main[[#This Row],[Class]]="B", WORKDAY(Main[[#This Row],[Tech Start Date]],6),IF(Main[[#This Row],[Class]]="A",WORKDAY(Main[[#This Row],[Tech Start Date]],2),""))))</f>
        <v/>
      </c>
      <c r="N968" s="104" t="str">
        <f>IF(Main[[#This Row],[Tech Start Date]]&lt;1/1/1990,"",IF(Main[[#This Row],[Class]]="C",WORKDAY(Main[[#This Row],[Tech Start Date]],19),IF(Main[[#This Row],[Class]]="B", WORKDAY(Main[[#This Row],[Tech Start Date]],12),IF(Main[[#This Row],[Class]]="A",WORKDAY(Main[[#This Row],[Tech Start Date]],4),""))))</f>
        <v/>
      </c>
      <c r="O968" s="104" t="str">
        <f>IF(Main[[#This Row],[Tech Start Date]]&lt;1/1/1990,"",IF(Main[[#This Row],[Class]]="C",WORKDAY(Main[[#This Row],[Tech Start Date]],23),IF(Main[[#This Row],[Class]]="B", WORKDAY(Main[[#This Row],[Tech Start Date]],15),IF(Main[[#This Row],[Class]]="A",WORKDAY(Main[[#This Row],[Tech Start Date]],5),""))))</f>
        <v/>
      </c>
      <c r="P968" s="104" t="str">
        <f>IF(Main[[#This Row],[Tech Start Date]]&lt;1/1/1990,"",IF(Main[[#This Row],[Class]]="C",WORKDAY(Main[[#This Row],[Tech Start Date]],28),IF(Main[[#This Row],[Class]]="B", WORKDAY(Main[[#This Row],[Tech Start Date]],19),IF(Main[[#This Row],[Class]]="A",WORKDAY(Main[[#This Row],[Tech Start Date]],9),""))))</f>
        <v/>
      </c>
      <c r="Q968" s="101">
        <v>40858</v>
      </c>
      <c r="R968" s="101"/>
      <c r="S968" s="99" t="s">
        <v>17</v>
      </c>
      <c r="T968" s="107" t="s">
        <v>4</v>
      </c>
      <c r="U968" s="99" t="s">
        <v>7</v>
      </c>
      <c r="V968" s="99" t="s">
        <v>1962</v>
      </c>
      <c r="W968" s="99" t="s">
        <v>1967</v>
      </c>
    </row>
    <row r="969" spans="1:23" ht="18.600000000000001" customHeight="1">
      <c r="A969" s="123" t="str">
        <f>IF(priority(Main[[#This Row],[Comments]])&lt;&gt;0, priority(Main[[#This Row],[Comments]]),"")</f>
        <v/>
      </c>
      <c r="B969" s="127" t="s">
        <v>1832</v>
      </c>
      <c r="C969" s="99" t="s">
        <v>4</v>
      </c>
      <c r="D969" s="100" t="s">
        <v>97</v>
      </c>
      <c r="E969" s="101"/>
      <c r="F969" s="101"/>
      <c r="G969" s="102" t="str">
        <f>IF(stdProdLT(Main[[#This Row],[Comments]])=0.1,"N/A",IF(stdProdLT(Main[[#This Row],[Comments]])=0,"",stdProdLT(Main[[#This Row],[Comments]])))</f>
        <v/>
      </c>
      <c r="H969" s="103" t="str">
        <f>IF(AND(Main[[#This Row],[In Stock Date]]&lt;&gt;"",Main[[#This Row],[Revised Due Date]]&lt;&gt;""),Main[[#This Row],[In Stock Date]]-Main[[#This Row],[Revised Due Date]],"")</f>
        <v/>
      </c>
      <c r="I969" s="99" t="s">
        <v>4</v>
      </c>
      <c r="J969" s="99" t="s">
        <v>4</v>
      </c>
      <c r="K969" s="99" t="s">
        <v>4</v>
      </c>
      <c r="L969" s="101"/>
      <c r="M969" s="104" t="str">
        <f>IF(Main[[#This Row],[Tech Start Date]]&lt;1/1/1990,"",IF(Main[[#This Row],[Class]]="C",WORKDAY(Main[[#This Row],[Tech Start Date]],9),IF(Main[[#This Row],[Class]]="B", WORKDAY(Main[[#This Row],[Tech Start Date]],6),IF(Main[[#This Row],[Class]]="A",WORKDAY(Main[[#This Row],[Tech Start Date]],2),""))))</f>
        <v/>
      </c>
      <c r="N969" s="104" t="str">
        <f>IF(Main[[#This Row],[Tech Start Date]]&lt;1/1/1990,"",IF(Main[[#This Row],[Class]]="C",WORKDAY(Main[[#This Row],[Tech Start Date]],19),IF(Main[[#This Row],[Class]]="B", WORKDAY(Main[[#This Row],[Tech Start Date]],12),IF(Main[[#This Row],[Class]]="A",WORKDAY(Main[[#This Row],[Tech Start Date]],4),""))))</f>
        <v/>
      </c>
      <c r="O969" s="104" t="str">
        <f>IF(Main[[#This Row],[Tech Start Date]]&lt;1/1/1990,"",IF(Main[[#This Row],[Class]]="C",WORKDAY(Main[[#This Row],[Tech Start Date]],23),IF(Main[[#This Row],[Class]]="B", WORKDAY(Main[[#This Row],[Tech Start Date]],15),IF(Main[[#This Row],[Class]]="A",WORKDAY(Main[[#This Row],[Tech Start Date]],5),""))))</f>
        <v/>
      </c>
      <c r="P969" s="104" t="str">
        <f>IF(Main[[#This Row],[Tech Start Date]]&lt;1/1/1990,"",IF(Main[[#This Row],[Class]]="C",WORKDAY(Main[[#This Row],[Tech Start Date]],28),IF(Main[[#This Row],[Class]]="B", WORKDAY(Main[[#This Row],[Tech Start Date]],19),IF(Main[[#This Row],[Class]]="A",WORKDAY(Main[[#This Row],[Tech Start Date]],9),""))))</f>
        <v/>
      </c>
      <c r="Q969" s="101">
        <v>40858</v>
      </c>
      <c r="R969" s="101"/>
      <c r="S969" s="99" t="s">
        <v>17</v>
      </c>
      <c r="T969" s="107" t="s">
        <v>4</v>
      </c>
      <c r="U969" s="99" t="s">
        <v>14</v>
      </c>
      <c r="V969" s="99" t="s">
        <v>1962</v>
      </c>
      <c r="W969" s="99" t="s">
        <v>1967</v>
      </c>
    </row>
    <row r="970" spans="1:23" ht="18.600000000000001" customHeight="1">
      <c r="A970" s="123" t="str">
        <f>IF(priority(Main[[#This Row],[Comments]])&lt;&gt;0, priority(Main[[#This Row],[Comments]]),"")</f>
        <v/>
      </c>
      <c r="B970" s="127" t="s">
        <v>1833</v>
      </c>
      <c r="C970" s="99" t="s">
        <v>4</v>
      </c>
      <c r="D970" s="100" t="s">
        <v>851</v>
      </c>
      <c r="E970" s="101"/>
      <c r="F970" s="101">
        <v>40574</v>
      </c>
      <c r="G970" s="102" t="str">
        <f>IF(stdProdLT(Main[[#This Row],[Comments]])=0.1,"N/A",IF(stdProdLT(Main[[#This Row],[Comments]])=0,"",stdProdLT(Main[[#This Row],[Comments]])))</f>
        <v/>
      </c>
      <c r="H970" s="103" t="str">
        <f>IF(AND(Main[[#This Row],[In Stock Date]]&lt;&gt;"",Main[[#This Row],[Revised Due Date]]&lt;&gt;""),Main[[#This Row],[In Stock Date]]-Main[[#This Row],[Revised Due Date]],"")</f>
        <v/>
      </c>
      <c r="I970" s="99" t="s">
        <v>4</v>
      </c>
      <c r="J970" s="99" t="s">
        <v>4</v>
      </c>
      <c r="K970" s="99" t="s">
        <v>4</v>
      </c>
      <c r="L970" s="101"/>
      <c r="M970" s="104" t="str">
        <f>IF(Main[[#This Row],[Tech Start Date]]&lt;1/1/1990,"",IF(Main[[#This Row],[Class]]="C",WORKDAY(Main[[#This Row],[Tech Start Date]],9),IF(Main[[#This Row],[Class]]="B", WORKDAY(Main[[#This Row],[Tech Start Date]],6),IF(Main[[#This Row],[Class]]="A",WORKDAY(Main[[#This Row],[Tech Start Date]],2),""))))</f>
        <v/>
      </c>
      <c r="N970" s="104" t="str">
        <f>IF(Main[[#This Row],[Tech Start Date]]&lt;1/1/1990,"",IF(Main[[#This Row],[Class]]="C",WORKDAY(Main[[#This Row],[Tech Start Date]],19),IF(Main[[#This Row],[Class]]="B", WORKDAY(Main[[#This Row],[Tech Start Date]],12),IF(Main[[#This Row],[Class]]="A",WORKDAY(Main[[#This Row],[Tech Start Date]],4),""))))</f>
        <v/>
      </c>
      <c r="O970" s="104" t="str">
        <f>IF(Main[[#This Row],[Tech Start Date]]&lt;1/1/1990,"",IF(Main[[#This Row],[Class]]="C",WORKDAY(Main[[#This Row],[Tech Start Date]],23),IF(Main[[#This Row],[Class]]="B", WORKDAY(Main[[#This Row],[Tech Start Date]],15),IF(Main[[#This Row],[Class]]="A",WORKDAY(Main[[#This Row],[Tech Start Date]],5),""))))</f>
        <v/>
      </c>
      <c r="P970" s="104" t="str">
        <f>IF(Main[[#This Row],[Tech Start Date]]&lt;1/1/1990,"",IF(Main[[#This Row],[Class]]="C",WORKDAY(Main[[#This Row],[Tech Start Date]],28),IF(Main[[#This Row],[Class]]="B", WORKDAY(Main[[#This Row],[Tech Start Date]],19),IF(Main[[#This Row],[Class]]="A",WORKDAY(Main[[#This Row],[Tech Start Date]],9),""))))</f>
        <v/>
      </c>
      <c r="Q970" s="101"/>
      <c r="R970" s="101"/>
      <c r="S970" s="99" t="s">
        <v>17</v>
      </c>
      <c r="T970" s="107" t="s">
        <v>4</v>
      </c>
      <c r="U970" s="99" t="s">
        <v>14</v>
      </c>
      <c r="V970" s="99" t="s">
        <v>1965</v>
      </c>
      <c r="W970" s="99" t="s">
        <v>1967</v>
      </c>
    </row>
    <row r="971" spans="1:23" ht="18.600000000000001" customHeight="1">
      <c r="A971" s="123" t="str">
        <f>IF(priority(Main[[#This Row],[Comments]])&lt;&gt;0, priority(Main[[#This Row],[Comments]]),"")</f>
        <v/>
      </c>
      <c r="B971" s="127" t="s">
        <v>1834</v>
      </c>
      <c r="C971" s="99" t="s">
        <v>93</v>
      </c>
      <c r="D971" s="100" t="s">
        <v>852</v>
      </c>
      <c r="E971" s="101"/>
      <c r="F971" s="101">
        <v>40132</v>
      </c>
      <c r="G971" s="102" t="str">
        <f>IF(stdProdLT(Main[[#This Row],[Comments]])=0.1,"N/A",IF(stdProdLT(Main[[#This Row],[Comments]])=0,"",stdProdLT(Main[[#This Row],[Comments]])))</f>
        <v/>
      </c>
      <c r="H971" s="103" t="str">
        <f>IF(AND(Main[[#This Row],[In Stock Date]]&lt;&gt;"",Main[[#This Row],[Revised Due Date]]&lt;&gt;""),Main[[#This Row],[In Stock Date]]-Main[[#This Row],[Revised Due Date]],"")</f>
        <v/>
      </c>
      <c r="I971" s="99" t="s">
        <v>4</v>
      </c>
      <c r="J971" s="99" t="s">
        <v>4</v>
      </c>
      <c r="K971" s="99" t="s">
        <v>4</v>
      </c>
      <c r="L971" s="101"/>
      <c r="M971" s="104" t="str">
        <f>IF(Main[[#This Row],[Tech Start Date]]&lt;1/1/1990,"",IF(Main[[#This Row],[Class]]="C",WORKDAY(Main[[#This Row],[Tech Start Date]],9),IF(Main[[#This Row],[Class]]="B", WORKDAY(Main[[#This Row],[Tech Start Date]],6),IF(Main[[#This Row],[Class]]="A",WORKDAY(Main[[#This Row],[Tech Start Date]],2),""))))</f>
        <v/>
      </c>
      <c r="N971" s="104" t="str">
        <f>IF(Main[[#This Row],[Tech Start Date]]&lt;1/1/1990,"",IF(Main[[#This Row],[Class]]="C",WORKDAY(Main[[#This Row],[Tech Start Date]],19),IF(Main[[#This Row],[Class]]="B", WORKDAY(Main[[#This Row],[Tech Start Date]],12),IF(Main[[#This Row],[Class]]="A",WORKDAY(Main[[#This Row],[Tech Start Date]],4),""))))</f>
        <v/>
      </c>
      <c r="O971" s="104" t="str">
        <f>IF(Main[[#This Row],[Tech Start Date]]&lt;1/1/1990,"",IF(Main[[#This Row],[Class]]="C",WORKDAY(Main[[#This Row],[Tech Start Date]],23),IF(Main[[#This Row],[Class]]="B", WORKDAY(Main[[#This Row],[Tech Start Date]],15),IF(Main[[#This Row],[Class]]="A",WORKDAY(Main[[#This Row],[Tech Start Date]],5),""))))</f>
        <v/>
      </c>
      <c r="P971" s="104" t="str">
        <f>IF(Main[[#This Row],[Tech Start Date]]&lt;1/1/1990,"",IF(Main[[#This Row],[Class]]="C",WORKDAY(Main[[#This Row],[Tech Start Date]],28),IF(Main[[#This Row],[Class]]="B", WORKDAY(Main[[#This Row],[Tech Start Date]],19),IF(Main[[#This Row],[Class]]="A",WORKDAY(Main[[#This Row],[Tech Start Date]],9),""))))</f>
        <v/>
      </c>
      <c r="Q971" s="101">
        <v>40132</v>
      </c>
      <c r="R971" s="101"/>
      <c r="S971" s="99" t="s">
        <v>11</v>
      </c>
      <c r="T971" s="107" t="s">
        <v>4</v>
      </c>
      <c r="U971" s="99" t="s">
        <v>14</v>
      </c>
      <c r="V971" s="99" t="s">
        <v>1965</v>
      </c>
      <c r="W971" s="99" t="s">
        <v>1973</v>
      </c>
    </row>
    <row r="972" spans="1:23" ht="18.600000000000001" customHeight="1">
      <c r="A972" s="123" t="str">
        <f>IF(priority(Main[[#This Row],[Comments]])&lt;&gt;0, priority(Main[[#This Row],[Comments]]),"")</f>
        <v/>
      </c>
      <c r="B972" s="127" t="s">
        <v>1835</v>
      </c>
      <c r="C972" s="99" t="s">
        <v>113</v>
      </c>
      <c r="D972" s="100" t="s">
        <v>853</v>
      </c>
      <c r="E972" s="101"/>
      <c r="F972" s="101"/>
      <c r="G972" s="102" t="str">
        <f>IF(stdProdLT(Main[[#This Row],[Comments]])=0.1,"N/A",IF(stdProdLT(Main[[#This Row],[Comments]])=0,"",stdProdLT(Main[[#This Row],[Comments]])))</f>
        <v/>
      </c>
      <c r="H972" s="103" t="str">
        <f>IF(AND(Main[[#This Row],[In Stock Date]]&lt;&gt;"",Main[[#This Row],[Revised Due Date]]&lt;&gt;""),Main[[#This Row],[In Stock Date]]-Main[[#This Row],[Revised Due Date]],"")</f>
        <v/>
      </c>
      <c r="I972" s="99" t="s">
        <v>4</v>
      </c>
      <c r="J972" s="99" t="s">
        <v>28</v>
      </c>
      <c r="K972" s="108" t="s">
        <v>1974</v>
      </c>
      <c r="L972" s="101"/>
      <c r="M972" s="104" t="str">
        <f>IF(Main[[#This Row],[Tech Start Date]]&lt;1/1/1990,"",IF(Main[[#This Row],[Class]]="C",WORKDAY(Main[[#This Row],[Tech Start Date]],9),IF(Main[[#This Row],[Class]]="B", WORKDAY(Main[[#This Row],[Tech Start Date]],6),IF(Main[[#This Row],[Class]]="A",WORKDAY(Main[[#This Row],[Tech Start Date]],2),""))))</f>
        <v/>
      </c>
      <c r="N972" s="104" t="str">
        <f>IF(Main[[#This Row],[Tech Start Date]]&lt;1/1/1990,"",IF(Main[[#This Row],[Class]]="C",WORKDAY(Main[[#This Row],[Tech Start Date]],19),IF(Main[[#This Row],[Class]]="B", WORKDAY(Main[[#This Row],[Tech Start Date]],12),IF(Main[[#This Row],[Class]]="A",WORKDAY(Main[[#This Row],[Tech Start Date]],4),""))))</f>
        <v/>
      </c>
      <c r="O972" s="104" t="str">
        <f>IF(Main[[#This Row],[Tech Start Date]]&lt;1/1/1990,"",IF(Main[[#This Row],[Class]]="C",WORKDAY(Main[[#This Row],[Tech Start Date]],23),IF(Main[[#This Row],[Class]]="B", WORKDAY(Main[[#This Row],[Tech Start Date]],15),IF(Main[[#This Row],[Class]]="A",WORKDAY(Main[[#This Row],[Tech Start Date]],5),""))))</f>
        <v/>
      </c>
      <c r="P972" s="104" t="str">
        <f>IF(Main[[#This Row],[Tech Start Date]]&lt;1/1/1990,"",IF(Main[[#This Row],[Class]]="C",WORKDAY(Main[[#This Row],[Tech Start Date]],28),IF(Main[[#This Row],[Class]]="B", WORKDAY(Main[[#This Row],[Tech Start Date]],19),IF(Main[[#This Row],[Class]]="A",WORKDAY(Main[[#This Row],[Tech Start Date]],9),""))))</f>
        <v/>
      </c>
      <c r="Q972" s="101"/>
      <c r="R972" s="101"/>
      <c r="S972" s="99" t="s">
        <v>17</v>
      </c>
      <c r="T972" s="107" t="s">
        <v>4</v>
      </c>
      <c r="U972" s="99" t="s">
        <v>14</v>
      </c>
      <c r="V972" s="99" t="s">
        <v>1963</v>
      </c>
      <c r="W972" s="99" t="s">
        <v>1970</v>
      </c>
    </row>
    <row r="973" spans="1:23" ht="18.600000000000001" customHeight="1">
      <c r="A973" s="123" t="str">
        <f>IF(priority(Main[[#This Row],[Comments]])&lt;&gt;0, priority(Main[[#This Row],[Comments]]),"")</f>
        <v/>
      </c>
      <c r="B973" s="127" t="s">
        <v>1837</v>
      </c>
      <c r="C973" s="99" t="s">
        <v>4</v>
      </c>
      <c r="D973" s="100" t="s">
        <v>855</v>
      </c>
      <c r="E973" s="101"/>
      <c r="F973" s="101">
        <v>40435</v>
      </c>
      <c r="G973" s="102" t="str">
        <f>IF(stdProdLT(Main[[#This Row],[Comments]])=0.1,"N/A",IF(stdProdLT(Main[[#This Row],[Comments]])=0,"",stdProdLT(Main[[#This Row],[Comments]])))</f>
        <v/>
      </c>
      <c r="H973" s="103" t="str">
        <f>IF(AND(Main[[#This Row],[In Stock Date]]&lt;&gt;"",Main[[#This Row],[Revised Due Date]]&lt;&gt;""),Main[[#This Row],[In Stock Date]]-Main[[#This Row],[Revised Due Date]],"")</f>
        <v/>
      </c>
      <c r="I973" s="99" t="s">
        <v>4</v>
      </c>
      <c r="J973" s="99" t="s">
        <v>28</v>
      </c>
      <c r="K973" s="99" t="s">
        <v>4</v>
      </c>
      <c r="L973" s="101"/>
      <c r="M973" s="104" t="str">
        <f>IF(Main[[#This Row],[Tech Start Date]]&lt;1/1/1990,"",IF(Main[[#This Row],[Class]]="C",WORKDAY(Main[[#This Row],[Tech Start Date]],9),IF(Main[[#This Row],[Class]]="B", WORKDAY(Main[[#This Row],[Tech Start Date]],6),IF(Main[[#This Row],[Class]]="A",WORKDAY(Main[[#This Row],[Tech Start Date]],2),""))))</f>
        <v/>
      </c>
      <c r="N973" s="104" t="str">
        <f>IF(Main[[#This Row],[Tech Start Date]]&lt;1/1/1990,"",IF(Main[[#This Row],[Class]]="C",WORKDAY(Main[[#This Row],[Tech Start Date]],19),IF(Main[[#This Row],[Class]]="B", WORKDAY(Main[[#This Row],[Tech Start Date]],12),IF(Main[[#This Row],[Class]]="A",WORKDAY(Main[[#This Row],[Tech Start Date]],4),""))))</f>
        <v/>
      </c>
      <c r="O973" s="104" t="str">
        <f>IF(Main[[#This Row],[Tech Start Date]]&lt;1/1/1990,"",IF(Main[[#This Row],[Class]]="C",WORKDAY(Main[[#This Row],[Tech Start Date]],23),IF(Main[[#This Row],[Class]]="B", WORKDAY(Main[[#This Row],[Tech Start Date]],15),IF(Main[[#This Row],[Class]]="A",WORKDAY(Main[[#This Row],[Tech Start Date]],5),""))))</f>
        <v/>
      </c>
      <c r="P973" s="104" t="str">
        <f>IF(Main[[#This Row],[Tech Start Date]]&lt;1/1/1990,"",IF(Main[[#This Row],[Class]]="C",WORKDAY(Main[[#This Row],[Tech Start Date]],28),IF(Main[[#This Row],[Class]]="B", WORKDAY(Main[[#This Row],[Tech Start Date]],19),IF(Main[[#This Row],[Class]]="A",WORKDAY(Main[[#This Row],[Tech Start Date]],9),""))))</f>
        <v/>
      </c>
      <c r="Q973" s="101"/>
      <c r="R973" s="101"/>
      <c r="S973" s="99" t="s">
        <v>11</v>
      </c>
      <c r="T973" s="107" t="s">
        <v>4</v>
      </c>
      <c r="U973" s="99" t="s">
        <v>14</v>
      </c>
      <c r="V973" s="99" t="s">
        <v>1965</v>
      </c>
      <c r="W973" s="99" t="s">
        <v>1967</v>
      </c>
    </row>
    <row r="974" spans="1:23" ht="18.600000000000001" customHeight="1">
      <c r="A974" s="123" t="str">
        <f>IF(priority(Main[[#This Row],[Comments]])&lt;&gt;0, priority(Main[[#This Row],[Comments]]),"")</f>
        <v/>
      </c>
      <c r="B974" s="127" t="s">
        <v>1838</v>
      </c>
      <c r="C974" s="99" t="s">
        <v>99</v>
      </c>
      <c r="D974" s="100" t="s">
        <v>856</v>
      </c>
      <c r="E974" s="101"/>
      <c r="F974" s="101">
        <v>40435</v>
      </c>
      <c r="G974" s="102" t="str">
        <f>IF(stdProdLT(Main[[#This Row],[Comments]])=0.1,"N/A",IF(stdProdLT(Main[[#This Row],[Comments]])=0,"",stdProdLT(Main[[#This Row],[Comments]])))</f>
        <v/>
      </c>
      <c r="H974" s="103" t="str">
        <f>IF(AND(Main[[#This Row],[In Stock Date]]&lt;&gt;"",Main[[#This Row],[Revised Due Date]]&lt;&gt;""),Main[[#This Row],[In Stock Date]]-Main[[#This Row],[Revised Due Date]],"")</f>
        <v/>
      </c>
      <c r="I974" s="99" t="s">
        <v>4</v>
      </c>
      <c r="J974" s="99" t="s">
        <v>28</v>
      </c>
      <c r="K974" s="99" t="s">
        <v>4</v>
      </c>
      <c r="L974" s="101"/>
      <c r="M974" s="104" t="str">
        <f>IF(Main[[#This Row],[Tech Start Date]]&lt;1/1/1990,"",IF(Main[[#This Row],[Class]]="C",WORKDAY(Main[[#This Row],[Tech Start Date]],9),IF(Main[[#This Row],[Class]]="B", WORKDAY(Main[[#This Row],[Tech Start Date]],6),IF(Main[[#This Row],[Class]]="A",WORKDAY(Main[[#This Row],[Tech Start Date]],2),""))))</f>
        <v/>
      </c>
      <c r="N974" s="104" t="str">
        <f>IF(Main[[#This Row],[Tech Start Date]]&lt;1/1/1990,"",IF(Main[[#This Row],[Class]]="C",WORKDAY(Main[[#This Row],[Tech Start Date]],19),IF(Main[[#This Row],[Class]]="B", WORKDAY(Main[[#This Row],[Tech Start Date]],12),IF(Main[[#This Row],[Class]]="A",WORKDAY(Main[[#This Row],[Tech Start Date]],4),""))))</f>
        <v/>
      </c>
      <c r="O974" s="104" t="str">
        <f>IF(Main[[#This Row],[Tech Start Date]]&lt;1/1/1990,"",IF(Main[[#This Row],[Class]]="C",WORKDAY(Main[[#This Row],[Tech Start Date]],23),IF(Main[[#This Row],[Class]]="B", WORKDAY(Main[[#This Row],[Tech Start Date]],15),IF(Main[[#This Row],[Class]]="A",WORKDAY(Main[[#This Row],[Tech Start Date]],5),""))))</f>
        <v/>
      </c>
      <c r="P974" s="104" t="str">
        <f>IF(Main[[#This Row],[Tech Start Date]]&lt;1/1/1990,"",IF(Main[[#This Row],[Class]]="C",WORKDAY(Main[[#This Row],[Tech Start Date]],28),IF(Main[[#This Row],[Class]]="B", WORKDAY(Main[[#This Row],[Tech Start Date]],19),IF(Main[[#This Row],[Class]]="A",WORKDAY(Main[[#This Row],[Tech Start Date]],9),""))))</f>
        <v/>
      </c>
      <c r="Q974" s="101">
        <v>40435</v>
      </c>
      <c r="R974" s="101"/>
      <c r="S974" s="99" t="s">
        <v>11</v>
      </c>
      <c r="T974" s="107" t="s">
        <v>4</v>
      </c>
      <c r="U974" s="99" t="s">
        <v>14</v>
      </c>
      <c r="V974" s="99" t="s">
        <v>1965</v>
      </c>
      <c r="W974" s="99" t="s">
        <v>1967</v>
      </c>
    </row>
    <row r="975" spans="1:23" ht="18.600000000000001" customHeight="1">
      <c r="A975" s="123" t="str">
        <f>IF(priority(Main[[#This Row],[Comments]])&lt;&gt;0, priority(Main[[#This Row],[Comments]]),"")</f>
        <v/>
      </c>
      <c r="B975" s="127" t="s">
        <v>1057</v>
      </c>
      <c r="C975" s="99" t="s">
        <v>4</v>
      </c>
      <c r="D975" s="100" t="s">
        <v>3082</v>
      </c>
      <c r="E975" s="101">
        <v>40294.37054398148</v>
      </c>
      <c r="F975" s="101"/>
      <c r="G975" s="102" t="str">
        <f>IF(stdProdLT(Main[[#This Row],[Comments]])=0.1,"N/A",IF(stdProdLT(Main[[#This Row],[Comments]])=0,"",stdProdLT(Main[[#This Row],[Comments]])))</f>
        <v/>
      </c>
      <c r="H975" s="103" t="str">
        <f>IF(AND(Main[[#This Row],[In Stock Date]]&lt;&gt;"",Main[[#This Row],[Revised Due Date]]&lt;&gt;""),Main[[#This Row],[In Stock Date]]-Main[[#This Row],[Revised Due Date]],"")</f>
        <v/>
      </c>
      <c r="I975" s="99" t="s">
        <v>2280</v>
      </c>
      <c r="J975" s="99" t="s">
        <v>75</v>
      </c>
      <c r="K975" s="99" t="s">
        <v>1971</v>
      </c>
      <c r="L975" s="101"/>
      <c r="M975" s="104" t="str">
        <f>IF(Main[[#This Row],[Tech Start Date]]&lt;1/1/1990,"",IF(Main[[#This Row],[Class]]="C",WORKDAY(Main[[#This Row],[Tech Start Date]],9),IF(Main[[#This Row],[Class]]="B", WORKDAY(Main[[#This Row],[Tech Start Date]],6),IF(Main[[#This Row],[Class]]="A",WORKDAY(Main[[#This Row],[Tech Start Date]],2),""))))</f>
        <v/>
      </c>
      <c r="N975" s="104" t="str">
        <f>IF(Main[[#This Row],[Tech Start Date]]&lt;1/1/1990,"",IF(Main[[#This Row],[Class]]="C",WORKDAY(Main[[#This Row],[Tech Start Date]],19),IF(Main[[#This Row],[Class]]="B", WORKDAY(Main[[#This Row],[Tech Start Date]],12),IF(Main[[#This Row],[Class]]="A",WORKDAY(Main[[#This Row],[Tech Start Date]],4),""))))</f>
        <v/>
      </c>
      <c r="O975" s="104" t="str">
        <f>IF(Main[[#This Row],[Tech Start Date]]&lt;1/1/1990,"",IF(Main[[#This Row],[Class]]="C",WORKDAY(Main[[#This Row],[Tech Start Date]],23),IF(Main[[#This Row],[Class]]="B", WORKDAY(Main[[#This Row],[Tech Start Date]],15),IF(Main[[#This Row],[Class]]="A",WORKDAY(Main[[#This Row],[Tech Start Date]],5),""))))</f>
        <v/>
      </c>
      <c r="P975" s="104" t="str">
        <f>IF(Main[[#This Row],[Tech Start Date]]&lt;1/1/1990,"",IF(Main[[#This Row],[Class]]="C",WORKDAY(Main[[#This Row],[Tech Start Date]],28),IF(Main[[#This Row],[Class]]="B", WORKDAY(Main[[#This Row],[Tech Start Date]],19),IF(Main[[#This Row],[Class]]="A",WORKDAY(Main[[#This Row],[Tech Start Date]],9),""))))</f>
        <v/>
      </c>
      <c r="Q975" s="101">
        <v>40909</v>
      </c>
      <c r="R975" s="101"/>
      <c r="S975" s="99" t="s">
        <v>6</v>
      </c>
      <c r="T975" s="107" t="s">
        <v>4</v>
      </c>
      <c r="U975" s="99" t="s">
        <v>29</v>
      </c>
      <c r="V975" s="99" t="s">
        <v>1965</v>
      </c>
      <c r="W975" s="99" t="s">
        <v>1966</v>
      </c>
    </row>
    <row r="976" spans="1:23" ht="18.600000000000001" customHeight="1">
      <c r="A976" s="123" t="str">
        <f>IF(priority(Main[[#This Row],[Comments]])&lt;&gt;0, priority(Main[[#This Row],[Comments]]),"")</f>
        <v/>
      </c>
      <c r="B976" s="127" t="s">
        <v>1824</v>
      </c>
      <c r="C976" s="99" t="s">
        <v>841</v>
      </c>
      <c r="D976" s="100" t="s">
        <v>842</v>
      </c>
      <c r="E976" s="101"/>
      <c r="F976" s="101"/>
      <c r="G976" s="102" t="str">
        <f>IF(stdProdLT(Main[[#This Row],[Comments]])=0.1,"N/A",IF(stdProdLT(Main[[#This Row],[Comments]])=0,"",stdProdLT(Main[[#This Row],[Comments]])))</f>
        <v/>
      </c>
      <c r="H976" s="103" t="str">
        <f>IF(AND(Main[[#This Row],[In Stock Date]]&lt;&gt;"",Main[[#This Row],[Revised Due Date]]&lt;&gt;""),Main[[#This Row],[In Stock Date]]-Main[[#This Row],[Revised Due Date]],"")</f>
        <v/>
      </c>
      <c r="I976" s="99" t="s">
        <v>4</v>
      </c>
      <c r="J976" s="99" t="s">
        <v>4</v>
      </c>
      <c r="K976" s="99" t="s">
        <v>4</v>
      </c>
      <c r="L976" s="101"/>
      <c r="M976" s="104" t="str">
        <f>IF(Main[[#This Row],[Tech Start Date]]&lt;1/1/1990,"",IF(Main[[#This Row],[Class]]="C",WORKDAY(Main[[#This Row],[Tech Start Date]],9),IF(Main[[#This Row],[Class]]="B", WORKDAY(Main[[#This Row],[Tech Start Date]],6),IF(Main[[#This Row],[Class]]="A",WORKDAY(Main[[#This Row],[Tech Start Date]],2),""))))</f>
        <v/>
      </c>
      <c r="N976" s="104" t="str">
        <f>IF(Main[[#This Row],[Tech Start Date]]&lt;1/1/1990,"",IF(Main[[#This Row],[Class]]="C",WORKDAY(Main[[#This Row],[Tech Start Date]],19),IF(Main[[#This Row],[Class]]="B", WORKDAY(Main[[#This Row],[Tech Start Date]],12),IF(Main[[#This Row],[Class]]="A",WORKDAY(Main[[#This Row],[Tech Start Date]],4),""))))</f>
        <v/>
      </c>
      <c r="O976" s="104" t="str">
        <f>IF(Main[[#This Row],[Tech Start Date]]&lt;1/1/1990,"",IF(Main[[#This Row],[Class]]="C",WORKDAY(Main[[#This Row],[Tech Start Date]],23),IF(Main[[#This Row],[Class]]="B", WORKDAY(Main[[#This Row],[Tech Start Date]],15),IF(Main[[#This Row],[Class]]="A",WORKDAY(Main[[#This Row],[Tech Start Date]],5),""))))</f>
        <v/>
      </c>
      <c r="P976" s="104" t="str">
        <f>IF(Main[[#This Row],[Tech Start Date]]&lt;1/1/1990,"",IF(Main[[#This Row],[Class]]="C",WORKDAY(Main[[#This Row],[Tech Start Date]],28),IF(Main[[#This Row],[Class]]="B", WORKDAY(Main[[#This Row],[Tech Start Date]],19),IF(Main[[#This Row],[Class]]="A",WORKDAY(Main[[#This Row],[Tech Start Date]],9),""))))</f>
        <v/>
      </c>
      <c r="Q976" s="101"/>
      <c r="R976" s="101"/>
      <c r="S976" s="99" t="s">
        <v>11</v>
      </c>
      <c r="T976" s="107" t="s">
        <v>4</v>
      </c>
      <c r="U976" s="99" t="s">
        <v>14</v>
      </c>
      <c r="V976" s="99" t="s">
        <v>1963</v>
      </c>
      <c r="W976" s="99" t="s">
        <v>1967</v>
      </c>
    </row>
    <row r="977" spans="1:23" ht="18.600000000000001" customHeight="1">
      <c r="A977" s="123" t="str">
        <f>IF(priority(Main[[#This Row],[Comments]])&lt;&gt;0, priority(Main[[#This Row],[Comments]]),"")</f>
        <v/>
      </c>
      <c r="B977" s="127" t="s">
        <v>2190</v>
      </c>
      <c r="C977" s="99" t="s">
        <v>4</v>
      </c>
      <c r="D977" s="100" t="s">
        <v>2191</v>
      </c>
      <c r="E977" s="101">
        <v>40760.662685185183</v>
      </c>
      <c r="F977" s="101"/>
      <c r="G977" s="102" t="str">
        <f>IF(stdProdLT(Main[[#This Row],[Comments]])=0.1,"N/A",IF(stdProdLT(Main[[#This Row],[Comments]])=0,"",stdProdLT(Main[[#This Row],[Comments]])))</f>
        <v/>
      </c>
      <c r="H977" s="103" t="str">
        <f>IF(AND(Main[[#This Row],[In Stock Date]]&lt;&gt;"",Main[[#This Row],[Revised Due Date]]&lt;&gt;""),Main[[#This Row],[In Stock Date]]-Main[[#This Row],[Revised Due Date]],"")</f>
        <v/>
      </c>
      <c r="I977" s="99" t="s">
        <v>4</v>
      </c>
      <c r="J977" s="99" t="s">
        <v>4</v>
      </c>
      <c r="K977" s="99" t="s">
        <v>4</v>
      </c>
      <c r="L977" s="101"/>
      <c r="M977" s="104" t="str">
        <f>IF(Main[[#This Row],[Tech Start Date]]&lt;1/1/1990,"",IF(Main[[#This Row],[Class]]="C",WORKDAY(Main[[#This Row],[Tech Start Date]],9),IF(Main[[#This Row],[Class]]="B", WORKDAY(Main[[#This Row],[Tech Start Date]],6),IF(Main[[#This Row],[Class]]="A",WORKDAY(Main[[#This Row],[Tech Start Date]],2),""))))</f>
        <v/>
      </c>
      <c r="N977" s="104" t="str">
        <f>IF(Main[[#This Row],[Tech Start Date]]&lt;1/1/1990,"",IF(Main[[#This Row],[Class]]="C",WORKDAY(Main[[#This Row],[Tech Start Date]],19),IF(Main[[#This Row],[Class]]="B", WORKDAY(Main[[#This Row],[Tech Start Date]],12),IF(Main[[#This Row],[Class]]="A",WORKDAY(Main[[#This Row],[Tech Start Date]],4),""))))</f>
        <v/>
      </c>
      <c r="O977" s="104" t="str">
        <f>IF(Main[[#This Row],[Tech Start Date]]&lt;1/1/1990,"",IF(Main[[#This Row],[Class]]="C",WORKDAY(Main[[#This Row],[Tech Start Date]],23),IF(Main[[#This Row],[Class]]="B", WORKDAY(Main[[#This Row],[Tech Start Date]],15),IF(Main[[#This Row],[Class]]="A",WORKDAY(Main[[#This Row],[Tech Start Date]],5),""))))</f>
        <v/>
      </c>
      <c r="P977" s="104" t="str">
        <f>IF(Main[[#This Row],[Tech Start Date]]&lt;1/1/1990,"",IF(Main[[#This Row],[Class]]="C",WORKDAY(Main[[#This Row],[Tech Start Date]],28),IF(Main[[#This Row],[Class]]="B", WORKDAY(Main[[#This Row],[Tech Start Date]],19),IF(Main[[#This Row],[Class]]="A",WORKDAY(Main[[#This Row],[Tech Start Date]],9),""))))</f>
        <v/>
      </c>
      <c r="Q977" s="101"/>
      <c r="R977" s="101"/>
      <c r="S977" s="99" t="s">
        <v>6</v>
      </c>
      <c r="T977" s="107" t="s">
        <v>4</v>
      </c>
      <c r="U977" s="99" t="s">
        <v>7</v>
      </c>
      <c r="V977" s="99" t="s">
        <v>1962</v>
      </c>
      <c r="W977" s="99" t="s">
        <v>4</v>
      </c>
    </row>
    <row r="978" spans="1:23" ht="18.600000000000001" customHeight="1">
      <c r="A978" s="123" t="str">
        <f>IF(priority(Main[[#This Row],[Comments]])&lt;&gt;0, priority(Main[[#This Row],[Comments]]),"")</f>
        <v/>
      </c>
      <c r="B978" s="127" t="s">
        <v>1767</v>
      </c>
      <c r="C978" s="99" t="s">
        <v>4</v>
      </c>
      <c r="D978" s="100" t="s">
        <v>796</v>
      </c>
      <c r="E978" s="101">
        <v>40584.407268518517</v>
      </c>
      <c r="F978" s="101"/>
      <c r="G978" s="102" t="str">
        <f>IF(stdProdLT(Main[[#This Row],[Comments]])=0.1,"N/A",IF(stdProdLT(Main[[#This Row],[Comments]])=0,"",stdProdLT(Main[[#This Row],[Comments]])))</f>
        <v/>
      </c>
      <c r="H978" s="103" t="str">
        <f>IF(AND(Main[[#This Row],[In Stock Date]]&lt;&gt;"",Main[[#This Row],[Revised Due Date]]&lt;&gt;""),Main[[#This Row],[In Stock Date]]-Main[[#This Row],[Revised Due Date]],"")</f>
        <v/>
      </c>
      <c r="I978" s="99" t="s">
        <v>4</v>
      </c>
      <c r="J978" s="99" t="s">
        <v>4</v>
      </c>
      <c r="K978" s="99" t="s">
        <v>4</v>
      </c>
      <c r="L978" s="101"/>
      <c r="M978" s="104" t="str">
        <f>IF(Main[[#This Row],[Tech Start Date]]&lt;1/1/1990,"",IF(Main[[#This Row],[Class]]="C",WORKDAY(Main[[#This Row],[Tech Start Date]],9),IF(Main[[#This Row],[Class]]="B", WORKDAY(Main[[#This Row],[Tech Start Date]],6),IF(Main[[#This Row],[Class]]="A",WORKDAY(Main[[#This Row],[Tech Start Date]],2),""))))</f>
        <v/>
      </c>
      <c r="N978" s="104" t="str">
        <f>IF(Main[[#This Row],[Tech Start Date]]&lt;1/1/1990,"",IF(Main[[#This Row],[Class]]="C",WORKDAY(Main[[#This Row],[Tech Start Date]],19),IF(Main[[#This Row],[Class]]="B", WORKDAY(Main[[#This Row],[Tech Start Date]],12),IF(Main[[#This Row],[Class]]="A",WORKDAY(Main[[#This Row],[Tech Start Date]],4),""))))</f>
        <v/>
      </c>
      <c r="O978" s="104" t="str">
        <f>IF(Main[[#This Row],[Tech Start Date]]&lt;1/1/1990,"",IF(Main[[#This Row],[Class]]="C",WORKDAY(Main[[#This Row],[Tech Start Date]],23),IF(Main[[#This Row],[Class]]="B", WORKDAY(Main[[#This Row],[Tech Start Date]],15),IF(Main[[#This Row],[Class]]="A",WORKDAY(Main[[#This Row],[Tech Start Date]],5),""))))</f>
        <v/>
      </c>
      <c r="P978" s="104" t="str">
        <f>IF(Main[[#This Row],[Tech Start Date]]&lt;1/1/1990,"",IF(Main[[#This Row],[Class]]="C",WORKDAY(Main[[#This Row],[Tech Start Date]],28),IF(Main[[#This Row],[Class]]="B", WORKDAY(Main[[#This Row],[Tech Start Date]],19),IF(Main[[#This Row],[Class]]="A",WORKDAY(Main[[#This Row],[Tech Start Date]],9),""))))</f>
        <v/>
      </c>
      <c r="Q978" s="101">
        <v>40602</v>
      </c>
      <c r="R978" s="101"/>
      <c r="S978" s="99" t="s">
        <v>17</v>
      </c>
      <c r="T978" s="107" t="s">
        <v>4</v>
      </c>
      <c r="U978" s="99" t="s">
        <v>7</v>
      </c>
      <c r="V978" s="99" t="s">
        <v>1962</v>
      </c>
      <c r="W978" s="99" t="s">
        <v>1970</v>
      </c>
    </row>
    <row r="979" spans="1:23" ht="18.600000000000001" customHeight="1">
      <c r="A979" s="123" t="str">
        <f>IF(priority(Main[[#This Row],[Comments]])&lt;&gt;0, priority(Main[[#This Row],[Comments]]),"")</f>
        <v/>
      </c>
      <c r="B979" s="127" t="s">
        <v>1826</v>
      </c>
      <c r="C979" s="99" t="s">
        <v>4</v>
      </c>
      <c r="D979" s="100" t="s">
        <v>844</v>
      </c>
      <c r="E979" s="101"/>
      <c r="F979" s="101"/>
      <c r="G979" s="102" t="str">
        <f>IF(stdProdLT(Main[[#This Row],[Comments]])=0.1,"N/A",IF(stdProdLT(Main[[#This Row],[Comments]])=0,"",stdProdLT(Main[[#This Row],[Comments]])))</f>
        <v/>
      </c>
      <c r="H979" s="103" t="str">
        <f>IF(AND(Main[[#This Row],[In Stock Date]]&lt;&gt;"",Main[[#This Row],[Revised Due Date]]&lt;&gt;""),Main[[#This Row],[In Stock Date]]-Main[[#This Row],[Revised Due Date]],"")</f>
        <v/>
      </c>
      <c r="I979" s="99" t="s">
        <v>4</v>
      </c>
      <c r="J979" s="99" t="s">
        <v>4</v>
      </c>
      <c r="K979" s="99" t="s">
        <v>4</v>
      </c>
      <c r="L979" s="101"/>
      <c r="M979" s="104" t="str">
        <f>IF(Main[[#This Row],[Tech Start Date]]&lt;1/1/1990,"",IF(Main[[#This Row],[Class]]="C",WORKDAY(Main[[#This Row],[Tech Start Date]],9),IF(Main[[#This Row],[Class]]="B", WORKDAY(Main[[#This Row],[Tech Start Date]],6),IF(Main[[#This Row],[Class]]="A",WORKDAY(Main[[#This Row],[Tech Start Date]],2),""))))</f>
        <v/>
      </c>
      <c r="N979" s="104" t="str">
        <f>IF(Main[[#This Row],[Tech Start Date]]&lt;1/1/1990,"",IF(Main[[#This Row],[Class]]="C",WORKDAY(Main[[#This Row],[Tech Start Date]],19),IF(Main[[#This Row],[Class]]="B", WORKDAY(Main[[#This Row],[Tech Start Date]],12),IF(Main[[#This Row],[Class]]="A",WORKDAY(Main[[#This Row],[Tech Start Date]],4),""))))</f>
        <v/>
      </c>
      <c r="O979" s="104" t="str">
        <f>IF(Main[[#This Row],[Tech Start Date]]&lt;1/1/1990,"",IF(Main[[#This Row],[Class]]="C",WORKDAY(Main[[#This Row],[Tech Start Date]],23),IF(Main[[#This Row],[Class]]="B", WORKDAY(Main[[#This Row],[Tech Start Date]],15),IF(Main[[#This Row],[Class]]="A",WORKDAY(Main[[#This Row],[Tech Start Date]],5),""))))</f>
        <v/>
      </c>
      <c r="P979" s="104" t="str">
        <f>IF(Main[[#This Row],[Tech Start Date]]&lt;1/1/1990,"",IF(Main[[#This Row],[Class]]="C",WORKDAY(Main[[#This Row],[Tech Start Date]],28),IF(Main[[#This Row],[Class]]="B", WORKDAY(Main[[#This Row],[Tech Start Date]],19),IF(Main[[#This Row],[Class]]="A",WORKDAY(Main[[#This Row],[Tech Start Date]],9),""))))</f>
        <v/>
      </c>
      <c r="Q979" s="101"/>
      <c r="R979" s="101"/>
      <c r="S979" s="99" t="s">
        <v>23</v>
      </c>
      <c r="T979" s="107" t="s">
        <v>4</v>
      </c>
      <c r="U979" s="99" t="s">
        <v>14</v>
      </c>
      <c r="V979" s="99" t="s">
        <v>1962</v>
      </c>
      <c r="W979" s="99" t="s">
        <v>1966</v>
      </c>
    </row>
    <row r="980" spans="1:23" ht="18.600000000000001" customHeight="1">
      <c r="A980" s="123" t="str">
        <f>IF(priority(Main[[#This Row],[Comments]])&lt;&gt;0, priority(Main[[#This Row],[Comments]]),"")</f>
        <v/>
      </c>
      <c r="B980" s="127" t="s">
        <v>1846</v>
      </c>
      <c r="C980" s="99" t="s">
        <v>95</v>
      </c>
      <c r="D980" s="100" t="s">
        <v>867</v>
      </c>
      <c r="E980" s="101">
        <v>40060.34884259259</v>
      </c>
      <c r="F980" s="101">
        <v>40195</v>
      </c>
      <c r="G980" s="102" t="str">
        <f>IF(stdProdLT(Main[[#This Row],[Comments]])=0.1,"N/A",IF(stdProdLT(Main[[#This Row],[Comments]])=0,"",stdProdLT(Main[[#This Row],[Comments]])))</f>
        <v/>
      </c>
      <c r="H980" s="103">
        <f>IF(AND(Main[[#This Row],[In Stock Date]]&lt;&gt;"",Main[[#This Row],[Revised Due Date]]&lt;&gt;""),Main[[#This Row],[In Stock Date]]-Main[[#This Row],[Revised Due Date]],"")</f>
        <v>17</v>
      </c>
      <c r="I980" s="99" t="s">
        <v>868</v>
      </c>
      <c r="J980" s="99" t="s">
        <v>4</v>
      </c>
      <c r="K980" s="99" t="s">
        <v>4</v>
      </c>
      <c r="L980" s="101"/>
      <c r="M980" s="104" t="str">
        <f>IF(Main[[#This Row],[Tech Start Date]]&lt;1/1/1990,"",IF(Main[[#This Row],[Class]]="C",WORKDAY(Main[[#This Row],[Tech Start Date]],9),IF(Main[[#This Row],[Class]]="B", WORKDAY(Main[[#This Row],[Tech Start Date]],6),IF(Main[[#This Row],[Class]]="A",WORKDAY(Main[[#This Row],[Tech Start Date]],2),""))))</f>
        <v/>
      </c>
      <c r="N980" s="104" t="str">
        <f>IF(Main[[#This Row],[Tech Start Date]]&lt;1/1/1990,"",IF(Main[[#This Row],[Class]]="C",WORKDAY(Main[[#This Row],[Tech Start Date]],19),IF(Main[[#This Row],[Class]]="B", WORKDAY(Main[[#This Row],[Tech Start Date]],12),IF(Main[[#This Row],[Class]]="A",WORKDAY(Main[[#This Row],[Tech Start Date]],4),""))))</f>
        <v/>
      </c>
      <c r="O980" s="104" t="str">
        <f>IF(Main[[#This Row],[Tech Start Date]]&lt;1/1/1990,"",IF(Main[[#This Row],[Class]]="C",WORKDAY(Main[[#This Row],[Tech Start Date]],23),IF(Main[[#This Row],[Class]]="B", WORKDAY(Main[[#This Row],[Tech Start Date]],15),IF(Main[[#This Row],[Class]]="A",WORKDAY(Main[[#This Row],[Tech Start Date]],5),""))))</f>
        <v/>
      </c>
      <c r="P980" s="104" t="str">
        <f>IF(Main[[#This Row],[Tech Start Date]]&lt;1/1/1990,"",IF(Main[[#This Row],[Class]]="C",WORKDAY(Main[[#This Row],[Tech Start Date]],28),IF(Main[[#This Row],[Class]]="B", WORKDAY(Main[[#This Row],[Tech Start Date]],19),IF(Main[[#This Row],[Class]]="A",WORKDAY(Main[[#This Row],[Tech Start Date]],9),""))))</f>
        <v/>
      </c>
      <c r="Q980" s="101">
        <v>40080</v>
      </c>
      <c r="R980" s="101">
        <v>40178</v>
      </c>
      <c r="S980" s="99" t="s">
        <v>17</v>
      </c>
      <c r="T980" s="107" t="s">
        <v>4</v>
      </c>
      <c r="U980" s="99" t="s">
        <v>29</v>
      </c>
      <c r="V980" s="99" t="s">
        <v>1965</v>
      </c>
      <c r="W980" s="99" t="s">
        <v>1970</v>
      </c>
    </row>
    <row r="981" spans="1:23" ht="18.600000000000001" customHeight="1">
      <c r="A981" s="123" t="str">
        <f>IF(priority(Main[[#This Row],[Comments]])&lt;&gt;0, priority(Main[[#This Row],[Comments]]),"")</f>
        <v/>
      </c>
      <c r="B981" s="127" t="s">
        <v>2192</v>
      </c>
      <c r="C981" s="99" t="s">
        <v>974</v>
      </c>
      <c r="D981" s="100" t="s">
        <v>2193</v>
      </c>
      <c r="E981" s="101"/>
      <c r="F981" s="101">
        <v>40871</v>
      </c>
      <c r="G981" s="102" t="str">
        <f>IF(stdProdLT(Main[[#This Row],[Comments]])=0.1,"N/A",IF(stdProdLT(Main[[#This Row],[Comments]])=0,"",stdProdLT(Main[[#This Row],[Comments]])))</f>
        <v/>
      </c>
      <c r="H981" s="103" t="str">
        <f>IF(AND(Main[[#This Row],[In Stock Date]]&lt;&gt;"",Main[[#This Row],[Revised Due Date]]&lt;&gt;""),Main[[#This Row],[In Stock Date]]-Main[[#This Row],[Revised Due Date]],"")</f>
        <v/>
      </c>
      <c r="I981" s="99" t="s">
        <v>404</v>
      </c>
      <c r="J981" s="99" t="s">
        <v>51</v>
      </c>
      <c r="K981" s="99" t="s">
        <v>1971</v>
      </c>
      <c r="L981" s="101"/>
      <c r="M981" s="104" t="str">
        <f>IF(Main[[#This Row],[Tech Start Date]]&lt;1/1/1990,"",IF(Main[[#This Row],[Class]]="C",WORKDAY(Main[[#This Row],[Tech Start Date]],9),IF(Main[[#This Row],[Class]]="B", WORKDAY(Main[[#This Row],[Tech Start Date]],6),IF(Main[[#This Row],[Class]]="A",WORKDAY(Main[[#This Row],[Tech Start Date]],2),""))))</f>
        <v/>
      </c>
      <c r="N981" s="104" t="str">
        <f>IF(Main[[#This Row],[Tech Start Date]]&lt;1/1/1990,"",IF(Main[[#This Row],[Class]]="C",WORKDAY(Main[[#This Row],[Tech Start Date]],19),IF(Main[[#This Row],[Class]]="B", WORKDAY(Main[[#This Row],[Tech Start Date]],12),IF(Main[[#This Row],[Class]]="A",WORKDAY(Main[[#This Row],[Tech Start Date]],4),""))))</f>
        <v/>
      </c>
      <c r="O981" s="104" t="str">
        <f>IF(Main[[#This Row],[Tech Start Date]]&lt;1/1/1990,"",IF(Main[[#This Row],[Class]]="C",WORKDAY(Main[[#This Row],[Tech Start Date]],23),IF(Main[[#This Row],[Class]]="B", WORKDAY(Main[[#This Row],[Tech Start Date]],15),IF(Main[[#This Row],[Class]]="A",WORKDAY(Main[[#This Row],[Tech Start Date]],5),""))))</f>
        <v/>
      </c>
      <c r="P981" s="104" t="str">
        <f>IF(Main[[#This Row],[Tech Start Date]]&lt;1/1/1990,"",IF(Main[[#This Row],[Class]]="C",WORKDAY(Main[[#This Row],[Tech Start Date]],28),IF(Main[[#This Row],[Class]]="B", WORKDAY(Main[[#This Row],[Tech Start Date]],19),IF(Main[[#This Row],[Class]]="A",WORKDAY(Main[[#This Row],[Tech Start Date]],9),""))))</f>
        <v/>
      </c>
      <c r="Q981" s="101"/>
      <c r="R981" s="101"/>
      <c r="S981" s="99" t="s">
        <v>11</v>
      </c>
      <c r="T981" s="107" t="s">
        <v>4</v>
      </c>
      <c r="U981" s="99" t="s">
        <v>14</v>
      </c>
      <c r="V981" s="99" t="s">
        <v>1962</v>
      </c>
      <c r="W981" s="99" t="s">
        <v>1968</v>
      </c>
    </row>
    <row r="982" spans="1:23" ht="18.600000000000001" customHeight="1">
      <c r="A982" s="123" t="str">
        <f>IF(priority(Main[[#This Row],[Comments]])&lt;&gt;0, priority(Main[[#This Row],[Comments]]),"")</f>
        <v/>
      </c>
      <c r="B982" s="127" t="s">
        <v>2194</v>
      </c>
      <c r="C982" s="99" t="s">
        <v>974</v>
      </c>
      <c r="D982" s="100" t="s">
        <v>2195</v>
      </c>
      <c r="E982" s="101"/>
      <c r="F982" s="101">
        <v>40871</v>
      </c>
      <c r="G982" s="102" t="str">
        <f>IF(stdProdLT(Main[[#This Row],[Comments]])=0.1,"N/A",IF(stdProdLT(Main[[#This Row],[Comments]])=0,"",stdProdLT(Main[[#This Row],[Comments]])))</f>
        <v/>
      </c>
      <c r="H982" s="103" t="str">
        <f>IF(AND(Main[[#This Row],[In Stock Date]]&lt;&gt;"",Main[[#This Row],[Revised Due Date]]&lt;&gt;""),Main[[#This Row],[In Stock Date]]-Main[[#This Row],[Revised Due Date]],"")</f>
        <v/>
      </c>
      <c r="I982" s="99" t="s">
        <v>4</v>
      </c>
      <c r="J982" s="99" t="s">
        <v>4</v>
      </c>
      <c r="K982" s="108" t="s">
        <v>4</v>
      </c>
      <c r="L982" s="101"/>
      <c r="M982" s="104" t="str">
        <f>IF(Main[[#This Row],[Tech Start Date]]&lt;1/1/1990,"",IF(Main[[#This Row],[Class]]="C",WORKDAY(Main[[#This Row],[Tech Start Date]],9),IF(Main[[#This Row],[Class]]="B", WORKDAY(Main[[#This Row],[Tech Start Date]],6),IF(Main[[#This Row],[Class]]="A",WORKDAY(Main[[#This Row],[Tech Start Date]],2),""))))</f>
        <v/>
      </c>
      <c r="N982" s="104" t="str">
        <f>IF(Main[[#This Row],[Tech Start Date]]&lt;1/1/1990,"",IF(Main[[#This Row],[Class]]="C",WORKDAY(Main[[#This Row],[Tech Start Date]],19),IF(Main[[#This Row],[Class]]="B", WORKDAY(Main[[#This Row],[Tech Start Date]],12),IF(Main[[#This Row],[Class]]="A",WORKDAY(Main[[#This Row],[Tech Start Date]],4),""))))</f>
        <v/>
      </c>
      <c r="O982" s="104" t="str">
        <f>IF(Main[[#This Row],[Tech Start Date]]&lt;1/1/1990,"",IF(Main[[#This Row],[Class]]="C",WORKDAY(Main[[#This Row],[Tech Start Date]],23),IF(Main[[#This Row],[Class]]="B", WORKDAY(Main[[#This Row],[Tech Start Date]],15),IF(Main[[#This Row],[Class]]="A",WORKDAY(Main[[#This Row],[Tech Start Date]],5),""))))</f>
        <v/>
      </c>
      <c r="P982" s="104" t="str">
        <f>IF(Main[[#This Row],[Tech Start Date]]&lt;1/1/1990,"",IF(Main[[#This Row],[Class]]="C",WORKDAY(Main[[#This Row],[Tech Start Date]],28),IF(Main[[#This Row],[Class]]="B", WORKDAY(Main[[#This Row],[Tech Start Date]],19),IF(Main[[#This Row],[Class]]="A",WORKDAY(Main[[#This Row],[Tech Start Date]],9),""))))</f>
        <v/>
      </c>
      <c r="Q982" s="101"/>
      <c r="R982" s="101"/>
      <c r="S982" s="99" t="s">
        <v>11</v>
      </c>
      <c r="T982" s="107" t="s">
        <v>4</v>
      </c>
      <c r="U982" s="99" t="s">
        <v>14</v>
      </c>
      <c r="V982" s="99" t="s">
        <v>1965</v>
      </c>
      <c r="W982" s="99" t="s">
        <v>1970</v>
      </c>
    </row>
    <row r="983" spans="1:23" ht="18.600000000000001" customHeight="1">
      <c r="A983" s="123" t="str">
        <f>IF(priority(Main[[#This Row],[Comments]])&lt;&gt;0, priority(Main[[#This Row],[Comments]]),"")</f>
        <v/>
      </c>
      <c r="B983" s="127" t="s">
        <v>2685</v>
      </c>
      <c r="C983" s="99" t="s">
        <v>47</v>
      </c>
      <c r="D983" s="100" t="s">
        <v>2686</v>
      </c>
      <c r="E983" s="101">
        <v>40857.653622685182</v>
      </c>
      <c r="F983" s="101"/>
      <c r="G983" s="102" t="str">
        <f>IF(stdProdLT(Main[[#This Row],[Comments]])=0.1,"N/A",IF(stdProdLT(Main[[#This Row],[Comments]])=0,"",stdProdLT(Main[[#This Row],[Comments]])))</f>
        <v/>
      </c>
      <c r="H983" s="103" t="str">
        <f>IF(AND(Main[[#This Row],[In Stock Date]]&lt;&gt;"",Main[[#This Row],[Revised Due Date]]&lt;&gt;""),Main[[#This Row],[In Stock Date]]-Main[[#This Row],[Revised Due Date]],"")</f>
        <v/>
      </c>
      <c r="I983" s="99" t="s">
        <v>4</v>
      </c>
      <c r="J983" s="99" t="s">
        <v>4</v>
      </c>
      <c r="K983" s="99" t="s">
        <v>4</v>
      </c>
      <c r="L983" s="101"/>
      <c r="M983" s="104" t="str">
        <f>IF(Main[[#This Row],[Tech Start Date]]&lt;1/1/1990,"",IF(Main[[#This Row],[Class]]="C",WORKDAY(Main[[#This Row],[Tech Start Date]],9),IF(Main[[#This Row],[Class]]="B", WORKDAY(Main[[#This Row],[Tech Start Date]],6),IF(Main[[#This Row],[Class]]="A",WORKDAY(Main[[#This Row],[Tech Start Date]],2),""))))</f>
        <v/>
      </c>
      <c r="N983" s="104" t="str">
        <f>IF(Main[[#This Row],[Tech Start Date]]&lt;1/1/1990,"",IF(Main[[#This Row],[Class]]="C",WORKDAY(Main[[#This Row],[Tech Start Date]],19),IF(Main[[#This Row],[Class]]="B", WORKDAY(Main[[#This Row],[Tech Start Date]],12),IF(Main[[#This Row],[Class]]="A",WORKDAY(Main[[#This Row],[Tech Start Date]],4),""))))</f>
        <v/>
      </c>
      <c r="O983" s="104" t="str">
        <f>IF(Main[[#This Row],[Tech Start Date]]&lt;1/1/1990,"",IF(Main[[#This Row],[Class]]="C",WORKDAY(Main[[#This Row],[Tech Start Date]],23),IF(Main[[#This Row],[Class]]="B", WORKDAY(Main[[#This Row],[Tech Start Date]],15),IF(Main[[#This Row],[Class]]="A",WORKDAY(Main[[#This Row],[Tech Start Date]],5),""))))</f>
        <v/>
      </c>
      <c r="P983" s="104" t="str">
        <f>IF(Main[[#This Row],[Tech Start Date]]&lt;1/1/1990,"",IF(Main[[#This Row],[Class]]="C",WORKDAY(Main[[#This Row],[Tech Start Date]],28),IF(Main[[#This Row],[Class]]="B", WORKDAY(Main[[#This Row],[Tech Start Date]],19),IF(Main[[#This Row],[Class]]="A",WORKDAY(Main[[#This Row],[Tech Start Date]],9),""))))</f>
        <v/>
      </c>
      <c r="Q983" s="101">
        <v>40892</v>
      </c>
      <c r="R983" s="101"/>
      <c r="S983" s="99" t="s">
        <v>6</v>
      </c>
      <c r="T983" s="107" t="s">
        <v>4</v>
      </c>
      <c r="U983" s="99" t="s">
        <v>29</v>
      </c>
      <c r="V983" s="99" t="s">
        <v>2362</v>
      </c>
      <c r="W983" s="99" t="s">
        <v>4</v>
      </c>
    </row>
    <row r="984" spans="1:23" ht="18.600000000000001" customHeight="1">
      <c r="A984" s="123" t="str">
        <f>IF(priority(Main[[#This Row],[Comments]])&lt;&gt;0, priority(Main[[#This Row],[Comments]]),"")</f>
        <v/>
      </c>
      <c r="B984" s="127" t="s">
        <v>2178</v>
      </c>
      <c r="C984" s="99" t="s">
        <v>4</v>
      </c>
      <c r="D984" s="100" t="s">
        <v>2179</v>
      </c>
      <c r="E984" s="101"/>
      <c r="F984" s="101"/>
      <c r="G984" s="102" t="str">
        <f>IF(stdProdLT(Main[[#This Row],[Comments]])=0.1,"N/A",IF(stdProdLT(Main[[#This Row],[Comments]])=0,"",stdProdLT(Main[[#This Row],[Comments]])))</f>
        <v/>
      </c>
      <c r="H984" s="103" t="str">
        <f>IF(AND(Main[[#This Row],[In Stock Date]]&lt;&gt;"",Main[[#This Row],[Revised Due Date]]&lt;&gt;""),Main[[#This Row],[In Stock Date]]-Main[[#This Row],[Revised Due Date]],"")</f>
        <v/>
      </c>
      <c r="I984" s="99" t="s">
        <v>69</v>
      </c>
      <c r="J984" s="99" t="s">
        <v>70</v>
      </c>
      <c r="K984" s="99" t="s">
        <v>1971</v>
      </c>
      <c r="L984" s="101"/>
      <c r="M984" s="104" t="str">
        <f>IF(Main[[#This Row],[Tech Start Date]]&lt;1/1/1990,"",IF(Main[[#This Row],[Class]]="C",WORKDAY(Main[[#This Row],[Tech Start Date]],9),IF(Main[[#This Row],[Class]]="B", WORKDAY(Main[[#This Row],[Tech Start Date]],6),IF(Main[[#This Row],[Class]]="A",WORKDAY(Main[[#This Row],[Tech Start Date]],2),""))))</f>
        <v/>
      </c>
      <c r="N984" s="104" t="str">
        <f>IF(Main[[#This Row],[Tech Start Date]]&lt;1/1/1990,"",IF(Main[[#This Row],[Class]]="C",WORKDAY(Main[[#This Row],[Tech Start Date]],19),IF(Main[[#This Row],[Class]]="B", WORKDAY(Main[[#This Row],[Tech Start Date]],12),IF(Main[[#This Row],[Class]]="A",WORKDAY(Main[[#This Row],[Tech Start Date]],4),""))))</f>
        <v/>
      </c>
      <c r="O984" s="104" t="str">
        <f>IF(Main[[#This Row],[Tech Start Date]]&lt;1/1/1990,"",IF(Main[[#This Row],[Class]]="C",WORKDAY(Main[[#This Row],[Tech Start Date]],23),IF(Main[[#This Row],[Class]]="B", WORKDAY(Main[[#This Row],[Tech Start Date]],15),IF(Main[[#This Row],[Class]]="A",WORKDAY(Main[[#This Row],[Tech Start Date]],5),""))))</f>
        <v/>
      </c>
      <c r="P984" s="104" t="str">
        <f>IF(Main[[#This Row],[Tech Start Date]]&lt;1/1/1990,"",IF(Main[[#This Row],[Class]]="C",WORKDAY(Main[[#This Row],[Tech Start Date]],28),IF(Main[[#This Row],[Class]]="B", WORKDAY(Main[[#This Row],[Tech Start Date]],19),IF(Main[[#This Row],[Class]]="A",WORKDAY(Main[[#This Row],[Tech Start Date]],9),""))))</f>
        <v/>
      </c>
      <c r="Q984" s="101">
        <v>40816</v>
      </c>
      <c r="R984" s="101"/>
      <c r="S984" s="99" t="s">
        <v>6</v>
      </c>
      <c r="T984" s="107" t="s">
        <v>4</v>
      </c>
      <c r="U984" s="99" t="s">
        <v>14</v>
      </c>
      <c r="V984" s="99" t="s">
        <v>1965</v>
      </c>
      <c r="W984" s="99" t="s">
        <v>1966</v>
      </c>
    </row>
    <row r="985" spans="1:23" ht="18.600000000000001" customHeight="1">
      <c r="A985" s="123" t="str">
        <f>IF(priority(Main[[#This Row],[Comments]])&lt;&gt;0, priority(Main[[#This Row],[Comments]]),"")</f>
        <v/>
      </c>
      <c r="B985" s="127" t="s">
        <v>2250</v>
      </c>
      <c r="C985" s="99" t="s">
        <v>4</v>
      </c>
      <c r="D985" s="100" t="s">
        <v>2251</v>
      </c>
      <c r="E985" s="101">
        <v>40784.630833333336</v>
      </c>
      <c r="F985" s="101">
        <v>41153</v>
      </c>
      <c r="G985" s="102" t="str">
        <f>IF(stdProdLT(Main[[#This Row],[Comments]])=0.1,"N/A",IF(stdProdLT(Main[[#This Row],[Comments]])=0,"",stdProdLT(Main[[#This Row],[Comments]])))</f>
        <v/>
      </c>
      <c r="H985" s="103" t="str">
        <f>IF(AND(Main[[#This Row],[In Stock Date]]&lt;&gt;"",Main[[#This Row],[Revised Due Date]]&lt;&gt;""),Main[[#This Row],[In Stock Date]]-Main[[#This Row],[Revised Due Date]],"")</f>
        <v/>
      </c>
      <c r="I985" s="99" t="s">
        <v>4</v>
      </c>
      <c r="J985" s="99" t="s">
        <v>4</v>
      </c>
      <c r="K985" s="99" t="s">
        <v>4</v>
      </c>
      <c r="L985" s="101"/>
      <c r="M985" s="104" t="str">
        <f>IF(Main[[#This Row],[Tech Start Date]]&lt;1/1/1990,"",IF(Main[[#This Row],[Class]]="C",WORKDAY(Main[[#This Row],[Tech Start Date]],9),IF(Main[[#This Row],[Class]]="B", WORKDAY(Main[[#This Row],[Tech Start Date]],6),IF(Main[[#This Row],[Class]]="A",WORKDAY(Main[[#This Row],[Tech Start Date]],2),""))))</f>
        <v/>
      </c>
      <c r="N985" s="104" t="str">
        <f>IF(Main[[#This Row],[Tech Start Date]]&lt;1/1/1990,"",IF(Main[[#This Row],[Class]]="C",WORKDAY(Main[[#This Row],[Tech Start Date]],19),IF(Main[[#This Row],[Class]]="B", WORKDAY(Main[[#This Row],[Tech Start Date]],12),IF(Main[[#This Row],[Class]]="A",WORKDAY(Main[[#This Row],[Tech Start Date]],4),""))))</f>
        <v/>
      </c>
      <c r="O985" s="104" t="str">
        <f>IF(Main[[#This Row],[Tech Start Date]]&lt;1/1/1990,"",IF(Main[[#This Row],[Class]]="C",WORKDAY(Main[[#This Row],[Tech Start Date]],23),IF(Main[[#This Row],[Class]]="B", WORKDAY(Main[[#This Row],[Tech Start Date]],15),IF(Main[[#This Row],[Class]]="A",WORKDAY(Main[[#This Row],[Tech Start Date]],5),""))))</f>
        <v/>
      </c>
      <c r="P985" s="104" t="str">
        <f>IF(Main[[#This Row],[Tech Start Date]]&lt;1/1/1990,"",IF(Main[[#This Row],[Class]]="C",WORKDAY(Main[[#This Row],[Tech Start Date]],28),IF(Main[[#This Row],[Class]]="B", WORKDAY(Main[[#This Row],[Tech Start Date]],19),IF(Main[[#This Row],[Class]]="A",WORKDAY(Main[[#This Row],[Tech Start Date]],9),""))))</f>
        <v/>
      </c>
      <c r="Q985" s="101"/>
      <c r="R985" s="101"/>
      <c r="S985" s="99" t="s">
        <v>17</v>
      </c>
      <c r="T985" s="107" t="s">
        <v>4</v>
      </c>
      <c r="U985" s="99" t="s">
        <v>7</v>
      </c>
      <c r="V985" s="99" t="s">
        <v>1965</v>
      </c>
      <c r="W985" s="99" t="s">
        <v>1967</v>
      </c>
    </row>
    <row r="986" spans="1:23" ht="18.600000000000001" customHeight="1">
      <c r="A986" s="123" t="str">
        <f>IF(priority(Main[[#This Row],[Comments]])&lt;&gt;0, priority(Main[[#This Row],[Comments]]),"")</f>
        <v/>
      </c>
      <c r="B986" s="127" t="s">
        <v>2119</v>
      </c>
      <c r="C986" s="99" t="s">
        <v>4</v>
      </c>
      <c r="D986" s="100" t="s">
        <v>2120</v>
      </c>
      <c r="E986" s="101">
        <v>40758.348310185182</v>
      </c>
      <c r="F986" s="101"/>
      <c r="G986" s="102" t="str">
        <f>IF(stdProdLT(Main[[#This Row],[Comments]])=0.1,"N/A",IF(stdProdLT(Main[[#This Row],[Comments]])=0,"",stdProdLT(Main[[#This Row],[Comments]])))</f>
        <v/>
      </c>
      <c r="H986" s="103" t="str">
        <f>IF(AND(Main[[#This Row],[In Stock Date]]&lt;&gt;"",Main[[#This Row],[Revised Due Date]]&lt;&gt;""),Main[[#This Row],[In Stock Date]]-Main[[#This Row],[Revised Due Date]],"")</f>
        <v/>
      </c>
      <c r="I986" s="99" t="s">
        <v>421</v>
      </c>
      <c r="J986" s="99" t="s">
        <v>28</v>
      </c>
      <c r="K986" s="99" t="s">
        <v>1969</v>
      </c>
      <c r="L986" s="101"/>
      <c r="M986" s="104" t="str">
        <f>IF(Main[[#This Row],[Tech Start Date]]&lt;1/1/1990,"",IF(Main[[#This Row],[Class]]="C",WORKDAY(Main[[#This Row],[Tech Start Date]],9),IF(Main[[#This Row],[Class]]="B", WORKDAY(Main[[#This Row],[Tech Start Date]],6),IF(Main[[#This Row],[Class]]="A",WORKDAY(Main[[#This Row],[Tech Start Date]],2),""))))</f>
        <v/>
      </c>
      <c r="N986" s="104" t="str">
        <f>IF(Main[[#This Row],[Tech Start Date]]&lt;1/1/1990,"",IF(Main[[#This Row],[Class]]="C",WORKDAY(Main[[#This Row],[Tech Start Date]],19),IF(Main[[#This Row],[Class]]="B", WORKDAY(Main[[#This Row],[Tech Start Date]],12),IF(Main[[#This Row],[Class]]="A",WORKDAY(Main[[#This Row],[Tech Start Date]],4),""))))</f>
        <v/>
      </c>
      <c r="O986" s="104" t="str">
        <f>IF(Main[[#This Row],[Tech Start Date]]&lt;1/1/1990,"",IF(Main[[#This Row],[Class]]="C",WORKDAY(Main[[#This Row],[Tech Start Date]],23),IF(Main[[#This Row],[Class]]="B", WORKDAY(Main[[#This Row],[Tech Start Date]],15),IF(Main[[#This Row],[Class]]="A",WORKDAY(Main[[#This Row],[Tech Start Date]],5),""))))</f>
        <v/>
      </c>
      <c r="P986" s="104" t="str">
        <f>IF(Main[[#This Row],[Tech Start Date]]&lt;1/1/1990,"",IF(Main[[#This Row],[Class]]="C",WORKDAY(Main[[#This Row],[Tech Start Date]],28),IF(Main[[#This Row],[Class]]="B", WORKDAY(Main[[#This Row],[Tech Start Date]],19),IF(Main[[#This Row],[Class]]="A",WORKDAY(Main[[#This Row],[Tech Start Date]],9),""))))</f>
        <v/>
      </c>
      <c r="Q986" s="101"/>
      <c r="R986" s="101"/>
      <c r="S986" s="99" t="s">
        <v>6</v>
      </c>
      <c r="T986" s="107" t="s">
        <v>4</v>
      </c>
      <c r="U986" s="99" t="s">
        <v>29</v>
      </c>
      <c r="V986" s="99" t="s">
        <v>1965</v>
      </c>
      <c r="W986" s="99" t="s">
        <v>1964</v>
      </c>
    </row>
    <row r="987" spans="1:23" ht="18.600000000000001" customHeight="1">
      <c r="A987" s="123" t="str">
        <f>IF(priority(Main[[#This Row],[Comments]])&lt;&gt;0, priority(Main[[#This Row],[Comments]]),"")</f>
        <v/>
      </c>
      <c r="B987" s="127" t="s">
        <v>1775</v>
      </c>
      <c r="C987" s="99" t="s">
        <v>4</v>
      </c>
      <c r="D987" s="100" t="s">
        <v>802</v>
      </c>
      <c r="E987" s="101">
        <v>40540.606365740743</v>
      </c>
      <c r="F987" s="101"/>
      <c r="G987" s="102" t="str">
        <f>IF(stdProdLT(Main[[#This Row],[Comments]])=0.1,"N/A",IF(stdProdLT(Main[[#This Row],[Comments]])=0,"",stdProdLT(Main[[#This Row],[Comments]])))</f>
        <v/>
      </c>
      <c r="H987" s="103" t="str">
        <f>IF(AND(Main[[#This Row],[In Stock Date]]&lt;&gt;"",Main[[#This Row],[Revised Due Date]]&lt;&gt;""),Main[[#This Row],[In Stock Date]]-Main[[#This Row],[Revised Due Date]],"")</f>
        <v/>
      </c>
      <c r="I987" s="99" t="s">
        <v>2027</v>
      </c>
      <c r="J987" s="99" t="s">
        <v>28</v>
      </c>
      <c r="K987" s="99" t="s">
        <v>1974</v>
      </c>
      <c r="L987" s="101"/>
      <c r="M987" s="104" t="str">
        <f>IF(Main[[#This Row],[Tech Start Date]]&lt;1/1/1990,"",IF(Main[[#This Row],[Class]]="C",WORKDAY(Main[[#This Row],[Tech Start Date]],9),IF(Main[[#This Row],[Class]]="B", WORKDAY(Main[[#This Row],[Tech Start Date]],6),IF(Main[[#This Row],[Class]]="A",WORKDAY(Main[[#This Row],[Tech Start Date]],2),""))))</f>
        <v/>
      </c>
      <c r="N987" s="104" t="str">
        <f>IF(Main[[#This Row],[Tech Start Date]]&lt;1/1/1990,"",IF(Main[[#This Row],[Class]]="C",WORKDAY(Main[[#This Row],[Tech Start Date]],19),IF(Main[[#This Row],[Class]]="B", WORKDAY(Main[[#This Row],[Tech Start Date]],12),IF(Main[[#This Row],[Class]]="A",WORKDAY(Main[[#This Row],[Tech Start Date]],4),""))))</f>
        <v/>
      </c>
      <c r="O987" s="104" t="str">
        <f>IF(Main[[#This Row],[Tech Start Date]]&lt;1/1/1990,"",IF(Main[[#This Row],[Class]]="C",WORKDAY(Main[[#This Row],[Tech Start Date]],23),IF(Main[[#This Row],[Class]]="B", WORKDAY(Main[[#This Row],[Tech Start Date]],15),IF(Main[[#This Row],[Class]]="A",WORKDAY(Main[[#This Row],[Tech Start Date]],5),""))))</f>
        <v/>
      </c>
      <c r="P987" s="104" t="str">
        <f>IF(Main[[#This Row],[Tech Start Date]]&lt;1/1/1990,"",IF(Main[[#This Row],[Class]]="C",WORKDAY(Main[[#This Row],[Tech Start Date]],28),IF(Main[[#This Row],[Class]]="B", WORKDAY(Main[[#This Row],[Tech Start Date]],19),IF(Main[[#This Row],[Class]]="A",WORKDAY(Main[[#This Row],[Tech Start Date]],9),""))))</f>
        <v/>
      </c>
      <c r="Q987" s="101"/>
      <c r="R987" s="101">
        <v>40875</v>
      </c>
      <c r="S987" s="99" t="s">
        <v>17</v>
      </c>
      <c r="T987" s="107" t="s">
        <v>4</v>
      </c>
      <c r="U987" s="99" t="s">
        <v>29</v>
      </c>
      <c r="V987" s="99" t="s">
        <v>1965</v>
      </c>
      <c r="W987" s="99" t="s">
        <v>1967</v>
      </c>
    </row>
    <row r="988" spans="1:23" ht="18.600000000000001" customHeight="1">
      <c r="A988" s="123" t="str">
        <f>IF(priority(Main[[#This Row],[Comments]])&lt;&gt;0, priority(Main[[#This Row],[Comments]]),"")</f>
        <v/>
      </c>
      <c r="B988" s="127" t="s">
        <v>2269</v>
      </c>
      <c r="C988" s="99" t="s">
        <v>4</v>
      </c>
      <c r="D988" s="100" t="s">
        <v>2270</v>
      </c>
      <c r="E988" s="101">
        <v>40784.953148148146</v>
      </c>
      <c r="F988" s="101"/>
      <c r="G988" s="102" t="str">
        <f>IF(stdProdLT(Main[[#This Row],[Comments]])=0.1,"N/A",IF(stdProdLT(Main[[#This Row],[Comments]])=0,"",stdProdLT(Main[[#This Row],[Comments]])))</f>
        <v/>
      </c>
      <c r="H988" s="103" t="str">
        <f>IF(AND(Main[[#This Row],[In Stock Date]]&lt;&gt;"",Main[[#This Row],[Revised Due Date]]&lt;&gt;""),Main[[#This Row],[In Stock Date]]-Main[[#This Row],[Revised Due Date]],"")</f>
        <v/>
      </c>
      <c r="I988" s="99" t="s">
        <v>495</v>
      </c>
      <c r="J988" s="99" t="s">
        <v>70</v>
      </c>
      <c r="K988" s="108" t="s">
        <v>1971</v>
      </c>
      <c r="L988" s="101"/>
      <c r="M988" s="104" t="str">
        <f>IF(Main[[#This Row],[Tech Start Date]]&lt;1/1/1990,"",IF(Main[[#This Row],[Class]]="C",WORKDAY(Main[[#This Row],[Tech Start Date]],9),IF(Main[[#This Row],[Class]]="B", WORKDAY(Main[[#This Row],[Tech Start Date]],6),IF(Main[[#This Row],[Class]]="A",WORKDAY(Main[[#This Row],[Tech Start Date]],2),""))))</f>
        <v/>
      </c>
      <c r="N988" s="104" t="str">
        <f>IF(Main[[#This Row],[Tech Start Date]]&lt;1/1/1990,"",IF(Main[[#This Row],[Class]]="C",WORKDAY(Main[[#This Row],[Tech Start Date]],19),IF(Main[[#This Row],[Class]]="B", WORKDAY(Main[[#This Row],[Tech Start Date]],12),IF(Main[[#This Row],[Class]]="A",WORKDAY(Main[[#This Row],[Tech Start Date]],4),""))))</f>
        <v/>
      </c>
      <c r="O988" s="104" t="str">
        <f>IF(Main[[#This Row],[Tech Start Date]]&lt;1/1/1990,"",IF(Main[[#This Row],[Class]]="C",WORKDAY(Main[[#This Row],[Tech Start Date]],23),IF(Main[[#This Row],[Class]]="B", WORKDAY(Main[[#This Row],[Tech Start Date]],15),IF(Main[[#This Row],[Class]]="A",WORKDAY(Main[[#This Row],[Tech Start Date]],5),""))))</f>
        <v/>
      </c>
      <c r="P988" s="104" t="str">
        <f>IF(Main[[#This Row],[Tech Start Date]]&lt;1/1/1990,"",IF(Main[[#This Row],[Class]]="C",WORKDAY(Main[[#This Row],[Tech Start Date]],28),IF(Main[[#This Row],[Class]]="B", WORKDAY(Main[[#This Row],[Tech Start Date]],19),IF(Main[[#This Row],[Class]]="A",WORKDAY(Main[[#This Row],[Tech Start Date]],9),""))))</f>
        <v/>
      </c>
      <c r="Q988" s="101">
        <v>40847</v>
      </c>
      <c r="R988" s="101"/>
      <c r="S988" s="99" t="s">
        <v>6</v>
      </c>
      <c r="T988" s="107" t="s">
        <v>4</v>
      </c>
      <c r="U988" s="99" t="s">
        <v>29</v>
      </c>
      <c r="V988" s="99" t="s">
        <v>1965</v>
      </c>
      <c r="W988" s="99" t="s">
        <v>1966</v>
      </c>
    </row>
    <row r="989" spans="1:23" ht="18.600000000000001" customHeight="1">
      <c r="A989" s="123" t="str">
        <f>IF(priority(Main[[#This Row],[Comments]])&lt;&gt;0, priority(Main[[#This Row],[Comments]]),"")</f>
        <v/>
      </c>
      <c r="B989" s="127" t="s">
        <v>2033</v>
      </c>
      <c r="C989" s="99" t="s">
        <v>4</v>
      </c>
      <c r="D989" s="100" t="s">
        <v>2069</v>
      </c>
      <c r="E989" s="101">
        <v>40737.35056712963</v>
      </c>
      <c r="F989" s="101"/>
      <c r="G989" s="102" t="str">
        <f>IF(stdProdLT(Main[[#This Row],[Comments]])=0.1,"N/A",IF(stdProdLT(Main[[#This Row],[Comments]])=0,"",stdProdLT(Main[[#This Row],[Comments]])))</f>
        <v/>
      </c>
      <c r="H989" s="103" t="str">
        <f>IF(AND(Main[[#This Row],[In Stock Date]]&lt;&gt;"",Main[[#This Row],[Revised Due Date]]&lt;&gt;""),Main[[#This Row],[In Stock Date]]-Main[[#This Row],[Revised Due Date]],"")</f>
        <v/>
      </c>
      <c r="I989" s="99" t="s">
        <v>2066</v>
      </c>
      <c r="J989" s="99" t="s">
        <v>28</v>
      </c>
      <c r="K989" s="99" t="s">
        <v>4</v>
      </c>
      <c r="L989" s="101"/>
      <c r="M989" s="104" t="str">
        <f>IF(Main[[#This Row],[Tech Start Date]]&lt;1/1/1990,"",IF(Main[[#This Row],[Class]]="C",WORKDAY(Main[[#This Row],[Tech Start Date]],9),IF(Main[[#This Row],[Class]]="B", WORKDAY(Main[[#This Row],[Tech Start Date]],6),IF(Main[[#This Row],[Class]]="A",WORKDAY(Main[[#This Row],[Tech Start Date]],2),""))))</f>
        <v/>
      </c>
      <c r="N989" s="104" t="str">
        <f>IF(Main[[#This Row],[Tech Start Date]]&lt;1/1/1990,"",IF(Main[[#This Row],[Class]]="C",WORKDAY(Main[[#This Row],[Tech Start Date]],19),IF(Main[[#This Row],[Class]]="B", WORKDAY(Main[[#This Row],[Tech Start Date]],12),IF(Main[[#This Row],[Class]]="A",WORKDAY(Main[[#This Row],[Tech Start Date]],4),""))))</f>
        <v/>
      </c>
      <c r="O989" s="104" t="str">
        <f>IF(Main[[#This Row],[Tech Start Date]]&lt;1/1/1990,"",IF(Main[[#This Row],[Class]]="C",WORKDAY(Main[[#This Row],[Tech Start Date]],23),IF(Main[[#This Row],[Class]]="B", WORKDAY(Main[[#This Row],[Tech Start Date]],15),IF(Main[[#This Row],[Class]]="A",WORKDAY(Main[[#This Row],[Tech Start Date]],5),""))))</f>
        <v/>
      </c>
      <c r="P989" s="104" t="str">
        <f>IF(Main[[#This Row],[Tech Start Date]]&lt;1/1/1990,"",IF(Main[[#This Row],[Class]]="C",WORKDAY(Main[[#This Row],[Tech Start Date]],28),IF(Main[[#This Row],[Class]]="B", WORKDAY(Main[[#This Row],[Tech Start Date]],19),IF(Main[[#This Row],[Class]]="A",WORKDAY(Main[[#This Row],[Tech Start Date]],9),""))))</f>
        <v/>
      </c>
      <c r="Q989" s="101"/>
      <c r="R989" s="101"/>
      <c r="S989" s="99" t="s">
        <v>17</v>
      </c>
      <c r="T989" s="107" t="s">
        <v>4</v>
      </c>
      <c r="U989" s="99" t="s">
        <v>7</v>
      </c>
      <c r="V989" s="99" t="s">
        <v>1977</v>
      </c>
      <c r="W989" s="99" t="s">
        <v>1966</v>
      </c>
    </row>
    <row r="990" spans="1:23" ht="18.600000000000001" customHeight="1">
      <c r="A990" s="123" t="str">
        <f>IF(priority(Main[[#This Row],[Comments]])&lt;&gt;0, priority(Main[[#This Row],[Comments]]),"")</f>
        <v/>
      </c>
      <c r="B990" s="127" t="s">
        <v>1110</v>
      </c>
      <c r="C990" s="99" t="s">
        <v>4</v>
      </c>
      <c r="D990" s="100" t="s">
        <v>2230</v>
      </c>
      <c r="E990" s="101">
        <v>40696.780057870368</v>
      </c>
      <c r="F990" s="101"/>
      <c r="G990" s="102" t="str">
        <f>IF(stdProdLT(Main[[#This Row],[Comments]])=0.1,"N/A",IF(stdProdLT(Main[[#This Row],[Comments]])=0,"",stdProdLT(Main[[#This Row],[Comments]])))</f>
        <v/>
      </c>
      <c r="H990" s="103" t="str">
        <f>IF(AND(Main[[#This Row],[In Stock Date]]&lt;&gt;"",Main[[#This Row],[Revised Due Date]]&lt;&gt;""),Main[[#This Row],[In Stock Date]]-Main[[#This Row],[Revised Due Date]],"")</f>
        <v/>
      </c>
      <c r="I990" s="99" t="s">
        <v>495</v>
      </c>
      <c r="J990" s="99" t="s">
        <v>52</v>
      </c>
      <c r="K990" s="99" t="s">
        <v>1971</v>
      </c>
      <c r="L990" s="101"/>
      <c r="M990" s="104" t="str">
        <f>IF(Main[[#This Row],[Tech Start Date]]&lt;1/1/1990,"",IF(Main[[#This Row],[Class]]="C",WORKDAY(Main[[#This Row],[Tech Start Date]],9),IF(Main[[#This Row],[Class]]="B", WORKDAY(Main[[#This Row],[Tech Start Date]],6),IF(Main[[#This Row],[Class]]="A",WORKDAY(Main[[#This Row],[Tech Start Date]],2),""))))</f>
        <v/>
      </c>
      <c r="N990" s="104" t="str">
        <f>IF(Main[[#This Row],[Tech Start Date]]&lt;1/1/1990,"",IF(Main[[#This Row],[Class]]="C",WORKDAY(Main[[#This Row],[Tech Start Date]],19),IF(Main[[#This Row],[Class]]="B", WORKDAY(Main[[#This Row],[Tech Start Date]],12),IF(Main[[#This Row],[Class]]="A",WORKDAY(Main[[#This Row],[Tech Start Date]],4),""))))</f>
        <v/>
      </c>
      <c r="O990" s="104" t="str">
        <f>IF(Main[[#This Row],[Tech Start Date]]&lt;1/1/1990,"",IF(Main[[#This Row],[Class]]="C",WORKDAY(Main[[#This Row],[Tech Start Date]],23),IF(Main[[#This Row],[Class]]="B", WORKDAY(Main[[#This Row],[Tech Start Date]],15),IF(Main[[#This Row],[Class]]="A",WORKDAY(Main[[#This Row],[Tech Start Date]],5),""))))</f>
        <v/>
      </c>
      <c r="P990" s="104" t="str">
        <f>IF(Main[[#This Row],[Tech Start Date]]&lt;1/1/1990,"",IF(Main[[#This Row],[Class]]="C",WORKDAY(Main[[#This Row],[Tech Start Date]],28),IF(Main[[#This Row],[Class]]="B", WORKDAY(Main[[#This Row],[Tech Start Date]],19),IF(Main[[#This Row],[Class]]="A",WORKDAY(Main[[#This Row],[Tech Start Date]],9),""))))</f>
        <v/>
      </c>
      <c r="Q990" s="101">
        <v>40753</v>
      </c>
      <c r="R990" s="101"/>
      <c r="S990" s="99" t="s">
        <v>6</v>
      </c>
      <c r="T990" s="107" t="s">
        <v>4</v>
      </c>
      <c r="U990" s="99" t="s">
        <v>29</v>
      </c>
      <c r="V990" s="99" t="s">
        <v>1972</v>
      </c>
      <c r="W990" s="99" t="s">
        <v>1966</v>
      </c>
    </row>
    <row r="991" spans="1:23" ht="18.600000000000001" customHeight="1">
      <c r="A991" s="123" t="str">
        <f>IF(priority(Main[[#This Row],[Comments]])&lt;&gt;0, priority(Main[[#This Row],[Comments]]),"")</f>
        <v/>
      </c>
      <c r="B991" s="127" t="s">
        <v>1854</v>
      </c>
      <c r="C991" s="99" t="s">
        <v>67</v>
      </c>
      <c r="D991" s="100" t="s">
        <v>877</v>
      </c>
      <c r="E991" s="101">
        <v>39981.506990740738</v>
      </c>
      <c r="F991" s="101"/>
      <c r="G991" s="102" t="str">
        <f>IF(stdProdLT(Main[[#This Row],[Comments]])=0.1,"N/A",IF(stdProdLT(Main[[#This Row],[Comments]])=0,"",stdProdLT(Main[[#This Row],[Comments]])))</f>
        <v/>
      </c>
      <c r="H991" s="103" t="str">
        <f>IF(AND(Main[[#This Row],[In Stock Date]]&lt;&gt;"",Main[[#This Row],[Revised Due Date]]&lt;&gt;""),Main[[#This Row],[In Stock Date]]-Main[[#This Row],[Revised Due Date]],"")</f>
        <v/>
      </c>
      <c r="I991" s="99" t="s">
        <v>868</v>
      </c>
      <c r="J991" s="99" t="s">
        <v>4</v>
      </c>
      <c r="K991" s="99" t="s">
        <v>1975</v>
      </c>
      <c r="L991" s="101"/>
      <c r="M991" s="104" t="str">
        <f>IF(Main[[#This Row],[Tech Start Date]]&lt;1/1/1990,"",IF(Main[[#This Row],[Class]]="C",WORKDAY(Main[[#This Row],[Tech Start Date]],9),IF(Main[[#This Row],[Class]]="B", WORKDAY(Main[[#This Row],[Tech Start Date]],6),IF(Main[[#This Row],[Class]]="A",WORKDAY(Main[[#This Row],[Tech Start Date]],2),""))))</f>
        <v/>
      </c>
      <c r="N991" s="104" t="str">
        <f>IF(Main[[#This Row],[Tech Start Date]]&lt;1/1/1990,"",IF(Main[[#This Row],[Class]]="C",WORKDAY(Main[[#This Row],[Tech Start Date]],19),IF(Main[[#This Row],[Class]]="B", WORKDAY(Main[[#This Row],[Tech Start Date]],12),IF(Main[[#This Row],[Class]]="A",WORKDAY(Main[[#This Row],[Tech Start Date]],4),""))))</f>
        <v/>
      </c>
      <c r="O991" s="104" t="str">
        <f>IF(Main[[#This Row],[Tech Start Date]]&lt;1/1/1990,"",IF(Main[[#This Row],[Class]]="C",WORKDAY(Main[[#This Row],[Tech Start Date]],23),IF(Main[[#This Row],[Class]]="B", WORKDAY(Main[[#This Row],[Tech Start Date]],15),IF(Main[[#This Row],[Class]]="A",WORKDAY(Main[[#This Row],[Tech Start Date]],5),""))))</f>
        <v/>
      </c>
      <c r="P991" s="104" t="str">
        <f>IF(Main[[#This Row],[Tech Start Date]]&lt;1/1/1990,"",IF(Main[[#This Row],[Class]]="C",WORKDAY(Main[[#This Row],[Tech Start Date]],28),IF(Main[[#This Row],[Class]]="B", WORKDAY(Main[[#This Row],[Tech Start Date]],19),IF(Main[[#This Row],[Class]]="A",WORKDAY(Main[[#This Row],[Tech Start Date]],9),""))))</f>
        <v/>
      </c>
      <c r="Q991" s="101">
        <v>40142</v>
      </c>
      <c r="R991" s="101">
        <v>40259</v>
      </c>
      <c r="S991" s="99" t="s">
        <v>17</v>
      </c>
      <c r="T991" s="107" t="s">
        <v>4</v>
      </c>
      <c r="U991" s="99" t="s">
        <v>29</v>
      </c>
      <c r="V991" s="99" t="s">
        <v>1972</v>
      </c>
      <c r="W991" s="99" t="s">
        <v>1967</v>
      </c>
    </row>
    <row r="992" spans="1:23" ht="18.600000000000001" customHeight="1">
      <c r="A992" s="123" t="str">
        <f>IF(priority(Main[[#This Row],[Comments]])&lt;&gt;0, priority(Main[[#This Row],[Comments]]),"")</f>
        <v/>
      </c>
      <c r="B992" s="127" t="s">
        <v>2327</v>
      </c>
      <c r="C992" s="99" t="s">
        <v>4</v>
      </c>
      <c r="D992" s="100" t="s">
        <v>2328</v>
      </c>
      <c r="E992" s="101">
        <v>40806.34847222222</v>
      </c>
      <c r="F992" s="101"/>
      <c r="G992" s="102" t="str">
        <f>IF(stdProdLT(Main[[#This Row],[Comments]])=0.1,"N/A",IF(stdProdLT(Main[[#This Row],[Comments]])=0,"",stdProdLT(Main[[#This Row],[Comments]])))</f>
        <v/>
      </c>
      <c r="H992" s="103" t="str">
        <f>IF(AND(Main[[#This Row],[In Stock Date]]&lt;&gt;"",Main[[#This Row],[Revised Due Date]]&lt;&gt;""),Main[[#This Row],[In Stock Date]]-Main[[#This Row],[Revised Due Date]],"")</f>
        <v/>
      </c>
      <c r="I992" s="99" t="s">
        <v>4</v>
      </c>
      <c r="J992" s="99" t="s">
        <v>4</v>
      </c>
      <c r="K992" s="99" t="s">
        <v>4</v>
      </c>
      <c r="L992" s="101"/>
      <c r="M992" s="104" t="str">
        <f>IF(Main[[#This Row],[Tech Start Date]]&lt;1/1/1990,"",IF(Main[[#This Row],[Class]]="C",WORKDAY(Main[[#This Row],[Tech Start Date]],9),IF(Main[[#This Row],[Class]]="B", WORKDAY(Main[[#This Row],[Tech Start Date]],6),IF(Main[[#This Row],[Class]]="A",WORKDAY(Main[[#This Row],[Tech Start Date]],2),""))))</f>
        <v/>
      </c>
      <c r="N992" s="104" t="str">
        <f>IF(Main[[#This Row],[Tech Start Date]]&lt;1/1/1990,"",IF(Main[[#This Row],[Class]]="C",WORKDAY(Main[[#This Row],[Tech Start Date]],19),IF(Main[[#This Row],[Class]]="B", WORKDAY(Main[[#This Row],[Tech Start Date]],12),IF(Main[[#This Row],[Class]]="A",WORKDAY(Main[[#This Row],[Tech Start Date]],4),""))))</f>
        <v/>
      </c>
      <c r="O992" s="104" t="str">
        <f>IF(Main[[#This Row],[Tech Start Date]]&lt;1/1/1990,"",IF(Main[[#This Row],[Class]]="C",WORKDAY(Main[[#This Row],[Tech Start Date]],23),IF(Main[[#This Row],[Class]]="B", WORKDAY(Main[[#This Row],[Tech Start Date]],15),IF(Main[[#This Row],[Class]]="A",WORKDAY(Main[[#This Row],[Tech Start Date]],5),""))))</f>
        <v/>
      </c>
      <c r="P992" s="104" t="str">
        <f>IF(Main[[#This Row],[Tech Start Date]]&lt;1/1/1990,"",IF(Main[[#This Row],[Class]]="C",WORKDAY(Main[[#This Row],[Tech Start Date]],28),IF(Main[[#This Row],[Class]]="B", WORKDAY(Main[[#This Row],[Tech Start Date]],19),IF(Main[[#This Row],[Class]]="A",WORKDAY(Main[[#This Row],[Tech Start Date]],9),""))))</f>
        <v/>
      </c>
      <c r="Q992" s="101">
        <v>40820</v>
      </c>
      <c r="R992" s="101"/>
      <c r="S992" s="99" t="s">
        <v>6</v>
      </c>
      <c r="T992" s="107" t="s">
        <v>4</v>
      </c>
      <c r="U992" s="99" t="s">
        <v>7</v>
      </c>
      <c r="V992" s="99" t="s">
        <v>1962</v>
      </c>
      <c r="W992" s="99" t="s">
        <v>4</v>
      </c>
    </row>
    <row r="993" spans="1:23" ht="18.600000000000001" customHeight="1">
      <c r="A993" s="123" t="str">
        <f>IF(priority(Main[[#This Row],[Comments]])&lt;&gt;0, priority(Main[[#This Row],[Comments]]),"")</f>
        <v/>
      </c>
      <c r="B993" s="127" t="s">
        <v>2184</v>
      </c>
      <c r="C993" s="99" t="s">
        <v>4</v>
      </c>
      <c r="D993" s="100" t="s">
        <v>2185</v>
      </c>
      <c r="E993" s="101">
        <v>40764.689583333333</v>
      </c>
      <c r="F993" s="101"/>
      <c r="G993" s="102" t="str">
        <f>IF(stdProdLT(Main[[#This Row],[Comments]])=0.1,"N/A",IF(stdProdLT(Main[[#This Row],[Comments]])=0,"",stdProdLT(Main[[#This Row],[Comments]])))</f>
        <v/>
      </c>
      <c r="H993" s="103" t="str">
        <f>IF(AND(Main[[#This Row],[In Stock Date]]&lt;&gt;"",Main[[#This Row],[Revised Due Date]]&lt;&gt;""),Main[[#This Row],[In Stock Date]]-Main[[#This Row],[Revised Due Date]],"")</f>
        <v/>
      </c>
      <c r="I993" s="99" t="s">
        <v>893</v>
      </c>
      <c r="J993" s="99" t="s">
        <v>4</v>
      </c>
      <c r="K993" s="99" t="s">
        <v>4</v>
      </c>
      <c r="L993" s="101"/>
      <c r="M993" s="104" t="str">
        <f>IF(Main[[#This Row],[Tech Start Date]]&lt;1/1/1990,"",IF(Main[[#This Row],[Class]]="C",WORKDAY(Main[[#This Row],[Tech Start Date]],9),IF(Main[[#This Row],[Class]]="B", WORKDAY(Main[[#This Row],[Tech Start Date]],6),IF(Main[[#This Row],[Class]]="A",WORKDAY(Main[[#This Row],[Tech Start Date]],2),""))))</f>
        <v/>
      </c>
      <c r="N993" s="104" t="str">
        <f>IF(Main[[#This Row],[Tech Start Date]]&lt;1/1/1990,"",IF(Main[[#This Row],[Class]]="C",WORKDAY(Main[[#This Row],[Tech Start Date]],19),IF(Main[[#This Row],[Class]]="B", WORKDAY(Main[[#This Row],[Tech Start Date]],12),IF(Main[[#This Row],[Class]]="A",WORKDAY(Main[[#This Row],[Tech Start Date]],4),""))))</f>
        <v/>
      </c>
      <c r="O993" s="104" t="str">
        <f>IF(Main[[#This Row],[Tech Start Date]]&lt;1/1/1990,"",IF(Main[[#This Row],[Class]]="C",WORKDAY(Main[[#This Row],[Tech Start Date]],23),IF(Main[[#This Row],[Class]]="B", WORKDAY(Main[[#This Row],[Tech Start Date]],15),IF(Main[[#This Row],[Class]]="A",WORKDAY(Main[[#This Row],[Tech Start Date]],5),""))))</f>
        <v/>
      </c>
      <c r="P993" s="104" t="str">
        <f>IF(Main[[#This Row],[Tech Start Date]]&lt;1/1/1990,"",IF(Main[[#This Row],[Class]]="C",WORKDAY(Main[[#This Row],[Tech Start Date]],28),IF(Main[[#This Row],[Class]]="B", WORKDAY(Main[[#This Row],[Tech Start Date]],19),IF(Main[[#This Row],[Class]]="A",WORKDAY(Main[[#This Row],[Tech Start Date]],9),""))))</f>
        <v/>
      </c>
      <c r="Q993" s="101"/>
      <c r="R993" s="101"/>
      <c r="S993" s="99" t="s">
        <v>6</v>
      </c>
      <c r="T993" s="107" t="s">
        <v>4</v>
      </c>
      <c r="U993" s="99" t="s">
        <v>7</v>
      </c>
      <c r="V993" s="99" t="s">
        <v>1962</v>
      </c>
      <c r="W993" s="99" t="s">
        <v>1964</v>
      </c>
    </row>
    <row r="994" spans="1:23" ht="18.600000000000001" customHeight="1">
      <c r="A994" s="123" t="str">
        <f>IF(priority(Main[[#This Row],[Comments]])&lt;&gt;0, priority(Main[[#This Row],[Comments]]),"")</f>
        <v/>
      </c>
      <c r="B994" s="127" t="s">
        <v>1108</v>
      </c>
      <c r="C994" s="99" t="s">
        <v>4</v>
      </c>
      <c r="D994" s="100" t="s">
        <v>2307</v>
      </c>
      <c r="E994" s="101">
        <v>40659.528229166666</v>
      </c>
      <c r="F994" s="101"/>
      <c r="G994" s="102" t="str">
        <f>IF(stdProdLT(Main[[#This Row],[Comments]])=0.1,"N/A",IF(stdProdLT(Main[[#This Row],[Comments]])=0,"",stdProdLT(Main[[#This Row],[Comments]])))</f>
        <v/>
      </c>
      <c r="H994" s="103" t="str">
        <f>IF(AND(Main[[#This Row],[In Stock Date]]&lt;&gt;"",Main[[#This Row],[Revised Due Date]]&lt;&gt;""),Main[[#This Row],[In Stock Date]]-Main[[#This Row],[Revised Due Date]],"")</f>
        <v/>
      </c>
      <c r="I994" s="99" t="s">
        <v>102</v>
      </c>
      <c r="J994" s="99" t="s">
        <v>51</v>
      </c>
      <c r="K994" s="99" t="s">
        <v>1971</v>
      </c>
      <c r="L994" s="101"/>
      <c r="M994" s="104" t="str">
        <f>IF(Main[[#This Row],[Tech Start Date]]&lt;1/1/1990,"",IF(Main[[#This Row],[Class]]="C",WORKDAY(Main[[#This Row],[Tech Start Date]],9),IF(Main[[#This Row],[Class]]="B", WORKDAY(Main[[#This Row],[Tech Start Date]],6),IF(Main[[#This Row],[Class]]="A",WORKDAY(Main[[#This Row],[Tech Start Date]],2),""))))</f>
        <v/>
      </c>
      <c r="N994" s="104" t="str">
        <f>IF(Main[[#This Row],[Tech Start Date]]&lt;1/1/1990,"",IF(Main[[#This Row],[Class]]="C",WORKDAY(Main[[#This Row],[Tech Start Date]],19),IF(Main[[#This Row],[Class]]="B", WORKDAY(Main[[#This Row],[Tech Start Date]],12),IF(Main[[#This Row],[Class]]="A",WORKDAY(Main[[#This Row],[Tech Start Date]],4),""))))</f>
        <v/>
      </c>
      <c r="O994" s="104" t="str">
        <f>IF(Main[[#This Row],[Tech Start Date]]&lt;1/1/1990,"",IF(Main[[#This Row],[Class]]="C",WORKDAY(Main[[#This Row],[Tech Start Date]],23),IF(Main[[#This Row],[Class]]="B", WORKDAY(Main[[#This Row],[Tech Start Date]],15),IF(Main[[#This Row],[Class]]="A",WORKDAY(Main[[#This Row],[Tech Start Date]],5),""))))</f>
        <v/>
      </c>
      <c r="P994" s="104" t="str">
        <f>IF(Main[[#This Row],[Tech Start Date]]&lt;1/1/1990,"",IF(Main[[#This Row],[Class]]="C",WORKDAY(Main[[#This Row],[Tech Start Date]],28),IF(Main[[#This Row],[Class]]="B", WORKDAY(Main[[#This Row],[Tech Start Date]],19),IF(Main[[#This Row],[Class]]="A",WORKDAY(Main[[#This Row],[Tech Start Date]],9),""))))</f>
        <v/>
      </c>
      <c r="Q994" s="101"/>
      <c r="R994" s="101"/>
      <c r="S994" s="99" t="s">
        <v>6</v>
      </c>
      <c r="T994" s="107" t="s">
        <v>4</v>
      </c>
      <c r="U994" s="99" t="s">
        <v>29</v>
      </c>
      <c r="V994" s="99" t="s">
        <v>1965</v>
      </c>
      <c r="W994" s="99" t="s">
        <v>1966</v>
      </c>
    </row>
    <row r="995" spans="1:23" ht="18.600000000000001" customHeight="1">
      <c r="A995" s="123" t="str">
        <f>IF(priority(Main[[#This Row],[Comments]])&lt;&gt;0, priority(Main[[#This Row],[Comments]]),"")</f>
        <v/>
      </c>
      <c r="B995" s="127" t="s">
        <v>2363</v>
      </c>
      <c r="C995" s="99" t="s">
        <v>4</v>
      </c>
      <c r="D995" s="100" t="s">
        <v>2540</v>
      </c>
      <c r="E995" s="101">
        <v>40814.079965277779</v>
      </c>
      <c r="F995" s="101"/>
      <c r="G995" s="102" t="str">
        <f>IF(stdProdLT(Main[[#This Row],[Comments]])=0.1,"N/A",IF(stdProdLT(Main[[#This Row],[Comments]])=0,"",stdProdLT(Main[[#This Row],[Comments]])))</f>
        <v/>
      </c>
      <c r="H995" s="103" t="str">
        <f>IF(AND(Main[[#This Row],[In Stock Date]]&lt;&gt;"",Main[[#This Row],[Revised Due Date]]&lt;&gt;""),Main[[#This Row],[In Stock Date]]-Main[[#This Row],[Revised Due Date]],"")</f>
        <v/>
      </c>
      <c r="I995" s="99" t="s">
        <v>2110</v>
      </c>
      <c r="J995" s="99" t="s">
        <v>28</v>
      </c>
      <c r="K995" s="99" t="s">
        <v>1971</v>
      </c>
      <c r="L995" s="101"/>
      <c r="M995" s="104" t="str">
        <f>IF(Main[[#This Row],[Tech Start Date]]&lt;1/1/1990,"",IF(Main[[#This Row],[Class]]="C",WORKDAY(Main[[#This Row],[Tech Start Date]],9),IF(Main[[#This Row],[Class]]="B", WORKDAY(Main[[#This Row],[Tech Start Date]],6),IF(Main[[#This Row],[Class]]="A",WORKDAY(Main[[#This Row],[Tech Start Date]],2),""))))</f>
        <v/>
      </c>
      <c r="N995" s="104" t="str">
        <f>IF(Main[[#This Row],[Tech Start Date]]&lt;1/1/1990,"",IF(Main[[#This Row],[Class]]="C",WORKDAY(Main[[#This Row],[Tech Start Date]],19),IF(Main[[#This Row],[Class]]="B", WORKDAY(Main[[#This Row],[Tech Start Date]],12),IF(Main[[#This Row],[Class]]="A",WORKDAY(Main[[#This Row],[Tech Start Date]],4),""))))</f>
        <v/>
      </c>
      <c r="O995" s="104" t="str">
        <f>IF(Main[[#This Row],[Tech Start Date]]&lt;1/1/1990,"",IF(Main[[#This Row],[Class]]="C",WORKDAY(Main[[#This Row],[Tech Start Date]],23),IF(Main[[#This Row],[Class]]="B", WORKDAY(Main[[#This Row],[Tech Start Date]],15),IF(Main[[#This Row],[Class]]="A",WORKDAY(Main[[#This Row],[Tech Start Date]],5),""))))</f>
        <v/>
      </c>
      <c r="P995" s="104" t="str">
        <f>IF(Main[[#This Row],[Tech Start Date]]&lt;1/1/1990,"",IF(Main[[#This Row],[Class]]="C",WORKDAY(Main[[#This Row],[Tech Start Date]],28),IF(Main[[#This Row],[Class]]="B", WORKDAY(Main[[#This Row],[Tech Start Date]],19),IF(Main[[#This Row],[Class]]="A",WORKDAY(Main[[#This Row],[Tech Start Date]],9),""))))</f>
        <v/>
      </c>
      <c r="Q995" s="101">
        <v>40877</v>
      </c>
      <c r="R995" s="101"/>
      <c r="S995" s="99" t="s">
        <v>6</v>
      </c>
      <c r="T995" s="107" t="s">
        <v>4</v>
      </c>
      <c r="U995" s="99" t="s">
        <v>29</v>
      </c>
      <c r="V995" s="99" t="s">
        <v>1965</v>
      </c>
      <c r="W995" s="99" t="s">
        <v>1966</v>
      </c>
    </row>
    <row r="996" spans="1:23" ht="18.600000000000001" customHeight="1">
      <c r="A996" s="123" t="str">
        <f>IF(priority(Main[[#This Row],[Comments]])&lt;&gt;0, priority(Main[[#This Row],[Comments]]),"")</f>
        <v/>
      </c>
      <c r="B996" s="127" t="s">
        <v>1910</v>
      </c>
      <c r="C996" s="99" t="s">
        <v>4</v>
      </c>
      <c r="D996" s="100" t="s">
        <v>941</v>
      </c>
      <c r="E996" s="101">
        <v>39968.4141087963</v>
      </c>
      <c r="F996" s="101">
        <v>40298</v>
      </c>
      <c r="G996" s="102" t="str">
        <f>IF(stdProdLT(Main[[#This Row],[Comments]])=0.1,"N/A",IF(stdProdLT(Main[[#This Row],[Comments]])=0,"",stdProdLT(Main[[#This Row],[Comments]])))</f>
        <v/>
      </c>
      <c r="H996" s="103">
        <f>IF(AND(Main[[#This Row],[In Stock Date]]&lt;&gt;"",Main[[#This Row],[Revised Due Date]]&lt;&gt;""),Main[[#This Row],[In Stock Date]]-Main[[#This Row],[Revised Due Date]],"")</f>
        <v>-697</v>
      </c>
      <c r="I996" s="99" t="s">
        <v>997</v>
      </c>
      <c r="J996" s="99" t="s">
        <v>4</v>
      </c>
      <c r="K996" s="99" t="s">
        <v>1974</v>
      </c>
      <c r="L996" s="101"/>
      <c r="M996" s="104" t="str">
        <f>IF(Main[[#This Row],[Tech Start Date]]&lt;1/1/1990,"",IF(Main[[#This Row],[Class]]="C",WORKDAY(Main[[#This Row],[Tech Start Date]],9),IF(Main[[#This Row],[Class]]="B", WORKDAY(Main[[#This Row],[Tech Start Date]],6),IF(Main[[#This Row],[Class]]="A",WORKDAY(Main[[#This Row],[Tech Start Date]],2),""))))</f>
        <v/>
      </c>
      <c r="N996" s="104" t="str">
        <f>IF(Main[[#This Row],[Tech Start Date]]&lt;1/1/1990,"",IF(Main[[#This Row],[Class]]="C",WORKDAY(Main[[#This Row],[Tech Start Date]],19),IF(Main[[#This Row],[Class]]="B", WORKDAY(Main[[#This Row],[Tech Start Date]],12),IF(Main[[#This Row],[Class]]="A",WORKDAY(Main[[#This Row],[Tech Start Date]],4),""))))</f>
        <v/>
      </c>
      <c r="O996" s="104" t="str">
        <f>IF(Main[[#This Row],[Tech Start Date]]&lt;1/1/1990,"",IF(Main[[#This Row],[Class]]="C",WORKDAY(Main[[#This Row],[Tech Start Date]],23),IF(Main[[#This Row],[Class]]="B", WORKDAY(Main[[#This Row],[Tech Start Date]],15),IF(Main[[#This Row],[Class]]="A",WORKDAY(Main[[#This Row],[Tech Start Date]],5),""))))</f>
        <v/>
      </c>
      <c r="P996" s="104" t="str">
        <f>IF(Main[[#This Row],[Tech Start Date]]&lt;1/1/1990,"",IF(Main[[#This Row],[Class]]="C",WORKDAY(Main[[#This Row],[Tech Start Date]],28),IF(Main[[#This Row],[Class]]="B", WORKDAY(Main[[#This Row],[Tech Start Date]],19),IF(Main[[#This Row],[Class]]="A",WORKDAY(Main[[#This Row],[Tech Start Date]],9),""))))</f>
        <v/>
      </c>
      <c r="Q996" s="101">
        <v>40165</v>
      </c>
      <c r="R996" s="101">
        <v>40995</v>
      </c>
      <c r="S996" s="99" t="s">
        <v>17</v>
      </c>
      <c r="T996" s="107" t="s">
        <v>4</v>
      </c>
      <c r="U996" s="99" t="s">
        <v>29</v>
      </c>
      <c r="V996" s="99" t="s">
        <v>1965</v>
      </c>
      <c r="W996" s="99" t="s">
        <v>1970</v>
      </c>
    </row>
    <row r="997" spans="1:23" ht="18.600000000000001" customHeight="1">
      <c r="A997" s="123" t="str">
        <f>IF(priority(Main[[#This Row],[Comments]])&lt;&gt;0, priority(Main[[#This Row],[Comments]]),"")</f>
        <v/>
      </c>
      <c r="B997" s="127" t="s">
        <v>2366</v>
      </c>
      <c r="C997" s="99" t="s">
        <v>4</v>
      </c>
      <c r="D997" s="100" t="s">
        <v>2533</v>
      </c>
      <c r="E997" s="101">
        <v>40814.080497685187</v>
      </c>
      <c r="F997" s="101"/>
      <c r="G997" s="102" t="str">
        <f>IF(stdProdLT(Main[[#This Row],[Comments]])=0.1,"N/A",IF(stdProdLT(Main[[#This Row],[Comments]])=0,"",stdProdLT(Main[[#This Row],[Comments]])))</f>
        <v/>
      </c>
      <c r="H997" s="103" t="str">
        <f>IF(AND(Main[[#This Row],[In Stock Date]]&lt;&gt;"",Main[[#This Row],[Revised Due Date]]&lt;&gt;""),Main[[#This Row],[In Stock Date]]-Main[[#This Row],[Revised Due Date]],"")</f>
        <v/>
      </c>
      <c r="I997" s="99" t="s">
        <v>2110</v>
      </c>
      <c r="J997" s="99" t="s">
        <v>28</v>
      </c>
      <c r="K997" s="99" t="s">
        <v>1971</v>
      </c>
      <c r="L997" s="101"/>
      <c r="M997" s="104" t="str">
        <f>IF(Main[[#This Row],[Tech Start Date]]&lt;1/1/1990,"",IF(Main[[#This Row],[Class]]="C",WORKDAY(Main[[#This Row],[Tech Start Date]],9),IF(Main[[#This Row],[Class]]="B", WORKDAY(Main[[#This Row],[Tech Start Date]],6),IF(Main[[#This Row],[Class]]="A",WORKDAY(Main[[#This Row],[Tech Start Date]],2),""))))</f>
        <v/>
      </c>
      <c r="N997" s="104" t="str">
        <f>IF(Main[[#This Row],[Tech Start Date]]&lt;1/1/1990,"",IF(Main[[#This Row],[Class]]="C",WORKDAY(Main[[#This Row],[Tech Start Date]],19),IF(Main[[#This Row],[Class]]="B", WORKDAY(Main[[#This Row],[Tech Start Date]],12),IF(Main[[#This Row],[Class]]="A",WORKDAY(Main[[#This Row],[Tech Start Date]],4),""))))</f>
        <v/>
      </c>
      <c r="O997" s="104" t="str">
        <f>IF(Main[[#This Row],[Tech Start Date]]&lt;1/1/1990,"",IF(Main[[#This Row],[Class]]="C",WORKDAY(Main[[#This Row],[Tech Start Date]],23),IF(Main[[#This Row],[Class]]="B", WORKDAY(Main[[#This Row],[Tech Start Date]],15),IF(Main[[#This Row],[Class]]="A",WORKDAY(Main[[#This Row],[Tech Start Date]],5),""))))</f>
        <v/>
      </c>
      <c r="P997" s="104" t="str">
        <f>IF(Main[[#This Row],[Tech Start Date]]&lt;1/1/1990,"",IF(Main[[#This Row],[Class]]="C",WORKDAY(Main[[#This Row],[Tech Start Date]],28),IF(Main[[#This Row],[Class]]="B", WORKDAY(Main[[#This Row],[Tech Start Date]],19),IF(Main[[#This Row],[Class]]="A",WORKDAY(Main[[#This Row],[Tech Start Date]],9),""))))</f>
        <v/>
      </c>
      <c r="Q997" s="101">
        <v>40905</v>
      </c>
      <c r="R997" s="101"/>
      <c r="S997" s="99" t="s">
        <v>6</v>
      </c>
      <c r="T997" s="107" t="s">
        <v>4</v>
      </c>
      <c r="U997" s="99" t="s">
        <v>29</v>
      </c>
      <c r="V997" s="99" t="s">
        <v>1965</v>
      </c>
      <c r="W997" s="99" t="s">
        <v>1966</v>
      </c>
    </row>
    <row r="998" spans="1:23" ht="18.600000000000001" customHeight="1">
      <c r="A998" s="123" t="str">
        <f>IF(priority(Main[[#This Row],[Comments]])&lt;&gt;0, priority(Main[[#This Row],[Comments]]),"")</f>
        <v/>
      </c>
      <c r="B998" s="127" t="s">
        <v>1839</v>
      </c>
      <c r="C998" s="99" t="s">
        <v>4</v>
      </c>
      <c r="D998" s="100" t="s">
        <v>857</v>
      </c>
      <c r="E998" s="101"/>
      <c r="F998" s="101"/>
      <c r="G998" s="102" t="str">
        <f>IF(stdProdLT(Main[[#This Row],[Comments]])=0.1,"N/A",IF(stdProdLT(Main[[#This Row],[Comments]])=0,"",stdProdLT(Main[[#This Row],[Comments]])))</f>
        <v/>
      </c>
      <c r="H998" s="103" t="str">
        <f>IF(AND(Main[[#This Row],[In Stock Date]]&lt;&gt;"",Main[[#This Row],[Revised Due Date]]&lt;&gt;""),Main[[#This Row],[In Stock Date]]-Main[[#This Row],[Revised Due Date]],"")</f>
        <v/>
      </c>
      <c r="I998" s="99" t="s">
        <v>50</v>
      </c>
      <c r="J998" s="99" t="s">
        <v>28</v>
      </c>
      <c r="K998" s="108" t="s">
        <v>1971</v>
      </c>
      <c r="L998" s="101"/>
      <c r="M998" s="104" t="str">
        <f>IF(Main[[#This Row],[Tech Start Date]]&lt;1/1/1990,"",IF(Main[[#This Row],[Class]]="C",WORKDAY(Main[[#This Row],[Tech Start Date]],9),IF(Main[[#This Row],[Class]]="B", WORKDAY(Main[[#This Row],[Tech Start Date]],6),IF(Main[[#This Row],[Class]]="A",WORKDAY(Main[[#This Row],[Tech Start Date]],2),""))))</f>
        <v/>
      </c>
      <c r="N998" s="104" t="str">
        <f>IF(Main[[#This Row],[Tech Start Date]]&lt;1/1/1990,"",IF(Main[[#This Row],[Class]]="C",WORKDAY(Main[[#This Row],[Tech Start Date]],19),IF(Main[[#This Row],[Class]]="B", WORKDAY(Main[[#This Row],[Tech Start Date]],12),IF(Main[[#This Row],[Class]]="A",WORKDAY(Main[[#This Row],[Tech Start Date]],4),""))))</f>
        <v/>
      </c>
      <c r="O998" s="104" t="str">
        <f>IF(Main[[#This Row],[Tech Start Date]]&lt;1/1/1990,"",IF(Main[[#This Row],[Class]]="C",WORKDAY(Main[[#This Row],[Tech Start Date]],23),IF(Main[[#This Row],[Class]]="B", WORKDAY(Main[[#This Row],[Tech Start Date]],15),IF(Main[[#This Row],[Class]]="A",WORKDAY(Main[[#This Row],[Tech Start Date]],5),""))))</f>
        <v/>
      </c>
      <c r="P998" s="104" t="str">
        <f>IF(Main[[#This Row],[Tech Start Date]]&lt;1/1/1990,"",IF(Main[[#This Row],[Class]]="C",WORKDAY(Main[[#This Row],[Tech Start Date]],28),IF(Main[[#This Row],[Class]]="B", WORKDAY(Main[[#This Row],[Tech Start Date]],19),IF(Main[[#This Row],[Class]]="A",WORKDAY(Main[[#This Row],[Tech Start Date]],9),""))))</f>
        <v/>
      </c>
      <c r="Q998" s="101"/>
      <c r="R998" s="101"/>
      <c r="S998" s="99" t="s">
        <v>6</v>
      </c>
      <c r="T998" s="107" t="s">
        <v>4</v>
      </c>
      <c r="U998" s="99" t="s">
        <v>14</v>
      </c>
      <c r="V998" s="99" t="s">
        <v>1965</v>
      </c>
      <c r="W998" s="99" t="s">
        <v>1966</v>
      </c>
    </row>
    <row r="999" spans="1:23" ht="18.600000000000001" customHeight="1">
      <c r="A999" s="123" t="str">
        <f>IF(priority(Main[[#This Row],[Comments]])&lt;&gt;0, priority(Main[[#This Row],[Comments]]),"")</f>
        <v/>
      </c>
      <c r="B999" s="127" t="s">
        <v>1840</v>
      </c>
      <c r="C999" s="99" t="s">
        <v>499</v>
      </c>
      <c r="D999" s="100" t="s">
        <v>858</v>
      </c>
      <c r="E999" s="101"/>
      <c r="F999" s="101"/>
      <c r="G999" s="102" t="str">
        <f>IF(stdProdLT(Main[[#This Row],[Comments]])=0.1,"N/A",IF(stdProdLT(Main[[#This Row],[Comments]])=0,"",stdProdLT(Main[[#This Row],[Comments]])))</f>
        <v/>
      </c>
      <c r="H999" s="103" t="str">
        <f>IF(AND(Main[[#This Row],[In Stock Date]]&lt;&gt;"",Main[[#This Row],[Revised Due Date]]&lt;&gt;""),Main[[#This Row],[In Stock Date]]-Main[[#This Row],[Revised Due Date]],"")</f>
        <v/>
      </c>
      <c r="I999" s="99" t="s">
        <v>4</v>
      </c>
      <c r="J999" s="99" t="s">
        <v>4</v>
      </c>
      <c r="K999" s="99" t="s">
        <v>4</v>
      </c>
      <c r="L999" s="101"/>
      <c r="M999" s="104" t="str">
        <f>IF(Main[[#This Row],[Tech Start Date]]&lt;1/1/1990,"",IF(Main[[#This Row],[Class]]="C",WORKDAY(Main[[#This Row],[Tech Start Date]],9),IF(Main[[#This Row],[Class]]="B", WORKDAY(Main[[#This Row],[Tech Start Date]],6),IF(Main[[#This Row],[Class]]="A",WORKDAY(Main[[#This Row],[Tech Start Date]],2),""))))</f>
        <v/>
      </c>
      <c r="N999" s="104" t="str">
        <f>IF(Main[[#This Row],[Tech Start Date]]&lt;1/1/1990,"",IF(Main[[#This Row],[Class]]="C",WORKDAY(Main[[#This Row],[Tech Start Date]],19),IF(Main[[#This Row],[Class]]="B", WORKDAY(Main[[#This Row],[Tech Start Date]],12),IF(Main[[#This Row],[Class]]="A",WORKDAY(Main[[#This Row],[Tech Start Date]],4),""))))</f>
        <v/>
      </c>
      <c r="O999" s="104" t="str">
        <f>IF(Main[[#This Row],[Tech Start Date]]&lt;1/1/1990,"",IF(Main[[#This Row],[Class]]="C",WORKDAY(Main[[#This Row],[Tech Start Date]],23),IF(Main[[#This Row],[Class]]="B", WORKDAY(Main[[#This Row],[Tech Start Date]],15),IF(Main[[#This Row],[Class]]="A",WORKDAY(Main[[#This Row],[Tech Start Date]],5),""))))</f>
        <v/>
      </c>
      <c r="P999" s="104" t="str">
        <f>IF(Main[[#This Row],[Tech Start Date]]&lt;1/1/1990,"",IF(Main[[#This Row],[Class]]="C",WORKDAY(Main[[#This Row],[Tech Start Date]],28),IF(Main[[#This Row],[Class]]="B", WORKDAY(Main[[#This Row],[Tech Start Date]],19),IF(Main[[#This Row],[Class]]="A",WORKDAY(Main[[#This Row],[Tech Start Date]],9),""))))</f>
        <v/>
      </c>
      <c r="Q999" s="101">
        <v>40239</v>
      </c>
      <c r="R999" s="101"/>
      <c r="S999" s="99" t="s">
        <v>11</v>
      </c>
      <c r="T999" s="107" t="s">
        <v>4</v>
      </c>
      <c r="U999" s="99" t="s">
        <v>14</v>
      </c>
      <c r="V999" s="99" t="s">
        <v>1965</v>
      </c>
      <c r="W999" s="99" t="s">
        <v>1964</v>
      </c>
    </row>
    <row r="1000" spans="1:23" ht="18.600000000000001" customHeight="1">
      <c r="A1000" s="123" t="str">
        <f>IF(priority(Main[[#This Row],[Comments]])&lt;&gt;0, priority(Main[[#This Row],[Comments]]),"")</f>
        <v/>
      </c>
      <c r="B1000" s="127" t="s">
        <v>1842</v>
      </c>
      <c r="C1000" s="99" t="s">
        <v>4</v>
      </c>
      <c r="D1000" s="100" t="s">
        <v>860</v>
      </c>
      <c r="E1000" s="101"/>
      <c r="F1000" s="101"/>
      <c r="G1000" s="102" t="str">
        <f>IF(stdProdLT(Main[[#This Row],[Comments]])=0.1,"N/A",IF(stdProdLT(Main[[#This Row],[Comments]])=0,"",stdProdLT(Main[[#This Row],[Comments]])))</f>
        <v/>
      </c>
      <c r="H1000" s="103" t="str">
        <f>IF(AND(Main[[#This Row],[In Stock Date]]&lt;&gt;"",Main[[#This Row],[Revised Due Date]]&lt;&gt;""),Main[[#This Row],[In Stock Date]]-Main[[#This Row],[Revised Due Date]],"")</f>
        <v/>
      </c>
      <c r="I1000" s="99" t="s">
        <v>4</v>
      </c>
      <c r="J1000" s="99" t="s">
        <v>4</v>
      </c>
      <c r="K1000" s="99" t="s">
        <v>4</v>
      </c>
      <c r="L1000" s="101"/>
      <c r="M1000" s="104" t="str">
        <f>IF(Main[[#This Row],[Tech Start Date]]&lt;1/1/1990,"",IF(Main[[#This Row],[Class]]="C",WORKDAY(Main[[#This Row],[Tech Start Date]],9),IF(Main[[#This Row],[Class]]="B", WORKDAY(Main[[#This Row],[Tech Start Date]],6),IF(Main[[#This Row],[Class]]="A",WORKDAY(Main[[#This Row],[Tech Start Date]],2),""))))</f>
        <v/>
      </c>
      <c r="N1000" s="104" t="str">
        <f>IF(Main[[#This Row],[Tech Start Date]]&lt;1/1/1990,"",IF(Main[[#This Row],[Class]]="C",WORKDAY(Main[[#This Row],[Tech Start Date]],19),IF(Main[[#This Row],[Class]]="B", WORKDAY(Main[[#This Row],[Tech Start Date]],12),IF(Main[[#This Row],[Class]]="A",WORKDAY(Main[[#This Row],[Tech Start Date]],4),""))))</f>
        <v/>
      </c>
      <c r="O1000" s="104" t="str">
        <f>IF(Main[[#This Row],[Tech Start Date]]&lt;1/1/1990,"",IF(Main[[#This Row],[Class]]="C",WORKDAY(Main[[#This Row],[Tech Start Date]],23),IF(Main[[#This Row],[Class]]="B", WORKDAY(Main[[#This Row],[Tech Start Date]],15),IF(Main[[#This Row],[Class]]="A",WORKDAY(Main[[#This Row],[Tech Start Date]],5),""))))</f>
        <v/>
      </c>
      <c r="P1000" s="104" t="str">
        <f>IF(Main[[#This Row],[Tech Start Date]]&lt;1/1/1990,"",IF(Main[[#This Row],[Class]]="C",WORKDAY(Main[[#This Row],[Tech Start Date]],28),IF(Main[[#This Row],[Class]]="B", WORKDAY(Main[[#This Row],[Tech Start Date]],19),IF(Main[[#This Row],[Class]]="A",WORKDAY(Main[[#This Row],[Tech Start Date]],9),""))))</f>
        <v/>
      </c>
      <c r="Q1000" s="101">
        <v>40349</v>
      </c>
      <c r="R1000" s="101"/>
      <c r="S1000" s="99" t="s">
        <v>6</v>
      </c>
      <c r="T1000" s="107" t="s">
        <v>4</v>
      </c>
      <c r="U1000" s="99" t="s">
        <v>14</v>
      </c>
      <c r="V1000" s="99" t="s">
        <v>1965</v>
      </c>
      <c r="W1000" s="99" t="s">
        <v>4</v>
      </c>
    </row>
    <row r="1001" spans="1:23" ht="18.600000000000001" customHeight="1">
      <c r="A1001" s="123" t="str">
        <f>IF(priority(Main[[#This Row],[Comments]])&lt;&gt;0, priority(Main[[#This Row],[Comments]]),"")</f>
        <v/>
      </c>
      <c r="B1001" s="127" t="s">
        <v>2267</v>
      </c>
      <c r="C1001" s="99" t="s">
        <v>4</v>
      </c>
      <c r="D1001" s="100" t="s">
        <v>2268</v>
      </c>
      <c r="E1001" s="101"/>
      <c r="F1001" s="101"/>
      <c r="G1001" s="102" t="str">
        <f>IF(stdProdLT(Main[[#This Row],[Comments]])=0.1,"N/A",IF(stdProdLT(Main[[#This Row],[Comments]])=0,"",stdProdLT(Main[[#This Row],[Comments]])))</f>
        <v/>
      </c>
      <c r="H1001" s="103" t="str">
        <f>IF(AND(Main[[#This Row],[In Stock Date]]&lt;&gt;"",Main[[#This Row],[Revised Due Date]]&lt;&gt;""),Main[[#This Row],[In Stock Date]]-Main[[#This Row],[Revised Due Date]],"")</f>
        <v/>
      </c>
      <c r="I1001" s="99" t="s">
        <v>4</v>
      </c>
      <c r="J1001" s="99" t="s">
        <v>4</v>
      </c>
      <c r="K1001" s="99" t="s">
        <v>4</v>
      </c>
      <c r="L1001" s="101"/>
      <c r="M1001" s="104" t="str">
        <f>IF(Main[[#This Row],[Tech Start Date]]&lt;1/1/1990,"",IF(Main[[#This Row],[Class]]="C",WORKDAY(Main[[#This Row],[Tech Start Date]],9),IF(Main[[#This Row],[Class]]="B", WORKDAY(Main[[#This Row],[Tech Start Date]],6),IF(Main[[#This Row],[Class]]="A",WORKDAY(Main[[#This Row],[Tech Start Date]],2),""))))</f>
        <v/>
      </c>
      <c r="N1001" s="104" t="str">
        <f>IF(Main[[#This Row],[Tech Start Date]]&lt;1/1/1990,"",IF(Main[[#This Row],[Class]]="C",WORKDAY(Main[[#This Row],[Tech Start Date]],19),IF(Main[[#This Row],[Class]]="B", WORKDAY(Main[[#This Row],[Tech Start Date]],12),IF(Main[[#This Row],[Class]]="A",WORKDAY(Main[[#This Row],[Tech Start Date]],4),""))))</f>
        <v/>
      </c>
      <c r="O1001" s="104" t="str">
        <f>IF(Main[[#This Row],[Tech Start Date]]&lt;1/1/1990,"",IF(Main[[#This Row],[Class]]="C",WORKDAY(Main[[#This Row],[Tech Start Date]],23),IF(Main[[#This Row],[Class]]="B", WORKDAY(Main[[#This Row],[Tech Start Date]],15),IF(Main[[#This Row],[Class]]="A",WORKDAY(Main[[#This Row],[Tech Start Date]],5),""))))</f>
        <v/>
      </c>
      <c r="P1001" s="104" t="str">
        <f>IF(Main[[#This Row],[Tech Start Date]]&lt;1/1/1990,"",IF(Main[[#This Row],[Class]]="C",WORKDAY(Main[[#This Row],[Tech Start Date]],28),IF(Main[[#This Row],[Class]]="B", WORKDAY(Main[[#This Row],[Tech Start Date]],19),IF(Main[[#This Row],[Class]]="A",WORKDAY(Main[[#This Row],[Tech Start Date]],9),""))))</f>
        <v/>
      </c>
      <c r="Q1001" s="101"/>
      <c r="R1001" s="101"/>
      <c r="S1001" s="99" t="s">
        <v>6</v>
      </c>
      <c r="T1001" s="107" t="s">
        <v>4</v>
      </c>
      <c r="U1001" s="99" t="s">
        <v>14</v>
      </c>
      <c r="V1001" s="99" t="s">
        <v>1963</v>
      </c>
      <c r="W1001" s="99" t="s">
        <v>4</v>
      </c>
    </row>
    <row r="1002" spans="1:23" ht="18.600000000000001" customHeight="1">
      <c r="A1002" s="123" t="str">
        <f>IF(priority(Main[[#This Row],[Comments]])&lt;&gt;0, priority(Main[[#This Row],[Comments]]),"")</f>
        <v/>
      </c>
      <c r="B1002" s="127" t="s">
        <v>1844</v>
      </c>
      <c r="C1002" s="99" t="s">
        <v>47</v>
      </c>
      <c r="D1002" s="100" t="s">
        <v>865</v>
      </c>
      <c r="E1002" s="101"/>
      <c r="F1002" s="101"/>
      <c r="G1002" s="102" t="str">
        <f>IF(stdProdLT(Main[[#This Row],[Comments]])=0.1,"N/A",IF(stdProdLT(Main[[#This Row],[Comments]])=0,"",stdProdLT(Main[[#This Row],[Comments]])))</f>
        <v/>
      </c>
      <c r="H1002" s="103" t="str">
        <f>IF(AND(Main[[#This Row],[In Stock Date]]&lt;&gt;"",Main[[#This Row],[Revised Due Date]]&lt;&gt;""),Main[[#This Row],[In Stock Date]]-Main[[#This Row],[Revised Due Date]],"")</f>
        <v/>
      </c>
      <c r="I1002" s="99" t="s">
        <v>4</v>
      </c>
      <c r="J1002" s="99" t="s">
        <v>4</v>
      </c>
      <c r="K1002" s="99" t="s">
        <v>4</v>
      </c>
      <c r="L1002" s="101"/>
      <c r="M1002" s="104" t="str">
        <f>IF(Main[[#This Row],[Tech Start Date]]&lt;1/1/1990,"",IF(Main[[#This Row],[Class]]="C",WORKDAY(Main[[#This Row],[Tech Start Date]],9),IF(Main[[#This Row],[Class]]="B", WORKDAY(Main[[#This Row],[Tech Start Date]],6),IF(Main[[#This Row],[Class]]="A",WORKDAY(Main[[#This Row],[Tech Start Date]],2),""))))</f>
        <v/>
      </c>
      <c r="N1002" s="104" t="str">
        <f>IF(Main[[#This Row],[Tech Start Date]]&lt;1/1/1990,"",IF(Main[[#This Row],[Class]]="C",WORKDAY(Main[[#This Row],[Tech Start Date]],19),IF(Main[[#This Row],[Class]]="B", WORKDAY(Main[[#This Row],[Tech Start Date]],12),IF(Main[[#This Row],[Class]]="A",WORKDAY(Main[[#This Row],[Tech Start Date]],4),""))))</f>
        <v/>
      </c>
      <c r="O1002" s="104" t="str">
        <f>IF(Main[[#This Row],[Tech Start Date]]&lt;1/1/1990,"",IF(Main[[#This Row],[Class]]="C",WORKDAY(Main[[#This Row],[Tech Start Date]],23),IF(Main[[#This Row],[Class]]="B", WORKDAY(Main[[#This Row],[Tech Start Date]],15),IF(Main[[#This Row],[Class]]="A",WORKDAY(Main[[#This Row],[Tech Start Date]],5),""))))</f>
        <v/>
      </c>
      <c r="P1002" s="104" t="str">
        <f>IF(Main[[#This Row],[Tech Start Date]]&lt;1/1/1990,"",IF(Main[[#This Row],[Class]]="C",WORKDAY(Main[[#This Row],[Tech Start Date]],28),IF(Main[[#This Row],[Class]]="B", WORKDAY(Main[[#This Row],[Tech Start Date]],19),IF(Main[[#This Row],[Class]]="A",WORKDAY(Main[[#This Row],[Tech Start Date]],9),""))))</f>
        <v/>
      </c>
      <c r="Q1002" s="101"/>
      <c r="R1002" s="101"/>
      <c r="S1002" s="99" t="s">
        <v>17</v>
      </c>
      <c r="T1002" s="107" t="s">
        <v>4</v>
      </c>
      <c r="U1002" s="99" t="s">
        <v>14</v>
      </c>
      <c r="V1002" s="99" t="s">
        <v>1965</v>
      </c>
      <c r="W1002" s="99" t="s">
        <v>1967</v>
      </c>
    </row>
    <row r="1003" spans="1:23" ht="18.600000000000001" customHeight="1">
      <c r="A1003" s="123" t="str">
        <f>IF(priority(Main[[#This Row],[Comments]])&lt;&gt;0, priority(Main[[#This Row],[Comments]]),"")</f>
        <v/>
      </c>
      <c r="B1003" s="127" t="s">
        <v>1770</v>
      </c>
      <c r="C1003" s="99" t="s">
        <v>4</v>
      </c>
      <c r="D1003" s="100" t="s">
        <v>798</v>
      </c>
      <c r="E1003" s="101">
        <v>40584.401712962965</v>
      </c>
      <c r="F1003" s="101">
        <v>40602</v>
      </c>
      <c r="G1003" s="102" t="str">
        <f>IF(stdProdLT(Main[[#This Row],[Comments]])=0.1,"N/A",IF(stdProdLT(Main[[#This Row],[Comments]])=0,"",stdProdLT(Main[[#This Row],[Comments]])))</f>
        <v/>
      </c>
      <c r="H1003" s="103" t="str">
        <f>IF(AND(Main[[#This Row],[In Stock Date]]&lt;&gt;"",Main[[#This Row],[Revised Due Date]]&lt;&gt;""),Main[[#This Row],[In Stock Date]]-Main[[#This Row],[Revised Due Date]],"")</f>
        <v/>
      </c>
      <c r="I1003" s="99" t="s">
        <v>4</v>
      </c>
      <c r="J1003" s="99" t="s">
        <v>28</v>
      </c>
      <c r="K1003" s="108" t="s">
        <v>1974</v>
      </c>
      <c r="L1003" s="101"/>
      <c r="M1003" s="104" t="str">
        <f>IF(Main[[#This Row],[Tech Start Date]]&lt;1/1/1990,"",IF(Main[[#This Row],[Class]]="C",WORKDAY(Main[[#This Row],[Tech Start Date]],9),IF(Main[[#This Row],[Class]]="B", WORKDAY(Main[[#This Row],[Tech Start Date]],6),IF(Main[[#This Row],[Class]]="A",WORKDAY(Main[[#This Row],[Tech Start Date]],2),""))))</f>
        <v/>
      </c>
      <c r="N1003" s="104" t="str">
        <f>IF(Main[[#This Row],[Tech Start Date]]&lt;1/1/1990,"",IF(Main[[#This Row],[Class]]="C",WORKDAY(Main[[#This Row],[Tech Start Date]],19),IF(Main[[#This Row],[Class]]="B", WORKDAY(Main[[#This Row],[Tech Start Date]],12),IF(Main[[#This Row],[Class]]="A",WORKDAY(Main[[#This Row],[Tech Start Date]],4),""))))</f>
        <v/>
      </c>
      <c r="O1003" s="104" t="str">
        <f>IF(Main[[#This Row],[Tech Start Date]]&lt;1/1/1990,"",IF(Main[[#This Row],[Class]]="C",WORKDAY(Main[[#This Row],[Tech Start Date]],23),IF(Main[[#This Row],[Class]]="B", WORKDAY(Main[[#This Row],[Tech Start Date]],15),IF(Main[[#This Row],[Class]]="A",WORKDAY(Main[[#This Row],[Tech Start Date]],5),""))))</f>
        <v/>
      </c>
      <c r="P1003" s="104" t="str">
        <f>IF(Main[[#This Row],[Tech Start Date]]&lt;1/1/1990,"",IF(Main[[#This Row],[Class]]="C",WORKDAY(Main[[#This Row],[Tech Start Date]],28),IF(Main[[#This Row],[Class]]="B", WORKDAY(Main[[#This Row],[Tech Start Date]],19),IF(Main[[#This Row],[Class]]="A",WORKDAY(Main[[#This Row],[Tech Start Date]],9),""))))</f>
        <v/>
      </c>
      <c r="Q1003" s="101">
        <v>40602</v>
      </c>
      <c r="R1003" s="101"/>
      <c r="S1003" s="99" t="s">
        <v>17</v>
      </c>
      <c r="T1003" s="107" t="s">
        <v>4</v>
      </c>
      <c r="U1003" s="99" t="s">
        <v>7</v>
      </c>
      <c r="V1003" s="99" t="s">
        <v>1962</v>
      </c>
      <c r="W1003" s="99" t="s">
        <v>1970</v>
      </c>
    </row>
    <row r="1004" spans="1:23" ht="18.600000000000001" customHeight="1">
      <c r="A1004" s="123" t="str">
        <f>IF(priority(Main[[#This Row],[Comments]])&lt;&gt;0, priority(Main[[#This Row],[Comments]]),"")</f>
        <v/>
      </c>
      <c r="B1004" s="127" t="s">
        <v>2146</v>
      </c>
      <c r="C1004" s="99" t="s">
        <v>4</v>
      </c>
      <c r="D1004" s="100" t="s">
        <v>2517</v>
      </c>
      <c r="E1004" s="101">
        <v>40764.689201388886</v>
      </c>
      <c r="F1004" s="101"/>
      <c r="G1004" s="102" t="str">
        <f>IF(stdProdLT(Main[[#This Row],[Comments]])=0.1,"N/A",IF(stdProdLT(Main[[#This Row],[Comments]])=0,"",stdProdLT(Main[[#This Row],[Comments]])))</f>
        <v/>
      </c>
      <c r="H1004" s="103" t="str">
        <f>IF(AND(Main[[#This Row],[In Stock Date]]&lt;&gt;"",Main[[#This Row],[Revised Due Date]]&lt;&gt;""),Main[[#This Row],[In Stock Date]]-Main[[#This Row],[Revised Due Date]],"")</f>
        <v/>
      </c>
      <c r="I1004" s="99" t="s">
        <v>4</v>
      </c>
      <c r="J1004" s="99" t="s">
        <v>4</v>
      </c>
      <c r="K1004" s="99" t="s">
        <v>4</v>
      </c>
      <c r="L1004" s="101"/>
      <c r="M1004" s="104" t="str">
        <f>IF(Main[[#This Row],[Tech Start Date]]&lt;1/1/1990,"",IF(Main[[#This Row],[Class]]="C",WORKDAY(Main[[#This Row],[Tech Start Date]],9),IF(Main[[#This Row],[Class]]="B", WORKDAY(Main[[#This Row],[Tech Start Date]],6),IF(Main[[#This Row],[Class]]="A",WORKDAY(Main[[#This Row],[Tech Start Date]],2),""))))</f>
        <v/>
      </c>
      <c r="N1004" s="104" t="str">
        <f>IF(Main[[#This Row],[Tech Start Date]]&lt;1/1/1990,"",IF(Main[[#This Row],[Class]]="C",WORKDAY(Main[[#This Row],[Tech Start Date]],19),IF(Main[[#This Row],[Class]]="B", WORKDAY(Main[[#This Row],[Tech Start Date]],12),IF(Main[[#This Row],[Class]]="A",WORKDAY(Main[[#This Row],[Tech Start Date]],4),""))))</f>
        <v/>
      </c>
      <c r="O1004" s="104" t="str">
        <f>IF(Main[[#This Row],[Tech Start Date]]&lt;1/1/1990,"",IF(Main[[#This Row],[Class]]="C",WORKDAY(Main[[#This Row],[Tech Start Date]],23),IF(Main[[#This Row],[Class]]="B", WORKDAY(Main[[#This Row],[Tech Start Date]],15),IF(Main[[#This Row],[Class]]="A",WORKDAY(Main[[#This Row],[Tech Start Date]],5),""))))</f>
        <v/>
      </c>
      <c r="P1004" s="104" t="str">
        <f>IF(Main[[#This Row],[Tech Start Date]]&lt;1/1/1990,"",IF(Main[[#This Row],[Class]]="C",WORKDAY(Main[[#This Row],[Tech Start Date]],28),IF(Main[[#This Row],[Class]]="B", WORKDAY(Main[[#This Row],[Tech Start Date]],19),IF(Main[[#This Row],[Class]]="A",WORKDAY(Main[[#This Row],[Tech Start Date]],9),""))))</f>
        <v/>
      </c>
      <c r="Q1004" s="101"/>
      <c r="R1004" s="101"/>
      <c r="S1004" s="99" t="s">
        <v>6</v>
      </c>
      <c r="T1004" s="107" t="s">
        <v>4</v>
      </c>
      <c r="U1004" s="99" t="s">
        <v>7</v>
      </c>
      <c r="V1004" s="99" t="s">
        <v>1963</v>
      </c>
      <c r="W1004" s="99" t="s">
        <v>1964</v>
      </c>
    </row>
    <row r="1005" spans="1:23" ht="18.600000000000001" customHeight="1">
      <c r="A1005" s="123" t="str">
        <f>IF(priority(Main[[#This Row],[Comments]])&lt;&gt;0, priority(Main[[#This Row],[Comments]]),"")</f>
        <v/>
      </c>
      <c r="B1005" s="127" t="s">
        <v>2573</v>
      </c>
      <c r="C1005" s="99" t="s">
        <v>4</v>
      </c>
      <c r="D1005" s="100" t="s">
        <v>2574</v>
      </c>
      <c r="E1005" s="101">
        <v>40849.410127314812</v>
      </c>
      <c r="F1005" s="101"/>
      <c r="G1005" s="102" t="str">
        <f>IF(stdProdLT(Main[[#This Row],[Comments]])=0.1,"N/A",IF(stdProdLT(Main[[#This Row],[Comments]])=0,"",stdProdLT(Main[[#This Row],[Comments]])))</f>
        <v/>
      </c>
      <c r="H1005" s="103" t="str">
        <f>IF(AND(Main[[#This Row],[In Stock Date]]&lt;&gt;"",Main[[#This Row],[Revised Due Date]]&lt;&gt;""),Main[[#This Row],[In Stock Date]]-Main[[#This Row],[Revised Due Date]],"")</f>
        <v/>
      </c>
      <c r="I1005" s="99" t="s">
        <v>2102</v>
      </c>
      <c r="J1005" s="99" t="s">
        <v>28</v>
      </c>
      <c r="K1005" s="99" t="s">
        <v>1971</v>
      </c>
      <c r="L1005" s="101"/>
      <c r="M1005" s="104" t="str">
        <f>IF(Main[[#This Row],[Tech Start Date]]&lt;1/1/1990,"",IF(Main[[#This Row],[Class]]="C",WORKDAY(Main[[#This Row],[Tech Start Date]],9),IF(Main[[#This Row],[Class]]="B", WORKDAY(Main[[#This Row],[Tech Start Date]],6),IF(Main[[#This Row],[Class]]="A",WORKDAY(Main[[#This Row],[Tech Start Date]],2),""))))</f>
        <v/>
      </c>
      <c r="N1005" s="104" t="str">
        <f>IF(Main[[#This Row],[Tech Start Date]]&lt;1/1/1990,"",IF(Main[[#This Row],[Class]]="C",WORKDAY(Main[[#This Row],[Tech Start Date]],19),IF(Main[[#This Row],[Class]]="B", WORKDAY(Main[[#This Row],[Tech Start Date]],12),IF(Main[[#This Row],[Class]]="A",WORKDAY(Main[[#This Row],[Tech Start Date]],4),""))))</f>
        <v/>
      </c>
      <c r="O1005" s="104" t="str">
        <f>IF(Main[[#This Row],[Tech Start Date]]&lt;1/1/1990,"",IF(Main[[#This Row],[Class]]="C",WORKDAY(Main[[#This Row],[Tech Start Date]],23),IF(Main[[#This Row],[Class]]="B", WORKDAY(Main[[#This Row],[Tech Start Date]],15),IF(Main[[#This Row],[Class]]="A",WORKDAY(Main[[#This Row],[Tech Start Date]],5),""))))</f>
        <v/>
      </c>
      <c r="P1005" s="104" t="str">
        <f>IF(Main[[#This Row],[Tech Start Date]]&lt;1/1/1990,"",IF(Main[[#This Row],[Class]]="C",WORKDAY(Main[[#This Row],[Tech Start Date]],28),IF(Main[[#This Row],[Class]]="B", WORKDAY(Main[[#This Row],[Tech Start Date]],19),IF(Main[[#This Row],[Class]]="A",WORKDAY(Main[[#This Row],[Tech Start Date]],9),""))))</f>
        <v/>
      </c>
      <c r="Q1005" s="101">
        <v>40886</v>
      </c>
      <c r="R1005" s="101"/>
      <c r="S1005" s="99" t="s">
        <v>6</v>
      </c>
      <c r="T1005" s="107" t="s">
        <v>4</v>
      </c>
      <c r="U1005" s="99" t="s">
        <v>29</v>
      </c>
      <c r="V1005" s="99" t="s">
        <v>1965</v>
      </c>
      <c r="W1005" s="99" t="s">
        <v>1966</v>
      </c>
    </row>
    <row r="1006" spans="1:23" ht="18.600000000000001" customHeight="1">
      <c r="A1006" s="123" t="str">
        <f>IF(priority(Main[[#This Row],[Comments]])&lt;&gt;0, priority(Main[[#This Row],[Comments]]),"")</f>
        <v/>
      </c>
      <c r="B1006" s="127" t="s">
        <v>1551</v>
      </c>
      <c r="C1006" s="99" t="s">
        <v>4</v>
      </c>
      <c r="D1006" s="100" t="s">
        <v>596</v>
      </c>
      <c r="E1006" s="101"/>
      <c r="F1006" s="101"/>
      <c r="G1006" s="102" t="str">
        <f>IF(stdProdLT(Main[[#This Row],[Comments]])=0.1,"N/A",IF(stdProdLT(Main[[#This Row],[Comments]])=0,"",stdProdLT(Main[[#This Row],[Comments]])))</f>
        <v/>
      </c>
      <c r="H1006" s="103" t="str">
        <f>IF(AND(Main[[#This Row],[In Stock Date]]&lt;&gt;"",Main[[#This Row],[Revised Due Date]]&lt;&gt;""),Main[[#This Row],[In Stock Date]]-Main[[#This Row],[Revised Due Date]],"")</f>
        <v/>
      </c>
      <c r="I1006" s="99" t="s">
        <v>311</v>
      </c>
      <c r="J1006" s="99" t="s">
        <v>28</v>
      </c>
      <c r="K1006" s="108" t="s">
        <v>4</v>
      </c>
      <c r="L1006" s="101"/>
      <c r="M1006" s="104" t="str">
        <f>IF(Main[[#This Row],[Tech Start Date]]&lt;1/1/1990,"",IF(Main[[#This Row],[Class]]="C",WORKDAY(Main[[#This Row],[Tech Start Date]],9),IF(Main[[#This Row],[Class]]="B", WORKDAY(Main[[#This Row],[Tech Start Date]],6),IF(Main[[#This Row],[Class]]="A",WORKDAY(Main[[#This Row],[Tech Start Date]],2),""))))</f>
        <v/>
      </c>
      <c r="N1006" s="104" t="str">
        <f>IF(Main[[#This Row],[Tech Start Date]]&lt;1/1/1990,"",IF(Main[[#This Row],[Class]]="C",WORKDAY(Main[[#This Row],[Tech Start Date]],19),IF(Main[[#This Row],[Class]]="B", WORKDAY(Main[[#This Row],[Tech Start Date]],12),IF(Main[[#This Row],[Class]]="A",WORKDAY(Main[[#This Row],[Tech Start Date]],4),""))))</f>
        <v/>
      </c>
      <c r="O1006" s="104" t="str">
        <f>IF(Main[[#This Row],[Tech Start Date]]&lt;1/1/1990,"",IF(Main[[#This Row],[Class]]="C",WORKDAY(Main[[#This Row],[Tech Start Date]],23),IF(Main[[#This Row],[Class]]="B", WORKDAY(Main[[#This Row],[Tech Start Date]],15),IF(Main[[#This Row],[Class]]="A",WORKDAY(Main[[#This Row],[Tech Start Date]],5),""))))</f>
        <v/>
      </c>
      <c r="P1006" s="104" t="str">
        <f>IF(Main[[#This Row],[Tech Start Date]]&lt;1/1/1990,"",IF(Main[[#This Row],[Class]]="C",WORKDAY(Main[[#This Row],[Tech Start Date]],28),IF(Main[[#This Row],[Class]]="B", WORKDAY(Main[[#This Row],[Tech Start Date]],19),IF(Main[[#This Row],[Class]]="A",WORKDAY(Main[[#This Row],[Tech Start Date]],9),""))))</f>
        <v/>
      </c>
      <c r="Q1006" s="101"/>
      <c r="R1006" s="101"/>
      <c r="S1006" s="99" t="s">
        <v>6</v>
      </c>
      <c r="T1006" s="107" t="s">
        <v>4</v>
      </c>
      <c r="U1006" s="99" t="s">
        <v>14</v>
      </c>
      <c r="V1006" s="99" t="s">
        <v>1965</v>
      </c>
      <c r="W1006" s="99" t="s">
        <v>1964</v>
      </c>
    </row>
    <row r="1007" spans="1:23" ht="18.600000000000001" customHeight="1">
      <c r="A1007" s="123" t="str">
        <f>IF(priority(Main[[#This Row],[Comments]])&lt;&gt;0, priority(Main[[#This Row],[Comments]]),"")</f>
        <v/>
      </c>
      <c r="B1007" s="127" t="s">
        <v>1772</v>
      </c>
      <c r="C1007" s="99" t="s">
        <v>4</v>
      </c>
      <c r="D1007" s="100" t="s">
        <v>2302</v>
      </c>
      <c r="E1007" s="101"/>
      <c r="F1007" s="101"/>
      <c r="G1007" s="102" t="str">
        <f>IF(stdProdLT(Main[[#This Row],[Comments]])=0.1,"N/A",IF(stdProdLT(Main[[#This Row],[Comments]])=0,"",stdProdLT(Main[[#This Row],[Comments]])))</f>
        <v/>
      </c>
      <c r="H1007" s="103" t="str">
        <f>IF(AND(Main[[#This Row],[In Stock Date]]&lt;&gt;"",Main[[#This Row],[Revised Due Date]]&lt;&gt;""),Main[[#This Row],[In Stock Date]]-Main[[#This Row],[Revised Due Date]],"")</f>
        <v/>
      </c>
      <c r="I1007" s="99" t="s">
        <v>929</v>
      </c>
      <c r="J1007" s="99" t="s">
        <v>21</v>
      </c>
      <c r="K1007" s="99" t="s">
        <v>1971</v>
      </c>
      <c r="L1007" s="101"/>
      <c r="M1007" s="104" t="str">
        <f>IF(Main[[#This Row],[Tech Start Date]]&lt;1/1/1990,"",IF(Main[[#This Row],[Class]]="C",WORKDAY(Main[[#This Row],[Tech Start Date]],9),IF(Main[[#This Row],[Class]]="B", WORKDAY(Main[[#This Row],[Tech Start Date]],6),IF(Main[[#This Row],[Class]]="A",WORKDAY(Main[[#This Row],[Tech Start Date]],2),""))))</f>
        <v/>
      </c>
      <c r="N1007" s="104" t="str">
        <f>IF(Main[[#This Row],[Tech Start Date]]&lt;1/1/1990,"",IF(Main[[#This Row],[Class]]="C",WORKDAY(Main[[#This Row],[Tech Start Date]],19),IF(Main[[#This Row],[Class]]="B", WORKDAY(Main[[#This Row],[Tech Start Date]],12),IF(Main[[#This Row],[Class]]="A",WORKDAY(Main[[#This Row],[Tech Start Date]],4),""))))</f>
        <v/>
      </c>
      <c r="O1007" s="104" t="str">
        <f>IF(Main[[#This Row],[Tech Start Date]]&lt;1/1/1990,"",IF(Main[[#This Row],[Class]]="C",WORKDAY(Main[[#This Row],[Tech Start Date]],23),IF(Main[[#This Row],[Class]]="B", WORKDAY(Main[[#This Row],[Tech Start Date]],15),IF(Main[[#This Row],[Class]]="A",WORKDAY(Main[[#This Row],[Tech Start Date]],5),""))))</f>
        <v/>
      </c>
      <c r="P1007" s="104" t="str">
        <f>IF(Main[[#This Row],[Tech Start Date]]&lt;1/1/1990,"",IF(Main[[#This Row],[Class]]="C",WORKDAY(Main[[#This Row],[Tech Start Date]],28),IF(Main[[#This Row],[Class]]="B", WORKDAY(Main[[#This Row],[Tech Start Date]],19),IF(Main[[#This Row],[Class]]="A",WORKDAY(Main[[#This Row],[Tech Start Date]],9),""))))</f>
        <v/>
      </c>
      <c r="Q1007" s="101"/>
      <c r="R1007" s="101"/>
      <c r="S1007" s="99" t="s">
        <v>23</v>
      </c>
      <c r="T1007" s="107" t="s">
        <v>4</v>
      </c>
      <c r="U1007" s="99" t="s">
        <v>14</v>
      </c>
      <c r="V1007" s="99" t="s">
        <v>1962</v>
      </c>
      <c r="W1007" s="99" t="s">
        <v>1966</v>
      </c>
    </row>
    <row r="1008" spans="1:23" ht="18.600000000000001" customHeight="1">
      <c r="A1008" s="123" t="str">
        <f>IF(priority(Main[[#This Row],[Comments]])&lt;&gt;0, priority(Main[[#This Row],[Comments]]),"")</f>
        <v/>
      </c>
      <c r="B1008" s="127" t="s">
        <v>1437</v>
      </c>
      <c r="C1008" s="99" t="s">
        <v>4</v>
      </c>
      <c r="D1008" s="100" t="s">
        <v>2266</v>
      </c>
      <c r="E1008" s="101"/>
      <c r="F1008" s="101"/>
      <c r="G1008" s="102" t="str">
        <f>IF(stdProdLT(Main[[#This Row],[Comments]])=0.1,"N/A",IF(stdProdLT(Main[[#This Row],[Comments]])=0,"",stdProdLT(Main[[#This Row],[Comments]])))</f>
        <v/>
      </c>
      <c r="H1008" s="103" t="str">
        <f>IF(AND(Main[[#This Row],[In Stock Date]]&lt;&gt;"",Main[[#This Row],[Revised Due Date]]&lt;&gt;""),Main[[#This Row],[In Stock Date]]-Main[[#This Row],[Revised Due Date]],"")</f>
        <v/>
      </c>
      <c r="I1008" s="99" t="s">
        <v>536</v>
      </c>
      <c r="J1008" s="99" t="s">
        <v>52</v>
      </c>
      <c r="K1008" s="108" t="s">
        <v>1971</v>
      </c>
      <c r="L1008" s="101"/>
      <c r="M1008" s="104" t="str">
        <f>IF(Main[[#This Row],[Tech Start Date]]&lt;1/1/1990,"",IF(Main[[#This Row],[Class]]="C",WORKDAY(Main[[#This Row],[Tech Start Date]],9),IF(Main[[#This Row],[Class]]="B", WORKDAY(Main[[#This Row],[Tech Start Date]],6),IF(Main[[#This Row],[Class]]="A",WORKDAY(Main[[#This Row],[Tech Start Date]],2),""))))</f>
        <v/>
      </c>
      <c r="N1008" s="104" t="str">
        <f>IF(Main[[#This Row],[Tech Start Date]]&lt;1/1/1990,"",IF(Main[[#This Row],[Class]]="C",WORKDAY(Main[[#This Row],[Tech Start Date]],19),IF(Main[[#This Row],[Class]]="B", WORKDAY(Main[[#This Row],[Tech Start Date]],12),IF(Main[[#This Row],[Class]]="A",WORKDAY(Main[[#This Row],[Tech Start Date]],4),""))))</f>
        <v/>
      </c>
      <c r="O1008" s="104" t="str">
        <f>IF(Main[[#This Row],[Tech Start Date]]&lt;1/1/1990,"",IF(Main[[#This Row],[Class]]="C",WORKDAY(Main[[#This Row],[Tech Start Date]],23),IF(Main[[#This Row],[Class]]="B", WORKDAY(Main[[#This Row],[Tech Start Date]],15),IF(Main[[#This Row],[Class]]="A",WORKDAY(Main[[#This Row],[Tech Start Date]],5),""))))</f>
        <v/>
      </c>
      <c r="P1008" s="104" t="str">
        <f>IF(Main[[#This Row],[Tech Start Date]]&lt;1/1/1990,"",IF(Main[[#This Row],[Class]]="C",WORKDAY(Main[[#This Row],[Tech Start Date]],28),IF(Main[[#This Row],[Class]]="B", WORKDAY(Main[[#This Row],[Tech Start Date]],19),IF(Main[[#This Row],[Class]]="A",WORKDAY(Main[[#This Row],[Tech Start Date]],9),""))))</f>
        <v/>
      </c>
      <c r="Q1008" s="101">
        <v>40390</v>
      </c>
      <c r="R1008" s="101"/>
      <c r="S1008" s="99" t="s">
        <v>6</v>
      </c>
      <c r="T1008" s="107" t="s">
        <v>4</v>
      </c>
      <c r="U1008" s="99" t="s">
        <v>14</v>
      </c>
      <c r="V1008" s="99" t="s">
        <v>1965</v>
      </c>
      <c r="W1008" s="99" t="s">
        <v>1966</v>
      </c>
    </row>
    <row r="1009" spans="1:23" ht="18.600000000000001" customHeight="1">
      <c r="A1009" s="123" t="str">
        <f>IF(priority(Main[[#This Row],[Comments]])&lt;&gt;0, priority(Main[[#This Row],[Comments]]),"")</f>
        <v/>
      </c>
      <c r="B1009" s="127" t="s">
        <v>1686</v>
      </c>
      <c r="C1009" s="99" t="s">
        <v>505</v>
      </c>
      <c r="D1009" s="100" t="s">
        <v>2242</v>
      </c>
      <c r="E1009" s="101">
        <v>40655.401631944442</v>
      </c>
      <c r="F1009" s="101"/>
      <c r="G1009" s="102" t="str">
        <f>IF(stdProdLT(Main[[#This Row],[Comments]])=0.1,"N/A",IF(stdProdLT(Main[[#This Row],[Comments]])=0,"",stdProdLT(Main[[#This Row],[Comments]])))</f>
        <v/>
      </c>
      <c r="H1009" s="103" t="str">
        <f>IF(AND(Main[[#This Row],[In Stock Date]]&lt;&gt;"",Main[[#This Row],[Revised Due Date]]&lt;&gt;""),Main[[#This Row],[In Stock Date]]-Main[[#This Row],[Revised Due Date]],"")</f>
        <v/>
      </c>
      <c r="I1009" s="99" t="s">
        <v>50</v>
      </c>
      <c r="J1009" s="99" t="s">
        <v>52</v>
      </c>
      <c r="K1009" s="99" t="s">
        <v>1971</v>
      </c>
      <c r="L1009" s="101"/>
      <c r="M1009" s="104" t="str">
        <f>IF(Main[[#This Row],[Tech Start Date]]&lt;1/1/1990,"",IF(Main[[#This Row],[Class]]="C",WORKDAY(Main[[#This Row],[Tech Start Date]],9),IF(Main[[#This Row],[Class]]="B", WORKDAY(Main[[#This Row],[Tech Start Date]],6),IF(Main[[#This Row],[Class]]="A",WORKDAY(Main[[#This Row],[Tech Start Date]],2),""))))</f>
        <v/>
      </c>
      <c r="N1009" s="104" t="str">
        <f>IF(Main[[#This Row],[Tech Start Date]]&lt;1/1/1990,"",IF(Main[[#This Row],[Class]]="C",WORKDAY(Main[[#This Row],[Tech Start Date]],19),IF(Main[[#This Row],[Class]]="B", WORKDAY(Main[[#This Row],[Tech Start Date]],12),IF(Main[[#This Row],[Class]]="A",WORKDAY(Main[[#This Row],[Tech Start Date]],4),""))))</f>
        <v/>
      </c>
      <c r="O1009" s="104" t="str">
        <f>IF(Main[[#This Row],[Tech Start Date]]&lt;1/1/1990,"",IF(Main[[#This Row],[Class]]="C",WORKDAY(Main[[#This Row],[Tech Start Date]],23),IF(Main[[#This Row],[Class]]="B", WORKDAY(Main[[#This Row],[Tech Start Date]],15),IF(Main[[#This Row],[Class]]="A",WORKDAY(Main[[#This Row],[Tech Start Date]],5),""))))</f>
        <v/>
      </c>
      <c r="P1009" s="104" t="str">
        <f>IF(Main[[#This Row],[Tech Start Date]]&lt;1/1/1990,"",IF(Main[[#This Row],[Class]]="C",WORKDAY(Main[[#This Row],[Tech Start Date]],28),IF(Main[[#This Row],[Class]]="B", WORKDAY(Main[[#This Row],[Tech Start Date]],19),IF(Main[[#This Row],[Class]]="A",WORKDAY(Main[[#This Row],[Tech Start Date]],9),""))))</f>
        <v/>
      </c>
      <c r="Q1009" s="101"/>
      <c r="R1009" s="101"/>
      <c r="S1009" s="99" t="s">
        <v>6</v>
      </c>
      <c r="T1009" s="107" t="s">
        <v>4</v>
      </c>
      <c r="U1009" s="99" t="s">
        <v>540</v>
      </c>
      <c r="V1009" s="99" t="s">
        <v>1962</v>
      </c>
      <c r="W1009" s="99" t="s">
        <v>1968</v>
      </c>
    </row>
    <row r="1010" spans="1:23" ht="18.600000000000001" customHeight="1">
      <c r="A1010" s="123" t="str">
        <f>IF(priority(Main[[#This Row],[Comments]])&lt;&gt;0, priority(Main[[#This Row],[Comments]]),"")</f>
        <v/>
      </c>
      <c r="B1010" s="127" t="s">
        <v>1906</v>
      </c>
      <c r="C1010" s="99" t="s">
        <v>4</v>
      </c>
      <c r="D1010" s="100" t="s">
        <v>3088</v>
      </c>
      <c r="E1010" s="101">
        <v>40501.677928240744</v>
      </c>
      <c r="F1010" s="101"/>
      <c r="G1010" s="102" t="str">
        <f>IF(stdProdLT(Main[[#This Row],[Comments]])=0.1,"N/A",IF(stdProdLT(Main[[#This Row],[Comments]])=0,"",stdProdLT(Main[[#This Row],[Comments]])))</f>
        <v/>
      </c>
      <c r="H1010" s="103" t="str">
        <f>IF(AND(Main[[#This Row],[In Stock Date]]&lt;&gt;"",Main[[#This Row],[Revised Due Date]]&lt;&gt;""),Main[[#This Row],[In Stock Date]]-Main[[#This Row],[Revised Due Date]],"")</f>
        <v/>
      </c>
      <c r="I1010" s="99" t="s">
        <v>924</v>
      </c>
      <c r="J1010" s="99" t="s">
        <v>28</v>
      </c>
      <c r="K1010" s="99" t="s">
        <v>1974</v>
      </c>
      <c r="L1010" s="101"/>
      <c r="M1010" s="104" t="str">
        <f>IF(Main[[#This Row],[Tech Start Date]]&lt;1/1/1990,"",IF(Main[[#This Row],[Class]]="C",WORKDAY(Main[[#This Row],[Tech Start Date]],9),IF(Main[[#This Row],[Class]]="B", WORKDAY(Main[[#This Row],[Tech Start Date]],6),IF(Main[[#This Row],[Class]]="A",WORKDAY(Main[[#This Row],[Tech Start Date]],2),""))))</f>
        <v/>
      </c>
      <c r="N1010" s="104" t="str">
        <f>IF(Main[[#This Row],[Tech Start Date]]&lt;1/1/1990,"",IF(Main[[#This Row],[Class]]="C",WORKDAY(Main[[#This Row],[Tech Start Date]],19),IF(Main[[#This Row],[Class]]="B", WORKDAY(Main[[#This Row],[Tech Start Date]],12),IF(Main[[#This Row],[Class]]="A",WORKDAY(Main[[#This Row],[Tech Start Date]],4),""))))</f>
        <v/>
      </c>
      <c r="O1010" s="104" t="str">
        <f>IF(Main[[#This Row],[Tech Start Date]]&lt;1/1/1990,"",IF(Main[[#This Row],[Class]]="C",WORKDAY(Main[[#This Row],[Tech Start Date]],23),IF(Main[[#This Row],[Class]]="B", WORKDAY(Main[[#This Row],[Tech Start Date]],15),IF(Main[[#This Row],[Class]]="A",WORKDAY(Main[[#This Row],[Tech Start Date]],5),""))))</f>
        <v/>
      </c>
      <c r="P1010" s="104" t="str">
        <f>IF(Main[[#This Row],[Tech Start Date]]&lt;1/1/1990,"",IF(Main[[#This Row],[Class]]="C",WORKDAY(Main[[#This Row],[Tech Start Date]],28),IF(Main[[#This Row],[Class]]="B", WORKDAY(Main[[#This Row],[Tech Start Date]],19),IF(Main[[#This Row],[Class]]="A",WORKDAY(Main[[#This Row],[Tech Start Date]],9),""))))</f>
        <v/>
      </c>
      <c r="Q1010" s="101">
        <v>41274</v>
      </c>
      <c r="R1010" s="101">
        <v>41274</v>
      </c>
      <c r="S1010" s="99" t="s">
        <v>17</v>
      </c>
      <c r="T1010" s="107" t="s">
        <v>4</v>
      </c>
      <c r="U1010" s="99" t="s">
        <v>29</v>
      </c>
      <c r="V1010" s="99" t="s">
        <v>1962</v>
      </c>
      <c r="W1010" s="99" t="s">
        <v>1967</v>
      </c>
    </row>
    <row r="1011" spans="1:23" ht="18.600000000000001" customHeight="1">
      <c r="A1011" s="123" t="str">
        <f>IF(priority(Main[[#This Row],[Comments]])&lt;&gt;0, priority(Main[[#This Row],[Comments]]),"")</f>
        <v/>
      </c>
      <c r="B1011" s="127" t="s">
        <v>2541</v>
      </c>
      <c r="C1011" s="99" t="s">
        <v>4</v>
      </c>
      <c r="D1011" s="100" t="s">
        <v>2542</v>
      </c>
      <c r="E1011" s="101">
        <v>40820.81591435185</v>
      </c>
      <c r="F1011" s="101"/>
      <c r="G1011" s="102" t="str">
        <f>IF(stdProdLT(Main[[#This Row],[Comments]])=0.1,"N/A",IF(stdProdLT(Main[[#This Row],[Comments]])=0,"",stdProdLT(Main[[#This Row],[Comments]])))</f>
        <v/>
      </c>
      <c r="H1011" s="103" t="str">
        <f>IF(AND(Main[[#This Row],[In Stock Date]]&lt;&gt;"",Main[[#This Row],[Revised Due Date]]&lt;&gt;""),Main[[#This Row],[In Stock Date]]-Main[[#This Row],[Revised Due Date]],"")</f>
        <v/>
      </c>
      <c r="I1011" s="99" t="s">
        <v>242</v>
      </c>
      <c r="J1011" s="99" t="s">
        <v>28</v>
      </c>
      <c r="K1011" s="99" t="s">
        <v>1971</v>
      </c>
      <c r="L1011" s="101"/>
      <c r="M1011" s="104" t="str">
        <f>IF(Main[[#This Row],[Tech Start Date]]&lt;1/1/1990,"",IF(Main[[#This Row],[Class]]="C",WORKDAY(Main[[#This Row],[Tech Start Date]],9),IF(Main[[#This Row],[Class]]="B", WORKDAY(Main[[#This Row],[Tech Start Date]],6),IF(Main[[#This Row],[Class]]="A",WORKDAY(Main[[#This Row],[Tech Start Date]],2),""))))</f>
        <v/>
      </c>
      <c r="N1011" s="104" t="str">
        <f>IF(Main[[#This Row],[Tech Start Date]]&lt;1/1/1990,"",IF(Main[[#This Row],[Class]]="C",WORKDAY(Main[[#This Row],[Tech Start Date]],19),IF(Main[[#This Row],[Class]]="B", WORKDAY(Main[[#This Row],[Tech Start Date]],12),IF(Main[[#This Row],[Class]]="A",WORKDAY(Main[[#This Row],[Tech Start Date]],4),""))))</f>
        <v/>
      </c>
      <c r="O1011" s="104" t="str">
        <f>IF(Main[[#This Row],[Tech Start Date]]&lt;1/1/1990,"",IF(Main[[#This Row],[Class]]="C",WORKDAY(Main[[#This Row],[Tech Start Date]],23),IF(Main[[#This Row],[Class]]="B", WORKDAY(Main[[#This Row],[Tech Start Date]],15),IF(Main[[#This Row],[Class]]="A",WORKDAY(Main[[#This Row],[Tech Start Date]],5),""))))</f>
        <v/>
      </c>
      <c r="P1011" s="104" t="str">
        <f>IF(Main[[#This Row],[Tech Start Date]]&lt;1/1/1990,"",IF(Main[[#This Row],[Class]]="C",WORKDAY(Main[[#This Row],[Tech Start Date]],28),IF(Main[[#This Row],[Class]]="B", WORKDAY(Main[[#This Row],[Tech Start Date]],19),IF(Main[[#This Row],[Class]]="A",WORKDAY(Main[[#This Row],[Tech Start Date]],9),""))))</f>
        <v/>
      </c>
      <c r="Q1011" s="101">
        <v>40847</v>
      </c>
      <c r="R1011" s="101"/>
      <c r="S1011" s="99" t="s">
        <v>6</v>
      </c>
      <c r="T1011" s="107" t="s">
        <v>4</v>
      </c>
      <c r="U1011" s="99" t="s">
        <v>29</v>
      </c>
      <c r="V1011" s="99" t="s">
        <v>1965</v>
      </c>
      <c r="W1011" s="99" t="s">
        <v>1966</v>
      </c>
    </row>
    <row r="1012" spans="1:23" ht="18.600000000000001" customHeight="1">
      <c r="A1012" s="123" t="str">
        <f>IF(priority(Main[[#This Row],[Comments]])&lt;&gt;0, priority(Main[[#This Row],[Comments]]),"")</f>
        <v/>
      </c>
      <c r="B1012" s="127" t="s">
        <v>2308</v>
      </c>
      <c r="C1012" s="99" t="s">
        <v>4</v>
      </c>
      <c r="D1012" s="100" t="s">
        <v>2309</v>
      </c>
      <c r="E1012" s="101"/>
      <c r="F1012" s="101"/>
      <c r="G1012" s="102" t="str">
        <f>IF(stdProdLT(Main[[#This Row],[Comments]])=0.1,"N/A",IF(stdProdLT(Main[[#This Row],[Comments]])=0,"",stdProdLT(Main[[#This Row],[Comments]])))</f>
        <v/>
      </c>
      <c r="H1012" s="103" t="str">
        <f>IF(AND(Main[[#This Row],[In Stock Date]]&lt;&gt;"",Main[[#This Row],[Revised Due Date]]&lt;&gt;""),Main[[#This Row],[In Stock Date]]-Main[[#This Row],[Revised Due Date]],"")</f>
        <v/>
      </c>
      <c r="I1012" s="99" t="s">
        <v>4</v>
      </c>
      <c r="J1012" s="99" t="s">
        <v>4</v>
      </c>
      <c r="K1012" s="99" t="s">
        <v>4</v>
      </c>
      <c r="L1012" s="101"/>
      <c r="M1012" s="104" t="str">
        <f>IF(Main[[#This Row],[Tech Start Date]]&lt;1/1/1990,"",IF(Main[[#This Row],[Class]]="C",WORKDAY(Main[[#This Row],[Tech Start Date]],9),IF(Main[[#This Row],[Class]]="B", WORKDAY(Main[[#This Row],[Tech Start Date]],6),IF(Main[[#This Row],[Class]]="A",WORKDAY(Main[[#This Row],[Tech Start Date]],2),""))))</f>
        <v/>
      </c>
      <c r="N1012" s="104" t="str">
        <f>IF(Main[[#This Row],[Tech Start Date]]&lt;1/1/1990,"",IF(Main[[#This Row],[Class]]="C",WORKDAY(Main[[#This Row],[Tech Start Date]],19),IF(Main[[#This Row],[Class]]="B", WORKDAY(Main[[#This Row],[Tech Start Date]],12),IF(Main[[#This Row],[Class]]="A",WORKDAY(Main[[#This Row],[Tech Start Date]],4),""))))</f>
        <v/>
      </c>
      <c r="O1012" s="104" t="str">
        <f>IF(Main[[#This Row],[Tech Start Date]]&lt;1/1/1990,"",IF(Main[[#This Row],[Class]]="C",WORKDAY(Main[[#This Row],[Tech Start Date]],23),IF(Main[[#This Row],[Class]]="B", WORKDAY(Main[[#This Row],[Tech Start Date]],15),IF(Main[[#This Row],[Class]]="A",WORKDAY(Main[[#This Row],[Tech Start Date]],5),""))))</f>
        <v/>
      </c>
      <c r="P1012" s="104" t="str">
        <f>IF(Main[[#This Row],[Tech Start Date]]&lt;1/1/1990,"",IF(Main[[#This Row],[Class]]="C",WORKDAY(Main[[#This Row],[Tech Start Date]],28),IF(Main[[#This Row],[Class]]="B", WORKDAY(Main[[#This Row],[Tech Start Date]],19),IF(Main[[#This Row],[Class]]="A",WORKDAY(Main[[#This Row],[Tech Start Date]],9),""))))</f>
        <v/>
      </c>
      <c r="Q1012" s="101"/>
      <c r="R1012" s="101"/>
      <c r="S1012" s="99" t="s">
        <v>49</v>
      </c>
      <c r="T1012" s="107" t="s">
        <v>4</v>
      </c>
      <c r="U1012" s="99" t="s">
        <v>14</v>
      </c>
      <c r="V1012" s="99" t="s">
        <v>1977</v>
      </c>
      <c r="W1012" s="99" t="s">
        <v>1966</v>
      </c>
    </row>
    <row r="1013" spans="1:23" ht="18.600000000000001" customHeight="1">
      <c r="A1013" s="123" t="str">
        <f>IF(priority(Main[[#This Row],[Comments]])&lt;&gt;0, priority(Main[[#This Row],[Comments]]),"")</f>
        <v/>
      </c>
      <c r="B1013" s="127" t="s">
        <v>2543</v>
      </c>
      <c r="C1013" s="99" t="s">
        <v>2060</v>
      </c>
      <c r="D1013" s="100" t="s">
        <v>2490</v>
      </c>
      <c r="E1013" s="101"/>
      <c r="F1013" s="101"/>
      <c r="G1013" s="102" t="str">
        <f>IF(stdProdLT(Main[[#This Row],[Comments]])=0.1,"N/A",IF(stdProdLT(Main[[#This Row],[Comments]])=0,"",stdProdLT(Main[[#This Row],[Comments]])))</f>
        <v/>
      </c>
      <c r="H1013" s="103" t="str">
        <f>IF(AND(Main[[#This Row],[In Stock Date]]&lt;&gt;"",Main[[#This Row],[Revised Due Date]]&lt;&gt;""),Main[[#This Row],[In Stock Date]]-Main[[#This Row],[Revised Due Date]],"")</f>
        <v/>
      </c>
      <c r="I1013" s="99" t="s">
        <v>4</v>
      </c>
      <c r="J1013" s="99" t="s">
        <v>4</v>
      </c>
      <c r="K1013" s="99" t="s">
        <v>4</v>
      </c>
      <c r="L1013" s="101"/>
      <c r="M1013" s="104" t="str">
        <f>IF(Main[[#This Row],[Tech Start Date]]&lt;1/1/1990,"",IF(Main[[#This Row],[Class]]="C",WORKDAY(Main[[#This Row],[Tech Start Date]],9),IF(Main[[#This Row],[Class]]="B", WORKDAY(Main[[#This Row],[Tech Start Date]],6),IF(Main[[#This Row],[Class]]="A",WORKDAY(Main[[#This Row],[Tech Start Date]],2),""))))</f>
        <v/>
      </c>
      <c r="N1013" s="104" t="str">
        <f>IF(Main[[#This Row],[Tech Start Date]]&lt;1/1/1990,"",IF(Main[[#This Row],[Class]]="C",WORKDAY(Main[[#This Row],[Tech Start Date]],19),IF(Main[[#This Row],[Class]]="B", WORKDAY(Main[[#This Row],[Tech Start Date]],12),IF(Main[[#This Row],[Class]]="A",WORKDAY(Main[[#This Row],[Tech Start Date]],4),""))))</f>
        <v/>
      </c>
      <c r="O1013" s="104" t="str">
        <f>IF(Main[[#This Row],[Tech Start Date]]&lt;1/1/1990,"",IF(Main[[#This Row],[Class]]="C",WORKDAY(Main[[#This Row],[Tech Start Date]],23),IF(Main[[#This Row],[Class]]="B", WORKDAY(Main[[#This Row],[Tech Start Date]],15),IF(Main[[#This Row],[Class]]="A",WORKDAY(Main[[#This Row],[Tech Start Date]],5),""))))</f>
        <v/>
      </c>
      <c r="P1013" s="104" t="str">
        <f>IF(Main[[#This Row],[Tech Start Date]]&lt;1/1/1990,"",IF(Main[[#This Row],[Class]]="C",WORKDAY(Main[[#This Row],[Tech Start Date]],28),IF(Main[[#This Row],[Class]]="B", WORKDAY(Main[[#This Row],[Tech Start Date]],19),IF(Main[[#This Row],[Class]]="A",WORKDAY(Main[[#This Row],[Tech Start Date]],9),""))))</f>
        <v/>
      </c>
      <c r="Q1013" s="101">
        <v>40908</v>
      </c>
      <c r="R1013" s="101"/>
      <c r="S1013" s="99" t="s">
        <v>11</v>
      </c>
      <c r="T1013" s="107" t="s">
        <v>4</v>
      </c>
      <c r="U1013" s="99" t="s">
        <v>14</v>
      </c>
      <c r="V1013" s="99" t="s">
        <v>1965</v>
      </c>
      <c r="W1013" s="99" t="s">
        <v>1964</v>
      </c>
    </row>
    <row r="1014" spans="1:23" ht="18.600000000000001" customHeight="1">
      <c r="A1014" s="123" t="str">
        <f>IF(priority(Main[[#This Row],[Comments]])&lt;&gt;0, priority(Main[[#This Row],[Comments]]),"")</f>
        <v/>
      </c>
      <c r="B1014" s="127" t="s">
        <v>1589</v>
      </c>
      <c r="C1014" s="99" t="s">
        <v>4</v>
      </c>
      <c r="D1014" s="100" t="s">
        <v>641</v>
      </c>
      <c r="E1014" s="101">
        <v>40711.765081018515</v>
      </c>
      <c r="F1014" s="101"/>
      <c r="G1014" s="102" t="str">
        <f>IF(stdProdLT(Main[[#This Row],[Comments]])=0.1,"N/A",IF(stdProdLT(Main[[#This Row],[Comments]])=0,"",stdProdLT(Main[[#This Row],[Comments]])))</f>
        <v/>
      </c>
      <c r="H1014" s="103" t="str">
        <f>IF(AND(Main[[#This Row],[In Stock Date]]&lt;&gt;"",Main[[#This Row],[Revised Due Date]]&lt;&gt;""),Main[[#This Row],[In Stock Date]]-Main[[#This Row],[Revised Due Date]],"")</f>
        <v/>
      </c>
      <c r="I1014" s="99" t="s">
        <v>2112</v>
      </c>
      <c r="J1014" s="99" t="s">
        <v>21</v>
      </c>
      <c r="K1014" s="99" t="s">
        <v>1971</v>
      </c>
      <c r="L1014" s="101"/>
      <c r="M1014" s="104" t="str">
        <f>IF(Main[[#This Row],[Tech Start Date]]&lt;1/1/1990,"",IF(Main[[#This Row],[Class]]="C",WORKDAY(Main[[#This Row],[Tech Start Date]],9),IF(Main[[#This Row],[Class]]="B", WORKDAY(Main[[#This Row],[Tech Start Date]],6),IF(Main[[#This Row],[Class]]="A",WORKDAY(Main[[#This Row],[Tech Start Date]],2),""))))</f>
        <v/>
      </c>
      <c r="N1014" s="104" t="str">
        <f>IF(Main[[#This Row],[Tech Start Date]]&lt;1/1/1990,"",IF(Main[[#This Row],[Class]]="C",WORKDAY(Main[[#This Row],[Tech Start Date]],19),IF(Main[[#This Row],[Class]]="B", WORKDAY(Main[[#This Row],[Tech Start Date]],12),IF(Main[[#This Row],[Class]]="A",WORKDAY(Main[[#This Row],[Tech Start Date]],4),""))))</f>
        <v/>
      </c>
      <c r="O1014" s="104" t="str">
        <f>IF(Main[[#This Row],[Tech Start Date]]&lt;1/1/1990,"",IF(Main[[#This Row],[Class]]="C",WORKDAY(Main[[#This Row],[Tech Start Date]],23),IF(Main[[#This Row],[Class]]="B", WORKDAY(Main[[#This Row],[Tech Start Date]],15),IF(Main[[#This Row],[Class]]="A",WORKDAY(Main[[#This Row],[Tech Start Date]],5),""))))</f>
        <v/>
      </c>
      <c r="P1014" s="104" t="str">
        <f>IF(Main[[#This Row],[Tech Start Date]]&lt;1/1/1990,"",IF(Main[[#This Row],[Class]]="C",WORKDAY(Main[[#This Row],[Tech Start Date]],28),IF(Main[[#This Row],[Class]]="B", WORKDAY(Main[[#This Row],[Tech Start Date]],19),IF(Main[[#This Row],[Class]]="A",WORKDAY(Main[[#This Row],[Tech Start Date]],9),""))))</f>
        <v/>
      </c>
      <c r="Q1014" s="101">
        <v>40732</v>
      </c>
      <c r="R1014" s="101"/>
      <c r="S1014" s="99" t="s">
        <v>6</v>
      </c>
      <c r="T1014" s="107" t="s">
        <v>4</v>
      </c>
      <c r="U1014" s="99" t="s">
        <v>29</v>
      </c>
      <c r="V1014" s="99" t="s">
        <v>1963</v>
      </c>
      <c r="W1014" s="99" t="s">
        <v>1966</v>
      </c>
    </row>
    <row r="1015" spans="1:23" ht="18.600000000000001" customHeight="1">
      <c r="A1015" s="123" t="str">
        <f>IF(priority(Main[[#This Row],[Comments]])&lt;&gt;0, priority(Main[[#This Row],[Comments]]),"")</f>
        <v/>
      </c>
      <c r="B1015" s="127" t="s">
        <v>2359</v>
      </c>
      <c r="C1015" s="99" t="s">
        <v>2357</v>
      </c>
      <c r="D1015" s="100" t="s">
        <v>2360</v>
      </c>
      <c r="E1015" s="101"/>
      <c r="F1015" s="101">
        <v>40907</v>
      </c>
      <c r="G1015" s="102" t="str">
        <f>IF(stdProdLT(Main[[#This Row],[Comments]])=0.1,"N/A",IF(stdProdLT(Main[[#This Row],[Comments]])=0,"",stdProdLT(Main[[#This Row],[Comments]])))</f>
        <v/>
      </c>
      <c r="H1015" s="103" t="str">
        <f>IF(AND(Main[[#This Row],[In Stock Date]]&lt;&gt;"",Main[[#This Row],[Revised Due Date]]&lt;&gt;""),Main[[#This Row],[In Stock Date]]-Main[[#This Row],[Revised Due Date]],"")</f>
        <v/>
      </c>
      <c r="I1015" s="99" t="s">
        <v>4</v>
      </c>
      <c r="J1015" s="99" t="s">
        <v>4</v>
      </c>
      <c r="K1015" s="99" t="s">
        <v>4</v>
      </c>
      <c r="L1015" s="101"/>
      <c r="M1015" s="104" t="str">
        <f>IF(Main[[#This Row],[Tech Start Date]]&lt;1/1/1990,"",IF(Main[[#This Row],[Class]]="C",WORKDAY(Main[[#This Row],[Tech Start Date]],9),IF(Main[[#This Row],[Class]]="B", WORKDAY(Main[[#This Row],[Tech Start Date]],6),IF(Main[[#This Row],[Class]]="A",WORKDAY(Main[[#This Row],[Tech Start Date]],2),""))))</f>
        <v/>
      </c>
      <c r="N1015" s="104" t="str">
        <f>IF(Main[[#This Row],[Tech Start Date]]&lt;1/1/1990,"",IF(Main[[#This Row],[Class]]="C",WORKDAY(Main[[#This Row],[Tech Start Date]],19),IF(Main[[#This Row],[Class]]="B", WORKDAY(Main[[#This Row],[Tech Start Date]],12),IF(Main[[#This Row],[Class]]="A",WORKDAY(Main[[#This Row],[Tech Start Date]],4),""))))</f>
        <v/>
      </c>
      <c r="O1015" s="104" t="str">
        <f>IF(Main[[#This Row],[Tech Start Date]]&lt;1/1/1990,"",IF(Main[[#This Row],[Class]]="C",WORKDAY(Main[[#This Row],[Tech Start Date]],23),IF(Main[[#This Row],[Class]]="B", WORKDAY(Main[[#This Row],[Tech Start Date]],15),IF(Main[[#This Row],[Class]]="A",WORKDAY(Main[[#This Row],[Tech Start Date]],5),""))))</f>
        <v/>
      </c>
      <c r="P1015" s="104" t="str">
        <f>IF(Main[[#This Row],[Tech Start Date]]&lt;1/1/1990,"",IF(Main[[#This Row],[Class]]="C",WORKDAY(Main[[#This Row],[Tech Start Date]],28),IF(Main[[#This Row],[Class]]="B", WORKDAY(Main[[#This Row],[Tech Start Date]],19),IF(Main[[#This Row],[Class]]="A",WORKDAY(Main[[#This Row],[Tech Start Date]],9),""))))</f>
        <v/>
      </c>
      <c r="Q1015" s="101">
        <v>40816</v>
      </c>
      <c r="R1015" s="101"/>
      <c r="S1015" s="99" t="s">
        <v>301</v>
      </c>
      <c r="T1015" s="107" t="s">
        <v>4</v>
      </c>
      <c r="U1015" s="99" t="s">
        <v>14</v>
      </c>
      <c r="V1015" s="99" t="s">
        <v>1972</v>
      </c>
      <c r="W1015" s="99" t="s">
        <v>1970</v>
      </c>
    </row>
    <row r="1016" spans="1:23" ht="18.600000000000001" customHeight="1">
      <c r="A1016" s="123" t="str">
        <f>IF(priority(Main[[#This Row],[Comments]])&lt;&gt;0, priority(Main[[#This Row],[Comments]]),"")</f>
        <v/>
      </c>
      <c r="B1016" s="127" t="s">
        <v>2352</v>
      </c>
      <c r="C1016" s="99" t="s">
        <v>524</v>
      </c>
      <c r="D1016" s="100" t="s">
        <v>2353</v>
      </c>
      <c r="E1016" s="101"/>
      <c r="F1016" s="101">
        <v>40854</v>
      </c>
      <c r="G1016" s="102" t="str">
        <f>IF(stdProdLT(Main[[#This Row],[Comments]])=0.1,"N/A",IF(stdProdLT(Main[[#This Row],[Comments]])=0,"",stdProdLT(Main[[#This Row],[Comments]])))</f>
        <v/>
      </c>
      <c r="H1016" s="103" t="str">
        <f>IF(AND(Main[[#This Row],[In Stock Date]]&lt;&gt;"",Main[[#This Row],[Revised Due Date]]&lt;&gt;""),Main[[#This Row],[In Stock Date]]-Main[[#This Row],[Revised Due Date]],"")</f>
        <v/>
      </c>
      <c r="I1016" s="99" t="s">
        <v>4</v>
      </c>
      <c r="J1016" s="99" t="s">
        <v>4</v>
      </c>
      <c r="K1016" s="99" t="s">
        <v>4</v>
      </c>
      <c r="L1016" s="101"/>
      <c r="M1016" s="104" t="str">
        <f>IF(Main[[#This Row],[Tech Start Date]]&lt;1/1/1990,"",IF(Main[[#This Row],[Class]]="C",WORKDAY(Main[[#This Row],[Tech Start Date]],9),IF(Main[[#This Row],[Class]]="B", WORKDAY(Main[[#This Row],[Tech Start Date]],6),IF(Main[[#This Row],[Class]]="A",WORKDAY(Main[[#This Row],[Tech Start Date]],2),""))))</f>
        <v/>
      </c>
      <c r="N1016" s="104" t="str">
        <f>IF(Main[[#This Row],[Tech Start Date]]&lt;1/1/1990,"",IF(Main[[#This Row],[Class]]="C",WORKDAY(Main[[#This Row],[Tech Start Date]],19),IF(Main[[#This Row],[Class]]="B", WORKDAY(Main[[#This Row],[Tech Start Date]],12),IF(Main[[#This Row],[Class]]="A",WORKDAY(Main[[#This Row],[Tech Start Date]],4),""))))</f>
        <v/>
      </c>
      <c r="O1016" s="104" t="str">
        <f>IF(Main[[#This Row],[Tech Start Date]]&lt;1/1/1990,"",IF(Main[[#This Row],[Class]]="C",WORKDAY(Main[[#This Row],[Tech Start Date]],23),IF(Main[[#This Row],[Class]]="B", WORKDAY(Main[[#This Row],[Tech Start Date]],15),IF(Main[[#This Row],[Class]]="A",WORKDAY(Main[[#This Row],[Tech Start Date]],5),""))))</f>
        <v/>
      </c>
      <c r="P1016" s="104" t="str">
        <f>IF(Main[[#This Row],[Tech Start Date]]&lt;1/1/1990,"",IF(Main[[#This Row],[Class]]="C",WORKDAY(Main[[#This Row],[Tech Start Date]],28),IF(Main[[#This Row],[Class]]="B", WORKDAY(Main[[#This Row],[Tech Start Date]],19),IF(Main[[#This Row],[Class]]="A",WORKDAY(Main[[#This Row],[Tech Start Date]],9),""))))</f>
        <v/>
      </c>
      <c r="Q1016" s="101">
        <v>40816</v>
      </c>
      <c r="R1016" s="101"/>
      <c r="S1016" s="99" t="s">
        <v>301</v>
      </c>
      <c r="T1016" s="107" t="s">
        <v>4</v>
      </c>
      <c r="U1016" s="99" t="s">
        <v>14</v>
      </c>
      <c r="V1016" s="99" t="s">
        <v>1972</v>
      </c>
      <c r="W1016" s="99" t="s">
        <v>1970</v>
      </c>
    </row>
    <row r="1017" spans="1:23" ht="18.600000000000001" customHeight="1">
      <c r="A1017" s="123" t="str">
        <f>IF(priority(Main[[#This Row],[Comments]])&lt;&gt;0, priority(Main[[#This Row],[Comments]]),"")</f>
        <v/>
      </c>
      <c r="B1017" s="127" t="s">
        <v>2264</v>
      </c>
      <c r="C1017" s="99" t="s">
        <v>4</v>
      </c>
      <c r="D1017" s="100" t="s">
        <v>2265</v>
      </c>
      <c r="E1017" s="101">
        <v>40788.76971064815</v>
      </c>
      <c r="F1017" s="101"/>
      <c r="G1017" s="102" t="str">
        <f>IF(stdProdLT(Main[[#This Row],[Comments]])=0.1,"N/A",IF(stdProdLT(Main[[#This Row],[Comments]])=0,"",stdProdLT(Main[[#This Row],[Comments]])))</f>
        <v/>
      </c>
      <c r="H1017" s="103" t="str">
        <f>IF(AND(Main[[#This Row],[In Stock Date]]&lt;&gt;"",Main[[#This Row],[Revised Due Date]]&lt;&gt;""),Main[[#This Row],[In Stock Date]]-Main[[#This Row],[Revised Due Date]],"")</f>
        <v/>
      </c>
      <c r="I1017" s="99" t="s">
        <v>536</v>
      </c>
      <c r="J1017" s="99" t="s">
        <v>21</v>
      </c>
      <c r="K1017" s="99" t="s">
        <v>1971</v>
      </c>
      <c r="L1017" s="101"/>
      <c r="M1017" s="104" t="str">
        <f>IF(Main[[#This Row],[Tech Start Date]]&lt;1/1/1990,"",IF(Main[[#This Row],[Class]]="C",WORKDAY(Main[[#This Row],[Tech Start Date]],9),IF(Main[[#This Row],[Class]]="B", WORKDAY(Main[[#This Row],[Tech Start Date]],6),IF(Main[[#This Row],[Class]]="A",WORKDAY(Main[[#This Row],[Tech Start Date]],2),""))))</f>
        <v/>
      </c>
      <c r="N1017" s="104" t="str">
        <f>IF(Main[[#This Row],[Tech Start Date]]&lt;1/1/1990,"",IF(Main[[#This Row],[Class]]="C",WORKDAY(Main[[#This Row],[Tech Start Date]],19),IF(Main[[#This Row],[Class]]="B", WORKDAY(Main[[#This Row],[Tech Start Date]],12),IF(Main[[#This Row],[Class]]="A",WORKDAY(Main[[#This Row],[Tech Start Date]],4),""))))</f>
        <v/>
      </c>
      <c r="O1017" s="104" t="str">
        <f>IF(Main[[#This Row],[Tech Start Date]]&lt;1/1/1990,"",IF(Main[[#This Row],[Class]]="C",WORKDAY(Main[[#This Row],[Tech Start Date]],23),IF(Main[[#This Row],[Class]]="B", WORKDAY(Main[[#This Row],[Tech Start Date]],15),IF(Main[[#This Row],[Class]]="A",WORKDAY(Main[[#This Row],[Tech Start Date]],5),""))))</f>
        <v/>
      </c>
      <c r="P1017" s="104" t="str">
        <f>IF(Main[[#This Row],[Tech Start Date]]&lt;1/1/1990,"",IF(Main[[#This Row],[Class]]="C",WORKDAY(Main[[#This Row],[Tech Start Date]],28),IF(Main[[#This Row],[Class]]="B", WORKDAY(Main[[#This Row],[Tech Start Date]],19),IF(Main[[#This Row],[Class]]="A",WORKDAY(Main[[#This Row],[Tech Start Date]],9),""))))</f>
        <v/>
      </c>
      <c r="Q1017" s="101">
        <v>40879</v>
      </c>
      <c r="R1017" s="101"/>
      <c r="S1017" s="99" t="s">
        <v>6</v>
      </c>
      <c r="T1017" s="107" t="s">
        <v>4</v>
      </c>
      <c r="U1017" s="99" t="s">
        <v>29</v>
      </c>
      <c r="V1017" s="99" t="s">
        <v>1965</v>
      </c>
      <c r="W1017" s="99" t="s">
        <v>1966</v>
      </c>
    </row>
    <row r="1018" spans="1:23" ht="18.600000000000001" customHeight="1">
      <c r="A1018" s="123" t="str">
        <f>IF(priority(Main[[#This Row],[Comments]])&lt;&gt;0, priority(Main[[#This Row],[Comments]]),"")</f>
        <v/>
      </c>
      <c r="B1018" s="127" t="s">
        <v>2310</v>
      </c>
      <c r="C1018" s="99" t="s">
        <v>4</v>
      </c>
      <c r="D1018" s="100" t="s">
        <v>2311</v>
      </c>
      <c r="E1018" s="101"/>
      <c r="F1018" s="101"/>
      <c r="G1018" s="102" t="str">
        <f>IF(stdProdLT(Main[[#This Row],[Comments]])=0.1,"N/A",IF(stdProdLT(Main[[#This Row],[Comments]])=0,"",stdProdLT(Main[[#This Row],[Comments]])))</f>
        <v/>
      </c>
      <c r="H1018" s="103" t="str">
        <f>IF(AND(Main[[#This Row],[In Stock Date]]&lt;&gt;"",Main[[#This Row],[Revised Due Date]]&lt;&gt;""),Main[[#This Row],[In Stock Date]]-Main[[#This Row],[Revised Due Date]],"")</f>
        <v/>
      </c>
      <c r="I1018" s="99" t="s">
        <v>4</v>
      </c>
      <c r="J1018" s="99" t="s">
        <v>4</v>
      </c>
      <c r="K1018" s="99" t="s">
        <v>4</v>
      </c>
      <c r="L1018" s="101"/>
      <c r="M1018" s="104" t="str">
        <f>IF(Main[[#This Row],[Tech Start Date]]&lt;1/1/1990,"",IF(Main[[#This Row],[Class]]="C",WORKDAY(Main[[#This Row],[Tech Start Date]],9),IF(Main[[#This Row],[Class]]="B", WORKDAY(Main[[#This Row],[Tech Start Date]],6),IF(Main[[#This Row],[Class]]="A",WORKDAY(Main[[#This Row],[Tech Start Date]],2),""))))</f>
        <v/>
      </c>
      <c r="N1018" s="104" t="str">
        <f>IF(Main[[#This Row],[Tech Start Date]]&lt;1/1/1990,"",IF(Main[[#This Row],[Class]]="C",WORKDAY(Main[[#This Row],[Tech Start Date]],19),IF(Main[[#This Row],[Class]]="B", WORKDAY(Main[[#This Row],[Tech Start Date]],12),IF(Main[[#This Row],[Class]]="A",WORKDAY(Main[[#This Row],[Tech Start Date]],4),""))))</f>
        <v/>
      </c>
      <c r="O1018" s="104" t="str">
        <f>IF(Main[[#This Row],[Tech Start Date]]&lt;1/1/1990,"",IF(Main[[#This Row],[Class]]="C",WORKDAY(Main[[#This Row],[Tech Start Date]],23),IF(Main[[#This Row],[Class]]="B", WORKDAY(Main[[#This Row],[Tech Start Date]],15),IF(Main[[#This Row],[Class]]="A",WORKDAY(Main[[#This Row],[Tech Start Date]],5),""))))</f>
        <v/>
      </c>
      <c r="P1018" s="104" t="str">
        <f>IF(Main[[#This Row],[Tech Start Date]]&lt;1/1/1990,"",IF(Main[[#This Row],[Class]]="C",WORKDAY(Main[[#This Row],[Tech Start Date]],28),IF(Main[[#This Row],[Class]]="B", WORKDAY(Main[[#This Row],[Tech Start Date]],19),IF(Main[[#This Row],[Class]]="A",WORKDAY(Main[[#This Row],[Tech Start Date]],9),""))))</f>
        <v/>
      </c>
      <c r="Q1018" s="101"/>
      <c r="R1018" s="101"/>
      <c r="S1018" s="99" t="s">
        <v>49</v>
      </c>
      <c r="T1018" s="107" t="s">
        <v>4</v>
      </c>
      <c r="U1018" s="99" t="s">
        <v>14</v>
      </c>
      <c r="V1018" s="99" t="s">
        <v>1962</v>
      </c>
      <c r="W1018" s="99" t="s">
        <v>1966</v>
      </c>
    </row>
    <row r="1019" spans="1:23" ht="18.600000000000001" customHeight="1">
      <c r="A1019" s="123" t="str">
        <f>IF(priority(Main[[#This Row],[Comments]])&lt;&gt;0, priority(Main[[#This Row],[Comments]]),"")</f>
        <v/>
      </c>
      <c r="B1019" s="127" t="s">
        <v>1382</v>
      </c>
      <c r="C1019" s="99" t="s">
        <v>439</v>
      </c>
      <c r="D1019" s="100" t="s">
        <v>440</v>
      </c>
      <c r="E1019" s="101">
        <v>40505.653032407405</v>
      </c>
      <c r="F1019" s="101"/>
      <c r="G1019" s="102" t="str">
        <f>IF(stdProdLT(Main[[#This Row],[Comments]])=0.1,"N/A",IF(stdProdLT(Main[[#This Row],[Comments]])=0,"",stdProdLT(Main[[#This Row],[Comments]])))</f>
        <v/>
      </c>
      <c r="H1019" s="103" t="str">
        <f>IF(AND(Main[[#This Row],[In Stock Date]]&lt;&gt;"",Main[[#This Row],[Revised Due Date]]&lt;&gt;""),Main[[#This Row],[In Stock Date]]-Main[[#This Row],[Revised Due Date]],"")</f>
        <v/>
      </c>
      <c r="I1019" s="99" t="s">
        <v>30</v>
      </c>
      <c r="J1019" s="99" t="s">
        <v>28</v>
      </c>
      <c r="K1019" s="99" t="s">
        <v>1974</v>
      </c>
      <c r="L1019" s="101"/>
      <c r="M1019" s="104" t="str">
        <f>IF(Main[[#This Row],[Tech Start Date]]&lt;1/1/1990,"",IF(Main[[#This Row],[Class]]="C",WORKDAY(Main[[#This Row],[Tech Start Date]],9),IF(Main[[#This Row],[Class]]="B", WORKDAY(Main[[#This Row],[Tech Start Date]],6),IF(Main[[#This Row],[Class]]="A",WORKDAY(Main[[#This Row],[Tech Start Date]],2),""))))</f>
        <v/>
      </c>
      <c r="N1019" s="104" t="str">
        <f>IF(Main[[#This Row],[Tech Start Date]]&lt;1/1/1990,"",IF(Main[[#This Row],[Class]]="C",WORKDAY(Main[[#This Row],[Tech Start Date]],19),IF(Main[[#This Row],[Class]]="B", WORKDAY(Main[[#This Row],[Tech Start Date]],12),IF(Main[[#This Row],[Class]]="A",WORKDAY(Main[[#This Row],[Tech Start Date]],4),""))))</f>
        <v/>
      </c>
      <c r="O1019" s="104" t="str">
        <f>IF(Main[[#This Row],[Tech Start Date]]&lt;1/1/1990,"",IF(Main[[#This Row],[Class]]="C",WORKDAY(Main[[#This Row],[Tech Start Date]],23),IF(Main[[#This Row],[Class]]="B", WORKDAY(Main[[#This Row],[Tech Start Date]],15),IF(Main[[#This Row],[Class]]="A",WORKDAY(Main[[#This Row],[Tech Start Date]],5),""))))</f>
        <v/>
      </c>
      <c r="P1019" s="104" t="str">
        <f>IF(Main[[#This Row],[Tech Start Date]]&lt;1/1/1990,"",IF(Main[[#This Row],[Class]]="C",WORKDAY(Main[[#This Row],[Tech Start Date]],28),IF(Main[[#This Row],[Class]]="B", WORKDAY(Main[[#This Row],[Tech Start Date]],19),IF(Main[[#This Row],[Class]]="A",WORKDAY(Main[[#This Row],[Tech Start Date]],9),""))))</f>
        <v/>
      </c>
      <c r="Q1019" s="101">
        <v>40620</v>
      </c>
      <c r="R1019" s="101"/>
      <c r="S1019" s="99" t="s">
        <v>17</v>
      </c>
      <c r="T1019" s="107" t="s">
        <v>4</v>
      </c>
      <c r="U1019" s="99" t="s">
        <v>29</v>
      </c>
      <c r="V1019" s="99" t="s">
        <v>1965</v>
      </c>
      <c r="W1019" s="99" t="s">
        <v>1967</v>
      </c>
    </row>
    <row r="1020" spans="1:23" ht="18.600000000000001" customHeight="1">
      <c r="A1020" s="123" t="str">
        <f>IF(priority(Main[[#This Row],[Comments]])&lt;&gt;0, priority(Main[[#This Row],[Comments]]),"")</f>
        <v/>
      </c>
      <c r="B1020" s="127" t="s">
        <v>2544</v>
      </c>
      <c r="C1020" s="99" t="s">
        <v>4</v>
      </c>
      <c r="D1020" s="100" t="s">
        <v>2545</v>
      </c>
      <c r="E1020" s="101"/>
      <c r="F1020" s="101"/>
      <c r="G1020" s="102" t="str">
        <f>IF(stdProdLT(Main[[#This Row],[Comments]])=0.1,"N/A",IF(stdProdLT(Main[[#This Row],[Comments]])=0,"",stdProdLT(Main[[#This Row],[Comments]])))</f>
        <v/>
      </c>
      <c r="H1020" s="103" t="str">
        <f>IF(AND(Main[[#This Row],[In Stock Date]]&lt;&gt;"",Main[[#This Row],[Revised Due Date]]&lt;&gt;""),Main[[#This Row],[In Stock Date]]-Main[[#This Row],[Revised Due Date]],"")</f>
        <v/>
      </c>
      <c r="I1020" s="99" t="s">
        <v>4</v>
      </c>
      <c r="J1020" s="99" t="s">
        <v>28</v>
      </c>
      <c r="K1020" s="99" t="s">
        <v>4</v>
      </c>
      <c r="L1020" s="101"/>
      <c r="M1020" s="104" t="str">
        <f>IF(Main[[#This Row],[Tech Start Date]]&lt;1/1/1990,"",IF(Main[[#This Row],[Class]]="C",WORKDAY(Main[[#This Row],[Tech Start Date]],9),IF(Main[[#This Row],[Class]]="B", WORKDAY(Main[[#This Row],[Tech Start Date]],6),IF(Main[[#This Row],[Class]]="A",WORKDAY(Main[[#This Row],[Tech Start Date]],2),""))))</f>
        <v/>
      </c>
      <c r="N1020" s="104" t="str">
        <f>IF(Main[[#This Row],[Tech Start Date]]&lt;1/1/1990,"",IF(Main[[#This Row],[Class]]="C",WORKDAY(Main[[#This Row],[Tech Start Date]],19),IF(Main[[#This Row],[Class]]="B", WORKDAY(Main[[#This Row],[Tech Start Date]],12),IF(Main[[#This Row],[Class]]="A",WORKDAY(Main[[#This Row],[Tech Start Date]],4),""))))</f>
        <v/>
      </c>
      <c r="O1020" s="104" t="str">
        <f>IF(Main[[#This Row],[Tech Start Date]]&lt;1/1/1990,"",IF(Main[[#This Row],[Class]]="C",WORKDAY(Main[[#This Row],[Tech Start Date]],23),IF(Main[[#This Row],[Class]]="B", WORKDAY(Main[[#This Row],[Tech Start Date]],15),IF(Main[[#This Row],[Class]]="A",WORKDAY(Main[[#This Row],[Tech Start Date]],5),""))))</f>
        <v/>
      </c>
      <c r="P1020" s="104" t="str">
        <f>IF(Main[[#This Row],[Tech Start Date]]&lt;1/1/1990,"",IF(Main[[#This Row],[Class]]="C",WORKDAY(Main[[#This Row],[Tech Start Date]],28),IF(Main[[#This Row],[Class]]="B", WORKDAY(Main[[#This Row],[Tech Start Date]],19),IF(Main[[#This Row],[Class]]="A",WORKDAY(Main[[#This Row],[Tech Start Date]],9),""))))</f>
        <v/>
      </c>
      <c r="Q1020" s="101">
        <v>40847</v>
      </c>
      <c r="R1020" s="101"/>
      <c r="S1020" s="99" t="s">
        <v>6</v>
      </c>
      <c r="T1020" s="107" t="s">
        <v>4</v>
      </c>
      <c r="U1020" s="99" t="s">
        <v>12</v>
      </c>
      <c r="V1020" s="99" t="s">
        <v>1965</v>
      </c>
      <c r="W1020" s="99" t="s">
        <v>1966</v>
      </c>
    </row>
    <row r="1021" spans="1:23" ht="18.600000000000001" customHeight="1">
      <c r="A1021" s="123" t="str">
        <f>IF(priority(Main[[#This Row],[Comments]])&lt;&gt;0, priority(Main[[#This Row],[Comments]]),"")</f>
        <v/>
      </c>
      <c r="B1021" s="127" t="s">
        <v>1511</v>
      </c>
      <c r="C1021" s="99" t="s">
        <v>4</v>
      </c>
      <c r="D1021" s="100" t="s">
        <v>2546</v>
      </c>
      <c r="E1021" s="101">
        <v>40627.399282407408</v>
      </c>
      <c r="F1021" s="101"/>
      <c r="G1021" s="102" t="str">
        <f>IF(stdProdLT(Main[[#This Row],[Comments]])=0.1,"N/A",IF(stdProdLT(Main[[#This Row],[Comments]])=0,"",stdProdLT(Main[[#This Row],[Comments]])))</f>
        <v/>
      </c>
      <c r="H1021" s="103" t="str">
        <f>IF(AND(Main[[#This Row],[In Stock Date]]&lt;&gt;"",Main[[#This Row],[Revised Due Date]]&lt;&gt;""),Main[[#This Row],[In Stock Date]]-Main[[#This Row],[Revised Due Date]],"")</f>
        <v/>
      </c>
      <c r="I1021" s="99" t="s">
        <v>929</v>
      </c>
      <c r="J1021" s="99" t="s">
        <v>52</v>
      </c>
      <c r="K1021" s="99" t="s">
        <v>1971</v>
      </c>
      <c r="L1021" s="101"/>
      <c r="M1021" s="104" t="str">
        <f>IF(Main[[#This Row],[Tech Start Date]]&lt;1/1/1990,"",IF(Main[[#This Row],[Class]]="C",WORKDAY(Main[[#This Row],[Tech Start Date]],9),IF(Main[[#This Row],[Class]]="B", WORKDAY(Main[[#This Row],[Tech Start Date]],6),IF(Main[[#This Row],[Class]]="A",WORKDAY(Main[[#This Row],[Tech Start Date]],2),""))))</f>
        <v/>
      </c>
      <c r="N1021" s="104" t="str">
        <f>IF(Main[[#This Row],[Tech Start Date]]&lt;1/1/1990,"",IF(Main[[#This Row],[Class]]="C",WORKDAY(Main[[#This Row],[Tech Start Date]],19),IF(Main[[#This Row],[Class]]="B", WORKDAY(Main[[#This Row],[Tech Start Date]],12),IF(Main[[#This Row],[Class]]="A",WORKDAY(Main[[#This Row],[Tech Start Date]],4),""))))</f>
        <v/>
      </c>
      <c r="O1021" s="104" t="str">
        <f>IF(Main[[#This Row],[Tech Start Date]]&lt;1/1/1990,"",IF(Main[[#This Row],[Class]]="C",WORKDAY(Main[[#This Row],[Tech Start Date]],23),IF(Main[[#This Row],[Class]]="B", WORKDAY(Main[[#This Row],[Tech Start Date]],15),IF(Main[[#This Row],[Class]]="A",WORKDAY(Main[[#This Row],[Tech Start Date]],5),""))))</f>
        <v/>
      </c>
      <c r="P1021" s="104" t="str">
        <f>IF(Main[[#This Row],[Tech Start Date]]&lt;1/1/1990,"",IF(Main[[#This Row],[Class]]="C",WORKDAY(Main[[#This Row],[Tech Start Date]],28),IF(Main[[#This Row],[Class]]="B", WORKDAY(Main[[#This Row],[Tech Start Date]],19),IF(Main[[#This Row],[Class]]="A",WORKDAY(Main[[#This Row],[Tech Start Date]],9),""))))</f>
        <v/>
      </c>
      <c r="Q1021" s="101">
        <v>40632</v>
      </c>
      <c r="R1021" s="101"/>
      <c r="S1021" s="99" t="s">
        <v>6</v>
      </c>
      <c r="T1021" s="107" t="s">
        <v>4</v>
      </c>
      <c r="U1021" s="99" t="s">
        <v>29</v>
      </c>
      <c r="V1021" s="99" t="s">
        <v>1962</v>
      </c>
      <c r="W1021" s="99" t="s">
        <v>1966</v>
      </c>
    </row>
    <row r="1022" spans="1:23" ht="18.600000000000001" customHeight="1">
      <c r="A1022" s="123" t="str">
        <f>IF(priority(Main[[#This Row],[Comments]])&lt;&gt;0, priority(Main[[#This Row],[Comments]]),"")</f>
        <v/>
      </c>
      <c r="B1022" s="127" t="s">
        <v>1419</v>
      </c>
      <c r="C1022" s="99" t="s">
        <v>4</v>
      </c>
      <c r="D1022" s="100" t="s">
        <v>2547</v>
      </c>
      <c r="E1022" s="101">
        <v>40555.34138888889</v>
      </c>
      <c r="F1022" s="101">
        <v>40592</v>
      </c>
      <c r="G1022" s="102" t="str">
        <f>IF(stdProdLT(Main[[#This Row],[Comments]])=0.1,"N/A",IF(stdProdLT(Main[[#This Row],[Comments]])=0,"",stdProdLT(Main[[#This Row],[Comments]])))</f>
        <v/>
      </c>
      <c r="H1022" s="103" t="str">
        <f>IF(AND(Main[[#This Row],[In Stock Date]]&lt;&gt;"",Main[[#This Row],[Revised Due Date]]&lt;&gt;""),Main[[#This Row],[In Stock Date]]-Main[[#This Row],[Revised Due Date]],"")</f>
        <v/>
      </c>
      <c r="I1022" s="99" t="s">
        <v>929</v>
      </c>
      <c r="J1022" s="99" t="s">
        <v>52</v>
      </c>
      <c r="K1022" s="99" t="s">
        <v>1969</v>
      </c>
      <c r="L1022" s="101"/>
      <c r="M1022" s="104" t="str">
        <f>IF(Main[[#This Row],[Tech Start Date]]&lt;1/1/1990,"",IF(Main[[#This Row],[Class]]="C",WORKDAY(Main[[#This Row],[Tech Start Date]],9),IF(Main[[#This Row],[Class]]="B", WORKDAY(Main[[#This Row],[Tech Start Date]],6),IF(Main[[#This Row],[Class]]="A",WORKDAY(Main[[#This Row],[Tech Start Date]],2),""))))</f>
        <v/>
      </c>
      <c r="N1022" s="104" t="str">
        <f>IF(Main[[#This Row],[Tech Start Date]]&lt;1/1/1990,"",IF(Main[[#This Row],[Class]]="C",WORKDAY(Main[[#This Row],[Tech Start Date]],19),IF(Main[[#This Row],[Class]]="B", WORKDAY(Main[[#This Row],[Tech Start Date]],12),IF(Main[[#This Row],[Class]]="A",WORKDAY(Main[[#This Row],[Tech Start Date]],4),""))))</f>
        <v/>
      </c>
      <c r="O1022" s="104" t="str">
        <f>IF(Main[[#This Row],[Tech Start Date]]&lt;1/1/1990,"",IF(Main[[#This Row],[Class]]="C",WORKDAY(Main[[#This Row],[Tech Start Date]],23),IF(Main[[#This Row],[Class]]="B", WORKDAY(Main[[#This Row],[Tech Start Date]],15),IF(Main[[#This Row],[Class]]="A",WORKDAY(Main[[#This Row],[Tech Start Date]],5),""))))</f>
        <v/>
      </c>
      <c r="P1022" s="104" t="str">
        <f>IF(Main[[#This Row],[Tech Start Date]]&lt;1/1/1990,"",IF(Main[[#This Row],[Class]]="C",WORKDAY(Main[[#This Row],[Tech Start Date]],28),IF(Main[[#This Row],[Class]]="B", WORKDAY(Main[[#This Row],[Tech Start Date]],19),IF(Main[[#This Row],[Class]]="A",WORKDAY(Main[[#This Row],[Tech Start Date]],9),""))))</f>
        <v/>
      </c>
      <c r="Q1022" s="101">
        <v>40592</v>
      </c>
      <c r="R1022" s="101"/>
      <c r="S1022" s="99" t="s">
        <v>6</v>
      </c>
      <c r="T1022" s="107" t="s">
        <v>4</v>
      </c>
      <c r="U1022" s="99" t="s">
        <v>29</v>
      </c>
      <c r="V1022" s="99" t="s">
        <v>1962</v>
      </c>
      <c r="W1022" s="99" t="s">
        <v>1964</v>
      </c>
    </row>
    <row r="1023" spans="1:23" ht="18.600000000000001" customHeight="1">
      <c r="A1023" s="123" t="str">
        <f>IF(priority(Main[[#This Row],[Comments]])&lt;&gt;0, priority(Main[[#This Row],[Comments]]),"")</f>
        <v/>
      </c>
      <c r="B1023" s="127" t="s">
        <v>2121</v>
      </c>
      <c r="C1023" s="99" t="s">
        <v>4</v>
      </c>
      <c r="D1023" s="100" t="s">
        <v>2383</v>
      </c>
      <c r="E1023" s="101">
        <v>40758.6172337963</v>
      </c>
      <c r="F1023" s="101"/>
      <c r="G1023" s="102" t="str">
        <f>IF(stdProdLT(Main[[#This Row],[Comments]])=0.1,"N/A",IF(stdProdLT(Main[[#This Row],[Comments]])=0,"",stdProdLT(Main[[#This Row],[Comments]])))</f>
        <v/>
      </c>
      <c r="H1023" s="103" t="str">
        <f>IF(AND(Main[[#This Row],[In Stock Date]]&lt;&gt;"",Main[[#This Row],[Revised Due Date]]&lt;&gt;""),Main[[#This Row],[In Stock Date]]-Main[[#This Row],[Revised Due Date]],"")</f>
        <v/>
      </c>
      <c r="I1023" s="99" t="s">
        <v>536</v>
      </c>
      <c r="J1023" s="99" t="s">
        <v>21</v>
      </c>
      <c r="K1023" s="99" t="s">
        <v>1971</v>
      </c>
      <c r="L1023" s="101"/>
      <c r="M1023" s="104" t="str">
        <f>IF(Main[[#This Row],[Tech Start Date]]&lt;1/1/1990,"",IF(Main[[#This Row],[Class]]="C",WORKDAY(Main[[#This Row],[Tech Start Date]],9),IF(Main[[#This Row],[Class]]="B", WORKDAY(Main[[#This Row],[Tech Start Date]],6),IF(Main[[#This Row],[Class]]="A",WORKDAY(Main[[#This Row],[Tech Start Date]],2),""))))</f>
        <v/>
      </c>
      <c r="N1023" s="104" t="str">
        <f>IF(Main[[#This Row],[Tech Start Date]]&lt;1/1/1990,"",IF(Main[[#This Row],[Class]]="C",WORKDAY(Main[[#This Row],[Tech Start Date]],19),IF(Main[[#This Row],[Class]]="B", WORKDAY(Main[[#This Row],[Tech Start Date]],12),IF(Main[[#This Row],[Class]]="A",WORKDAY(Main[[#This Row],[Tech Start Date]],4),""))))</f>
        <v/>
      </c>
      <c r="O1023" s="104" t="str">
        <f>IF(Main[[#This Row],[Tech Start Date]]&lt;1/1/1990,"",IF(Main[[#This Row],[Class]]="C",WORKDAY(Main[[#This Row],[Tech Start Date]],23),IF(Main[[#This Row],[Class]]="B", WORKDAY(Main[[#This Row],[Tech Start Date]],15),IF(Main[[#This Row],[Class]]="A",WORKDAY(Main[[#This Row],[Tech Start Date]],5),""))))</f>
        <v/>
      </c>
      <c r="P1023" s="104" t="str">
        <f>IF(Main[[#This Row],[Tech Start Date]]&lt;1/1/1990,"",IF(Main[[#This Row],[Class]]="C",WORKDAY(Main[[#This Row],[Tech Start Date]],28),IF(Main[[#This Row],[Class]]="B", WORKDAY(Main[[#This Row],[Tech Start Date]],19),IF(Main[[#This Row],[Class]]="A",WORKDAY(Main[[#This Row],[Tech Start Date]],9),""))))</f>
        <v/>
      </c>
      <c r="Q1023" s="101"/>
      <c r="R1023" s="101"/>
      <c r="S1023" s="99" t="s">
        <v>6</v>
      </c>
      <c r="T1023" s="107" t="s">
        <v>4</v>
      </c>
      <c r="U1023" s="99" t="s">
        <v>29</v>
      </c>
      <c r="V1023" s="99" t="s">
        <v>1965</v>
      </c>
      <c r="W1023" s="99" t="s">
        <v>1966</v>
      </c>
    </row>
    <row r="1024" spans="1:23" ht="18.600000000000001" customHeight="1">
      <c r="A1024" s="123" t="str">
        <f>IF(priority(Main[[#This Row],[Comments]])&lt;&gt;0, priority(Main[[#This Row],[Comments]]),"")</f>
        <v/>
      </c>
      <c r="B1024" s="127" t="s">
        <v>2292</v>
      </c>
      <c r="C1024" s="99" t="s">
        <v>4</v>
      </c>
      <c r="D1024" s="100" t="s">
        <v>2548</v>
      </c>
      <c r="E1024" s="101">
        <v>40798.679803240739</v>
      </c>
      <c r="F1024" s="101"/>
      <c r="G1024" s="102" t="str">
        <f>IF(stdProdLT(Main[[#This Row],[Comments]])=0.1,"N/A",IF(stdProdLT(Main[[#This Row],[Comments]])=0,"",stdProdLT(Main[[#This Row],[Comments]])))</f>
        <v/>
      </c>
      <c r="H1024" s="103" t="str">
        <f>IF(AND(Main[[#This Row],[In Stock Date]]&lt;&gt;"",Main[[#This Row],[Revised Due Date]]&lt;&gt;""),Main[[#This Row],[In Stock Date]]-Main[[#This Row],[Revised Due Date]],"")</f>
        <v/>
      </c>
      <c r="I1024" s="99" t="s">
        <v>778</v>
      </c>
      <c r="J1024" s="99" t="s">
        <v>52</v>
      </c>
      <c r="K1024" s="99" t="s">
        <v>1971</v>
      </c>
      <c r="L1024" s="101"/>
      <c r="M1024" s="104" t="str">
        <f>IF(Main[[#This Row],[Tech Start Date]]&lt;1/1/1990,"",IF(Main[[#This Row],[Class]]="C",WORKDAY(Main[[#This Row],[Tech Start Date]],9),IF(Main[[#This Row],[Class]]="B", WORKDAY(Main[[#This Row],[Tech Start Date]],6),IF(Main[[#This Row],[Class]]="A",WORKDAY(Main[[#This Row],[Tech Start Date]],2),""))))</f>
        <v/>
      </c>
      <c r="N1024" s="104" t="str">
        <f>IF(Main[[#This Row],[Tech Start Date]]&lt;1/1/1990,"",IF(Main[[#This Row],[Class]]="C",WORKDAY(Main[[#This Row],[Tech Start Date]],19),IF(Main[[#This Row],[Class]]="B", WORKDAY(Main[[#This Row],[Tech Start Date]],12),IF(Main[[#This Row],[Class]]="A",WORKDAY(Main[[#This Row],[Tech Start Date]],4),""))))</f>
        <v/>
      </c>
      <c r="O1024" s="104" t="str">
        <f>IF(Main[[#This Row],[Tech Start Date]]&lt;1/1/1990,"",IF(Main[[#This Row],[Class]]="C",WORKDAY(Main[[#This Row],[Tech Start Date]],23),IF(Main[[#This Row],[Class]]="B", WORKDAY(Main[[#This Row],[Tech Start Date]],15),IF(Main[[#This Row],[Class]]="A",WORKDAY(Main[[#This Row],[Tech Start Date]],5),""))))</f>
        <v/>
      </c>
      <c r="P1024" s="104" t="str">
        <f>IF(Main[[#This Row],[Tech Start Date]]&lt;1/1/1990,"",IF(Main[[#This Row],[Class]]="C",WORKDAY(Main[[#This Row],[Tech Start Date]],28),IF(Main[[#This Row],[Class]]="B", WORKDAY(Main[[#This Row],[Tech Start Date]],19),IF(Main[[#This Row],[Class]]="A",WORKDAY(Main[[#This Row],[Tech Start Date]],9),""))))</f>
        <v/>
      </c>
      <c r="Q1024" s="101">
        <v>40847</v>
      </c>
      <c r="R1024" s="101"/>
      <c r="S1024" s="99" t="s">
        <v>6</v>
      </c>
      <c r="T1024" s="107" t="s">
        <v>4</v>
      </c>
      <c r="U1024" s="99" t="s">
        <v>29</v>
      </c>
      <c r="V1024" s="99" t="s">
        <v>1965</v>
      </c>
      <c r="W1024" s="99" t="s">
        <v>1966</v>
      </c>
    </row>
    <row r="1025" spans="1:23" ht="18.600000000000001" customHeight="1">
      <c r="A1025" s="123" t="str">
        <f>IF(priority(Main[[#This Row],[Comments]])&lt;&gt;0, priority(Main[[#This Row],[Comments]]),"")</f>
        <v/>
      </c>
      <c r="B1025" s="127" t="s">
        <v>2549</v>
      </c>
      <c r="C1025" s="99" t="s">
        <v>4</v>
      </c>
      <c r="D1025" s="100" t="s">
        <v>2550</v>
      </c>
      <c r="E1025" s="101">
        <v>40843.719166666669</v>
      </c>
      <c r="F1025" s="101"/>
      <c r="G1025" s="102" t="str">
        <f>IF(stdProdLT(Main[[#This Row],[Comments]])=0.1,"N/A",IF(stdProdLT(Main[[#This Row],[Comments]])=0,"",stdProdLT(Main[[#This Row],[Comments]])))</f>
        <v/>
      </c>
      <c r="H1025" s="103" t="str">
        <f>IF(AND(Main[[#This Row],[In Stock Date]]&lt;&gt;"",Main[[#This Row],[Revised Due Date]]&lt;&gt;""),Main[[#This Row],[In Stock Date]]-Main[[#This Row],[Revised Due Date]],"")</f>
        <v/>
      </c>
      <c r="I1025" s="99" t="s">
        <v>4</v>
      </c>
      <c r="J1025" s="99" t="s">
        <v>51</v>
      </c>
      <c r="K1025" s="99" t="s">
        <v>4</v>
      </c>
      <c r="L1025" s="101"/>
      <c r="M1025" s="104" t="str">
        <f>IF(Main[[#This Row],[Tech Start Date]]&lt;1/1/1990,"",IF(Main[[#This Row],[Class]]="C",WORKDAY(Main[[#This Row],[Tech Start Date]],9),IF(Main[[#This Row],[Class]]="B", WORKDAY(Main[[#This Row],[Tech Start Date]],6),IF(Main[[#This Row],[Class]]="A",WORKDAY(Main[[#This Row],[Tech Start Date]],2),""))))</f>
        <v/>
      </c>
      <c r="N1025" s="104" t="str">
        <f>IF(Main[[#This Row],[Tech Start Date]]&lt;1/1/1990,"",IF(Main[[#This Row],[Class]]="C",WORKDAY(Main[[#This Row],[Tech Start Date]],19),IF(Main[[#This Row],[Class]]="B", WORKDAY(Main[[#This Row],[Tech Start Date]],12),IF(Main[[#This Row],[Class]]="A",WORKDAY(Main[[#This Row],[Tech Start Date]],4),""))))</f>
        <v/>
      </c>
      <c r="O1025" s="104" t="str">
        <f>IF(Main[[#This Row],[Tech Start Date]]&lt;1/1/1990,"",IF(Main[[#This Row],[Class]]="C",WORKDAY(Main[[#This Row],[Tech Start Date]],23),IF(Main[[#This Row],[Class]]="B", WORKDAY(Main[[#This Row],[Tech Start Date]],15),IF(Main[[#This Row],[Class]]="A",WORKDAY(Main[[#This Row],[Tech Start Date]],5),""))))</f>
        <v/>
      </c>
      <c r="P1025" s="104" t="str">
        <f>IF(Main[[#This Row],[Tech Start Date]]&lt;1/1/1990,"",IF(Main[[#This Row],[Class]]="C",WORKDAY(Main[[#This Row],[Tech Start Date]],28),IF(Main[[#This Row],[Class]]="B", WORKDAY(Main[[#This Row],[Tech Start Date]],19),IF(Main[[#This Row],[Class]]="A",WORKDAY(Main[[#This Row],[Tech Start Date]],9),""))))</f>
        <v/>
      </c>
      <c r="Q1025" s="101"/>
      <c r="R1025" s="101"/>
      <c r="S1025" s="99" t="s">
        <v>6</v>
      </c>
      <c r="T1025" s="107" t="s">
        <v>2551</v>
      </c>
      <c r="U1025" s="99" t="s">
        <v>540</v>
      </c>
      <c r="V1025" s="99" t="s">
        <v>1962</v>
      </c>
      <c r="W1025" s="99" t="s">
        <v>1968</v>
      </c>
    </row>
    <row r="1026" spans="1:23" ht="18.600000000000001" customHeight="1">
      <c r="A1026" s="123" t="str">
        <f>IF(priority(Main[[#This Row],[Comments]])&lt;&gt;0, priority(Main[[#This Row],[Comments]]),"")</f>
        <v/>
      </c>
      <c r="B1026" s="127" t="s">
        <v>2138</v>
      </c>
      <c r="C1026" s="99" t="s">
        <v>4</v>
      </c>
      <c r="D1026" s="100" t="s">
        <v>2139</v>
      </c>
      <c r="E1026" s="101"/>
      <c r="F1026" s="101"/>
      <c r="G1026" s="102" t="str">
        <f>IF(stdProdLT(Main[[#This Row],[Comments]])=0.1,"N/A",IF(stdProdLT(Main[[#This Row],[Comments]])=0,"",stdProdLT(Main[[#This Row],[Comments]])))</f>
        <v/>
      </c>
      <c r="H1026" s="103" t="str">
        <f>IF(AND(Main[[#This Row],[In Stock Date]]&lt;&gt;"",Main[[#This Row],[Revised Due Date]]&lt;&gt;""),Main[[#This Row],[In Stock Date]]-Main[[#This Row],[Revised Due Date]],"")</f>
        <v/>
      </c>
      <c r="I1026" s="99" t="s">
        <v>4</v>
      </c>
      <c r="J1026" s="99" t="s">
        <v>4</v>
      </c>
      <c r="K1026" s="99" t="s">
        <v>4</v>
      </c>
      <c r="L1026" s="101"/>
      <c r="M1026" s="104" t="str">
        <f>IF(Main[[#This Row],[Tech Start Date]]&lt;1/1/1990,"",IF(Main[[#This Row],[Class]]="C",WORKDAY(Main[[#This Row],[Tech Start Date]],9),IF(Main[[#This Row],[Class]]="B", WORKDAY(Main[[#This Row],[Tech Start Date]],6),IF(Main[[#This Row],[Class]]="A",WORKDAY(Main[[#This Row],[Tech Start Date]],2),""))))</f>
        <v/>
      </c>
      <c r="N1026" s="104" t="str">
        <f>IF(Main[[#This Row],[Tech Start Date]]&lt;1/1/1990,"",IF(Main[[#This Row],[Class]]="C",WORKDAY(Main[[#This Row],[Tech Start Date]],19),IF(Main[[#This Row],[Class]]="B", WORKDAY(Main[[#This Row],[Tech Start Date]],12),IF(Main[[#This Row],[Class]]="A",WORKDAY(Main[[#This Row],[Tech Start Date]],4),""))))</f>
        <v/>
      </c>
      <c r="O1026" s="104" t="str">
        <f>IF(Main[[#This Row],[Tech Start Date]]&lt;1/1/1990,"",IF(Main[[#This Row],[Class]]="C",WORKDAY(Main[[#This Row],[Tech Start Date]],23),IF(Main[[#This Row],[Class]]="B", WORKDAY(Main[[#This Row],[Tech Start Date]],15),IF(Main[[#This Row],[Class]]="A",WORKDAY(Main[[#This Row],[Tech Start Date]],5),""))))</f>
        <v/>
      </c>
      <c r="P1026" s="104" t="str">
        <f>IF(Main[[#This Row],[Tech Start Date]]&lt;1/1/1990,"",IF(Main[[#This Row],[Class]]="C",WORKDAY(Main[[#This Row],[Tech Start Date]],28),IF(Main[[#This Row],[Class]]="B", WORKDAY(Main[[#This Row],[Tech Start Date]],19),IF(Main[[#This Row],[Class]]="A",WORKDAY(Main[[#This Row],[Tech Start Date]],9),""))))</f>
        <v/>
      </c>
      <c r="Q1026" s="101"/>
      <c r="R1026" s="101"/>
      <c r="S1026" s="99" t="s">
        <v>6</v>
      </c>
      <c r="T1026" s="107" t="s">
        <v>4</v>
      </c>
      <c r="U1026" s="99" t="s">
        <v>14</v>
      </c>
      <c r="V1026" s="99" t="s">
        <v>1962</v>
      </c>
      <c r="W1026" s="99" t="s">
        <v>1966</v>
      </c>
    </row>
    <row r="1027" spans="1:23" ht="18.600000000000001" customHeight="1">
      <c r="A1027" s="123" t="str">
        <f>IF(priority(Main[[#This Row],[Comments]])&lt;&gt;0, priority(Main[[#This Row],[Comments]]),"")</f>
        <v/>
      </c>
      <c r="B1027" s="127" t="s">
        <v>1798</v>
      </c>
      <c r="C1027" s="99" t="s">
        <v>4</v>
      </c>
      <c r="D1027" s="100" t="s">
        <v>2552</v>
      </c>
      <c r="E1027" s="101">
        <v>40616.425347222219</v>
      </c>
      <c r="F1027" s="101"/>
      <c r="G1027" s="102" t="str">
        <f>IF(stdProdLT(Main[[#This Row],[Comments]])=0.1,"N/A",IF(stdProdLT(Main[[#This Row],[Comments]])=0,"",stdProdLT(Main[[#This Row],[Comments]])))</f>
        <v/>
      </c>
      <c r="H1027" s="103" t="str">
        <f>IF(AND(Main[[#This Row],[In Stock Date]]&lt;&gt;"",Main[[#This Row],[Revised Due Date]]&lt;&gt;""),Main[[#This Row],[In Stock Date]]-Main[[#This Row],[Revised Due Date]],"")</f>
        <v/>
      </c>
      <c r="I1027" s="99" t="s">
        <v>929</v>
      </c>
      <c r="J1027" s="99" t="s">
        <v>52</v>
      </c>
      <c r="K1027" s="99" t="s">
        <v>1971</v>
      </c>
      <c r="L1027" s="101"/>
      <c r="M1027" s="104" t="str">
        <f>IF(Main[[#This Row],[Tech Start Date]]&lt;1/1/1990,"",IF(Main[[#This Row],[Class]]="C",WORKDAY(Main[[#This Row],[Tech Start Date]],9),IF(Main[[#This Row],[Class]]="B", WORKDAY(Main[[#This Row],[Tech Start Date]],6),IF(Main[[#This Row],[Class]]="A",WORKDAY(Main[[#This Row],[Tech Start Date]],2),""))))</f>
        <v/>
      </c>
      <c r="N1027" s="104" t="str">
        <f>IF(Main[[#This Row],[Tech Start Date]]&lt;1/1/1990,"",IF(Main[[#This Row],[Class]]="C",WORKDAY(Main[[#This Row],[Tech Start Date]],19),IF(Main[[#This Row],[Class]]="B", WORKDAY(Main[[#This Row],[Tech Start Date]],12),IF(Main[[#This Row],[Class]]="A",WORKDAY(Main[[#This Row],[Tech Start Date]],4),""))))</f>
        <v/>
      </c>
      <c r="O1027" s="104" t="str">
        <f>IF(Main[[#This Row],[Tech Start Date]]&lt;1/1/1990,"",IF(Main[[#This Row],[Class]]="C",WORKDAY(Main[[#This Row],[Tech Start Date]],23),IF(Main[[#This Row],[Class]]="B", WORKDAY(Main[[#This Row],[Tech Start Date]],15),IF(Main[[#This Row],[Class]]="A",WORKDAY(Main[[#This Row],[Tech Start Date]],5),""))))</f>
        <v/>
      </c>
      <c r="P1027" s="104" t="str">
        <f>IF(Main[[#This Row],[Tech Start Date]]&lt;1/1/1990,"",IF(Main[[#This Row],[Class]]="C",WORKDAY(Main[[#This Row],[Tech Start Date]],28),IF(Main[[#This Row],[Class]]="B", WORKDAY(Main[[#This Row],[Tech Start Date]],19),IF(Main[[#This Row],[Class]]="A",WORKDAY(Main[[#This Row],[Tech Start Date]],9),""))))</f>
        <v/>
      </c>
      <c r="Q1027" s="101"/>
      <c r="R1027" s="101"/>
      <c r="S1027" s="99" t="s">
        <v>6</v>
      </c>
      <c r="T1027" s="107" t="s">
        <v>4</v>
      </c>
      <c r="U1027" s="99" t="s">
        <v>29</v>
      </c>
      <c r="V1027" s="99" t="s">
        <v>1962</v>
      </c>
      <c r="W1027" s="99" t="s">
        <v>1966</v>
      </c>
    </row>
    <row r="1028" spans="1:23" ht="18.600000000000001" customHeight="1">
      <c r="A1028" s="123" t="str">
        <f>IF(priority(Main[[#This Row],[Comments]])&lt;&gt;0, priority(Main[[#This Row],[Comments]]),"")</f>
        <v/>
      </c>
      <c r="B1028" s="127" t="s">
        <v>2341</v>
      </c>
      <c r="C1028" s="99" t="s">
        <v>4</v>
      </c>
      <c r="D1028" s="100" t="s">
        <v>2342</v>
      </c>
      <c r="E1028" s="101">
        <v>40808.345057870371</v>
      </c>
      <c r="F1028" s="101"/>
      <c r="G1028" s="102" t="str">
        <f>IF(stdProdLT(Main[[#This Row],[Comments]])=0.1,"N/A",IF(stdProdLT(Main[[#This Row],[Comments]])=0,"",stdProdLT(Main[[#This Row],[Comments]])))</f>
        <v/>
      </c>
      <c r="H1028" s="103" t="str">
        <f>IF(AND(Main[[#This Row],[In Stock Date]]&lt;&gt;"",Main[[#This Row],[Revised Due Date]]&lt;&gt;""),Main[[#This Row],[In Stock Date]]-Main[[#This Row],[Revised Due Date]],"")</f>
        <v/>
      </c>
      <c r="I1028" s="99" t="s">
        <v>4</v>
      </c>
      <c r="J1028" s="99" t="s">
        <v>4</v>
      </c>
      <c r="K1028" s="99" t="s">
        <v>4</v>
      </c>
      <c r="L1028" s="101"/>
      <c r="M1028" s="104" t="str">
        <f>IF(Main[[#This Row],[Tech Start Date]]&lt;1/1/1990,"",IF(Main[[#This Row],[Class]]="C",WORKDAY(Main[[#This Row],[Tech Start Date]],9),IF(Main[[#This Row],[Class]]="B", WORKDAY(Main[[#This Row],[Tech Start Date]],6),IF(Main[[#This Row],[Class]]="A",WORKDAY(Main[[#This Row],[Tech Start Date]],2),""))))</f>
        <v/>
      </c>
      <c r="N1028" s="104" t="str">
        <f>IF(Main[[#This Row],[Tech Start Date]]&lt;1/1/1990,"",IF(Main[[#This Row],[Class]]="C",WORKDAY(Main[[#This Row],[Tech Start Date]],19),IF(Main[[#This Row],[Class]]="B", WORKDAY(Main[[#This Row],[Tech Start Date]],12),IF(Main[[#This Row],[Class]]="A",WORKDAY(Main[[#This Row],[Tech Start Date]],4),""))))</f>
        <v/>
      </c>
      <c r="O1028" s="104" t="str">
        <f>IF(Main[[#This Row],[Tech Start Date]]&lt;1/1/1990,"",IF(Main[[#This Row],[Class]]="C",WORKDAY(Main[[#This Row],[Tech Start Date]],23),IF(Main[[#This Row],[Class]]="B", WORKDAY(Main[[#This Row],[Tech Start Date]],15),IF(Main[[#This Row],[Class]]="A",WORKDAY(Main[[#This Row],[Tech Start Date]],5),""))))</f>
        <v/>
      </c>
      <c r="P1028" s="104" t="str">
        <f>IF(Main[[#This Row],[Tech Start Date]]&lt;1/1/1990,"",IF(Main[[#This Row],[Class]]="C",WORKDAY(Main[[#This Row],[Tech Start Date]],28),IF(Main[[#This Row],[Class]]="B", WORKDAY(Main[[#This Row],[Tech Start Date]],19),IF(Main[[#This Row],[Class]]="A",WORKDAY(Main[[#This Row],[Tech Start Date]],9),""))))</f>
        <v/>
      </c>
      <c r="Q1028" s="101"/>
      <c r="R1028" s="101"/>
      <c r="S1028" s="99" t="s">
        <v>17</v>
      </c>
      <c r="T1028" s="107" t="s">
        <v>4</v>
      </c>
      <c r="U1028" s="99" t="s">
        <v>7</v>
      </c>
      <c r="V1028" s="99" t="s">
        <v>1972</v>
      </c>
      <c r="W1028" s="99" t="s">
        <v>1964</v>
      </c>
    </row>
    <row r="1029" spans="1:23" ht="18.600000000000001" customHeight="1">
      <c r="A1029" s="123" t="str">
        <f>IF(priority(Main[[#This Row],[Comments]])&lt;&gt;0, priority(Main[[#This Row],[Comments]]),"")</f>
        <v/>
      </c>
      <c r="B1029" s="127" t="s">
        <v>2312</v>
      </c>
      <c r="C1029" s="99" t="s">
        <v>4</v>
      </c>
      <c r="D1029" s="100" t="s">
        <v>2313</v>
      </c>
      <c r="E1029" s="101"/>
      <c r="F1029" s="101"/>
      <c r="G1029" s="102" t="str">
        <f>IF(stdProdLT(Main[[#This Row],[Comments]])=0.1,"N/A",IF(stdProdLT(Main[[#This Row],[Comments]])=0,"",stdProdLT(Main[[#This Row],[Comments]])))</f>
        <v/>
      </c>
      <c r="H1029" s="103" t="str">
        <f>IF(AND(Main[[#This Row],[In Stock Date]]&lt;&gt;"",Main[[#This Row],[Revised Due Date]]&lt;&gt;""),Main[[#This Row],[In Stock Date]]-Main[[#This Row],[Revised Due Date]],"")</f>
        <v/>
      </c>
      <c r="I1029" s="99" t="s">
        <v>4</v>
      </c>
      <c r="J1029" s="99" t="s">
        <v>4</v>
      </c>
      <c r="K1029" s="99" t="s">
        <v>4</v>
      </c>
      <c r="L1029" s="101"/>
      <c r="M1029" s="104" t="str">
        <f>IF(Main[[#This Row],[Tech Start Date]]&lt;1/1/1990,"",IF(Main[[#This Row],[Class]]="C",WORKDAY(Main[[#This Row],[Tech Start Date]],9),IF(Main[[#This Row],[Class]]="B", WORKDAY(Main[[#This Row],[Tech Start Date]],6),IF(Main[[#This Row],[Class]]="A",WORKDAY(Main[[#This Row],[Tech Start Date]],2),""))))</f>
        <v/>
      </c>
      <c r="N1029" s="104" t="str">
        <f>IF(Main[[#This Row],[Tech Start Date]]&lt;1/1/1990,"",IF(Main[[#This Row],[Class]]="C",WORKDAY(Main[[#This Row],[Tech Start Date]],19),IF(Main[[#This Row],[Class]]="B", WORKDAY(Main[[#This Row],[Tech Start Date]],12),IF(Main[[#This Row],[Class]]="A",WORKDAY(Main[[#This Row],[Tech Start Date]],4),""))))</f>
        <v/>
      </c>
      <c r="O1029" s="104" t="str">
        <f>IF(Main[[#This Row],[Tech Start Date]]&lt;1/1/1990,"",IF(Main[[#This Row],[Class]]="C",WORKDAY(Main[[#This Row],[Tech Start Date]],23),IF(Main[[#This Row],[Class]]="B", WORKDAY(Main[[#This Row],[Tech Start Date]],15),IF(Main[[#This Row],[Class]]="A",WORKDAY(Main[[#This Row],[Tech Start Date]],5),""))))</f>
        <v/>
      </c>
      <c r="P1029" s="104" t="str">
        <f>IF(Main[[#This Row],[Tech Start Date]]&lt;1/1/1990,"",IF(Main[[#This Row],[Class]]="C",WORKDAY(Main[[#This Row],[Tech Start Date]],28),IF(Main[[#This Row],[Class]]="B", WORKDAY(Main[[#This Row],[Tech Start Date]],19),IF(Main[[#This Row],[Class]]="A",WORKDAY(Main[[#This Row],[Tech Start Date]],9),""))))</f>
        <v/>
      </c>
      <c r="Q1029" s="101"/>
      <c r="R1029" s="101"/>
      <c r="S1029" s="99" t="s">
        <v>6</v>
      </c>
      <c r="T1029" s="107" t="s">
        <v>4</v>
      </c>
      <c r="U1029" s="99" t="s">
        <v>14</v>
      </c>
      <c r="V1029" s="99" t="s">
        <v>1965</v>
      </c>
      <c r="W1029" s="99" t="s">
        <v>1966</v>
      </c>
    </row>
    <row r="1030" spans="1:23" ht="18.600000000000001" customHeight="1">
      <c r="A1030" s="123" t="str">
        <f>IF(priority(Main[[#This Row],[Comments]])&lt;&gt;0, priority(Main[[#This Row],[Comments]]),"")</f>
        <v/>
      </c>
      <c r="B1030" s="127" t="s">
        <v>2314</v>
      </c>
      <c r="C1030" s="99" t="s">
        <v>4</v>
      </c>
      <c r="D1030" s="100" t="s">
        <v>2315</v>
      </c>
      <c r="E1030" s="101">
        <v>40801.476770833331</v>
      </c>
      <c r="F1030" s="101"/>
      <c r="G1030" s="102" t="str">
        <f>IF(stdProdLT(Main[[#This Row],[Comments]])=0.1,"N/A",IF(stdProdLT(Main[[#This Row],[Comments]])=0,"",stdProdLT(Main[[#This Row],[Comments]])))</f>
        <v/>
      </c>
      <c r="H1030" s="103" t="str">
        <f>IF(AND(Main[[#This Row],[In Stock Date]]&lt;&gt;"",Main[[#This Row],[Revised Due Date]]&lt;&gt;""),Main[[#This Row],[In Stock Date]]-Main[[#This Row],[Revised Due Date]],"")</f>
        <v/>
      </c>
      <c r="I1030" s="99" t="s">
        <v>4</v>
      </c>
      <c r="J1030" s="99" t="s">
        <v>4</v>
      </c>
      <c r="K1030" s="99" t="s">
        <v>4</v>
      </c>
      <c r="L1030" s="101"/>
      <c r="M1030" s="104" t="str">
        <f>IF(Main[[#This Row],[Tech Start Date]]&lt;1/1/1990,"",IF(Main[[#This Row],[Class]]="C",WORKDAY(Main[[#This Row],[Tech Start Date]],9),IF(Main[[#This Row],[Class]]="B", WORKDAY(Main[[#This Row],[Tech Start Date]],6),IF(Main[[#This Row],[Class]]="A",WORKDAY(Main[[#This Row],[Tech Start Date]],2),""))))</f>
        <v/>
      </c>
      <c r="N1030" s="104" t="str">
        <f>IF(Main[[#This Row],[Tech Start Date]]&lt;1/1/1990,"",IF(Main[[#This Row],[Class]]="C",WORKDAY(Main[[#This Row],[Tech Start Date]],19),IF(Main[[#This Row],[Class]]="B", WORKDAY(Main[[#This Row],[Tech Start Date]],12),IF(Main[[#This Row],[Class]]="A",WORKDAY(Main[[#This Row],[Tech Start Date]],4),""))))</f>
        <v/>
      </c>
      <c r="O1030" s="104" t="str">
        <f>IF(Main[[#This Row],[Tech Start Date]]&lt;1/1/1990,"",IF(Main[[#This Row],[Class]]="C",WORKDAY(Main[[#This Row],[Tech Start Date]],23),IF(Main[[#This Row],[Class]]="B", WORKDAY(Main[[#This Row],[Tech Start Date]],15),IF(Main[[#This Row],[Class]]="A",WORKDAY(Main[[#This Row],[Tech Start Date]],5),""))))</f>
        <v/>
      </c>
      <c r="P1030" s="104" t="str">
        <f>IF(Main[[#This Row],[Tech Start Date]]&lt;1/1/1990,"",IF(Main[[#This Row],[Class]]="C",WORKDAY(Main[[#This Row],[Tech Start Date]],28),IF(Main[[#This Row],[Class]]="B", WORKDAY(Main[[#This Row],[Tech Start Date]],19),IF(Main[[#This Row],[Class]]="A",WORKDAY(Main[[#This Row],[Tech Start Date]],9),""))))</f>
        <v/>
      </c>
      <c r="Q1030" s="101">
        <v>40828</v>
      </c>
      <c r="R1030" s="101"/>
      <c r="S1030" s="99" t="s">
        <v>6</v>
      </c>
      <c r="T1030" s="107" t="s">
        <v>4</v>
      </c>
      <c r="U1030" s="99" t="s">
        <v>7</v>
      </c>
      <c r="V1030" s="99" t="s">
        <v>1962</v>
      </c>
      <c r="W1030" s="99" t="s">
        <v>1970</v>
      </c>
    </row>
    <row r="1031" spans="1:23" ht="18.600000000000001" customHeight="1">
      <c r="A1031" s="123" t="str">
        <f>IF(priority(Main[[#This Row],[Comments]])&lt;&gt;0, priority(Main[[#This Row],[Comments]]),"")</f>
        <v/>
      </c>
      <c r="B1031" s="127" t="s">
        <v>1208</v>
      </c>
      <c r="C1031" s="99" t="s">
        <v>4</v>
      </c>
      <c r="D1031" s="100" t="s">
        <v>232</v>
      </c>
      <c r="E1031" s="101">
        <v>40847.6950462963</v>
      </c>
      <c r="F1031" s="101"/>
      <c r="G1031" s="102" t="str">
        <f>IF(stdProdLT(Main[[#This Row],[Comments]])=0.1,"N/A",IF(stdProdLT(Main[[#This Row],[Comments]])=0,"",stdProdLT(Main[[#This Row],[Comments]])))</f>
        <v/>
      </c>
      <c r="H1031" s="103" t="str">
        <f>IF(AND(Main[[#This Row],[In Stock Date]]&lt;&gt;"",Main[[#This Row],[Revised Due Date]]&lt;&gt;""),Main[[#This Row],[In Stock Date]]-Main[[#This Row],[Revised Due Date]],"")</f>
        <v/>
      </c>
      <c r="I1031" s="99" t="s">
        <v>4</v>
      </c>
      <c r="J1031" s="99" t="s">
        <v>4</v>
      </c>
      <c r="K1031" s="99" t="s">
        <v>4</v>
      </c>
      <c r="L1031" s="101"/>
      <c r="M1031" s="104" t="str">
        <f>IF(Main[[#This Row],[Tech Start Date]]&lt;1/1/1990,"",IF(Main[[#This Row],[Class]]="C",WORKDAY(Main[[#This Row],[Tech Start Date]],9),IF(Main[[#This Row],[Class]]="B", WORKDAY(Main[[#This Row],[Tech Start Date]],6),IF(Main[[#This Row],[Class]]="A",WORKDAY(Main[[#This Row],[Tech Start Date]],2),""))))</f>
        <v/>
      </c>
      <c r="N1031" s="104" t="str">
        <f>IF(Main[[#This Row],[Tech Start Date]]&lt;1/1/1990,"",IF(Main[[#This Row],[Class]]="C",WORKDAY(Main[[#This Row],[Tech Start Date]],19),IF(Main[[#This Row],[Class]]="B", WORKDAY(Main[[#This Row],[Tech Start Date]],12),IF(Main[[#This Row],[Class]]="A",WORKDAY(Main[[#This Row],[Tech Start Date]],4),""))))</f>
        <v/>
      </c>
      <c r="O1031" s="104" t="str">
        <f>IF(Main[[#This Row],[Tech Start Date]]&lt;1/1/1990,"",IF(Main[[#This Row],[Class]]="C",WORKDAY(Main[[#This Row],[Tech Start Date]],23),IF(Main[[#This Row],[Class]]="B", WORKDAY(Main[[#This Row],[Tech Start Date]],15),IF(Main[[#This Row],[Class]]="A",WORKDAY(Main[[#This Row],[Tech Start Date]],5),""))))</f>
        <v/>
      </c>
      <c r="P1031" s="104" t="str">
        <f>IF(Main[[#This Row],[Tech Start Date]]&lt;1/1/1990,"",IF(Main[[#This Row],[Class]]="C",WORKDAY(Main[[#This Row],[Tech Start Date]],28),IF(Main[[#This Row],[Class]]="B", WORKDAY(Main[[#This Row],[Tech Start Date]],19),IF(Main[[#This Row],[Class]]="A",WORKDAY(Main[[#This Row],[Tech Start Date]],9),""))))</f>
        <v/>
      </c>
      <c r="Q1031" s="101"/>
      <c r="R1031" s="101"/>
      <c r="S1031" s="99" t="s">
        <v>49</v>
      </c>
      <c r="T1031" s="107" t="s">
        <v>4</v>
      </c>
      <c r="U1031" s="99" t="s">
        <v>7</v>
      </c>
      <c r="V1031" s="99" t="s">
        <v>1962</v>
      </c>
      <c r="W1031" s="99" t="s">
        <v>1966</v>
      </c>
    </row>
    <row r="1032" spans="1:23" ht="18.600000000000001" customHeight="1">
      <c r="A1032" s="123" t="str">
        <f>IF(priority(Main[[#This Row],[Comments]])&lt;&gt;0, priority(Main[[#This Row],[Comments]]),"")</f>
        <v/>
      </c>
      <c r="B1032" s="127" t="s">
        <v>1795</v>
      </c>
      <c r="C1032" s="99" t="s">
        <v>4</v>
      </c>
      <c r="D1032" s="100" t="s">
        <v>817</v>
      </c>
      <c r="E1032" s="101">
        <v>40584.403622685182</v>
      </c>
      <c r="F1032" s="101">
        <v>40602</v>
      </c>
      <c r="G1032" s="102" t="str">
        <f>IF(stdProdLT(Main[[#This Row],[Comments]])=0.1,"N/A",IF(stdProdLT(Main[[#This Row],[Comments]])=0,"",stdProdLT(Main[[#This Row],[Comments]])))</f>
        <v/>
      </c>
      <c r="H1032" s="103" t="str">
        <f>IF(AND(Main[[#This Row],[In Stock Date]]&lt;&gt;"",Main[[#This Row],[Revised Due Date]]&lt;&gt;""),Main[[#This Row],[In Stock Date]]-Main[[#This Row],[Revised Due Date]],"")</f>
        <v/>
      </c>
      <c r="I1032" s="99" t="s">
        <v>4</v>
      </c>
      <c r="J1032" s="99" t="s">
        <v>28</v>
      </c>
      <c r="K1032" s="99" t="s">
        <v>1974</v>
      </c>
      <c r="L1032" s="101"/>
      <c r="M1032" s="104" t="str">
        <f>IF(Main[[#This Row],[Tech Start Date]]&lt;1/1/1990,"",IF(Main[[#This Row],[Class]]="C",WORKDAY(Main[[#This Row],[Tech Start Date]],9),IF(Main[[#This Row],[Class]]="B", WORKDAY(Main[[#This Row],[Tech Start Date]],6),IF(Main[[#This Row],[Class]]="A",WORKDAY(Main[[#This Row],[Tech Start Date]],2),""))))</f>
        <v/>
      </c>
      <c r="N1032" s="104" t="str">
        <f>IF(Main[[#This Row],[Tech Start Date]]&lt;1/1/1990,"",IF(Main[[#This Row],[Class]]="C",WORKDAY(Main[[#This Row],[Tech Start Date]],19),IF(Main[[#This Row],[Class]]="B", WORKDAY(Main[[#This Row],[Tech Start Date]],12),IF(Main[[#This Row],[Class]]="A",WORKDAY(Main[[#This Row],[Tech Start Date]],4),""))))</f>
        <v/>
      </c>
      <c r="O1032" s="104" t="str">
        <f>IF(Main[[#This Row],[Tech Start Date]]&lt;1/1/1990,"",IF(Main[[#This Row],[Class]]="C",WORKDAY(Main[[#This Row],[Tech Start Date]],23),IF(Main[[#This Row],[Class]]="B", WORKDAY(Main[[#This Row],[Tech Start Date]],15),IF(Main[[#This Row],[Class]]="A",WORKDAY(Main[[#This Row],[Tech Start Date]],5),""))))</f>
        <v/>
      </c>
      <c r="P1032" s="104" t="str">
        <f>IF(Main[[#This Row],[Tech Start Date]]&lt;1/1/1990,"",IF(Main[[#This Row],[Class]]="C",WORKDAY(Main[[#This Row],[Tech Start Date]],28),IF(Main[[#This Row],[Class]]="B", WORKDAY(Main[[#This Row],[Tech Start Date]],19),IF(Main[[#This Row],[Class]]="A",WORKDAY(Main[[#This Row],[Tech Start Date]],9),""))))</f>
        <v/>
      </c>
      <c r="Q1032" s="101">
        <v>40602</v>
      </c>
      <c r="R1032" s="101"/>
      <c r="S1032" s="99" t="s">
        <v>17</v>
      </c>
      <c r="T1032" s="107" t="s">
        <v>4</v>
      </c>
      <c r="U1032" s="99" t="s">
        <v>7</v>
      </c>
      <c r="V1032" s="99" t="s">
        <v>1962</v>
      </c>
      <c r="W1032" s="99" t="s">
        <v>1970</v>
      </c>
    </row>
    <row r="1033" spans="1:23" ht="18.600000000000001" customHeight="1">
      <c r="A1033" s="123" t="str">
        <f>IF(priority(Main[[#This Row],[Comments]])&lt;&gt;0, priority(Main[[#This Row],[Comments]]),"")</f>
        <v/>
      </c>
      <c r="B1033" s="127" t="s">
        <v>1670</v>
      </c>
      <c r="C1033" s="99" t="s">
        <v>79</v>
      </c>
      <c r="D1033" s="100" t="s">
        <v>715</v>
      </c>
      <c r="E1033" s="101">
        <v>40610.683993055558</v>
      </c>
      <c r="F1033" s="101"/>
      <c r="G1033" s="102" t="str">
        <f>IF(stdProdLT(Main[[#This Row],[Comments]])=0.1,"N/A",IF(stdProdLT(Main[[#This Row],[Comments]])=0,"",stdProdLT(Main[[#This Row],[Comments]])))</f>
        <v/>
      </c>
      <c r="H1033" s="103" t="str">
        <f>IF(AND(Main[[#This Row],[In Stock Date]]&lt;&gt;"",Main[[#This Row],[Revised Due Date]]&lt;&gt;""),Main[[#This Row],[In Stock Date]]-Main[[#This Row],[Revised Due Date]],"")</f>
        <v/>
      </c>
      <c r="I1033" s="99" t="s">
        <v>536</v>
      </c>
      <c r="J1033" s="99" t="s">
        <v>28</v>
      </c>
      <c r="K1033" s="99" t="s">
        <v>1974</v>
      </c>
      <c r="L1033" s="101"/>
      <c r="M1033" s="104" t="str">
        <f>IF(Main[[#This Row],[Tech Start Date]]&lt;1/1/1990,"",IF(Main[[#This Row],[Class]]="C",WORKDAY(Main[[#This Row],[Tech Start Date]],9),IF(Main[[#This Row],[Class]]="B", WORKDAY(Main[[#This Row],[Tech Start Date]],6),IF(Main[[#This Row],[Class]]="A",WORKDAY(Main[[#This Row],[Tech Start Date]],2),""))))</f>
        <v/>
      </c>
      <c r="N1033" s="104" t="str">
        <f>IF(Main[[#This Row],[Tech Start Date]]&lt;1/1/1990,"",IF(Main[[#This Row],[Class]]="C",WORKDAY(Main[[#This Row],[Tech Start Date]],19),IF(Main[[#This Row],[Class]]="B", WORKDAY(Main[[#This Row],[Tech Start Date]],12),IF(Main[[#This Row],[Class]]="A",WORKDAY(Main[[#This Row],[Tech Start Date]],4),""))))</f>
        <v/>
      </c>
      <c r="O1033" s="104" t="str">
        <f>IF(Main[[#This Row],[Tech Start Date]]&lt;1/1/1990,"",IF(Main[[#This Row],[Class]]="C",WORKDAY(Main[[#This Row],[Tech Start Date]],23),IF(Main[[#This Row],[Class]]="B", WORKDAY(Main[[#This Row],[Tech Start Date]],15),IF(Main[[#This Row],[Class]]="A",WORKDAY(Main[[#This Row],[Tech Start Date]],5),""))))</f>
        <v/>
      </c>
      <c r="P1033" s="104" t="str">
        <f>IF(Main[[#This Row],[Tech Start Date]]&lt;1/1/1990,"",IF(Main[[#This Row],[Class]]="C",WORKDAY(Main[[#This Row],[Tech Start Date]],28),IF(Main[[#This Row],[Class]]="B", WORKDAY(Main[[#This Row],[Tech Start Date]],19),IF(Main[[#This Row],[Class]]="A",WORKDAY(Main[[#This Row],[Tech Start Date]],9),""))))</f>
        <v/>
      </c>
      <c r="Q1033" s="101">
        <v>40725</v>
      </c>
      <c r="R1033" s="101"/>
      <c r="S1033" s="99" t="s">
        <v>6</v>
      </c>
      <c r="T1033" s="107" t="s">
        <v>4</v>
      </c>
      <c r="U1033" s="99" t="s">
        <v>29</v>
      </c>
      <c r="V1033" s="99" t="s">
        <v>1965</v>
      </c>
      <c r="W1033" s="99" t="s">
        <v>1964</v>
      </c>
    </row>
    <row r="1034" spans="1:23" ht="18.600000000000001" customHeight="1">
      <c r="A1034" s="123" t="str">
        <f>IF(priority(Main[[#This Row],[Comments]])&lt;&gt;0, priority(Main[[#This Row],[Comments]]),"")</f>
        <v/>
      </c>
      <c r="B1034" s="127" t="s">
        <v>1880</v>
      </c>
      <c r="C1034" s="99" t="s">
        <v>42</v>
      </c>
      <c r="D1034" s="100" t="s">
        <v>909</v>
      </c>
      <c r="E1034" s="101">
        <v>39937.597175925926</v>
      </c>
      <c r="F1034" s="101"/>
      <c r="G1034" s="102" t="str">
        <f>IF(stdProdLT(Main[[#This Row],[Comments]])=0.1,"N/A",IF(stdProdLT(Main[[#This Row],[Comments]])=0,"",stdProdLT(Main[[#This Row],[Comments]])))</f>
        <v/>
      </c>
      <c r="H1034" s="103" t="str">
        <f>IF(AND(Main[[#This Row],[In Stock Date]]&lt;&gt;"",Main[[#This Row],[Revised Due Date]]&lt;&gt;""),Main[[#This Row],[In Stock Date]]-Main[[#This Row],[Revised Due Date]],"")</f>
        <v/>
      </c>
      <c r="I1034" s="99" t="s">
        <v>421</v>
      </c>
      <c r="J1034" s="99" t="s">
        <v>4</v>
      </c>
      <c r="K1034" s="99" t="s">
        <v>1974</v>
      </c>
      <c r="L1034" s="101"/>
      <c r="M1034" s="104" t="str">
        <f>IF(Main[[#This Row],[Tech Start Date]]&lt;1/1/1990,"",IF(Main[[#This Row],[Class]]="C",WORKDAY(Main[[#This Row],[Tech Start Date]],9),IF(Main[[#This Row],[Class]]="B", WORKDAY(Main[[#This Row],[Tech Start Date]],6),IF(Main[[#This Row],[Class]]="A",WORKDAY(Main[[#This Row],[Tech Start Date]],2),""))))</f>
        <v/>
      </c>
      <c r="N1034" s="104" t="str">
        <f>IF(Main[[#This Row],[Tech Start Date]]&lt;1/1/1990,"",IF(Main[[#This Row],[Class]]="C",WORKDAY(Main[[#This Row],[Tech Start Date]],19),IF(Main[[#This Row],[Class]]="B", WORKDAY(Main[[#This Row],[Tech Start Date]],12),IF(Main[[#This Row],[Class]]="A",WORKDAY(Main[[#This Row],[Tech Start Date]],4),""))))</f>
        <v/>
      </c>
      <c r="O1034" s="104" t="str">
        <f>IF(Main[[#This Row],[Tech Start Date]]&lt;1/1/1990,"",IF(Main[[#This Row],[Class]]="C",WORKDAY(Main[[#This Row],[Tech Start Date]],23),IF(Main[[#This Row],[Class]]="B", WORKDAY(Main[[#This Row],[Tech Start Date]],15),IF(Main[[#This Row],[Class]]="A",WORKDAY(Main[[#This Row],[Tech Start Date]],5),""))))</f>
        <v/>
      </c>
      <c r="P1034" s="104" t="str">
        <f>IF(Main[[#This Row],[Tech Start Date]]&lt;1/1/1990,"",IF(Main[[#This Row],[Class]]="C",WORKDAY(Main[[#This Row],[Tech Start Date]],28),IF(Main[[#This Row],[Class]]="B", WORKDAY(Main[[#This Row],[Tech Start Date]],19),IF(Main[[#This Row],[Class]]="A",WORKDAY(Main[[#This Row],[Tech Start Date]],9),""))))</f>
        <v/>
      </c>
      <c r="Q1034" s="101"/>
      <c r="R1034" s="101">
        <v>40862</v>
      </c>
      <c r="S1034" s="99" t="s">
        <v>17</v>
      </c>
      <c r="T1034" s="107" t="s">
        <v>4</v>
      </c>
      <c r="U1034" s="99" t="s">
        <v>29</v>
      </c>
      <c r="V1034" s="99" t="s">
        <v>1965</v>
      </c>
      <c r="W1034" s="99" t="s">
        <v>1967</v>
      </c>
    </row>
    <row r="1035" spans="1:23" ht="18.600000000000001" customHeight="1">
      <c r="A1035" s="123" t="str">
        <f>IF(priority(Main[[#This Row],[Comments]])&lt;&gt;0, priority(Main[[#This Row],[Comments]]),"")</f>
        <v/>
      </c>
      <c r="B1035" s="127" t="s">
        <v>1205</v>
      </c>
      <c r="C1035" s="99" t="s">
        <v>4</v>
      </c>
      <c r="D1035" s="100" t="s">
        <v>2567</v>
      </c>
      <c r="E1035" s="101">
        <v>40567.661041666666</v>
      </c>
      <c r="F1035" s="101">
        <v>40602</v>
      </c>
      <c r="G1035" s="102" t="str">
        <f>IF(stdProdLT(Main[[#This Row],[Comments]])=0.1,"N/A",IF(stdProdLT(Main[[#This Row],[Comments]])=0,"",stdProdLT(Main[[#This Row],[Comments]])))</f>
        <v/>
      </c>
      <c r="H1035" s="103" t="str">
        <f>IF(AND(Main[[#This Row],[In Stock Date]]&lt;&gt;"",Main[[#This Row],[Revised Due Date]]&lt;&gt;""),Main[[#This Row],[In Stock Date]]-Main[[#This Row],[Revised Due Date]],"")</f>
        <v/>
      </c>
      <c r="I1035" s="99" t="s">
        <v>929</v>
      </c>
      <c r="J1035" s="99" t="s">
        <v>52</v>
      </c>
      <c r="K1035" s="99" t="s">
        <v>1971</v>
      </c>
      <c r="L1035" s="101"/>
      <c r="M1035" s="104" t="str">
        <f>IF(Main[[#This Row],[Tech Start Date]]&lt;1/1/1990,"",IF(Main[[#This Row],[Class]]="C",WORKDAY(Main[[#This Row],[Tech Start Date]],9),IF(Main[[#This Row],[Class]]="B", WORKDAY(Main[[#This Row],[Tech Start Date]],6),IF(Main[[#This Row],[Class]]="A",WORKDAY(Main[[#This Row],[Tech Start Date]],2),""))))</f>
        <v/>
      </c>
      <c r="N1035" s="104" t="str">
        <f>IF(Main[[#This Row],[Tech Start Date]]&lt;1/1/1990,"",IF(Main[[#This Row],[Class]]="C",WORKDAY(Main[[#This Row],[Tech Start Date]],19),IF(Main[[#This Row],[Class]]="B", WORKDAY(Main[[#This Row],[Tech Start Date]],12),IF(Main[[#This Row],[Class]]="A",WORKDAY(Main[[#This Row],[Tech Start Date]],4),""))))</f>
        <v/>
      </c>
      <c r="O1035" s="104" t="str">
        <f>IF(Main[[#This Row],[Tech Start Date]]&lt;1/1/1990,"",IF(Main[[#This Row],[Class]]="C",WORKDAY(Main[[#This Row],[Tech Start Date]],23),IF(Main[[#This Row],[Class]]="B", WORKDAY(Main[[#This Row],[Tech Start Date]],15),IF(Main[[#This Row],[Class]]="A",WORKDAY(Main[[#This Row],[Tech Start Date]],5),""))))</f>
        <v/>
      </c>
      <c r="P1035" s="104" t="str">
        <f>IF(Main[[#This Row],[Tech Start Date]]&lt;1/1/1990,"",IF(Main[[#This Row],[Class]]="C",WORKDAY(Main[[#This Row],[Tech Start Date]],28),IF(Main[[#This Row],[Class]]="B", WORKDAY(Main[[#This Row],[Tech Start Date]],19),IF(Main[[#This Row],[Class]]="A",WORKDAY(Main[[#This Row],[Tech Start Date]],9),""))))</f>
        <v/>
      </c>
      <c r="Q1035" s="101">
        <v>40602</v>
      </c>
      <c r="R1035" s="101"/>
      <c r="S1035" s="99" t="s">
        <v>6</v>
      </c>
      <c r="T1035" s="107" t="s">
        <v>4</v>
      </c>
      <c r="U1035" s="99" t="s">
        <v>29</v>
      </c>
      <c r="V1035" s="99" t="s">
        <v>1962</v>
      </c>
      <c r="W1035" s="99" t="s">
        <v>1964</v>
      </c>
    </row>
    <row r="1036" spans="1:23" ht="18.600000000000001" customHeight="1">
      <c r="A1036" s="123" t="str">
        <f>IF(priority(Main[[#This Row],[Comments]])&lt;&gt;0, priority(Main[[#This Row],[Comments]]),"")</f>
        <v/>
      </c>
      <c r="B1036" s="127" t="s">
        <v>1612</v>
      </c>
      <c r="C1036" s="99" t="s">
        <v>4</v>
      </c>
      <c r="D1036" s="100" t="s">
        <v>2568</v>
      </c>
      <c r="E1036" s="101">
        <v>40463.34134259259</v>
      </c>
      <c r="F1036" s="101"/>
      <c r="G1036" s="102" t="str">
        <f>IF(stdProdLT(Main[[#This Row],[Comments]])=0.1,"N/A",IF(stdProdLT(Main[[#This Row],[Comments]])=0,"",stdProdLT(Main[[#This Row],[Comments]])))</f>
        <v/>
      </c>
      <c r="H1036" s="103" t="str">
        <f>IF(AND(Main[[#This Row],[In Stock Date]]&lt;&gt;"",Main[[#This Row],[Revised Due Date]]&lt;&gt;""),Main[[#This Row],[In Stock Date]]-Main[[#This Row],[Revised Due Date]],"")</f>
        <v/>
      </c>
      <c r="I1036" s="99" t="s">
        <v>929</v>
      </c>
      <c r="J1036" s="99" t="s">
        <v>52</v>
      </c>
      <c r="K1036" s="99" t="s">
        <v>4</v>
      </c>
      <c r="L1036" s="101"/>
      <c r="M1036" s="104" t="str">
        <f>IF(Main[[#This Row],[Tech Start Date]]&lt;1/1/1990,"",IF(Main[[#This Row],[Class]]="C",WORKDAY(Main[[#This Row],[Tech Start Date]],9),IF(Main[[#This Row],[Class]]="B", WORKDAY(Main[[#This Row],[Tech Start Date]],6),IF(Main[[#This Row],[Class]]="A",WORKDAY(Main[[#This Row],[Tech Start Date]],2),""))))</f>
        <v/>
      </c>
      <c r="N1036" s="104" t="str">
        <f>IF(Main[[#This Row],[Tech Start Date]]&lt;1/1/1990,"",IF(Main[[#This Row],[Class]]="C",WORKDAY(Main[[#This Row],[Tech Start Date]],19),IF(Main[[#This Row],[Class]]="B", WORKDAY(Main[[#This Row],[Tech Start Date]],12),IF(Main[[#This Row],[Class]]="A",WORKDAY(Main[[#This Row],[Tech Start Date]],4),""))))</f>
        <v/>
      </c>
      <c r="O1036" s="104" t="str">
        <f>IF(Main[[#This Row],[Tech Start Date]]&lt;1/1/1990,"",IF(Main[[#This Row],[Class]]="C",WORKDAY(Main[[#This Row],[Tech Start Date]],23),IF(Main[[#This Row],[Class]]="B", WORKDAY(Main[[#This Row],[Tech Start Date]],15),IF(Main[[#This Row],[Class]]="A",WORKDAY(Main[[#This Row],[Tech Start Date]],5),""))))</f>
        <v/>
      </c>
      <c r="P1036" s="104" t="str">
        <f>IF(Main[[#This Row],[Tech Start Date]]&lt;1/1/1990,"",IF(Main[[#This Row],[Class]]="C",WORKDAY(Main[[#This Row],[Tech Start Date]],28),IF(Main[[#This Row],[Class]]="B", WORKDAY(Main[[#This Row],[Tech Start Date]],19),IF(Main[[#This Row],[Class]]="A",WORKDAY(Main[[#This Row],[Tech Start Date]],9),""))))</f>
        <v/>
      </c>
      <c r="Q1036" s="101">
        <v>40497</v>
      </c>
      <c r="R1036" s="101"/>
      <c r="S1036" s="99" t="s">
        <v>6</v>
      </c>
      <c r="T1036" s="107" t="s">
        <v>4</v>
      </c>
      <c r="U1036" s="99" t="s">
        <v>29</v>
      </c>
      <c r="V1036" s="99" t="s">
        <v>1962</v>
      </c>
      <c r="W1036" s="99" t="s">
        <v>1966</v>
      </c>
    </row>
    <row r="1037" spans="1:23" ht="18.600000000000001" customHeight="1">
      <c r="A1037" s="123" t="str">
        <f>IF(priority(Main[[#This Row],[Comments]])&lt;&gt;0, priority(Main[[#This Row],[Comments]]),"")</f>
        <v/>
      </c>
      <c r="B1037" s="127" t="s">
        <v>2569</v>
      </c>
      <c r="C1037" s="99" t="s">
        <v>4</v>
      </c>
      <c r="D1037" s="100" t="s">
        <v>2570</v>
      </c>
      <c r="E1037" s="101">
        <v>40833.65898148148</v>
      </c>
      <c r="F1037" s="101"/>
      <c r="G1037" s="102" t="str">
        <f>IF(stdProdLT(Main[[#This Row],[Comments]])=0.1,"N/A",IF(stdProdLT(Main[[#This Row],[Comments]])=0,"",stdProdLT(Main[[#This Row],[Comments]])))</f>
        <v/>
      </c>
      <c r="H1037" s="103" t="str">
        <f>IF(AND(Main[[#This Row],[In Stock Date]]&lt;&gt;"",Main[[#This Row],[Revised Due Date]]&lt;&gt;""),Main[[#This Row],[In Stock Date]]-Main[[#This Row],[Revised Due Date]],"")</f>
        <v/>
      </c>
      <c r="I1037" s="99" t="s">
        <v>536</v>
      </c>
      <c r="J1037" s="99" t="s">
        <v>28</v>
      </c>
      <c r="K1037" s="99" t="s">
        <v>1971</v>
      </c>
      <c r="L1037" s="101"/>
      <c r="M1037" s="104" t="str">
        <f>IF(Main[[#This Row],[Tech Start Date]]&lt;1/1/1990,"",IF(Main[[#This Row],[Class]]="C",WORKDAY(Main[[#This Row],[Tech Start Date]],9),IF(Main[[#This Row],[Class]]="B", WORKDAY(Main[[#This Row],[Tech Start Date]],6),IF(Main[[#This Row],[Class]]="A",WORKDAY(Main[[#This Row],[Tech Start Date]],2),""))))</f>
        <v/>
      </c>
      <c r="N1037" s="104" t="str">
        <f>IF(Main[[#This Row],[Tech Start Date]]&lt;1/1/1990,"",IF(Main[[#This Row],[Class]]="C",WORKDAY(Main[[#This Row],[Tech Start Date]],19),IF(Main[[#This Row],[Class]]="B", WORKDAY(Main[[#This Row],[Tech Start Date]],12),IF(Main[[#This Row],[Class]]="A",WORKDAY(Main[[#This Row],[Tech Start Date]],4),""))))</f>
        <v/>
      </c>
      <c r="O1037" s="104" t="str">
        <f>IF(Main[[#This Row],[Tech Start Date]]&lt;1/1/1990,"",IF(Main[[#This Row],[Class]]="C",WORKDAY(Main[[#This Row],[Tech Start Date]],23),IF(Main[[#This Row],[Class]]="B", WORKDAY(Main[[#This Row],[Tech Start Date]],15),IF(Main[[#This Row],[Class]]="A",WORKDAY(Main[[#This Row],[Tech Start Date]],5),""))))</f>
        <v/>
      </c>
      <c r="P1037" s="104" t="str">
        <f>IF(Main[[#This Row],[Tech Start Date]]&lt;1/1/1990,"",IF(Main[[#This Row],[Class]]="C",WORKDAY(Main[[#This Row],[Tech Start Date]],28),IF(Main[[#This Row],[Class]]="B", WORKDAY(Main[[#This Row],[Tech Start Date]],19),IF(Main[[#This Row],[Class]]="A",WORKDAY(Main[[#This Row],[Tech Start Date]],9),""))))</f>
        <v/>
      </c>
      <c r="Q1037" s="101">
        <v>40923</v>
      </c>
      <c r="R1037" s="101"/>
      <c r="S1037" s="99" t="s">
        <v>6</v>
      </c>
      <c r="T1037" s="107" t="s">
        <v>4</v>
      </c>
      <c r="U1037" s="99" t="s">
        <v>29</v>
      </c>
      <c r="V1037" s="99" t="s">
        <v>1965</v>
      </c>
      <c r="W1037" s="99" t="s">
        <v>1966</v>
      </c>
    </row>
    <row r="1038" spans="1:23" ht="18.600000000000001" customHeight="1">
      <c r="A1038" s="123" t="str">
        <f>IF(priority(Main[[#This Row],[Comments]])&lt;&gt;0, priority(Main[[#This Row],[Comments]]),"")</f>
        <v/>
      </c>
      <c r="B1038" s="127" t="s">
        <v>1806</v>
      </c>
      <c r="C1038" s="99" t="s">
        <v>4</v>
      </c>
      <c r="D1038" s="100" t="s">
        <v>2394</v>
      </c>
      <c r="E1038" s="101">
        <v>40660.402291666665</v>
      </c>
      <c r="F1038" s="101"/>
      <c r="G1038" s="102" t="str">
        <f>IF(stdProdLT(Main[[#This Row],[Comments]])=0.1,"N/A",IF(stdProdLT(Main[[#This Row],[Comments]])=0,"",stdProdLT(Main[[#This Row],[Comments]])))</f>
        <v/>
      </c>
      <c r="H1038" s="103" t="str">
        <f>IF(AND(Main[[#This Row],[In Stock Date]]&lt;&gt;"",Main[[#This Row],[Revised Due Date]]&lt;&gt;""),Main[[#This Row],[In Stock Date]]-Main[[#This Row],[Revised Due Date]],"")</f>
        <v/>
      </c>
      <c r="I1038" s="99" t="s">
        <v>568</v>
      </c>
      <c r="J1038" s="99" t="s">
        <v>21</v>
      </c>
      <c r="K1038" s="99" t="s">
        <v>4</v>
      </c>
      <c r="L1038" s="101"/>
      <c r="M1038" s="104" t="str">
        <f>IF(Main[[#This Row],[Tech Start Date]]&lt;1/1/1990,"",IF(Main[[#This Row],[Class]]="C",WORKDAY(Main[[#This Row],[Tech Start Date]],9),IF(Main[[#This Row],[Class]]="B", WORKDAY(Main[[#This Row],[Tech Start Date]],6),IF(Main[[#This Row],[Class]]="A",WORKDAY(Main[[#This Row],[Tech Start Date]],2),""))))</f>
        <v/>
      </c>
      <c r="N1038" s="104" t="str">
        <f>IF(Main[[#This Row],[Tech Start Date]]&lt;1/1/1990,"",IF(Main[[#This Row],[Class]]="C",WORKDAY(Main[[#This Row],[Tech Start Date]],19),IF(Main[[#This Row],[Class]]="B", WORKDAY(Main[[#This Row],[Tech Start Date]],12),IF(Main[[#This Row],[Class]]="A",WORKDAY(Main[[#This Row],[Tech Start Date]],4),""))))</f>
        <v/>
      </c>
      <c r="O1038" s="104" t="str">
        <f>IF(Main[[#This Row],[Tech Start Date]]&lt;1/1/1990,"",IF(Main[[#This Row],[Class]]="C",WORKDAY(Main[[#This Row],[Tech Start Date]],23),IF(Main[[#This Row],[Class]]="B", WORKDAY(Main[[#This Row],[Tech Start Date]],15),IF(Main[[#This Row],[Class]]="A",WORKDAY(Main[[#This Row],[Tech Start Date]],5),""))))</f>
        <v/>
      </c>
      <c r="P1038" s="104" t="str">
        <f>IF(Main[[#This Row],[Tech Start Date]]&lt;1/1/1990,"",IF(Main[[#This Row],[Class]]="C",WORKDAY(Main[[#This Row],[Tech Start Date]],28),IF(Main[[#This Row],[Class]]="B", WORKDAY(Main[[#This Row],[Tech Start Date]],19),IF(Main[[#This Row],[Class]]="A",WORKDAY(Main[[#This Row],[Tech Start Date]],9),""))))</f>
        <v/>
      </c>
      <c r="Q1038" s="101">
        <v>40676</v>
      </c>
      <c r="R1038" s="101"/>
      <c r="S1038" s="99" t="s">
        <v>6</v>
      </c>
      <c r="T1038" s="107" t="s">
        <v>4</v>
      </c>
      <c r="U1038" s="99" t="s">
        <v>29</v>
      </c>
      <c r="V1038" s="99" t="s">
        <v>1962</v>
      </c>
      <c r="W1038" s="99" t="s">
        <v>1966</v>
      </c>
    </row>
    <row r="1039" spans="1:23" ht="18.600000000000001" customHeight="1">
      <c r="A1039" s="123" t="str">
        <f>IF(priority(Main[[#This Row],[Comments]])&lt;&gt;0, priority(Main[[#This Row],[Comments]]),"")</f>
        <v/>
      </c>
      <c r="B1039" s="127" t="s">
        <v>2671</v>
      </c>
      <c r="C1039" s="99" t="s">
        <v>4</v>
      </c>
      <c r="D1039" s="100" t="s">
        <v>2672</v>
      </c>
      <c r="E1039" s="101"/>
      <c r="F1039" s="101"/>
      <c r="G1039" s="102" t="str">
        <f>IF(stdProdLT(Main[[#This Row],[Comments]])=0.1,"N/A",IF(stdProdLT(Main[[#This Row],[Comments]])=0,"",stdProdLT(Main[[#This Row],[Comments]])))</f>
        <v/>
      </c>
      <c r="H1039" s="103" t="str">
        <f>IF(AND(Main[[#This Row],[In Stock Date]]&lt;&gt;"",Main[[#This Row],[Revised Due Date]]&lt;&gt;""),Main[[#This Row],[In Stock Date]]-Main[[#This Row],[Revised Due Date]],"")</f>
        <v/>
      </c>
      <c r="I1039" s="99" t="s">
        <v>536</v>
      </c>
      <c r="J1039" s="99" t="s">
        <v>28</v>
      </c>
      <c r="K1039" s="99" t="s">
        <v>1971</v>
      </c>
      <c r="L1039" s="101"/>
      <c r="M1039" s="104" t="str">
        <f>IF(Main[[#This Row],[Tech Start Date]]&lt;1/1/1990,"",IF(Main[[#This Row],[Class]]="C",WORKDAY(Main[[#This Row],[Tech Start Date]],9),IF(Main[[#This Row],[Class]]="B", WORKDAY(Main[[#This Row],[Tech Start Date]],6),IF(Main[[#This Row],[Class]]="A",WORKDAY(Main[[#This Row],[Tech Start Date]],2),""))))</f>
        <v/>
      </c>
      <c r="N1039" s="104" t="str">
        <f>IF(Main[[#This Row],[Tech Start Date]]&lt;1/1/1990,"",IF(Main[[#This Row],[Class]]="C",WORKDAY(Main[[#This Row],[Tech Start Date]],19),IF(Main[[#This Row],[Class]]="B", WORKDAY(Main[[#This Row],[Tech Start Date]],12),IF(Main[[#This Row],[Class]]="A",WORKDAY(Main[[#This Row],[Tech Start Date]],4),""))))</f>
        <v/>
      </c>
      <c r="O1039" s="104" t="str">
        <f>IF(Main[[#This Row],[Tech Start Date]]&lt;1/1/1990,"",IF(Main[[#This Row],[Class]]="C",WORKDAY(Main[[#This Row],[Tech Start Date]],23),IF(Main[[#This Row],[Class]]="B", WORKDAY(Main[[#This Row],[Tech Start Date]],15),IF(Main[[#This Row],[Class]]="A",WORKDAY(Main[[#This Row],[Tech Start Date]],5),""))))</f>
        <v/>
      </c>
      <c r="P1039" s="104" t="str">
        <f>IF(Main[[#This Row],[Tech Start Date]]&lt;1/1/1990,"",IF(Main[[#This Row],[Class]]="C",WORKDAY(Main[[#This Row],[Tech Start Date]],28),IF(Main[[#This Row],[Class]]="B", WORKDAY(Main[[#This Row],[Tech Start Date]],19),IF(Main[[#This Row],[Class]]="A",WORKDAY(Main[[#This Row],[Tech Start Date]],9),""))))</f>
        <v/>
      </c>
      <c r="Q1039" s="101">
        <v>40939</v>
      </c>
      <c r="R1039" s="101"/>
      <c r="S1039" s="99" t="s">
        <v>6</v>
      </c>
      <c r="T1039" s="107" t="s">
        <v>4</v>
      </c>
      <c r="U1039" s="99" t="s">
        <v>14</v>
      </c>
      <c r="V1039" s="99" t="s">
        <v>1965</v>
      </c>
      <c r="W1039" s="99" t="s">
        <v>1966</v>
      </c>
    </row>
    <row r="1040" spans="1:23" ht="18.600000000000001" customHeight="1">
      <c r="A1040" s="123" t="str">
        <f>IF(priority(Main[[#This Row],[Comments]])&lt;&gt;0, priority(Main[[#This Row],[Comments]]),"")</f>
        <v/>
      </c>
      <c r="B1040" s="127" t="s">
        <v>2298</v>
      </c>
      <c r="C1040" s="99" t="s">
        <v>4</v>
      </c>
      <c r="D1040" s="100" t="s">
        <v>2299</v>
      </c>
      <c r="E1040" s="101">
        <v>40802.356851851851</v>
      </c>
      <c r="F1040" s="101"/>
      <c r="G1040" s="102" t="str">
        <f>IF(stdProdLT(Main[[#This Row],[Comments]])=0.1,"N/A",IF(stdProdLT(Main[[#This Row],[Comments]])=0,"",stdProdLT(Main[[#This Row],[Comments]])))</f>
        <v/>
      </c>
      <c r="H1040" s="103" t="str">
        <f>IF(AND(Main[[#This Row],[In Stock Date]]&lt;&gt;"",Main[[#This Row],[Revised Due Date]]&lt;&gt;""),Main[[#This Row],[In Stock Date]]-Main[[#This Row],[Revised Due Date]],"")</f>
        <v/>
      </c>
      <c r="I1040" s="99" t="s">
        <v>102</v>
      </c>
      <c r="J1040" s="99" t="s">
        <v>75</v>
      </c>
      <c r="K1040" s="99" t="s">
        <v>1975</v>
      </c>
      <c r="L1040" s="101"/>
      <c r="M1040" s="104" t="str">
        <f>IF(Main[[#This Row],[Tech Start Date]]&lt;1/1/1990,"",IF(Main[[#This Row],[Class]]="C",WORKDAY(Main[[#This Row],[Tech Start Date]],9),IF(Main[[#This Row],[Class]]="B", WORKDAY(Main[[#This Row],[Tech Start Date]],6),IF(Main[[#This Row],[Class]]="A",WORKDAY(Main[[#This Row],[Tech Start Date]],2),""))))</f>
        <v/>
      </c>
      <c r="N1040" s="104" t="str">
        <f>IF(Main[[#This Row],[Tech Start Date]]&lt;1/1/1990,"",IF(Main[[#This Row],[Class]]="C",WORKDAY(Main[[#This Row],[Tech Start Date]],19),IF(Main[[#This Row],[Class]]="B", WORKDAY(Main[[#This Row],[Tech Start Date]],12),IF(Main[[#This Row],[Class]]="A",WORKDAY(Main[[#This Row],[Tech Start Date]],4),""))))</f>
        <v/>
      </c>
      <c r="O1040" s="104" t="str">
        <f>IF(Main[[#This Row],[Tech Start Date]]&lt;1/1/1990,"",IF(Main[[#This Row],[Class]]="C",WORKDAY(Main[[#This Row],[Tech Start Date]],23),IF(Main[[#This Row],[Class]]="B", WORKDAY(Main[[#This Row],[Tech Start Date]],15),IF(Main[[#This Row],[Class]]="A",WORKDAY(Main[[#This Row],[Tech Start Date]],5),""))))</f>
        <v/>
      </c>
      <c r="P1040" s="104" t="str">
        <f>IF(Main[[#This Row],[Tech Start Date]]&lt;1/1/1990,"",IF(Main[[#This Row],[Class]]="C",WORKDAY(Main[[#This Row],[Tech Start Date]],28),IF(Main[[#This Row],[Class]]="B", WORKDAY(Main[[#This Row],[Tech Start Date]],19),IF(Main[[#This Row],[Class]]="A",WORKDAY(Main[[#This Row],[Tech Start Date]],9),""))))</f>
        <v/>
      </c>
      <c r="Q1040" s="101"/>
      <c r="R1040" s="101"/>
      <c r="S1040" s="99" t="s">
        <v>6</v>
      </c>
      <c r="T1040" s="107" t="s">
        <v>4</v>
      </c>
      <c r="U1040" s="99" t="s">
        <v>29</v>
      </c>
      <c r="V1040" s="99" t="s">
        <v>1965</v>
      </c>
      <c r="W1040" s="99" t="s">
        <v>1966</v>
      </c>
    </row>
    <row r="1041" spans="1:23" ht="18.600000000000001" customHeight="1">
      <c r="A1041" s="123" t="str">
        <f>IF(priority(Main[[#This Row],[Comments]])&lt;&gt;0, priority(Main[[#This Row],[Comments]]),"")</f>
        <v/>
      </c>
      <c r="B1041" s="127" t="s">
        <v>2172</v>
      </c>
      <c r="C1041" s="99" t="s">
        <v>4</v>
      </c>
      <c r="D1041" s="100" t="s">
        <v>2173</v>
      </c>
      <c r="E1041" s="101">
        <v>40777.376608796294</v>
      </c>
      <c r="F1041" s="101"/>
      <c r="G1041" s="102" t="str">
        <f>IF(stdProdLT(Main[[#This Row],[Comments]])=0.1,"N/A",IF(stdProdLT(Main[[#This Row],[Comments]])=0,"",stdProdLT(Main[[#This Row],[Comments]])))</f>
        <v/>
      </c>
      <c r="H1041" s="103" t="str">
        <f>IF(AND(Main[[#This Row],[In Stock Date]]&lt;&gt;"",Main[[#This Row],[Revised Due Date]]&lt;&gt;""),Main[[#This Row],[In Stock Date]]-Main[[#This Row],[Revised Due Date]],"")</f>
        <v/>
      </c>
      <c r="I1041" s="99" t="s">
        <v>2553</v>
      </c>
      <c r="J1041" s="99" t="s">
        <v>70</v>
      </c>
      <c r="K1041" s="99" t="s">
        <v>1971</v>
      </c>
      <c r="L1041" s="101"/>
      <c r="M1041" s="104" t="str">
        <f>IF(Main[[#This Row],[Tech Start Date]]&lt;1/1/1990,"",IF(Main[[#This Row],[Class]]="C",WORKDAY(Main[[#This Row],[Tech Start Date]],9),IF(Main[[#This Row],[Class]]="B", WORKDAY(Main[[#This Row],[Tech Start Date]],6),IF(Main[[#This Row],[Class]]="A",WORKDAY(Main[[#This Row],[Tech Start Date]],2),""))))</f>
        <v/>
      </c>
      <c r="N1041" s="104" t="str">
        <f>IF(Main[[#This Row],[Tech Start Date]]&lt;1/1/1990,"",IF(Main[[#This Row],[Class]]="C",WORKDAY(Main[[#This Row],[Tech Start Date]],19),IF(Main[[#This Row],[Class]]="B", WORKDAY(Main[[#This Row],[Tech Start Date]],12),IF(Main[[#This Row],[Class]]="A",WORKDAY(Main[[#This Row],[Tech Start Date]],4),""))))</f>
        <v/>
      </c>
      <c r="O1041" s="104" t="str">
        <f>IF(Main[[#This Row],[Tech Start Date]]&lt;1/1/1990,"",IF(Main[[#This Row],[Class]]="C",WORKDAY(Main[[#This Row],[Tech Start Date]],23),IF(Main[[#This Row],[Class]]="B", WORKDAY(Main[[#This Row],[Tech Start Date]],15),IF(Main[[#This Row],[Class]]="A",WORKDAY(Main[[#This Row],[Tech Start Date]],5),""))))</f>
        <v/>
      </c>
      <c r="P1041" s="104" t="str">
        <f>IF(Main[[#This Row],[Tech Start Date]]&lt;1/1/1990,"",IF(Main[[#This Row],[Class]]="C",WORKDAY(Main[[#This Row],[Tech Start Date]],28),IF(Main[[#This Row],[Class]]="B", WORKDAY(Main[[#This Row],[Tech Start Date]],19),IF(Main[[#This Row],[Class]]="A",WORKDAY(Main[[#This Row],[Tech Start Date]],9),""))))</f>
        <v/>
      </c>
      <c r="Q1041" s="101">
        <v>40816</v>
      </c>
      <c r="R1041" s="101"/>
      <c r="S1041" s="99" t="s">
        <v>6</v>
      </c>
      <c r="T1041" s="107" t="s">
        <v>4</v>
      </c>
      <c r="U1041" s="99" t="s">
        <v>29</v>
      </c>
      <c r="V1041" s="99" t="s">
        <v>1965</v>
      </c>
      <c r="W1041" s="99" t="s">
        <v>1966</v>
      </c>
    </row>
    <row r="1042" spans="1:23" ht="18.600000000000001" customHeight="1">
      <c r="A1042" s="123" t="str">
        <f>IF(priority(Main[[#This Row],[Comments]])&lt;&gt;0, priority(Main[[#This Row],[Comments]]),"")</f>
        <v/>
      </c>
      <c r="B1042" s="127" t="s">
        <v>2180</v>
      </c>
      <c r="C1042" s="99" t="s">
        <v>4</v>
      </c>
      <c r="D1042" s="100" t="s">
        <v>2554</v>
      </c>
      <c r="E1042" s="101">
        <v>40780.253831018519</v>
      </c>
      <c r="F1042" s="101"/>
      <c r="G1042" s="102" t="str">
        <f>IF(stdProdLT(Main[[#This Row],[Comments]])=0.1,"N/A",IF(stdProdLT(Main[[#This Row],[Comments]])=0,"",stdProdLT(Main[[#This Row],[Comments]])))</f>
        <v/>
      </c>
      <c r="H1042" s="103" t="str">
        <f>IF(AND(Main[[#This Row],[In Stock Date]]&lt;&gt;"",Main[[#This Row],[Revised Due Date]]&lt;&gt;""),Main[[#This Row],[In Stock Date]]-Main[[#This Row],[Revised Due Date]],"")</f>
        <v/>
      </c>
      <c r="I1042" s="99" t="s">
        <v>2110</v>
      </c>
      <c r="J1042" s="99" t="s">
        <v>28</v>
      </c>
      <c r="K1042" s="99" t="s">
        <v>1971</v>
      </c>
      <c r="L1042" s="101"/>
      <c r="M1042" s="104" t="str">
        <f>IF(Main[[#This Row],[Tech Start Date]]&lt;1/1/1990,"",IF(Main[[#This Row],[Class]]="C",WORKDAY(Main[[#This Row],[Tech Start Date]],9),IF(Main[[#This Row],[Class]]="B", WORKDAY(Main[[#This Row],[Tech Start Date]],6),IF(Main[[#This Row],[Class]]="A",WORKDAY(Main[[#This Row],[Tech Start Date]],2),""))))</f>
        <v/>
      </c>
      <c r="N1042" s="104" t="str">
        <f>IF(Main[[#This Row],[Tech Start Date]]&lt;1/1/1990,"",IF(Main[[#This Row],[Class]]="C",WORKDAY(Main[[#This Row],[Tech Start Date]],19),IF(Main[[#This Row],[Class]]="B", WORKDAY(Main[[#This Row],[Tech Start Date]],12),IF(Main[[#This Row],[Class]]="A",WORKDAY(Main[[#This Row],[Tech Start Date]],4),""))))</f>
        <v/>
      </c>
      <c r="O1042" s="104" t="str">
        <f>IF(Main[[#This Row],[Tech Start Date]]&lt;1/1/1990,"",IF(Main[[#This Row],[Class]]="C",WORKDAY(Main[[#This Row],[Tech Start Date]],23),IF(Main[[#This Row],[Class]]="B", WORKDAY(Main[[#This Row],[Tech Start Date]],15),IF(Main[[#This Row],[Class]]="A",WORKDAY(Main[[#This Row],[Tech Start Date]],5),""))))</f>
        <v/>
      </c>
      <c r="P1042" s="104" t="str">
        <f>IF(Main[[#This Row],[Tech Start Date]]&lt;1/1/1990,"",IF(Main[[#This Row],[Class]]="C",WORKDAY(Main[[#This Row],[Tech Start Date]],28),IF(Main[[#This Row],[Class]]="B", WORKDAY(Main[[#This Row],[Tech Start Date]],19),IF(Main[[#This Row],[Class]]="A",WORKDAY(Main[[#This Row],[Tech Start Date]],9),""))))</f>
        <v/>
      </c>
      <c r="Q1042" s="101">
        <v>40800</v>
      </c>
      <c r="R1042" s="101"/>
      <c r="S1042" s="99" t="s">
        <v>6</v>
      </c>
      <c r="T1042" s="107" t="s">
        <v>4</v>
      </c>
      <c r="U1042" s="99" t="s">
        <v>29</v>
      </c>
      <c r="V1042" s="99" t="s">
        <v>1965</v>
      </c>
      <c r="W1042" s="99" t="s">
        <v>1966</v>
      </c>
    </row>
    <row r="1043" spans="1:23" ht="18.600000000000001" customHeight="1">
      <c r="A1043" s="123" t="str">
        <f>IF(priority(Main[[#This Row],[Comments]])&lt;&gt;0, priority(Main[[#This Row],[Comments]]),"")</f>
        <v/>
      </c>
      <c r="B1043" s="127" t="s">
        <v>1884</v>
      </c>
      <c r="C1043" s="99" t="s">
        <v>4</v>
      </c>
      <c r="D1043" s="100" t="s">
        <v>914</v>
      </c>
      <c r="E1043" s="101">
        <v>40080.410775462966</v>
      </c>
      <c r="F1043" s="101"/>
      <c r="G1043" s="102" t="str">
        <f>IF(stdProdLT(Main[[#This Row],[Comments]])=0.1,"N/A",IF(stdProdLT(Main[[#This Row],[Comments]])=0,"",stdProdLT(Main[[#This Row],[Comments]])))</f>
        <v/>
      </c>
      <c r="H1043" s="103" t="str">
        <f>IF(AND(Main[[#This Row],[In Stock Date]]&lt;&gt;"",Main[[#This Row],[Revised Due Date]]&lt;&gt;""),Main[[#This Row],[In Stock Date]]-Main[[#This Row],[Revised Due Date]],"")</f>
        <v/>
      </c>
      <c r="I1043" s="99" t="s">
        <v>915</v>
      </c>
      <c r="J1043" s="99" t="s">
        <v>28</v>
      </c>
      <c r="K1043" s="108" t="s">
        <v>1971</v>
      </c>
      <c r="L1043" s="101"/>
      <c r="M1043" s="104" t="str">
        <f>IF(Main[[#This Row],[Tech Start Date]]&lt;1/1/1990,"",IF(Main[[#This Row],[Class]]="C",WORKDAY(Main[[#This Row],[Tech Start Date]],9),IF(Main[[#This Row],[Class]]="B", WORKDAY(Main[[#This Row],[Tech Start Date]],6),IF(Main[[#This Row],[Class]]="A",WORKDAY(Main[[#This Row],[Tech Start Date]],2),""))))</f>
        <v/>
      </c>
      <c r="N1043" s="104" t="str">
        <f>IF(Main[[#This Row],[Tech Start Date]]&lt;1/1/1990,"",IF(Main[[#This Row],[Class]]="C",WORKDAY(Main[[#This Row],[Tech Start Date]],19),IF(Main[[#This Row],[Class]]="B", WORKDAY(Main[[#This Row],[Tech Start Date]],12),IF(Main[[#This Row],[Class]]="A",WORKDAY(Main[[#This Row],[Tech Start Date]],4),""))))</f>
        <v/>
      </c>
      <c r="O1043" s="104" t="str">
        <f>IF(Main[[#This Row],[Tech Start Date]]&lt;1/1/1990,"",IF(Main[[#This Row],[Class]]="C",WORKDAY(Main[[#This Row],[Tech Start Date]],23),IF(Main[[#This Row],[Class]]="B", WORKDAY(Main[[#This Row],[Tech Start Date]],15),IF(Main[[#This Row],[Class]]="A",WORKDAY(Main[[#This Row],[Tech Start Date]],5),""))))</f>
        <v/>
      </c>
      <c r="P1043" s="104" t="str">
        <f>IF(Main[[#This Row],[Tech Start Date]]&lt;1/1/1990,"",IF(Main[[#This Row],[Class]]="C",WORKDAY(Main[[#This Row],[Tech Start Date]],28),IF(Main[[#This Row],[Class]]="B", WORKDAY(Main[[#This Row],[Tech Start Date]],19),IF(Main[[#This Row],[Class]]="A",WORKDAY(Main[[#This Row],[Tech Start Date]],9),""))))</f>
        <v/>
      </c>
      <c r="Q1043" s="101"/>
      <c r="R1043" s="101">
        <v>40494</v>
      </c>
      <c r="S1043" s="99" t="s">
        <v>6</v>
      </c>
      <c r="T1043" s="107" t="s">
        <v>4</v>
      </c>
      <c r="U1043" s="99" t="s">
        <v>29</v>
      </c>
      <c r="V1043" s="99" t="s">
        <v>1965</v>
      </c>
      <c r="W1043" s="99" t="s">
        <v>1966</v>
      </c>
    </row>
    <row r="1044" spans="1:23" ht="18.600000000000001" customHeight="1">
      <c r="A1044" s="123" t="str">
        <f>IF(priority(Main[[#This Row],[Comments]])&lt;&gt;0, priority(Main[[#This Row],[Comments]]),"")</f>
        <v/>
      </c>
      <c r="B1044" s="127" t="s">
        <v>1836</v>
      </c>
      <c r="C1044" s="99" t="s">
        <v>4</v>
      </c>
      <c r="D1044" s="100" t="s">
        <v>854</v>
      </c>
      <c r="E1044" s="101">
        <v>40639.681793981479</v>
      </c>
      <c r="F1044" s="101"/>
      <c r="G1044" s="102" t="str">
        <f>IF(stdProdLT(Main[[#This Row],[Comments]])=0.1,"N/A",IF(stdProdLT(Main[[#This Row],[Comments]])=0,"",stdProdLT(Main[[#This Row],[Comments]])))</f>
        <v/>
      </c>
      <c r="H1044" s="103" t="str">
        <f>IF(AND(Main[[#This Row],[In Stock Date]]&lt;&gt;"",Main[[#This Row],[Revised Due Date]]&lt;&gt;""),Main[[#This Row],[In Stock Date]]-Main[[#This Row],[Revised Due Date]],"")</f>
        <v/>
      </c>
      <c r="I1044" s="99" t="s">
        <v>131</v>
      </c>
      <c r="J1044" s="99" t="s">
        <v>70</v>
      </c>
      <c r="K1044" s="108" t="s">
        <v>1971</v>
      </c>
      <c r="L1044" s="101"/>
      <c r="M1044" s="104" t="str">
        <f>IF(Main[[#This Row],[Tech Start Date]]&lt;1/1/1990,"",IF(Main[[#This Row],[Class]]="C",WORKDAY(Main[[#This Row],[Tech Start Date]],9),IF(Main[[#This Row],[Class]]="B", WORKDAY(Main[[#This Row],[Tech Start Date]],6),IF(Main[[#This Row],[Class]]="A",WORKDAY(Main[[#This Row],[Tech Start Date]],2),""))))</f>
        <v/>
      </c>
      <c r="N1044" s="104" t="str">
        <f>IF(Main[[#This Row],[Tech Start Date]]&lt;1/1/1990,"",IF(Main[[#This Row],[Class]]="C",WORKDAY(Main[[#This Row],[Tech Start Date]],19),IF(Main[[#This Row],[Class]]="B", WORKDAY(Main[[#This Row],[Tech Start Date]],12),IF(Main[[#This Row],[Class]]="A",WORKDAY(Main[[#This Row],[Tech Start Date]],4),""))))</f>
        <v/>
      </c>
      <c r="O1044" s="104" t="str">
        <f>IF(Main[[#This Row],[Tech Start Date]]&lt;1/1/1990,"",IF(Main[[#This Row],[Class]]="C",WORKDAY(Main[[#This Row],[Tech Start Date]],23),IF(Main[[#This Row],[Class]]="B", WORKDAY(Main[[#This Row],[Tech Start Date]],15),IF(Main[[#This Row],[Class]]="A",WORKDAY(Main[[#This Row],[Tech Start Date]],5),""))))</f>
        <v/>
      </c>
      <c r="P1044" s="104" t="str">
        <f>IF(Main[[#This Row],[Tech Start Date]]&lt;1/1/1990,"",IF(Main[[#This Row],[Class]]="C",WORKDAY(Main[[#This Row],[Tech Start Date]],28),IF(Main[[#This Row],[Class]]="B", WORKDAY(Main[[#This Row],[Tech Start Date]],19),IF(Main[[#This Row],[Class]]="A",WORKDAY(Main[[#This Row],[Tech Start Date]],9),""))))</f>
        <v/>
      </c>
      <c r="Q1044" s="101">
        <v>40669</v>
      </c>
      <c r="R1044" s="101"/>
      <c r="S1044" s="99" t="s">
        <v>6</v>
      </c>
      <c r="T1044" s="107" t="s">
        <v>4</v>
      </c>
      <c r="U1044" s="99" t="s">
        <v>29</v>
      </c>
      <c r="V1044" s="99" t="s">
        <v>1965</v>
      </c>
      <c r="W1044" s="99" t="s">
        <v>1966</v>
      </c>
    </row>
    <row r="1045" spans="1:23" ht="18.600000000000001" customHeight="1">
      <c r="A1045" s="123" t="str">
        <f>IF(priority(Main[[#This Row],[Comments]])&lt;&gt;0, priority(Main[[#This Row],[Comments]]),"")</f>
        <v/>
      </c>
      <c r="B1045" s="127" t="s">
        <v>1936</v>
      </c>
      <c r="C1045" s="99" t="s">
        <v>116</v>
      </c>
      <c r="D1045" s="100" t="s">
        <v>2396</v>
      </c>
      <c r="E1045" s="101">
        <v>40673.421898148146</v>
      </c>
      <c r="F1045" s="101"/>
      <c r="G1045" s="102" t="str">
        <f>IF(stdProdLT(Main[[#This Row],[Comments]])=0.1,"N/A",IF(stdProdLT(Main[[#This Row],[Comments]])=0,"",stdProdLT(Main[[#This Row],[Comments]])))</f>
        <v/>
      </c>
      <c r="H1045" s="103" t="str">
        <f>IF(AND(Main[[#This Row],[In Stock Date]]&lt;&gt;"",Main[[#This Row],[Revised Due Date]]&lt;&gt;""),Main[[#This Row],[In Stock Date]]-Main[[#This Row],[Revised Due Date]],"")</f>
        <v/>
      </c>
      <c r="I1045" s="99" t="s">
        <v>955</v>
      </c>
      <c r="J1045" s="99" t="s">
        <v>28</v>
      </c>
      <c r="K1045" s="99" t="s">
        <v>1974</v>
      </c>
      <c r="L1045" s="101"/>
      <c r="M1045" s="104" t="str">
        <f>IF(Main[[#This Row],[Tech Start Date]]&lt;1/1/1990,"",IF(Main[[#This Row],[Class]]="C",WORKDAY(Main[[#This Row],[Tech Start Date]],9),IF(Main[[#This Row],[Class]]="B", WORKDAY(Main[[#This Row],[Tech Start Date]],6),IF(Main[[#This Row],[Class]]="A",WORKDAY(Main[[#This Row],[Tech Start Date]],2),""))))</f>
        <v/>
      </c>
      <c r="N1045" s="104" t="str">
        <f>IF(Main[[#This Row],[Tech Start Date]]&lt;1/1/1990,"",IF(Main[[#This Row],[Class]]="C",WORKDAY(Main[[#This Row],[Tech Start Date]],19),IF(Main[[#This Row],[Class]]="B", WORKDAY(Main[[#This Row],[Tech Start Date]],12),IF(Main[[#This Row],[Class]]="A",WORKDAY(Main[[#This Row],[Tech Start Date]],4),""))))</f>
        <v/>
      </c>
      <c r="O1045" s="104" t="str">
        <f>IF(Main[[#This Row],[Tech Start Date]]&lt;1/1/1990,"",IF(Main[[#This Row],[Class]]="C",WORKDAY(Main[[#This Row],[Tech Start Date]],23),IF(Main[[#This Row],[Class]]="B", WORKDAY(Main[[#This Row],[Tech Start Date]],15),IF(Main[[#This Row],[Class]]="A",WORKDAY(Main[[#This Row],[Tech Start Date]],5),""))))</f>
        <v/>
      </c>
      <c r="P1045" s="104" t="str">
        <f>IF(Main[[#This Row],[Tech Start Date]]&lt;1/1/1990,"",IF(Main[[#This Row],[Class]]="C",WORKDAY(Main[[#This Row],[Tech Start Date]],28),IF(Main[[#This Row],[Class]]="B", WORKDAY(Main[[#This Row],[Tech Start Date]],19),IF(Main[[#This Row],[Class]]="A",WORKDAY(Main[[#This Row],[Tech Start Date]],9),""))))</f>
        <v/>
      </c>
      <c r="Q1045" s="101">
        <v>40724</v>
      </c>
      <c r="R1045" s="101">
        <v>40847</v>
      </c>
      <c r="S1045" s="99" t="s">
        <v>6</v>
      </c>
      <c r="T1045" s="107" t="s">
        <v>2555</v>
      </c>
      <c r="U1045" s="99" t="s">
        <v>29</v>
      </c>
      <c r="V1045" s="99" t="s">
        <v>1962</v>
      </c>
      <c r="W1045" s="99" t="s">
        <v>1966</v>
      </c>
    </row>
    <row r="1046" spans="1:23" ht="18.600000000000001" customHeight="1">
      <c r="A1046" s="123" t="str">
        <f>IF(priority(Main[[#This Row],[Comments]])&lt;&gt;0, priority(Main[[#This Row],[Comments]]),"")</f>
        <v/>
      </c>
      <c r="B1046" s="127" t="s">
        <v>2556</v>
      </c>
      <c r="C1046" s="99" t="s">
        <v>216</v>
      </c>
      <c r="D1046" s="100" t="s">
        <v>2557</v>
      </c>
      <c r="E1046" s="101">
        <v>40861.655509259261</v>
      </c>
      <c r="F1046" s="101"/>
      <c r="G1046" s="102" t="str">
        <f>IF(stdProdLT(Main[[#This Row],[Comments]])=0.1,"N/A",IF(stdProdLT(Main[[#This Row],[Comments]])=0,"",stdProdLT(Main[[#This Row],[Comments]])))</f>
        <v/>
      </c>
      <c r="H1046" s="103" t="str">
        <f>IF(AND(Main[[#This Row],[In Stock Date]]&lt;&gt;"",Main[[#This Row],[Revised Due Date]]&lt;&gt;""),Main[[#This Row],[In Stock Date]]-Main[[#This Row],[Revised Due Date]],"")</f>
        <v/>
      </c>
      <c r="I1046" s="99" t="s">
        <v>4</v>
      </c>
      <c r="J1046" s="99" t="s">
        <v>4</v>
      </c>
      <c r="K1046" s="99" t="s">
        <v>4</v>
      </c>
      <c r="L1046" s="101"/>
      <c r="M1046" s="104" t="str">
        <f>IF(Main[[#This Row],[Tech Start Date]]&lt;1/1/1990,"",IF(Main[[#This Row],[Class]]="C",WORKDAY(Main[[#This Row],[Tech Start Date]],9),IF(Main[[#This Row],[Class]]="B", WORKDAY(Main[[#This Row],[Tech Start Date]],6),IF(Main[[#This Row],[Class]]="A",WORKDAY(Main[[#This Row],[Tech Start Date]],2),""))))</f>
        <v/>
      </c>
      <c r="N1046" s="104" t="str">
        <f>IF(Main[[#This Row],[Tech Start Date]]&lt;1/1/1990,"",IF(Main[[#This Row],[Class]]="C",WORKDAY(Main[[#This Row],[Tech Start Date]],19),IF(Main[[#This Row],[Class]]="B", WORKDAY(Main[[#This Row],[Tech Start Date]],12),IF(Main[[#This Row],[Class]]="A",WORKDAY(Main[[#This Row],[Tech Start Date]],4),""))))</f>
        <v/>
      </c>
      <c r="O1046" s="104" t="str">
        <f>IF(Main[[#This Row],[Tech Start Date]]&lt;1/1/1990,"",IF(Main[[#This Row],[Class]]="C",WORKDAY(Main[[#This Row],[Tech Start Date]],23),IF(Main[[#This Row],[Class]]="B", WORKDAY(Main[[#This Row],[Tech Start Date]],15),IF(Main[[#This Row],[Class]]="A",WORKDAY(Main[[#This Row],[Tech Start Date]],5),""))))</f>
        <v/>
      </c>
      <c r="P1046" s="104" t="str">
        <f>IF(Main[[#This Row],[Tech Start Date]]&lt;1/1/1990,"",IF(Main[[#This Row],[Class]]="C",WORKDAY(Main[[#This Row],[Tech Start Date]],28),IF(Main[[#This Row],[Class]]="B", WORKDAY(Main[[#This Row],[Tech Start Date]],19),IF(Main[[#This Row],[Class]]="A",WORKDAY(Main[[#This Row],[Tech Start Date]],9),""))))</f>
        <v/>
      </c>
      <c r="Q1046" s="101">
        <v>40967</v>
      </c>
      <c r="R1046" s="101"/>
      <c r="S1046" s="99" t="s">
        <v>17</v>
      </c>
      <c r="T1046" s="107" t="s">
        <v>4</v>
      </c>
      <c r="U1046" s="99" t="s">
        <v>7</v>
      </c>
      <c r="V1046" s="99" t="s">
        <v>1972</v>
      </c>
      <c r="W1046" s="99" t="s">
        <v>1967</v>
      </c>
    </row>
    <row r="1047" spans="1:23" ht="18.600000000000001" customHeight="1">
      <c r="A1047" s="123" t="str">
        <f>IF(priority(Main[[#This Row],[Comments]])&lt;&gt;0, priority(Main[[#This Row],[Comments]]),"")</f>
        <v/>
      </c>
      <c r="B1047" s="127" t="s">
        <v>2356</v>
      </c>
      <c r="C1047" s="99" t="s">
        <v>2357</v>
      </c>
      <c r="D1047" s="100" t="s">
        <v>2358</v>
      </c>
      <c r="E1047" s="101"/>
      <c r="F1047" s="101">
        <v>40816</v>
      </c>
      <c r="G1047" s="102" t="str">
        <f>IF(stdProdLT(Main[[#This Row],[Comments]])=0.1,"N/A",IF(stdProdLT(Main[[#This Row],[Comments]])=0,"",stdProdLT(Main[[#This Row],[Comments]])))</f>
        <v/>
      </c>
      <c r="H1047" s="103" t="str">
        <f>IF(AND(Main[[#This Row],[In Stock Date]]&lt;&gt;"",Main[[#This Row],[Revised Due Date]]&lt;&gt;""),Main[[#This Row],[In Stock Date]]-Main[[#This Row],[Revised Due Date]],"")</f>
        <v/>
      </c>
      <c r="I1047" s="99" t="s">
        <v>4</v>
      </c>
      <c r="J1047" s="99" t="s">
        <v>4</v>
      </c>
      <c r="K1047" s="108" t="s">
        <v>4</v>
      </c>
      <c r="L1047" s="101"/>
      <c r="M1047" s="104" t="str">
        <f>IF(Main[[#This Row],[Tech Start Date]]&lt;1/1/1990,"",IF(Main[[#This Row],[Class]]="C",WORKDAY(Main[[#This Row],[Tech Start Date]],9),IF(Main[[#This Row],[Class]]="B", WORKDAY(Main[[#This Row],[Tech Start Date]],6),IF(Main[[#This Row],[Class]]="A",WORKDAY(Main[[#This Row],[Tech Start Date]],2),""))))</f>
        <v/>
      </c>
      <c r="N1047" s="104" t="str">
        <f>IF(Main[[#This Row],[Tech Start Date]]&lt;1/1/1990,"",IF(Main[[#This Row],[Class]]="C",WORKDAY(Main[[#This Row],[Tech Start Date]],19),IF(Main[[#This Row],[Class]]="B", WORKDAY(Main[[#This Row],[Tech Start Date]],12),IF(Main[[#This Row],[Class]]="A",WORKDAY(Main[[#This Row],[Tech Start Date]],4),""))))</f>
        <v/>
      </c>
      <c r="O1047" s="104" t="str">
        <f>IF(Main[[#This Row],[Tech Start Date]]&lt;1/1/1990,"",IF(Main[[#This Row],[Class]]="C",WORKDAY(Main[[#This Row],[Tech Start Date]],23),IF(Main[[#This Row],[Class]]="B", WORKDAY(Main[[#This Row],[Tech Start Date]],15),IF(Main[[#This Row],[Class]]="A",WORKDAY(Main[[#This Row],[Tech Start Date]],5),""))))</f>
        <v/>
      </c>
      <c r="P1047" s="104" t="str">
        <f>IF(Main[[#This Row],[Tech Start Date]]&lt;1/1/1990,"",IF(Main[[#This Row],[Class]]="C",WORKDAY(Main[[#This Row],[Tech Start Date]],28),IF(Main[[#This Row],[Class]]="B", WORKDAY(Main[[#This Row],[Tech Start Date]],19),IF(Main[[#This Row],[Class]]="A",WORKDAY(Main[[#This Row],[Tech Start Date]],9),""))))</f>
        <v/>
      </c>
      <c r="Q1047" s="101">
        <v>40816</v>
      </c>
      <c r="R1047" s="101"/>
      <c r="S1047" s="99" t="s">
        <v>301</v>
      </c>
      <c r="T1047" s="107" t="s">
        <v>4</v>
      </c>
      <c r="U1047" s="99" t="s">
        <v>14</v>
      </c>
      <c r="V1047" s="99" t="s">
        <v>1972</v>
      </c>
      <c r="W1047" s="99" t="s">
        <v>1970</v>
      </c>
    </row>
    <row r="1048" spans="1:23" ht="18.600000000000001" customHeight="1">
      <c r="A1048" s="123" t="str">
        <f>IF(priority(Main[[#This Row],[Comments]])&lt;&gt;0, priority(Main[[#This Row],[Comments]]),"")</f>
        <v/>
      </c>
      <c r="B1048" s="127" t="s">
        <v>2558</v>
      </c>
      <c r="C1048" s="99" t="s">
        <v>4</v>
      </c>
      <c r="D1048" s="100" t="s">
        <v>2559</v>
      </c>
      <c r="E1048" s="101">
        <v>40826.139097222222</v>
      </c>
      <c r="F1048" s="101"/>
      <c r="G1048" s="102" t="str">
        <f>IF(stdProdLT(Main[[#This Row],[Comments]])=0.1,"N/A",IF(stdProdLT(Main[[#This Row],[Comments]])=0,"",stdProdLT(Main[[#This Row],[Comments]])))</f>
        <v/>
      </c>
      <c r="H1048" s="103" t="str">
        <f>IF(AND(Main[[#This Row],[In Stock Date]]&lt;&gt;"",Main[[#This Row],[Revised Due Date]]&lt;&gt;""),Main[[#This Row],[In Stock Date]]-Main[[#This Row],[Revised Due Date]],"")</f>
        <v/>
      </c>
      <c r="I1048" s="99" t="s">
        <v>4</v>
      </c>
      <c r="J1048" s="99" t="s">
        <v>4</v>
      </c>
      <c r="K1048" s="99" t="s">
        <v>4</v>
      </c>
      <c r="L1048" s="101"/>
      <c r="M1048" s="104" t="str">
        <f>IF(Main[[#This Row],[Tech Start Date]]&lt;1/1/1990,"",IF(Main[[#This Row],[Class]]="C",WORKDAY(Main[[#This Row],[Tech Start Date]],9),IF(Main[[#This Row],[Class]]="B", WORKDAY(Main[[#This Row],[Tech Start Date]],6),IF(Main[[#This Row],[Class]]="A",WORKDAY(Main[[#This Row],[Tech Start Date]],2),""))))</f>
        <v/>
      </c>
      <c r="N1048" s="104" t="str">
        <f>IF(Main[[#This Row],[Tech Start Date]]&lt;1/1/1990,"",IF(Main[[#This Row],[Class]]="C",WORKDAY(Main[[#This Row],[Tech Start Date]],19),IF(Main[[#This Row],[Class]]="B", WORKDAY(Main[[#This Row],[Tech Start Date]],12),IF(Main[[#This Row],[Class]]="A",WORKDAY(Main[[#This Row],[Tech Start Date]],4),""))))</f>
        <v/>
      </c>
      <c r="O1048" s="104" t="str">
        <f>IF(Main[[#This Row],[Tech Start Date]]&lt;1/1/1990,"",IF(Main[[#This Row],[Class]]="C",WORKDAY(Main[[#This Row],[Tech Start Date]],23),IF(Main[[#This Row],[Class]]="B", WORKDAY(Main[[#This Row],[Tech Start Date]],15),IF(Main[[#This Row],[Class]]="A",WORKDAY(Main[[#This Row],[Tech Start Date]],5),""))))</f>
        <v/>
      </c>
      <c r="P1048" s="104" t="str">
        <f>IF(Main[[#This Row],[Tech Start Date]]&lt;1/1/1990,"",IF(Main[[#This Row],[Class]]="C",WORKDAY(Main[[#This Row],[Tech Start Date]],28),IF(Main[[#This Row],[Class]]="B", WORKDAY(Main[[#This Row],[Tech Start Date]],19),IF(Main[[#This Row],[Class]]="A",WORKDAY(Main[[#This Row],[Tech Start Date]],9),""))))</f>
        <v/>
      </c>
      <c r="Q1048" s="101">
        <v>40847</v>
      </c>
      <c r="R1048" s="101"/>
      <c r="S1048" s="99" t="s">
        <v>6</v>
      </c>
      <c r="T1048" s="107" t="s">
        <v>4</v>
      </c>
      <c r="U1048" s="99" t="s">
        <v>7</v>
      </c>
      <c r="V1048" s="99" t="s">
        <v>1962</v>
      </c>
      <c r="W1048" s="99" t="s">
        <v>4</v>
      </c>
    </row>
    <row r="1049" spans="1:23" ht="18.600000000000001" customHeight="1">
      <c r="A1049" s="123" t="str">
        <f>IF(priority(Main[[#This Row],[Comments]])&lt;&gt;0, priority(Main[[#This Row],[Comments]]),"")</f>
        <v/>
      </c>
      <c r="B1049" s="127" t="s">
        <v>2433</v>
      </c>
      <c r="C1049" s="99" t="s">
        <v>4</v>
      </c>
      <c r="D1049" s="100" t="s">
        <v>2434</v>
      </c>
      <c r="E1049" s="101">
        <v>40826.635983796295</v>
      </c>
      <c r="F1049" s="101"/>
      <c r="G1049" s="102" t="str">
        <f>IF(stdProdLT(Main[[#This Row],[Comments]])=0.1,"N/A",IF(stdProdLT(Main[[#This Row],[Comments]])=0,"",stdProdLT(Main[[#This Row],[Comments]])))</f>
        <v/>
      </c>
      <c r="H1049" s="103" t="str">
        <f>IF(AND(Main[[#This Row],[In Stock Date]]&lt;&gt;"",Main[[#This Row],[Revised Due Date]]&lt;&gt;""),Main[[#This Row],[In Stock Date]]-Main[[#This Row],[Revised Due Date]],"")</f>
        <v/>
      </c>
      <c r="I1049" s="99" t="s">
        <v>30</v>
      </c>
      <c r="J1049" s="99" t="s">
        <v>21</v>
      </c>
      <c r="K1049" s="99" t="s">
        <v>1971</v>
      </c>
      <c r="L1049" s="101"/>
      <c r="M1049" s="104" t="str">
        <f>IF(Main[[#This Row],[Tech Start Date]]&lt;1/1/1990,"",IF(Main[[#This Row],[Class]]="C",WORKDAY(Main[[#This Row],[Tech Start Date]],9),IF(Main[[#This Row],[Class]]="B", WORKDAY(Main[[#This Row],[Tech Start Date]],6),IF(Main[[#This Row],[Class]]="A",WORKDAY(Main[[#This Row],[Tech Start Date]],2),""))))</f>
        <v/>
      </c>
      <c r="N1049" s="104" t="str">
        <f>IF(Main[[#This Row],[Tech Start Date]]&lt;1/1/1990,"",IF(Main[[#This Row],[Class]]="C",WORKDAY(Main[[#This Row],[Tech Start Date]],19),IF(Main[[#This Row],[Class]]="B", WORKDAY(Main[[#This Row],[Tech Start Date]],12),IF(Main[[#This Row],[Class]]="A",WORKDAY(Main[[#This Row],[Tech Start Date]],4),""))))</f>
        <v/>
      </c>
      <c r="O1049" s="104" t="str">
        <f>IF(Main[[#This Row],[Tech Start Date]]&lt;1/1/1990,"",IF(Main[[#This Row],[Class]]="C",WORKDAY(Main[[#This Row],[Tech Start Date]],23),IF(Main[[#This Row],[Class]]="B", WORKDAY(Main[[#This Row],[Tech Start Date]],15),IF(Main[[#This Row],[Class]]="A",WORKDAY(Main[[#This Row],[Tech Start Date]],5),""))))</f>
        <v/>
      </c>
      <c r="P1049" s="104" t="str">
        <f>IF(Main[[#This Row],[Tech Start Date]]&lt;1/1/1990,"",IF(Main[[#This Row],[Class]]="C",WORKDAY(Main[[#This Row],[Tech Start Date]],28),IF(Main[[#This Row],[Class]]="B", WORKDAY(Main[[#This Row],[Tech Start Date]],19),IF(Main[[#This Row],[Class]]="A",WORKDAY(Main[[#This Row],[Tech Start Date]],9),""))))</f>
        <v/>
      </c>
      <c r="Q1049" s="101">
        <v>40886</v>
      </c>
      <c r="R1049" s="101"/>
      <c r="S1049" s="99" t="s">
        <v>6</v>
      </c>
      <c r="T1049" s="107" t="s">
        <v>4</v>
      </c>
      <c r="U1049" s="99" t="s">
        <v>29</v>
      </c>
      <c r="V1049" s="99" t="s">
        <v>1965</v>
      </c>
      <c r="W1049" s="99" t="s">
        <v>1964</v>
      </c>
    </row>
    <row r="1050" spans="1:23" ht="18.600000000000001" customHeight="1">
      <c r="A1050" s="123" t="str">
        <f>IF(priority(Main[[#This Row],[Comments]])&lt;&gt;0, priority(Main[[#This Row],[Comments]]),"")</f>
        <v/>
      </c>
      <c r="B1050" s="127" t="s">
        <v>2187</v>
      </c>
      <c r="C1050" s="99" t="s">
        <v>4</v>
      </c>
      <c r="D1050" s="100" t="s">
        <v>2563</v>
      </c>
      <c r="E1050" s="101"/>
      <c r="F1050" s="101"/>
      <c r="G1050" s="102" t="str">
        <f>IF(stdProdLT(Main[[#This Row],[Comments]])=0.1,"N/A",IF(stdProdLT(Main[[#This Row],[Comments]])=0,"",stdProdLT(Main[[#This Row],[Comments]])))</f>
        <v/>
      </c>
      <c r="H1050" s="103" t="str">
        <f>IF(AND(Main[[#This Row],[In Stock Date]]&lt;&gt;"",Main[[#This Row],[Revised Due Date]]&lt;&gt;""),Main[[#This Row],[In Stock Date]]-Main[[#This Row],[Revised Due Date]],"")</f>
        <v/>
      </c>
      <c r="I1050" s="99" t="s">
        <v>2110</v>
      </c>
      <c r="J1050" s="99" t="s">
        <v>28</v>
      </c>
      <c r="K1050" s="99" t="s">
        <v>1971</v>
      </c>
      <c r="L1050" s="101"/>
      <c r="M1050" s="104" t="str">
        <f>IF(Main[[#This Row],[Tech Start Date]]&lt;1/1/1990,"",IF(Main[[#This Row],[Class]]="C",WORKDAY(Main[[#This Row],[Tech Start Date]],9),IF(Main[[#This Row],[Class]]="B", WORKDAY(Main[[#This Row],[Tech Start Date]],6),IF(Main[[#This Row],[Class]]="A",WORKDAY(Main[[#This Row],[Tech Start Date]],2),""))))</f>
        <v/>
      </c>
      <c r="N1050" s="104" t="str">
        <f>IF(Main[[#This Row],[Tech Start Date]]&lt;1/1/1990,"",IF(Main[[#This Row],[Class]]="C",WORKDAY(Main[[#This Row],[Tech Start Date]],19),IF(Main[[#This Row],[Class]]="B", WORKDAY(Main[[#This Row],[Tech Start Date]],12),IF(Main[[#This Row],[Class]]="A",WORKDAY(Main[[#This Row],[Tech Start Date]],4),""))))</f>
        <v/>
      </c>
      <c r="O1050" s="104" t="str">
        <f>IF(Main[[#This Row],[Tech Start Date]]&lt;1/1/1990,"",IF(Main[[#This Row],[Class]]="C",WORKDAY(Main[[#This Row],[Tech Start Date]],23),IF(Main[[#This Row],[Class]]="B", WORKDAY(Main[[#This Row],[Tech Start Date]],15),IF(Main[[#This Row],[Class]]="A",WORKDAY(Main[[#This Row],[Tech Start Date]],5),""))))</f>
        <v/>
      </c>
      <c r="P1050" s="104" t="str">
        <f>IF(Main[[#This Row],[Tech Start Date]]&lt;1/1/1990,"",IF(Main[[#This Row],[Class]]="C",WORKDAY(Main[[#This Row],[Tech Start Date]],28),IF(Main[[#This Row],[Class]]="B", WORKDAY(Main[[#This Row],[Tech Start Date]],19),IF(Main[[#This Row],[Class]]="A",WORKDAY(Main[[#This Row],[Tech Start Date]],9),""))))</f>
        <v/>
      </c>
      <c r="Q1050" s="101">
        <v>40816</v>
      </c>
      <c r="R1050" s="101"/>
      <c r="S1050" s="99" t="s">
        <v>6</v>
      </c>
      <c r="T1050" s="107" t="s">
        <v>4</v>
      </c>
      <c r="U1050" s="99" t="s">
        <v>14</v>
      </c>
      <c r="V1050" s="99" t="s">
        <v>1972</v>
      </c>
      <c r="W1050" s="99" t="s">
        <v>1966</v>
      </c>
    </row>
    <row r="1051" spans="1:23" ht="18.600000000000001" customHeight="1">
      <c r="A1051" s="123" t="str">
        <f>IF(priority(Main[[#This Row],[Comments]])&lt;&gt;0, priority(Main[[#This Row],[Comments]]),"")</f>
        <v/>
      </c>
      <c r="B1051" s="127" t="s">
        <v>2818</v>
      </c>
      <c r="C1051" s="99" t="s">
        <v>4</v>
      </c>
      <c r="D1051" s="100" t="s">
        <v>2819</v>
      </c>
      <c r="E1051" s="101"/>
      <c r="F1051" s="101"/>
      <c r="G1051" s="102" t="str">
        <f>IF(stdProdLT(Main[[#This Row],[Comments]])=0.1,"N/A",IF(stdProdLT(Main[[#This Row],[Comments]])=0,"",stdProdLT(Main[[#This Row],[Comments]])))</f>
        <v/>
      </c>
      <c r="H1051" s="103" t="str">
        <f>IF(AND(Main[[#This Row],[In Stock Date]]&lt;&gt;"",Main[[#This Row],[Revised Due Date]]&lt;&gt;""),Main[[#This Row],[In Stock Date]]-Main[[#This Row],[Revised Due Date]],"")</f>
        <v/>
      </c>
      <c r="I1051" s="99" t="s">
        <v>4</v>
      </c>
      <c r="J1051" s="99" t="s">
        <v>4</v>
      </c>
      <c r="K1051" s="99" t="s">
        <v>4</v>
      </c>
      <c r="L1051" s="101"/>
      <c r="M1051" s="104" t="str">
        <f>IF(Main[[#This Row],[Tech Start Date]]&lt;1/1/1990,"",IF(Main[[#This Row],[Class]]="C",WORKDAY(Main[[#This Row],[Tech Start Date]],9),IF(Main[[#This Row],[Class]]="B", WORKDAY(Main[[#This Row],[Tech Start Date]],6),IF(Main[[#This Row],[Class]]="A",WORKDAY(Main[[#This Row],[Tech Start Date]],2),""))))</f>
        <v/>
      </c>
      <c r="N1051" s="104" t="str">
        <f>IF(Main[[#This Row],[Tech Start Date]]&lt;1/1/1990,"",IF(Main[[#This Row],[Class]]="C",WORKDAY(Main[[#This Row],[Tech Start Date]],19),IF(Main[[#This Row],[Class]]="B", WORKDAY(Main[[#This Row],[Tech Start Date]],12),IF(Main[[#This Row],[Class]]="A",WORKDAY(Main[[#This Row],[Tech Start Date]],4),""))))</f>
        <v/>
      </c>
      <c r="O1051" s="104" t="str">
        <f>IF(Main[[#This Row],[Tech Start Date]]&lt;1/1/1990,"",IF(Main[[#This Row],[Class]]="C",WORKDAY(Main[[#This Row],[Tech Start Date]],23),IF(Main[[#This Row],[Class]]="B", WORKDAY(Main[[#This Row],[Tech Start Date]],15),IF(Main[[#This Row],[Class]]="A",WORKDAY(Main[[#This Row],[Tech Start Date]],5),""))))</f>
        <v/>
      </c>
      <c r="P1051" s="104" t="str">
        <f>IF(Main[[#This Row],[Tech Start Date]]&lt;1/1/1990,"",IF(Main[[#This Row],[Class]]="C",WORKDAY(Main[[#This Row],[Tech Start Date]],28),IF(Main[[#This Row],[Class]]="B", WORKDAY(Main[[#This Row],[Tech Start Date]],19),IF(Main[[#This Row],[Class]]="A",WORKDAY(Main[[#This Row],[Tech Start Date]],9),""))))</f>
        <v/>
      </c>
      <c r="Q1051" s="101"/>
      <c r="R1051" s="101"/>
      <c r="S1051" s="99" t="s">
        <v>6</v>
      </c>
      <c r="T1051" s="107" t="s">
        <v>4</v>
      </c>
      <c r="U1051" s="99" t="s">
        <v>14</v>
      </c>
      <c r="V1051" s="99" t="s">
        <v>1965</v>
      </c>
      <c r="W1051" s="99" t="s">
        <v>1966</v>
      </c>
    </row>
    <row r="1052" spans="1:23" ht="18.600000000000001" customHeight="1">
      <c r="A1052" s="123" t="str">
        <f>IF(priority(Main[[#This Row],[Comments]])&lt;&gt;0, priority(Main[[#This Row],[Comments]]),"")</f>
        <v/>
      </c>
      <c r="B1052" s="127" t="s">
        <v>2350</v>
      </c>
      <c r="C1052" s="99" t="s">
        <v>4</v>
      </c>
      <c r="D1052" s="100" t="s">
        <v>2351</v>
      </c>
      <c r="E1052" s="101">
        <v>40809.888067129628</v>
      </c>
      <c r="F1052" s="101"/>
      <c r="G1052" s="102" t="str">
        <f>IF(stdProdLT(Main[[#This Row],[Comments]])=0.1,"N/A",IF(stdProdLT(Main[[#This Row],[Comments]])=0,"",stdProdLT(Main[[#This Row],[Comments]])))</f>
        <v/>
      </c>
      <c r="H1052" s="103" t="str">
        <f>IF(AND(Main[[#This Row],[In Stock Date]]&lt;&gt;"",Main[[#This Row],[Revised Due Date]]&lt;&gt;""),Main[[#This Row],[In Stock Date]]-Main[[#This Row],[Revised Due Date]],"")</f>
        <v/>
      </c>
      <c r="I1052" s="99" t="s">
        <v>81</v>
      </c>
      <c r="J1052" s="99" t="s">
        <v>52</v>
      </c>
      <c r="K1052" s="99" t="s">
        <v>1971</v>
      </c>
      <c r="L1052" s="101"/>
      <c r="M1052" s="104" t="str">
        <f>IF(Main[[#This Row],[Tech Start Date]]&lt;1/1/1990,"",IF(Main[[#This Row],[Class]]="C",WORKDAY(Main[[#This Row],[Tech Start Date]],9),IF(Main[[#This Row],[Class]]="B", WORKDAY(Main[[#This Row],[Tech Start Date]],6),IF(Main[[#This Row],[Class]]="A",WORKDAY(Main[[#This Row],[Tech Start Date]],2),""))))</f>
        <v/>
      </c>
      <c r="N1052" s="104" t="str">
        <f>IF(Main[[#This Row],[Tech Start Date]]&lt;1/1/1990,"",IF(Main[[#This Row],[Class]]="C",WORKDAY(Main[[#This Row],[Tech Start Date]],19),IF(Main[[#This Row],[Class]]="B", WORKDAY(Main[[#This Row],[Tech Start Date]],12),IF(Main[[#This Row],[Class]]="A",WORKDAY(Main[[#This Row],[Tech Start Date]],4),""))))</f>
        <v/>
      </c>
      <c r="O1052" s="104" t="str">
        <f>IF(Main[[#This Row],[Tech Start Date]]&lt;1/1/1990,"",IF(Main[[#This Row],[Class]]="C",WORKDAY(Main[[#This Row],[Tech Start Date]],23),IF(Main[[#This Row],[Class]]="B", WORKDAY(Main[[#This Row],[Tech Start Date]],15),IF(Main[[#This Row],[Class]]="A",WORKDAY(Main[[#This Row],[Tech Start Date]],5),""))))</f>
        <v/>
      </c>
      <c r="P1052" s="104" t="str">
        <f>IF(Main[[#This Row],[Tech Start Date]]&lt;1/1/1990,"",IF(Main[[#This Row],[Class]]="C",WORKDAY(Main[[#This Row],[Tech Start Date]],28),IF(Main[[#This Row],[Class]]="B", WORKDAY(Main[[#This Row],[Tech Start Date]],19),IF(Main[[#This Row],[Class]]="A",WORKDAY(Main[[#This Row],[Tech Start Date]],9),""))))</f>
        <v/>
      </c>
      <c r="Q1052" s="101"/>
      <c r="R1052" s="101"/>
      <c r="S1052" s="99" t="s">
        <v>6</v>
      </c>
      <c r="T1052" s="107" t="s">
        <v>4</v>
      </c>
      <c r="U1052" s="99" t="s">
        <v>29</v>
      </c>
      <c r="V1052" s="99" t="s">
        <v>1972</v>
      </c>
      <c r="W1052" s="99" t="s">
        <v>1966</v>
      </c>
    </row>
    <row r="1053" spans="1:23" ht="18.600000000000001" customHeight="1">
      <c r="A1053" s="123" t="str">
        <f>IF(priority(Main[[#This Row],[Comments]])&lt;&gt;0, priority(Main[[#This Row],[Comments]]),"")</f>
        <v/>
      </c>
      <c r="B1053" s="127" t="s">
        <v>2325</v>
      </c>
      <c r="C1053" s="99" t="s">
        <v>4</v>
      </c>
      <c r="D1053" s="100" t="s">
        <v>2326</v>
      </c>
      <c r="E1053" s="101">
        <v>40806.354490740741</v>
      </c>
      <c r="F1053" s="101"/>
      <c r="G1053" s="102" t="str">
        <f>IF(stdProdLT(Main[[#This Row],[Comments]])=0.1,"N/A",IF(stdProdLT(Main[[#This Row],[Comments]])=0,"",stdProdLT(Main[[#This Row],[Comments]])))</f>
        <v/>
      </c>
      <c r="H1053" s="103" t="str">
        <f>IF(AND(Main[[#This Row],[In Stock Date]]&lt;&gt;"",Main[[#This Row],[Revised Due Date]]&lt;&gt;""),Main[[#This Row],[In Stock Date]]-Main[[#This Row],[Revised Due Date]],"")</f>
        <v/>
      </c>
      <c r="I1053" s="99" t="s">
        <v>4</v>
      </c>
      <c r="J1053" s="99" t="s">
        <v>4</v>
      </c>
      <c r="K1053" s="99" t="s">
        <v>4</v>
      </c>
      <c r="L1053" s="101"/>
      <c r="M1053" s="104" t="str">
        <f>IF(Main[[#This Row],[Tech Start Date]]&lt;1/1/1990,"",IF(Main[[#This Row],[Class]]="C",WORKDAY(Main[[#This Row],[Tech Start Date]],9),IF(Main[[#This Row],[Class]]="B", WORKDAY(Main[[#This Row],[Tech Start Date]],6),IF(Main[[#This Row],[Class]]="A",WORKDAY(Main[[#This Row],[Tech Start Date]],2),""))))</f>
        <v/>
      </c>
      <c r="N1053" s="104" t="str">
        <f>IF(Main[[#This Row],[Tech Start Date]]&lt;1/1/1990,"",IF(Main[[#This Row],[Class]]="C",WORKDAY(Main[[#This Row],[Tech Start Date]],19),IF(Main[[#This Row],[Class]]="B", WORKDAY(Main[[#This Row],[Tech Start Date]],12),IF(Main[[#This Row],[Class]]="A",WORKDAY(Main[[#This Row],[Tech Start Date]],4),""))))</f>
        <v/>
      </c>
      <c r="O1053" s="104" t="str">
        <f>IF(Main[[#This Row],[Tech Start Date]]&lt;1/1/1990,"",IF(Main[[#This Row],[Class]]="C",WORKDAY(Main[[#This Row],[Tech Start Date]],23),IF(Main[[#This Row],[Class]]="B", WORKDAY(Main[[#This Row],[Tech Start Date]],15),IF(Main[[#This Row],[Class]]="A",WORKDAY(Main[[#This Row],[Tech Start Date]],5),""))))</f>
        <v/>
      </c>
      <c r="P1053" s="104" t="str">
        <f>IF(Main[[#This Row],[Tech Start Date]]&lt;1/1/1990,"",IF(Main[[#This Row],[Class]]="C",WORKDAY(Main[[#This Row],[Tech Start Date]],28),IF(Main[[#This Row],[Class]]="B", WORKDAY(Main[[#This Row],[Tech Start Date]],19),IF(Main[[#This Row],[Class]]="A",WORKDAY(Main[[#This Row],[Tech Start Date]],9),""))))</f>
        <v/>
      </c>
      <c r="Q1053" s="101"/>
      <c r="R1053" s="101"/>
      <c r="S1053" s="99" t="s">
        <v>17</v>
      </c>
      <c r="T1053" s="107" t="s">
        <v>4</v>
      </c>
      <c r="U1053" s="99" t="s">
        <v>7</v>
      </c>
      <c r="V1053" s="99" t="s">
        <v>1963</v>
      </c>
      <c r="W1053" s="99" t="s">
        <v>1964</v>
      </c>
    </row>
    <row r="1054" spans="1:23" ht="18.600000000000001" customHeight="1">
      <c r="A1054" s="123" t="str">
        <f>IF(priority(Main[[#This Row],[Comments]])&lt;&gt;0, priority(Main[[#This Row],[Comments]]),"")</f>
        <v/>
      </c>
      <c r="B1054" s="127" t="s">
        <v>1475</v>
      </c>
      <c r="C1054" s="99" t="s">
        <v>4</v>
      </c>
      <c r="D1054" s="100" t="s">
        <v>522</v>
      </c>
      <c r="E1054" s="101">
        <v>40584.460439814815</v>
      </c>
      <c r="F1054" s="101">
        <v>40599</v>
      </c>
      <c r="G1054" s="102" t="str">
        <f>IF(stdProdLT(Main[[#This Row],[Comments]])=0.1,"N/A",IF(stdProdLT(Main[[#This Row],[Comments]])=0,"",stdProdLT(Main[[#This Row],[Comments]])))</f>
        <v/>
      </c>
      <c r="H1054" s="103" t="str">
        <f>IF(AND(Main[[#This Row],[In Stock Date]]&lt;&gt;"",Main[[#This Row],[Revised Due Date]]&lt;&gt;""),Main[[#This Row],[In Stock Date]]-Main[[#This Row],[Revised Due Date]],"")</f>
        <v/>
      </c>
      <c r="I1054" s="99" t="s">
        <v>242</v>
      </c>
      <c r="J1054" s="99" t="s">
        <v>21</v>
      </c>
      <c r="K1054" s="99" t="s">
        <v>1971</v>
      </c>
      <c r="L1054" s="101"/>
      <c r="M1054" s="104" t="str">
        <f>IF(Main[[#This Row],[Tech Start Date]]&lt;1/1/1990,"",IF(Main[[#This Row],[Class]]="C",WORKDAY(Main[[#This Row],[Tech Start Date]],9),IF(Main[[#This Row],[Class]]="B", WORKDAY(Main[[#This Row],[Tech Start Date]],6),IF(Main[[#This Row],[Class]]="A",WORKDAY(Main[[#This Row],[Tech Start Date]],2),""))))</f>
        <v/>
      </c>
      <c r="N1054" s="104" t="str">
        <f>IF(Main[[#This Row],[Tech Start Date]]&lt;1/1/1990,"",IF(Main[[#This Row],[Class]]="C",WORKDAY(Main[[#This Row],[Tech Start Date]],19),IF(Main[[#This Row],[Class]]="B", WORKDAY(Main[[#This Row],[Tech Start Date]],12),IF(Main[[#This Row],[Class]]="A",WORKDAY(Main[[#This Row],[Tech Start Date]],4),""))))</f>
        <v/>
      </c>
      <c r="O1054" s="104" t="str">
        <f>IF(Main[[#This Row],[Tech Start Date]]&lt;1/1/1990,"",IF(Main[[#This Row],[Class]]="C",WORKDAY(Main[[#This Row],[Tech Start Date]],23),IF(Main[[#This Row],[Class]]="B", WORKDAY(Main[[#This Row],[Tech Start Date]],15),IF(Main[[#This Row],[Class]]="A",WORKDAY(Main[[#This Row],[Tech Start Date]],5),""))))</f>
        <v/>
      </c>
      <c r="P1054" s="104" t="str">
        <f>IF(Main[[#This Row],[Tech Start Date]]&lt;1/1/1990,"",IF(Main[[#This Row],[Class]]="C",WORKDAY(Main[[#This Row],[Tech Start Date]],28),IF(Main[[#This Row],[Class]]="B", WORKDAY(Main[[#This Row],[Tech Start Date]],19),IF(Main[[#This Row],[Class]]="A",WORKDAY(Main[[#This Row],[Tech Start Date]],9),""))))</f>
        <v/>
      </c>
      <c r="Q1054" s="101">
        <v>40599</v>
      </c>
      <c r="R1054" s="101"/>
      <c r="S1054" s="99" t="s">
        <v>6</v>
      </c>
      <c r="T1054" s="107" t="s">
        <v>4</v>
      </c>
      <c r="U1054" s="99" t="s">
        <v>29</v>
      </c>
      <c r="V1054" s="99" t="s">
        <v>1972</v>
      </c>
      <c r="W1054" s="99" t="s">
        <v>1964</v>
      </c>
    </row>
    <row r="1055" spans="1:23" ht="18.600000000000001" customHeight="1">
      <c r="A1055" s="123" t="str">
        <f>IF(priority(Main[[#This Row],[Comments]])&lt;&gt;0, priority(Main[[#This Row],[Comments]]),"")</f>
        <v/>
      </c>
      <c r="B1055" s="127" t="s">
        <v>2643</v>
      </c>
      <c r="C1055" s="99" t="s">
        <v>4</v>
      </c>
      <c r="D1055" s="100" t="s">
        <v>3163</v>
      </c>
      <c r="E1055" s="101">
        <v>40861.620081018518</v>
      </c>
      <c r="F1055" s="101"/>
      <c r="G1055" s="102" t="str">
        <f>IF(stdProdLT(Main[[#This Row],[Comments]])=0.1,"N/A",IF(stdProdLT(Main[[#This Row],[Comments]])=0,"",stdProdLT(Main[[#This Row],[Comments]])))</f>
        <v/>
      </c>
      <c r="H1055" s="103" t="str">
        <f>IF(AND(Main[[#This Row],[In Stock Date]]&lt;&gt;"",Main[[#This Row],[Revised Due Date]]&lt;&gt;""),Main[[#This Row],[In Stock Date]]-Main[[#This Row],[Revised Due Date]],"")</f>
        <v/>
      </c>
      <c r="I1055" s="99" t="s">
        <v>4</v>
      </c>
      <c r="J1055" s="99" t="s">
        <v>4</v>
      </c>
      <c r="K1055" s="99" t="s">
        <v>4</v>
      </c>
      <c r="L1055" s="101"/>
      <c r="M1055" s="104" t="str">
        <f>IF(Main[[#This Row],[Tech Start Date]]&lt;1/1/1990,"",IF(Main[[#This Row],[Class]]="C",WORKDAY(Main[[#This Row],[Tech Start Date]],9),IF(Main[[#This Row],[Class]]="B", WORKDAY(Main[[#This Row],[Tech Start Date]],6),IF(Main[[#This Row],[Class]]="A",WORKDAY(Main[[#This Row],[Tech Start Date]],2),""))))</f>
        <v/>
      </c>
      <c r="N1055" s="104" t="str">
        <f>IF(Main[[#This Row],[Tech Start Date]]&lt;1/1/1990,"",IF(Main[[#This Row],[Class]]="C",WORKDAY(Main[[#This Row],[Tech Start Date]],19),IF(Main[[#This Row],[Class]]="B", WORKDAY(Main[[#This Row],[Tech Start Date]],12),IF(Main[[#This Row],[Class]]="A",WORKDAY(Main[[#This Row],[Tech Start Date]],4),""))))</f>
        <v/>
      </c>
      <c r="O1055" s="104" t="str">
        <f>IF(Main[[#This Row],[Tech Start Date]]&lt;1/1/1990,"",IF(Main[[#This Row],[Class]]="C",WORKDAY(Main[[#This Row],[Tech Start Date]],23),IF(Main[[#This Row],[Class]]="B", WORKDAY(Main[[#This Row],[Tech Start Date]],15),IF(Main[[#This Row],[Class]]="A",WORKDAY(Main[[#This Row],[Tech Start Date]],5),""))))</f>
        <v/>
      </c>
      <c r="P1055" s="104" t="str">
        <f>IF(Main[[#This Row],[Tech Start Date]]&lt;1/1/1990,"",IF(Main[[#This Row],[Class]]="C",WORKDAY(Main[[#This Row],[Tech Start Date]],28),IF(Main[[#This Row],[Class]]="B", WORKDAY(Main[[#This Row],[Tech Start Date]],19),IF(Main[[#This Row],[Class]]="A",WORKDAY(Main[[#This Row],[Tech Start Date]],9),""))))</f>
        <v/>
      </c>
      <c r="Q1055" s="101"/>
      <c r="R1055" s="101"/>
      <c r="S1055" s="99" t="s">
        <v>6</v>
      </c>
      <c r="T1055" s="107" t="s">
        <v>4</v>
      </c>
      <c r="U1055" s="99" t="s">
        <v>7</v>
      </c>
      <c r="V1055" s="99" t="s">
        <v>1962</v>
      </c>
      <c r="W1055" s="99" t="s">
        <v>1966</v>
      </c>
    </row>
    <row r="1056" spans="1:23" ht="18.600000000000001" customHeight="1">
      <c r="A1056" s="123" t="str">
        <f>IF(priority(Main[[#This Row],[Comments]])&lt;&gt;0, priority(Main[[#This Row],[Comments]]),"")</f>
        <v/>
      </c>
      <c r="B1056" s="127" t="s">
        <v>2593</v>
      </c>
      <c r="C1056" s="99" t="s">
        <v>4</v>
      </c>
      <c r="D1056" s="100" t="s">
        <v>2594</v>
      </c>
      <c r="E1056" s="101">
        <v>40820.810810185183</v>
      </c>
      <c r="F1056" s="101"/>
      <c r="G1056" s="102" t="str">
        <f>IF(stdProdLT(Main[[#This Row],[Comments]])=0.1,"N/A",IF(stdProdLT(Main[[#This Row],[Comments]])=0,"",stdProdLT(Main[[#This Row],[Comments]])))</f>
        <v/>
      </c>
      <c r="H1056" s="103" t="str">
        <f>IF(AND(Main[[#This Row],[In Stock Date]]&lt;&gt;"",Main[[#This Row],[Revised Due Date]]&lt;&gt;""),Main[[#This Row],[In Stock Date]]-Main[[#This Row],[Revised Due Date]],"")</f>
        <v/>
      </c>
      <c r="I1056" s="99" t="s">
        <v>435</v>
      </c>
      <c r="J1056" s="99" t="s">
        <v>2029</v>
      </c>
      <c r="K1056" s="99" t="s">
        <v>1971</v>
      </c>
      <c r="L1056" s="101"/>
      <c r="M1056" s="104" t="str">
        <f>IF(Main[[#This Row],[Tech Start Date]]&lt;1/1/1990,"",IF(Main[[#This Row],[Class]]="C",WORKDAY(Main[[#This Row],[Tech Start Date]],9),IF(Main[[#This Row],[Class]]="B", WORKDAY(Main[[#This Row],[Tech Start Date]],6),IF(Main[[#This Row],[Class]]="A",WORKDAY(Main[[#This Row],[Tech Start Date]],2),""))))</f>
        <v/>
      </c>
      <c r="N1056" s="104" t="str">
        <f>IF(Main[[#This Row],[Tech Start Date]]&lt;1/1/1990,"",IF(Main[[#This Row],[Class]]="C",WORKDAY(Main[[#This Row],[Tech Start Date]],19),IF(Main[[#This Row],[Class]]="B", WORKDAY(Main[[#This Row],[Tech Start Date]],12),IF(Main[[#This Row],[Class]]="A",WORKDAY(Main[[#This Row],[Tech Start Date]],4),""))))</f>
        <v/>
      </c>
      <c r="O1056" s="104" t="str">
        <f>IF(Main[[#This Row],[Tech Start Date]]&lt;1/1/1990,"",IF(Main[[#This Row],[Class]]="C",WORKDAY(Main[[#This Row],[Tech Start Date]],23),IF(Main[[#This Row],[Class]]="B", WORKDAY(Main[[#This Row],[Tech Start Date]],15),IF(Main[[#This Row],[Class]]="A",WORKDAY(Main[[#This Row],[Tech Start Date]],5),""))))</f>
        <v/>
      </c>
      <c r="P1056" s="104" t="str">
        <f>IF(Main[[#This Row],[Tech Start Date]]&lt;1/1/1990,"",IF(Main[[#This Row],[Class]]="C",WORKDAY(Main[[#This Row],[Tech Start Date]],28),IF(Main[[#This Row],[Class]]="B", WORKDAY(Main[[#This Row],[Tech Start Date]],19),IF(Main[[#This Row],[Class]]="A",WORKDAY(Main[[#This Row],[Tech Start Date]],9),""))))</f>
        <v/>
      </c>
      <c r="Q1056" s="101">
        <v>40847</v>
      </c>
      <c r="R1056" s="101"/>
      <c r="S1056" s="99" t="s">
        <v>6</v>
      </c>
      <c r="T1056" s="107" t="s">
        <v>4</v>
      </c>
      <c r="U1056" s="99" t="s">
        <v>29</v>
      </c>
      <c r="V1056" s="99" t="s">
        <v>1965</v>
      </c>
      <c r="W1056" s="99" t="s">
        <v>1966</v>
      </c>
    </row>
    <row r="1057" spans="1:23" ht="18.600000000000001" customHeight="1">
      <c r="A1057" s="123" t="str">
        <f>IF(priority(Main[[#This Row],[Comments]])&lt;&gt;0, priority(Main[[#This Row],[Comments]]),"")</f>
        <v/>
      </c>
      <c r="B1057" s="127" t="s">
        <v>2595</v>
      </c>
      <c r="C1057" s="99" t="s">
        <v>4</v>
      </c>
      <c r="D1057" s="100" t="s">
        <v>2596</v>
      </c>
      <c r="E1057" s="101">
        <v>40834.538703703707</v>
      </c>
      <c r="F1057" s="101"/>
      <c r="G1057" s="102" t="str">
        <f>IF(stdProdLT(Main[[#This Row],[Comments]])=0.1,"N/A",IF(stdProdLT(Main[[#This Row],[Comments]])=0,"",stdProdLT(Main[[#This Row],[Comments]])))</f>
        <v/>
      </c>
      <c r="H1057" s="103" t="str">
        <f>IF(AND(Main[[#This Row],[In Stock Date]]&lt;&gt;"",Main[[#This Row],[Revised Due Date]]&lt;&gt;""),Main[[#This Row],[In Stock Date]]-Main[[#This Row],[Revised Due Date]],"")</f>
        <v/>
      </c>
      <c r="I1057" s="99" t="s">
        <v>4</v>
      </c>
      <c r="J1057" s="99" t="s">
        <v>4</v>
      </c>
      <c r="K1057" s="99" t="s">
        <v>4</v>
      </c>
      <c r="L1057" s="101"/>
      <c r="M1057" s="104" t="str">
        <f>IF(Main[[#This Row],[Tech Start Date]]&lt;1/1/1990,"",IF(Main[[#This Row],[Class]]="C",WORKDAY(Main[[#This Row],[Tech Start Date]],9),IF(Main[[#This Row],[Class]]="B", WORKDAY(Main[[#This Row],[Tech Start Date]],6),IF(Main[[#This Row],[Class]]="A",WORKDAY(Main[[#This Row],[Tech Start Date]],2),""))))</f>
        <v/>
      </c>
      <c r="N1057" s="104" t="str">
        <f>IF(Main[[#This Row],[Tech Start Date]]&lt;1/1/1990,"",IF(Main[[#This Row],[Class]]="C",WORKDAY(Main[[#This Row],[Tech Start Date]],19),IF(Main[[#This Row],[Class]]="B", WORKDAY(Main[[#This Row],[Tech Start Date]],12),IF(Main[[#This Row],[Class]]="A",WORKDAY(Main[[#This Row],[Tech Start Date]],4),""))))</f>
        <v/>
      </c>
      <c r="O1057" s="104" t="str">
        <f>IF(Main[[#This Row],[Tech Start Date]]&lt;1/1/1990,"",IF(Main[[#This Row],[Class]]="C",WORKDAY(Main[[#This Row],[Tech Start Date]],23),IF(Main[[#This Row],[Class]]="B", WORKDAY(Main[[#This Row],[Tech Start Date]],15),IF(Main[[#This Row],[Class]]="A",WORKDAY(Main[[#This Row],[Tech Start Date]],5),""))))</f>
        <v/>
      </c>
      <c r="P1057" s="104" t="str">
        <f>IF(Main[[#This Row],[Tech Start Date]]&lt;1/1/1990,"",IF(Main[[#This Row],[Class]]="C",WORKDAY(Main[[#This Row],[Tech Start Date]],28),IF(Main[[#This Row],[Class]]="B", WORKDAY(Main[[#This Row],[Tech Start Date]],19),IF(Main[[#This Row],[Class]]="A",WORKDAY(Main[[#This Row],[Tech Start Date]],9),""))))</f>
        <v/>
      </c>
      <c r="Q1057" s="101"/>
      <c r="R1057" s="101"/>
      <c r="S1057" s="99" t="s">
        <v>6</v>
      </c>
      <c r="T1057" s="107" t="s">
        <v>4</v>
      </c>
      <c r="U1057" s="99" t="s">
        <v>29</v>
      </c>
      <c r="V1057" s="99" t="s">
        <v>1962</v>
      </c>
      <c r="W1057" s="99" t="s">
        <v>1964</v>
      </c>
    </row>
    <row r="1058" spans="1:23" ht="18.600000000000001" customHeight="1">
      <c r="A1058" s="123" t="str">
        <f>IF(priority(Main[[#This Row],[Comments]])&lt;&gt;0, priority(Main[[#This Row],[Comments]]),"")</f>
        <v/>
      </c>
      <c r="B1058" s="127" t="s">
        <v>2598</v>
      </c>
      <c r="C1058" s="99" t="s">
        <v>2452</v>
      </c>
      <c r="D1058" s="100" t="s">
        <v>2599</v>
      </c>
      <c r="E1058" s="101"/>
      <c r="F1058" s="101">
        <v>40940</v>
      </c>
      <c r="G1058" s="102" t="str">
        <f>IF(stdProdLT(Main[[#This Row],[Comments]])=0.1,"N/A",IF(stdProdLT(Main[[#This Row],[Comments]])=0,"",stdProdLT(Main[[#This Row],[Comments]])))</f>
        <v/>
      </c>
      <c r="H1058" s="103" t="str">
        <f>IF(AND(Main[[#This Row],[In Stock Date]]&lt;&gt;"",Main[[#This Row],[Revised Due Date]]&lt;&gt;""),Main[[#This Row],[In Stock Date]]-Main[[#This Row],[Revised Due Date]],"")</f>
        <v/>
      </c>
      <c r="I1058" s="99" t="s">
        <v>4</v>
      </c>
      <c r="J1058" s="99" t="s">
        <v>4</v>
      </c>
      <c r="K1058" s="99" t="s">
        <v>4</v>
      </c>
      <c r="L1058" s="101"/>
      <c r="M1058" s="104" t="str">
        <f>IF(Main[[#This Row],[Tech Start Date]]&lt;1/1/1990,"",IF(Main[[#This Row],[Class]]="C",WORKDAY(Main[[#This Row],[Tech Start Date]],9),IF(Main[[#This Row],[Class]]="B", WORKDAY(Main[[#This Row],[Tech Start Date]],6),IF(Main[[#This Row],[Class]]="A",WORKDAY(Main[[#This Row],[Tech Start Date]],2),""))))</f>
        <v/>
      </c>
      <c r="N1058" s="104" t="str">
        <f>IF(Main[[#This Row],[Tech Start Date]]&lt;1/1/1990,"",IF(Main[[#This Row],[Class]]="C",WORKDAY(Main[[#This Row],[Tech Start Date]],19),IF(Main[[#This Row],[Class]]="B", WORKDAY(Main[[#This Row],[Tech Start Date]],12),IF(Main[[#This Row],[Class]]="A",WORKDAY(Main[[#This Row],[Tech Start Date]],4),""))))</f>
        <v/>
      </c>
      <c r="O1058" s="104" t="str">
        <f>IF(Main[[#This Row],[Tech Start Date]]&lt;1/1/1990,"",IF(Main[[#This Row],[Class]]="C",WORKDAY(Main[[#This Row],[Tech Start Date]],23),IF(Main[[#This Row],[Class]]="B", WORKDAY(Main[[#This Row],[Tech Start Date]],15),IF(Main[[#This Row],[Class]]="A",WORKDAY(Main[[#This Row],[Tech Start Date]],5),""))))</f>
        <v/>
      </c>
      <c r="P1058" s="104" t="str">
        <f>IF(Main[[#This Row],[Tech Start Date]]&lt;1/1/1990,"",IF(Main[[#This Row],[Class]]="C",WORKDAY(Main[[#This Row],[Tech Start Date]],28),IF(Main[[#This Row],[Class]]="B", WORKDAY(Main[[#This Row],[Tech Start Date]],19),IF(Main[[#This Row],[Class]]="A",WORKDAY(Main[[#This Row],[Tech Start Date]],9),""))))</f>
        <v/>
      </c>
      <c r="Q1058" s="101">
        <v>40878</v>
      </c>
      <c r="R1058" s="101"/>
      <c r="S1058" s="99" t="s">
        <v>11</v>
      </c>
      <c r="T1058" s="107" t="s">
        <v>4</v>
      </c>
      <c r="U1058" s="99" t="s">
        <v>14</v>
      </c>
      <c r="V1058" s="99" t="s">
        <v>1972</v>
      </c>
      <c r="W1058" s="99" t="s">
        <v>1970</v>
      </c>
    </row>
    <row r="1059" spans="1:23" ht="18.600000000000001" customHeight="1">
      <c r="A1059" s="123" t="str">
        <f>IF(priority(Main[[#This Row],[Comments]])&lt;&gt;0, priority(Main[[#This Row],[Comments]]),"")</f>
        <v/>
      </c>
      <c r="B1059" s="127" t="s">
        <v>2036</v>
      </c>
      <c r="C1059" s="99" t="s">
        <v>4</v>
      </c>
      <c r="D1059" s="100" t="s">
        <v>2601</v>
      </c>
      <c r="E1059" s="101">
        <v>40737.702951388892</v>
      </c>
      <c r="F1059" s="101">
        <v>40755</v>
      </c>
      <c r="G1059" s="102" t="str">
        <f>IF(stdProdLT(Main[[#This Row],[Comments]])=0.1,"N/A",IF(stdProdLT(Main[[#This Row],[Comments]])=0,"",stdProdLT(Main[[#This Row],[Comments]])))</f>
        <v/>
      </c>
      <c r="H1059" s="103" t="str">
        <f>IF(AND(Main[[#This Row],[In Stock Date]]&lt;&gt;"",Main[[#This Row],[Revised Due Date]]&lt;&gt;""),Main[[#This Row],[In Stock Date]]-Main[[#This Row],[Revised Due Date]],"")</f>
        <v/>
      </c>
      <c r="I1059" s="99" t="s">
        <v>536</v>
      </c>
      <c r="J1059" s="99" t="s">
        <v>21</v>
      </c>
      <c r="K1059" s="99" t="s">
        <v>1971</v>
      </c>
      <c r="L1059" s="101"/>
      <c r="M1059" s="104" t="str">
        <f>IF(Main[[#This Row],[Tech Start Date]]&lt;1/1/1990,"",IF(Main[[#This Row],[Class]]="C",WORKDAY(Main[[#This Row],[Tech Start Date]],9),IF(Main[[#This Row],[Class]]="B", WORKDAY(Main[[#This Row],[Tech Start Date]],6),IF(Main[[#This Row],[Class]]="A",WORKDAY(Main[[#This Row],[Tech Start Date]],2),""))))</f>
        <v/>
      </c>
      <c r="N1059" s="104" t="str">
        <f>IF(Main[[#This Row],[Tech Start Date]]&lt;1/1/1990,"",IF(Main[[#This Row],[Class]]="C",WORKDAY(Main[[#This Row],[Tech Start Date]],19),IF(Main[[#This Row],[Class]]="B", WORKDAY(Main[[#This Row],[Tech Start Date]],12),IF(Main[[#This Row],[Class]]="A",WORKDAY(Main[[#This Row],[Tech Start Date]],4),""))))</f>
        <v/>
      </c>
      <c r="O1059" s="104" t="str">
        <f>IF(Main[[#This Row],[Tech Start Date]]&lt;1/1/1990,"",IF(Main[[#This Row],[Class]]="C",WORKDAY(Main[[#This Row],[Tech Start Date]],23),IF(Main[[#This Row],[Class]]="B", WORKDAY(Main[[#This Row],[Tech Start Date]],15),IF(Main[[#This Row],[Class]]="A",WORKDAY(Main[[#This Row],[Tech Start Date]],5),""))))</f>
        <v/>
      </c>
      <c r="P1059" s="104" t="str">
        <f>IF(Main[[#This Row],[Tech Start Date]]&lt;1/1/1990,"",IF(Main[[#This Row],[Class]]="C",WORKDAY(Main[[#This Row],[Tech Start Date]],28),IF(Main[[#This Row],[Class]]="B", WORKDAY(Main[[#This Row],[Tech Start Date]],19),IF(Main[[#This Row],[Class]]="A",WORKDAY(Main[[#This Row],[Tech Start Date]],9),""))))</f>
        <v/>
      </c>
      <c r="Q1059" s="101">
        <v>40770</v>
      </c>
      <c r="R1059" s="101"/>
      <c r="S1059" s="99" t="s">
        <v>6</v>
      </c>
      <c r="T1059" s="107" t="s">
        <v>4</v>
      </c>
      <c r="U1059" s="99" t="s">
        <v>29</v>
      </c>
      <c r="V1059" s="99" t="s">
        <v>1972</v>
      </c>
      <c r="W1059" s="99" t="s">
        <v>1966</v>
      </c>
    </row>
    <row r="1060" spans="1:23" ht="18.600000000000001" customHeight="1">
      <c r="A1060" s="123" t="str">
        <f>IF(priority(Main[[#This Row],[Comments]])&lt;&gt;0, priority(Main[[#This Row],[Comments]]),"")</f>
        <v/>
      </c>
      <c r="B1060" s="127" t="s">
        <v>3069</v>
      </c>
      <c r="C1060" s="99" t="s">
        <v>4</v>
      </c>
      <c r="D1060" s="100" t="s">
        <v>3070</v>
      </c>
      <c r="E1060" s="101">
        <v>40879.618761574071</v>
      </c>
      <c r="F1060" s="101"/>
      <c r="G1060" s="102" t="str">
        <f>IF(stdProdLT(Main[[#This Row],[Comments]])=0.1,"N/A",IF(stdProdLT(Main[[#This Row],[Comments]])=0,"",stdProdLT(Main[[#This Row],[Comments]])))</f>
        <v/>
      </c>
      <c r="H1060" s="103" t="str">
        <f>IF(AND(Main[[#This Row],[In Stock Date]]&lt;&gt;"",Main[[#This Row],[Revised Due Date]]&lt;&gt;""),Main[[#This Row],[In Stock Date]]-Main[[#This Row],[Revised Due Date]],"")</f>
        <v/>
      </c>
      <c r="I1060" s="99" t="s">
        <v>4</v>
      </c>
      <c r="J1060" s="99" t="s">
        <v>4</v>
      </c>
      <c r="K1060" s="99" t="s">
        <v>4</v>
      </c>
      <c r="L1060" s="101"/>
      <c r="M1060" s="104" t="str">
        <f>IF(Main[[#This Row],[Tech Start Date]]&lt;1/1/1990,"",IF(Main[[#This Row],[Class]]="C",WORKDAY(Main[[#This Row],[Tech Start Date]],9),IF(Main[[#This Row],[Class]]="B", WORKDAY(Main[[#This Row],[Tech Start Date]],6),IF(Main[[#This Row],[Class]]="A",WORKDAY(Main[[#This Row],[Tech Start Date]],2),""))))</f>
        <v/>
      </c>
      <c r="N1060" s="104" t="str">
        <f>IF(Main[[#This Row],[Tech Start Date]]&lt;1/1/1990,"",IF(Main[[#This Row],[Class]]="C",WORKDAY(Main[[#This Row],[Tech Start Date]],19),IF(Main[[#This Row],[Class]]="B", WORKDAY(Main[[#This Row],[Tech Start Date]],12),IF(Main[[#This Row],[Class]]="A",WORKDAY(Main[[#This Row],[Tech Start Date]],4),""))))</f>
        <v/>
      </c>
      <c r="O1060" s="104" t="str">
        <f>IF(Main[[#This Row],[Tech Start Date]]&lt;1/1/1990,"",IF(Main[[#This Row],[Class]]="C",WORKDAY(Main[[#This Row],[Tech Start Date]],23),IF(Main[[#This Row],[Class]]="B", WORKDAY(Main[[#This Row],[Tech Start Date]],15),IF(Main[[#This Row],[Class]]="A",WORKDAY(Main[[#This Row],[Tech Start Date]],5),""))))</f>
        <v/>
      </c>
      <c r="P1060" s="104" t="str">
        <f>IF(Main[[#This Row],[Tech Start Date]]&lt;1/1/1990,"",IF(Main[[#This Row],[Class]]="C",WORKDAY(Main[[#This Row],[Tech Start Date]],28),IF(Main[[#This Row],[Class]]="B", WORKDAY(Main[[#This Row],[Tech Start Date]],19),IF(Main[[#This Row],[Class]]="A",WORKDAY(Main[[#This Row],[Tech Start Date]],9),""))))</f>
        <v/>
      </c>
      <c r="Q1060" s="101"/>
      <c r="R1060" s="101"/>
      <c r="S1060" s="99" t="s">
        <v>17</v>
      </c>
      <c r="T1060" s="107" t="s">
        <v>4</v>
      </c>
      <c r="U1060" s="99" t="s">
        <v>7</v>
      </c>
      <c r="V1060" s="99" t="s">
        <v>1965</v>
      </c>
      <c r="W1060" s="99" t="s">
        <v>1967</v>
      </c>
    </row>
    <row r="1061" spans="1:23" ht="18.600000000000001" customHeight="1">
      <c r="A1061" s="123" t="str">
        <f>IF(priority(Main[[#This Row],[Comments]])&lt;&gt;0, priority(Main[[#This Row],[Comments]]),"")</f>
        <v/>
      </c>
      <c r="B1061" s="127" t="s">
        <v>1701</v>
      </c>
      <c r="C1061" s="99" t="s">
        <v>4</v>
      </c>
      <c r="D1061" s="100" t="s">
        <v>736</v>
      </c>
      <c r="E1061" s="101">
        <v>40528.434965277775</v>
      </c>
      <c r="F1061" s="101"/>
      <c r="G1061" s="102" t="str">
        <f>IF(stdProdLT(Main[[#This Row],[Comments]])=0.1,"N/A",IF(stdProdLT(Main[[#This Row],[Comments]])=0,"",stdProdLT(Main[[#This Row],[Comments]])))</f>
        <v/>
      </c>
      <c r="H1061" s="103" t="str">
        <f>IF(AND(Main[[#This Row],[In Stock Date]]&lt;&gt;"",Main[[#This Row],[Revised Due Date]]&lt;&gt;""),Main[[#This Row],[In Stock Date]]-Main[[#This Row],[Revised Due Date]],"")</f>
        <v/>
      </c>
      <c r="I1061" s="99" t="s">
        <v>4</v>
      </c>
      <c r="J1061" s="99" t="s">
        <v>28</v>
      </c>
      <c r="K1061" s="99" t="s">
        <v>1974</v>
      </c>
      <c r="L1061" s="101"/>
      <c r="M1061" s="104" t="str">
        <f>IF(Main[[#This Row],[Tech Start Date]]&lt;1/1/1990,"",IF(Main[[#This Row],[Class]]="C",WORKDAY(Main[[#This Row],[Tech Start Date]],9),IF(Main[[#This Row],[Class]]="B", WORKDAY(Main[[#This Row],[Tech Start Date]],6),IF(Main[[#This Row],[Class]]="A",WORKDAY(Main[[#This Row],[Tech Start Date]],2),""))))</f>
        <v/>
      </c>
      <c r="N1061" s="104" t="str">
        <f>IF(Main[[#This Row],[Tech Start Date]]&lt;1/1/1990,"",IF(Main[[#This Row],[Class]]="C",WORKDAY(Main[[#This Row],[Tech Start Date]],19),IF(Main[[#This Row],[Class]]="B", WORKDAY(Main[[#This Row],[Tech Start Date]],12),IF(Main[[#This Row],[Class]]="A",WORKDAY(Main[[#This Row],[Tech Start Date]],4),""))))</f>
        <v/>
      </c>
      <c r="O1061" s="104" t="str">
        <f>IF(Main[[#This Row],[Tech Start Date]]&lt;1/1/1990,"",IF(Main[[#This Row],[Class]]="C",WORKDAY(Main[[#This Row],[Tech Start Date]],23),IF(Main[[#This Row],[Class]]="B", WORKDAY(Main[[#This Row],[Tech Start Date]],15),IF(Main[[#This Row],[Class]]="A",WORKDAY(Main[[#This Row],[Tech Start Date]],5),""))))</f>
        <v/>
      </c>
      <c r="P1061" s="104" t="str">
        <f>IF(Main[[#This Row],[Tech Start Date]]&lt;1/1/1990,"",IF(Main[[#This Row],[Class]]="C",WORKDAY(Main[[#This Row],[Tech Start Date]],28),IF(Main[[#This Row],[Class]]="B", WORKDAY(Main[[#This Row],[Tech Start Date]],19),IF(Main[[#This Row],[Class]]="A",WORKDAY(Main[[#This Row],[Tech Start Date]],9),""))))</f>
        <v/>
      </c>
      <c r="Q1061" s="101">
        <v>41152</v>
      </c>
      <c r="R1061" s="101"/>
      <c r="S1061" s="99" t="s">
        <v>17</v>
      </c>
      <c r="T1061" s="107" t="s">
        <v>4</v>
      </c>
      <c r="U1061" s="99" t="s">
        <v>7</v>
      </c>
      <c r="V1061" s="99" t="s">
        <v>1962</v>
      </c>
      <c r="W1061" s="99" t="s">
        <v>1967</v>
      </c>
    </row>
    <row r="1062" spans="1:23" ht="18.600000000000001" customHeight="1">
      <c r="A1062" s="123" t="str">
        <f>IF(priority(Main[[#This Row],[Comments]])&lt;&gt;0, priority(Main[[#This Row],[Comments]]),"")</f>
        <v/>
      </c>
      <c r="B1062" s="127" t="s">
        <v>1899</v>
      </c>
      <c r="C1062" s="99" t="s">
        <v>95</v>
      </c>
      <c r="D1062" s="100" t="s">
        <v>930</v>
      </c>
      <c r="E1062" s="101">
        <v>40428.412002314813</v>
      </c>
      <c r="F1062" s="101"/>
      <c r="G1062" s="102" t="str">
        <f>IF(stdProdLT(Main[[#This Row],[Comments]])=0.1,"N/A",IF(stdProdLT(Main[[#This Row],[Comments]])=0,"",stdProdLT(Main[[#This Row],[Comments]])))</f>
        <v/>
      </c>
      <c r="H1062" s="103" t="str">
        <f>IF(AND(Main[[#This Row],[In Stock Date]]&lt;&gt;"",Main[[#This Row],[Revised Due Date]]&lt;&gt;""),Main[[#This Row],[In Stock Date]]-Main[[#This Row],[Revised Due Date]],"")</f>
        <v/>
      </c>
      <c r="I1062" s="99" t="s">
        <v>421</v>
      </c>
      <c r="J1062" s="99" t="s">
        <v>28</v>
      </c>
      <c r="K1062" s="99" t="s">
        <v>1974</v>
      </c>
      <c r="L1062" s="101"/>
      <c r="M1062" s="104" t="str">
        <f>IF(Main[[#This Row],[Tech Start Date]]&lt;1/1/1990,"",IF(Main[[#This Row],[Class]]="C",WORKDAY(Main[[#This Row],[Tech Start Date]],9),IF(Main[[#This Row],[Class]]="B", WORKDAY(Main[[#This Row],[Tech Start Date]],6),IF(Main[[#This Row],[Class]]="A",WORKDAY(Main[[#This Row],[Tech Start Date]],2),""))))</f>
        <v/>
      </c>
      <c r="N1062" s="104" t="str">
        <f>IF(Main[[#This Row],[Tech Start Date]]&lt;1/1/1990,"",IF(Main[[#This Row],[Class]]="C",WORKDAY(Main[[#This Row],[Tech Start Date]],19),IF(Main[[#This Row],[Class]]="B", WORKDAY(Main[[#This Row],[Tech Start Date]],12),IF(Main[[#This Row],[Class]]="A",WORKDAY(Main[[#This Row],[Tech Start Date]],4),""))))</f>
        <v/>
      </c>
      <c r="O1062" s="104" t="str">
        <f>IF(Main[[#This Row],[Tech Start Date]]&lt;1/1/1990,"",IF(Main[[#This Row],[Class]]="C",WORKDAY(Main[[#This Row],[Tech Start Date]],23),IF(Main[[#This Row],[Class]]="B", WORKDAY(Main[[#This Row],[Tech Start Date]],15),IF(Main[[#This Row],[Class]]="A",WORKDAY(Main[[#This Row],[Tech Start Date]],5),""))))</f>
        <v/>
      </c>
      <c r="P1062" s="104" t="str">
        <f>IF(Main[[#This Row],[Tech Start Date]]&lt;1/1/1990,"",IF(Main[[#This Row],[Class]]="C",WORKDAY(Main[[#This Row],[Tech Start Date]],28),IF(Main[[#This Row],[Class]]="B", WORKDAY(Main[[#This Row],[Tech Start Date]],19),IF(Main[[#This Row],[Class]]="A",WORKDAY(Main[[#This Row],[Tech Start Date]],9),""))))</f>
        <v/>
      </c>
      <c r="Q1062" s="101">
        <v>40574</v>
      </c>
      <c r="R1062" s="101">
        <v>41046</v>
      </c>
      <c r="S1062" s="99" t="s">
        <v>17</v>
      </c>
      <c r="T1062" s="107" t="s">
        <v>4</v>
      </c>
      <c r="U1062" s="99" t="s">
        <v>29</v>
      </c>
      <c r="V1062" s="99" t="s">
        <v>1965</v>
      </c>
      <c r="W1062" s="99" t="s">
        <v>1968</v>
      </c>
    </row>
    <row r="1063" spans="1:23" ht="18.600000000000001" customHeight="1">
      <c r="A1063" s="123" t="str">
        <f>IF(priority(Main[[#This Row],[Comments]])&lt;&gt;0, priority(Main[[#This Row],[Comments]]),"")</f>
        <v/>
      </c>
      <c r="B1063" s="127" t="s">
        <v>2580</v>
      </c>
      <c r="C1063" s="99" t="s">
        <v>4</v>
      </c>
      <c r="D1063" s="100" t="s">
        <v>2581</v>
      </c>
      <c r="E1063" s="101">
        <v>40822.361354166664</v>
      </c>
      <c r="F1063" s="101"/>
      <c r="G1063" s="102" t="str">
        <f>IF(stdProdLT(Main[[#This Row],[Comments]])=0.1,"N/A",IF(stdProdLT(Main[[#This Row],[Comments]])=0,"",stdProdLT(Main[[#This Row],[Comments]])))</f>
        <v/>
      </c>
      <c r="H1063" s="103" t="str">
        <f>IF(AND(Main[[#This Row],[In Stock Date]]&lt;&gt;"",Main[[#This Row],[Revised Due Date]]&lt;&gt;""),Main[[#This Row],[In Stock Date]]-Main[[#This Row],[Revised Due Date]],"")</f>
        <v/>
      </c>
      <c r="I1063" s="99" t="s">
        <v>4</v>
      </c>
      <c r="J1063" s="99" t="s">
        <v>4</v>
      </c>
      <c r="K1063" s="99" t="s">
        <v>4</v>
      </c>
      <c r="L1063" s="101"/>
      <c r="M1063" s="104" t="str">
        <f>IF(Main[[#This Row],[Tech Start Date]]&lt;1/1/1990,"",IF(Main[[#This Row],[Class]]="C",WORKDAY(Main[[#This Row],[Tech Start Date]],9),IF(Main[[#This Row],[Class]]="B", WORKDAY(Main[[#This Row],[Tech Start Date]],6),IF(Main[[#This Row],[Class]]="A",WORKDAY(Main[[#This Row],[Tech Start Date]],2),""))))</f>
        <v/>
      </c>
      <c r="N1063" s="104" t="str">
        <f>IF(Main[[#This Row],[Tech Start Date]]&lt;1/1/1990,"",IF(Main[[#This Row],[Class]]="C",WORKDAY(Main[[#This Row],[Tech Start Date]],19),IF(Main[[#This Row],[Class]]="B", WORKDAY(Main[[#This Row],[Tech Start Date]],12),IF(Main[[#This Row],[Class]]="A",WORKDAY(Main[[#This Row],[Tech Start Date]],4),""))))</f>
        <v/>
      </c>
      <c r="O1063" s="104" t="str">
        <f>IF(Main[[#This Row],[Tech Start Date]]&lt;1/1/1990,"",IF(Main[[#This Row],[Class]]="C",WORKDAY(Main[[#This Row],[Tech Start Date]],23),IF(Main[[#This Row],[Class]]="B", WORKDAY(Main[[#This Row],[Tech Start Date]],15),IF(Main[[#This Row],[Class]]="A",WORKDAY(Main[[#This Row],[Tech Start Date]],5),""))))</f>
        <v/>
      </c>
      <c r="P1063" s="104" t="str">
        <f>IF(Main[[#This Row],[Tech Start Date]]&lt;1/1/1990,"",IF(Main[[#This Row],[Class]]="C",WORKDAY(Main[[#This Row],[Tech Start Date]],28),IF(Main[[#This Row],[Class]]="B", WORKDAY(Main[[#This Row],[Tech Start Date]],19),IF(Main[[#This Row],[Class]]="A",WORKDAY(Main[[#This Row],[Tech Start Date]],9),""))))</f>
        <v/>
      </c>
      <c r="Q1063" s="101">
        <v>40872</v>
      </c>
      <c r="R1063" s="101"/>
      <c r="S1063" s="99" t="s">
        <v>6</v>
      </c>
      <c r="T1063" s="107" t="s">
        <v>4</v>
      </c>
      <c r="U1063" s="99" t="s">
        <v>7</v>
      </c>
      <c r="V1063" s="99" t="s">
        <v>1962</v>
      </c>
      <c r="W1063" s="99" t="s">
        <v>4</v>
      </c>
    </row>
    <row r="1064" spans="1:23" ht="18.600000000000001" customHeight="1">
      <c r="A1064" s="123" t="str">
        <f>IF(priority(Main[[#This Row],[Comments]])&lt;&gt;0, priority(Main[[#This Row],[Comments]]),"")</f>
        <v/>
      </c>
      <c r="B1064" s="127" t="s">
        <v>2582</v>
      </c>
      <c r="C1064" s="99" t="s">
        <v>4</v>
      </c>
      <c r="D1064" s="100" t="s">
        <v>2583</v>
      </c>
      <c r="E1064" s="101">
        <v>40821.441296296296</v>
      </c>
      <c r="F1064" s="101"/>
      <c r="G1064" s="102" t="str">
        <f>IF(stdProdLT(Main[[#This Row],[Comments]])=0.1,"N/A",IF(stdProdLT(Main[[#This Row],[Comments]])=0,"",stdProdLT(Main[[#This Row],[Comments]])))</f>
        <v/>
      </c>
      <c r="H1064" s="103" t="str">
        <f>IF(AND(Main[[#This Row],[In Stock Date]]&lt;&gt;"",Main[[#This Row],[Revised Due Date]]&lt;&gt;""),Main[[#This Row],[In Stock Date]]-Main[[#This Row],[Revised Due Date]],"")</f>
        <v/>
      </c>
      <c r="I1064" s="99" t="s">
        <v>242</v>
      </c>
      <c r="J1064" s="99" t="s">
        <v>28</v>
      </c>
      <c r="K1064" s="108" t="s">
        <v>1971</v>
      </c>
      <c r="L1064" s="101"/>
      <c r="M1064" s="104" t="str">
        <f>IF(Main[[#This Row],[Tech Start Date]]&lt;1/1/1990,"",IF(Main[[#This Row],[Class]]="C",WORKDAY(Main[[#This Row],[Tech Start Date]],9),IF(Main[[#This Row],[Class]]="B", WORKDAY(Main[[#This Row],[Tech Start Date]],6),IF(Main[[#This Row],[Class]]="A",WORKDAY(Main[[#This Row],[Tech Start Date]],2),""))))</f>
        <v/>
      </c>
      <c r="N1064" s="104" t="str">
        <f>IF(Main[[#This Row],[Tech Start Date]]&lt;1/1/1990,"",IF(Main[[#This Row],[Class]]="C",WORKDAY(Main[[#This Row],[Tech Start Date]],19),IF(Main[[#This Row],[Class]]="B", WORKDAY(Main[[#This Row],[Tech Start Date]],12),IF(Main[[#This Row],[Class]]="A",WORKDAY(Main[[#This Row],[Tech Start Date]],4),""))))</f>
        <v/>
      </c>
      <c r="O1064" s="104" t="str">
        <f>IF(Main[[#This Row],[Tech Start Date]]&lt;1/1/1990,"",IF(Main[[#This Row],[Class]]="C",WORKDAY(Main[[#This Row],[Tech Start Date]],23),IF(Main[[#This Row],[Class]]="B", WORKDAY(Main[[#This Row],[Tech Start Date]],15),IF(Main[[#This Row],[Class]]="A",WORKDAY(Main[[#This Row],[Tech Start Date]],5),""))))</f>
        <v/>
      </c>
      <c r="P1064" s="104" t="str">
        <f>IF(Main[[#This Row],[Tech Start Date]]&lt;1/1/1990,"",IF(Main[[#This Row],[Class]]="C",WORKDAY(Main[[#This Row],[Tech Start Date]],28),IF(Main[[#This Row],[Class]]="B", WORKDAY(Main[[#This Row],[Tech Start Date]],19),IF(Main[[#This Row],[Class]]="A",WORKDAY(Main[[#This Row],[Tech Start Date]],9),""))))</f>
        <v/>
      </c>
      <c r="Q1064" s="101"/>
      <c r="R1064" s="101"/>
      <c r="S1064" s="99" t="s">
        <v>6</v>
      </c>
      <c r="T1064" s="107" t="s">
        <v>4</v>
      </c>
      <c r="U1064" s="99" t="s">
        <v>29</v>
      </c>
      <c r="V1064" s="99" t="s">
        <v>1965</v>
      </c>
      <c r="W1064" s="99" t="s">
        <v>1964</v>
      </c>
    </row>
    <row r="1065" spans="1:23" ht="18.600000000000001" customHeight="1">
      <c r="A1065" s="123" t="str">
        <f>IF(priority(Main[[#This Row],[Comments]])&lt;&gt;0, priority(Main[[#This Row],[Comments]]),"")</f>
        <v/>
      </c>
      <c r="B1065" s="127" t="s">
        <v>2584</v>
      </c>
      <c r="C1065" s="99" t="s">
        <v>4</v>
      </c>
      <c r="D1065" s="100" t="s">
        <v>2585</v>
      </c>
      <c r="E1065" s="101">
        <v>40861.647233796299</v>
      </c>
      <c r="F1065" s="101"/>
      <c r="G1065" s="102" t="str">
        <f>IF(stdProdLT(Main[[#This Row],[Comments]])=0.1,"N/A",IF(stdProdLT(Main[[#This Row],[Comments]])=0,"",stdProdLT(Main[[#This Row],[Comments]])))</f>
        <v/>
      </c>
      <c r="H1065" s="103" t="str">
        <f>IF(AND(Main[[#This Row],[In Stock Date]]&lt;&gt;"",Main[[#This Row],[Revised Due Date]]&lt;&gt;""),Main[[#This Row],[In Stock Date]]-Main[[#This Row],[Revised Due Date]],"")</f>
        <v/>
      </c>
      <c r="I1065" s="99" t="s">
        <v>778</v>
      </c>
      <c r="J1065" s="99" t="s">
        <v>52</v>
      </c>
      <c r="K1065" s="108" t="s">
        <v>1971</v>
      </c>
      <c r="L1065" s="101"/>
      <c r="M1065" s="104" t="str">
        <f>IF(Main[[#This Row],[Tech Start Date]]&lt;1/1/1990,"",IF(Main[[#This Row],[Class]]="C",WORKDAY(Main[[#This Row],[Tech Start Date]],9),IF(Main[[#This Row],[Class]]="B", WORKDAY(Main[[#This Row],[Tech Start Date]],6),IF(Main[[#This Row],[Class]]="A",WORKDAY(Main[[#This Row],[Tech Start Date]],2),""))))</f>
        <v/>
      </c>
      <c r="N1065" s="104" t="str">
        <f>IF(Main[[#This Row],[Tech Start Date]]&lt;1/1/1990,"",IF(Main[[#This Row],[Class]]="C",WORKDAY(Main[[#This Row],[Tech Start Date]],19),IF(Main[[#This Row],[Class]]="B", WORKDAY(Main[[#This Row],[Tech Start Date]],12),IF(Main[[#This Row],[Class]]="A",WORKDAY(Main[[#This Row],[Tech Start Date]],4),""))))</f>
        <v/>
      </c>
      <c r="O1065" s="104" t="str">
        <f>IF(Main[[#This Row],[Tech Start Date]]&lt;1/1/1990,"",IF(Main[[#This Row],[Class]]="C",WORKDAY(Main[[#This Row],[Tech Start Date]],23),IF(Main[[#This Row],[Class]]="B", WORKDAY(Main[[#This Row],[Tech Start Date]],15),IF(Main[[#This Row],[Class]]="A",WORKDAY(Main[[#This Row],[Tech Start Date]],5),""))))</f>
        <v/>
      </c>
      <c r="P1065" s="104" t="str">
        <f>IF(Main[[#This Row],[Tech Start Date]]&lt;1/1/1990,"",IF(Main[[#This Row],[Class]]="C",WORKDAY(Main[[#This Row],[Tech Start Date]],28),IF(Main[[#This Row],[Class]]="B", WORKDAY(Main[[#This Row],[Tech Start Date]],19),IF(Main[[#This Row],[Class]]="A",WORKDAY(Main[[#This Row],[Tech Start Date]],9),""))))</f>
        <v/>
      </c>
      <c r="Q1065" s="101">
        <v>40897</v>
      </c>
      <c r="R1065" s="101"/>
      <c r="S1065" s="99" t="s">
        <v>6</v>
      </c>
      <c r="T1065" s="107" t="s">
        <v>4</v>
      </c>
      <c r="U1065" s="99" t="s">
        <v>29</v>
      </c>
      <c r="V1065" s="99" t="s">
        <v>1965</v>
      </c>
      <c r="W1065" s="99" t="s">
        <v>1966</v>
      </c>
    </row>
    <row r="1066" spans="1:23" ht="18.600000000000001" customHeight="1">
      <c r="A1066" s="123" t="str">
        <f>IF(priority(Main[[#This Row],[Comments]])&lt;&gt;0, priority(Main[[#This Row],[Comments]]),"")</f>
        <v/>
      </c>
      <c r="B1066" s="127" t="s">
        <v>2597</v>
      </c>
      <c r="C1066" s="99" t="s">
        <v>4</v>
      </c>
      <c r="D1066" s="100" t="s">
        <v>3031</v>
      </c>
      <c r="E1066" s="101">
        <v>40820.793587962966</v>
      </c>
      <c r="F1066" s="101"/>
      <c r="G1066" s="102" t="str">
        <f>IF(stdProdLT(Main[[#This Row],[Comments]])=0.1,"N/A",IF(stdProdLT(Main[[#This Row],[Comments]])=0,"",stdProdLT(Main[[#This Row],[Comments]])))</f>
        <v/>
      </c>
      <c r="H1066" s="103" t="str">
        <f>IF(AND(Main[[#This Row],[In Stock Date]]&lt;&gt;"",Main[[#This Row],[Revised Due Date]]&lt;&gt;""),Main[[#This Row],[In Stock Date]]-Main[[#This Row],[Revised Due Date]],"")</f>
        <v/>
      </c>
      <c r="I1066" s="99" t="s">
        <v>2110</v>
      </c>
      <c r="J1066" s="99" t="s">
        <v>28</v>
      </c>
      <c r="K1066" s="99" t="s">
        <v>1971</v>
      </c>
      <c r="L1066" s="101"/>
      <c r="M1066" s="104" t="str">
        <f>IF(Main[[#This Row],[Tech Start Date]]&lt;1/1/1990,"",IF(Main[[#This Row],[Class]]="C",WORKDAY(Main[[#This Row],[Tech Start Date]],9),IF(Main[[#This Row],[Class]]="B", WORKDAY(Main[[#This Row],[Tech Start Date]],6),IF(Main[[#This Row],[Class]]="A",WORKDAY(Main[[#This Row],[Tech Start Date]],2),""))))</f>
        <v/>
      </c>
      <c r="N1066" s="104" t="str">
        <f>IF(Main[[#This Row],[Tech Start Date]]&lt;1/1/1990,"",IF(Main[[#This Row],[Class]]="C",WORKDAY(Main[[#This Row],[Tech Start Date]],19),IF(Main[[#This Row],[Class]]="B", WORKDAY(Main[[#This Row],[Tech Start Date]],12),IF(Main[[#This Row],[Class]]="A",WORKDAY(Main[[#This Row],[Tech Start Date]],4),""))))</f>
        <v/>
      </c>
      <c r="O1066" s="104" t="str">
        <f>IF(Main[[#This Row],[Tech Start Date]]&lt;1/1/1990,"",IF(Main[[#This Row],[Class]]="C",WORKDAY(Main[[#This Row],[Tech Start Date]],23),IF(Main[[#This Row],[Class]]="B", WORKDAY(Main[[#This Row],[Tech Start Date]],15),IF(Main[[#This Row],[Class]]="A",WORKDAY(Main[[#This Row],[Tech Start Date]],5),""))))</f>
        <v/>
      </c>
      <c r="P1066" s="104" t="str">
        <f>IF(Main[[#This Row],[Tech Start Date]]&lt;1/1/1990,"",IF(Main[[#This Row],[Class]]="C",WORKDAY(Main[[#This Row],[Tech Start Date]],28),IF(Main[[#This Row],[Class]]="B", WORKDAY(Main[[#This Row],[Tech Start Date]],19),IF(Main[[#This Row],[Class]]="A",WORKDAY(Main[[#This Row],[Tech Start Date]],9),""))))</f>
        <v/>
      </c>
      <c r="Q1066" s="101">
        <v>40847</v>
      </c>
      <c r="R1066" s="101"/>
      <c r="S1066" s="99" t="s">
        <v>6</v>
      </c>
      <c r="T1066" s="107" t="s">
        <v>4</v>
      </c>
      <c r="U1066" s="99" t="s">
        <v>29</v>
      </c>
      <c r="V1066" s="99" t="s">
        <v>1965</v>
      </c>
      <c r="W1066" s="99" t="s">
        <v>1966</v>
      </c>
    </row>
    <row r="1067" spans="1:23" ht="18.600000000000001" customHeight="1">
      <c r="A1067" s="123" t="str">
        <f>IF(priority(Main[[#This Row],[Comments]])&lt;&gt;0, priority(Main[[#This Row],[Comments]]),"")</f>
        <v/>
      </c>
      <c r="B1067" s="127" t="s">
        <v>1886</v>
      </c>
      <c r="C1067" s="99" t="s">
        <v>4</v>
      </c>
      <c r="D1067" s="100" t="s">
        <v>917</v>
      </c>
      <c r="E1067" s="101">
        <v>40478.709317129629</v>
      </c>
      <c r="F1067" s="101">
        <v>40492</v>
      </c>
      <c r="G1067" s="102" t="str">
        <f>IF(stdProdLT(Main[[#This Row],[Comments]])=0.1,"N/A",IF(stdProdLT(Main[[#This Row],[Comments]])=0,"",stdProdLT(Main[[#This Row],[Comments]])))</f>
        <v/>
      </c>
      <c r="H1067" s="103">
        <f>IF(AND(Main[[#This Row],[In Stock Date]]&lt;&gt;"",Main[[#This Row],[Revised Due Date]]&lt;&gt;""),Main[[#This Row],[In Stock Date]]-Main[[#This Row],[Revised Due Date]],"")</f>
        <v>-3</v>
      </c>
      <c r="I1067" s="99" t="s">
        <v>4</v>
      </c>
      <c r="J1067" s="99" t="s">
        <v>28</v>
      </c>
      <c r="K1067" s="99" t="s">
        <v>1969</v>
      </c>
      <c r="L1067" s="101"/>
      <c r="M1067" s="104" t="str">
        <f>IF(Main[[#This Row],[Tech Start Date]]&lt;1/1/1990,"",IF(Main[[#This Row],[Class]]="C",WORKDAY(Main[[#This Row],[Tech Start Date]],9),IF(Main[[#This Row],[Class]]="B", WORKDAY(Main[[#This Row],[Tech Start Date]],6),IF(Main[[#This Row],[Class]]="A",WORKDAY(Main[[#This Row],[Tech Start Date]],2),""))))</f>
        <v/>
      </c>
      <c r="N1067" s="104" t="str">
        <f>IF(Main[[#This Row],[Tech Start Date]]&lt;1/1/1990,"",IF(Main[[#This Row],[Class]]="C",WORKDAY(Main[[#This Row],[Tech Start Date]],19),IF(Main[[#This Row],[Class]]="B", WORKDAY(Main[[#This Row],[Tech Start Date]],12),IF(Main[[#This Row],[Class]]="A",WORKDAY(Main[[#This Row],[Tech Start Date]],4),""))))</f>
        <v/>
      </c>
      <c r="O1067" s="104" t="str">
        <f>IF(Main[[#This Row],[Tech Start Date]]&lt;1/1/1990,"",IF(Main[[#This Row],[Class]]="C",WORKDAY(Main[[#This Row],[Tech Start Date]],23),IF(Main[[#This Row],[Class]]="B", WORKDAY(Main[[#This Row],[Tech Start Date]],15),IF(Main[[#This Row],[Class]]="A",WORKDAY(Main[[#This Row],[Tech Start Date]],5),""))))</f>
        <v/>
      </c>
      <c r="P1067" s="104" t="str">
        <f>IF(Main[[#This Row],[Tech Start Date]]&lt;1/1/1990,"",IF(Main[[#This Row],[Class]]="C",WORKDAY(Main[[#This Row],[Tech Start Date]],28),IF(Main[[#This Row],[Class]]="B", WORKDAY(Main[[#This Row],[Tech Start Date]],19),IF(Main[[#This Row],[Class]]="A",WORKDAY(Main[[#This Row],[Tech Start Date]],9),""))))</f>
        <v/>
      </c>
      <c r="Q1067" s="101">
        <v>40908</v>
      </c>
      <c r="R1067" s="101">
        <v>40495</v>
      </c>
      <c r="S1067" s="99" t="s">
        <v>17</v>
      </c>
      <c r="T1067" s="107" t="s">
        <v>2586</v>
      </c>
      <c r="U1067" s="99" t="s">
        <v>29</v>
      </c>
      <c r="V1067" s="99" t="s">
        <v>1963</v>
      </c>
      <c r="W1067" s="99" t="s">
        <v>1964</v>
      </c>
    </row>
    <row r="1068" spans="1:23" ht="18.600000000000001" customHeight="1">
      <c r="A1068" s="123" t="str">
        <f>IF(priority(Main[[#This Row],[Comments]])&lt;&gt;0, priority(Main[[#This Row],[Comments]]),"")</f>
        <v/>
      </c>
      <c r="B1068" s="127" t="s">
        <v>1157</v>
      </c>
      <c r="C1068" s="99" t="s">
        <v>4</v>
      </c>
      <c r="D1068" s="100" t="s">
        <v>2587</v>
      </c>
      <c r="E1068" s="101">
        <v>40581.512430555558</v>
      </c>
      <c r="F1068" s="101">
        <v>40627</v>
      </c>
      <c r="G1068" s="102" t="str">
        <f>IF(stdProdLT(Main[[#This Row],[Comments]])=0.1,"N/A",IF(stdProdLT(Main[[#This Row],[Comments]])=0,"",stdProdLT(Main[[#This Row],[Comments]])))</f>
        <v/>
      </c>
      <c r="H1068" s="103" t="str">
        <f>IF(AND(Main[[#This Row],[In Stock Date]]&lt;&gt;"",Main[[#This Row],[Revised Due Date]]&lt;&gt;""),Main[[#This Row],[In Stock Date]]-Main[[#This Row],[Revised Due Date]],"")</f>
        <v/>
      </c>
      <c r="I1068" s="99" t="s">
        <v>929</v>
      </c>
      <c r="J1068" s="99" t="s">
        <v>52</v>
      </c>
      <c r="K1068" s="99" t="s">
        <v>1969</v>
      </c>
      <c r="L1068" s="101"/>
      <c r="M1068" s="104" t="str">
        <f>IF(Main[[#This Row],[Tech Start Date]]&lt;1/1/1990,"",IF(Main[[#This Row],[Class]]="C",WORKDAY(Main[[#This Row],[Tech Start Date]],9),IF(Main[[#This Row],[Class]]="B", WORKDAY(Main[[#This Row],[Tech Start Date]],6),IF(Main[[#This Row],[Class]]="A",WORKDAY(Main[[#This Row],[Tech Start Date]],2),""))))</f>
        <v/>
      </c>
      <c r="N1068" s="104" t="str">
        <f>IF(Main[[#This Row],[Tech Start Date]]&lt;1/1/1990,"",IF(Main[[#This Row],[Class]]="C",WORKDAY(Main[[#This Row],[Tech Start Date]],19),IF(Main[[#This Row],[Class]]="B", WORKDAY(Main[[#This Row],[Tech Start Date]],12),IF(Main[[#This Row],[Class]]="A",WORKDAY(Main[[#This Row],[Tech Start Date]],4),""))))</f>
        <v/>
      </c>
      <c r="O1068" s="104" t="str">
        <f>IF(Main[[#This Row],[Tech Start Date]]&lt;1/1/1990,"",IF(Main[[#This Row],[Class]]="C",WORKDAY(Main[[#This Row],[Tech Start Date]],23),IF(Main[[#This Row],[Class]]="B", WORKDAY(Main[[#This Row],[Tech Start Date]],15),IF(Main[[#This Row],[Class]]="A",WORKDAY(Main[[#This Row],[Tech Start Date]],5),""))))</f>
        <v/>
      </c>
      <c r="P1068" s="104" t="str">
        <f>IF(Main[[#This Row],[Tech Start Date]]&lt;1/1/1990,"",IF(Main[[#This Row],[Class]]="C",WORKDAY(Main[[#This Row],[Tech Start Date]],28),IF(Main[[#This Row],[Class]]="B", WORKDAY(Main[[#This Row],[Tech Start Date]],19),IF(Main[[#This Row],[Class]]="A",WORKDAY(Main[[#This Row],[Tech Start Date]],9),""))))</f>
        <v/>
      </c>
      <c r="Q1068" s="101">
        <v>40627</v>
      </c>
      <c r="R1068" s="101"/>
      <c r="S1068" s="99" t="s">
        <v>6</v>
      </c>
      <c r="T1068" s="107" t="s">
        <v>4</v>
      </c>
      <c r="U1068" s="99" t="s">
        <v>29</v>
      </c>
      <c r="V1068" s="99" t="s">
        <v>1962</v>
      </c>
      <c r="W1068" s="99" t="s">
        <v>1964</v>
      </c>
    </row>
    <row r="1069" spans="1:23" ht="18.600000000000001" customHeight="1">
      <c r="A1069" s="123" t="str">
        <f>IF(priority(Main[[#This Row],[Comments]])&lt;&gt;0, priority(Main[[#This Row],[Comments]]),"")</f>
        <v/>
      </c>
      <c r="B1069" s="127" t="s">
        <v>2588</v>
      </c>
      <c r="C1069" s="99" t="s">
        <v>4</v>
      </c>
      <c r="D1069" s="100" t="s">
        <v>2589</v>
      </c>
      <c r="E1069" s="101">
        <v>40843.415925925925</v>
      </c>
      <c r="F1069" s="101"/>
      <c r="G1069" s="102" t="str">
        <f>IF(stdProdLT(Main[[#This Row],[Comments]])=0.1,"N/A",IF(stdProdLT(Main[[#This Row],[Comments]])=0,"",stdProdLT(Main[[#This Row],[Comments]])))</f>
        <v/>
      </c>
      <c r="H1069" s="103" t="str">
        <f>IF(AND(Main[[#This Row],[In Stock Date]]&lt;&gt;"",Main[[#This Row],[Revised Due Date]]&lt;&gt;""),Main[[#This Row],[In Stock Date]]-Main[[#This Row],[Revised Due Date]],"")</f>
        <v/>
      </c>
      <c r="I1069" s="99" t="s">
        <v>4</v>
      </c>
      <c r="J1069" s="99" t="s">
        <v>4</v>
      </c>
      <c r="K1069" s="99" t="s">
        <v>4</v>
      </c>
      <c r="L1069" s="101"/>
      <c r="M1069" s="104" t="str">
        <f>IF(Main[[#This Row],[Tech Start Date]]&lt;1/1/1990,"",IF(Main[[#This Row],[Class]]="C",WORKDAY(Main[[#This Row],[Tech Start Date]],9),IF(Main[[#This Row],[Class]]="B", WORKDAY(Main[[#This Row],[Tech Start Date]],6),IF(Main[[#This Row],[Class]]="A",WORKDAY(Main[[#This Row],[Tech Start Date]],2),""))))</f>
        <v/>
      </c>
      <c r="N1069" s="104" t="str">
        <f>IF(Main[[#This Row],[Tech Start Date]]&lt;1/1/1990,"",IF(Main[[#This Row],[Class]]="C",WORKDAY(Main[[#This Row],[Tech Start Date]],19),IF(Main[[#This Row],[Class]]="B", WORKDAY(Main[[#This Row],[Tech Start Date]],12),IF(Main[[#This Row],[Class]]="A",WORKDAY(Main[[#This Row],[Tech Start Date]],4),""))))</f>
        <v/>
      </c>
      <c r="O1069" s="104" t="str">
        <f>IF(Main[[#This Row],[Tech Start Date]]&lt;1/1/1990,"",IF(Main[[#This Row],[Class]]="C",WORKDAY(Main[[#This Row],[Tech Start Date]],23),IF(Main[[#This Row],[Class]]="B", WORKDAY(Main[[#This Row],[Tech Start Date]],15),IF(Main[[#This Row],[Class]]="A",WORKDAY(Main[[#This Row],[Tech Start Date]],5),""))))</f>
        <v/>
      </c>
      <c r="P1069" s="104" t="str">
        <f>IF(Main[[#This Row],[Tech Start Date]]&lt;1/1/1990,"",IF(Main[[#This Row],[Class]]="C",WORKDAY(Main[[#This Row],[Tech Start Date]],28),IF(Main[[#This Row],[Class]]="B", WORKDAY(Main[[#This Row],[Tech Start Date]],19),IF(Main[[#This Row],[Class]]="A",WORKDAY(Main[[#This Row],[Tech Start Date]],9),""))))</f>
        <v/>
      </c>
      <c r="Q1069" s="101"/>
      <c r="R1069" s="101"/>
      <c r="S1069" s="99" t="s">
        <v>6</v>
      </c>
      <c r="T1069" s="107" t="s">
        <v>4</v>
      </c>
      <c r="U1069" s="99" t="s">
        <v>29</v>
      </c>
      <c r="V1069" s="99" t="s">
        <v>1972</v>
      </c>
      <c r="W1069" s="99" t="s">
        <v>1964</v>
      </c>
    </row>
    <row r="1070" spans="1:23" ht="18.600000000000001" customHeight="1">
      <c r="A1070" s="123" t="str">
        <f>IF(priority(Main[[#This Row],[Comments]])&lt;&gt;0, priority(Main[[#This Row],[Comments]]),"")</f>
        <v/>
      </c>
      <c r="B1070" s="127" t="s">
        <v>2235</v>
      </c>
      <c r="C1070" s="99" t="s">
        <v>2228</v>
      </c>
      <c r="D1070" s="100" t="s">
        <v>2229</v>
      </c>
      <c r="E1070" s="101">
        <v>40781.399756944447</v>
      </c>
      <c r="F1070" s="101"/>
      <c r="G1070" s="102" t="str">
        <f>IF(stdProdLT(Main[[#This Row],[Comments]])=0.1,"N/A",IF(stdProdLT(Main[[#This Row],[Comments]])=0,"",stdProdLT(Main[[#This Row],[Comments]])))</f>
        <v/>
      </c>
      <c r="H1070" s="103" t="str">
        <f>IF(AND(Main[[#This Row],[In Stock Date]]&lt;&gt;"",Main[[#This Row],[Revised Due Date]]&lt;&gt;""),Main[[#This Row],[In Stock Date]]-Main[[#This Row],[Revised Due Date]],"")</f>
        <v/>
      </c>
      <c r="I1070" s="99" t="s">
        <v>4</v>
      </c>
      <c r="J1070" s="99" t="s">
        <v>28</v>
      </c>
      <c r="K1070" s="99" t="s">
        <v>1971</v>
      </c>
      <c r="L1070" s="101"/>
      <c r="M1070" s="104" t="str">
        <f>IF(Main[[#This Row],[Tech Start Date]]&lt;1/1/1990,"",IF(Main[[#This Row],[Class]]="C",WORKDAY(Main[[#This Row],[Tech Start Date]],9),IF(Main[[#This Row],[Class]]="B", WORKDAY(Main[[#This Row],[Tech Start Date]],6),IF(Main[[#This Row],[Class]]="A",WORKDAY(Main[[#This Row],[Tech Start Date]],2),""))))</f>
        <v/>
      </c>
      <c r="N1070" s="104" t="str">
        <f>IF(Main[[#This Row],[Tech Start Date]]&lt;1/1/1990,"",IF(Main[[#This Row],[Class]]="C",WORKDAY(Main[[#This Row],[Tech Start Date]],19),IF(Main[[#This Row],[Class]]="B", WORKDAY(Main[[#This Row],[Tech Start Date]],12),IF(Main[[#This Row],[Class]]="A",WORKDAY(Main[[#This Row],[Tech Start Date]],4),""))))</f>
        <v/>
      </c>
      <c r="O1070" s="104" t="str">
        <f>IF(Main[[#This Row],[Tech Start Date]]&lt;1/1/1990,"",IF(Main[[#This Row],[Class]]="C",WORKDAY(Main[[#This Row],[Tech Start Date]],23),IF(Main[[#This Row],[Class]]="B", WORKDAY(Main[[#This Row],[Tech Start Date]],15),IF(Main[[#This Row],[Class]]="A",WORKDAY(Main[[#This Row],[Tech Start Date]],5),""))))</f>
        <v/>
      </c>
      <c r="P1070" s="104" t="str">
        <f>IF(Main[[#This Row],[Tech Start Date]]&lt;1/1/1990,"",IF(Main[[#This Row],[Class]]="C",WORKDAY(Main[[#This Row],[Tech Start Date]],28),IF(Main[[#This Row],[Class]]="B", WORKDAY(Main[[#This Row],[Tech Start Date]],19),IF(Main[[#This Row],[Class]]="A",WORKDAY(Main[[#This Row],[Tech Start Date]],9),""))))</f>
        <v/>
      </c>
      <c r="Q1070" s="101">
        <v>40836</v>
      </c>
      <c r="R1070" s="101"/>
      <c r="S1070" s="99" t="s">
        <v>6</v>
      </c>
      <c r="T1070" s="107" t="s">
        <v>4</v>
      </c>
      <c r="U1070" s="99" t="s">
        <v>29</v>
      </c>
      <c r="V1070" s="99" t="s">
        <v>1965</v>
      </c>
      <c r="W1070" s="99" t="s">
        <v>1966</v>
      </c>
    </row>
    <row r="1071" spans="1:23" ht="18.600000000000001" customHeight="1">
      <c r="A1071" s="123" t="str">
        <f>IF(priority(Main[[#This Row],[Comments]])&lt;&gt;0, priority(Main[[#This Row],[Comments]]),"")</f>
        <v/>
      </c>
      <c r="B1071" s="127" t="s">
        <v>1348</v>
      </c>
      <c r="C1071" s="99" t="s">
        <v>4</v>
      </c>
      <c r="D1071" s="100" t="s">
        <v>2386</v>
      </c>
      <c r="E1071" s="101">
        <v>40627.285358796296</v>
      </c>
      <c r="F1071" s="101"/>
      <c r="G1071" s="102" t="str">
        <f>IF(stdProdLT(Main[[#This Row],[Comments]])=0.1,"N/A",IF(stdProdLT(Main[[#This Row],[Comments]])=0,"",stdProdLT(Main[[#This Row],[Comments]])))</f>
        <v/>
      </c>
      <c r="H1071" s="103" t="str">
        <f>IF(AND(Main[[#This Row],[In Stock Date]]&lt;&gt;"",Main[[#This Row],[Revised Due Date]]&lt;&gt;""),Main[[#This Row],[In Stock Date]]-Main[[#This Row],[Revised Due Date]],"")</f>
        <v/>
      </c>
      <c r="I1071" s="99" t="s">
        <v>568</v>
      </c>
      <c r="J1071" s="99" t="s">
        <v>21</v>
      </c>
      <c r="K1071" s="99" t="s">
        <v>1971</v>
      </c>
      <c r="L1071" s="101"/>
      <c r="M1071" s="104" t="str">
        <f>IF(Main[[#This Row],[Tech Start Date]]&lt;1/1/1990,"",IF(Main[[#This Row],[Class]]="C",WORKDAY(Main[[#This Row],[Tech Start Date]],9),IF(Main[[#This Row],[Class]]="B", WORKDAY(Main[[#This Row],[Tech Start Date]],6),IF(Main[[#This Row],[Class]]="A",WORKDAY(Main[[#This Row],[Tech Start Date]],2),""))))</f>
        <v/>
      </c>
      <c r="N1071" s="104" t="str">
        <f>IF(Main[[#This Row],[Tech Start Date]]&lt;1/1/1990,"",IF(Main[[#This Row],[Class]]="C",WORKDAY(Main[[#This Row],[Tech Start Date]],19),IF(Main[[#This Row],[Class]]="B", WORKDAY(Main[[#This Row],[Tech Start Date]],12),IF(Main[[#This Row],[Class]]="A",WORKDAY(Main[[#This Row],[Tech Start Date]],4),""))))</f>
        <v/>
      </c>
      <c r="O1071" s="104" t="str">
        <f>IF(Main[[#This Row],[Tech Start Date]]&lt;1/1/1990,"",IF(Main[[#This Row],[Class]]="C",WORKDAY(Main[[#This Row],[Tech Start Date]],23),IF(Main[[#This Row],[Class]]="B", WORKDAY(Main[[#This Row],[Tech Start Date]],15),IF(Main[[#This Row],[Class]]="A",WORKDAY(Main[[#This Row],[Tech Start Date]],5),""))))</f>
        <v/>
      </c>
      <c r="P1071" s="104" t="str">
        <f>IF(Main[[#This Row],[Tech Start Date]]&lt;1/1/1990,"",IF(Main[[#This Row],[Class]]="C",WORKDAY(Main[[#This Row],[Tech Start Date]],28),IF(Main[[#This Row],[Class]]="B", WORKDAY(Main[[#This Row],[Tech Start Date]],19),IF(Main[[#This Row],[Class]]="A",WORKDAY(Main[[#This Row],[Tech Start Date]],9),""))))</f>
        <v/>
      </c>
      <c r="Q1071" s="101">
        <v>40658</v>
      </c>
      <c r="R1071" s="101"/>
      <c r="S1071" s="99" t="s">
        <v>6</v>
      </c>
      <c r="T1071" s="107" t="s">
        <v>4</v>
      </c>
      <c r="U1071" s="99" t="s">
        <v>29</v>
      </c>
      <c r="V1071" s="99" t="s">
        <v>1962</v>
      </c>
      <c r="W1071" s="99" t="s">
        <v>1964</v>
      </c>
    </row>
    <row r="1072" spans="1:23" ht="18.600000000000001" customHeight="1">
      <c r="A1072" s="123" t="str">
        <f>IF(priority(Main[[#This Row],[Comments]])&lt;&gt;0, priority(Main[[#This Row],[Comments]]),"")</f>
        <v/>
      </c>
      <c r="B1072" s="127" t="s">
        <v>2590</v>
      </c>
      <c r="C1072" s="99" t="s">
        <v>4</v>
      </c>
      <c r="D1072" s="100" t="s">
        <v>2591</v>
      </c>
      <c r="E1072" s="101"/>
      <c r="F1072" s="101"/>
      <c r="G1072" s="102" t="str">
        <f>IF(stdProdLT(Main[[#This Row],[Comments]])=0.1,"N/A",IF(stdProdLT(Main[[#This Row],[Comments]])=0,"",stdProdLT(Main[[#This Row],[Comments]])))</f>
        <v/>
      </c>
      <c r="H1072" s="103" t="str">
        <f>IF(AND(Main[[#This Row],[In Stock Date]]&lt;&gt;"",Main[[#This Row],[Revised Due Date]]&lt;&gt;""),Main[[#This Row],[In Stock Date]]-Main[[#This Row],[Revised Due Date]],"")</f>
        <v/>
      </c>
      <c r="I1072" s="99" t="s">
        <v>4</v>
      </c>
      <c r="J1072" s="99" t="s">
        <v>4</v>
      </c>
      <c r="K1072" s="99" t="s">
        <v>4</v>
      </c>
      <c r="L1072" s="101"/>
      <c r="M1072" s="104" t="str">
        <f>IF(Main[[#This Row],[Tech Start Date]]&lt;1/1/1990,"",IF(Main[[#This Row],[Class]]="C",WORKDAY(Main[[#This Row],[Tech Start Date]],9),IF(Main[[#This Row],[Class]]="B", WORKDAY(Main[[#This Row],[Tech Start Date]],6),IF(Main[[#This Row],[Class]]="A",WORKDAY(Main[[#This Row],[Tech Start Date]],2),""))))</f>
        <v/>
      </c>
      <c r="N1072" s="104" t="str">
        <f>IF(Main[[#This Row],[Tech Start Date]]&lt;1/1/1990,"",IF(Main[[#This Row],[Class]]="C",WORKDAY(Main[[#This Row],[Tech Start Date]],19),IF(Main[[#This Row],[Class]]="B", WORKDAY(Main[[#This Row],[Tech Start Date]],12),IF(Main[[#This Row],[Class]]="A",WORKDAY(Main[[#This Row],[Tech Start Date]],4),""))))</f>
        <v/>
      </c>
      <c r="O1072" s="104" t="str">
        <f>IF(Main[[#This Row],[Tech Start Date]]&lt;1/1/1990,"",IF(Main[[#This Row],[Class]]="C",WORKDAY(Main[[#This Row],[Tech Start Date]],23),IF(Main[[#This Row],[Class]]="B", WORKDAY(Main[[#This Row],[Tech Start Date]],15),IF(Main[[#This Row],[Class]]="A",WORKDAY(Main[[#This Row],[Tech Start Date]],5),""))))</f>
        <v/>
      </c>
      <c r="P1072" s="104" t="str">
        <f>IF(Main[[#This Row],[Tech Start Date]]&lt;1/1/1990,"",IF(Main[[#This Row],[Class]]="C",WORKDAY(Main[[#This Row],[Tech Start Date]],28),IF(Main[[#This Row],[Class]]="B", WORKDAY(Main[[#This Row],[Tech Start Date]],19),IF(Main[[#This Row],[Class]]="A",WORKDAY(Main[[#This Row],[Tech Start Date]],9),""))))</f>
        <v/>
      </c>
      <c r="Q1072" s="101">
        <v>40877</v>
      </c>
      <c r="R1072" s="101"/>
      <c r="S1072" s="99" t="s">
        <v>6</v>
      </c>
      <c r="T1072" s="107" t="s">
        <v>4</v>
      </c>
      <c r="U1072" s="99" t="s">
        <v>14</v>
      </c>
      <c r="V1072" s="99" t="s">
        <v>1962</v>
      </c>
      <c r="W1072" s="99" t="s">
        <v>1966</v>
      </c>
    </row>
    <row r="1073" spans="1:23" ht="18.600000000000001" customHeight="1">
      <c r="A1073" s="123" t="str">
        <f>IF(priority(Main[[#This Row],[Comments]])&lt;&gt;0, priority(Main[[#This Row],[Comments]]),"")</f>
        <v/>
      </c>
      <c r="B1073" s="127" t="s">
        <v>2592</v>
      </c>
      <c r="C1073" s="99" t="s">
        <v>2456</v>
      </c>
      <c r="D1073" s="100" t="s">
        <v>2457</v>
      </c>
      <c r="E1073" s="101"/>
      <c r="F1073" s="101">
        <v>41008</v>
      </c>
      <c r="G1073" s="102" t="str">
        <f>IF(stdProdLT(Main[[#This Row],[Comments]])=0.1,"N/A",IF(stdProdLT(Main[[#This Row],[Comments]])=0,"",stdProdLT(Main[[#This Row],[Comments]])))</f>
        <v/>
      </c>
      <c r="H1073" s="103" t="str">
        <f>IF(AND(Main[[#This Row],[In Stock Date]]&lt;&gt;"",Main[[#This Row],[Revised Due Date]]&lt;&gt;""),Main[[#This Row],[In Stock Date]]-Main[[#This Row],[Revised Due Date]],"")</f>
        <v/>
      </c>
      <c r="I1073" s="99" t="s">
        <v>4</v>
      </c>
      <c r="J1073" s="99" t="s">
        <v>4</v>
      </c>
      <c r="K1073" s="99" t="s">
        <v>4</v>
      </c>
      <c r="L1073" s="101"/>
      <c r="M1073" s="104" t="str">
        <f>IF(Main[[#This Row],[Tech Start Date]]&lt;1/1/1990,"",IF(Main[[#This Row],[Class]]="C",WORKDAY(Main[[#This Row],[Tech Start Date]],9),IF(Main[[#This Row],[Class]]="B", WORKDAY(Main[[#This Row],[Tech Start Date]],6),IF(Main[[#This Row],[Class]]="A",WORKDAY(Main[[#This Row],[Tech Start Date]],2),""))))</f>
        <v/>
      </c>
      <c r="N1073" s="104" t="str">
        <f>IF(Main[[#This Row],[Tech Start Date]]&lt;1/1/1990,"",IF(Main[[#This Row],[Class]]="C",WORKDAY(Main[[#This Row],[Tech Start Date]],19),IF(Main[[#This Row],[Class]]="B", WORKDAY(Main[[#This Row],[Tech Start Date]],12),IF(Main[[#This Row],[Class]]="A",WORKDAY(Main[[#This Row],[Tech Start Date]],4),""))))</f>
        <v/>
      </c>
      <c r="O1073" s="104" t="str">
        <f>IF(Main[[#This Row],[Tech Start Date]]&lt;1/1/1990,"",IF(Main[[#This Row],[Class]]="C",WORKDAY(Main[[#This Row],[Tech Start Date]],23),IF(Main[[#This Row],[Class]]="B", WORKDAY(Main[[#This Row],[Tech Start Date]],15),IF(Main[[#This Row],[Class]]="A",WORKDAY(Main[[#This Row],[Tech Start Date]],5),""))))</f>
        <v/>
      </c>
      <c r="P1073" s="104" t="str">
        <f>IF(Main[[#This Row],[Tech Start Date]]&lt;1/1/1990,"",IF(Main[[#This Row],[Class]]="C",WORKDAY(Main[[#This Row],[Tech Start Date]],28),IF(Main[[#This Row],[Class]]="B", WORKDAY(Main[[#This Row],[Tech Start Date]],19),IF(Main[[#This Row],[Class]]="A",WORKDAY(Main[[#This Row],[Tech Start Date]],9),""))))</f>
        <v/>
      </c>
      <c r="Q1073" s="101">
        <v>40826</v>
      </c>
      <c r="R1073" s="101"/>
      <c r="S1073" s="99" t="s">
        <v>11</v>
      </c>
      <c r="T1073" s="107" t="s">
        <v>4</v>
      </c>
      <c r="U1073" s="99" t="s">
        <v>12</v>
      </c>
      <c r="V1073" s="99" t="s">
        <v>1965</v>
      </c>
      <c r="W1073" s="99" t="s">
        <v>1968</v>
      </c>
    </row>
    <row r="1074" spans="1:23" ht="18.600000000000001" customHeight="1">
      <c r="A1074" s="123" t="str">
        <f>IF(priority(Main[[#This Row],[Comments]])&lt;&gt;0, priority(Main[[#This Row],[Comments]]),"")</f>
        <v/>
      </c>
      <c r="B1074" s="127" t="s">
        <v>2127</v>
      </c>
      <c r="C1074" s="99" t="s">
        <v>4</v>
      </c>
      <c r="D1074" s="100" t="s">
        <v>2602</v>
      </c>
      <c r="E1074" s="101">
        <v>40772.422800925924</v>
      </c>
      <c r="F1074" s="101"/>
      <c r="G1074" s="102" t="str">
        <f>IF(stdProdLT(Main[[#This Row],[Comments]])=0.1,"N/A",IF(stdProdLT(Main[[#This Row],[Comments]])=0,"",stdProdLT(Main[[#This Row],[Comments]])))</f>
        <v/>
      </c>
      <c r="H1074" s="103" t="str">
        <f>IF(AND(Main[[#This Row],[In Stock Date]]&lt;&gt;"",Main[[#This Row],[Revised Due Date]]&lt;&gt;""),Main[[#This Row],[In Stock Date]]-Main[[#This Row],[Revised Due Date]],"")</f>
        <v/>
      </c>
      <c r="I1074" s="99" t="s">
        <v>929</v>
      </c>
      <c r="J1074" s="99" t="s">
        <v>52</v>
      </c>
      <c r="K1074" s="99" t="s">
        <v>4</v>
      </c>
      <c r="L1074" s="101"/>
      <c r="M1074" s="104" t="str">
        <f>IF(Main[[#This Row],[Tech Start Date]]&lt;1/1/1990,"",IF(Main[[#This Row],[Class]]="C",WORKDAY(Main[[#This Row],[Tech Start Date]],9),IF(Main[[#This Row],[Class]]="B", WORKDAY(Main[[#This Row],[Tech Start Date]],6),IF(Main[[#This Row],[Class]]="A",WORKDAY(Main[[#This Row],[Tech Start Date]],2),""))))</f>
        <v/>
      </c>
      <c r="N1074" s="104" t="str">
        <f>IF(Main[[#This Row],[Tech Start Date]]&lt;1/1/1990,"",IF(Main[[#This Row],[Class]]="C",WORKDAY(Main[[#This Row],[Tech Start Date]],19),IF(Main[[#This Row],[Class]]="B", WORKDAY(Main[[#This Row],[Tech Start Date]],12),IF(Main[[#This Row],[Class]]="A",WORKDAY(Main[[#This Row],[Tech Start Date]],4),""))))</f>
        <v/>
      </c>
      <c r="O1074" s="104" t="str">
        <f>IF(Main[[#This Row],[Tech Start Date]]&lt;1/1/1990,"",IF(Main[[#This Row],[Class]]="C",WORKDAY(Main[[#This Row],[Tech Start Date]],23),IF(Main[[#This Row],[Class]]="B", WORKDAY(Main[[#This Row],[Tech Start Date]],15),IF(Main[[#This Row],[Class]]="A",WORKDAY(Main[[#This Row],[Tech Start Date]],5),""))))</f>
        <v/>
      </c>
      <c r="P1074" s="104" t="str">
        <f>IF(Main[[#This Row],[Tech Start Date]]&lt;1/1/1990,"",IF(Main[[#This Row],[Class]]="C",WORKDAY(Main[[#This Row],[Tech Start Date]],28),IF(Main[[#This Row],[Class]]="B", WORKDAY(Main[[#This Row],[Tech Start Date]],19),IF(Main[[#This Row],[Class]]="A",WORKDAY(Main[[#This Row],[Tech Start Date]],9),""))))</f>
        <v/>
      </c>
      <c r="Q1074" s="101"/>
      <c r="R1074" s="101"/>
      <c r="S1074" s="99" t="s">
        <v>6</v>
      </c>
      <c r="T1074" s="107" t="s">
        <v>4</v>
      </c>
      <c r="U1074" s="99" t="s">
        <v>29</v>
      </c>
      <c r="V1074" s="99" t="s">
        <v>1962</v>
      </c>
      <c r="W1074" s="99" t="s">
        <v>1966</v>
      </c>
    </row>
    <row r="1075" spans="1:23" ht="18.600000000000001" customHeight="1">
      <c r="A1075" s="123" t="str">
        <f>IF(priority(Main[[#This Row],[Comments]])&lt;&gt;0, priority(Main[[#This Row],[Comments]]),"")</f>
        <v/>
      </c>
      <c r="B1075" s="127" t="s">
        <v>2603</v>
      </c>
      <c r="C1075" s="99" t="s">
        <v>4</v>
      </c>
      <c r="D1075" s="100" t="s">
        <v>2604</v>
      </c>
      <c r="E1075" s="101">
        <v>40834.417719907404</v>
      </c>
      <c r="F1075" s="101"/>
      <c r="G1075" s="102" t="str">
        <f>IF(stdProdLT(Main[[#This Row],[Comments]])=0.1,"N/A",IF(stdProdLT(Main[[#This Row],[Comments]])=0,"",stdProdLT(Main[[#This Row],[Comments]])))</f>
        <v/>
      </c>
      <c r="H1075" s="103" t="str">
        <f>IF(AND(Main[[#This Row],[In Stock Date]]&lt;&gt;"",Main[[#This Row],[Revised Due Date]]&lt;&gt;""),Main[[#This Row],[In Stock Date]]-Main[[#This Row],[Revised Due Date]],"")</f>
        <v/>
      </c>
      <c r="I1075" s="99" t="s">
        <v>4</v>
      </c>
      <c r="J1075" s="99" t="s">
        <v>4</v>
      </c>
      <c r="K1075" s="99" t="s">
        <v>4</v>
      </c>
      <c r="L1075" s="101"/>
      <c r="M1075" s="104" t="str">
        <f>IF(Main[[#This Row],[Tech Start Date]]&lt;1/1/1990,"",IF(Main[[#This Row],[Class]]="C",WORKDAY(Main[[#This Row],[Tech Start Date]],9),IF(Main[[#This Row],[Class]]="B", WORKDAY(Main[[#This Row],[Tech Start Date]],6),IF(Main[[#This Row],[Class]]="A",WORKDAY(Main[[#This Row],[Tech Start Date]],2),""))))</f>
        <v/>
      </c>
      <c r="N1075" s="104" t="str">
        <f>IF(Main[[#This Row],[Tech Start Date]]&lt;1/1/1990,"",IF(Main[[#This Row],[Class]]="C",WORKDAY(Main[[#This Row],[Tech Start Date]],19),IF(Main[[#This Row],[Class]]="B", WORKDAY(Main[[#This Row],[Tech Start Date]],12),IF(Main[[#This Row],[Class]]="A",WORKDAY(Main[[#This Row],[Tech Start Date]],4),""))))</f>
        <v/>
      </c>
      <c r="O1075" s="104" t="str">
        <f>IF(Main[[#This Row],[Tech Start Date]]&lt;1/1/1990,"",IF(Main[[#This Row],[Class]]="C",WORKDAY(Main[[#This Row],[Tech Start Date]],23),IF(Main[[#This Row],[Class]]="B", WORKDAY(Main[[#This Row],[Tech Start Date]],15),IF(Main[[#This Row],[Class]]="A",WORKDAY(Main[[#This Row],[Tech Start Date]],5),""))))</f>
        <v/>
      </c>
      <c r="P1075" s="104" t="str">
        <f>IF(Main[[#This Row],[Tech Start Date]]&lt;1/1/1990,"",IF(Main[[#This Row],[Class]]="C",WORKDAY(Main[[#This Row],[Tech Start Date]],28),IF(Main[[#This Row],[Class]]="B", WORKDAY(Main[[#This Row],[Tech Start Date]],19),IF(Main[[#This Row],[Class]]="A",WORKDAY(Main[[#This Row],[Tech Start Date]],9),""))))</f>
        <v/>
      </c>
      <c r="Q1075" s="101"/>
      <c r="R1075" s="101"/>
      <c r="S1075" s="99" t="s">
        <v>6</v>
      </c>
      <c r="T1075" s="107" t="s">
        <v>4</v>
      </c>
      <c r="U1075" s="99" t="s">
        <v>29</v>
      </c>
      <c r="V1075" s="99" t="s">
        <v>1965</v>
      </c>
      <c r="W1075" s="99" t="s">
        <v>1966</v>
      </c>
    </row>
    <row r="1076" spans="1:23" ht="18.600000000000001" customHeight="1">
      <c r="A1076" s="123" t="str">
        <f>IF(priority(Main[[#This Row],[Comments]])&lt;&gt;0, priority(Main[[#This Row],[Comments]]),"")</f>
        <v/>
      </c>
      <c r="B1076" s="127" t="s">
        <v>2316</v>
      </c>
      <c r="C1076" s="99" t="s">
        <v>4</v>
      </c>
      <c r="D1076" s="100" t="s">
        <v>2605</v>
      </c>
      <c r="E1076" s="101">
        <v>40798.432673611111</v>
      </c>
      <c r="F1076" s="101"/>
      <c r="G1076" s="102" t="str">
        <f>IF(stdProdLT(Main[[#This Row],[Comments]])=0.1,"N/A",IF(stdProdLT(Main[[#This Row],[Comments]])=0,"",stdProdLT(Main[[#This Row],[Comments]])))</f>
        <v/>
      </c>
      <c r="H1076" s="103" t="str">
        <f>IF(AND(Main[[#This Row],[In Stock Date]]&lt;&gt;"",Main[[#This Row],[Revised Due Date]]&lt;&gt;""),Main[[#This Row],[In Stock Date]]-Main[[#This Row],[Revised Due Date]],"")</f>
        <v/>
      </c>
      <c r="I1076" s="99" t="s">
        <v>929</v>
      </c>
      <c r="J1076" s="99" t="s">
        <v>52</v>
      </c>
      <c r="K1076" s="108" t="s">
        <v>4</v>
      </c>
      <c r="L1076" s="101"/>
      <c r="M1076" s="104" t="str">
        <f>IF(Main[[#This Row],[Tech Start Date]]&lt;1/1/1990,"",IF(Main[[#This Row],[Class]]="C",WORKDAY(Main[[#This Row],[Tech Start Date]],9),IF(Main[[#This Row],[Class]]="B", WORKDAY(Main[[#This Row],[Tech Start Date]],6),IF(Main[[#This Row],[Class]]="A",WORKDAY(Main[[#This Row],[Tech Start Date]],2),""))))</f>
        <v/>
      </c>
      <c r="N1076" s="104" t="str">
        <f>IF(Main[[#This Row],[Tech Start Date]]&lt;1/1/1990,"",IF(Main[[#This Row],[Class]]="C",WORKDAY(Main[[#This Row],[Tech Start Date]],19),IF(Main[[#This Row],[Class]]="B", WORKDAY(Main[[#This Row],[Tech Start Date]],12),IF(Main[[#This Row],[Class]]="A",WORKDAY(Main[[#This Row],[Tech Start Date]],4),""))))</f>
        <v/>
      </c>
      <c r="O1076" s="104" t="str">
        <f>IF(Main[[#This Row],[Tech Start Date]]&lt;1/1/1990,"",IF(Main[[#This Row],[Class]]="C",WORKDAY(Main[[#This Row],[Tech Start Date]],23),IF(Main[[#This Row],[Class]]="B", WORKDAY(Main[[#This Row],[Tech Start Date]],15),IF(Main[[#This Row],[Class]]="A",WORKDAY(Main[[#This Row],[Tech Start Date]],5),""))))</f>
        <v/>
      </c>
      <c r="P1076" s="104" t="str">
        <f>IF(Main[[#This Row],[Tech Start Date]]&lt;1/1/1990,"",IF(Main[[#This Row],[Class]]="C",WORKDAY(Main[[#This Row],[Tech Start Date]],28),IF(Main[[#This Row],[Class]]="B", WORKDAY(Main[[#This Row],[Tech Start Date]],19),IF(Main[[#This Row],[Class]]="A",WORKDAY(Main[[#This Row],[Tech Start Date]],9),""))))</f>
        <v/>
      </c>
      <c r="Q1076" s="101"/>
      <c r="R1076" s="101"/>
      <c r="S1076" s="99" t="s">
        <v>6</v>
      </c>
      <c r="T1076" s="107" t="s">
        <v>4</v>
      </c>
      <c r="U1076" s="99" t="s">
        <v>29</v>
      </c>
      <c r="V1076" s="99" t="s">
        <v>1962</v>
      </c>
      <c r="W1076" s="99" t="s">
        <v>1966</v>
      </c>
    </row>
    <row r="1077" spans="1:23" ht="18.600000000000001" customHeight="1">
      <c r="A1077" s="123" t="str">
        <f>IF(priority(Main[[#This Row],[Comments]])&lt;&gt;0, priority(Main[[#This Row],[Comments]]),"")</f>
        <v/>
      </c>
      <c r="B1077" s="127" t="s">
        <v>2606</v>
      </c>
      <c r="C1077" s="99" t="s">
        <v>4</v>
      </c>
      <c r="D1077" s="100" t="s">
        <v>2607</v>
      </c>
      <c r="E1077" s="101">
        <v>40841.609861111108</v>
      </c>
      <c r="F1077" s="101"/>
      <c r="G1077" s="102" t="str">
        <f>IF(stdProdLT(Main[[#This Row],[Comments]])=0.1,"N/A",IF(stdProdLT(Main[[#This Row],[Comments]])=0,"",stdProdLT(Main[[#This Row],[Comments]])))</f>
        <v/>
      </c>
      <c r="H1077" s="103" t="str">
        <f>IF(AND(Main[[#This Row],[In Stock Date]]&lt;&gt;"",Main[[#This Row],[Revised Due Date]]&lt;&gt;""),Main[[#This Row],[In Stock Date]]-Main[[#This Row],[Revised Due Date]],"")</f>
        <v/>
      </c>
      <c r="I1077" s="99" t="s">
        <v>4</v>
      </c>
      <c r="J1077" s="99" t="s">
        <v>4</v>
      </c>
      <c r="K1077" s="99" t="s">
        <v>4</v>
      </c>
      <c r="L1077" s="101"/>
      <c r="M1077" s="104" t="str">
        <f>IF(Main[[#This Row],[Tech Start Date]]&lt;1/1/1990,"",IF(Main[[#This Row],[Class]]="C",WORKDAY(Main[[#This Row],[Tech Start Date]],9),IF(Main[[#This Row],[Class]]="B", WORKDAY(Main[[#This Row],[Tech Start Date]],6),IF(Main[[#This Row],[Class]]="A",WORKDAY(Main[[#This Row],[Tech Start Date]],2),""))))</f>
        <v/>
      </c>
      <c r="N1077" s="104" t="str">
        <f>IF(Main[[#This Row],[Tech Start Date]]&lt;1/1/1990,"",IF(Main[[#This Row],[Class]]="C",WORKDAY(Main[[#This Row],[Tech Start Date]],19),IF(Main[[#This Row],[Class]]="B", WORKDAY(Main[[#This Row],[Tech Start Date]],12),IF(Main[[#This Row],[Class]]="A",WORKDAY(Main[[#This Row],[Tech Start Date]],4),""))))</f>
        <v/>
      </c>
      <c r="O1077" s="104" t="str">
        <f>IF(Main[[#This Row],[Tech Start Date]]&lt;1/1/1990,"",IF(Main[[#This Row],[Class]]="C",WORKDAY(Main[[#This Row],[Tech Start Date]],23),IF(Main[[#This Row],[Class]]="B", WORKDAY(Main[[#This Row],[Tech Start Date]],15),IF(Main[[#This Row],[Class]]="A",WORKDAY(Main[[#This Row],[Tech Start Date]],5),""))))</f>
        <v/>
      </c>
      <c r="P1077" s="104" t="str">
        <f>IF(Main[[#This Row],[Tech Start Date]]&lt;1/1/1990,"",IF(Main[[#This Row],[Class]]="C",WORKDAY(Main[[#This Row],[Tech Start Date]],28),IF(Main[[#This Row],[Class]]="B", WORKDAY(Main[[#This Row],[Tech Start Date]],19),IF(Main[[#This Row],[Class]]="A",WORKDAY(Main[[#This Row],[Tech Start Date]],9),""))))</f>
        <v/>
      </c>
      <c r="Q1077" s="101"/>
      <c r="R1077" s="101"/>
      <c r="S1077" s="99" t="s">
        <v>6</v>
      </c>
      <c r="T1077" s="107" t="s">
        <v>4</v>
      </c>
      <c r="U1077" s="99" t="s">
        <v>7</v>
      </c>
      <c r="V1077" s="99" t="s">
        <v>1962</v>
      </c>
      <c r="W1077" s="99" t="s">
        <v>4</v>
      </c>
    </row>
    <row r="1078" spans="1:23" ht="18.600000000000001" customHeight="1">
      <c r="A1078" s="123" t="str">
        <f>IF(priority(Main[[#This Row],[Comments]])&lt;&gt;0, priority(Main[[#This Row],[Comments]]),"")</f>
        <v/>
      </c>
      <c r="B1078" s="127" t="s">
        <v>1939</v>
      </c>
      <c r="C1078" s="99" t="s">
        <v>4</v>
      </c>
      <c r="D1078" s="100" t="s">
        <v>970</v>
      </c>
      <c r="E1078" s="101">
        <v>40112.566631944443</v>
      </c>
      <c r="F1078" s="101"/>
      <c r="G1078" s="102" t="str">
        <f>IF(stdProdLT(Main[[#This Row],[Comments]])=0.1,"N/A",IF(stdProdLT(Main[[#This Row],[Comments]])=0,"",stdProdLT(Main[[#This Row],[Comments]])))</f>
        <v/>
      </c>
      <c r="H1078" s="103" t="str">
        <f>IF(AND(Main[[#This Row],[In Stock Date]]&lt;&gt;"",Main[[#This Row],[Revised Due Date]]&lt;&gt;""),Main[[#This Row],[In Stock Date]]-Main[[#This Row],[Revised Due Date]],"")</f>
        <v/>
      </c>
      <c r="I1078" s="99" t="s">
        <v>915</v>
      </c>
      <c r="J1078" s="99" t="s">
        <v>4</v>
      </c>
      <c r="K1078" s="99" t="s">
        <v>1974</v>
      </c>
      <c r="L1078" s="101"/>
      <c r="M1078" s="104" t="str">
        <f>IF(Main[[#This Row],[Tech Start Date]]&lt;1/1/1990,"",IF(Main[[#This Row],[Class]]="C",WORKDAY(Main[[#This Row],[Tech Start Date]],9),IF(Main[[#This Row],[Class]]="B", WORKDAY(Main[[#This Row],[Tech Start Date]],6),IF(Main[[#This Row],[Class]]="A",WORKDAY(Main[[#This Row],[Tech Start Date]],2),""))))</f>
        <v/>
      </c>
      <c r="N1078" s="104" t="str">
        <f>IF(Main[[#This Row],[Tech Start Date]]&lt;1/1/1990,"",IF(Main[[#This Row],[Class]]="C",WORKDAY(Main[[#This Row],[Tech Start Date]],19),IF(Main[[#This Row],[Class]]="B", WORKDAY(Main[[#This Row],[Tech Start Date]],12),IF(Main[[#This Row],[Class]]="A",WORKDAY(Main[[#This Row],[Tech Start Date]],4),""))))</f>
        <v/>
      </c>
      <c r="O1078" s="104" t="str">
        <f>IF(Main[[#This Row],[Tech Start Date]]&lt;1/1/1990,"",IF(Main[[#This Row],[Class]]="C",WORKDAY(Main[[#This Row],[Tech Start Date]],23),IF(Main[[#This Row],[Class]]="B", WORKDAY(Main[[#This Row],[Tech Start Date]],15),IF(Main[[#This Row],[Class]]="A",WORKDAY(Main[[#This Row],[Tech Start Date]],5),""))))</f>
        <v/>
      </c>
      <c r="P1078" s="104" t="str">
        <f>IF(Main[[#This Row],[Tech Start Date]]&lt;1/1/1990,"",IF(Main[[#This Row],[Class]]="C",WORKDAY(Main[[#This Row],[Tech Start Date]],28),IF(Main[[#This Row],[Class]]="B", WORKDAY(Main[[#This Row],[Tech Start Date]],19),IF(Main[[#This Row],[Class]]="A",WORKDAY(Main[[#This Row],[Tech Start Date]],9),""))))</f>
        <v/>
      </c>
      <c r="Q1078" s="101">
        <v>40564</v>
      </c>
      <c r="R1078" s="101">
        <v>41264</v>
      </c>
      <c r="S1078" s="99" t="s">
        <v>17</v>
      </c>
      <c r="T1078" s="107" t="s">
        <v>4</v>
      </c>
      <c r="U1078" s="99" t="s">
        <v>29</v>
      </c>
      <c r="V1078" s="99" t="s">
        <v>1965</v>
      </c>
      <c r="W1078" s="99" t="s">
        <v>1967</v>
      </c>
    </row>
    <row r="1079" spans="1:23" ht="18.600000000000001" customHeight="1">
      <c r="A1079" s="123" t="str">
        <f>IF(priority(Main[[#This Row],[Comments]])&lt;&gt;0, priority(Main[[#This Row],[Comments]]),"")</f>
        <v/>
      </c>
      <c r="B1079" s="127" t="s">
        <v>1675</v>
      </c>
      <c r="C1079" s="99" t="s">
        <v>4</v>
      </c>
      <c r="D1079" s="100" t="s">
        <v>718</v>
      </c>
      <c r="E1079" s="101">
        <v>40634.328217592592</v>
      </c>
      <c r="F1079" s="101"/>
      <c r="G1079" s="102" t="str">
        <f>IF(stdProdLT(Main[[#This Row],[Comments]])=0.1,"N/A",IF(stdProdLT(Main[[#This Row],[Comments]])=0,"",stdProdLT(Main[[#This Row],[Comments]])))</f>
        <v/>
      </c>
      <c r="H1079" s="103" t="str">
        <f>IF(AND(Main[[#This Row],[In Stock Date]]&lt;&gt;"",Main[[#This Row],[Revised Due Date]]&lt;&gt;""),Main[[#This Row],[In Stock Date]]-Main[[#This Row],[Revised Due Date]],"")</f>
        <v/>
      </c>
      <c r="I1079" s="99" t="s">
        <v>929</v>
      </c>
      <c r="J1079" s="99" t="s">
        <v>4</v>
      </c>
      <c r="K1079" s="99" t="s">
        <v>4</v>
      </c>
      <c r="L1079" s="101"/>
      <c r="M1079" s="104" t="str">
        <f>IF(Main[[#This Row],[Tech Start Date]]&lt;1/1/1990,"",IF(Main[[#This Row],[Class]]="C",WORKDAY(Main[[#This Row],[Tech Start Date]],9),IF(Main[[#This Row],[Class]]="B", WORKDAY(Main[[#This Row],[Tech Start Date]],6),IF(Main[[#This Row],[Class]]="A",WORKDAY(Main[[#This Row],[Tech Start Date]],2),""))))</f>
        <v/>
      </c>
      <c r="N1079" s="104" t="str">
        <f>IF(Main[[#This Row],[Tech Start Date]]&lt;1/1/1990,"",IF(Main[[#This Row],[Class]]="C",WORKDAY(Main[[#This Row],[Tech Start Date]],19),IF(Main[[#This Row],[Class]]="B", WORKDAY(Main[[#This Row],[Tech Start Date]],12),IF(Main[[#This Row],[Class]]="A",WORKDAY(Main[[#This Row],[Tech Start Date]],4),""))))</f>
        <v/>
      </c>
      <c r="O1079" s="104" t="str">
        <f>IF(Main[[#This Row],[Tech Start Date]]&lt;1/1/1990,"",IF(Main[[#This Row],[Class]]="C",WORKDAY(Main[[#This Row],[Tech Start Date]],23),IF(Main[[#This Row],[Class]]="B", WORKDAY(Main[[#This Row],[Tech Start Date]],15),IF(Main[[#This Row],[Class]]="A",WORKDAY(Main[[#This Row],[Tech Start Date]],5),""))))</f>
        <v/>
      </c>
      <c r="P1079" s="104" t="str">
        <f>IF(Main[[#This Row],[Tech Start Date]]&lt;1/1/1990,"",IF(Main[[#This Row],[Class]]="C",WORKDAY(Main[[#This Row],[Tech Start Date]],28),IF(Main[[#This Row],[Class]]="B", WORKDAY(Main[[#This Row],[Tech Start Date]],19),IF(Main[[#This Row],[Class]]="A",WORKDAY(Main[[#This Row],[Tech Start Date]],9),""))))</f>
        <v/>
      </c>
      <c r="Q1079" s="101"/>
      <c r="R1079" s="101"/>
      <c r="S1079" s="99" t="s">
        <v>6</v>
      </c>
      <c r="T1079" s="107" t="s">
        <v>4</v>
      </c>
      <c r="U1079" s="99" t="s">
        <v>7</v>
      </c>
      <c r="V1079" s="99" t="s">
        <v>1962</v>
      </c>
      <c r="W1079" s="99" t="s">
        <v>1966</v>
      </c>
    </row>
    <row r="1080" spans="1:23" ht="18.600000000000001" customHeight="1">
      <c r="A1080" s="123" t="str">
        <f>IF(priority(Main[[#This Row],[Comments]])&lt;&gt;0, priority(Main[[#This Row],[Comments]]),"")</f>
        <v/>
      </c>
      <c r="B1080" s="127" t="s">
        <v>1877</v>
      </c>
      <c r="C1080" s="99" t="s">
        <v>4</v>
      </c>
      <c r="D1080" s="100" t="s">
        <v>906</v>
      </c>
      <c r="E1080" s="101">
        <v>40351.730219907404</v>
      </c>
      <c r="F1080" s="101"/>
      <c r="G1080" s="102" t="str">
        <f>IF(stdProdLT(Main[[#This Row],[Comments]])=0.1,"N/A",IF(stdProdLT(Main[[#This Row],[Comments]])=0,"",stdProdLT(Main[[#This Row],[Comments]])))</f>
        <v/>
      </c>
      <c r="H1080" s="103" t="str">
        <f>IF(AND(Main[[#This Row],[In Stock Date]]&lt;&gt;"",Main[[#This Row],[Revised Due Date]]&lt;&gt;""),Main[[#This Row],[In Stock Date]]-Main[[#This Row],[Revised Due Date]],"")</f>
        <v/>
      </c>
      <c r="I1080" s="99" t="s">
        <v>2112</v>
      </c>
      <c r="J1080" s="99" t="s">
        <v>28</v>
      </c>
      <c r="K1080" s="99" t="s">
        <v>1974</v>
      </c>
      <c r="L1080" s="101"/>
      <c r="M1080" s="104" t="str">
        <f>IF(Main[[#This Row],[Tech Start Date]]&lt;1/1/1990,"",IF(Main[[#This Row],[Class]]="C",WORKDAY(Main[[#This Row],[Tech Start Date]],9),IF(Main[[#This Row],[Class]]="B", WORKDAY(Main[[#This Row],[Tech Start Date]],6),IF(Main[[#This Row],[Class]]="A",WORKDAY(Main[[#This Row],[Tech Start Date]],2),""))))</f>
        <v/>
      </c>
      <c r="N1080" s="104" t="str">
        <f>IF(Main[[#This Row],[Tech Start Date]]&lt;1/1/1990,"",IF(Main[[#This Row],[Class]]="C",WORKDAY(Main[[#This Row],[Tech Start Date]],19),IF(Main[[#This Row],[Class]]="B", WORKDAY(Main[[#This Row],[Tech Start Date]],12),IF(Main[[#This Row],[Class]]="A",WORKDAY(Main[[#This Row],[Tech Start Date]],4),""))))</f>
        <v/>
      </c>
      <c r="O1080" s="104" t="str">
        <f>IF(Main[[#This Row],[Tech Start Date]]&lt;1/1/1990,"",IF(Main[[#This Row],[Class]]="C",WORKDAY(Main[[#This Row],[Tech Start Date]],23),IF(Main[[#This Row],[Class]]="B", WORKDAY(Main[[#This Row],[Tech Start Date]],15),IF(Main[[#This Row],[Class]]="A",WORKDAY(Main[[#This Row],[Tech Start Date]],5),""))))</f>
        <v/>
      </c>
      <c r="P1080" s="104" t="str">
        <f>IF(Main[[#This Row],[Tech Start Date]]&lt;1/1/1990,"",IF(Main[[#This Row],[Class]]="C",WORKDAY(Main[[#This Row],[Tech Start Date]],28),IF(Main[[#This Row],[Class]]="B", WORKDAY(Main[[#This Row],[Tech Start Date]],19),IF(Main[[#This Row],[Class]]="A",WORKDAY(Main[[#This Row],[Tech Start Date]],9),""))))</f>
        <v/>
      </c>
      <c r="Q1080" s="101">
        <v>40906</v>
      </c>
      <c r="R1080" s="101">
        <v>40436</v>
      </c>
      <c r="S1080" s="99" t="s">
        <v>17</v>
      </c>
      <c r="T1080" s="107" t="s">
        <v>4</v>
      </c>
      <c r="U1080" s="99" t="s">
        <v>29</v>
      </c>
      <c r="V1080" s="99" t="s">
        <v>1963</v>
      </c>
      <c r="W1080" s="99" t="s">
        <v>1967</v>
      </c>
    </row>
    <row r="1081" spans="1:23" ht="18.600000000000001" customHeight="1">
      <c r="A1081" s="123" t="str">
        <f>IF(priority(Main[[#This Row],[Comments]])&lt;&gt;0, priority(Main[[#This Row],[Comments]]),"")</f>
        <v/>
      </c>
      <c r="B1081" s="127" t="s">
        <v>1586</v>
      </c>
      <c r="C1081" s="99" t="s">
        <v>4</v>
      </c>
      <c r="D1081" s="100" t="s">
        <v>2608</v>
      </c>
      <c r="E1081" s="101">
        <v>40718.447500000002</v>
      </c>
      <c r="F1081" s="101"/>
      <c r="G1081" s="102" t="str">
        <f>IF(stdProdLT(Main[[#This Row],[Comments]])=0.1,"N/A",IF(stdProdLT(Main[[#This Row],[Comments]])=0,"",stdProdLT(Main[[#This Row],[Comments]])))</f>
        <v/>
      </c>
      <c r="H1081" s="103" t="str">
        <f>IF(AND(Main[[#This Row],[In Stock Date]]&lt;&gt;"",Main[[#This Row],[Revised Due Date]]&lt;&gt;""),Main[[#This Row],[In Stock Date]]-Main[[#This Row],[Revised Due Date]],"")</f>
        <v/>
      </c>
      <c r="I1081" s="99" t="s">
        <v>242</v>
      </c>
      <c r="J1081" s="99" t="s">
        <v>28</v>
      </c>
      <c r="K1081" s="108" t="s">
        <v>1971</v>
      </c>
      <c r="L1081" s="101"/>
      <c r="M1081" s="104" t="str">
        <f>IF(Main[[#This Row],[Tech Start Date]]&lt;1/1/1990,"",IF(Main[[#This Row],[Class]]="C",WORKDAY(Main[[#This Row],[Tech Start Date]],9),IF(Main[[#This Row],[Class]]="B", WORKDAY(Main[[#This Row],[Tech Start Date]],6),IF(Main[[#This Row],[Class]]="A",WORKDAY(Main[[#This Row],[Tech Start Date]],2),""))))</f>
        <v/>
      </c>
      <c r="N1081" s="104" t="str">
        <f>IF(Main[[#This Row],[Tech Start Date]]&lt;1/1/1990,"",IF(Main[[#This Row],[Class]]="C",WORKDAY(Main[[#This Row],[Tech Start Date]],19),IF(Main[[#This Row],[Class]]="B", WORKDAY(Main[[#This Row],[Tech Start Date]],12),IF(Main[[#This Row],[Class]]="A",WORKDAY(Main[[#This Row],[Tech Start Date]],4),""))))</f>
        <v/>
      </c>
      <c r="O1081" s="104" t="str">
        <f>IF(Main[[#This Row],[Tech Start Date]]&lt;1/1/1990,"",IF(Main[[#This Row],[Class]]="C",WORKDAY(Main[[#This Row],[Tech Start Date]],23),IF(Main[[#This Row],[Class]]="B", WORKDAY(Main[[#This Row],[Tech Start Date]],15),IF(Main[[#This Row],[Class]]="A",WORKDAY(Main[[#This Row],[Tech Start Date]],5),""))))</f>
        <v/>
      </c>
      <c r="P1081" s="104" t="str">
        <f>IF(Main[[#This Row],[Tech Start Date]]&lt;1/1/1990,"",IF(Main[[#This Row],[Class]]="C",WORKDAY(Main[[#This Row],[Tech Start Date]],28),IF(Main[[#This Row],[Class]]="B", WORKDAY(Main[[#This Row],[Tech Start Date]],19),IF(Main[[#This Row],[Class]]="A",WORKDAY(Main[[#This Row],[Tech Start Date]],9),""))))</f>
        <v/>
      </c>
      <c r="Q1081" s="101">
        <v>40786</v>
      </c>
      <c r="R1081" s="101"/>
      <c r="S1081" s="99" t="s">
        <v>6</v>
      </c>
      <c r="T1081" s="107" t="s">
        <v>4</v>
      </c>
      <c r="U1081" s="99" t="s">
        <v>29</v>
      </c>
      <c r="V1081" s="99" t="s">
        <v>1965</v>
      </c>
      <c r="W1081" s="99" t="s">
        <v>1966</v>
      </c>
    </row>
    <row r="1082" spans="1:23" ht="18.600000000000001" customHeight="1">
      <c r="A1082" s="123" t="str">
        <f>IF(priority(Main[[#This Row],[Comments]])&lt;&gt;0, priority(Main[[#This Row],[Comments]]),"")</f>
        <v/>
      </c>
      <c r="B1082" s="127" t="s">
        <v>2369</v>
      </c>
      <c r="C1082" s="99" t="s">
        <v>67</v>
      </c>
      <c r="D1082" s="100" t="s">
        <v>2365</v>
      </c>
      <c r="E1082" s="101">
        <v>40813.66920138889</v>
      </c>
      <c r="F1082" s="101">
        <v>41075</v>
      </c>
      <c r="G1082" s="102" t="str">
        <f>IF(stdProdLT(Main[[#This Row],[Comments]])=0.1,"N/A",IF(stdProdLT(Main[[#This Row],[Comments]])=0,"",stdProdLT(Main[[#This Row],[Comments]])))</f>
        <v/>
      </c>
      <c r="H1082" s="103" t="str">
        <f>IF(AND(Main[[#This Row],[In Stock Date]]&lt;&gt;"",Main[[#This Row],[Revised Due Date]]&lt;&gt;""),Main[[#This Row],[In Stock Date]]-Main[[#This Row],[Revised Due Date]],"")</f>
        <v/>
      </c>
      <c r="I1082" s="99" t="s">
        <v>242</v>
      </c>
      <c r="J1082" s="99" t="s">
        <v>28</v>
      </c>
      <c r="K1082" s="99" t="s">
        <v>1974</v>
      </c>
      <c r="L1082" s="101"/>
      <c r="M1082" s="104" t="str">
        <f>IF(Main[[#This Row],[Tech Start Date]]&lt;1/1/1990,"",IF(Main[[#This Row],[Class]]="C",WORKDAY(Main[[#This Row],[Tech Start Date]],9),IF(Main[[#This Row],[Class]]="B", WORKDAY(Main[[#This Row],[Tech Start Date]],6),IF(Main[[#This Row],[Class]]="A",WORKDAY(Main[[#This Row],[Tech Start Date]],2),""))))</f>
        <v/>
      </c>
      <c r="N1082" s="104" t="str">
        <f>IF(Main[[#This Row],[Tech Start Date]]&lt;1/1/1990,"",IF(Main[[#This Row],[Class]]="C",WORKDAY(Main[[#This Row],[Tech Start Date]],19),IF(Main[[#This Row],[Class]]="B", WORKDAY(Main[[#This Row],[Tech Start Date]],12),IF(Main[[#This Row],[Class]]="A",WORKDAY(Main[[#This Row],[Tech Start Date]],4),""))))</f>
        <v/>
      </c>
      <c r="O1082" s="104" t="str">
        <f>IF(Main[[#This Row],[Tech Start Date]]&lt;1/1/1990,"",IF(Main[[#This Row],[Class]]="C",WORKDAY(Main[[#This Row],[Tech Start Date]],23),IF(Main[[#This Row],[Class]]="B", WORKDAY(Main[[#This Row],[Tech Start Date]],15),IF(Main[[#This Row],[Class]]="A",WORKDAY(Main[[#This Row],[Tech Start Date]],5),""))))</f>
        <v/>
      </c>
      <c r="P1082" s="104" t="str">
        <f>IF(Main[[#This Row],[Tech Start Date]]&lt;1/1/1990,"",IF(Main[[#This Row],[Class]]="C",WORKDAY(Main[[#This Row],[Tech Start Date]],28),IF(Main[[#This Row],[Class]]="B", WORKDAY(Main[[#This Row],[Tech Start Date]],19),IF(Main[[#This Row],[Class]]="A",WORKDAY(Main[[#This Row],[Tech Start Date]],9),""))))</f>
        <v/>
      </c>
      <c r="Q1082" s="101">
        <v>41258</v>
      </c>
      <c r="R1082" s="101"/>
      <c r="S1082" s="99" t="s">
        <v>17</v>
      </c>
      <c r="T1082" s="107" t="s">
        <v>4</v>
      </c>
      <c r="U1082" s="99" t="s">
        <v>29</v>
      </c>
      <c r="V1082" s="99" t="s">
        <v>1972</v>
      </c>
      <c r="W1082" s="99" t="s">
        <v>1973</v>
      </c>
    </row>
    <row r="1083" spans="1:23" ht="18.600000000000001" customHeight="1">
      <c r="A1083" s="123" t="str">
        <f>IF(priority(Main[[#This Row],[Comments]])&lt;&gt;0, priority(Main[[#This Row],[Comments]]),"")</f>
        <v/>
      </c>
      <c r="B1083" s="127" t="s">
        <v>2424</v>
      </c>
      <c r="C1083" s="99" t="s">
        <v>4</v>
      </c>
      <c r="D1083" s="100" t="s">
        <v>2425</v>
      </c>
      <c r="E1083" s="101"/>
      <c r="F1083" s="101"/>
      <c r="G1083" s="102" t="str">
        <f>IF(stdProdLT(Main[[#This Row],[Comments]])=0.1,"N/A",IF(stdProdLT(Main[[#This Row],[Comments]])=0,"",stdProdLT(Main[[#This Row],[Comments]])))</f>
        <v/>
      </c>
      <c r="H1083" s="103" t="str">
        <f>IF(AND(Main[[#This Row],[In Stock Date]]&lt;&gt;"",Main[[#This Row],[Revised Due Date]]&lt;&gt;""),Main[[#This Row],[In Stock Date]]-Main[[#This Row],[Revised Due Date]],"")</f>
        <v/>
      </c>
      <c r="I1083" s="99" t="s">
        <v>4</v>
      </c>
      <c r="J1083" s="99" t="s">
        <v>4</v>
      </c>
      <c r="K1083" s="99" t="s">
        <v>4</v>
      </c>
      <c r="L1083" s="101"/>
      <c r="M1083" s="104" t="str">
        <f>IF(Main[[#This Row],[Tech Start Date]]&lt;1/1/1990,"",IF(Main[[#This Row],[Class]]="C",WORKDAY(Main[[#This Row],[Tech Start Date]],9),IF(Main[[#This Row],[Class]]="B", WORKDAY(Main[[#This Row],[Tech Start Date]],6),IF(Main[[#This Row],[Class]]="A",WORKDAY(Main[[#This Row],[Tech Start Date]],2),""))))</f>
        <v/>
      </c>
      <c r="N1083" s="104" t="str">
        <f>IF(Main[[#This Row],[Tech Start Date]]&lt;1/1/1990,"",IF(Main[[#This Row],[Class]]="C",WORKDAY(Main[[#This Row],[Tech Start Date]],19),IF(Main[[#This Row],[Class]]="B", WORKDAY(Main[[#This Row],[Tech Start Date]],12),IF(Main[[#This Row],[Class]]="A",WORKDAY(Main[[#This Row],[Tech Start Date]],4),""))))</f>
        <v/>
      </c>
      <c r="O1083" s="104" t="str">
        <f>IF(Main[[#This Row],[Tech Start Date]]&lt;1/1/1990,"",IF(Main[[#This Row],[Class]]="C",WORKDAY(Main[[#This Row],[Tech Start Date]],23),IF(Main[[#This Row],[Class]]="B", WORKDAY(Main[[#This Row],[Tech Start Date]],15),IF(Main[[#This Row],[Class]]="A",WORKDAY(Main[[#This Row],[Tech Start Date]],5),""))))</f>
        <v/>
      </c>
      <c r="P1083" s="104" t="str">
        <f>IF(Main[[#This Row],[Tech Start Date]]&lt;1/1/1990,"",IF(Main[[#This Row],[Class]]="C",WORKDAY(Main[[#This Row],[Tech Start Date]],28),IF(Main[[#This Row],[Class]]="B", WORKDAY(Main[[#This Row],[Tech Start Date]],19),IF(Main[[#This Row],[Class]]="A",WORKDAY(Main[[#This Row],[Tech Start Date]],9),""))))</f>
        <v/>
      </c>
      <c r="Q1083" s="101"/>
      <c r="R1083" s="101"/>
      <c r="S1083" s="99" t="s">
        <v>11</v>
      </c>
      <c r="T1083" s="107" t="s">
        <v>4</v>
      </c>
      <c r="U1083" s="99" t="s">
        <v>12</v>
      </c>
      <c r="V1083" s="99" t="s">
        <v>1962</v>
      </c>
      <c r="W1083" s="99" t="s">
        <v>1970</v>
      </c>
    </row>
    <row r="1084" spans="1:23" ht="18.600000000000001" customHeight="1">
      <c r="A1084" s="123" t="str">
        <f>IF(priority(Main[[#This Row],[Comments]])&lt;&gt;0, priority(Main[[#This Row],[Comments]]),"")</f>
        <v/>
      </c>
      <c r="B1084" s="127" t="s">
        <v>2600</v>
      </c>
      <c r="C1084" s="99" t="s">
        <v>4</v>
      </c>
      <c r="D1084" s="100" t="s">
        <v>3164</v>
      </c>
      <c r="E1084" s="101">
        <v>40869.337650462963</v>
      </c>
      <c r="F1084" s="101"/>
      <c r="G1084" s="102" t="str">
        <f>IF(stdProdLT(Main[[#This Row],[Comments]])=0.1,"N/A",IF(stdProdLT(Main[[#This Row],[Comments]])=0,"",stdProdLT(Main[[#This Row],[Comments]])))</f>
        <v/>
      </c>
      <c r="H1084" s="103" t="str">
        <f>IF(AND(Main[[#This Row],[In Stock Date]]&lt;&gt;"",Main[[#This Row],[Revised Due Date]]&lt;&gt;""),Main[[#This Row],[In Stock Date]]-Main[[#This Row],[Revised Due Date]],"")</f>
        <v/>
      </c>
      <c r="I1084" s="99" t="s">
        <v>4</v>
      </c>
      <c r="J1084" s="99" t="s">
        <v>4</v>
      </c>
      <c r="K1084" s="99" t="s">
        <v>4</v>
      </c>
      <c r="L1084" s="101"/>
      <c r="M1084" s="104" t="str">
        <f>IF(Main[[#This Row],[Tech Start Date]]&lt;1/1/1990,"",IF(Main[[#This Row],[Class]]="C",WORKDAY(Main[[#This Row],[Tech Start Date]],9),IF(Main[[#This Row],[Class]]="B", WORKDAY(Main[[#This Row],[Tech Start Date]],6),IF(Main[[#This Row],[Class]]="A",WORKDAY(Main[[#This Row],[Tech Start Date]],2),""))))</f>
        <v/>
      </c>
      <c r="N1084" s="104" t="str">
        <f>IF(Main[[#This Row],[Tech Start Date]]&lt;1/1/1990,"",IF(Main[[#This Row],[Class]]="C",WORKDAY(Main[[#This Row],[Tech Start Date]],19),IF(Main[[#This Row],[Class]]="B", WORKDAY(Main[[#This Row],[Tech Start Date]],12),IF(Main[[#This Row],[Class]]="A",WORKDAY(Main[[#This Row],[Tech Start Date]],4),""))))</f>
        <v/>
      </c>
      <c r="O1084" s="104" t="str">
        <f>IF(Main[[#This Row],[Tech Start Date]]&lt;1/1/1990,"",IF(Main[[#This Row],[Class]]="C",WORKDAY(Main[[#This Row],[Tech Start Date]],23),IF(Main[[#This Row],[Class]]="B", WORKDAY(Main[[#This Row],[Tech Start Date]],15),IF(Main[[#This Row],[Class]]="A",WORKDAY(Main[[#This Row],[Tech Start Date]],5),""))))</f>
        <v/>
      </c>
      <c r="P1084" s="104" t="str">
        <f>IF(Main[[#This Row],[Tech Start Date]]&lt;1/1/1990,"",IF(Main[[#This Row],[Class]]="C",WORKDAY(Main[[#This Row],[Tech Start Date]],28),IF(Main[[#This Row],[Class]]="B", WORKDAY(Main[[#This Row],[Tech Start Date]],19),IF(Main[[#This Row],[Class]]="A",WORKDAY(Main[[#This Row],[Tech Start Date]],9),""))))</f>
        <v/>
      </c>
      <c r="Q1084" s="101"/>
      <c r="R1084" s="101"/>
      <c r="S1084" s="99" t="s">
        <v>6</v>
      </c>
      <c r="T1084" s="107" t="s">
        <v>4</v>
      </c>
      <c r="U1084" s="99" t="s">
        <v>29</v>
      </c>
      <c r="V1084" s="99" t="s">
        <v>1962</v>
      </c>
      <c r="W1084" s="99" t="s">
        <v>1966</v>
      </c>
    </row>
    <row r="1085" spans="1:23" ht="18.600000000000001" customHeight="1">
      <c r="A1085" s="123" t="str">
        <f>IF(priority(Main[[#This Row],[Comments]])&lt;&gt;0, priority(Main[[#This Row],[Comments]]),"")</f>
        <v/>
      </c>
      <c r="B1085" s="127" t="s">
        <v>2625</v>
      </c>
      <c r="C1085" s="99" t="s">
        <v>95</v>
      </c>
      <c r="D1085" s="100" t="s">
        <v>2626</v>
      </c>
      <c r="E1085" s="101">
        <v>40876.601030092592</v>
      </c>
      <c r="F1085" s="101"/>
      <c r="G1085" s="102" t="str">
        <f>IF(stdProdLT(Main[[#This Row],[Comments]])=0.1,"N/A",IF(stdProdLT(Main[[#This Row],[Comments]])=0,"",stdProdLT(Main[[#This Row],[Comments]])))</f>
        <v/>
      </c>
      <c r="H1085" s="103" t="str">
        <f>IF(AND(Main[[#This Row],[In Stock Date]]&lt;&gt;"",Main[[#This Row],[Revised Due Date]]&lt;&gt;""),Main[[#This Row],[In Stock Date]]-Main[[#This Row],[Revised Due Date]],"")</f>
        <v/>
      </c>
      <c r="I1085" s="99" t="s">
        <v>4</v>
      </c>
      <c r="J1085" s="99" t="s">
        <v>4</v>
      </c>
      <c r="K1085" s="99" t="s">
        <v>4</v>
      </c>
      <c r="L1085" s="101"/>
      <c r="M1085" s="104" t="str">
        <f>IF(Main[[#This Row],[Tech Start Date]]&lt;1/1/1990,"",IF(Main[[#This Row],[Class]]="C",WORKDAY(Main[[#This Row],[Tech Start Date]],9),IF(Main[[#This Row],[Class]]="B", WORKDAY(Main[[#This Row],[Tech Start Date]],6),IF(Main[[#This Row],[Class]]="A",WORKDAY(Main[[#This Row],[Tech Start Date]],2),""))))</f>
        <v/>
      </c>
      <c r="N1085" s="104" t="str">
        <f>IF(Main[[#This Row],[Tech Start Date]]&lt;1/1/1990,"",IF(Main[[#This Row],[Class]]="C",WORKDAY(Main[[#This Row],[Tech Start Date]],19),IF(Main[[#This Row],[Class]]="B", WORKDAY(Main[[#This Row],[Tech Start Date]],12),IF(Main[[#This Row],[Class]]="A",WORKDAY(Main[[#This Row],[Tech Start Date]],4),""))))</f>
        <v/>
      </c>
      <c r="O1085" s="104" t="str">
        <f>IF(Main[[#This Row],[Tech Start Date]]&lt;1/1/1990,"",IF(Main[[#This Row],[Class]]="C",WORKDAY(Main[[#This Row],[Tech Start Date]],23),IF(Main[[#This Row],[Class]]="B", WORKDAY(Main[[#This Row],[Tech Start Date]],15),IF(Main[[#This Row],[Class]]="A",WORKDAY(Main[[#This Row],[Tech Start Date]],5),""))))</f>
        <v/>
      </c>
      <c r="P1085" s="104" t="str">
        <f>IF(Main[[#This Row],[Tech Start Date]]&lt;1/1/1990,"",IF(Main[[#This Row],[Class]]="C",WORKDAY(Main[[#This Row],[Tech Start Date]],28),IF(Main[[#This Row],[Class]]="B", WORKDAY(Main[[#This Row],[Tech Start Date]],19),IF(Main[[#This Row],[Class]]="A",WORKDAY(Main[[#This Row],[Tech Start Date]],9),""))))</f>
        <v/>
      </c>
      <c r="Q1085" s="101">
        <v>40900</v>
      </c>
      <c r="R1085" s="101"/>
      <c r="S1085" s="99" t="s">
        <v>6</v>
      </c>
      <c r="T1085" s="107" t="s">
        <v>4</v>
      </c>
      <c r="U1085" s="99" t="s">
        <v>7</v>
      </c>
      <c r="V1085" s="99" t="s">
        <v>1972</v>
      </c>
      <c r="W1085" s="99" t="s">
        <v>1970</v>
      </c>
    </row>
    <row r="1086" spans="1:23" ht="18.600000000000001" customHeight="1">
      <c r="A1086" s="123" t="str">
        <f>IF(priority(Main[[#This Row],[Comments]])&lt;&gt;0, priority(Main[[#This Row],[Comments]]),"")</f>
        <v/>
      </c>
      <c r="B1086" s="127" t="s">
        <v>3037</v>
      </c>
      <c r="C1086" s="99" t="s">
        <v>4</v>
      </c>
      <c r="D1086" s="100" t="s">
        <v>3089</v>
      </c>
      <c r="E1086" s="101">
        <v>40879.345219907409</v>
      </c>
      <c r="F1086" s="101"/>
      <c r="G1086" s="102" t="str">
        <f>IF(stdProdLT(Main[[#This Row],[Comments]])=0.1,"N/A",IF(stdProdLT(Main[[#This Row],[Comments]])=0,"",stdProdLT(Main[[#This Row],[Comments]])))</f>
        <v/>
      </c>
      <c r="H1086" s="103" t="str">
        <f>IF(AND(Main[[#This Row],[In Stock Date]]&lt;&gt;"",Main[[#This Row],[Revised Due Date]]&lt;&gt;""),Main[[#This Row],[In Stock Date]]-Main[[#This Row],[Revised Due Date]],"")</f>
        <v/>
      </c>
      <c r="I1086" s="99" t="s">
        <v>955</v>
      </c>
      <c r="J1086" s="99" t="s">
        <v>4</v>
      </c>
      <c r="K1086" s="99" t="s">
        <v>4</v>
      </c>
      <c r="L1086" s="101"/>
      <c r="M1086" s="104" t="str">
        <f>IF(Main[[#This Row],[Tech Start Date]]&lt;1/1/1990,"",IF(Main[[#This Row],[Class]]="C",WORKDAY(Main[[#This Row],[Tech Start Date]],9),IF(Main[[#This Row],[Class]]="B", WORKDAY(Main[[#This Row],[Tech Start Date]],6),IF(Main[[#This Row],[Class]]="A",WORKDAY(Main[[#This Row],[Tech Start Date]],2),""))))</f>
        <v/>
      </c>
      <c r="N1086" s="104" t="str">
        <f>IF(Main[[#This Row],[Tech Start Date]]&lt;1/1/1990,"",IF(Main[[#This Row],[Class]]="C",WORKDAY(Main[[#This Row],[Tech Start Date]],19),IF(Main[[#This Row],[Class]]="B", WORKDAY(Main[[#This Row],[Tech Start Date]],12),IF(Main[[#This Row],[Class]]="A",WORKDAY(Main[[#This Row],[Tech Start Date]],4),""))))</f>
        <v/>
      </c>
      <c r="O1086" s="104" t="str">
        <f>IF(Main[[#This Row],[Tech Start Date]]&lt;1/1/1990,"",IF(Main[[#This Row],[Class]]="C",WORKDAY(Main[[#This Row],[Tech Start Date]],23),IF(Main[[#This Row],[Class]]="B", WORKDAY(Main[[#This Row],[Tech Start Date]],15),IF(Main[[#This Row],[Class]]="A",WORKDAY(Main[[#This Row],[Tech Start Date]],5),""))))</f>
        <v/>
      </c>
      <c r="P1086" s="104" t="str">
        <f>IF(Main[[#This Row],[Tech Start Date]]&lt;1/1/1990,"",IF(Main[[#This Row],[Class]]="C",WORKDAY(Main[[#This Row],[Tech Start Date]],28),IF(Main[[#This Row],[Class]]="B", WORKDAY(Main[[#This Row],[Tech Start Date]],19),IF(Main[[#This Row],[Class]]="A",WORKDAY(Main[[#This Row],[Tech Start Date]],9),""))))</f>
        <v/>
      </c>
      <c r="Q1086" s="101"/>
      <c r="R1086" s="101"/>
      <c r="S1086" s="99" t="s">
        <v>6</v>
      </c>
      <c r="T1086" s="107" t="s">
        <v>4</v>
      </c>
      <c r="U1086" s="99" t="s">
        <v>29</v>
      </c>
      <c r="V1086" s="99" t="s">
        <v>1962</v>
      </c>
      <c r="W1086" s="99" t="s">
        <v>1966</v>
      </c>
    </row>
    <row r="1087" spans="1:23" ht="18.600000000000001" customHeight="1">
      <c r="A1087" s="123" t="str">
        <f>IF(priority(Main[[#This Row],[Comments]])&lt;&gt;0, priority(Main[[#This Row],[Comments]]),"")</f>
        <v/>
      </c>
      <c r="B1087" s="127" t="s">
        <v>2575</v>
      </c>
      <c r="C1087" s="99" t="s">
        <v>4</v>
      </c>
      <c r="D1087" s="100" t="s">
        <v>2576</v>
      </c>
      <c r="E1087" s="101"/>
      <c r="F1087" s="101"/>
      <c r="G1087" s="102" t="str">
        <f>IF(stdProdLT(Main[[#This Row],[Comments]])=0.1,"N/A",IF(stdProdLT(Main[[#This Row],[Comments]])=0,"",stdProdLT(Main[[#This Row],[Comments]])))</f>
        <v/>
      </c>
      <c r="H1087" s="103" t="str">
        <f>IF(AND(Main[[#This Row],[In Stock Date]]&lt;&gt;"",Main[[#This Row],[Revised Due Date]]&lt;&gt;""),Main[[#This Row],[In Stock Date]]-Main[[#This Row],[Revised Due Date]],"")</f>
        <v/>
      </c>
      <c r="I1087" s="99" t="s">
        <v>4</v>
      </c>
      <c r="J1087" s="99" t="s">
        <v>4</v>
      </c>
      <c r="K1087" s="99" t="s">
        <v>4</v>
      </c>
      <c r="L1087" s="101"/>
      <c r="M1087" s="104" t="str">
        <f>IF(Main[[#This Row],[Tech Start Date]]&lt;1/1/1990,"",IF(Main[[#This Row],[Class]]="C",WORKDAY(Main[[#This Row],[Tech Start Date]],9),IF(Main[[#This Row],[Class]]="B", WORKDAY(Main[[#This Row],[Tech Start Date]],6),IF(Main[[#This Row],[Class]]="A",WORKDAY(Main[[#This Row],[Tech Start Date]],2),""))))</f>
        <v/>
      </c>
      <c r="N1087" s="104" t="str">
        <f>IF(Main[[#This Row],[Tech Start Date]]&lt;1/1/1990,"",IF(Main[[#This Row],[Class]]="C",WORKDAY(Main[[#This Row],[Tech Start Date]],19),IF(Main[[#This Row],[Class]]="B", WORKDAY(Main[[#This Row],[Tech Start Date]],12),IF(Main[[#This Row],[Class]]="A",WORKDAY(Main[[#This Row],[Tech Start Date]],4),""))))</f>
        <v/>
      </c>
      <c r="O1087" s="104" t="str">
        <f>IF(Main[[#This Row],[Tech Start Date]]&lt;1/1/1990,"",IF(Main[[#This Row],[Class]]="C",WORKDAY(Main[[#This Row],[Tech Start Date]],23),IF(Main[[#This Row],[Class]]="B", WORKDAY(Main[[#This Row],[Tech Start Date]],15),IF(Main[[#This Row],[Class]]="A",WORKDAY(Main[[#This Row],[Tech Start Date]],5),""))))</f>
        <v/>
      </c>
      <c r="P1087" s="104" t="str">
        <f>IF(Main[[#This Row],[Tech Start Date]]&lt;1/1/1990,"",IF(Main[[#This Row],[Class]]="C",WORKDAY(Main[[#This Row],[Tech Start Date]],28),IF(Main[[#This Row],[Class]]="B", WORKDAY(Main[[#This Row],[Tech Start Date]],19),IF(Main[[#This Row],[Class]]="A",WORKDAY(Main[[#This Row],[Tech Start Date]],9),""))))</f>
        <v/>
      </c>
      <c r="Q1087" s="101">
        <v>40907</v>
      </c>
      <c r="R1087" s="101"/>
      <c r="S1087" s="99" t="s">
        <v>6</v>
      </c>
      <c r="T1087" s="107" t="s">
        <v>4</v>
      </c>
      <c r="U1087" s="99" t="s">
        <v>14</v>
      </c>
      <c r="V1087" s="99" t="s">
        <v>1962</v>
      </c>
      <c r="W1087" s="99" t="s">
        <v>1966</v>
      </c>
    </row>
    <row r="1088" spans="1:23" ht="18.600000000000001" customHeight="1">
      <c r="A1088" s="123" t="str">
        <f>IF(priority(Main[[#This Row],[Comments]])&lt;&gt;0, priority(Main[[#This Row],[Comments]]),"")</f>
        <v/>
      </c>
      <c r="B1088" s="127" t="s">
        <v>2227</v>
      </c>
      <c r="C1088" s="99" t="s">
        <v>2228</v>
      </c>
      <c r="D1088" s="100" t="s">
        <v>2432</v>
      </c>
      <c r="E1088" s="101">
        <v>40781.400787037041</v>
      </c>
      <c r="F1088" s="101"/>
      <c r="G1088" s="102" t="str">
        <f>IF(stdProdLT(Main[[#This Row],[Comments]])=0.1,"N/A",IF(stdProdLT(Main[[#This Row],[Comments]])=0,"",stdProdLT(Main[[#This Row],[Comments]])))</f>
        <v/>
      </c>
      <c r="H1088" s="103" t="str">
        <f>IF(AND(Main[[#This Row],[In Stock Date]]&lt;&gt;"",Main[[#This Row],[Revised Due Date]]&lt;&gt;""),Main[[#This Row],[In Stock Date]]-Main[[#This Row],[Revised Due Date]],"")</f>
        <v/>
      </c>
      <c r="I1088" s="99" t="s">
        <v>4</v>
      </c>
      <c r="J1088" s="99" t="s">
        <v>28</v>
      </c>
      <c r="K1088" s="108" t="s">
        <v>1971</v>
      </c>
      <c r="L1088" s="101"/>
      <c r="M1088" s="104" t="str">
        <f>IF(Main[[#This Row],[Tech Start Date]]&lt;1/1/1990,"",IF(Main[[#This Row],[Class]]="C",WORKDAY(Main[[#This Row],[Tech Start Date]],9),IF(Main[[#This Row],[Class]]="B", WORKDAY(Main[[#This Row],[Tech Start Date]],6),IF(Main[[#This Row],[Class]]="A",WORKDAY(Main[[#This Row],[Tech Start Date]],2),""))))</f>
        <v/>
      </c>
      <c r="N1088" s="104" t="str">
        <f>IF(Main[[#This Row],[Tech Start Date]]&lt;1/1/1990,"",IF(Main[[#This Row],[Class]]="C",WORKDAY(Main[[#This Row],[Tech Start Date]],19),IF(Main[[#This Row],[Class]]="B", WORKDAY(Main[[#This Row],[Tech Start Date]],12),IF(Main[[#This Row],[Class]]="A",WORKDAY(Main[[#This Row],[Tech Start Date]],4),""))))</f>
        <v/>
      </c>
      <c r="O1088" s="104" t="str">
        <f>IF(Main[[#This Row],[Tech Start Date]]&lt;1/1/1990,"",IF(Main[[#This Row],[Class]]="C",WORKDAY(Main[[#This Row],[Tech Start Date]],23),IF(Main[[#This Row],[Class]]="B", WORKDAY(Main[[#This Row],[Tech Start Date]],15),IF(Main[[#This Row],[Class]]="A",WORKDAY(Main[[#This Row],[Tech Start Date]],5),""))))</f>
        <v/>
      </c>
      <c r="P1088" s="104" t="str">
        <f>IF(Main[[#This Row],[Tech Start Date]]&lt;1/1/1990,"",IF(Main[[#This Row],[Class]]="C",WORKDAY(Main[[#This Row],[Tech Start Date]],28),IF(Main[[#This Row],[Class]]="B", WORKDAY(Main[[#This Row],[Tech Start Date]],19),IF(Main[[#This Row],[Class]]="A",WORKDAY(Main[[#This Row],[Tech Start Date]],9),""))))</f>
        <v/>
      </c>
      <c r="Q1088" s="101">
        <v>40836</v>
      </c>
      <c r="R1088" s="101"/>
      <c r="S1088" s="99" t="s">
        <v>6</v>
      </c>
      <c r="T1088" s="107" t="s">
        <v>4</v>
      </c>
      <c r="U1088" s="99" t="s">
        <v>29</v>
      </c>
      <c r="V1088" s="99" t="s">
        <v>1965</v>
      </c>
      <c r="W1088" s="99" t="s">
        <v>1966</v>
      </c>
    </row>
    <row r="1089" spans="1:23" ht="18.600000000000001" customHeight="1">
      <c r="A1089" s="123" t="str">
        <f>IF(priority(Main[[#This Row],[Comments]])&lt;&gt;0, priority(Main[[#This Row],[Comments]]),"")</f>
        <v/>
      </c>
      <c r="B1089" s="127" t="s">
        <v>2609</v>
      </c>
      <c r="C1089" s="99" t="s">
        <v>4</v>
      </c>
      <c r="D1089" s="100" t="s">
        <v>2610</v>
      </c>
      <c r="E1089" s="101"/>
      <c r="F1089" s="101"/>
      <c r="G1089" s="102" t="str">
        <f>IF(stdProdLT(Main[[#This Row],[Comments]])=0.1,"N/A",IF(stdProdLT(Main[[#This Row],[Comments]])=0,"",stdProdLT(Main[[#This Row],[Comments]])))</f>
        <v/>
      </c>
      <c r="H1089" s="103" t="str">
        <f>IF(AND(Main[[#This Row],[In Stock Date]]&lt;&gt;"",Main[[#This Row],[Revised Due Date]]&lt;&gt;""),Main[[#This Row],[In Stock Date]]-Main[[#This Row],[Revised Due Date]],"")</f>
        <v/>
      </c>
      <c r="I1089" s="99" t="s">
        <v>536</v>
      </c>
      <c r="J1089" s="99" t="s">
        <v>28</v>
      </c>
      <c r="K1089" s="99" t="s">
        <v>1971</v>
      </c>
      <c r="L1089" s="101"/>
      <c r="M1089" s="104" t="str">
        <f>IF(Main[[#This Row],[Tech Start Date]]&lt;1/1/1990,"",IF(Main[[#This Row],[Class]]="C",WORKDAY(Main[[#This Row],[Tech Start Date]],9),IF(Main[[#This Row],[Class]]="B", WORKDAY(Main[[#This Row],[Tech Start Date]],6),IF(Main[[#This Row],[Class]]="A",WORKDAY(Main[[#This Row],[Tech Start Date]],2),""))))</f>
        <v/>
      </c>
      <c r="N1089" s="104" t="str">
        <f>IF(Main[[#This Row],[Tech Start Date]]&lt;1/1/1990,"",IF(Main[[#This Row],[Class]]="C",WORKDAY(Main[[#This Row],[Tech Start Date]],19),IF(Main[[#This Row],[Class]]="B", WORKDAY(Main[[#This Row],[Tech Start Date]],12),IF(Main[[#This Row],[Class]]="A",WORKDAY(Main[[#This Row],[Tech Start Date]],4),""))))</f>
        <v/>
      </c>
      <c r="O1089" s="104" t="str">
        <f>IF(Main[[#This Row],[Tech Start Date]]&lt;1/1/1990,"",IF(Main[[#This Row],[Class]]="C",WORKDAY(Main[[#This Row],[Tech Start Date]],23),IF(Main[[#This Row],[Class]]="B", WORKDAY(Main[[#This Row],[Tech Start Date]],15),IF(Main[[#This Row],[Class]]="A",WORKDAY(Main[[#This Row],[Tech Start Date]],5),""))))</f>
        <v/>
      </c>
      <c r="P1089" s="104" t="str">
        <f>IF(Main[[#This Row],[Tech Start Date]]&lt;1/1/1990,"",IF(Main[[#This Row],[Class]]="C",WORKDAY(Main[[#This Row],[Tech Start Date]],28),IF(Main[[#This Row],[Class]]="B", WORKDAY(Main[[#This Row],[Tech Start Date]],19),IF(Main[[#This Row],[Class]]="A",WORKDAY(Main[[#This Row],[Tech Start Date]],9),""))))</f>
        <v/>
      </c>
      <c r="Q1089" s="101">
        <v>40954</v>
      </c>
      <c r="R1089" s="101"/>
      <c r="S1089" s="99" t="s">
        <v>6</v>
      </c>
      <c r="T1089" s="107" t="s">
        <v>4</v>
      </c>
      <c r="U1089" s="99" t="s">
        <v>14</v>
      </c>
      <c r="V1089" s="99" t="s">
        <v>1965</v>
      </c>
      <c r="W1089" s="99" t="s">
        <v>1966</v>
      </c>
    </row>
    <row r="1090" spans="1:23" ht="18.600000000000001" customHeight="1">
      <c r="A1090" s="123" t="str">
        <f>IF(priority(Main[[#This Row],[Comments]])&lt;&gt;0, priority(Main[[#This Row],[Comments]]),"")</f>
        <v/>
      </c>
      <c r="B1090" s="127" t="s">
        <v>2611</v>
      </c>
      <c r="C1090" s="99" t="s">
        <v>113</v>
      </c>
      <c r="D1090" s="100" t="s">
        <v>2612</v>
      </c>
      <c r="E1090" s="101"/>
      <c r="F1090" s="101">
        <v>40841</v>
      </c>
      <c r="G1090" s="102" t="str">
        <f>IF(stdProdLT(Main[[#This Row],[Comments]])=0.1,"N/A",IF(stdProdLT(Main[[#This Row],[Comments]])=0,"",stdProdLT(Main[[#This Row],[Comments]])))</f>
        <v/>
      </c>
      <c r="H1090" s="103" t="str">
        <f>IF(AND(Main[[#This Row],[In Stock Date]]&lt;&gt;"",Main[[#This Row],[Revised Due Date]]&lt;&gt;""),Main[[#This Row],[In Stock Date]]-Main[[#This Row],[Revised Due Date]],"")</f>
        <v/>
      </c>
      <c r="I1090" s="99" t="s">
        <v>4</v>
      </c>
      <c r="J1090" s="99" t="s">
        <v>4</v>
      </c>
      <c r="K1090" s="99" t="s">
        <v>4</v>
      </c>
      <c r="L1090" s="101"/>
      <c r="M1090" s="104" t="str">
        <f>IF(Main[[#This Row],[Tech Start Date]]&lt;1/1/1990,"",IF(Main[[#This Row],[Class]]="C",WORKDAY(Main[[#This Row],[Tech Start Date]],9),IF(Main[[#This Row],[Class]]="B", WORKDAY(Main[[#This Row],[Tech Start Date]],6),IF(Main[[#This Row],[Class]]="A",WORKDAY(Main[[#This Row],[Tech Start Date]],2),""))))</f>
        <v/>
      </c>
      <c r="N1090" s="104" t="str">
        <f>IF(Main[[#This Row],[Tech Start Date]]&lt;1/1/1990,"",IF(Main[[#This Row],[Class]]="C",WORKDAY(Main[[#This Row],[Tech Start Date]],19),IF(Main[[#This Row],[Class]]="B", WORKDAY(Main[[#This Row],[Tech Start Date]],12),IF(Main[[#This Row],[Class]]="A",WORKDAY(Main[[#This Row],[Tech Start Date]],4),""))))</f>
        <v/>
      </c>
      <c r="O1090" s="104" t="str">
        <f>IF(Main[[#This Row],[Tech Start Date]]&lt;1/1/1990,"",IF(Main[[#This Row],[Class]]="C",WORKDAY(Main[[#This Row],[Tech Start Date]],23),IF(Main[[#This Row],[Class]]="B", WORKDAY(Main[[#This Row],[Tech Start Date]],15),IF(Main[[#This Row],[Class]]="A",WORKDAY(Main[[#This Row],[Tech Start Date]],5),""))))</f>
        <v/>
      </c>
      <c r="P1090" s="104" t="str">
        <f>IF(Main[[#This Row],[Tech Start Date]]&lt;1/1/1990,"",IF(Main[[#This Row],[Class]]="C",WORKDAY(Main[[#This Row],[Tech Start Date]],28),IF(Main[[#This Row],[Class]]="B", WORKDAY(Main[[#This Row],[Tech Start Date]],19),IF(Main[[#This Row],[Class]]="A",WORKDAY(Main[[#This Row],[Tech Start Date]],9),""))))</f>
        <v/>
      </c>
      <c r="Q1090" s="101"/>
      <c r="R1090" s="101"/>
      <c r="S1090" s="99" t="s">
        <v>11</v>
      </c>
      <c r="T1090" s="107" t="s">
        <v>4</v>
      </c>
      <c r="U1090" s="99" t="s">
        <v>12</v>
      </c>
      <c r="V1090" s="99" t="s">
        <v>1962</v>
      </c>
      <c r="W1090" s="99" t="s">
        <v>1964</v>
      </c>
    </row>
    <row r="1091" spans="1:23" ht="18.600000000000001" customHeight="1">
      <c r="A1091" s="123" t="str">
        <f>IF(priority(Main[[#This Row],[Comments]])&lt;&gt;0, priority(Main[[#This Row],[Comments]]),"")</f>
        <v/>
      </c>
      <c r="B1091" s="127" t="s">
        <v>2848</v>
      </c>
      <c r="C1091" s="99" t="s">
        <v>31</v>
      </c>
      <c r="D1091" s="100" t="s">
        <v>2849</v>
      </c>
      <c r="E1091" s="101">
        <v>40820.728263888886</v>
      </c>
      <c r="F1091" s="101"/>
      <c r="G1091" s="102" t="str">
        <f>IF(stdProdLT(Main[[#This Row],[Comments]])=0.1,"N/A",IF(stdProdLT(Main[[#This Row],[Comments]])=0,"",stdProdLT(Main[[#This Row],[Comments]])))</f>
        <v/>
      </c>
      <c r="H1091" s="103" t="str">
        <f>IF(AND(Main[[#This Row],[In Stock Date]]&lt;&gt;"",Main[[#This Row],[Revised Due Date]]&lt;&gt;""),Main[[#This Row],[In Stock Date]]-Main[[#This Row],[Revised Due Date]],"")</f>
        <v/>
      </c>
      <c r="I1091" s="99" t="s">
        <v>939</v>
      </c>
      <c r="J1091" s="99" t="s">
        <v>4</v>
      </c>
      <c r="K1091" s="99" t="s">
        <v>4</v>
      </c>
      <c r="L1091" s="101"/>
      <c r="M1091" s="104" t="str">
        <f>IF(Main[[#This Row],[Tech Start Date]]&lt;1/1/1990,"",IF(Main[[#This Row],[Class]]="C",WORKDAY(Main[[#This Row],[Tech Start Date]],9),IF(Main[[#This Row],[Class]]="B", WORKDAY(Main[[#This Row],[Tech Start Date]],6),IF(Main[[#This Row],[Class]]="A",WORKDAY(Main[[#This Row],[Tech Start Date]],2),""))))</f>
        <v/>
      </c>
      <c r="N1091" s="104" t="str">
        <f>IF(Main[[#This Row],[Tech Start Date]]&lt;1/1/1990,"",IF(Main[[#This Row],[Class]]="C",WORKDAY(Main[[#This Row],[Tech Start Date]],19),IF(Main[[#This Row],[Class]]="B", WORKDAY(Main[[#This Row],[Tech Start Date]],12),IF(Main[[#This Row],[Class]]="A",WORKDAY(Main[[#This Row],[Tech Start Date]],4),""))))</f>
        <v/>
      </c>
      <c r="O1091" s="104" t="str">
        <f>IF(Main[[#This Row],[Tech Start Date]]&lt;1/1/1990,"",IF(Main[[#This Row],[Class]]="C",WORKDAY(Main[[#This Row],[Tech Start Date]],23),IF(Main[[#This Row],[Class]]="B", WORKDAY(Main[[#This Row],[Tech Start Date]],15),IF(Main[[#This Row],[Class]]="A",WORKDAY(Main[[#This Row],[Tech Start Date]],5),""))))</f>
        <v/>
      </c>
      <c r="P1091" s="104" t="str">
        <f>IF(Main[[#This Row],[Tech Start Date]]&lt;1/1/1990,"",IF(Main[[#This Row],[Class]]="C",WORKDAY(Main[[#This Row],[Tech Start Date]],28),IF(Main[[#This Row],[Class]]="B", WORKDAY(Main[[#This Row],[Tech Start Date]],19),IF(Main[[#This Row],[Class]]="A",WORKDAY(Main[[#This Row],[Tech Start Date]],9),""))))</f>
        <v/>
      </c>
      <c r="Q1091" s="101">
        <v>40841</v>
      </c>
      <c r="R1091" s="101"/>
      <c r="S1091" s="99" t="s">
        <v>11</v>
      </c>
      <c r="T1091" s="107" t="s">
        <v>2850</v>
      </c>
      <c r="U1091" s="99" t="s">
        <v>7</v>
      </c>
      <c r="V1091" s="99" t="s">
        <v>1977</v>
      </c>
      <c r="W1091" s="99" t="s">
        <v>1970</v>
      </c>
    </row>
    <row r="1092" spans="1:23" ht="18.600000000000001" customHeight="1">
      <c r="A1092" s="123" t="str">
        <f>IF(priority(Main[[#This Row],[Comments]])&lt;&gt;0, priority(Main[[#This Row],[Comments]]),"")</f>
        <v/>
      </c>
      <c r="B1092" s="127" t="s">
        <v>2615</v>
      </c>
      <c r="C1092" s="99" t="s">
        <v>4</v>
      </c>
      <c r="D1092" s="100" t="s">
        <v>3090</v>
      </c>
      <c r="E1092" s="101">
        <v>40865.334965277776</v>
      </c>
      <c r="F1092" s="101"/>
      <c r="G1092" s="102" t="str">
        <f>IF(stdProdLT(Main[[#This Row],[Comments]])=0.1,"N/A",IF(stdProdLT(Main[[#This Row],[Comments]])=0,"",stdProdLT(Main[[#This Row],[Comments]])))</f>
        <v/>
      </c>
      <c r="H1092" s="103" t="str">
        <f>IF(AND(Main[[#This Row],[In Stock Date]]&lt;&gt;"",Main[[#This Row],[Revised Due Date]]&lt;&gt;""),Main[[#This Row],[In Stock Date]]-Main[[#This Row],[Revised Due Date]],"")</f>
        <v/>
      </c>
      <c r="I1092" s="99" t="s">
        <v>4</v>
      </c>
      <c r="J1092" s="99" t="s">
        <v>4</v>
      </c>
      <c r="K1092" s="99" t="s">
        <v>4</v>
      </c>
      <c r="L1092" s="101"/>
      <c r="M1092" s="104" t="str">
        <f>IF(Main[[#This Row],[Tech Start Date]]&lt;1/1/1990,"",IF(Main[[#This Row],[Class]]="C",WORKDAY(Main[[#This Row],[Tech Start Date]],9),IF(Main[[#This Row],[Class]]="B", WORKDAY(Main[[#This Row],[Tech Start Date]],6),IF(Main[[#This Row],[Class]]="A",WORKDAY(Main[[#This Row],[Tech Start Date]],2),""))))</f>
        <v/>
      </c>
      <c r="N1092" s="104" t="str">
        <f>IF(Main[[#This Row],[Tech Start Date]]&lt;1/1/1990,"",IF(Main[[#This Row],[Class]]="C",WORKDAY(Main[[#This Row],[Tech Start Date]],19),IF(Main[[#This Row],[Class]]="B", WORKDAY(Main[[#This Row],[Tech Start Date]],12),IF(Main[[#This Row],[Class]]="A",WORKDAY(Main[[#This Row],[Tech Start Date]],4),""))))</f>
        <v/>
      </c>
      <c r="O1092" s="104" t="str">
        <f>IF(Main[[#This Row],[Tech Start Date]]&lt;1/1/1990,"",IF(Main[[#This Row],[Class]]="C",WORKDAY(Main[[#This Row],[Tech Start Date]],23),IF(Main[[#This Row],[Class]]="B", WORKDAY(Main[[#This Row],[Tech Start Date]],15),IF(Main[[#This Row],[Class]]="A",WORKDAY(Main[[#This Row],[Tech Start Date]],5),""))))</f>
        <v/>
      </c>
      <c r="P1092" s="104" t="str">
        <f>IF(Main[[#This Row],[Tech Start Date]]&lt;1/1/1990,"",IF(Main[[#This Row],[Class]]="C",WORKDAY(Main[[#This Row],[Tech Start Date]],28),IF(Main[[#This Row],[Class]]="B", WORKDAY(Main[[#This Row],[Tech Start Date]],19),IF(Main[[#This Row],[Class]]="A",WORKDAY(Main[[#This Row],[Tech Start Date]],9),""))))</f>
        <v/>
      </c>
      <c r="Q1092" s="101"/>
      <c r="R1092" s="101"/>
      <c r="S1092" s="99" t="s">
        <v>6</v>
      </c>
      <c r="T1092" s="107" t="s">
        <v>4</v>
      </c>
      <c r="U1092" s="99" t="s">
        <v>7</v>
      </c>
      <c r="V1092" s="99" t="s">
        <v>1962</v>
      </c>
      <c r="W1092" s="99" t="s">
        <v>1966</v>
      </c>
    </row>
    <row r="1093" spans="1:23" ht="18.600000000000001" customHeight="1">
      <c r="A1093" s="123" t="str">
        <f>IF(priority(Main[[#This Row],[Comments]])&lt;&gt;0, priority(Main[[#This Row],[Comments]]),"")</f>
        <v/>
      </c>
      <c r="B1093" s="127" t="s">
        <v>2616</v>
      </c>
      <c r="C1093" s="99" t="s">
        <v>4</v>
      </c>
      <c r="D1093" s="100" t="s">
        <v>3091</v>
      </c>
      <c r="E1093" s="101">
        <v>40875.448009259257</v>
      </c>
      <c r="F1093" s="101"/>
      <c r="G1093" s="102" t="str">
        <f>IF(stdProdLT(Main[[#This Row],[Comments]])=0.1,"N/A",IF(stdProdLT(Main[[#This Row],[Comments]])=0,"",stdProdLT(Main[[#This Row],[Comments]])))</f>
        <v/>
      </c>
      <c r="H1093" s="103" t="str">
        <f>IF(AND(Main[[#This Row],[In Stock Date]]&lt;&gt;"",Main[[#This Row],[Revised Due Date]]&lt;&gt;""),Main[[#This Row],[In Stock Date]]-Main[[#This Row],[Revised Due Date]],"")</f>
        <v/>
      </c>
      <c r="I1093" s="99" t="s">
        <v>4</v>
      </c>
      <c r="J1093" s="99" t="s">
        <v>4</v>
      </c>
      <c r="K1093" s="99" t="s">
        <v>4</v>
      </c>
      <c r="L1093" s="101"/>
      <c r="M1093" s="104" t="str">
        <f>IF(Main[[#This Row],[Tech Start Date]]&lt;1/1/1990,"",IF(Main[[#This Row],[Class]]="C",WORKDAY(Main[[#This Row],[Tech Start Date]],9),IF(Main[[#This Row],[Class]]="B", WORKDAY(Main[[#This Row],[Tech Start Date]],6),IF(Main[[#This Row],[Class]]="A",WORKDAY(Main[[#This Row],[Tech Start Date]],2),""))))</f>
        <v/>
      </c>
      <c r="N1093" s="104" t="str">
        <f>IF(Main[[#This Row],[Tech Start Date]]&lt;1/1/1990,"",IF(Main[[#This Row],[Class]]="C",WORKDAY(Main[[#This Row],[Tech Start Date]],19),IF(Main[[#This Row],[Class]]="B", WORKDAY(Main[[#This Row],[Tech Start Date]],12),IF(Main[[#This Row],[Class]]="A",WORKDAY(Main[[#This Row],[Tech Start Date]],4),""))))</f>
        <v/>
      </c>
      <c r="O1093" s="104" t="str">
        <f>IF(Main[[#This Row],[Tech Start Date]]&lt;1/1/1990,"",IF(Main[[#This Row],[Class]]="C",WORKDAY(Main[[#This Row],[Tech Start Date]],23),IF(Main[[#This Row],[Class]]="B", WORKDAY(Main[[#This Row],[Tech Start Date]],15),IF(Main[[#This Row],[Class]]="A",WORKDAY(Main[[#This Row],[Tech Start Date]],5),""))))</f>
        <v/>
      </c>
      <c r="P1093" s="104" t="str">
        <f>IF(Main[[#This Row],[Tech Start Date]]&lt;1/1/1990,"",IF(Main[[#This Row],[Class]]="C",WORKDAY(Main[[#This Row],[Tech Start Date]],28),IF(Main[[#This Row],[Class]]="B", WORKDAY(Main[[#This Row],[Tech Start Date]],19),IF(Main[[#This Row],[Class]]="A",WORKDAY(Main[[#This Row],[Tech Start Date]],9),""))))</f>
        <v/>
      </c>
      <c r="Q1093" s="101"/>
      <c r="R1093" s="101"/>
      <c r="S1093" s="99" t="s">
        <v>11</v>
      </c>
      <c r="T1093" s="107" t="s">
        <v>3092</v>
      </c>
      <c r="U1093" s="99" t="s">
        <v>7</v>
      </c>
      <c r="V1093" s="99" t="s">
        <v>1962</v>
      </c>
      <c r="W1093" s="99" t="s">
        <v>1970</v>
      </c>
    </row>
    <row r="1094" spans="1:23" ht="18.600000000000001" customHeight="1">
      <c r="A1094" s="123" t="str">
        <f>IF(priority(Main[[#This Row],[Comments]])&lt;&gt;0, priority(Main[[#This Row],[Comments]]),"")</f>
        <v/>
      </c>
      <c r="B1094" s="127" t="s">
        <v>2659</v>
      </c>
      <c r="C1094" s="99" t="s">
        <v>4</v>
      </c>
      <c r="D1094" s="100" t="s">
        <v>2660</v>
      </c>
      <c r="E1094" s="101">
        <v>40833.637280092589</v>
      </c>
      <c r="F1094" s="101"/>
      <c r="G1094" s="102" t="str">
        <f>IF(stdProdLT(Main[[#This Row],[Comments]])=0.1,"N/A",IF(stdProdLT(Main[[#This Row],[Comments]])=0,"",stdProdLT(Main[[#This Row],[Comments]])))</f>
        <v/>
      </c>
      <c r="H1094" s="103" t="str">
        <f>IF(AND(Main[[#This Row],[In Stock Date]]&lt;&gt;"",Main[[#This Row],[Revised Due Date]]&lt;&gt;""),Main[[#This Row],[In Stock Date]]-Main[[#This Row],[Revised Due Date]],"")</f>
        <v/>
      </c>
      <c r="I1094" s="99" t="s">
        <v>911</v>
      </c>
      <c r="J1094" s="99" t="s">
        <v>28</v>
      </c>
      <c r="K1094" s="99" t="s">
        <v>1971</v>
      </c>
      <c r="L1094" s="101"/>
      <c r="M1094" s="104" t="str">
        <f>IF(Main[[#This Row],[Tech Start Date]]&lt;1/1/1990,"",IF(Main[[#This Row],[Class]]="C",WORKDAY(Main[[#This Row],[Tech Start Date]],9),IF(Main[[#This Row],[Class]]="B", WORKDAY(Main[[#This Row],[Tech Start Date]],6),IF(Main[[#This Row],[Class]]="A",WORKDAY(Main[[#This Row],[Tech Start Date]],2),""))))</f>
        <v/>
      </c>
      <c r="N1094" s="104" t="str">
        <f>IF(Main[[#This Row],[Tech Start Date]]&lt;1/1/1990,"",IF(Main[[#This Row],[Class]]="C",WORKDAY(Main[[#This Row],[Tech Start Date]],19),IF(Main[[#This Row],[Class]]="B", WORKDAY(Main[[#This Row],[Tech Start Date]],12),IF(Main[[#This Row],[Class]]="A",WORKDAY(Main[[#This Row],[Tech Start Date]],4),""))))</f>
        <v/>
      </c>
      <c r="O1094" s="104" t="str">
        <f>IF(Main[[#This Row],[Tech Start Date]]&lt;1/1/1990,"",IF(Main[[#This Row],[Class]]="C",WORKDAY(Main[[#This Row],[Tech Start Date]],23),IF(Main[[#This Row],[Class]]="B", WORKDAY(Main[[#This Row],[Tech Start Date]],15),IF(Main[[#This Row],[Class]]="A",WORKDAY(Main[[#This Row],[Tech Start Date]],5),""))))</f>
        <v/>
      </c>
      <c r="P1094" s="104" t="str">
        <f>IF(Main[[#This Row],[Tech Start Date]]&lt;1/1/1990,"",IF(Main[[#This Row],[Class]]="C",WORKDAY(Main[[#This Row],[Tech Start Date]],28),IF(Main[[#This Row],[Class]]="B", WORKDAY(Main[[#This Row],[Tech Start Date]],19),IF(Main[[#This Row],[Class]]="A",WORKDAY(Main[[#This Row],[Tech Start Date]],9),""))))</f>
        <v/>
      </c>
      <c r="Q1094" s="101">
        <v>40939</v>
      </c>
      <c r="R1094" s="101"/>
      <c r="S1094" s="99" t="s">
        <v>6</v>
      </c>
      <c r="T1094" s="107" t="s">
        <v>4</v>
      </c>
      <c r="U1094" s="99" t="s">
        <v>29</v>
      </c>
      <c r="V1094" s="99" t="s">
        <v>1965</v>
      </c>
      <c r="W1094" s="99" t="s">
        <v>1966</v>
      </c>
    </row>
    <row r="1095" spans="1:23" ht="18.600000000000001" customHeight="1">
      <c r="A1095" s="123" t="str">
        <f>IF(priority(Main[[#This Row],[Comments]])&lt;&gt;0, priority(Main[[#This Row],[Comments]]),"")</f>
        <v/>
      </c>
      <c r="B1095" s="127" t="s">
        <v>2622</v>
      </c>
      <c r="C1095" s="99" t="s">
        <v>4</v>
      </c>
      <c r="D1095" s="100" t="s">
        <v>2623</v>
      </c>
      <c r="E1095" s="101">
        <v>40869.535266203704</v>
      </c>
      <c r="F1095" s="101"/>
      <c r="G1095" s="102" t="str">
        <f>IF(stdProdLT(Main[[#This Row],[Comments]])=0.1,"N/A",IF(stdProdLT(Main[[#This Row],[Comments]])=0,"",stdProdLT(Main[[#This Row],[Comments]])))</f>
        <v/>
      </c>
      <c r="H1095" s="103" t="str">
        <f>IF(AND(Main[[#This Row],[In Stock Date]]&lt;&gt;"",Main[[#This Row],[Revised Due Date]]&lt;&gt;""),Main[[#This Row],[In Stock Date]]-Main[[#This Row],[Revised Due Date]],"")</f>
        <v/>
      </c>
      <c r="I1095" s="99" t="s">
        <v>81</v>
      </c>
      <c r="J1095" s="99" t="s">
        <v>52</v>
      </c>
      <c r="K1095" s="99" t="s">
        <v>4</v>
      </c>
      <c r="L1095" s="101"/>
      <c r="M1095" s="104" t="str">
        <f>IF(Main[[#This Row],[Tech Start Date]]&lt;1/1/1990,"",IF(Main[[#This Row],[Class]]="C",WORKDAY(Main[[#This Row],[Tech Start Date]],9),IF(Main[[#This Row],[Class]]="B", WORKDAY(Main[[#This Row],[Tech Start Date]],6),IF(Main[[#This Row],[Class]]="A",WORKDAY(Main[[#This Row],[Tech Start Date]],2),""))))</f>
        <v/>
      </c>
      <c r="N1095" s="104" t="str">
        <f>IF(Main[[#This Row],[Tech Start Date]]&lt;1/1/1990,"",IF(Main[[#This Row],[Class]]="C",WORKDAY(Main[[#This Row],[Tech Start Date]],19),IF(Main[[#This Row],[Class]]="B", WORKDAY(Main[[#This Row],[Tech Start Date]],12),IF(Main[[#This Row],[Class]]="A",WORKDAY(Main[[#This Row],[Tech Start Date]],4),""))))</f>
        <v/>
      </c>
      <c r="O1095" s="104" t="str">
        <f>IF(Main[[#This Row],[Tech Start Date]]&lt;1/1/1990,"",IF(Main[[#This Row],[Class]]="C",WORKDAY(Main[[#This Row],[Tech Start Date]],23),IF(Main[[#This Row],[Class]]="B", WORKDAY(Main[[#This Row],[Tech Start Date]],15),IF(Main[[#This Row],[Class]]="A",WORKDAY(Main[[#This Row],[Tech Start Date]],5),""))))</f>
        <v/>
      </c>
      <c r="P1095" s="104" t="str">
        <f>IF(Main[[#This Row],[Tech Start Date]]&lt;1/1/1990,"",IF(Main[[#This Row],[Class]]="C",WORKDAY(Main[[#This Row],[Tech Start Date]],28),IF(Main[[#This Row],[Class]]="B", WORKDAY(Main[[#This Row],[Tech Start Date]],19),IF(Main[[#This Row],[Class]]="A",WORKDAY(Main[[#This Row],[Tech Start Date]],9),""))))</f>
        <v/>
      </c>
      <c r="Q1095" s="101"/>
      <c r="R1095" s="101"/>
      <c r="S1095" s="99" t="s">
        <v>6</v>
      </c>
      <c r="T1095" s="107" t="s">
        <v>4</v>
      </c>
      <c r="U1095" s="99" t="s">
        <v>29</v>
      </c>
      <c r="V1095" s="99" t="s">
        <v>1972</v>
      </c>
      <c r="W1095" s="99" t="s">
        <v>1966</v>
      </c>
    </row>
    <row r="1096" spans="1:23" ht="18.600000000000001" customHeight="1">
      <c r="A1096" s="123" t="str">
        <f>IF(priority(Main[[#This Row],[Comments]])&lt;&gt;0, priority(Main[[#This Row],[Comments]]),"")</f>
        <v/>
      </c>
      <c r="B1096" s="127" t="s">
        <v>3072</v>
      </c>
      <c r="C1096" s="99" t="s">
        <v>4</v>
      </c>
      <c r="D1096" s="100" t="s">
        <v>3073</v>
      </c>
      <c r="E1096" s="101">
        <v>40879.610138888886</v>
      </c>
      <c r="F1096" s="101"/>
      <c r="G1096" s="102" t="str">
        <f>IF(stdProdLT(Main[[#This Row],[Comments]])=0.1,"N/A",IF(stdProdLT(Main[[#This Row],[Comments]])=0,"",stdProdLT(Main[[#This Row],[Comments]])))</f>
        <v/>
      </c>
      <c r="H1096" s="103" t="str">
        <f>IF(AND(Main[[#This Row],[In Stock Date]]&lt;&gt;"",Main[[#This Row],[Revised Due Date]]&lt;&gt;""),Main[[#This Row],[In Stock Date]]-Main[[#This Row],[Revised Due Date]],"")</f>
        <v/>
      </c>
      <c r="I1096" s="99" t="s">
        <v>2102</v>
      </c>
      <c r="J1096" s="99" t="s">
        <v>28</v>
      </c>
      <c r="K1096" s="99" t="s">
        <v>1971</v>
      </c>
      <c r="L1096" s="101"/>
      <c r="M1096" s="104" t="str">
        <f>IF(Main[[#This Row],[Tech Start Date]]&lt;1/1/1990,"",IF(Main[[#This Row],[Class]]="C",WORKDAY(Main[[#This Row],[Tech Start Date]],9),IF(Main[[#This Row],[Class]]="B", WORKDAY(Main[[#This Row],[Tech Start Date]],6),IF(Main[[#This Row],[Class]]="A",WORKDAY(Main[[#This Row],[Tech Start Date]],2),""))))</f>
        <v/>
      </c>
      <c r="N1096" s="104" t="str">
        <f>IF(Main[[#This Row],[Tech Start Date]]&lt;1/1/1990,"",IF(Main[[#This Row],[Class]]="C",WORKDAY(Main[[#This Row],[Tech Start Date]],19),IF(Main[[#This Row],[Class]]="B", WORKDAY(Main[[#This Row],[Tech Start Date]],12),IF(Main[[#This Row],[Class]]="A",WORKDAY(Main[[#This Row],[Tech Start Date]],4),""))))</f>
        <v/>
      </c>
      <c r="O1096" s="104" t="str">
        <f>IF(Main[[#This Row],[Tech Start Date]]&lt;1/1/1990,"",IF(Main[[#This Row],[Class]]="C",WORKDAY(Main[[#This Row],[Tech Start Date]],23),IF(Main[[#This Row],[Class]]="B", WORKDAY(Main[[#This Row],[Tech Start Date]],15),IF(Main[[#This Row],[Class]]="A",WORKDAY(Main[[#This Row],[Tech Start Date]],5),""))))</f>
        <v/>
      </c>
      <c r="P1096" s="104" t="str">
        <f>IF(Main[[#This Row],[Tech Start Date]]&lt;1/1/1990,"",IF(Main[[#This Row],[Class]]="C",WORKDAY(Main[[#This Row],[Tech Start Date]],28),IF(Main[[#This Row],[Class]]="B", WORKDAY(Main[[#This Row],[Tech Start Date]],19),IF(Main[[#This Row],[Class]]="A",WORKDAY(Main[[#This Row],[Tech Start Date]],9),""))))</f>
        <v/>
      </c>
      <c r="Q1096" s="101">
        <v>40921</v>
      </c>
      <c r="R1096" s="101"/>
      <c r="S1096" s="99" t="s">
        <v>6</v>
      </c>
      <c r="T1096" s="107" t="s">
        <v>4</v>
      </c>
      <c r="U1096" s="99" t="s">
        <v>29</v>
      </c>
      <c r="V1096" s="99" t="s">
        <v>1972</v>
      </c>
      <c r="W1096" s="99" t="s">
        <v>1966</v>
      </c>
    </row>
    <row r="1097" spans="1:23" ht="18.600000000000001" customHeight="1">
      <c r="A1097" s="123" t="str">
        <f>IF(priority(Main[[#This Row],[Comments]])&lt;&gt;0, priority(Main[[#This Row],[Comments]]),"")</f>
        <v/>
      </c>
      <c r="B1097" s="127" t="s">
        <v>2497</v>
      </c>
      <c r="C1097" s="99" t="s">
        <v>72</v>
      </c>
      <c r="D1097" s="100" t="s">
        <v>2498</v>
      </c>
      <c r="E1097" s="101">
        <v>40856.064849537041</v>
      </c>
      <c r="F1097" s="101"/>
      <c r="G1097" s="102" t="str">
        <f>IF(stdProdLT(Main[[#This Row],[Comments]])=0.1,"N/A",IF(stdProdLT(Main[[#This Row],[Comments]])=0,"",stdProdLT(Main[[#This Row],[Comments]])))</f>
        <v/>
      </c>
      <c r="H1097" s="103" t="str">
        <f>IF(AND(Main[[#This Row],[In Stock Date]]&lt;&gt;"",Main[[#This Row],[Revised Due Date]]&lt;&gt;""),Main[[#This Row],[In Stock Date]]-Main[[#This Row],[Revised Due Date]],"")</f>
        <v/>
      </c>
      <c r="I1097" s="99" t="s">
        <v>4</v>
      </c>
      <c r="J1097" s="99" t="s">
        <v>4</v>
      </c>
      <c r="K1097" s="99" t="s">
        <v>4</v>
      </c>
      <c r="L1097" s="101"/>
      <c r="M1097" s="104" t="str">
        <f>IF(Main[[#This Row],[Tech Start Date]]&lt;1/1/1990,"",IF(Main[[#This Row],[Class]]="C",WORKDAY(Main[[#This Row],[Tech Start Date]],9),IF(Main[[#This Row],[Class]]="B", WORKDAY(Main[[#This Row],[Tech Start Date]],6),IF(Main[[#This Row],[Class]]="A",WORKDAY(Main[[#This Row],[Tech Start Date]],2),""))))</f>
        <v/>
      </c>
      <c r="N1097" s="104" t="str">
        <f>IF(Main[[#This Row],[Tech Start Date]]&lt;1/1/1990,"",IF(Main[[#This Row],[Class]]="C",WORKDAY(Main[[#This Row],[Tech Start Date]],19),IF(Main[[#This Row],[Class]]="B", WORKDAY(Main[[#This Row],[Tech Start Date]],12),IF(Main[[#This Row],[Class]]="A",WORKDAY(Main[[#This Row],[Tech Start Date]],4),""))))</f>
        <v/>
      </c>
      <c r="O1097" s="104" t="str">
        <f>IF(Main[[#This Row],[Tech Start Date]]&lt;1/1/1990,"",IF(Main[[#This Row],[Class]]="C",WORKDAY(Main[[#This Row],[Tech Start Date]],23),IF(Main[[#This Row],[Class]]="B", WORKDAY(Main[[#This Row],[Tech Start Date]],15),IF(Main[[#This Row],[Class]]="A",WORKDAY(Main[[#This Row],[Tech Start Date]],5),""))))</f>
        <v/>
      </c>
      <c r="P1097" s="104" t="str">
        <f>IF(Main[[#This Row],[Tech Start Date]]&lt;1/1/1990,"",IF(Main[[#This Row],[Class]]="C",WORKDAY(Main[[#This Row],[Tech Start Date]],28),IF(Main[[#This Row],[Class]]="B", WORKDAY(Main[[#This Row],[Tech Start Date]],19),IF(Main[[#This Row],[Class]]="A",WORKDAY(Main[[#This Row],[Tech Start Date]],9),""))))</f>
        <v/>
      </c>
      <c r="Q1097" s="101"/>
      <c r="R1097" s="101"/>
      <c r="S1097" s="99" t="s">
        <v>17</v>
      </c>
      <c r="T1097" s="107" t="s">
        <v>4</v>
      </c>
      <c r="U1097" s="99" t="s">
        <v>7</v>
      </c>
      <c r="V1097" s="99" t="s">
        <v>1963</v>
      </c>
      <c r="W1097" s="99" t="s">
        <v>1964</v>
      </c>
    </row>
    <row r="1098" spans="1:23" ht="18.600000000000001" customHeight="1">
      <c r="A1098" s="123" t="str">
        <f>IF(priority(Main[[#This Row],[Comments]])&lt;&gt;0, priority(Main[[#This Row],[Comments]]),"")</f>
        <v/>
      </c>
      <c r="B1098" s="127" t="s">
        <v>1941</v>
      </c>
      <c r="C1098" s="99" t="s">
        <v>4</v>
      </c>
      <c r="D1098" s="100" t="s">
        <v>2629</v>
      </c>
      <c r="E1098" s="101">
        <v>40203.692094907405</v>
      </c>
      <c r="F1098" s="101"/>
      <c r="G1098" s="102" t="str">
        <f>IF(stdProdLT(Main[[#This Row],[Comments]])=0.1,"N/A",IF(stdProdLT(Main[[#This Row],[Comments]])=0,"",stdProdLT(Main[[#This Row],[Comments]])))</f>
        <v/>
      </c>
      <c r="H1098" s="103" t="str">
        <f>IF(AND(Main[[#This Row],[In Stock Date]]&lt;&gt;"",Main[[#This Row],[Revised Due Date]]&lt;&gt;""),Main[[#This Row],[In Stock Date]]-Main[[#This Row],[Revised Due Date]],"")</f>
        <v/>
      </c>
      <c r="I1098" s="99" t="s">
        <v>893</v>
      </c>
      <c r="J1098" s="99" t="s">
        <v>28</v>
      </c>
      <c r="K1098" s="99" t="s">
        <v>1974</v>
      </c>
      <c r="L1098" s="101"/>
      <c r="M1098" s="104" t="str">
        <f>IF(Main[[#This Row],[Tech Start Date]]&lt;1/1/1990,"",IF(Main[[#This Row],[Class]]="C",WORKDAY(Main[[#This Row],[Tech Start Date]],9),IF(Main[[#This Row],[Class]]="B", WORKDAY(Main[[#This Row],[Tech Start Date]],6),IF(Main[[#This Row],[Class]]="A",WORKDAY(Main[[#This Row],[Tech Start Date]],2),""))))</f>
        <v/>
      </c>
      <c r="N1098" s="104" t="str">
        <f>IF(Main[[#This Row],[Tech Start Date]]&lt;1/1/1990,"",IF(Main[[#This Row],[Class]]="C",WORKDAY(Main[[#This Row],[Tech Start Date]],19),IF(Main[[#This Row],[Class]]="B", WORKDAY(Main[[#This Row],[Tech Start Date]],12),IF(Main[[#This Row],[Class]]="A",WORKDAY(Main[[#This Row],[Tech Start Date]],4),""))))</f>
        <v/>
      </c>
      <c r="O1098" s="104" t="str">
        <f>IF(Main[[#This Row],[Tech Start Date]]&lt;1/1/1990,"",IF(Main[[#This Row],[Class]]="C",WORKDAY(Main[[#This Row],[Tech Start Date]],23),IF(Main[[#This Row],[Class]]="B", WORKDAY(Main[[#This Row],[Tech Start Date]],15),IF(Main[[#This Row],[Class]]="A",WORKDAY(Main[[#This Row],[Tech Start Date]],5),""))))</f>
        <v/>
      </c>
      <c r="P1098" s="104" t="str">
        <f>IF(Main[[#This Row],[Tech Start Date]]&lt;1/1/1990,"",IF(Main[[#This Row],[Class]]="C",WORKDAY(Main[[#This Row],[Tech Start Date]],28),IF(Main[[#This Row],[Class]]="B", WORKDAY(Main[[#This Row],[Tech Start Date]],19),IF(Main[[#This Row],[Class]]="A",WORKDAY(Main[[#This Row],[Tech Start Date]],9),""))))</f>
        <v/>
      </c>
      <c r="Q1098" s="101">
        <v>40724</v>
      </c>
      <c r="R1098" s="101">
        <v>40998</v>
      </c>
      <c r="S1098" s="99" t="s">
        <v>17</v>
      </c>
      <c r="T1098" s="107" t="s">
        <v>2630</v>
      </c>
      <c r="U1098" s="99" t="s">
        <v>29</v>
      </c>
      <c r="V1098" s="99" t="s">
        <v>1962</v>
      </c>
      <c r="W1098" s="99" t="s">
        <v>1967</v>
      </c>
    </row>
    <row r="1099" spans="1:23" ht="18.600000000000001" customHeight="1">
      <c r="A1099" s="123" t="str">
        <f>IF(priority(Main[[#This Row],[Comments]])&lt;&gt;0, priority(Main[[#This Row],[Comments]]),"")</f>
        <v/>
      </c>
      <c r="B1099" s="127" t="s">
        <v>1559</v>
      </c>
      <c r="C1099" s="99" t="s">
        <v>4</v>
      </c>
      <c r="D1099" s="100" t="s">
        <v>2865</v>
      </c>
      <c r="E1099" s="101">
        <v>40436.377106481479</v>
      </c>
      <c r="F1099" s="101"/>
      <c r="G1099" s="102" t="str">
        <f>IF(stdProdLT(Main[[#This Row],[Comments]])=0.1,"N/A",IF(stdProdLT(Main[[#This Row],[Comments]])=0,"",stdProdLT(Main[[#This Row],[Comments]])))</f>
        <v/>
      </c>
      <c r="H1099" s="103" t="str">
        <f>IF(AND(Main[[#This Row],[In Stock Date]]&lt;&gt;"",Main[[#This Row],[Revised Due Date]]&lt;&gt;""),Main[[#This Row],[In Stock Date]]-Main[[#This Row],[Revised Due Date]],"")</f>
        <v/>
      </c>
      <c r="I1099" s="99" t="s">
        <v>4</v>
      </c>
      <c r="J1099" s="99" t="s">
        <v>4</v>
      </c>
      <c r="K1099" s="99" t="s">
        <v>1974</v>
      </c>
      <c r="L1099" s="101"/>
      <c r="M1099" s="104" t="str">
        <f>IF(Main[[#This Row],[Tech Start Date]]&lt;1/1/1990,"",IF(Main[[#This Row],[Class]]="C",WORKDAY(Main[[#This Row],[Tech Start Date]],9),IF(Main[[#This Row],[Class]]="B", WORKDAY(Main[[#This Row],[Tech Start Date]],6),IF(Main[[#This Row],[Class]]="A",WORKDAY(Main[[#This Row],[Tech Start Date]],2),""))))</f>
        <v/>
      </c>
      <c r="N1099" s="104" t="str">
        <f>IF(Main[[#This Row],[Tech Start Date]]&lt;1/1/1990,"",IF(Main[[#This Row],[Class]]="C",WORKDAY(Main[[#This Row],[Tech Start Date]],19),IF(Main[[#This Row],[Class]]="B", WORKDAY(Main[[#This Row],[Tech Start Date]],12),IF(Main[[#This Row],[Class]]="A",WORKDAY(Main[[#This Row],[Tech Start Date]],4),""))))</f>
        <v/>
      </c>
      <c r="O1099" s="104" t="str">
        <f>IF(Main[[#This Row],[Tech Start Date]]&lt;1/1/1990,"",IF(Main[[#This Row],[Class]]="C",WORKDAY(Main[[#This Row],[Tech Start Date]],23),IF(Main[[#This Row],[Class]]="B", WORKDAY(Main[[#This Row],[Tech Start Date]],15),IF(Main[[#This Row],[Class]]="A",WORKDAY(Main[[#This Row],[Tech Start Date]],5),""))))</f>
        <v/>
      </c>
      <c r="P1099" s="104" t="str">
        <f>IF(Main[[#This Row],[Tech Start Date]]&lt;1/1/1990,"",IF(Main[[#This Row],[Class]]="C",WORKDAY(Main[[#This Row],[Tech Start Date]],28),IF(Main[[#This Row],[Class]]="B", WORKDAY(Main[[#This Row],[Tech Start Date]],19),IF(Main[[#This Row],[Class]]="A",WORKDAY(Main[[#This Row],[Tech Start Date]],9),""))))</f>
        <v/>
      </c>
      <c r="Q1099" s="101">
        <v>41274</v>
      </c>
      <c r="R1099" s="101"/>
      <c r="S1099" s="99" t="s">
        <v>17</v>
      </c>
      <c r="T1099" s="107" t="s">
        <v>2866</v>
      </c>
      <c r="U1099" s="99" t="s">
        <v>29</v>
      </c>
      <c r="V1099" s="99" t="s">
        <v>1962</v>
      </c>
      <c r="W1099" s="99" t="s">
        <v>1967</v>
      </c>
    </row>
    <row r="1100" spans="1:23" ht="18.600000000000001" customHeight="1">
      <c r="A1100" s="123" t="str">
        <f>IF(priority(Main[[#This Row],[Comments]])&lt;&gt;0, priority(Main[[#This Row],[Comments]]),"")</f>
        <v/>
      </c>
      <c r="B1100" s="127" t="s">
        <v>2627</v>
      </c>
      <c r="C1100" s="99" t="s">
        <v>4</v>
      </c>
      <c r="D1100" s="100" t="s">
        <v>2628</v>
      </c>
      <c r="E1100" s="101">
        <v>40876.411770833336</v>
      </c>
      <c r="F1100" s="101"/>
      <c r="G1100" s="102" t="str">
        <f>IF(stdProdLT(Main[[#This Row],[Comments]])=0.1,"N/A",IF(stdProdLT(Main[[#This Row],[Comments]])=0,"",stdProdLT(Main[[#This Row],[Comments]])))</f>
        <v/>
      </c>
      <c r="H1100" s="103" t="str">
        <f>IF(AND(Main[[#This Row],[In Stock Date]]&lt;&gt;"",Main[[#This Row],[Revised Due Date]]&lt;&gt;""),Main[[#This Row],[In Stock Date]]-Main[[#This Row],[Revised Due Date]],"")</f>
        <v/>
      </c>
      <c r="I1100" s="99" t="s">
        <v>4</v>
      </c>
      <c r="J1100" s="99" t="s">
        <v>4</v>
      </c>
      <c r="K1100" s="99" t="s">
        <v>4</v>
      </c>
      <c r="L1100" s="101"/>
      <c r="M1100" s="104" t="str">
        <f>IF(Main[[#This Row],[Tech Start Date]]&lt;1/1/1990,"",IF(Main[[#This Row],[Class]]="C",WORKDAY(Main[[#This Row],[Tech Start Date]],9),IF(Main[[#This Row],[Class]]="B", WORKDAY(Main[[#This Row],[Tech Start Date]],6),IF(Main[[#This Row],[Class]]="A",WORKDAY(Main[[#This Row],[Tech Start Date]],2),""))))</f>
        <v/>
      </c>
      <c r="N1100" s="104" t="str">
        <f>IF(Main[[#This Row],[Tech Start Date]]&lt;1/1/1990,"",IF(Main[[#This Row],[Class]]="C",WORKDAY(Main[[#This Row],[Tech Start Date]],19),IF(Main[[#This Row],[Class]]="B", WORKDAY(Main[[#This Row],[Tech Start Date]],12),IF(Main[[#This Row],[Class]]="A",WORKDAY(Main[[#This Row],[Tech Start Date]],4),""))))</f>
        <v/>
      </c>
      <c r="O1100" s="104" t="str">
        <f>IF(Main[[#This Row],[Tech Start Date]]&lt;1/1/1990,"",IF(Main[[#This Row],[Class]]="C",WORKDAY(Main[[#This Row],[Tech Start Date]],23),IF(Main[[#This Row],[Class]]="B", WORKDAY(Main[[#This Row],[Tech Start Date]],15),IF(Main[[#This Row],[Class]]="A",WORKDAY(Main[[#This Row],[Tech Start Date]],5),""))))</f>
        <v/>
      </c>
      <c r="P1100" s="104" t="str">
        <f>IF(Main[[#This Row],[Tech Start Date]]&lt;1/1/1990,"",IF(Main[[#This Row],[Class]]="C",WORKDAY(Main[[#This Row],[Tech Start Date]],28),IF(Main[[#This Row],[Class]]="B", WORKDAY(Main[[#This Row],[Tech Start Date]],19),IF(Main[[#This Row],[Class]]="A",WORKDAY(Main[[#This Row],[Tech Start Date]],9),""))))</f>
        <v/>
      </c>
      <c r="Q1100" s="101"/>
      <c r="R1100" s="101"/>
      <c r="S1100" s="99" t="s">
        <v>6</v>
      </c>
      <c r="T1100" s="107" t="s">
        <v>4</v>
      </c>
      <c r="U1100" s="99" t="s">
        <v>7</v>
      </c>
      <c r="V1100" s="99" t="s">
        <v>1962</v>
      </c>
      <c r="W1100" s="99" t="s">
        <v>1970</v>
      </c>
    </row>
    <row r="1101" spans="1:23" ht="18.600000000000001" customHeight="1">
      <c r="A1101" s="123" t="str">
        <f>IF(priority(Main[[#This Row],[Comments]])&lt;&gt;0, priority(Main[[#This Row],[Comments]]),"")</f>
        <v/>
      </c>
      <c r="B1101" s="127" t="s">
        <v>2634</v>
      </c>
      <c r="C1101" s="99" t="s">
        <v>47</v>
      </c>
      <c r="D1101" s="100" t="s">
        <v>2635</v>
      </c>
      <c r="E1101" s="101">
        <v>40847.703182870369</v>
      </c>
      <c r="F1101" s="101"/>
      <c r="G1101" s="102" t="str">
        <f>IF(stdProdLT(Main[[#This Row],[Comments]])=0.1,"N/A",IF(stdProdLT(Main[[#This Row],[Comments]])=0,"",stdProdLT(Main[[#This Row],[Comments]])))</f>
        <v/>
      </c>
      <c r="H1101" s="103" t="str">
        <f>IF(AND(Main[[#This Row],[In Stock Date]]&lt;&gt;"",Main[[#This Row],[Revised Due Date]]&lt;&gt;""),Main[[#This Row],[In Stock Date]]-Main[[#This Row],[Revised Due Date]],"")</f>
        <v/>
      </c>
      <c r="I1101" s="99" t="s">
        <v>69</v>
      </c>
      <c r="J1101" s="99" t="s">
        <v>28</v>
      </c>
      <c r="K1101" s="108" t="s">
        <v>1971</v>
      </c>
      <c r="L1101" s="101"/>
      <c r="M1101" s="104" t="str">
        <f>IF(Main[[#This Row],[Tech Start Date]]&lt;1/1/1990,"",IF(Main[[#This Row],[Class]]="C",WORKDAY(Main[[#This Row],[Tech Start Date]],9),IF(Main[[#This Row],[Class]]="B", WORKDAY(Main[[#This Row],[Tech Start Date]],6),IF(Main[[#This Row],[Class]]="A",WORKDAY(Main[[#This Row],[Tech Start Date]],2),""))))</f>
        <v/>
      </c>
      <c r="N1101" s="104" t="str">
        <f>IF(Main[[#This Row],[Tech Start Date]]&lt;1/1/1990,"",IF(Main[[#This Row],[Class]]="C",WORKDAY(Main[[#This Row],[Tech Start Date]],19),IF(Main[[#This Row],[Class]]="B", WORKDAY(Main[[#This Row],[Tech Start Date]],12),IF(Main[[#This Row],[Class]]="A",WORKDAY(Main[[#This Row],[Tech Start Date]],4),""))))</f>
        <v/>
      </c>
      <c r="O1101" s="104" t="str">
        <f>IF(Main[[#This Row],[Tech Start Date]]&lt;1/1/1990,"",IF(Main[[#This Row],[Class]]="C",WORKDAY(Main[[#This Row],[Tech Start Date]],23),IF(Main[[#This Row],[Class]]="B", WORKDAY(Main[[#This Row],[Tech Start Date]],15),IF(Main[[#This Row],[Class]]="A",WORKDAY(Main[[#This Row],[Tech Start Date]],5),""))))</f>
        <v/>
      </c>
      <c r="P1101" s="104" t="str">
        <f>IF(Main[[#This Row],[Tech Start Date]]&lt;1/1/1990,"",IF(Main[[#This Row],[Class]]="C",WORKDAY(Main[[#This Row],[Tech Start Date]],28),IF(Main[[#This Row],[Class]]="B", WORKDAY(Main[[#This Row],[Tech Start Date]],19),IF(Main[[#This Row],[Class]]="A",WORKDAY(Main[[#This Row],[Tech Start Date]],9),""))))</f>
        <v/>
      </c>
      <c r="Q1101" s="101">
        <v>40862</v>
      </c>
      <c r="R1101" s="101"/>
      <c r="S1101" s="99" t="s">
        <v>6</v>
      </c>
      <c r="T1101" s="107" t="s">
        <v>4</v>
      </c>
      <c r="U1101" s="99" t="s">
        <v>29</v>
      </c>
      <c r="V1101" s="99" t="s">
        <v>1965</v>
      </c>
      <c r="W1101" s="99" t="s">
        <v>1966</v>
      </c>
    </row>
    <row r="1102" spans="1:23" ht="18.600000000000001" customHeight="1">
      <c r="A1102" s="123" t="str">
        <f>IF(priority(Main[[#This Row],[Comments]])&lt;&gt;0, priority(Main[[#This Row],[Comments]]),"")</f>
        <v/>
      </c>
      <c r="B1102" s="127" t="s">
        <v>1918</v>
      </c>
      <c r="C1102" s="99" t="s">
        <v>99</v>
      </c>
      <c r="D1102" s="100" t="s">
        <v>945</v>
      </c>
      <c r="E1102" s="101"/>
      <c r="F1102" s="101">
        <v>40644</v>
      </c>
      <c r="G1102" s="102" t="str">
        <f>IF(stdProdLT(Main[[#This Row],[Comments]])=0.1,"N/A",IF(stdProdLT(Main[[#This Row],[Comments]])=0,"",stdProdLT(Main[[#This Row],[Comments]])))</f>
        <v/>
      </c>
      <c r="H1102" s="103">
        <f>IF(AND(Main[[#This Row],[In Stock Date]]&lt;&gt;"",Main[[#This Row],[Revised Due Date]]&lt;&gt;""),Main[[#This Row],[In Stock Date]]-Main[[#This Row],[Revised Due Date]],"")</f>
        <v>-19</v>
      </c>
      <c r="I1102" s="99" t="s">
        <v>4</v>
      </c>
      <c r="J1102" s="99" t="s">
        <v>21</v>
      </c>
      <c r="K1102" s="99" t="s">
        <v>1974</v>
      </c>
      <c r="L1102" s="101"/>
      <c r="M1102" s="104" t="str">
        <f>IF(Main[[#This Row],[Tech Start Date]]&lt;1/1/1990,"",IF(Main[[#This Row],[Class]]="C",WORKDAY(Main[[#This Row],[Tech Start Date]],9),IF(Main[[#This Row],[Class]]="B", WORKDAY(Main[[#This Row],[Tech Start Date]],6),IF(Main[[#This Row],[Class]]="A",WORKDAY(Main[[#This Row],[Tech Start Date]],2),""))))</f>
        <v/>
      </c>
      <c r="N1102" s="104" t="str">
        <f>IF(Main[[#This Row],[Tech Start Date]]&lt;1/1/1990,"",IF(Main[[#This Row],[Class]]="C",WORKDAY(Main[[#This Row],[Tech Start Date]],19),IF(Main[[#This Row],[Class]]="B", WORKDAY(Main[[#This Row],[Tech Start Date]],12),IF(Main[[#This Row],[Class]]="A",WORKDAY(Main[[#This Row],[Tech Start Date]],4),""))))</f>
        <v/>
      </c>
      <c r="O1102" s="104" t="str">
        <f>IF(Main[[#This Row],[Tech Start Date]]&lt;1/1/1990,"",IF(Main[[#This Row],[Class]]="C",WORKDAY(Main[[#This Row],[Tech Start Date]],23),IF(Main[[#This Row],[Class]]="B", WORKDAY(Main[[#This Row],[Tech Start Date]],15),IF(Main[[#This Row],[Class]]="A",WORKDAY(Main[[#This Row],[Tech Start Date]],5),""))))</f>
        <v/>
      </c>
      <c r="P1102" s="104" t="str">
        <f>IF(Main[[#This Row],[Tech Start Date]]&lt;1/1/1990,"",IF(Main[[#This Row],[Class]]="C",WORKDAY(Main[[#This Row],[Tech Start Date]],28),IF(Main[[#This Row],[Class]]="B", WORKDAY(Main[[#This Row],[Tech Start Date]],19),IF(Main[[#This Row],[Class]]="A",WORKDAY(Main[[#This Row],[Tech Start Date]],9),""))))</f>
        <v/>
      </c>
      <c r="Q1102" s="101">
        <v>40663</v>
      </c>
      <c r="R1102" s="101">
        <v>40663</v>
      </c>
      <c r="S1102" s="99" t="s">
        <v>11</v>
      </c>
      <c r="T1102" s="107" t="s">
        <v>4</v>
      </c>
      <c r="U1102" s="99" t="s">
        <v>14</v>
      </c>
      <c r="V1102" s="99" t="s">
        <v>1962</v>
      </c>
      <c r="W1102" s="99" t="s">
        <v>1967</v>
      </c>
    </row>
    <row r="1103" spans="1:23" ht="18.600000000000001" customHeight="1">
      <c r="A1103" s="123" t="str">
        <f>IF(priority(Main[[#This Row],[Comments]])&lt;&gt;0, priority(Main[[#This Row],[Comments]]),"")</f>
        <v/>
      </c>
      <c r="B1103" s="127" t="s">
        <v>3094</v>
      </c>
      <c r="C1103" s="99" t="s">
        <v>3095</v>
      </c>
      <c r="D1103" s="100" t="s">
        <v>3096</v>
      </c>
      <c r="E1103" s="101">
        <v>40882.451157407406</v>
      </c>
      <c r="F1103" s="101"/>
      <c r="G1103" s="102" t="str">
        <f>IF(stdProdLT(Main[[#This Row],[Comments]])=0.1,"N/A",IF(stdProdLT(Main[[#This Row],[Comments]])=0,"",stdProdLT(Main[[#This Row],[Comments]])))</f>
        <v/>
      </c>
      <c r="H1103" s="103" t="str">
        <f>IF(AND(Main[[#This Row],[In Stock Date]]&lt;&gt;"",Main[[#This Row],[Revised Due Date]]&lt;&gt;""),Main[[#This Row],[In Stock Date]]-Main[[#This Row],[Revised Due Date]],"")</f>
        <v/>
      </c>
      <c r="I1103" s="99" t="s">
        <v>4</v>
      </c>
      <c r="J1103" s="99" t="s">
        <v>4</v>
      </c>
      <c r="K1103" s="99" t="s">
        <v>4</v>
      </c>
      <c r="L1103" s="101"/>
      <c r="M1103" s="104" t="str">
        <f>IF(Main[[#This Row],[Tech Start Date]]&lt;1/1/1990,"",IF(Main[[#This Row],[Class]]="C",WORKDAY(Main[[#This Row],[Tech Start Date]],9),IF(Main[[#This Row],[Class]]="B", WORKDAY(Main[[#This Row],[Tech Start Date]],6),IF(Main[[#This Row],[Class]]="A",WORKDAY(Main[[#This Row],[Tech Start Date]],2),""))))</f>
        <v/>
      </c>
      <c r="N1103" s="104" t="str">
        <f>IF(Main[[#This Row],[Tech Start Date]]&lt;1/1/1990,"",IF(Main[[#This Row],[Class]]="C",WORKDAY(Main[[#This Row],[Tech Start Date]],19),IF(Main[[#This Row],[Class]]="B", WORKDAY(Main[[#This Row],[Tech Start Date]],12),IF(Main[[#This Row],[Class]]="A",WORKDAY(Main[[#This Row],[Tech Start Date]],4),""))))</f>
        <v/>
      </c>
      <c r="O1103" s="104" t="str">
        <f>IF(Main[[#This Row],[Tech Start Date]]&lt;1/1/1990,"",IF(Main[[#This Row],[Class]]="C",WORKDAY(Main[[#This Row],[Tech Start Date]],23),IF(Main[[#This Row],[Class]]="B", WORKDAY(Main[[#This Row],[Tech Start Date]],15),IF(Main[[#This Row],[Class]]="A",WORKDAY(Main[[#This Row],[Tech Start Date]],5),""))))</f>
        <v/>
      </c>
      <c r="P1103" s="104" t="str">
        <f>IF(Main[[#This Row],[Tech Start Date]]&lt;1/1/1990,"",IF(Main[[#This Row],[Class]]="C",WORKDAY(Main[[#This Row],[Tech Start Date]],28),IF(Main[[#This Row],[Class]]="B", WORKDAY(Main[[#This Row],[Tech Start Date]],19),IF(Main[[#This Row],[Class]]="A",WORKDAY(Main[[#This Row],[Tech Start Date]],9),""))))</f>
        <v/>
      </c>
      <c r="Q1103" s="101"/>
      <c r="R1103" s="101"/>
      <c r="S1103" s="99" t="s">
        <v>11</v>
      </c>
      <c r="T1103" s="107" t="s">
        <v>4</v>
      </c>
      <c r="U1103" s="99" t="s">
        <v>7</v>
      </c>
      <c r="V1103" s="99" t="s">
        <v>1963</v>
      </c>
      <c r="W1103" s="99" t="s">
        <v>1967</v>
      </c>
    </row>
    <row r="1104" spans="1:23" ht="18.600000000000001" customHeight="1">
      <c r="A1104" s="123" t="str">
        <f>IF(priority(Main[[#This Row],[Comments]])&lt;&gt;0, priority(Main[[#This Row],[Comments]]),"")</f>
        <v/>
      </c>
      <c r="B1104" s="127" t="s">
        <v>2636</v>
      </c>
      <c r="C1104" s="99" t="s">
        <v>4</v>
      </c>
      <c r="D1104" s="100" t="s">
        <v>2637</v>
      </c>
      <c r="E1104" s="101"/>
      <c r="F1104" s="101"/>
      <c r="G1104" s="102" t="str">
        <f>IF(stdProdLT(Main[[#This Row],[Comments]])=0.1,"N/A",IF(stdProdLT(Main[[#This Row],[Comments]])=0,"",stdProdLT(Main[[#This Row],[Comments]])))</f>
        <v/>
      </c>
      <c r="H1104" s="103" t="str">
        <f>IF(AND(Main[[#This Row],[In Stock Date]]&lt;&gt;"",Main[[#This Row],[Revised Due Date]]&lt;&gt;""),Main[[#This Row],[In Stock Date]]-Main[[#This Row],[Revised Due Date]],"")</f>
        <v/>
      </c>
      <c r="I1104" s="99" t="s">
        <v>4</v>
      </c>
      <c r="J1104" s="99" t="s">
        <v>4</v>
      </c>
      <c r="K1104" s="99" t="s">
        <v>4</v>
      </c>
      <c r="L1104" s="101"/>
      <c r="M1104" s="104" t="str">
        <f>IF(Main[[#This Row],[Tech Start Date]]&lt;1/1/1990,"",IF(Main[[#This Row],[Class]]="C",WORKDAY(Main[[#This Row],[Tech Start Date]],9),IF(Main[[#This Row],[Class]]="B", WORKDAY(Main[[#This Row],[Tech Start Date]],6),IF(Main[[#This Row],[Class]]="A",WORKDAY(Main[[#This Row],[Tech Start Date]],2),""))))</f>
        <v/>
      </c>
      <c r="N1104" s="104" t="str">
        <f>IF(Main[[#This Row],[Tech Start Date]]&lt;1/1/1990,"",IF(Main[[#This Row],[Class]]="C",WORKDAY(Main[[#This Row],[Tech Start Date]],19),IF(Main[[#This Row],[Class]]="B", WORKDAY(Main[[#This Row],[Tech Start Date]],12),IF(Main[[#This Row],[Class]]="A",WORKDAY(Main[[#This Row],[Tech Start Date]],4),""))))</f>
        <v/>
      </c>
      <c r="O1104" s="104" t="str">
        <f>IF(Main[[#This Row],[Tech Start Date]]&lt;1/1/1990,"",IF(Main[[#This Row],[Class]]="C",WORKDAY(Main[[#This Row],[Tech Start Date]],23),IF(Main[[#This Row],[Class]]="B", WORKDAY(Main[[#This Row],[Tech Start Date]],15),IF(Main[[#This Row],[Class]]="A",WORKDAY(Main[[#This Row],[Tech Start Date]],5),""))))</f>
        <v/>
      </c>
      <c r="P1104" s="104" t="str">
        <f>IF(Main[[#This Row],[Tech Start Date]]&lt;1/1/1990,"",IF(Main[[#This Row],[Class]]="C",WORKDAY(Main[[#This Row],[Tech Start Date]],28),IF(Main[[#This Row],[Class]]="B", WORKDAY(Main[[#This Row],[Tech Start Date]],19),IF(Main[[#This Row],[Class]]="A",WORKDAY(Main[[#This Row],[Tech Start Date]],9),""))))</f>
        <v/>
      </c>
      <c r="Q1104" s="101"/>
      <c r="R1104" s="101"/>
      <c r="S1104" s="99" t="s">
        <v>11</v>
      </c>
      <c r="T1104" s="107" t="s">
        <v>4</v>
      </c>
      <c r="U1104" s="99" t="s">
        <v>14</v>
      </c>
      <c r="V1104" s="99" t="s">
        <v>1963</v>
      </c>
      <c r="W1104" s="99" t="s">
        <v>4</v>
      </c>
    </row>
    <row r="1105" spans="1:23" ht="18.600000000000001" customHeight="1">
      <c r="A1105" s="123" t="str">
        <f>IF(priority(Main[[#This Row],[Comments]])&lt;&gt;0, priority(Main[[#This Row],[Comments]]),"")</f>
        <v/>
      </c>
      <c r="B1105" s="127" t="s">
        <v>2638</v>
      </c>
      <c r="C1105" s="99" t="s">
        <v>2561</v>
      </c>
      <c r="D1105" s="100" t="s">
        <v>2639</v>
      </c>
      <c r="E1105" s="101"/>
      <c r="F1105" s="101">
        <v>40969</v>
      </c>
      <c r="G1105" s="102" t="str">
        <f>IF(stdProdLT(Main[[#This Row],[Comments]])=0.1,"N/A",IF(stdProdLT(Main[[#This Row],[Comments]])=0,"",stdProdLT(Main[[#This Row],[Comments]])))</f>
        <v/>
      </c>
      <c r="H1105" s="103" t="str">
        <f>IF(AND(Main[[#This Row],[In Stock Date]]&lt;&gt;"",Main[[#This Row],[Revised Due Date]]&lt;&gt;""),Main[[#This Row],[In Stock Date]]-Main[[#This Row],[Revised Due Date]],"")</f>
        <v/>
      </c>
      <c r="I1105" s="99" t="s">
        <v>4</v>
      </c>
      <c r="J1105" s="99" t="s">
        <v>4</v>
      </c>
      <c r="K1105" s="99" t="s">
        <v>4</v>
      </c>
      <c r="L1105" s="101"/>
      <c r="M1105" s="104" t="str">
        <f>IF(Main[[#This Row],[Tech Start Date]]&lt;1/1/1990,"",IF(Main[[#This Row],[Class]]="C",WORKDAY(Main[[#This Row],[Tech Start Date]],9),IF(Main[[#This Row],[Class]]="B", WORKDAY(Main[[#This Row],[Tech Start Date]],6),IF(Main[[#This Row],[Class]]="A",WORKDAY(Main[[#This Row],[Tech Start Date]],2),""))))</f>
        <v/>
      </c>
      <c r="N1105" s="104" t="str">
        <f>IF(Main[[#This Row],[Tech Start Date]]&lt;1/1/1990,"",IF(Main[[#This Row],[Class]]="C",WORKDAY(Main[[#This Row],[Tech Start Date]],19),IF(Main[[#This Row],[Class]]="B", WORKDAY(Main[[#This Row],[Tech Start Date]],12),IF(Main[[#This Row],[Class]]="A",WORKDAY(Main[[#This Row],[Tech Start Date]],4),""))))</f>
        <v/>
      </c>
      <c r="O1105" s="104" t="str">
        <f>IF(Main[[#This Row],[Tech Start Date]]&lt;1/1/1990,"",IF(Main[[#This Row],[Class]]="C",WORKDAY(Main[[#This Row],[Tech Start Date]],23),IF(Main[[#This Row],[Class]]="B", WORKDAY(Main[[#This Row],[Tech Start Date]],15),IF(Main[[#This Row],[Class]]="A",WORKDAY(Main[[#This Row],[Tech Start Date]],5),""))))</f>
        <v/>
      </c>
      <c r="P1105" s="104" t="str">
        <f>IF(Main[[#This Row],[Tech Start Date]]&lt;1/1/1990,"",IF(Main[[#This Row],[Class]]="C",WORKDAY(Main[[#This Row],[Tech Start Date]],28),IF(Main[[#This Row],[Class]]="B", WORKDAY(Main[[#This Row],[Tech Start Date]],19),IF(Main[[#This Row],[Class]]="A",WORKDAY(Main[[#This Row],[Tech Start Date]],9),""))))</f>
        <v/>
      </c>
      <c r="Q1105" s="101"/>
      <c r="R1105" s="101"/>
      <c r="S1105" s="99" t="s">
        <v>4</v>
      </c>
      <c r="T1105" s="107" t="s">
        <v>2640</v>
      </c>
      <c r="U1105" s="99" t="s">
        <v>14</v>
      </c>
      <c r="V1105" s="99" t="s">
        <v>1965</v>
      </c>
      <c r="W1105" s="99" t="s">
        <v>4</v>
      </c>
    </row>
    <row r="1106" spans="1:23" ht="18.600000000000001" customHeight="1">
      <c r="A1106" s="123" t="str">
        <f>IF(priority(Main[[#This Row],[Comments]])&lt;&gt;0, priority(Main[[#This Row],[Comments]]),"")</f>
        <v/>
      </c>
      <c r="B1106" s="127" t="s">
        <v>2641</v>
      </c>
      <c r="C1106" s="99" t="s">
        <v>4</v>
      </c>
      <c r="D1106" s="100" t="s">
        <v>2642</v>
      </c>
      <c r="E1106" s="101">
        <v>40849.40829861111</v>
      </c>
      <c r="F1106" s="101"/>
      <c r="G1106" s="102" t="str">
        <f>IF(stdProdLT(Main[[#This Row],[Comments]])=0.1,"N/A",IF(stdProdLT(Main[[#This Row],[Comments]])=0,"",stdProdLT(Main[[#This Row],[Comments]])))</f>
        <v/>
      </c>
      <c r="H1106" s="103" t="str">
        <f>IF(AND(Main[[#This Row],[In Stock Date]]&lt;&gt;"",Main[[#This Row],[Revised Due Date]]&lt;&gt;""),Main[[#This Row],[In Stock Date]]-Main[[#This Row],[Revised Due Date]],"")</f>
        <v/>
      </c>
      <c r="I1106" s="99" t="s">
        <v>69</v>
      </c>
      <c r="J1106" s="99" t="s">
        <v>70</v>
      </c>
      <c r="K1106" s="99" t="s">
        <v>1971</v>
      </c>
      <c r="L1106" s="101"/>
      <c r="M1106" s="104" t="str">
        <f>IF(Main[[#This Row],[Tech Start Date]]&lt;1/1/1990,"",IF(Main[[#This Row],[Class]]="C",WORKDAY(Main[[#This Row],[Tech Start Date]],9),IF(Main[[#This Row],[Class]]="B", WORKDAY(Main[[#This Row],[Tech Start Date]],6),IF(Main[[#This Row],[Class]]="A",WORKDAY(Main[[#This Row],[Tech Start Date]],2),""))))</f>
        <v/>
      </c>
      <c r="N1106" s="104" t="str">
        <f>IF(Main[[#This Row],[Tech Start Date]]&lt;1/1/1990,"",IF(Main[[#This Row],[Class]]="C",WORKDAY(Main[[#This Row],[Tech Start Date]],19),IF(Main[[#This Row],[Class]]="B", WORKDAY(Main[[#This Row],[Tech Start Date]],12),IF(Main[[#This Row],[Class]]="A",WORKDAY(Main[[#This Row],[Tech Start Date]],4),""))))</f>
        <v/>
      </c>
      <c r="O1106" s="104" t="str">
        <f>IF(Main[[#This Row],[Tech Start Date]]&lt;1/1/1990,"",IF(Main[[#This Row],[Class]]="C",WORKDAY(Main[[#This Row],[Tech Start Date]],23),IF(Main[[#This Row],[Class]]="B", WORKDAY(Main[[#This Row],[Tech Start Date]],15),IF(Main[[#This Row],[Class]]="A",WORKDAY(Main[[#This Row],[Tech Start Date]],5),""))))</f>
        <v/>
      </c>
      <c r="P1106" s="104" t="str">
        <f>IF(Main[[#This Row],[Tech Start Date]]&lt;1/1/1990,"",IF(Main[[#This Row],[Class]]="C",WORKDAY(Main[[#This Row],[Tech Start Date]],28),IF(Main[[#This Row],[Class]]="B", WORKDAY(Main[[#This Row],[Tech Start Date]],19),IF(Main[[#This Row],[Class]]="A",WORKDAY(Main[[#This Row],[Tech Start Date]],9),""))))</f>
        <v/>
      </c>
      <c r="Q1106" s="101">
        <v>40856</v>
      </c>
      <c r="R1106" s="101"/>
      <c r="S1106" s="99" t="s">
        <v>6</v>
      </c>
      <c r="T1106" s="107" t="s">
        <v>4</v>
      </c>
      <c r="U1106" s="99" t="s">
        <v>29</v>
      </c>
      <c r="V1106" s="99" t="s">
        <v>1965</v>
      </c>
      <c r="W1106" s="99" t="s">
        <v>1966</v>
      </c>
    </row>
    <row r="1107" spans="1:23" ht="18.600000000000001" customHeight="1">
      <c r="A1107" s="123" t="str">
        <f>IF(priority(Main[[#This Row],[Comments]])&lt;&gt;0, priority(Main[[#This Row],[Comments]]),"")</f>
        <v/>
      </c>
      <c r="B1107" s="127" t="s">
        <v>2644</v>
      </c>
      <c r="C1107" s="99" t="s">
        <v>4</v>
      </c>
      <c r="D1107" s="100" t="s">
        <v>2645</v>
      </c>
      <c r="E1107" s="101">
        <v>40834.323900462965</v>
      </c>
      <c r="F1107" s="101"/>
      <c r="G1107" s="102" t="str">
        <f>IF(stdProdLT(Main[[#This Row],[Comments]])=0.1,"N/A",IF(stdProdLT(Main[[#This Row],[Comments]])=0,"",stdProdLT(Main[[#This Row],[Comments]])))</f>
        <v/>
      </c>
      <c r="H1107" s="103" t="str">
        <f>IF(AND(Main[[#This Row],[In Stock Date]]&lt;&gt;"",Main[[#This Row],[Revised Due Date]]&lt;&gt;""),Main[[#This Row],[In Stock Date]]-Main[[#This Row],[Revised Due Date]],"")</f>
        <v/>
      </c>
      <c r="I1107" s="99" t="s">
        <v>4</v>
      </c>
      <c r="J1107" s="99" t="s">
        <v>4</v>
      </c>
      <c r="K1107" s="108" t="s">
        <v>4</v>
      </c>
      <c r="L1107" s="101"/>
      <c r="M1107" s="104" t="str">
        <f>IF(Main[[#This Row],[Tech Start Date]]&lt;1/1/1990,"",IF(Main[[#This Row],[Class]]="C",WORKDAY(Main[[#This Row],[Tech Start Date]],9),IF(Main[[#This Row],[Class]]="B", WORKDAY(Main[[#This Row],[Tech Start Date]],6),IF(Main[[#This Row],[Class]]="A",WORKDAY(Main[[#This Row],[Tech Start Date]],2),""))))</f>
        <v/>
      </c>
      <c r="N1107" s="104" t="str">
        <f>IF(Main[[#This Row],[Tech Start Date]]&lt;1/1/1990,"",IF(Main[[#This Row],[Class]]="C",WORKDAY(Main[[#This Row],[Tech Start Date]],19),IF(Main[[#This Row],[Class]]="B", WORKDAY(Main[[#This Row],[Tech Start Date]],12),IF(Main[[#This Row],[Class]]="A",WORKDAY(Main[[#This Row],[Tech Start Date]],4),""))))</f>
        <v/>
      </c>
      <c r="O1107" s="104" t="str">
        <f>IF(Main[[#This Row],[Tech Start Date]]&lt;1/1/1990,"",IF(Main[[#This Row],[Class]]="C",WORKDAY(Main[[#This Row],[Tech Start Date]],23),IF(Main[[#This Row],[Class]]="B", WORKDAY(Main[[#This Row],[Tech Start Date]],15),IF(Main[[#This Row],[Class]]="A",WORKDAY(Main[[#This Row],[Tech Start Date]],5),""))))</f>
        <v/>
      </c>
      <c r="P1107" s="104" t="str">
        <f>IF(Main[[#This Row],[Tech Start Date]]&lt;1/1/1990,"",IF(Main[[#This Row],[Class]]="C",WORKDAY(Main[[#This Row],[Tech Start Date]],28),IF(Main[[#This Row],[Class]]="B", WORKDAY(Main[[#This Row],[Tech Start Date]],19),IF(Main[[#This Row],[Class]]="A",WORKDAY(Main[[#This Row],[Tech Start Date]],9),""))))</f>
        <v/>
      </c>
      <c r="Q1107" s="101"/>
      <c r="R1107" s="101"/>
      <c r="S1107" s="99" t="s">
        <v>6</v>
      </c>
      <c r="T1107" s="107" t="s">
        <v>4</v>
      </c>
      <c r="U1107" s="99" t="s">
        <v>7</v>
      </c>
      <c r="V1107" s="99" t="s">
        <v>1962</v>
      </c>
      <c r="W1107" s="99" t="s">
        <v>1966</v>
      </c>
    </row>
    <row r="1108" spans="1:23" ht="18.600000000000001" customHeight="1">
      <c r="A1108" s="123" t="str">
        <f>IF(priority(Main[[#This Row],[Comments]])&lt;&gt;0, priority(Main[[#This Row],[Comments]]),"")</f>
        <v/>
      </c>
      <c r="B1108" s="127" t="s">
        <v>2646</v>
      </c>
      <c r="C1108" s="99" t="s">
        <v>352</v>
      </c>
      <c r="D1108" s="100" t="s">
        <v>2427</v>
      </c>
      <c r="E1108" s="101">
        <v>40827.600601851853</v>
      </c>
      <c r="F1108" s="101"/>
      <c r="G1108" s="102" t="str">
        <f>IF(stdProdLT(Main[[#This Row],[Comments]])=0.1,"N/A",IF(stdProdLT(Main[[#This Row],[Comments]])=0,"",stdProdLT(Main[[#This Row],[Comments]])))</f>
        <v/>
      </c>
      <c r="H1108" s="103" t="str">
        <f>IF(AND(Main[[#This Row],[In Stock Date]]&lt;&gt;"",Main[[#This Row],[Revised Due Date]]&lt;&gt;""),Main[[#This Row],[In Stock Date]]-Main[[#This Row],[Revised Due Date]],"")</f>
        <v/>
      </c>
      <c r="I1108" s="99" t="s">
        <v>4</v>
      </c>
      <c r="J1108" s="99" t="s">
        <v>4</v>
      </c>
      <c r="K1108" s="108" t="s">
        <v>4</v>
      </c>
      <c r="L1108" s="101"/>
      <c r="M1108" s="104" t="str">
        <f>IF(Main[[#This Row],[Tech Start Date]]&lt;1/1/1990,"",IF(Main[[#This Row],[Class]]="C",WORKDAY(Main[[#This Row],[Tech Start Date]],9),IF(Main[[#This Row],[Class]]="B", WORKDAY(Main[[#This Row],[Tech Start Date]],6),IF(Main[[#This Row],[Class]]="A",WORKDAY(Main[[#This Row],[Tech Start Date]],2),""))))</f>
        <v/>
      </c>
      <c r="N1108" s="104" t="str">
        <f>IF(Main[[#This Row],[Tech Start Date]]&lt;1/1/1990,"",IF(Main[[#This Row],[Class]]="C",WORKDAY(Main[[#This Row],[Tech Start Date]],19),IF(Main[[#This Row],[Class]]="B", WORKDAY(Main[[#This Row],[Tech Start Date]],12),IF(Main[[#This Row],[Class]]="A",WORKDAY(Main[[#This Row],[Tech Start Date]],4),""))))</f>
        <v/>
      </c>
      <c r="O1108" s="104" t="str">
        <f>IF(Main[[#This Row],[Tech Start Date]]&lt;1/1/1990,"",IF(Main[[#This Row],[Class]]="C",WORKDAY(Main[[#This Row],[Tech Start Date]],23),IF(Main[[#This Row],[Class]]="B", WORKDAY(Main[[#This Row],[Tech Start Date]],15),IF(Main[[#This Row],[Class]]="A",WORKDAY(Main[[#This Row],[Tech Start Date]],5),""))))</f>
        <v/>
      </c>
      <c r="P1108" s="104" t="str">
        <f>IF(Main[[#This Row],[Tech Start Date]]&lt;1/1/1990,"",IF(Main[[#This Row],[Class]]="C",WORKDAY(Main[[#This Row],[Tech Start Date]],28),IF(Main[[#This Row],[Class]]="B", WORKDAY(Main[[#This Row],[Tech Start Date]],19),IF(Main[[#This Row],[Class]]="A",WORKDAY(Main[[#This Row],[Tech Start Date]],9),""))))</f>
        <v/>
      </c>
      <c r="Q1108" s="101">
        <v>40847</v>
      </c>
      <c r="R1108" s="101"/>
      <c r="S1108" s="99" t="s">
        <v>4</v>
      </c>
      <c r="T1108" s="107" t="s">
        <v>4</v>
      </c>
      <c r="U1108" s="99" t="s">
        <v>7</v>
      </c>
      <c r="V1108" s="99" t="s">
        <v>1962</v>
      </c>
      <c r="W1108" s="99" t="s">
        <v>4</v>
      </c>
    </row>
    <row r="1109" spans="1:23" ht="18.600000000000001" customHeight="1">
      <c r="A1109" s="123" t="str">
        <f>IF(priority(Main[[#This Row],[Comments]])&lt;&gt;0, priority(Main[[#This Row],[Comments]]),"")</f>
        <v/>
      </c>
      <c r="B1109" s="127" t="s">
        <v>2647</v>
      </c>
      <c r="C1109" s="99" t="s">
        <v>352</v>
      </c>
      <c r="D1109" s="100" t="s">
        <v>2648</v>
      </c>
      <c r="E1109" s="101">
        <v>40827.603530092594</v>
      </c>
      <c r="F1109" s="101"/>
      <c r="G1109" s="102" t="str">
        <f>IF(stdProdLT(Main[[#This Row],[Comments]])=0.1,"N/A",IF(stdProdLT(Main[[#This Row],[Comments]])=0,"",stdProdLT(Main[[#This Row],[Comments]])))</f>
        <v/>
      </c>
      <c r="H1109" s="103" t="str">
        <f>IF(AND(Main[[#This Row],[In Stock Date]]&lt;&gt;"",Main[[#This Row],[Revised Due Date]]&lt;&gt;""),Main[[#This Row],[In Stock Date]]-Main[[#This Row],[Revised Due Date]],"")</f>
        <v/>
      </c>
      <c r="I1109" s="99" t="s">
        <v>4</v>
      </c>
      <c r="J1109" s="99" t="s">
        <v>4</v>
      </c>
      <c r="K1109" s="99" t="s">
        <v>4</v>
      </c>
      <c r="L1109" s="101"/>
      <c r="M1109" s="104" t="str">
        <f>IF(Main[[#This Row],[Tech Start Date]]&lt;1/1/1990,"",IF(Main[[#This Row],[Class]]="C",WORKDAY(Main[[#This Row],[Tech Start Date]],9),IF(Main[[#This Row],[Class]]="B", WORKDAY(Main[[#This Row],[Tech Start Date]],6),IF(Main[[#This Row],[Class]]="A",WORKDAY(Main[[#This Row],[Tech Start Date]],2),""))))</f>
        <v/>
      </c>
      <c r="N1109" s="104" t="str">
        <f>IF(Main[[#This Row],[Tech Start Date]]&lt;1/1/1990,"",IF(Main[[#This Row],[Class]]="C",WORKDAY(Main[[#This Row],[Tech Start Date]],19),IF(Main[[#This Row],[Class]]="B", WORKDAY(Main[[#This Row],[Tech Start Date]],12),IF(Main[[#This Row],[Class]]="A",WORKDAY(Main[[#This Row],[Tech Start Date]],4),""))))</f>
        <v/>
      </c>
      <c r="O1109" s="104" t="str">
        <f>IF(Main[[#This Row],[Tech Start Date]]&lt;1/1/1990,"",IF(Main[[#This Row],[Class]]="C",WORKDAY(Main[[#This Row],[Tech Start Date]],23),IF(Main[[#This Row],[Class]]="B", WORKDAY(Main[[#This Row],[Tech Start Date]],15),IF(Main[[#This Row],[Class]]="A",WORKDAY(Main[[#This Row],[Tech Start Date]],5),""))))</f>
        <v/>
      </c>
      <c r="P1109" s="104" t="str">
        <f>IF(Main[[#This Row],[Tech Start Date]]&lt;1/1/1990,"",IF(Main[[#This Row],[Class]]="C",WORKDAY(Main[[#This Row],[Tech Start Date]],28),IF(Main[[#This Row],[Class]]="B", WORKDAY(Main[[#This Row],[Tech Start Date]],19),IF(Main[[#This Row],[Class]]="A",WORKDAY(Main[[#This Row],[Tech Start Date]],9),""))))</f>
        <v/>
      </c>
      <c r="Q1109" s="101">
        <v>40847</v>
      </c>
      <c r="R1109" s="101"/>
      <c r="S1109" s="99" t="s">
        <v>11</v>
      </c>
      <c r="T1109" s="107" t="s">
        <v>4</v>
      </c>
      <c r="U1109" s="99" t="s">
        <v>7</v>
      </c>
      <c r="V1109" s="99" t="s">
        <v>1962</v>
      </c>
      <c r="W1109" s="99" t="s">
        <v>4</v>
      </c>
    </row>
    <row r="1110" spans="1:23" ht="18.600000000000001" customHeight="1">
      <c r="A1110" s="123" t="str">
        <f>IF(priority(Main[[#This Row],[Comments]])&lt;&gt;0, priority(Main[[#This Row],[Comments]]),"")</f>
        <v/>
      </c>
      <c r="B1110" s="127" t="s">
        <v>2649</v>
      </c>
      <c r="C1110" s="99" t="s">
        <v>4</v>
      </c>
      <c r="D1110" s="100" t="s">
        <v>2650</v>
      </c>
      <c r="E1110" s="101"/>
      <c r="F1110" s="101"/>
      <c r="G1110" s="102" t="str">
        <f>IF(stdProdLT(Main[[#This Row],[Comments]])=0.1,"N/A",IF(stdProdLT(Main[[#This Row],[Comments]])=0,"",stdProdLT(Main[[#This Row],[Comments]])))</f>
        <v/>
      </c>
      <c r="H1110" s="103" t="str">
        <f>IF(AND(Main[[#This Row],[In Stock Date]]&lt;&gt;"",Main[[#This Row],[Revised Due Date]]&lt;&gt;""),Main[[#This Row],[In Stock Date]]-Main[[#This Row],[Revised Due Date]],"")</f>
        <v/>
      </c>
      <c r="I1110" s="99" t="s">
        <v>4</v>
      </c>
      <c r="J1110" s="99" t="s">
        <v>4</v>
      </c>
      <c r="K1110" s="99" t="s">
        <v>4</v>
      </c>
      <c r="L1110" s="101"/>
      <c r="M1110" s="104" t="str">
        <f>IF(Main[[#This Row],[Tech Start Date]]&lt;1/1/1990,"",IF(Main[[#This Row],[Class]]="C",WORKDAY(Main[[#This Row],[Tech Start Date]],9),IF(Main[[#This Row],[Class]]="B", WORKDAY(Main[[#This Row],[Tech Start Date]],6),IF(Main[[#This Row],[Class]]="A",WORKDAY(Main[[#This Row],[Tech Start Date]],2),""))))</f>
        <v/>
      </c>
      <c r="N1110" s="104" t="str">
        <f>IF(Main[[#This Row],[Tech Start Date]]&lt;1/1/1990,"",IF(Main[[#This Row],[Class]]="C",WORKDAY(Main[[#This Row],[Tech Start Date]],19),IF(Main[[#This Row],[Class]]="B", WORKDAY(Main[[#This Row],[Tech Start Date]],12),IF(Main[[#This Row],[Class]]="A",WORKDAY(Main[[#This Row],[Tech Start Date]],4),""))))</f>
        <v/>
      </c>
      <c r="O1110" s="104" t="str">
        <f>IF(Main[[#This Row],[Tech Start Date]]&lt;1/1/1990,"",IF(Main[[#This Row],[Class]]="C",WORKDAY(Main[[#This Row],[Tech Start Date]],23),IF(Main[[#This Row],[Class]]="B", WORKDAY(Main[[#This Row],[Tech Start Date]],15),IF(Main[[#This Row],[Class]]="A",WORKDAY(Main[[#This Row],[Tech Start Date]],5),""))))</f>
        <v/>
      </c>
      <c r="P1110" s="104" t="str">
        <f>IF(Main[[#This Row],[Tech Start Date]]&lt;1/1/1990,"",IF(Main[[#This Row],[Class]]="C",WORKDAY(Main[[#This Row],[Tech Start Date]],28),IF(Main[[#This Row],[Class]]="B", WORKDAY(Main[[#This Row],[Tech Start Date]],19),IF(Main[[#This Row],[Class]]="A",WORKDAY(Main[[#This Row],[Tech Start Date]],9),""))))</f>
        <v/>
      </c>
      <c r="Q1110" s="101"/>
      <c r="R1110" s="101"/>
      <c r="S1110" s="99" t="s">
        <v>11</v>
      </c>
      <c r="T1110" s="107" t="s">
        <v>4</v>
      </c>
      <c r="U1110" s="99" t="s">
        <v>14</v>
      </c>
      <c r="V1110" s="99" t="s">
        <v>1963</v>
      </c>
      <c r="W1110" s="99" t="s">
        <v>4</v>
      </c>
    </row>
    <row r="1111" spans="1:23" ht="18.600000000000001" customHeight="1">
      <c r="A1111" s="123" t="str">
        <f>IF(priority(Main[[#This Row],[Comments]])&lt;&gt;0, priority(Main[[#This Row],[Comments]]),"")</f>
        <v/>
      </c>
      <c r="B1111" s="127" t="s">
        <v>2730</v>
      </c>
      <c r="C1111" s="99" t="s">
        <v>4</v>
      </c>
      <c r="D1111" s="100" t="s">
        <v>2731</v>
      </c>
      <c r="E1111" s="101">
        <v>40854.504016203704</v>
      </c>
      <c r="F1111" s="101"/>
      <c r="G1111" s="102" t="str">
        <f>IF(stdProdLT(Main[[#This Row],[Comments]])=0.1,"N/A",IF(stdProdLT(Main[[#This Row],[Comments]])=0,"",stdProdLT(Main[[#This Row],[Comments]])))</f>
        <v/>
      </c>
      <c r="H1111" s="103" t="str">
        <f>IF(AND(Main[[#This Row],[In Stock Date]]&lt;&gt;"",Main[[#This Row],[Revised Due Date]]&lt;&gt;""),Main[[#This Row],[In Stock Date]]-Main[[#This Row],[Revised Due Date]],"")</f>
        <v/>
      </c>
      <c r="I1111" s="99" t="s">
        <v>74</v>
      </c>
      <c r="J1111" s="99" t="s">
        <v>21</v>
      </c>
      <c r="K1111" s="99" t="s">
        <v>1971</v>
      </c>
      <c r="L1111" s="101"/>
      <c r="M1111" s="104" t="str">
        <f>IF(Main[[#This Row],[Tech Start Date]]&lt;1/1/1990,"",IF(Main[[#This Row],[Class]]="C",WORKDAY(Main[[#This Row],[Tech Start Date]],9),IF(Main[[#This Row],[Class]]="B", WORKDAY(Main[[#This Row],[Tech Start Date]],6),IF(Main[[#This Row],[Class]]="A",WORKDAY(Main[[#This Row],[Tech Start Date]],2),""))))</f>
        <v/>
      </c>
      <c r="N1111" s="104" t="str">
        <f>IF(Main[[#This Row],[Tech Start Date]]&lt;1/1/1990,"",IF(Main[[#This Row],[Class]]="C",WORKDAY(Main[[#This Row],[Tech Start Date]],19),IF(Main[[#This Row],[Class]]="B", WORKDAY(Main[[#This Row],[Tech Start Date]],12),IF(Main[[#This Row],[Class]]="A",WORKDAY(Main[[#This Row],[Tech Start Date]],4),""))))</f>
        <v/>
      </c>
      <c r="O1111" s="104" t="str">
        <f>IF(Main[[#This Row],[Tech Start Date]]&lt;1/1/1990,"",IF(Main[[#This Row],[Class]]="C",WORKDAY(Main[[#This Row],[Tech Start Date]],23),IF(Main[[#This Row],[Class]]="B", WORKDAY(Main[[#This Row],[Tech Start Date]],15),IF(Main[[#This Row],[Class]]="A",WORKDAY(Main[[#This Row],[Tech Start Date]],5),""))))</f>
        <v/>
      </c>
      <c r="P1111" s="104" t="str">
        <f>IF(Main[[#This Row],[Tech Start Date]]&lt;1/1/1990,"",IF(Main[[#This Row],[Class]]="C",WORKDAY(Main[[#This Row],[Tech Start Date]],28),IF(Main[[#This Row],[Class]]="B", WORKDAY(Main[[#This Row],[Tech Start Date]],19),IF(Main[[#This Row],[Class]]="A",WORKDAY(Main[[#This Row],[Tech Start Date]],9),""))))</f>
        <v/>
      </c>
      <c r="Q1111" s="101">
        <v>40877</v>
      </c>
      <c r="R1111" s="101"/>
      <c r="S1111" s="99" t="s">
        <v>6</v>
      </c>
      <c r="T1111" s="107" t="s">
        <v>4</v>
      </c>
      <c r="U1111" s="99" t="s">
        <v>29</v>
      </c>
      <c r="V1111" s="99" t="s">
        <v>1965</v>
      </c>
      <c r="W1111" s="99" t="s">
        <v>1966</v>
      </c>
    </row>
    <row r="1112" spans="1:23" ht="18.600000000000001" customHeight="1">
      <c r="A1112" s="123" t="str">
        <f>IF(priority(Main[[#This Row],[Comments]])&lt;&gt;0, priority(Main[[#This Row],[Comments]]),"")</f>
        <v/>
      </c>
      <c r="B1112" s="127" t="s">
        <v>2663</v>
      </c>
      <c r="C1112" s="99" t="s">
        <v>4</v>
      </c>
      <c r="D1112" s="100" t="s">
        <v>2664</v>
      </c>
      <c r="E1112" s="101">
        <v>40855.647002314814</v>
      </c>
      <c r="F1112" s="101"/>
      <c r="G1112" s="102" t="str">
        <f>IF(stdProdLT(Main[[#This Row],[Comments]])=0.1,"N/A",IF(stdProdLT(Main[[#This Row],[Comments]])=0,"",stdProdLT(Main[[#This Row],[Comments]])))</f>
        <v/>
      </c>
      <c r="H1112" s="103" t="str">
        <f>IF(AND(Main[[#This Row],[In Stock Date]]&lt;&gt;"",Main[[#This Row],[Revised Due Date]]&lt;&gt;""),Main[[#This Row],[In Stock Date]]-Main[[#This Row],[Revised Due Date]],"")</f>
        <v/>
      </c>
      <c r="I1112" s="99" t="s">
        <v>4</v>
      </c>
      <c r="J1112" s="99" t="s">
        <v>4</v>
      </c>
      <c r="K1112" s="99" t="s">
        <v>4</v>
      </c>
      <c r="L1112" s="101"/>
      <c r="M1112" s="104" t="str">
        <f>IF(Main[[#This Row],[Tech Start Date]]&lt;1/1/1990,"",IF(Main[[#This Row],[Class]]="C",WORKDAY(Main[[#This Row],[Tech Start Date]],9),IF(Main[[#This Row],[Class]]="B", WORKDAY(Main[[#This Row],[Tech Start Date]],6),IF(Main[[#This Row],[Class]]="A",WORKDAY(Main[[#This Row],[Tech Start Date]],2),""))))</f>
        <v/>
      </c>
      <c r="N1112" s="104" t="str">
        <f>IF(Main[[#This Row],[Tech Start Date]]&lt;1/1/1990,"",IF(Main[[#This Row],[Class]]="C",WORKDAY(Main[[#This Row],[Tech Start Date]],19),IF(Main[[#This Row],[Class]]="B", WORKDAY(Main[[#This Row],[Tech Start Date]],12),IF(Main[[#This Row],[Class]]="A",WORKDAY(Main[[#This Row],[Tech Start Date]],4),""))))</f>
        <v/>
      </c>
      <c r="O1112" s="104" t="str">
        <f>IF(Main[[#This Row],[Tech Start Date]]&lt;1/1/1990,"",IF(Main[[#This Row],[Class]]="C",WORKDAY(Main[[#This Row],[Tech Start Date]],23),IF(Main[[#This Row],[Class]]="B", WORKDAY(Main[[#This Row],[Tech Start Date]],15),IF(Main[[#This Row],[Class]]="A",WORKDAY(Main[[#This Row],[Tech Start Date]],5),""))))</f>
        <v/>
      </c>
      <c r="P1112" s="104" t="str">
        <f>IF(Main[[#This Row],[Tech Start Date]]&lt;1/1/1990,"",IF(Main[[#This Row],[Class]]="C",WORKDAY(Main[[#This Row],[Tech Start Date]],28),IF(Main[[#This Row],[Class]]="B", WORKDAY(Main[[#This Row],[Tech Start Date]],19),IF(Main[[#This Row],[Class]]="A",WORKDAY(Main[[#This Row],[Tech Start Date]],9),""))))</f>
        <v/>
      </c>
      <c r="Q1112" s="101">
        <v>40892</v>
      </c>
      <c r="R1112" s="101"/>
      <c r="S1112" s="99" t="s">
        <v>6</v>
      </c>
      <c r="T1112" s="107" t="s">
        <v>4</v>
      </c>
      <c r="U1112" s="99" t="s">
        <v>7</v>
      </c>
      <c r="V1112" s="99" t="s">
        <v>1962</v>
      </c>
      <c r="W1112" s="99" t="s">
        <v>1970</v>
      </c>
    </row>
    <row r="1113" spans="1:23" ht="18.600000000000001" customHeight="1">
      <c r="A1113" s="123" t="str">
        <f>IF(priority(Main[[#This Row],[Comments]])&lt;&gt;0, priority(Main[[#This Row],[Comments]]),"")</f>
        <v/>
      </c>
      <c r="B1113" s="127" t="s">
        <v>2667</v>
      </c>
      <c r="C1113" s="99" t="s">
        <v>47</v>
      </c>
      <c r="D1113" s="100" t="s">
        <v>2668</v>
      </c>
      <c r="E1113" s="101">
        <v>40865.812858796293</v>
      </c>
      <c r="F1113" s="101"/>
      <c r="G1113" s="102" t="str">
        <f>IF(stdProdLT(Main[[#This Row],[Comments]])=0.1,"N/A",IF(stdProdLT(Main[[#This Row],[Comments]])=0,"",stdProdLT(Main[[#This Row],[Comments]])))</f>
        <v/>
      </c>
      <c r="H1113" s="103" t="str">
        <f>IF(AND(Main[[#This Row],[In Stock Date]]&lt;&gt;"",Main[[#This Row],[Revised Due Date]]&lt;&gt;""),Main[[#This Row],[In Stock Date]]-Main[[#This Row],[Revised Due Date]],"")</f>
        <v/>
      </c>
      <c r="I1113" s="99" t="s">
        <v>4</v>
      </c>
      <c r="J1113" s="99" t="s">
        <v>4</v>
      </c>
      <c r="K1113" s="99" t="s">
        <v>4</v>
      </c>
      <c r="L1113" s="101"/>
      <c r="M1113" s="104" t="str">
        <f>IF(Main[[#This Row],[Tech Start Date]]&lt;1/1/1990,"",IF(Main[[#This Row],[Class]]="C",WORKDAY(Main[[#This Row],[Tech Start Date]],9),IF(Main[[#This Row],[Class]]="B", WORKDAY(Main[[#This Row],[Tech Start Date]],6),IF(Main[[#This Row],[Class]]="A",WORKDAY(Main[[#This Row],[Tech Start Date]],2),""))))</f>
        <v/>
      </c>
      <c r="N1113" s="104" t="str">
        <f>IF(Main[[#This Row],[Tech Start Date]]&lt;1/1/1990,"",IF(Main[[#This Row],[Class]]="C",WORKDAY(Main[[#This Row],[Tech Start Date]],19),IF(Main[[#This Row],[Class]]="B", WORKDAY(Main[[#This Row],[Tech Start Date]],12),IF(Main[[#This Row],[Class]]="A",WORKDAY(Main[[#This Row],[Tech Start Date]],4),""))))</f>
        <v/>
      </c>
      <c r="O1113" s="104" t="str">
        <f>IF(Main[[#This Row],[Tech Start Date]]&lt;1/1/1990,"",IF(Main[[#This Row],[Class]]="C",WORKDAY(Main[[#This Row],[Tech Start Date]],23),IF(Main[[#This Row],[Class]]="B", WORKDAY(Main[[#This Row],[Tech Start Date]],15),IF(Main[[#This Row],[Class]]="A",WORKDAY(Main[[#This Row],[Tech Start Date]],5),""))))</f>
        <v/>
      </c>
      <c r="P1113" s="104" t="str">
        <f>IF(Main[[#This Row],[Tech Start Date]]&lt;1/1/1990,"",IF(Main[[#This Row],[Class]]="C",WORKDAY(Main[[#This Row],[Tech Start Date]],28),IF(Main[[#This Row],[Class]]="B", WORKDAY(Main[[#This Row],[Tech Start Date]],19),IF(Main[[#This Row],[Class]]="A",WORKDAY(Main[[#This Row],[Tech Start Date]],9),""))))</f>
        <v/>
      </c>
      <c r="Q1113" s="101">
        <v>40906</v>
      </c>
      <c r="R1113" s="101"/>
      <c r="S1113" s="99" t="s">
        <v>6</v>
      </c>
      <c r="T1113" s="107" t="s">
        <v>4</v>
      </c>
      <c r="U1113" s="99" t="s">
        <v>29</v>
      </c>
      <c r="V1113" s="99" t="s">
        <v>2362</v>
      </c>
      <c r="W1113" s="99" t="s">
        <v>4</v>
      </c>
    </row>
    <row r="1114" spans="1:23" ht="18.600000000000001" customHeight="1">
      <c r="A1114" s="123" t="str">
        <f>IF(priority(Main[[#This Row],[Comments]])&lt;&gt;0, priority(Main[[#This Row],[Comments]]),"")</f>
        <v/>
      </c>
      <c r="B1114" s="127" t="s">
        <v>2463</v>
      </c>
      <c r="C1114" s="99" t="s">
        <v>4</v>
      </c>
      <c r="D1114" s="100" t="s">
        <v>2464</v>
      </c>
      <c r="E1114" s="101">
        <v>40854.718263888892</v>
      </c>
      <c r="F1114" s="101"/>
      <c r="G1114" s="102" t="str">
        <f>IF(stdProdLT(Main[[#This Row],[Comments]])=0.1,"N/A",IF(stdProdLT(Main[[#This Row],[Comments]])=0,"",stdProdLT(Main[[#This Row],[Comments]])))</f>
        <v/>
      </c>
      <c r="H1114" s="103" t="str">
        <f>IF(AND(Main[[#This Row],[In Stock Date]]&lt;&gt;"",Main[[#This Row],[Revised Due Date]]&lt;&gt;""),Main[[#This Row],[In Stock Date]]-Main[[#This Row],[Revised Due Date]],"")</f>
        <v/>
      </c>
      <c r="I1114" s="99" t="s">
        <v>4</v>
      </c>
      <c r="J1114" s="99" t="s">
        <v>4</v>
      </c>
      <c r="K1114" s="99" t="s">
        <v>4</v>
      </c>
      <c r="L1114" s="101"/>
      <c r="M1114" s="104" t="str">
        <f>IF(Main[[#This Row],[Tech Start Date]]&lt;1/1/1990,"",IF(Main[[#This Row],[Class]]="C",WORKDAY(Main[[#This Row],[Tech Start Date]],9),IF(Main[[#This Row],[Class]]="B", WORKDAY(Main[[#This Row],[Tech Start Date]],6),IF(Main[[#This Row],[Class]]="A",WORKDAY(Main[[#This Row],[Tech Start Date]],2),""))))</f>
        <v/>
      </c>
      <c r="N1114" s="104" t="str">
        <f>IF(Main[[#This Row],[Tech Start Date]]&lt;1/1/1990,"",IF(Main[[#This Row],[Class]]="C",WORKDAY(Main[[#This Row],[Tech Start Date]],19),IF(Main[[#This Row],[Class]]="B", WORKDAY(Main[[#This Row],[Tech Start Date]],12),IF(Main[[#This Row],[Class]]="A",WORKDAY(Main[[#This Row],[Tech Start Date]],4),""))))</f>
        <v/>
      </c>
      <c r="O1114" s="104" t="str">
        <f>IF(Main[[#This Row],[Tech Start Date]]&lt;1/1/1990,"",IF(Main[[#This Row],[Class]]="C",WORKDAY(Main[[#This Row],[Tech Start Date]],23),IF(Main[[#This Row],[Class]]="B", WORKDAY(Main[[#This Row],[Tech Start Date]],15),IF(Main[[#This Row],[Class]]="A",WORKDAY(Main[[#This Row],[Tech Start Date]],5),""))))</f>
        <v/>
      </c>
      <c r="P1114" s="104" t="str">
        <f>IF(Main[[#This Row],[Tech Start Date]]&lt;1/1/1990,"",IF(Main[[#This Row],[Class]]="C",WORKDAY(Main[[#This Row],[Tech Start Date]],28),IF(Main[[#This Row],[Class]]="B", WORKDAY(Main[[#This Row],[Tech Start Date]],19),IF(Main[[#This Row],[Class]]="A",WORKDAY(Main[[#This Row],[Tech Start Date]],9),""))))</f>
        <v/>
      </c>
      <c r="Q1114" s="101">
        <v>40884</v>
      </c>
      <c r="R1114" s="101"/>
      <c r="S1114" s="99" t="s">
        <v>6</v>
      </c>
      <c r="T1114" s="107" t="s">
        <v>4</v>
      </c>
      <c r="U1114" s="99" t="s">
        <v>7</v>
      </c>
      <c r="V1114" s="99" t="s">
        <v>2362</v>
      </c>
      <c r="W1114" s="99" t="s">
        <v>4</v>
      </c>
    </row>
    <row r="1115" spans="1:23" ht="18.600000000000001" customHeight="1">
      <c r="A1115" s="123" t="str">
        <f>IF(priority(Main[[#This Row],[Comments]])&lt;&gt;0, priority(Main[[#This Row],[Comments]]),"")</f>
        <v/>
      </c>
      <c r="B1115" s="127" t="s">
        <v>2673</v>
      </c>
      <c r="C1115" s="99" t="s">
        <v>4</v>
      </c>
      <c r="D1115" s="100" t="s">
        <v>2674</v>
      </c>
      <c r="E1115" s="101"/>
      <c r="F1115" s="101"/>
      <c r="G1115" s="102" t="str">
        <f>IF(stdProdLT(Main[[#This Row],[Comments]])=0.1,"N/A",IF(stdProdLT(Main[[#This Row],[Comments]])=0,"",stdProdLT(Main[[#This Row],[Comments]])))</f>
        <v/>
      </c>
      <c r="H1115" s="103" t="str">
        <f>IF(AND(Main[[#This Row],[In Stock Date]]&lt;&gt;"",Main[[#This Row],[Revised Due Date]]&lt;&gt;""),Main[[#This Row],[In Stock Date]]-Main[[#This Row],[Revised Due Date]],"")</f>
        <v/>
      </c>
      <c r="I1115" s="99" t="s">
        <v>4</v>
      </c>
      <c r="J1115" s="99" t="s">
        <v>4</v>
      </c>
      <c r="K1115" s="99" t="s">
        <v>4</v>
      </c>
      <c r="L1115" s="101"/>
      <c r="M1115" s="104" t="str">
        <f>IF(Main[[#This Row],[Tech Start Date]]&lt;1/1/1990,"",IF(Main[[#This Row],[Class]]="C",WORKDAY(Main[[#This Row],[Tech Start Date]],9),IF(Main[[#This Row],[Class]]="B", WORKDAY(Main[[#This Row],[Tech Start Date]],6),IF(Main[[#This Row],[Class]]="A",WORKDAY(Main[[#This Row],[Tech Start Date]],2),""))))</f>
        <v/>
      </c>
      <c r="N1115" s="104" t="str">
        <f>IF(Main[[#This Row],[Tech Start Date]]&lt;1/1/1990,"",IF(Main[[#This Row],[Class]]="C",WORKDAY(Main[[#This Row],[Tech Start Date]],19),IF(Main[[#This Row],[Class]]="B", WORKDAY(Main[[#This Row],[Tech Start Date]],12),IF(Main[[#This Row],[Class]]="A",WORKDAY(Main[[#This Row],[Tech Start Date]],4),""))))</f>
        <v/>
      </c>
      <c r="O1115" s="104" t="str">
        <f>IF(Main[[#This Row],[Tech Start Date]]&lt;1/1/1990,"",IF(Main[[#This Row],[Class]]="C",WORKDAY(Main[[#This Row],[Tech Start Date]],23),IF(Main[[#This Row],[Class]]="B", WORKDAY(Main[[#This Row],[Tech Start Date]],15),IF(Main[[#This Row],[Class]]="A",WORKDAY(Main[[#This Row],[Tech Start Date]],5),""))))</f>
        <v/>
      </c>
      <c r="P1115" s="104" t="str">
        <f>IF(Main[[#This Row],[Tech Start Date]]&lt;1/1/1990,"",IF(Main[[#This Row],[Class]]="C",WORKDAY(Main[[#This Row],[Tech Start Date]],28),IF(Main[[#This Row],[Class]]="B", WORKDAY(Main[[#This Row],[Tech Start Date]],19),IF(Main[[#This Row],[Class]]="A",WORKDAY(Main[[#This Row],[Tech Start Date]],9),""))))</f>
        <v/>
      </c>
      <c r="Q1115" s="101"/>
      <c r="R1115" s="101"/>
      <c r="S1115" s="99" t="s">
        <v>11</v>
      </c>
      <c r="T1115" s="107" t="s">
        <v>4</v>
      </c>
      <c r="U1115" s="99" t="s">
        <v>14</v>
      </c>
      <c r="V1115" s="99" t="s">
        <v>1962</v>
      </c>
      <c r="W1115" s="99" t="s">
        <v>1970</v>
      </c>
    </row>
    <row r="1116" spans="1:23" ht="18.600000000000001" customHeight="1">
      <c r="A1116" s="123" t="str">
        <f>IF(priority(Main[[#This Row],[Comments]])&lt;&gt;0, priority(Main[[#This Row],[Comments]]),"")</f>
        <v/>
      </c>
      <c r="B1116" s="127" t="s">
        <v>1891</v>
      </c>
      <c r="C1116" s="99" t="s">
        <v>4</v>
      </c>
      <c r="D1116" s="100" t="s">
        <v>921</v>
      </c>
      <c r="E1116" s="101">
        <v>39968.569513888891</v>
      </c>
      <c r="F1116" s="101">
        <v>40298</v>
      </c>
      <c r="G1116" s="102" t="str">
        <f>IF(stdProdLT(Main[[#This Row],[Comments]])=0.1,"N/A",IF(stdProdLT(Main[[#This Row],[Comments]])=0,"",stdProdLT(Main[[#This Row],[Comments]])))</f>
        <v/>
      </c>
      <c r="H1116" s="103">
        <f>IF(AND(Main[[#This Row],[In Stock Date]]&lt;&gt;"",Main[[#This Row],[Revised Due Date]]&lt;&gt;""),Main[[#This Row],[In Stock Date]]-Main[[#This Row],[Revised Due Date]],"")</f>
        <v>-704</v>
      </c>
      <c r="I1116" s="99" t="s">
        <v>997</v>
      </c>
      <c r="J1116" s="99" t="s">
        <v>4</v>
      </c>
      <c r="K1116" s="99" t="s">
        <v>1974</v>
      </c>
      <c r="L1116" s="101"/>
      <c r="M1116" s="104" t="str">
        <f>IF(Main[[#This Row],[Tech Start Date]]&lt;1/1/1990,"",IF(Main[[#This Row],[Class]]="C",WORKDAY(Main[[#This Row],[Tech Start Date]],9),IF(Main[[#This Row],[Class]]="B", WORKDAY(Main[[#This Row],[Tech Start Date]],6),IF(Main[[#This Row],[Class]]="A",WORKDAY(Main[[#This Row],[Tech Start Date]],2),""))))</f>
        <v/>
      </c>
      <c r="N1116" s="104" t="str">
        <f>IF(Main[[#This Row],[Tech Start Date]]&lt;1/1/1990,"",IF(Main[[#This Row],[Class]]="C",WORKDAY(Main[[#This Row],[Tech Start Date]],19),IF(Main[[#This Row],[Class]]="B", WORKDAY(Main[[#This Row],[Tech Start Date]],12),IF(Main[[#This Row],[Class]]="A",WORKDAY(Main[[#This Row],[Tech Start Date]],4),""))))</f>
        <v/>
      </c>
      <c r="O1116" s="104" t="str">
        <f>IF(Main[[#This Row],[Tech Start Date]]&lt;1/1/1990,"",IF(Main[[#This Row],[Class]]="C",WORKDAY(Main[[#This Row],[Tech Start Date]],23),IF(Main[[#This Row],[Class]]="B", WORKDAY(Main[[#This Row],[Tech Start Date]],15),IF(Main[[#This Row],[Class]]="A",WORKDAY(Main[[#This Row],[Tech Start Date]],5),""))))</f>
        <v/>
      </c>
      <c r="P1116" s="104" t="str">
        <f>IF(Main[[#This Row],[Tech Start Date]]&lt;1/1/1990,"",IF(Main[[#This Row],[Class]]="C",WORKDAY(Main[[#This Row],[Tech Start Date]],28),IF(Main[[#This Row],[Class]]="B", WORKDAY(Main[[#This Row],[Tech Start Date]],19),IF(Main[[#This Row],[Class]]="A",WORKDAY(Main[[#This Row],[Tech Start Date]],9),""))))</f>
        <v/>
      </c>
      <c r="Q1116" s="101">
        <v>40165</v>
      </c>
      <c r="R1116" s="101">
        <v>41002</v>
      </c>
      <c r="S1116" s="99" t="s">
        <v>17</v>
      </c>
      <c r="T1116" s="107" t="s">
        <v>4</v>
      </c>
      <c r="U1116" s="99" t="s">
        <v>29</v>
      </c>
      <c r="V1116" s="99" t="s">
        <v>1965</v>
      </c>
      <c r="W1116" s="99" t="s">
        <v>1967</v>
      </c>
    </row>
    <row r="1117" spans="1:23" ht="18.600000000000001" customHeight="1">
      <c r="A1117" s="123" t="str">
        <f>IF(priority(Main[[#This Row],[Comments]])&lt;&gt;0, priority(Main[[#This Row],[Comments]]),"")</f>
        <v/>
      </c>
      <c r="B1117" s="127" t="s">
        <v>2680</v>
      </c>
      <c r="C1117" s="99" t="s">
        <v>4</v>
      </c>
      <c r="D1117" s="100" t="s">
        <v>2681</v>
      </c>
      <c r="E1117" s="101"/>
      <c r="F1117" s="101"/>
      <c r="G1117" s="102" t="str">
        <f>IF(stdProdLT(Main[[#This Row],[Comments]])=0.1,"N/A",IF(stdProdLT(Main[[#This Row],[Comments]])=0,"",stdProdLT(Main[[#This Row],[Comments]])))</f>
        <v/>
      </c>
      <c r="H1117" s="103" t="str">
        <f>IF(AND(Main[[#This Row],[In Stock Date]]&lt;&gt;"",Main[[#This Row],[Revised Due Date]]&lt;&gt;""),Main[[#This Row],[In Stock Date]]-Main[[#This Row],[Revised Due Date]],"")</f>
        <v/>
      </c>
      <c r="I1117" s="99" t="s">
        <v>4</v>
      </c>
      <c r="J1117" s="99" t="s">
        <v>4</v>
      </c>
      <c r="K1117" s="99" t="s">
        <v>4</v>
      </c>
      <c r="L1117" s="101"/>
      <c r="M1117" s="104" t="str">
        <f>IF(Main[[#This Row],[Tech Start Date]]&lt;1/1/1990,"",IF(Main[[#This Row],[Class]]="C",WORKDAY(Main[[#This Row],[Tech Start Date]],9),IF(Main[[#This Row],[Class]]="B", WORKDAY(Main[[#This Row],[Tech Start Date]],6),IF(Main[[#This Row],[Class]]="A",WORKDAY(Main[[#This Row],[Tech Start Date]],2),""))))</f>
        <v/>
      </c>
      <c r="N1117" s="104" t="str">
        <f>IF(Main[[#This Row],[Tech Start Date]]&lt;1/1/1990,"",IF(Main[[#This Row],[Class]]="C",WORKDAY(Main[[#This Row],[Tech Start Date]],19),IF(Main[[#This Row],[Class]]="B", WORKDAY(Main[[#This Row],[Tech Start Date]],12),IF(Main[[#This Row],[Class]]="A",WORKDAY(Main[[#This Row],[Tech Start Date]],4),""))))</f>
        <v/>
      </c>
      <c r="O1117" s="104" t="str">
        <f>IF(Main[[#This Row],[Tech Start Date]]&lt;1/1/1990,"",IF(Main[[#This Row],[Class]]="C",WORKDAY(Main[[#This Row],[Tech Start Date]],23),IF(Main[[#This Row],[Class]]="B", WORKDAY(Main[[#This Row],[Tech Start Date]],15),IF(Main[[#This Row],[Class]]="A",WORKDAY(Main[[#This Row],[Tech Start Date]],5),""))))</f>
        <v/>
      </c>
      <c r="P1117" s="104" t="str">
        <f>IF(Main[[#This Row],[Tech Start Date]]&lt;1/1/1990,"",IF(Main[[#This Row],[Class]]="C",WORKDAY(Main[[#This Row],[Tech Start Date]],28),IF(Main[[#This Row],[Class]]="B", WORKDAY(Main[[#This Row],[Tech Start Date]],19),IF(Main[[#This Row],[Class]]="A",WORKDAY(Main[[#This Row],[Tech Start Date]],9),""))))</f>
        <v/>
      </c>
      <c r="Q1117" s="101">
        <v>40837</v>
      </c>
      <c r="R1117" s="101"/>
      <c r="S1117" s="99" t="s">
        <v>11</v>
      </c>
      <c r="T1117" s="107" t="s">
        <v>4</v>
      </c>
      <c r="U1117" s="99" t="s">
        <v>14</v>
      </c>
      <c r="V1117" s="99" t="s">
        <v>1963</v>
      </c>
      <c r="W1117" s="99" t="s">
        <v>1970</v>
      </c>
    </row>
    <row r="1118" spans="1:23" ht="18.600000000000001" customHeight="1">
      <c r="A1118" s="123" t="str">
        <f>IF(priority(Main[[#This Row],[Comments]])&lt;&gt;0, priority(Main[[#This Row],[Comments]]),"")</f>
        <v/>
      </c>
      <c r="B1118" s="127" t="s">
        <v>1417</v>
      </c>
      <c r="C1118" s="99" t="s">
        <v>4</v>
      </c>
      <c r="D1118" s="100" t="s">
        <v>2067</v>
      </c>
      <c r="E1118" s="101"/>
      <c r="F1118" s="101"/>
      <c r="G1118" s="102" t="str">
        <f>IF(stdProdLT(Main[[#This Row],[Comments]])=0.1,"N/A",IF(stdProdLT(Main[[#This Row],[Comments]])=0,"",stdProdLT(Main[[#This Row],[Comments]])))</f>
        <v/>
      </c>
      <c r="H1118" s="103" t="str">
        <f>IF(AND(Main[[#This Row],[In Stock Date]]&lt;&gt;"",Main[[#This Row],[Revised Due Date]]&lt;&gt;""),Main[[#This Row],[In Stock Date]]-Main[[#This Row],[Revised Due Date]],"")</f>
        <v/>
      </c>
      <c r="I1118" s="99" t="s">
        <v>4</v>
      </c>
      <c r="J1118" s="99" t="s">
        <v>4</v>
      </c>
      <c r="K1118" s="99" t="s">
        <v>4</v>
      </c>
      <c r="L1118" s="101"/>
      <c r="M1118" s="104" t="str">
        <f>IF(Main[[#This Row],[Tech Start Date]]&lt;1/1/1990,"",IF(Main[[#This Row],[Class]]="C",WORKDAY(Main[[#This Row],[Tech Start Date]],9),IF(Main[[#This Row],[Class]]="B", WORKDAY(Main[[#This Row],[Tech Start Date]],6),IF(Main[[#This Row],[Class]]="A",WORKDAY(Main[[#This Row],[Tech Start Date]],2),""))))</f>
        <v/>
      </c>
      <c r="N1118" s="104" t="str">
        <f>IF(Main[[#This Row],[Tech Start Date]]&lt;1/1/1990,"",IF(Main[[#This Row],[Class]]="C",WORKDAY(Main[[#This Row],[Tech Start Date]],19),IF(Main[[#This Row],[Class]]="B", WORKDAY(Main[[#This Row],[Tech Start Date]],12),IF(Main[[#This Row],[Class]]="A",WORKDAY(Main[[#This Row],[Tech Start Date]],4),""))))</f>
        <v/>
      </c>
      <c r="O1118" s="104" t="str">
        <f>IF(Main[[#This Row],[Tech Start Date]]&lt;1/1/1990,"",IF(Main[[#This Row],[Class]]="C",WORKDAY(Main[[#This Row],[Tech Start Date]],23),IF(Main[[#This Row],[Class]]="B", WORKDAY(Main[[#This Row],[Tech Start Date]],15),IF(Main[[#This Row],[Class]]="A",WORKDAY(Main[[#This Row],[Tech Start Date]],5),""))))</f>
        <v/>
      </c>
      <c r="P1118" s="104" t="str">
        <f>IF(Main[[#This Row],[Tech Start Date]]&lt;1/1/1990,"",IF(Main[[#This Row],[Class]]="C",WORKDAY(Main[[#This Row],[Tech Start Date]],28),IF(Main[[#This Row],[Class]]="B", WORKDAY(Main[[#This Row],[Tech Start Date]],19),IF(Main[[#This Row],[Class]]="A",WORKDAY(Main[[#This Row],[Tech Start Date]],9),""))))</f>
        <v/>
      </c>
      <c r="Q1118" s="101">
        <v>40310</v>
      </c>
      <c r="R1118" s="101"/>
      <c r="S1118" s="99" t="s">
        <v>6</v>
      </c>
      <c r="T1118" s="107" t="s">
        <v>4</v>
      </c>
      <c r="U1118" s="99" t="s">
        <v>14</v>
      </c>
      <c r="V1118" s="99" t="s">
        <v>1962</v>
      </c>
      <c r="W1118" s="99" t="s">
        <v>1967</v>
      </c>
    </row>
    <row r="1119" spans="1:23" ht="18.600000000000001" customHeight="1">
      <c r="A1119" s="123" t="str">
        <f>IF(priority(Main[[#This Row],[Comments]])&lt;&gt;0, priority(Main[[#This Row],[Comments]]),"")</f>
        <v/>
      </c>
      <c r="B1119" s="127" t="s">
        <v>2682</v>
      </c>
      <c r="C1119" s="99" t="s">
        <v>2683</v>
      </c>
      <c r="D1119" s="100" t="s">
        <v>2684</v>
      </c>
      <c r="E1119" s="101"/>
      <c r="F1119" s="101"/>
      <c r="G1119" s="102" t="str">
        <f>IF(stdProdLT(Main[[#This Row],[Comments]])=0.1,"N/A",IF(stdProdLT(Main[[#This Row],[Comments]])=0,"",stdProdLT(Main[[#This Row],[Comments]])))</f>
        <v/>
      </c>
      <c r="H1119" s="103" t="str">
        <f>IF(AND(Main[[#This Row],[In Stock Date]]&lt;&gt;"",Main[[#This Row],[Revised Due Date]]&lt;&gt;""),Main[[#This Row],[In Stock Date]]-Main[[#This Row],[Revised Due Date]],"")</f>
        <v/>
      </c>
      <c r="I1119" s="99" t="s">
        <v>4</v>
      </c>
      <c r="J1119" s="99" t="s">
        <v>4</v>
      </c>
      <c r="K1119" s="99" t="s">
        <v>4</v>
      </c>
      <c r="L1119" s="101"/>
      <c r="M1119" s="104" t="str">
        <f>IF(Main[[#This Row],[Tech Start Date]]&lt;1/1/1990,"",IF(Main[[#This Row],[Class]]="C",WORKDAY(Main[[#This Row],[Tech Start Date]],9),IF(Main[[#This Row],[Class]]="B", WORKDAY(Main[[#This Row],[Tech Start Date]],6),IF(Main[[#This Row],[Class]]="A",WORKDAY(Main[[#This Row],[Tech Start Date]],2),""))))</f>
        <v/>
      </c>
      <c r="N1119" s="104" t="str">
        <f>IF(Main[[#This Row],[Tech Start Date]]&lt;1/1/1990,"",IF(Main[[#This Row],[Class]]="C",WORKDAY(Main[[#This Row],[Tech Start Date]],19),IF(Main[[#This Row],[Class]]="B", WORKDAY(Main[[#This Row],[Tech Start Date]],12),IF(Main[[#This Row],[Class]]="A",WORKDAY(Main[[#This Row],[Tech Start Date]],4),""))))</f>
        <v/>
      </c>
      <c r="O1119" s="104" t="str">
        <f>IF(Main[[#This Row],[Tech Start Date]]&lt;1/1/1990,"",IF(Main[[#This Row],[Class]]="C",WORKDAY(Main[[#This Row],[Tech Start Date]],23),IF(Main[[#This Row],[Class]]="B", WORKDAY(Main[[#This Row],[Tech Start Date]],15),IF(Main[[#This Row],[Class]]="A",WORKDAY(Main[[#This Row],[Tech Start Date]],5),""))))</f>
        <v/>
      </c>
      <c r="P1119" s="104" t="str">
        <f>IF(Main[[#This Row],[Tech Start Date]]&lt;1/1/1990,"",IF(Main[[#This Row],[Class]]="C",WORKDAY(Main[[#This Row],[Tech Start Date]],28),IF(Main[[#This Row],[Class]]="B", WORKDAY(Main[[#This Row],[Tech Start Date]],19),IF(Main[[#This Row],[Class]]="A",WORKDAY(Main[[#This Row],[Tech Start Date]],9),""))))</f>
        <v/>
      </c>
      <c r="Q1119" s="101"/>
      <c r="R1119" s="101"/>
      <c r="S1119" s="99" t="s">
        <v>11</v>
      </c>
      <c r="T1119" s="107" t="s">
        <v>4</v>
      </c>
      <c r="U1119" s="99" t="s">
        <v>14</v>
      </c>
      <c r="V1119" s="99" t="s">
        <v>1963</v>
      </c>
      <c r="W1119" s="99" t="s">
        <v>1970</v>
      </c>
    </row>
    <row r="1120" spans="1:23" ht="18.600000000000001" customHeight="1">
      <c r="A1120" s="123" t="str">
        <f>IF(priority(Main[[#This Row],[Comments]])&lt;&gt;0, priority(Main[[#This Row],[Comments]]),"")</f>
        <v/>
      </c>
      <c r="B1120" s="127" t="s">
        <v>1318</v>
      </c>
      <c r="C1120" s="99" t="s">
        <v>37</v>
      </c>
      <c r="D1120" s="100" t="s">
        <v>2651</v>
      </c>
      <c r="E1120" s="101">
        <v>40767.457106481481</v>
      </c>
      <c r="F1120" s="101"/>
      <c r="G1120" s="102" t="str">
        <f>IF(stdProdLT(Main[[#This Row],[Comments]])=0.1,"N/A",IF(stdProdLT(Main[[#This Row],[Comments]])=0,"",stdProdLT(Main[[#This Row],[Comments]])))</f>
        <v/>
      </c>
      <c r="H1120" s="103" t="str">
        <f>IF(AND(Main[[#This Row],[In Stock Date]]&lt;&gt;"",Main[[#This Row],[Revised Due Date]]&lt;&gt;""),Main[[#This Row],[In Stock Date]]-Main[[#This Row],[Revised Due Date]],"")</f>
        <v/>
      </c>
      <c r="I1120" s="99" t="s">
        <v>4</v>
      </c>
      <c r="J1120" s="99" t="s">
        <v>4</v>
      </c>
      <c r="K1120" s="99" t="s">
        <v>4</v>
      </c>
      <c r="L1120" s="101"/>
      <c r="M1120" s="104" t="str">
        <f>IF(Main[[#This Row],[Tech Start Date]]&lt;1/1/1990,"",IF(Main[[#This Row],[Class]]="C",WORKDAY(Main[[#This Row],[Tech Start Date]],9),IF(Main[[#This Row],[Class]]="B", WORKDAY(Main[[#This Row],[Tech Start Date]],6),IF(Main[[#This Row],[Class]]="A",WORKDAY(Main[[#This Row],[Tech Start Date]],2),""))))</f>
        <v/>
      </c>
      <c r="N1120" s="104" t="str">
        <f>IF(Main[[#This Row],[Tech Start Date]]&lt;1/1/1990,"",IF(Main[[#This Row],[Class]]="C",WORKDAY(Main[[#This Row],[Tech Start Date]],19),IF(Main[[#This Row],[Class]]="B", WORKDAY(Main[[#This Row],[Tech Start Date]],12),IF(Main[[#This Row],[Class]]="A",WORKDAY(Main[[#This Row],[Tech Start Date]],4),""))))</f>
        <v/>
      </c>
      <c r="O1120" s="104" t="str">
        <f>IF(Main[[#This Row],[Tech Start Date]]&lt;1/1/1990,"",IF(Main[[#This Row],[Class]]="C",WORKDAY(Main[[#This Row],[Tech Start Date]],23),IF(Main[[#This Row],[Class]]="B", WORKDAY(Main[[#This Row],[Tech Start Date]],15),IF(Main[[#This Row],[Class]]="A",WORKDAY(Main[[#This Row],[Tech Start Date]],5),""))))</f>
        <v/>
      </c>
      <c r="P1120" s="104" t="str">
        <f>IF(Main[[#This Row],[Tech Start Date]]&lt;1/1/1990,"",IF(Main[[#This Row],[Class]]="C",WORKDAY(Main[[#This Row],[Tech Start Date]],28),IF(Main[[#This Row],[Class]]="B", WORKDAY(Main[[#This Row],[Tech Start Date]],19),IF(Main[[#This Row],[Class]]="A",WORKDAY(Main[[#This Row],[Tech Start Date]],9),""))))</f>
        <v/>
      </c>
      <c r="Q1120" s="101">
        <v>40715</v>
      </c>
      <c r="R1120" s="101"/>
      <c r="S1120" s="99" t="s">
        <v>6</v>
      </c>
      <c r="T1120" s="107" t="s">
        <v>4</v>
      </c>
      <c r="U1120" s="99" t="s">
        <v>7</v>
      </c>
      <c r="V1120" s="99" t="s">
        <v>1962</v>
      </c>
      <c r="W1120" s="99" t="s">
        <v>1973</v>
      </c>
    </row>
    <row r="1121" spans="1:23" ht="18.600000000000001" customHeight="1">
      <c r="A1121" s="123" t="str">
        <f>IF(priority(Main[[#This Row],[Comments]])&lt;&gt;0, priority(Main[[#This Row],[Comments]]),"")</f>
        <v/>
      </c>
      <c r="B1121" s="127" t="s">
        <v>1146</v>
      </c>
      <c r="C1121" s="99" t="s">
        <v>37</v>
      </c>
      <c r="D1121" s="100" t="s">
        <v>2652</v>
      </c>
      <c r="E1121" s="101">
        <v>40767.459861111114</v>
      </c>
      <c r="F1121" s="101"/>
      <c r="G1121" s="102" t="str">
        <f>IF(stdProdLT(Main[[#This Row],[Comments]])=0.1,"N/A",IF(stdProdLT(Main[[#This Row],[Comments]])=0,"",stdProdLT(Main[[#This Row],[Comments]])))</f>
        <v/>
      </c>
      <c r="H1121" s="103" t="str">
        <f>IF(AND(Main[[#This Row],[In Stock Date]]&lt;&gt;"",Main[[#This Row],[Revised Due Date]]&lt;&gt;""),Main[[#This Row],[In Stock Date]]-Main[[#This Row],[Revised Due Date]],"")</f>
        <v/>
      </c>
      <c r="I1121" s="99" t="s">
        <v>4</v>
      </c>
      <c r="J1121" s="99" t="s">
        <v>4</v>
      </c>
      <c r="K1121" s="99" t="s">
        <v>4</v>
      </c>
      <c r="L1121" s="101"/>
      <c r="M1121" s="104" t="str">
        <f>IF(Main[[#This Row],[Tech Start Date]]&lt;1/1/1990,"",IF(Main[[#This Row],[Class]]="C",WORKDAY(Main[[#This Row],[Tech Start Date]],9),IF(Main[[#This Row],[Class]]="B", WORKDAY(Main[[#This Row],[Tech Start Date]],6),IF(Main[[#This Row],[Class]]="A",WORKDAY(Main[[#This Row],[Tech Start Date]],2),""))))</f>
        <v/>
      </c>
      <c r="N1121" s="104" t="str">
        <f>IF(Main[[#This Row],[Tech Start Date]]&lt;1/1/1990,"",IF(Main[[#This Row],[Class]]="C",WORKDAY(Main[[#This Row],[Tech Start Date]],19),IF(Main[[#This Row],[Class]]="B", WORKDAY(Main[[#This Row],[Tech Start Date]],12),IF(Main[[#This Row],[Class]]="A",WORKDAY(Main[[#This Row],[Tech Start Date]],4),""))))</f>
        <v/>
      </c>
      <c r="O1121" s="104" t="str">
        <f>IF(Main[[#This Row],[Tech Start Date]]&lt;1/1/1990,"",IF(Main[[#This Row],[Class]]="C",WORKDAY(Main[[#This Row],[Tech Start Date]],23),IF(Main[[#This Row],[Class]]="B", WORKDAY(Main[[#This Row],[Tech Start Date]],15),IF(Main[[#This Row],[Class]]="A",WORKDAY(Main[[#This Row],[Tech Start Date]],5),""))))</f>
        <v/>
      </c>
      <c r="P1121" s="104" t="str">
        <f>IF(Main[[#This Row],[Tech Start Date]]&lt;1/1/1990,"",IF(Main[[#This Row],[Class]]="C",WORKDAY(Main[[#This Row],[Tech Start Date]],28),IF(Main[[#This Row],[Class]]="B", WORKDAY(Main[[#This Row],[Tech Start Date]],19),IF(Main[[#This Row],[Class]]="A",WORKDAY(Main[[#This Row],[Tech Start Date]],9),""))))</f>
        <v/>
      </c>
      <c r="Q1121" s="101">
        <v>40716</v>
      </c>
      <c r="R1121" s="101"/>
      <c r="S1121" s="99" t="s">
        <v>6</v>
      </c>
      <c r="T1121" s="107" t="s">
        <v>4</v>
      </c>
      <c r="U1121" s="99" t="s">
        <v>7</v>
      </c>
      <c r="V1121" s="99" t="s">
        <v>1962</v>
      </c>
      <c r="W1121" s="99" t="s">
        <v>1973</v>
      </c>
    </row>
    <row r="1122" spans="1:23" ht="18.600000000000001" customHeight="1">
      <c r="A1122" s="123" t="str">
        <f>IF(priority(Main[[#This Row],[Comments]])&lt;&gt;0, priority(Main[[#This Row],[Comments]]),"")</f>
        <v/>
      </c>
      <c r="B1122" s="127" t="s">
        <v>2655</v>
      </c>
      <c r="C1122" s="99" t="s">
        <v>4</v>
      </c>
      <c r="D1122" s="100" t="s">
        <v>2656</v>
      </c>
      <c r="E1122" s="101">
        <v>40857.542858796296</v>
      </c>
      <c r="F1122" s="101"/>
      <c r="G1122" s="102" t="str">
        <f>IF(stdProdLT(Main[[#This Row],[Comments]])=0.1,"N/A",IF(stdProdLT(Main[[#This Row],[Comments]])=0,"",stdProdLT(Main[[#This Row],[Comments]])))</f>
        <v/>
      </c>
      <c r="H1122" s="103" t="str">
        <f>IF(AND(Main[[#This Row],[In Stock Date]]&lt;&gt;"",Main[[#This Row],[Revised Due Date]]&lt;&gt;""),Main[[#This Row],[In Stock Date]]-Main[[#This Row],[Revised Due Date]],"")</f>
        <v/>
      </c>
      <c r="I1122" s="99" t="s">
        <v>4</v>
      </c>
      <c r="J1122" s="99" t="s">
        <v>4</v>
      </c>
      <c r="K1122" s="99" t="s">
        <v>4</v>
      </c>
      <c r="L1122" s="101"/>
      <c r="M1122" s="104" t="str">
        <f>IF(Main[[#This Row],[Tech Start Date]]&lt;1/1/1990,"",IF(Main[[#This Row],[Class]]="C",WORKDAY(Main[[#This Row],[Tech Start Date]],9),IF(Main[[#This Row],[Class]]="B", WORKDAY(Main[[#This Row],[Tech Start Date]],6),IF(Main[[#This Row],[Class]]="A",WORKDAY(Main[[#This Row],[Tech Start Date]],2),""))))</f>
        <v/>
      </c>
      <c r="N1122" s="104" t="str">
        <f>IF(Main[[#This Row],[Tech Start Date]]&lt;1/1/1990,"",IF(Main[[#This Row],[Class]]="C",WORKDAY(Main[[#This Row],[Tech Start Date]],19),IF(Main[[#This Row],[Class]]="B", WORKDAY(Main[[#This Row],[Tech Start Date]],12),IF(Main[[#This Row],[Class]]="A",WORKDAY(Main[[#This Row],[Tech Start Date]],4),""))))</f>
        <v/>
      </c>
      <c r="O1122" s="104" t="str">
        <f>IF(Main[[#This Row],[Tech Start Date]]&lt;1/1/1990,"",IF(Main[[#This Row],[Class]]="C",WORKDAY(Main[[#This Row],[Tech Start Date]],23),IF(Main[[#This Row],[Class]]="B", WORKDAY(Main[[#This Row],[Tech Start Date]],15),IF(Main[[#This Row],[Class]]="A",WORKDAY(Main[[#This Row],[Tech Start Date]],5),""))))</f>
        <v/>
      </c>
      <c r="P1122" s="104" t="str">
        <f>IF(Main[[#This Row],[Tech Start Date]]&lt;1/1/1990,"",IF(Main[[#This Row],[Class]]="C",WORKDAY(Main[[#This Row],[Tech Start Date]],28),IF(Main[[#This Row],[Class]]="B", WORKDAY(Main[[#This Row],[Tech Start Date]],19),IF(Main[[#This Row],[Class]]="A",WORKDAY(Main[[#This Row],[Tech Start Date]],9),""))))</f>
        <v/>
      </c>
      <c r="Q1122" s="101"/>
      <c r="R1122" s="101"/>
      <c r="S1122" s="99" t="s">
        <v>11</v>
      </c>
      <c r="T1122" s="107" t="s">
        <v>4</v>
      </c>
      <c r="U1122" s="99" t="s">
        <v>29</v>
      </c>
      <c r="V1122" s="99" t="s">
        <v>1963</v>
      </c>
      <c r="W1122" s="99" t="s">
        <v>4</v>
      </c>
    </row>
    <row r="1123" spans="1:23" ht="18.600000000000001" customHeight="1">
      <c r="A1123" s="123" t="str">
        <f>IF(priority(Main[[#This Row],[Comments]])&lt;&gt;0, priority(Main[[#This Row],[Comments]]),"")</f>
        <v/>
      </c>
      <c r="B1123" s="127" t="s">
        <v>2657</v>
      </c>
      <c r="C1123" s="99" t="s">
        <v>4</v>
      </c>
      <c r="D1123" s="100" t="s">
        <v>2658</v>
      </c>
      <c r="E1123" s="101">
        <v>40820.695763888885</v>
      </c>
      <c r="F1123" s="101"/>
      <c r="G1123" s="102" t="str">
        <f>IF(stdProdLT(Main[[#This Row],[Comments]])=0.1,"N/A",IF(stdProdLT(Main[[#This Row],[Comments]])=0,"",stdProdLT(Main[[#This Row],[Comments]])))</f>
        <v/>
      </c>
      <c r="H1123" s="103" t="str">
        <f>IF(AND(Main[[#This Row],[In Stock Date]]&lt;&gt;"",Main[[#This Row],[Revised Due Date]]&lt;&gt;""),Main[[#This Row],[In Stock Date]]-Main[[#This Row],[Revised Due Date]],"")</f>
        <v/>
      </c>
      <c r="I1123" s="99" t="s">
        <v>4</v>
      </c>
      <c r="J1123" s="99" t="s">
        <v>4</v>
      </c>
      <c r="K1123" s="99" t="s">
        <v>4</v>
      </c>
      <c r="L1123" s="101"/>
      <c r="M1123" s="104" t="str">
        <f>IF(Main[[#This Row],[Tech Start Date]]&lt;1/1/1990,"",IF(Main[[#This Row],[Class]]="C",WORKDAY(Main[[#This Row],[Tech Start Date]],9),IF(Main[[#This Row],[Class]]="B", WORKDAY(Main[[#This Row],[Tech Start Date]],6),IF(Main[[#This Row],[Class]]="A",WORKDAY(Main[[#This Row],[Tech Start Date]],2),""))))</f>
        <v/>
      </c>
      <c r="N1123" s="104" t="str">
        <f>IF(Main[[#This Row],[Tech Start Date]]&lt;1/1/1990,"",IF(Main[[#This Row],[Class]]="C",WORKDAY(Main[[#This Row],[Tech Start Date]],19),IF(Main[[#This Row],[Class]]="B", WORKDAY(Main[[#This Row],[Tech Start Date]],12),IF(Main[[#This Row],[Class]]="A",WORKDAY(Main[[#This Row],[Tech Start Date]],4),""))))</f>
        <v/>
      </c>
      <c r="O1123" s="104" t="str">
        <f>IF(Main[[#This Row],[Tech Start Date]]&lt;1/1/1990,"",IF(Main[[#This Row],[Class]]="C",WORKDAY(Main[[#This Row],[Tech Start Date]],23),IF(Main[[#This Row],[Class]]="B", WORKDAY(Main[[#This Row],[Tech Start Date]],15),IF(Main[[#This Row],[Class]]="A",WORKDAY(Main[[#This Row],[Tech Start Date]],5),""))))</f>
        <v/>
      </c>
      <c r="P1123" s="104" t="str">
        <f>IF(Main[[#This Row],[Tech Start Date]]&lt;1/1/1990,"",IF(Main[[#This Row],[Class]]="C",WORKDAY(Main[[#This Row],[Tech Start Date]],28),IF(Main[[#This Row],[Class]]="B", WORKDAY(Main[[#This Row],[Tech Start Date]],19),IF(Main[[#This Row],[Class]]="A",WORKDAY(Main[[#This Row],[Tech Start Date]],9),""))))</f>
        <v/>
      </c>
      <c r="Q1123" s="101"/>
      <c r="R1123" s="101"/>
      <c r="S1123" s="99" t="s">
        <v>6</v>
      </c>
      <c r="T1123" s="107" t="s">
        <v>4</v>
      </c>
      <c r="U1123" s="99" t="s">
        <v>29</v>
      </c>
      <c r="V1123" s="99" t="s">
        <v>1965</v>
      </c>
      <c r="W1123" s="99" t="s">
        <v>1966</v>
      </c>
    </row>
    <row r="1124" spans="1:23" ht="18.600000000000001" customHeight="1">
      <c r="A1124" s="123" t="str">
        <f>IF(priority(Main[[#This Row],[Comments]])&lt;&gt;0, priority(Main[[#This Row],[Comments]]),"")</f>
        <v/>
      </c>
      <c r="B1124" s="127" t="s">
        <v>2689</v>
      </c>
      <c r="C1124" s="99" t="s">
        <v>4</v>
      </c>
      <c r="D1124" s="100" t="s">
        <v>2690</v>
      </c>
      <c r="E1124" s="101"/>
      <c r="F1124" s="101"/>
      <c r="G1124" s="102" t="str">
        <f>IF(stdProdLT(Main[[#This Row],[Comments]])=0.1,"N/A",IF(stdProdLT(Main[[#This Row],[Comments]])=0,"",stdProdLT(Main[[#This Row],[Comments]])))</f>
        <v/>
      </c>
      <c r="H1124" s="103" t="str">
        <f>IF(AND(Main[[#This Row],[In Stock Date]]&lt;&gt;"",Main[[#This Row],[Revised Due Date]]&lt;&gt;""),Main[[#This Row],[In Stock Date]]-Main[[#This Row],[Revised Due Date]],"")</f>
        <v/>
      </c>
      <c r="I1124" s="99" t="s">
        <v>4</v>
      </c>
      <c r="J1124" s="99" t="s">
        <v>4</v>
      </c>
      <c r="K1124" s="99" t="s">
        <v>4</v>
      </c>
      <c r="L1124" s="101"/>
      <c r="M1124" s="104" t="str">
        <f>IF(Main[[#This Row],[Tech Start Date]]&lt;1/1/1990,"",IF(Main[[#This Row],[Class]]="C",WORKDAY(Main[[#This Row],[Tech Start Date]],9),IF(Main[[#This Row],[Class]]="B", WORKDAY(Main[[#This Row],[Tech Start Date]],6),IF(Main[[#This Row],[Class]]="A",WORKDAY(Main[[#This Row],[Tech Start Date]],2),""))))</f>
        <v/>
      </c>
      <c r="N1124" s="104" t="str">
        <f>IF(Main[[#This Row],[Tech Start Date]]&lt;1/1/1990,"",IF(Main[[#This Row],[Class]]="C",WORKDAY(Main[[#This Row],[Tech Start Date]],19),IF(Main[[#This Row],[Class]]="B", WORKDAY(Main[[#This Row],[Tech Start Date]],12),IF(Main[[#This Row],[Class]]="A",WORKDAY(Main[[#This Row],[Tech Start Date]],4),""))))</f>
        <v/>
      </c>
      <c r="O1124" s="104" t="str">
        <f>IF(Main[[#This Row],[Tech Start Date]]&lt;1/1/1990,"",IF(Main[[#This Row],[Class]]="C",WORKDAY(Main[[#This Row],[Tech Start Date]],23),IF(Main[[#This Row],[Class]]="B", WORKDAY(Main[[#This Row],[Tech Start Date]],15),IF(Main[[#This Row],[Class]]="A",WORKDAY(Main[[#This Row],[Tech Start Date]],5),""))))</f>
        <v/>
      </c>
      <c r="P1124" s="104" t="str">
        <f>IF(Main[[#This Row],[Tech Start Date]]&lt;1/1/1990,"",IF(Main[[#This Row],[Class]]="C",WORKDAY(Main[[#This Row],[Tech Start Date]],28),IF(Main[[#This Row],[Class]]="B", WORKDAY(Main[[#This Row],[Tech Start Date]],19),IF(Main[[#This Row],[Class]]="A",WORKDAY(Main[[#This Row],[Tech Start Date]],9),""))))</f>
        <v/>
      </c>
      <c r="Q1124" s="101">
        <v>40878</v>
      </c>
      <c r="R1124" s="101"/>
      <c r="S1124" s="99" t="s">
        <v>6</v>
      </c>
      <c r="T1124" s="107" t="s">
        <v>4</v>
      </c>
      <c r="U1124" s="99" t="s">
        <v>12</v>
      </c>
      <c r="V1124" s="99" t="s">
        <v>2362</v>
      </c>
      <c r="W1124" s="99" t="s">
        <v>4</v>
      </c>
    </row>
    <row r="1125" spans="1:23" ht="18.600000000000001" customHeight="1">
      <c r="A1125" s="123" t="str">
        <f>IF(priority(Main[[#This Row],[Comments]])&lt;&gt;0, priority(Main[[#This Row],[Comments]]),"")</f>
        <v/>
      </c>
      <c r="B1125" s="127" t="s">
        <v>2691</v>
      </c>
      <c r="C1125" s="99" t="s">
        <v>4</v>
      </c>
      <c r="D1125" s="100" t="s">
        <v>2692</v>
      </c>
      <c r="E1125" s="101">
        <v>40870.466527777775</v>
      </c>
      <c r="F1125" s="101"/>
      <c r="G1125" s="102" t="str">
        <f>IF(stdProdLT(Main[[#This Row],[Comments]])=0.1,"N/A",IF(stdProdLT(Main[[#This Row],[Comments]])=0,"",stdProdLT(Main[[#This Row],[Comments]])))</f>
        <v/>
      </c>
      <c r="H1125" s="103" t="str">
        <f>IF(AND(Main[[#This Row],[In Stock Date]]&lt;&gt;"",Main[[#This Row],[Revised Due Date]]&lt;&gt;""),Main[[#This Row],[In Stock Date]]-Main[[#This Row],[Revised Due Date]],"")</f>
        <v/>
      </c>
      <c r="I1125" s="99" t="s">
        <v>2110</v>
      </c>
      <c r="J1125" s="99" t="s">
        <v>28</v>
      </c>
      <c r="K1125" s="99" t="s">
        <v>1971</v>
      </c>
      <c r="L1125" s="101"/>
      <c r="M1125" s="104" t="str">
        <f>IF(Main[[#This Row],[Tech Start Date]]&lt;1/1/1990,"",IF(Main[[#This Row],[Class]]="C",WORKDAY(Main[[#This Row],[Tech Start Date]],9),IF(Main[[#This Row],[Class]]="B", WORKDAY(Main[[#This Row],[Tech Start Date]],6),IF(Main[[#This Row],[Class]]="A",WORKDAY(Main[[#This Row],[Tech Start Date]],2),""))))</f>
        <v/>
      </c>
      <c r="N1125" s="104" t="str">
        <f>IF(Main[[#This Row],[Tech Start Date]]&lt;1/1/1990,"",IF(Main[[#This Row],[Class]]="C",WORKDAY(Main[[#This Row],[Tech Start Date]],19),IF(Main[[#This Row],[Class]]="B", WORKDAY(Main[[#This Row],[Tech Start Date]],12),IF(Main[[#This Row],[Class]]="A",WORKDAY(Main[[#This Row],[Tech Start Date]],4),""))))</f>
        <v/>
      </c>
      <c r="O1125" s="104" t="str">
        <f>IF(Main[[#This Row],[Tech Start Date]]&lt;1/1/1990,"",IF(Main[[#This Row],[Class]]="C",WORKDAY(Main[[#This Row],[Tech Start Date]],23),IF(Main[[#This Row],[Class]]="B", WORKDAY(Main[[#This Row],[Tech Start Date]],15),IF(Main[[#This Row],[Class]]="A",WORKDAY(Main[[#This Row],[Tech Start Date]],5),""))))</f>
        <v/>
      </c>
      <c r="P1125" s="104" t="str">
        <f>IF(Main[[#This Row],[Tech Start Date]]&lt;1/1/1990,"",IF(Main[[#This Row],[Class]]="C",WORKDAY(Main[[#This Row],[Tech Start Date]],28),IF(Main[[#This Row],[Class]]="B", WORKDAY(Main[[#This Row],[Tech Start Date]],19),IF(Main[[#This Row],[Class]]="A",WORKDAY(Main[[#This Row],[Tech Start Date]],9),""))))</f>
        <v/>
      </c>
      <c r="Q1125" s="101">
        <v>40905</v>
      </c>
      <c r="R1125" s="101"/>
      <c r="S1125" s="99" t="s">
        <v>6</v>
      </c>
      <c r="T1125" s="107" t="s">
        <v>4</v>
      </c>
      <c r="U1125" s="99" t="s">
        <v>29</v>
      </c>
      <c r="V1125" s="99" t="s">
        <v>1965</v>
      </c>
      <c r="W1125" s="99" t="s">
        <v>1966</v>
      </c>
    </row>
    <row r="1126" spans="1:23" ht="18.600000000000001" customHeight="1">
      <c r="A1126" s="123" t="str">
        <f>IF(priority(Main[[#This Row],[Comments]])&lt;&gt;0, priority(Main[[#This Row],[Comments]]),"")</f>
        <v/>
      </c>
      <c r="B1126" s="127" t="s">
        <v>2693</v>
      </c>
      <c r="C1126" s="99" t="s">
        <v>4</v>
      </c>
      <c r="D1126" s="100" t="s">
        <v>2694</v>
      </c>
      <c r="E1126" s="101">
        <v>40840.652592592596</v>
      </c>
      <c r="F1126" s="101"/>
      <c r="G1126" s="102" t="str">
        <f>IF(stdProdLT(Main[[#This Row],[Comments]])=0.1,"N/A",IF(stdProdLT(Main[[#This Row],[Comments]])=0,"",stdProdLT(Main[[#This Row],[Comments]])))</f>
        <v/>
      </c>
      <c r="H1126" s="103" t="str">
        <f>IF(AND(Main[[#This Row],[In Stock Date]]&lt;&gt;"",Main[[#This Row],[Revised Due Date]]&lt;&gt;""),Main[[#This Row],[In Stock Date]]-Main[[#This Row],[Revised Due Date]],"")</f>
        <v/>
      </c>
      <c r="I1126" s="99" t="s">
        <v>4</v>
      </c>
      <c r="J1126" s="99" t="s">
        <v>4</v>
      </c>
      <c r="K1126" s="99" t="s">
        <v>4</v>
      </c>
      <c r="L1126" s="101"/>
      <c r="M1126" s="104" t="str">
        <f>IF(Main[[#This Row],[Tech Start Date]]&lt;1/1/1990,"",IF(Main[[#This Row],[Class]]="C",WORKDAY(Main[[#This Row],[Tech Start Date]],9),IF(Main[[#This Row],[Class]]="B", WORKDAY(Main[[#This Row],[Tech Start Date]],6),IF(Main[[#This Row],[Class]]="A",WORKDAY(Main[[#This Row],[Tech Start Date]],2),""))))</f>
        <v/>
      </c>
      <c r="N1126" s="104" t="str">
        <f>IF(Main[[#This Row],[Tech Start Date]]&lt;1/1/1990,"",IF(Main[[#This Row],[Class]]="C",WORKDAY(Main[[#This Row],[Tech Start Date]],19),IF(Main[[#This Row],[Class]]="B", WORKDAY(Main[[#This Row],[Tech Start Date]],12),IF(Main[[#This Row],[Class]]="A",WORKDAY(Main[[#This Row],[Tech Start Date]],4),""))))</f>
        <v/>
      </c>
      <c r="O1126" s="104" t="str">
        <f>IF(Main[[#This Row],[Tech Start Date]]&lt;1/1/1990,"",IF(Main[[#This Row],[Class]]="C",WORKDAY(Main[[#This Row],[Tech Start Date]],23),IF(Main[[#This Row],[Class]]="B", WORKDAY(Main[[#This Row],[Tech Start Date]],15),IF(Main[[#This Row],[Class]]="A",WORKDAY(Main[[#This Row],[Tech Start Date]],5),""))))</f>
        <v/>
      </c>
      <c r="P1126" s="104" t="str">
        <f>IF(Main[[#This Row],[Tech Start Date]]&lt;1/1/1990,"",IF(Main[[#This Row],[Class]]="C",WORKDAY(Main[[#This Row],[Tech Start Date]],28),IF(Main[[#This Row],[Class]]="B", WORKDAY(Main[[#This Row],[Tech Start Date]],19),IF(Main[[#This Row],[Class]]="A",WORKDAY(Main[[#This Row],[Tech Start Date]],9),""))))</f>
        <v/>
      </c>
      <c r="Q1126" s="101"/>
      <c r="R1126" s="101"/>
      <c r="S1126" s="99" t="s">
        <v>6</v>
      </c>
      <c r="T1126" s="107" t="s">
        <v>4</v>
      </c>
      <c r="U1126" s="99" t="s">
        <v>29</v>
      </c>
      <c r="V1126" s="99" t="s">
        <v>1962</v>
      </c>
      <c r="W1126" s="99" t="s">
        <v>4</v>
      </c>
    </row>
    <row r="1127" spans="1:23" ht="18.600000000000001" customHeight="1">
      <c r="A1127" s="123" t="str">
        <f>IF(priority(Main[[#This Row],[Comments]])&lt;&gt;0, priority(Main[[#This Row],[Comments]]),"")</f>
        <v/>
      </c>
      <c r="B1127" s="127" t="s">
        <v>1496</v>
      </c>
      <c r="C1127" s="99" t="s">
        <v>200</v>
      </c>
      <c r="D1127" s="100" t="s">
        <v>2695</v>
      </c>
      <c r="E1127" s="101">
        <v>40711.410266203704</v>
      </c>
      <c r="F1127" s="101"/>
      <c r="G1127" s="102" t="str">
        <f>IF(stdProdLT(Main[[#This Row],[Comments]])=0.1,"N/A",IF(stdProdLT(Main[[#This Row],[Comments]])=0,"",stdProdLT(Main[[#This Row],[Comments]])))</f>
        <v/>
      </c>
      <c r="H1127" s="103" t="str">
        <f>IF(AND(Main[[#This Row],[In Stock Date]]&lt;&gt;"",Main[[#This Row],[Revised Due Date]]&lt;&gt;""),Main[[#This Row],[In Stock Date]]-Main[[#This Row],[Revised Due Date]],"")</f>
        <v/>
      </c>
      <c r="I1127" s="99" t="s">
        <v>4</v>
      </c>
      <c r="J1127" s="99" t="s">
        <v>4</v>
      </c>
      <c r="K1127" s="99" t="s">
        <v>4</v>
      </c>
      <c r="L1127" s="101"/>
      <c r="M1127" s="104" t="str">
        <f>IF(Main[[#This Row],[Tech Start Date]]&lt;1/1/1990,"",IF(Main[[#This Row],[Class]]="C",WORKDAY(Main[[#This Row],[Tech Start Date]],9),IF(Main[[#This Row],[Class]]="B", WORKDAY(Main[[#This Row],[Tech Start Date]],6),IF(Main[[#This Row],[Class]]="A",WORKDAY(Main[[#This Row],[Tech Start Date]],2),""))))</f>
        <v/>
      </c>
      <c r="N1127" s="104" t="str">
        <f>IF(Main[[#This Row],[Tech Start Date]]&lt;1/1/1990,"",IF(Main[[#This Row],[Class]]="C",WORKDAY(Main[[#This Row],[Tech Start Date]],19),IF(Main[[#This Row],[Class]]="B", WORKDAY(Main[[#This Row],[Tech Start Date]],12),IF(Main[[#This Row],[Class]]="A",WORKDAY(Main[[#This Row],[Tech Start Date]],4),""))))</f>
        <v/>
      </c>
      <c r="O1127" s="104" t="str">
        <f>IF(Main[[#This Row],[Tech Start Date]]&lt;1/1/1990,"",IF(Main[[#This Row],[Class]]="C",WORKDAY(Main[[#This Row],[Tech Start Date]],23),IF(Main[[#This Row],[Class]]="B", WORKDAY(Main[[#This Row],[Tech Start Date]],15),IF(Main[[#This Row],[Class]]="A",WORKDAY(Main[[#This Row],[Tech Start Date]],5),""))))</f>
        <v/>
      </c>
      <c r="P1127" s="104" t="str">
        <f>IF(Main[[#This Row],[Tech Start Date]]&lt;1/1/1990,"",IF(Main[[#This Row],[Class]]="C",WORKDAY(Main[[#This Row],[Tech Start Date]],28),IF(Main[[#This Row],[Class]]="B", WORKDAY(Main[[#This Row],[Tech Start Date]],19),IF(Main[[#This Row],[Class]]="A",WORKDAY(Main[[#This Row],[Tech Start Date]],9),""))))</f>
        <v/>
      </c>
      <c r="Q1127" s="101">
        <v>40846</v>
      </c>
      <c r="R1127" s="101"/>
      <c r="S1127" s="99" t="s">
        <v>17</v>
      </c>
      <c r="T1127" s="107" t="s">
        <v>4</v>
      </c>
      <c r="U1127" s="99" t="s">
        <v>29</v>
      </c>
      <c r="V1127" s="99" t="s">
        <v>1965</v>
      </c>
      <c r="W1127" s="99" t="s">
        <v>1970</v>
      </c>
    </row>
    <row r="1128" spans="1:23" ht="18.600000000000001" customHeight="1">
      <c r="A1128" s="123" t="str">
        <f>IF(priority(Main[[#This Row],[Comments]])&lt;&gt;0, priority(Main[[#This Row],[Comments]]),"")</f>
        <v/>
      </c>
      <c r="B1128" s="127" t="s">
        <v>2399</v>
      </c>
      <c r="C1128" s="99" t="s">
        <v>4</v>
      </c>
      <c r="D1128" s="100" t="s">
        <v>2400</v>
      </c>
      <c r="E1128" s="101">
        <v>40819.669872685183</v>
      </c>
      <c r="F1128" s="101"/>
      <c r="G1128" s="102" t="str">
        <f>IF(stdProdLT(Main[[#This Row],[Comments]])=0.1,"N/A",IF(stdProdLT(Main[[#This Row],[Comments]])=0,"",stdProdLT(Main[[#This Row],[Comments]])))</f>
        <v/>
      </c>
      <c r="H1128" s="103" t="str">
        <f>IF(AND(Main[[#This Row],[In Stock Date]]&lt;&gt;"",Main[[#This Row],[Revised Due Date]]&lt;&gt;""),Main[[#This Row],[In Stock Date]]-Main[[#This Row],[Revised Due Date]],"")</f>
        <v/>
      </c>
      <c r="I1128" s="99" t="s">
        <v>242</v>
      </c>
      <c r="J1128" s="99" t="s">
        <v>28</v>
      </c>
      <c r="K1128" s="99" t="s">
        <v>1971</v>
      </c>
      <c r="L1128" s="101"/>
      <c r="M1128" s="104" t="str">
        <f>IF(Main[[#This Row],[Tech Start Date]]&lt;1/1/1990,"",IF(Main[[#This Row],[Class]]="C",WORKDAY(Main[[#This Row],[Tech Start Date]],9),IF(Main[[#This Row],[Class]]="B", WORKDAY(Main[[#This Row],[Tech Start Date]],6),IF(Main[[#This Row],[Class]]="A",WORKDAY(Main[[#This Row],[Tech Start Date]],2),""))))</f>
        <v/>
      </c>
      <c r="N1128" s="104" t="str">
        <f>IF(Main[[#This Row],[Tech Start Date]]&lt;1/1/1990,"",IF(Main[[#This Row],[Class]]="C",WORKDAY(Main[[#This Row],[Tech Start Date]],19),IF(Main[[#This Row],[Class]]="B", WORKDAY(Main[[#This Row],[Tech Start Date]],12),IF(Main[[#This Row],[Class]]="A",WORKDAY(Main[[#This Row],[Tech Start Date]],4),""))))</f>
        <v/>
      </c>
      <c r="O1128" s="104" t="str">
        <f>IF(Main[[#This Row],[Tech Start Date]]&lt;1/1/1990,"",IF(Main[[#This Row],[Class]]="C",WORKDAY(Main[[#This Row],[Tech Start Date]],23),IF(Main[[#This Row],[Class]]="B", WORKDAY(Main[[#This Row],[Tech Start Date]],15),IF(Main[[#This Row],[Class]]="A",WORKDAY(Main[[#This Row],[Tech Start Date]],5),""))))</f>
        <v/>
      </c>
      <c r="P1128" s="104" t="str">
        <f>IF(Main[[#This Row],[Tech Start Date]]&lt;1/1/1990,"",IF(Main[[#This Row],[Class]]="C",WORKDAY(Main[[#This Row],[Tech Start Date]],28),IF(Main[[#This Row],[Class]]="B", WORKDAY(Main[[#This Row],[Tech Start Date]],19),IF(Main[[#This Row],[Class]]="A",WORKDAY(Main[[#This Row],[Tech Start Date]],9),""))))</f>
        <v/>
      </c>
      <c r="Q1128" s="101">
        <v>40847</v>
      </c>
      <c r="R1128" s="101"/>
      <c r="S1128" s="99" t="s">
        <v>6</v>
      </c>
      <c r="T1128" s="107" t="s">
        <v>4</v>
      </c>
      <c r="U1128" s="99" t="s">
        <v>29</v>
      </c>
      <c r="V1128" s="99" t="s">
        <v>1965</v>
      </c>
      <c r="W1128" s="99" t="s">
        <v>1966</v>
      </c>
    </row>
    <row r="1129" spans="1:23" ht="18.600000000000001" customHeight="1">
      <c r="A1129" s="123" t="str">
        <f>IF(priority(Main[[#This Row],[Comments]])&lt;&gt;0, priority(Main[[#This Row],[Comments]]),"")</f>
        <v/>
      </c>
      <c r="B1129" s="127" t="s">
        <v>2696</v>
      </c>
      <c r="C1129" s="99" t="s">
        <v>2683</v>
      </c>
      <c r="D1129" s="100" t="s">
        <v>2697</v>
      </c>
      <c r="E1129" s="101"/>
      <c r="F1129" s="101"/>
      <c r="G1129" s="102" t="str">
        <f>IF(stdProdLT(Main[[#This Row],[Comments]])=0.1,"N/A",IF(stdProdLT(Main[[#This Row],[Comments]])=0,"",stdProdLT(Main[[#This Row],[Comments]])))</f>
        <v/>
      </c>
      <c r="H1129" s="103" t="str">
        <f>IF(AND(Main[[#This Row],[In Stock Date]]&lt;&gt;"",Main[[#This Row],[Revised Due Date]]&lt;&gt;""),Main[[#This Row],[In Stock Date]]-Main[[#This Row],[Revised Due Date]],"")</f>
        <v/>
      </c>
      <c r="I1129" s="99" t="s">
        <v>4</v>
      </c>
      <c r="J1129" s="99" t="s">
        <v>4</v>
      </c>
      <c r="K1129" s="99" t="s">
        <v>4</v>
      </c>
      <c r="L1129" s="101"/>
      <c r="M1129" s="104" t="str">
        <f>IF(Main[[#This Row],[Tech Start Date]]&lt;1/1/1990,"",IF(Main[[#This Row],[Class]]="C",WORKDAY(Main[[#This Row],[Tech Start Date]],9),IF(Main[[#This Row],[Class]]="B", WORKDAY(Main[[#This Row],[Tech Start Date]],6),IF(Main[[#This Row],[Class]]="A",WORKDAY(Main[[#This Row],[Tech Start Date]],2),""))))</f>
        <v/>
      </c>
      <c r="N1129" s="104" t="str">
        <f>IF(Main[[#This Row],[Tech Start Date]]&lt;1/1/1990,"",IF(Main[[#This Row],[Class]]="C",WORKDAY(Main[[#This Row],[Tech Start Date]],19),IF(Main[[#This Row],[Class]]="B", WORKDAY(Main[[#This Row],[Tech Start Date]],12),IF(Main[[#This Row],[Class]]="A",WORKDAY(Main[[#This Row],[Tech Start Date]],4),""))))</f>
        <v/>
      </c>
      <c r="O1129" s="104" t="str">
        <f>IF(Main[[#This Row],[Tech Start Date]]&lt;1/1/1990,"",IF(Main[[#This Row],[Class]]="C",WORKDAY(Main[[#This Row],[Tech Start Date]],23),IF(Main[[#This Row],[Class]]="B", WORKDAY(Main[[#This Row],[Tech Start Date]],15),IF(Main[[#This Row],[Class]]="A",WORKDAY(Main[[#This Row],[Tech Start Date]],5),""))))</f>
        <v/>
      </c>
      <c r="P1129" s="104" t="str">
        <f>IF(Main[[#This Row],[Tech Start Date]]&lt;1/1/1990,"",IF(Main[[#This Row],[Class]]="C",WORKDAY(Main[[#This Row],[Tech Start Date]],28),IF(Main[[#This Row],[Class]]="B", WORKDAY(Main[[#This Row],[Tech Start Date]],19),IF(Main[[#This Row],[Class]]="A",WORKDAY(Main[[#This Row],[Tech Start Date]],9),""))))</f>
        <v/>
      </c>
      <c r="Q1129" s="101"/>
      <c r="R1129" s="101"/>
      <c r="S1129" s="99" t="s">
        <v>11</v>
      </c>
      <c r="T1129" s="107" t="s">
        <v>4</v>
      </c>
      <c r="U1129" s="99" t="s">
        <v>14</v>
      </c>
      <c r="V1129" s="99" t="s">
        <v>1963</v>
      </c>
      <c r="W1129" s="99" t="s">
        <v>1970</v>
      </c>
    </row>
    <row r="1130" spans="1:23" ht="18.600000000000001" customHeight="1">
      <c r="A1130" s="123" t="str">
        <f>IF(priority(Main[[#This Row],[Comments]])&lt;&gt;0, priority(Main[[#This Row],[Comments]]),"")</f>
        <v/>
      </c>
      <c r="B1130" s="127" t="s">
        <v>2698</v>
      </c>
      <c r="C1130" s="99" t="s">
        <v>2416</v>
      </c>
      <c r="D1130" s="100" t="s">
        <v>2699</v>
      </c>
      <c r="E1130" s="101">
        <v>40843.623680555553</v>
      </c>
      <c r="F1130" s="101"/>
      <c r="G1130" s="102" t="str">
        <f>IF(stdProdLT(Main[[#This Row],[Comments]])=0.1,"N/A",IF(stdProdLT(Main[[#This Row],[Comments]])=0,"",stdProdLT(Main[[#This Row],[Comments]])))</f>
        <v/>
      </c>
      <c r="H1130" s="103" t="str">
        <f>IF(AND(Main[[#This Row],[In Stock Date]]&lt;&gt;"",Main[[#This Row],[Revised Due Date]]&lt;&gt;""),Main[[#This Row],[In Stock Date]]-Main[[#This Row],[Revised Due Date]],"")</f>
        <v/>
      </c>
      <c r="I1130" s="99" t="s">
        <v>4</v>
      </c>
      <c r="J1130" s="99" t="s">
        <v>4</v>
      </c>
      <c r="K1130" s="99" t="s">
        <v>4</v>
      </c>
      <c r="L1130" s="101"/>
      <c r="M1130" s="104" t="str">
        <f>IF(Main[[#This Row],[Tech Start Date]]&lt;1/1/1990,"",IF(Main[[#This Row],[Class]]="C",WORKDAY(Main[[#This Row],[Tech Start Date]],9),IF(Main[[#This Row],[Class]]="B", WORKDAY(Main[[#This Row],[Tech Start Date]],6),IF(Main[[#This Row],[Class]]="A",WORKDAY(Main[[#This Row],[Tech Start Date]],2),""))))</f>
        <v/>
      </c>
      <c r="N1130" s="104" t="str">
        <f>IF(Main[[#This Row],[Tech Start Date]]&lt;1/1/1990,"",IF(Main[[#This Row],[Class]]="C",WORKDAY(Main[[#This Row],[Tech Start Date]],19),IF(Main[[#This Row],[Class]]="B", WORKDAY(Main[[#This Row],[Tech Start Date]],12),IF(Main[[#This Row],[Class]]="A",WORKDAY(Main[[#This Row],[Tech Start Date]],4),""))))</f>
        <v/>
      </c>
      <c r="O1130" s="104" t="str">
        <f>IF(Main[[#This Row],[Tech Start Date]]&lt;1/1/1990,"",IF(Main[[#This Row],[Class]]="C",WORKDAY(Main[[#This Row],[Tech Start Date]],23),IF(Main[[#This Row],[Class]]="B", WORKDAY(Main[[#This Row],[Tech Start Date]],15),IF(Main[[#This Row],[Class]]="A",WORKDAY(Main[[#This Row],[Tech Start Date]],5),""))))</f>
        <v/>
      </c>
      <c r="P1130" s="104" t="str">
        <f>IF(Main[[#This Row],[Tech Start Date]]&lt;1/1/1990,"",IF(Main[[#This Row],[Class]]="C",WORKDAY(Main[[#This Row],[Tech Start Date]],28),IF(Main[[#This Row],[Class]]="B", WORKDAY(Main[[#This Row],[Tech Start Date]],19),IF(Main[[#This Row],[Class]]="A",WORKDAY(Main[[#This Row],[Tech Start Date]],9),""))))</f>
        <v/>
      </c>
      <c r="Q1130" s="101"/>
      <c r="R1130" s="101"/>
      <c r="S1130" s="99" t="s">
        <v>6</v>
      </c>
      <c r="T1130" s="107" t="s">
        <v>4</v>
      </c>
      <c r="U1130" s="99" t="s">
        <v>7</v>
      </c>
      <c r="V1130" s="99" t="s">
        <v>1962</v>
      </c>
      <c r="W1130" s="99" t="s">
        <v>1966</v>
      </c>
    </row>
    <row r="1131" spans="1:23" ht="18.600000000000001" customHeight="1">
      <c r="A1131" s="123" t="str">
        <f>IF(priority(Main[[#This Row],[Comments]])&lt;&gt;0, priority(Main[[#This Row],[Comments]]),"")</f>
        <v/>
      </c>
      <c r="B1131" s="127" t="s">
        <v>2700</v>
      </c>
      <c r="C1131" s="99" t="s">
        <v>4</v>
      </c>
      <c r="D1131" s="100" t="s">
        <v>2701</v>
      </c>
      <c r="E1131" s="101"/>
      <c r="F1131" s="101"/>
      <c r="G1131" s="102" t="str">
        <f>IF(stdProdLT(Main[[#This Row],[Comments]])=0.1,"N/A",IF(stdProdLT(Main[[#This Row],[Comments]])=0,"",stdProdLT(Main[[#This Row],[Comments]])))</f>
        <v/>
      </c>
      <c r="H1131" s="103" t="str">
        <f>IF(AND(Main[[#This Row],[In Stock Date]]&lt;&gt;"",Main[[#This Row],[Revised Due Date]]&lt;&gt;""),Main[[#This Row],[In Stock Date]]-Main[[#This Row],[Revised Due Date]],"")</f>
        <v/>
      </c>
      <c r="I1131" s="99" t="s">
        <v>4</v>
      </c>
      <c r="J1131" s="99" t="s">
        <v>4</v>
      </c>
      <c r="K1131" s="99" t="s">
        <v>4</v>
      </c>
      <c r="L1131" s="101"/>
      <c r="M1131" s="104" t="str">
        <f>IF(Main[[#This Row],[Tech Start Date]]&lt;1/1/1990,"",IF(Main[[#This Row],[Class]]="C",WORKDAY(Main[[#This Row],[Tech Start Date]],9),IF(Main[[#This Row],[Class]]="B", WORKDAY(Main[[#This Row],[Tech Start Date]],6),IF(Main[[#This Row],[Class]]="A",WORKDAY(Main[[#This Row],[Tech Start Date]],2),""))))</f>
        <v/>
      </c>
      <c r="N1131" s="104" t="str">
        <f>IF(Main[[#This Row],[Tech Start Date]]&lt;1/1/1990,"",IF(Main[[#This Row],[Class]]="C",WORKDAY(Main[[#This Row],[Tech Start Date]],19),IF(Main[[#This Row],[Class]]="B", WORKDAY(Main[[#This Row],[Tech Start Date]],12),IF(Main[[#This Row],[Class]]="A",WORKDAY(Main[[#This Row],[Tech Start Date]],4),""))))</f>
        <v/>
      </c>
      <c r="O1131" s="104" t="str">
        <f>IF(Main[[#This Row],[Tech Start Date]]&lt;1/1/1990,"",IF(Main[[#This Row],[Class]]="C",WORKDAY(Main[[#This Row],[Tech Start Date]],23),IF(Main[[#This Row],[Class]]="B", WORKDAY(Main[[#This Row],[Tech Start Date]],15),IF(Main[[#This Row],[Class]]="A",WORKDAY(Main[[#This Row],[Tech Start Date]],5),""))))</f>
        <v/>
      </c>
      <c r="P1131" s="104" t="str">
        <f>IF(Main[[#This Row],[Tech Start Date]]&lt;1/1/1990,"",IF(Main[[#This Row],[Class]]="C",WORKDAY(Main[[#This Row],[Tech Start Date]],28),IF(Main[[#This Row],[Class]]="B", WORKDAY(Main[[#This Row],[Tech Start Date]],19),IF(Main[[#This Row],[Class]]="A",WORKDAY(Main[[#This Row],[Tech Start Date]],9),""))))</f>
        <v/>
      </c>
      <c r="Q1131" s="101">
        <v>40858</v>
      </c>
      <c r="R1131" s="101"/>
      <c r="S1131" s="99" t="s">
        <v>6</v>
      </c>
      <c r="T1131" s="107" t="s">
        <v>4</v>
      </c>
      <c r="U1131" s="99" t="s">
        <v>14</v>
      </c>
      <c r="V1131" s="99" t="s">
        <v>1965</v>
      </c>
      <c r="W1131" s="99" t="s">
        <v>4</v>
      </c>
    </row>
    <row r="1132" spans="1:23" ht="18.600000000000001" customHeight="1">
      <c r="A1132" s="123" t="str">
        <f>IF(priority(Main[[#This Row],[Comments]])&lt;&gt;0, priority(Main[[#This Row],[Comments]]),"")</f>
        <v/>
      </c>
      <c r="B1132" s="127" t="s">
        <v>2725</v>
      </c>
      <c r="C1132" s="99" t="s">
        <v>4</v>
      </c>
      <c r="D1132" s="100" t="s">
        <v>2726</v>
      </c>
      <c r="E1132" s="101"/>
      <c r="F1132" s="101"/>
      <c r="G1132" s="102" t="str">
        <f>IF(stdProdLT(Main[[#This Row],[Comments]])=0.1,"N/A",IF(stdProdLT(Main[[#This Row],[Comments]])=0,"",stdProdLT(Main[[#This Row],[Comments]])))</f>
        <v/>
      </c>
      <c r="H1132" s="103" t="str">
        <f>IF(AND(Main[[#This Row],[In Stock Date]]&lt;&gt;"",Main[[#This Row],[Revised Due Date]]&lt;&gt;""),Main[[#This Row],[In Stock Date]]-Main[[#This Row],[Revised Due Date]],"")</f>
        <v/>
      </c>
      <c r="I1132" s="99" t="s">
        <v>4</v>
      </c>
      <c r="J1132" s="99" t="s">
        <v>4</v>
      </c>
      <c r="K1132" s="99" t="s">
        <v>4</v>
      </c>
      <c r="L1132" s="101"/>
      <c r="M1132" s="104" t="str">
        <f>IF(Main[[#This Row],[Tech Start Date]]&lt;1/1/1990,"",IF(Main[[#This Row],[Class]]="C",WORKDAY(Main[[#This Row],[Tech Start Date]],9),IF(Main[[#This Row],[Class]]="B", WORKDAY(Main[[#This Row],[Tech Start Date]],6),IF(Main[[#This Row],[Class]]="A",WORKDAY(Main[[#This Row],[Tech Start Date]],2),""))))</f>
        <v/>
      </c>
      <c r="N1132" s="104" t="str">
        <f>IF(Main[[#This Row],[Tech Start Date]]&lt;1/1/1990,"",IF(Main[[#This Row],[Class]]="C",WORKDAY(Main[[#This Row],[Tech Start Date]],19),IF(Main[[#This Row],[Class]]="B", WORKDAY(Main[[#This Row],[Tech Start Date]],12),IF(Main[[#This Row],[Class]]="A",WORKDAY(Main[[#This Row],[Tech Start Date]],4),""))))</f>
        <v/>
      </c>
      <c r="O1132" s="104" t="str">
        <f>IF(Main[[#This Row],[Tech Start Date]]&lt;1/1/1990,"",IF(Main[[#This Row],[Class]]="C",WORKDAY(Main[[#This Row],[Tech Start Date]],23),IF(Main[[#This Row],[Class]]="B", WORKDAY(Main[[#This Row],[Tech Start Date]],15),IF(Main[[#This Row],[Class]]="A",WORKDAY(Main[[#This Row],[Tech Start Date]],5),""))))</f>
        <v/>
      </c>
      <c r="P1132" s="104" t="str">
        <f>IF(Main[[#This Row],[Tech Start Date]]&lt;1/1/1990,"",IF(Main[[#This Row],[Class]]="C",WORKDAY(Main[[#This Row],[Tech Start Date]],28),IF(Main[[#This Row],[Class]]="B", WORKDAY(Main[[#This Row],[Tech Start Date]],19),IF(Main[[#This Row],[Class]]="A",WORKDAY(Main[[#This Row],[Tech Start Date]],9),""))))</f>
        <v/>
      </c>
      <c r="Q1132" s="101"/>
      <c r="R1132" s="101"/>
      <c r="S1132" s="99" t="s">
        <v>11</v>
      </c>
      <c r="T1132" s="107" t="s">
        <v>4</v>
      </c>
      <c r="U1132" s="99" t="s">
        <v>14</v>
      </c>
      <c r="V1132" s="99" t="s">
        <v>1963</v>
      </c>
      <c r="W1132" s="99" t="s">
        <v>4</v>
      </c>
    </row>
    <row r="1133" spans="1:23" ht="18.600000000000001" customHeight="1">
      <c r="A1133" s="123" t="str">
        <f>IF(priority(Main[[#This Row],[Comments]])&lt;&gt;0, priority(Main[[#This Row],[Comments]]),"")</f>
        <v/>
      </c>
      <c r="B1133" s="127" t="s">
        <v>2676</v>
      </c>
      <c r="C1133" s="99" t="s">
        <v>2677</v>
      </c>
      <c r="D1133" s="100" t="s">
        <v>3033</v>
      </c>
      <c r="E1133" s="101">
        <v>40871.220509259256</v>
      </c>
      <c r="F1133" s="101"/>
      <c r="G1133" s="102" t="str">
        <f>IF(stdProdLT(Main[[#This Row],[Comments]])=0.1,"N/A",IF(stdProdLT(Main[[#This Row],[Comments]])=0,"",stdProdLT(Main[[#This Row],[Comments]])))</f>
        <v/>
      </c>
      <c r="H1133" s="103" t="str">
        <f>IF(AND(Main[[#This Row],[In Stock Date]]&lt;&gt;"",Main[[#This Row],[Revised Due Date]]&lt;&gt;""),Main[[#This Row],[In Stock Date]]-Main[[#This Row],[Revised Due Date]],"")</f>
        <v/>
      </c>
      <c r="I1133" s="99" t="s">
        <v>4</v>
      </c>
      <c r="J1133" s="99" t="s">
        <v>4</v>
      </c>
      <c r="K1133" s="99" t="s">
        <v>4</v>
      </c>
      <c r="L1133" s="101"/>
      <c r="M1133" s="104" t="str">
        <f>IF(Main[[#This Row],[Tech Start Date]]&lt;1/1/1990,"",IF(Main[[#This Row],[Class]]="C",WORKDAY(Main[[#This Row],[Tech Start Date]],9),IF(Main[[#This Row],[Class]]="B", WORKDAY(Main[[#This Row],[Tech Start Date]],6),IF(Main[[#This Row],[Class]]="A",WORKDAY(Main[[#This Row],[Tech Start Date]],2),""))))</f>
        <v/>
      </c>
      <c r="N1133" s="104" t="str">
        <f>IF(Main[[#This Row],[Tech Start Date]]&lt;1/1/1990,"",IF(Main[[#This Row],[Class]]="C",WORKDAY(Main[[#This Row],[Tech Start Date]],19),IF(Main[[#This Row],[Class]]="B", WORKDAY(Main[[#This Row],[Tech Start Date]],12),IF(Main[[#This Row],[Class]]="A",WORKDAY(Main[[#This Row],[Tech Start Date]],4),""))))</f>
        <v/>
      </c>
      <c r="O1133" s="104" t="str">
        <f>IF(Main[[#This Row],[Tech Start Date]]&lt;1/1/1990,"",IF(Main[[#This Row],[Class]]="C",WORKDAY(Main[[#This Row],[Tech Start Date]],23),IF(Main[[#This Row],[Class]]="B", WORKDAY(Main[[#This Row],[Tech Start Date]],15),IF(Main[[#This Row],[Class]]="A",WORKDAY(Main[[#This Row],[Tech Start Date]],5),""))))</f>
        <v/>
      </c>
      <c r="P1133" s="104" t="str">
        <f>IF(Main[[#This Row],[Tech Start Date]]&lt;1/1/1990,"",IF(Main[[#This Row],[Class]]="C",WORKDAY(Main[[#This Row],[Tech Start Date]],28),IF(Main[[#This Row],[Class]]="B", WORKDAY(Main[[#This Row],[Tech Start Date]],19),IF(Main[[#This Row],[Class]]="A",WORKDAY(Main[[#This Row],[Tech Start Date]],9),""))))</f>
        <v/>
      </c>
      <c r="Q1133" s="101">
        <v>40875</v>
      </c>
      <c r="R1133" s="101"/>
      <c r="S1133" s="99" t="s">
        <v>11</v>
      </c>
      <c r="T1133" s="107" t="s">
        <v>3034</v>
      </c>
      <c r="U1133" s="99" t="s">
        <v>704</v>
      </c>
      <c r="V1133" s="99" t="s">
        <v>1965</v>
      </c>
      <c r="W1133" s="99" t="s">
        <v>1970</v>
      </c>
    </row>
    <row r="1134" spans="1:23" ht="18.600000000000001" customHeight="1">
      <c r="A1134" s="123" t="str">
        <f>IF(priority(Main[[#This Row],[Comments]])&lt;&gt;0, priority(Main[[#This Row],[Comments]]),"")</f>
        <v/>
      </c>
      <c r="B1134" s="127" t="s">
        <v>1436</v>
      </c>
      <c r="C1134" s="99" t="s">
        <v>489</v>
      </c>
      <c r="D1134" s="100" t="s">
        <v>2732</v>
      </c>
      <c r="E1134" s="101"/>
      <c r="F1134" s="101">
        <v>40452</v>
      </c>
      <c r="G1134" s="102" t="str">
        <f>IF(stdProdLT(Main[[#This Row],[Comments]])=0.1,"N/A",IF(stdProdLT(Main[[#This Row],[Comments]])=0,"",stdProdLT(Main[[#This Row],[Comments]])))</f>
        <v/>
      </c>
      <c r="H1134" s="103" t="str">
        <f>IF(AND(Main[[#This Row],[In Stock Date]]&lt;&gt;"",Main[[#This Row],[Revised Due Date]]&lt;&gt;""),Main[[#This Row],[In Stock Date]]-Main[[#This Row],[Revised Due Date]],"")</f>
        <v/>
      </c>
      <c r="I1134" s="99" t="s">
        <v>4</v>
      </c>
      <c r="J1134" s="99" t="s">
        <v>4</v>
      </c>
      <c r="K1134" s="108" t="s">
        <v>4</v>
      </c>
      <c r="L1134" s="101"/>
      <c r="M1134" s="104" t="str">
        <f>IF(Main[[#This Row],[Tech Start Date]]&lt;1/1/1990,"",IF(Main[[#This Row],[Class]]="C",WORKDAY(Main[[#This Row],[Tech Start Date]],9),IF(Main[[#This Row],[Class]]="B", WORKDAY(Main[[#This Row],[Tech Start Date]],6),IF(Main[[#This Row],[Class]]="A",WORKDAY(Main[[#This Row],[Tech Start Date]],2),""))))</f>
        <v/>
      </c>
      <c r="N1134" s="104" t="str">
        <f>IF(Main[[#This Row],[Tech Start Date]]&lt;1/1/1990,"",IF(Main[[#This Row],[Class]]="C",WORKDAY(Main[[#This Row],[Tech Start Date]],19),IF(Main[[#This Row],[Class]]="B", WORKDAY(Main[[#This Row],[Tech Start Date]],12),IF(Main[[#This Row],[Class]]="A",WORKDAY(Main[[#This Row],[Tech Start Date]],4),""))))</f>
        <v/>
      </c>
      <c r="O1134" s="104" t="str">
        <f>IF(Main[[#This Row],[Tech Start Date]]&lt;1/1/1990,"",IF(Main[[#This Row],[Class]]="C",WORKDAY(Main[[#This Row],[Tech Start Date]],23),IF(Main[[#This Row],[Class]]="B", WORKDAY(Main[[#This Row],[Tech Start Date]],15),IF(Main[[#This Row],[Class]]="A",WORKDAY(Main[[#This Row],[Tech Start Date]],5),""))))</f>
        <v/>
      </c>
      <c r="P1134" s="104" t="str">
        <f>IF(Main[[#This Row],[Tech Start Date]]&lt;1/1/1990,"",IF(Main[[#This Row],[Class]]="C",WORKDAY(Main[[#This Row],[Tech Start Date]],28),IF(Main[[#This Row],[Class]]="B", WORKDAY(Main[[#This Row],[Tech Start Date]],19),IF(Main[[#This Row],[Class]]="A",WORKDAY(Main[[#This Row],[Tech Start Date]],9),""))))</f>
        <v/>
      </c>
      <c r="Q1134" s="101">
        <v>40391</v>
      </c>
      <c r="R1134" s="101"/>
      <c r="S1134" s="99" t="s">
        <v>6</v>
      </c>
      <c r="T1134" s="107" t="s">
        <v>4</v>
      </c>
      <c r="U1134" s="99" t="s">
        <v>14</v>
      </c>
      <c r="V1134" s="99" t="s">
        <v>1962</v>
      </c>
      <c r="W1134" s="99" t="s">
        <v>1967</v>
      </c>
    </row>
    <row r="1135" spans="1:23" ht="18.600000000000001" customHeight="1">
      <c r="A1135" s="123" t="str">
        <f>IF(priority(Main[[#This Row],[Comments]])&lt;&gt;0, priority(Main[[#This Row],[Comments]]),"")</f>
        <v/>
      </c>
      <c r="B1135" s="127" t="s">
        <v>2733</v>
      </c>
      <c r="C1135" s="99" t="s">
        <v>4</v>
      </c>
      <c r="D1135" s="100" t="s">
        <v>2734</v>
      </c>
      <c r="E1135" s="101">
        <v>40855.624421296299</v>
      </c>
      <c r="F1135" s="101"/>
      <c r="G1135" s="102" t="str">
        <f>IF(stdProdLT(Main[[#This Row],[Comments]])=0.1,"N/A",IF(stdProdLT(Main[[#This Row],[Comments]])=0,"",stdProdLT(Main[[#This Row],[Comments]])))</f>
        <v/>
      </c>
      <c r="H1135" s="103" t="str">
        <f>IF(AND(Main[[#This Row],[In Stock Date]]&lt;&gt;"",Main[[#This Row],[Revised Due Date]]&lt;&gt;""),Main[[#This Row],[In Stock Date]]-Main[[#This Row],[Revised Due Date]],"")</f>
        <v/>
      </c>
      <c r="I1135" s="99" t="s">
        <v>81</v>
      </c>
      <c r="J1135" s="99" t="s">
        <v>21</v>
      </c>
      <c r="K1135" s="99" t="s">
        <v>4</v>
      </c>
      <c r="L1135" s="101"/>
      <c r="M1135" s="104" t="str">
        <f>IF(Main[[#This Row],[Tech Start Date]]&lt;1/1/1990,"",IF(Main[[#This Row],[Class]]="C",WORKDAY(Main[[#This Row],[Tech Start Date]],9),IF(Main[[#This Row],[Class]]="B", WORKDAY(Main[[#This Row],[Tech Start Date]],6),IF(Main[[#This Row],[Class]]="A",WORKDAY(Main[[#This Row],[Tech Start Date]],2),""))))</f>
        <v/>
      </c>
      <c r="N1135" s="104" t="str">
        <f>IF(Main[[#This Row],[Tech Start Date]]&lt;1/1/1990,"",IF(Main[[#This Row],[Class]]="C",WORKDAY(Main[[#This Row],[Tech Start Date]],19),IF(Main[[#This Row],[Class]]="B", WORKDAY(Main[[#This Row],[Tech Start Date]],12),IF(Main[[#This Row],[Class]]="A",WORKDAY(Main[[#This Row],[Tech Start Date]],4),""))))</f>
        <v/>
      </c>
      <c r="O1135" s="104" t="str">
        <f>IF(Main[[#This Row],[Tech Start Date]]&lt;1/1/1990,"",IF(Main[[#This Row],[Class]]="C",WORKDAY(Main[[#This Row],[Tech Start Date]],23),IF(Main[[#This Row],[Class]]="B", WORKDAY(Main[[#This Row],[Tech Start Date]],15),IF(Main[[#This Row],[Class]]="A",WORKDAY(Main[[#This Row],[Tech Start Date]],5),""))))</f>
        <v/>
      </c>
      <c r="P1135" s="104" t="str">
        <f>IF(Main[[#This Row],[Tech Start Date]]&lt;1/1/1990,"",IF(Main[[#This Row],[Class]]="C",WORKDAY(Main[[#This Row],[Tech Start Date]],28),IF(Main[[#This Row],[Class]]="B", WORKDAY(Main[[#This Row],[Tech Start Date]],19),IF(Main[[#This Row],[Class]]="A",WORKDAY(Main[[#This Row],[Tech Start Date]],9),""))))</f>
        <v/>
      </c>
      <c r="Q1135" s="101">
        <v>40908</v>
      </c>
      <c r="R1135" s="101"/>
      <c r="S1135" s="99" t="s">
        <v>6</v>
      </c>
      <c r="T1135" s="107" t="s">
        <v>4</v>
      </c>
      <c r="U1135" s="99" t="s">
        <v>29</v>
      </c>
      <c r="V1135" s="99" t="s">
        <v>1972</v>
      </c>
      <c r="W1135" s="99" t="s">
        <v>1967</v>
      </c>
    </row>
    <row r="1136" spans="1:23" ht="18.600000000000001" customHeight="1">
      <c r="A1136" s="123" t="str">
        <f>IF(priority(Main[[#This Row],[Comments]])&lt;&gt;0, priority(Main[[#This Row],[Comments]]),"")</f>
        <v/>
      </c>
      <c r="B1136" s="127" t="s">
        <v>2735</v>
      </c>
      <c r="C1136" s="99" t="s">
        <v>122</v>
      </c>
      <c r="D1136" s="100" t="s">
        <v>2736</v>
      </c>
      <c r="E1136" s="101">
        <v>40848.481932870367</v>
      </c>
      <c r="F1136" s="101">
        <v>41030</v>
      </c>
      <c r="G1136" s="102">
        <f>IF(stdProdLT(Main[[#This Row],[Comments]])=0.1,"N/A",IF(stdProdLT(Main[[#This Row],[Comments]])=0,"",stdProdLT(Main[[#This Row],[Comments]])))</f>
        <v>126</v>
      </c>
      <c r="H1136" s="103" t="str">
        <f>IF(AND(Main[[#This Row],[In Stock Date]]&lt;&gt;"",Main[[#This Row],[Revised Due Date]]&lt;&gt;""),Main[[#This Row],[In Stock Date]]-Main[[#This Row],[Revised Due Date]],"")</f>
        <v/>
      </c>
      <c r="I1136" s="99" t="s">
        <v>4</v>
      </c>
      <c r="J1136" s="99" t="s">
        <v>4</v>
      </c>
      <c r="K1136" s="99" t="s">
        <v>4</v>
      </c>
      <c r="L1136" s="101"/>
      <c r="M1136" s="104" t="str">
        <f>IF(Main[[#This Row],[Tech Start Date]]&lt;1/1/1990,"",IF(Main[[#This Row],[Class]]="C",WORKDAY(Main[[#This Row],[Tech Start Date]],9),IF(Main[[#This Row],[Class]]="B", WORKDAY(Main[[#This Row],[Tech Start Date]],6),IF(Main[[#This Row],[Class]]="A",WORKDAY(Main[[#This Row],[Tech Start Date]],2),""))))</f>
        <v/>
      </c>
      <c r="N1136" s="104" t="str">
        <f>IF(Main[[#This Row],[Tech Start Date]]&lt;1/1/1990,"",IF(Main[[#This Row],[Class]]="C",WORKDAY(Main[[#This Row],[Tech Start Date]],19),IF(Main[[#This Row],[Class]]="B", WORKDAY(Main[[#This Row],[Tech Start Date]],12),IF(Main[[#This Row],[Class]]="A",WORKDAY(Main[[#This Row],[Tech Start Date]],4),""))))</f>
        <v/>
      </c>
      <c r="O1136" s="104" t="str">
        <f>IF(Main[[#This Row],[Tech Start Date]]&lt;1/1/1990,"",IF(Main[[#This Row],[Class]]="C",WORKDAY(Main[[#This Row],[Tech Start Date]],23),IF(Main[[#This Row],[Class]]="B", WORKDAY(Main[[#This Row],[Tech Start Date]],15),IF(Main[[#This Row],[Class]]="A",WORKDAY(Main[[#This Row],[Tech Start Date]],5),""))))</f>
        <v/>
      </c>
      <c r="P1136" s="104" t="str">
        <f>IF(Main[[#This Row],[Tech Start Date]]&lt;1/1/1990,"",IF(Main[[#This Row],[Class]]="C",WORKDAY(Main[[#This Row],[Tech Start Date]],28),IF(Main[[#This Row],[Class]]="B", WORKDAY(Main[[#This Row],[Tech Start Date]],19),IF(Main[[#This Row],[Class]]="A",WORKDAY(Main[[#This Row],[Tech Start Date]],9),""))))</f>
        <v/>
      </c>
      <c r="Q1136" s="101">
        <v>40907</v>
      </c>
      <c r="R1136" s="101"/>
      <c r="S1136" s="99" t="s">
        <v>11</v>
      </c>
      <c r="T1136" s="107" t="s">
        <v>2737</v>
      </c>
      <c r="U1136" s="99" t="s">
        <v>7</v>
      </c>
      <c r="V1136" s="99" t="s">
        <v>1962</v>
      </c>
      <c r="W1136" s="99" t="s">
        <v>1968</v>
      </c>
    </row>
    <row r="1137" spans="1:23" ht="18.600000000000001" customHeight="1">
      <c r="A1137" s="123" t="str">
        <f>IF(priority(Main[[#This Row],[Comments]])&lt;&gt;0, priority(Main[[#This Row],[Comments]]),"")</f>
        <v/>
      </c>
      <c r="B1137" s="127" t="s">
        <v>2738</v>
      </c>
      <c r="C1137" s="99" t="s">
        <v>4</v>
      </c>
      <c r="D1137" s="100" t="s">
        <v>2739</v>
      </c>
      <c r="E1137" s="101">
        <v>40861.6484837963</v>
      </c>
      <c r="F1137" s="101"/>
      <c r="G1137" s="102" t="str">
        <f>IF(stdProdLT(Main[[#This Row],[Comments]])=0.1,"N/A",IF(stdProdLT(Main[[#This Row],[Comments]])=0,"",stdProdLT(Main[[#This Row],[Comments]])))</f>
        <v/>
      </c>
      <c r="H1137" s="103" t="str">
        <f>IF(AND(Main[[#This Row],[In Stock Date]]&lt;&gt;"",Main[[#This Row],[Revised Due Date]]&lt;&gt;""),Main[[#This Row],[In Stock Date]]-Main[[#This Row],[Revised Due Date]],"")</f>
        <v/>
      </c>
      <c r="I1137" s="99" t="s">
        <v>4</v>
      </c>
      <c r="J1137" s="99" t="s">
        <v>4</v>
      </c>
      <c r="K1137" s="99" t="s">
        <v>4</v>
      </c>
      <c r="L1137" s="101"/>
      <c r="M1137" s="104" t="str">
        <f>IF(Main[[#This Row],[Tech Start Date]]&lt;1/1/1990,"",IF(Main[[#This Row],[Class]]="C",WORKDAY(Main[[#This Row],[Tech Start Date]],9),IF(Main[[#This Row],[Class]]="B", WORKDAY(Main[[#This Row],[Tech Start Date]],6),IF(Main[[#This Row],[Class]]="A",WORKDAY(Main[[#This Row],[Tech Start Date]],2),""))))</f>
        <v/>
      </c>
      <c r="N1137" s="104" t="str">
        <f>IF(Main[[#This Row],[Tech Start Date]]&lt;1/1/1990,"",IF(Main[[#This Row],[Class]]="C",WORKDAY(Main[[#This Row],[Tech Start Date]],19),IF(Main[[#This Row],[Class]]="B", WORKDAY(Main[[#This Row],[Tech Start Date]],12),IF(Main[[#This Row],[Class]]="A",WORKDAY(Main[[#This Row],[Tech Start Date]],4),""))))</f>
        <v/>
      </c>
      <c r="O1137" s="104" t="str">
        <f>IF(Main[[#This Row],[Tech Start Date]]&lt;1/1/1990,"",IF(Main[[#This Row],[Class]]="C",WORKDAY(Main[[#This Row],[Tech Start Date]],23),IF(Main[[#This Row],[Class]]="B", WORKDAY(Main[[#This Row],[Tech Start Date]],15),IF(Main[[#This Row],[Class]]="A",WORKDAY(Main[[#This Row],[Tech Start Date]],5),""))))</f>
        <v/>
      </c>
      <c r="P1137" s="104" t="str">
        <f>IF(Main[[#This Row],[Tech Start Date]]&lt;1/1/1990,"",IF(Main[[#This Row],[Class]]="C",WORKDAY(Main[[#This Row],[Tech Start Date]],28),IF(Main[[#This Row],[Class]]="B", WORKDAY(Main[[#This Row],[Tech Start Date]],19),IF(Main[[#This Row],[Class]]="A",WORKDAY(Main[[#This Row],[Tech Start Date]],9),""))))</f>
        <v/>
      </c>
      <c r="Q1137" s="101">
        <v>41372</v>
      </c>
      <c r="R1137" s="101"/>
      <c r="S1137" s="99" t="s">
        <v>17</v>
      </c>
      <c r="T1137" s="107" t="s">
        <v>4</v>
      </c>
      <c r="U1137" s="99" t="s">
        <v>7</v>
      </c>
      <c r="V1137" s="99" t="s">
        <v>1965</v>
      </c>
      <c r="W1137" s="99" t="s">
        <v>1967</v>
      </c>
    </row>
    <row r="1138" spans="1:23" ht="18.600000000000001" customHeight="1">
      <c r="A1138" s="123" t="str">
        <f>IF(priority(Main[[#This Row],[Comments]])&lt;&gt;0, priority(Main[[#This Row],[Comments]]),"")</f>
        <v/>
      </c>
      <c r="B1138" s="127" t="s">
        <v>2702</v>
      </c>
      <c r="C1138" s="99" t="s">
        <v>4</v>
      </c>
      <c r="D1138" s="100" t="s">
        <v>2703</v>
      </c>
      <c r="E1138" s="101"/>
      <c r="F1138" s="101"/>
      <c r="G1138" s="102" t="str">
        <f>IF(stdProdLT(Main[[#This Row],[Comments]])=0.1,"N/A",IF(stdProdLT(Main[[#This Row],[Comments]])=0,"",stdProdLT(Main[[#This Row],[Comments]])))</f>
        <v/>
      </c>
      <c r="H1138" s="103" t="str">
        <f>IF(AND(Main[[#This Row],[In Stock Date]]&lt;&gt;"",Main[[#This Row],[Revised Due Date]]&lt;&gt;""),Main[[#This Row],[In Stock Date]]-Main[[#This Row],[Revised Due Date]],"")</f>
        <v/>
      </c>
      <c r="I1138" s="99" t="s">
        <v>4</v>
      </c>
      <c r="J1138" s="99" t="s">
        <v>4</v>
      </c>
      <c r="K1138" s="99" t="s">
        <v>4</v>
      </c>
      <c r="L1138" s="101"/>
      <c r="M1138" s="104" t="str">
        <f>IF(Main[[#This Row],[Tech Start Date]]&lt;1/1/1990,"",IF(Main[[#This Row],[Class]]="C",WORKDAY(Main[[#This Row],[Tech Start Date]],9),IF(Main[[#This Row],[Class]]="B", WORKDAY(Main[[#This Row],[Tech Start Date]],6),IF(Main[[#This Row],[Class]]="A",WORKDAY(Main[[#This Row],[Tech Start Date]],2),""))))</f>
        <v/>
      </c>
      <c r="N1138" s="104" t="str">
        <f>IF(Main[[#This Row],[Tech Start Date]]&lt;1/1/1990,"",IF(Main[[#This Row],[Class]]="C",WORKDAY(Main[[#This Row],[Tech Start Date]],19),IF(Main[[#This Row],[Class]]="B", WORKDAY(Main[[#This Row],[Tech Start Date]],12),IF(Main[[#This Row],[Class]]="A",WORKDAY(Main[[#This Row],[Tech Start Date]],4),""))))</f>
        <v/>
      </c>
      <c r="O1138" s="104" t="str">
        <f>IF(Main[[#This Row],[Tech Start Date]]&lt;1/1/1990,"",IF(Main[[#This Row],[Class]]="C",WORKDAY(Main[[#This Row],[Tech Start Date]],23),IF(Main[[#This Row],[Class]]="B", WORKDAY(Main[[#This Row],[Tech Start Date]],15),IF(Main[[#This Row],[Class]]="A",WORKDAY(Main[[#This Row],[Tech Start Date]],5),""))))</f>
        <v/>
      </c>
      <c r="P1138" s="104" t="str">
        <f>IF(Main[[#This Row],[Tech Start Date]]&lt;1/1/1990,"",IF(Main[[#This Row],[Class]]="C",WORKDAY(Main[[#This Row],[Tech Start Date]],28),IF(Main[[#This Row],[Class]]="B", WORKDAY(Main[[#This Row],[Tech Start Date]],19),IF(Main[[#This Row],[Class]]="A",WORKDAY(Main[[#This Row],[Tech Start Date]],9),""))))</f>
        <v/>
      </c>
      <c r="Q1138" s="101"/>
      <c r="R1138" s="101"/>
      <c r="S1138" s="99" t="s">
        <v>23</v>
      </c>
      <c r="T1138" s="107" t="s">
        <v>4</v>
      </c>
      <c r="U1138" s="99" t="s">
        <v>14</v>
      </c>
      <c r="V1138" s="99" t="s">
        <v>1962</v>
      </c>
      <c r="W1138" s="99" t="s">
        <v>1968</v>
      </c>
    </row>
    <row r="1139" spans="1:23" ht="18.600000000000001" customHeight="1">
      <c r="A1139" s="123" t="str">
        <f>IF(priority(Main[[#This Row],[Comments]])&lt;&gt;0, priority(Main[[#This Row],[Comments]]),"")</f>
        <v/>
      </c>
      <c r="B1139" s="127" t="s">
        <v>2723</v>
      </c>
      <c r="C1139" s="99" t="s">
        <v>3071</v>
      </c>
      <c r="D1139" s="100" t="s">
        <v>2724</v>
      </c>
      <c r="E1139" s="101">
        <v>40877.312037037038</v>
      </c>
      <c r="F1139" s="101">
        <v>41030</v>
      </c>
      <c r="G1139" s="102">
        <f>IF(stdProdLT(Main[[#This Row],[Comments]])=0.1,"N/A",IF(stdProdLT(Main[[#This Row],[Comments]])=0,"",stdProdLT(Main[[#This Row],[Comments]])))</f>
        <v>168</v>
      </c>
      <c r="H1139" s="103" t="str">
        <f>IF(AND(Main[[#This Row],[In Stock Date]]&lt;&gt;"",Main[[#This Row],[Revised Due Date]]&lt;&gt;""),Main[[#This Row],[In Stock Date]]-Main[[#This Row],[Revised Due Date]],"")</f>
        <v/>
      </c>
      <c r="I1139" s="99" t="s">
        <v>4</v>
      </c>
      <c r="J1139" s="99" t="s">
        <v>28</v>
      </c>
      <c r="K1139" s="99" t="s">
        <v>4</v>
      </c>
      <c r="L1139" s="101"/>
      <c r="M1139" s="104" t="str">
        <f>IF(Main[[#This Row],[Tech Start Date]]&lt;1/1/1990,"",IF(Main[[#This Row],[Class]]="C",WORKDAY(Main[[#This Row],[Tech Start Date]],9),IF(Main[[#This Row],[Class]]="B", WORKDAY(Main[[#This Row],[Tech Start Date]],6),IF(Main[[#This Row],[Class]]="A",WORKDAY(Main[[#This Row],[Tech Start Date]],2),""))))</f>
        <v/>
      </c>
      <c r="N1139" s="104" t="str">
        <f>IF(Main[[#This Row],[Tech Start Date]]&lt;1/1/1990,"",IF(Main[[#This Row],[Class]]="C",WORKDAY(Main[[#This Row],[Tech Start Date]],19),IF(Main[[#This Row],[Class]]="B", WORKDAY(Main[[#This Row],[Tech Start Date]],12),IF(Main[[#This Row],[Class]]="A",WORKDAY(Main[[#This Row],[Tech Start Date]],4),""))))</f>
        <v/>
      </c>
      <c r="O1139" s="104" t="str">
        <f>IF(Main[[#This Row],[Tech Start Date]]&lt;1/1/1990,"",IF(Main[[#This Row],[Class]]="C",WORKDAY(Main[[#This Row],[Tech Start Date]],23),IF(Main[[#This Row],[Class]]="B", WORKDAY(Main[[#This Row],[Tech Start Date]],15),IF(Main[[#This Row],[Class]]="A",WORKDAY(Main[[#This Row],[Tech Start Date]],5),""))))</f>
        <v/>
      </c>
      <c r="P1139" s="104" t="str">
        <f>IF(Main[[#This Row],[Tech Start Date]]&lt;1/1/1990,"",IF(Main[[#This Row],[Class]]="C",WORKDAY(Main[[#This Row],[Tech Start Date]],28),IF(Main[[#This Row],[Class]]="B", WORKDAY(Main[[#This Row],[Tech Start Date]],19),IF(Main[[#This Row],[Class]]="A",WORKDAY(Main[[#This Row],[Tech Start Date]],9),""))))</f>
        <v/>
      </c>
      <c r="Q1139" s="101">
        <v>40923</v>
      </c>
      <c r="R1139" s="101"/>
      <c r="S1139" s="99" t="s">
        <v>11</v>
      </c>
      <c r="T1139" s="107" t="s">
        <v>3083</v>
      </c>
      <c r="U1139" s="99" t="s">
        <v>7</v>
      </c>
      <c r="V1139" s="99" t="s">
        <v>1962</v>
      </c>
      <c r="W1139" s="99" t="s">
        <v>1968</v>
      </c>
    </row>
    <row r="1140" spans="1:23" ht="18.600000000000001" customHeight="1">
      <c r="A1140" s="123" t="str">
        <f>IF(priority(Main[[#This Row],[Comments]])&lt;&gt;0, priority(Main[[#This Row],[Comments]]),"")</f>
        <v/>
      </c>
      <c r="B1140" s="127" t="s">
        <v>2740</v>
      </c>
      <c r="C1140" s="99" t="s">
        <v>2452</v>
      </c>
      <c r="D1140" s="100" t="s">
        <v>2741</v>
      </c>
      <c r="E1140" s="101"/>
      <c r="F1140" s="101">
        <v>41030</v>
      </c>
      <c r="G1140" s="102" t="str">
        <f>IF(stdProdLT(Main[[#This Row],[Comments]])=0.1,"N/A",IF(stdProdLT(Main[[#This Row],[Comments]])=0,"",stdProdLT(Main[[#This Row],[Comments]])))</f>
        <v/>
      </c>
      <c r="H1140" s="103" t="str">
        <f>IF(AND(Main[[#This Row],[In Stock Date]]&lt;&gt;"",Main[[#This Row],[Revised Due Date]]&lt;&gt;""),Main[[#This Row],[In Stock Date]]-Main[[#This Row],[Revised Due Date]],"")</f>
        <v/>
      </c>
      <c r="I1140" s="99" t="s">
        <v>4</v>
      </c>
      <c r="J1140" s="99" t="s">
        <v>75</v>
      </c>
      <c r="K1140" s="99" t="s">
        <v>4</v>
      </c>
      <c r="L1140" s="101"/>
      <c r="M1140" s="104" t="str">
        <f>IF(Main[[#This Row],[Tech Start Date]]&lt;1/1/1990,"",IF(Main[[#This Row],[Class]]="C",WORKDAY(Main[[#This Row],[Tech Start Date]],9),IF(Main[[#This Row],[Class]]="B", WORKDAY(Main[[#This Row],[Tech Start Date]],6),IF(Main[[#This Row],[Class]]="A",WORKDAY(Main[[#This Row],[Tech Start Date]],2),""))))</f>
        <v/>
      </c>
      <c r="N1140" s="104" t="str">
        <f>IF(Main[[#This Row],[Tech Start Date]]&lt;1/1/1990,"",IF(Main[[#This Row],[Class]]="C",WORKDAY(Main[[#This Row],[Tech Start Date]],19),IF(Main[[#This Row],[Class]]="B", WORKDAY(Main[[#This Row],[Tech Start Date]],12),IF(Main[[#This Row],[Class]]="A",WORKDAY(Main[[#This Row],[Tech Start Date]],4),""))))</f>
        <v/>
      </c>
      <c r="O1140" s="104" t="str">
        <f>IF(Main[[#This Row],[Tech Start Date]]&lt;1/1/1990,"",IF(Main[[#This Row],[Class]]="C",WORKDAY(Main[[#This Row],[Tech Start Date]],23),IF(Main[[#This Row],[Class]]="B", WORKDAY(Main[[#This Row],[Tech Start Date]],15),IF(Main[[#This Row],[Class]]="A",WORKDAY(Main[[#This Row],[Tech Start Date]],5),""))))</f>
        <v/>
      </c>
      <c r="P1140" s="104" t="str">
        <f>IF(Main[[#This Row],[Tech Start Date]]&lt;1/1/1990,"",IF(Main[[#This Row],[Class]]="C",WORKDAY(Main[[#This Row],[Tech Start Date]],28),IF(Main[[#This Row],[Class]]="B", WORKDAY(Main[[#This Row],[Tech Start Date]],19),IF(Main[[#This Row],[Class]]="A",WORKDAY(Main[[#This Row],[Tech Start Date]],9),""))))</f>
        <v/>
      </c>
      <c r="Q1140" s="101">
        <v>40923</v>
      </c>
      <c r="R1140" s="101"/>
      <c r="S1140" s="99" t="s">
        <v>11</v>
      </c>
      <c r="T1140" s="107" t="s">
        <v>4</v>
      </c>
      <c r="U1140" s="99" t="s">
        <v>12</v>
      </c>
      <c r="V1140" s="99" t="s">
        <v>1972</v>
      </c>
      <c r="W1140" s="99" t="s">
        <v>1968</v>
      </c>
    </row>
    <row r="1141" spans="1:23" ht="18.600000000000001" customHeight="1">
      <c r="A1141" s="123" t="str">
        <f>IF(priority(Main[[#This Row],[Comments]])&lt;&gt;0, priority(Main[[#This Row],[Comments]]),"")</f>
        <v/>
      </c>
      <c r="B1141" s="127" t="s">
        <v>2744</v>
      </c>
      <c r="C1141" s="99" t="s">
        <v>4</v>
      </c>
      <c r="D1141" s="100" t="s">
        <v>2745</v>
      </c>
      <c r="E1141" s="101"/>
      <c r="F1141" s="101"/>
      <c r="G1141" s="102" t="str">
        <f>IF(stdProdLT(Main[[#This Row],[Comments]])=0.1,"N/A",IF(stdProdLT(Main[[#This Row],[Comments]])=0,"",stdProdLT(Main[[#This Row],[Comments]])))</f>
        <v/>
      </c>
      <c r="H1141" s="103" t="str">
        <f>IF(AND(Main[[#This Row],[In Stock Date]]&lt;&gt;"",Main[[#This Row],[Revised Due Date]]&lt;&gt;""),Main[[#This Row],[In Stock Date]]-Main[[#This Row],[Revised Due Date]],"")</f>
        <v/>
      </c>
      <c r="I1141" s="99" t="s">
        <v>4</v>
      </c>
      <c r="J1141" s="99" t="s">
        <v>4</v>
      </c>
      <c r="K1141" s="99" t="s">
        <v>4</v>
      </c>
      <c r="L1141" s="101"/>
      <c r="M1141" s="104" t="str">
        <f>IF(Main[[#This Row],[Tech Start Date]]&lt;1/1/1990,"",IF(Main[[#This Row],[Class]]="C",WORKDAY(Main[[#This Row],[Tech Start Date]],9),IF(Main[[#This Row],[Class]]="B", WORKDAY(Main[[#This Row],[Tech Start Date]],6),IF(Main[[#This Row],[Class]]="A",WORKDAY(Main[[#This Row],[Tech Start Date]],2),""))))</f>
        <v/>
      </c>
      <c r="N1141" s="104" t="str">
        <f>IF(Main[[#This Row],[Tech Start Date]]&lt;1/1/1990,"",IF(Main[[#This Row],[Class]]="C",WORKDAY(Main[[#This Row],[Tech Start Date]],19),IF(Main[[#This Row],[Class]]="B", WORKDAY(Main[[#This Row],[Tech Start Date]],12),IF(Main[[#This Row],[Class]]="A",WORKDAY(Main[[#This Row],[Tech Start Date]],4),""))))</f>
        <v/>
      </c>
      <c r="O1141" s="104" t="str">
        <f>IF(Main[[#This Row],[Tech Start Date]]&lt;1/1/1990,"",IF(Main[[#This Row],[Class]]="C",WORKDAY(Main[[#This Row],[Tech Start Date]],23),IF(Main[[#This Row],[Class]]="B", WORKDAY(Main[[#This Row],[Tech Start Date]],15),IF(Main[[#This Row],[Class]]="A",WORKDAY(Main[[#This Row],[Tech Start Date]],5),""))))</f>
        <v/>
      </c>
      <c r="P1141" s="104" t="str">
        <f>IF(Main[[#This Row],[Tech Start Date]]&lt;1/1/1990,"",IF(Main[[#This Row],[Class]]="C",WORKDAY(Main[[#This Row],[Tech Start Date]],28),IF(Main[[#This Row],[Class]]="B", WORKDAY(Main[[#This Row],[Tech Start Date]],19),IF(Main[[#This Row],[Class]]="A",WORKDAY(Main[[#This Row],[Tech Start Date]],9),""))))</f>
        <v/>
      </c>
      <c r="Q1141" s="101"/>
      <c r="R1141" s="101"/>
      <c r="S1141" s="99" t="s">
        <v>6</v>
      </c>
      <c r="T1141" s="107" t="s">
        <v>4</v>
      </c>
      <c r="U1141" s="99" t="s">
        <v>14</v>
      </c>
      <c r="V1141" s="99" t="s">
        <v>1972</v>
      </c>
      <c r="W1141" s="99" t="s">
        <v>1966</v>
      </c>
    </row>
    <row r="1142" spans="1:23" ht="18.600000000000001" customHeight="1">
      <c r="A1142" s="123" t="str">
        <f>IF(priority(Main[[#This Row],[Comments]])&lt;&gt;0, priority(Main[[#This Row],[Comments]]),"")</f>
        <v/>
      </c>
      <c r="B1142" s="127" t="s">
        <v>1897</v>
      </c>
      <c r="C1142" s="99" t="s">
        <v>47</v>
      </c>
      <c r="D1142" s="100" t="s">
        <v>927</v>
      </c>
      <c r="E1142" s="101">
        <v>39937.598483796297</v>
      </c>
      <c r="F1142" s="101"/>
      <c r="G1142" s="102" t="str">
        <f>IF(stdProdLT(Main[[#This Row],[Comments]])=0.1,"N/A",IF(stdProdLT(Main[[#This Row],[Comments]])=0,"",stdProdLT(Main[[#This Row],[Comments]])))</f>
        <v/>
      </c>
      <c r="H1142" s="103" t="str">
        <f>IF(AND(Main[[#This Row],[In Stock Date]]&lt;&gt;"",Main[[#This Row],[Revised Due Date]]&lt;&gt;""),Main[[#This Row],[In Stock Date]]-Main[[#This Row],[Revised Due Date]],"")</f>
        <v/>
      </c>
      <c r="I1142" s="99" t="s">
        <v>915</v>
      </c>
      <c r="J1142" s="99" t="s">
        <v>4</v>
      </c>
      <c r="K1142" s="99" t="s">
        <v>1974</v>
      </c>
      <c r="L1142" s="101"/>
      <c r="M1142" s="104" t="str">
        <f>IF(Main[[#This Row],[Tech Start Date]]&lt;1/1/1990,"",IF(Main[[#This Row],[Class]]="C",WORKDAY(Main[[#This Row],[Tech Start Date]],9),IF(Main[[#This Row],[Class]]="B", WORKDAY(Main[[#This Row],[Tech Start Date]],6),IF(Main[[#This Row],[Class]]="A",WORKDAY(Main[[#This Row],[Tech Start Date]],2),""))))</f>
        <v/>
      </c>
      <c r="N1142" s="104" t="str">
        <f>IF(Main[[#This Row],[Tech Start Date]]&lt;1/1/1990,"",IF(Main[[#This Row],[Class]]="C",WORKDAY(Main[[#This Row],[Tech Start Date]],19),IF(Main[[#This Row],[Class]]="B", WORKDAY(Main[[#This Row],[Tech Start Date]],12),IF(Main[[#This Row],[Class]]="A",WORKDAY(Main[[#This Row],[Tech Start Date]],4),""))))</f>
        <v/>
      </c>
      <c r="O1142" s="104" t="str">
        <f>IF(Main[[#This Row],[Tech Start Date]]&lt;1/1/1990,"",IF(Main[[#This Row],[Class]]="C",WORKDAY(Main[[#This Row],[Tech Start Date]],23),IF(Main[[#This Row],[Class]]="B", WORKDAY(Main[[#This Row],[Tech Start Date]],15),IF(Main[[#This Row],[Class]]="A",WORKDAY(Main[[#This Row],[Tech Start Date]],5),""))))</f>
        <v/>
      </c>
      <c r="P1142" s="104" t="str">
        <f>IF(Main[[#This Row],[Tech Start Date]]&lt;1/1/1990,"",IF(Main[[#This Row],[Class]]="C",WORKDAY(Main[[#This Row],[Tech Start Date]],28),IF(Main[[#This Row],[Class]]="B", WORKDAY(Main[[#This Row],[Tech Start Date]],19),IF(Main[[#This Row],[Class]]="A",WORKDAY(Main[[#This Row],[Tech Start Date]],9),""))))</f>
        <v/>
      </c>
      <c r="Q1142" s="101"/>
      <c r="R1142" s="101">
        <v>40945</v>
      </c>
      <c r="S1142" s="99" t="s">
        <v>17</v>
      </c>
      <c r="T1142" s="107" t="s">
        <v>4</v>
      </c>
      <c r="U1142" s="99" t="s">
        <v>29</v>
      </c>
      <c r="V1142" s="99" t="s">
        <v>1965</v>
      </c>
      <c r="W1142" s="99" t="s">
        <v>1967</v>
      </c>
    </row>
    <row r="1143" spans="1:23" ht="18.600000000000001" customHeight="1">
      <c r="A1143" s="123" t="str">
        <f>IF(priority(Main[[#This Row],[Comments]])&lt;&gt;0, priority(Main[[#This Row],[Comments]]),"")</f>
        <v/>
      </c>
      <c r="B1143" s="127" t="s">
        <v>2841</v>
      </c>
      <c r="C1143" s="99" t="s">
        <v>122</v>
      </c>
      <c r="D1143" s="100" t="s">
        <v>2842</v>
      </c>
      <c r="E1143" s="101">
        <v>40848.443101851852</v>
      </c>
      <c r="F1143" s="101">
        <v>41030</v>
      </c>
      <c r="G1143" s="102">
        <f>IF(stdProdLT(Main[[#This Row],[Comments]])=0.1,"N/A",IF(stdProdLT(Main[[#This Row],[Comments]])=0,"",stdProdLT(Main[[#This Row],[Comments]])))</f>
        <v>126</v>
      </c>
      <c r="H1143" s="103" t="str">
        <f>IF(AND(Main[[#This Row],[In Stock Date]]&lt;&gt;"",Main[[#This Row],[Revised Due Date]]&lt;&gt;""),Main[[#This Row],[In Stock Date]]-Main[[#This Row],[Revised Due Date]],"")</f>
        <v/>
      </c>
      <c r="I1143" s="99" t="s">
        <v>4</v>
      </c>
      <c r="J1143" s="99" t="s">
        <v>4</v>
      </c>
      <c r="K1143" s="99" t="s">
        <v>4</v>
      </c>
      <c r="L1143" s="101"/>
      <c r="M1143" s="104" t="str">
        <f>IF(Main[[#This Row],[Tech Start Date]]&lt;1/1/1990,"",IF(Main[[#This Row],[Class]]="C",WORKDAY(Main[[#This Row],[Tech Start Date]],9),IF(Main[[#This Row],[Class]]="B", WORKDAY(Main[[#This Row],[Tech Start Date]],6),IF(Main[[#This Row],[Class]]="A",WORKDAY(Main[[#This Row],[Tech Start Date]],2),""))))</f>
        <v/>
      </c>
      <c r="N1143" s="104" t="str">
        <f>IF(Main[[#This Row],[Tech Start Date]]&lt;1/1/1990,"",IF(Main[[#This Row],[Class]]="C",WORKDAY(Main[[#This Row],[Tech Start Date]],19),IF(Main[[#This Row],[Class]]="B", WORKDAY(Main[[#This Row],[Tech Start Date]],12),IF(Main[[#This Row],[Class]]="A",WORKDAY(Main[[#This Row],[Tech Start Date]],4),""))))</f>
        <v/>
      </c>
      <c r="O1143" s="104" t="str">
        <f>IF(Main[[#This Row],[Tech Start Date]]&lt;1/1/1990,"",IF(Main[[#This Row],[Class]]="C",WORKDAY(Main[[#This Row],[Tech Start Date]],23),IF(Main[[#This Row],[Class]]="B", WORKDAY(Main[[#This Row],[Tech Start Date]],15),IF(Main[[#This Row],[Class]]="A",WORKDAY(Main[[#This Row],[Tech Start Date]],5),""))))</f>
        <v/>
      </c>
      <c r="P1143" s="104" t="str">
        <f>IF(Main[[#This Row],[Tech Start Date]]&lt;1/1/1990,"",IF(Main[[#This Row],[Class]]="C",WORKDAY(Main[[#This Row],[Tech Start Date]],28),IF(Main[[#This Row],[Class]]="B", WORKDAY(Main[[#This Row],[Tech Start Date]],19),IF(Main[[#This Row],[Class]]="A",WORKDAY(Main[[#This Row],[Tech Start Date]],9),""))))</f>
        <v/>
      </c>
      <c r="Q1143" s="101"/>
      <c r="R1143" s="101"/>
      <c r="S1143" s="99" t="s">
        <v>11</v>
      </c>
      <c r="T1143" s="107" t="s">
        <v>2737</v>
      </c>
      <c r="U1143" s="99" t="s">
        <v>7</v>
      </c>
      <c r="V1143" s="99" t="s">
        <v>1962</v>
      </c>
      <c r="W1143" s="99" t="s">
        <v>1968</v>
      </c>
    </row>
    <row r="1144" spans="1:23" ht="18.600000000000001" customHeight="1">
      <c r="A1144" s="123" t="str">
        <f>IF(priority(Main[[#This Row],[Comments]])&lt;&gt;0, priority(Main[[#This Row],[Comments]]),"")</f>
        <v/>
      </c>
      <c r="B1144" s="127" t="s">
        <v>2751</v>
      </c>
      <c r="C1144" s="99" t="s">
        <v>4</v>
      </c>
      <c r="D1144" s="100" t="s">
        <v>2752</v>
      </c>
      <c r="E1144" s="101">
        <v>40834.332835648151</v>
      </c>
      <c r="F1144" s="101"/>
      <c r="G1144" s="102" t="str">
        <f>IF(stdProdLT(Main[[#This Row],[Comments]])=0.1,"N/A",IF(stdProdLT(Main[[#This Row],[Comments]])=0,"",stdProdLT(Main[[#This Row],[Comments]])))</f>
        <v/>
      </c>
      <c r="H1144" s="103" t="str">
        <f>IF(AND(Main[[#This Row],[In Stock Date]]&lt;&gt;"",Main[[#This Row],[Revised Due Date]]&lt;&gt;""),Main[[#This Row],[In Stock Date]]-Main[[#This Row],[Revised Due Date]],"")</f>
        <v/>
      </c>
      <c r="I1144" s="99" t="s">
        <v>4</v>
      </c>
      <c r="J1144" s="99" t="s">
        <v>4</v>
      </c>
      <c r="K1144" s="99" t="s">
        <v>4</v>
      </c>
      <c r="L1144" s="101"/>
      <c r="M1144" s="104" t="str">
        <f>IF(Main[[#This Row],[Tech Start Date]]&lt;1/1/1990,"",IF(Main[[#This Row],[Class]]="C",WORKDAY(Main[[#This Row],[Tech Start Date]],9),IF(Main[[#This Row],[Class]]="B", WORKDAY(Main[[#This Row],[Tech Start Date]],6),IF(Main[[#This Row],[Class]]="A",WORKDAY(Main[[#This Row],[Tech Start Date]],2),""))))</f>
        <v/>
      </c>
      <c r="N1144" s="104" t="str">
        <f>IF(Main[[#This Row],[Tech Start Date]]&lt;1/1/1990,"",IF(Main[[#This Row],[Class]]="C",WORKDAY(Main[[#This Row],[Tech Start Date]],19),IF(Main[[#This Row],[Class]]="B", WORKDAY(Main[[#This Row],[Tech Start Date]],12),IF(Main[[#This Row],[Class]]="A",WORKDAY(Main[[#This Row],[Tech Start Date]],4),""))))</f>
        <v/>
      </c>
      <c r="O1144" s="104" t="str">
        <f>IF(Main[[#This Row],[Tech Start Date]]&lt;1/1/1990,"",IF(Main[[#This Row],[Class]]="C",WORKDAY(Main[[#This Row],[Tech Start Date]],23),IF(Main[[#This Row],[Class]]="B", WORKDAY(Main[[#This Row],[Tech Start Date]],15),IF(Main[[#This Row],[Class]]="A",WORKDAY(Main[[#This Row],[Tech Start Date]],5),""))))</f>
        <v/>
      </c>
      <c r="P1144" s="104" t="str">
        <f>IF(Main[[#This Row],[Tech Start Date]]&lt;1/1/1990,"",IF(Main[[#This Row],[Class]]="C",WORKDAY(Main[[#This Row],[Tech Start Date]],28),IF(Main[[#This Row],[Class]]="B", WORKDAY(Main[[#This Row],[Tech Start Date]],19),IF(Main[[#This Row],[Class]]="A",WORKDAY(Main[[#This Row],[Tech Start Date]],9),""))))</f>
        <v/>
      </c>
      <c r="Q1144" s="101"/>
      <c r="R1144" s="101"/>
      <c r="S1144" s="99" t="s">
        <v>6</v>
      </c>
      <c r="T1144" s="107" t="s">
        <v>4</v>
      </c>
      <c r="U1144" s="99" t="s">
        <v>29</v>
      </c>
      <c r="V1144" s="99" t="s">
        <v>1965</v>
      </c>
      <c r="W1144" s="99" t="s">
        <v>1966</v>
      </c>
    </row>
    <row r="1145" spans="1:23" ht="18.600000000000001" customHeight="1">
      <c r="A1145" s="123" t="str">
        <f>IF(priority(Main[[#This Row],[Comments]])&lt;&gt;0, priority(Main[[#This Row],[Comments]]),"")</f>
        <v/>
      </c>
      <c r="B1145" s="127" t="s">
        <v>1331</v>
      </c>
      <c r="C1145" s="99" t="s">
        <v>4</v>
      </c>
      <c r="D1145" s="100" t="s">
        <v>374</v>
      </c>
      <c r="E1145" s="101">
        <v>40610.689421296294</v>
      </c>
      <c r="F1145" s="101"/>
      <c r="G1145" s="102" t="str">
        <f>IF(stdProdLT(Main[[#This Row],[Comments]])=0.1,"N/A",IF(stdProdLT(Main[[#This Row],[Comments]])=0,"",stdProdLT(Main[[#This Row],[Comments]])))</f>
        <v/>
      </c>
      <c r="H1145" s="103" t="str">
        <f>IF(AND(Main[[#This Row],[In Stock Date]]&lt;&gt;"",Main[[#This Row],[Revised Due Date]]&lt;&gt;""),Main[[#This Row],[In Stock Date]]-Main[[#This Row],[Revised Due Date]],"")</f>
        <v/>
      </c>
      <c r="I1145" s="99" t="s">
        <v>242</v>
      </c>
      <c r="J1145" s="99" t="s">
        <v>28</v>
      </c>
      <c r="K1145" s="99" t="s">
        <v>1971</v>
      </c>
      <c r="L1145" s="101"/>
      <c r="M1145" s="104" t="str">
        <f>IF(Main[[#This Row],[Tech Start Date]]&lt;1/1/1990,"",IF(Main[[#This Row],[Class]]="C",WORKDAY(Main[[#This Row],[Tech Start Date]],9),IF(Main[[#This Row],[Class]]="B", WORKDAY(Main[[#This Row],[Tech Start Date]],6),IF(Main[[#This Row],[Class]]="A",WORKDAY(Main[[#This Row],[Tech Start Date]],2),""))))</f>
        <v/>
      </c>
      <c r="N1145" s="104" t="str">
        <f>IF(Main[[#This Row],[Tech Start Date]]&lt;1/1/1990,"",IF(Main[[#This Row],[Class]]="C",WORKDAY(Main[[#This Row],[Tech Start Date]],19),IF(Main[[#This Row],[Class]]="B", WORKDAY(Main[[#This Row],[Tech Start Date]],12),IF(Main[[#This Row],[Class]]="A",WORKDAY(Main[[#This Row],[Tech Start Date]],4),""))))</f>
        <v/>
      </c>
      <c r="O1145" s="104" t="str">
        <f>IF(Main[[#This Row],[Tech Start Date]]&lt;1/1/1990,"",IF(Main[[#This Row],[Class]]="C",WORKDAY(Main[[#This Row],[Tech Start Date]],23),IF(Main[[#This Row],[Class]]="B", WORKDAY(Main[[#This Row],[Tech Start Date]],15),IF(Main[[#This Row],[Class]]="A",WORKDAY(Main[[#This Row],[Tech Start Date]],5),""))))</f>
        <v/>
      </c>
      <c r="P1145" s="104" t="str">
        <f>IF(Main[[#This Row],[Tech Start Date]]&lt;1/1/1990,"",IF(Main[[#This Row],[Class]]="C",WORKDAY(Main[[#This Row],[Tech Start Date]],28),IF(Main[[#This Row],[Class]]="B", WORKDAY(Main[[#This Row],[Tech Start Date]],19),IF(Main[[#This Row],[Class]]="A",WORKDAY(Main[[#This Row],[Tech Start Date]],9),""))))</f>
        <v/>
      </c>
      <c r="Q1145" s="101">
        <v>40695</v>
      </c>
      <c r="R1145" s="101"/>
      <c r="S1145" s="99" t="s">
        <v>6</v>
      </c>
      <c r="T1145" s="107" t="s">
        <v>4</v>
      </c>
      <c r="U1145" s="99" t="s">
        <v>29</v>
      </c>
      <c r="V1145" s="99" t="s">
        <v>1965</v>
      </c>
      <c r="W1145" s="99" t="s">
        <v>1964</v>
      </c>
    </row>
    <row r="1146" spans="1:23" ht="18.600000000000001" customHeight="1">
      <c r="A1146" s="123" t="str">
        <f>IF(priority(Main[[#This Row],[Comments]])&lt;&gt;0, priority(Main[[#This Row],[Comments]]),"")</f>
        <v/>
      </c>
      <c r="B1146" s="127" t="s">
        <v>2753</v>
      </c>
      <c r="C1146" s="99" t="s">
        <v>2754</v>
      </c>
      <c r="D1146" s="100" t="s">
        <v>2755</v>
      </c>
      <c r="E1146" s="101"/>
      <c r="F1146" s="101"/>
      <c r="G1146" s="102" t="str">
        <f>IF(stdProdLT(Main[[#This Row],[Comments]])=0.1,"N/A",IF(stdProdLT(Main[[#This Row],[Comments]])=0,"",stdProdLT(Main[[#This Row],[Comments]])))</f>
        <v/>
      </c>
      <c r="H1146" s="103" t="str">
        <f>IF(AND(Main[[#This Row],[In Stock Date]]&lt;&gt;"",Main[[#This Row],[Revised Due Date]]&lt;&gt;""),Main[[#This Row],[In Stock Date]]-Main[[#This Row],[Revised Due Date]],"")</f>
        <v/>
      </c>
      <c r="I1146" s="99" t="s">
        <v>4</v>
      </c>
      <c r="J1146" s="99" t="s">
        <v>4</v>
      </c>
      <c r="K1146" s="99" t="s">
        <v>4</v>
      </c>
      <c r="L1146" s="101"/>
      <c r="M1146" s="104" t="str">
        <f>IF(Main[[#This Row],[Tech Start Date]]&lt;1/1/1990,"",IF(Main[[#This Row],[Class]]="C",WORKDAY(Main[[#This Row],[Tech Start Date]],9),IF(Main[[#This Row],[Class]]="B", WORKDAY(Main[[#This Row],[Tech Start Date]],6),IF(Main[[#This Row],[Class]]="A",WORKDAY(Main[[#This Row],[Tech Start Date]],2),""))))</f>
        <v/>
      </c>
      <c r="N1146" s="104" t="str">
        <f>IF(Main[[#This Row],[Tech Start Date]]&lt;1/1/1990,"",IF(Main[[#This Row],[Class]]="C",WORKDAY(Main[[#This Row],[Tech Start Date]],19),IF(Main[[#This Row],[Class]]="B", WORKDAY(Main[[#This Row],[Tech Start Date]],12),IF(Main[[#This Row],[Class]]="A",WORKDAY(Main[[#This Row],[Tech Start Date]],4),""))))</f>
        <v/>
      </c>
      <c r="O1146" s="104" t="str">
        <f>IF(Main[[#This Row],[Tech Start Date]]&lt;1/1/1990,"",IF(Main[[#This Row],[Class]]="C",WORKDAY(Main[[#This Row],[Tech Start Date]],23),IF(Main[[#This Row],[Class]]="B", WORKDAY(Main[[#This Row],[Tech Start Date]],15),IF(Main[[#This Row],[Class]]="A",WORKDAY(Main[[#This Row],[Tech Start Date]],5),""))))</f>
        <v/>
      </c>
      <c r="P1146" s="104" t="str">
        <f>IF(Main[[#This Row],[Tech Start Date]]&lt;1/1/1990,"",IF(Main[[#This Row],[Class]]="C",WORKDAY(Main[[#This Row],[Tech Start Date]],28),IF(Main[[#This Row],[Class]]="B", WORKDAY(Main[[#This Row],[Tech Start Date]],19),IF(Main[[#This Row],[Class]]="A",WORKDAY(Main[[#This Row],[Tech Start Date]],9),""))))</f>
        <v/>
      </c>
      <c r="Q1146" s="101"/>
      <c r="R1146" s="101"/>
      <c r="S1146" s="99" t="s">
        <v>11</v>
      </c>
      <c r="T1146" s="107" t="s">
        <v>4</v>
      </c>
      <c r="U1146" s="99" t="s">
        <v>14</v>
      </c>
      <c r="V1146" s="99" t="s">
        <v>1963</v>
      </c>
      <c r="W1146" s="99" t="s">
        <v>1964</v>
      </c>
    </row>
    <row r="1147" spans="1:23" ht="18.600000000000001" customHeight="1">
      <c r="A1147" s="123" t="str">
        <f>IF(priority(Main[[#This Row],[Comments]])&lt;&gt;0, priority(Main[[#This Row],[Comments]]),"")</f>
        <v/>
      </c>
      <c r="B1147" s="127" t="s">
        <v>2762</v>
      </c>
      <c r="C1147" s="99" t="s">
        <v>4</v>
      </c>
      <c r="D1147" s="100" t="s">
        <v>2763</v>
      </c>
      <c r="E1147" s="101">
        <v>40876.276597222219</v>
      </c>
      <c r="F1147" s="101"/>
      <c r="G1147" s="102" t="str">
        <f>IF(stdProdLT(Main[[#This Row],[Comments]])=0.1,"N/A",IF(stdProdLT(Main[[#This Row],[Comments]])=0,"",stdProdLT(Main[[#This Row],[Comments]])))</f>
        <v/>
      </c>
      <c r="H1147" s="103" t="str">
        <f>IF(AND(Main[[#This Row],[In Stock Date]]&lt;&gt;"",Main[[#This Row],[Revised Due Date]]&lt;&gt;""),Main[[#This Row],[In Stock Date]]-Main[[#This Row],[Revised Due Date]],"")</f>
        <v/>
      </c>
      <c r="I1147" s="99" t="s">
        <v>2102</v>
      </c>
      <c r="J1147" s="99" t="s">
        <v>28</v>
      </c>
      <c r="K1147" s="99" t="s">
        <v>1971</v>
      </c>
      <c r="L1147" s="101"/>
      <c r="M1147" s="104" t="str">
        <f>IF(Main[[#This Row],[Tech Start Date]]&lt;1/1/1990,"",IF(Main[[#This Row],[Class]]="C",WORKDAY(Main[[#This Row],[Tech Start Date]],9),IF(Main[[#This Row],[Class]]="B", WORKDAY(Main[[#This Row],[Tech Start Date]],6),IF(Main[[#This Row],[Class]]="A",WORKDAY(Main[[#This Row],[Tech Start Date]],2),""))))</f>
        <v/>
      </c>
      <c r="N1147" s="104" t="str">
        <f>IF(Main[[#This Row],[Tech Start Date]]&lt;1/1/1990,"",IF(Main[[#This Row],[Class]]="C",WORKDAY(Main[[#This Row],[Tech Start Date]],19),IF(Main[[#This Row],[Class]]="B", WORKDAY(Main[[#This Row],[Tech Start Date]],12),IF(Main[[#This Row],[Class]]="A",WORKDAY(Main[[#This Row],[Tech Start Date]],4),""))))</f>
        <v/>
      </c>
      <c r="O1147" s="104" t="str">
        <f>IF(Main[[#This Row],[Tech Start Date]]&lt;1/1/1990,"",IF(Main[[#This Row],[Class]]="C",WORKDAY(Main[[#This Row],[Tech Start Date]],23),IF(Main[[#This Row],[Class]]="B", WORKDAY(Main[[#This Row],[Tech Start Date]],15),IF(Main[[#This Row],[Class]]="A",WORKDAY(Main[[#This Row],[Tech Start Date]],5),""))))</f>
        <v/>
      </c>
      <c r="P1147" s="104" t="str">
        <f>IF(Main[[#This Row],[Tech Start Date]]&lt;1/1/1990,"",IF(Main[[#This Row],[Class]]="C",WORKDAY(Main[[#This Row],[Tech Start Date]],28),IF(Main[[#This Row],[Class]]="B", WORKDAY(Main[[#This Row],[Tech Start Date]],19),IF(Main[[#This Row],[Class]]="A",WORKDAY(Main[[#This Row],[Tech Start Date]],9),""))))</f>
        <v/>
      </c>
      <c r="Q1147" s="101">
        <v>40907</v>
      </c>
      <c r="R1147" s="101"/>
      <c r="S1147" s="99" t="s">
        <v>6</v>
      </c>
      <c r="T1147" s="107" t="s">
        <v>4</v>
      </c>
      <c r="U1147" s="99" t="s">
        <v>29</v>
      </c>
      <c r="V1147" s="99" t="s">
        <v>1972</v>
      </c>
      <c r="W1147" s="99" t="s">
        <v>1966</v>
      </c>
    </row>
    <row r="1148" spans="1:23" ht="18.600000000000001" customHeight="1">
      <c r="A1148" s="123" t="str">
        <f>IF(priority(Main[[#This Row],[Comments]])&lt;&gt;0, priority(Main[[#This Row],[Comments]]),"")</f>
        <v/>
      </c>
      <c r="B1148" s="127" t="s">
        <v>2756</v>
      </c>
      <c r="C1148" s="99" t="s">
        <v>4</v>
      </c>
      <c r="D1148" s="100" t="s">
        <v>2757</v>
      </c>
      <c r="E1148" s="101">
        <v>40870.465879629628</v>
      </c>
      <c r="F1148" s="101"/>
      <c r="G1148" s="102" t="str">
        <f>IF(stdProdLT(Main[[#This Row],[Comments]])=0.1,"N/A",IF(stdProdLT(Main[[#This Row],[Comments]])=0,"",stdProdLT(Main[[#This Row],[Comments]])))</f>
        <v/>
      </c>
      <c r="H1148" s="103" t="str">
        <f>IF(AND(Main[[#This Row],[In Stock Date]]&lt;&gt;"",Main[[#This Row],[Revised Due Date]]&lt;&gt;""),Main[[#This Row],[In Stock Date]]-Main[[#This Row],[Revised Due Date]],"")</f>
        <v/>
      </c>
      <c r="I1148" s="99" t="s">
        <v>2110</v>
      </c>
      <c r="J1148" s="99" t="s">
        <v>28</v>
      </c>
      <c r="K1148" s="108" t="s">
        <v>1971</v>
      </c>
      <c r="L1148" s="101"/>
      <c r="M1148" s="104" t="str">
        <f>IF(Main[[#This Row],[Tech Start Date]]&lt;1/1/1990,"",IF(Main[[#This Row],[Class]]="C",WORKDAY(Main[[#This Row],[Tech Start Date]],9),IF(Main[[#This Row],[Class]]="B", WORKDAY(Main[[#This Row],[Tech Start Date]],6),IF(Main[[#This Row],[Class]]="A",WORKDAY(Main[[#This Row],[Tech Start Date]],2),""))))</f>
        <v/>
      </c>
      <c r="N1148" s="104" t="str">
        <f>IF(Main[[#This Row],[Tech Start Date]]&lt;1/1/1990,"",IF(Main[[#This Row],[Class]]="C",WORKDAY(Main[[#This Row],[Tech Start Date]],19),IF(Main[[#This Row],[Class]]="B", WORKDAY(Main[[#This Row],[Tech Start Date]],12),IF(Main[[#This Row],[Class]]="A",WORKDAY(Main[[#This Row],[Tech Start Date]],4),""))))</f>
        <v/>
      </c>
      <c r="O1148" s="104" t="str">
        <f>IF(Main[[#This Row],[Tech Start Date]]&lt;1/1/1990,"",IF(Main[[#This Row],[Class]]="C",WORKDAY(Main[[#This Row],[Tech Start Date]],23),IF(Main[[#This Row],[Class]]="B", WORKDAY(Main[[#This Row],[Tech Start Date]],15),IF(Main[[#This Row],[Class]]="A",WORKDAY(Main[[#This Row],[Tech Start Date]],5),""))))</f>
        <v/>
      </c>
      <c r="P1148" s="104" t="str">
        <f>IF(Main[[#This Row],[Tech Start Date]]&lt;1/1/1990,"",IF(Main[[#This Row],[Class]]="C",WORKDAY(Main[[#This Row],[Tech Start Date]],28),IF(Main[[#This Row],[Class]]="B", WORKDAY(Main[[#This Row],[Tech Start Date]],19),IF(Main[[#This Row],[Class]]="A",WORKDAY(Main[[#This Row],[Tech Start Date]],9),""))))</f>
        <v/>
      </c>
      <c r="Q1148" s="101">
        <v>40905</v>
      </c>
      <c r="R1148" s="101"/>
      <c r="S1148" s="99" t="s">
        <v>6</v>
      </c>
      <c r="T1148" s="107" t="s">
        <v>4</v>
      </c>
      <c r="U1148" s="99" t="s">
        <v>29</v>
      </c>
      <c r="V1148" s="99" t="s">
        <v>1965</v>
      </c>
      <c r="W1148" s="99" t="s">
        <v>1966</v>
      </c>
    </row>
    <row r="1149" spans="1:23" ht="18.600000000000001" customHeight="1">
      <c r="A1149" s="123" t="str">
        <f>IF(priority(Main[[#This Row],[Comments]])&lt;&gt;0, priority(Main[[#This Row],[Comments]]),"")</f>
        <v/>
      </c>
      <c r="B1149" s="127" t="s">
        <v>2758</v>
      </c>
      <c r="C1149" s="99" t="s">
        <v>2759</v>
      </c>
      <c r="D1149" s="100" t="s">
        <v>3098</v>
      </c>
      <c r="E1149" s="101">
        <v>40855.339328703703</v>
      </c>
      <c r="F1149" s="101">
        <v>40890</v>
      </c>
      <c r="G1149" s="102" t="str">
        <f>IF(stdProdLT(Main[[#This Row],[Comments]])=0.1,"N/A",IF(stdProdLT(Main[[#This Row],[Comments]])=0,"",stdProdLT(Main[[#This Row],[Comments]])))</f>
        <v/>
      </c>
      <c r="H1149" s="103" t="str">
        <f>IF(AND(Main[[#This Row],[In Stock Date]]&lt;&gt;"",Main[[#This Row],[Revised Due Date]]&lt;&gt;""),Main[[#This Row],[In Stock Date]]-Main[[#This Row],[Revised Due Date]],"")</f>
        <v/>
      </c>
      <c r="I1149" s="99" t="s">
        <v>4</v>
      </c>
      <c r="J1149" s="99" t="s">
        <v>4</v>
      </c>
      <c r="K1149" s="99" t="s">
        <v>4</v>
      </c>
      <c r="L1149" s="101"/>
      <c r="M1149" s="104" t="str">
        <f>IF(Main[[#This Row],[Tech Start Date]]&lt;1/1/1990,"",IF(Main[[#This Row],[Class]]="C",WORKDAY(Main[[#This Row],[Tech Start Date]],9),IF(Main[[#This Row],[Class]]="B", WORKDAY(Main[[#This Row],[Tech Start Date]],6),IF(Main[[#This Row],[Class]]="A",WORKDAY(Main[[#This Row],[Tech Start Date]],2),""))))</f>
        <v/>
      </c>
      <c r="N1149" s="104" t="str">
        <f>IF(Main[[#This Row],[Tech Start Date]]&lt;1/1/1990,"",IF(Main[[#This Row],[Class]]="C",WORKDAY(Main[[#This Row],[Tech Start Date]],19),IF(Main[[#This Row],[Class]]="B", WORKDAY(Main[[#This Row],[Tech Start Date]],12),IF(Main[[#This Row],[Class]]="A",WORKDAY(Main[[#This Row],[Tech Start Date]],4),""))))</f>
        <v/>
      </c>
      <c r="O1149" s="104" t="str">
        <f>IF(Main[[#This Row],[Tech Start Date]]&lt;1/1/1990,"",IF(Main[[#This Row],[Class]]="C",WORKDAY(Main[[#This Row],[Tech Start Date]],23),IF(Main[[#This Row],[Class]]="B", WORKDAY(Main[[#This Row],[Tech Start Date]],15),IF(Main[[#This Row],[Class]]="A",WORKDAY(Main[[#This Row],[Tech Start Date]],5),""))))</f>
        <v/>
      </c>
      <c r="P1149" s="104" t="str">
        <f>IF(Main[[#This Row],[Tech Start Date]]&lt;1/1/1990,"",IF(Main[[#This Row],[Class]]="C",WORKDAY(Main[[#This Row],[Tech Start Date]],28),IF(Main[[#This Row],[Class]]="B", WORKDAY(Main[[#This Row],[Tech Start Date]],19),IF(Main[[#This Row],[Class]]="A",WORKDAY(Main[[#This Row],[Tech Start Date]],9),""))))</f>
        <v/>
      </c>
      <c r="Q1149" s="101">
        <v>40877</v>
      </c>
      <c r="R1149" s="101"/>
      <c r="S1149" s="99" t="s">
        <v>11</v>
      </c>
      <c r="T1149" s="107" t="s">
        <v>4</v>
      </c>
      <c r="U1149" s="99" t="s">
        <v>7</v>
      </c>
      <c r="V1149" s="99" t="s">
        <v>1962</v>
      </c>
      <c r="W1149" s="99" t="s">
        <v>1976</v>
      </c>
    </row>
    <row r="1150" spans="1:23" ht="18.600000000000001" customHeight="1">
      <c r="A1150" s="123" t="str">
        <f>IF(priority(Main[[#This Row],[Comments]])&lt;&gt;0, priority(Main[[#This Row],[Comments]]),"")</f>
        <v/>
      </c>
      <c r="B1150" s="127" t="s">
        <v>2770</v>
      </c>
      <c r="C1150" s="99" t="s">
        <v>4</v>
      </c>
      <c r="D1150" s="100" t="s">
        <v>2771</v>
      </c>
      <c r="E1150" s="101">
        <v>40861.17015046296</v>
      </c>
      <c r="F1150" s="101"/>
      <c r="G1150" s="102" t="str">
        <f>IF(stdProdLT(Main[[#This Row],[Comments]])=0.1,"N/A",IF(stdProdLT(Main[[#This Row],[Comments]])=0,"",stdProdLT(Main[[#This Row],[Comments]])))</f>
        <v/>
      </c>
      <c r="H1150" s="103" t="str">
        <f>IF(AND(Main[[#This Row],[In Stock Date]]&lt;&gt;"",Main[[#This Row],[Revised Due Date]]&lt;&gt;""),Main[[#This Row],[In Stock Date]]-Main[[#This Row],[Revised Due Date]],"")</f>
        <v/>
      </c>
      <c r="I1150" s="99" t="s">
        <v>4</v>
      </c>
      <c r="J1150" s="99" t="s">
        <v>4</v>
      </c>
      <c r="K1150" s="99" t="s">
        <v>4</v>
      </c>
      <c r="L1150" s="101"/>
      <c r="M1150" s="104" t="str">
        <f>IF(Main[[#This Row],[Tech Start Date]]&lt;1/1/1990,"",IF(Main[[#This Row],[Class]]="C",WORKDAY(Main[[#This Row],[Tech Start Date]],9),IF(Main[[#This Row],[Class]]="B", WORKDAY(Main[[#This Row],[Tech Start Date]],6),IF(Main[[#This Row],[Class]]="A",WORKDAY(Main[[#This Row],[Tech Start Date]],2),""))))</f>
        <v/>
      </c>
      <c r="N1150" s="104" t="str">
        <f>IF(Main[[#This Row],[Tech Start Date]]&lt;1/1/1990,"",IF(Main[[#This Row],[Class]]="C",WORKDAY(Main[[#This Row],[Tech Start Date]],19),IF(Main[[#This Row],[Class]]="B", WORKDAY(Main[[#This Row],[Tech Start Date]],12),IF(Main[[#This Row],[Class]]="A",WORKDAY(Main[[#This Row],[Tech Start Date]],4),""))))</f>
        <v/>
      </c>
      <c r="O1150" s="104" t="str">
        <f>IF(Main[[#This Row],[Tech Start Date]]&lt;1/1/1990,"",IF(Main[[#This Row],[Class]]="C",WORKDAY(Main[[#This Row],[Tech Start Date]],23),IF(Main[[#This Row],[Class]]="B", WORKDAY(Main[[#This Row],[Tech Start Date]],15),IF(Main[[#This Row],[Class]]="A",WORKDAY(Main[[#This Row],[Tech Start Date]],5),""))))</f>
        <v/>
      </c>
      <c r="P1150" s="104" t="str">
        <f>IF(Main[[#This Row],[Tech Start Date]]&lt;1/1/1990,"",IF(Main[[#This Row],[Class]]="C",WORKDAY(Main[[#This Row],[Tech Start Date]],28),IF(Main[[#This Row],[Class]]="B", WORKDAY(Main[[#This Row],[Tech Start Date]],19),IF(Main[[#This Row],[Class]]="A",WORKDAY(Main[[#This Row],[Tech Start Date]],9),""))))</f>
        <v/>
      </c>
      <c r="Q1150" s="101">
        <v>40891</v>
      </c>
      <c r="R1150" s="101"/>
      <c r="S1150" s="99" t="s">
        <v>6</v>
      </c>
      <c r="T1150" s="107" t="s">
        <v>4</v>
      </c>
      <c r="U1150" s="99" t="s">
        <v>7</v>
      </c>
      <c r="V1150" s="99" t="s">
        <v>1965</v>
      </c>
      <c r="W1150" s="99" t="s">
        <v>4</v>
      </c>
    </row>
    <row r="1151" spans="1:23" ht="18.600000000000001" customHeight="1">
      <c r="A1151" s="123" t="str">
        <f>IF(priority(Main[[#This Row],[Comments]])&lt;&gt;0, priority(Main[[#This Row],[Comments]]),"")</f>
        <v/>
      </c>
      <c r="B1151" s="127" t="s">
        <v>2772</v>
      </c>
      <c r="C1151" s="99" t="s">
        <v>4</v>
      </c>
      <c r="D1151" s="100" t="s">
        <v>2771</v>
      </c>
      <c r="E1151" s="101"/>
      <c r="F1151" s="101"/>
      <c r="G1151" s="102" t="str">
        <f>IF(stdProdLT(Main[[#This Row],[Comments]])=0.1,"N/A",IF(stdProdLT(Main[[#This Row],[Comments]])=0,"",stdProdLT(Main[[#This Row],[Comments]])))</f>
        <v/>
      </c>
      <c r="H1151" s="103" t="str">
        <f>IF(AND(Main[[#This Row],[In Stock Date]]&lt;&gt;"",Main[[#This Row],[Revised Due Date]]&lt;&gt;""),Main[[#This Row],[In Stock Date]]-Main[[#This Row],[Revised Due Date]],"")</f>
        <v/>
      </c>
      <c r="I1151" s="99" t="s">
        <v>4</v>
      </c>
      <c r="J1151" s="99" t="s">
        <v>4</v>
      </c>
      <c r="K1151" s="99" t="s">
        <v>4</v>
      </c>
      <c r="L1151" s="101"/>
      <c r="M1151" s="104" t="str">
        <f>IF(Main[[#This Row],[Tech Start Date]]&lt;1/1/1990,"",IF(Main[[#This Row],[Class]]="C",WORKDAY(Main[[#This Row],[Tech Start Date]],9),IF(Main[[#This Row],[Class]]="B", WORKDAY(Main[[#This Row],[Tech Start Date]],6),IF(Main[[#This Row],[Class]]="A",WORKDAY(Main[[#This Row],[Tech Start Date]],2),""))))</f>
        <v/>
      </c>
      <c r="N1151" s="104" t="str">
        <f>IF(Main[[#This Row],[Tech Start Date]]&lt;1/1/1990,"",IF(Main[[#This Row],[Class]]="C",WORKDAY(Main[[#This Row],[Tech Start Date]],19),IF(Main[[#This Row],[Class]]="B", WORKDAY(Main[[#This Row],[Tech Start Date]],12),IF(Main[[#This Row],[Class]]="A",WORKDAY(Main[[#This Row],[Tech Start Date]],4),""))))</f>
        <v/>
      </c>
      <c r="O1151" s="104" t="str">
        <f>IF(Main[[#This Row],[Tech Start Date]]&lt;1/1/1990,"",IF(Main[[#This Row],[Class]]="C",WORKDAY(Main[[#This Row],[Tech Start Date]],23),IF(Main[[#This Row],[Class]]="B", WORKDAY(Main[[#This Row],[Tech Start Date]],15),IF(Main[[#This Row],[Class]]="A",WORKDAY(Main[[#This Row],[Tech Start Date]],5),""))))</f>
        <v/>
      </c>
      <c r="P1151" s="104" t="str">
        <f>IF(Main[[#This Row],[Tech Start Date]]&lt;1/1/1990,"",IF(Main[[#This Row],[Class]]="C",WORKDAY(Main[[#This Row],[Tech Start Date]],28),IF(Main[[#This Row],[Class]]="B", WORKDAY(Main[[#This Row],[Tech Start Date]],19),IF(Main[[#This Row],[Class]]="A",WORKDAY(Main[[#This Row],[Tech Start Date]],9),""))))</f>
        <v/>
      </c>
      <c r="Q1151" s="101">
        <v>40891</v>
      </c>
      <c r="R1151" s="101"/>
      <c r="S1151" s="99" t="s">
        <v>6</v>
      </c>
      <c r="T1151" s="107" t="s">
        <v>4</v>
      </c>
      <c r="U1151" s="99" t="s">
        <v>12</v>
      </c>
      <c r="V1151" s="99" t="s">
        <v>1965</v>
      </c>
      <c r="W1151" s="99" t="s">
        <v>4</v>
      </c>
    </row>
    <row r="1152" spans="1:23" ht="18.600000000000001" customHeight="1">
      <c r="A1152" s="123" t="str">
        <f>IF(priority(Main[[#This Row],[Comments]])&lt;&gt;0, priority(Main[[#This Row],[Comments]]),"")</f>
        <v/>
      </c>
      <c r="B1152" s="127" t="s">
        <v>2773</v>
      </c>
      <c r="C1152" s="99" t="s">
        <v>4</v>
      </c>
      <c r="D1152" s="100" t="s">
        <v>2774</v>
      </c>
      <c r="E1152" s="101">
        <v>40844.312905092593</v>
      </c>
      <c r="F1152" s="101"/>
      <c r="G1152" s="102" t="str">
        <f>IF(stdProdLT(Main[[#This Row],[Comments]])=0.1,"N/A",IF(stdProdLT(Main[[#This Row],[Comments]])=0,"",stdProdLT(Main[[#This Row],[Comments]])))</f>
        <v/>
      </c>
      <c r="H1152" s="103" t="str">
        <f>IF(AND(Main[[#This Row],[In Stock Date]]&lt;&gt;"",Main[[#This Row],[Revised Due Date]]&lt;&gt;""),Main[[#This Row],[In Stock Date]]-Main[[#This Row],[Revised Due Date]],"")</f>
        <v/>
      </c>
      <c r="I1152" s="99" t="s">
        <v>893</v>
      </c>
      <c r="J1152" s="99" t="s">
        <v>21</v>
      </c>
      <c r="K1152" s="99" t="s">
        <v>1969</v>
      </c>
      <c r="L1152" s="101"/>
      <c r="M1152" s="104" t="str">
        <f>IF(Main[[#This Row],[Tech Start Date]]&lt;1/1/1990,"",IF(Main[[#This Row],[Class]]="C",WORKDAY(Main[[#This Row],[Tech Start Date]],9),IF(Main[[#This Row],[Class]]="B", WORKDAY(Main[[#This Row],[Tech Start Date]],6),IF(Main[[#This Row],[Class]]="A",WORKDAY(Main[[#This Row],[Tech Start Date]],2),""))))</f>
        <v/>
      </c>
      <c r="N1152" s="104" t="str">
        <f>IF(Main[[#This Row],[Tech Start Date]]&lt;1/1/1990,"",IF(Main[[#This Row],[Class]]="C",WORKDAY(Main[[#This Row],[Tech Start Date]],19),IF(Main[[#This Row],[Class]]="B", WORKDAY(Main[[#This Row],[Tech Start Date]],12),IF(Main[[#This Row],[Class]]="A",WORKDAY(Main[[#This Row],[Tech Start Date]],4),""))))</f>
        <v/>
      </c>
      <c r="O1152" s="104" t="str">
        <f>IF(Main[[#This Row],[Tech Start Date]]&lt;1/1/1990,"",IF(Main[[#This Row],[Class]]="C",WORKDAY(Main[[#This Row],[Tech Start Date]],23),IF(Main[[#This Row],[Class]]="B", WORKDAY(Main[[#This Row],[Tech Start Date]],15),IF(Main[[#This Row],[Class]]="A",WORKDAY(Main[[#This Row],[Tech Start Date]],5),""))))</f>
        <v/>
      </c>
      <c r="P1152" s="104" t="str">
        <f>IF(Main[[#This Row],[Tech Start Date]]&lt;1/1/1990,"",IF(Main[[#This Row],[Class]]="C",WORKDAY(Main[[#This Row],[Tech Start Date]],28),IF(Main[[#This Row],[Class]]="B", WORKDAY(Main[[#This Row],[Tech Start Date]],19),IF(Main[[#This Row],[Class]]="A",WORKDAY(Main[[#This Row],[Tech Start Date]],9),""))))</f>
        <v/>
      </c>
      <c r="Q1152" s="101">
        <v>40877</v>
      </c>
      <c r="R1152" s="101">
        <v>40877</v>
      </c>
      <c r="S1152" s="99" t="s">
        <v>6</v>
      </c>
      <c r="T1152" s="107" t="s">
        <v>4</v>
      </c>
      <c r="U1152" s="99" t="s">
        <v>29</v>
      </c>
      <c r="V1152" s="99" t="s">
        <v>1962</v>
      </c>
      <c r="W1152" s="99" t="s">
        <v>1966</v>
      </c>
    </row>
    <row r="1153" spans="1:23" ht="18.600000000000001" customHeight="1">
      <c r="A1153" s="123" t="str">
        <f>IF(priority(Main[[#This Row],[Comments]])&lt;&gt;0, priority(Main[[#This Row],[Comments]]),"")</f>
        <v/>
      </c>
      <c r="B1153" s="127" t="s">
        <v>2764</v>
      </c>
      <c r="C1153" s="99" t="s">
        <v>4</v>
      </c>
      <c r="D1153" s="100" t="s">
        <v>2765</v>
      </c>
      <c r="E1153" s="101">
        <v>40876.548576388886</v>
      </c>
      <c r="F1153" s="101"/>
      <c r="G1153" s="102" t="str">
        <f>IF(stdProdLT(Main[[#This Row],[Comments]])=0.1,"N/A",IF(stdProdLT(Main[[#This Row],[Comments]])=0,"",stdProdLT(Main[[#This Row],[Comments]])))</f>
        <v/>
      </c>
      <c r="H1153" s="103" t="str">
        <f>IF(AND(Main[[#This Row],[In Stock Date]]&lt;&gt;"",Main[[#This Row],[Revised Due Date]]&lt;&gt;""),Main[[#This Row],[In Stock Date]]-Main[[#This Row],[Revised Due Date]],"")</f>
        <v/>
      </c>
      <c r="I1153" s="99" t="s">
        <v>4</v>
      </c>
      <c r="J1153" s="99" t="s">
        <v>4</v>
      </c>
      <c r="K1153" s="99" t="s">
        <v>4</v>
      </c>
      <c r="L1153" s="101"/>
      <c r="M1153" s="104" t="str">
        <f>IF(Main[[#This Row],[Tech Start Date]]&lt;1/1/1990,"",IF(Main[[#This Row],[Class]]="C",WORKDAY(Main[[#This Row],[Tech Start Date]],9),IF(Main[[#This Row],[Class]]="B", WORKDAY(Main[[#This Row],[Tech Start Date]],6),IF(Main[[#This Row],[Class]]="A",WORKDAY(Main[[#This Row],[Tech Start Date]],2),""))))</f>
        <v/>
      </c>
      <c r="N1153" s="104" t="str">
        <f>IF(Main[[#This Row],[Tech Start Date]]&lt;1/1/1990,"",IF(Main[[#This Row],[Class]]="C",WORKDAY(Main[[#This Row],[Tech Start Date]],19),IF(Main[[#This Row],[Class]]="B", WORKDAY(Main[[#This Row],[Tech Start Date]],12),IF(Main[[#This Row],[Class]]="A",WORKDAY(Main[[#This Row],[Tech Start Date]],4),""))))</f>
        <v/>
      </c>
      <c r="O1153" s="104" t="str">
        <f>IF(Main[[#This Row],[Tech Start Date]]&lt;1/1/1990,"",IF(Main[[#This Row],[Class]]="C",WORKDAY(Main[[#This Row],[Tech Start Date]],23),IF(Main[[#This Row],[Class]]="B", WORKDAY(Main[[#This Row],[Tech Start Date]],15),IF(Main[[#This Row],[Class]]="A",WORKDAY(Main[[#This Row],[Tech Start Date]],5),""))))</f>
        <v/>
      </c>
      <c r="P1153" s="104" t="str">
        <f>IF(Main[[#This Row],[Tech Start Date]]&lt;1/1/1990,"",IF(Main[[#This Row],[Class]]="C",WORKDAY(Main[[#This Row],[Tech Start Date]],28),IF(Main[[#This Row],[Class]]="B", WORKDAY(Main[[#This Row],[Tech Start Date]],19),IF(Main[[#This Row],[Class]]="A",WORKDAY(Main[[#This Row],[Tech Start Date]],9),""))))</f>
        <v/>
      </c>
      <c r="Q1153" s="101"/>
      <c r="R1153" s="101"/>
      <c r="S1153" s="99" t="s">
        <v>6</v>
      </c>
      <c r="T1153" s="107" t="s">
        <v>4</v>
      </c>
      <c r="U1153" s="99" t="s">
        <v>29</v>
      </c>
      <c r="V1153" s="99" t="s">
        <v>1965</v>
      </c>
      <c r="W1153" s="99" t="s">
        <v>1966</v>
      </c>
    </row>
    <row r="1154" spans="1:23" ht="18.600000000000001" customHeight="1">
      <c r="A1154" s="123" t="str">
        <f>IF(priority(Main[[#This Row],[Comments]])&lt;&gt;0, priority(Main[[#This Row],[Comments]]),"")</f>
        <v/>
      </c>
      <c r="B1154" s="127" t="s">
        <v>1376</v>
      </c>
      <c r="C1154" s="99" t="s">
        <v>4</v>
      </c>
      <c r="D1154" s="100" t="s">
        <v>2775</v>
      </c>
      <c r="E1154" s="101">
        <v>40625.74931712963</v>
      </c>
      <c r="F1154" s="101"/>
      <c r="G1154" s="102" t="str">
        <f>IF(stdProdLT(Main[[#This Row],[Comments]])=0.1,"N/A",IF(stdProdLT(Main[[#This Row],[Comments]])=0,"",stdProdLT(Main[[#This Row],[Comments]])))</f>
        <v/>
      </c>
      <c r="H1154" s="103" t="str">
        <f>IF(AND(Main[[#This Row],[In Stock Date]]&lt;&gt;"",Main[[#This Row],[Revised Due Date]]&lt;&gt;""),Main[[#This Row],[In Stock Date]]-Main[[#This Row],[Revised Due Date]],"")</f>
        <v/>
      </c>
      <c r="I1154" s="99" t="s">
        <v>911</v>
      </c>
      <c r="J1154" s="99" t="s">
        <v>28</v>
      </c>
      <c r="K1154" s="99" t="s">
        <v>1971</v>
      </c>
      <c r="L1154" s="101"/>
      <c r="M1154" s="104" t="str">
        <f>IF(Main[[#This Row],[Tech Start Date]]&lt;1/1/1990,"",IF(Main[[#This Row],[Class]]="C",WORKDAY(Main[[#This Row],[Tech Start Date]],9),IF(Main[[#This Row],[Class]]="B", WORKDAY(Main[[#This Row],[Tech Start Date]],6),IF(Main[[#This Row],[Class]]="A",WORKDAY(Main[[#This Row],[Tech Start Date]],2),""))))</f>
        <v/>
      </c>
      <c r="N1154" s="104" t="str">
        <f>IF(Main[[#This Row],[Tech Start Date]]&lt;1/1/1990,"",IF(Main[[#This Row],[Class]]="C",WORKDAY(Main[[#This Row],[Tech Start Date]],19),IF(Main[[#This Row],[Class]]="B", WORKDAY(Main[[#This Row],[Tech Start Date]],12),IF(Main[[#This Row],[Class]]="A",WORKDAY(Main[[#This Row],[Tech Start Date]],4),""))))</f>
        <v/>
      </c>
      <c r="O1154" s="104" t="str">
        <f>IF(Main[[#This Row],[Tech Start Date]]&lt;1/1/1990,"",IF(Main[[#This Row],[Class]]="C",WORKDAY(Main[[#This Row],[Tech Start Date]],23),IF(Main[[#This Row],[Class]]="B", WORKDAY(Main[[#This Row],[Tech Start Date]],15),IF(Main[[#This Row],[Class]]="A",WORKDAY(Main[[#This Row],[Tech Start Date]],5),""))))</f>
        <v/>
      </c>
      <c r="P1154" s="104" t="str">
        <f>IF(Main[[#This Row],[Tech Start Date]]&lt;1/1/1990,"",IF(Main[[#This Row],[Class]]="C",WORKDAY(Main[[#This Row],[Tech Start Date]],28),IF(Main[[#This Row],[Class]]="B", WORKDAY(Main[[#This Row],[Tech Start Date]],19),IF(Main[[#This Row],[Class]]="A",WORKDAY(Main[[#This Row],[Tech Start Date]],9),""))))</f>
        <v/>
      </c>
      <c r="Q1154" s="101">
        <v>40655</v>
      </c>
      <c r="R1154" s="101"/>
      <c r="S1154" s="99" t="s">
        <v>6</v>
      </c>
      <c r="T1154" s="107" t="s">
        <v>4</v>
      </c>
      <c r="U1154" s="99" t="s">
        <v>29</v>
      </c>
      <c r="V1154" s="99" t="s">
        <v>1965</v>
      </c>
      <c r="W1154" s="99" t="s">
        <v>1966</v>
      </c>
    </row>
    <row r="1155" spans="1:23" ht="18.600000000000001" customHeight="1">
      <c r="A1155" s="123" t="str">
        <f>IF(priority(Main[[#This Row],[Comments]])&lt;&gt;0, priority(Main[[#This Row],[Comments]]),"")</f>
        <v/>
      </c>
      <c r="B1155" s="127" t="s">
        <v>1124</v>
      </c>
      <c r="C1155" s="99" t="s">
        <v>4</v>
      </c>
      <c r="D1155" s="100" t="s">
        <v>3174</v>
      </c>
      <c r="E1155" s="101">
        <v>40086.707800925928</v>
      </c>
      <c r="F1155" s="101"/>
      <c r="G1155" s="102" t="str">
        <f>IF(stdProdLT(Main[[#This Row],[Comments]])=0.1,"N/A",IF(stdProdLT(Main[[#This Row],[Comments]])=0,"",stdProdLT(Main[[#This Row],[Comments]])))</f>
        <v/>
      </c>
      <c r="H1155" s="103" t="str">
        <f>IF(AND(Main[[#This Row],[In Stock Date]]&lt;&gt;"",Main[[#This Row],[Revised Due Date]]&lt;&gt;""),Main[[#This Row],[In Stock Date]]-Main[[#This Row],[Revised Due Date]],"")</f>
        <v/>
      </c>
      <c r="I1155" s="99" t="s">
        <v>924</v>
      </c>
      <c r="J1155" s="99" t="s">
        <v>4</v>
      </c>
      <c r="K1155" s="108" t="s">
        <v>1974</v>
      </c>
      <c r="L1155" s="101"/>
      <c r="M1155" s="104" t="str">
        <f>IF(Main[[#This Row],[Tech Start Date]]&lt;1/1/1990,"",IF(Main[[#This Row],[Class]]="C",WORKDAY(Main[[#This Row],[Tech Start Date]],9),IF(Main[[#This Row],[Class]]="B", WORKDAY(Main[[#This Row],[Tech Start Date]],6),IF(Main[[#This Row],[Class]]="A",WORKDAY(Main[[#This Row],[Tech Start Date]],2),""))))</f>
        <v/>
      </c>
      <c r="N1155" s="104" t="str">
        <f>IF(Main[[#This Row],[Tech Start Date]]&lt;1/1/1990,"",IF(Main[[#This Row],[Class]]="C",WORKDAY(Main[[#This Row],[Tech Start Date]],19),IF(Main[[#This Row],[Class]]="B", WORKDAY(Main[[#This Row],[Tech Start Date]],12),IF(Main[[#This Row],[Class]]="A",WORKDAY(Main[[#This Row],[Tech Start Date]],4),""))))</f>
        <v/>
      </c>
      <c r="O1155" s="104" t="str">
        <f>IF(Main[[#This Row],[Tech Start Date]]&lt;1/1/1990,"",IF(Main[[#This Row],[Class]]="C",WORKDAY(Main[[#This Row],[Tech Start Date]],23),IF(Main[[#This Row],[Class]]="B", WORKDAY(Main[[#This Row],[Tech Start Date]],15),IF(Main[[#This Row],[Class]]="A",WORKDAY(Main[[#This Row],[Tech Start Date]],5),""))))</f>
        <v/>
      </c>
      <c r="P1155" s="104" t="str">
        <f>IF(Main[[#This Row],[Tech Start Date]]&lt;1/1/1990,"",IF(Main[[#This Row],[Class]]="C",WORKDAY(Main[[#This Row],[Tech Start Date]],28),IF(Main[[#This Row],[Class]]="B", WORKDAY(Main[[#This Row],[Tech Start Date]],19),IF(Main[[#This Row],[Class]]="A",WORKDAY(Main[[#This Row],[Tech Start Date]],9),""))))</f>
        <v/>
      </c>
      <c r="Q1155" s="101">
        <v>41005</v>
      </c>
      <c r="R1155" s="101">
        <v>41005</v>
      </c>
      <c r="S1155" s="99" t="s">
        <v>17</v>
      </c>
      <c r="T1155" s="107" t="s">
        <v>4</v>
      </c>
      <c r="U1155" s="99" t="s">
        <v>29</v>
      </c>
      <c r="V1155" s="99" t="s">
        <v>1962</v>
      </c>
      <c r="W1155" s="99" t="s">
        <v>1967</v>
      </c>
    </row>
    <row r="1156" spans="1:23" ht="18.600000000000001" customHeight="1">
      <c r="A1156" s="123" t="str">
        <f>IF(priority(Main[[#This Row],[Comments]])&lt;&gt;0, priority(Main[[#This Row],[Comments]]),"")</f>
        <v/>
      </c>
      <c r="B1156" s="127" t="s">
        <v>2349</v>
      </c>
      <c r="C1156" s="99" t="s">
        <v>4</v>
      </c>
      <c r="D1156" s="100" t="s">
        <v>2776</v>
      </c>
      <c r="E1156" s="101">
        <v>40809.3827662037</v>
      </c>
      <c r="F1156" s="101"/>
      <c r="G1156" s="102" t="str">
        <f>IF(stdProdLT(Main[[#This Row],[Comments]])=0.1,"N/A",IF(stdProdLT(Main[[#This Row],[Comments]])=0,"",stdProdLT(Main[[#This Row],[Comments]])))</f>
        <v/>
      </c>
      <c r="H1156" s="103" t="str">
        <f>IF(AND(Main[[#This Row],[In Stock Date]]&lt;&gt;"",Main[[#This Row],[Revised Due Date]]&lt;&gt;""),Main[[#This Row],[In Stock Date]]-Main[[#This Row],[Revised Due Date]],"")</f>
        <v/>
      </c>
      <c r="I1156" s="99" t="s">
        <v>929</v>
      </c>
      <c r="J1156" s="99" t="s">
        <v>52</v>
      </c>
      <c r="K1156" s="99" t="s">
        <v>4</v>
      </c>
      <c r="L1156" s="101"/>
      <c r="M1156" s="104" t="str">
        <f>IF(Main[[#This Row],[Tech Start Date]]&lt;1/1/1990,"",IF(Main[[#This Row],[Class]]="C",WORKDAY(Main[[#This Row],[Tech Start Date]],9),IF(Main[[#This Row],[Class]]="B", WORKDAY(Main[[#This Row],[Tech Start Date]],6),IF(Main[[#This Row],[Class]]="A",WORKDAY(Main[[#This Row],[Tech Start Date]],2),""))))</f>
        <v/>
      </c>
      <c r="N1156" s="104" t="str">
        <f>IF(Main[[#This Row],[Tech Start Date]]&lt;1/1/1990,"",IF(Main[[#This Row],[Class]]="C",WORKDAY(Main[[#This Row],[Tech Start Date]],19),IF(Main[[#This Row],[Class]]="B", WORKDAY(Main[[#This Row],[Tech Start Date]],12),IF(Main[[#This Row],[Class]]="A",WORKDAY(Main[[#This Row],[Tech Start Date]],4),""))))</f>
        <v/>
      </c>
      <c r="O1156" s="104" t="str">
        <f>IF(Main[[#This Row],[Tech Start Date]]&lt;1/1/1990,"",IF(Main[[#This Row],[Class]]="C",WORKDAY(Main[[#This Row],[Tech Start Date]],23),IF(Main[[#This Row],[Class]]="B", WORKDAY(Main[[#This Row],[Tech Start Date]],15),IF(Main[[#This Row],[Class]]="A",WORKDAY(Main[[#This Row],[Tech Start Date]],5),""))))</f>
        <v/>
      </c>
      <c r="P1156" s="104" t="str">
        <f>IF(Main[[#This Row],[Tech Start Date]]&lt;1/1/1990,"",IF(Main[[#This Row],[Class]]="C",WORKDAY(Main[[#This Row],[Tech Start Date]],28),IF(Main[[#This Row],[Class]]="B", WORKDAY(Main[[#This Row],[Tech Start Date]],19),IF(Main[[#This Row],[Class]]="A",WORKDAY(Main[[#This Row],[Tech Start Date]],9),""))))</f>
        <v/>
      </c>
      <c r="Q1156" s="101"/>
      <c r="R1156" s="101">
        <v>40840</v>
      </c>
      <c r="S1156" s="99" t="s">
        <v>6</v>
      </c>
      <c r="T1156" s="107" t="s">
        <v>4</v>
      </c>
      <c r="U1156" s="99" t="s">
        <v>29</v>
      </c>
      <c r="V1156" s="99" t="s">
        <v>1962</v>
      </c>
      <c r="W1156" s="99" t="s">
        <v>1966</v>
      </c>
    </row>
    <row r="1157" spans="1:23" ht="18.600000000000001" customHeight="1">
      <c r="A1157" s="123" t="str">
        <f>IF(priority(Main[[#This Row],[Comments]])&lt;&gt;0, priority(Main[[#This Row],[Comments]]),"")</f>
        <v/>
      </c>
      <c r="B1157" s="127" t="s">
        <v>2777</v>
      </c>
      <c r="C1157" s="99" t="s">
        <v>4</v>
      </c>
      <c r="D1157" s="100" t="s">
        <v>2778</v>
      </c>
      <c r="E1157" s="101">
        <v>40823.31144675926</v>
      </c>
      <c r="F1157" s="101"/>
      <c r="G1157" s="102" t="str">
        <f>IF(stdProdLT(Main[[#This Row],[Comments]])=0.1,"N/A",IF(stdProdLT(Main[[#This Row],[Comments]])=0,"",stdProdLT(Main[[#This Row],[Comments]])))</f>
        <v/>
      </c>
      <c r="H1157" s="103" t="str">
        <f>IF(AND(Main[[#This Row],[In Stock Date]]&lt;&gt;"",Main[[#This Row],[Revised Due Date]]&lt;&gt;""),Main[[#This Row],[In Stock Date]]-Main[[#This Row],[Revised Due Date]],"")</f>
        <v/>
      </c>
      <c r="I1157" s="99" t="s">
        <v>30</v>
      </c>
      <c r="J1157" s="99" t="s">
        <v>21</v>
      </c>
      <c r="K1157" s="108" t="s">
        <v>4</v>
      </c>
      <c r="L1157" s="101"/>
      <c r="M1157" s="104" t="str">
        <f>IF(Main[[#This Row],[Tech Start Date]]&lt;1/1/1990,"",IF(Main[[#This Row],[Class]]="C",WORKDAY(Main[[#This Row],[Tech Start Date]],9),IF(Main[[#This Row],[Class]]="B", WORKDAY(Main[[#This Row],[Tech Start Date]],6),IF(Main[[#This Row],[Class]]="A",WORKDAY(Main[[#This Row],[Tech Start Date]],2),""))))</f>
        <v/>
      </c>
      <c r="N1157" s="104" t="str">
        <f>IF(Main[[#This Row],[Tech Start Date]]&lt;1/1/1990,"",IF(Main[[#This Row],[Class]]="C",WORKDAY(Main[[#This Row],[Tech Start Date]],19),IF(Main[[#This Row],[Class]]="B", WORKDAY(Main[[#This Row],[Tech Start Date]],12),IF(Main[[#This Row],[Class]]="A",WORKDAY(Main[[#This Row],[Tech Start Date]],4),""))))</f>
        <v/>
      </c>
      <c r="O1157" s="104" t="str">
        <f>IF(Main[[#This Row],[Tech Start Date]]&lt;1/1/1990,"",IF(Main[[#This Row],[Class]]="C",WORKDAY(Main[[#This Row],[Tech Start Date]],23),IF(Main[[#This Row],[Class]]="B", WORKDAY(Main[[#This Row],[Tech Start Date]],15),IF(Main[[#This Row],[Class]]="A",WORKDAY(Main[[#This Row],[Tech Start Date]],5),""))))</f>
        <v/>
      </c>
      <c r="P1157" s="104" t="str">
        <f>IF(Main[[#This Row],[Tech Start Date]]&lt;1/1/1990,"",IF(Main[[#This Row],[Class]]="C",WORKDAY(Main[[#This Row],[Tech Start Date]],28),IF(Main[[#This Row],[Class]]="B", WORKDAY(Main[[#This Row],[Tech Start Date]],19),IF(Main[[#This Row],[Class]]="A",WORKDAY(Main[[#This Row],[Tech Start Date]],9),""))))</f>
        <v/>
      </c>
      <c r="Q1157" s="101"/>
      <c r="R1157" s="101"/>
      <c r="S1157" s="99" t="s">
        <v>6</v>
      </c>
      <c r="T1157" s="107" t="s">
        <v>4</v>
      </c>
      <c r="U1157" s="99" t="s">
        <v>29</v>
      </c>
      <c r="V1157" s="99" t="s">
        <v>1965</v>
      </c>
      <c r="W1157" s="99" t="s">
        <v>1964</v>
      </c>
    </row>
    <row r="1158" spans="1:23" ht="18.600000000000001" customHeight="1">
      <c r="A1158" s="123" t="str">
        <f>IF(priority(Main[[#This Row],[Comments]])&lt;&gt;0, priority(Main[[#This Row],[Comments]]),"")</f>
        <v/>
      </c>
      <c r="B1158" s="127" t="s">
        <v>2781</v>
      </c>
      <c r="C1158" s="99" t="s">
        <v>4</v>
      </c>
      <c r="D1158" s="100" t="s">
        <v>2782</v>
      </c>
      <c r="E1158" s="101"/>
      <c r="F1158" s="101"/>
      <c r="G1158" s="102" t="str">
        <f>IF(stdProdLT(Main[[#This Row],[Comments]])=0.1,"N/A",IF(stdProdLT(Main[[#This Row],[Comments]])=0,"",stdProdLT(Main[[#This Row],[Comments]])))</f>
        <v/>
      </c>
      <c r="H1158" s="103" t="str">
        <f>IF(AND(Main[[#This Row],[In Stock Date]]&lt;&gt;"",Main[[#This Row],[Revised Due Date]]&lt;&gt;""),Main[[#This Row],[In Stock Date]]-Main[[#This Row],[Revised Due Date]],"")</f>
        <v/>
      </c>
      <c r="I1158" s="99" t="s">
        <v>4</v>
      </c>
      <c r="J1158" s="99" t="s">
        <v>4</v>
      </c>
      <c r="K1158" s="99" t="s">
        <v>4</v>
      </c>
      <c r="L1158" s="101"/>
      <c r="M1158" s="104" t="str">
        <f>IF(Main[[#This Row],[Tech Start Date]]&lt;1/1/1990,"",IF(Main[[#This Row],[Class]]="C",WORKDAY(Main[[#This Row],[Tech Start Date]],9),IF(Main[[#This Row],[Class]]="B", WORKDAY(Main[[#This Row],[Tech Start Date]],6),IF(Main[[#This Row],[Class]]="A",WORKDAY(Main[[#This Row],[Tech Start Date]],2),""))))</f>
        <v/>
      </c>
      <c r="N1158" s="104" t="str">
        <f>IF(Main[[#This Row],[Tech Start Date]]&lt;1/1/1990,"",IF(Main[[#This Row],[Class]]="C",WORKDAY(Main[[#This Row],[Tech Start Date]],19),IF(Main[[#This Row],[Class]]="B", WORKDAY(Main[[#This Row],[Tech Start Date]],12),IF(Main[[#This Row],[Class]]="A",WORKDAY(Main[[#This Row],[Tech Start Date]],4),""))))</f>
        <v/>
      </c>
      <c r="O1158" s="104" t="str">
        <f>IF(Main[[#This Row],[Tech Start Date]]&lt;1/1/1990,"",IF(Main[[#This Row],[Class]]="C",WORKDAY(Main[[#This Row],[Tech Start Date]],23),IF(Main[[#This Row],[Class]]="B", WORKDAY(Main[[#This Row],[Tech Start Date]],15),IF(Main[[#This Row],[Class]]="A",WORKDAY(Main[[#This Row],[Tech Start Date]],5),""))))</f>
        <v/>
      </c>
      <c r="P1158" s="104" t="str">
        <f>IF(Main[[#This Row],[Tech Start Date]]&lt;1/1/1990,"",IF(Main[[#This Row],[Class]]="C",WORKDAY(Main[[#This Row],[Tech Start Date]],28),IF(Main[[#This Row],[Class]]="B", WORKDAY(Main[[#This Row],[Tech Start Date]],19),IF(Main[[#This Row],[Class]]="A",WORKDAY(Main[[#This Row],[Tech Start Date]],9),""))))</f>
        <v/>
      </c>
      <c r="Q1158" s="101"/>
      <c r="R1158" s="101"/>
      <c r="S1158" s="99" t="s">
        <v>11</v>
      </c>
      <c r="T1158" s="107" t="s">
        <v>4</v>
      </c>
      <c r="U1158" s="99" t="s">
        <v>14</v>
      </c>
      <c r="V1158" s="99" t="s">
        <v>1963</v>
      </c>
      <c r="W1158" s="99" t="s">
        <v>4</v>
      </c>
    </row>
    <row r="1159" spans="1:23" ht="18.600000000000001" customHeight="1">
      <c r="A1159" s="123" t="str">
        <f>IF(priority(Main[[#This Row],[Comments]])&lt;&gt;0, priority(Main[[#This Row],[Comments]]),"")</f>
        <v/>
      </c>
      <c r="B1159" s="127" t="s">
        <v>2374</v>
      </c>
      <c r="C1159" s="99" t="s">
        <v>4</v>
      </c>
      <c r="D1159" s="100" t="s">
        <v>2783</v>
      </c>
      <c r="E1159" s="101">
        <v>40814.667314814818</v>
      </c>
      <c r="F1159" s="101"/>
      <c r="G1159" s="102" t="str">
        <f>IF(stdProdLT(Main[[#This Row],[Comments]])=0.1,"N/A",IF(stdProdLT(Main[[#This Row],[Comments]])=0,"",stdProdLT(Main[[#This Row],[Comments]])))</f>
        <v/>
      </c>
      <c r="H1159" s="103" t="str">
        <f>IF(AND(Main[[#This Row],[In Stock Date]]&lt;&gt;"",Main[[#This Row],[Revised Due Date]]&lt;&gt;""),Main[[#This Row],[In Stock Date]]-Main[[#This Row],[Revised Due Date]],"")</f>
        <v/>
      </c>
      <c r="I1159" s="99" t="s">
        <v>404</v>
      </c>
      <c r="J1159" s="99" t="s">
        <v>75</v>
      </c>
      <c r="K1159" s="99" t="s">
        <v>1971</v>
      </c>
      <c r="L1159" s="101"/>
      <c r="M1159" s="104" t="str">
        <f>IF(Main[[#This Row],[Tech Start Date]]&lt;1/1/1990,"",IF(Main[[#This Row],[Class]]="C",WORKDAY(Main[[#This Row],[Tech Start Date]],9),IF(Main[[#This Row],[Class]]="B", WORKDAY(Main[[#This Row],[Tech Start Date]],6),IF(Main[[#This Row],[Class]]="A",WORKDAY(Main[[#This Row],[Tech Start Date]],2),""))))</f>
        <v/>
      </c>
      <c r="N1159" s="104" t="str">
        <f>IF(Main[[#This Row],[Tech Start Date]]&lt;1/1/1990,"",IF(Main[[#This Row],[Class]]="C",WORKDAY(Main[[#This Row],[Tech Start Date]],19),IF(Main[[#This Row],[Class]]="B", WORKDAY(Main[[#This Row],[Tech Start Date]],12),IF(Main[[#This Row],[Class]]="A",WORKDAY(Main[[#This Row],[Tech Start Date]],4),""))))</f>
        <v/>
      </c>
      <c r="O1159" s="104" t="str">
        <f>IF(Main[[#This Row],[Tech Start Date]]&lt;1/1/1990,"",IF(Main[[#This Row],[Class]]="C",WORKDAY(Main[[#This Row],[Tech Start Date]],23),IF(Main[[#This Row],[Class]]="B", WORKDAY(Main[[#This Row],[Tech Start Date]],15),IF(Main[[#This Row],[Class]]="A",WORKDAY(Main[[#This Row],[Tech Start Date]],5),""))))</f>
        <v/>
      </c>
      <c r="P1159" s="104" t="str">
        <f>IF(Main[[#This Row],[Tech Start Date]]&lt;1/1/1990,"",IF(Main[[#This Row],[Class]]="C",WORKDAY(Main[[#This Row],[Tech Start Date]],28),IF(Main[[#This Row],[Class]]="B", WORKDAY(Main[[#This Row],[Tech Start Date]],19),IF(Main[[#This Row],[Class]]="A",WORKDAY(Main[[#This Row],[Tech Start Date]],9),""))))</f>
        <v/>
      </c>
      <c r="Q1159" s="101"/>
      <c r="R1159" s="101"/>
      <c r="S1159" s="99" t="s">
        <v>6</v>
      </c>
      <c r="T1159" s="107" t="s">
        <v>4</v>
      </c>
      <c r="U1159" s="99" t="s">
        <v>29</v>
      </c>
      <c r="V1159" s="99" t="s">
        <v>1965</v>
      </c>
      <c r="W1159" s="99" t="s">
        <v>1966</v>
      </c>
    </row>
    <row r="1160" spans="1:23" ht="18.600000000000001" customHeight="1">
      <c r="A1160" s="123" t="str">
        <f>IF(priority(Main[[#This Row],[Comments]])&lt;&gt;0, priority(Main[[#This Row],[Comments]]),"")</f>
        <v/>
      </c>
      <c r="B1160" s="127" t="s">
        <v>1738</v>
      </c>
      <c r="C1160" s="99" t="s">
        <v>4</v>
      </c>
      <c r="D1160" s="100" t="s">
        <v>2176</v>
      </c>
      <c r="E1160" s="101"/>
      <c r="F1160" s="101"/>
      <c r="G1160" s="102" t="str">
        <f>IF(stdProdLT(Main[[#This Row],[Comments]])=0.1,"N/A",IF(stdProdLT(Main[[#This Row],[Comments]])=0,"",stdProdLT(Main[[#This Row],[Comments]])))</f>
        <v/>
      </c>
      <c r="H1160" s="103" t="str">
        <f>IF(AND(Main[[#This Row],[In Stock Date]]&lt;&gt;"",Main[[#This Row],[Revised Due Date]]&lt;&gt;""),Main[[#This Row],[In Stock Date]]-Main[[#This Row],[Revised Due Date]],"")</f>
        <v/>
      </c>
      <c r="I1160" s="99" t="s">
        <v>69</v>
      </c>
      <c r="J1160" s="99" t="s">
        <v>70</v>
      </c>
      <c r="K1160" s="99" t="s">
        <v>1971</v>
      </c>
      <c r="L1160" s="101"/>
      <c r="M1160" s="104" t="str">
        <f>IF(Main[[#This Row],[Tech Start Date]]&lt;1/1/1990,"",IF(Main[[#This Row],[Class]]="C",WORKDAY(Main[[#This Row],[Tech Start Date]],9),IF(Main[[#This Row],[Class]]="B", WORKDAY(Main[[#This Row],[Tech Start Date]],6),IF(Main[[#This Row],[Class]]="A",WORKDAY(Main[[#This Row],[Tech Start Date]],2),""))))</f>
        <v/>
      </c>
      <c r="N1160" s="104" t="str">
        <f>IF(Main[[#This Row],[Tech Start Date]]&lt;1/1/1990,"",IF(Main[[#This Row],[Class]]="C",WORKDAY(Main[[#This Row],[Tech Start Date]],19),IF(Main[[#This Row],[Class]]="B", WORKDAY(Main[[#This Row],[Tech Start Date]],12),IF(Main[[#This Row],[Class]]="A",WORKDAY(Main[[#This Row],[Tech Start Date]],4),""))))</f>
        <v/>
      </c>
      <c r="O1160" s="104" t="str">
        <f>IF(Main[[#This Row],[Tech Start Date]]&lt;1/1/1990,"",IF(Main[[#This Row],[Class]]="C",WORKDAY(Main[[#This Row],[Tech Start Date]],23),IF(Main[[#This Row],[Class]]="B", WORKDAY(Main[[#This Row],[Tech Start Date]],15),IF(Main[[#This Row],[Class]]="A",WORKDAY(Main[[#This Row],[Tech Start Date]],5),""))))</f>
        <v/>
      </c>
      <c r="P1160" s="104" t="str">
        <f>IF(Main[[#This Row],[Tech Start Date]]&lt;1/1/1990,"",IF(Main[[#This Row],[Class]]="C",WORKDAY(Main[[#This Row],[Tech Start Date]],28),IF(Main[[#This Row],[Class]]="B", WORKDAY(Main[[#This Row],[Tech Start Date]],19),IF(Main[[#This Row],[Class]]="A",WORKDAY(Main[[#This Row],[Tech Start Date]],9),""))))</f>
        <v/>
      </c>
      <c r="Q1160" s="101">
        <v>40816</v>
      </c>
      <c r="R1160" s="101"/>
      <c r="S1160" s="99" t="s">
        <v>6</v>
      </c>
      <c r="T1160" s="107" t="s">
        <v>4</v>
      </c>
      <c r="U1160" s="99" t="s">
        <v>14</v>
      </c>
      <c r="V1160" s="99" t="s">
        <v>1965</v>
      </c>
      <c r="W1160" s="99" t="s">
        <v>1967</v>
      </c>
    </row>
    <row r="1161" spans="1:23" ht="18.600000000000001" customHeight="1">
      <c r="A1161" s="123" t="str">
        <f>IF(priority(Main[[#This Row],[Comments]])&lt;&gt;0, priority(Main[[#This Row],[Comments]]),"")</f>
        <v/>
      </c>
      <c r="B1161" s="127" t="s">
        <v>2788</v>
      </c>
      <c r="C1161" s="99" t="s">
        <v>3071</v>
      </c>
      <c r="D1161" s="100" t="s">
        <v>2789</v>
      </c>
      <c r="E1161" s="101">
        <v>40877.307962962965</v>
      </c>
      <c r="F1161" s="101">
        <v>41030</v>
      </c>
      <c r="G1161" s="102">
        <f>IF(stdProdLT(Main[[#This Row],[Comments]])=0.1,"N/A",IF(stdProdLT(Main[[#This Row],[Comments]])=0,"",stdProdLT(Main[[#This Row],[Comments]])))</f>
        <v>168</v>
      </c>
      <c r="H1161" s="103" t="str">
        <f>IF(AND(Main[[#This Row],[In Stock Date]]&lt;&gt;"",Main[[#This Row],[Revised Due Date]]&lt;&gt;""),Main[[#This Row],[In Stock Date]]-Main[[#This Row],[Revised Due Date]],"")</f>
        <v/>
      </c>
      <c r="I1161" s="99" t="s">
        <v>4</v>
      </c>
      <c r="J1161" s="99" t="s">
        <v>28</v>
      </c>
      <c r="K1161" s="99" t="s">
        <v>4</v>
      </c>
      <c r="L1161" s="101"/>
      <c r="M1161" s="104" t="str">
        <f>IF(Main[[#This Row],[Tech Start Date]]&lt;1/1/1990,"",IF(Main[[#This Row],[Class]]="C",WORKDAY(Main[[#This Row],[Tech Start Date]],9),IF(Main[[#This Row],[Class]]="B", WORKDAY(Main[[#This Row],[Tech Start Date]],6),IF(Main[[#This Row],[Class]]="A",WORKDAY(Main[[#This Row],[Tech Start Date]],2),""))))</f>
        <v/>
      </c>
      <c r="N1161" s="104" t="str">
        <f>IF(Main[[#This Row],[Tech Start Date]]&lt;1/1/1990,"",IF(Main[[#This Row],[Class]]="C",WORKDAY(Main[[#This Row],[Tech Start Date]],19),IF(Main[[#This Row],[Class]]="B", WORKDAY(Main[[#This Row],[Tech Start Date]],12),IF(Main[[#This Row],[Class]]="A",WORKDAY(Main[[#This Row],[Tech Start Date]],4),""))))</f>
        <v/>
      </c>
      <c r="O1161" s="104" t="str">
        <f>IF(Main[[#This Row],[Tech Start Date]]&lt;1/1/1990,"",IF(Main[[#This Row],[Class]]="C",WORKDAY(Main[[#This Row],[Tech Start Date]],23),IF(Main[[#This Row],[Class]]="B", WORKDAY(Main[[#This Row],[Tech Start Date]],15),IF(Main[[#This Row],[Class]]="A",WORKDAY(Main[[#This Row],[Tech Start Date]],5),""))))</f>
        <v/>
      </c>
      <c r="P1161" s="104" t="str">
        <f>IF(Main[[#This Row],[Tech Start Date]]&lt;1/1/1990,"",IF(Main[[#This Row],[Class]]="C",WORKDAY(Main[[#This Row],[Tech Start Date]],28),IF(Main[[#This Row],[Class]]="B", WORKDAY(Main[[#This Row],[Tech Start Date]],19),IF(Main[[#This Row],[Class]]="A",WORKDAY(Main[[#This Row],[Tech Start Date]],9),""))))</f>
        <v/>
      </c>
      <c r="Q1161" s="101">
        <v>40923</v>
      </c>
      <c r="R1161" s="101"/>
      <c r="S1161" s="99" t="s">
        <v>11</v>
      </c>
      <c r="T1161" s="107" t="s">
        <v>2790</v>
      </c>
      <c r="U1161" s="99" t="s">
        <v>7</v>
      </c>
      <c r="V1161" s="99" t="s">
        <v>1962</v>
      </c>
      <c r="W1161" s="99" t="s">
        <v>1968</v>
      </c>
    </row>
    <row r="1162" spans="1:23" ht="18.600000000000001" customHeight="1">
      <c r="A1162" s="123" t="str">
        <f>IF(priority(Main[[#This Row],[Comments]])&lt;&gt;0, priority(Main[[#This Row],[Comments]]),"")</f>
        <v/>
      </c>
      <c r="B1162" s="127" t="s">
        <v>2367</v>
      </c>
      <c r="C1162" s="99" t="s">
        <v>4</v>
      </c>
      <c r="D1162" s="100" t="s">
        <v>2795</v>
      </c>
      <c r="E1162" s="101"/>
      <c r="F1162" s="101"/>
      <c r="G1162" s="102" t="str">
        <f>IF(stdProdLT(Main[[#This Row],[Comments]])=0.1,"N/A",IF(stdProdLT(Main[[#This Row],[Comments]])=0,"",stdProdLT(Main[[#This Row],[Comments]])))</f>
        <v/>
      </c>
      <c r="H1162" s="103" t="str">
        <f>IF(AND(Main[[#This Row],[In Stock Date]]&lt;&gt;"",Main[[#This Row],[Revised Due Date]]&lt;&gt;""),Main[[#This Row],[In Stock Date]]-Main[[#This Row],[Revised Due Date]],"")</f>
        <v/>
      </c>
      <c r="I1162" s="99" t="s">
        <v>2280</v>
      </c>
      <c r="J1162" s="99" t="s">
        <v>75</v>
      </c>
      <c r="K1162" s="99" t="s">
        <v>1971</v>
      </c>
      <c r="L1162" s="101"/>
      <c r="M1162" s="104" t="str">
        <f>IF(Main[[#This Row],[Tech Start Date]]&lt;1/1/1990,"",IF(Main[[#This Row],[Class]]="C",WORKDAY(Main[[#This Row],[Tech Start Date]],9),IF(Main[[#This Row],[Class]]="B", WORKDAY(Main[[#This Row],[Tech Start Date]],6),IF(Main[[#This Row],[Class]]="A",WORKDAY(Main[[#This Row],[Tech Start Date]],2),""))))</f>
        <v/>
      </c>
      <c r="N1162" s="104" t="str">
        <f>IF(Main[[#This Row],[Tech Start Date]]&lt;1/1/1990,"",IF(Main[[#This Row],[Class]]="C",WORKDAY(Main[[#This Row],[Tech Start Date]],19),IF(Main[[#This Row],[Class]]="B", WORKDAY(Main[[#This Row],[Tech Start Date]],12),IF(Main[[#This Row],[Class]]="A",WORKDAY(Main[[#This Row],[Tech Start Date]],4),""))))</f>
        <v/>
      </c>
      <c r="O1162" s="104" t="str">
        <f>IF(Main[[#This Row],[Tech Start Date]]&lt;1/1/1990,"",IF(Main[[#This Row],[Class]]="C",WORKDAY(Main[[#This Row],[Tech Start Date]],23),IF(Main[[#This Row],[Class]]="B", WORKDAY(Main[[#This Row],[Tech Start Date]],15),IF(Main[[#This Row],[Class]]="A",WORKDAY(Main[[#This Row],[Tech Start Date]],5),""))))</f>
        <v/>
      </c>
      <c r="P1162" s="104" t="str">
        <f>IF(Main[[#This Row],[Tech Start Date]]&lt;1/1/1990,"",IF(Main[[#This Row],[Class]]="C",WORKDAY(Main[[#This Row],[Tech Start Date]],28),IF(Main[[#This Row],[Class]]="B", WORKDAY(Main[[#This Row],[Tech Start Date]],19),IF(Main[[#This Row],[Class]]="A",WORKDAY(Main[[#This Row],[Tech Start Date]],9),""))))</f>
        <v/>
      </c>
      <c r="Q1162" s="101"/>
      <c r="R1162" s="101"/>
      <c r="S1162" s="99" t="s">
        <v>6</v>
      </c>
      <c r="T1162" s="107" t="s">
        <v>4</v>
      </c>
      <c r="U1162" s="99" t="s">
        <v>14</v>
      </c>
      <c r="V1162" s="99" t="s">
        <v>1972</v>
      </c>
      <c r="W1162" s="99" t="s">
        <v>1966</v>
      </c>
    </row>
    <row r="1163" spans="1:23" ht="18.600000000000001" customHeight="1">
      <c r="A1163" s="123" t="str">
        <f>IF(priority(Main[[#This Row],[Comments]])&lt;&gt;0, priority(Main[[#This Row],[Comments]]),"")</f>
        <v/>
      </c>
      <c r="B1163" s="127" t="s">
        <v>2678</v>
      </c>
      <c r="C1163" s="99" t="s">
        <v>4</v>
      </c>
      <c r="D1163" s="100" t="s">
        <v>2679</v>
      </c>
      <c r="E1163" s="101">
        <v>40849.455775462964</v>
      </c>
      <c r="F1163" s="101"/>
      <c r="G1163" s="102" t="str">
        <f>IF(stdProdLT(Main[[#This Row],[Comments]])=0.1,"N/A",IF(stdProdLT(Main[[#This Row],[Comments]])=0,"",stdProdLT(Main[[#This Row],[Comments]])))</f>
        <v/>
      </c>
      <c r="H1163" s="103" t="str">
        <f>IF(AND(Main[[#This Row],[In Stock Date]]&lt;&gt;"",Main[[#This Row],[Revised Due Date]]&lt;&gt;""),Main[[#This Row],[In Stock Date]]-Main[[#This Row],[Revised Due Date]],"")</f>
        <v/>
      </c>
      <c r="I1163" s="99" t="s">
        <v>2102</v>
      </c>
      <c r="J1163" s="99" t="s">
        <v>28</v>
      </c>
      <c r="K1163" s="99" t="s">
        <v>1971</v>
      </c>
      <c r="L1163" s="101"/>
      <c r="M1163" s="104" t="str">
        <f>IF(Main[[#This Row],[Tech Start Date]]&lt;1/1/1990,"",IF(Main[[#This Row],[Class]]="C",WORKDAY(Main[[#This Row],[Tech Start Date]],9),IF(Main[[#This Row],[Class]]="B", WORKDAY(Main[[#This Row],[Tech Start Date]],6),IF(Main[[#This Row],[Class]]="A",WORKDAY(Main[[#This Row],[Tech Start Date]],2),""))))</f>
        <v/>
      </c>
      <c r="N1163" s="104" t="str">
        <f>IF(Main[[#This Row],[Tech Start Date]]&lt;1/1/1990,"",IF(Main[[#This Row],[Class]]="C",WORKDAY(Main[[#This Row],[Tech Start Date]],19),IF(Main[[#This Row],[Class]]="B", WORKDAY(Main[[#This Row],[Tech Start Date]],12),IF(Main[[#This Row],[Class]]="A",WORKDAY(Main[[#This Row],[Tech Start Date]],4),""))))</f>
        <v/>
      </c>
      <c r="O1163" s="104" t="str">
        <f>IF(Main[[#This Row],[Tech Start Date]]&lt;1/1/1990,"",IF(Main[[#This Row],[Class]]="C",WORKDAY(Main[[#This Row],[Tech Start Date]],23),IF(Main[[#This Row],[Class]]="B", WORKDAY(Main[[#This Row],[Tech Start Date]],15),IF(Main[[#This Row],[Class]]="A",WORKDAY(Main[[#This Row],[Tech Start Date]],5),""))))</f>
        <v/>
      </c>
      <c r="P1163" s="104" t="str">
        <f>IF(Main[[#This Row],[Tech Start Date]]&lt;1/1/1990,"",IF(Main[[#This Row],[Class]]="C",WORKDAY(Main[[#This Row],[Tech Start Date]],28),IF(Main[[#This Row],[Class]]="B", WORKDAY(Main[[#This Row],[Tech Start Date]],19),IF(Main[[#This Row],[Class]]="A",WORKDAY(Main[[#This Row],[Tech Start Date]],9),""))))</f>
        <v/>
      </c>
      <c r="Q1163" s="101">
        <v>40879</v>
      </c>
      <c r="R1163" s="101"/>
      <c r="S1163" s="99" t="s">
        <v>6</v>
      </c>
      <c r="T1163" s="107" t="s">
        <v>4</v>
      </c>
      <c r="U1163" s="99" t="s">
        <v>29</v>
      </c>
      <c r="V1163" s="99" t="s">
        <v>1965</v>
      </c>
      <c r="W1163" s="99" t="s">
        <v>1966</v>
      </c>
    </row>
    <row r="1164" spans="1:23" ht="18.600000000000001" customHeight="1">
      <c r="A1164" s="123" t="str">
        <f>IF(priority(Main[[#This Row],[Comments]])&lt;&gt;0, priority(Main[[#This Row],[Comments]]),"")</f>
        <v/>
      </c>
      <c r="B1164" s="127" t="s">
        <v>2766</v>
      </c>
      <c r="C1164" s="99" t="s">
        <v>4</v>
      </c>
      <c r="D1164" s="100" t="s">
        <v>2767</v>
      </c>
      <c r="E1164" s="101">
        <v>40854.407685185186</v>
      </c>
      <c r="F1164" s="101"/>
      <c r="G1164" s="102" t="str">
        <f>IF(stdProdLT(Main[[#This Row],[Comments]])=0.1,"N/A",IF(stdProdLT(Main[[#This Row],[Comments]])=0,"",stdProdLT(Main[[#This Row],[Comments]])))</f>
        <v/>
      </c>
      <c r="H1164" s="103" t="str">
        <f>IF(AND(Main[[#This Row],[In Stock Date]]&lt;&gt;"",Main[[#This Row],[Revised Due Date]]&lt;&gt;""),Main[[#This Row],[In Stock Date]]-Main[[#This Row],[Revised Due Date]],"")</f>
        <v/>
      </c>
      <c r="I1164" s="99" t="s">
        <v>2102</v>
      </c>
      <c r="J1164" s="99" t="s">
        <v>28</v>
      </c>
      <c r="K1164" s="108" t="s">
        <v>1971</v>
      </c>
      <c r="L1164" s="101"/>
      <c r="M1164" s="104" t="str">
        <f>IF(Main[[#This Row],[Tech Start Date]]&lt;1/1/1990,"",IF(Main[[#This Row],[Class]]="C",WORKDAY(Main[[#This Row],[Tech Start Date]],9),IF(Main[[#This Row],[Class]]="B", WORKDAY(Main[[#This Row],[Tech Start Date]],6),IF(Main[[#This Row],[Class]]="A",WORKDAY(Main[[#This Row],[Tech Start Date]],2),""))))</f>
        <v/>
      </c>
      <c r="N1164" s="104" t="str">
        <f>IF(Main[[#This Row],[Tech Start Date]]&lt;1/1/1990,"",IF(Main[[#This Row],[Class]]="C",WORKDAY(Main[[#This Row],[Tech Start Date]],19),IF(Main[[#This Row],[Class]]="B", WORKDAY(Main[[#This Row],[Tech Start Date]],12),IF(Main[[#This Row],[Class]]="A",WORKDAY(Main[[#This Row],[Tech Start Date]],4),""))))</f>
        <v/>
      </c>
      <c r="O1164" s="104" t="str">
        <f>IF(Main[[#This Row],[Tech Start Date]]&lt;1/1/1990,"",IF(Main[[#This Row],[Class]]="C",WORKDAY(Main[[#This Row],[Tech Start Date]],23),IF(Main[[#This Row],[Class]]="B", WORKDAY(Main[[#This Row],[Tech Start Date]],15),IF(Main[[#This Row],[Class]]="A",WORKDAY(Main[[#This Row],[Tech Start Date]],5),""))))</f>
        <v/>
      </c>
      <c r="P1164" s="104" t="str">
        <f>IF(Main[[#This Row],[Tech Start Date]]&lt;1/1/1990,"",IF(Main[[#This Row],[Class]]="C",WORKDAY(Main[[#This Row],[Tech Start Date]],28),IF(Main[[#This Row],[Class]]="B", WORKDAY(Main[[#This Row],[Tech Start Date]],19),IF(Main[[#This Row],[Class]]="A",WORKDAY(Main[[#This Row],[Tech Start Date]],9),""))))</f>
        <v/>
      </c>
      <c r="Q1164" s="101">
        <v>40893</v>
      </c>
      <c r="R1164" s="101"/>
      <c r="S1164" s="99" t="s">
        <v>6</v>
      </c>
      <c r="T1164" s="107" t="s">
        <v>4</v>
      </c>
      <c r="U1164" s="99" t="s">
        <v>29</v>
      </c>
      <c r="V1164" s="99" t="s">
        <v>1972</v>
      </c>
      <c r="W1164" s="99" t="s">
        <v>1966</v>
      </c>
    </row>
    <row r="1165" spans="1:23" ht="18.600000000000001" customHeight="1">
      <c r="A1165" s="123" t="str">
        <f>IF(priority(Main[[#This Row],[Comments]])&lt;&gt;0, priority(Main[[#This Row],[Comments]]),"")</f>
        <v/>
      </c>
      <c r="B1165" s="127" t="s">
        <v>1629</v>
      </c>
      <c r="C1165" s="99" t="s">
        <v>4</v>
      </c>
      <c r="D1165" s="100" t="s">
        <v>676</v>
      </c>
      <c r="E1165" s="101"/>
      <c r="F1165" s="101"/>
      <c r="G1165" s="102" t="str">
        <f>IF(stdProdLT(Main[[#This Row],[Comments]])=0.1,"N/A",IF(stdProdLT(Main[[#This Row],[Comments]])=0,"",stdProdLT(Main[[#This Row],[Comments]])))</f>
        <v/>
      </c>
      <c r="H1165" s="103" t="str">
        <f>IF(AND(Main[[#This Row],[In Stock Date]]&lt;&gt;"",Main[[#This Row],[Revised Due Date]]&lt;&gt;""),Main[[#This Row],[In Stock Date]]-Main[[#This Row],[Revised Due Date]],"")</f>
        <v/>
      </c>
      <c r="I1165" s="99" t="s">
        <v>4</v>
      </c>
      <c r="J1165" s="99" t="s">
        <v>4</v>
      </c>
      <c r="K1165" s="99" t="s">
        <v>4</v>
      </c>
      <c r="L1165" s="101"/>
      <c r="M1165" s="104" t="str">
        <f>IF(Main[[#This Row],[Tech Start Date]]&lt;1/1/1990,"",IF(Main[[#This Row],[Class]]="C",WORKDAY(Main[[#This Row],[Tech Start Date]],9),IF(Main[[#This Row],[Class]]="B", WORKDAY(Main[[#This Row],[Tech Start Date]],6),IF(Main[[#This Row],[Class]]="A",WORKDAY(Main[[#This Row],[Tech Start Date]],2),""))))</f>
        <v/>
      </c>
      <c r="N1165" s="104" t="str">
        <f>IF(Main[[#This Row],[Tech Start Date]]&lt;1/1/1990,"",IF(Main[[#This Row],[Class]]="C",WORKDAY(Main[[#This Row],[Tech Start Date]],19),IF(Main[[#This Row],[Class]]="B", WORKDAY(Main[[#This Row],[Tech Start Date]],12),IF(Main[[#This Row],[Class]]="A",WORKDAY(Main[[#This Row],[Tech Start Date]],4),""))))</f>
        <v/>
      </c>
      <c r="O1165" s="104" t="str">
        <f>IF(Main[[#This Row],[Tech Start Date]]&lt;1/1/1990,"",IF(Main[[#This Row],[Class]]="C",WORKDAY(Main[[#This Row],[Tech Start Date]],23),IF(Main[[#This Row],[Class]]="B", WORKDAY(Main[[#This Row],[Tech Start Date]],15),IF(Main[[#This Row],[Class]]="A",WORKDAY(Main[[#This Row],[Tech Start Date]],5),""))))</f>
        <v/>
      </c>
      <c r="P1165" s="104" t="str">
        <f>IF(Main[[#This Row],[Tech Start Date]]&lt;1/1/1990,"",IF(Main[[#This Row],[Class]]="C",WORKDAY(Main[[#This Row],[Tech Start Date]],28),IF(Main[[#This Row],[Class]]="B", WORKDAY(Main[[#This Row],[Tech Start Date]],19),IF(Main[[#This Row],[Class]]="A",WORKDAY(Main[[#This Row],[Tech Start Date]],9),""))))</f>
        <v/>
      </c>
      <c r="Q1165" s="101"/>
      <c r="R1165" s="101"/>
      <c r="S1165" s="99" t="s">
        <v>6</v>
      </c>
      <c r="T1165" s="107" t="s">
        <v>4</v>
      </c>
      <c r="U1165" s="99" t="s">
        <v>14</v>
      </c>
      <c r="V1165" s="99" t="s">
        <v>1962</v>
      </c>
      <c r="W1165" s="99" t="s">
        <v>1970</v>
      </c>
    </row>
    <row r="1166" spans="1:23" ht="18.600000000000001" customHeight="1">
      <c r="A1166" s="123" t="str">
        <f>IF(priority(Main[[#This Row],[Comments]])&lt;&gt;0, priority(Main[[#This Row],[Comments]]),"")</f>
        <v/>
      </c>
      <c r="B1166" s="127" t="s">
        <v>3035</v>
      </c>
      <c r="C1166" s="99" t="s">
        <v>4</v>
      </c>
      <c r="D1166" s="100" t="s">
        <v>3036</v>
      </c>
      <c r="E1166" s="101"/>
      <c r="F1166" s="101"/>
      <c r="G1166" s="102" t="str">
        <f>IF(stdProdLT(Main[[#This Row],[Comments]])=0.1,"N/A",IF(stdProdLT(Main[[#This Row],[Comments]])=0,"",stdProdLT(Main[[#This Row],[Comments]])))</f>
        <v/>
      </c>
      <c r="H1166" s="103" t="str">
        <f>IF(AND(Main[[#This Row],[In Stock Date]]&lt;&gt;"",Main[[#This Row],[Revised Due Date]]&lt;&gt;""),Main[[#This Row],[In Stock Date]]-Main[[#This Row],[Revised Due Date]],"")</f>
        <v/>
      </c>
      <c r="I1166" s="99" t="s">
        <v>4</v>
      </c>
      <c r="J1166" s="99" t="s">
        <v>4</v>
      </c>
      <c r="K1166" s="99" t="s">
        <v>4</v>
      </c>
      <c r="L1166" s="101"/>
      <c r="M1166" s="104" t="str">
        <f>IF(Main[[#This Row],[Tech Start Date]]&lt;1/1/1990,"",IF(Main[[#This Row],[Class]]="C",WORKDAY(Main[[#This Row],[Tech Start Date]],9),IF(Main[[#This Row],[Class]]="B", WORKDAY(Main[[#This Row],[Tech Start Date]],6),IF(Main[[#This Row],[Class]]="A",WORKDAY(Main[[#This Row],[Tech Start Date]],2),""))))</f>
        <v/>
      </c>
      <c r="N1166" s="104" t="str">
        <f>IF(Main[[#This Row],[Tech Start Date]]&lt;1/1/1990,"",IF(Main[[#This Row],[Class]]="C",WORKDAY(Main[[#This Row],[Tech Start Date]],19),IF(Main[[#This Row],[Class]]="B", WORKDAY(Main[[#This Row],[Tech Start Date]],12),IF(Main[[#This Row],[Class]]="A",WORKDAY(Main[[#This Row],[Tech Start Date]],4),""))))</f>
        <v/>
      </c>
      <c r="O1166" s="104" t="str">
        <f>IF(Main[[#This Row],[Tech Start Date]]&lt;1/1/1990,"",IF(Main[[#This Row],[Class]]="C",WORKDAY(Main[[#This Row],[Tech Start Date]],23),IF(Main[[#This Row],[Class]]="B", WORKDAY(Main[[#This Row],[Tech Start Date]],15),IF(Main[[#This Row],[Class]]="A",WORKDAY(Main[[#This Row],[Tech Start Date]],5),""))))</f>
        <v/>
      </c>
      <c r="P1166" s="104" t="str">
        <f>IF(Main[[#This Row],[Tech Start Date]]&lt;1/1/1990,"",IF(Main[[#This Row],[Class]]="C",WORKDAY(Main[[#This Row],[Tech Start Date]],28),IF(Main[[#This Row],[Class]]="B", WORKDAY(Main[[#This Row],[Tech Start Date]],19),IF(Main[[#This Row],[Class]]="A",WORKDAY(Main[[#This Row],[Tech Start Date]],9),""))))</f>
        <v/>
      </c>
      <c r="Q1166" s="101"/>
      <c r="R1166" s="101"/>
      <c r="S1166" s="99" t="s">
        <v>11</v>
      </c>
      <c r="T1166" s="107" t="s">
        <v>4</v>
      </c>
      <c r="U1166" s="99" t="s">
        <v>14</v>
      </c>
      <c r="V1166" s="99" t="s">
        <v>1972</v>
      </c>
      <c r="W1166" s="99" t="s">
        <v>1970</v>
      </c>
    </row>
    <row r="1167" spans="1:23" ht="18.600000000000001" customHeight="1">
      <c r="A1167" s="123" t="str">
        <f>IF(priority(Main[[#This Row],[Comments]])&lt;&gt;0, priority(Main[[#This Row],[Comments]]),"")</f>
        <v/>
      </c>
      <c r="B1167" s="127" t="s">
        <v>2417</v>
      </c>
      <c r="C1167" s="99" t="s">
        <v>2017</v>
      </c>
      <c r="D1167" s="100" t="s">
        <v>3074</v>
      </c>
      <c r="E1167" s="101">
        <v>40875.421516203707</v>
      </c>
      <c r="F1167" s="101"/>
      <c r="G1167" s="102">
        <f>IF(stdProdLT(Main[[#This Row],[Comments]])=0.1,"N/A",IF(stdProdLT(Main[[#This Row],[Comments]])=0,"",stdProdLT(Main[[#This Row],[Comments]])))</f>
        <v>140</v>
      </c>
      <c r="H1167" s="103" t="str">
        <f>IF(AND(Main[[#This Row],[In Stock Date]]&lt;&gt;"",Main[[#This Row],[Revised Due Date]]&lt;&gt;""),Main[[#This Row],[In Stock Date]]-Main[[#This Row],[Revised Due Date]],"")</f>
        <v/>
      </c>
      <c r="I1167" s="99" t="s">
        <v>4</v>
      </c>
      <c r="J1167" s="99" t="s">
        <v>4</v>
      </c>
      <c r="K1167" s="99" t="s">
        <v>4</v>
      </c>
      <c r="L1167" s="101"/>
      <c r="M1167" s="104" t="str">
        <f>IF(Main[[#This Row],[Tech Start Date]]&lt;1/1/1990,"",IF(Main[[#This Row],[Class]]="C",WORKDAY(Main[[#This Row],[Tech Start Date]],9),IF(Main[[#This Row],[Class]]="B", WORKDAY(Main[[#This Row],[Tech Start Date]],6),IF(Main[[#This Row],[Class]]="A",WORKDAY(Main[[#This Row],[Tech Start Date]],2),""))))</f>
        <v/>
      </c>
      <c r="N1167" s="104" t="str">
        <f>IF(Main[[#This Row],[Tech Start Date]]&lt;1/1/1990,"",IF(Main[[#This Row],[Class]]="C",WORKDAY(Main[[#This Row],[Tech Start Date]],19),IF(Main[[#This Row],[Class]]="B", WORKDAY(Main[[#This Row],[Tech Start Date]],12),IF(Main[[#This Row],[Class]]="A",WORKDAY(Main[[#This Row],[Tech Start Date]],4),""))))</f>
        <v/>
      </c>
      <c r="O1167" s="104" t="str">
        <f>IF(Main[[#This Row],[Tech Start Date]]&lt;1/1/1990,"",IF(Main[[#This Row],[Class]]="C",WORKDAY(Main[[#This Row],[Tech Start Date]],23),IF(Main[[#This Row],[Class]]="B", WORKDAY(Main[[#This Row],[Tech Start Date]],15),IF(Main[[#This Row],[Class]]="A",WORKDAY(Main[[#This Row],[Tech Start Date]],5),""))))</f>
        <v/>
      </c>
      <c r="P1167" s="104" t="str">
        <f>IF(Main[[#This Row],[Tech Start Date]]&lt;1/1/1990,"",IF(Main[[#This Row],[Class]]="C",WORKDAY(Main[[#This Row],[Tech Start Date]],28),IF(Main[[#This Row],[Class]]="B", WORKDAY(Main[[#This Row],[Tech Start Date]],19),IF(Main[[#This Row],[Class]]="A",WORKDAY(Main[[#This Row],[Tech Start Date]],9),""))))</f>
        <v/>
      </c>
      <c r="Q1167" s="101"/>
      <c r="R1167" s="101"/>
      <c r="S1167" s="99" t="s">
        <v>11</v>
      </c>
      <c r="T1167" s="107" t="s">
        <v>3075</v>
      </c>
      <c r="U1167" s="99" t="s">
        <v>704</v>
      </c>
      <c r="V1167" s="99" t="s">
        <v>1965</v>
      </c>
      <c r="W1167" s="99" t="s">
        <v>1970</v>
      </c>
    </row>
    <row r="1168" spans="1:23" ht="18.600000000000001" customHeight="1">
      <c r="A1168" s="123" t="str">
        <f>IF(priority(Main[[#This Row],[Comments]])&lt;&gt;0, priority(Main[[#This Row],[Comments]]),"")</f>
        <v/>
      </c>
      <c r="B1168" s="127" t="s">
        <v>3013</v>
      </c>
      <c r="C1168" s="99" t="s">
        <v>4</v>
      </c>
      <c r="D1168" s="100" t="s">
        <v>3014</v>
      </c>
      <c r="E1168" s="101">
        <v>40877.71733796296</v>
      </c>
      <c r="F1168" s="101"/>
      <c r="G1168" s="102" t="str">
        <f>IF(stdProdLT(Main[[#This Row],[Comments]])=0.1,"N/A",IF(stdProdLT(Main[[#This Row],[Comments]])=0,"",stdProdLT(Main[[#This Row],[Comments]])))</f>
        <v/>
      </c>
      <c r="H1168" s="103" t="str">
        <f>IF(AND(Main[[#This Row],[In Stock Date]]&lt;&gt;"",Main[[#This Row],[Revised Due Date]]&lt;&gt;""),Main[[#This Row],[In Stock Date]]-Main[[#This Row],[Revised Due Date]],"")</f>
        <v/>
      </c>
      <c r="I1168" s="99" t="s">
        <v>4</v>
      </c>
      <c r="J1168" s="99" t="s">
        <v>4</v>
      </c>
      <c r="K1168" s="99" t="s">
        <v>4</v>
      </c>
      <c r="L1168" s="101"/>
      <c r="M1168" s="104" t="str">
        <f>IF(Main[[#This Row],[Tech Start Date]]&lt;1/1/1990,"",IF(Main[[#This Row],[Class]]="C",WORKDAY(Main[[#This Row],[Tech Start Date]],9),IF(Main[[#This Row],[Class]]="B", WORKDAY(Main[[#This Row],[Tech Start Date]],6),IF(Main[[#This Row],[Class]]="A",WORKDAY(Main[[#This Row],[Tech Start Date]],2),""))))</f>
        <v/>
      </c>
      <c r="N1168" s="104" t="str">
        <f>IF(Main[[#This Row],[Tech Start Date]]&lt;1/1/1990,"",IF(Main[[#This Row],[Class]]="C",WORKDAY(Main[[#This Row],[Tech Start Date]],19),IF(Main[[#This Row],[Class]]="B", WORKDAY(Main[[#This Row],[Tech Start Date]],12),IF(Main[[#This Row],[Class]]="A",WORKDAY(Main[[#This Row],[Tech Start Date]],4),""))))</f>
        <v/>
      </c>
      <c r="O1168" s="104" t="str">
        <f>IF(Main[[#This Row],[Tech Start Date]]&lt;1/1/1990,"",IF(Main[[#This Row],[Class]]="C",WORKDAY(Main[[#This Row],[Tech Start Date]],23),IF(Main[[#This Row],[Class]]="B", WORKDAY(Main[[#This Row],[Tech Start Date]],15),IF(Main[[#This Row],[Class]]="A",WORKDAY(Main[[#This Row],[Tech Start Date]],5),""))))</f>
        <v/>
      </c>
      <c r="P1168" s="104" t="str">
        <f>IF(Main[[#This Row],[Tech Start Date]]&lt;1/1/1990,"",IF(Main[[#This Row],[Class]]="C",WORKDAY(Main[[#This Row],[Tech Start Date]],28),IF(Main[[#This Row],[Class]]="B", WORKDAY(Main[[#This Row],[Tech Start Date]],19),IF(Main[[#This Row],[Class]]="A",WORKDAY(Main[[#This Row],[Tech Start Date]],9),""))))</f>
        <v/>
      </c>
      <c r="Q1168" s="101">
        <v>40907</v>
      </c>
      <c r="R1168" s="101"/>
      <c r="S1168" s="99" t="s">
        <v>6</v>
      </c>
      <c r="T1168" s="107" t="s">
        <v>4</v>
      </c>
      <c r="U1168" s="99" t="s">
        <v>7</v>
      </c>
      <c r="V1168" s="99" t="s">
        <v>1962</v>
      </c>
      <c r="W1168" s="99" t="s">
        <v>4</v>
      </c>
    </row>
    <row r="1169" spans="1:23" ht="18.600000000000001" customHeight="1">
      <c r="A1169" s="123" t="str">
        <f>IF(priority(Main[[#This Row],[Comments]])&lt;&gt;0, priority(Main[[#This Row],[Comments]]),"")</f>
        <v/>
      </c>
      <c r="B1169" s="127" t="s">
        <v>2779</v>
      </c>
      <c r="C1169" s="99" t="s">
        <v>4</v>
      </c>
      <c r="D1169" s="100" t="s">
        <v>2780</v>
      </c>
      <c r="E1169" s="101">
        <v>40835.766481481478</v>
      </c>
      <c r="F1169" s="101"/>
      <c r="G1169" s="102" t="str">
        <f>IF(stdProdLT(Main[[#This Row],[Comments]])=0.1,"N/A",IF(stdProdLT(Main[[#This Row],[Comments]])=0,"",stdProdLT(Main[[#This Row],[Comments]])))</f>
        <v/>
      </c>
      <c r="H1169" s="103" t="str">
        <f>IF(AND(Main[[#This Row],[In Stock Date]]&lt;&gt;"",Main[[#This Row],[Revised Due Date]]&lt;&gt;""),Main[[#This Row],[In Stock Date]]-Main[[#This Row],[Revised Due Date]],"")</f>
        <v/>
      </c>
      <c r="I1169" s="99" t="s">
        <v>4</v>
      </c>
      <c r="J1169" s="99" t="s">
        <v>4</v>
      </c>
      <c r="K1169" s="99" t="s">
        <v>4</v>
      </c>
      <c r="L1169" s="101"/>
      <c r="M1169" s="104" t="str">
        <f>IF(Main[[#This Row],[Tech Start Date]]&lt;1/1/1990,"",IF(Main[[#This Row],[Class]]="C",WORKDAY(Main[[#This Row],[Tech Start Date]],9),IF(Main[[#This Row],[Class]]="B", WORKDAY(Main[[#This Row],[Tech Start Date]],6),IF(Main[[#This Row],[Class]]="A",WORKDAY(Main[[#This Row],[Tech Start Date]],2),""))))</f>
        <v/>
      </c>
      <c r="N1169" s="104" t="str">
        <f>IF(Main[[#This Row],[Tech Start Date]]&lt;1/1/1990,"",IF(Main[[#This Row],[Class]]="C",WORKDAY(Main[[#This Row],[Tech Start Date]],19),IF(Main[[#This Row],[Class]]="B", WORKDAY(Main[[#This Row],[Tech Start Date]],12),IF(Main[[#This Row],[Class]]="A",WORKDAY(Main[[#This Row],[Tech Start Date]],4),""))))</f>
        <v/>
      </c>
      <c r="O1169" s="104" t="str">
        <f>IF(Main[[#This Row],[Tech Start Date]]&lt;1/1/1990,"",IF(Main[[#This Row],[Class]]="C",WORKDAY(Main[[#This Row],[Tech Start Date]],23),IF(Main[[#This Row],[Class]]="B", WORKDAY(Main[[#This Row],[Tech Start Date]],15),IF(Main[[#This Row],[Class]]="A",WORKDAY(Main[[#This Row],[Tech Start Date]],5),""))))</f>
        <v/>
      </c>
      <c r="P1169" s="104" t="str">
        <f>IF(Main[[#This Row],[Tech Start Date]]&lt;1/1/1990,"",IF(Main[[#This Row],[Class]]="C",WORKDAY(Main[[#This Row],[Tech Start Date]],28),IF(Main[[#This Row],[Class]]="B", WORKDAY(Main[[#This Row],[Tech Start Date]],19),IF(Main[[#This Row],[Class]]="A",WORKDAY(Main[[#This Row],[Tech Start Date]],9),""))))</f>
        <v/>
      </c>
      <c r="Q1169" s="101">
        <v>40858</v>
      </c>
      <c r="R1169" s="101"/>
      <c r="S1169" s="99" t="s">
        <v>6</v>
      </c>
      <c r="T1169" s="107" t="s">
        <v>4</v>
      </c>
      <c r="U1169" s="99" t="s">
        <v>7</v>
      </c>
      <c r="V1169" s="99" t="s">
        <v>1965</v>
      </c>
      <c r="W1169" s="99" t="s">
        <v>4</v>
      </c>
    </row>
    <row r="1170" spans="1:23" ht="18.600000000000001" customHeight="1">
      <c r="A1170" s="123" t="str">
        <f>IF(priority(Main[[#This Row],[Comments]])&lt;&gt;0, priority(Main[[#This Row],[Comments]]),"")</f>
        <v/>
      </c>
      <c r="B1170" s="127" t="s">
        <v>3038</v>
      </c>
      <c r="C1170" s="99" t="s">
        <v>47</v>
      </c>
      <c r="D1170" s="100" t="s">
        <v>3039</v>
      </c>
      <c r="E1170" s="101"/>
      <c r="F1170" s="101"/>
      <c r="G1170" s="102" t="str">
        <f>IF(stdProdLT(Main[[#This Row],[Comments]])=0.1,"N/A",IF(stdProdLT(Main[[#This Row],[Comments]])=0,"",stdProdLT(Main[[#This Row],[Comments]])))</f>
        <v/>
      </c>
      <c r="H1170" s="103" t="str">
        <f>IF(AND(Main[[#This Row],[In Stock Date]]&lt;&gt;"",Main[[#This Row],[Revised Due Date]]&lt;&gt;""),Main[[#This Row],[In Stock Date]]-Main[[#This Row],[Revised Due Date]],"")</f>
        <v/>
      </c>
      <c r="I1170" s="99" t="s">
        <v>4</v>
      </c>
      <c r="J1170" s="99" t="s">
        <v>4</v>
      </c>
      <c r="K1170" s="99" t="s">
        <v>4</v>
      </c>
      <c r="L1170" s="101"/>
      <c r="M1170" s="104" t="str">
        <f>IF(Main[[#This Row],[Tech Start Date]]&lt;1/1/1990,"",IF(Main[[#This Row],[Class]]="C",WORKDAY(Main[[#This Row],[Tech Start Date]],9),IF(Main[[#This Row],[Class]]="B", WORKDAY(Main[[#This Row],[Tech Start Date]],6),IF(Main[[#This Row],[Class]]="A",WORKDAY(Main[[#This Row],[Tech Start Date]],2),""))))</f>
        <v/>
      </c>
      <c r="N1170" s="104" t="str">
        <f>IF(Main[[#This Row],[Tech Start Date]]&lt;1/1/1990,"",IF(Main[[#This Row],[Class]]="C",WORKDAY(Main[[#This Row],[Tech Start Date]],19),IF(Main[[#This Row],[Class]]="B", WORKDAY(Main[[#This Row],[Tech Start Date]],12),IF(Main[[#This Row],[Class]]="A",WORKDAY(Main[[#This Row],[Tech Start Date]],4),""))))</f>
        <v/>
      </c>
      <c r="O1170" s="104" t="str">
        <f>IF(Main[[#This Row],[Tech Start Date]]&lt;1/1/1990,"",IF(Main[[#This Row],[Class]]="C",WORKDAY(Main[[#This Row],[Tech Start Date]],23),IF(Main[[#This Row],[Class]]="B", WORKDAY(Main[[#This Row],[Tech Start Date]],15),IF(Main[[#This Row],[Class]]="A",WORKDAY(Main[[#This Row],[Tech Start Date]],5),""))))</f>
        <v/>
      </c>
      <c r="P1170" s="104" t="str">
        <f>IF(Main[[#This Row],[Tech Start Date]]&lt;1/1/1990,"",IF(Main[[#This Row],[Class]]="C",WORKDAY(Main[[#This Row],[Tech Start Date]],28),IF(Main[[#This Row],[Class]]="B", WORKDAY(Main[[#This Row],[Tech Start Date]],19),IF(Main[[#This Row],[Class]]="A",WORKDAY(Main[[#This Row],[Tech Start Date]],9),""))))</f>
        <v/>
      </c>
      <c r="Q1170" s="101">
        <v>40913</v>
      </c>
      <c r="R1170" s="101"/>
      <c r="S1170" s="99" t="s">
        <v>6</v>
      </c>
      <c r="T1170" s="107" t="s">
        <v>4</v>
      </c>
      <c r="U1170" s="99" t="s">
        <v>12</v>
      </c>
      <c r="V1170" s="99" t="s">
        <v>2362</v>
      </c>
      <c r="W1170" s="99" t="s">
        <v>4</v>
      </c>
    </row>
    <row r="1171" spans="1:23" ht="18.600000000000001" customHeight="1">
      <c r="A1171" s="123" t="str">
        <f>IF(priority(Main[[#This Row],[Comments]])&lt;&gt;0, priority(Main[[#This Row],[Comments]]),"")</f>
        <v/>
      </c>
      <c r="B1171" s="127" t="s">
        <v>2471</v>
      </c>
      <c r="C1171" s="99" t="s">
        <v>4</v>
      </c>
      <c r="D1171" s="100" t="s">
        <v>2472</v>
      </c>
      <c r="E1171" s="101">
        <v>40856.690810185188</v>
      </c>
      <c r="F1171" s="101"/>
      <c r="G1171" s="102" t="str">
        <f>IF(stdProdLT(Main[[#This Row],[Comments]])=0.1,"N/A",IF(stdProdLT(Main[[#This Row],[Comments]])=0,"",stdProdLT(Main[[#This Row],[Comments]])))</f>
        <v/>
      </c>
      <c r="H1171" s="103" t="str">
        <f>IF(AND(Main[[#This Row],[In Stock Date]]&lt;&gt;"",Main[[#This Row],[Revised Due Date]]&lt;&gt;""),Main[[#This Row],[In Stock Date]]-Main[[#This Row],[Revised Due Date]],"")</f>
        <v/>
      </c>
      <c r="I1171" s="99" t="s">
        <v>4</v>
      </c>
      <c r="J1171" s="99" t="s">
        <v>4</v>
      </c>
      <c r="K1171" s="99" t="s">
        <v>4</v>
      </c>
      <c r="L1171" s="101"/>
      <c r="M1171" s="104" t="str">
        <f>IF(Main[[#This Row],[Tech Start Date]]&lt;1/1/1990,"",IF(Main[[#This Row],[Class]]="C",WORKDAY(Main[[#This Row],[Tech Start Date]],9),IF(Main[[#This Row],[Class]]="B", WORKDAY(Main[[#This Row],[Tech Start Date]],6),IF(Main[[#This Row],[Class]]="A",WORKDAY(Main[[#This Row],[Tech Start Date]],2),""))))</f>
        <v/>
      </c>
      <c r="N1171" s="104" t="str">
        <f>IF(Main[[#This Row],[Tech Start Date]]&lt;1/1/1990,"",IF(Main[[#This Row],[Class]]="C",WORKDAY(Main[[#This Row],[Tech Start Date]],19),IF(Main[[#This Row],[Class]]="B", WORKDAY(Main[[#This Row],[Tech Start Date]],12),IF(Main[[#This Row],[Class]]="A",WORKDAY(Main[[#This Row],[Tech Start Date]],4),""))))</f>
        <v/>
      </c>
      <c r="O1171" s="104" t="str">
        <f>IF(Main[[#This Row],[Tech Start Date]]&lt;1/1/1990,"",IF(Main[[#This Row],[Class]]="C",WORKDAY(Main[[#This Row],[Tech Start Date]],23),IF(Main[[#This Row],[Class]]="B", WORKDAY(Main[[#This Row],[Tech Start Date]],15),IF(Main[[#This Row],[Class]]="A",WORKDAY(Main[[#This Row],[Tech Start Date]],5),""))))</f>
        <v/>
      </c>
      <c r="P1171" s="104" t="str">
        <f>IF(Main[[#This Row],[Tech Start Date]]&lt;1/1/1990,"",IF(Main[[#This Row],[Class]]="C",WORKDAY(Main[[#This Row],[Tech Start Date]],28),IF(Main[[#This Row],[Class]]="B", WORKDAY(Main[[#This Row],[Tech Start Date]],19),IF(Main[[#This Row],[Class]]="A",WORKDAY(Main[[#This Row],[Tech Start Date]],9),""))))</f>
        <v/>
      </c>
      <c r="Q1171" s="101"/>
      <c r="R1171" s="101"/>
      <c r="S1171" s="99" t="s">
        <v>6</v>
      </c>
      <c r="T1171" s="107" t="s">
        <v>4</v>
      </c>
      <c r="U1171" s="99" t="s">
        <v>7</v>
      </c>
      <c r="V1171" s="99" t="s">
        <v>1962</v>
      </c>
      <c r="W1171" s="99" t="s">
        <v>1966</v>
      </c>
    </row>
    <row r="1172" spans="1:23" ht="18.600000000000001" customHeight="1">
      <c r="A1172" s="123" t="str">
        <f>IF(priority(Main[[#This Row],[Comments]])&lt;&gt;0, priority(Main[[#This Row],[Comments]]),"")</f>
        <v/>
      </c>
      <c r="B1172" s="127" t="s">
        <v>3155</v>
      </c>
      <c r="C1172" s="99" t="s">
        <v>3156</v>
      </c>
      <c r="D1172" s="100" t="s">
        <v>3157</v>
      </c>
      <c r="E1172" s="101">
        <v>40882.549398148149</v>
      </c>
      <c r="F1172" s="101"/>
      <c r="G1172" s="102" t="str">
        <f>IF(stdProdLT(Main[[#This Row],[Comments]])=0.1,"N/A",IF(stdProdLT(Main[[#This Row],[Comments]])=0,"",stdProdLT(Main[[#This Row],[Comments]])))</f>
        <v/>
      </c>
      <c r="H1172" s="103" t="str">
        <f>IF(AND(Main[[#This Row],[In Stock Date]]&lt;&gt;"",Main[[#This Row],[Revised Due Date]]&lt;&gt;""),Main[[#This Row],[In Stock Date]]-Main[[#This Row],[Revised Due Date]],"")</f>
        <v/>
      </c>
      <c r="I1172" s="99" t="s">
        <v>4</v>
      </c>
      <c r="J1172" s="99" t="s">
        <v>4</v>
      </c>
      <c r="K1172" s="99" t="s">
        <v>4</v>
      </c>
      <c r="L1172" s="101"/>
      <c r="M1172" s="104" t="str">
        <f>IF(Main[[#This Row],[Tech Start Date]]&lt;1/1/1990,"",IF(Main[[#This Row],[Class]]="C",WORKDAY(Main[[#This Row],[Tech Start Date]],9),IF(Main[[#This Row],[Class]]="B", WORKDAY(Main[[#This Row],[Tech Start Date]],6),IF(Main[[#This Row],[Class]]="A",WORKDAY(Main[[#This Row],[Tech Start Date]],2),""))))</f>
        <v/>
      </c>
      <c r="N1172" s="104" t="str">
        <f>IF(Main[[#This Row],[Tech Start Date]]&lt;1/1/1990,"",IF(Main[[#This Row],[Class]]="C",WORKDAY(Main[[#This Row],[Tech Start Date]],19),IF(Main[[#This Row],[Class]]="B", WORKDAY(Main[[#This Row],[Tech Start Date]],12),IF(Main[[#This Row],[Class]]="A",WORKDAY(Main[[#This Row],[Tech Start Date]],4),""))))</f>
        <v/>
      </c>
      <c r="O1172" s="104" t="str">
        <f>IF(Main[[#This Row],[Tech Start Date]]&lt;1/1/1990,"",IF(Main[[#This Row],[Class]]="C",WORKDAY(Main[[#This Row],[Tech Start Date]],23),IF(Main[[#This Row],[Class]]="B", WORKDAY(Main[[#This Row],[Tech Start Date]],15),IF(Main[[#This Row],[Class]]="A",WORKDAY(Main[[#This Row],[Tech Start Date]],5),""))))</f>
        <v/>
      </c>
      <c r="P1172" s="104" t="str">
        <f>IF(Main[[#This Row],[Tech Start Date]]&lt;1/1/1990,"",IF(Main[[#This Row],[Class]]="C",WORKDAY(Main[[#This Row],[Tech Start Date]],28),IF(Main[[#This Row],[Class]]="B", WORKDAY(Main[[#This Row],[Tech Start Date]],19),IF(Main[[#This Row],[Class]]="A",WORKDAY(Main[[#This Row],[Tech Start Date]],9),""))))</f>
        <v/>
      </c>
      <c r="Q1172" s="101"/>
      <c r="R1172" s="101"/>
      <c r="S1172" s="99" t="s">
        <v>11</v>
      </c>
      <c r="T1172" s="107" t="s">
        <v>3158</v>
      </c>
      <c r="U1172" s="99" t="s">
        <v>704</v>
      </c>
      <c r="V1172" s="99" t="s">
        <v>1972</v>
      </c>
      <c r="W1172" s="99" t="s">
        <v>1970</v>
      </c>
    </row>
    <row r="1173" spans="1:23" ht="18.600000000000001" customHeight="1">
      <c r="A1173" s="123" t="str">
        <f>IF(priority(Main[[#This Row],[Comments]])&lt;&gt;0, priority(Main[[#This Row],[Comments]]),"")</f>
        <v/>
      </c>
      <c r="B1173" s="127" t="s">
        <v>1621</v>
      </c>
      <c r="C1173" s="99" t="s">
        <v>4</v>
      </c>
      <c r="D1173" s="100" t="s">
        <v>3100</v>
      </c>
      <c r="E1173" s="101">
        <v>40455.90111111111</v>
      </c>
      <c r="F1173" s="101"/>
      <c r="G1173" s="102" t="str">
        <f>IF(stdProdLT(Main[[#This Row],[Comments]])=0.1,"N/A",IF(stdProdLT(Main[[#This Row],[Comments]])=0,"",stdProdLT(Main[[#This Row],[Comments]])))</f>
        <v/>
      </c>
      <c r="H1173" s="103" t="str">
        <f>IF(AND(Main[[#This Row],[In Stock Date]]&lt;&gt;"",Main[[#This Row],[Revised Due Date]]&lt;&gt;""),Main[[#This Row],[In Stock Date]]-Main[[#This Row],[Revised Due Date]],"")</f>
        <v/>
      </c>
      <c r="I1173" s="99" t="s">
        <v>4</v>
      </c>
      <c r="J1173" s="99" t="s">
        <v>28</v>
      </c>
      <c r="K1173" s="99" t="s">
        <v>1974</v>
      </c>
      <c r="L1173" s="101"/>
      <c r="M1173" s="104" t="str">
        <f>IF(Main[[#This Row],[Tech Start Date]]&lt;1/1/1990,"",IF(Main[[#This Row],[Class]]="C",WORKDAY(Main[[#This Row],[Tech Start Date]],9),IF(Main[[#This Row],[Class]]="B", WORKDAY(Main[[#This Row],[Tech Start Date]],6),IF(Main[[#This Row],[Class]]="A",WORKDAY(Main[[#This Row],[Tech Start Date]],2),""))))</f>
        <v/>
      </c>
      <c r="N1173" s="104" t="str">
        <f>IF(Main[[#This Row],[Tech Start Date]]&lt;1/1/1990,"",IF(Main[[#This Row],[Class]]="C",WORKDAY(Main[[#This Row],[Tech Start Date]],19),IF(Main[[#This Row],[Class]]="B", WORKDAY(Main[[#This Row],[Tech Start Date]],12),IF(Main[[#This Row],[Class]]="A",WORKDAY(Main[[#This Row],[Tech Start Date]],4),""))))</f>
        <v/>
      </c>
      <c r="O1173" s="104" t="str">
        <f>IF(Main[[#This Row],[Tech Start Date]]&lt;1/1/1990,"",IF(Main[[#This Row],[Class]]="C",WORKDAY(Main[[#This Row],[Tech Start Date]],23),IF(Main[[#This Row],[Class]]="B", WORKDAY(Main[[#This Row],[Tech Start Date]],15),IF(Main[[#This Row],[Class]]="A",WORKDAY(Main[[#This Row],[Tech Start Date]],5),""))))</f>
        <v/>
      </c>
      <c r="P1173" s="104" t="str">
        <f>IF(Main[[#This Row],[Tech Start Date]]&lt;1/1/1990,"",IF(Main[[#This Row],[Class]]="C",WORKDAY(Main[[#This Row],[Tech Start Date]],28),IF(Main[[#This Row],[Class]]="B", WORKDAY(Main[[#This Row],[Tech Start Date]],19),IF(Main[[#This Row],[Class]]="A",WORKDAY(Main[[#This Row],[Tech Start Date]],9),""))))</f>
        <v/>
      </c>
      <c r="Q1173" s="101">
        <v>41060</v>
      </c>
      <c r="R1173" s="101"/>
      <c r="S1173" s="99" t="s">
        <v>17</v>
      </c>
      <c r="T1173" s="107" t="s">
        <v>4</v>
      </c>
      <c r="U1173" s="99" t="s">
        <v>7</v>
      </c>
      <c r="V1173" s="99" t="s">
        <v>1962</v>
      </c>
      <c r="W1173" s="99" t="s">
        <v>1964</v>
      </c>
    </row>
    <row r="1174" spans="1:23" ht="18.600000000000001" customHeight="1">
      <c r="A1174" s="123" t="str">
        <f>IF(priority(Main[[#This Row],[Comments]])&lt;&gt;0, priority(Main[[#This Row],[Comments]]),"")</f>
        <v/>
      </c>
      <c r="B1174" s="127" t="s">
        <v>2802</v>
      </c>
      <c r="C1174" s="99" t="s">
        <v>4</v>
      </c>
      <c r="D1174" s="100" t="s">
        <v>2803</v>
      </c>
      <c r="E1174" s="101">
        <v>40876.146770833337</v>
      </c>
      <c r="F1174" s="101"/>
      <c r="G1174" s="102" t="str">
        <f>IF(stdProdLT(Main[[#This Row],[Comments]])=0.1,"N/A",IF(stdProdLT(Main[[#This Row],[Comments]])=0,"",stdProdLT(Main[[#This Row],[Comments]])))</f>
        <v/>
      </c>
      <c r="H1174" s="103" t="str">
        <f>IF(AND(Main[[#This Row],[In Stock Date]]&lt;&gt;"",Main[[#This Row],[Revised Due Date]]&lt;&gt;""),Main[[#This Row],[In Stock Date]]-Main[[#This Row],[Revised Due Date]],"")</f>
        <v/>
      </c>
      <c r="I1174" s="99" t="s">
        <v>4</v>
      </c>
      <c r="J1174" s="99" t="s">
        <v>4</v>
      </c>
      <c r="K1174" s="99" t="s">
        <v>4</v>
      </c>
      <c r="L1174" s="101"/>
      <c r="M1174" s="104" t="str">
        <f>IF(Main[[#This Row],[Tech Start Date]]&lt;1/1/1990,"",IF(Main[[#This Row],[Class]]="C",WORKDAY(Main[[#This Row],[Tech Start Date]],9),IF(Main[[#This Row],[Class]]="B", WORKDAY(Main[[#This Row],[Tech Start Date]],6),IF(Main[[#This Row],[Class]]="A",WORKDAY(Main[[#This Row],[Tech Start Date]],2),""))))</f>
        <v/>
      </c>
      <c r="N1174" s="104" t="str">
        <f>IF(Main[[#This Row],[Tech Start Date]]&lt;1/1/1990,"",IF(Main[[#This Row],[Class]]="C",WORKDAY(Main[[#This Row],[Tech Start Date]],19),IF(Main[[#This Row],[Class]]="B", WORKDAY(Main[[#This Row],[Tech Start Date]],12),IF(Main[[#This Row],[Class]]="A",WORKDAY(Main[[#This Row],[Tech Start Date]],4),""))))</f>
        <v/>
      </c>
      <c r="O1174" s="104" t="str">
        <f>IF(Main[[#This Row],[Tech Start Date]]&lt;1/1/1990,"",IF(Main[[#This Row],[Class]]="C",WORKDAY(Main[[#This Row],[Tech Start Date]],23),IF(Main[[#This Row],[Class]]="B", WORKDAY(Main[[#This Row],[Tech Start Date]],15),IF(Main[[#This Row],[Class]]="A",WORKDAY(Main[[#This Row],[Tech Start Date]],5),""))))</f>
        <v/>
      </c>
      <c r="P1174" s="104" t="str">
        <f>IF(Main[[#This Row],[Tech Start Date]]&lt;1/1/1990,"",IF(Main[[#This Row],[Class]]="C",WORKDAY(Main[[#This Row],[Tech Start Date]],28),IF(Main[[#This Row],[Class]]="B", WORKDAY(Main[[#This Row],[Tech Start Date]],19),IF(Main[[#This Row],[Class]]="A",WORKDAY(Main[[#This Row],[Tech Start Date]],9),""))))</f>
        <v/>
      </c>
      <c r="Q1174" s="101">
        <v>40882</v>
      </c>
      <c r="R1174" s="101"/>
      <c r="S1174" s="99" t="s">
        <v>6</v>
      </c>
      <c r="T1174" s="107" t="s">
        <v>4</v>
      </c>
      <c r="U1174" s="99" t="s">
        <v>7</v>
      </c>
      <c r="V1174" s="99" t="s">
        <v>1962</v>
      </c>
      <c r="W1174" s="99" t="s">
        <v>4</v>
      </c>
    </row>
    <row r="1175" spans="1:23" ht="18.600000000000001" customHeight="1">
      <c r="A1175" s="123" t="str">
        <f>IF(priority(Main[[#This Row],[Comments]])&lt;&gt;0, priority(Main[[#This Row],[Comments]]),"")</f>
        <v/>
      </c>
      <c r="B1175" s="127" t="s">
        <v>1676</v>
      </c>
      <c r="C1175" s="99" t="s">
        <v>4</v>
      </c>
      <c r="D1175" s="100" t="s">
        <v>2804</v>
      </c>
      <c r="E1175" s="101"/>
      <c r="F1175" s="101"/>
      <c r="G1175" s="102" t="str">
        <f>IF(stdProdLT(Main[[#This Row],[Comments]])=0.1,"N/A",IF(stdProdLT(Main[[#This Row],[Comments]])=0,"",stdProdLT(Main[[#This Row],[Comments]])))</f>
        <v/>
      </c>
      <c r="H1175" s="103" t="str">
        <f>IF(AND(Main[[#This Row],[In Stock Date]]&lt;&gt;"",Main[[#This Row],[Revised Due Date]]&lt;&gt;""),Main[[#This Row],[In Stock Date]]-Main[[#This Row],[Revised Due Date]],"")</f>
        <v/>
      </c>
      <c r="I1175" s="99" t="s">
        <v>4</v>
      </c>
      <c r="J1175" s="99" t="s">
        <v>28</v>
      </c>
      <c r="K1175" s="99" t="s">
        <v>1969</v>
      </c>
      <c r="L1175" s="101"/>
      <c r="M1175" s="104" t="str">
        <f>IF(Main[[#This Row],[Tech Start Date]]&lt;1/1/1990,"",IF(Main[[#This Row],[Class]]="C",WORKDAY(Main[[#This Row],[Tech Start Date]],9),IF(Main[[#This Row],[Class]]="B", WORKDAY(Main[[#This Row],[Tech Start Date]],6),IF(Main[[#This Row],[Class]]="A",WORKDAY(Main[[#This Row],[Tech Start Date]],2),""))))</f>
        <v/>
      </c>
      <c r="N1175" s="104" t="str">
        <f>IF(Main[[#This Row],[Tech Start Date]]&lt;1/1/1990,"",IF(Main[[#This Row],[Class]]="C",WORKDAY(Main[[#This Row],[Tech Start Date]],19),IF(Main[[#This Row],[Class]]="B", WORKDAY(Main[[#This Row],[Tech Start Date]],12),IF(Main[[#This Row],[Class]]="A",WORKDAY(Main[[#This Row],[Tech Start Date]],4),""))))</f>
        <v/>
      </c>
      <c r="O1175" s="104" t="str">
        <f>IF(Main[[#This Row],[Tech Start Date]]&lt;1/1/1990,"",IF(Main[[#This Row],[Class]]="C",WORKDAY(Main[[#This Row],[Tech Start Date]],23),IF(Main[[#This Row],[Class]]="B", WORKDAY(Main[[#This Row],[Tech Start Date]],15),IF(Main[[#This Row],[Class]]="A",WORKDAY(Main[[#This Row],[Tech Start Date]],5),""))))</f>
        <v/>
      </c>
      <c r="P1175" s="104" t="str">
        <f>IF(Main[[#This Row],[Tech Start Date]]&lt;1/1/1990,"",IF(Main[[#This Row],[Class]]="C",WORKDAY(Main[[#This Row],[Tech Start Date]],28),IF(Main[[#This Row],[Class]]="B", WORKDAY(Main[[#This Row],[Tech Start Date]],19),IF(Main[[#This Row],[Class]]="A",WORKDAY(Main[[#This Row],[Tech Start Date]],9),""))))</f>
        <v/>
      </c>
      <c r="Q1175" s="101">
        <v>40611</v>
      </c>
      <c r="R1175" s="101"/>
      <c r="S1175" s="99" t="s">
        <v>6</v>
      </c>
      <c r="T1175" s="107" t="s">
        <v>4</v>
      </c>
      <c r="U1175" s="99" t="s">
        <v>14</v>
      </c>
      <c r="V1175" s="99" t="s">
        <v>1962</v>
      </c>
      <c r="W1175" s="99" t="s">
        <v>1966</v>
      </c>
    </row>
    <row r="1176" spans="1:23" ht="18.600000000000001" customHeight="1">
      <c r="A1176" s="123" t="str">
        <f>IF(priority(Main[[#This Row],[Comments]])&lt;&gt;0, priority(Main[[#This Row],[Comments]]),"")</f>
        <v/>
      </c>
      <c r="B1176" s="127" t="s">
        <v>2813</v>
      </c>
      <c r="C1176" s="99" t="s">
        <v>47</v>
      </c>
      <c r="D1176" s="100" t="s">
        <v>2814</v>
      </c>
      <c r="E1176" s="101">
        <v>40858.400219907409</v>
      </c>
      <c r="F1176" s="101"/>
      <c r="G1176" s="102" t="str">
        <f>IF(stdProdLT(Main[[#This Row],[Comments]])=0.1,"N/A",IF(stdProdLT(Main[[#This Row],[Comments]])=0,"",stdProdLT(Main[[#This Row],[Comments]])))</f>
        <v/>
      </c>
      <c r="H1176" s="103" t="str">
        <f>IF(AND(Main[[#This Row],[In Stock Date]]&lt;&gt;"",Main[[#This Row],[Revised Due Date]]&lt;&gt;""),Main[[#This Row],[In Stock Date]]-Main[[#This Row],[Revised Due Date]],"")</f>
        <v/>
      </c>
      <c r="I1176" s="99" t="s">
        <v>536</v>
      </c>
      <c r="J1176" s="99" t="s">
        <v>21</v>
      </c>
      <c r="K1176" s="99" t="s">
        <v>1971</v>
      </c>
      <c r="L1176" s="101"/>
      <c r="M1176" s="104" t="str">
        <f>IF(Main[[#This Row],[Tech Start Date]]&lt;1/1/1990,"",IF(Main[[#This Row],[Class]]="C",WORKDAY(Main[[#This Row],[Tech Start Date]],9),IF(Main[[#This Row],[Class]]="B", WORKDAY(Main[[#This Row],[Tech Start Date]],6),IF(Main[[#This Row],[Class]]="A",WORKDAY(Main[[#This Row],[Tech Start Date]],2),""))))</f>
        <v/>
      </c>
      <c r="N1176" s="104" t="str">
        <f>IF(Main[[#This Row],[Tech Start Date]]&lt;1/1/1990,"",IF(Main[[#This Row],[Class]]="C",WORKDAY(Main[[#This Row],[Tech Start Date]],19),IF(Main[[#This Row],[Class]]="B", WORKDAY(Main[[#This Row],[Tech Start Date]],12),IF(Main[[#This Row],[Class]]="A",WORKDAY(Main[[#This Row],[Tech Start Date]],4),""))))</f>
        <v/>
      </c>
      <c r="O1176" s="104" t="str">
        <f>IF(Main[[#This Row],[Tech Start Date]]&lt;1/1/1990,"",IF(Main[[#This Row],[Class]]="C",WORKDAY(Main[[#This Row],[Tech Start Date]],23),IF(Main[[#This Row],[Class]]="B", WORKDAY(Main[[#This Row],[Tech Start Date]],15),IF(Main[[#This Row],[Class]]="A",WORKDAY(Main[[#This Row],[Tech Start Date]],5),""))))</f>
        <v/>
      </c>
      <c r="P1176" s="104" t="str">
        <f>IF(Main[[#This Row],[Tech Start Date]]&lt;1/1/1990,"",IF(Main[[#This Row],[Class]]="C",WORKDAY(Main[[#This Row],[Tech Start Date]],28),IF(Main[[#This Row],[Class]]="B", WORKDAY(Main[[#This Row],[Tech Start Date]],19),IF(Main[[#This Row],[Class]]="A",WORKDAY(Main[[#This Row],[Tech Start Date]],9),""))))</f>
        <v/>
      </c>
      <c r="Q1176" s="101">
        <v>40907</v>
      </c>
      <c r="R1176" s="101"/>
      <c r="S1176" s="99" t="s">
        <v>6</v>
      </c>
      <c r="T1176" s="107" t="s">
        <v>4</v>
      </c>
      <c r="U1176" s="99" t="s">
        <v>29</v>
      </c>
      <c r="V1176" s="99" t="s">
        <v>1972</v>
      </c>
      <c r="W1176" s="99" t="s">
        <v>1966</v>
      </c>
    </row>
    <row r="1177" spans="1:23" ht="18.600000000000001" customHeight="1">
      <c r="A1177" s="123" t="str">
        <f>IF(priority(Main[[#This Row],[Comments]])&lt;&gt;0, priority(Main[[#This Row],[Comments]]),"")</f>
        <v/>
      </c>
      <c r="B1177" s="127" t="s">
        <v>1866</v>
      </c>
      <c r="C1177" s="99" t="s">
        <v>47</v>
      </c>
      <c r="D1177" s="100" t="s">
        <v>891</v>
      </c>
      <c r="E1177" s="101"/>
      <c r="F1177" s="101"/>
      <c r="G1177" s="102" t="str">
        <f>IF(stdProdLT(Main[[#This Row],[Comments]])=0.1,"N/A",IF(stdProdLT(Main[[#This Row],[Comments]])=0,"",stdProdLT(Main[[#This Row],[Comments]])))</f>
        <v/>
      </c>
      <c r="H1177" s="103" t="str">
        <f>IF(AND(Main[[#This Row],[In Stock Date]]&lt;&gt;"",Main[[#This Row],[Revised Due Date]]&lt;&gt;""),Main[[#This Row],[In Stock Date]]-Main[[#This Row],[Revised Due Date]],"")</f>
        <v/>
      </c>
      <c r="I1177" s="99" t="s">
        <v>4</v>
      </c>
      <c r="J1177" s="99" t="s">
        <v>4</v>
      </c>
      <c r="K1177" s="99" t="s">
        <v>1974</v>
      </c>
      <c r="L1177" s="101"/>
      <c r="M1177" s="104" t="str">
        <f>IF(Main[[#This Row],[Tech Start Date]]&lt;1/1/1990,"",IF(Main[[#This Row],[Class]]="C",WORKDAY(Main[[#This Row],[Tech Start Date]],9),IF(Main[[#This Row],[Class]]="B", WORKDAY(Main[[#This Row],[Tech Start Date]],6),IF(Main[[#This Row],[Class]]="A",WORKDAY(Main[[#This Row],[Tech Start Date]],2),""))))</f>
        <v/>
      </c>
      <c r="N1177" s="104" t="str">
        <f>IF(Main[[#This Row],[Tech Start Date]]&lt;1/1/1990,"",IF(Main[[#This Row],[Class]]="C",WORKDAY(Main[[#This Row],[Tech Start Date]],19),IF(Main[[#This Row],[Class]]="B", WORKDAY(Main[[#This Row],[Tech Start Date]],12),IF(Main[[#This Row],[Class]]="A",WORKDAY(Main[[#This Row],[Tech Start Date]],4),""))))</f>
        <v/>
      </c>
      <c r="O1177" s="104" t="str">
        <f>IF(Main[[#This Row],[Tech Start Date]]&lt;1/1/1990,"",IF(Main[[#This Row],[Class]]="C",WORKDAY(Main[[#This Row],[Tech Start Date]],23),IF(Main[[#This Row],[Class]]="B", WORKDAY(Main[[#This Row],[Tech Start Date]],15),IF(Main[[#This Row],[Class]]="A",WORKDAY(Main[[#This Row],[Tech Start Date]],5),""))))</f>
        <v/>
      </c>
      <c r="P1177" s="104" t="str">
        <f>IF(Main[[#This Row],[Tech Start Date]]&lt;1/1/1990,"",IF(Main[[#This Row],[Class]]="C",WORKDAY(Main[[#This Row],[Tech Start Date]],28),IF(Main[[#This Row],[Class]]="B", WORKDAY(Main[[#This Row],[Tech Start Date]],19),IF(Main[[#This Row],[Class]]="A",WORKDAY(Main[[#This Row],[Tech Start Date]],9),""))))</f>
        <v/>
      </c>
      <c r="Q1177" s="101"/>
      <c r="R1177" s="101">
        <v>40359</v>
      </c>
      <c r="S1177" s="99" t="s">
        <v>17</v>
      </c>
      <c r="T1177" s="107" t="s">
        <v>4</v>
      </c>
      <c r="U1177" s="99" t="s">
        <v>14</v>
      </c>
      <c r="V1177" s="99" t="s">
        <v>1962</v>
      </c>
      <c r="W1177" s="99" t="s">
        <v>1967</v>
      </c>
    </row>
    <row r="1178" spans="1:23" ht="18.600000000000001" customHeight="1">
      <c r="A1178" s="123" t="str">
        <f>IF(priority(Main[[#This Row],[Comments]])&lt;&gt;0, priority(Main[[#This Row],[Comments]]),"")</f>
        <v/>
      </c>
      <c r="B1178" s="127" t="s">
        <v>1673</v>
      </c>
      <c r="C1178" s="99" t="s">
        <v>4</v>
      </c>
      <c r="D1178" s="100" t="s">
        <v>717</v>
      </c>
      <c r="E1178" s="101"/>
      <c r="F1178" s="101"/>
      <c r="G1178" s="102" t="str">
        <f>IF(stdProdLT(Main[[#This Row],[Comments]])=0.1,"N/A",IF(stdProdLT(Main[[#This Row],[Comments]])=0,"",stdProdLT(Main[[#This Row],[Comments]])))</f>
        <v/>
      </c>
      <c r="H1178" s="103" t="str">
        <f>IF(AND(Main[[#This Row],[In Stock Date]]&lt;&gt;"",Main[[#This Row],[Revised Due Date]]&lt;&gt;""),Main[[#This Row],[In Stock Date]]-Main[[#This Row],[Revised Due Date]],"")</f>
        <v/>
      </c>
      <c r="I1178" s="99" t="s">
        <v>4</v>
      </c>
      <c r="J1178" s="99" t="s">
        <v>28</v>
      </c>
      <c r="K1178" s="99" t="s">
        <v>1971</v>
      </c>
      <c r="L1178" s="101"/>
      <c r="M1178" s="104" t="str">
        <f>IF(Main[[#This Row],[Tech Start Date]]&lt;1/1/1990,"",IF(Main[[#This Row],[Class]]="C",WORKDAY(Main[[#This Row],[Tech Start Date]],9),IF(Main[[#This Row],[Class]]="B", WORKDAY(Main[[#This Row],[Tech Start Date]],6),IF(Main[[#This Row],[Class]]="A",WORKDAY(Main[[#This Row],[Tech Start Date]],2),""))))</f>
        <v/>
      </c>
      <c r="N1178" s="104" t="str">
        <f>IF(Main[[#This Row],[Tech Start Date]]&lt;1/1/1990,"",IF(Main[[#This Row],[Class]]="C",WORKDAY(Main[[#This Row],[Tech Start Date]],19),IF(Main[[#This Row],[Class]]="B", WORKDAY(Main[[#This Row],[Tech Start Date]],12),IF(Main[[#This Row],[Class]]="A",WORKDAY(Main[[#This Row],[Tech Start Date]],4),""))))</f>
        <v/>
      </c>
      <c r="O1178" s="104" t="str">
        <f>IF(Main[[#This Row],[Tech Start Date]]&lt;1/1/1990,"",IF(Main[[#This Row],[Class]]="C",WORKDAY(Main[[#This Row],[Tech Start Date]],23),IF(Main[[#This Row],[Class]]="B", WORKDAY(Main[[#This Row],[Tech Start Date]],15),IF(Main[[#This Row],[Class]]="A",WORKDAY(Main[[#This Row],[Tech Start Date]],5),""))))</f>
        <v/>
      </c>
      <c r="P1178" s="104" t="str">
        <f>IF(Main[[#This Row],[Tech Start Date]]&lt;1/1/1990,"",IF(Main[[#This Row],[Class]]="C",WORKDAY(Main[[#This Row],[Tech Start Date]],28),IF(Main[[#This Row],[Class]]="B", WORKDAY(Main[[#This Row],[Tech Start Date]],19),IF(Main[[#This Row],[Class]]="A",WORKDAY(Main[[#This Row],[Tech Start Date]],9),""))))</f>
        <v/>
      </c>
      <c r="Q1178" s="101"/>
      <c r="R1178" s="101"/>
      <c r="S1178" s="99" t="s">
        <v>6</v>
      </c>
      <c r="T1178" s="107" t="s">
        <v>4</v>
      </c>
      <c r="U1178" s="99" t="s">
        <v>14</v>
      </c>
      <c r="V1178" s="99" t="s">
        <v>1962</v>
      </c>
      <c r="W1178" s="99" t="s">
        <v>1966</v>
      </c>
    </row>
    <row r="1179" spans="1:23" ht="18.600000000000001" customHeight="1">
      <c r="A1179" s="123" t="str">
        <f>IF(priority(Main[[#This Row],[Comments]])&lt;&gt;0, priority(Main[[#This Row],[Comments]]),"")</f>
        <v/>
      </c>
      <c r="B1179" s="127" t="s">
        <v>2749</v>
      </c>
      <c r="C1179" s="99" t="s">
        <v>4</v>
      </c>
      <c r="D1179" s="100" t="s">
        <v>3076</v>
      </c>
      <c r="E1179" s="101">
        <v>40875.348738425928</v>
      </c>
      <c r="F1179" s="101"/>
      <c r="G1179" s="102" t="str">
        <f>IF(stdProdLT(Main[[#This Row],[Comments]])=0.1,"N/A",IF(stdProdLT(Main[[#This Row],[Comments]])=0,"",stdProdLT(Main[[#This Row],[Comments]])))</f>
        <v/>
      </c>
      <c r="H1179" s="103" t="str">
        <f>IF(AND(Main[[#This Row],[In Stock Date]]&lt;&gt;"",Main[[#This Row],[Revised Due Date]]&lt;&gt;""),Main[[#This Row],[In Stock Date]]-Main[[#This Row],[Revised Due Date]],"")</f>
        <v/>
      </c>
      <c r="I1179" s="99" t="s">
        <v>4</v>
      </c>
      <c r="J1179" s="99" t="s">
        <v>4</v>
      </c>
      <c r="K1179" s="99" t="s">
        <v>4</v>
      </c>
      <c r="L1179" s="101"/>
      <c r="M1179" s="104" t="str">
        <f>IF(Main[[#This Row],[Tech Start Date]]&lt;1/1/1990,"",IF(Main[[#This Row],[Class]]="C",WORKDAY(Main[[#This Row],[Tech Start Date]],9),IF(Main[[#This Row],[Class]]="B", WORKDAY(Main[[#This Row],[Tech Start Date]],6),IF(Main[[#This Row],[Class]]="A",WORKDAY(Main[[#This Row],[Tech Start Date]],2),""))))</f>
        <v/>
      </c>
      <c r="N1179" s="104" t="str">
        <f>IF(Main[[#This Row],[Tech Start Date]]&lt;1/1/1990,"",IF(Main[[#This Row],[Class]]="C",WORKDAY(Main[[#This Row],[Tech Start Date]],19),IF(Main[[#This Row],[Class]]="B", WORKDAY(Main[[#This Row],[Tech Start Date]],12),IF(Main[[#This Row],[Class]]="A",WORKDAY(Main[[#This Row],[Tech Start Date]],4),""))))</f>
        <v/>
      </c>
      <c r="O1179" s="104" t="str">
        <f>IF(Main[[#This Row],[Tech Start Date]]&lt;1/1/1990,"",IF(Main[[#This Row],[Class]]="C",WORKDAY(Main[[#This Row],[Tech Start Date]],23),IF(Main[[#This Row],[Class]]="B", WORKDAY(Main[[#This Row],[Tech Start Date]],15),IF(Main[[#This Row],[Class]]="A",WORKDAY(Main[[#This Row],[Tech Start Date]],5),""))))</f>
        <v/>
      </c>
      <c r="P1179" s="104" t="str">
        <f>IF(Main[[#This Row],[Tech Start Date]]&lt;1/1/1990,"",IF(Main[[#This Row],[Class]]="C",WORKDAY(Main[[#This Row],[Tech Start Date]],28),IF(Main[[#This Row],[Class]]="B", WORKDAY(Main[[#This Row],[Tech Start Date]],19),IF(Main[[#This Row],[Class]]="A",WORKDAY(Main[[#This Row],[Tech Start Date]],9),""))))</f>
        <v/>
      </c>
      <c r="Q1179" s="101"/>
      <c r="R1179" s="101"/>
      <c r="S1179" s="99" t="s">
        <v>11</v>
      </c>
      <c r="T1179" s="107" t="s">
        <v>2750</v>
      </c>
      <c r="U1179" s="99" t="s">
        <v>704</v>
      </c>
      <c r="V1179" s="99" t="s">
        <v>1965</v>
      </c>
      <c r="W1179" s="99" t="s">
        <v>1970</v>
      </c>
    </row>
    <row r="1180" spans="1:23" ht="18.600000000000001" customHeight="1">
      <c r="A1180" s="123" t="str">
        <f>IF(priority(Main[[#This Row],[Comments]])&lt;&gt;0, priority(Main[[#This Row],[Comments]]),"")</f>
        <v/>
      </c>
      <c r="B1180" s="127" t="s">
        <v>3101</v>
      </c>
      <c r="C1180" s="99" t="s">
        <v>72</v>
      </c>
      <c r="D1180" s="100" t="s">
        <v>3102</v>
      </c>
      <c r="E1180" s="101">
        <v>40881.918298611112</v>
      </c>
      <c r="F1180" s="101"/>
      <c r="G1180" s="102" t="str">
        <f>IF(stdProdLT(Main[[#This Row],[Comments]])=0.1,"N/A",IF(stdProdLT(Main[[#This Row],[Comments]])=0,"",stdProdLT(Main[[#This Row],[Comments]])))</f>
        <v/>
      </c>
      <c r="H1180" s="103" t="str">
        <f>IF(AND(Main[[#This Row],[In Stock Date]]&lt;&gt;"",Main[[#This Row],[Revised Due Date]]&lt;&gt;""),Main[[#This Row],[In Stock Date]]-Main[[#This Row],[Revised Due Date]],"")</f>
        <v/>
      </c>
      <c r="I1180" s="99" t="s">
        <v>4</v>
      </c>
      <c r="J1180" s="99" t="s">
        <v>4</v>
      </c>
      <c r="K1180" s="99" t="s">
        <v>4</v>
      </c>
      <c r="L1180" s="101"/>
      <c r="M1180" s="104" t="str">
        <f>IF(Main[[#This Row],[Tech Start Date]]&lt;1/1/1990,"",IF(Main[[#This Row],[Class]]="C",WORKDAY(Main[[#This Row],[Tech Start Date]],9),IF(Main[[#This Row],[Class]]="B", WORKDAY(Main[[#This Row],[Tech Start Date]],6),IF(Main[[#This Row],[Class]]="A",WORKDAY(Main[[#This Row],[Tech Start Date]],2),""))))</f>
        <v/>
      </c>
      <c r="N1180" s="104" t="str">
        <f>IF(Main[[#This Row],[Tech Start Date]]&lt;1/1/1990,"",IF(Main[[#This Row],[Class]]="C",WORKDAY(Main[[#This Row],[Tech Start Date]],19),IF(Main[[#This Row],[Class]]="B", WORKDAY(Main[[#This Row],[Tech Start Date]],12),IF(Main[[#This Row],[Class]]="A",WORKDAY(Main[[#This Row],[Tech Start Date]],4),""))))</f>
        <v/>
      </c>
      <c r="O1180" s="104" t="str">
        <f>IF(Main[[#This Row],[Tech Start Date]]&lt;1/1/1990,"",IF(Main[[#This Row],[Class]]="C",WORKDAY(Main[[#This Row],[Tech Start Date]],23),IF(Main[[#This Row],[Class]]="B", WORKDAY(Main[[#This Row],[Tech Start Date]],15),IF(Main[[#This Row],[Class]]="A",WORKDAY(Main[[#This Row],[Tech Start Date]],5),""))))</f>
        <v/>
      </c>
      <c r="P1180" s="104" t="str">
        <f>IF(Main[[#This Row],[Tech Start Date]]&lt;1/1/1990,"",IF(Main[[#This Row],[Class]]="C",WORKDAY(Main[[#This Row],[Tech Start Date]],28),IF(Main[[#This Row],[Class]]="B", WORKDAY(Main[[#This Row],[Tech Start Date]],19),IF(Main[[#This Row],[Class]]="A",WORKDAY(Main[[#This Row],[Tech Start Date]],9),""))))</f>
        <v/>
      </c>
      <c r="Q1180" s="101">
        <v>40886</v>
      </c>
      <c r="R1180" s="101"/>
      <c r="S1180" s="99" t="s">
        <v>301</v>
      </c>
      <c r="T1180" s="107" t="s">
        <v>4</v>
      </c>
      <c r="U1180" s="99" t="s">
        <v>7</v>
      </c>
      <c r="V1180" s="99" t="s">
        <v>1972</v>
      </c>
      <c r="W1180" s="99" t="s">
        <v>1970</v>
      </c>
    </row>
    <row r="1181" spans="1:23" ht="18.600000000000001" customHeight="1">
      <c r="A1181" s="123" t="str">
        <f>IF(priority(Main[[#This Row],[Comments]])&lt;&gt;0, priority(Main[[#This Row],[Comments]]),"")</f>
        <v/>
      </c>
      <c r="B1181" s="127" t="s">
        <v>2820</v>
      </c>
      <c r="C1181" s="99" t="s">
        <v>4</v>
      </c>
      <c r="D1181" s="100" t="s">
        <v>2821</v>
      </c>
      <c r="E1181" s="101">
        <v>40870.473611111112</v>
      </c>
      <c r="F1181" s="101"/>
      <c r="G1181" s="102" t="str">
        <f>IF(stdProdLT(Main[[#This Row],[Comments]])=0.1,"N/A",IF(stdProdLT(Main[[#This Row],[Comments]])=0,"",stdProdLT(Main[[#This Row],[Comments]])))</f>
        <v/>
      </c>
      <c r="H1181" s="103" t="str">
        <f>IF(AND(Main[[#This Row],[In Stock Date]]&lt;&gt;"",Main[[#This Row],[Revised Due Date]]&lt;&gt;""),Main[[#This Row],[In Stock Date]]-Main[[#This Row],[Revised Due Date]],"")</f>
        <v/>
      </c>
      <c r="I1181" s="99" t="s">
        <v>2110</v>
      </c>
      <c r="J1181" s="99" t="s">
        <v>28</v>
      </c>
      <c r="K1181" s="99" t="s">
        <v>1971</v>
      </c>
      <c r="L1181" s="101"/>
      <c r="M1181" s="104" t="str">
        <f>IF(Main[[#This Row],[Tech Start Date]]&lt;1/1/1990,"",IF(Main[[#This Row],[Class]]="C",WORKDAY(Main[[#This Row],[Tech Start Date]],9),IF(Main[[#This Row],[Class]]="B", WORKDAY(Main[[#This Row],[Tech Start Date]],6),IF(Main[[#This Row],[Class]]="A",WORKDAY(Main[[#This Row],[Tech Start Date]],2),""))))</f>
        <v/>
      </c>
      <c r="N1181" s="104" t="str">
        <f>IF(Main[[#This Row],[Tech Start Date]]&lt;1/1/1990,"",IF(Main[[#This Row],[Class]]="C",WORKDAY(Main[[#This Row],[Tech Start Date]],19),IF(Main[[#This Row],[Class]]="B", WORKDAY(Main[[#This Row],[Tech Start Date]],12),IF(Main[[#This Row],[Class]]="A",WORKDAY(Main[[#This Row],[Tech Start Date]],4),""))))</f>
        <v/>
      </c>
      <c r="O1181" s="104" t="str">
        <f>IF(Main[[#This Row],[Tech Start Date]]&lt;1/1/1990,"",IF(Main[[#This Row],[Class]]="C",WORKDAY(Main[[#This Row],[Tech Start Date]],23),IF(Main[[#This Row],[Class]]="B", WORKDAY(Main[[#This Row],[Tech Start Date]],15),IF(Main[[#This Row],[Class]]="A",WORKDAY(Main[[#This Row],[Tech Start Date]],5),""))))</f>
        <v/>
      </c>
      <c r="P1181" s="104" t="str">
        <f>IF(Main[[#This Row],[Tech Start Date]]&lt;1/1/1990,"",IF(Main[[#This Row],[Class]]="C",WORKDAY(Main[[#This Row],[Tech Start Date]],28),IF(Main[[#This Row],[Class]]="B", WORKDAY(Main[[#This Row],[Tech Start Date]],19),IF(Main[[#This Row],[Class]]="A",WORKDAY(Main[[#This Row],[Tech Start Date]],9),""))))</f>
        <v/>
      </c>
      <c r="Q1181" s="101">
        <v>40905</v>
      </c>
      <c r="R1181" s="101"/>
      <c r="S1181" s="99" t="s">
        <v>6</v>
      </c>
      <c r="T1181" s="107" t="s">
        <v>4</v>
      </c>
      <c r="U1181" s="99" t="s">
        <v>29</v>
      </c>
      <c r="V1181" s="99" t="s">
        <v>1965</v>
      </c>
      <c r="W1181" s="99" t="s">
        <v>1966</v>
      </c>
    </row>
    <row r="1182" spans="1:23" ht="18.600000000000001" customHeight="1">
      <c r="A1182" s="123" t="str">
        <f>IF(priority(Main[[#This Row],[Comments]])&lt;&gt;0, priority(Main[[#This Row],[Comments]]),"")</f>
        <v/>
      </c>
      <c r="B1182" s="127" t="s">
        <v>1160</v>
      </c>
      <c r="C1182" s="99" t="s">
        <v>4</v>
      </c>
      <c r="D1182" s="100" t="s">
        <v>180</v>
      </c>
      <c r="E1182" s="101">
        <v>40430.633981481478</v>
      </c>
      <c r="F1182" s="101">
        <v>40522</v>
      </c>
      <c r="G1182" s="102" t="str">
        <f>IF(stdProdLT(Main[[#This Row],[Comments]])=0.1,"N/A",IF(stdProdLT(Main[[#This Row],[Comments]])=0,"",stdProdLT(Main[[#This Row],[Comments]])))</f>
        <v/>
      </c>
      <c r="H1182" s="103" t="str">
        <f>IF(AND(Main[[#This Row],[In Stock Date]]&lt;&gt;"",Main[[#This Row],[Revised Due Date]]&lt;&gt;""),Main[[#This Row],[In Stock Date]]-Main[[#This Row],[Revised Due Date]],"")</f>
        <v/>
      </c>
      <c r="I1182" s="99" t="s">
        <v>242</v>
      </c>
      <c r="J1182" s="99" t="s">
        <v>21</v>
      </c>
      <c r="K1182" s="99" t="s">
        <v>4</v>
      </c>
      <c r="L1182" s="101"/>
      <c r="M1182" s="104" t="str">
        <f>IF(Main[[#This Row],[Tech Start Date]]&lt;1/1/1990,"",IF(Main[[#This Row],[Class]]="C",WORKDAY(Main[[#This Row],[Tech Start Date]],9),IF(Main[[#This Row],[Class]]="B", WORKDAY(Main[[#This Row],[Tech Start Date]],6),IF(Main[[#This Row],[Class]]="A",WORKDAY(Main[[#This Row],[Tech Start Date]],2),""))))</f>
        <v/>
      </c>
      <c r="N1182" s="104" t="str">
        <f>IF(Main[[#This Row],[Tech Start Date]]&lt;1/1/1990,"",IF(Main[[#This Row],[Class]]="C",WORKDAY(Main[[#This Row],[Tech Start Date]],19),IF(Main[[#This Row],[Class]]="B", WORKDAY(Main[[#This Row],[Tech Start Date]],12),IF(Main[[#This Row],[Class]]="A",WORKDAY(Main[[#This Row],[Tech Start Date]],4),""))))</f>
        <v/>
      </c>
      <c r="O1182" s="104" t="str">
        <f>IF(Main[[#This Row],[Tech Start Date]]&lt;1/1/1990,"",IF(Main[[#This Row],[Class]]="C",WORKDAY(Main[[#This Row],[Tech Start Date]],23),IF(Main[[#This Row],[Class]]="B", WORKDAY(Main[[#This Row],[Tech Start Date]],15),IF(Main[[#This Row],[Class]]="A",WORKDAY(Main[[#This Row],[Tech Start Date]],5),""))))</f>
        <v/>
      </c>
      <c r="P1182" s="104" t="str">
        <f>IF(Main[[#This Row],[Tech Start Date]]&lt;1/1/1990,"",IF(Main[[#This Row],[Class]]="C",WORKDAY(Main[[#This Row],[Tech Start Date]],28),IF(Main[[#This Row],[Class]]="B", WORKDAY(Main[[#This Row],[Tech Start Date]],19),IF(Main[[#This Row],[Class]]="A",WORKDAY(Main[[#This Row],[Tech Start Date]],9),""))))</f>
        <v/>
      </c>
      <c r="Q1182" s="101">
        <v>40522</v>
      </c>
      <c r="R1182" s="101"/>
      <c r="S1182" s="99" t="s">
        <v>6</v>
      </c>
      <c r="T1182" s="107" t="s">
        <v>4</v>
      </c>
      <c r="U1182" s="99" t="s">
        <v>29</v>
      </c>
      <c r="V1182" s="99" t="s">
        <v>1965</v>
      </c>
      <c r="W1182" s="99" t="s">
        <v>1966</v>
      </c>
    </row>
    <row r="1183" spans="1:23" ht="18.600000000000001" customHeight="1">
      <c r="A1183" s="123" t="str">
        <f>IF(priority(Main[[#This Row],[Comments]])&lt;&gt;0, priority(Main[[#This Row],[Comments]]),"")</f>
        <v/>
      </c>
      <c r="B1183" s="127" t="s">
        <v>2836</v>
      </c>
      <c r="C1183" s="99" t="s">
        <v>4</v>
      </c>
      <c r="D1183" s="100" t="s">
        <v>2837</v>
      </c>
      <c r="E1183" s="101">
        <v>40861.654675925929</v>
      </c>
      <c r="F1183" s="101"/>
      <c r="G1183" s="102" t="str">
        <f>IF(stdProdLT(Main[[#This Row],[Comments]])=0.1,"N/A",IF(stdProdLT(Main[[#This Row],[Comments]])=0,"",stdProdLT(Main[[#This Row],[Comments]])))</f>
        <v/>
      </c>
      <c r="H1183" s="103" t="str">
        <f>IF(AND(Main[[#This Row],[In Stock Date]]&lt;&gt;"",Main[[#This Row],[Revised Due Date]]&lt;&gt;""),Main[[#This Row],[In Stock Date]]-Main[[#This Row],[Revised Due Date]],"")</f>
        <v/>
      </c>
      <c r="I1183" s="99" t="s">
        <v>2102</v>
      </c>
      <c r="J1183" s="99" t="s">
        <v>28</v>
      </c>
      <c r="K1183" s="99" t="s">
        <v>1971</v>
      </c>
      <c r="L1183" s="101"/>
      <c r="M1183" s="104" t="str">
        <f>IF(Main[[#This Row],[Tech Start Date]]&lt;1/1/1990,"",IF(Main[[#This Row],[Class]]="C",WORKDAY(Main[[#This Row],[Tech Start Date]],9),IF(Main[[#This Row],[Class]]="B", WORKDAY(Main[[#This Row],[Tech Start Date]],6),IF(Main[[#This Row],[Class]]="A",WORKDAY(Main[[#This Row],[Tech Start Date]],2),""))))</f>
        <v/>
      </c>
      <c r="N1183" s="104" t="str">
        <f>IF(Main[[#This Row],[Tech Start Date]]&lt;1/1/1990,"",IF(Main[[#This Row],[Class]]="C",WORKDAY(Main[[#This Row],[Tech Start Date]],19),IF(Main[[#This Row],[Class]]="B", WORKDAY(Main[[#This Row],[Tech Start Date]],12),IF(Main[[#This Row],[Class]]="A",WORKDAY(Main[[#This Row],[Tech Start Date]],4),""))))</f>
        <v/>
      </c>
      <c r="O1183" s="104" t="str">
        <f>IF(Main[[#This Row],[Tech Start Date]]&lt;1/1/1990,"",IF(Main[[#This Row],[Class]]="C",WORKDAY(Main[[#This Row],[Tech Start Date]],23),IF(Main[[#This Row],[Class]]="B", WORKDAY(Main[[#This Row],[Tech Start Date]],15),IF(Main[[#This Row],[Class]]="A",WORKDAY(Main[[#This Row],[Tech Start Date]],5),""))))</f>
        <v/>
      </c>
      <c r="P1183" s="104" t="str">
        <f>IF(Main[[#This Row],[Tech Start Date]]&lt;1/1/1990,"",IF(Main[[#This Row],[Class]]="C",WORKDAY(Main[[#This Row],[Tech Start Date]],28),IF(Main[[#This Row],[Class]]="B", WORKDAY(Main[[#This Row],[Tech Start Date]],19),IF(Main[[#This Row],[Class]]="A",WORKDAY(Main[[#This Row],[Tech Start Date]],9),""))))</f>
        <v/>
      </c>
      <c r="Q1183" s="101">
        <v>40897</v>
      </c>
      <c r="R1183" s="101"/>
      <c r="S1183" s="99" t="s">
        <v>6</v>
      </c>
      <c r="T1183" s="107" t="s">
        <v>4</v>
      </c>
      <c r="U1183" s="99" t="s">
        <v>29</v>
      </c>
      <c r="V1183" s="99" t="s">
        <v>1965</v>
      </c>
      <c r="W1183" s="99" t="s">
        <v>1966</v>
      </c>
    </row>
    <row r="1184" spans="1:23" ht="18.600000000000001" customHeight="1">
      <c r="A1184" s="123" t="str">
        <f>IF(priority(Main[[#This Row],[Comments]])&lt;&gt;0, priority(Main[[#This Row],[Comments]]),"")</f>
        <v/>
      </c>
      <c r="B1184" s="127" t="s">
        <v>2838</v>
      </c>
      <c r="C1184" s="99" t="s">
        <v>4</v>
      </c>
      <c r="D1184" s="100" t="s">
        <v>2839</v>
      </c>
      <c r="E1184" s="101">
        <v>40875.439270833333</v>
      </c>
      <c r="F1184" s="101"/>
      <c r="G1184" s="102" t="str">
        <f>IF(stdProdLT(Main[[#This Row],[Comments]])=0.1,"N/A",IF(stdProdLT(Main[[#This Row],[Comments]])=0,"",stdProdLT(Main[[#This Row],[Comments]])))</f>
        <v/>
      </c>
      <c r="H1184" s="103" t="str">
        <f>IF(AND(Main[[#This Row],[In Stock Date]]&lt;&gt;"",Main[[#This Row],[Revised Due Date]]&lt;&gt;""),Main[[#This Row],[In Stock Date]]-Main[[#This Row],[Revised Due Date]],"")</f>
        <v/>
      </c>
      <c r="I1184" s="99" t="s">
        <v>4</v>
      </c>
      <c r="J1184" s="99" t="s">
        <v>4</v>
      </c>
      <c r="K1184" s="99" t="s">
        <v>4</v>
      </c>
      <c r="L1184" s="101"/>
      <c r="M1184" s="104" t="str">
        <f>IF(Main[[#This Row],[Tech Start Date]]&lt;1/1/1990,"",IF(Main[[#This Row],[Class]]="C",WORKDAY(Main[[#This Row],[Tech Start Date]],9),IF(Main[[#This Row],[Class]]="B", WORKDAY(Main[[#This Row],[Tech Start Date]],6),IF(Main[[#This Row],[Class]]="A",WORKDAY(Main[[#This Row],[Tech Start Date]],2),""))))</f>
        <v/>
      </c>
      <c r="N1184" s="104" t="str">
        <f>IF(Main[[#This Row],[Tech Start Date]]&lt;1/1/1990,"",IF(Main[[#This Row],[Class]]="C",WORKDAY(Main[[#This Row],[Tech Start Date]],19),IF(Main[[#This Row],[Class]]="B", WORKDAY(Main[[#This Row],[Tech Start Date]],12),IF(Main[[#This Row],[Class]]="A",WORKDAY(Main[[#This Row],[Tech Start Date]],4),""))))</f>
        <v/>
      </c>
      <c r="O1184" s="104" t="str">
        <f>IF(Main[[#This Row],[Tech Start Date]]&lt;1/1/1990,"",IF(Main[[#This Row],[Class]]="C",WORKDAY(Main[[#This Row],[Tech Start Date]],23),IF(Main[[#This Row],[Class]]="B", WORKDAY(Main[[#This Row],[Tech Start Date]],15),IF(Main[[#This Row],[Class]]="A",WORKDAY(Main[[#This Row],[Tech Start Date]],5),""))))</f>
        <v/>
      </c>
      <c r="P1184" s="104" t="str">
        <f>IF(Main[[#This Row],[Tech Start Date]]&lt;1/1/1990,"",IF(Main[[#This Row],[Class]]="C",WORKDAY(Main[[#This Row],[Tech Start Date]],28),IF(Main[[#This Row],[Class]]="B", WORKDAY(Main[[#This Row],[Tech Start Date]],19),IF(Main[[#This Row],[Class]]="A",WORKDAY(Main[[#This Row],[Tech Start Date]],9),""))))</f>
        <v/>
      </c>
      <c r="Q1184" s="101">
        <v>40907</v>
      </c>
      <c r="R1184" s="101"/>
      <c r="S1184" s="99" t="s">
        <v>6</v>
      </c>
      <c r="T1184" s="107" t="s">
        <v>4</v>
      </c>
      <c r="U1184" s="99" t="s">
        <v>7</v>
      </c>
      <c r="V1184" s="99" t="s">
        <v>1965</v>
      </c>
      <c r="W1184" s="99" t="s">
        <v>4</v>
      </c>
    </row>
    <row r="1185" spans="1:23" ht="18.600000000000001" customHeight="1">
      <c r="A1185" s="123" t="str">
        <f>IF(priority(Main[[#This Row],[Comments]])&lt;&gt;0, priority(Main[[#This Row],[Comments]]),"")</f>
        <v/>
      </c>
      <c r="B1185" s="127" t="s">
        <v>2806</v>
      </c>
      <c r="C1185" s="99" t="s">
        <v>4</v>
      </c>
      <c r="D1185" s="100" t="s">
        <v>2807</v>
      </c>
      <c r="E1185" s="101">
        <v>40867.404594907406</v>
      </c>
      <c r="F1185" s="101"/>
      <c r="G1185" s="102">
        <f>IF(stdProdLT(Main[[#This Row],[Comments]])=0.1,"N/A",IF(stdProdLT(Main[[#This Row],[Comments]])=0,"",stdProdLT(Main[[#This Row],[Comments]])))</f>
        <v>98</v>
      </c>
      <c r="H1185" s="103" t="str">
        <f>IF(AND(Main[[#This Row],[In Stock Date]]&lt;&gt;"",Main[[#This Row],[Revised Due Date]]&lt;&gt;""),Main[[#This Row],[In Stock Date]]-Main[[#This Row],[Revised Due Date]],"")</f>
        <v/>
      </c>
      <c r="I1185" s="99" t="s">
        <v>4</v>
      </c>
      <c r="J1185" s="99" t="s">
        <v>4</v>
      </c>
      <c r="K1185" s="99" t="s">
        <v>4</v>
      </c>
      <c r="L1185" s="101"/>
      <c r="M1185" s="104" t="str">
        <f>IF(Main[[#This Row],[Tech Start Date]]&lt;1/1/1990,"",IF(Main[[#This Row],[Class]]="C",WORKDAY(Main[[#This Row],[Tech Start Date]],9),IF(Main[[#This Row],[Class]]="B", WORKDAY(Main[[#This Row],[Tech Start Date]],6),IF(Main[[#This Row],[Class]]="A",WORKDAY(Main[[#This Row],[Tech Start Date]],2),""))))</f>
        <v/>
      </c>
      <c r="N1185" s="104" t="str">
        <f>IF(Main[[#This Row],[Tech Start Date]]&lt;1/1/1990,"",IF(Main[[#This Row],[Class]]="C",WORKDAY(Main[[#This Row],[Tech Start Date]],19),IF(Main[[#This Row],[Class]]="B", WORKDAY(Main[[#This Row],[Tech Start Date]],12),IF(Main[[#This Row],[Class]]="A",WORKDAY(Main[[#This Row],[Tech Start Date]],4),""))))</f>
        <v/>
      </c>
      <c r="O1185" s="104" t="str">
        <f>IF(Main[[#This Row],[Tech Start Date]]&lt;1/1/1990,"",IF(Main[[#This Row],[Class]]="C",WORKDAY(Main[[#This Row],[Tech Start Date]],23),IF(Main[[#This Row],[Class]]="B", WORKDAY(Main[[#This Row],[Tech Start Date]],15),IF(Main[[#This Row],[Class]]="A",WORKDAY(Main[[#This Row],[Tech Start Date]],5),""))))</f>
        <v/>
      </c>
      <c r="P1185" s="104" t="str">
        <f>IF(Main[[#This Row],[Tech Start Date]]&lt;1/1/1990,"",IF(Main[[#This Row],[Class]]="C",WORKDAY(Main[[#This Row],[Tech Start Date]],28),IF(Main[[#This Row],[Class]]="B", WORKDAY(Main[[#This Row],[Tech Start Date]],19),IF(Main[[#This Row],[Class]]="A",WORKDAY(Main[[#This Row],[Tech Start Date]],9),""))))</f>
        <v/>
      </c>
      <c r="Q1185" s="101">
        <v>40877</v>
      </c>
      <c r="R1185" s="101"/>
      <c r="S1185" s="99" t="s">
        <v>11</v>
      </c>
      <c r="T1185" s="107" t="s">
        <v>2808</v>
      </c>
      <c r="U1185" s="99" t="s">
        <v>7</v>
      </c>
      <c r="V1185" s="99" t="s">
        <v>1962</v>
      </c>
      <c r="W1185" s="99" t="s">
        <v>1970</v>
      </c>
    </row>
    <row r="1186" spans="1:23" ht="18.600000000000001" customHeight="1">
      <c r="A1186" s="123" t="str">
        <f>IF(priority(Main[[#This Row],[Comments]])&lt;&gt;0, priority(Main[[#This Row],[Comments]]),"")</f>
        <v/>
      </c>
      <c r="B1186" s="127" t="s">
        <v>2809</v>
      </c>
      <c r="C1186" s="99" t="s">
        <v>4</v>
      </c>
      <c r="D1186" s="100" t="s">
        <v>2810</v>
      </c>
      <c r="E1186" s="101">
        <v>40867.38380787037</v>
      </c>
      <c r="F1186" s="101"/>
      <c r="G1186" s="102">
        <f>IF(stdProdLT(Main[[#This Row],[Comments]])=0.1,"N/A",IF(stdProdLT(Main[[#This Row],[Comments]])=0,"",stdProdLT(Main[[#This Row],[Comments]])))</f>
        <v>168</v>
      </c>
      <c r="H1186" s="103" t="str">
        <f>IF(AND(Main[[#This Row],[In Stock Date]]&lt;&gt;"",Main[[#This Row],[Revised Due Date]]&lt;&gt;""),Main[[#This Row],[In Stock Date]]-Main[[#This Row],[Revised Due Date]],"")</f>
        <v/>
      </c>
      <c r="I1186" s="99" t="s">
        <v>4</v>
      </c>
      <c r="J1186" s="99" t="s">
        <v>4</v>
      </c>
      <c r="K1186" s="99" t="s">
        <v>4</v>
      </c>
      <c r="L1186" s="101"/>
      <c r="M1186" s="104" t="str">
        <f>IF(Main[[#This Row],[Tech Start Date]]&lt;1/1/1990,"",IF(Main[[#This Row],[Class]]="C",WORKDAY(Main[[#This Row],[Tech Start Date]],9),IF(Main[[#This Row],[Class]]="B", WORKDAY(Main[[#This Row],[Tech Start Date]],6),IF(Main[[#This Row],[Class]]="A",WORKDAY(Main[[#This Row],[Tech Start Date]],2),""))))</f>
        <v/>
      </c>
      <c r="N1186" s="104" t="str">
        <f>IF(Main[[#This Row],[Tech Start Date]]&lt;1/1/1990,"",IF(Main[[#This Row],[Class]]="C",WORKDAY(Main[[#This Row],[Tech Start Date]],19),IF(Main[[#This Row],[Class]]="B", WORKDAY(Main[[#This Row],[Tech Start Date]],12),IF(Main[[#This Row],[Class]]="A",WORKDAY(Main[[#This Row],[Tech Start Date]],4),""))))</f>
        <v/>
      </c>
      <c r="O1186" s="104" t="str">
        <f>IF(Main[[#This Row],[Tech Start Date]]&lt;1/1/1990,"",IF(Main[[#This Row],[Class]]="C",WORKDAY(Main[[#This Row],[Tech Start Date]],23),IF(Main[[#This Row],[Class]]="B", WORKDAY(Main[[#This Row],[Tech Start Date]],15),IF(Main[[#This Row],[Class]]="A",WORKDAY(Main[[#This Row],[Tech Start Date]],5),""))))</f>
        <v/>
      </c>
      <c r="P1186" s="104" t="str">
        <f>IF(Main[[#This Row],[Tech Start Date]]&lt;1/1/1990,"",IF(Main[[#This Row],[Class]]="C",WORKDAY(Main[[#This Row],[Tech Start Date]],28),IF(Main[[#This Row],[Class]]="B", WORKDAY(Main[[#This Row],[Tech Start Date]],19),IF(Main[[#This Row],[Class]]="A",WORKDAY(Main[[#This Row],[Tech Start Date]],9),""))))</f>
        <v/>
      </c>
      <c r="Q1186" s="101">
        <v>40877</v>
      </c>
      <c r="R1186" s="101"/>
      <c r="S1186" s="99" t="s">
        <v>11</v>
      </c>
      <c r="T1186" s="107" t="s">
        <v>2811</v>
      </c>
      <c r="U1186" s="99" t="s">
        <v>704</v>
      </c>
      <c r="V1186" s="99" t="s">
        <v>1965</v>
      </c>
      <c r="W1186" s="99" t="s">
        <v>1970</v>
      </c>
    </row>
    <row r="1187" spans="1:23" ht="18.600000000000001" customHeight="1">
      <c r="A1187" s="123" t="str">
        <f>IF(priority(Main[[#This Row],[Comments]])&lt;&gt;0, priority(Main[[#This Row],[Comments]]),"")</f>
        <v/>
      </c>
      <c r="B1187" s="127" t="s">
        <v>3103</v>
      </c>
      <c r="C1187" s="99" t="s">
        <v>72</v>
      </c>
      <c r="D1187" s="100" t="s">
        <v>3104</v>
      </c>
      <c r="E1187" s="101">
        <v>40881.914895833332</v>
      </c>
      <c r="F1187" s="101"/>
      <c r="G1187" s="102" t="str">
        <f>IF(stdProdLT(Main[[#This Row],[Comments]])=0.1,"N/A",IF(stdProdLT(Main[[#This Row],[Comments]])=0,"",stdProdLT(Main[[#This Row],[Comments]])))</f>
        <v/>
      </c>
      <c r="H1187" s="103" t="str">
        <f>IF(AND(Main[[#This Row],[In Stock Date]]&lt;&gt;"",Main[[#This Row],[Revised Due Date]]&lt;&gt;""),Main[[#This Row],[In Stock Date]]-Main[[#This Row],[Revised Due Date]],"")</f>
        <v/>
      </c>
      <c r="I1187" s="99" t="s">
        <v>4</v>
      </c>
      <c r="J1187" s="99" t="s">
        <v>4</v>
      </c>
      <c r="K1187" s="108" t="s">
        <v>4</v>
      </c>
      <c r="L1187" s="101"/>
      <c r="M1187" s="104" t="str">
        <f>IF(Main[[#This Row],[Tech Start Date]]&lt;1/1/1990,"",IF(Main[[#This Row],[Class]]="C",WORKDAY(Main[[#This Row],[Tech Start Date]],9),IF(Main[[#This Row],[Class]]="B", WORKDAY(Main[[#This Row],[Tech Start Date]],6),IF(Main[[#This Row],[Class]]="A",WORKDAY(Main[[#This Row],[Tech Start Date]],2),""))))</f>
        <v/>
      </c>
      <c r="N1187" s="104" t="str">
        <f>IF(Main[[#This Row],[Tech Start Date]]&lt;1/1/1990,"",IF(Main[[#This Row],[Class]]="C",WORKDAY(Main[[#This Row],[Tech Start Date]],19),IF(Main[[#This Row],[Class]]="B", WORKDAY(Main[[#This Row],[Tech Start Date]],12),IF(Main[[#This Row],[Class]]="A",WORKDAY(Main[[#This Row],[Tech Start Date]],4),""))))</f>
        <v/>
      </c>
      <c r="O1187" s="104" t="str">
        <f>IF(Main[[#This Row],[Tech Start Date]]&lt;1/1/1990,"",IF(Main[[#This Row],[Class]]="C",WORKDAY(Main[[#This Row],[Tech Start Date]],23),IF(Main[[#This Row],[Class]]="B", WORKDAY(Main[[#This Row],[Tech Start Date]],15),IF(Main[[#This Row],[Class]]="A",WORKDAY(Main[[#This Row],[Tech Start Date]],5),""))))</f>
        <v/>
      </c>
      <c r="P1187" s="104" t="str">
        <f>IF(Main[[#This Row],[Tech Start Date]]&lt;1/1/1990,"",IF(Main[[#This Row],[Class]]="C",WORKDAY(Main[[#This Row],[Tech Start Date]],28),IF(Main[[#This Row],[Class]]="B", WORKDAY(Main[[#This Row],[Tech Start Date]],19),IF(Main[[#This Row],[Class]]="A",WORKDAY(Main[[#This Row],[Tech Start Date]],9),""))))</f>
        <v/>
      </c>
      <c r="Q1187" s="101">
        <v>40886</v>
      </c>
      <c r="R1187" s="101"/>
      <c r="S1187" s="99" t="s">
        <v>301</v>
      </c>
      <c r="T1187" s="107" t="s">
        <v>4</v>
      </c>
      <c r="U1187" s="99" t="s">
        <v>7</v>
      </c>
      <c r="V1187" s="99" t="s">
        <v>1972</v>
      </c>
      <c r="W1187" s="99" t="s">
        <v>1970</v>
      </c>
    </row>
    <row r="1188" spans="1:23" ht="18.600000000000001" customHeight="1">
      <c r="A1188" s="123" t="str">
        <f>IF(priority(Main[[#This Row],[Comments]])&lt;&gt;0, priority(Main[[#This Row],[Comments]]),"")</f>
        <v/>
      </c>
      <c r="B1188" s="127" t="s">
        <v>3105</v>
      </c>
      <c r="C1188" s="99" t="s">
        <v>72</v>
      </c>
      <c r="D1188" s="100" t="s">
        <v>3106</v>
      </c>
      <c r="E1188" s="101">
        <v>40881.911481481482</v>
      </c>
      <c r="F1188" s="101"/>
      <c r="G1188" s="102" t="str">
        <f>IF(stdProdLT(Main[[#This Row],[Comments]])=0.1,"N/A",IF(stdProdLT(Main[[#This Row],[Comments]])=0,"",stdProdLT(Main[[#This Row],[Comments]])))</f>
        <v/>
      </c>
      <c r="H1188" s="103" t="str">
        <f>IF(AND(Main[[#This Row],[In Stock Date]]&lt;&gt;"",Main[[#This Row],[Revised Due Date]]&lt;&gt;""),Main[[#This Row],[In Stock Date]]-Main[[#This Row],[Revised Due Date]],"")</f>
        <v/>
      </c>
      <c r="I1188" s="99" t="s">
        <v>4</v>
      </c>
      <c r="J1188" s="99" t="s">
        <v>4</v>
      </c>
      <c r="K1188" s="99" t="s">
        <v>4</v>
      </c>
      <c r="L1188" s="101"/>
      <c r="M1188" s="104" t="str">
        <f>IF(Main[[#This Row],[Tech Start Date]]&lt;1/1/1990,"",IF(Main[[#This Row],[Class]]="C",WORKDAY(Main[[#This Row],[Tech Start Date]],9),IF(Main[[#This Row],[Class]]="B", WORKDAY(Main[[#This Row],[Tech Start Date]],6),IF(Main[[#This Row],[Class]]="A",WORKDAY(Main[[#This Row],[Tech Start Date]],2),""))))</f>
        <v/>
      </c>
      <c r="N1188" s="104" t="str">
        <f>IF(Main[[#This Row],[Tech Start Date]]&lt;1/1/1990,"",IF(Main[[#This Row],[Class]]="C",WORKDAY(Main[[#This Row],[Tech Start Date]],19),IF(Main[[#This Row],[Class]]="B", WORKDAY(Main[[#This Row],[Tech Start Date]],12),IF(Main[[#This Row],[Class]]="A",WORKDAY(Main[[#This Row],[Tech Start Date]],4),""))))</f>
        <v/>
      </c>
      <c r="O1188" s="104" t="str">
        <f>IF(Main[[#This Row],[Tech Start Date]]&lt;1/1/1990,"",IF(Main[[#This Row],[Class]]="C",WORKDAY(Main[[#This Row],[Tech Start Date]],23),IF(Main[[#This Row],[Class]]="B", WORKDAY(Main[[#This Row],[Tech Start Date]],15),IF(Main[[#This Row],[Class]]="A",WORKDAY(Main[[#This Row],[Tech Start Date]],5),""))))</f>
        <v/>
      </c>
      <c r="P1188" s="104" t="str">
        <f>IF(Main[[#This Row],[Tech Start Date]]&lt;1/1/1990,"",IF(Main[[#This Row],[Class]]="C",WORKDAY(Main[[#This Row],[Tech Start Date]],28),IF(Main[[#This Row],[Class]]="B", WORKDAY(Main[[#This Row],[Tech Start Date]],19),IF(Main[[#This Row],[Class]]="A",WORKDAY(Main[[#This Row],[Tech Start Date]],9),""))))</f>
        <v/>
      </c>
      <c r="Q1188" s="101">
        <v>40886</v>
      </c>
      <c r="R1188" s="101"/>
      <c r="S1188" s="99" t="s">
        <v>301</v>
      </c>
      <c r="T1188" s="107" t="s">
        <v>4</v>
      </c>
      <c r="U1188" s="99" t="s">
        <v>7</v>
      </c>
      <c r="V1188" s="99" t="s">
        <v>1972</v>
      </c>
      <c r="W1188" s="99" t="s">
        <v>1970</v>
      </c>
    </row>
    <row r="1189" spans="1:23" ht="18.600000000000001" customHeight="1">
      <c r="A1189" s="123" t="str">
        <f>IF(priority(Main[[#This Row],[Comments]])&lt;&gt;0, priority(Main[[#This Row],[Comments]]),"")</f>
        <v/>
      </c>
      <c r="B1189" s="127" t="s">
        <v>3107</v>
      </c>
      <c r="C1189" s="99" t="s">
        <v>72</v>
      </c>
      <c r="D1189" s="100" t="s">
        <v>3108</v>
      </c>
      <c r="E1189" s="101">
        <v>40881.912974537037</v>
      </c>
      <c r="F1189" s="101"/>
      <c r="G1189" s="102" t="str">
        <f>IF(stdProdLT(Main[[#This Row],[Comments]])=0.1,"N/A",IF(stdProdLT(Main[[#This Row],[Comments]])=0,"",stdProdLT(Main[[#This Row],[Comments]])))</f>
        <v/>
      </c>
      <c r="H1189" s="103" t="str">
        <f>IF(AND(Main[[#This Row],[In Stock Date]]&lt;&gt;"",Main[[#This Row],[Revised Due Date]]&lt;&gt;""),Main[[#This Row],[In Stock Date]]-Main[[#This Row],[Revised Due Date]],"")</f>
        <v/>
      </c>
      <c r="I1189" s="99" t="s">
        <v>4</v>
      </c>
      <c r="J1189" s="99" t="s">
        <v>4</v>
      </c>
      <c r="K1189" s="108" t="s">
        <v>4</v>
      </c>
      <c r="L1189" s="101"/>
      <c r="M1189" s="104" t="str">
        <f>IF(Main[[#This Row],[Tech Start Date]]&lt;1/1/1990,"",IF(Main[[#This Row],[Class]]="C",WORKDAY(Main[[#This Row],[Tech Start Date]],9),IF(Main[[#This Row],[Class]]="B", WORKDAY(Main[[#This Row],[Tech Start Date]],6),IF(Main[[#This Row],[Class]]="A",WORKDAY(Main[[#This Row],[Tech Start Date]],2),""))))</f>
        <v/>
      </c>
      <c r="N1189" s="104" t="str">
        <f>IF(Main[[#This Row],[Tech Start Date]]&lt;1/1/1990,"",IF(Main[[#This Row],[Class]]="C",WORKDAY(Main[[#This Row],[Tech Start Date]],19),IF(Main[[#This Row],[Class]]="B", WORKDAY(Main[[#This Row],[Tech Start Date]],12),IF(Main[[#This Row],[Class]]="A",WORKDAY(Main[[#This Row],[Tech Start Date]],4),""))))</f>
        <v/>
      </c>
      <c r="O1189" s="104" t="str">
        <f>IF(Main[[#This Row],[Tech Start Date]]&lt;1/1/1990,"",IF(Main[[#This Row],[Class]]="C",WORKDAY(Main[[#This Row],[Tech Start Date]],23),IF(Main[[#This Row],[Class]]="B", WORKDAY(Main[[#This Row],[Tech Start Date]],15),IF(Main[[#This Row],[Class]]="A",WORKDAY(Main[[#This Row],[Tech Start Date]],5),""))))</f>
        <v/>
      </c>
      <c r="P1189" s="104" t="str">
        <f>IF(Main[[#This Row],[Tech Start Date]]&lt;1/1/1990,"",IF(Main[[#This Row],[Class]]="C",WORKDAY(Main[[#This Row],[Tech Start Date]],28),IF(Main[[#This Row],[Class]]="B", WORKDAY(Main[[#This Row],[Tech Start Date]],19),IF(Main[[#This Row],[Class]]="A",WORKDAY(Main[[#This Row],[Tech Start Date]],9),""))))</f>
        <v/>
      </c>
      <c r="Q1189" s="101">
        <v>40886</v>
      </c>
      <c r="R1189" s="101"/>
      <c r="S1189" s="99" t="s">
        <v>301</v>
      </c>
      <c r="T1189" s="107" t="s">
        <v>4</v>
      </c>
      <c r="U1189" s="99" t="s">
        <v>7</v>
      </c>
      <c r="V1189" s="99" t="s">
        <v>1972</v>
      </c>
      <c r="W1189" s="99" t="s">
        <v>1970</v>
      </c>
    </row>
    <row r="1190" spans="1:23" ht="18.600000000000001" customHeight="1">
      <c r="A1190" s="123" t="str">
        <f>IF(priority(Main[[#This Row],[Comments]])&lt;&gt;0, priority(Main[[#This Row],[Comments]]),"")</f>
        <v/>
      </c>
      <c r="B1190" s="127" t="s">
        <v>3109</v>
      </c>
      <c r="C1190" s="99" t="s">
        <v>72</v>
      </c>
      <c r="D1190" s="100" t="s">
        <v>3110</v>
      </c>
      <c r="E1190" s="101">
        <v>40881.905509259261</v>
      </c>
      <c r="F1190" s="101"/>
      <c r="G1190" s="102" t="str">
        <f>IF(stdProdLT(Main[[#This Row],[Comments]])=0.1,"N/A",IF(stdProdLT(Main[[#This Row],[Comments]])=0,"",stdProdLT(Main[[#This Row],[Comments]])))</f>
        <v/>
      </c>
      <c r="H1190" s="103" t="str">
        <f>IF(AND(Main[[#This Row],[In Stock Date]]&lt;&gt;"",Main[[#This Row],[Revised Due Date]]&lt;&gt;""),Main[[#This Row],[In Stock Date]]-Main[[#This Row],[Revised Due Date]],"")</f>
        <v/>
      </c>
      <c r="I1190" s="99" t="s">
        <v>4</v>
      </c>
      <c r="J1190" s="99" t="s">
        <v>4</v>
      </c>
      <c r="K1190" s="108" t="s">
        <v>4</v>
      </c>
      <c r="L1190" s="101"/>
      <c r="M1190" s="104" t="str">
        <f>IF(Main[[#This Row],[Tech Start Date]]&lt;1/1/1990,"",IF(Main[[#This Row],[Class]]="C",WORKDAY(Main[[#This Row],[Tech Start Date]],9),IF(Main[[#This Row],[Class]]="B", WORKDAY(Main[[#This Row],[Tech Start Date]],6),IF(Main[[#This Row],[Class]]="A",WORKDAY(Main[[#This Row],[Tech Start Date]],2),""))))</f>
        <v/>
      </c>
      <c r="N1190" s="104" t="str">
        <f>IF(Main[[#This Row],[Tech Start Date]]&lt;1/1/1990,"",IF(Main[[#This Row],[Class]]="C",WORKDAY(Main[[#This Row],[Tech Start Date]],19),IF(Main[[#This Row],[Class]]="B", WORKDAY(Main[[#This Row],[Tech Start Date]],12),IF(Main[[#This Row],[Class]]="A",WORKDAY(Main[[#This Row],[Tech Start Date]],4),""))))</f>
        <v/>
      </c>
      <c r="O1190" s="104" t="str">
        <f>IF(Main[[#This Row],[Tech Start Date]]&lt;1/1/1990,"",IF(Main[[#This Row],[Class]]="C",WORKDAY(Main[[#This Row],[Tech Start Date]],23),IF(Main[[#This Row],[Class]]="B", WORKDAY(Main[[#This Row],[Tech Start Date]],15),IF(Main[[#This Row],[Class]]="A",WORKDAY(Main[[#This Row],[Tech Start Date]],5),""))))</f>
        <v/>
      </c>
      <c r="P1190" s="104" t="str">
        <f>IF(Main[[#This Row],[Tech Start Date]]&lt;1/1/1990,"",IF(Main[[#This Row],[Class]]="C",WORKDAY(Main[[#This Row],[Tech Start Date]],28),IF(Main[[#This Row],[Class]]="B", WORKDAY(Main[[#This Row],[Tech Start Date]],19),IF(Main[[#This Row],[Class]]="A",WORKDAY(Main[[#This Row],[Tech Start Date]],9),""))))</f>
        <v/>
      </c>
      <c r="Q1190" s="101">
        <v>40886</v>
      </c>
      <c r="R1190" s="101"/>
      <c r="S1190" s="99" t="s">
        <v>301</v>
      </c>
      <c r="T1190" s="107" t="s">
        <v>4</v>
      </c>
      <c r="U1190" s="99" t="s">
        <v>7</v>
      </c>
      <c r="V1190" s="99" t="s">
        <v>1972</v>
      </c>
      <c r="W1190" s="99" t="s">
        <v>1970</v>
      </c>
    </row>
    <row r="1191" spans="1:23" ht="18.600000000000001" customHeight="1">
      <c r="A1191" s="123" t="str">
        <f>IF(priority(Main[[#This Row],[Comments]])&lt;&gt;0, priority(Main[[#This Row],[Comments]]),"")</f>
        <v/>
      </c>
      <c r="B1191" s="127" t="s">
        <v>2661</v>
      </c>
      <c r="C1191" s="99" t="s">
        <v>4</v>
      </c>
      <c r="D1191" s="100" t="s">
        <v>3166</v>
      </c>
      <c r="E1191" s="101">
        <v>40840.360682870371</v>
      </c>
      <c r="F1191" s="101"/>
      <c r="G1191" s="102" t="str">
        <f>IF(stdProdLT(Main[[#This Row],[Comments]])=0.1,"N/A",IF(stdProdLT(Main[[#This Row],[Comments]])=0,"",stdProdLT(Main[[#This Row],[Comments]])))</f>
        <v/>
      </c>
      <c r="H1191" s="103" t="str">
        <f>IF(AND(Main[[#This Row],[In Stock Date]]&lt;&gt;"",Main[[#This Row],[Revised Due Date]]&lt;&gt;""),Main[[#This Row],[In Stock Date]]-Main[[#This Row],[Revised Due Date]],"")</f>
        <v/>
      </c>
      <c r="I1191" s="99" t="s">
        <v>4</v>
      </c>
      <c r="J1191" s="99" t="s">
        <v>4</v>
      </c>
      <c r="K1191" s="99" t="s">
        <v>4</v>
      </c>
      <c r="L1191" s="101"/>
      <c r="M1191" s="104" t="str">
        <f>IF(Main[[#This Row],[Tech Start Date]]&lt;1/1/1990,"",IF(Main[[#This Row],[Class]]="C",WORKDAY(Main[[#This Row],[Tech Start Date]],9),IF(Main[[#This Row],[Class]]="B", WORKDAY(Main[[#This Row],[Tech Start Date]],6),IF(Main[[#This Row],[Class]]="A",WORKDAY(Main[[#This Row],[Tech Start Date]],2),""))))</f>
        <v/>
      </c>
      <c r="N1191" s="104" t="str">
        <f>IF(Main[[#This Row],[Tech Start Date]]&lt;1/1/1990,"",IF(Main[[#This Row],[Class]]="C",WORKDAY(Main[[#This Row],[Tech Start Date]],19),IF(Main[[#This Row],[Class]]="B", WORKDAY(Main[[#This Row],[Tech Start Date]],12),IF(Main[[#This Row],[Class]]="A",WORKDAY(Main[[#This Row],[Tech Start Date]],4),""))))</f>
        <v/>
      </c>
      <c r="O1191" s="104" t="str">
        <f>IF(Main[[#This Row],[Tech Start Date]]&lt;1/1/1990,"",IF(Main[[#This Row],[Class]]="C",WORKDAY(Main[[#This Row],[Tech Start Date]],23),IF(Main[[#This Row],[Class]]="B", WORKDAY(Main[[#This Row],[Tech Start Date]],15),IF(Main[[#This Row],[Class]]="A",WORKDAY(Main[[#This Row],[Tech Start Date]],5),""))))</f>
        <v/>
      </c>
      <c r="P1191" s="104" t="str">
        <f>IF(Main[[#This Row],[Tech Start Date]]&lt;1/1/1990,"",IF(Main[[#This Row],[Class]]="C",WORKDAY(Main[[#This Row],[Tech Start Date]],28),IF(Main[[#This Row],[Class]]="B", WORKDAY(Main[[#This Row],[Tech Start Date]],19),IF(Main[[#This Row],[Class]]="A",WORKDAY(Main[[#This Row],[Tech Start Date]],9),""))))</f>
        <v/>
      </c>
      <c r="Q1191" s="101">
        <v>40857</v>
      </c>
      <c r="R1191" s="101"/>
      <c r="S1191" s="99" t="s">
        <v>6</v>
      </c>
      <c r="T1191" s="107" t="s">
        <v>2662</v>
      </c>
      <c r="U1191" s="99" t="s">
        <v>7</v>
      </c>
      <c r="V1191" s="99" t="s">
        <v>1962</v>
      </c>
      <c r="W1191" s="99" t="s">
        <v>1970</v>
      </c>
    </row>
    <row r="1192" spans="1:23" ht="18.600000000000001" customHeight="1">
      <c r="A1192" s="123" t="str">
        <f>IF(priority(Main[[#This Row],[Comments]])&lt;&gt;0, priority(Main[[#This Row],[Comments]]),"")</f>
        <v/>
      </c>
      <c r="B1192" s="127" t="s">
        <v>3111</v>
      </c>
      <c r="C1192" s="99" t="s">
        <v>4</v>
      </c>
      <c r="D1192" s="100" t="s">
        <v>3112</v>
      </c>
      <c r="E1192" s="101">
        <v>40882.142546296294</v>
      </c>
      <c r="F1192" s="101"/>
      <c r="G1192" s="102" t="str">
        <f>IF(stdProdLT(Main[[#This Row],[Comments]])=0.1,"N/A",IF(stdProdLT(Main[[#This Row],[Comments]])=0,"",stdProdLT(Main[[#This Row],[Comments]])))</f>
        <v/>
      </c>
      <c r="H1192" s="103" t="str">
        <f>IF(AND(Main[[#This Row],[In Stock Date]]&lt;&gt;"",Main[[#This Row],[Revised Due Date]]&lt;&gt;""),Main[[#This Row],[In Stock Date]]-Main[[#This Row],[Revised Due Date]],"")</f>
        <v/>
      </c>
      <c r="I1192" s="99" t="s">
        <v>4</v>
      </c>
      <c r="J1192" s="99" t="s">
        <v>4</v>
      </c>
      <c r="K1192" s="99" t="s">
        <v>4</v>
      </c>
      <c r="L1192" s="101"/>
      <c r="M1192" s="104" t="str">
        <f>IF(Main[[#This Row],[Tech Start Date]]&lt;1/1/1990,"",IF(Main[[#This Row],[Class]]="C",WORKDAY(Main[[#This Row],[Tech Start Date]],9),IF(Main[[#This Row],[Class]]="B", WORKDAY(Main[[#This Row],[Tech Start Date]],6),IF(Main[[#This Row],[Class]]="A",WORKDAY(Main[[#This Row],[Tech Start Date]],2),""))))</f>
        <v/>
      </c>
      <c r="N1192" s="104" t="str">
        <f>IF(Main[[#This Row],[Tech Start Date]]&lt;1/1/1990,"",IF(Main[[#This Row],[Class]]="C",WORKDAY(Main[[#This Row],[Tech Start Date]],19),IF(Main[[#This Row],[Class]]="B", WORKDAY(Main[[#This Row],[Tech Start Date]],12),IF(Main[[#This Row],[Class]]="A",WORKDAY(Main[[#This Row],[Tech Start Date]],4),""))))</f>
        <v/>
      </c>
      <c r="O1192" s="104" t="str">
        <f>IF(Main[[#This Row],[Tech Start Date]]&lt;1/1/1990,"",IF(Main[[#This Row],[Class]]="C",WORKDAY(Main[[#This Row],[Tech Start Date]],23),IF(Main[[#This Row],[Class]]="B", WORKDAY(Main[[#This Row],[Tech Start Date]],15),IF(Main[[#This Row],[Class]]="A",WORKDAY(Main[[#This Row],[Tech Start Date]],5),""))))</f>
        <v/>
      </c>
      <c r="P1192" s="104" t="str">
        <f>IF(Main[[#This Row],[Tech Start Date]]&lt;1/1/1990,"",IF(Main[[#This Row],[Class]]="C",WORKDAY(Main[[#This Row],[Tech Start Date]],28),IF(Main[[#This Row],[Class]]="B", WORKDAY(Main[[#This Row],[Tech Start Date]],19),IF(Main[[#This Row],[Class]]="A",WORKDAY(Main[[#This Row],[Tech Start Date]],9),""))))</f>
        <v/>
      </c>
      <c r="Q1192" s="101">
        <v>40913</v>
      </c>
      <c r="R1192" s="101"/>
      <c r="S1192" s="99" t="s">
        <v>6</v>
      </c>
      <c r="T1192" s="107" t="s">
        <v>4</v>
      </c>
      <c r="U1192" s="99" t="s">
        <v>7</v>
      </c>
      <c r="V1192" s="99" t="s">
        <v>1965</v>
      </c>
      <c r="W1192" s="99" t="s">
        <v>4</v>
      </c>
    </row>
    <row r="1193" spans="1:23" ht="18.600000000000001" customHeight="1">
      <c r="A1193" s="123" t="str">
        <f>IF(priority(Main[[#This Row],[Comments]])&lt;&gt;0, priority(Main[[#This Row],[Comments]]),"")</f>
        <v/>
      </c>
      <c r="B1193" s="127" t="s">
        <v>3113</v>
      </c>
      <c r="C1193" s="99" t="s">
        <v>4</v>
      </c>
      <c r="D1193" s="100" t="s">
        <v>3114</v>
      </c>
      <c r="E1193" s="101">
        <v>40882.367037037038</v>
      </c>
      <c r="F1193" s="101"/>
      <c r="G1193" s="102" t="str">
        <f>IF(stdProdLT(Main[[#This Row],[Comments]])=0.1,"N/A",IF(stdProdLT(Main[[#This Row],[Comments]])=0,"",stdProdLT(Main[[#This Row],[Comments]])))</f>
        <v/>
      </c>
      <c r="H1193" s="103" t="str">
        <f>IF(AND(Main[[#This Row],[In Stock Date]]&lt;&gt;"",Main[[#This Row],[Revised Due Date]]&lt;&gt;""),Main[[#This Row],[In Stock Date]]-Main[[#This Row],[Revised Due Date]],"")</f>
        <v/>
      </c>
      <c r="I1193" s="99" t="s">
        <v>4</v>
      </c>
      <c r="J1193" s="99" t="s">
        <v>4</v>
      </c>
      <c r="K1193" s="108" t="s">
        <v>4</v>
      </c>
      <c r="L1193" s="101"/>
      <c r="M1193" s="104" t="str">
        <f>IF(Main[[#This Row],[Tech Start Date]]&lt;1/1/1990,"",IF(Main[[#This Row],[Class]]="C",WORKDAY(Main[[#This Row],[Tech Start Date]],9),IF(Main[[#This Row],[Class]]="B", WORKDAY(Main[[#This Row],[Tech Start Date]],6),IF(Main[[#This Row],[Class]]="A",WORKDAY(Main[[#This Row],[Tech Start Date]],2),""))))</f>
        <v/>
      </c>
      <c r="N1193" s="104" t="str">
        <f>IF(Main[[#This Row],[Tech Start Date]]&lt;1/1/1990,"",IF(Main[[#This Row],[Class]]="C",WORKDAY(Main[[#This Row],[Tech Start Date]],19),IF(Main[[#This Row],[Class]]="B", WORKDAY(Main[[#This Row],[Tech Start Date]],12),IF(Main[[#This Row],[Class]]="A",WORKDAY(Main[[#This Row],[Tech Start Date]],4),""))))</f>
        <v/>
      </c>
      <c r="O1193" s="104" t="str">
        <f>IF(Main[[#This Row],[Tech Start Date]]&lt;1/1/1990,"",IF(Main[[#This Row],[Class]]="C",WORKDAY(Main[[#This Row],[Tech Start Date]],23),IF(Main[[#This Row],[Class]]="B", WORKDAY(Main[[#This Row],[Tech Start Date]],15),IF(Main[[#This Row],[Class]]="A",WORKDAY(Main[[#This Row],[Tech Start Date]],5),""))))</f>
        <v/>
      </c>
      <c r="P1193" s="104" t="str">
        <f>IF(Main[[#This Row],[Tech Start Date]]&lt;1/1/1990,"",IF(Main[[#This Row],[Class]]="C",WORKDAY(Main[[#This Row],[Tech Start Date]],28),IF(Main[[#This Row],[Class]]="B", WORKDAY(Main[[#This Row],[Tech Start Date]],19),IF(Main[[#This Row],[Class]]="A",WORKDAY(Main[[#This Row],[Tech Start Date]],9),""))))</f>
        <v/>
      </c>
      <c r="Q1193" s="101">
        <v>40928</v>
      </c>
      <c r="R1193" s="101"/>
      <c r="S1193" s="99" t="s">
        <v>6</v>
      </c>
      <c r="T1193" s="107" t="s">
        <v>4</v>
      </c>
      <c r="U1193" s="99" t="s">
        <v>7</v>
      </c>
      <c r="V1193" s="99" t="s">
        <v>1965</v>
      </c>
      <c r="W1193" s="99" t="s">
        <v>4</v>
      </c>
    </row>
    <row r="1194" spans="1:23" ht="18.600000000000001" customHeight="1">
      <c r="A1194" s="123" t="str">
        <f>IF(priority(Main[[#This Row],[Comments]])&lt;&gt;0, priority(Main[[#This Row],[Comments]]),"")</f>
        <v/>
      </c>
      <c r="B1194" s="127" t="s">
        <v>2232</v>
      </c>
      <c r="C1194" s="99" t="s">
        <v>4</v>
      </c>
      <c r="D1194" s="100" t="s">
        <v>2843</v>
      </c>
      <c r="E1194" s="101">
        <v>40780.676446759258</v>
      </c>
      <c r="F1194" s="101"/>
      <c r="G1194" s="102" t="str">
        <f>IF(stdProdLT(Main[[#This Row],[Comments]])=0.1,"N/A",IF(stdProdLT(Main[[#This Row],[Comments]])=0,"",stdProdLT(Main[[#This Row],[Comments]])))</f>
        <v/>
      </c>
      <c r="H1194" s="103" t="str">
        <f>IF(AND(Main[[#This Row],[In Stock Date]]&lt;&gt;"",Main[[#This Row],[Revised Due Date]]&lt;&gt;""),Main[[#This Row],[In Stock Date]]-Main[[#This Row],[Revised Due Date]],"")</f>
        <v/>
      </c>
      <c r="I1194" s="99" t="s">
        <v>4</v>
      </c>
      <c r="J1194" s="99" t="s">
        <v>4</v>
      </c>
      <c r="K1194" s="99" t="s">
        <v>4</v>
      </c>
      <c r="L1194" s="101"/>
      <c r="M1194" s="104" t="str">
        <f>IF(Main[[#This Row],[Tech Start Date]]&lt;1/1/1990,"",IF(Main[[#This Row],[Class]]="C",WORKDAY(Main[[#This Row],[Tech Start Date]],9),IF(Main[[#This Row],[Class]]="B", WORKDAY(Main[[#This Row],[Tech Start Date]],6),IF(Main[[#This Row],[Class]]="A",WORKDAY(Main[[#This Row],[Tech Start Date]],2),""))))</f>
        <v/>
      </c>
      <c r="N1194" s="104" t="str">
        <f>IF(Main[[#This Row],[Tech Start Date]]&lt;1/1/1990,"",IF(Main[[#This Row],[Class]]="C",WORKDAY(Main[[#This Row],[Tech Start Date]],19),IF(Main[[#This Row],[Class]]="B", WORKDAY(Main[[#This Row],[Tech Start Date]],12),IF(Main[[#This Row],[Class]]="A",WORKDAY(Main[[#This Row],[Tech Start Date]],4),""))))</f>
        <v/>
      </c>
      <c r="O1194" s="104" t="str">
        <f>IF(Main[[#This Row],[Tech Start Date]]&lt;1/1/1990,"",IF(Main[[#This Row],[Class]]="C",WORKDAY(Main[[#This Row],[Tech Start Date]],23),IF(Main[[#This Row],[Class]]="B", WORKDAY(Main[[#This Row],[Tech Start Date]],15),IF(Main[[#This Row],[Class]]="A",WORKDAY(Main[[#This Row],[Tech Start Date]],5),""))))</f>
        <v/>
      </c>
      <c r="P1194" s="104" t="str">
        <f>IF(Main[[#This Row],[Tech Start Date]]&lt;1/1/1990,"",IF(Main[[#This Row],[Class]]="C",WORKDAY(Main[[#This Row],[Tech Start Date]],28),IF(Main[[#This Row],[Class]]="B", WORKDAY(Main[[#This Row],[Tech Start Date]],19),IF(Main[[#This Row],[Class]]="A",WORKDAY(Main[[#This Row],[Tech Start Date]],9),""))))</f>
        <v/>
      </c>
      <c r="Q1194" s="101">
        <v>40787</v>
      </c>
      <c r="R1194" s="101"/>
      <c r="S1194" s="99" t="s">
        <v>6</v>
      </c>
      <c r="T1194" s="107" t="s">
        <v>4</v>
      </c>
      <c r="U1194" s="99" t="s">
        <v>7</v>
      </c>
      <c r="V1194" s="99" t="s">
        <v>1962</v>
      </c>
      <c r="W1194" s="99" t="s">
        <v>1970</v>
      </c>
    </row>
    <row r="1195" spans="1:23" ht="18.600000000000001" customHeight="1">
      <c r="A1195" s="123" t="str">
        <f>IF(priority(Main[[#This Row],[Comments]])&lt;&gt;0, priority(Main[[#This Row],[Comments]]),"")</f>
        <v/>
      </c>
      <c r="B1195" s="127" t="s">
        <v>1907</v>
      </c>
      <c r="C1195" s="99" t="s">
        <v>47</v>
      </c>
      <c r="D1195" s="100" t="s">
        <v>937</v>
      </c>
      <c r="E1195" s="101">
        <v>39937.596770833334</v>
      </c>
      <c r="F1195" s="101"/>
      <c r="G1195" s="102" t="str">
        <f>IF(stdProdLT(Main[[#This Row],[Comments]])=0.1,"N/A",IF(stdProdLT(Main[[#This Row],[Comments]])=0,"",stdProdLT(Main[[#This Row],[Comments]])))</f>
        <v/>
      </c>
      <c r="H1195" s="103" t="str">
        <f>IF(AND(Main[[#This Row],[In Stock Date]]&lt;&gt;"",Main[[#This Row],[Revised Due Date]]&lt;&gt;""),Main[[#This Row],[In Stock Date]]-Main[[#This Row],[Revised Due Date]],"")</f>
        <v/>
      </c>
      <c r="I1195" s="99" t="s">
        <v>997</v>
      </c>
      <c r="J1195" s="99" t="s">
        <v>4</v>
      </c>
      <c r="K1195" s="99" t="s">
        <v>1974</v>
      </c>
      <c r="L1195" s="101"/>
      <c r="M1195" s="104" t="str">
        <f>IF(Main[[#This Row],[Tech Start Date]]&lt;1/1/1990,"",IF(Main[[#This Row],[Class]]="C",WORKDAY(Main[[#This Row],[Tech Start Date]],9),IF(Main[[#This Row],[Class]]="B", WORKDAY(Main[[#This Row],[Tech Start Date]],6),IF(Main[[#This Row],[Class]]="A",WORKDAY(Main[[#This Row],[Tech Start Date]],2),""))))</f>
        <v/>
      </c>
      <c r="N1195" s="104" t="str">
        <f>IF(Main[[#This Row],[Tech Start Date]]&lt;1/1/1990,"",IF(Main[[#This Row],[Class]]="C",WORKDAY(Main[[#This Row],[Tech Start Date]],19),IF(Main[[#This Row],[Class]]="B", WORKDAY(Main[[#This Row],[Tech Start Date]],12),IF(Main[[#This Row],[Class]]="A",WORKDAY(Main[[#This Row],[Tech Start Date]],4),""))))</f>
        <v/>
      </c>
      <c r="O1195" s="104" t="str">
        <f>IF(Main[[#This Row],[Tech Start Date]]&lt;1/1/1990,"",IF(Main[[#This Row],[Class]]="C",WORKDAY(Main[[#This Row],[Tech Start Date]],23),IF(Main[[#This Row],[Class]]="B", WORKDAY(Main[[#This Row],[Tech Start Date]],15),IF(Main[[#This Row],[Class]]="A",WORKDAY(Main[[#This Row],[Tech Start Date]],5),""))))</f>
        <v/>
      </c>
      <c r="P1195" s="104" t="str">
        <f>IF(Main[[#This Row],[Tech Start Date]]&lt;1/1/1990,"",IF(Main[[#This Row],[Class]]="C",WORKDAY(Main[[#This Row],[Tech Start Date]],28),IF(Main[[#This Row],[Class]]="B", WORKDAY(Main[[#This Row],[Tech Start Date]],19),IF(Main[[#This Row],[Class]]="A",WORKDAY(Main[[#This Row],[Tech Start Date]],9),""))))</f>
        <v/>
      </c>
      <c r="Q1195" s="101"/>
      <c r="R1195" s="101">
        <v>40999</v>
      </c>
      <c r="S1195" s="99" t="s">
        <v>17</v>
      </c>
      <c r="T1195" s="107" t="s">
        <v>4</v>
      </c>
      <c r="U1195" s="99" t="s">
        <v>29</v>
      </c>
      <c r="V1195" s="99" t="s">
        <v>1965</v>
      </c>
      <c r="W1195" s="99" t="s">
        <v>1967</v>
      </c>
    </row>
    <row r="1196" spans="1:23" ht="18.600000000000001" customHeight="1">
      <c r="A1196" s="123" t="str">
        <f>IF(priority(Main[[#This Row],[Comments]])&lt;&gt;0, priority(Main[[#This Row],[Comments]]),"")</f>
        <v/>
      </c>
      <c r="B1196" s="127" t="s">
        <v>2822</v>
      </c>
      <c r="C1196" s="99" t="s">
        <v>4</v>
      </c>
      <c r="D1196" s="100" t="s">
        <v>2823</v>
      </c>
      <c r="E1196" s="101">
        <v>40870.475462962961</v>
      </c>
      <c r="F1196" s="101"/>
      <c r="G1196" s="102" t="str">
        <f>IF(stdProdLT(Main[[#This Row],[Comments]])=0.1,"N/A",IF(stdProdLT(Main[[#This Row],[Comments]])=0,"",stdProdLT(Main[[#This Row],[Comments]])))</f>
        <v/>
      </c>
      <c r="H1196" s="103" t="str">
        <f>IF(AND(Main[[#This Row],[In Stock Date]]&lt;&gt;"",Main[[#This Row],[Revised Due Date]]&lt;&gt;""),Main[[#This Row],[In Stock Date]]-Main[[#This Row],[Revised Due Date]],"")</f>
        <v/>
      </c>
      <c r="I1196" s="99" t="s">
        <v>2110</v>
      </c>
      <c r="J1196" s="99" t="s">
        <v>28</v>
      </c>
      <c r="K1196" s="99" t="s">
        <v>1969</v>
      </c>
      <c r="L1196" s="101"/>
      <c r="M1196" s="104" t="str">
        <f>IF(Main[[#This Row],[Tech Start Date]]&lt;1/1/1990,"",IF(Main[[#This Row],[Class]]="C",WORKDAY(Main[[#This Row],[Tech Start Date]],9),IF(Main[[#This Row],[Class]]="B", WORKDAY(Main[[#This Row],[Tech Start Date]],6),IF(Main[[#This Row],[Class]]="A",WORKDAY(Main[[#This Row],[Tech Start Date]],2),""))))</f>
        <v/>
      </c>
      <c r="N1196" s="104" t="str">
        <f>IF(Main[[#This Row],[Tech Start Date]]&lt;1/1/1990,"",IF(Main[[#This Row],[Class]]="C",WORKDAY(Main[[#This Row],[Tech Start Date]],19),IF(Main[[#This Row],[Class]]="B", WORKDAY(Main[[#This Row],[Tech Start Date]],12),IF(Main[[#This Row],[Class]]="A",WORKDAY(Main[[#This Row],[Tech Start Date]],4),""))))</f>
        <v/>
      </c>
      <c r="O1196" s="104" t="str">
        <f>IF(Main[[#This Row],[Tech Start Date]]&lt;1/1/1990,"",IF(Main[[#This Row],[Class]]="C",WORKDAY(Main[[#This Row],[Tech Start Date]],23),IF(Main[[#This Row],[Class]]="B", WORKDAY(Main[[#This Row],[Tech Start Date]],15),IF(Main[[#This Row],[Class]]="A",WORKDAY(Main[[#This Row],[Tech Start Date]],5),""))))</f>
        <v/>
      </c>
      <c r="P1196" s="104" t="str">
        <f>IF(Main[[#This Row],[Tech Start Date]]&lt;1/1/1990,"",IF(Main[[#This Row],[Class]]="C",WORKDAY(Main[[#This Row],[Tech Start Date]],28),IF(Main[[#This Row],[Class]]="B", WORKDAY(Main[[#This Row],[Tech Start Date]],19),IF(Main[[#This Row],[Class]]="A",WORKDAY(Main[[#This Row],[Tech Start Date]],9),""))))</f>
        <v/>
      </c>
      <c r="Q1196" s="101">
        <v>40905</v>
      </c>
      <c r="R1196" s="101"/>
      <c r="S1196" s="99" t="s">
        <v>6</v>
      </c>
      <c r="T1196" s="107" t="s">
        <v>4</v>
      </c>
      <c r="U1196" s="99" t="s">
        <v>29</v>
      </c>
      <c r="V1196" s="99" t="s">
        <v>1965</v>
      </c>
      <c r="W1196" s="99" t="s">
        <v>1966</v>
      </c>
    </row>
    <row r="1197" spans="1:23" ht="18.600000000000001" customHeight="1">
      <c r="A1197" s="123" t="str">
        <f>IF(priority(Main[[#This Row],[Comments]])&lt;&gt;0, priority(Main[[#This Row],[Comments]]),"")</f>
        <v/>
      </c>
      <c r="B1197" s="127" t="s">
        <v>2288</v>
      </c>
      <c r="C1197" s="99" t="s">
        <v>4</v>
      </c>
      <c r="D1197" s="100" t="s">
        <v>2289</v>
      </c>
      <c r="E1197" s="101"/>
      <c r="F1197" s="101"/>
      <c r="G1197" s="102" t="str">
        <f>IF(stdProdLT(Main[[#This Row],[Comments]])=0.1,"N/A",IF(stdProdLT(Main[[#This Row],[Comments]])=0,"",stdProdLT(Main[[#This Row],[Comments]])))</f>
        <v/>
      </c>
      <c r="H1197" s="103" t="str">
        <f>IF(AND(Main[[#This Row],[In Stock Date]]&lt;&gt;"",Main[[#This Row],[Revised Due Date]]&lt;&gt;""),Main[[#This Row],[In Stock Date]]-Main[[#This Row],[Revised Due Date]],"")</f>
        <v/>
      </c>
      <c r="I1197" s="99" t="s">
        <v>536</v>
      </c>
      <c r="J1197" s="99" t="s">
        <v>28</v>
      </c>
      <c r="K1197" s="99" t="s">
        <v>1971</v>
      </c>
      <c r="L1197" s="101"/>
      <c r="M1197" s="104" t="str">
        <f>IF(Main[[#This Row],[Tech Start Date]]&lt;1/1/1990,"",IF(Main[[#This Row],[Class]]="C",WORKDAY(Main[[#This Row],[Tech Start Date]],9),IF(Main[[#This Row],[Class]]="B", WORKDAY(Main[[#This Row],[Tech Start Date]],6),IF(Main[[#This Row],[Class]]="A",WORKDAY(Main[[#This Row],[Tech Start Date]],2),""))))</f>
        <v/>
      </c>
      <c r="N1197" s="104" t="str">
        <f>IF(Main[[#This Row],[Tech Start Date]]&lt;1/1/1990,"",IF(Main[[#This Row],[Class]]="C",WORKDAY(Main[[#This Row],[Tech Start Date]],19),IF(Main[[#This Row],[Class]]="B", WORKDAY(Main[[#This Row],[Tech Start Date]],12),IF(Main[[#This Row],[Class]]="A",WORKDAY(Main[[#This Row],[Tech Start Date]],4),""))))</f>
        <v/>
      </c>
      <c r="O1197" s="104" t="str">
        <f>IF(Main[[#This Row],[Tech Start Date]]&lt;1/1/1990,"",IF(Main[[#This Row],[Class]]="C",WORKDAY(Main[[#This Row],[Tech Start Date]],23),IF(Main[[#This Row],[Class]]="B", WORKDAY(Main[[#This Row],[Tech Start Date]],15),IF(Main[[#This Row],[Class]]="A",WORKDAY(Main[[#This Row],[Tech Start Date]],5),""))))</f>
        <v/>
      </c>
      <c r="P1197" s="104" t="str">
        <f>IF(Main[[#This Row],[Tech Start Date]]&lt;1/1/1990,"",IF(Main[[#This Row],[Class]]="C",WORKDAY(Main[[#This Row],[Tech Start Date]],28),IF(Main[[#This Row],[Class]]="B", WORKDAY(Main[[#This Row],[Tech Start Date]],19),IF(Main[[#This Row],[Class]]="A",WORKDAY(Main[[#This Row],[Tech Start Date]],9),""))))</f>
        <v/>
      </c>
      <c r="Q1197" s="101"/>
      <c r="R1197" s="101"/>
      <c r="S1197" s="99" t="s">
        <v>6</v>
      </c>
      <c r="T1197" s="107" t="s">
        <v>4</v>
      </c>
      <c r="U1197" s="99" t="s">
        <v>14</v>
      </c>
      <c r="V1197" s="99" t="s">
        <v>1965</v>
      </c>
      <c r="W1197" s="99" t="s">
        <v>1966</v>
      </c>
    </row>
    <row r="1198" spans="1:23" ht="18.600000000000001" customHeight="1">
      <c r="A1198" s="123" t="str">
        <f>IF(priority(Main[[#This Row],[Comments]])&lt;&gt;0, priority(Main[[#This Row],[Comments]]),"")</f>
        <v/>
      </c>
      <c r="B1198" s="127" t="s">
        <v>2825</v>
      </c>
      <c r="C1198" s="99" t="s">
        <v>4</v>
      </c>
      <c r="D1198" s="100" t="s">
        <v>2826</v>
      </c>
      <c r="E1198" s="101"/>
      <c r="F1198" s="101"/>
      <c r="G1198" s="102" t="str">
        <f>IF(stdProdLT(Main[[#This Row],[Comments]])=0.1,"N/A",IF(stdProdLT(Main[[#This Row],[Comments]])=0,"",stdProdLT(Main[[#This Row],[Comments]])))</f>
        <v/>
      </c>
      <c r="H1198" s="103" t="str">
        <f>IF(AND(Main[[#This Row],[In Stock Date]]&lt;&gt;"",Main[[#This Row],[Revised Due Date]]&lt;&gt;""),Main[[#This Row],[In Stock Date]]-Main[[#This Row],[Revised Due Date]],"")</f>
        <v/>
      </c>
      <c r="I1198" s="99" t="s">
        <v>4</v>
      </c>
      <c r="J1198" s="99" t="s">
        <v>4</v>
      </c>
      <c r="K1198" s="99" t="s">
        <v>4</v>
      </c>
      <c r="L1198" s="101"/>
      <c r="M1198" s="104" t="str">
        <f>IF(Main[[#This Row],[Tech Start Date]]&lt;1/1/1990,"",IF(Main[[#This Row],[Class]]="C",WORKDAY(Main[[#This Row],[Tech Start Date]],9),IF(Main[[#This Row],[Class]]="B", WORKDAY(Main[[#This Row],[Tech Start Date]],6),IF(Main[[#This Row],[Class]]="A",WORKDAY(Main[[#This Row],[Tech Start Date]],2),""))))</f>
        <v/>
      </c>
      <c r="N1198" s="104" t="str">
        <f>IF(Main[[#This Row],[Tech Start Date]]&lt;1/1/1990,"",IF(Main[[#This Row],[Class]]="C",WORKDAY(Main[[#This Row],[Tech Start Date]],19),IF(Main[[#This Row],[Class]]="B", WORKDAY(Main[[#This Row],[Tech Start Date]],12),IF(Main[[#This Row],[Class]]="A",WORKDAY(Main[[#This Row],[Tech Start Date]],4),""))))</f>
        <v/>
      </c>
      <c r="O1198" s="104" t="str">
        <f>IF(Main[[#This Row],[Tech Start Date]]&lt;1/1/1990,"",IF(Main[[#This Row],[Class]]="C",WORKDAY(Main[[#This Row],[Tech Start Date]],23),IF(Main[[#This Row],[Class]]="B", WORKDAY(Main[[#This Row],[Tech Start Date]],15),IF(Main[[#This Row],[Class]]="A",WORKDAY(Main[[#This Row],[Tech Start Date]],5),""))))</f>
        <v/>
      </c>
      <c r="P1198" s="104" t="str">
        <f>IF(Main[[#This Row],[Tech Start Date]]&lt;1/1/1990,"",IF(Main[[#This Row],[Class]]="C",WORKDAY(Main[[#This Row],[Tech Start Date]],28),IF(Main[[#This Row],[Class]]="B", WORKDAY(Main[[#This Row],[Tech Start Date]],19),IF(Main[[#This Row],[Class]]="A",WORKDAY(Main[[#This Row],[Tech Start Date]],9),""))))</f>
        <v/>
      </c>
      <c r="Q1198" s="101"/>
      <c r="R1198" s="101"/>
      <c r="S1198" s="99" t="s">
        <v>6</v>
      </c>
      <c r="T1198" s="107" t="s">
        <v>4</v>
      </c>
      <c r="U1198" s="99" t="s">
        <v>12</v>
      </c>
      <c r="V1198" s="99" t="s">
        <v>1965</v>
      </c>
      <c r="W1198" s="99" t="s">
        <v>1967</v>
      </c>
    </row>
    <row r="1199" spans="1:23" ht="18.600000000000001" customHeight="1">
      <c r="A1199" s="123" t="str">
        <f>IF(priority(Main[[#This Row],[Comments]])&lt;&gt;0, priority(Main[[#This Row],[Comments]]),"")</f>
        <v/>
      </c>
      <c r="B1199" s="127" t="s">
        <v>1630</v>
      </c>
      <c r="C1199" s="99" t="s">
        <v>4</v>
      </c>
      <c r="D1199" s="100" t="s">
        <v>3175</v>
      </c>
      <c r="E1199" s="101">
        <v>40352.416608796295</v>
      </c>
      <c r="F1199" s="101"/>
      <c r="G1199" s="102" t="str">
        <f>IF(stdProdLT(Main[[#This Row],[Comments]])=0.1,"N/A",IF(stdProdLT(Main[[#This Row],[Comments]])=0,"",stdProdLT(Main[[#This Row],[Comments]])))</f>
        <v/>
      </c>
      <c r="H1199" s="103" t="str">
        <f>IF(AND(Main[[#This Row],[In Stock Date]]&lt;&gt;"",Main[[#This Row],[Revised Due Date]]&lt;&gt;""),Main[[#This Row],[In Stock Date]]-Main[[#This Row],[Revised Due Date]],"")</f>
        <v/>
      </c>
      <c r="I1199" s="99" t="s">
        <v>719</v>
      </c>
      <c r="J1199" s="99" t="s">
        <v>28</v>
      </c>
      <c r="K1199" s="99" t="s">
        <v>1974</v>
      </c>
      <c r="L1199" s="101"/>
      <c r="M1199" s="104" t="str">
        <f>IF(Main[[#This Row],[Tech Start Date]]&lt;1/1/1990,"",IF(Main[[#This Row],[Class]]="C",WORKDAY(Main[[#This Row],[Tech Start Date]],9),IF(Main[[#This Row],[Class]]="B", WORKDAY(Main[[#This Row],[Tech Start Date]],6),IF(Main[[#This Row],[Class]]="A",WORKDAY(Main[[#This Row],[Tech Start Date]],2),""))))</f>
        <v/>
      </c>
      <c r="N1199" s="104" t="str">
        <f>IF(Main[[#This Row],[Tech Start Date]]&lt;1/1/1990,"",IF(Main[[#This Row],[Class]]="C",WORKDAY(Main[[#This Row],[Tech Start Date]],19),IF(Main[[#This Row],[Class]]="B", WORKDAY(Main[[#This Row],[Tech Start Date]],12),IF(Main[[#This Row],[Class]]="A",WORKDAY(Main[[#This Row],[Tech Start Date]],4),""))))</f>
        <v/>
      </c>
      <c r="O1199" s="104" t="str">
        <f>IF(Main[[#This Row],[Tech Start Date]]&lt;1/1/1990,"",IF(Main[[#This Row],[Class]]="C",WORKDAY(Main[[#This Row],[Tech Start Date]],23),IF(Main[[#This Row],[Class]]="B", WORKDAY(Main[[#This Row],[Tech Start Date]],15),IF(Main[[#This Row],[Class]]="A",WORKDAY(Main[[#This Row],[Tech Start Date]],5),""))))</f>
        <v/>
      </c>
      <c r="P1199" s="104" t="str">
        <f>IF(Main[[#This Row],[Tech Start Date]]&lt;1/1/1990,"",IF(Main[[#This Row],[Class]]="C",WORKDAY(Main[[#This Row],[Tech Start Date]],28),IF(Main[[#This Row],[Class]]="B", WORKDAY(Main[[#This Row],[Tech Start Date]],19),IF(Main[[#This Row],[Class]]="A",WORKDAY(Main[[#This Row],[Tech Start Date]],9),""))))</f>
        <v/>
      </c>
      <c r="Q1199" s="101">
        <v>40387</v>
      </c>
      <c r="R1199" s="101">
        <v>41011</v>
      </c>
      <c r="S1199" s="99" t="s">
        <v>17</v>
      </c>
      <c r="T1199" s="107" t="s">
        <v>2631</v>
      </c>
      <c r="U1199" s="99" t="s">
        <v>29</v>
      </c>
      <c r="V1199" s="99" t="s">
        <v>1962</v>
      </c>
      <c r="W1199" s="99" t="s">
        <v>1967</v>
      </c>
    </row>
    <row r="1200" spans="1:23" ht="18.600000000000001" customHeight="1">
      <c r="A1200" s="123" t="str">
        <f>IF(priority(Main[[#This Row],[Comments]])&lt;&gt;0, priority(Main[[#This Row],[Comments]]),"")</f>
        <v/>
      </c>
      <c r="B1200" s="127" t="s">
        <v>1888</v>
      </c>
      <c r="C1200" s="99" t="s">
        <v>67</v>
      </c>
      <c r="D1200" s="100" t="s">
        <v>2827</v>
      </c>
      <c r="E1200" s="101">
        <v>40343.573750000003</v>
      </c>
      <c r="F1200" s="101"/>
      <c r="G1200" s="102" t="str">
        <f>IF(stdProdLT(Main[[#This Row],[Comments]])=0.1,"N/A",IF(stdProdLT(Main[[#This Row],[Comments]])=0,"",stdProdLT(Main[[#This Row],[Comments]])))</f>
        <v/>
      </c>
      <c r="H1200" s="103" t="str">
        <f>IF(AND(Main[[#This Row],[In Stock Date]]&lt;&gt;"",Main[[#This Row],[Revised Due Date]]&lt;&gt;""),Main[[#This Row],[In Stock Date]]-Main[[#This Row],[Revised Due Date]],"")</f>
        <v/>
      </c>
      <c r="I1200" s="99" t="s">
        <v>74</v>
      </c>
      <c r="J1200" s="99" t="s">
        <v>28</v>
      </c>
      <c r="K1200" s="99" t="s">
        <v>1974</v>
      </c>
      <c r="L1200" s="101"/>
      <c r="M1200" s="104" t="str">
        <f>IF(Main[[#This Row],[Tech Start Date]]&lt;1/1/1990,"",IF(Main[[#This Row],[Class]]="C",WORKDAY(Main[[#This Row],[Tech Start Date]],9),IF(Main[[#This Row],[Class]]="B", WORKDAY(Main[[#This Row],[Tech Start Date]],6),IF(Main[[#This Row],[Class]]="A",WORKDAY(Main[[#This Row],[Tech Start Date]],2),""))))</f>
        <v/>
      </c>
      <c r="N1200" s="104" t="str">
        <f>IF(Main[[#This Row],[Tech Start Date]]&lt;1/1/1990,"",IF(Main[[#This Row],[Class]]="C",WORKDAY(Main[[#This Row],[Tech Start Date]],19),IF(Main[[#This Row],[Class]]="B", WORKDAY(Main[[#This Row],[Tech Start Date]],12),IF(Main[[#This Row],[Class]]="A",WORKDAY(Main[[#This Row],[Tech Start Date]],4),""))))</f>
        <v/>
      </c>
      <c r="O1200" s="104" t="str">
        <f>IF(Main[[#This Row],[Tech Start Date]]&lt;1/1/1990,"",IF(Main[[#This Row],[Class]]="C",WORKDAY(Main[[#This Row],[Tech Start Date]],23),IF(Main[[#This Row],[Class]]="B", WORKDAY(Main[[#This Row],[Tech Start Date]],15),IF(Main[[#This Row],[Class]]="A",WORKDAY(Main[[#This Row],[Tech Start Date]],5),""))))</f>
        <v/>
      </c>
      <c r="P1200" s="104" t="str">
        <f>IF(Main[[#This Row],[Tech Start Date]]&lt;1/1/1990,"",IF(Main[[#This Row],[Class]]="C",WORKDAY(Main[[#This Row],[Tech Start Date]],28),IF(Main[[#This Row],[Class]]="B", WORKDAY(Main[[#This Row],[Tech Start Date]],19),IF(Main[[#This Row],[Class]]="A",WORKDAY(Main[[#This Row],[Tech Start Date]],9),""))))</f>
        <v/>
      </c>
      <c r="Q1200" s="101">
        <v>40466</v>
      </c>
      <c r="R1200" s="101">
        <v>40868</v>
      </c>
      <c r="S1200" s="99" t="s">
        <v>17</v>
      </c>
      <c r="T1200" s="107" t="s">
        <v>4</v>
      </c>
      <c r="U1200" s="99" t="s">
        <v>29</v>
      </c>
      <c r="V1200" s="99" t="s">
        <v>1965</v>
      </c>
      <c r="W1200" s="99" t="s">
        <v>1968</v>
      </c>
    </row>
    <row r="1201" spans="1:23" ht="18.600000000000001" customHeight="1">
      <c r="A1201" s="123" t="str">
        <f>IF(priority(Main[[#This Row],[Comments]])&lt;&gt;0, priority(Main[[#This Row],[Comments]]),"")</f>
        <v/>
      </c>
      <c r="B1201" s="127" t="s">
        <v>1781</v>
      </c>
      <c r="C1201" s="99" t="s">
        <v>37</v>
      </c>
      <c r="D1201" s="100" t="s">
        <v>2828</v>
      </c>
      <c r="E1201" s="101">
        <v>40682.487210648149</v>
      </c>
      <c r="F1201" s="101"/>
      <c r="G1201" s="102" t="str">
        <f>IF(stdProdLT(Main[[#This Row],[Comments]])=0.1,"N/A",IF(stdProdLT(Main[[#This Row],[Comments]])=0,"",stdProdLT(Main[[#This Row],[Comments]])))</f>
        <v/>
      </c>
      <c r="H1201" s="103" t="str">
        <f>IF(AND(Main[[#This Row],[In Stock Date]]&lt;&gt;"",Main[[#This Row],[Revised Due Date]]&lt;&gt;""),Main[[#This Row],[In Stock Date]]-Main[[#This Row],[Revised Due Date]],"")</f>
        <v/>
      </c>
      <c r="I1201" s="99" t="s">
        <v>4</v>
      </c>
      <c r="J1201" s="99" t="s">
        <v>4</v>
      </c>
      <c r="K1201" s="99" t="s">
        <v>4</v>
      </c>
      <c r="L1201" s="101"/>
      <c r="M1201" s="104" t="str">
        <f>IF(Main[[#This Row],[Tech Start Date]]&lt;1/1/1990,"",IF(Main[[#This Row],[Class]]="C",WORKDAY(Main[[#This Row],[Tech Start Date]],9),IF(Main[[#This Row],[Class]]="B", WORKDAY(Main[[#This Row],[Tech Start Date]],6),IF(Main[[#This Row],[Class]]="A",WORKDAY(Main[[#This Row],[Tech Start Date]],2),""))))</f>
        <v/>
      </c>
      <c r="N1201" s="104" t="str">
        <f>IF(Main[[#This Row],[Tech Start Date]]&lt;1/1/1990,"",IF(Main[[#This Row],[Class]]="C",WORKDAY(Main[[#This Row],[Tech Start Date]],19),IF(Main[[#This Row],[Class]]="B", WORKDAY(Main[[#This Row],[Tech Start Date]],12),IF(Main[[#This Row],[Class]]="A",WORKDAY(Main[[#This Row],[Tech Start Date]],4),""))))</f>
        <v/>
      </c>
      <c r="O1201" s="104" t="str">
        <f>IF(Main[[#This Row],[Tech Start Date]]&lt;1/1/1990,"",IF(Main[[#This Row],[Class]]="C",WORKDAY(Main[[#This Row],[Tech Start Date]],23),IF(Main[[#This Row],[Class]]="B", WORKDAY(Main[[#This Row],[Tech Start Date]],15),IF(Main[[#This Row],[Class]]="A",WORKDAY(Main[[#This Row],[Tech Start Date]],5),""))))</f>
        <v/>
      </c>
      <c r="P1201" s="104" t="str">
        <f>IF(Main[[#This Row],[Tech Start Date]]&lt;1/1/1990,"",IF(Main[[#This Row],[Class]]="C",WORKDAY(Main[[#This Row],[Tech Start Date]],28),IF(Main[[#This Row],[Class]]="B", WORKDAY(Main[[#This Row],[Tech Start Date]],19),IF(Main[[#This Row],[Class]]="A",WORKDAY(Main[[#This Row],[Tech Start Date]],9),""))))</f>
        <v/>
      </c>
      <c r="Q1201" s="101">
        <v>40701</v>
      </c>
      <c r="R1201" s="101"/>
      <c r="S1201" s="99" t="s">
        <v>6</v>
      </c>
      <c r="T1201" s="107" t="s">
        <v>4</v>
      </c>
      <c r="U1201" s="99" t="s">
        <v>7</v>
      </c>
      <c r="V1201" s="99" t="s">
        <v>1962</v>
      </c>
      <c r="W1201" s="99" t="s">
        <v>1973</v>
      </c>
    </row>
    <row r="1202" spans="1:23" ht="18.600000000000001" customHeight="1">
      <c r="A1202" s="123" t="str">
        <f>IF(priority(Main[[#This Row],[Comments]])&lt;&gt;0, priority(Main[[#This Row],[Comments]]),"")</f>
        <v/>
      </c>
      <c r="B1202" s="127" t="s">
        <v>1889</v>
      </c>
      <c r="C1202" s="99" t="s">
        <v>67</v>
      </c>
      <c r="D1202" s="100" t="s">
        <v>919</v>
      </c>
      <c r="E1202" s="101">
        <v>39937.597453703704</v>
      </c>
      <c r="F1202" s="101">
        <v>40533</v>
      </c>
      <c r="G1202" s="102" t="str">
        <f>IF(stdProdLT(Main[[#This Row],[Comments]])=0.1,"N/A",IF(stdProdLT(Main[[#This Row],[Comments]])=0,"",stdProdLT(Main[[#This Row],[Comments]])))</f>
        <v/>
      </c>
      <c r="H1202" s="103">
        <f>IF(AND(Main[[#This Row],[In Stock Date]]&lt;&gt;"",Main[[#This Row],[Revised Due Date]]&lt;&gt;""),Main[[#This Row],[In Stock Date]]-Main[[#This Row],[Revised Due Date]],"")</f>
        <v>-342</v>
      </c>
      <c r="I1202" s="99" t="s">
        <v>74</v>
      </c>
      <c r="J1202" s="99" t="s">
        <v>28</v>
      </c>
      <c r="K1202" s="99" t="s">
        <v>1974</v>
      </c>
      <c r="L1202" s="101"/>
      <c r="M1202" s="104" t="str">
        <f>IF(Main[[#This Row],[Tech Start Date]]&lt;1/1/1990,"",IF(Main[[#This Row],[Class]]="C",WORKDAY(Main[[#This Row],[Tech Start Date]],9),IF(Main[[#This Row],[Class]]="B", WORKDAY(Main[[#This Row],[Tech Start Date]],6),IF(Main[[#This Row],[Class]]="A",WORKDAY(Main[[#This Row],[Tech Start Date]],2),""))))</f>
        <v/>
      </c>
      <c r="N1202" s="104" t="str">
        <f>IF(Main[[#This Row],[Tech Start Date]]&lt;1/1/1990,"",IF(Main[[#This Row],[Class]]="C",WORKDAY(Main[[#This Row],[Tech Start Date]],19),IF(Main[[#This Row],[Class]]="B", WORKDAY(Main[[#This Row],[Tech Start Date]],12),IF(Main[[#This Row],[Class]]="A",WORKDAY(Main[[#This Row],[Tech Start Date]],4),""))))</f>
        <v/>
      </c>
      <c r="O1202" s="104" t="str">
        <f>IF(Main[[#This Row],[Tech Start Date]]&lt;1/1/1990,"",IF(Main[[#This Row],[Class]]="C",WORKDAY(Main[[#This Row],[Tech Start Date]],23),IF(Main[[#This Row],[Class]]="B", WORKDAY(Main[[#This Row],[Tech Start Date]],15),IF(Main[[#This Row],[Class]]="A",WORKDAY(Main[[#This Row],[Tech Start Date]],5),""))))</f>
        <v/>
      </c>
      <c r="P1202" s="104" t="str">
        <f>IF(Main[[#This Row],[Tech Start Date]]&lt;1/1/1990,"",IF(Main[[#This Row],[Class]]="C",WORKDAY(Main[[#This Row],[Tech Start Date]],28),IF(Main[[#This Row],[Class]]="B", WORKDAY(Main[[#This Row],[Tech Start Date]],19),IF(Main[[#This Row],[Class]]="A",WORKDAY(Main[[#This Row],[Tech Start Date]],9),""))))</f>
        <v/>
      </c>
      <c r="Q1202" s="101"/>
      <c r="R1202" s="101">
        <v>40875</v>
      </c>
      <c r="S1202" s="99" t="s">
        <v>17</v>
      </c>
      <c r="T1202" s="107" t="s">
        <v>4</v>
      </c>
      <c r="U1202" s="99" t="s">
        <v>29</v>
      </c>
      <c r="V1202" s="99" t="s">
        <v>1965</v>
      </c>
      <c r="W1202" s="99" t="s">
        <v>1970</v>
      </c>
    </row>
    <row r="1203" spans="1:23" ht="18.600000000000001" customHeight="1">
      <c r="A1203" s="123" t="str">
        <f>IF(priority(Main[[#This Row],[Comments]])&lt;&gt;0, priority(Main[[#This Row],[Comments]]),"")</f>
        <v/>
      </c>
      <c r="B1203" s="127" t="s">
        <v>1664</v>
      </c>
      <c r="C1203" s="99" t="s">
        <v>4</v>
      </c>
      <c r="D1203" s="100" t="s">
        <v>711</v>
      </c>
      <c r="E1203" s="101">
        <v>40218.669039351851</v>
      </c>
      <c r="F1203" s="101"/>
      <c r="G1203" s="102" t="str">
        <f>IF(stdProdLT(Main[[#This Row],[Comments]])=0.1,"N/A",IF(stdProdLT(Main[[#This Row],[Comments]])=0,"",stdProdLT(Main[[#This Row],[Comments]])))</f>
        <v/>
      </c>
      <c r="H1203" s="103" t="str">
        <f>IF(AND(Main[[#This Row],[In Stock Date]]&lt;&gt;"",Main[[#This Row],[Revised Due Date]]&lt;&gt;""),Main[[#This Row],[In Stock Date]]-Main[[#This Row],[Revised Due Date]],"")</f>
        <v/>
      </c>
      <c r="I1203" s="99" t="s">
        <v>4</v>
      </c>
      <c r="J1203" s="99" t="s">
        <v>4</v>
      </c>
      <c r="K1203" s="99" t="s">
        <v>4</v>
      </c>
      <c r="L1203" s="101"/>
      <c r="M1203" s="104" t="str">
        <f>IF(Main[[#This Row],[Tech Start Date]]&lt;1/1/1990,"",IF(Main[[#This Row],[Class]]="C",WORKDAY(Main[[#This Row],[Tech Start Date]],9),IF(Main[[#This Row],[Class]]="B", WORKDAY(Main[[#This Row],[Tech Start Date]],6),IF(Main[[#This Row],[Class]]="A",WORKDAY(Main[[#This Row],[Tech Start Date]],2),""))))</f>
        <v/>
      </c>
      <c r="N1203" s="104" t="str">
        <f>IF(Main[[#This Row],[Tech Start Date]]&lt;1/1/1990,"",IF(Main[[#This Row],[Class]]="C",WORKDAY(Main[[#This Row],[Tech Start Date]],19),IF(Main[[#This Row],[Class]]="B", WORKDAY(Main[[#This Row],[Tech Start Date]],12),IF(Main[[#This Row],[Class]]="A",WORKDAY(Main[[#This Row],[Tech Start Date]],4),""))))</f>
        <v/>
      </c>
      <c r="O1203" s="104" t="str">
        <f>IF(Main[[#This Row],[Tech Start Date]]&lt;1/1/1990,"",IF(Main[[#This Row],[Class]]="C",WORKDAY(Main[[#This Row],[Tech Start Date]],23),IF(Main[[#This Row],[Class]]="B", WORKDAY(Main[[#This Row],[Tech Start Date]],15),IF(Main[[#This Row],[Class]]="A",WORKDAY(Main[[#This Row],[Tech Start Date]],5),""))))</f>
        <v/>
      </c>
      <c r="P1203" s="104" t="str">
        <f>IF(Main[[#This Row],[Tech Start Date]]&lt;1/1/1990,"",IF(Main[[#This Row],[Class]]="C",WORKDAY(Main[[#This Row],[Tech Start Date]],28),IF(Main[[#This Row],[Class]]="B", WORKDAY(Main[[#This Row],[Tech Start Date]],19),IF(Main[[#This Row],[Class]]="A",WORKDAY(Main[[#This Row],[Tech Start Date]],9),""))))</f>
        <v/>
      </c>
      <c r="Q1203" s="101">
        <v>40237</v>
      </c>
      <c r="R1203" s="101"/>
      <c r="S1203" s="99" t="s">
        <v>17</v>
      </c>
      <c r="T1203" s="107" t="s">
        <v>4</v>
      </c>
      <c r="U1203" s="99" t="s">
        <v>29</v>
      </c>
      <c r="V1203" s="99" t="s">
        <v>1965</v>
      </c>
      <c r="W1203" s="99" t="s">
        <v>4</v>
      </c>
    </row>
    <row r="1204" spans="1:23" ht="18.600000000000001" customHeight="1">
      <c r="A1204" s="123" t="str">
        <f>IF(priority(Main[[#This Row],[Comments]])&lt;&gt;0, priority(Main[[#This Row],[Comments]]),"")</f>
        <v/>
      </c>
      <c r="B1204" s="127" t="s">
        <v>1217</v>
      </c>
      <c r="C1204" s="99" t="s">
        <v>42</v>
      </c>
      <c r="D1204" s="100" t="s">
        <v>245</v>
      </c>
      <c r="E1204" s="101">
        <v>39937.598217592589</v>
      </c>
      <c r="F1204" s="101"/>
      <c r="G1204" s="102" t="str">
        <f>IF(stdProdLT(Main[[#This Row],[Comments]])=0.1,"N/A",IF(stdProdLT(Main[[#This Row],[Comments]])=0,"",stdProdLT(Main[[#This Row],[Comments]])))</f>
        <v/>
      </c>
      <c r="H1204" s="103" t="str">
        <f>IF(AND(Main[[#This Row],[In Stock Date]]&lt;&gt;"",Main[[#This Row],[Revised Due Date]]&lt;&gt;""),Main[[#This Row],[In Stock Date]]-Main[[#This Row],[Revised Due Date]],"")</f>
        <v/>
      </c>
      <c r="I1204" s="99" t="s">
        <v>4</v>
      </c>
      <c r="J1204" s="99" t="s">
        <v>4</v>
      </c>
      <c r="K1204" s="99" t="s">
        <v>4</v>
      </c>
      <c r="L1204" s="101"/>
      <c r="M1204" s="104" t="str">
        <f>IF(Main[[#This Row],[Tech Start Date]]&lt;1/1/1990,"",IF(Main[[#This Row],[Class]]="C",WORKDAY(Main[[#This Row],[Tech Start Date]],9),IF(Main[[#This Row],[Class]]="B", WORKDAY(Main[[#This Row],[Tech Start Date]],6),IF(Main[[#This Row],[Class]]="A",WORKDAY(Main[[#This Row],[Tech Start Date]],2),""))))</f>
        <v/>
      </c>
      <c r="N1204" s="104" t="str">
        <f>IF(Main[[#This Row],[Tech Start Date]]&lt;1/1/1990,"",IF(Main[[#This Row],[Class]]="C",WORKDAY(Main[[#This Row],[Tech Start Date]],19),IF(Main[[#This Row],[Class]]="B", WORKDAY(Main[[#This Row],[Tech Start Date]],12),IF(Main[[#This Row],[Class]]="A",WORKDAY(Main[[#This Row],[Tech Start Date]],4),""))))</f>
        <v/>
      </c>
      <c r="O1204" s="104" t="str">
        <f>IF(Main[[#This Row],[Tech Start Date]]&lt;1/1/1990,"",IF(Main[[#This Row],[Class]]="C",WORKDAY(Main[[#This Row],[Tech Start Date]],23),IF(Main[[#This Row],[Class]]="B", WORKDAY(Main[[#This Row],[Tech Start Date]],15),IF(Main[[#This Row],[Class]]="A",WORKDAY(Main[[#This Row],[Tech Start Date]],5),""))))</f>
        <v/>
      </c>
      <c r="P1204" s="104" t="str">
        <f>IF(Main[[#This Row],[Tech Start Date]]&lt;1/1/1990,"",IF(Main[[#This Row],[Class]]="C",WORKDAY(Main[[#This Row],[Tech Start Date]],28),IF(Main[[#This Row],[Class]]="B", WORKDAY(Main[[#This Row],[Tech Start Date]],19),IF(Main[[#This Row],[Class]]="A",WORKDAY(Main[[#This Row],[Tech Start Date]],9),""))))</f>
        <v/>
      </c>
      <c r="Q1204" s="101"/>
      <c r="R1204" s="101">
        <v>41289</v>
      </c>
      <c r="S1204" s="99" t="s">
        <v>17</v>
      </c>
      <c r="T1204" s="107" t="s">
        <v>4</v>
      </c>
      <c r="U1204" s="99" t="s">
        <v>29</v>
      </c>
      <c r="V1204" s="99" t="s">
        <v>1965</v>
      </c>
      <c r="W1204" s="99" t="s">
        <v>4</v>
      </c>
    </row>
    <row r="1205" spans="1:23" ht="18.600000000000001" customHeight="1">
      <c r="A1205" s="123" t="str">
        <f>IF(priority(Main[[#This Row],[Comments]])&lt;&gt;0, priority(Main[[#This Row],[Comments]]),"")</f>
        <v/>
      </c>
      <c r="B1205" s="127" t="s">
        <v>1871</v>
      </c>
      <c r="C1205" s="99" t="s">
        <v>4</v>
      </c>
      <c r="D1205" s="100" t="s">
        <v>897</v>
      </c>
      <c r="E1205" s="101">
        <v>40284.719155092593</v>
      </c>
      <c r="F1205" s="101"/>
      <c r="G1205" s="102" t="str">
        <f>IF(stdProdLT(Main[[#This Row],[Comments]])=0.1,"N/A",IF(stdProdLT(Main[[#This Row],[Comments]])=0,"",stdProdLT(Main[[#This Row],[Comments]])))</f>
        <v/>
      </c>
      <c r="H1205" s="103" t="str">
        <f>IF(AND(Main[[#This Row],[In Stock Date]]&lt;&gt;"",Main[[#This Row],[Revised Due Date]]&lt;&gt;""),Main[[#This Row],[In Stock Date]]-Main[[#This Row],[Revised Due Date]],"")</f>
        <v/>
      </c>
      <c r="I1205" s="99" t="s">
        <v>4</v>
      </c>
      <c r="J1205" s="99" t="s">
        <v>52</v>
      </c>
      <c r="K1205" s="99" t="s">
        <v>1974</v>
      </c>
      <c r="L1205" s="101"/>
      <c r="M1205" s="104" t="str">
        <f>IF(Main[[#This Row],[Tech Start Date]]&lt;1/1/1990,"",IF(Main[[#This Row],[Class]]="C",WORKDAY(Main[[#This Row],[Tech Start Date]],9),IF(Main[[#This Row],[Class]]="B", WORKDAY(Main[[#This Row],[Tech Start Date]],6),IF(Main[[#This Row],[Class]]="A",WORKDAY(Main[[#This Row],[Tech Start Date]],2),""))))</f>
        <v/>
      </c>
      <c r="N1205" s="104" t="str">
        <f>IF(Main[[#This Row],[Tech Start Date]]&lt;1/1/1990,"",IF(Main[[#This Row],[Class]]="C",WORKDAY(Main[[#This Row],[Tech Start Date]],19),IF(Main[[#This Row],[Class]]="B", WORKDAY(Main[[#This Row],[Tech Start Date]],12),IF(Main[[#This Row],[Class]]="A",WORKDAY(Main[[#This Row],[Tech Start Date]],4),""))))</f>
        <v/>
      </c>
      <c r="O1205" s="104" t="str">
        <f>IF(Main[[#This Row],[Tech Start Date]]&lt;1/1/1990,"",IF(Main[[#This Row],[Class]]="C",WORKDAY(Main[[#This Row],[Tech Start Date]],23),IF(Main[[#This Row],[Class]]="B", WORKDAY(Main[[#This Row],[Tech Start Date]],15),IF(Main[[#This Row],[Class]]="A",WORKDAY(Main[[#This Row],[Tech Start Date]],5),""))))</f>
        <v/>
      </c>
      <c r="P1205" s="104" t="str">
        <f>IF(Main[[#This Row],[Tech Start Date]]&lt;1/1/1990,"",IF(Main[[#This Row],[Class]]="C",WORKDAY(Main[[#This Row],[Tech Start Date]],28),IF(Main[[#This Row],[Class]]="B", WORKDAY(Main[[#This Row],[Tech Start Date]],19),IF(Main[[#This Row],[Class]]="A",WORKDAY(Main[[#This Row],[Tech Start Date]],9),""))))</f>
        <v/>
      </c>
      <c r="Q1205" s="101">
        <v>40389</v>
      </c>
      <c r="R1205" s="101">
        <v>40403</v>
      </c>
      <c r="S1205" s="99" t="s">
        <v>17</v>
      </c>
      <c r="T1205" s="107" t="s">
        <v>4</v>
      </c>
      <c r="U1205" s="99" t="s">
        <v>29</v>
      </c>
      <c r="V1205" s="99" t="s">
        <v>1962</v>
      </c>
      <c r="W1205" s="99" t="s">
        <v>1976</v>
      </c>
    </row>
    <row r="1206" spans="1:23" ht="18.600000000000001" customHeight="1">
      <c r="A1206" s="123" t="str">
        <f>IF(priority(Main[[#This Row],[Comments]])&lt;&gt;0, priority(Main[[#This Row],[Comments]]),"")</f>
        <v/>
      </c>
      <c r="B1206" s="127" t="s">
        <v>2115</v>
      </c>
      <c r="C1206" s="99" t="s">
        <v>4</v>
      </c>
      <c r="D1206" s="100" t="s">
        <v>2116</v>
      </c>
      <c r="E1206" s="101">
        <v>40757.464699074073</v>
      </c>
      <c r="F1206" s="101"/>
      <c r="G1206" s="102" t="str">
        <f>IF(stdProdLT(Main[[#This Row],[Comments]])=0.1,"N/A",IF(stdProdLT(Main[[#This Row],[Comments]])=0,"",stdProdLT(Main[[#This Row],[Comments]])))</f>
        <v/>
      </c>
      <c r="H1206" s="103" t="str">
        <f>IF(AND(Main[[#This Row],[In Stock Date]]&lt;&gt;"",Main[[#This Row],[Revised Due Date]]&lt;&gt;""),Main[[#This Row],[In Stock Date]]-Main[[#This Row],[Revised Due Date]],"")</f>
        <v/>
      </c>
      <c r="I1206" s="99" t="s">
        <v>4</v>
      </c>
      <c r="J1206" s="99" t="s">
        <v>4</v>
      </c>
      <c r="K1206" s="99" t="s">
        <v>4</v>
      </c>
      <c r="L1206" s="101"/>
      <c r="M1206" s="104" t="str">
        <f>IF(Main[[#This Row],[Tech Start Date]]&lt;1/1/1990,"",IF(Main[[#This Row],[Class]]="C",WORKDAY(Main[[#This Row],[Tech Start Date]],9),IF(Main[[#This Row],[Class]]="B", WORKDAY(Main[[#This Row],[Tech Start Date]],6),IF(Main[[#This Row],[Class]]="A",WORKDAY(Main[[#This Row],[Tech Start Date]],2),""))))</f>
        <v/>
      </c>
      <c r="N1206" s="104" t="str">
        <f>IF(Main[[#This Row],[Tech Start Date]]&lt;1/1/1990,"",IF(Main[[#This Row],[Class]]="C",WORKDAY(Main[[#This Row],[Tech Start Date]],19),IF(Main[[#This Row],[Class]]="B", WORKDAY(Main[[#This Row],[Tech Start Date]],12),IF(Main[[#This Row],[Class]]="A",WORKDAY(Main[[#This Row],[Tech Start Date]],4),""))))</f>
        <v/>
      </c>
      <c r="O1206" s="104" t="str">
        <f>IF(Main[[#This Row],[Tech Start Date]]&lt;1/1/1990,"",IF(Main[[#This Row],[Class]]="C",WORKDAY(Main[[#This Row],[Tech Start Date]],23),IF(Main[[#This Row],[Class]]="B", WORKDAY(Main[[#This Row],[Tech Start Date]],15),IF(Main[[#This Row],[Class]]="A",WORKDAY(Main[[#This Row],[Tech Start Date]],5),""))))</f>
        <v/>
      </c>
      <c r="P1206" s="104" t="str">
        <f>IF(Main[[#This Row],[Tech Start Date]]&lt;1/1/1990,"",IF(Main[[#This Row],[Class]]="C",WORKDAY(Main[[#This Row],[Tech Start Date]],28),IF(Main[[#This Row],[Class]]="B", WORKDAY(Main[[#This Row],[Tech Start Date]],19),IF(Main[[#This Row],[Class]]="A",WORKDAY(Main[[#This Row],[Tech Start Date]],9),""))))</f>
        <v/>
      </c>
      <c r="Q1206" s="101"/>
      <c r="R1206" s="101"/>
      <c r="S1206" s="99" t="s">
        <v>17</v>
      </c>
      <c r="T1206" s="107" t="s">
        <v>4</v>
      </c>
      <c r="U1206" s="99" t="s">
        <v>29</v>
      </c>
      <c r="V1206" s="99" t="s">
        <v>1965</v>
      </c>
      <c r="W1206" s="99" t="s">
        <v>4</v>
      </c>
    </row>
    <row r="1207" spans="1:23" ht="18.600000000000001" customHeight="1">
      <c r="A1207" s="123" t="str">
        <f>IF(priority(Main[[#This Row],[Comments]])&lt;&gt;0, priority(Main[[#This Row],[Comments]]),"")</f>
        <v/>
      </c>
      <c r="B1207" s="127" t="s">
        <v>1541</v>
      </c>
      <c r="C1207" s="99" t="s">
        <v>584</v>
      </c>
      <c r="D1207" s="100" t="s">
        <v>2829</v>
      </c>
      <c r="E1207" s="101"/>
      <c r="F1207" s="101"/>
      <c r="G1207" s="102" t="str">
        <f>IF(stdProdLT(Main[[#This Row],[Comments]])=0.1,"N/A",IF(stdProdLT(Main[[#This Row],[Comments]])=0,"",stdProdLT(Main[[#This Row],[Comments]])))</f>
        <v/>
      </c>
      <c r="H1207" s="103" t="str">
        <f>IF(AND(Main[[#This Row],[In Stock Date]]&lt;&gt;"",Main[[#This Row],[Revised Due Date]]&lt;&gt;""),Main[[#This Row],[In Stock Date]]-Main[[#This Row],[Revised Due Date]],"")</f>
        <v/>
      </c>
      <c r="I1207" s="99" t="s">
        <v>4</v>
      </c>
      <c r="J1207" s="99" t="s">
        <v>28</v>
      </c>
      <c r="K1207" s="99" t="s">
        <v>1969</v>
      </c>
      <c r="L1207" s="101"/>
      <c r="M1207" s="104" t="str">
        <f>IF(Main[[#This Row],[Tech Start Date]]&lt;1/1/1990,"",IF(Main[[#This Row],[Class]]="C",WORKDAY(Main[[#This Row],[Tech Start Date]],9),IF(Main[[#This Row],[Class]]="B", WORKDAY(Main[[#This Row],[Tech Start Date]],6),IF(Main[[#This Row],[Class]]="A",WORKDAY(Main[[#This Row],[Tech Start Date]],2),""))))</f>
        <v/>
      </c>
      <c r="N1207" s="104" t="str">
        <f>IF(Main[[#This Row],[Tech Start Date]]&lt;1/1/1990,"",IF(Main[[#This Row],[Class]]="C",WORKDAY(Main[[#This Row],[Tech Start Date]],19),IF(Main[[#This Row],[Class]]="B", WORKDAY(Main[[#This Row],[Tech Start Date]],12),IF(Main[[#This Row],[Class]]="A",WORKDAY(Main[[#This Row],[Tech Start Date]],4),""))))</f>
        <v/>
      </c>
      <c r="O1207" s="104" t="str">
        <f>IF(Main[[#This Row],[Tech Start Date]]&lt;1/1/1990,"",IF(Main[[#This Row],[Class]]="C",WORKDAY(Main[[#This Row],[Tech Start Date]],23),IF(Main[[#This Row],[Class]]="B", WORKDAY(Main[[#This Row],[Tech Start Date]],15),IF(Main[[#This Row],[Class]]="A",WORKDAY(Main[[#This Row],[Tech Start Date]],5),""))))</f>
        <v/>
      </c>
      <c r="P1207" s="104" t="str">
        <f>IF(Main[[#This Row],[Tech Start Date]]&lt;1/1/1990,"",IF(Main[[#This Row],[Class]]="C",WORKDAY(Main[[#This Row],[Tech Start Date]],28),IF(Main[[#This Row],[Class]]="B", WORKDAY(Main[[#This Row],[Tech Start Date]],19),IF(Main[[#This Row],[Class]]="A",WORKDAY(Main[[#This Row],[Tech Start Date]],9),""))))</f>
        <v/>
      </c>
      <c r="Q1207" s="101">
        <v>40486</v>
      </c>
      <c r="R1207" s="101"/>
      <c r="S1207" s="99" t="s">
        <v>6</v>
      </c>
      <c r="T1207" s="107" t="s">
        <v>4</v>
      </c>
      <c r="U1207" s="99" t="s">
        <v>14</v>
      </c>
      <c r="V1207" s="99" t="s">
        <v>1962</v>
      </c>
      <c r="W1207" s="99" t="s">
        <v>1966</v>
      </c>
    </row>
    <row r="1208" spans="1:23" ht="18.600000000000001" customHeight="1">
      <c r="A1208" s="123" t="str">
        <f>IF(priority(Main[[#This Row],[Comments]])&lt;&gt;0, priority(Main[[#This Row],[Comments]]),"")</f>
        <v/>
      </c>
      <c r="B1208" s="127" t="s">
        <v>2152</v>
      </c>
      <c r="C1208" s="99" t="s">
        <v>4</v>
      </c>
      <c r="D1208" s="100" t="s">
        <v>2830</v>
      </c>
      <c r="E1208" s="101">
        <v>40760.553842592592</v>
      </c>
      <c r="F1208" s="101"/>
      <c r="G1208" s="102" t="str">
        <f>IF(stdProdLT(Main[[#This Row],[Comments]])=0.1,"N/A",IF(stdProdLT(Main[[#This Row],[Comments]])=0,"",stdProdLT(Main[[#This Row],[Comments]])))</f>
        <v/>
      </c>
      <c r="H1208" s="103" t="str">
        <f>IF(AND(Main[[#This Row],[In Stock Date]]&lt;&gt;"",Main[[#This Row],[Revised Due Date]]&lt;&gt;""),Main[[#This Row],[In Stock Date]]-Main[[#This Row],[Revised Due Date]],"")</f>
        <v/>
      </c>
      <c r="I1208" s="99" t="s">
        <v>4</v>
      </c>
      <c r="J1208" s="99" t="s">
        <v>4</v>
      </c>
      <c r="K1208" s="99" t="s">
        <v>4</v>
      </c>
      <c r="L1208" s="101"/>
      <c r="M1208" s="104" t="str">
        <f>IF(Main[[#This Row],[Tech Start Date]]&lt;1/1/1990,"",IF(Main[[#This Row],[Class]]="C",WORKDAY(Main[[#This Row],[Tech Start Date]],9),IF(Main[[#This Row],[Class]]="B", WORKDAY(Main[[#This Row],[Tech Start Date]],6),IF(Main[[#This Row],[Class]]="A",WORKDAY(Main[[#This Row],[Tech Start Date]],2),""))))</f>
        <v/>
      </c>
      <c r="N1208" s="104" t="str">
        <f>IF(Main[[#This Row],[Tech Start Date]]&lt;1/1/1990,"",IF(Main[[#This Row],[Class]]="C",WORKDAY(Main[[#This Row],[Tech Start Date]],19),IF(Main[[#This Row],[Class]]="B", WORKDAY(Main[[#This Row],[Tech Start Date]],12),IF(Main[[#This Row],[Class]]="A",WORKDAY(Main[[#This Row],[Tech Start Date]],4),""))))</f>
        <v/>
      </c>
      <c r="O1208" s="104" t="str">
        <f>IF(Main[[#This Row],[Tech Start Date]]&lt;1/1/1990,"",IF(Main[[#This Row],[Class]]="C",WORKDAY(Main[[#This Row],[Tech Start Date]],23),IF(Main[[#This Row],[Class]]="B", WORKDAY(Main[[#This Row],[Tech Start Date]],15),IF(Main[[#This Row],[Class]]="A",WORKDAY(Main[[#This Row],[Tech Start Date]],5),""))))</f>
        <v/>
      </c>
      <c r="P1208" s="104" t="str">
        <f>IF(Main[[#This Row],[Tech Start Date]]&lt;1/1/1990,"",IF(Main[[#This Row],[Class]]="C",WORKDAY(Main[[#This Row],[Tech Start Date]],28),IF(Main[[#This Row],[Class]]="B", WORKDAY(Main[[#This Row],[Tech Start Date]],19),IF(Main[[#This Row],[Class]]="A",WORKDAY(Main[[#This Row],[Tech Start Date]],9),""))))</f>
        <v/>
      </c>
      <c r="Q1208" s="101"/>
      <c r="R1208" s="101"/>
      <c r="S1208" s="99" t="s">
        <v>6</v>
      </c>
      <c r="T1208" s="107" t="s">
        <v>4</v>
      </c>
      <c r="U1208" s="99" t="s">
        <v>7</v>
      </c>
      <c r="V1208" s="99" t="s">
        <v>1962</v>
      </c>
      <c r="W1208" s="99" t="s">
        <v>1966</v>
      </c>
    </row>
    <row r="1209" spans="1:23" ht="18.600000000000001" customHeight="1">
      <c r="A1209" s="123" t="str">
        <f>IF(priority(Main[[#This Row],[Comments]])&lt;&gt;0, priority(Main[[#This Row],[Comments]]),"")</f>
        <v/>
      </c>
      <c r="B1209" s="127" t="s">
        <v>2513</v>
      </c>
      <c r="C1209" s="99" t="s">
        <v>4</v>
      </c>
      <c r="D1209" s="100" t="s">
        <v>2514</v>
      </c>
      <c r="E1209" s="101"/>
      <c r="F1209" s="101"/>
      <c r="G1209" s="102" t="str">
        <f>IF(stdProdLT(Main[[#This Row],[Comments]])=0.1,"N/A",IF(stdProdLT(Main[[#This Row],[Comments]])=0,"",stdProdLT(Main[[#This Row],[Comments]])))</f>
        <v/>
      </c>
      <c r="H1209" s="103" t="str">
        <f>IF(AND(Main[[#This Row],[In Stock Date]]&lt;&gt;"",Main[[#This Row],[Revised Due Date]]&lt;&gt;""),Main[[#This Row],[In Stock Date]]-Main[[#This Row],[Revised Due Date]],"")</f>
        <v/>
      </c>
      <c r="I1209" s="99" t="s">
        <v>4</v>
      </c>
      <c r="J1209" s="99" t="s">
        <v>4</v>
      </c>
      <c r="K1209" s="99" t="s">
        <v>4</v>
      </c>
      <c r="L1209" s="101"/>
      <c r="M1209" s="104" t="str">
        <f>IF(Main[[#This Row],[Tech Start Date]]&lt;1/1/1990,"",IF(Main[[#This Row],[Class]]="C",WORKDAY(Main[[#This Row],[Tech Start Date]],9),IF(Main[[#This Row],[Class]]="B", WORKDAY(Main[[#This Row],[Tech Start Date]],6),IF(Main[[#This Row],[Class]]="A",WORKDAY(Main[[#This Row],[Tech Start Date]],2),""))))</f>
        <v/>
      </c>
      <c r="N1209" s="104" t="str">
        <f>IF(Main[[#This Row],[Tech Start Date]]&lt;1/1/1990,"",IF(Main[[#This Row],[Class]]="C",WORKDAY(Main[[#This Row],[Tech Start Date]],19),IF(Main[[#This Row],[Class]]="B", WORKDAY(Main[[#This Row],[Tech Start Date]],12),IF(Main[[#This Row],[Class]]="A",WORKDAY(Main[[#This Row],[Tech Start Date]],4),""))))</f>
        <v/>
      </c>
      <c r="O1209" s="104" t="str">
        <f>IF(Main[[#This Row],[Tech Start Date]]&lt;1/1/1990,"",IF(Main[[#This Row],[Class]]="C",WORKDAY(Main[[#This Row],[Tech Start Date]],23),IF(Main[[#This Row],[Class]]="B", WORKDAY(Main[[#This Row],[Tech Start Date]],15),IF(Main[[#This Row],[Class]]="A",WORKDAY(Main[[#This Row],[Tech Start Date]],5),""))))</f>
        <v/>
      </c>
      <c r="P1209" s="104" t="str">
        <f>IF(Main[[#This Row],[Tech Start Date]]&lt;1/1/1990,"",IF(Main[[#This Row],[Class]]="C",WORKDAY(Main[[#This Row],[Tech Start Date]],28),IF(Main[[#This Row],[Class]]="B", WORKDAY(Main[[#This Row],[Tech Start Date]],19),IF(Main[[#This Row],[Class]]="A",WORKDAY(Main[[#This Row],[Tech Start Date]],9),""))))</f>
        <v/>
      </c>
      <c r="Q1209" s="101"/>
      <c r="R1209" s="101"/>
      <c r="S1209" s="99" t="s">
        <v>6</v>
      </c>
      <c r="T1209" s="107" t="s">
        <v>4</v>
      </c>
      <c r="U1209" s="99" t="s">
        <v>14</v>
      </c>
      <c r="V1209" s="99" t="s">
        <v>1962</v>
      </c>
      <c r="W1209" s="99" t="s">
        <v>1966</v>
      </c>
    </row>
    <row r="1210" spans="1:23" ht="18.600000000000001" customHeight="1">
      <c r="A1210" s="123" t="str">
        <f>IF(priority(Main[[#This Row],[Comments]])&lt;&gt;0, priority(Main[[#This Row],[Comments]]),"")</f>
        <v/>
      </c>
      <c r="B1210" s="127" t="s">
        <v>2824</v>
      </c>
      <c r="C1210" s="99" t="s">
        <v>4</v>
      </c>
      <c r="D1210" s="100" t="s">
        <v>738</v>
      </c>
      <c r="E1210" s="101"/>
      <c r="F1210" s="101"/>
      <c r="G1210" s="102" t="str">
        <f>IF(stdProdLT(Main[[#This Row],[Comments]])=0.1,"N/A",IF(stdProdLT(Main[[#This Row],[Comments]])=0,"",stdProdLT(Main[[#This Row],[Comments]])))</f>
        <v/>
      </c>
      <c r="H1210" s="103" t="str">
        <f>IF(AND(Main[[#This Row],[In Stock Date]]&lt;&gt;"",Main[[#This Row],[Revised Due Date]]&lt;&gt;""),Main[[#This Row],[In Stock Date]]-Main[[#This Row],[Revised Due Date]],"")</f>
        <v/>
      </c>
      <c r="I1210" s="99" t="s">
        <v>4</v>
      </c>
      <c r="J1210" s="99" t="s">
        <v>4</v>
      </c>
      <c r="K1210" s="99" t="s">
        <v>4</v>
      </c>
      <c r="L1210" s="101"/>
      <c r="M1210" s="104" t="str">
        <f>IF(Main[[#This Row],[Tech Start Date]]&lt;1/1/1990,"",IF(Main[[#This Row],[Class]]="C",WORKDAY(Main[[#This Row],[Tech Start Date]],9),IF(Main[[#This Row],[Class]]="B", WORKDAY(Main[[#This Row],[Tech Start Date]],6),IF(Main[[#This Row],[Class]]="A",WORKDAY(Main[[#This Row],[Tech Start Date]],2),""))))</f>
        <v/>
      </c>
      <c r="N1210" s="104" t="str">
        <f>IF(Main[[#This Row],[Tech Start Date]]&lt;1/1/1990,"",IF(Main[[#This Row],[Class]]="C",WORKDAY(Main[[#This Row],[Tech Start Date]],19),IF(Main[[#This Row],[Class]]="B", WORKDAY(Main[[#This Row],[Tech Start Date]],12),IF(Main[[#This Row],[Class]]="A",WORKDAY(Main[[#This Row],[Tech Start Date]],4),""))))</f>
        <v/>
      </c>
      <c r="O1210" s="104" t="str">
        <f>IF(Main[[#This Row],[Tech Start Date]]&lt;1/1/1990,"",IF(Main[[#This Row],[Class]]="C",WORKDAY(Main[[#This Row],[Tech Start Date]],23),IF(Main[[#This Row],[Class]]="B", WORKDAY(Main[[#This Row],[Tech Start Date]],15),IF(Main[[#This Row],[Class]]="A",WORKDAY(Main[[#This Row],[Tech Start Date]],5),""))))</f>
        <v/>
      </c>
      <c r="P1210" s="104" t="str">
        <f>IF(Main[[#This Row],[Tech Start Date]]&lt;1/1/1990,"",IF(Main[[#This Row],[Class]]="C",WORKDAY(Main[[#This Row],[Tech Start Date]],28),IF(Main[[#This Row],[Class]]="B", WORKDAY(Main[[#This Row],[Tech Start Date]],19),IF(Main[[#This Row],[Class]]="A",WORKDAY(Main[[#This Row],[Tech Start Date]],9),""))))</f>
        <v/>
      </c>
      <c r="Q1210" s="101"/>
      <c r="R1210" s="101"/>
      <c r="S1210" s="99" t="s">
        <v>4</v>
      </c>
      <c r="T1210" s="107" t="s">
        <v>4</v>
      </c>
      <c r="U1210" s="99" t="s">
        <v>14</v>
      </c>
      <c r="V1210" s="99" t="s">
        <v>1965</v>
      </c>
      <c r="W1210" s="99" t="s">
        <v>4</v>
      </c>
    </row>
    <row r="1211" spans="1:23" ht="18.600000000000001" customHeight="1">
      <c r="A1211" s="123" t="str">
        <f>IF(priority(Main[[#This Row],[Comments]])&lt;&gt;0, priority(Main[[#This Row],[Comments]]),"")</f>
        <v/>
      </c>
      <c r="B1211" s="127" t="s">
        <v>2271</v>
      </c>
      <c r="C1211" s="99" t="s">
        <v>4</v>
      </c>
      <c r="D1211" s="100" t="s">
        <v>2835</v>
      </c>
      <c r="E1211" s="101">
        <v>40787.597581018519</v>
      </c>
      <c r="F1211" s="101"/>
      <c r="G1211" s="102" t="str">
        <f>IF(stdProdLT(Main[[#This Row],[Comments]])=0.1,"N/A",IF(stdProdLT(Main[[#This Row],[Comments]])=0,"",stdProdLT(Main[[#This Row],[Comments]])))</f>
        <v/>
      </c>
      <c r="H1211" s="103" t="str">
        <f>IF(AND(Main[[#This Row],[In Stock Date]]&lt;&gt;"",Main[[#This Row],[Revised Due Date]]&lt;&gt;""),Main[[#This Row],[In Stock Date]]-Main[[#This Row],[Revised Due Date]],"")</f>
        <v/>
      </c>
      <c r="I1211" s="99" t="s">
        <v>536</v>
      </c>
      <c r="J1211" s="99" t="s">
        <v>28</v>
      </c>
      <c r="K1211" s="99" t="s">
        <v>1969</v>
      </c>
      <c r="L1211" s="101"/>
      <c r="M1211" s="104" t="str">
        <f>IF(Main[[#This Row],[Tech Start Date]]&lt;1/1/1990,"",IF(Main[[#This Row],[Class]]="C",WORKDAY(Main[[#This Row],[Tech Start Date]],9),IF(Main[[#This Row],[Class]]="B", WORKDAY(Main[[#This Row],[Tech Start Date]],6),IF(Main[[#This Row],[Class]]="A",WORKDAY(Main[[#This Row],[Tech Start Date]],2),""))))</f>
        <v/>
      </c>
      <c r="N1211" s="104" t="str">
        <f>IF(Main[[#This Row],[Tech Start Date]]&lt;1/1/1990,"",IF(Main[[#This Row],[Class]]="C",WORKDAY(Main[[#This Row],[Tech Start Date]],19),IF(Main[[#This Row],[Class]]="B", WORKDAY(Main[[#This Row],[Tech Start Date]],12),IF(Main[[#This Row],[Class]]="A",WORKDAY(Main[[#This Row],[Tech Start Date]],4),""))))</f>
        <v/>
      </c>
      <c r="O1211" s="104" t="str">
        <f>IF(Main[[#This Row],[Tech Start Date]]&lt;1/1/1990,"",IF(Main[[#This Row],[Class]]="C",WORKDAY(Main[[#This Row],[Tech Start Date]],23),IF(Main[[#This Row],[Class]]="B", WORKDAY(Main[[#This Row],[Tech Start Date]],15),IF(Main[[#This Row],[Class]]="A",WORKDAY(Main[[#This Row],[Tech Start Date]],5),""))))</f>
        <v/>
      </c>
      <c r="P1211" s="104" t="str">
        <f>IF(Main[[#This Row],[Tech Start Date]]&lt;1/1/1990,"",IF(Main[[#This Row],[Class]]="C",WORKDAY(Main[[#This Row],[Tech Start Date]],28),IF(Main[[#This Row],[Class]]="B", WORKDAY(Main[[#This Row],[Tech Start Date]],19),IF(Main[[#This Row],[Class]]="A",WORKDAY(Main[[#This Row],[Tech Start Date]],9),""))))</f>
        <v/>
      </c>
      <c r="Q1211" s="101"/>
      <c r="R1211" s="101"/>
      <c r="S1211" s="99" t="s">
        <v>6</v>
      </c>
      <c r="T1211" s="107" t="s">
        <v>4</v>
      </c>
      <c r="U1211" s="99" t="s">
        <v>29</v>
      </c>
      <c r="V1211" s="99" t="s">
        <v>1965</v>
      </c>
      <c r="W1211" s="99" t="s">
        <v>1966</v>
      </c>
    </row>
    <row r="1212" spans="1:23" ht="18.600000000000001" customHeight="1">
      <c r="A1212" s="123" t="str">
        <f>IF(priority(Main[[#This Row],[Comments]])&lt;&gt;0, priority(Main[[#This Row],[Comments]]),"")</f>
        <v/>
      </c>
      <c r="B1212" s="127" t="s">
        <v>2398</v>
      </c>
      <c r="C1212" s="99" t="s">
        <v>2384</v>
      </c>
      <c r="D1212" s="100" t="s">
        <v>2385</v>
      </c>
      <c r="E1212" s="101"/>
      <c r="F1212" s="101">
        <v>40544</v>
      </c>
      <c r="G1212" s="102" t="str">
        <f>IF(stdProdLT(Main[[#This Row],[Comments]])=0.1,"N/A",IF(stdProdLT(Main[[#This Row],[Comments]])=0,"",stdProdLT(Main[[#This Row],[Comments]])))</f>
        <v/>
      </c>
      <c r="H1212" s="103" t="str">
        <f>IF(AND(Main[[#This Row],[In Stock Date]]&lt;&gt;"",Main[[#This Row],[Revised Due Date]]&lt;&gt;""),Main[[#This Row],[In Stock Date]]-Main[[#This Row],[Revised Due Date]],"")</f>
        <v/>
      </c>
      <c r="I1212" s="99" t="s">
        <v>4</v>
      </c>
      <c r="J1212" s="99" t="s">
        <v>4</v>
      </c>
      <c r="K1212" s="99" t="s">
        <v>4</v>
      </c>
      <c r="L1212" s="101"/>
      <c r="M1212" s="104" t="str">
        <f>IF(Main[[#This Row],[Tech Start Date]]&lt;1/1/1990,"",IF(Main[[#This Row],[Class]]="C",WORKDAY(Main[[#This Row],[Tech Start Date]],9),IF(Main[[#This Row],[Class]]="B", WORKDAY(Main[[#This Row],[Tech Start Date]],6),IF(Main[[#This Row],[Class]]="A",WORKDAY(Main[[#This Row],[Tech Start Date]],2),""))))</f>
        <v/>
      </c>
      <c r="N1212" s="104" t="str">
        <f>IF(Main[[#This Row],[Tech Start Date]]&lt;1/1/1990,"",IF(Main[[#This Row],[Class]]="C",WORKDAY(Main[[#This Row],[Tech Start Date]],19),IF(Main[[#This Row],[Class]]="B", WORKDAY(Main[[#This Row],[Tech Start Date]],12),IF(Main[[#This Row],[Class]]="A",WORKDAY(Main[[#This Row],[Tech Start Date]],4),""))))</f>
        <v/>
      </c>
      <c r="O1212" s="104" t="str">
        <f>IF(Main[[#This Row],[Tech Start Date]]&lt;1/1/1990,"",IF(Main[[#This Row],[Class]]="C",WORKDAY(Main[[#This Row],[Tech Start Date]],23),IF(Main[[#This Row],[Class]]="B", WORKDAY(Main[[#This Row],[Tech Start Date]],15),IF(Main[[#This Row],[Class]]="A",WORKDAY(Main[[#This Row],[Tech Start Date]],5),""))))</f>
        <v/>
      </c>
      <c r="P1212" s="104" t="str">
        <f>IF(Main[[#This Row],[Tech Start Date]]&lt;1/1/1990,"",IF(Main[[#This Row],[Class]]="C",WORKDAY(Main[[#This Row],[Tech Start Date]],28),IF(Main[[#This Row],[Class]]="B", WORKDAY(Main[[#This Row],[Tech Start Date]],19),IF(Main[[#This Row],[Class]]="A",WORKDAY(Main[[#This Row],[Tech Start Date]],9),""))))</f>
        <v/>
      </c>
      <c r="Q1212" s="101"/>
      <c r="R1212" s="101"/>
      <c r="S1212" s="99" t="s">
        <v>11</v>
      </c>
      <c r="T1212" s="107" t="s">
        <v>4</v>
      </c>
      <c r="U1212" s="99" t="s">
        <v>12</v>
      </c>
      <c r="V1212" s="99" t="s">
        <v>1965</v>
      </c>
      <c r="W1212" s="99" t="s">
        <v>1970</v>
      </c>
    </row>
    <row r="1213" spans="1:23" ht="18.600000000000001" customHeight="1">
      <c r="A1213" s="123" t="str">
        <f>IF(priority(Main[[#This Row],[Comments]])&lt;&gt;0, priority(Main[[#This Row],[Comments]]),"")</f>
        <v/>
      </c>
      <c r="B1213" s="127" t="s">
        <v>2613</v>
      </c>
      <c r="C1213" s="99" t="s">
        <v>4</v>
      </c>
      <c r="D1213" s="100" t="s">
        <v>2614</v>
      </c>
      <c r="E1213" s="101">
        <v>40855.432083333333</v>
      </c>
      <c r="F1213" s="101">
        <v>40877</v>
      </c>
      <c r="G1213" s="102" t="str">
        <f>IF(stdProdLT(Main[[#This Row],[Comments]])=0.1,"N/A",IF(stdProdLT(Main[[#This Row],[Comments]])=0,"",stdProdLT(Main[[#This Row],[Comments]])))</f>
        <v/>
      </c>
      <c r="H1213" s="103" t="str">
        <f>IF(AND(Main[[#This Row],[In Stock Date]]&lt;&gt;"",Main[[#This Row],[Revised Due Date]]&lt;&gt;""),Main[[#This Row],[In Stock Date]]-Main[[#This Row],[Revised Due Date]],"")</f>
        <v/>
      </c>
      <c r="I1213" s="99" t="s">
        <v>4</v>
      </c>
      <c r="J1213" s="99" t="s">
        <v>4</v>
      </c>
      <c r="K1213" s="99" t="s">
        <v>4</v>
      </c>
      <c r="L1213" s="101"/>
      <c r="M1213" s="104" t="str">
        <f>IF(Main[[#This Row],[Tech Start Date]]&lt;1/1/1990,"",IF(Main[[#This Row],[Class]]="C",WORKDAY(Main[[#This Row],[Tech Start Date]],9),IF(Main[[#This Row],[Class]]="B", WORKDAY(Main[[#This Row],[Tech Start Date]],6),IF(Main[[#This Row],[Class]]="A",WORKDAY(Main[[#This Row],[Tech Start Date]],2),""))))</f>
        <v/>
      </c>
      <c r="N1213" s="104" t="str">
        <f>IF(Main[[#This Row],[Tech Start Date]]&lt;1/1/1990,"",IF(Main[[#This Row],[Class]]="C",WORKDAY(Main[[#This Row],[Tech Start Date]],19),IF(Main[[#This Row],[Class]]="B", WORKDAY(Main[[#This Row],[Tech Start Date]],12),IF(Main[[#This Row],[Class]]="A",WORKDAY(Main[[#This Row],[Tech Start Date]],4),""))))</f>
        <v/>
      </c>
      <c r="O1213" s="104" t="str">
        <f>IF(Main[[#This Row],[Tech Start Date]]&lt;1/1/1990,"",IF(Main[[#This Row],[Class]]="C",WORKDAY(Main[[#This Row],[Tech Start Date]],23),IF(Main[[#This Row],[Class]]="B", WORKDAY(Main[[#This Row],[Tech Start Date]],15),IF(Main[[#This Row],[Class]]="A",WORKDAY(Main[[#This Row],[Tech Start Date]],5),""))))</f>
        <v/>
      </c>
      <c r="P1213" s="104" t="str">
        <f>IF(Main[[#This Row],[Tech Start Date]]&lt;1/1/1990,"",IF(Main[[#This Row],[Class]]="C",WORKDAY(Main[[#This Row],[Tech Start Date]],28),IF(Main[[#This Row],[Class]]="B", WORKDAY(Main[[#This Row],[Tech Start Date]],19),IF(Main[[#This Row],[Class]]="A",WORKDAY(Main[[#This Row],[Tech Start Date]],9),""))))</f>
        <v/>
      </c>
      <c r="Q1213" s="101">
        <v>40865</v>
      </c>
      <c r="R1213" s="101"/>
      <c r="S1213" s="99" t="s">
        <v>11</v>
      </c>
      <c r="T1213" s="107" t="s">
        <v>4</v>
      </c>
      <c r="U1213" s="99" t="s">
        <v>7</v>
      </c>
      <c r="V1213" s="99" t="s">
        <v>2362</v>
      </c>
      <c r="W1213" s="99" t="s">
        <v>1970</v>
      </c>
    </row>
    <row r="1214" spans="1:23" ht="18.600000000000001" customHeight="1">
      <c r="A1214" s="123" t="str">
        <f>IF(priority(Main[[#This Row],[Comments]])&lt;&gt;0, priority(Main[[#This Row],[Comments]]),"")</f>
        <v/>
      </c>
      <c r="B1214" s="127" t="s">
        <v>2653</v>
      </c>
      <c r="C1214" s="99" t="s">
        <v>4</v>
      </c>
      <c r="D1214" s="100" t="s">
        <v>2654</v>
      </c>
      <c r="E1214" s="101">
        <v>40864.625219907408</v>
      </c>
      <c r="F1214" s="101"/>
      <c r="G1214" s="102" t="str">
        <f>IF(stdProdLT(Main[[#This Row],[Comments]])=0.1,"N/A",IF(stdProdLT(Main[[#This Row],[Comments]])=0,"",stdProdLT(Main[[#This Row],[Comments]])))</f>
        <v/>
      </c>
      <c r="H1214" s="103" t="str">
        <f>IF(AND(Main[[#This Row],[In Stock Date]]&lt;&gt;"",Main[[#This Row],[Revised Due Date]]&lt;&gt;""),Main[[#This Row],[In Stock Date]]-Main[[#This Row],[Revised Due Date]],"")</f>
        <v/>
      </c>
      <c r="I1214" s="99" t="s">
        <v>4</v>
      </c>
      <c r="J1214" s="99" t="s">
        <v>4</v>
      </c>
      <c r="K1214" s="99" t="s">
        <v>4</v>
      </c>
      <c r="L1214" s="101"/>
      <c r="M1214" s="104" t="str">
        <f>IF(Main[[#This Row],[Tech Start Date]]&lt;1/1/1990,"",IF(Main[[#This Row],[Class]]="C",WORKDAY(Main[[#This Row],[Tech Start Date]],9),IF(Main[[#This Row],[Class]]="B", WORKDAY(Main[[#This Row],[Tech Start Date]],6),IF(Main[[#This Row],[Class]]="A",WORKDAY(Main[[#This Row],[Tech Start Date]],2),""))))</f>
        <v/>
      </c>
      <c r="N1214" s="104" t="str">
        <f>IF(Main[[#This Row],[Tech Start Date]]&lt;1/1/1990,"",IF(Main[[#This Row],[Class]]="C",WORKDAY(Main[[#This Row],[Tech Start Date]],19),IF(Main[[#This Row],[Class]]="B", WORKDAY(Main[[#This Row],[Tech Start Date]],12),IF(Main[[#This Row],[Class]]="A",WORKDAY(Main[[#This Row],[Tech Start Date]],4),""))))</f>
        <v/>
      </c>
      <c r="O1214" s="104" t="str">
        <f>IF(Main[[#This Row],[Tech Start Date]]&lt;1/1/1990,"",IF(Main[[#This Row],[Class]]="C",WORKDAY(Main[[#This Row],[Tech Start Date]],23),IF(Main[[#This Row],[Class]]="B", WORKDAY(Main[[#This Row],[Tech Start Date]],15),IF(Main[[#This Row],[Class]]="A",WORKDAY(Main[[#This Row],[Tech Start Date]],5),""))))</f>
        <v/>
      </c>
      <c r="P1214" s="104" t="str">
        <f>IF(Main[[#This Row],[Tech Start Date]]&lt;1/1/1990,"",IF(Main[[#This Row],[Class]]="C",WORKDAY(Main[[#This Row],[Tech Start Date]],28),IF(Main[[#This Row],[Class]]="B", WORKDAY(Main[[#This Row],[Tech Start Date]],19),IF(Main[[#This Row],[Class]]="A",WORKDAY(Main[[#This Row],[Tech Start Date]],9),""))))</f>
        <v/>
      </c>
      <c r="Q1214" s="101"/>
      <c r="R1214" s="101"/>
      <c r="S1214" s="99" t="s">
        <v>17</v>
      </c>
      <c r="T1214" s="107" t="s">
        <v>4</v>
      </c>
      <c r="U1214" s="99" t="s">
        <v>7</v>
      </c>
      <c r="V1214" s="99" t="s">
        <v>1963</v>
      </c>
      <c r="W1214" s="99" t="s">
        <v>1966</v>
      </c>
    </row>
    <row r="1215" spans="1:23" ht="18.600000000000001" customHeight="1">
      <c r="A1215" s="123" t="str">
        <f>IF(priority(Main[[#This Row],[Comments]])&lt;&gt;0, priority(Main[[#This Row],[Comments]]),"")</f>
        <v/>
      </c>
      <c r="B1215" s="127" t="s">
        <v>2306</v>
      </c>
      <c r="C1215" s="99" t="s">
        <v>4</v>
      </c>
      <c r="D1215" s="100" t="s">
        <v>2805</v>
      </c>
      <c r="E1215" s="101">
        <v>40798.47016203704</v>
      </c>
      <c r="F1215" s="101"/>
      <c r="G1215" s="102" t="str">
        <f>IF(stdProdLT(Main[[#This Row],[Comments]])=0.1,"N/A",IF(stdProdLT(Main[[#This Row],[Comments]])=0,"",stdProdLT(Main[[#This Row],[Comments]])))</f>
        <v/>
      </c>
      <c r="H1215" s="103" t="str">
        <f>IF(AND(Main[[#This Row],[In Stock Date]]&lt;&gt;"",Main[[#This Row],[Revised Due Date]]&lt;&gt;""),Main[[#This Row],[In Stock Date]]-Main[[#This Row],[Revised Due Date]],"")</f>
        <v/>
      </c>
      <c r="I1215" s="99" t="s">
        <v>131</v>
      </c>
      <c r="J1215" s="99" t="s">
        <v>28</v>
      </c>
      <c r="K1215" s="99" t="s">
        <v>1971</v>
      </c>
      <c r="L1215" s="101"/>
      <c r="M1215" s="104" t="str">
        <f>IF(Main[[#This Row],[Tech Start Date]]&lt;1/1/1990,"",IF(Main[[#This Row],[Class]]="C",WORKDAY(Main[[#This Row],[Tech Start Date]],9),IF(Main[[#This Row],[Class]]="B", WORKDAY(Main[[#This Row],[Tech Start Date]],6),IF(Main[[#This Row],[Class]]="A",WORKDAY(Main[[#This Row],[Tech Start Date]],2),""))))</f>
        <v/>
      </c>
      <c r="N1215" s="104" t="str">
        <f>IF(Main[[#This Row],[Tech Start Date]]&lt;1/1/1990,"",IF(Main[[#This Row],[Class]]="C",WORKDAY(Main[[#This Row],[Tech Start Date]],19),IF(Main[[#This Row],[Class]]="B", WORKDAY(Main[[#This Row],[Tech Start Date]],12),IF(Main[[#This Row],[Class]]="A",WORKDAY(Main[[#This Row],[Tech Start Date]],4),""))))</f>
        <v/>
      </c>
      <c r="O1215" s="104" t="str">
        <f>IF(Main[[#This Row],[Tech Start Date]]&lt;1/1/1990,"",IF(Main[[#This Row],[Class]]="C",WORKDAY(Main[[#This Row],[Tech Start Date]],23),IF(Main[[#This Row],[Class]]="B", WORKDAY(Main[[#This Row],[Tech Start Date]],15),IF(Main[[#This Row],[Class]]="A",WORKDAY(Main[[#This Row],[Tech Start Date]],5),""))))</f>
        <v/>
      </c>
      <c r="P1215" s="104" t="str">
        <f>IF(Main[[#This Row],[Tech Start Date]]&lt;1/1/1990,"",IF(Main[[#This Row],[Class]]="C",WORKDAY(Main[[#This Row],[Tech Start Date]],28),IF(Main[[#This Row],[Class]]="B", WORKDAY(Main[[#This Row],[Tech Start Date]],19),IF(Main[[#This Row],[Class]]="A",WORKDAY(Main[[#This Row],[Tech Start Date]],9),""))))</f>
        <v/>
      </c>
      <c r="Q1215" s="101">
        <v>40847</v>
      </c>
      <c r="R1215" s="101"/>
      <c r="S1215" s="99" t="s">
        <v>6</v>
      </c>
      <c r="T1215" s="107" t="s">
        <v>4</v>
      </c>
      <c r="U1215" s="99" t="s">
        <v>29</v>
      </c>
      <c r="V1215" s="99" t="s">
        <v>1965</v>
      </c>
      <c r="W1215" s="99" t="s">
        <v>1966</v>
      </c>
    </row>
    <row r="1216" spans="1:23" ht="18.600000000000001" customHeight="1">
      <c r="A1216" s="123" t="str">
        <f>IF(priority(Main[[#This Row],[Comments]])&lt;&gt;0, priority(Main[[#This Row],[Comments]]),"")</f>
        <v/>
      </c>
      <c r="B1216" s="127" t="s">
        <v>2455</v>
      </c>
      <c r="C1216" s="99" t="s">
        <v>2456</v>
      </c>
      <c r="D1216" s="100" t="s">
        <v>2457</v>
      </c>
      <c r="E1216" s="101"/>
      <c r="F1216" s="101">
        <v>41008</v>
      </c>
      <c r="G1216" s="102" t="str">
        <f>IF(stdProdLT(Main[[#This Row],[Comments]])=0.1,"N/A",IF(stdProdLT(Main[[#This Row],[Comments]])=0,"",stdProdLT(Main[[#This Row],[Comments]])))</f>
        <v/>
      </c>
      <c r="H1216" s="103" t="str">
        <f>IF(AND(Main[[#This Row],[In Stock Date]]&lt;&gt;"",Main[[#This Row],[Revised Due Date]]&lt;&gt;""),Main[[#This Row],[In Stock Date]]-Main[[#This Row],[Revised Due Date]],"")</f>
        <v/>
      </c>
      <c r="I1216" s="99" t="s">
        <v>4</v>
      </c>
      <c r="J1216" s="99" t="s">
        <v>4</v>
      </c>
      <c r="K1216" s="99" t="s">
        <v>4</v>
      </c>
      <c r="L1216" s="101"/>
      <c r="M1216" s="104" t="str">
        <f>IF(Main[[#This Row],[Tech Start Date]]&lt;1/1/1990,"",IF(Main[[#This Row],[Class]]="C",WORKDAY(Main[[#This Row],[Tech Start Date]],9),IF(Main[[#This Row],[Class]]="B", WORKDAY(Main[[#This Row],[Tech Start Date]],6),IF(Main[[#This Row],[Class]]="A",WORKDAY(Main[[#This Row],[Tech Start Date]],2),""))))</f>
        <v/>
      </c>
      <c r="N1216" s="104" t="str">
        <f>IF(Main[[#This Row],[Tech Start Date]]&lt;1/1/1990,"",IF(Main[[#This Row],[Class]]="C",WORKDAY(Main[[#This Row],[Tech Start Date]],19),IF(Main[[#This Row],[Class]]="B", WORKDAY(Main[[#This Row],[Tech Start Date]],12),IF(Main[[#This Row],[Class]]="A",WORKDAY(Main[[#This Row],[Tech Start Date]],4),""))))</f>
        <v/>
      </c>
      <c r="O1216" s="104" t="str">
        <f>IF(Main[[#This Row],[Tech Start Date]]&lt;1/1/1990,"",IF(Main[[#This Row],[Class]]="C",WORKDAY(Main[[#This Row],[Tech Start Date]],23),IF(Main[[#This Row],[Class]]="B", WORKDAY(Main[[#This Row],[Tech Start Date]],15),IF(Main[[#This Row],[Class]]="A",WORKDAY(Main[[#This Row],[Tech Start Date]],5),""))))</f>
        <v/>
      </c>
      <c r="P1216" s="104" t="str">
        <f>IF(Main[[#This Row],[Tech Start Date]]&lt;1/1/1990,"",IF(Main[[#This Row],[Class]]="C",WORKDAY(Main[[#This Row],[Tech Start Date]],28),IF(Main[[#This Row],[Class]]="B", WORKDAY(Main[[#This Row],[Tech Start Date]],19),IF(Main[[#This Row],[Class]]="A",WORKDAY(Main[[#This Row],[Tech Start Date]],9),""))))</f>
        <v/>
      </c>
      <c r="Q1216" s="101">
        <v>40826</v>
      </c>
      <c r="R1216" s="101"/>
      <c r="S1216" s="99" t="s">
        <v>11</v>
      </c>
      <c r="T1216" s="107" t="s">
        <v>4</v>
      </c>
      <c r="U1216" s="99" t="s">
        <v>12</v>
      </c>
      <c r="V1216" s="99" t="s">
        <v>1965</v>
      </c>
      <c r="W1216" s="99" t="s">
        <v>1968</v>
      </c>
    </row>
    <row r="1217" spans="1:23" ht="18.600000000000001" customHeight="1">
      <c r="A1217" s="123" t="str">
        <f>IF(priority(Main[[#This Row],[Comments]])&lt;&gt;0, priority(Main[[#This Row],[Comments]]),"")</f>
        <v/>
      </c>
      <c r="B1217" s="127" t="s">
        <v>2376</v>
      </c>
      <c r="C1217" s="99" t="s">
        <v>4</v>
      </c>
      <c r="D1217" s="100" t="s">
        <v>2854</v>
      </c>
      <c r="E1217" s="101">
        <v>40815.078680555554</v>
      </c>
      <c r="F1217" s="101"/>
      <c r="G1217" s="102" t="str">
        <f>IF(stdProdLT(Main[[#This Row],[Comments]])=0.1,"N/A",IF(stdProdLT(Main[[#This Row],[Comments]])=0,"",stdProdLT(Main[[#This Row],[Comments]])))</f>
        <v/>
      </c>
      <c r="H1217" s="103" t="str">
        <f>IF(AND(Main[[#This Row],[In Stock Date]]&lt;&gt;"",Main[[#This Row],[Revised Due Date]]&lt;&gt;""),Main[[#This Row],[In Stock Date]]-Main[[#This Row],[Revised Due Date]],"")</f>
        <v/>
      </c>
      <c r="I1217" s="99" t="s">
        <v>536</v>
      </c>
      <c r="J1217" s="99" t="s">
        <v>28</v>
      </c>
      <c r="K1217" s="99" t="s">
        <v>1971</v>
      </c>
      <c r="L1217" s="101"/>
      <c r="M1217" s="104" t="str">
        <f>IF(Main[[#This Row],[Tech Start Date]]&lt;1/1/1990,"",IF(Main[[#This Row],[Class]]="C",WORKDAY(Main[[#This Row],[Tech Start Date]],9),IF(Main[[#This Row],[Class]]="B", WORKDAY(Main[[#This Row],[Tech Start Date]],6),IF(Main[[#This Row],[Class]]="A",WORKDAY(Main[[#This Row],[Tech Start Date]],2),""))))</f>
        <v/>
      </c>
      <c r="N1217" s="104" t="str">
        <f>IF(Main[[#This Row],[Tech Start Date]]&lt;1/1/1990,"",IF(Main[[#This Row],[Class]]="C",WORKDAY(Main[[#This Row],[Tech Start Date]],19),IF(Main[[#This Row],[Class]]="B", WORKDAY(Main[[#This Row],[Tech Start Date]],12),IF(Main[[#This Row],[Class]]="A",WORKDAY(Main[[#This Row],[Tech Start Date]],4),""))))</f>
        <v/>
      </c>
      <c r="O1217" s="104" t="str">
        <f>IF(Main[[#This Row],[Tech Start Date]]&lt;1/1/1990,"",IF(Main[[#This Row],[Class]]="C",WORKDAY(Main[[#This Row],[Tech Start Date]],23),IF(Main[[#This Row],[Class]]="B", WORKDAY(Main[[#This Row],[Tech Start Date]],15),IF(Main[[#This Row],[Class]]="A",WORKDAY(Main[[#This Row],[Tech Start Date]],5),""))))</f>
        <v/>
      </c>
      <c r="P1217" s="104" t="str">
        <f>IF(Main[[#This Row],[Tech Start Date]]&lt;1/1/1990,"",IF(Main[[#This Row],[Class]]="C",WORKDAY(Main[[#This Row],[Tech Start Date]],28),IF(Main[[#This Row],[Class]]="B", WORKDAY(Main[[#This Row],[Tech Start Date]],19),IF(Main[[#This Row],[Class]]="A",WORKDAY(Main[[#This Row],[Tech Start Date]],9),""))))</f>
        <v/>
      </c>
      <c r="Q1217" s="101">
        <v>40829</v>
      </c>
      <c r="R1217" s="101"/>
      <c r="S1217" s="99" t="s">
        <v>6</v>
      </c>
      <c r="T1217" s="107" t="s">
        <v>4</v>
      </c>
      <c r="U1217" s="99" t="s">
        <v>29</v>
      </c>
      <c r="V1217" s="99" t="s">
        <v>1965</v>
      </c>
      <c r="W1217" s="99" t="s">
        <v>1966</v>
      </c>
    </row>
    <row r="1218" spans="1:23" ht="18.600000000000001" customHeight="1">
      <c r="A1218" s="123" t="str">
        <f>IF(priority(Main[[#This Row],[Comments]])&lt;&gt;0, priority(Main[[#This Row],[Comments]]),"")</f>
        <v/>
      </c>
      <c r="B1218" s="127" t="s">
        <v>1894</v>
      </c>
      <c r="C1218" s="99" t="s">
        <v>4</v>
      </c>
      <c r="D1218" s="100" t="s">
        <v>3115</v>
      </c>
      <c r="E1218" s="101">
        <v>40365.451284722221</v>
      </c>
      <c r="F1218" s="101"/>
      <c r="G1218" s="102" t="str">
        <f>IF(stdProdLT(Main[[#This Row],[Comments]])=0.1,"N/A",IF(stdProdLT(Main[[#This Row],[Comments]])=0,"",stdProdLT(Main[[#This Row],[Comments]])))</f>
        <v/>
      </c>
      <c r="H1218" s="103" t="str">
        <f>IF(AND(Main[[#This Row],[In Stock Date]]&lt;&gt;"",Main[[#This Row],[Revised Due Date]]&lt;&gt;""),Main[[#This Row],[In Stock Date]]-Main[[#This Row],[Revised Due Date]],"")</f>
        <v/>
      </c>
      <c r="I1218" s="99" t="s">
        <v>924</v>
      </c>
      <c r="J1218" s="99" t="s">
        <v>28</v>
      </c>
      <c r="K1218" s="99" t="s">
        <v>1974</v>
      </c>
      <c r="L1218" s="101"/>
      <c r="M1218" s="104" t="str">
        <f>IF(Main[[#This Row],[Tech Start Date]]&lt;1/1/1990,"",IF(Main[[#This Row],[Class]]="C",WORKDAY(Main[[#This Row],[Tech Start Date]],9),IF(Main[[#This Row],[Class]]="B", WORKDAY(Main[[#This Row],[Tech Start Date]],6),IF(Main[[#This Row],[Class]]="A",WORKDAY(Main[[#This Row],[Tech Start Date]],2),""))))</f>
        <v/>
      </c>
      <c r="N1218" s="104" t="str">
        <f>IF(Main[[#This Row],[Tech Start Date]]&lt;1/1/1990,"",IF(Main[[#This Row],[Class]]="C",WORKDAY(Main[[#This Row],[Tech Start Date]],19),IF(Main[[#This Row],[Class]]="B", WORKDAY(Main[[#This Row],[Tech Start Date]],12),IF(Main[[#This Row],[Class]]="A",WORKDAY(Main[[#This Row],[Tech Start Date]],4),""))))</f>
        <v/>
      </c>
      <c r="O1218" s="104" t="str">
        <f>IF(Main[[#This Row],[Tech Start Date]]&lt;1/1/1990,"",IF(Main[[#This Row],[Class]]="C",WORKDAY(Main[[#This Row],[Tech Start Date]],23),IF(Main[[#This Row],[Class]]="B", WORKDAY(Main[[#This Row],[Tech Start Date]],15),IF(Main[[#This Row],[Class]]="A",WORKDAY(Main[[#This Row],[Tech Start Date]],5),""))))</f>
        <v/>
      </c>
      <c r="P1218" s="104" t="str">
        <f>IF(Main[[#This Row],[Tech Start Date]]&lt;1/1/1990,"",IF(Main[[#This Row],[Class]]="C",WORKDAY(Main[[#This Row],[Tech Start Date]],28),IF(Main[[#This Row],[Class]]="B", WORKDAY(Main[[#This Row],[Tech Start Date]],19),IF(Main[[#This Row],[Class]]="A",WORKDAY(Main[[#This Row],[Tech Start Date]],9),""))))</f>
        <v/>
      </c>
      <c r="Q1218" s="101">
        <v>40968</v>
      </c>
      <c r="R1218" s="101">
        <v>40939</v>
      </c>
      <c r="S1218" s="99" t="s">
        <v>17</v>
      </c>
      <c r="T1218" s="107" t="s">
        <v>2855</v>
      </c>
      <c r="U1218" s="99" t="s">
        <v>29</v>
      </c>
      <c r="V1218" s="99" t="s">
        <v>1962</v>
      </c>
      <c r="W1218" s="99" t="s">
        <v>1967</v>
      </c>
    </row>
    <row r="1219" spans="1:23" ht="18.600000000000001" customHeight="1">
      <c r="A1219" s="123" t="str">
        <f>IF(priority(Main[[#This Row],[Comments]])&lt;&gt;0, priority(Main[[#This Row],[Comments]]),"")</f>
        <v/>
      </c>
      <c r="B1219" s="127" t="s">
        <v>2844</v>
      </c>
      <c r="C1219" s="99" t="s">
        <v>4</v>
      </c>
      <c r="D1219" s="100" t="s">
        <v>2845</v>
      </c>
      <c r="E1219" s="101">
        <v>40843.713865740741</v>
      </c>
      <c r="F1219" s="101"/>
      <c r="G1219" s="102" t="str">
        <f>IF(stdProdLT(Main[[#This Row],[Comments]])=0.1,"N/A",IF(stdProdLT(Main[[#This Row],[Comments]])=0,"",stdProdLT(Main[[#This Row],[Comments]])))</f>
        <v/>
      </c>
      <c r="H1219" s="103" t="str">
        <f>IF(AND(Main[[#This Row],[In Stock Date]]&lt;&gt;"",Main[[#This Row],[Revised Due Date]]&lt;&gt;""),Main[[#This Row],[In Stock Date]]-Main[[#This Row],[Revised Due Date]],"")</f>
        <v/>
      </c>
      <c r="I1219" s="99" t="s">
        <v>4</v>
      </c>
      <c r="J1219" s="99" t="s">
        <v>51</v>
      </c>
      <c r="K1219" s="99" t="s">
        <v>4</v>
      </c>
      <c r="L1219" s="101"/>
      <c r="M1219" s="104" t="str">
        <f>IF(Main[[#This Row],[Tech Start Date]]&lt;1/1/1990,"",IF(Main[[#This Row],[Class]]="C",WORKDAY(Main[[#This Row],[Tech Start Date]],9),IF(Main[[#This Row],[Class]]="B", WORKDAY(Main[[#This Row],[Tech Start Date]],6),IF(Main[[#This Row],[Class]]="A",WORKDAY(Main[[#This Row],[Tech Start Date]],2),""))))</f>
        <v/>
      </c>
      <c r="N1219" s="104" t="str">
        <f>IF(Main[[#This Row],[Tech Start Date]]&lt;1/1/1990,"",IF(Main[[#This Row],[Class]]="C",WORKDAY(Main[[#This Row],[Tech Start Date]],19),IF(Main[[#This Row],[Class]]="B", WORKDAY(Main[[#This Row],[Tech Start Date]],12),IF(Main[[#This Row],[Class]]="A",WORKDAY(Main[[#This Row],[Tech Start Date]],4),""))))</f>
        <v/>
      </c>
      <c r="O1219" s="104" t="str">
        <f>IF(Main[[#This Row],[Tech Start Date]]&lt;1/1/1990,"",IF(Main[[#This Row],[Class]]="C",WORKDAY(Main[[#This Row],[Tech Start Date]],23),IF(Main[[#This Row],[Class]]="B", WORKDAY(Main[[#This Row],[Tech Start Date]],15),IF(Main[[#This Row],[Class]]="A",WORKDAY(Main[[#This Row],[Tech Start Date]],5),""))))</f>
        <v/>
      </c>
      <c r="P1219" s="104" t="str">
        <f>IF(Main[[#This Row],[Tech Start Date]]&lt;1/1/1990,"",IF(Main[[#This Row],[Class]]="C",WORKDAY(Main[[#This Row],[Tech Start Date]],28),IF(Main[[#This Row],[Class]]="B", WORKDAY(Main[[#This Row],[Tech Start Date]],19),IF(Main[[#This Row],[Class]]="A",WORKDAY(Main[[#This Row],[Tech Start Date]],9),""))))</f>
        <v/>
      </c>
      <c r="Q1219" s="101"/>
      <c r="R1219" s="101"/>
      <c r="S1219" s="99" t="s">
        <v>6</v>
      </c>
      <c r="T1219" s="107" t="s">
        <v>2551</v>
      </c>
      <c r="U1219" s="99" t="s">
        <v>540</v>
      </c>
      <c r="V1219" s="99" t="s">
        <v>1962</v>
      </c>
      <c r="W1219" s="99" t="s">
        <v>1968</v>
      </c>
    </row>
    <row r="1220" spans="1:23" ht="18.600000000000001" customHeight="1">
      <c r="A1220" s="123" t="str">
        <f>IF(priority(Main[[#This Row],[Comments]])&lt;&gt;0, priority(Main[[#This Row],[Comments]]),"")</f>
        <v/>
      </c>
      <c r="B1220" s="127" t="s">
        <v>2377</v>
      </c>
      <c r="C1220" s="99" t="s">
        <v>4</v>
      </c>
      <c r="D1220" s="100" t="s">
        <v>2378</v>
      </c>
      <c r="E1220" s="101">
        <v>40815.373611111114</v>
      </c>
      <c r="F1220" s="101"/>
      <c r="G1220" s="102" t="str">
        <f>IF(stdProdLT(Main[[#This Row],[Comments]])=0.1,"N/A",IF(stdProdLT(Main[[#This Row],[Comments]])=0,"",stdProdLT(Main[[#This Row],[Comments]])))</f>
        <v/>
      </c>
      <c r="H1220" s="103" t="str">
        <f>IF(AND(Main[[#This Row],[In Stock Date]]&lt;&gt;"",Main[[#This Row],[Revised Due Date]]&lt;&gt;""),Main[[#This Row],[In Stock Date]]-Main[[#This Row],[Revised Due Date]],"")</f>
        <v/>
      </c>
      <c r="I1220" s="99" t="s">
        <v>4</v>
      </c>
      <c r="J1220" s="99" t="s">
        <v>4</v>
      </c>
      <c r="K1220" s="99" t="s">
        <v>4</v>
      </c>
      <c r="L1220" s="101"/>
      <c r="M1220" s="104" t="str">
        <f>IF(Main[[#This Row],[Tech Start Date]]&lt;1/1/1990,"",IF(Main[[#This Row],[Class]]="C",WORKDAY(Main[[#This Row],[Tech Start Date]],9),IF(Main[[#This Row],[Class]]="B", WORKDAY(Main[[#This Row],[Tech Start Date]],6),IF(Main[[#This Row],[Class]]="A",WORKDAY(Main[[#This Row],[Tech Start Date]],2),""))))</f>
        <v/>
      </c>
      <c r="N1220" s="104" t="str">
        <f>IF(Main[[#This Row],[Tech Start Date]]&lt;1/1/1990,"",IF(Main[[#This Row],[Class]]="C",WORKDAY(Main[[#This Row],[Tech Start Date]],19),IF(Main[[#This Row],[Class]]="B", WORKDAY(Main[[#This Row],[Tech Start Date]],12),IF(Main[[#This Row],[Class]]="A",WORKDAY(Main[[#This Row],[Tech Start Date]],4),""))))</f>
        <v/>
      </c>
      <c r="O1220" s="104" t="str">
        <f>IF(Main[[#This Row],[Tech Start Date]]&lt;1/1/1990,"",IF(Main[[#This Row],[Class]]="C",WORKDAY(Main[[#This Row],[Tech Start Date]],23),IF(Main[[#This Row],[Class]]="B", WORKDAY(Main[[#This Row],[Tech Start Date]],15),IF(Main[[#This Row],[Class]]="A",WORKDAY(Main[[#This Row],[Tech Start Date]],5),""))))</f>
        <v/>
      </c>
      <c r="P1220" s="104" t="str">
        <f>IF(Main[[#This Row],[Tech Start Date]]&lt;1/1/1990,"",IF(Main[[#This Row],[Class]]="C",WORKDAY(Main[[#This Row],[Tech Start Date]],28),IF(Main[[#This Row],[Class]]="B", WORKDAY(Main[[#This Row],[Tech Start Date]],19),IF(Main[[#This Row],[Class]]="A",WORKDAY(Main[[#This Row],[Tech Start Date]],9),""))))</f>
        <v/>
      </c>
      <c r="Q1220" s="101"/>
      <c r="R1220" s="101"/>
      <c r="S1220" s="99" t="s">
        <v>6</v>
      </c>
      <c r="T1220" s="107" t="s">
        <v>4</v>
      </c>
      <c r="U1220" s="99" t="s">
        <v>29</v>
      </c>
      <c r="V1220" s="99" t="s">
        <v>1965</v>
      </c>
      <c r="W1220" s="99" t="s">
        <v>1966</v>
      </c>
    </row>
    <row r="1221" spans="1:23" ht="18.600000000000001" customHeight="1">
      <c r="A1221" s="123" t="str">
        <f>IF(priority(Main[[#This Row],[Comments]])&lt;&gt;0, priority(Main[[#This Row],[Comments]]),"")</f>
        <v/>
      </c>
      <c r="B1221" s="127" t="s">
        <v>2846</v>
      </c>
      <c r="C1221" s="99" t="s">
        <v>4</v>
      </c>
      <c r="D1221" s="100" t="s">
        <v>2847</v>
      </c>
      <c r="E1221" s="101"/>
      <c r="F1221" s="101"/>
      <c r="G1221" s="102" t="str">
        <f>IF(stdProdLT(Main[[#This Row],[Comments]])=0.1,"N/A",IF(stdProdLT(Main[[#This Row],[Comments]])=0,"",stdProdLT(Main[[#This Row],[Comments]])))</f>
        <v/>
      </c>
      <c r="H1221" s="103" t="str">
        <f>IF(AND(Main[[#This Row],[In Stock Date]]&lt;&gt;"",Main[[#This Row],[Revised Due Date]]&lt;&gt;""),Main[[#This Row],[In Stock Date]]-Main[[#This Row],[Revised Due Date]],"")</f>
        <v/>
      </c>
      <c r="I1221" s="99" t="s">
        <v>4</v>
      </c>
      <c r="J1221" s="99" t="s">
        <v>4</v>
      </c>
      <c r="K1221" s="99" t="s">
        <v>4</v>
      </c>
      <c r="L1221" s="101"/>
      <c r="M1221" s="104" t="str">
        <f>IF(Main[[#This Row],[Tech Start Date]]&lt;1/1/1990,"",IF(Main[[#This Row],[Class]]="C",WORKDAY(Main[[#This Row],[Tech Start Date]],9),IF(Main[[#This Row],[Class]]="B", WORKDAY(Main[[#This Row],[Tech Start Date]],6),IF(Main[[#This Row],[Class]]="A",WORKDAY(Main[[#This Row],[Tech Start Date]],2),""))))</f>
        <v/>
      </c>
      <c r="N1221" s="104" t="str">
        <f>IF(Main[[#This Row],[Tech Start Date]]&lt;1/1/1990,"",IF(Main[[#This Row],[Class]]="C",WORKDAY(Main[[#This Row],[Tech Start Date]],19),IF(Main[[#This Row],[Class]]="B", WORKDAY(Main[[#This Row],[Tech Start Date]],12),IF(Main[[#This Row],[Class]]="A",WORKDAY(Main[[#This Row],[Tech Start Date]],4),""))))</f>
        <v/>
      </c>
      <c r="O1221" s="104" t="str">
        <f>IF(Main[[#This Row],[Tech Start Date]]&lt;1/1/1990,"",IF(Main[[#This Row],[Class]]="C",WORKDAY(Main[[#This Row],[Tech Start Date]],23),IF(Main[[#This Row],[Class]]="B", WORKDAY(Main[[#This Row],[Tech Start Date]],15),IF(Main[[#This Row],[Class]]="A",WORKDAY(Main[[#This Row],[Tech Start Date]],5),""))))</f>
        <v/>
      </c>
      <c r="P1221" s="104" t="str">
        <f>IF(Main[[#This Row],[Tech Start Date]]&lt;1/1/1990,"",IF(Main[[#This Row],[Class]]="C",WORKDAY(Main[[#This Row],[Tech Start Date]],28),IF(Main[[#This Row],[Class]]="B", WORKDAY(Main[[#This Row],[Tech Start Date]],19),IF(Main[[#This Row],[Class]]="A",WORKDAY(Main[[#This Row],[Tech Start Date]],9),""))))</f>
        <v/>
      </c>
      <c r="Q1221" s="101"/>
      <c r="R1221" s="101"/>
      <c r="S1221" s="99" t="s">
        <v>11</v>
      </c>
      <c r="T1221" s="107" t="s">
        <v>4</v>
      </c>
      <c r="U1221" s="99" t="s">
        <v>14</v>
      </c>
      <c r="V1221" s="99" t="s">
        <v>1965</v>
      </c>
      <c r="W1221" s="99" t="s">
        <v>1970</v>
      </c>
    </row>
    <row r="1222" spans="1:23" ht="18.600000000000001" customHeight="1">
      <c r="A1222" s="123" t="str">
        <f>IF(priority(Main[[#This Row],[Comments]])&lt;&gt;0, priority(Main[[#This Row],[Comments]]),"")</f>
        <v/>
      </c>
      <c r="B1222" s="127" t="s">
        <v>2364</v>
      </c>
      <c r="C1222" s="99" t="s">
        <v>67</v>
      </c>
      <c r="D1222" s="100" t="s">
        <v>2365</v>
      </c>
      <c r="E1222" s="101"/>
      <c r="F1222" s="101">
        <v>41075</v>
      </c>
      <c r="G1222" s="102" t="str">
        <f>IF(stdProdLT(Main[[#This Row],[Comments]])=0.1,"N/A",IF(stdProdLT(Main[[#This Row],[Comments]])=0,"",stdProdLT(Main[[#This Row],[Comments]])))</f>
        <v/>
      </c>
      <c r="H1222" s="103" t="str">
        <f>IF(AND(Main[[#This Row],[In Stock Date]]&lt;&gt;"",Main[[#This Row],[Revised Due Date]]&lt;&gt;""),Main[[#This Row],[In Stock Date]]-Main[[#This Row],[Revised Due Date]],"")</f>
        <v/>
      </c>
      <c r="I1222" s="99" t="s">
        <v>4</v>
      </c>
      <c r="J1222" s="99" t="s">
        <v>4</v>
      </c>
      <c r="K1222" s="99" t="s">
        <v>4</v>
      </c>
      <c r="L1222" s="101"/>
      <c r="M1222" s="104" t="str">
        <f>IF(Main[[#This Row],[Tech Start Date]]&lt;1/1/1990,"",IF(Main[[#This Row],[Class]]="C",WORKDAY(Main[[#This Row],[Tech Start Date]],9),IF(Main[[#This Row],[Class]]="B", WORKDAY(Main[[#This Row],[Tech Start Date]],6),IF(Main[[#This Row],[Class]]="A",WORKDAY(Main[[#This Row],[Tech Start Date]],2),""))))</f>
        <v/>
      </c>
      <c r="N1222" s="104" t="str">
        <f>IF(Main[[#This Row],[Tech Start Date]]&lt;1/1/1990,"",IF(Main[[#This Row],[Class]]="C",WORKDAY(Main[[#This Row],[Tech Start Date]],19),IF(Main[[#This Row],[Class]]="B", WORKDAY(Main[[#This Row],[Tech Start Date]],12),IF(Main[[#This Row],[Class]]="A",WORKDAY(Main[[#This Row],[Tech Start Date]],4),""))))</f>
        <v/>
      </c>
      <c r="O1222" s="104" t="str">
        <f>IF(Main[[#This Row],[Tech Start Date]]&lt;1/1/1990,"",IF(Main[[#This Row],[Class]]="C",WORKDAY(Main[[#This Row],[Tech Start Date]],23),IF(Main[[#This Row],[Class]]="B", WORKDAY(Main[[#This Row],[Tech Start Date]],15),IF(Main[[#This Row],[Class]]="A",WORKDAY(Main[[#This Row],[Tech Start Date]],5),""))))</f>
        <v/>
      </c>
      <c r="P1222" s="104" t="str">
        <f>IF(Main[[#This Row],[Tech Start Date]]&lt;1/1/1990,"",IF(Main[[#This Row],[Class]]="C",WORKDAY(Main[[#This Row],[Tech Start Date]],28),IF(Main[[#This Row],[Class]]="B", WORKDAY(Main[[#This Row],[Tech Start Date]],19),IF(Main[[#This Row],[Class]]="A",WORKDAY(Main[[#This Row],[Tech Start Date]],9),""))))</f>
        <v/>
      </c>
      <c r="Q1222" s="101">
        <v>40908</v>
      </c>
      <c r="R1222" s="101"/>
      <c r="S1222" s="99" t="s">
        <v>17</v>
      </c>
      <c r="T1222" s="107" t="s">
        <v>4</v>
      </c>
      <c r="U1222" s="99" t="s">
        <v>14</v>
      </c>
      <c r="V1222" s="99" t="s">
        <v>1972</v>
      </c>
      <c r="W1222" s="99" t="s">
        <v>1973</v>
      </c>
    </row>
    <row r="1223" spans="1:23" ht="18.600000000000001" customHeight="1">
      <c r="A1223" s="123" t="str">
        <f>IF(priority(Main[[#This Row],[Comments]])&lt;&gt;0, priority(Main[[#This Row],[Comments]]),"")</f>
        <v/>
      </c>
      <c r="B1223" s="127" t="s">
        <v>2382</v>
      </c>
      <c r="C1223" s="99" t="s">
        <v>4</v>
      </c>
      <c r="D1223" s="100" t="s">
        <v>2851</v>
      </c>
      <c r="E1223" s="101">
        <v>40820.42082175926</v>
      </c>
      <c r="F1223" s="101"/>
      <c r="G1223" s="102" t="str">
        <f>IF(stdProdLT(Main[[#This Row],[Comments]])=0.1,"N/A",IF(stdProdLT(Main[[#This Row],[Comments]])=0,"",stdProdLT(Main[[#This Row],[Comments]])))</f>
        <v/>
      </c>
      <c r="H1223" s="103" t="str">
        <f>IF(AND(Main[[#This Row],[In Stock Date]]&lt;&gt;"",Main[[#This Row],[Revised Due Date]]&lt;&gt;""),Main[[#This Row],[In Stock Date]]-Main[[#This Row],[Revised Due Date]],"")</f>
        <v/>
      </c>
      <c r="I1223" s="99" t="s">
        <v>568</v>
      </c>
      <c r="J1223" s="99" t="s">
        <v>21</v>
      </c>
      <c r="K1223" s="108" t="s">
        <v>4</v>
      </c>
      <c r="L1223" s="101"/>
      <c r="M1223" s="104" t="str">
        <f>IF(Main[[#This Row],[Tech Start Date]]&lt;1/1/1990,"",IF(Main[[#This Row],[Class]]="C",WORKDAY(Main[[#This Row],[Tech Start Date]],9),IF(Main[[#This Row],[Class]]="B", WORKDAY(Main[[#This Row],[Tech Start Date]],6),IF(Main[[#This Row],[Class]]="A",WORKDAY(Main[[#This Row],[Tech Start Date]],2),""))))</f>
        <v/>
      </c>
      <c r="N1223" s="104" t="str">
        <f>IF(Main[[#This Row],[Tech Start Date]]&lt;1/1/1990,"",IF(Main[[#This Row],[Class]]="C",WORKDAY(Main[[#This Row],[Tech Start Date]],19),IF(Main[[#This Row],[Class]]="B", WORKDAY(Main[[#This Row],[Tech Start Date]],12),IF(Main[[#This Row],[Class]]="A",WORKDAY(Main[[#This Row],[Tech Start Date]],4),""))))</f>
        <v/>
      </c>
      <c r="O1223" s="104" t="str">
        <f>IF(Main[[#This Row],[Tech Start Date]]&lt;1/1/1990,"",IF(Main[[#This Row],[Class]]="C",WORKDAY(Main[[#This Row],[Tech Start Date]],23),IF(Main[[#This Row],[Class]]="B", WORKDAY(Main[[#This Row],[Tech Start Date]],15),IF(Main[[#This Row],[Class]]="A",WORKDAY(Main[[#This Row],[Tech Start Date]],5),""))))</f>
        <v/>
      </c>
      <c r="P1223" s="104" t="str">
        <f>IF(Main[[#This Row],[Tech Start Date]]&lt;1/1/1990,"",IF(Main[[#This Row],[Class]]="C",WORKDAY(Main[[#This Row],[Tech Start Date]],28),IF(Main[[#This Row],[Class]]="B", WORKDAY(Main[[#This Row],[Tech Start Date]],19),IF(Main[[#This Row],[Class]]="A",WORKDAY(Main[[#This Row],[Tech Start Date]],9),""))))</f>
        <v/>
      </c>
      <c r="Q1223" s="101"/>
      <c r="R1223" s="101">
        <v>40840</v>
      </c>
      <c r="S1223" s="99" t="s">
        <v>6</v>
      </c>
      <c r="T1223" s="107" t="s">
        <v>4</v>
      </c>
      <c r="U1223" s="99" t="s">
        <v>29</v>
      </c>
      <c r="V1223" s="99" t="s">
        <v>1962</v>
      </c>
      <c r="W1223" s="99" t="s">
        <v>1970</v>
      </c>
    </row>
    <row r="1224" spans="1:23" ht="18.600000000000001" customHeight="1">
      <c r="A1224" s="123" t="str">
        <f>IF(priority(Main[[#This Row],[Comments]])&lt;&gt;0, priority(Main[[#This Row],[Comments]]),"")</f>
        <v/>
      </c>
      <c r="B1224" s="127" t="s">
        <v>2856</v>
      </c>
      <c r="C1224" s="99" t="s">
        <v>4</v>
      </c>
      <c r="D1224" s="100" t="s">
        <v>2857</v>
      </c>
      <c r="E1224" s="101">
        <v>40868.429988425924</v>
      </c>
      <c r="F1224" s="101"/>
      <c r="G1224" s="102" t="str">
        <f>IF(stdProdLT(Main[[#This Row],[Comments]])=0.1,"N/A",IF(stdProdLT(Main[[#This Row],[Comments]])=0,"",stdProdLT(Main[[#This Row],[Comments]])))</f>
        <v/>
      </c>
      <c r="H1224" s="103" t="str">
        <f>IF(AND(Main[[#This Row],[In Stock Date]]&lt;&gt;"",Main[[#This Row],[Revised Due Date]]&lt;&gt;""),Main[[#This Row],[In Stock Date]]-Main[[#This Row],[Revised Due Date]],"")</f>
        <v/>
      </c>
      <c r="I1224" s="99" t="s">
        <v>242</v>
      </c>
      <c r="J1224" s="99" t="s">
        <v>21</v>
      </c>
      <c r="K1224" s="99" t="s">
        <v>4</v>
      </c>
      <c r="L1224" s="101"/>
      <c r="M1224" s="104" t="str">
        <f>IF(Main[[#This Row],[Tech Start Date]]&lt;1/1/1990,"",IF(Main[[#This Row],[Class]]="C",WORKDAY(Main[[#This Row],[Tech Start Date]],9),IF(Main[[#This Row],[Class]]="B", WORKDAY(Main[[#This Row],[Tech Start Date]],6),IF(Main[[#This Row],[Class]]="A",WORKDAY(Main[[#This Row],[Tech Start Date]],2),""))))</f>
        <v/>
      </c>
      <c r="N1224" s="104" t="str">
        <f>IF(Main[[#This Row],[Tech Start Date]]&lt;1/1/1990,"",IF(Main[[#This Row],[Class]]="C",WORKDAY(Main[[#This Row],[Tech Start Date]],19),IF(Main[[#This Row],[Class]]="B", WORKDAY(Main[[#This Row],[Tech Start Date]],12),IF(Main[[#This Row],[Class]]="A",WORKDAY(Main[[#This Row],[Tech Start Date]],4),""))))</f>
        <v/>
      </c>
      <c r="O1224" s="104" t="str">
        <f>IF(Main[[#This Row],[Tech Start Date]]&lt;1/1/1990,"",IF(Main[[#This Row],[Class]]="C",WORKDAY(Main[[#This Row],[Tech Start Date]],23),IF(Main[[#This Row],[Class]]="B", WORKDAY(Main[[#This Row],[Tech Start Date]],15),IF(Main[[#This Row],[Class]]="A",WORKDAY(Main[[#This Row],[Tech Start Date]],5),""))))</f>
        <v/>
      </c>
      <c r="P1224" s="104" t="str">
        <f>IF(Main[[#This Row],[Tech Start Date]]&lt;1/1/1990,"",IF(Main[[#This Row],[Class]]="C",WORKDAY(Main[[#This Row],[Tech Start Date]],28),IF(Main[[#This Row],[Class]]="B", WORKDAY(Main[[#This Row],[Tech Start Date]],19),IF(Main[[#This Row],[Class]]="A",WORKDAY(Main[[#This Row],[Tech Start Date]],9),""))))</f>
        <v/>
      </c>
      <c r="Q1224" s="101">
        <v>40877</v>
      </c>
      <c r="R1224" s="101"/>
      <c r="S1224" s="99" t="s">
        <v>6</v>
      </c>
      <c r="T1224" s="107" t="s">
        <v>4</v>
      </c>
      <c r="U1224" s="99" t="s">
        <v>29</v>
      </c>
      <c r="V1224" s="99" t="s">
        <v>1965</v>
      </c>
      <c r="W1224" s="99" t="s">
        <v>1966</v>
      </c>
    </row>
    <row r="1225" spans="1:23" ht="18.600000000000001" customHeight="1">
      <c r="A1225" s="123" t="str">
        <f>IF(priority(Main[[#This Row],[Comments]])&lt;&gt;0, priority(Main[[#This Row],[Comments]]),"")</f>
        <v/>
      </c>
      <c r="B1225" s="127" t="s">
        <v>2858</v>
      </c>
      <c r="C1225" s="99" t="s">
        <v>4</v>
      </c>
      <c r="D1225" s="100" t="s">
        <v>2859</v>
      </c>
      <c r="E1225" s="101">
        <v>40870.471666666665</v>
      </c>
      <c r="F1225" s="101"/>
      <c r="G1225" s="102" t="str">
        <f>IF(stdProdLT(Main[[#This Row],[Comments]])=0.1,"N/A",IF(stdProdLT(Main[[#This Row],[Comments]])=0,"",stdProdLT(Main[[#This Row],[Comments]])))</f>
        <v/>
      </c>
      <c r="H1225" s="103" t="str">
        <f>IF(AND(Main[[#This Row],[In Stock Date]]&lt;&gt;"",Main[[#This Row],[Revised Due Date]]&lt;&gt;""),Main[[#This Row],[In Stock Date]]-Main[[#This Row],[Revised Due Date]],"")</f>
        <v/>
      </c>
      <c r="I1225" s="99" t="s">
        <v>2110</v>
      </c>
      <c r="J1225" s="99" t="s">
        <v>28</v>
      </c>
      <c r="K1225" s="99" t="s">
        <v>1971</v>
      </c>
      <c r="L1225" s="101"/>
      <c r="M1225" s="104" t="str">
        <f>IF(Main[[#This Row],[Tech Start Date]]&lt;1/1/1990,"",IF(Main[[#This Row],[Class]]="C",WORKDAY(Main[[#This Row],[Tech Start Date]],9),IF(Main[[#This Row],[Class]]="B", WORKDAY(Main[[#This Row],[Tech Start Date]],6),IF(Main[[#This Row],[Class]]="A",WORKDAY(Main[[#This Row],[Tech Start Date]],2),""))))</f>
        <v/>
      </c>
      <c r="N1225" s="104" t="str">
        <f>IF(Main[[#This Row],[Tech Start Date]]&lt;1/1/1990,"",IF(Main[[#This Row],[Class]]="C",WORKDAY(Main[[#This Row],[Tech Start Date]],19),IF(Main[[#This Row],[Class]]="B", WORKDAY(Main[[#This Row],[Tech Start Date]],12),IF(Main[[#This Row],[Class]]="A",WORKDAY(Main[[#This Row],[Tech Start Date]],4),""))))</f>
        <v/>
      </c>
      <c r="O1225" s="104" t="str">
        <f>IF(Main[[#This Row],[Tech Start Date]]&lt;1/1/1990,"",IF(Main[[#This Row],[Class]]="C",WORKDAY(Main[[#This Row],[Tech Start Date]],23),IF(Main[[#This Row],[Class]]="B", WORKDAY(Main[[#This Row],[Tech Start Date]],15),IF(Main[[#This Row],[Class]]="A",WORKDAY(Main[[#This Row],[Tech Start Date]],5),""))))</f>
        <v/>
      </c>
      <c r="P1225" s="104" t="str">
        <f>IF(Main[[#This Row],[Tech Start Date]]&lt;1/1/1990,"",IF(Main[[#This Row],[Class]]="C",WORKDAY(Main[[#This Row],[Tech Start Date]],28),IF(Main[[#This Row],[Class]]="B", WORKDAY(Main[[#This Row],[Tech Start Date]],19),IF(Main[[#This Row],[Class]]="A",WORKDAY(Main[[#This Row],[Tech Start Date]],9),""))))</f>
        <v/>
      </c>
      <c r="Q1225" s="101">
        <v>40905</v>
      </c>
      <c r="R1225" s="101"/>
      <c r="S1225" s="99" t="s">
        <v>6</v>
      </c>
      <c r="T1225" s="107" t="s">
        <v>4</v>
      </c>
      <c r="U1225" s="99" t="s">
        <v>29</v>
      </c>
      <c r="V1225" s="99" t="s">
        <v>1965</v>
      </c>
      <c r="W1225" s="99" t="s">
        <v>1966</v>
      </c>
    </row>
    <row r="1226" spans="1:23" ht="18.600000000000001" customHeight="1">
      <c r="A1226" s="123" t="str">
        <f>IF(priority(Main[[#This Row],[Comments]])&lt;&gt;0, priority(Main[[#This Row],[Comments]]),"")</f>
        <v/>
      </c>
      <c r="B1226" s="127" t="s">
        <v>1713</v>
      </c>
      <c r="C1226" s="99" t="s">
        <v>37</v>
      </c>
      <c r="D1226" s="100" t="s">
        <v>2860</v>
      </c>
      <c r="E1226" s="101">
        <v>40681.624918981484</v>
      </c>
      <c r="F1226" s="101"/>
      <c r="G1226" s="102" t="str">
        <f>IF(stdProdLT(Main[[#This Row],[Comments]])=0.1,"N/A",IF(stdProdLT(Main[[#This Row],[Comments]])=0,"",stdProdLT(Main[[#This Row],[Comments]])))</f>
        <v/>
      </c>
      <c r="H1226" s="103" t="str">
        <f>IF(AND(Main[[#This Row],[In Stock Date]]&lt;&gt;"",Main[[#This Row],[Revised Due Date]]&lt;&gt;""),Main[[#This Row],[In Stock Date]]-Main[[#This Row],[Revised Due Date]],"")</f>
        <v/>
      </c>
      <c r="I1226" s="99" t="s">
        <v>4</v>
      </c>
      <c r="J1226" s="99" t="s">
        <v>4</v>
      </c>
      <c r="K1226" s="99" t="s">
        <v>4</v>
      </c>
      <c r="L1226" s="101"/>
      <c r="M1226" s="104" t="str">
        <f>IF(Main[[#This Row],[Tech Start Date]]&lt;1/1/1990,"",IF(Main[[#This Row],[Class]]="C",WORKDAY(Main[[#This Row],[Tech Start Date]],9),IF(Main[[#This Row],[Class]]="B", WORKDAY(Main[[#This Row],[Tech Start Date]],6),IF(Main[[#This Row],[Class]]="A",WORKDAY(Main[[#This Row],[Tech Start Date]],2),""))))</f>
        <v/>
      </c>
      <c r="N1226" s="104" t="str">
        <f>IF(Main[[#This Row],[Tech Start Date]]&lt;1/1/1990,"",IF(Main[[#This Row],[Class]]="C",WORKDAY(Main[[#This Row],[Tech Start Date]],19),IF(Main[[#This Row],[Class]]="B", WORKDAY(Main[[#This Row],[Tech Start Date]],12),IF(Main[[#This Row],[Class]]="A",WORKDAY(Main[[#This Row],[Tech Start Date]],4),""))))</f>
        <v/>
      </c>
      <c r="O1226" s="104" t="str">
        <f>IF(Main[[#This Row],[Tech Start Date]]&lt;1/1/1990,"",IF(Main[[#This Row],[Class]]="C",WORKDAY(Main[[#This Row],[Tech Start Date]],23),IF(Main[[#This Row],[Class]]="B", WORKDAY(Main[[#This Row],[Tech Start Date]],15),IF(Main[[#This Row],[Class]]="A",WORKDAY(Main[[#This Row],[Tech Start Date]],5),""))))</f>
        <v/>
      </c>
      <c r="P1226" s="104" t="str">
        <f>IF(Main[[#This Row],[Tech Start Date]]&lt;1/1/1990,"",IF(Main[[#This Row],[Class]]="C",WORKDAY(Main[[#This Row],[Tech Start Date]],28),IF(Main[[#This Row],[Class]]="B", WORKDAY(Main[[#This Row],[Tech Start Date]],19),IF(Main[[#This Row],[Class]]="A",WORKDAY(Main[[#This Row],[Tech Start Date]],9),""))))</f>
        <v/>
      </c>
      <c r="Q1226" s="101"/>
      <c r="R1226" s="101"/>
      <c r="S1226" s="99" t="s">
        <v>6</v>
      </c>
      <c r="T1226" s="107" t="s">
        <v>4</v>
      </c>
      <c r="U1226" s="99" t="s">
        <v>540</v>
      </c>
      <c r="V1226" s="99" t="s">
        <v>1962</v>
      </c>
      <c r="W1226" s="99" t="s">
        <v>1973</v>
      </c>
    </row>
    <row r="1227" spans="1:23" ht="18.600000000000001" customHeight="1">
      <c r="A1227" s="123" t="str">
        <f>IF(priority(Main[[#This Row],[Comments]])&lt;&gt;0, priority(Main[[#This Row],[Comments]]),"")</f>
        <v/>
      </c>
      <c r="B1227" s="127" t="s">
        <v>2518</v>
      </c>
      <c r="C1227" s="99" t="s">
        <v>4</v>
      </c>
      <c r="D1227" s="100" t="s">
        <v>2519</v>
      </c>
      <c r="E1227" s="101">
        <v>40856.429768518516</v>
      </c>
      <c r="F1227" s="101"/>
      <c r="G1227" s="102" t="str">
        <f>IF(stdProdLT(Main[[#This Row],[Comments]])=0.1,"N/A",IF(stdProdLT(Main[[#This Row],[Comments]])=0,"",stdProdLT(Main[[#This Row],[Comments]])))</f>
        <v/>
      </c>
      <c r="H1227" s="103" t="str">
        <f>IF(AND(Main[[#This Row],[In Stock Date]]&lt;&gt;"",Main[[#This Row],[Revised Due Date]]&lt;&gt;""),Main[[#This Row],[In Stock Date]]-Main[[#This Row],[Revised Due Date]],"")</f>
        <v/>
      </c>
      <c r="I1227" s="99" t="s">
        <v>536</v>
      </c>
      <c r="J1227" s="99" t="s">
        <v>52</v>
      </c>
      <c r="K1227" s="99" t="s">
        <v>1971</v>
      </c>
      <c r="L1227" s="101"/>
      <c r="M1227" s="104" t="str">
        <f>IF(Main[[#This Row],[Tech Start Date]]&lt;1/1/1990,"",IF(Main[[#This Row],[Class]]="C",WORKDAY(Main[[#This Row],[Tech Start Date]],9),IF(Main[[#This Row],[Class]]="B", WORKDAY(Main[[#This Row],[Tech Start Date]],6),IF(Main[[#This Row],[Class]]="A",WORKDAY(Main[[#This Row],[Tech Start Date]],2),""))))</f>
        <v/>
      </c>
      <c r="N1227" s="104" t="str">
        <f>IF(Main[[#This Row],[Tech Start Date]]&lt;1/1/1990,"",IF(Main[[#This Row],[Class]]="C",WORKDAY(Main[[#This Row],[Tech Start Date]],19),IF(Main[[#This Row],[Class]]="B", WORKDAY(Main[[#This Row],[Tech Start Date]],12),IF(Main[[#This Row],[Class]]="A",WORKDAY(Main[[#This Row],[Tech Start Date]],4),""))))</f>
        <v/>
      </c>
      <c r="O1227" s="104" t="str">
        <f>IF(Main[[#This Row],[Tech Start Date]]&lt;1/1/1990,"",IF(Main[[#This Row],[Class]]="C",WORKDAY(Main[[#This Row],[Tech Start Date]],23),IF(Main[[#This Row],[Class]]="B", WORKDAY(Main[[#This Row],[Tech Start Date]],15),IF(Main[[#This Row],[Class]]="A",WORKDAY(Main[[#This Row],[Tech Start Date]],5),""))))</f>
        <v/>
      </c>
      <c r="P1227" s="104" t="str">
        <f>IF(Main[[#This Row],[Tech Start Date]]&lt;1/1/1990,"",IF(Main[[#This Row],[Class]]="C",WORKDAY(Main[[#This Row],[Tech Start Date]],28),IF(Main[[#This Row],[Class]]="B", WORKDAY(Main[[#This Row],[Tech Start Date]],19),IF(Main[[#This Row],[Class]]="A",WORKDAY(Main[[#This Row],[Tech Start Date]],9),""))))</f>
        <v/>
      </c>
      <c r="Q1227" s="101">
        <v>40887</v>
      </c>
      <c r="R1227" s="101"/>
      <c r="S1227" s="99" t="s">
        <v>6</v>
      </c>
      <c r="T1227" s="107" t="s">
        <v>4</v>
      </c>
      <c r="U1227" s="99" t="s">
        <v>29</v>
      </c>
      <c r="V1227" s="99" t="s">
        <v>1972</v>
      </c>
      <c r="W1227" s="99" t="s">
        <v>1966</v>
      </c>
    </row>
    <row r="1228" spans="1:23" ht="18.600000000000001" customHeight="1">
      <c r="A1228" s="123" t="str">
        <f>IF(priority(Main[[#This Row],[Comments]])&lt;&gt;0, priority(Main[[#This Row],[Comments]]),"")</f>
        <v/>
      </c>
      <c r="B1228" s="127" t="s">
        <v>2669</v>
      </c>
      <c r="C1228" s="99" t="s">
        <v>4</v>
      </c>
      <c r="D1228" s="100" t="s">
        <v>2670</v>
      </c>
      <c r="E1228" s="101">
        <v>40855.421446759261</v>
      </c>
      <c r="F1228" s="101"/>
      <c r="G1228" s="102" t="str">
        <f>IF(stdProdLT(Main[[#This Row],[Comments]])=0.1,"N/A",IF(stdProdLT(Main[[#This Row],[Comments]])=0,"",stdProdLT(Main[[#This Row],[Comments]])))</f>
        <v/>
      </c>
      <c r="H1228" s="103" t="str">
        <f>IF(AND(Main[[#This Row],[In Stock Date]]&lt;&gt;"",Main[[#This Row],[Revised Due Date]]&lt;&gt;""),Main[[#This Row],[In Stock Date]]-Main[[#This Row],[Revised Due Date]],"")</f>
        <v/>
      </c>
      <c r="I1228" s="99" t="s">
        <v>69</v>
      </c>
      <c r="J1228" s="99" t="s">
        <v>70</v>
      </c>
      <c r="K1228" s="99" t="s">
        <v>1974</v>
      </c>
      <c r="L1228" s="101"/>
      <c r="M1228" s="104" t="str">
        <f>IF(Main[[#This Row],[Tech Start Date]]&lt;1/1/1990,"",IF(Main[[#This Row],[Class]]="C",WORKDAY(Main[[#This Row],[Tech Start Date]],9),IF(Main[[#This Row],[Class]]="B", WORKDAY(Main[[#This Row],[Tech Start Date]],6),IF(Main[[#This Row],[Class]]="A",WORKDAY(Main[[#This Row],[Tech Start Date]],2),""))))</f>
        <v/>
      </c>
      <c r="N1228" s="104" t="str">
        <f>IF(Main[[#This Row],[Tech Start Date]]&lt;1/1/1990,"",IF(Main[[#This Row],[Class]]="C",WORKDAY(Main[[#This Row],[Tech Start Date]],19),IF(Main[[#This Row],[Class]]="B", WORKDAY(Main[[#This Row],[Tech Start Date]],12),IF(Main[[#This Row],[Class]]="A",WORKDAY(Main[[#This Row],[Tech Start Date]],4),""))))</f>
        <v/>
      </c>
      <c r="O1228" s="104" t="str">
        <f>IF(Main[[#This Row],[Tech Start Date]]&lt;1/1/1990,"",IF(Main[[#This Row],[Class]]="C",WORKDAY(Main[[#This Row],[Tech Start Date]],23),IF(Main[[#This Row],[Class]]="B", WORKDAY(Main[[#This Row],[Tech Start Date]],15),IF(Main[[#This Row],[Class]]="A",WORKDAY(Main[[#This Row],[Tech Start Date]],5),""))))</f>
        <v/>
      </c>
      <c r="P1228" s="104" t="str">
        <f>IF(Main[[#This Row],[Tech Start Date]]&lt;1/1/1990,"",IF(Main[[#This Row],[Class]]="C",WORKDAY(Main[[#This Row],[Tech Start Date]],28),IF(Main[[#This Row],[Class]]="B", WORKDAY(Main[[#This Row],[Tech Start Date]],19),IF(Main[[#This Row],[Class]]="A",WORKDAY(Main[[#This Row],[Tech Start Date]],9),""))))</f>
        <v/>
      </c>
      <c r="Q1228" s="101">
        <v>40907</v>
      </c>
      <c r="R1228" s="101"/>
      <c r="S1228" s="99" t="s">
        <v>17</v>
      </c>
      <c r="T1228" s="107" t="s">
        <v>4</v>
      </c>
      <c r="U1228" s="99" t="s">
        <v>29</v>
      </c>
      <c r="V1228" s="99" t="s">
        <v>1972</v>
      </c>
      <c r="W1228" s="99" t="s">
        <v>1964</v>
      </c>
    </row>
    <row r="1229" spans="1:23" ht="18.600000000000001" customHeight="1">
      <c r="A1229" s="123" t="str">
        <f>IF(priority(Main[[#This Row],[Comments]])&lt;&gt;0, priority(Main[[#This Row],[Comments]]),"")</f>
        <v/>
      </c>
      <c r="B1229" s="127" t="s">
        <v>2861</v>
      </c>
      <c r="C1229" s="99" t="s">
        <v>4</v>
      </c>
      <c r="D1229" s="100" t="s">
        <v>2862</v>
      </c>
      <c r="E1229" s="101">
        <v>40877.273229166669</v>
      </c>
      <c r="F1229" s="101"/>
      <c r="G1229" s="102" t="str">
        <f>IF(stdProdLT(Main[[#This Row],[Comments]])=0.1,"N/A",IF(stdProdLT(Main[[#This Row],[Comments]])=0,"",stdProdLT(Main[[#This Row],[Comments]])))</f>
        <v/>
      </c>
      <c r="H1229" s="103" t="str">
        <f>IF(AND(Main[[#This Row],[In Stock Date]]&lt;&gt;"",Main[[#This Row],[Revised Due Date]]&lt;&gt;""),Main[[#This Row],[In Stock Date]]-Main[[#This Row],[Revised Due Date]],"")</f>
        <v/>
      </c>
      <c r="I1229" s="99" t="s">
        <v>536</v>
      </c>
      <c r="J1229" s="99" t="s">
        <v>21</v>
      </c>
      <c r="K1229" s="99" t="s">
        <v>1971</v>
      </c>
      <c r="L1229" s="101"/>
      <c r="M1229" s="104" t="str">
        <f>IF(Main[[#This Row],[Tech Start Date]]&lt;1/1/1990,"",IF(Main[[#This Row],[Class]]="C",WORKDAY(Main[[#This Row],[Tech Start Date]],9),IF(Main[[#This Row],[Class]]="B", WORKDAY(Main[[#This Row],[Tech Start Date]],6),IF(Main[[#This Row],[Class]]="A",WORKDAY(Main[[#This Row],[Tech Start Date]],2),""))))</f>
        <v/>
      </c>
      <c r="N1229" s="104" t="str">
        <f>IF(Main[[#This Row],[Tech Start Date]]&lt;1/1/1990,"",IF(Main[[#This Row],[Class]]="C",WORKDAY(Main[[#This Row],[Tech Start Date]],19),IF(Main[[#This Row],[Class]]="B", WORKDAY(Main[[#This Row],[Tech Start Date]],12),IF(Main[[#This Row],[Class]]="A",WORKDAY(Main[[#This Row],[Tech Start Date]],4),""))))</f>
        <v/>
      </c>
      <c r="O1229" s="104" t="str">
        <f>IF(Main[[#This Row],[Tech Start Date]]&lt;1/1/1990,"",IF(Main[[#This Row],[Class]]="C",WORKDAY(Main[[#This Row],[Tech Start Date]],23),IF(Main[[#This Row],[Class]]="B", WORKDAY(Main[[#This Row],[Tech Start Date]],15),IF(Main[[#This Row],[Class]]="A",WORKDAY(Main[[#This Row],[Tech Start Date]],5),""))))</f>
        <v/>
      </c>
      <c r="P1229" s="104" t="str">
        <f>IF(Main[[#This Row],[Tech Start Date]]&lt;1/1/1990,"",IF(Main[[#This Row],[Class]]="C",WORKDAY(Main[[#This Row],[Tech Start Date]],28),IF(Main[[#This Row],[Class]]="B", WORKDAY(Main[[#This Row],[Tech Start Date]],19),IF(Main[[#This Row],[Class]]="A",WORKDAY(Main[[#This Row],[Tech Start Date]],9),""))))</f>
        <v/>
      </c>
      <c r="Q1229" s="101">
        <v>40906</v>
      </c>
      <c r="R1229" s="101"/>
      <c r="S1229" s="99" t="s">
        <v>6</v>
      </c>
      <c r="T1229" s="107" t="s">
        <v>4</v>
      </c>
      <c r="U1229" s="99" t="s">
        <v>29</v>
      </c>
      <c r="V1229" s="99" t="s">
        <v>1965</v>
      </c>
      <c r="W1229" s="99" t="s">
        <v>1966</v>
      </c>
    </row>
    <row r="1230" spans="1:23" ht="18.600000000000001" customHeight="1">
      <c r="A1230" s="123" t="str">
        <f>IF(priority(Main[[#This Row],[Comments]])&lt;&gt;0, priority(Main[[#This Row],[Comments]]),"")</f>
        <v/>
      </c>
      <c r="B1230" s="127" t="s">
        <v>2863</v>
      </c>
      <c r="C1230" s="99" t="s">
        <v>31</v>
      </c>
      <c r="D1230" s="100" t="s">
        <v>2864</v>
      </c>
      <c r="E1230" s="101"/>
      <c r="F1230" s="101">
        <v>40969</v>
      </c>
      <c r="G1230" s="102" t="str">
        <f>IF(stdProdLT(Main[[#This Row],[Comments]])=0.1,"N/A",IF(stdProdLT(Main[[#This Row],[Comments]])=0,"",stdProdLT(Main[[#This Row],[Comments]])))</f>
        <v/>
      </c>
      <c r="H1230" s="103" t="str">
        <f>IF(AND(Main[[#This Row],[In Stock Date]]&lt;&gt;"",Main[[#This Row],[Revised Due Date]]&lt;&gt;""),Main[[#This Row],[In Stock Date]]-Main[[#This Row],[Revised Due Date]],"")</f>
        <v/>
      </c>
      <c r="I1230" s="99" t="s">
        <v>4</v>
      </c>
      <c r="J1230" s="99" t="s">
        <v>4</v>
      </c>
      <c r="K1230" s="108" t="s">
        <v>4</v>
      </c>
      <c r="L1230" s="101"/>
      <c r="M1230" s="104" t="str">
        <f>IF(Main[[#This Row],[Tech Start Date]]&lt;1/1/1990,"",IF(Main[[#This Row],[Class]]="C",WORKDAY(Main[[#This Row],[Tech Start Date]],9),IF(Main[[#This Row],[Class]]="B", WORKDAY(Main[[#This Row],[Tech Start Date]],6),IF(Main[[#This Row],[Class]]="A",WORKDAY(Main[[#This Row],[Tech Start Date]],2),""))))</f>
        <v/>
      </c>
      <c r="N1230" s="104" t="str">
        <f>IF(Main[[#This Row],[Tech Start Date]]&lt;1/1/1990,"",IF(Main[[#This Row],[Class]]="C",WORKDAY(Main[[#This Row],[Tech Start Date]],19),IF(Main[[#This Row],[Class]]="B", WORKDAY(Main[[#This Row],[Tech Start Date]],12),IF(Main[[#This Row],[Class]]="A",WORKDAY(Main[[#This Row],[Tech Start Date]],4),""))))</f>
        <v/>
      </c>
      <c r="O1230" s="104" t="str">
        <f>IF(Main[[#This Row],[Tech Start Date]]&lt;1/1/1990,"",IF(Main[[#This Row],[Class]]="C",WORKDAY(Main[[#This Row],[Tech Start Date]],23),IF(Main[[#This Row],[Class]]="B", WORKDAY(Main[[#This Row],[Tech Start Date]],15),IF(Main[[#This Row],[Class]]="A",WORKDAY(Main[[#This Row],[Tech Start Date]],5),""))))</f>
        <v/>
      </c>
      <c r="P1230" s="104" t="str">
        <f>IF(Main[[#This Row],[Tech Start Date]]&lt;1/1/1990,"",IF(Main[[#This Row],[Class]]="C",WORKDAY(Main[[#This Row],[Tech Start Date]],28),IF(Main[[#This Row],[Class]]="B", WORKDAY(Main[[#This Row],[Tech Start Date]],19),IF(Main[[#This Row],[Class]]="A",WORKDAY(Main[[#This Row],[Tech Start Date]],9),""))))</f>
        <v/>
      </c>
      <c r="Q1230" s="101"/>
      <c r="R1230" s="101"/>
      <c r="S1230" s="99" t="s">
        <v>11</v>
      </c>
      <c r="T1230" s="107" t="s">
        <v>4</v>
      </c>
      <c r="U1230" s="99" t="s">
        <v>14</v>
      </c>
      <c r="V1230" s="99" t="s">
        <v>1962</v>
      </c>
      <c r="W1230" s="99" t="s">
        <v>1968</v>
      </c>
    </row>
    <row r="1231" spans="1:23" ht="18.600000000000001" customHeight="1">
      <c r="A1231" s="123" t="str">
        <f>IF(priority(Main[[#This Row],[Comments]])&lt;&gt;0, priority(Main[[#This Row],[Comments]]),"")</f>
        <v/>
      </c>
      <c r="B1231" s="127" t="s">
        <v>2869</v>
      </c>
      <c r="C1231" s="99" t="s">
        <v>2456</v>
      </c>
      <c r="D1231" s="100" t="s">
        <v>2457</v>
      </c>
      <c r="E1231" s="101"/>
      <c r="F1231" s="101">
        <v>41036</v>
      </c>
      <c r="G1231" s="102" t="str">
        <f>IF(stdProdLT(Main[[#This Row],[Comments]])=0.1,"N/A",IF(stdProdLT(Main[[#This Row],[Comments]])=0,"",stdProdLT(Main[[#This Row],[Comments]])))</f>
        <v/>
      </c>
      <c r="H1231" s="103" t="str">
        <f>IF(AND(Main[[#This Row],[In Stock Date]]&lt;&gt;"",Main[[#This Row],[Revised Due Date]]&lt;&gt;""),Main[[#This Row],[In Stock Date]]-Main[[#This Row],[Revised Due Date]],"")</f>
        <v/>
      </c>
      <c r="I1231" s="99" t="s">
        <v>4</v>
      </c>
      <c r="J1231" s="99" t="s">
        <v>4</v>
      </c>
      <c r="K1231" s="99" t="s">
        <v>4</v>
      </c>
      <c r="L1231" s="101"/>
      <c r="M1231" s="104" t="str">
        <f>IF(Main[[#This Row],[Tech Start Date]]&lt;1/1/1990,"",IF(Main[[#This Row],[Class]]="C",WORKDAY(Main[[#This Row],[Tech Start Date]],9),IF(Main[[#This Row],[Class]]="B", WORKDAY(Main[[#This Row],[Tech Start Date]],6),IF(Main[[#This Row],[Class]]="A",WORKDAY(Main[[#This Row],[Tech Start Date]],2),""))))</f>
        <v/>
      </c>
      <c r="N1231" s="104" t="str">
        <f>IF(Main[[#This Row],[Tech Start Date]]&lt;1/1/1990,"",IF(Main[[#This Row],[Class]]="C",WORKDAY(Main[[#This Row],[Tech Start Date]],19),IF(Main[[#This Row],[Class]]="B", WORKDAY(Main[[#This Row],[Tech Start Date]],12),IF(Main[[#This Row],[Class]]="A",WORKDAY(Main[[#This Row],[Tech Start Date]],4),""))))</f>
        <v/>
      </c>
      <c r="O1231" s="104" t="str">
        <f>IF(Main[[#This Row],[Tech Start Date]]&lt;1/1/1990,"",IF(Main[[#This Row],[Class]]="C",WORKDAY(Main[[#This Row],[Tech Start Date]],23),IF(Main[[#This Row],[Class]]="B", WORKDAY(Main[[#This Row],[Tech Start Date]],15),IF(Main[[#This Row],[Class]]="A",WORKDAY(Main[[#This Row],[Tech Start Date]],5),""))))</f>
        <v/>
      </c>
      <c r="P1231" s="104" t="str">
        <f>IF(Main[[#This Row],[Tech Start Date]]&lt;1/1/1990,"",IF(Main[[#This Row],[Class]]="C",WORKDAY(Main[[#This Row],[Tech Start Date]],28),IF(Main[[#This Row],[Class]]="B", WORKDAY(Main[[#This Row],[Tech Start Date]],19),IF(Main[[#This Row],[Class]]="A",WORKDAY(Main[[#This Row],[Tech Start Date]],9),""))))</f>
        <v/>
      </c>
      <c r="Q1231" s="101">
        <v>40854</v>
      </c>
      <c r="R1231" s="101"/>
      <c r="S1231" s="99" t="s">
        <v>11</v>
      </c>
      <c r="T1231" s="107" t="s">
        <v>4</v>
      </c>
      <c r="U1231" s="99" t="s">
        <v>12</v>
      </c>
      <c r="V1231" s="99" t="s">
        <v>1965</v>
      </c>
      <c r="W1231" s="99" t="s">
        <v>1968</v>
      </c>
    </row>
    <row r="1232" spans="1:23" ht="18.600000000000001" customHeight="1">
      <c r="A1232" s="123" t="str">
        <f>IF(priority(Main[[#This Row],[Comments]])&lt;&gt;0, priority(Main[[#This Row],[Comments]]),"")</f>
        <v/>
      </c>
      <c r="B1232" s="127" t="s">
        <v>2318</v>
      </c>
      <c r="C1232" s="99" t="s">
        <v>2319</v>
      </c>
      <c r="D1232" s="100" t="s">
        <v>2320</v>
      </c>
      <c r="E1232" s="101"/>
      <c r="F1232" s="101"/>
      <c r="G1232" s="102" t="str">
        <f>IF(stdProdLT(Main[[#This Row],[Comments]])=0.1,"N/A",IF(stdProdLT(Main[[#This Row],[Comments]])=0,"",stdProdLT(Main[[#This Row],[Comments]])))</f>
        <v/>
      </c>
      <c r="H1232" s="103" t="str">
        <f>IF(AND(Main[[#This Row],[In Stock Date]]&lt;&gt;"",Main[[#This Row],[Revised Due Date]]&lt;&gt;""),Main[[#This Row],[In Stock Date]]-Main[[#This Row],[Revised Due Date]],"")</f>
        <v/>
      </c>
      <c r="I1232" s="99" t="s">
        <v>2277</v>
      </c>
      <c r="J1232" s="99" t="s">
        <v>4</v>
      </c>
      <c r="K1232" s="99" t="s">
        <v>1971</v>
      </c>
      <c r="L1232" s="101">
        <v>37622</v>
      </c>
      <c r="M1232" s="104">
        <f>IF(Main[[#This Row],[Tech Start Date]]&lt;1/1/1990,"",IF(Main[[#This Row],[Class]]="C",WORKDAY(Main[[#This Row],[Tech Start Date]],9),IF(Main[[#This Row],[Class]]="B", WORKDAY(Main[[#This Row],[Tech Start Date]],6),IF(Main[[#This Row],[Class]]="A",WORKDAY(Main[[#This Row],[Tech Start Date]],2),""))))</f>
        <v>37624</v>
      </c>
      <c r="N1232" s="104">
        <f>IF(Main[[#This Row],[Tech Start Date]]&lt;1/1/1990,"",IF(Main[[#This Row],[Class]]="C",WORKDAY(Main[[#This Row],[Tech Start Date]],19),IF(Main[[#This Row],[Class]]="B", WORKDAY(Main[[#This Row],[Tech Start Date]],12),IF(Main[[#This Row],[Class]]="A",WORKDAY(Main[[#This Row],[Tech Start Date]],4),""))))</f>
        <v>37628</v>
      </c>
      <c r="O1232" s="104">
        <f>IF(Main[[#This Row],[Tech Start Date]]&lt;1/1/1990,"",IF(Main[[#This Row],[Class]]="C",WORKDAY(Main[[#This Row],[Tech Start Date]],23),IF(Main[[#This Row],[Class]]="B", WORKDAY(Main[[#This Row],[Tech Start Date]],15),IF(Main[[#This Row],[Class]]="A",WORKDAY(Main[[#This Row],[Tech Start Date]],5),""))))</f>
        <v>37629</v>
      </c>
      <c r="P1232" s="104">
        <f>IF(Main[[#This Row],[Tech Start Date]]&lt;1/1/1990,"",IF(Main[[#This Row],[Class]]="C",WORKDAY(Main[[#This Row],[Tech Start Date]],28),IF(Main[[#This Row],[Class]]="B", WORKDAY(Main[[#This Row],[Tech Start Date]],19),IF(Main[[#This Row],[Class]]="A",WORKDAY(Main[[#This Row],[Tech Start Date]],9),""))))</f>
        <v>37635</v>
      </c>
      <c r="Q1232" s="101"/>
      <c r="R1232" s="101">
        <v>37623</v>
      </c>
      <c r="S1232" s="99" t="s">
        <v>11</v>
      </c>
      <c r="T1232" s="107" t="s">
        <v>4</v>
      </c>
      <c r="U1232" s="99" t="s">
        <v>14</v>
      </c>
      <c r="V1232" s="99" t="s">
        <v>1977</v>
      </c>
      <c r="W1232" s="99" t="s">
        <v>1970</v>
      </c>
    </row>
    <row r="1233" spans="1:23" ht="18.600000000000001" customHeight="1">
      <c r="A1233" s="123" t="str">
        <f>IF(priority(Main[[#This Row],[Comments]])&lt;&gt;0, priority(Main[[#This Row],[Comments]]),"")</f>
        <v/>
      </c>
      <c r="B1233" s="127" t="s">
        <v>2361</v>
      </c>
      <c r="C1233" s="99" t="s">
        <v>2275</v>
      </c>
      <c r="D1233" s="100" t="s">
        <v>2276</v>
      </c>
      <c r="E1233" s="101">
        <v>40813.570081018515</v>
      </c>
      <c r="F1233" s="101"/>
      <c r="G1233" s="102" t="str">
        <f>IF(stdProdLT(Main[[#This Row],[Comments]])=0.1,"N/A",IF(stdProdLT(Main[[#This Row],[Comments]])=0,"",stdProdLT(Main[[#This Row],[Comments]])))</f>
        <v/>
      </c>
      <c r="H1233" s="103" t="str">
        <f>IF(AND(Main[[#This Row],[In Stock Date]]&lt;&gt;"",Main[[#This Row],[Revised Due Date]]&lt;&gt;""),Main[[#This Row],[In Stock Date]]-Main[[#This Row],[Revised Due Date]],"")</f>
        <v/>
      </c>
      <c r="I1233" s="99" t="s">
        <v>2277</v>
      </c>
      <c r="J1233" s="99" t="s">
        <v>4</v>
      </c>
      <c r="K1233" s="99" t="s">
        <v>1971</v>
      </c>
      <c r="L1233" s="101">
        <v>37622</v>
      </c>
      <c r="M1233" s="104">
        <f>IF(Main[[#This Row],[Tech Start Date]]&lt;1/1/1990,"",IF(Main[[#This Row],[Class]]="C",WORKDAY(Main[[#This Row],[Tech Start Date]],9),IF(Main[[#This Row],[Class]]="B", WORKDAY(Main[[#This Row],[Tech Start Date]],6),IF(Main[[#This Row],[Class]]="A",WORKDAY(Main[[#This Row],[Tech Start Date]],2),""))))</f>
        <v>37624</v>
      </c>
      <c r="N1233" s="104">
        <f>IF(Main[[#This Row],[Tech Start Date]]&lt;1/1/1990,"",IF(Main[[#This Row],[Class]]="C",WORKDAY(Main[[#This Row],[Tech Start Date]],19),IF(Main[[#This Row],[Class]]="B", WORKDAY(Main[[#This Row],[Tech Start Date]],12),IF(Main[[#This Row],[Class]]="A",WORKDAY(Main[[#This Row],[Tech Start Date]],4),""))))</f>
        <v>37628</v>
      </c>
      <c r="O1233" s="104">
        <f>IF(Main[[#This Row],[Tech Start Date]]&lt;1/1/1990,"",IF(Main[[#This Row],[Class]]="C",WORKDAY(Main[[#This Row],[Tech Start Date]],23),IF(Main[[#This Row],[Class]]="B", WORKDAY(Main[[#This Row],[Tech Start Date]],15),IF(Main[[#This Row],[Class]]="A",WORKDAY(Main[[#This Row],[Tech Start Date]],5),""))))</f>
        <v>37629</v>
      </c>
      <c r="P1233" s="104">
        <f>IF(Main[[#This Row],[Tech Start Date]]&lt;1/1/1990,"",IF(Main[[#This Row],[Class]]="C",WORKDAY(Main[[#This Row],[Tech Start Date]],28),IF(Main[[#This Row],[Class]]="B", WORKDAY(Main[[#This Row],[Tech Start Date]],19),IF(Main[[#This Row],[Class]]="A",WORKDAY(Main[[#This Row],[Tech Start Date]],9),""))))</f>
        <v>37635</v>
      </c>
      <c r="Q1233" s="101"/>
      <c r="R1233" s="101">
        <v>37623</v>
      </c>
      <c r="S1233" s="99" t="s">
        <v>11</v>
      </c>
      <c r="T1233" s="107" t="s">
        <v>4</v>
      </c>
      <c r="U1233" s="99" t="s">
        <v>29</v>
      </c>
      <c r="V1233" s="99" t="s">
        <v>2362</v>
      </c>
      <c r="W1233" s="99" t="s">
        <v>1970</v>
      </c>
    </row>
    <row r="1234" spans="1:23" ht="18.600000000000001" customHeight="1">
      <c r="A1234" s="123" t="str">
        <f>IF(priority(Main[[#This Row],[Comments]])&lt;&gt;0, priority(Main[[#This Row],[Comments]]),"")</f>
        <v/>
      </c>
      <c r="B1234" s="127" t="s">
        <v>2317</v>
      </c>
      <c r="C1234" s="99" t="s">
        <v>2275</v>
      </c>
      <c r="D1234" s="100" t="s">
        <v>2276</v>
      </c>
      <c r="E1234" s="101"/>
      <c r="F1234" s="101"/>
      <c r="G1234" s="102" t="str">
        <f>IF(stdProdLT(Main[[#This Row],[Comments]])=0.1,"N/A",IF(stdProdLT(Main[[#This Row],[Comments]])=0,"",stdProdLT(Main[[#This Row],[Comments]])))</f>
        <v/>
      </c>
      <c r="H1234" s="103" t="str">
        <f>IF(AND(Main[[#This Row],[In Stock Date]]&lt;&gt;"",Main[[#This Row],[Revised Due Date]]&lt;&gt;""),Main[[#This Row],[In Stock Date]]-Main[[#This Row],[Revised Due Date]],"")</f>
        <v/>
      </c>
      <c r="I1234" s="99" t="s">
        <v>2277</v>
      </c>
      <c r="J1234" s="99" t="s">
        <v>4</v>
      </c>
      <c r="K1234" s="99" t="s">
        <v>1971</v>
      </c>
      <c r="L1234" s="101">
        <v>37622</v>
      </c>
      <c r="M1234" s="104">
        <f>IF(Main[[#This Row],[Tech Start Date]]&lt;1/1/1990,"",IF(Main[[#This Row],[Class]]="C",WORKDAY(Main[[#This Row],[Tech Start Date]],9),IF(Main[[#This Row],[Class]]="B", WORKDAY(Main[[#This Row],[Tech Start Date]],6),IF(Main[[#This Row],[Class]]="A",WORKDAY(Main[[#This Row],[Tech Start Date]],2),""))))</f>
        <v>37624</v>
      </c>
      <c r="N1234" s="104">
        <f>IF(Main[[#This Row],[Tech Start Date]]&lt;1/1/1990,"",IF(Main[[#This Row],[Class]]="C",WORKDAY(Main[[#This Row],[Tech Start Date]],19),IF(Main[[#This Row],[Class]]="B", WORKDAY(Main[[#This Row],[Tech Start Date]],12),IF(Main[[#This Row],[Class]]="A",WORKDAY(Main[[#This Row],[Tech Start Date]],4),""))))</f>
        <v>37628</v>
      </c>
      <c r="O1234" s="104">
        <f>IF(Main[[#This Row],[Tech Start Date]]&lt;1/1/1990,"",IF(Main[[#This Row],[Class]]="C",WORKDAY(Main[[#This Row],[Tech Start Date]],23),IF(Main[[#This Row],[Class]]="B", WORKDAY(Main[[#This Row],[Tech Start Date]],15),IF(Main[[#This Row],[Class]]="A",WORKDAY(Main[[#This Row],[Tech Start Date]],5),""))))</f>
        <v>37629</v>
      </c>
      <c r="P1234" s="104">
        <f>IF(Main[[#This Row],[Tech Start Date]]&lt;1/1/1990,"",IF(Main[[#This Row],[Class]]="C",WORKDAY(Main[[#This Row],[Tech Start Date]],28),IF(Main[[#This Row],[Class]]="B", WORKDAY(Main[[#This Row],[Tech Start Date]],19),IF(Main[[#This Row],[Class]]="A",WORKDAY(Main[[#This Row],[Tech Start Date]],9),""))))</f>
        <v>37635</v>
      </c>
      <c r="Q1234" s="101"/>
      <c r="R1234" s="101">
        <v>37623</v>
      </c>
      <c r="S1234" s="99" t="s">
        <v>11</v>
      </c>
      <c r="T1234" s="107" t="s">
        <v>4</v>
      </c>
      <c r="U1234" s="99" t="s">
        <v>14</v>
      </c>
      <c r="V1234" s="99" t="s">
        <v>1977</v>
      </c>
      <c r="W1234" s="99" t="s">
        <v>1970</v>
      </c>
    </row>
    <row r="1235" spans="1:23" ht="18.600000000000001" customHeight="1">
      <c r="A1235" s="123" t="str">
        <f>IF(priority(Main[[#This Row],[Comments]])&lt;&gt;0, priority(Main[[#This Row],[Comments]]),"")</f>
        <v/>
      </c>
      <c r="B1235" s="127" t="s">
        <v>2274</v>
      </c>
      <c r="C1235" s="99" t="s">
        <v>2275</v>
      </c>
      <c r="D1235" s="100" t="s">
        <v>2276</v>
      </c>
      <c r="E1235" s="101"/>
      <c r="F1235" s="101"/>
      <c r="G1235" s="102" t="str">
        <f>IF(stdProdLT(Main[[#This Row],[Comments]])=0.1,"N/A",IF(stdProdLT(Main[[#This Row],[Comments]])=0,"",stdProdLT(Main[[#This Row],[Comments]])))</f>
        <v/>
      </c>
      <c r="H1235" s="103" t="str">
        <f>IF(AND(Main[[#This Row],[In Stock Date]]&lt;&gt;"",Main[[#This Row],[Revised Due Date]]&lt;&gt;""),Main[[#This Row],[In Stock Date]]-Main[[#This Row],[Revised Due Date]],"")</f>
        <v/>
      </c>
      <c r="I1235" s="99" t="s">
        <v>2277</v>
      </c>
      <c r="J1235" s="99" t="s">
        <v>4</v>
      </c>
      <c r="K1235" s="99" t="s">
        <v>1971</v>
      </c>
      <c r="L1235" s="101">
        <v>37622</v>
      </c>
      <c r="M1235" s="104">
        <f>IF(Main[[#This Row],[Tech Start Date]]&lt;1/1/1990,"",IF(Main[[#This Row],[Class]]="C",WORKDAY(Main[[#This Row],[Tech Start Date]],9),IF(Main[[#This Row],[Class]]="B", WORKDAY(Main[[#This Row],[Tech Start Date]],6),IF(Main[[#This Row],[Class]]="A",WORKDAY(Main[[#This Row],[Tech Start Date]],2),""))))</f>
        <v>37624</v>
      </c>
      <c r="N1235" s="104">
        <f>IF(Main[[#This Row],[Tech Start Date]]&lt;1/1/1990,"",IF(Main[[#This Row],[Class]]="C",WORKDAY(Main[[#This Row],[Tech Start Date]],19),IF(Main[[#This Row],[Class]]="B", WORKDAY(Main[[#This Row],[Tech Start Date]],12),IF(Main[[#This Row],[Class]]="A",WORKDAY(Main[[#This Row],[Tech Start Date]],4),""))))</f>
        <v>37628</v>
      </c>
      <c r="O1235" s="104">
        <f>IF(Main[[#This Row],[Tech Start Date]]&lt;1/1/1990,"",IF(Main[[#This Row],[Class]]="C",WORKDAY(Main[[#This Row],[Tech Start Date]],23),IF(Main[[#This Row],[Class]]="B", WORKDAY(Main[[#This Row],[Tech Start Date]],15),IF(Main[[#This Row],[Class]]="A",WORKDAY(Main[[#This Row],[Tech Start Date]],5),""))))</f>
        <v>37629</v>
      </c>
      <c r="P1235" s="104">
        <f>IF(Main[[#This Row],[Tech Start Date]]&lt;1/1/1990,"",IF(Main[[#This Row],[Class]]="C",WORKDAY(Main[[#This Row],[Tech Start Date]],28),IF(Main[[#This Row],[Class]]="B", WORKDAY(Main[[#This Row],[Tech Start Date]],19),IF(Main[[#This Row],[Class]]="A",WORKDAY(Main[[#This Row],[Tech Start Date]],9),""))))</f>
        <v>37635</v>
      </c>
      <c r="Q1235" s="101"/>
      <c r="R1235" s="101">
        <v>37623</v>
      </c>
      <c r="S1235" s="99" t="s">
        <v>11</v>
      </c>
      <c r="T1235" s="107" t="s">
        <v>4</v>
      </c>
      <c r="U1235" s="99" t="s">
        <v>14</v>
      </c>
      <c r="V1235" s="99" t="s">
        <v>1977</v>
      </c>
      <c r="W1235" s="99" t="s">
        <v>1970</v>
      </c>
    </row>
    <row r="1236" spans="1:23" ht="18.600000000000001" customHeight="1">
      <c r="A1236" s="123" t="str">
        <f>IF(priority(Main[[#This Row],[Comments]])&lt;&gt;0, priority(Main[[#This Row],[Comments]]),"")</f>
        <v/>
      </c>
      <c r="B1236" s="127" t="s">
        <v>1852</v>
      </c>
      <c r="C1236" s="99" t="s">
        <v>871</v>
      </c>
      <c r="D1236" s="100" t="s">
        <v>875</v>
      </c>
      <c r="E1236" s="101">
        <v>40085.252314814818</v>
      </c>
      <c r="F1236" s="101">
        <v>40421</v>
      </c>
      <c r="G1236" s="102" t="str">
        <f>IF(stdProdLT(Main[[#This Row],[Comments]])=0.1,"N/A",IF(stdProdLT(Main[[#This Row],[Comments]])=0,"",stdProdLT(Main[[#This Row],[Comments]])))</f>
        <v/>
      </c>
      <c r="H1236" s="103">
        <f>IF(AND(Main[[#This Row],[In Stock Date]]&lt;&gt;"",Main[[#This Row],[Revised Due Date]]&lt;&gt;""),Main[[#This Row],[In Stock Date]]-Main[[#This Row],[Revised Due Date]],"")</f>
        <v>193</v>
      </c>
      <c r="I1236" s="99" t="s">
        <v>868</v>
      </c>
      <c r="J1236" s="99" t="s">
        <v>4</v>
      </c>
      <c r="K1236" s="99" t="s">
        <v>1974</v>
      </c>
      <c r="L1236" s="101">
        <v>40091</v>
      </c>
      <c r="M1236" s="104" t="str">
        <f>IF(Main[[#This Row],[Tech Start Date]]&lt;1/1/1990,"",IF(Main[[#This Row],[Class]]="C",WORKDAY(Main[[#This Row],[Tech Start Date]],9),IF(Main[[#This Row],[Class]]="B", WORKDAY(Main[[#This Row],[Tech Start Date]],6),IF(Main[[#This Row],[Class]]="A",WORKDAY(Main[[#This Row],[Tech Start Date]],2),""))))</f>
        <v/>
      </c>
      <c r="N1236" s="104" t="str">
        <f>IF(Main[[#This Row],[Tech Start Date]]&lt;1/1/1990,"",IF(Main[[#This Row],[Class]]="C",WORKDAY(Main[[#This Row],[Tech Start Date]],19),IF(Main[[#This Row],[Class]]="B", WORKDAY(Main[[#This Row],[Tech Start Date]],12),IF(Main[[#This Row],[Class]]="A",WORKDAY(Main[[#This Row],[Tech Start Date]],4),""))))</f>
        <v/>
      </c>
      <c r="O1236" s="104" t="str">
        <f>IF(Main[[#This Row],[Tech Start Date]]&lt;1/1/1990,"",IF(Main[[#This Row],[Class]]="C",WORKDAY(Main[[#This Row],[Tech Start Date]],23),IF(Main[[#This Row],[Class]]="B", WORKDAY(Main[[#This Row],[Tech Start Date]],15),IF(Main[[#This Row],[Class]]="A",WORKDAY(Main[[#This Row],[Tech Start Date]],5),""))))</f>
        <v/>
      </c>
      <c r="P1236" s="104" t="str">
        <f>IF(Main[[#This Row],[Tech Start Date]]&lt;1/1/1990,"",IF(Main[[#This Row],[Class]]="C",WORKDAY(Main[[#This Row],[Tech Start Date]],28),IF(Main[[#This Row],[Class]]="B", WORKDAY(Main[[#This Row],[Tech Start Date]],19),IF(Main[[#This Row],[Class]]="A",WORKDAY(Main[[#This Row],[Tech Start Date]],9),""))))</f>
        <v/>
      </c>
      <c r="Q1236" s="101">
        <v>40239</v>
      </c>
      <c r="R1236" s="101">
        <v>40228</v>
      </c>
      <c r="S1236" s="99" t="s">
        <v>17</v>
      </c>
      <c r="T1236" s="107" t="s">
        <v>4</v>
      </c>
      <c r="U1236" s="99" t="s">
        <v>29</v>
      </c>
      <c r="V1236" s="99" t="s">
        <v>1965</v>
      </c>
      <c r="W1236" s="99" t="s">
        <v>1967</v>
      </c>
    </row>
    <row r="1237" spans="1:23" ht="18.600000000000001" customHeight="1">
      <c r="A1237" s="123" t="str">
        <f>IF(priority(Main[[#This Row],[Comments]])&lt;&gt;0, priority(Main[[#This Row],[Comments]]),"")</f>
        <v/>
      </c>
      <c r="B1237" s="127" t="s">
        <v>1845</v>
      </c>
      <c r="C1237" s="99" t="s">
        <v>93</v>
      </c>
      <c r="D1237" s="100" t="s">
        <v>866</v>
      </c>
      <c r="E1237" s="101"/>
      <c r="F1237" s="101">
        <v>40238</v>
      </c>
      <c r="G1237" s="102" t="str">
        <f>IF(stdProdLT(Main[[#This Row],[Comments]])=0.1,"N/A",IF(stdProdLT(Main[[#This Row],[Comments]])=0,"",stdProdLT(Main[[#This Row],[Comments]])))</f>
        <v/>
      </c>
      <c r="H1237" s="103">
        <f>IF(AND(Main[[#This Row],[In Stock Date]]&lt;&gt;"",Main[[#This Row],[Revised Due Date]]&lt;&gt;""),Main[[#This Row],[In Stock Date]]-Main[[#This Row],[Revised Due Date]],"")</f>
        <v>81</v>
      </c>
      <c r="I1237" s="99" t="s">
        <v>44</v>
      </c>
      <c r="J1237" s="99" t="s">
        <v>4</v>
      </c>
      <c r="K1237" s="99" t="s">
        <v>4</v>
      </c>
      <c r="L1237" s="101">
        <v>40127</v>
      </c>
      <c r="M1237" s="104" t="str">
        <f>IF(Main[[#This Row],[Tech Start Date]]&lt;1/1/1990,"",IF(Main[[#This Row],[Class]]="C",WORKDAY(Main[[#This Row],[Tech Start Date]],9),IF(Main[[#This Row],[Class]]="B", WORKDAY(Main[[#This Row],[Tech Start Date]],6),IF(Main[[#This Row],[Class]]="A",WORKDAY(Main[[#This Row],[Tech Start Date]],2),""))))</f>
        <v/>
      </c>
      <c r="N1237" s="104" t="str">
        <f>IF(Main[[#This Row],[Tech Start Date]]&lt;1/1/1990,"",IF(Main[[#This Row],[Class]]="C",WORKDAY(Main[[#This Row],[Tech Start Date]],19),IF(Main[[#This Row],[Class]]="B", WORKDAY(Main[[#This Row],[Tech Start Date]],12),IF(Main[[#This Row],[Class]]="A",WORKDAY(Main[[#This Row],[Tech Start Date]],4),""))))</f>
        <v/>
      </c>
      <c r="O1237" s="104" t="str">
        <f>IF(Main[[#This Row],[Tech Start Date]]&lt;1/1/1990,"",IF(Main[[#This Row],[Class]]="C",WORKDAY(Main[[#This Row],[Tech Start Date]],23),IF(Main[[#This Row],[Class]]="B", WORKDAY(Main[[#This Row],[Tech Start Date]],15),IF(Main[[#This Row],[Class]]="A",WORKDAY(Main[[#This Row],[Tech Start Date]],5),""))))</f>
        <v/>
      </c>
      <c r="P1237" s="104" t="str">
        <f>IF(Main[[#This Row],[Tech Start Date]]&lt;1/1/1990,"",IF(Main[[#This Row],[Class]]="C",WORKDAY(Main[[#This Row],[Tech Start Date]],28),IF(Main[[#This Row],[Class]]="B", WORKDAY(Main[[#This Row],[Tech Start Date]],19),IF(Main[[#This Row],[Class]]="A",WORKDAY(Main[[#This Row],[Tech Start Date]],9),""))))</f>
        <v/>
      </c>
      <c r="Q1237" s="101">
        <v>40223</v>
      </c>
      <c r="R1237" s="101">
        <v>40157</v>
      </c>
      <c r="S1237" s="99" t="s">
        <v>11</v>
      </c>
      <c r="T1237" s="107" t="s">
        <v>4</v>
      </c>
      <c r="U1237" s="99" t="s">
        <v>14</v>
      </c>
      <c r="V1237" s="99" t="s">
        <v>1972</v>
      </c>
      <c r="W1237" s="99" t="s">
        <v>1973</v>
      </c>
    </row>
    <row r="1238" spans="1:23" ht="18.600000000000001" customHeight="1">
      <c r="A1238" s="123" t="str">
        <f>IF(priority(Main[[#This Row],[Comments]])&lt;&gt;0, priority(Main[[#This Row],[Comments]]),"")</f>
        <v/>
      </c>
      <c r="B1238" s="127" t="s">
        <v>1215</v>
      </c>
      <c r="C1238" s="99" t="s">
        <v>4</v>
      </c>
      <c r="D1238" s="100" t="s">
        <v>241</v>
      </c>
      <c r="E1238" s="101"/>
      <c r="F1238" s="101"/>
      <c r="G1238" s="102" t="str">
        <f>IF(stdProdLT(Main[[#This Row],[Comments]])=0.1,"N/A",IF(stdProdLT(Main[[#This Row],[Comments]])=0,"",stdProdLT(Main[[#This Row],[Comments]])))</f>
        <v/>
      </c>
      <c r="H1238" s="103" t="str">
        <f>IF(AND(Main[[#This Row],[In Stock Date]]&lt;&gt;"",Main[[#This Row],[Revised Due Date]]&lt;&gt;""),Main[[#This Row],[In Stock Date]]-Main[[#This Row],[Revised Due Date]],"")</f>
        <v/>
      </c>
      <c r="I1238" s="99" t="s">
        <v>242</v>
      </c>
      <c r="J1238" s="99" t="s">
        <v>4</v>
      </c>
      <c r="K1238" s="99" t="s">
        <v>4</v>
      </c>
      <c r="L1238" s="101">
        <v>40134</v>
      </c>
      <c r="M1238" s="104" t="str">
        <f>IF(Main[[#This Row],[Tech Start Date]]&lt;1/1/1990,"",IF(Main[[#This Row],[Class]]="C",WORKDAY(Main[[#This Row],[Tech Start Date]],9),IF(Main[[#This Row],[Class]]="B", WORKDAY(Main[[#This Row],[Tech Start Date]],6),IF(Main[[#This Row],[Class]]="A",WORKDAY(Main[[#This Row],[Tech Start Date]],2),""))))</f>
        <v/>
      </c>
      <c r="N1238" s="104" t="str">
        <f>IF(Main[[#This Row],[Tech Start Date]]&lt;1/1/1990,"",IF(Main[[#This Row],[Class]]="C",WORKDAY(Main[[#This Row],[Tech Start Date]],19),IF(Main[[#This Row],[Class]]="B", WORKDAY(Main[[#This Row],[Tech Start Date]],12),IF(Main[[#This Row],[Class]]="A",WORKDAY(Main[[#This Row],[Tech Start Date]],4),""))))</f>
        <v/>
      </c>
      <c r="O1238" s="104" t="str">
        <f>IF(Main[[#This Row],[Tech Start Date]]&lt;1/1/1990,"",IF(Main[[#This Row],[Class]]="C",WORKDAY(Main[[#This Row],[Tech Start Date]],23),IF(Main[[#This Row],[Class]]="B", WORKDAY(Main[[#This Row],[Tech Start Date]],15),IF(Main[[#This Row],[Class]]="A",WORKDAY(Main[[#This Row],[Tech Start Date]],5),""))))</f>
        <v/>
      </c>
      <c r="P1238" s="104" t="str">
        <f>IF(Main[[#This Row],[Tech Start Date]]&lt;1/1/1990,"",IF(Main[[#This Row],[Class]]="C",WORKDAY(Main[[#This Row],[Tech Start Date]],28),IF(Main[[#This Row],[Class]]="B", WORKDAY(Main[[#This Row],[Tech Start Date]],19),IF(Main[[#This Row],[Class]]="A",WORKDAY(Main[[#This Row],[Tech Start Date]],9),""))))</f>
        <v/>
      </c>
      <c r="Q1238" s="101"/>
      <c r="R1238" s="101"/>
      <c r="S1238" s="99" t="s">
        <v>6</v>
      </c>
      <c r="T1238" s="107" t="s">
        <v>4</v>
      </c>
      <c r="U1238" s="99" t="s">
        <v>14</v>
      </c>
      <c r="V1238" s="99" t="s">
        <v>1965</v>
      </c>
      <c r="W1238" s="99" t="s">
        <v>4</v>
      </c>
    </row>
    <row r="1239" spans="1:23" ht="18.600000000000001" customHeight="1">
      <c r="A1239" s="123" t="str">
        <f>IF(priority(Main[[#This Row],[Comments]])&lt;&gt;0, priority(Main[[#This Row],[Comments]]),"")</f>
        <v/>
      </c>
      <c r="B1239" s="127" t="s">
        <v>1892</v>
      </c>
      <c r="C1239" s="99" t="s">
        <v>873</v>
      </c>
      <c r="D1239" s="100" t="s">
        <v>922</v>
      </c>
      <c r="E1239" s="101"/>
      <c r="F1239" s="101">
        <v>40305</v>
      </c>
      <c r="G1239" s="102" t="str">
        <f>IF(stdProdLT(Main[[#This Row],[Comments]])=0.1,"N/A",IF(stdProdLT(Main[[#This Row],[Comments]])=0,"",stdProdLT(Main[[#This Row],[Comments]])))</f>
        <v/>
      </c>
      <c r="H1239" s="103">
        <f>IF(AND(Main[[#This Row],[In Stock Date]]&lt;&gt;"",Main[[#This Row],[Revised Due Date]]&lt;&gt;""),Main[[#This Row],[In Stock Date]]-Main[[#This Row],[Revised Due Date]],"")</f>
        <v>-226</v>
      </c>
      <c r="I1239" s="99" t="s">
        <v>437</v>
      </c>
      <c r="J1239" s="99" t="s">
        <v>4</v>
      </c>
      <c r="K1239" s="99" t="s">
        <v>1969</v>
      </c>
      <c r="L1239" s="101">
        <v>40162</v>
      </c>
      <c r="M1239" s="104">
        <f>IF(Main[[#This Row],[Tech Start Date]]&lt;1/1/1990,"",IF(Main[[#This Row],[Class]]="C",WORKDAY(Main[[#This Row],[Tech Start Date]],9),IF(Main[[#This Row],[Class]]="B", WORKDAY(Main[[#This Row],[Tech Start Date]],6),IF(Main[[#This Row],[Class]]="A",WORKDAY(Main[[#This Row],[Tech Start Date]],2),""))))</f>
        <v>40170</v>
      </c>
      <c r="N1239" s="104">
        <f>IF(Main[[#This Row],[Tech Start Date]]&lt;1/1/1990,"",IF(Main[[#This Row],[Class]]="C",WORKDAY(Main[[#This Row],[Tech Start Date]],19),IF(Main[[#This Row],[Class]]="B", WORKDAY(Main[[#This Row],[Tech Start Date]],12),IF(Main[[#This Row],[Class]]="A",WORKDAY(Main[[#This Row],[Tech Start Date]],4),""))))</f>
        <v>40178</v>
      </c>
      <c r="O1239" s="104">
        <f>IF(Main[[#This Row],[Tech Start Date]]&lt;1/1/1990,"",IF(Main[[#This Row],[Class]]="C",WORKDAY(Main[[#This Row],[Tech Start Date]],23),IF(Main[[#This Row],[Class]]="B", WORKDAY(Main[[#This Row],[Tech Start Date]],15),IF(Main[[#This Row],[Class]]="A",WORKDAY(Main[[#This Row],[Tech Start Date]],5),""))))</f>
        <v>40183</v>
      </c>
      <c r="P1239" s="104">
        <f>IF(Main[[#This Row],[Tech Start Date]]&lt;1/1/1990,"",IF(Main[[#This Row],[Class]]="C",WORKDAY(Main[[#This Row],[Tech Start Date]],28),IF(Main[[#This Row],[Class]]="B", WORKDAY(Main[[#This Row],[Tech Start Date]],19),IF(Main[[#This Row],[Class]]="A",WORKDAY(Main[[#This Row],[Tech Start Date]],9),""))))</f>
        <v>40189</v>
      </c>
      <c r="Q1239" s="101">
        <v>40531</v>
      </c>
      <c r="R1239" s="101">
        <v>40531</v>
      </c>
      <c r="S1239" s="99" t="s">
        <v>11</v>
      </c>
      <c r="T1239" s="107" t="s">
        <v>4</v>
      </c>
      <c r="U1239" s="99" t="s">
        <v>14</v>
      </c>
      <c r="V1239" s="99" t="s">
        <v>1965</v>
      </c>
      <c r="W1239" s="99" t="s">
        <v>1970</v>
      </c>
    </row>
    <row r="1240" spans="1:23" ht="18.600000000000001" customHeight="1">
      <c r="A1240" s="123" t="str">
        <f>IF(priority(Main[[#This Row],[Comments]])&lt;&gt;0, priority(Main[[#This Row],[Comments]]),"")</f>
        <v/>
      </c>
      <c r="B1240" s="127" t="s">
        <v>1849</v>
      </c>
      <c r="C1240" s="99" t="s">
        <v>31</v>
      </c>
      <c r="D1240" s="100" t="s">
        <v>870</v>
      </c>
      <c r="E1240" s="101"/>
      <c r="F1240" s="101">
        <v>40192</v>
      </c>
      <c r="G1240" s="102" t="str">
        <f>IF(stdProdLT(Main[[#This Row],[Comments]])=0.1,"N/A",IF(stdProdLT(Main[[#This Row],[Comments]])=0,"",stdProdLT(Main[[#This Row],[Comments]])))</f>
        <v/>
      </c>
      <c r="H1240" s="103">
        <f>IF(AND(Main[[#This Row],[In Stock Date]]&lt;&gt;"",Main[[#This Row],[Revised Due Date]]&lt;&gt;""),Main[[#This Row],[In Stock Date]]-Main[[#This Row],[Revised Due Date]],"")</f>
        <v>0</v>
      </c>
      <c r="I1240" s="99" t="s">
        <v>778</v>
      </c>
      <c r="J1240" s="99" t="s">
        <v>4</v>
      </c>
      <c r="K1240" s="99" t="s">
        <v>4</v>
      </c>
      <c r="L1240" s="101">
        <v>40163</v>
      </c>
      <c r="M1240" s="104" t="str">
        <f>IF(Main[[#This Row],[Tech Start Date]]&lt;1/1/1990,"",IF(Main[[#This Row],[Class]]="C",WORKDAY(Main[[#This Row],[Tech Start Date]],9),IF(Main[[#This Row],[Class]]="B", WORKDAY(Main[[#This Row],[Tech Start Date]],6),IF(Main[[#This Row],[Class]]="A",WORKDAY(Main[[#This Row],[Tech Start Date]],2),""))))</f>
        <v/>
      </c>
      <c r="N1240" s="104" t="str">
        <f>IF(Main[[#This Row],[Tech Start Date]]&lt;1/1/1990,"",IF(Main[[#This Row],[Class]]="C",WORKDAY(Main[[#This Row],[Tech Start Date]],19),IF(Main[[#This Row],[Class]]="B", WORKDAY(Main[[#This Row],[Tech Start Date]],12),IF(Main[[#This Row],[Class]]="A",WORKDAY(Main[[#This Row],[Tech Start Date]],4),""))))</f>
        <v/>
      </c>
      <c r="O1240" s="104" t="str">
        <f>IF(Main[[#This Row],[Tech Start Date]]&lt;1/1/1990,"",IF(Main[[#This Row],[Class]]="C",WORKDAY(Main[[#This Row],[Tech Start Date]],23),IF(Main[[#This Row],[Class]]="B", WORKDAY(Main[[#This Row],[Tech Start Date]],15),IF(Main[[#This Row],[Class]]="A",WORKDAY(Main[[#This Row],[Tech Start Date]],5),""))))</f>
        <v/>
      </c>
      <c r="P1240" s="104" t="str">
        <f>IF(Main[[#This Row],[Tech Start Date]]&lt;1/1/1990,"",IF(Main[[#This Row],[Class]]="C",WORKDAY(Main[[#This Row],[Tech Start Date]],28),IF(Main[[#This Row],[Class]]="B", WORKDAY(Main[[#This Row],[Tech Start Date]],19),IF(Main[[#This Row],[Class]]="A",WORKDAY(Main[[#This Row],[Tech Start Date]],9),""))))</f>
        <v/>
      </c>
      <c r="Q1240" s="101">
        <v>40226</v>
      </c>
      <c r="R1240" s="101">
        <v>40192</v>
      </c>
      <c r="S1240" s="99" t="s">
        <v>11</v>
      </c>
      <c r="T1240" s="107" t="s">
        <v>4</v>
      </c>
      <c r="U1240" s="99" t="s">
        <v>14</v>
      </c>
      <c r="V1240" s="99" t="s">
        <v>1972</v>
      </c>
      <c r="W1240" s="99" t="s">
        <v>1968</v>
      </c>
    </row>
    <row r="1241" spans="1:23" ht="18.600000000000001" customHeight="1">
      <c r="A1241" s="123" t="str">
        <f>IF(priority(Main[[#This Row],[Comments]])&lt;&gt;0, priority(Main[[#This Row],[Comments]]),"")</f>
        <v/>
      </c>
      <c r="B1241" s="127" t="s">
        <v>1848</v>
      </c>
      <c r="C1241" s="99" t="s">
        <v>31</v>
      </c>
      <c r="D1241" s="100" t="s">
        <v>869</v>
      </c>
      <c r="E1241" s="101"/>
      <c r="F1241" s="101">
        <v>40192</v>
      </c>
      <c r="G1241" s="102" t="str">
        <f>IF(stdProdLT(Main[[#This Row],[Comments]])=0.1,"N/A",IF(stdProdLT(Main[[#This Row],[Comments]])=0,"",stdProdLT(Main[[#This Row],[Comments]])))</f>
        <v/>
      </c>
      <c r="H1241" s="103">
        <f>IF(AND(Main[[#This Row],[In Stock Date]]&lt;&gt;"",Main[[#This Row],[Revised Due Date]]&lt;&gt;""),Main[[#This Row],[In Stock Date]]-Main[[#This Row],[Revised Due Date]],"")</f>
        <v>0</v>
      </c>
      <c r="I1241" s="99" t="s">
        <v>778</v>
      </c>
      <c r="J1241" s="99" t="s">
        <v>4</v>
      </c>
      <c r="K1241" s="99" t="s">
        <v>4</v>
      </c>
      <c r="L1241" s="101">
        <v>40163</v>
      </c>
      <c r="M1241" s="104" t="str">
        <f>IF(Main[[#This Row],[Tech Start Date]]&lt;1/1/1990,"",IF(Main[[#This Row],[Class]]="C",WORKDAY(Main[[#This Row],[Tech Start Date]],9),IF(Main[[#This Row],[Class]]="B", WORKDAY(Main[[#This Row],[Tech Start Date]],6),IF(Main[[#This Row],[Class]]="A",WORKDAY(Main[[#This Row],[Tech Start Date]],2),""))))</f>
        <v/>
      </c>
      <c r="N1241" s="104" t="str">
        <f>IF(Main[[#This Row],[Tech Start Date]]&lt;1/1/1990,"",IF(Main[[#This Row],[Class]]="C",WORKDAY(Main[[#This Row],[Tech Start Date]],19),IF(Main[[#This Row],[Class]]="B", WORKDAY(Main[[#This Row],[Tech Start Date]],12),IF(Main[[#This Row],[Class]]="A",WORKDAY(Main[[#This Row],[Tech Start Date]],4),""))))</f>
        <v/>
      </c>
      <c r="O1241" s="104" t="str">
        <f>IF(Main[[#This Row],[Tech Start Date]]&lt;1/1/1990,"",IF(Main[[#This Row],[Class]]="C",WORKDAY(Main[[#This Row],[Tech Start Date]],23),IF(Main[[#This Row],[Class]]="B", WORKDAY(Main[[#This Row],[Tech Start Date]],15),IF(Main[[#This Row],[Class]]="A",WORKDAY(Main[[#This Row],[Tech Start Date]],5),""))))</f>
        <v/>
      </c>
      <c r="P1241" s="104" t="str">
        <f>IF(Main[[#This Row],[Tech Start Date]]&lt;1/1/1990,"",IF(Main[[#This Row],[Class]]="C",WORKDAY(Main[[#This Row],[Tech Start Date]],28),IF(Main[[#This Row],[Class]]="B", WORKDAY(Main[[#This Row],[Tech Start Date]],19),IF(Main[[#This Row],[Class]]="A",WORKDAY(Main[[#This Row],[Tech Start Date]],9),""))))</f>
        <v/>
      </c>
      <c r="Q1241" s="101">
        <v>40226</v>
      </c>
      <c r="R1241" s="101">
        <v>40192</v>
      </c>
      <c r="S1241" s="99" t="s">
        <v>11</v>
      </c>
      <c r="T1241" s="107" t="s">
        <v>4</v>
      </c>
      <c r="U1241" s="99" t="s">
        <v>14</v>
      </c>
      <c r="V1241" s="99" t="s">
        <v>1972</v>
      </c>
      <c r="W1241" s="99" t="s">
        <v>1968</v>
      </c>
    </row>
    <row r="1242" spans="1:23" ht="18.600000000000001" customHeight="1">
      <c r="A1242" s="123" t="str">
        <f>IF(priority(Main[[#This Row],[Comments]])&lt;&gt;0, priority(Main[[#This Row],[Comments]]),"")</f>
        <v/>
      </c>
      <c r="B1242" s="127" t="s">
        <v>1851</v>
      </c>
      <c r="C1242" s="99" t="s">
        <v>873</v>
      </c>
      <c r="D1242" s="100" t="s">
        <v>874</v>
      </c>
      <c r="E1242" s="101"/>
      <c r="F1242" s="101">
        <v>40305</v>
      </c>
      <c r="G1242" s="102" t="str">
        <f>IF(stdProdLT(Main[[#This Row],[Comments]])=0.1,"N/A",IF(stdProdLT(Main[[#This Row],[Comments]])=0,"",stdProdLT(Main[[#This Row],[Comments]])))</f>
        <v/>
      </c>
      <c r="H1242" s="103">
        <f>IF(AND(Main[[#This Row],[In Stock Date]]&lt;&gt;"",Main[[#This Row],[Revised Due Date]]&lt;&gt;""),Main[[#This Row],[In Stock Date]]-Main[[#This Row],[Revised Due Date]],"")</f>
        <v>80</v>
      </c>
      <c r="I1242" s="99" t="s">
        <v>778</v>
      </c>
      <c r="J1242" s="99" t="s">
        <v>4</v>
      </c>
      <c r="K1242" s="99" t="s">
        <v>4</v>
      </c>
      <c r="L1242" s="101">
        <v>40192</v>
      </c>
      <c r="M1242" s="104" t="str">
        <f>IF(Main[[#This Row],[Tech Start Date]]&lt;1/1/1990,"",IF(Main[[#This Row],[Class]]="C",WORKDAY(Main[[#This Row],[Tech Start Date]],9),IF(Main[[#This Row],[Class]]="B", WORKDAY(Main[[#This Row],[Tech Start Date]],6),IF(Main[[#This Row],[Class]]="A",WORKDAY(Main[[#This Row],[Tech Start Date]],2),""))))</f>
        <v/>
      </c>
      <c r="N1242" s="104" t="str">
        <f>IF(Main[[#This Row],[Tech Start Date]]&lt;1/1/1990,"",IF(Main[[#This Row],[Class]]="C",WORKDAY(Main[[#This Row],[Tech Start Date]],19),IF(Main[[#This Row],[Class]]="B", WORKDAY(Main[[#This Row],[Tech Start Date]],12),IF(Main[[#This Row],[Class]]="A",WORKDAY(Main[[#This Row],[Tech Start Date]],4),""))))</f>
        <v/>
      </c>
      <c r="O1242" s="104" t="str">
        <f>IF(Main[[#This Row],[Tech Start Date]]&lt;1/1/1990,"",IF(Main[[#This Row],[Class]]="C",WORKDAY(Main[[#This Row],[Tech Start Date]],23),IF(Main[[#This Row],[Class]]="B", WORKDAY(Main[[#This Row],[Tech Start Date]],15),IF(Main[[#This Row],[Class]]="A",WORKDAY(Main[[#This Row],[Tech Start Date]],5),""))))</f>
        <v/>
      </c>
      <c r="P1242" s="104" t="str">
        <f>IF(Main[[#This Row],[Tech Start Date]]&lt;1/1/1990,"",IF(Main[[#This Row],[Class]]="C",WORKDAY(Main[[#This Row],[Tech Start Date]],28),IF(Main[[#This Row],[Class]]="B", WORKDAY(Main[[#This Row],[Tech Start Date]],19),IF(Main[[#This Row],[Class]]="A",WORKDAY(Main[[#This Row],[Tech Start Date]],9),""))))</f>
        <v/>
      </c>
      <c r="Q1242" s="101">
        <v>40178</v>
      </c>
      <c r="R1242" s="101">
        <v>40225</v>
      </c>
      <c r="S1242" s="99" t="s">
        <v>11</v>
      </c>
      <c r="T1242" s="107" t="s">
        <v>4</v>
      </c>
      <c r="U1242" s="99" t="s">
        <v>14</v>
      </c>
      <c r="V1242" s="99" t="s">
        <v>1965</v>
      </c>
      <c r="W1242" s="99" t="s">
        <v>1970</v>
      </c>
    </row>
    <row r="1243" spans="1:23" ht="18.600000000000001" customHeight="1">
      <c r="A1243" s="123" t="str">
        <f>IF(priority(Main[[#This Row],[Comments]])&lt;&gt;0, priority(Main[[#This Row],[Comments]]),"")</f>
        <v/>
      </c>
      <c r="B1243" s="127" t="s">
        <v>1850</v>
      </c>
      <c r="C1243" s="99" t="s">
        <v>871</v>
      </c>
      <c r="D1243" s="100" t="s">
        <v>872</v>
      </c>
      <c r="E1243" s="101"/>
      <c r="F1243" s="101">
        <v>40305</v>
      </c>
      <c r="G1243" s="102" t="str">
        <f>IF(stdProdLT(Main[[#This Row],[Comments]])=0.1,"N/A",IF(stdProdLT(Main[[#This Row],[Comments]])=0,"",stdProdLT(Main[[#This Row],[Comments]])))</f>
        <v/>
      </c>
      <c r="H1243" s="103">
        <f>IF(AND(Main[[#This Row],[In Stock Date]]&lt;&gt;"",Main[[#This Row],[Revised Due Date]]&lt;&gt;""),Main[[#This Row],[In Stock Date]]-Main[[#This Row],[Revised Due Date]],"")</f>
        <v>81</v>
      </c>
      <c r="I1243" s="99" t="s">
        <v>44</v>
      </c>
      <c r="J1243" s="99" t="s">
        <v>4</v>
      </c>
      <c r="K1243" s="108" t="s">
        <v>4</v>
      </c>
      <c r="L1243" s="101">
        <v>40192</v>
      </c>
      <c r="M1243" s="104" t="str">
        <f>IF(Main[[#This Row],[Tech Start Date]]&lt;1/1/1990,"",IF(Main[[#This Row],[Class]]="C",WORKDAY(Main[[#This Row],[Tech Start Date]],9),IF(Main[[#This Row],[Class]]="B", WORKDAY(Main[[#This Row],[Tech Start Date]],6),IF(Main[[#This Row],[Class]]="A",WORKDAY(Main[[#This Row],[Tech Start Date]],2),""))))</f>
        <v/>
      </c>
      <c r="N1243" s="104" t="str">
        <f>IF(Main[[#This Row],[Tech Start Date]]&lt;1/1/1990,"",IF(Main[[#This Row],[Class]]="C",WORKDAY(Main[[#This Row],[Tech Start Date]],19),IF(Main[[#This Row],[Class]]="B", WORKDAY(Main[[#This Row],[Tech Start Date]],12),IF(Main[[#This Row],[Class]]="A",WORKDAY(Main[[#This Row],[Tech Start Date]],4),""))))</f>
        <v/>
      </c>
      <c r="O1243" s="104" t="str">
        <f>IF(Main[[#This Row],[Tech Start Date]]&lt;1/1/1990,"",IF(Main[[#This Row],[Class]]="C",WORKDAY(Main[[#This Row],[Tech Start Date]],23),IF(Main[[#This Row],[Class]]="B", WORKDAY(Main[[#This Row],[Tech Start Date]],15),IF(Main[[#This Row],[Class]]="A",WORKDAY(Main[[#This Row],[Tech Start Date]],5),""))))</f>
        <v/>
      </c>
      <c r="P1243" s="104" t="str">
        <f>IF(Main[[#This Row],[Tech Start Date]]&lt;1/1/1990,"",IF(Main[[#This Row],[Class]]="C",WORKDAY(Main[[#This Row],[Tech Start Date]],28),IF(Main[[#This Row],[Class]]="B", WORKDAY(Main[[#This Row],[Tech Start Date]],19),IF(Main[[#This Row],[Class]]="A",WORKDAY(Main[[#This Row],[Tech Start Date]],9),""))))</f>
        <v/>
      </c>
      <c r="Q1243" s="101">
        <v>40178</v>
      </c>
      <c r="R1243" s="101">
        <v>40224</v>
      </c>
      <c r="S1243" s="99" t="s">
        <v>11</v>
      </c>
      <c r="T1243" s="107" t="s">
        <v>4</v>
      </c>
      <c r="U1243" s="99" t="s">
        <v>14</v>
      </c>
      <c r="V1243" s="99" t="s">
        <v>1965</v>
      </c>
      <c r="W1243" s="99" t="s">
        <v>1970</v>
      </c>
    </row>
    <row r="1244" spans="1:23" ht="18.600000000000001" customHeight="1">
      <c r="A1244" s="123" t="str">
        <f>IF(priority(Main[[#This Row],[Comments]])&lt;&gt;0, priority(Main[[#This Row],[Comments]]),"")</f>
        <v/>
      </c>
      <c r="B1244" s="127" t="s">
        <v>1853</v>
      </c>
      <c r="C1244" s="99" t="s">
        <v>4</v>
      </c>
      <c r="D1244" s="100" t="s">
        <v>876</v>
      </c>
      <c r="E1244" s="101"/>
      <c r="F1244" s="101"/>
      <c r="G1244" s="102" t="str">
        <f>IF(stdProdLT(Main[[#This Row],[Comments]])=0.1,"N/A",IF(stdProdLT(Main[[#This Row],[Comments]])=0,"",stdProdLT(Main[[#This Row],[Comments]])))</f>
        <v/>
      </c>
      <c r="H1244" s="103" t="str">
        <f>IF(AND(Main[[#This Row],[In Stock Date]]&lt;&gt;"",Main[[#This Row],[Revised Due Date]]&lt;&gt;""),Main[[#This Row],[In Stock Date]]-Main[[#This Row],[Revised Due Date]],"")</f>
        <v/>
      </c>
      <c r="I1244" s="99" t="s">
        <v>30</v>
      </c>
      <c r="J1244" s="99" t="s">
        <v>28</v>
      </c>
      <c r="K1244" s="108" t="s">
        <v>1969</v>
      </c>
      <c r="L1244" s="101">
        <v>40231</v>
      </c>
      <c r="M1244" s="104">
        <f>IF(Main[[#This Row],[Tech Start Date]]&lt;1/1/1990,"",IF(Main[[#This Row],[Class]]="C",WORKDAY(Main[[#This Row],[Tech Start Date]],9),IF(Main[[#This Row],[Class]]="B", WORKDAY(Main[[#This Row],[Tech Start Date]],6),IF(Main[[#This Row],[Class]]="A",WORKDAY(Main[[#This Row],[Tech Start Date]],2),""))))</f>
        <v>40239</v>
      </c>
      <c r="N1244" s="104">
        <f>IF(Main[[#This Row],[Tech Start Date]]&lt;1/1/1990,"",IF(Main[[#This Row],[Class]]="C",WORKDAY(Main[[#This Row],[Tech Start Date]],19),IF(Main[[#This Row],[Class]]="B", WORKDAY(Main[[#This Row],[Tech Start Date]],12),IF(Main[[#This Row],[Class]]="A",WORKDAY(Main[[#This Row],[Tech Start Date]],4),""))))</f>
        <v>40247</v>
      </c>
      <c r="O1244" s="104">
        <f>IF(Main[[#This Row],[Tech Start Date]]&lt;1/1/1990,"",IF(Main[[#This Row],[Class]]="C",WORKDAY(Main[[#This Row],[Tech Start Date]],23),IF(Main[[#This Row],[Class]]="B", WORKDAY(Main[[#This Row],[Tech Start Date]],15),IF(Main[[#This Row],[Class]]="A",WORKDAY(Main[[#This Row],[Tech Start Date]],5),""))))</f>
        <v>40252</v>
      </c>
      <c r="P1244" s="104">
        <f>IF(Main[[#This Row],[Tech Start Date]]&lt;1/1/1990,"",IF(Main[[#This Row],[Class]]="C",WORKDAY(Main[[#This Row],[Tech Start Date]],28),IF(Main[[#This Row],[Class]]="B", WORKDAY(Main[[#This Row],[Tech Start Date]],19),IF(Main[[#This Row],[Class]]="A",WORKDAY(Main[[#This Row],[Tech Start Date]],9),""))))</f>
        <v>40256</v>
      </c>
      <c r="Q1244" s="101">
        <v>40269</v>
      </c>
      <c r="R1244" s="101">
        <v>40246</v>
      </c>
      <c r="S1244" s="99" t="s">
        <v>6</v>
      </c>
      <c r="T1244" s="107" t="s">
        <v>4</v>
      </c>
      <c r="U1244" s="99" t="s">
        <v>14</v>
      </c>
      <c r="V1244" s="99" t="s">
        <v>1965</v>
      </c>
      <c r="W1244" s="99" t="s">
        <v>1964</v>
      </c>
    </row>
    <row r="1245" spans="1:23" ht="18.600000000000001" customHeight="1">
      <c r="A1245" s="123" t="str">
        <f>IF(priority(Main[[#This Row],[Comments]])&lt;&gt;0, priority(Main[[#This Row],[Comments]]),"")</f>
        <v/>
      </c>
      <c r="B1245" s="127" t="s">
        <v>1995</v>
      </c>
      <c r="C1245" s="99" t="s">
        <v>878</v>
      </c>
      <c r="D1245" s="100" t="s">
        <v>879</v>
      </c>
      <c r="E1245" s="101"/>
      <c r="F1245" s="101"/>
      <c r="G1245" s="102" t="str">
        <f>IF(stdProdLT(Main[[#This Row],[Comments]])=0.1,"N/A",IF(stdProdLT(Main[[#This Row],[Comments]])=0,"",stdProdLT(Main[[#This Row],[Comments]])))</f>
        <v/>
      </c>
      <c r="H1245" s="103" t="str">
        <f>IF(AND(Main[[#This Row],[In Stock Date]]&lt;&gt;"",Main[[#This Row],[Revised Due Date]]&lt;&gt;""),Main[[#This Row],[In Stock Date]]-Main[[#This Row],[Revised Due Date]],"")</f>
        <v/>
      </c>
      <c r="I1245" s="99" t="s">
        <v>778</v>
      </c>
      <c r="J1245" s="99" t="s">
        <v>4</v>
      </c>
      <c r="K1245" s="108" t="s">
        <v>1974</v>
      </c>
      <c r="L1245" s="101">
        <v>40231</v>
      </c>
      <c r="M1245" s="104" t="str">
        <f>IF(Main[[#This Row],[Tech Start Date]]&lt;1/1/1990,"",IF(Main[[#This Row],[Class]]="C",WORKDAY(Main[[#This Row],[Tech Start Date]],9),IF(Main[[#This Row],[Class]]="B", WORKDAY(Main[[#This Row],[Tech Start Date]],6),IF(Main[[#This Row],[Class]]="A",WORKDAY(Main[[#This Row],[Tech Start Date]],2),""))))</f>
        <v/>
      </c>
      <c r="N1245" s="104" t="str">
        <f>IF(Main[[#This Row],[Tech Start Date]]&lt;1/1/1990,"",IF(Main[[#This Row],[Class]]="C",WORKDAY(Main[[#This Row],[Tech Start Date]],19),IF(Main[[#This Row],[Class]]="B", WORKDAY(Main[[#This Row],[Tech Start Date]],12),IF(Main[[#This Row],[Class]]="A",WORKDAY(Main[[#This Row],[Tech Start Date]],4),""))))</f>
        <v/>
      </c>
      <c r="O1245" s="104" t="str">
        <f>IF(Main[[#This Row],[Tech Start Date]]&lt;1/1/1990,"",IF(Main[[#This Row],[Class]]="C",WORKDAY(Main[[#This Row],[Tech Start Date]],23),IF(Main[[#This Row],[Class]]="B", WORKDAY(Main[[#This Row],[Tech Start Date]],15),IF(Main[[#This Row],[Class]]="A",WORKDAY(Main[[#This Row],[Tech Start Date]],5),""))))</f>
        <v/>
      </c>
      <c r="P1245" s="104" t="str">
        <f>IF(Main[[#This Row],[Tech Start Date]]&lt;1/1/1990,"",IF(Main[[#This Row],[Class]]="C",WORKDAY(Main[[#This Row],[Tech Start Date]],28),IF(Main[[#This Row],[Class]]="B", WORKDAY(Main[[#This Row],[Tech Start Date]],19),IF(Main[[#This Row],[Class]]="A",WORKDAY(Main[[#This Row],[Tech Start Date]],9),""))))</f>
        <v/>
      </c>
      <c r="Q1245" s="101">
        <v>40268</v>
      </c>
      <c r="R1245" s="101">
        <v>40268</v>
      </c>
      <c r="S1245" s="99" t="s">
        <v>17</v>
      </c>
      <c r="T1245" s="107" t="s">
        <v>4</v>
      </c>
      <c r="U1245" s="99" t="s">
        <v>14</v>
      </c>
      <c r="V1245" s="99" t="s">
        <v>1965</v>
      </c>
      <c r="W1245" s="99" t="s">
        <v>1967</v>
      </c>
    </row>
    <row r="1246" spans="1:23" ht="18.600000000000001" customHeight="1">
      <c r="A1246" s="123" t="str">
        <f>IF(priority(Main[[#This Row],[Comments]])&lt;&gt;0, priority(Main[[#This Row],[Comments]]),"")</f>
        <v/>
      </c>
      <c r="B1246" s="127" t="s">
        <v>1861</v>
      </c>
      <c r="C1246" s="99" t="s">
        <v>47</v>
      </c>
      <c r="D1246" s="100" t="s">
        <v>887</v>
      </c>
      <c r="E1246" s="101">
        <v>40220.456550925926</v>
      </c>
      <c r="F1246" s="101"/>
      <c r="G1246" s="102" t="str">
        <f>IF(stdProdLT(Main[[#This Row],[Comments]])=0.1,"N/A",IF(stdProdLT(Main[[#This Row],[Comments]])=0,"",stdProdLT(Main[[#This Row],[Comments]])))</f>
        <v/>
      </c>
      <c r="H1246" s="103" t="str">
        <f>IF(AND(Main[[#This Row],[In Stock Date]]&lt;&gt;"",Main[[#This Row],[Revised Due Date]]&lt;&gt;""),Main[[#This Row],[In Stock Date]]-Main[[#This Row],[Revised Due Date]],"")</f>
        <v/>
      </c>
      <c r="I1246" s="99" t="s">
        <v>81</v>
      </c>
      <c r="J1246" s="99" t="s">
        <v>52</v>
      </c>
      <c r="K1246" s="99" t="s">
        <v>1974</v>
      </c>
      <c r="L1246" s="101">
        <v>40231</v>
      </c>
      <c r="M1246" s="104" t="str">
        <f>IF(Main[[#This Row],[Tech Start Date]]&lt;1/1/1990,"",IF(Main[[#This Row],[Class]]="C",WORKDAY(Main[[#This Row],[Tech Start Date]],9),IF(Main[[#This Row],[Class]]="B", WORKDAY(Main[[#This Row],[Tech Start Date]],6),IF(Main[[#This Row],[Class]]="A",WORKDAY(Main[[#This Row],[Tech Start Date]],2),""))))</f>
        <v/>
      </c>
      <c r="N1246" s="104" t="str">
        <f>IF(Main[[#This Row],[Tech Start Date]]&lt;1/1/1990,"",IF(Main[[#This Row],[Class]]="C",WORKDAY(Main[[#This Row],[Tech Start Date]],19),IF(Main[[#This Row],[Class]]="B", WORKDAY(Main[[#This Row],[Tech Start Date]],12),IF(Main[[#This Row],[Class]]="A",WORKDAY(Main[[#This Row],[Tech Start Date]],4),""))))</f>
        <v/>
      </c>
      <c r="O1246" s="104" t="str">
        <f>IF(Main[[#This Row],[Tech Start Date]]&lt;1/1/1990,"",IF(Main[[#This Row],[Class]]="C",WORKDAY(Main[[#This Row],[Tech Start Date]],23),IF(Main[[#This Row],[Class]]="B", WORKDAY(Main[[#This Row],[Tech Start Date]],15),IF(Main[[#This Row],[Class]]="A",WORKDAY(Main[[#This Row],[Tech Start Date]],5),""))))</f>
        <v/>
      </c>
      <c r="P1246" s="104" t="str">
        <f>IF(Main[[#This Row],[Tech Start Date]]&lt;1/1/1990,"",IF(Main[[#This Row],[Class]]="C",WORKDAY(Main[[#This Row],[Tech Start Date]],28),IF(Main[[#This Row],[Class]]="B", WORKDAY(Main[[#This Row],[Tech Start Date]],19),IF(Main[[#This Row],[Class]]="A",WORKDAY(Main[[#This Row],[Tech Start Date]],9),""))))</f>
        <v/>
      </c>
      <c r="Q1246" s="101">
        <v>40255</v>
      </c>
      <c r="R1246" s="101">
        <v>40310</v>
      </c>
      <c r="S1246" s="99" t="s">
        <v>17</v>
      </c>
      <c r="T1246" s="107" t="s">
        <v>4</v>
      </c>
      <c r="U1246" s="99" t="s">
        <v>29</v>
      </c>
      <c r="V1246" s="99" t="s">
        <v>1972</v>
      </c>
      <c r="W1246" s="99" t="s">
        <v>1964</v>
      </c>
    </row>
    <row r="1247" spans="1:23" ht="18.600000000000001" customHeight="1">
      <c r="A1247" s="123" t="str">
        <f>IF(priority(Main[[#This Row],[Comments]])&lt;&gt;0, priority(Main[[#This Row],[Comments]]),"")</f>
        <v/>
      </c>
      <c r="B1247" s="127" t="s">
        <v>1856</v>
      </c>
      <c r="C1247" s="99" t="s">
        <v>47</v>
      </c>
      <c r="D1247" s="100" t="s">
        <v>881</v>
      </c>
      <c r="E1247" s="101"/>
      <c r="F1247" s="101"/>
      <c r="G1247" s="102" t="str">
        <f>IF(stdProdLT(Main[[#This Row],[Comments]])=0.1,"N/A",IF(stdProdLT(Main[[#This Row],[Comments]])=0,"",stdProdLT(Main[[#This Row],[Comments]])))</f>
        <v/>
      </c>
      <c r="H1247" s="103" t="str">
        <f>IF(AND(Main[[#This Row],[In Stock Date]]&lt;&gt;"",Main[[#This Row],[Revised Due Date]]&lt;&gt;""),Main[[#This Row],[In Stock Date]]-Main[[#This Row],[Revised Due Date]],"")</f>
        <v/>
      </c>
      <c r="I1247" s="99" t="s">
        <v>437</v>
      </c>
      <c r="J1247" s="99" t="s">
        <v>4</v>
      </c>
      <c r="K1247" s="99" t="s">
        <v>1974</v>
      </c>
      <c r="L1247" s="101">
        <v>40248</v>
      </c>
      <c r="M1247" s="104" t="str">
        <f>IF(Main[[#This Row],[Tech Start Date]]&lt;1/1/1990,"",IF(Main[[#This Row],[Class]]="C",WORKDAY(Main[[#This Row],[Tech Start Date]],9),IF(Main[[#This Row],[Class]]="B", WORKDAY(Main[[#This Row],[Tech Start Date]],6),IF(Main[[#This Row],[Class]]="A",WORKDAY(Main[[#This Row],[Tech Start Date]],2),""))))</f>
        <v/>
      </c>
      <c r="N1247" s="104" t="str">
        <f>IF(Main[[#This Row],[Tech Start Date]]&lt;1/1/1990,"",IF(Main[[#This Row],[Class]]="C",WORKDAY(Main[[#This Row],[Tech Start Date]],19),IF(Main[[#This Row],[Class]]="B", WORKDAY(Main[[#This Row],[Tech Start Date]],12),IF(Main[[#This Row],[Class]]="A",WORKDAY(Main[[#This Row],[Tech Start Date]],4),""))))</f>
        <v/>
      </c>
      <c r="O1247" s="104" t="str">
        <f>IF(Main[[#This Row],[Tech Start Date]]&lt;1/1/1990,"",IF(Main[[#This Row],[Class]]="C",WORKDAY(Main[[#This Row],[Tech Start Date]],23),IF(Main[[#This Row],[Class]]="B", WORKDAY(Main[[#This Row],[Tech Start Date]],15),IF(Main[[#This Row],[Class]]="A",WORKDAY(Main[[#This Row],[Tech Start Date]],5),""))))</f>
        <v/>
      </c>
      <c r="P1247" s="104" t="str">
        <f>IF(Main[[#This Row],[Tech Start Date]]&lt;1/1/1990,"",IF(Main[[#This Row],[Class]]="C",WORKDAY(Main[[#This Row],[Tech Start Date]],28),IF(Main[[#This Row],[Class]]="B", WORKDAY(Main[[#This Row],[Tech Start Date]],19),IF(Main[[#This Row],[Class]]="A",WORKDAY(Main[[#This Row],[Tech Start Date]],9),""))))</f>
        <v/>
      </c>
      <c r="Q1247" s="101">
        <v>40289</v>
      </c>
      <c r="R1247" s="101">
        <v>40289</v>
      </c>
      <c r="S1247" s="99" t="s">
        <v>17</v>
      </c>
      <c r="T1247" s="107" t="s">
        <v>4</v>
      </c>
      <c r="U1247" s="99" t="s">
        <v>14</v>
      </c>
      <c r="V1247" s="99" t="s">
        <v>1965</v>
      </c>
      <c r="W1247" s="99" t="s">
        <v>1968</v>
      </c>
    </row>
    <row r="1248" spans="1:23" ht="18.600000000000001" customHeight="1">
      <c r="A1248" s="123" t="str">
        <f>IF(priority(Main[[#This Row],[Comments]])&lt;&gt;0, priority(Main[[#This Row],[Comments]]),"")</f>
        <v/>
      </c>
      <c r="B1248" s="127" t="s">
        <v>1857</v>
      </c>
      <c r="C1248" s="99" t="s">
        <v>883</v>
      </c>
      <c r="D1248" s="100" t="s">
        <v>884</v>
      </c>
      <c r="E1248" s="101"/>
      <c r="F1248" s="101">
        <v>40299</v>
      </c>
      <c r="G1248" s="102" t="str">
        <f>IF(stdProdLT(Main[[#This Row],[Comments]])=0.1,"N/A",IF(stdProdLT(Main[[#This Row],[Comments]])=0,"",stdProdLT(Main[[#This Row],[Comments]])))</f>
        <v/>
      </c>
      <c r="H1248" s="103">
        <f>IF(AND(Main[[#This Row],[In Stock Date]]&lt;&gt;"",Main[[#This Row],[Revised Due Date]]&lt;&gt;""),Main[[#This Row],[In Stock Date]]-Main[[#This Row],[Revised Due Date]],"")</f>
        <v>8</v>
      </c>
      <c r="I1248" s="99" t="s">
        <v>660</v>
      </c>
      <c r="J1248" s="99" t="s">
        <v>28</v>
      </c>
      <c r="K1248" s="99" t="s">
        <v>1974</v>
      </c>
      <c r="L1248" s="101">
        <v>40266</v>
      </c>
      <c r="M1248" s="104" t="str">
        <f>IF(Main[[#This Row],[Tech Start Date]]&lt;1/1/1990,"",IF(Main[[#This Row],[Class]]="C",WORKDAY(Main[[#This Row],[Tech Start Date]],9),IF(Main[[#This Row],[Class]]="B", WORKDAY(Main[[#This Row],[Tech Start Date]],6),IF(Main[[#This Row],[Class]]="A",WORKDAY(Main[[#This Row],[Tech Start Date]],2),""))))</f>
        <v/>
      </c>
      <c r="N1248" s="104" t="str">
        <f>IF(Main[[#This Row],[Tech Start Date]]&lt;1/1/1990,"",IF(Main[[#This Row],[Class]]="C",WORKDAY(Main[[#This Row],[Tech Start Date]],19),IF(Main[[#This Row],[Class]]="B", WORKDAY(Main[[#This Row],[Tech Start Date]],12),IF(Main[[#This Row],[Class]]="A",WORKDAY(Main[[#This Row],[Tech Start Date]],4),""))))</f>
        <v/>
      </c>
      <c r="O1248" s="104" t="str">
        <f>IF(Main[[#This Row],[Tech Start Date]]&lt;1/1/1990,"",IF(Main[[#This Row],[Class]]="C",WORKDAY(Main[[#This Row],[Tech Start Date]],23),IF(Main[[#This Row],[Class]]="B", WORKDAY(Main[[#This Row],[Tech Start Date]],15),IF(Main[[#This Row],[Class]]="A",WORKDAY(Main[[#This Row],[Tech Start Date]],5),""))))</f>
        <v/>
      </c>
      <c r="P1248" s="104" t="str">
        <f>IF(Main[[#This Row],[Tech Start Date]]&lt;1/1/1990,"",IF(Main[[#This Row],[Class]]="C",WORKDAY(Main[[#This Row],[Tech Start Date]],28),IF(Main[[#This Row],[Class]]="B", WORKDAY(Main[[#This Row],[Tech Start Date]],19),IF(Main[[#This Row],[Class]]="A",WORKDAY(Main[[#This Row],[Tech Start Date]],9),""))))</f>
        <v/>
      </c>
      <c r="Q1248" s="101">
        <v>40299</v>
      </c>
      <c r="R1248" s="101">
        <v>40291</v>
      </c>
      <c r="S1248" s="99" t="s">
        <v>17</v>
      </c>
      <c r="T1248" s="107" t="s">
        <v>4</v>
      </c>
      <c r="U1248" s="99" t="s">
        <v>14</v>
      </c>
      <c r="V1248" s="99" t="s">
        <v>1972</v>
      </c>
      <c r="W1248" s="99" t="s">
        <v>1967</v>
      </c>
    </row>
    <row r="1249" spans="1:23" ht="18.600000000000001" customHeight="1">
      <c r="A1249" s="123" t="str">
        <f>IF(priority(Main[[#This Row],[Comments]])&lt;&gt;0, priority(Main[[#This Row],[Comments]]),"")</f>
        <v/>
      </c>
      <c r="B1249" s="127" t="s">
        <v>1860</v>
      </c>
      <c r="C1249" s="99" t="s">
        <v>4</v>
      </c>
      <c r="D1249" s="100" t="s">
        <v>886</v>
      </c>
      <c r="E1249" s="101"/>
      <c r="F1249" s="101"/>
      <c r="G1249" s="102" t="str">
        <f>IF(stdProdLT(Main[[#This Row],[Comments]])=0.1,"N/A",IF(stdProdLT(Main[[#This Row],[Comments]])=0,"",stdProdLT(Main[[#This Row],[Comments]])))</f>
        <v/>
      </c>
      <c r="H1249" s="103" t="str">
        <f>IF(AND(Main[[#This Row],[In Stock Date]]&lt;&gt;"",Main[[#This Row],[Revised Due Date]]&lt;&gt;""),Main[[#This Row],[In Stock Date]]-Main[[#This Row],[Revised Due Date]],"")</f>
        <v/>
      </c>
      <c r="I1249" s="99" t="s">
        <v>404</v>
      </c>
      <c r="J1249" s="99" t="s">
        <v>75</v>
      </c>
      <c r="K1249" s="99" t="s">
        <v>1971</v>
      </c>
      <c r="L1249" s="101">
        <v>40288</v>
      </c>
      <c r="M1249" s="104">
        <f>IF(Main[[#This Row],[Tech Start Date]]&lt;1/1/1990,"",IF(Main[[#This Row],[Class]]="C",WORKDAY(Main[[#This Row],[Tech Start Date]],9),IF(Main[[#This Row],[Class]]="B", WORKDAY(Main[[#This Row],[Tech Start Date]],6),IF(Main[[#This Row],[Class]]="A",WORKDAY(Main[[#This Row],[Tech Start Date]],2),""))))</f>
        <v>40290</v>
      </c>
      <c r="N1249" s="104">
        <f>IF(Main[[#This Row],[Tech Start Date]]&lt;1/1/1990,"",IF(Main[[#This Row],[Class]]="C",WORKDAY(Main[[#This Row],[Tech Start Date]],19),IF(Main[[#This Row],[Class]]="B", WORKDAY(Main[[#This Row],[Tech Start Date]],12),IF(Main[[#This Row],[Class]]="A",WORKDAY(Main[[#This Row],[Tech Start Date]],4),""))))</f>
        <v>40294</v>
      </c>
      <c r="O1249" s="104">
        <f>IF(Main[[#This Row],[Tech Start Date]]&lt;1/1/1990,"",IF(Main[[#This Row],[Class]]="C",WORKDAY(Main[[#This Row],[Tech Start Date]],23),IF(Main[[#This Row],[Class]]="B", WORKDAY(Main[[#This Row],[Tech Start Date]],15),IF(Main[[#This Row],[Class]]="A",WORKDAY(Main[[#This Row],[Tech Start Date]],5),""))))</f>
        <v>40295</v>
      </c>
      <c r="P1249" s="104">
        <f>IF(Main[[#This Row],[Tech Start Date]]&lt;1/1/1990,"",IF(Main[[#This Row],[Class]]="C",WORKDAY(Main[[#This Row],[Tech Start Date]],28),IF(Main[[#This Row],[Class]]="B", WORKDAY(Main[[#This Row],[Tech Start Date]],19),IF(Main[[#This Row],[Class]]="A",WORKDAY(Main[[#This Row],[Tech Start Date]],9),""))))</f>
        <v>40301</v>
      </c>
      <c r="Q1249" s="101"/>
      <c r="R1249" s="101">
        <v>40309</v>
      </c>
      <c r="S1249" s="99" t="s">
        <v>6</v>
      </c>
      <c r="T1249" s="107" t="s">
        <v>4</v>
      </c>
      <c r="U1249" s="99" t="s">
        <v>14</v>
      </c>
      <c r="V1249" s="99" t="s">
        <v>1965</v>
      </c>
      <c r="W1249" s="99" t="s">
        <v>4</v>
      </c>
    </row>
    <row r="1250" spans="1:23" ht="18.600000000000001" customHeight="1">
      <c r="A1250" s="123" t="str">
        <f>IF(priority(Main[[#This Row],[Comments]])&lt;&gt;0, priority(Main[[#This Row],[Comments]]),"")</f>
        <v/>
      </c>
      <c r="B1250" s="127" t="s">
        <v>1862</v>
      </c>
      <c r="C1250" s="99" t="s">
        <v>4</v>
      </c>
      <c r="D1250" s="100" t="s">
        <v>888</v>
      </c>
      <c r="E1250" s="101"/>
      <c r="F1250" s="101"/>
      <c r="G1250" s="102" t="str">
        <f>IF(stdProdLT(Main[[#This Row],[Comments]])=0.1,"N/A",IF(stdProdLT(Main[[#This Row],[Comments]])=0,"",stdProdLT(Main[[#This Row],[Comments]])))</f>
        <v/>
      </c>
      <c r="H1250" s="103" t="str">
        <f>IF(AND(Main[[#This Row],[In Stock Date]]&lt;&gt;"",Main[[#This Row],[Revised Due Date]]&lt;&gt;""),Main[[#This Row],[In Stock Date]]-Main[[#This Row],[Revised Due Date]],"")</f>
        <v/>
      </c>
      <c r="I1250" s="99" t="s">
        <v>778</v>
      </c>
      <c r="J1250" s="99" t="s">
        <v>4</v>
      </c>
      <c r="K1250" s="99" t="s">
        <v>1969</v>
      </c>
      <c r="L1250" s="101">
        <v>40291</v>
      </c>
      <c r="M1250" s="104">
        <f>IF(Main[[#This Row],[Tech Start Date]]&lt;1/1/1990,"",IF(Main[[#This Row],[Class]]="C",WORKDAY(Main[[#This Row],[Tech Start Date]],9),IF(Main[[#This Row],[Class]]="B", WORKDAY(Main[[#This Row],[Tech Start Date]],6),IF(Main[[#This Row],[Class]]="A",WORKDAY(Main[[#This Row],[Tech Start Date]],2),""))))</f>
        <v>40301</v>
      </c>
      <c r="N1250" s="104">
        <f>IF(Main[[#This Row],[Tech Start Date]]&lt;1/1/1990,"",IF(Main[[#This Row],[Class]]="C",WORKDAY(Main[[#This Row],[Tech Start Date]],19),IF(Main[[#This Row],[Class]]="B", WORKDAY(Main[[#This Row],[Tech Start Date]],12),IF(Main[[#This Row],[Class]]="A",WORKDAY(Main[[#This Row],[Tech Start Date]],4),""))))</f>
        <v>40309</v>
      </c>
      <c r="O1250" s="104">
        <f>IF(Main[[#This Row],[Tech Start Date]]&lt;1/1/1990,"",IF(Main[[#This Row],[Class]]="C",WORKDAY(Main[[#This Row],[Tech Start Date]],23),IF(Main[[#This Row],[Class]]="B", WORKDAY(Main[[#This Row],[Tech Start Date]],15),IF(Main[[#This Row],[Class]]="A",WORKDAY(Main[[#This Row],[Tech Start Date]],5),""))))</f>
        <v>40312</v>
      </c>
      <c r="P1250" s="104">
        <f>IF(Main[[#This Row],[Tech Start Date]]&lt;1/1/1990,"",IF(Main[[#This Row],[Class]]="C",WORKDAY(Main[[#This Row],[Tech Start Date]],28),IF(Main[[#This Row],[Class]]="B", WORKDAY(Main[[#This Row],[Tech Start Date]],19),IF(Main[[#This Row],[Class]]="A",WORKDAY(Main[[#This Row],[Tech Start Date]],9),""))))</f>
        <v>40318</v>
      </c>
      <c r="Q1250" s="101">
        <v>40312</v>
      </c>
      <c r="R1250" s="101">
        <v>40312</v>
      </c>
      <c r="S1250" s="99" t="s">
        <v>6</v>
      </c>
      <c r="T1250" s="107" t="s">
        <v>4</v>
      </c>
      <c r="U1250" s="99" t="s">
        <v>14</v>
      </c>
      <c r="V1250" s="99" t="s">
        <v>1965</v>
      </c>
      <c r="W1250" s="99" t="s">
        <v>4</v>
      </c>
    </row>
    <row r="1251" spans="1:23" ht="18.600000000000001" customHeight="1">
      <c r="A1251" s="123" t="str">
        <f>IF(priority(Main[[#This Row],[Comments]])&lt;&gt;0, priority(Main[[#This Row],[Comments]]),"")</f>
        <v/>
      </c>
      <c r="B1251" s="127" t="s">
        <v>1864</v>
      </c>
      <c r="C1251" s="99" t="s">
        <v>4</v>
      </c>
      <c r="D1251" s="100" t="s">
        <v>2196</v>
      </c>
      <c r="E1251" s="101"/>
      <c r="F1251" s="101"/>
      <c r="G1251" s="102" t="str">
        <f>IF(stdProdLT(Main[[#This Row],[Comments]])=0.1,"N/A",IF(stdProdLT(Main[[#This Row],[Comments]])=0,"",stdProdLT(Main[[#This Row],[Comments]])))</f>
        <v/>
      </c>
      <c r="H1251" s="103" t="str">
        <f>IF(AND(Main[[#This Row],[In Stock Date]]&lt;&gt;"",Main[[#This Row],[Revised Due Date]]&lt;&gt;""),Main[[#This Row],[In Stock Date]]-Main[[#This Row],[Revised Due Date]],"")</f>
        <v/>
      </c>
      <c r="I1251" s="99" t="s">
        <v>536</v>
      </c>
      <c r="J1251" s="99" t="s">
        <v>28</v>
      </c>
      <c r="K1251" s="99" t="s">
        <v>1969</v>
      </c>
      <c r="L1251" s="101">
        <v>40294</v>
      </c>
      <c r="M1251" s="104">
        <f>IF(Main[[#This Row],[Tech Start Date]]&lt;1/1/1990,"",IF(Main[[#This Row],[Class]]="C",WORKDAY(Main[[#This Row],[Tech Start Date]],9),IF(Main[[#This Row],[Class]]="B", WORKDAY(Main[[#This Row],[Tech Start Date]],6),IF(Main[[#This Row],[Class]]="A",WORKDAY(Main[[#This Row],[Tech Start Date]],2),""))))</f>
        <v>40302</v>
      </c>
      <c r="N1251" s="104">
        <f>IF(Main[[#This Row],[Tech Start Date]]&lt;1/1/1990,"",IF(Main[[#This Row],[Class]]="C",WORKDAY(Main[[#This Row],[Tech Start Date]],19),IF(Main[[#This Row],[Class]]="B", WORKDAY(Main[[#This Row],[Tech Start Date]],12),IF(Main[[#This Row],[Class]]="A",WORKDAY(Main[[#This Row],[Tech Start Date]],4),""))))</f>
        <v>40310</v>
      </c>
      <c r="O1251" s="104">
        <f>IF(Main[[#This Row],[Tech Start Date]]&lt;1/1/1990,"",IF(Main[[#This Row],[Class]]="C",WORKDAY(Main[[#This Row],[Tech Start Date]],23),IF(Main[[#This Row],[Class]]="B", WORKDAY(Main[[#This Row],[Tech Start Date]],15),IF(Main[[#This Row],[Class]]="A",WORKDAY(Main[[#This Row],[Tech Start Date]],5),""))))</f>
        <v>40315</v>
      </c>
      <c r="P1251" s="104">
        <f>IF(Main[[#This Row],[Tech Start Date]]&lt;1/1/1990,"",IF(Main[[#This Row],[Class]]="C",WORKDAY(Main[[#This Row],[Tech Start Date]],28),IF(Main[[#This Row],[Class]]="B", WORKDAY(Main[[#This Row],[Tech Start Date]],19),IF(Main[[#This Row],[Class]]="A",WORKDAY(Main[[#This Row],[Tech Start Date]],9),""))))</f>
        <v>40319</v>
      </c>
      <c r="Q1251" s="101">
        <v>40329</v>
      </c>
      <c r="R1251" s="101">
        <v>40326</v>
      </c>
      <c r="S1251" s="99" t="s">
        <v>6</v>
      </c>
      <c r="T1251" s="107" t="s">
        <v>4</v>
      </c>
      <c r="U1251" s="99" t="s">
        <v>14</v>
      </c>
      <c r="V1251" s="99" t="s">
        <v>1965</v>
      </c>
      <c r="W1251" s="99" t="s">
        <v>1966</v>
      </c>
    </row>
    <row r="1252" spans="1:23" ht="18.600000000000001" customHeight="1">
      <c r="A1252" s="123" t="str">
        <f>IF(priority(Main[[#This Row],[Comments]])&lt;&gt;0, priority(Main[[#This Row],[Comments]]),"")</f>
        <v/>
      </c>
      <c r="B1252" s="127" t="s">
        <v>1863</v>
      </c>
      <c r="C1252" s="99" t="s">
        <v>4</v>
      </c>
      <c r="D1252" s="100" t="s">
        <v>889</v>
      </c>
      <c r="E1252" s="101"/>
      <c r="F1252" s="101"/>
      <c r="G1252" s="102" t="str">
        <f>IF(stdProdLT(Main[[#This Row],[Comments]])=0.1,"N/A",IF(stdProdLT(Main[[#This Row],[Comments]])=0,"",stdProdLT(Main[[#This Row],[Comments]])))</f>
        <v/>
      </c>
      <c r="H1252" s="103" t="str">
        <f>IF(AND(Main[[#This Row],[In Stock Date]]&lt;&gt;"",Main[[#This Row],[Revised Due Date]]&lt;&gt;""),Main[[#This Row],[In Stock Date]]-Main[[#This Row],[Revised Due Date]],"")</f>
        <v/>
      </c>
      <c r="I1252" s="99" t="s">
        <v>495</v>
      </c>
      <c r="J1252" s="99" t="s">
        <v>4</v>
      </c>
      <c r="K1252" s="108" t="s">
        <v>1969</v>
      </c>
      <c r="L1252" s="101">
        <v>40295</v>
      </c>
      <c r="M1252" s="104">
        <f>IF(Main[[#This Row],[Tech Start Date]]&lt;1/1/1990,"",IF(Main[[#This Row],[Class]]="C",WORKDAY(Main[[#This Row],[Tech Start Date]],9),IF(Main[[#This Row],[Class]]="B", WORKDAY(Main[[#This Row],[Tech Start Date]],6),IF(Main[[#This Row],[Class]]="A",WORKDAY(Main[[#This Row],[Tech Start Date]],2),""))))</f>
        <v>40303</v>
      </c>
      <c r="N1252" s="104">
        <f>IF(Main[[#This Row],[Tech Start Date]]&lt;1/1/1990,"",IF(Main[[#This Row],[Class]]="C",WORKDAY(Main[[#This Row],[Tech Start Date]],19),IF(Main[[#This Row],[Class]]="B", WORKDAY(Main[[#This Row],[Tech Start Date]],12),IF(Main[[#This Row],[Class]]="A",WORKDAY(Main[[#This Row],[Tech Start Date]],4),""))))</f>
        <v>40311</v>
      </c>
      <c r="O1252" s="104">
        <f>IF(Main[[#This Row],[Tech Start Date]]&lt;1/1/1990,"",IF(Main[[#This Row],[Class]]="C",WORKDAY(Main[[#This Row],[Tech Start Date]],23),IF(Main[[#This Row],[Class]]="B", WORKDAY(Main[[#This Row],[Tech Start Date]],15),IF(Main[[#This Row],[Class]]="A",WORKDAY(Main[[#This Row],[Tech Start Date]],5),""))))</f>
        <v>40316</v>
      </c>
      <c r="P1252" s="104">
        <f>IF(Main[[#This Row],[Tech Start Date]]&lt;1/1/1990,"",IF(Main[[#This Row],[Class]]="C",WORKDAY(Main[[#This Row],[Tech Start Date]],28),IF(Main[[#This Row],[Class]]="B", WORKDAY(Main[[#This Row],[Tech Start Date]],19),IF(Main[[#This Row],[Class]]="A",WORKDAY(Main[[#This Row],[Tech Start Date]],9),""))))</f>
        <v>40322</v>
      </c>
      <c r="Q1252" s="101">
        <v>40329</v>
      </c>
      <c r="R1252" s="101">
        <v>40325</v>
      </c>
      <c r="S1252" s="99" t="s">
        <v>6</v>
      </c>
      <c r="T1252" s="107" t="s">
        <v>4</v>
      </c>
      <c r="U1252" s="99" t="s">
        <v>14</v>
      </c>
      <c r="V1252" s="99" t="s">
        <v>1965</v>
      </c>
      <c r="W1252" s="99" t="s">
        <v>4</v>
      </c>
    </row>
    <row r="1253" spans="1:23" ht="18.600000000000001" customHeight="1">
      <c r="A1253" s="123" t="str">
        <f>IF(priority(Main[[#This Row],[Comments]])&lt;&gt;0, priority(Main[[#This Row],[Comments]]),"")</f>
        <v/>
      </c>
      <c r="B1253" s="127" t="s">
        <v>1914</v>
      </c>
      <c r="C1253" s="99" t="s">
        <v>33</v>
      </c>
      <c r="D1253" s="100" t="s">
        <v>943</v>
      </c>
      <c r="E1253" s="101">
        <v>40314.31863425926</v>
      </c>
      <c r="F1253" s="101">
        <v>40489</v>
      </c>
      <c r="G1253" s="102" t="str">
        <f>IF(stdProdLT(Main[[#This Row],[Comments]])=0.1,"N/A",IF(stdProdLT(Main[[#This Row],[Comments]])=0,"",stdProdLT(Main[[#This Row],[Comments]])))</f>
        <v/>
      </c>
      <c r="H1253" s="103">
        <f>IF(AND(Main[[#This Row],[In Stock Date]]&lt;&gt;"",Main[[#This Row],[Revised Due Date]]&lt;&gt;""),Main[[#This Row],[In Stock Date]]-Main[[#This Row],[Revised Due Date]],"")</f>
        <v>-373</v>
      </c>
      <c r="I1253" s="99" t="s">
        <v>165</v>
      </c>
      <c r="J1253" s="99" t="s">
        <v>4</v>
      </c>
      <c r="K1253" s="99" t="s">
        <v>1974</v>
      </c>
      <c r="L1253" s="101">
        <v>40331</v>
      </c>
      <c r="M1253" s="104" t="str">
        <f>IF(Main[[#This Row],[Tech Start Date]]&lt;1/1/1990,"",IF(Main[[#This Row],[Class]]="C",WORKDAY(Main[[#This Row],[Tech Start Date]],9),IF(Main[[#This Row],[Class]]="B", WORKDAY(Main[[#This Row],[Tech Start Date]],6),IF(Main[[#This Row],[Class]]="A",WORKDAY(Main[[#This Row],[Tech Start Date]],2),""))))</f>
        <v/>
      </c>
      <c r="N1253" s="104" t="str">
        <f>IF(Main[[#This Row],[Tech Start Date]]&lt;1/1/1990,"",IF(Main[[#This Row],[Class]]="C",WORKDAY(Main[[#This Row],[Tech Start Date]],19),IF(Main[[#This Row],[Class]]="B", WORKDAY(Main[[#This Row],[Tech Start Date]],12),IF(Main[[#This Row],[Class]]="A",WORKDAY(Main[[#This Row],[Tech Start Date]],4),""))))</f>
        <v/>
      </c>
      <c r="O1253" s="104" t="str">
        <f>IF(Main[[#This Row],[Tech Start Date]]&lt;1/1/1990,"",IF(Main[[#This Row],[Class]]="C",WORKDAY(Main[[#This Row],[Tech Start Date]],23),IF(Main[[#This Row],[Class]]="B", WORKDAY(Main[[#This Row],[Tech Start Date]],15),IF(Main[[#This Row],[Class]]="A",WORKDAY(Main[[#This Row],[Tech Start Date]],5),""))))</f>
        <v/>
      </c>
      <c r="P1253" s="104" t="str">
        <f>IF(Main[[#This Row],[Tech Start Date]]&lt;1/1/1990,"",IF(Main[[#This Row],[Class]]="C",WORKDAY(Main[[#This Row],[Tech Start Date]],28),IF(Main[[#This Row],[Class]]="B", WORKDAY(Main[[#This Row],[Tech Start Date]],19),IF(Main[[#This Row],[Class]]="A",WORKDAY(Main[[#This Row],[Tech Start Date]],9),""))))</f>
        <v/>
      </c>
      <c r="Q1253" s="101">
        <v>40349</v>
      </c>
      <c r="R1253" s="101">
        <v>40862</v>
      </c>
      <c r="S1253" s="99" t="s">
        <v>17</v>
      </c>
      <c r="T1253" s="107" t="s">
        <v>4</v>
      </c>
      <c r="U1253" s="99" t="s">
        <v>29</v>
      </c>
      <c r="V1253" s="99" t="s">
        <v>1965</v>
      </c>
      <c r="W1253" s="99" t="s">
        <v>1967</v>
      </c>
    </row>
    <row r="1254" spans="1:23" ht="18.600000000000001" customHeight="1">
      <c r="A1254" s="123" t="str">
        <f>IF(priority(Main[[#This Row],[Comments]])&lt;&gt;0, priority(Main[[#This Row],[Comments]]),"")</f>
        <v/>
      </c>
      <c r="B1254" s="127" t="s">
        <v>1873</v>
      </c>
      <c r="C1254" s="99" t="s">
        <v>183</v>
      </c>
      <c r="D1254" s="100" t="s">
        <v>898</v>
      </c>
      <c r="E1254" s="101"/>
      <c r="F1254" s="101">
        <v>40421</v>
      </c>
      <c r="G1254" s="102" t="str">
        <f>IF(stdProdLT(Main[[#This Row],[Comments]])=0.1,"N/A",IF(stdProdLT(Main[[#This Row],[Comments]])=0,"",stdProdLT(Main[[#This Row],[Comments]])))</f>
        <v/>
      </c>
      <c r="H1254" s="103">
        <f>IF(AND(Main[[#This Row],[In Stock Date]]&lt;&gt;"",Main[[#This Row],[Revised Due Date]]&lt;&gt;""),Main[[#This Row],[In Stock Date]]-Main[[#This Row],[Revised Due Date]],"")</f>
        <v>4</v>
      </c>
      <c r="I1254" s="99" t="s">
        <v>899</v>
      </c>
      <c r="J1254" s="99" t="s">
        <v>51</v>
      </c>
      <c r="K1254" s="99" t="s">
        <v>1971</v>
      </c>
      <c r="L1254" s="101">
        <v>40354</v>
      </c>
      <c r="M1254" s="104">
        <f>IF(Main[[#This Row],[Tech Start Date]]&lt;1/1/1990,"",IF(Main[[#This Row],[Class]]="C",WORKDAY(Main[[#This Row],[Tech Start Date]],9),IF(Main[[#This Row],[Class]]="B", WORKDAY(Main[[#This Row],[Tech Start Date]],6),IF(Main[[#This Row],[Class]]="A",WORKDAY(Main[[#This Row],[Tech Start Date]],2),""))))</f>
        <v>40358</v>
      </c>
      <c r="N1254" s="104">
        <f>IF(Main[[#This Row],[Tech Start Date]]&lt;1/1/1990,"",IF(Main[[#This Row],[Class]]="C",WORKDAY(Main[[#This Row],[Tech Start Date]],19),IF(Main[[#This Row],[Class]]="B", WORKDAY(Main[[#This Row],[Tech Start Date]],12),IF(Main[[#This Row],[Class]]="A",WORKDAY(Main[[#This Row],[Tech Start Date]],4),""))))</f>
        <v>40360</v>
      </c>
      <c r="O1254" s="104">
        <f>IF(Main[[#This Row],[Tech Start Date]]&lt;1/1/1990,"",IF(Main[[#This Row],[Class]]="C",WORKDAY(Main[[#This Row],[Tech Start Date]],23),IF(Main[[#This Row],[Class]]="B", WORKDAY(Main[[#This Row],[Tech Start Date]],15),IF(Main[[#This Row],[Class]]="A",WORKDAY(Main[[#This Row],[Tech Start Date]],5),""))))</f>
        <v>40361</v>
      </c>
      <c r="P1254" s="104">
        <f>IF(Main[[#This Row],[Tech Start Date]]&lt;1/1/1990,"",IF(Main[[#This Row],[Class]]="C",WORKDAY(Main[[#This Row],[Tech Start Date]],28),IF(Main[[#This Row],[Class]]="B", WORKDAY(Main[[#This Row],[Tech Start Date]],19),IF(Main[[#This Row],[Class]]="A",WORKDAY(Main[[#This Row],[Tech Start Date]],9),""))))</f>
        <v>40367</v>
      </c>
      <c r="Q1254" s="101">
        <v>40417</v>
      </c>
      <c r="R1254" s="101">
        <v>40417</v>
      </c>
      <c r="S1254" s="99" t="s">
        <v>11</v>
      </c>
      <c r="T1254" s="107" t="s">
        <v>4</v>
      </c>
      <c r="U1254" s="99" t="s">
        <v>14</v>
      </c>
      <c r="V1254" s="99" t="s">
        <v>1972</v>
      </c>
      <c r="W1254" s="99" t="s">
        <v>1968</v>
      </c>
    </row>
    <row r="1255" spans="1:23" ht="18.600000000000001" customHeight="1">
      <c r="A1255" s="123" t="str">
        <f>IF(priority(Main[[#This Row],[Comments]])&lt;&gt;0, priority(Main[[#This Row],[Comments]]),"")</f>
        <v/>
      </c>
      <c r="B1255" s="127" t="s">
        <v>1872</v>
      </c>
      <c r="C1255" s="99" t="s">
        <v>183</v>
      </c>
      <c r="D1255" s="100" t="s">
        <v>900</v>
      </c>
      <c r="E1255" s="101"/>
      <c r="F1255" s="101">
        <v>40421</v>
      </c>
      <c r="G1255" s="102" t="str">
        <f>IF(stdProdLT(Main[[#This Row],[Comments]])=0.1,"N/A",IF(stdProdLT(Main[[#This Row],[Comments]])=0,"",stdProdLT(Main[[#This Row],[Comments]])))</f>
        <v/>
      </c>
      <c r="H1255" s="103">
        <f>IF(AND(Main[[#This Row],[In Stock Date]]&lt;&gt;"",Main[[#This Row],[Revised Due Date]]&lt;&gt;""),Main[[#This Row],[In Stock Date]]-Main[[#This Row],[Revised Due Date]],"")</f>
        <v>4</v>
      </c>
      <c r="I1255" s="99" t="s">
        <v>899</v>
      </c>
      <c r="J1255" s="99" t="s">
        <v>51</v>
      </c>
      <c r="K1255" s="99" t="s">
        <v>1971</v>
      </c>
      <c r="L1255" s="101">
        <v>40354</v>
      </c>
      <c r="M1255" s="104">
        <f>IF(Main[[#This Row],[Tech Start Date]]&lt;1/1/1990,"",IF(Main[[#This Row],[Class]]="C",WORKDAY(Main[[#This Row],[Tech Start Date]],9),IF(Main[[#This Row],[Class]]="B", WORKDAY(Main[[#This Row],[Tech Start Date]],6),IF(Main[[#This Row],[Class]]="A",WORKDAY(Main[[#This Row],[Tech Start Date]],2),""))))</f>
        <v>40358</v>
      </c>
      <c r="N1255" s="104">
        <f>IF(Main[[#This Row],[Tech Start Date]]&lt;1/1/1990,"",IF(Main[[#This Row],[Class]]="C",WORKDAY(Main[[#This Row],[Tech Start Date]],19),IF(Main[[#This Row],[Class]]="B", WORKDAY(Main[[#This Row],[Tech Start Date]],12),IF(Main[[#This Row],[Class]]="A",WORKDAY(Main[[#This Row],[Tech Start Date]],4),""))))</f>
        <v>40360</v>
      </c>
      <c r="O1255" s="104">
        <f>IF(Main[[#This Row],[Tech Start Date]]&lt;1/1/1990,"",IF(Main[[#This Row],[Class]]="C",WORKDAY(Main[[#This Row],[Tech Start Date]],23),IF(Main[[#This Row],[Class]]="B", WORKDAY(Main[[#This Row],[Tech Start Date]],15),IF(Main[[#This Row],[Class]]="A",WORKDAY(Main[[#This Row],[Tech Start Date]],5),""))))</f>
        <v>40361</v>
      </c>
      <c r="P1255" s="104">
        <f>IF(Main[[#This Row],[Tech Start Date]]&lt;1/1/1990,"",IF(Main[[#This Row],[Class]]="C",WORKDAY(Main[[#This Row],[Tech Start Date]],28),IF(Main[[#This Row],[Class]]="B", WORKDAY(Main[[#This Row],[Tech Start Date]],19),IF(Main[[#This Row],[Class]]="A",WORKDAY(Main[[#This Row],[Tech Start Date]],9),""))))</f>
        <v>40367</v>
      </c>
      <c r="Q1255" s="101">
        <v>40417</v>
      </c>
      <c r="R1255" s="101">
        <v>40417</v>
      </c>
      <c r="S1255" s="99" t="s">
        <v>11</v>
      </c>
      <c r="T1255" s="107" t="s">
        <v>4</v>
      </c>
      <c r="U1255" s="99" t="s">
        <v>14</v>
      </c>
      <c r="V1255" s="99" t="s">
        <v>1972</v>
      </c>
      <c r="W1255" s="99" t="s">
        <v>1968</v>
      </c>
    </row>
    <row r="1256" spans="1:23" ht="18.600000000000001" customHeight="1">
      <c r="A1256" s="123" t="str">
        <f>IF(priority(Main[[#This Row],[Comments]])&lt;&gt;0, priority(Main[[#This Row],[Comments]]),"")</f>
        <v/>
      </c>
      <c r="B1256" s="127" t="s">
        <v>1870</v>
      </c>
      <c r="C1256" s="99" t="s">
        <v>895</v>
      </c>
      <c r="D1256" s="100" t="s">
        <v>896</v>
      </c>
      <c r="E1256" s="101"/>
      <c r="F1256" s="101">
        <v>40442</v>
      </c>
      <c r="G1256" s="102" t="str">
        <f>IF(stdProdLT(Main[[#This Row],[Comments]])=0.1,"N/A",IF(stdProdLT(Main[[#This Row],[Comments]])=0,"",stdProdLT(Main[[#This Row],[Comments]])))</f>
        <v/>
      </c>
      <c r="H1256" s="103">
        <f>IF(AND(Main[[#This Row],[In Stock Date]]&lt;&gt;"",Main[[#This Row],[Revised Due Date]]&lt;&gt;""),Main[[#This Row],[In Stock Date]]-Main[[#This Row],[Revised Due Date]],"")</f>
        <v>40</v>
      </c>
      <c r="I1256" s="99" t="s">
        <v>560</v>
      </c>
      <c r="J1256" s="99" t="s">
        <v>28</v>
      </c>
      <c r="K1256" s="99" t="s">
        <v>1974</v>
      </c>
      <c r="L1256" s="101">
        <v>40366</v>
      </c>
      <c r="M1256" s="104" t="str">
        <f>IF(Main[[#This Row],[Tech Start Date]]&lt;1/1/1990,"",IF(Main[[#This Row],[Class]]="C",WORKDAY(Main[[#This Row],[Tech Start Date]],9),IF(Main[[#This Row],[Class]]="B", WORKDAY(Main[[#This Row],[Tech Start Date]],6),IF(Main[[#This Row],[Class]]="A",WORKDAY(Main[[#This Row],[Tech Start Date]],2),""))))</f>
        <v/>
      </c>
      <c r="N1256" s="104" t="str">
        <f>IF(Main[[#This Row],[Tech Start Date]]&lt;1/1/1990,"",IF(Main[[#This Row],[Class]]="C",WORKDAY(Main[[#This Row],[Tech Start Date]],19),IF(Main[[#This Row],[Class]]="B", WORKDAY(Main[[#This Row],[Tech Start Date]],12),IF(Main[[#This Row],[Class]]="A",WORKDAY(Main[[#This Row],[Tech Start Date]],4),""))))</f>
        <v/>
      </c>
      <c r="O1256" s="104" t="str">
        <f>IF(Main[[#This Row],[Tech Start Date]]&lt;1/1/1990,"",IF(Main[[#This Row],[Class]]="C",WORKDAY(Main[[#This Row],[Tech Start Date]],23),IF(Main[[#This Row],[Class]]="B", WORKDAY(Main[[#This Row],[Tech Start Date]],15),IF(Main[[#This Row],[Class]]="A",WORKDAY(Main[[#This Row],[Tech Start Date]],5),""))))</f>
        <v/>
      </c>
      <c r="P1256" s="104" t="str">
        <f>IF(Main[[#This Row],[Tech Start Date]]&lt;1/1/1990,"",IF(Main[[#This Row],[Class]]="C",WORKDAY(Main[[#This Row],[Tech Start Date]],28),IF(Main[[#This Row],[Class]]="B", WORKDAY(Main[[#This Row],[Tech Start Date]],19),IF(Main[[#This Row],[Class]]="A",WORKDAY(Main[[#This Row],[Tech Start Date]],9),""))))</f>
        <v/>
      </c>
      <c r="Q1256" s="101">
        <v>40374</v>
      </c>
      <c r="R1256" s="101">
        <v>40402</v>
      </c>
      <c r="S1256" s="99" t="s">
        <v>11</v>
      </c>
      <c r="T1256" s="107" t="s">
        <v>4</v>
      </c>
      <c r="U1256" s="99" t="s">
        <v>14</v>
      </c>
      <c r="V1256" s="99" t="s">
        <v>1965</v>
      </c>
      <c r="W1256" s="99" t="s">
        <v>1967</v>
      </c>
    </row>
    <row r="1257" spans="1:23" ht="18.600000000000001" customHeight="1">
      <c r="A1257" s="123" t="str">
        <f>IF(priority(Main[[#This Row],[Comments]])&lt;&gt;0, priority(Main[[#This Row],[Comments]]),"")</f>
        <v/>
      </c>
      <c r="B1257" s="127" t="s">
        <v>1751</v>
      </c>
      <c r="C1257" s="99" t="s">
        <v>4</v>
      </c>
      <c r="D1257" s="100" t="s">
        <v>775</v>
      </c>
      <c r="E1257" s="101">
        <v>40395.395856481482</v>
      </c>
      <c r="F1257" s="101">
        <v>40574</v>
      </c>
      <c r="G1257" s="102" t="str">
        <f>IF(stdProdLT(Main[[#This Row],[Comments]])=0.1,"N/A",IF(stdProdLT(Main[[#This Row],[Comments]])=0,"",stdProdLT(Main[[#This Row],[Comments]])))</f>
        <v/>
      </c>
      <c r="H1257" s="103">
        <f>IF(AND(Main[[#This Row],[In Stock Date]]&lt;&gt;"",Main[[#This Row],[Revised Due Date]]&lt;&gt;""),Main[[#This Row],[In Stock Date]]-Main[[#This Row],[Revised Due Date]],"")</f>
        <v>-431</v>
      </c>
      <c r="I1257" s="99" t="s">
        <v>4</v>
      </c>
      <c r="J1257" s="99" t="s">
        <v>28</v>
      </c>
      <c r="K1257" s="99" t="s">
        <v>1974</v>
      </c>
      <c r="L1257" s="101">
        <v>40405</v>
      </c>
      <c r="M1257" s="104" t="str">
        <f>IF(Main[[#This Row],[Tech Start Date]]&lt;1/1/1990,"",IF(Main[[#This Row],[Class]]="C",WORKDAY(Main[[#This Row],[Tech Start Date]],9),IF(Main[[#This Row],[Class]]="B", WORKDAY(Main[[#This Row],[Tech Start Date]],6),IF(Main[[#This Row],[Class]]="A",WORKDAY(Main[[#This Row],[Tech Start Date]],2),""))))</f>
        <v/>
      </c>
      <c r="N1257" s="104" t="str">
        <f>IF(Main[[#This Row],[Tech Start Date]]&lt;1/1/1990,"",IF(Main[[#This Row],[Class]]="C",WORKDAY(Main[[#This Row],[Tech Start Date]],19),IF(Main[[#This Row],[Class]]="B", WORKDAY(Main[[#This Row],[Tech Start Date]],12),IF(Main[[#This Row],[Class]]="A",WORKDAY(Main[[#This Row],[Tech Start Date]],4),""))))</f>
        <v/>
      </c>
      <c r="O1257" s="104" t="str">
        <f>IF(Main[[#This Row],[Tech Start Date]]&lt;1/1/1990,"",IF(Main[[#This Row],[Class]]="C",WORKDAY(Main[[#This Row],[Tech Start Date]],23),IF(Main[[#This Row],[Class]]="B", WORKDAY(Main[[#This Row],[Tech Start Date]],15),IF(Main[[#This Row],[Class]]="A",WORKDAY(Main[[#This Row],[Tech Start Date]],5),""))))</f>
        <v/>
      </c>
      <c r="P1257" s="104" t="str">
        <f>IF(Main[[#This Row],[Tech Start Date]]&lt;1/1/1990,"",IF(Main[[#This Row],[Class]]="C",WORKDAY(Main[[#This Row],[Tech Start Date]],28),IF(Main[[#This Row],[Class]]="B", WORKDAY(Main[[#This Row],[Tech Start Date]],19),IF(Main[[#This Row],[Class]]="A",WORKDAY(Main[[#This Row],[Tech Start Date]],9),""))))</f>
        <v/>
      </c>
      <c r="Q1257" s="101"/>
      <c r="R1257" s="101">
        <v>41005</v>
      </c>
      <c r="S1257" s="99" t="s">
        <v>17</v>
      </c>
      <c r="T1257" s="107" t="s">
        <v>4</v>
      </c>
      <c r="U1257" s="99" t="s">
        <v>29</v>
      </c>
      <c r="V1257" s="99" t="s">
        <v>1965</v>
      </c>
      <c r="W1257" s="99" t="s">
        <v>1967</v>
      </c>
    </row>
    <row r="1258" spans="1:23" ht="18.600000000000001" customHeight="1">
      <c r="A1258" s="123" t="str">
        <f>IF(priority(Main[[#This Row],[Comments]])&lt;&gt;0, priority(Main[[#This Row],[Comments]]),"")</f>
        <v/>
      </c>
      <c r="B1258" s="127" t="s">
        <v>1280</v>
      </c>
      <c r="C1258" s="99" t="s">
        <v>4</v>
      </c>
      <c r="D1258" s="100" t="s">
        <v>314</v>
      </c>
      <c r="E1258" s="101">
        <v>40395.401192129626</v>
      </c>
      <c r="F1258" s="101">
        <v>40574</v>
      </c>
      <c r="G1258" s="102" t="str">
        <f>IF(stdProdLT(Main[[#This Row],[Comments]])=0.1,"N/A",IF(stdProdLT(Main[[#This Row],[Comments]])=0,"",stdProdLT(Main[[#This Row],[Comments]])))</f>
        <v/>
      </c>
      <c r="H1258" s="103">
        <f>IF(AND(Main[[#This Row],[In Stock Date]]&lt;&gt;"",Main[[#This Row],[Revised Due Date]]&lt;&gt;""),Main[[#This Row],[In Stock Date]]-Main[[#This Row],[Revised Due Date]],"")</f>
        <v>-465</v>
      </c>
      <c r="I1258" s="99" t="s">
        <v>4</v>
      </c>
      <c r="J1258" s="99" t="s">
        <v>28</v>
      </c>
      <c r="K1258" s="99" t="s">
        <v>1974</v>
      </c>
      <c r="L1258" s="101">
        <v>40405</v>
      </c>
      <c r="M1258" s="104" t="str">
        <f>IF(Main[[#This Row],[Tech Start Date]]&lt;1/1/1990,"",IF(Main[[#This Row],[Class]]="C",WORKDAY(Main[[#This Row],[Tech Start Date]],9),IF(Main[[#This Row],[Class]]="B", WORKDAY(Main[[#This Row],[Tech Start Date]],6),IF(Main[[#This Row],[Class]]="A",WORKDAY(Main[[#This Row],[Tech Start Date]],2),""))))</f>
        <v/>
      </c>
      <c r="N1258" s="104" t="str">
        <f>IF(Main[[#This Row],[Tech Start Date]]&lt;1/1/1990,"",IF(Main[[#This Row],[Class]]="C",WORKDAY(Main[[#This Row],[Tech Start Date]],19),IF(Main[[#This Row],[Class]]="B", WORKDAY(Main[[#This Row],[Tech Start Date]],12),IF(Main[[#This Row],[Class]]="A",WORKDAY(Main[[#This Row],[Tech Start Date]],4),""))))</f>
        <v/>
      </c>
      <c r="O1258" s="104" t="str">
        <f>IF(Main[[#This Row],[Tech Start Date]]&lt;1/1/1990,"",IF(Main[[#This Row],[Class]]="C",WORKDAY(Main[[#This Row],[Tech Start Date]],23),IF(Main[[#This Row],[Class]]="B", WORKDAY(Main[[#This Row],[Tech Start Date]],15),IF(Main[[#This Row],[Class]]="A",WORKDAY(Main[[#This Row],[Tech Start Date]],5),""))))</f>
        <v/>
      </c>
      <c r="P1258" s="104" t="str">
        <f>IF(Main[[#This Row],[Tech Start Date]]&lt;1/1/1990,"",IF(Main[[#This Row],[Class]]="C",WORKDAY(Main[[#This Row],[Tech Start Date]],28),IF(Main[[#This Row],[Class]]="B", WORKDAY(Main[[#This Row],[Tech Start Date]],19),IF(Main[[#This Row],[Class]]="A",WORKDAY(Main[[#This Row],[Tech Start Date]],9),""))))</f>
        <v/>
      </c>
      <c r="Q1258" s="101"/>
      <c r="R1258" s="101">
        <v>41039</v>
      </c>
      <c r="S1258" s="99" t="s">
        <v>17</v>
      </c>
      <c r="T1258" s="107" t="s">
        <v>4</v>
      </c>
      <c r="U1258" s="99" t="s">
        <v>29</v>
      </c>
      <c r="V1258" s="99" t="s">
        <v>1965</v>
      </c>
      <c r="W1258" s="99" t="s">
        <v>1967</v>
      </c>
    </row>
    <row r="1259" spans="1:23" ht="18.600000000000001" customHeight="1">
      <c r="A1259" s="123" t="str">
        <f>IF(priority(Main[[#This Row],[Comments]])&lt;&gt;0, priority(Main[[#This Row],[Comments]]),"")</f>
        <v/>
      </c>
      <c r="B1259" s="127" t="s">
        <v>1882</v>
      </c>
      <c r="C1259" s="99" t="s">
        <v>4</v>
      </c>
      <c r="D1259" s="100" t="s">
        <v>912</v>
      </c>
      <c r="E1259" s="101"/>
      <c r="F1259" s="101"/>
      <c r="G1259" s="102" t="str">
        <f>IF(stdProdLT(Main[[#This Row],[Comments]])=0.1,"N/A",IF(stdProdLT(Main[[#This Row],[Comments]])=0,"",stdProdLT(Main[[#This Row],[Comments]])))</f>
        <v/>
      </c>
      <c r="H1259" s="103" t="str">
        <f>IF(AND(Main[[#This Row],[In Stock Date]]&lt;&gt;"",Main[[#This Row],[Revised Due Date]]&lt;&gt;""),Main[[#This Row],[In Stock Date]]-Main[[#This Row],[Revised Due Date]],"")</f>
        <v/>
      </c>
      <c r="I1259" s="99" t="s">
        <v>719</v>
      </c>
      <c r="J1259" s="99" t="s">
        <v>4</v>
      </c>
      <c r="K1259" s="99" t="s">
        <v>4</v>
      </c>
      <c r="L1259" s="101">
        <v>40469</v>
      </c>
      <c r="M1259" s="104" t="str">
        <f>IF(Main[[#This Row],[Tech Start Date]]&lt;1/1/1990,"",IF(Main[[#This Row],[Class]]="C",WORKDAY(Main[[#This Row],[Tech Start Date]],9),IF(Main[[#This Row],[Class]]="B", WORKDAY(Main[[#This Row],[Tech Start Date]],6),IF(Main[[#This Row],[Class]]="A",WORKDAY(Main[[#This Row],[Tech Start Date]],2),""))))</f>
        <v/>
      </c>
      <c r="N1259" s="104" t="str">
        <f>IF(Main[[#This Row],[Tech Start Date]]&lt;1/1/1990,"",IF(Main[[#This Row],[Class]]="C",WORKDAY(Main[[#This Row],[Tech Start Date]],19),IF(Main[[#This Row],[Class]]="B", WORKDAY(Main[[#This Row],[Tech Start Date]],12),IF(Main[[#This Row],[Class]]="A",WORKDAY(Main[[#This Row],[Tech Start Date]],4),""))))</f>
        <v/>
      </c>
      <c r="O1259" s="104" t="str">
        <f>IF(Main[[#This Row],[Tech Start Date]]&lt;1/1/1990,"",IF(Main[[#This Row],[Class]]="C",WORKDAY(Main[[#This Row],[Tech Start Date]],23),IF(Main[[#This Row],[Class]]="B", WORKDAY(Main[[#This Row],[Tech Start Date]],15),IF(Main[[#This Row],[Class]]="A",WORKDAY(Main[[#This Row],[Tech Start Date]],5),""))))</f>
        <v/>
      </c>
      <c r="P1259" s="104" t="str">
        <f>IF(Main[[#This Row],[Tech Start Date]]&lt;1/1/1990,"",IF(Main[[#This Row],[Class]]="C",WORKDAY(Main[[#This Row],[Tech Start Date]],28),IF(Main[[#This Row],[Class]]="B", WORKDAY(Main[[#This Row],[Tech Start Date]],19),IF(Main[[#This Row],[Class]]="A",WORKDAY(Main[[#This Row],[Tech Start Date]],9),""))))</f>
        <v/>
      </c>
      <c r="Q1259" s="101"/>
      <c r="R1259" s="101">
        <v>40473</v>
      </c>
      <c r="S1259" s="99" t="s">
        <v>23</v>
      </c>
      <c r="T1259" s="107" t="s">
        <v>4</v>
      </c>
      <c r="U1259" s="99" t="s">
        <v>14</v>
      </c>
      <c r="V1259" s="99" t="s">
        <v>1962</v>
      </c>
      <c r="W1259" s="99" t="s">
        <v>1966</v>
      </c>
    </row>
    <row r="1260" spans="1:23" ht="18.600000000000001" customHeight="1">
      <c r="A1260" s="123" t="str">
        <f>IF(priority(Main[[#This Row],[Comments]])&lt;&gt;0, priority(Main[[#This Row],[Comments]]),"")</f>
        <v/>
      </c>
      <c r="B1260" s="127" t="s">
        <v>1121</v>
      </c>
      <c r="C1260" s="99" t="s">
        <v>4</v>
      </c>
      <c r="D1260" s="100" t="s">
        <v>2052</v>
      </c>
      <c r="E1260" s="101"/>
      <c r="F1260" s="101"/>
      <c r="G1260" s="102" t="str">
        <f>IF(stdProdLT(Main[[#This Row],[Comments]])=0.1,"N/A",IF(stdProdLT(Main[[#This Row],[Comments]])=0,"",stdProdLT(Main[[#This Row],[Comments]])))</f>
        <v/>
      </c>
      <c r="H1260" s="103" t="str">
        <f>IF(AND(Main[[#This Row],[In Stock Date]]&lt;&gt;"",Main[[#This Row],[Revised Due Date]]&lt;&gt;""),Main[[#This Row],[In Stock Date]]-Main[[#This Row],[Revised Due Date]],"")</f>
        <v/>
      </c>
      <c r="I1260" s="99" t="s">
        <v>30</v>
      </c>
      <c r="J1260" s="99" t="s">
        <v>28</v>
      </c>
      <c r="K1260" s="99" t="s">
        <v>1969</v>
      </c>
      <c r="L1260" s="101">
        <v>40486</v>
      </c>
      <c r="M1260" s="104">
        <f>IF(Main[[#This Row],[Tech Start Date]]&lt;1/1/1990,"",IF(Main[[#This Row],[Class]]="C",WORKDAY(Main[[#This Row],[Tech Start Date]],9),IF(Main[[#This Row],[Class]]="B", WORKDAY(Main[[#This Row],[Tech Start Date]],6),IF(Main[[#This Row],[Class]]="A",WORKDAY(Main[[#This Row],[Tech Start Date]],2),""))))</f>
        <v>40494</v>
      </c>
      <c r="N1260" s="104">
        <f>IF(Main[[#This Row],[Tech Start Date]]&lt;1/1/1990,"",IF(Main[[#This Row],[Class]]="C",WORKDAY(Main[[#This Row],[Tech Start Date]],19),IF(Main[[#This Row],[Class]]="B", WORKDAY(Main[[#This Row],[Tech Start Date]],12),IF(Main[[#This Row],[Class]]="A",WORKDAY(Main[[#This Row],[Tech Start Date]],4),""))))</f>
        <v>40504</v>
      </c>
      <c r="O1260" s="104">
        <f>IF(Main[[#This Row],[Tech Start Date]]&lt;1/1/1990,"",IF(Main[[#This Row],[Class]]="C",WORKDAY(Main[[#This Row],[Tech Start Date]],23),IF(Main[[#This Row],[Class]]="B", WORKDAY(Main[[#This Row],[Tech Start Date]],15),IF(Main[[#This Row],[Class]]="A",WORKDAY(Main[[#This Row],[Tech Start Date]],5),""))))</f>
        <v>40507</v>
      </c>
      <c r="P1260" s="104">
        <f>IF(Main[[#This Row],[Tech Start Date]]&lt;1/1/1990,"",IF(Main[[#This Row],[Class]]="C",WORKDAY(Main[[#This Row],[Tech Start Date]],28),IF(Main[[#This Row],[Class]]="B", WORKDAY(Main[[#This Row],[Tech Start Date]],19),IF(Main[[#This Row],[Class]]="A",WORKDAY(Main[[#This Row],[Tech Start Date]],9),""))))</f>
        <v>40513</v>
      </c>
      <c r="Q1260" s="101"/>
      <c r="R1260" s="101"/>
      <c r="S1260" s="99" t="s">
        <v>6</v>
      </c>
      <c r="T1260" s="107" t="s">
        <v>4</v>
      </c>
      <c r="U1260" s="99" t="s">
        <v>14</v>
      </c>
      <c r="V1260" s="99" t="s">
        <v>1965</v>
      </c>
      <c r="W1260" s="99" t="s">
        <v>1966</v>
      </c>
    </row>
    <row r="1261" spans="1:23" ht="18.600000000000001" customHeight="1">
      <c r="A1261" s="123" t="str">
        <f>IF(priority(Main[[#This Row],[Comments]])&lt;&gt;0, priority(Main[[#This Row],[Comments]]),"")</f>
        <v/>
      </c>
      <c r="B1261" s="127" t="s">
        <v>1752</v>
      </c>
      <c r="C1261" s="99" t="s">
        <v>4</v>
      </c>
      <c r="D1261" s="100" t="s">
        <v>776</v>
      </c>
      <c r="E1261" s="101"/>
      <c r="F1261" s="101"/>
      <c r="G1261" s="102" t="str">
        <f>IF(stdProdLT(Main[[#This Row],[Comments]])=0.1,"N/A",IF(stdProdLT(Main[[#This Row],[Comments]])=0,"",stdProdLT(Main[[#This Row],[Comments]])))</f>
        <v/>
      </c>
      <c r="H1261" s="103" t="str">
        <f>IF(AND(Main[[#This Row],[In Stock Date]]&lt;&gt;"",Main[[#This Row],[Revised Due Date]]&lt;&gt;""),Main[[#This Row],[In Stock Date]]-Main[[#This Row],[Revised Due Date]],"")</f>
        <v/>
      </c>
      <c r="I1261" s="99" t="s">
        <v>173</v>
      </c>
      <c r="J1261" s="99" t="s">
        <v>70</v>
      </c>
      <c r="K1261" s="99" t="s">
        <v>1969</v>
      </c>
      <c r="L1261" s="101">
        <v>40486</v>
      </c>
      <c r="M1261" s="104">
        <f>IF(Main[[#This Row],[Tech Start Date]]&lt;1/1/1990,"",IF(Main[[#This Row],[Class]]="C",WORKDAY(Main[[#This Row],[Tech Start Date]],9),IF(Main[[#This Row],[Class]]="B", WORKDAY(Main[[#This Row],[Tech Start Date]],6),IF(Main[[#This Row],[Class]]="A",WORKDAY(Main[[#This Row],[Tech Start Date]],2),""))))</f>
        <v>40494</v>
      </c>
      <c r="N1261" s="104">
        <f>IF(Main[[#This Row],[Tech Start Date]]&lt;1/1/1990,"",IF(Main[[#This Row],[Class]]="C",WORKDAY(Main[[#This Row],[Tech Start Date]],19),IF(Main[[#This Row],[Class]]="B", WORKDAY(Main[[#This Row],[Tech Start Date]],12),IF(Main[[#This Row],[Class]]="A",WORKDAY(Main[[#This Row],[Tech Start Date]],4),""))))</f>
        <v>40504</v>
      </c>
      <c r="O1261" s="104">
        <f>IF(Main[[#This Row],[Tech Start Date]]&lt;1/1/1990,"",IF(Main[[#This Row],[Class]]="C",WORKDAY(Main[[#This Row],[Tech Start Date]],23),IF(Main[[#This Row],[Class]]="B", WORKDAY(Main[[#This Row],[Tech Start Date]],15),IF(Main[[#This Row],[Class]]="A",WORKDAY(Main[[#This Row],[Tech Start Date]],5),""))))</f>
        <v>40507</v>
      </c>
      <c r="P1261" s="104">
        <f>IF(Main[[#This Row],[Tech Start Date]]&lt;1/1/1990,"",IF(Main[[#This Row],[Class]]="C",WORKDAY(Main[[#This Row],[Tech Start Date]],28),IF(Main[[#This Row],[Class]]="B", WORKDAY(Main[[#This Row],[Tech Start Date]],19),IF(Main[[#This Row],[Class]]="A",WORKDAY(Main[[#This Row],[Tech Start Date]],9),""))))</f>
        <v>40513</v>
      </c>
      <c r="Q1261" s="101">
        <v>40504</v>
      </c>
      <c r="R1261" s="101"/>
      <c r="S1261" s="99" t="s">
        <v>6</v>
      </c>
      <c r="T1261" s="107" t="s">
        <v>4</v>
      </c>
      <c r="U1261" s="99" t="s">
        <v>14</v>
      </c>
      <c r="V1261" s="99" t="s">
        <v>1965</v>
      </c>
      <c r="W1261" s="99" t="s">
        <v>1966</v>
      </c>
    </row>
    <row r="1262" spans="1:23" ht="18.600000000000001" customHeight="1">
      <c r="A1262" s="123" t="str">
        <f>IF(priority(Main[[#This Row],[Comments]])&lt;&gt;0, priority(Main[[#This Row],[Comments]]),"")</f>
        <v/>
      </c>
      <c r="B1262" s="127" t="s">
        <v>1138</v>
      </c>
      <c r="C1262" s="99" t="s">
        <v>4</v>
      </c>
      <c r="D1262" s="100" t="s">
        <v>130</v>
      </c>
      <c r="E1262" s="101">
        <v>40462.452245370368</v>
      </c>
      <c r="F1262" s="101"/>
      <c r="G1262" s="102" t="str">
        <f>IF(stdProdLT(Main[[#This Row],[Comments]])=0.1,"N/A",IF(stdProdLT(Main[[#This Row],[Comments]])=0,"",stdProdLT(Main[[#This Row],[Comments]])))</f>
        <v/>
      </c>
      <c r="H1262" s="103" t="str">
        <f>IF(AND(Main[[#This Row],[In Stock Date]]&lt;&gt;"",Main[[#This Row],[Revised Due Date]]&lt;&gt;""),Main[[#This Row],[In Stock Date]]-Main[[#This Row],[Revised Due Date]],"")</f>
        <v/>
      </c>
      <c r="I1262" s="99" t="s">
        <v>242</v>
      </c>
      <c r="J1262" s="99" t="s">
        <v>21</v>
      </c>
      <c r="K1262" s="99" t="s">
        <v>1969</v>
      </c>
      <c r="L1262" s="101">
        <v>40486</v>
      </c>
      <c r="M1262" s="104">
        <f>IF(Main[[#This Row],[Tech Start Date]]&lt;1/1/1990,"",IF(Main[[#This Row],[Class]]="C",WORKDAY(Main[[#This Row],[Tech Start Date]],9),IF(Main[[#This Row],[Class]]="B", WORKDAY(Main[[#This Row],[Tech Start Date]],6),IF(Main[[#This Row],[Class]]="A",WORKDAY(Main[[#This Row],[Tech Start Date]],2),""))))</f>
        <v>40494</v>
      </c>
      <c r="N1262" s="104">
        <f>IF(Main[[#This Row],[Tech Start Date]]&lt;1/1/1990,"",IF(Main[[#This Row],[Class]]="C",WORKDAY(Main[[#This Row],[Tech Start Date]],19),IF(Main[[#This Row],[Class]]="B", WORKDAY(Main[[#This Row],[Tech Start Date]],12),IF(Main[[#This Row],[Class]]="A",WORKDAY(Main[[#This Row],[Tech Start Date]],4),""))))</f>
        <v>40504</v>
      </c>
      <c r="O1262" s="104">
        <f>IF(Main[[#This Row],[Tech Start Date]]&lt;1/1/1990,"",IF(Main[[#This Row],[Class]]="C",WORKDAY(Main[[#This Row],[Tech Start Date]],23),IF(Main[[#This Row],[Class]]="B", WORKDAY(Main[[#This Row],[Tech Start Date]],15),IF(Main[[#This Row],[Class]]="A",WORKDAY(Main[[#This Row],[Tech Start Date]],5),""))))</f>
        <v>40507</v>
      </c>
      <c r="P1262" s="104">
        <f>IF(Main[[#This Row],[Tech Start Date]]&lt;1/1/1990,"",IF(Main[[#This Row],[Class]]="C",WORKDAY(Main[[#This Row],[Tech Start Date]],28),IF(Main[[#This Row],[Class]]="B", WORKDAY(Main[[#This Row],[Tech Start Date]],19),IF(Main[[#This Row],[Class]]="A",WORKDAY(Main[[#This Row],[Tech Start Date]],9),""))))</f>
        <v>40513</v>
      </c>
      <c r="Q1262" s="101">
        <v>40543</v>
      </c>
      <c r="R1262" s="101"/>
      <c r="S1262" s="99" t="s">
        <v>6</v>
      </c>
      <c r="T1262" s="107" t="s">
        <v>4</v>
      </c>
      <c r="U1262" s="99" t="s">
        <v>29</v>
      </c>
      <c r="V1262" s="99" t="s">
        <v>1965</v>
      </c>
      <c r="W1262" s="99" t="s">
        <v>1966</v>
      </c>
    </row>
    <row r="1263" spans="1:23" ht="18.600000000000001" customHeight="1">
      <c r="A1263" s="123" t="str">
        <f>IF(priority(Main[[#This Row],[Comments]])&lt;&gt;0, priority(Main[[#This Row],[Comments]]),"")</f>
        <v/>
      </c>
      <c r="B1263" s="127" t="s">
        <v>1765</v>
      </c>
      <c r="C1263" s="99" t="s">
        <v>4</v>
      </c>
      <c r="D1263" s="100" t="s">
        <v>2372</v>
      </c>
      <c r="E1263" s="101">
        <v>40462.421793981484</v>
      </c>
      <c r="F1263" s="101"/>
      <c r="G1263" s="102" t="str">
        <f>IF(stdProdLT(Main[[#This Row],[Comments]])=0.1,"N/A",IF(stdProdLT(Main[[#This Row],[Comments]])=0,"",stdProdLT(Main[[#This Row],[Comments]])))</f>
        <v/>
      </c>
      <c r="H1263" s="103" t="str">
        <f>IF(AND(Main[[#This Row],[In Stock Date]]&lt;&gt;"",Main[[#This Row],[Revised Due Date]]&lt;&gt;""),Main[[#This Row],[In Stock Date]]-Main[[#This Row],[Revised Due Date]],"")</f>
        <v/>
      </c>
      <c r="I1263" s="99" t="s">
        <v>911</v>
      </c>
      <c r="J1263" s="99" t="s">
        <v>52</v>
      </c>
      <c r="K1263" s="99" t="s">
        <v>1969</v>
      </c>
      <c r="L1263" s="101">
        <v>40486</v>
      </c>
      <c r="M1263" s="104">
        <f>IF(Main[[#This Row],[Tech Start Date]]&lt;1/1/1990,"",IF(Main[[#This Row],[Class]]="C",WORKDAY(Main[[#This Row],[Tech Start Date]],9),IF(Main[[#This Row],[Class]]="B", WORKDAY(Main[[#This Row],[Tech Start Date]],6),IF(Main[[#This Row],[Class]]="A",WORKDAY(Main[[#This Row],[Tech Start Date]],2),""))))</f>
        <v>40494</v>
      </c>
      <c r="N1263" s="104">
        <f>IF(Main[[#This Row],[Tech Start Date]]&lt;1/1/1990,"",IF(Main[[#This Row],[Class]]="C",WORKDAY(Main[[#This Row],[Tech Start Date]],19),IF(Main[[#This Row],[Class]]="B", WORKDAY(Main[[#This Row],[Tech Start Date]],12),IF(Main[[#This Row],[Class]]="A",WORKDAY(Main[[#This Row],[Tech Start Date]],4),""))))</f>
        <v>40504</v>
      </c>
      <c r="O1263" s="104">
        <f>IF(Main[[#This Row],[Tech Start Date]]&lt;1/1/1990,"",IF(Main[[#This Row],[Class]]="C",WORKDAY(Main[[#This Row],[Tech Start Date]],23),IF(Main[[#This Row],[Class]]="B", WORKDAY(Main[[#This Row],[Tech Start Date]],15),IF(Main[[#This Row],[Class]]="A",WORKDAY(Main[[#This Row],[Tech Start Date]],5),""))))</f>
        <v>40507</v>
      </c>
      <c r="P1263" s="104">
        <f>IF(Main[[#This Row],[Tech Start Date]]&lt;1/1/1990,"",IF(Main[[#This Row],[Class]]="C",WORKDAY(Main[[#This Row],[Tech Start Date]],28),IF(Main[[#This Row],[Class]]="B", WORKDAY(Main[[#This Row],[Tech Start Date]],19),IF(Main[[#This Row],[Class]]="A",WORKDAY(Main[[#This Row],[Tech Start Date]],9),""))))</f>
        <v>40513</v>
      </c>
      <c r="Q1263" s="101">
        <v>40543</v>
      </c>
      <c r="R1263" s="101"/>
      <c r="S1263" s="99" t="s">
        <v>6</v>
      </c>
      <c r="T1263" s="107" t="s">
        <v>4</v>
      </c>
      <c r="U1263" s="99" t="s">
        <v>29</v>
      </c>
      <c r="V1263" s="99" t="s">
        <v>1965</v>
      </c>
      <c r="W1263" s="99" t="s">
        <v>1966</v>
      </c>
    </row>
    <row r="1264" spans="1:23" ht="18.600000000000001" customHeight="1">
      <c r="A1264" s="123" t="str">
        <f>IF(priority(Main[[#This Row],[Comments]])&lt;&gt;0, priority(Main[[#This Row],[Comments]]),"")</f>
        <v/>
      </c>
      <c r="B1264" s="127" t="s">
        <v>1769</v>
      </c>
      <c r="C1264" s="99" t="s">
        <v>4</v>
      </c>
      <c r="D1264" s="100" t="s">
        <v>2072</v>
      </c>
      <c r="E1264" s="101">
        <v>40478.606620370374</v>
      </c>
      <c r="F1264" s="101"/>
      <c r="G1264" s="102" t="str">
        <f>IF(stdProdLT(Main[[#This Row],[Comments]])=0.1,"N/A",IF(stdProdLT(Main[[#This Row],[Comments]])=0,"",stdProdLT(Main[[#This Row],[Comments]])))</f>
        <v/>
      </c>
      <c r="H1264" s="103" t="str">
        <f>IF(AND(Main[[#This Row],[In Stock Date]]&lt;&gt;"",Main[[#This Row],[Revised Due Date]]&lt;&gt;""),Main[[#This Row],[In Stock Date]]-Main[[#This Row],[Revised Due Date]],"")</f>
        <v/>
      </c>
      <c r="I1264" s="99" t="s">
        <v>435</v>
      </c>
      <c r="J1264" s="99" t="s">
        <v>70</v>
      </c>
      <c r="K1264" s="99" t="s">
        <v>1974</v>
      </c>
      <c r="L1264" s="101">
        <v>40513</v>
      </c>
      <c r="M1264" s="104" t="str">
        <f>IF(Main[[#This Row],[Tech Start Date]]&lt;1/1/1990,"",IF(Main[[#This Row],[Class]]="C",WORKDAY(Main[[#This Row],[Tech Start Date]],9),IF(Main[[#This Row],[Class]]="B", WORKDAY(Main[[#This Row],[Tech Start Date]],6),IF(Main[[#This Row],[Class]]="A",WORKDAY(Main[[#This Row],[Tech Start Date]],2),""))))</f>
        <v/>
      </c>
      <c r="N1264" s="104" t="str">
        <f>IF(Main[[#This Row],[Tech Start Date]]&lt;1/1/1990,"",IF(Main[[#This Row],[Class]]="C",WORKDAY(Main[[#This Row],[Tech Start Date]],19),IF(Main[[#This Row],[Class]]="B", WORKDAY(Main[[#This Row],[Tech Start Date]],12),IF(Main[[#This Row],[Class]]="A",WORKDAY(Main[[#This Row],[Tech Start Date]],4),""))))</f>
        <v/>
      </c>
      <c r="O1264" s="104" t="str">
        <f>IF(Main[[#This Row],[Tech Start Date]]&lt;1/1/1990,"",IF(Main[[#This Row],[Class]]="C",WORKDAY(Main[[#This Row],[Tech Start Date]],23),IF(Main[[#This Row],[Class]]="B", WORKDAY(Main[[#This Row],[Tech Start Date]],15),IF(Main[[#This Row],[Class]]="A",WORKDAY(Main[[#This Row],[Tech Start Date]],5),""))))</f>
        <v/>
      </c>
      <c r="P1264" s="104" t="str">
        <f>IF(Main[[#This Row],[Tech Start Date]]&lt;1/1/1990,"",IF(Main[[#This Row],[Class]]="C",WORKDAY(Main[[#This Row],[Tech Start Date]],28),IF(Main[[#This Row],[Class]]="B", WORKDAY(Main[[#This Row],[Tech Start Date]],19),IF(Main[[#This Row],[Class]]="A",WORKDAY(Main[[#This Row],[Tech Start Date]],9),""))))</f>
        <v/>
      </c>
      <c r="Q1264" s="101">
        <v>40724</v>
      </c>
      <c r="R1264" s="101"/>
      <c r="S1264" s="99" t="s">
        <v>17</v>
      </c>
      <c r="T1264" s="107" t="s">
        <v>4</v>
      </c>
      <c r="U1264" s="99" t="s">
        <v>29</v>
      </c>
      <c r="V1264" s="99" t="s">
        <v>1965</v>
      </c>
      <c r="W1264" s="99" t="s">
        <v>1966</v>
      </c>
    </row>
    <row r="1265" spans="1:23" ht="18.600000000000001" customHeight="1">
      <c r="A1265" s="123" t="str">
        <f>IF(priority(Main[[#This Row],[Comments]])&lt;&gt;0, priority(Main[[#This Row],[Comments]]),"")</f>
        <v/>
      </c>
      <c r="B1265" s="127" t="s">
        <v>1763</v>
      </c>
      <c r="C1265" s="99" t="s">
        <v>72</v>
      </c>
      <c r="D1265" s="100" t="s">
        <v>791</v>
      </c>
      <c r="E1265" s="101"/>
      <c r="F1265" s="101">
        <v>40513</v>
      </c>
      <c r="G1265" s="102" t="str">
        <f>IF(stdProdLT(Main[[#This Row],[Comments]])=0.1,"N/A",IF(stdProdLT(Main[[#This Row],[Comments]])=0,"",stdProdLT(Main[[#This Row],[Comments]])))</f>
        <v/>
      </c>
      <c r="H1265" s="103" t="str">
        <f>IF(AND(Main[[#This Row],[In Stock Date]]&lt;&gt;"",Main[[#This Row],[Revised Due Date]]&lt;&gt;""),Main[[#This Row],[In Stock Date]]-Main[[#This Row],[Revised Due Date]],"")</f>
        <v/>
      </c>
      <c r="I1265" s="99" t="s">
        <v>30</v>
      </c>
      <c r="J1265" s="99" t="s">
        <v>28</v>
      </c>
      <c r="K1265" s="99" t="s">
        <v>1974</v>
      </c>
      <c r="L1265" s="101">
        <v>40547</v>
      </c>
      <c r="M1265" s="104" t="str">
        <f>IF(Main[[#This Row],[Tech Start Date]]&lt;1/1/1990,"",IF(Main[[#This Row],[Class]]="C",WORKDAY(Main[[#This Row],[Tech Start Date]],9),IF(Main[[#This Row],[Class]]="B", WORKDAY(Main[[#This Row],[Tech Start Date]],6),IF(Main[[#This Row],[Class]]="A",WORKDAY(Main[[#This Row],[Tech Start Date]],2),""))))</f>
        <v/>
      </c>
      <c r="N1265" s="104" t="str">
        <f>IF(Main[[#This Row],[Tech Start Date]]&lt;1/1/1990,"",IF(Main[[#This Row],[Class]]="C",WORKDAY(Main[[#This Row],[Tech Start Date]],19),IF(Main[[#This Row],[Class]]="B", WORKDAY(Main[[#This Row],[Tech Start Date]],12),IF(Main[[#This Row],[Class]]="A",WORKDAY(Main[[#This Row],[Tech Start Date]],4),""))))</f>
        <v/>
      </c>
      <c r="O1265" s="104" t="str">
        <f>IF(Main[[#This Row],[Tech Start Date]]&lt;1/1/1990,"",IF(Main[[#This Row],[Class]]="C",WORKDAY(Main[[#This Row],[Tech Start Date]],23),IF(Main[[#This Row],[Class]]="B", WORKDAY(Main[[#This Row],[Tech Start Date]],15),IF(Main[[#This Row],[Class]]="A",WORKDAY(Main[[#This Row],[Tech Start Date]],5),""))))</f>
        <v/>
      </c>
      <c r="P1265" s="104" t="str">
        <f>IF(Main[[#This Row],[Tech Start Date]]&lt;1/1/1990,"",IF(Main[[#This Row],[Class]]="C",WORKDAY(Main[[#This Row],[Tech Start Date]],28),IF(Main[[#This Row],[Class]]="B", WORKDAY(Main[[#This Row],[Tech Start Date]],19),IF(Main[[#This Row],[Class]]="A",WORKDAY(Main[[#This Row],[Tech Start Date]],9),""))))</f>
        <v/>
      </c>
      <c r="Q1265" s="101"/>
      <c r="R1265" s="101"/>
      <c r="S1265" s="99" t="s">
        <v>17</v>
      </c>
      <c r="T1265" s="107" t="s">
        <v>4</v>
      </c>
      <c r="U1265" s="99" t="s">
        <v>14</v>
      </c>
      <c r="V1265" s="99" t="s">
        <v>1965</v>
      </c>
      <c r="W1265" s="99" t="s">
        <v>1967</v>
      </c>
    </row>
    <row r="1266" spans="1:23" ht="18.600000000000001" customHeight="1">
      <c r="A1266" s="123" t="str">
        <f>IF(priority(Main[[#This Row],[Comments]])&lt;&gt;0, priority(Main[[#This Row],[Comments]]),"")</f>
        <v/>
      </c>
      <c r="B1266" s="127" t="s">
        <v>1958</v>
      </c>
      <c r="C1266" s="99" t="s">
        <v>4</v>
      </c>
      <c r="D1266" s="100" t="s">
        <v>984</v>
      </c>
      <c r="E1266" s="101"/>
      <c r="F1266" s="101"/>
      <c r="G1266" s="102" t="str">
        <f>IF(stdProdLT(Main[[#This Row],[Comments]])=0.1,"N/A",IF(stdProdLT(Main[[#This Row],[Comments]])=0,"",stdProdLT(Main[[#This Row],[Comments]])))</f>
        <v/>
      </c>
      <c r="H1266" s="103" t="str">
        <f>IF(AND(Main[[#This Row],[In Stock Date]]&lt;&gt;"",Main[[#This Row],[Revised Due Date]]&lt;&gt;""),Main[[#This Row],[In Stock Date]]-Main[[#This Row],[Revised Due Date]],"")</f>
        <v/>
      </c>
      <c r="I1266" s="99" t="s">
        <v>2112</v>
      </c>
      <c r="J1266" s="99" t="s">
        <v>4</v>
      </c>
      <c r="K1266" s="108" t="s">
        <v>1974</v>
      </c>
      <c r="L1266" s="101">
        <v>40549</v>
      </c>
      <c r="M1266" s="104" t="str">
        <f>IF(Main[[#This Row],[Tech Start Date]]&lt;1/1/1990,"",IF(Main[[#This Row],[Class]]="C",WORKDAY(Main[[#This Row],[Tech Start Date]],9),IF(Main[[#This Row],[Class]]="B", WORKDAY(Main[[#This Row],[Tech Start Date]],6),IF(Main[[#This Row],[Class]]="A",WORKDAY(Main[[#This Row],[Tech Start Date]],2),""))))</f>
        <v/>
      </c>
      <c r="N1266" s="104" t="str">
        <f>IF(Main[[#This Row],[Tech Start Date]]&lt;1/1/1990,"",IF(Main[[#This Row],[Class]]="C",WORKDAY(Main[[#This Row],[Tech Start Date]],19),IF(Main[[#This Row],[Class]]="B", WORKDAY(Main[[#This Row],[Tech Start Date]],12),IF(Main[[#This Row],[Class]]="A",WORKDAY(Main[[#This Row],[Tech Start Date]],4),""))))</f>
        <v/>
      </c>
      <c r="O1266" s="104" t="str">
        <f>IF(Main[[#This Row],[Tech Start Date]]&lt;1/1/1990,"",IF(Main[[#This Row],[Class]]="C",WORKDAY(Main[[#This Row],[Tech Start Date]],23),IF(Main[[#This Row],[Class]]="B", WORKDAY(Main[[#This Row],[Tech Start Date]],15),IF(Main[[#This Row],[Class]]="A",WORKDAY(Main[[#This Row],[Tech Start Date]],5),""))))</f>
        <v/>
      </c>
      <c r="P1266" s="104" t="str">
        <f>IF(Main[[#This Row],[Tech Start Date]]&lt;1/1/1990,"",IF(Main[[#This Row],[Class]]="C",WORKDAY(Main[[#This Row],[Tech Start Date]],28),IF(Main[[#This Row],[Class]]="B", WORKDAY(Main[[#This Row],[Tech Start Date]],19),IF(Main[[#This Row],[Class]]="A",WORKDAY(Main[[#This Row],[Tech Start Date]],9),""))))</f>
        <v/>
      </c>
      <c r="Q1266" s="101">
        <v>40939</v>
      </c>
      <c r="R1266" s="101">
        <v>40939</v>
      </c>
      <c r="S1266" s="99" t="s">
        <v>11</v>
      </c>
      <c r="T1266" s="107" t="s">
        <v>4</v>
      </c>
      <c r="U1266" s="99" t="s">
        <v>14</v>
      </c>
      <c r="V1266" s="99" t="s">
        <v>1963</v>
      </c>
      <c r="W1266" s="99" t="s">
        <v>1966</v>
      </c>
    </row>
    <row r="1267" spans="1:23" ht="18.600000000000001" customHeight="1">
      <c r="A1267" s="123" t="str">
        <f>IF(priority(Main[[#This Row],[Comments]])&lt;&gt;0, priority(Main[[#This Row],[Comments]]),"")</f>
        <v/>
      </c>
      <c r="B1267" s="127" t="s">
        <v>1957</v>
      </c>
      <c r="C1267" s="99" t="s">
        <v>4</v>
      </c>
      <c r="D1267" s="100" t="s">
        <v>982</v>
      </c>
      <c r="E1267" s="101">
        <v>40436.63890046296</v>
      </c>
      <c r="F1267" s="101"/>
      <c r="G1267" s="102" t="str">
        <f>IF(stdProdLT(Main[[#This Row],[Comments]])=0.1,"N/A",IF(stdProdLT(Main[[#This Row],[Comments]])=0,"",stdProdLT(Main[[#This Row],[Comments]])))</f>
        <v/>
      </c>
      <c r="H1267" s="103" t="str">
        <f>IF(AND(Main[[#This Row],[In Stock Date]]&lt;&gt;"",Main[[#This Row],[Revised Due Date]]&lt;&gt;""),Main[[#This Row],[In Stock Date]]-Main[[#This Row],[Revised Due Date]],"")</f>
        <v/>
      </c>
      <c r="I1267" s="99" t="s">
        <v>893</v>
      </c>
      <c r="J1267" s="99" t="s">
        <v>28</v>
      </c>
      <c r="K1267" s="99" t="s">
        <v>1974</v>
      </c>
      <c r="L1267" s="101">
        <v>40549</v>
      </c>
      <c r="M1267" s="104" t="str">
        <f>IF(Main[[#This Row],[Tech Start Date]]&lt;1/1/1990,"",IF(Main[[#This Row],[Class]]="C",WORKDAY(Main[[#This Row],[Tech Start Date]],9),IF(Main[[#This Row],[Class]]="B", WORKDAY(Main[[#This Row],[Tech Start Date]],6),IF(Main[[#This Row],[Class]]="A",WORKDAY(Main[[#This Row],[Tech Start Date]],2),""))))</f>
        <v/>
      </c>
      <c r="N1267" s="104" t="str">
        <f>IF(Main[[#This Row],[Tech Start Date]]&lt;1/1/1990,"",IF(Main[[#This Row],[Class]]="C",WORKDAY(Main[[#This Row],[Tech Start Date]],19),IF(Main[[#This Row],[Class]]="B", WORKDAY(Main[[#This Row],[Tech Start Date]],12),IF(Main[[#This Row],[Class]]="A",WORKDAY(Main[[#This Row],[Tech Start Date]],4),""))))</f>
        <v/>
      </c>
      <c r="O1267" s="104" t="str">
        <f>IF(Main[[#This Row],[Tech Start Date]]&lt;1/1/1990,"",IF(Main[[#This Row],[Class]]="C",WORKDAY(Main[[#This Row],[Tech Start Date]],23),IF(Main[[#This Row],[Class]]="B", WORKDAY(Main[[#This Row],[Tech Start Date]],15),IF(Main[[#This Row],[Class]]="A",WORKDAY(Main[[#This Row],[Tech Start Date]],5),""))))</f>
        <v/>
      </c>
      <c r="P1267" s="104" t="str">
        <f>IF(Main[[#This Row],[Tech Start Date]]&lt;1/1/1990,"",IF(Main[[#This Row],[Class]]="C",WORKDAY(Main[[#This Row],[Tech Start Date]],28),IF(Main[[#This Row],[Class]]="B", WORKDAY(Main[[#This Row],[Tech Start Date]],19),IF(Main[[#This Row],[Class]]="A",WORKDAY(Main[[#This Row],[Tech Start Date]],9),""))))</f>
        <v/>
      </c>
      <c r="Q1267" s="101">
        <v>40939</v>
      </c>
      <c r="R1267" s="101">
        <v>40939</v>
      </c>
      <c r="S1267" s="99" t="s">
        <v>17</v>
      </c>
      <c r="T1267" s="107" t="s">
        <v>983</v>
      </c>
      <c r="U1267" s="99" t="s">
        <v>29</v>
      </c>
      <c r="V1267" s="99" t="s">
        <v>1962</v>
      </c>
      <c r="W1267" s="99" t="s">
        <v>1966</v>
      </c>
    </row>
    <row r="1268" spans="1:23" ht="18.600000000000001" customHeight="1">
      <c r="A1268" s="123" t="str">
        <f>IF(priority(Main[[#This Row],[Comments]])&lt;&gt;0, priority(Main[[#This Row],[Comments]]),"")</f>
        <v/>
      </c>
      <c r="B1268" s="127" t="s">
        <v>1956</v>
      </c>
      <c r="C1268" s="99" t="s">
        <v>4</v>
      </c>
      <c r="D1268" s="100" t="s">
        <v>981</v>
      </c>
      <c r="E1268" s="101"/>
      <c r="F1268" s="101"/>
      <c r="G1268" s="102" t="str">
        <f>IF(stdProdLT(Main[[#This Row],[Comments]])=0.1,"N/A",IF(stdProdLT(Main[[#This Row],[Comments]])=0,"",stdProdLT(Main[[#This Row],[Comments]])))</f>
        <v/>
      </c>
      <c r="H1268" s="103" t="str">
        <f>IF(AND(Main[[#This Row],[In Stock Date]]&lt;&gt;"",Main[[#This Row],[Revised Due Date]]&lt;&gt;""),Main[[#This Row],[In Stock Date]]-Main[[#This Row],[Revised Due Date]],"")</f>
        <v/>
      </c>
      <c r="I1268" s="99" t="s">
        <v>893</v>
      </c>
      <c r="J1268" s="99" t="s">
        <v>28</v>
      </c>
      <c r="K1268" s="99" t="s">
        <v>1974</v>
      </c>
      <c r="L1268" s="101">
        <v>40549</v>
      </c>
      <c r="M1268" s="104" t="str">
        <f>IF(Main[[#This Row],[Tech Start Date]]&lt;1/1/1990,"",IF(Main[[#This Row],[Class]]="C",WORKDAY(Main[[#This Row],[Tech Start Date]],9),IF(Main[[#This Row],[Class]]="B", WORKDAY(Main[[#This Row],[Tech Start Date]],6),IF(Main[[#This Row],[Class]]="A",WORKDAY(Main[[#This Row],[Tech Start Date]],2),""))))</f>
        <v/>
      </c>
      <c r="N1268" s="104" t="str">
        <f>IF(Main[[#This Row],[Tech Start Date]]&lt;1/1/1990,"",IF(Main[[#This Row],[Class]]="C",WORKDAY(Main[[#This Row],[Tech Start Date]],19),IF(Main[[#This Row],[Class]]="B", WORKDAY(Main[[#This Row],[Tech Start Date]],12),IF(Main[[#This Row],[Class]]="A",WORKDAY(Main[[#This Row],[Tech Start Date]],4),""))))</f>
        <v/>
      </c>
      <c r="O1268" s="104" t="str">
        <f>IF(Main[[#This Row],[Tech Start Date]]&lt;1/1/1990,"",IF(Main[[#This Row],[Class]]="C",WORKDAY(Main[[#This Row],[Tech Start Date]],23),IF(Main[[#This Row],[Class]]="B", WORKDAY(Main[[#This Row],[Tech Start Date]],15),IF(Main[[#This Row],[Class]]="A",WORKDAY(Main[[#This Row],[Tech Start Date]],5),""))))</f>
        <v/>
      </c>
      <c r="P1268" s="104" t="str">
        <f>IF(Main[[#This Row],[Tech Start Date]]&lt;1/1/1990,"",IF(Main[[#This Row],[Class]]="C",WORKDAY(Main[[#This Row],[Tech Start Date]],28),IF(Main[[#This Row],[Class]]="B", WORKDAY(Main[[#This Row],[Tech Start Date]],19),IF(Main[[#This Row],[Class]]="A",WORKDAY(Main[[#This Row],[Tech Start Date]],9),""))))</f>
        <v/>
      </c>
      <c r="Q1268" s="101">
        <v>40939</v>
      </c>
      <c r="R1268" s="101">
        <v>40939</v>
      </c>
      <c r="S1268" s="99" t="s">
        <v>11</v>
      </c>
      <c r="T1268" s="107" t="s">
        <v>4</v>
      </c>
      <c r="U1268" s="99" t="s">
        <v>14</v>
      </c>
      <c r="V1268" s="99" t="s">
        <v>1962</v>
      </c>
      <c r="W1268" s="99" t="s">
        <v>1966</v>
      </c>
    </row>
    <row r="1269" spans="1:23" ht="18.600000000000001" customHeight="1">
      <c r="A1269" s="123" t="str">
        <f>IF(priority(Main[[#This Row],[Comments]])&lt;&gt;0, priority(Main[[#This Row],[Comments]]),"")</f>
        <v/>
      </c>
      <c r="B1269" s="127" t="s">
        <v>1959</v>
      </c>
      <c r="C1269" s="99" t="s">
        <v>4</v>
      </c>
      <c r="D1269" s="100" t="s">
        <v>985</v>
      </c>
      <c r="E1269" s="101"/>
      <c r="F1269" s="101"/>
      <c r="G1269" s="102" t="str">
        <f>IF(stdProdLT(Main[[#This Row],[Comments]])=0.1,"N/A",IF(stdProdLT(Main[[#This Row],[Comments]])=0,"",stdProdLT(Main[[#This Row],[Comments]])))</f>
        <v/>
      </c>
      <c r="H1269" s="103" t="str">
        <f>IF(AND(Main[[#This Row],[In Stock Date]]&lt;&gt;"",Main[[#This Row],[Revised Due Date]]&lt;&gt;""),Main[[#This Row],[In Stock Date]]-Main[[#This Row],[Revised Due Date]],"")</f>
        <v/>
      </c>
      <c r="I1269" s="99" t="s">
        <v>939</v>
      </c>
      <c r="J1269" s="99" t="s">
        <v>4</v>
      </c>
      <c r="K1269" s="99" t="s">
        <v>1974</v>
      </c>
      <c r="L1269" s="101">
        <v>40549</v>
      </c>
      <c r="M1269" s="104" t="str">
        <f>IF(Main[[#This Row],[Tech Start Date]]&lt;1/1/1990,"",IF(Main[[#This Row],[Class]]="C",WORKDAY(Main[[#This Row],[Tech Start Date]],9),IF(Main[[#This Row],[Class]]="B", WORKDAY(Main[[#This Row],[Tech Start Date]],6),IF(Main[[#This Row],[Class]]="A",WORKDAY(Main[[#This Row],[Tech Start Date]],2),""))))</f>
        <v/>
      </c>
      <c r="N1269" s="104" t="str">
        <f>IF(Main[[#This Row],[Tech Start Date]]&lt;1/1/1990,"",IF(Main[[#This Row],[Class]]="C",WORKDAY(Main[[#This Row],[Tech Start Date]],19),IF(Main[[#This Row],[Class]]="B", WORKDAY(Main[[#This Row],[Tech Start Date]],12),IF(Main[[#This Row],[Class]]="A",WORKDAY(Main[[#This Row],[Tech Start Date]],4),""))))</f>
        <v/>
      </c>
      <c r="O1269" s="104" t="str">
        <f>IF(Main[[#This Row],[Tech Start Date]]&lt;1/1/1990,"",IF(Main[[#This Row],[Class]]="C",WORKDAY(Main[[#This Row],[Tech Start Date]],23),IF(Main[[#This Row],[Class]]="B", WORKDAY(Main[[#This Row],[Tech Start Date]],15),IF(Main[[#This Row],[Class]]="A",WORKDAY(Main[[#This Row],[Tech Start Date]],5),""))))</f>
        <v/>
      </c>
      <c r="P1269" s="104" t="str">
        <f>IF(Main[[#This Row],[Tech Start Date]]&lt;1/1/1990,"",IF(Main[[#This Row],[Class]]="C",WORKDAY(Main[[#This Row],[Tech Start Date]],28),IF(Main[[#This Row],[Class]]="B", WORKDAY(Main[[#This Row],[Tech Start Date]],19),IF(Main[[#This Row],[Class]]="A",WORKDAY(Main[[#This Row],[Tech Start Date]],9),""))))</f>
        <v/>
      </c>
      <c r="Q1269" s="101">
        <v>40939</v>
      </c>
      <c r="R1269" s="101">
        <v>40939</v>
      </c>
      <c r="S1269" s="99" t="s">
        <v>11</v>
      </c>
      <c r="T1269" s="107" t="s">
        <v>4</v>
      </c>
      <c r="U1269" s="99" t="s">
        <v>14</v>
      </c>
      <c r="V1269" s="99" t="s">
        <v>1962</v>
      </c>
      <c r="W1269" s="99" t="s">
        <v>1966</v>
      </c>
    </row>
    <row r="1270" spans="1:23" ht="18.600000000000001" customHeight="1">
      <c r="A1270" s="123" t="str">
        <f>IF(priority(Main[[#This Row],[Comments]])&lt;&gt;0, priority(Main[[#This Row],[Comments]]),"")</f>
        <v/>
      </c>
      <c r="B1270" s="127" t="s">
        <v>1909</v>
      </c>
      <c r="C1270" s="99" t="s">
        <v>4</v>
      </c>
      <c r="D1270" s="100" t="s">
        <v>2073</v>
      </c>
      <c r="E1270" s="101">
        <v>40478.350138888891</v>
      </c>
      <c r="F1270" s="101"/>
      <c r="G1270" s="102" t="str">
        <f>IF(stdProdLT(Main[[#This Row],[Comments]])=0.1,"N/A",IF(stdProdLT(Main[[#This Row],[Comments]])=0,"",stdProdLT(Main[[#This Row],[Comments]])))</f>
        <v/>
      </c>
      <c r="H1270" s="103" t="str">
        <f>IF(AND(Main[[#This Row],[In Stock Date]]&lt;&gt;"",Main[[#This Row],[Revised Due Date]]&lt;&gt;""),Main[[#This Row],[In Stock Date]]-Main[[#This Row],[Revised Due Date]],"")</f>
        <v/>
      </c>
      <c r="I1270" s="99" t="s">
        <v>939</v>
      </c>
      <c r="J1270" s="99" t="s">
        <v>28</v>
      </c>
      <c r="K1270" s="99" t="s">
        <v>1974</v>
      </c>
      <c r="L1270" s="101">
        <v>40554</v>
      </c>
      <c r="M1270" s="104" t="str">
        <f>IF(Main[[#This Row],[Tech Start Date]]&lt;1/1/1990,"",IF(Main[[#This Row],[Class]]="C",WORKDAY(Main[[#This Row],[Tech Start Date]],9),IF(Main[[#This Row],[Class]]="B", WORKDAY(Main[[#This Row],[Tech Start Date]],6),IF(Main[[#This Row],[Class]]="A",WORKDAY(Main[[#This Row],[Tech Start Date]],2),""))))</f>
        <v/>
      </c>
      <c r="N1270" s="104" t="str">
        <f>IF(Main[[#This Row],[Tech Start Date]]&lt;1/1/1990,"",IF(Main[[#This Row],[Class]]="C",WORKDAY(Main[[#This Row],[Tech Start Date]],19),IF(Main[[#This Row],[Class]]="B", WORKDAY(Main[[#This Row],[Tech Start Date]],12),IF(Main[[#This Row],[Class]]="A",WORKDAY(Main[[#This Row],[Tech Start Date]],4),""))))</f>
        <v/>
      </c>
      <c r="O1270" s="104" t="str">
        <f>IF(Main[[#This Row],[Tech Start Date]]&lt;1/1/1990,"",IF(Main[[#This Row],[Class]]="C",WORKDAY(Main[[#This Row],[Tech Start Date]],23),IF(Main[[#This Row],[Class]]="B", WORKDAY(Main[[#This Row],[Tech Start Date]],15),IF(Main[[#This Row],[Class]]="A",WORKDAY(Main[[#This Row],[Tech Start Date]],5),""))))</f>
        <v/>
      </c>
      <c r="P1270" s="104" t="str">
        <f>IF(Main[[#This Row],[Tech Start Date]]&lt;1/1/1990,"",IF(Main[[#This Row],[Class]]="C",WORKDAY(Main[[#This Row],[Tech Start Date]],28),IF(Main[[#This Row],[Class]]="B", WORKDAY(Main[[#This Row],[Tech Start Date]],19),IF(Main[[#This Row],[Class]]="A",WORKDAY(Main[[#This Row],[Tech Start Date]],9),""))))</f>
        <v/>
      </c>
      <c r="Q1270" s="101">
        <v>40979</v>
      </c>
      <c r="R1270" s="101">
        <v>40979</v>
      </c>
      <c r="S1270" s="99" t="s">
        <v>17</v>
      </c>
      <c r="T1270" s="107" t="s">
        <v>940</v>
      </c>
      <c r="U1270" s="99" t="s">
        <v>29</v>
      </c>
      <c r="V1270" s="99" t="s">
        <v>1977</v>
      </c>
      <c r="W1270" s="99" t="s">
        <v>1966</v>
      </c>
    </row>
    <row r="1271" spans="1:23" ht="18.600000000000001" customHeight="1">
      <c r="A1271" s="123" t="str">
        <f>IF(priority(Main[[#This Row],[Comments]])&lt;&gt;0, priority(Main[[#This Row],[Comments]]),"")</f>
        <v/>
      </c>
      <c r="B1271" s="127" t="s">
        <v>1919</v>
      </c>
      <c r="C1271" s="99" t="s">
        <v>4</v>
      </c>
      <c r="D1271" s="100" t="s">
        <v>2870</v>
      </c>
      <c r="E1271" s="101">
        <v>40574.442175925928</v>
      </c>
      <c r="F1271" s="101">
        <v>40663</v>
      </c>
      <c r="G1271" s="102" t="str">
        <f>IF(stdProdLT(Main[[#This Row],[Comments]])=0.1,"N/A",IF(stdProdLT(Main[[#This Row],[Comments]])=0,"",stdProdLT(Main[[#This Row],[Comments]])))</f>
        <v/>
      </c>
      <c r="H1271" s="103">
        <f>IF(AND(Main[[#This Row],[In Stock Date]]&lt;&gt;"",Main[[#This Row],[Revised Due Date]]&lt;&gt;""),Main[[#This Row],[In Stock Date]]-Main[[#This Row],[Revised Due Date]],"")</f>
        <v>-276</v>
      </c>
      <c r="I1271" s="99" t="s">
        <v>924</v>
      </c>
      <c r="J1271" s="99" t="s">
        <v>28</v>
      </c>
      <c r="K1271" s="99" t="s">
        <v>1974</v>
      </c>
      <c r="L1271" s="101">
        <v>40574</v>
      </c>
      <c r="M1271" s="104" t="str">
        <f>IF(Main[[#This Row],[Tech Start Date]]&lt;1/1/1990,"",IF(Main[[#This Row],[Class]]="C",WORKDAY(Main[[#This Row],[Tech Start Date]],9),IF(Main[[#This Row],[Class]]="B", WORKDAY(Main[[#This Row],[Tech Start Date]],6),IF(Main[[#This Row],[Class]]="A",WORKDAY(Main[[#This Row],[Tech Start Date]],2),""))))</f>
        <v/>
      </c>
      <c r="N1271" s="104" t="str">
        <f>IF(Main[[#This Row],[Tech Start Date]]&lt;1/1/1990,"",IF(Main[[#This Row],[Class]]="C",WORKDAY(Main[[#This Row],[Tech Start Date]],19),IF(Main[[#This Row],[Class]]="B", WORKDAY(Main[[#This Row],[Tech Start Date]],12),IF(Main[[#This Row],[Class]]="A",WORKDAY(Main[[#This Row],[Tech Start Date]],4),""))))</f>
        <v/>
      </c>
      <c r="O1271" s="104" t="str">
        <f>IF(Main[[#This Row],[Tech Start Date]]&lt;1/1/1990,"",IF(Main[[#This Row],[Class]]="C",WORKDAY(Main[[#This Row],[Tech Start Date]],23),IF(Main[[#This Row],[Class]]="B", WORKDAY(Main[[#This Row],[Tech Start Date]],15),IF(Main[[#This Row],[Class]]="A",WORKDAY(Main[[#This Row],[Tech Start Date]],5),""))))</f>
        <v/>
      </c>
      <c r="P1271" s="104" t="str">
        <f>IF(Main[[#This Row],[Tech Start Date]]&lt;1/1/1990,"",IF(Main[[#This Row],[Class]]="C",WORKDAY(Main[[#This Row],[Tech Start Date]],28),IF(Main[[#This Row],[Class]]="B", WORKDAY(Main[[#This Row],[Tech Start Date]],19),IF(Main[[#This Row],[Class]]="A",WORKDAY(Main[[#This Row],[Tech Start Date]],9),""))))</f>
        <v/>
      </c>
      <c r="Q1271" s="101">
        <v>40939</v>
      </c>
      <c r="R1271" s="101">
        <v>40939</v>
      </c>
      <c r="S1271" s="99" t="s">
        <v>17</v>
      </c>
      <c r="T1271" s="107" t="s">
        <v>2406</v>
      </c>
      <c r="U1271" s="99" t="s">
        <v>29</v>
      </c>
      <c r="V1271" s="99" t="s">
        <v>1962</v>
      </c>
      <c r="W1271" s="99" t="s">
        <v>1964</v>
      </c>
    </row>
    <row r="1272" spans="1:23" ht="18.600000000000001" customHeight="1">
      <c r="A1272" s="123" t="str">
        <f>IF(priority(Main[[#This Row],[Comments]])&lt;&gt;0, priority(Main[[#This Row],[Comments]]),"")</f>
        <v/>
      </c>
      <c r="B1272" s="127" t="s">
        <v>1911</v>
      </c>
      <c r="C1272" s="99" t="s">
        <v>4</v>
      </c>
      <c r="D1272" s="100" t="s">
        <v>942</v>
      </c>
      <c r="E1272" s="101"/>
      <c r="F1272" s="101"/>
      <c r="G1272" s="102" t="str">
        <f>IF(stdProdLT(Main[[#This Row],[Comments]])=0.1,"N/A",IF(stdProdLT(Main[[#This Row],[Comments]])=0,"",stdProdLT(Main[[#This Row],[Comments]])))</f>
        <v/>
      </c>
      <c r="H1272" s="103" t="str">
        <f>IF(AND(Main[[#This Row],[In Stock Date]]&lt;&gt;"",Main[[#This Row],[Revised Due Date]]&lt;&gt;""),Main[[#This Row],[In Stock Date]]-Main[[#This Row],[Revised Due Date]],"")</f>
        <v/>
      </c>
      <c r="I1272" s="99" t="s">
        <v>30</v>
      </c>
      <c r="J1272" s="99" t="s">
        <v>52</v>
      </c>
      <c r="K1272" s="99" t="s">
        <v>1971</v>
      </c>
      <c r="L1272" s="101">
        <v>40589</v>
      </c>
      <c r="M1272" s="104">
        <f>IF(Main[[#This Row],[Tech Start Date]]&lt;1/1/1990,"",IF(Main[[#This Row],[Class]]="C",WORKDAY(Main[[#This Row],[Tech Start Date]],9),IF(Main[[#This Row],[Class]]="B", WORKDAY(Main[[#This Row],[Tech Start Date]],6),IF(Main[[#This Row],[Class]]="A",WORKDAY(Main[[#This Row],[Tech Start Date]],2),""))))</f>
        <v>40591</v>
      </c>
      <c r="N1272" s="104">
        <f>IF(Main[[#This Row],[Tech Start Date]]&lt;1/1/1990,"",IF(Main[[#This Row],[Class]]="C",WORKDAY(Main[[#This Row],[Tech Start Date]],19),IF(Main[[#This Row],[Class]]="B", WORKDAY(Main[[#This Row],[Tech Start Date]],12),IF(Main[[#This Row],[Class]]="A",WORKDAY(Main[[#This Row],[Tech Start Date]],4),""))))</f>
        <v>40595</v>
      </c>
      <c r="O1272" s="104">
        <f>IF(Main[[#This Row],[Tech Start Date]]&lt;1/1/1990,"",IF(Main[[#This Row],[Class]]="C",WORKDAY(Main[[#This Row],[Tech Start Date]],23),IF(Main[[#This Row],[Class]]="B", WORKDAY(Main[[#This Row],[Tech Start Date]],15),IF(Main[[#This Row],[Class]]="A",WORKDAY(Main[[#This Row],[Tech Start Date]],5),""))))</f>
        <v>40596</v>
      </c>
      <c r="P1272" s="104">
        <f>IF(Main[[#This Row],[Tech Start Date]]&lt;1/1/1990,"",IF(Main[[#This Row],[Class]]="C",WORKDAY(Main[[#This Row],[Tech Start Date]],28),IF(Main[[#This Row],[Class]]="B", WORKDAY(Main[[#This Row],[Tech Start Date]],19),IF(Main[[#This Row],[Class]]="A",WORKDAY(Main[[#This Row],[Tech Start Date]],9),""))))</f>
        <v>40602</v>
      </c>
      <c r="Q1272" s="101">
        <v>40592</v>
      </c>
      <c r="R1272" s="101">
        <v>40624</v>
      </c>
      <c r="S1272" s="99" t="s">
        <v>6</v>
      </c>
      <c r="T1272" s="107" t="s">
        <v>4</v>
      </c>
      <c r="U1272" s="99" t="s">
        <v>14</v>
      </c>
      <c r="V1272" s="99" t="s">
        <v>1965</v>
      </c>
      <c r="W1272" s="99" t="s">
        <v>1964</v>
      </c>
    </row>
    <row r="1273" spans="1:23" ht="18.600000000000001" customHeight="1">
      <c r="A1273" s="123" t="str">
        <f>IF(priority(Main[[#This Row],[Comments]])&lt;&gt;0, priority(Main[[#This Row],[Comments]]),"")</f>
        <v/>
      </c>
      <c r="B1273" s="127" t="s">
        <v>1908</v>
      </c>
      <c r="C1273" s="99" t="s">
        <v>4</v>
      </c>
      <c r="D1273" s="100" t="s">
        <v>938</v>
      </c>
      <c r="E1273" s="101">
        <v>40590.540578703702</v>
      </c>
      <c r="F1273" s="101"/>
      <c r="G1273" s="102" t="str">
        <f>IF(stdProdLT(Main[[#This Row],[Comments]])=0.1,"N/A",IF(stdProdLT(Main[[#This Row],[Comments]])=0,"",stdProdLT(Main[[#This Row],[Comments]])))</f>
        <v/>
      </c>
      <c r="H1273" s="103" t="str">
        <f>IF(AND(Main[[#This Row],[In Stock Date]]&lt;&gt;"",Main[[#This Row],[Revised Due Date]]&lt;&gt;""),Main[[#This Row],[In Stock Date]]-Main[[#This Row],[Revised Due Date]],"")</f>
        <v/>
      </c>
      <c r="I1273" s="99" t="s">
        <v>4</v>
      </c>
      <c r="J1273" s="99" t="s">
        <v>28</v>
      </c>
      <c r="K1273" s="99" t="s">
        <v>1971</v>
      </c>
      <c r="L1273" s="101">
        <v>40590</v>
      </c>
      <c r="M1273" s="104">
        <f>IF(Main[[#This Row],[Tech Start Date]]&lt;1/1/1990,"",IF(Main[[#This Row],[Class]]="C",WORKDAY(Main[[#This Row],[Tech Start Date]],9),IF(Main[[#This Row],[Class]]="B", WORKDAY(Main[[#This Row],[Tech Start Date]],6),IF(Main[[#This Row],[Class]]="A",WORKDAY(Main[[#This Row],[Tech Start Date]],2),""))))</f>
        <v>40592</v>
      </c>
      <c r="N1273" s="104">
        <f>IF(Main[[#This Row],[Tech Start Date]]&lt;1/1/1990,"",IF(Main[[#This Row],[Class]]="C",WORKDAY(Main[[#This Row],[Tech Start Date]],19),IF(Main[[#This Row],[Class]]="B", WORKDAY(Main[[#This Row],[Tech Start Date]],12),IF(Main[[#This Row],[Class]]="A",WORKDAY(Main[[#This Row],[Tech Start Date]],4),""))))</f>
        <v>40596</v>
      </c>
      <c r="O1273" s="104">
        <f>IF(Main[[#This Row],[Tech Start Date]]&lt;1/1/1990,"",IF(Main[[#This Row],[Class]]="C",WORKDAY(Main[[#This Row],[Tech Start Date]],23),IF(Main[[#This Row],[Class]]="B", WORKDAY(Main[[#This Row],[Tech Start Date]],15),IF(Main[[#This Row],[Class]]="A",WORKDAY(Main[[#This Row],[Tech Start Date]],5),""))))</f>
        <v>40597</v>
      </c>
      <c r="P1273" s="104">
        <f>IF(Main[[#This Row],[Tech Start Date]]&lt;1/1/1990,"",IF(Main[[#This Row],[Class]]="C",WORKDAY(Main[[#This Row],[Tech Start Date]],28),IF(Main[[#This Row],[Class]]="B", WORKDAY(Main[[#This Row],[Tech Start Date]],19),IF(Main[[#This Row],[Class]]="A",WORKDAY(Main[[#This Row],[Tech Start Date]],9),""))))</f>
        <v>40603</v>
      </c>
      <c r="Q1273" s="101">
        <v>40618</v>
      </c>
      <c r="R1273" s="101">
        <v>40604</v>
      </c>
      <c r="S1273" s="99" t="s">
        <v>6</v>
      </c>
      <c r="T1273" s="107" t="s">
        <v>4</v>
      </c>
      <c r="U1273" s="99" t="s">
        <v>29</v>
      </c>
      <c r="V1273" s="99" t="s">
        <v>1962</v>
      </c>
      <c r="W1273" s="99" t="s">
        <v>1966</v>
      </c>
    </row>
    <row r="1274" spans="1:23" ht="18.600000000000001" customHeight="1">
      <c r="A1274" s="123" t="str">
        <f>IF(priority(Main[[#This Row],[Comments]])&lt;&gt;0, priority(Main[[#This Row],[Comments]]),"")</f>
        <v/>
      </c>
      <c r="B1274" s="127" t="s">
        <v>1912</v>
      </c>
      <c r="C1274" s="99" t="s">
        <v>4</v>
      </c>
      <c r="D1274" s="100" t="s">
        <v>2321</v>
      </c>
      <c r="E1274" s="101">
        <v>40577.592002314814</v>
      </c>
      <c r="F1274" s="101"/>
      <c r="G1274" s="102" t="str">
        <f>IF(stdProdLT(Main[[#This Row],[Comments]])=0.1,"N/A",IF(stdProdLT(Main[[#This Row],[Comments]])=0,"",stdProdLT(Main[[#This Row],[Comments]])))</f>
        <v/>
      </c>
      <c r="H1274" s="103" t="str">
        <f>IF(AND(Main[[#This Row],[In Stock Date]]&lt;&gt;"",Main[[#This Row],[Revised Due Date]]&lt;&gt;""),Main[[#This Row],[In Stock Date]]-Main[[#This Row],[Revised Due Date]],"")</f>
        <v/>
      </c>
      <c r="I1274" s="99" t="s">
        <v>929</v>
      </c>
      <c r="J1274" s="99" t="s">
        <v>28</v>
      </c>
      <c r="K1274" s="99" t="s">
        <v>1971</v>
      </c>
      <c r="L1274" s="101">
        <v>40591</v>
      </c>
      <c r="M1274" s="104">
        <f>IF(Main[[#This Row],[Tech Start Date]]&lt;1/1/1990,"",IF(Main[[#This Row],[Class]]="C",WORKDAY(Main[[#This Row],[Tech Start Date]],9),IF(Main[[#This Row],[Class]]="B", WORKDAY(Main[[#This Row],[Tech Start Date]],6),IF(Main[[#This Row],[Class]]="A",WORKDAY(Main[[#This Row],[Tech Start Date]],2),""))))</f>
        <v>40595</v>
      </c>
      <c r="N1274" s="104">
        <f>IF(Main[[#This Row],[Tech Start Date]]&lt;1/1/1990,"",IF(Main[[#This Row],[Class]]="C",WORKDAY(Main[[#This Row],[Tech Start Date]],19),IF(Main[[#This Row],[Class]]="B", WORKDAY(Main[[#This Row],[Tech Start Date]],12),IF(Main[[#This Row],[Class]]="A",WORKDAY(Main[[#This Row],[Tech Start Date]],4),""))))</f>
        <v>40597</v>
      </c>
      <c r="O1274" s="104">
        <f>IF(Main[[#This Row],[Tech Start Date]]&lt;1/1/1990,"",IF(Main[[#This Row],[Class]]="C",WORKDAY(Main[[#This Row],[Tech Start Date]],23),IF(Main[[#This Row],[Class]]="B", WORKDAY(Main[[#This Row],[Tech Start Date]],15),IF(Main[[#This Row],[Class]]="A",WORKDAY(Main[[#This Row],[Tech Start Date]],5),""))))</f>
        <v>40598</v>
      </c>
      <c r="P1274" s="104">
        <f>IF(Main[[#This Row],[Tech Start Date]]&lt;1/1/1990,"",IF(Main[[#This Row],[Class]]="C",WORKDAY(Main[[#This Row],[Tech Start Date]],28),IF(Main[[#This Row],[Class]]="B", WORKDAY(Main[[#This Row],[Tech Start Date]],19),IF(Main[[#This Row],[Class]]="A",WORKDAY(Main[[#This Row],[Tech Start Date]],9),""))))</f>
        <v>40604</v>
      </c>
      <c r="Q1274" s="101">
        <v>40626</v>
      </c>
      <c r="R1274" s="101">
        <v>40626</v>
      </c>
      <c r="S1274" s="99" t="s">
        <v>6</v>
      </c>
      <c r="T1274" s="107" t="s">
        <v>4</v>
      </c>
      <c r="U1274" s="99" t="s">
        <v>29</v>
      </c>
      <c r="V1274" s="99" t="s">
        <v>1962</v>
      </c>
      <c r="W1274" s="99" t="s">
        <v>1964</v>
      </c>
    </row>
    <row r="1275" spans="1:23" ht="18.600000000000001" customHeight="1">
      <c r="A1275" s="123" t="str">
        <f>IF(priority(Main[[#This Row],[Comments]])&lt;&gt;0, priority(Main[[#This Row],[Comments]]),"")</f>
        <v/>
      </c>
      <c r="B1275" s="127" t="s">
        <v>1938</v>
      </c>
      <c r="C1275" s="99" t="s">
        <v>968</v>
      </c>
      <c r="D1275" s="100" t="s">
        <v>2010</v>
      </c>
      <c r="E1275" s="101"/>
      <c r="F1275" s="101">
        <v>40709</v>
      </c>
      <c r="G1275" s="102" t="str">
        <f>IF(stdProdLT(Main[[#This Row],[Comments]])=0.1,"N/A",IF(stdProdLT(Main[[#This Row],[Comments]])=0,"",stdProdLT(Main[[#This Row],[Comments]])))</f>
        <v/>
      </c>
      <c r="H1275" s="103">
        <f>IF(AND(Main[[#This Row],[In Stock Date]]&lt;&gt;"",Main[[#This Row],[Revised Due Date]]&lt;&gt;""),Main[[#This Row],[In Stock Date]]-Main[[#This Row],[Revised Due Date]],"")</f>
        <v>-44</v>
      </c>
      <c r="I1275" s="99" t="s">
        <v>924</v>
      </c>
      <c r="J1275" s="99" t="s">
        <v>28</v>
      </c>
      <c r="K1275" s="108" t="s">
        <v>1969</v>
      </c>
      <c r="L1275" s="101">
        <v>40612</v>
      </c>
      <c r="M1275" s="104">
        <f>IF(Main[[#This Row],[Tech Start Date]]&lt;1/1/1990,"",IF(Main[[#This Row],[Class]]="C",WORKDAY(Main[[#This Row],[Tech Start Date]],9),IF(Main[[#This Row],[Class]]="B", WORKDAY(Main[[#This Row],[Tech Start Date]],6),IF(Main[[#This Row],[Class]]="A",WORKDAY(Main[[#This Row],[Tech Start Date]],2),""))))</f>
        <v>40620</v>
      </c>
      <c r="N1275" s="104">
        <f>IF(Main[[#This Row],[Tech Start Date]]&lt;1/1/1990,"",IF(Main[[#This Row],[Class]]="C",WORKDAY(Main[[#This Row],[Tech Start Date]],19),IF(Main[[#This Row],[Class]]="B", WORKDAY(Main[[#This Row],[Tech Start Date]],12),IF(Main[[#This Row],[Class]]="A",WORKDAY(Main[[#This Row],[Tech Start Date]],4),""))))</f>
        <v>40630</v>
      </c>
      <c r="O1275" s="104">
        <f>IF(Main[[#This Row],[Tech Start Date]]&lt;1/1/1990,"",IF(Main[[#This Row],[Class]]="C",WORKDAY(Main[[#This Row],[Tech Start Date]],23),IF(Main[[#This Row],[Class]]="B", WORKDAY(Main[[#This Row],[Tech Start Date]],15),IF(Main[[#This Row],[Class]]="A",WORKDAY(Main[[#This Row],[Tech Start Date]],5),""))))</f>
        <v>40633</v>
      </c>
      <c r="P1275" s="104">
        <f>IF(Main[[#This Row],[Tech Start Date]]&lt;1/1/1990,"",IF(Main[[#This Row],[Class]]="C",WORKDAY(Main[[#This Row],[Tech Start Date]],28),IF(Main[[#This Row],[Class]]="B", WORKDAY(Main[[#This Row],[Tech Start Date]],19),IF(Main[[#This Row],[Class]]="A",WORKDAY(Main[[#This Row],[Tech Start Date]],9),""))))</f>
        <v>40639</v>
      </c>
      <c r="Q1275" s="101"/>
      <c r="R1275" s="101">
        <v>40753</v>
      </c>
      <c r="S1275" s="99" t="s">
        <v>11</v>
      </c>
      <c r="T1275" s="107" t="s">
        <v>2053</v>
      </c>
      <c r="U1275" s="99" t="s">
        <v>14</v>
      </c>
      <c r="V1275" s="99" t="s">
        <v>1962</v>
      </c>
      <c r="W1275" s="99" t="s">
        <v>1967</v>
      </c>
    </row>
    <row r="1276" spans="1:23" ht="18.600000000000001" customHeight="1">
      <c r="A1276" s="123" t="str">
        <f>IF(priority(Main[[#This Row],[Comments]])&lt;&gt;0, priority(Main[[#This Row],[Comments]]),"")</f>
        <v/>
      </c>
      <c r="B1276" s="127" t="s">
        <v>1944</v>
      </c>
      <c r="C1276" s="99" t="s">
        <v>972</v>
      </c>
      <c r="D1276" s="100" t="s">
        <v>973</v>
      </c>
      <c r="E1276" s="101"/>
      <c r="F1276" s="101">
        <v>40775</v>
      </c>
      <c r="G1276" s="102" t="str">
        <f>IF(stdProdLT(Main[[#This Row],[Comments]])=0.1,"N/A",IF(stdProdLT(Main[[#This Row],[Comments]])=0,"",stdProdLT(Main[[#This Row],[Comments]])))</f>
        <v/>
      </c>
      <c r="H1276" s="103">
        <f>IF(AND(Main[[#This Row],[In Stock Date]]&lt;&gt;"",Main[[#This Row],[Revised Due Date]]&lt;&gt;""),Main[[#This Row],[In Stock Date]]-Main[[#This Row],[Revised Due Date]],"")</f>
        <v>51</v>
      </c>
      <c r="I1276" s="99" t="s">
        <v>905</v>
      </c>
      <c r="J1276" s="99" t="s">
        <v>28</v>
      </c>
      <c r="K1276" s="99" t="s">
        <v>1974</v>
      </c>
      <c r="L1276" s="101">
        <v>40619</v>
      </c>
      <c r="M1276" s="104" t="str">
        <f>IF(Main[[#This Row],[Tech Start Date]]&lt;1/1/1990,"",IF(Main[[#This Row],[Class]]="C",WORKDAY(Main[[#This Row],[Tech Start Date]],9),IF(Main[[#This Row],[Class]]="B", WORKDAY(Main[[#This Row],[Tech Start Date]],6),IF(Main[[#This Row],[Class]]="A",WORKDAY(Main[[#This Row],[Tech Start Date]],2),""))))</f>
        <v/>
      </c>
      <c r="N1276" s="104" t="str">
        <f>IF(Main[[#This Row],[Tech Start Date]]&lt;1/1/1990,"",IF(Main[[#This Row],[Class]]="C",WORKDAY(Main[[#This Row],[Tech Start Date]],19),IF(Main[[#This Row],[Class]]="B", WORKDAY(Main[[#This Row],[Tech Start Date]],12),IF(Main[[#This Row],[Class]]="A",WORKDAY(Main[[#This Row],[Tech Start Date]],4),""))))</f>
        <v/>
      </c>
      <c r="O1276" s="104" t="str">
        <f>IF(Main[[#This Row],[Tech Start Date]]&lt;1/1/1990,"",IF(Main[[#This Row],[Class]]="C",WORKDAY(Main[[#This Row],[Tech Start Date]],23),IF(Main[[#This Row],[Class]]="B", WORKDAY(Main[[#This Row],[Tech Start Date]],15),IF(Main[[#This Row],[Class]]="A",WORKDAY(Main[[#This Row],[Tech Start Date]],5),""))))</f>
        <v/>
      </c>
      <c r="P1276" s="104" t="str">
        <f>IF(Main[[#This Row],[Tech Start Date]]&lt;1/1/1990,"",IF(Main[[#This Row],[Class]]="C",WORKDAY(Main[[#This Row],[Tech Start Date]],28),IF(Main[[#This Row],[Class]]="B", WORKDAY(Main[[#This Row],[Tech Start Date]],19),IF(Main[[#This Row],[Class]]="A",WORKDAY(Main[[#This Row],[Tech Start Date]],9),""))))</f>
        <v/>
      </c>
      <c r="Q1276" s="101">
        <v>40635</v>
      </c>
      <c r="R1276" s="101">
        <v>40724</v>
      </c>
      <c r="S1276" s="99" t="s">
        <v>11</v>
      </c>
      <c r="T1276" s="107" t="s">
        <v>4</v>
      </c>
      <c r="U1276" s="99" t="s">
        <v>14</v>
      </c>
      <c r="V1276" s="99" t="s">
        <v>1963</v>
      </c>
      <c r="W1276" s="99" t="s">
        <v>1970</v>
      </c>
    </row>
    <row r="1277" spans="1:23" ht="18.600000000000001" customHeight="1">
      <c r="A1277" s="123" t="str">
        <f>IF(priority(Main[[#This Row],[Comments]])&lt;&gt;0, priority(Main[[#This Row],[Comments]]),"")</f>
        <v/>
      </c>
      <c r="B1277" s="127" t="s">
        <v>1933</v>
      </c>
      <c r="C1277" s="99" t="s">
        <v>116</v>
      </c>
      <c r="D1277" s="100" t="s">
        <v>964</v>
      </c>
      <c r="E1277" s="101"/>
      <c r="F1277" s="101">
        <v>40725</v>
      </c>
      <c r="G1277" s="102" t="str">
        <f>IF(stdProdLT(Main[[#This Row],[Comments]])=0.1,"N/A",IF(stdProdLT(Main[[#This Row],[Comments]])=0,"",stdProdLT(Main[[#This Row],[Comments]])))</f>
        <v/>
      </c>
      <c r="H1277" s="103">
        <f>IF(AND(Main[[#This Row],[In Stock Date]]&lt;&gt;"",Main[[#This Row],[Revised Due Date]]&lt;&gt;""),Main[[#This Row],[In Stock Date]]-Main[[#This Row],[Revised Due Date]],"")</f>
        <v>11</v>
      </c>
      <c r="I1277" s="99" t="s">
        <v>173</v>
      </c>
      <c r="J1277" s="99" t="s">
        <v>28</v>
      </c>
      <c r="K1277" s="99" t="s">
        <v>1971</v>
      </c>
      <c r="L1277" s="101">
        <v>40623</v>
      </c>
      <c r="M1277" s="104">
        <f>IF(Main[[#This Row],[Tech Start Date]]&lt;1/1/1990,"",IF(Main[[#This Row],[Class]]="C",WORKDAY(Main[[#This Row],[Tech Start Date]],9),IF(Main[[#This Row],[Class]]="B", WORKDAY(Main[[#This Row],[Tech Start Date]],6),IF(Main[[#This Row],[Class]]="A",WORKDAY(Main[[#This Row],[Tech Start Date]],2),""))))</f>
        <v>40625</v>
      </c>
      <c r="N1277" s="104">
        <f>IF(Main[[#This Row],[Tech Start Date]]&lt;1/1/1990,"",IF(Main[[#This Row],[Class]]="C",WORKDAY(Main[[#This Row],[Tech Start Date]],19),IF(Main[[#This Row],[Class]]="B", WORKDAY(Main[[#This Row],[Tech Start Date]],12),IF(Main[[#This Row],[Class]]="A",WORKDAY(Main[[#This Row],[Tech Start Date]],4),""))))</f>
        <v>40627</v>
      </c>
      <c r="O1277" s="104">
        <f>IF(Main[[#This Row],[Tech Start Date]]&lt;1/1/1990,"",IF(Main[[#This Row],[Class]]="C",WORKDAY(Main[[#This Row],[Tech Start Date]],23),IF(Main[[#This Row],[Class]]="B", WORKDAY(Main[[#This Row],[Tech Start Date]],15),IF(Main[[#This Row],[Class]]="A",WORKDAY(Main[[#This Row],[Tech Start Date]],5),""))))</f>
        <v>40630</v>
      </c>
      <c r="P1277" s="104">
        <f>IF(Main[[#This Row],[Tech Start Date]]&lt;1/1/1990,"",IF(Main[[#This Row],[Class]]="C",WORKDAY(Main[[#This Row],[Tech Start Date]],28),IF(Main[[#This Row],[Class]]="B", WORKDAY(Main[[#This Row],[Tech Start Date]],19),IF(Main[[#This Row],[Class]]="A",WORKDAY(Main[[#This Row],[Tech Start Date]],9),""))))</f>
        <v>40634</v>
      </c>
      <c r="Q1277" s="101">
        <v>40714</v>
      </c>
      <c r="R1277" s="101">
        <v>40714</v>
      </c>
      <c r="S1277" s="99" t="s">
        <v>11</v>
      </c>
      <c r="T1277" s="107" t="s">
        <v>965</v>
      </c>
      <c r="U1277" s="99" t="s">
        <v>14</v>
      </c>
      <c r="V1277" s="99" t="s">
        <v>1965</v>
      </c>
      <c r="W1277" s="99" t="s">
        <v>1967</v>
      </c>
    </row>
    <row r="1278" spans="1:23" ht="18.600000000000001" customHeight="1">
      <c r="A1278" s="123" t="str">
        <f>IF(priority(Main[[#This Row],[Comments]])&lt;&gt;0, priority(Main[[#This Row],[Comments]]),"")</f>
        <v/>
      </c>
      <c r="B1278" s="127" t="s">
        <v>1473</v>
      </c>
      <c r="C1278" s="99" t="s">
        <v>4</v>
      </c>
      <c r="D1278" s="100" t="s">
        <v>520</v>
      </c>
      <c r="E1278" s="101">
        <v>40623.553414351853</v>
      </c>
      <c r="F1278" s="101"/>
      <c r="G1278" s="102" t="str">
        <f>IF(stdProdLT(Main[[#This Row],[Comments]])=0.1,"N/A",IF(stdProdLT(Main[[#This Row],[Comments]])=0,"",stdProdLT(Main[[#This Row],[Comments]])))</f>
        <v/>
      </c>
      <c r="H1278" s="103" t="str">
        <f>IF(AND(Main[[#This Row],[In Stock Date]]&lt;&gt;"",Main[[#This Row],[Revised Due Date]]&lt;&gt;""),Main[[#This Row],[In Stock Date]]-Main[[#This Row],[Revised Due Date]],"")</f>
        <v/>
      </c>
      <c r="I1278" s="99" t="s">
        <v>30</v>
      </c>
      <c r="J1278" s="99" t="s">
        <v>21</v>
      </c>
      <c r="K1278" s="99" t="s">
        <v>1971</v>
      </c>
      <c r="L1278" s="101">
        <v>40623</v>
      </c>
      <c r="M1278" s="104">
        <f>IF(Main[[#This Row],[Tech Start Date]]&lt;1/1/1990,"",IF(Main[[#This Row],[Class]]="C",WORKDAY(Main[[#This Row],[Tech Start Date]],9),IF(Main[[#This Row],[Class]]="B", WORKDAY(Main[[#This Row],[Tech Start Date]],6),IF(Main[[#This Row],[Class]]="A",WORKDAY(Main[[#This Row],[Tech Start Date]],2),""))))</f>
        <v>40625</v>
      </c>
      <c r="N1278" s="104">
        <f>IF(Main[[#This Row],[Tech Start Date]]&lt;1/1/1990,"",IF(Main[[#This Row],[Class]]="C",WORKDAY(Main[[#This Row],[Tech Start Date]],19),IF(Main[[#This Row],[Class]]="B", WORKDAY(Main[[#This Row],[Tech Start Date]],12),IF(Main[[#This Row],[Class]]="A",WORKDAY(Main[[#This Row],[Tech Start Date]],4),""))))</f>
        <v>40627</v>
      </c>
      <c r="O1278" s="104">
        <f>IF(Main[[#This Row],[Tech Start Date]]&lt;1/1/1990,"",IF(Main[[#This Row],[Class]]="C",WORKDAY(Main[[#This Row],[Tech Start Date]],23),IF(Main[[#This Row],[Class]]="B", WORKDAY(Main[[#This Row],[Tech Start Date]],15),IF(Main[[#This Row],[Class]]="A",WORKDAY(Main[[#This Row],[Tech Start Date]],5),""))))</f>
        <v>40630</v>
      </c>
      <c r="P1278" s="104">
        <f>IF(Main[[#This Row],[Tech Start Date]]&lt;1/1/1990,"",IF(Main[[#This Row],[Class]]="C",WORKDAY(Main[[#This Row],[Tech Start Date]],28),IF(Main[[#This Row],[Class]]="B", WORKDAY(Main[[#This Row],[Tech Start Date]],19),IF(Main[[#This Row],[Class]]="A",WORKDAY(Main[[#This Row],[Tech Start Date]],9),""))))</f>
        <v>40634</v>
      </c>
      <c r="Q1278" s="101">
        <v>40662</v>
      </c>
      <c r="R1278" s="101"/>
      <c r="S1278" s="99" t="s">
        <v>6</v>
      </c>
      <c r="T1278" s="107" t="s">
        <v>4</v>
      </c>
      <c r="U1278" s="99" t="s">
        <v>29</v>
      </c>
      <c r="V1278" s="99" t="s">
        <v>1972</v>
      </c>
      <c r="W1278" s="99" t="s">
        <v>1966</v>
      </c>
    </row>
    <row r="1279" spans="1:23" ht="18.600000000000001" customHeight="1">
      <c r="A1279" s="123" t="str">
        <f>IF(priority(Main[[#This Row],[Comments]])&lt;&gt;0, priority(Main[[#This Row],[Comments]]),"")</f>
        <v/>
      </c>
      <c r="B1279" s="127" t="s">
        <v>1917</v>
      </c>
      <c r="C1279" s="99" t="s">
        <v>31</v>
      </c>
      <c r="D1279" s="100" t="s">
        <v>944</v>
      </c>
      <c r="E1279" s="101"/>
      <c r="F1279" s="101">
        <v>40725</v>
      </c>
      <c r="G1279" s="102" t="str">
        <f>IF(stdProdLT(Main[[#This Row],[Comments]])=0.1,"N/A",IF(stdProdLT(Main[[#This Row],[Comments]])=0,"",stdProdLT(Main[[#This Row],[Comments]])))</f>
        <v/>
      </c>
      <c r="H1279" s="103">
        <f>IF(AND(Main[[#This Row],[In Stock Date]]&lt;&gt;"",Main[[#This Row],[Revised Due Date]]&lt;&gt;""),Main[[#This Row],[In Stock Date]]-Main[[#This Row],[Revised Due Date]],"")</f>
        <v>66</v>
      </c>
      <c r="I1279" s="99" t="s">
        <v>173</v>
      </c>
      <c r="J1279" s="99" t="s">
        <v>28</v>
      </c>
      <c r="K1279" s="99" t="s">
        <v>1971</v>
      </c>
      <c r="L1279" s="101">
        <v>40623</v>
      </c>
      <c r="M1279" s="104">
        <f>IF(Main[[#This Row],[Tech Start Date]]&lt;1/1/1990,"",IF(Main[[#This Row],[Class]]="C",WORKDAY(Main[[#This Row],[Tech Start Date]],9),IF(Main[[#This Row],[Class]]="B", WORKDAY(Main[[#This Row],[Tech Start Date]],6),IF(Main[[#This Row],[Class]]="A",WORKDAY(Main[[#This Row],[Tech Start Date]],2),""))))</f>
        <v>40625</v>
      </c>
      <c r="N1279" s="104">
        <f>IF(Main[[#This Row],[Tech Start Date]]&lt;1/1/1990,"",IF(Main[[#This Row],[Class]]="C",WORKDAY(Main[[#This Row],[Tech Start Date]],19),IF(Main[[#This Row],[Class]]="B", WORKDAY(Main[[#This Row],[Tech Start Date]],12),IF(Main[[#This Row],[Class]]="A",WORKDAY(Main[[#This Row],[Tech Start Date]],4),""))))</f>
        <v>40627</v>
      </c>
      <c r="O1279" s="104">
        <f>IF(Main[[#This Row],[Tech Start Date]]&lt;1/1/1990,"",IF(Main[[#This Row],[Class]]="C",WORKDAY(Main[[#This Row],[Tech Start Date]],23),IF(Main[[#This Row],[Class]]="B", WORKDAY(Main[[#This Row],[Tech Start Date]],15),IF(Main[[#This Row],[Class]]="A",WORKDAY(Main[[#This Row],[Tech Start Date]],5),""))))</f>
        <v>40630</v>
      </c>
      <c r="P1279" s="104">
        <f>IF(Main[[#This Row],[Tech Start Date]]&lt;1/1/1990,"",IF(Main[[#This Row],[Class]]="C",WORKDAY(Main[[#This Row],[Tech Start Date]],28),IF(Main[[#This Row],[Class]]="B", WORKDAY(Main[[#This Row],[Tech Start Date]],19),IF(Main[[#This Row],[Class]]="A",WORKDAY(Main[[#This Row],[Tech Start Date]],9),""))))</f>
        <v>40634</v>
      </c>
      <c r="Q1279" s="101">
        <v>40659</v>
      </c>
      <c r="R1279" s="101">
        <v>40659</v>
      </c>
      <c r="S1279" s="99" t="s">
        <v>11</v>
      </c>
      <c r="T1279" s="107" t="s">
        <v>4</v>
      </c>
      <c r="U1279" s="99" t="s">
        <v>14</v>
      </c>
      <c r="V1279" s="99" t="s">
        <v>1965</v>
      </c>
      <c r="W1279" s="99" t="s">
        <v>1968</v>
      </c>
    </row>
    <row r="1280" spans="1:23" ht="18.600000000000001" customHeight="1">
      <c r="A1280" s="123" t="str">
        <f>IF(priority(Main[[#This Row],[Comments]])&lt;&gt;0, priority(Main[[#This Row],[Comments]]),"")</f>
        <v/>
      </c>
      <c r="B1280" s="127" t="s">
        <v>1920</v>
      </c>
      <c r="C1280" s="99" t="s">
        <v>4</v>
      </c>
      <c r="D1280" s="100" t="s">
        <v>946</v>
      </c>
      <c r="E1280" s="101">
        <v>40624.55673611111</v>
      </c>
      <c r="F1280" s="101"/>
      <c r="G1280" s="102" t="str">
        <f>IF(stdProdLT(Main[[#This Row],[Comments]])=0.1,"N/A",IF(stdProdLT(Main[[#This Row],[Comments]])=0,"",stdProdLT(Main[[#This Row],[Comments]])))</f>
        <v/>
      </c>
      <c r="H1280" s="103" t="str">
        <f>IF(AND(Main[[#This Row],[In Stock Date]]&lt;&gt;"",Main[[#This Row],[Revised Due Date]]&lt;&gt;""),Main[[#This Row],[In Stock Date]]-Main[[#This Row],[Revised Due Date]],"")</f>
        <v/>
      </c>
      <c r="I1280" s="99" t="s">
        <v>242</v>
      </c>
      <c r="J1280" s="99" t="s">
        <v>28</v>
      </c>
      <c r="K1280" s="99" t="s">
        <v>1971</v>
      </c>
      <c r="L1280" s="101">
        <v>40638</v>
      </c>
      <c r="M1280" s="104">
        <f>IF(Main[[#This Row],[Tech Start Date]]&lt;1/1/1990,"",IF(Main[[#This Row],[Class]]="C",WORKDAY(Main[[#This Row],[Tech Start Date]],9),IF(Main[[#This Row],[Class]]="B", WORKDAY(Main[[#This Row],[Tech Start Date]],6),IF(Main[[#This Row],[Class]]="A",WORKDAY(Main[[#This Row],[Tech Start Date]],2),""))))</f>
        <v>40640</v>
      </c>
      <c r="N1280" s="104">
        <f>IF(Main[[#This Row],[Tech Start Date]]&lt;1/1/1990,"",IF(Main[[#This Row],[Class]]="C",WORKDAY(Main[[#This Row],[Tech Start Date]],19),IF(Main[[#This Row],[Class]]="B", WORKDAY(Main[[#This Row],[Tech Start Date]],12),IF(Main[[#This Row],[Class]]="A",WORKDAY(Main[[#This Row],[Tech Start Date]],4),""))))</f>
        <v>40644</v>
      </c>
      <c r="O1280" s="104">
        <f>IF(Main[[#This Row],[Tech Start Date]]&lt;1/1/1990,"",IF(Main[[#This Row],[Class]]="C",WORKDAY(Main[[#This Row],[Tech Start Date]],23),IF(Main[[#This Row],[Class]]="B", WORKDAY(Main[[#This Row],[Tech Start Date]],15),IF(Main[[#This Row],[Class]]="A",WORKDAY(Main[[#This Row],[Tech Start Date]],5),""))))</f>
        <v>40645</v>
      </c>
      <c r="P1280" s="104">
        <f>IF(Main[[#This Row],[Tech Start Date]]&lt;1/1/1990,"",IF(Main[[#This Row],[Class]]="C",WORKDAY(Main[[#This Row],[Tech Start Date]],28),IF(Main[[#This Row],[Class]]="B", WORKDAY(Main[[#This Row],[Tech Start Date]],19),IF(Main[[#This Row],[Class]]="A",WORKDAY(Main[[#This Row],[Tech Start Date]],9),""))))</f>
        <v>40651</v>
      </c>
      <c r="Q1280" s="101"/>
      <c r="R1280" s="101">
        <v>40675</v>
      </c>
      <c r="S1280" s="99" t="s">
        <v>6</v>
      </c>
      <c r="T1280" s="107" t="s">
        <v>4</v>
      </c>
      <c r="U1280" s="99" t="s">
        <v>29</v>
      </c>
      <c r="V1280" s="99" t="s">
        <v>1965</v>
      </c>
      <c r="W1280" s="99" t="s">
        <v>1966</v>
      </c>
    </row>
    <row r="1281" spans="1:23" ht="18.600000000000001" customHeight="1">
      <c r="A1281" s="123" t="str">
        <f>IF(priority(Main[[#This Row],[Comments]])&lt;&gt;0, priority(Main[[#This Row],[Comments]]),"")</f>
        <v/>
      </c>
      <c r="B1281" s="127" t="s">
        <v>1915</v>
      </c>
      <c r="C1281" s="99" t="s">
        <v>4</v>
      </c>
      <c r="D1281" s="100" t="s">
        <v>2873</v>
      </c>
      <c r="E1281" s="101">
        <v>40627.819594907407</v>
      </c>
      <c r="F1281" s="101"/>
      <c r="G1281" s="102" t="str">
        <f>IF(stdProdLT(Main[[#This Row],[Comments]])=0.1,"N/A",IF(stdProdLT(Main[[#This Row],[Comments]])=0,"",stdProdLT(Main[[#This Row],[Comments]])))</f>
        <v/>
      </c>
      <c r="H1281" s="103" t="str">
        <f>IF(AND(Main[[#This Row],[In Stock Date]]&lt;&gt;"",Main[[#This Row],[Revised Due Date]]&lt;&gt;""),Main[[#This Row],[In Stock Date]]-Main[[#This Row],[Revised Due Date]],"")</f>
        <v/>
      </c>
      <c r="I1281" s="99" t="s">
        <v>30</v>
      </c>
      <c r="J1281" s="99" t="s">
        <v>75</v>
      </c>
      <c r="K1281" s="99" t="s">
        <v>1971</v>
      </c>
      <c r="L1281" s="101">
        <v>40639</v>
      </c>
      <c r="M1281" s="104">
        <f>IF(Main[[#This Row],[Tech Start Date]]&lt;1/1/1990,"",IF(Main[[#This Row],[Class]]="C",WORKDAY(Main[[#This Row],[Tech Start Date]],9),IF(Main[[#This Row],[Class]]="B", WORKDAY(Main[[#This Row],[Tech Start Date]],6),IF(Main[[#This Row],[Class]]="A",WORKDAY(Main[[#This Row],[Tech Start Date]],2),""))))</f>
        <v>40641</v>
      </c>
      <c r="N1281" s="104">
        <f>IF(Main[[#This Row],[Tech Start Date]]&lt;1/1/1990,"",IF(Main[[#This Row],[Class]]="C",WORKDAY(Main[[#This Row],[Tech Start Date]],19),IF(Main[[#This Row],[Class]]="B", WORKDAY(Main[[#This Row],[Tech Start Date]],12),IF(Main[[#This Row],[Class]]="A",WORKDAY(Main[[#This Row],[Tech Start Date]],4),""))))</f>
        <v>40645</v>
      </c>
      <c r="O1281" s="104">
        <f>IF(Main[[#This Row],[Tech Start Date]]&lt;1/1/1990,"",IF(Main[[#This Row],[Class]]="C",WORKDAY(Main[[#This Row],[Tech Start Date]],23),IF(Main[[#This Row],[Class]]="B", WORKDAY(Main[[#This Row],[Tech Start Date]],15),IF(Main[[#This Row],[Class]]="A",WORKDAY(Main[[#This Row],[Tech Start Date]],5),""))))</f>
        <v>40646</v>
      </c>
      <c r="P1281" s="104">
        <f>IF(Main[[#This Row],[Tech Start Date]]&lt;1/1/1990,"",IF(Main[[#This Row],[Class]]="C",WORKDAY(Main[[#This Row],[Tech Start Date]],28),IF(Main[[#This Row],[Class]]="B", WORKDAY(Main[[#This Row],[Tech Start Date]],19),IF(Main[[#This Row],[Class]]="A",WORKDAY(Main[[#This Row],[Tech Start Date]],9),""))))</f>
        <v>40652</v>
      </c>
      <c r="Q1281" s="101">
        <v>40659</v>
      </c>
      <c r="R1281" s="101">
        <v>40646</v>
      </c>
      <c r="S1281" s="99" t="s">
        <v>6</v>
      </c>
      <c r="T1281" s="107" t="s">
        <v>4</v>
      </c>
      <c r="U1281" s="99" t="s">
        <v>29</v>
      </c>
      <c r="V1281" s="99" t="s">
        <v>1965</v>
      </c>
      <c r="W1281" s="99" t="s">
        <v>1966</v>
      </c>
    </row>
    <row r="1282" spans="1:23" ht="18.600000000000001" customHeight="1">
      <c r="A1282" s="123" t="str">
        <f>IF(priority(Main[[#This Row],[Comments]])&lt;&gt;0, priority(Main[[#This Row],[Comments]]),"")</f>
        <v/>
      </c>
      <c r="B1282" s="127" t="s">
        <v>1923</v>
      </c>
      <c r="C1282" s="99" t="s">
        <v>4</v>
      </c>
      <c r="D1282" s="100" t="s">
        <v>2198</v>
      </c>
      <c r="E1282" s="101"/>
      <c r="F1282" s="101"/>
      <c r="G1282" s="102" t="str">
        <f>IF(stdProdLT(Main[[#This Row],[Comments]])=0.1,"N/A",IF(stdProdLT(Main[[#This Row],[Comments]])=0,"",stdProdLT(Main[[#This Row],[Comments]])))</f>
        <v/>
      </c>
      <c r="H1282" s="103" t="str">
        <f>IF(AND(Main[[#This Row],[In Stock Date]]&lt;&gt;"",Main[[#This Row],[Revised Due Date]]&lt;&gt;""),Main[[#This Row],[In Stock Date]]-Main[[#This Row],[Revised Due Date]],"")</f>
        <v/>
      </c>
      <c r="I1282" s="99" t="s">
        <v>311</v>
      </c>
      <c r="J1282" s="99" t="s">
        <v>75</v>
      </c>
      <c r="K1282" s="99" t="s">
        <v>1971</v>
      </c>
      <c r="L1282" s="101">
        <v>40651</v>
      </c>
      <c r="M1282" s="104">
        <f>IF(Main[[#This Row],[Tech Start Date]]&lt;1/1/1990,"",IF(Main[[#This Row],[Class]]="C",WORKDAY(Main[[#This Row],[Tech Start Date]],9),IF(Main[[#This Row],[Class]]="B", WORKDAY(Main[[#This Row],[Tech Start Date]],6),IF(Main[[#This Row],[Class]]="A",WORKDAY(Main[[#This Row],[Tech Start Date]],2),""))))</f>
        <v>40653</v>
      </c>
      <c r="N1282" s="104">
        <f>IF(Main[[#This Row],[Tech Start Date]]&lt;1/1/1990,"",IF(Main[[#This Row],[Class]]="C",WORKDAY(Main[[#This Row],[Tech Start Date]],19),IF(Main[[#This Row],[Class]]="B", WORKDAY(Main[[#This Row],[Tech Start Date]],12),IF(Main[[#This Row],[Class]]="A",WORKDAY(Main[[#This Row],[Tech Start Date]],4),""))))</f>
        <v>40655</v>
      </c>
      <c r="O1282" s="104">
        <f>IF(Main[[#This Row],[Tech Start Date]]&lt;1/1/1990,"",IF(Main[[#This Row],[Class]]="C",WORKDAY(Main[[#This Row],[Tech Start Date]],23),IF(Main[[#This Row],[Class]]="B", WORKDAY(Main[[#This Row],[Tech Start Date]],15),IF(Main[[#This Row],[Class]]="A",WORKDAY(Main[[#This Row],[Tech Start Date]],5),""))))</f>
        <v>40658</v>
      </c>
      <c r="P1282" s="104">
        <f>IF(Main[[#This Row],[Tech Start Date]]&lt;1/1/1990,"",IF(Main[[#This Row],[Class]]="C",WORKDAY(Main[[#This Row],[Tech Start Date]],28),IF(Main[[#This Row],[Class]]="B", WORKDAY(Main[[#This Row],[Tech Start Date]],19),IF(Main[[#This Row],[Class]]="A",WORKDAY(Main[[#This Row],[Tech Start Date]],9),""))))</f>
        <v>40662</v>
      </c>
      <c r="Q1282" s="101">
        <v>40480</v>
      </c>
      <c r="R1282" s="101">
        <v>40689</v>
      </c>
      <c r="S1282" s="99" t="s">
        <v>6</v>
      </c>
      <c r="T1282" s="107" t="s">
        <v>4</v>
      </c>
      <c r="U1282" s="99" t="s">
        <v>14</v>
      </c>
      <c r="V1282" s="99" t="s">
        <v>1972</v>
      </c>
      <c r="W1282" s="99" t="s">
        <v>1966</v>
      </c>
    </row>
    <row r="1283" spans="1:23" ht="18.600000000000001" customHeight="1">
      <c r="A1283" s="123" t="str">
        <f>IF(priority(Main[[#This Row],[Comments]])&lt;&gt;0, priority(Main[[#This Row],[Comments]]),"")</f>
        <v/>
      </c>
      <c r="B1283" s="127" t="s">
        <v>1922</v>
      </c>
      <c r="C1283" s="99" t="s">
        <v>4</v>
      </c>
      <c r="D1283" s="100" t="s">
        <v>948</v>
      </c>
      <c r="E1283" s="101"/>
      <c r="F1283" s="101"/>
      <c r="G1283" s="102" t="str">
        <f>IF(stdProdLT(Main[[#This Row],[Comments]])=0.1,"N/A",IF(stdProdLT(Main[[#This Row],[Comments]])=0,"",stdProdLT(Main[[#This Row],[Comments]])))</f>
        <v/>
      </c>
      <c r="H1283" s="103" t="str">
        <f>IF(AND(Main[[#This Row],[In Stock Date]]&lt;&gt;"",Main[[#This Row],[Revised Due Date]]&lt;&gt;""),Main[[#This Row],[In Stock Date]]-Main[[#This Row],[Revised Due Date]],"")</f>
        <v/>
      </c>
      <c r="I1283" s="99" t="s">
        <v>44</v>
      </c>
      <c r="J1283" s="99" t="s">
        <v>28</v>
      </c>
      <c r="K1283" s="99" t="s">
        <v>1971</v>
      </c>
      <c r="L1283" s="101">
        <v>40651</v>
      </c>
      <c r="M1283" s="104">
        <f>IF(Main[[#This Row],[Tech Start Date]]&lt;1/1/1990,"",IF(Main[[#This Row],[Class]]="C",WORKDAY(Main[[#This Row],[Tech Start Date]],9),IF(Main[[#This Row],[Class]]="B", WORKDAY(Main[[#This Row],[Tech Start Date]],6),IF(Main[[#This Row],[Class]]="A",WORKDAY(Main[[#This Row],[Tech Start Date]],2),""))))</f>
        <v>40653</v>
      </c>
      <c r="N1283" s="104">
        <f>IF(Main[[#This Row],[Tech Start Date]]&lt;1/1/1990,"",IF(Main[[#This Row],[Class]]="C",WORKDAY(Main[[#This Row],[Tech Start Date]],19),IF(Main[[#This Row],[Class]]="B", WORKDAY(Main[[#This Row],[Tech Start Date]],12),IF(Main[[#This Row],[Class]]="A",WORKDAY(Main[[#This Row],[Tech Start Date]],4),""))))</f>
        <v>40655</v>
      </c>
      <c r="O1283" s="104">
        <f>IF(Main[[#This Row],[Tech Start Date]]&lt;1/1/1990,"",IF(Main[[#This Row],[Class]]="C",WORKDAY(Main[[#This Row],[Tech Start Date]],23),IF(Main[[#This Row],[Class]]="B", WORKDAY(Main[[#This Row],[Tech Start Date]],15),IF(Main[[#This Row],[Class]]="A",WORKDAY(Main[[#This Row],[Tech Start Date]],5),""))))</f>
        <v>40658</v>
      </c>
      <c r="P1283" s="104">
        <f>IF(Main[[#This Row],[Tech Start Date]]&lt;1/1/1990,"",IF(Main[[#This Row],[Class]]="C",WORKDAY(Main[[#This Row],[Tech Start Date]],28),IF(Main[[#This Row],[Class]]="B", WORKDAY(Main[[#This Row],[Tech Start Date]],19),IF(Main[[#This Row],[Class]]="A",WORKDAY(Main[[#This Row],[Tech Start Date]],9),""))))</f>
        <v>40662</v>
      </c>
      <c r="Q1283" s="101">
        <v>40494</v>
      </c>
      <c r="R1283" s="101">
        <v>40689</v>
      </c>
      <c r="S1283" s="99" t="s">
        <v>6</v>
      </c>
      <c r="T1283" s="107" t="s">
        <v>4</v>
      </c>
      <c r="U1283" s="99" t="s">
        <v>14</v>
      </c>
      <c r="V1283" s="99" t="s">
        <v>1965</v>
      </c>
      <c r="W1283" s="99" t="s">
        <v>1966</v>
      </c>
    </row>
    <row r="1284" spans="1:23" ht="18.600000000000001" customHeight="1">
      <c r="A1284" s="123" t="str">
        <f>IF(priority(Main[[#This Row],[Comments]])&lt;&gt;0, priority(Main[[#This Row],[Comments]]),"")</f>
        <v/>
      </c>
      <c r="B1284" s="127" t="s">
        <v>1921</v>
      </c>
      <c r="C1284" s="99" t="s">
        <v>4</v>
      </c>
      <c r="D1284" s="100" t="s">
        <v>947</v>
      </c>
      <c r="E1284" s="101"/>
      <c r="F1284" s="101"/>
      <c r="G1284" s="102" t="str">
        <f>IF(stdProdLT(Main[[#This Row],[Comments]])=0.1,"N/A",IF(stdProdLT(Main[[#This Row],[Comments]])=0,"",stdProdLT(Main[[#This Row],[Comments]])))</f>
        <v/>
      </c>
      <c r="H1284" s="103" t="str">
        <f>IF(AND(Main[[#This Row],[In Stock Date]]&lt;&gt;"",Main[[#This Row],[Revised Due Date]]&lt;&gt;""),Main[[#This Row],[In Stock Date]]-Main[[#This Row],[Revised Due Date]],"")</f>
        <v/>
      </c>
      <c r="I1284" s="99" t="s">
        <v>131</v>
      </c>
      <c r="J1284" s="99" t="s">
        <v>70</v>
      </c>
      <c r="K1284" s="99" t="s">
        <v>1971</v>
      </c>
      <c r="L1284" s="101">
        <v>40658</v>
      </c>
      <c r="M1284" s="104">
        <f>IF(Main[[#This Row],[Tech Start Date]]&lt;1/1/1990,"",IF(Main[[#This Row],[Class]]="C",WORKDAY(Main[[#This Row],[Tech Start Date]],9),IF(Main[[#This Row],[Class]]="B", WORKDAY(Main[[#This Row],[Tech Start Date]],6),IF(Main[[#This Row],[Class]]="A",WORKDAY(Main[[#This Row],[Tech Start Date]],2),""))))</f>
        <v>40660</v>
      </c>
      <c r="N1284" s="104">
        <f>IF(Main[[#This Row],[Tech Start Date]]&lt;1/1/1990,"",IF(Main[[#This Row],[Class]]="C",WORKDAY(Main[[#This Row],[Tech Start Date]],19),IF(Main[[#This Row],[Class]]="B", WORKDAY(Main[[#This Row],[Tech Start Date]],12),IF(Main[[#This Row],[Class]]="A",WORKDAY(Main[[#This Row],[Tech Start Date]],4),""))))</f>
        <v>40662</v>
      </c>
      <c r="O1284" s="104">
        <f>IF(Main[[#This Row],[Tech Start Date]]&lt;1/1/1990,"",IF(Main[[#This Row],[Class]]="C",WORKDAY(Main[[#This Row],[Tech Start Date]],23),IF(Main[[#This Row],[Class]]="B", WORKDAY(Main[[#This Row],[Tech Start Date]],15),IF(Main[[#This Row],[Class]]="A",WORKDAY(Main[[#This Row],[Tech Start Date]],5),""))))</f>
        <v>40665</v>
      </c>
      <c r="P1284" s="104">
        <f>IF(Main[[#This Row],[Tech Start Date]]&lt;1/1/1990,"",IF(Main[[#This Row],[Class]]="C",WORKDAY(Main[[#This Row],[Tech Start Date]],28),IF(Main[[#This Row],[Class]]="B", WORKDAY(Main[[#This Row],[Tech Start Date]],19),IF(Main[[#This Row],[Class]]="A",WORKDAY(Main[[#This Row],[Tech Start Date]],9),""))))</f>
        <v>40669</v>
      </c>
      <c r="Q1284" s="101">
        <v>40665</v>
      </c>
      <c r="R1284" s="101">
        <v>40686</v>
      </c>
      <c r="S1284" s="99" t="s">
        <v>6</v>
      </c>
      <c r="T1284" s="107" t="s">
        <v>4</v>
      </c>
      <c r="U1284" s="99" t="s">
        <v>14</v>
      </c>
      <c r="V1284" s="99" t="s">
        <v>1965</v>
      </c>
      <c r="W1284" s="99" t="s">
        <v>1964</v>
      </c>
    </row>
    <row r="1285" spans="1:23" ht="18.600000000000001" customHeight="1">
      <c r="A1285" s="123" t="str">
        <f>IF(priority(Main[[#This Row],[Comments]])&lt;&gt;0, priority(Main[[#This Row],[Comments]]),"")</f>
        <v/>
      </c>
      <c r="B1285" s="127" t="s">
        <v>1948</v>
      </c>
      <c r="C1285" s="99" t="s">
        <v>4</v>
      </c>
      <c r="D1285" s="100" t="s">
        <v>2874</v>
      </c>
      <c r="E1285" s="101">
        <v>40659.398043981484</v>
      </c>
      <c r="F1285" s="101"/>
      <c r="G1285" s="102" t="str">
        <f>IF(stdProdLT(Main[[#This Row],[Comments]])=0.1,"N/A",IF(stdProdLT(Main[[#This Row],[Comments]])=0,"",stdProdLT(Main[[#This Row],[Comments]])))</f>
        <v/>
      </c>
      <c r="H1285" s="103" t="str">
        <f>IF(AND(Main[[#This Row],[In Stock Date]]&lt;&gt;"",Main[[#This Row],[Revised Due Date]]&lt;&gt;""),Main[[#This Row],[In Stock Date]]-Main[[#This Row],[Revised Due Date]],"")</f>
        <v/>
      </c>
      <c r="I1285" s="99" t="s">
        <v>992</v>
      </c>
      <c r="J1285" s="99" t="s">
        <v>28</v>
      </c>
      <c r="K1285" s="99" t="s">
        <v>1974</v>
      </c>
      <c r="L1285" s="101">
        <v>40665</v>
      </c>
      <c r="M1285" s="104" t="str">
        <f>IF(Main[[#This Row],[Tech Start Date]]&lt;1/1/1990,"",IF(Main[[#This Row],[Class]]="C",WORKDAY(Main[[#This Row],[Tech Start Date]],9),IF(Main[[#This Row],[Class]]="B", WORKDAY(Main[[#This Row],[Tech Start Date]],6),IF(Main[[#This Row],[Class]]="A",WORKDAY(Main[[#This Row],[Tech Start Date]],2),""))))</f>
        <v/>
      </c>
      <c r="N1285" s="104" t="str">
        <f>IF(Main[[#This Row],[Tech Start Date]]&lt;1/1/1990,"",IF(Main[[#This Row],[Class]]="C",WORKDAY(Main[[#This Row],[Tech Start Date]],19),IF(Main[[#This Row],[Class]]="B", WORKDAY(Main[[#This Row],[Tech Start Date]],12),IF(Main[[#This Row],[Class]]="A",WORKDAY(Main[[#This Row],[Tech Start Date]],4),""))))</f>
        <v/>
      </c>
      <c r="O1285" s="104" t="str">
        <f>IF(Main[[#This Row],[Tech Start Date]]&lt;1/1/1990,"",IF(Main[[#This Row],[Class]]="C",WORKDAY(Main[[#This Row],[Tech Start Date]],23),IF(Main[[#This Row],[Class]]="B", WORKDAY(Main[[#This Row],[Tech Start Date]],15),IF(Main[[#This Row],[Class]]="A",WORKDAY(Main[[#This Row],[Tech Start Date]],5),""))))</f>
        <v/>
      </c>
      <c r="P1285" s="104" t="str">
        <f>IF(Main[[#This Row],[Tech Start Date]]&lt;1/1/1990,"",IF(Main[[#This Row],[Class]]="C",WORKDAY(Main[[#This Row],[Tech Start Date]],28),IF(Main[[#This Row],[Class]]="B", WORKDAY(Main[[#This Row],[Tech Start Date]],19),IF(Main[[#This Row],[Class]]="A",WORKDAY(Main[[#This Row],[Tech Start Date]],9),""))))</f>
        <v/>
      </c>
      <c r="Q1285" s="101">
        <v>40877</v>
      </c>
      <c r="R1285" s="101">
        <v>40900</v>
      </c>
      <c r="S1285" s="99" t="s">
        <v>17</v>
      </c>
      <c r="T1285" s="107" t="s">
        <v>2875</v>
      </c>
      <c r="U1285" s="99" t="s">
        <v>29</v>
      </c>
      <c r="V1285" s="99" t="s">
        <v>1962</v>
      </c>
      <c r="W1285" s="99" t="s">
        <v>1966</v>
      </c>
    </row>
    <row r="1286" spans="1:23" ht="18.600000000000001" customHeight="1">
      <c r="A1286" s="123" t="str">
        <f>IF(priority(Main[[#This Row],[Comments]])&lt;&gt;0, priority(Main[[#This Row],[Comments]]),"")</f>
        <v/>
      </c>
      <c r="B1286" s="127" t="s">
        <v>1927</v>
      </c>
      <c r="C1286" s="99" t="s">
        <v>113</v>
      </c>
      <c r="D1286" s="100" t="s">
        <v>2877</v>
      </c>
      <c r="E1286" s="101">
        <v>40596.601666666669</v>
      </c>
      <c r="F1286" s="101">
        <v>40605</v>
      </c>
      <c r="G1286" s="102" t="str">
        <f>IF(stdProdLT(Main[[#This Row],[Comments]])=0.1,"N/A",IF(stdProdLT(Main[[#This Row],[Comments]])=0,"",stdProdLT(Main[[#This Row],[Comments]])))</f>
        <v/>
      </c>
      <c r="H1286" s="103" t="str">
        <f>IF(AND(Main[[#This Row],[In Stock Date]]&lt;&gt;"",Main[[#This Row],[Revised Due Date]]&lt;&gt;""),Main[[#This Row],[In Stock Date]]-Main[[#This Row],[Revised Due Date]],"")</f>
        <v/>
      </c>
      <c r="I1286" s="99" t="s">
        <v>4</v>
      </c>
      <c r="J1286" s="99" t="s">
        <v>52</v>
      </c>
      <c r="K1286" s="99" t="s">
        <v>1975</v>
      </c>
      <c r="L1286" s="101">
        <v>40666</v>
      </c>
      <c r="M1286" s="104">
        <f>IF(Main[[#This Row],[Tech Start Date]]&lt;1/1/1990,"",IF(Main[[#This Row],[Class]]="C",WORKDAY(Main[[#This Row],[Tech Start Date]],9),IF(Main[[#This Row],[Class]]="B", WORKDAY(Main[[#This Row],[Tech Start Date]],6),IF(Main[[#This Row],[Class]]="A",WORKDAY(Main[[#This Row],[Tech Start Date]],2),""))))</f>
        <v>40679</v>
      </c>
      <c r="N1286" s="104">
        <f>IF(Main[[#This Row],[Tech Start Date]]&lt;1/1/1990,"",IF(Main[[#This Row],[Class]]="C",WORKDAY(Main[[#This Row],[Tech Start Date]],19),IF(Main[[#This Row],[Class]]="B", WORKDAY(Main[[#This Row],[Tech Start Date]],12),IF(Main[[#This Row],[Class]]="A",WORKDAY(Main[[#This Row],[Tech Start Date]],4),""))))</f>
        <v>40693</v>
      </c>
      <c r="O1286" s="104">
        <f>IF(Main[[#This Row],[Tech Start Date]]&lt;1/1/1990,"",IF(Main[[#This Row],[Class]]="C",WORKDAY(Main[[#This Row],[Tech Start Date]],23),IF(Main[[#This Row],[Class]]="B", WORKDAY(Main[[#This Row],[Tech Start Date]],15),IF(Main[[#This Row],[Class]]="A",WORKDAY(Main[[#This Row],[Tech Start Date]],5),""))))</f>
        <v>40697</v>
      </c>
      <c r="P1286" s="104">
        <f>IF(Main[[#This Row],[Tech Start Date]]&lt;1/1/1990,"",IF(Main[[#This Row],[Class]]="C",WORKDAY(Main[[#This Row],[Tech Start Date]],28),IF(Main[[#This Row],[Class]]="B", WORKDAY(Main[[#This Row],[Tech Start Date]],19),IF(Main[[#This Row],[Class]]="A",WORKDAY(Main[[#This Row],[Tech Start Date]],9),""))))</f>
        <v>40704</v>
      </c>
      <c r="Q1286" s="101">
        <v>40701</v>
      </c>
      <c r="R1286" s="101"/>
      <c r="S1286" s="99" t="s">
        <v>17</v>
      </c>
      <c r="T1286" s="107" t="s">
        <v>2054</v>
      </c>
      <c r="U1286" s="99" t="s">
        <v>29</v>
      </c>
      <c r="V1286" s="99" t="s">
        <v>1962</v>
      </c>
      <c r="W1286" s="99" t="s">
        <v>1973</v>
      </c>
    </row>
    <row r="1287" spans="1:23" ht="18.600000000000001" customHeight="1">
      <c r="A1287" s="123" t="str">
        <f>IF(priority(Main[[#This Row],[Comments]])&lt;&gt;0, priority(Main[[#This Row],[Comments]]),"")</f>
        <v/>
      </c>
      <c r="B1287" s="127" t="s">
        <v>1928</v>
      </c>
      <c r="C1287" s="99" t="s">
        <v>953</v>
      </c>
      <c r="D1287" s="100" t="s">
        <v>954</v>
      </c>
      <c r="E1287" s="101"/>
      <c r="F1287" s="101">
        <v>40701</v>
      </c>
      <c r="G1287" s="102" t="str">
        <f>IF(stdProdLT(Main[[#This Row],[Comments]])=0.1,"N/A",IF(stdProdLT(Main[[#This Row],[Comments]])=0,"",stdProdLT(Main[[#This Row],[Comments]])))</f>
        <v/>
      </c>
      <c r="H1287" s="103">
        <f>IF(AND(Main[[#This Row],[In Stock Date]]&lt;&gt;"",Main[[#This Row],[Revised Due Date]]&lt;&gt;""),Main[[#This Row],[In Stock Date]]-Main[[#This Row],[Revised Due Date]],"")</f>
        <v>0</v>
      </c>
      <c r="I1287" s="99" t="s">
        <v>955</v>
      </c>
      <c r="J1287" s="99" t="s">
        <v>28</v>
      </c>
      <c r="K1287" s="99" t="s">
        <v>1975</v>
      </c>
      <c r="L1287" s="101">
        <v>40666</v>
      </c>
      <c r="M1287" s="104">
        <f>IF(Main[[#This Row],[Tech Start Date]]&lt;1/1/1990,"",IF(Main[[#This Row],[Class]]="C",WORKDAY(Main[[#This Row],[Tech Start Date]],9),IF(Main[[#This Row],[Class]]="B", WORKDAY(Main[[#This Row],[Tech Start Date]],6),IF(Main[[#This Row],[Class]]="A",WORKDAY(Main[[#This Row],[Tech Start Date]],2),""))))</f>
        <v>40679</v>
      </c>
      <c r="N1287" s="104">
        <f>IF(Main[[#This Row],[Tech Start Date]]&lt;1/1/1990,"",IF(Main[[#This Row],[Class]]="C",WORKDAY(Main[[#This Row],[Tech Start Date]],19),IF(Main[[#This Row],[Class]]="B", WORKDAY(Main[[#This Row],[Tech Start Date]],12),IF(Main[[#This Row],[Class]]="A",WORKDAY(Main[[#This Row],[Tech Start Date]],4),""))))</f>
        <v>40693</v>
      </c>
      <c r="O1287" s="104">
        <f>IF(Main[[#This Row],[Tech Start Date]]&lt;1/1/1990,"",IF(Main[[#This Row],[Class]]="C",WORKDAY(Main[[#This Row],[Tech Start Date]],23),IF(Main[[#This Row],[Class]]="B", WORKDAY(Main[[#This Row],[Tech Start Date]],15),IF(Main[[#This Row],[Class]]="A",WORKDAY(Main[[#This Row],[Tech Start Date]],5),""))))</f>
        <v>40697</v>
      </c>
      <c r="P1287" s="104">
        <f>IF(Main[[#This Row],[Tech Start Date]]&lt;1/1/1990,"",IF(Main[[#This Row],[Class]]="C",WORKDAY(Main[[#This Row],[Tech Start Date]],28),IF(Main[[#This Row],[Class]]="B", WORKDAY(Main[[#This Row],[Tech Start Date]],19),IF(Main[[#This Row],[Class]]="A",WORKDAY(Main[[#This Row],[Tech Start Date]],9),""))))</f>
        <v>40704</v>
      </c>
      <c r="Q1287" s="101">
        <v>40701</v>
      </c>
      <c r="R1287" s="101">
        <v>40701</v>
      </c>
      <c r="S1287" s="99" t="s">
        <v>11</v>
      </c>
      <c r="T1287" s="107" t="s">
        <v>956</v>
      </c>
      <c r="U1287" s="99" t="s">
        <v>14</v>
      </c>
      <c r="V1287" s="99" t="s">
        <v>1962</v>
      </c>
      <c r="W1287" s="99" t="s">
        <v>1967</v>
      </c>
    </row>
    <row r="1288" spans="1:23" ht="18.600000000000001" customHeight="1">
      <c r="A1288" s="123" t="str">
        <f>IF(priority(Main[[#This Row],[Comments]])&lt;&gt;0, priority(Main[[#This Row],[Comments]]),"")</f>
        <v/>
      </c>
      <c r="B1288" s="127" t="s">
        <v>1729</v>
      </c>
      <c r="C1288" s="99" t="s">
        <v>524</v>
      </c>
      <c r="D1288" s="100" t="s">
        <v>757</v>
      </c>
      <c r="E1288" s="101">
        <v>40661.601064814815</v>
      </c>
      <c r="F1288" s="101">
        <v>40862</v>
      </c>
      <c r="G1288" s="102" t="str">
        <f>IF(stdProdLT(Main[[#This Row],[Comments]])=0.1,"N/A",IF(stdProdLT(Main[[#This Row],[Comments]])=0,"",stdProdLT(Main[[#This Row],[Comments]])))</f>
        <v/>
      </c>
      <c r="H1288" s="103">
        <f>IF(AND(Main[[#This Row],[In Stock Date]]&lt;&gt;"",Main[[#This Row],[Revised Due Date]]&lt;&gt;""),Main[[#This Row],[In Stock Date]]-Main[[#This Row],[Revised Due Date]],"")</f>
        <v>1</v>
      </c>
      <c r="I1288" s="99" t="s">
        <v>758</v>
      </c>
      <c r="J1288" s="99" t="s">
        <v>28</v>
      </c>
      <c r="K1288" s="99" t="s">
        <v>1974</v>
      </c>
      <c r="L1288" s="101">
        <v>40668</v>
      </c>
      <c r="M1288" s="104" t="str">
        <f>IF(Main[[#This Row],[Tech Start Date]]&lt;1/1/1990,"",IF(Main[[#This Row],[Class]]="C",WORKDAY(Main[[#This Row],[Tech Start Date]],9),IF(Main[[#This Row],[Class]]="B", WORKDAY(Main[[#This Row],[Tech Start Date]],6),IF(Main[[#This Row],[Class]]="A",WORKDAY(Main[[#This Row],[Tech Start Date]],2),""))))</f>
        <v/>
      </c>
      <c r="N1288" s="104" t="str">
        <f>IF(Main[[#This Row],[Tech Start Date]]&lt;1/1/1990,"",IF(Main[[#This Row],[Class]]="C",WORKDAY(Main[[#This Row],[Tech Start Date]],19),IF(Main[[#This Row],[Class]]="B", WORKDAY(Main[[#This Row],[Tech Start Date]],12),IF(Main[[#This Row],[Class]]="A",WORKDAY(Main[[#This Row],[Tech Start Date]],4),""))))</f>
        <v/>
      </c>
      <c r="O1288" s="104" t="str">
        <f>IF(Main[[#This Row],[Tech Start Date]]&lt;1/1/1990,"",IF(Main[[#This Row],[Class]]="C",WORKDAY(Main[[#This Row],[Tech Start Date]],23),IF(Main[[#This Row],[Class]]="B", WORKDAY(Main[[#This Row],[Tech Start Date]],15),IF(Main[[#This Row],[Class]]="A",WORKDAY(Main[[#This Row],[Tech Start Date]],5),""))))</f>
        <v/>
      </c>
      <c r="P1288" s="104" t="str">
        <f>IF(Main[[#This Row],[Tech Start Date]]&lt;1/1/1990,"",IF(Main[[#This Row],[Class]]="C",WORKDAY(Main[[#This Row],[Tech Start Date]],28),IF(Main[[#This Row],[Class]]="B", WORKDAY(Main[[#This Row],[Tech Start Date]],19),IF(Main[[#This Row],[Class]]="A",WORKDAY(Main[[#This Row],[Tech Start Date]],9),""))))</f>
        <v/>
      </c>
      <c r="Q1288" s="101">
        <v>40739</v>
      </c>
      <c r="R1288" s="101">
        <v>40861</v>
      </c>
      <c r="S1288" s="99" t="s">
        <v>17</v>
      </c>
      <c r="T1288" s="107" t="s">
        <v>4</v>
      </c>
      <c r="U1288" s="99" t="s">
        <v>29</v>
      </c>
      <c r="V1288" s="99" t="s">
        <v>1965</v>
      </c>
      <c r="W1288" s="99" t="s">
        <v>1967</v>
      </c>
    </row>
    <row r="1289" spans="1:23" ht="18.600000000000001" customHeight="1">
      <c r="A1289" s="123" t="str">
        <f>IF(priority(Main[[#This Row],[Comments]])&lt;&gt;0, priority(Main[[#This Row],[Comments]]),"")</f>
        <v/>
      </c>
      <c r="B1289" s="127" t="s">
        <v>1926</v>
      </c>
      <c r="C1289" s="99" t="s">
        <v>4</v>
      </c>
      <c r="D1289" s="100" t="s">
        <v>952</v>
      </c>
      <c r="E1289" s="101"/>
      <c r="F1289" s="101"/>
      <c r="G1289" s="102" t="str">
        <f>IF(stdProdLT(Main[[#This Row],[Comments]])=0.1,"N/A",IF(stdProdLT(Main[[#This Row],[Comments]])=0,"",stdProdLT(Main[[#This Row],[Comments]])))</f>
        <v/>
      </c>
      <c r="H1289" s="103" t="str">
        <f>IF(AND(Main[[#This Row],[In Stock Date]]&lt;&gt;"",Main[[#This Row],[Revised Due Date]]&lt;&gt;""),Main[[#This Row],[In Stock Date]]-Main[[#This Row],[Revised Due Date]],"")</f>
        <v/>
      </c>
      <c r="I1289" s="99" t="s">
        <v>30</v>
      </c>
      <c r="J1289" s="99" t="s">
        <v>28</v>
      </c>
      <c r="K1289" s="99" t="s">
        <v>1971</v>
      </c>
      <c r="L1289" s="101">
        <v>40686</v>
      </c>
      <c r="M1289" s="104">
        <f>IF(Main[[#This Row],[Tech Start Date]]&lt;1/1/1990,"",IF(Main[[#This Row],[Class]]="C",WORKDAY(Main[[#This Row],[Tech Start Date]],9),IF(Main[[#This Row],[Class]]="B", WORKDAY(Main[[#This Row],[Tech Start Date]],6),IF(Main[[#This Row],[Class]]="A",WORKDAY(Main[[#This Row],[Tech Start Date]],2),""))))</f>
        <v>40688</v>
      </c>
      <c r="N1289" s="104">
        <f>IF(Main[[#This Row],[Tech Start Date]]&lt;1/1/1990,"",IF(Main[[#This Row],[Class]]="C",WORKDAY(Main[[#This Row],[Tech Start Date]],19),IF(Main[[#This Row],[Class]]="B", WORKDAY(Main[[#This Row],[Tech Start Date]],12),IF(Main[[#This Row],[Class]]="A",WORKDAY(Main[[#This Row],[Tech Start Date]],4),""))))</f>
        <v>40690</v>
      </c>
      <c r="O1289" s="104">
        <f>IF(Main[[#This Row],[Tech Start Date]]&lt;1/1/1990,"",IF(Main[[#This Row],[Class]]="C",WORKDAY(Main[[#This Row],[Tech Start Date]],23),IF(Main[[#This Row],[Class]]="B", WORKDAY(Main[[#This Row],[Tech Start Date]],15),IF(Main[[#This Row],[Class]]="A",WORKDAY(Main[[#This Row],[Tech Start Date]],5),""))))</f>
        <v>40693</v>
      </c>
      <c r="P1289" s="104">
        <f>IF(Main[[#This Row],[Tech Start Date]]&lt;1/1/1990,"",IF(Main[[#This Row],[Class]]="C",WORKDAY(Main[[#This Row],[Tech Start Date]],28),IF(Main[[#This Row],[Class]]="B", WORKDAY(Main[[#This Row],[Tech Start Date]],19),IF(Main[[#This Row],[Class]]="A",WORKDAY(Main[[#This Row],[Tech Start Date]],9),""))))</f>
        <v>40697</v>
      </c>
      <c r="Q1289" s="101">
        <v>40669</v>
      </c>
      <c r="R1289" s="101">
        <v>40700</v>
      </c>
      <c r="S1289" s="99" t="s">
        <v>6</v>
      </c>
      <c r="T1289" s="107" t="s">
        <v>4</v>
      </c>
      <c r="U1289" s="99" t="s">
        <v>14</v>
      </c>
      <c r="V1289" s="99" t="s">
        <v>1965</v>
      </c>
      <c r="W1289" s="99" t="s">
        <v>1964</v>
      </c>
    </row>
    <row r="1290" spans="1:23" ht="18.600000000000001" customHeight="1">
      <c r="A1290" s="123" t="str">
        <f>IF(priority(Main[[#This Row],[Comments]])&lt;&gt;0, priority(Main[[#This Row],[Comments]]),"")</f>
        <v/>
      </c>
      <c r="B1290" s="127" t="s">
        <v>1246</v>
      </c>
      <c r="C1290" s="99" t="s">
        <v>4</v>
      </c>
      <c r="D1290" s="100" t="s">
        <v>276</v>
      </c>
      <c r="E1290" s="101">
        <v>40683.573206018518</v>
      </c>
      <c r="F1290" s="101"/>
      <c r="G1290" s="102" t="str">
        <f>IF(stdProdLT(Main[[#This Row],[Comments]])=0.1,"N/A",IF(stdProdLT(Main[[#This Row],[Comments]])=0,"",stdProdLT(Main[[#This Row],[Comments]])))</f>
        <v/>
      </c>
      <c r="H1290" s="103" t="str">
        <f>IF(AND(Main[[#This Row],[In Stock Date]]&lt;&gt;"",Main[[#This Row],[Revised Due Date]]&lt;&gt;""),Main[[#This Row],[In Stock Date]]-Main[[#This Row],[Revised Due Date]],"")</f>
        <v/>
      </c>
      <c r="I1290" s="99" t="s">
        <v>277</v>
      </c>
      <c r="J1290" s="99" t="s">
        <v>28</v>
      </c>
      <c r="K1290" s="99" t="s">
        <v>1974</v>
      </c>
      <c r="L1290" s="101">
        <v>40687</v>
      </c>
      <c r="M1290" s="104" t="str">
        <f>IF(Main[[#This Row],[Tech Start Date]]&lt;1/1/1990,"",IF(Main[[#This Row],[Class]]="C",WORKDAY(Main[[#This Row],[Tech Start Date]],9),IF(Main[[#This Row],[Class]]="B", WORKDAY(Main[[#This Row],[Tech Start Date]],6),IF(Main[[#This Row],[Class]]="A",WORKDAY(Main[[#This Row],[Tech Start Date]],2),""))))</f>
        <v/>
      </c>
      <c r="N1290" s="104" t="str">
        <f>IF(Main[[#This Row],[Tech Start Date]]&lt;1/1/1990,"",IF(Main[[#This Row],[Class]]="C",WORKDAY(Main[[#This Row],[Tech Start Date]],19),IF(Main[[#This Row],[Class]]="B", WORKDAY(Main[[#This Row],[Tech Start Date]],12),IF(Main[[#This Row],[Class]]="A",WORKDAY(Main[[#This Row],[Tech Start Date]],4),""))))</f>
        <v/>
      </c>
      <c r="O1290" s="104" t="str">
        <f>IF(Main[[#This Row],[Tech Start Date]]&lt;1/1/1990,"",IF(Main[[#This Row],[Class]]="C",WORKDAY(Main[[#This Row],[Tech Start Date]],23),IF(Main[[#This Row],[Class]]="B", WORKDAY(Main[[#This Row],[Tech Start Date]],15),IF(Main[[#This Row],[Class]]="A",WORKDAY(Main[[#This Row],[Tech Start Date]],5),""))))</f>
        <v/>
      </c>
      <c r="P1290" s="104" t="str">
        <f>IF(Main[[#This Row],[Tech Start Date]]&lt;1/1/1990,"",IF(Main[[#This Row],[Class]]="C",WORKDAY(Main[[#This Row],[Tech Start Date]],28),IF(Main[[#This Row],[Class]]="B", WORKDAY(Main[[#This Row],[Tech Start Date]],19),IF(Main[[#This Row],[Class]]="A",WORKDAY(Main[[#This Row],[Tech Start Date]],9),""))))</f>
        <v/>
      </c>
      <c r="Q1290" s="101">
        <v>41274</v>
      </c>
      <c r="R1290" s="101">
        <v>41241</v>
      </c>
      <c r="S1290" s="99" t="s">
        <v>17</v>
      </c>
      <c r="T1290" s="107" t="s">
        <v>4</v>
      </c>
      <c r="U1290" s="99" t="s">
        <v>29</v>
      </c>
      <c r="V1290" s="99" t="s">
        <v>1965</v>
      </c>
      <c r="W1290" s="99" t="s">
        <v>1967</v>
      </c>
    </row>
    <row r="1291" spans="1:23" ht="18.600000000000001" customHeight="1">
      <c r="A1291" s="123" t="str">
        <f>IF(priority(Main[[#This Row],[Comments]])&lt;&gt;0, priority(Main[[#This Row],[Comments]]),"")</f>
        <v/>
      </c>
      <c r="B1291" s="127" t="s">
        <v>1954</v>
      </c>
      <c r="C1291" s="99" t="s">
        <v>122</v>
      </c>
      <c r="D1291" s="100" t="s">
        <v>2004</v>
      </c>
      <c r="E1291" s="101">
        <v>40703.615451388891</v>
      </c>
      <c r="F1291" s="101">
        <v>40907</v>
      </c>
      <c r="G1291" s="102" t="str">
        <f>IF(stdProdLT(Main[[#This Row],[Comments]])=0.1,"N/A",IF(stdProdLT(Main[[#This Row],[Comments]])=0,"",stdProdLT(Main[[#This Row],[Comments]])))</f>
        <v/>
      </c>
      <c r="H1291" s="103">
        <f>IF(AND(Main[[#This Row],[In Stock Date]]&lt;&gt;"",Main[[#This Row],[Revised Due Date]]&lt;&gt;""),Main[[#This Row],[In Stock Date]]-Main[[#This Row],[Revised Due Date]],"")</f>
        <v>0</v>
      </c>
      <c r="I1291" s="99" t="s">
        <v>979</v>
      </c>
      <c r="J1291" s="99" t="s">
        <v>28</v>
      </c>
      <c r="K1291" s="99" t="s">
        <v>1974</v>
      </c>
      <c r="L1291" s="101">
        <v>40703</v>
      </c>
      <c r="M1291" s="104" t="str">
        <f>IF(Main[[#This Row],[Tech Start Date]]&lt;1/1/1990,"",IF(Main[[#This Row],[Class]]="C",WORKDAY(Main[[#This Row],[Tech Start Date]],9),IF(Main[[#This Row],[Class]]="B", WORKDAY(Main[[#This Row],[Tech Start Date]],6),IF(Main[[#This Row],[Class]]="A",WORKDAY(Main[[#This Row],[Tech Start Date]],2),""))))</f>
        <v/>
      </c>
      <c r="N1291" s="104" t="str">
        <f>IF(Main[[#This Row],[Tech Start Date]]&lt;1/1/1990,"",IF(Main[[#This Row],[Class]]="C",WORKDAY(Main[[#This Row],[Tech Start Date]],19),IF(Main[[#This Row],[Class]]="B", WORKDAY(Main[[#This Row],[Tech Start Date]],12),IF(Main[[#This Row],[Class]]="A",WORKDAY(Main[[#This Row],[Tech Start Date]],4),""))))</f>
        <v/>
      </c>
      <c r="O1291" s="104" t="str">
        <f>IF(Main[[#This Row],[Tech Start Date]]&lt;1/1/1990,"",IF(Main[[#This Row],[Class]]="C",WORKDAY(Main[[#This Row],[Tech Start Date]],23),IF(Main[[#This Row],[Class]]="B", WORKDAY(Main[[#This Row],[Tech Start Date]],15),IF(Main[[#This Row],[Class]]="A",WORKDAY(Main[[#This Row],[Tech Start Date]],5),""))))</f>
        <v/>
      </c>
      <c r="P1291" s="104" t="str">
        <f>IF(Main[[#This Row],[Tech Start Date]]&lt;1/1/1990,"",IF(Main[[#This Row],[Class]]="C",WORKDAY(Main[[#This Row],[Tech Start Date]],28),IF(Main[[#This Row],[Class]]="B", WORKDAY(Main[[#This Row],[Tech Start Date]],19),IF(Main[[#This Row],[Class]]="A",WORKDAY(Main[[#This Row],[Tech Start Date]],9),""))))</f>
        <v/>
      </c>
      <c r="Q1291" s="101">
        <v>40864</v>
      </c>
      <c r="R1291" s="101">
        <v>40907</v>
      </c>
      <c r="S1291" s="99" t="s">
        <v>17</v>
      </c>
      <c r="T1291" s="107" t="s">
        <v>2005</v>
      </c>
      <c r="U1291" s="99" t="s">
        <v>29</v>
      </c>
      <c r="V1291" s="99" t="s">
        <v>1963</v>
      </c>
      <c r="W1291" s="99" t="s">
        <v>1973</v>
      </c>
    </row>
    <row r="1292" spans="1:23" ht="18.600000000000001" customHeight="1">
      <c r="A1292" s="123" t="str">
        <f>IF(priority(Main[[#This Row],[Comments]])&lt;&gt;0, priority(Main[[#This Row],[Comments]]),"")</f>
        <v/>
      </c>
      <c r="B1292" s="127" t="s">
        <v>1937</v>
      </c>
      <c r="C1292" s="99" t="s">
        <v>67</v>
      </c>
      <c r="D1292" s="100" t="s">
        <v>969</v>
      </c>
      <c r="E1292" s="101">
        <v>40701.395416666666</v>
      </c>
      <c r="F1292" s="101">
        <v>40724</v>
      </c>
      <c r="G1292" s="102" t="str">
        <f>IF(stdProdLT(Main[[#This Row],[Comments]])=0.1,"N/A",IF(stdProdLT(Main[[#This Row],[Comments]])=0,"",stdProdLT(Main[[#This Row],[Comments]])))</f>
        <v/>
      </c>
      <c r="H1292" s="103">
        <f>IF(AND(Main[[#This Row],[In Stock Date]]&lt;&gt;"",Main[[#This Row],[Revised Due Date]]&lt;&gt;""),Main[[#This Row],[In Stock Date]]-Main[[#This Row],[Revised Due Date]],"")</f>
        <v>-113</v>
      </c>
      <c r="I1292" s="99" t="s">
        <v>437</v>
      </c>
      <c r="J1292" s="99" t="s">
        <v>28</v>
      </c>
      <c r="K1292" s="108" t="s">
        <v>1969</v>
      </c>
      <c r="L1292" s="101">
        <v>40708</v>
      </c>
      <c r="M1292" s="104">
        <f>IF(Main[[#This Row],[Tech Start Date]]&lt;1/1/1990,"",IF(Main[[#This Row],[Class]]="C",WORKDAY(Main[[#This Row],[Tech Start Date]],9),IF(Main[[#This Row],[Class]]="B", WORKDAY(Main[[#This Row],[Tech Start Date]],6),IF(Main[[#This Row],[Class]]="A",WORKDAY(Main[[#This Row],[Tech Start Date]],2),""))))</f>
        <v>40716</v>
      </c>
      <c r="N1292" s="104">
        <f>IF(Main[[#This Row],[Tech Start Date]]&lt;1/1/1990,"",IF(Main[[#This Row],[Class]]="C",WORKDAY(Main[[#This Row],[Tech Start Date]],19),IF(Main[[#This Row],[Class]]="B", WORKDAY(Main[[#This Row],[Tech Start Date]],12),IF(Main[[#This Row],[Class]]="A",WORKDAY(Main[[#This Row],[Tech Start Date]],4),""))))</f>
        <v>40724</v>
      </c>
      <c r="O1292" s="104">
        <f>IF(Main[[#This Row],[Tech Start Date]]&lt;1/1/1990,"",IF(Main[[#This Row],[Class]]="C",WORKDAY(Main[[#This Row],[Tech Start Date]],23),IF(Main[[#This Row],[Class]]="B", WORKDAY(Main[[#This Row],[Tech Start Date]],15),IF(Main[[#This Row],[Class]]="A",WORKDAY(Main[[#This Row],[Tech Start Date]],5),""))))</f>
        <v>40729</v>
      </c>
      <c r="P1292" s="104">
        <f>IF(Main[[#This Row],[Tech Start Date]]&lt;1/1/1990,"",IF(Main[[#This Row],[Class]]="C",WORKDAY(Main[[#This Row],[Tech Start Date]],28),IF(Main[[#This Row],[Class]]="B", WORKDAY(Main[[#This Row],[Tech Start Date]],19),IF(Main[[#This Row],[Class]]="A",WORKDAY(Main[[#This Row],[Tech Start Date]],9),""))))</f>
        <v>40735</v>
      </c>
      <c r="Q1292" s="101"/>
      <c r="R1292" s="101">
        <v>40837</v>
      </c>
      <c r="S1292" s="99" t="s">
        <v>17</v>
      </c>
      <c r="T1292" s="107" t="s">
        <v>4</v>
      </c>
      <c r="U1292" s="99" t="s">
        <v>29</v>
      </c>
      <c r="V1292" s="99" t="s">
        <v>1965</v>
      </c>
      <c r="W1292" s="99" t="s">
        <v>1970</v>
      </c>
    </row>
    <row r="1293" spans="1:23" ht="18.600000000000001" customHeight="1">
      <c r="A1293" s="123" t="str">
        <f>IF(priority(Main[[#This Row],[Comments]])&lt;&gt;0, priority(Main[[#This Row],[Comments]]),"")</f>
        <v/>
      </c>
      <c r="B1293" s="127" t="s">
        <v>1940</v>
      </c>
      <c r="C1293" s="99" t="s">
        <v>67</v>
      </c>
      <c r="D1293" s="100" t="s">
        <v>971</v>
      </c>
      <c r="E1293" s="101">
        <v>40708.582719907405</v>
      </c>
      <c r="F1293" s="101">
        <v>40724</v>
      </c>
      <c r="G1293" s="102" t="str">
        <f>IF(stdProdLT(Main[[#This Row],[Comments]])=0.1,"N/A",IF(stdProdLT(Main[[#This Row],[Comments]])=0,"",stdProdLT(Main[[#This Row],[Comments]])))</f>
        <v/>
      </c>
      <c r="H1293" s="103">
        <f>IF(AND(Main[[#This Row],[In Stock Date]]&lt;&gt;"",Main[[#This Row],[Revised Due Date]]&lt;&gt;""),Main[[#This Row],[In Stock Date]]-Main[[#This Row],[Revised Due Date]],"")</f>
        <v>-153</v>
      </c>
      <c r="I1293" s="99" t="s">
        <v>437</v>
      </c>
      <c r="J1293" s="99" t="s">
        <v>28</v>
      </c>
      <c r="K1293" s="99" t="s">
        <v>1969</v>
      </c>
      <c r="L1293" s="101">
        <v>40708</v>
      </c>
      <c r="M1293" s="104">
        <f>IF(Main[[#This Row],[Tech Start Date]]&lt;1/1/1990,"",IF(Main[[#This Row],[Class]]="C",WORKDAY(Main[[#This Row],[Tech Start Date]],9),IF(Main[[#This Row],[Class]]="B", WORKDAY(Main[[#This Row],[Tech Start Date]],6),IF(Main[[#This Row],[Class]]="A",WORKDAY(Main[[#This Row],[Tech Start Date]],2),""))))</f>
        <v>40716</v>
      </c>
      <c r="N1293" s="104">
        <f>IF(Main[[#This Row],[Tech Start Date]]&lt;1/1/1990,"",IF(Main[[#This Row],[Class]]="C",WORKDAY(Main[[#This Row],[Tech Start Date]],19),IF(Main[[#This Row],[Class]]="B", WORKDAY(Main[[#This Row],[Tech Start Date]],12),IF(Main[[#This Row],[Class]]="A",WORKDAY(Main[[#This Row],[Tech Start Date]],4),""))))</f>
        <v>40724</v>
      </c>
      <c r="O1293" s="104">
        <f>IF(Main[[#This Row],[Tech Start Date]]&lt;1/1/1990,"",IF(Main[[#This Row],[Class]]="C",WORKDAY(Main[[#This Row],[Tech Start Date]],23),IF(Main[[#This Row],[Class]]="B", WORKDAY(Main[[#This Row],[Tech Start Date]],15),IF(Main[[#This Row],[Class]]="A",WORKDAY(Main[[#This Row],[Tech Start Date]],5),""))))</f>
        <v>40729</v>
      </c>
      <c r="P1293" s="104">
        <f>IF(Main[[#This Row],[Tech Start Date]]&lt;1/1/1990,"",IF(Main[[#This Row],[Class]]="C",WORKDAY(Main[[#This Row],[Tech Start Date]],28),IF(Main[[#This Row],[Class]]="B", WORKDAY(Main[[#This Row],[Tech Start Date]],19),IF(Main[[#This Row],[Class]]="A",WORKDAY(Main[[#This Row],[Tech Start Date]],9),""))))</f>
        <v>40735</v>
      </c>
      <c r="Q1293" s="101"/>
      <c r="R1293" s="101">
        <v>40877</v>
      </c>
      <c r="S1293" s="99" t="s">
        <v>17</v>
      </c>
      <c r="T1293" s="107" t="s">
        <v>4</v>
      </c>
      <c r="U1293" s="99" t="s">
        <v>29</v>
      </c>
      <c r="V1293" s="99" t="s">
        <v>1965</v>
      </c>
      <c r="W1293" s="99" t="s">
        <v>1970</v>
      </c>
    </row>
    <row r="1294" spans="1:23" ht="18.600000000000001" customHeight="1">
      <c r="A1294" s="123" t="str">
        <f>IF(priority(Main[[#This Row],[Comments]])&lt;&gt;0, priority(Main[[#This Row],[Comments]]),"")</f>
        <v/>
      </c>
      <c r="B1294" s="127" t="s">
        <v>1726</v>
      </c>
      <c r="C1294" s="99" t="s">
        <v>754</v>
      </c>
      <c r="D1294" s="100" t="s">
        <v>2023</v>
      </c>
      <c r="E1294" s="101">
        <v>40681.50267361111</v>
      </c>
      <c r="F1294" s="101"/>
      <c r="G1294" s="102" t="str">
        <f>IF(stdProdLT(Main[[#This Row],[Comments]])=0.1,"N/A",IF(stdProdLT(Main[[#This Row],[Comments]])=0,"",stdProdLT(Main[[#This Row],[Comments]])))</f>
        <v/>
      </c>
      <c r="H1294" s="103" t="str">
        <f>IF(AND(Main[[#This Row],[In Stock Date]]&lt;&gt;"",Main[[#This Row],[Revised Due Date]]&lt;&gt;""),Main[[#This Row],[In Stock Date]]-Main[[#This Row],[Revised Due Date]],"")</f>
        <v/>
      </c>
      <c r="I1294" s="99" t="s">
        <v>758</v>
      </c>
      <c r="J1294" s="99" t="s">
        <v>28</v>
      </c>
      <c r="K1294" s="99" t="s">
        <v>1974</v>
      </c>
      <c r="L1294" s="101">
        <v>40742</v>
      </c>
      <c r="M1294" s="104" t="str">
        <f>IF(Main[[#This Row],[Tech Start Date]]&lt;1/1/1990,"",IF(Main[[#This Row],[Class]]="C",WORKDAY(Main[[#This Row],[Tech Start Date]],9),IF(Main[[#This Row],[Class]]="B", WORKDAY(Main[[#This Row],[Tech Start Date]],6),IF(Main[[#This Row],[Class]]="A",WORKDAY(Main[[#This Row],[Tech Start Date]],2),""))))</f>
        <v/>
      </c>
      <c r="N1294" s="104" t="str">
        <f>IF(Main[[#This Row],[Tech Start Date]]&lt;1/1/1990,"",IF(Main[[#This Row],[Class]]="C",WORKDAY(Main[[#This Row],[Tech Start Date]],19),IF(Main[[#This Row],[Class]]="B", WORKDAY(Main[[#This Row],[Tech Start Date]],12),IF(Main[[#This Row],[Class]]="A",WORKDAY(Main[[#This Row],[Tech Start Date]],4),""))))</f>
        <v/>
      </c>
      <c r="O1294" s="104" t="str">
        <f>IF(Main[[#This Row],[Tech Start Date]]&lt;1/1/1990,"",IF(Main[[#This Row],[Class]]="C",WORKDAY(Main[[#This Row],[Tech Start Date]],23),IF(Main[[#This Row],[Class]]="B", WORKDAY(Main[[#This Row],[Tech Start Date]],15),IF(Main[[#This Row],[Class]]="A",WORKDAY(Main[[#This Row],[Tech Start Date]],5),""))))</f>
        <v/>
      </c>
      <c r="P1294" s="104" t="str">
        <f>IF(Main[[#This Row],[Tech Start Date]]&lt;1/1/1990,"",IF(Main[[#This Row],[Class]]="C",WORKDAY(Main[[#This Row],[Tech Start Date]],28),IF(Main[[#This Row],[Class]]="B", WORKDAY(Main[[#This Row],[Tech Start Date]],19),IF(Main[[#This Row],[Class]]="A",WORKDAY(Main[[#This Row],[Tech Start Date]],9),""))))</f>
        <v/>
      </c>
      <c r="Q1294" s="101">
        <v>40939</v>
      </c>
      <c r="R1294" s="101">
        <v>40879</v>
      </c>
      <c r="S1294" s="99" t="s">
        <v>17</v>
      </c>
      <c r="T1294" s="107" t="s">
        <v>4</v>
      </c>
      <c r="U1294" s="99" t="s">
        <v>29</v>
      </c>
      <c r="V1294" s="99" t="s">
        <v>1965</v>
      </c>
      <c r="W1294" s="99" t="s">
        <v>1967</v>
      </c>
    </row>
    <row r="1295" spans="1:23" ht="18.600000000000001" customHeight="1">
      <c r="A1295" s="123" t="str">
        <f>IF(priority(Main[[#This Row],[Comments]])&lt;&gt;0, priority(Main[[#This Row],[Comments]]),"")</f>
        <v/>
      </c>
      <c r="B1295" s="127" t="s">
        <v>2059</v>
      </c>
      <c r="C1295" s="99" t="s">
        <v>2060</v>
      </c>
      <c r="D1295" s="100" t="s">
        <v>2075</v>
      </c>
      <c r="E1295" s="101">
        <v>40737.577511574076</v>
      </c>
      <c r="F1295" s="101"/>
      <c r="G1295" s="102" t="str">
        <f>IF(stdProdLT(Main[[#This Row],[Comments]])=0.1,"N/A",IF(stdProdLT(Main[[#This Row],[Comments]])=0,"",stdProdLT(Main[[#This Row],[Comments]])))</f>
        <v/>
      </c>
      <c r="H1295" s="103" t="str">
        <f>IF(AND(Main[[#This Row],[In Stock Date]]&lt;&gt;"",Main[[#This Row],[Revised Due Date]]&lt;&gt;""),Main[[#This Row],[In Stock Date]]-Main[[#This Row],[Revised Due Date]],"")</f>
        <v/>
      </c>
      <c r="I1295" s="99" t="s">
        <v>4</v>
      </c>
      <c r="J1295" s="99" t="s">
        <v>28</v>
      </c>
      <c r="K1295" s="99" t="s">
        <v>1974</v>
      </c>
      <c r="L1295" s="101">
        <v>40742</v>
      </c>
      <c r="M1295" s="104" t="str">
        <f>IF(Main[[#This Row],[Tech Start Date]]&lt;1/1/1990,"",IF(Main[[#This Row],[Class]]="C",WORKDAY(Main[[#This Row],[Tech Start Date]],9),IF(Main[[#This Row],[Class]]="B", WORKDAY(Main[[#This Row],[Tech Start Date]],6),IF(Main[[#This Row],[Class]]="A",WORKDAY(Main[[#This Row],[Tech Start Date]],2),""))))</f>
        <v/>
      </c>
      <c r="N1295" s="104" t="str">
        <f>IF(Main[[#This Row],[Tech Start Date]]&lt;1/1/1990,"",IF(Main[[#This Row],[Class]]="C",WORKDAY(Main[[#This Row],[Tech Start Date]],19),IF(Main[[#This Row],[Class]]="B", WORKDAY(Main[[#This Row],[Tech Start Date]],12),IF(Main[[#This Row],[Class]]="A",WORKDAY(Main[[#This Row],[Tech Start Date]],4),""))))</f>
        <v/>
      </c>
      <c r="O1295" s="104" t="str">
        <f>IF(Main[[#This Row],[Tech Start Date]]&lt;1/1/1990,"",IF(Main[[#This Row],[Class]]="C",WORKDAY(Main[[#This Row],[Tech Start Date]],23),IF(Main[[#This Row],[Class]]="B", WORKDAY(Main[[#This Row],[Tech Start Date]],15),IF(Main[[#This Row],[Class]]="A",WORKDAY(Main[[#This Row],[Tech Start Date]],5),""))))</f>
        <v/>
      </c>
      <c r="P1295" s="104" t="str">
        <f>IF(Main[[#This Row],[Tech Start Date]]&lt;1/1/1990,"",IF(Main[[#This Row],[Class]]="C",WORKDAY(Main[[#This Row],[Tech Start Date]],28),IF(Main[[#This Row],[Class]]="B", WORKDAY(Main[[#This Row],[Tech Start Date]],19),IF(Main[[#This Row],[Class]]="A",WORKDAY(Main[[#This Row],[Tech Start Date]],9),""))))</f>
        <v/>
      </c>
      <c r="Q1295" s="101"/>
      <c r="R1295" s="101"/>
      <c r="S1295" s="99" t="s">
        <v>17</v>
      </c>
      <c r="T1295" s="107" t="s">
        <v>4</v>
      </c>
      <c r="U1295" s="99" t="s">
        <v>29</v>
      </c>
      <c r="V1295" s="99" t="s">
        <v>1962</v>
      </c>
      <c r="W1295" s="99" t="s">
        <v>1970</v>
      </c>
    </row>
    <row r="1296" spans="1:23" ht="18.600000000000001" customHeight="1">
      <c r="A1296" s="123" t="str">
        <f>IF(priority(Main[[#This Row],[Comments]])&lt;&gt;0, priority(Main[[#This Row],[Comments]]),"")</f>
        <v/>
      </c>
      <c r="B1296" s="127" t="s">
        <v>2095</v>
      </c>
      <c r="C1296" s="99" t="s">
        <v>116</v>
      </c>
      <c r="D1296" s="100" t="s">
        <v>2322</v>
      </c>
      <c r="E1296" s="101">
        <v>40751.429224537038</v>
      </c>
      <c r="F1296" s="101"/>
      <c r="G1296" s="102" t="str">
        <f>IF(stdProdLT(Main[[#This Row],[Comments]])=0.1,"N/A",IF(stdProdLT(Main[[#This Row],[Comments]])=0,"",stdProdLT(Main[[#This Row],[Comments]])))</f>
        <v/>
      </c>
      <c r="H1296" s="103" t="str">
        <f>IF(AND(Main[[#This Row],[In Stock Date]]&lt;&gt;"",Main[[#This Row],[Revised Due Date]]&lt;&gt;""),Main[[#This Row],[In Stock Date]]-Main[[#This Row],[Revised Due Date]],"")</f>
        <v/>
      </c>
      <c r="I1296" s="99" t="s">
        <v>2099</v>
      </c>
      <c r="J1296" s="99" t="s">
        <v>28</v>
      </c>
      <c r="K1296" s="99" t="s">
        <v>1974</v>
      </c>
      <c r="L1296" s="101">
        <v>40742</v>
      </c>
      <c r="M1296" s="104" t="str">
        <f>IF(Main[[#This Row],[Tech Start Date]]&lt;1/1/1990,"",IF(Main[[#This Row],[Class]]="C",WORKDAY(Main[[#This Row],[Tech Start Date]],9),IF(Main[[#This Row],[Class]]="B", WORKDAY(Main[[#This Row],[Tech Start Date]],6),IF(Main[[#This Row],[Class]]="A",WORKDAY(Main[[#This Row],[Tech Start Date]],2),""))))</f>
        <v/>
      </c>
      <c r="N1296" s="104" t="str">
        <f>IF(Main[[#This Row],[Tech Start Date]]&lt;1/1/1990,"",IF(Main[[#This Row],[Class]]="C",WORKDAY(Main[[#This Row],[Tech Start Date]],19),IF(Main[[#This Row],[Class]]="B", WORKDAY(Main[[#This Row],[Tech Start Date]],12),IF(Main[[#This Row],[Class]]="A",WORKDAY(Main[[#This Row],[Tech Start Date]],4),""))))</f>
        <v/>
      </c>
      <c r="O1296" s="104" t="str">
        <f>IF(Main[[#This Row],[Tech Start Date]]&lt;1/1/1990,"",IF(Main[[#This Row],[Class]]="C",WORKDAY(Main[[#This Row],[Tech Start Date]],23),IF(Main[[#This Row],[Class]]="B", WORKDAY(Main[[#This Row],[Tech Start Date]],15),IF(Main[[#This Row],[Class]]="A",WORKDAY(Main[[#This Row],[Tech Start Date]],5),""))))</f>
        <v/>
      </c>
      <c r="P1296" s="104" t="str">
        <f>IF(Main[[#This Row],[Tech Start Date]]&lt;1/1/1990,"",IF(Main[[#This Row],[Class]]="C",WORKDAY(Main[[#This Row],[Tech Start Date]],28),IF(Main[[#This Row],[Class]]="B", WORKDAY(Main[[#This Row],[Tech Start Date]],19),IF(Main[[#This Row],[Class]]="A",WORKDAY(Main[[#This Row],[Tech Start Date]],9),""))))</f>
        <v/>
      </c>
      <c r="Q1296" s="101"/>
      <c r="R1296" s="101">
        <v>40868</v>
      </c>
      <c r="S1296" s="99" t="s">
        <v>17</v>
      </c>
      <c r="T1296" s="107" t="s">
        <v>4</v>
      </c>
      <c r="U1296" s="99" t="s">
        <v>29</v>
      </c>
      <c r="V1296" s="99" t="s">
        <v>1965</v>
      </c>
      <c r="W1296" s="99" t="s">
        <v>1967</v>
      </c>
    </row>
    <row r="1297" spans="1:23" ht="18.600000000000001" customHeight="1">
      <c r="A1297" s="123" t="str">
        <f>IF(priority(Main[[#This Row],[Comments]])&lt;&gt;0, priority(Main[[#This Row],[Comments]]),"")</f>
        <v/>
      </c>
      <c r="B1297" s="127" t="s">
        <v>1059</v>
      </c>
      <c r="C1297" s="99" t="s">
        <v>46</v>
      </c>
      <c r="D1297" s="100" t="s">
        <v>2201</v>
      </c>
      <c r="E1297" s="101">
        <v>40549.665949074071</v>
      </c>
      <c r="F1297" s="101">
        <v>40603</v>
      </c>
      <c r="G1297" s="102" t="str">
        <f>IF(stdProdLT(Main[[#This Row],[Comments]])=0.1,"N/A",IF(stdProdLT(Main[[#This Row],[Comments]])=0,"",stdProdLT(Main[[#This Row],[Comments]])))</f>
        <v/>
      </c>
      <c r="H1297" s="103" t="str">
        <f>IF(AND(Main[[#This Row],[In Stock Date]]&lt;&gt;"",Main[[#This Row],[Revised Due Date]]&lt;&gt;""),Main[[#This Row],[In Stock Date]]-Main[[#This Row],[Revised Due Date]],"")</f>
        <v/>
      </c>
      <c r="I1297" s="99" t="s">
        <v>173</v>
      </c>
      <c r="J1297" s="99" t="s">
        <v>70</v>
      </c>
      <c r="K1297" s="99" t="s">
        <v>1974</v>
      </c>
      <c r="L1297" s="101">
        <v>40751</v>
      </c>
      <c r="M1297" s="104" t="str">
        <f>IF(Main[[#This Row],[Tech Start Date]]&lt;1/1/1990,"",IF(Main[[#This Row],[Class]]="C",WORKDAY(Main[[#This Row],[Tech Start Date]],9),IF(Main[[#This Row],[Class]]="B", WORKDAY(Main[[#This Row],[Tech Start Date]],6),IF(Main[[#This Row],[Class]]="A",WORKDAY(Main[[#This Row],[Tech Start Date]],2),""))))</f>
        <v/>
      </c>
      <c r="N1297" s="104" t="str">
        <f>IF(Main[[#This Row],[Tech Start Date]]&lt;1/1/1990,"",IF(Main[[#This Row],[Class]]="C",WORKDAY(Main[[#This Row],[Tech Start Date]],19),IF(Main[[#This Row],[Class]]="B", WORKDAY(Main[[#This Row],[Tech Start Date]],12),IF(Main[[#This Row],[Class]]="A",WORKDAY(Main[[#This Row],[Tech Start Date]],4),""))))</f>
        <v/>
      </c>
      <c r="O1297" s="104" t="str">
        <f>IF(Main[[#This Row],[Tech Start Date]]&lt;1/1/1990,"",IF(Main[[#This Row],[Class]]="C",WORKDAY(Main[[#This Row],[Tech Start Date]],23),IF(Main[[#This Row],[Class]]="B", WORKDAY(Main[[#This Row],[Tech Start Date]],15),IF(Main[[#This Row],[Class]]="A",WORKDAY(Main[[#This Row],[Tech Start Date]],5),""))))</f>
        <v/>
      </c>
      <c r="P1297" s="104" t="str">
        <f>IF(Main[[#This Row],[Tech Start Date]]&lt;1/1/1990,"",IF(Main[[#This Row],[Class]]="C",WORKDAY(Main[[#This Row],[Tech Start Date]],28),IF(Main[[#This Row],[Class]]="B", WORKDAY(Main[[#This Row],[Tech Start Date]],19),IF(Main[[#This Row],[Class]]="A",WORKDAY(Main[[#This Row],[Tech Start Date]],9),""))))</f>
        <v/>
      </c>
      <c r="Q1297" s="101">
        <v>40603</v>
      </c>
      <c r="R1297" s="101"/>
      <c r="S1297" s="99" t="s">
        <v>17</v>
      </c>
      <c r="T1297" s="107" t="s">
        <v>4</v>
      </c>
      <c r="U1297" s="99" t="s">
        <v>29</v>
      </c>
      <c r="V1297" s="99" t="s">
        <v>1965</v>
      </c>
      <c r="W1297" s="99" t="s">
        <v>1967</v>
      </c>
    </row>
    <row r="1298" spans="1:23" ht="18.600000000000001" customHeight="1">
      <c r="A1298" s="123" t="str">
        <f>IF(priority(Main[[#This Row],[Comments]])&lt;&gt;0, priority(Main[[#This Row],[Comments]]),"")</f>
        <v/>
      </c>
      <c r="B1298" s="127" t="s">
        <v>2105</v>
      </c>
      <c r="C1298" s="99" t="s">
        <v>4</v>
      </c>
      <c r="D1298" s="100" t="s">
        <v>2113</v>
      </c>
      <c r="E1298" s="101"/>
      <c r="F1298" s="101"/>
      <c r="G1298" s="102" t="str">
        <f>IF(stdProdLT(Main[[#This Row],[Comments]])=0.1,"N/A",IF(stdProdLT(Main[[#This Row],[Comments]])=0,"",stdProdLT(Main[[#This Row],[Comments]])))</f>
        <v/>
      </c>
      <c r="H1298" s="103" t="str">
        <f>IF(AND(Main[[#This Row],[In Stock Date]]&lt;&gt;"",Main[[#This Row],[Revised Due Date]]&lt;&gt;""),Main[[#This Row],[In Stock Date]]-Main[[#This Row],[Revised Due Date]],"")</f>
        <v/>
      </c>
      <c r="I1298" s="99" t="s">
        <v>905</v>
      </c>
      <c r="J1298" s="99" t="s">
        <v>28</v>
      </c>
      <c r="K1298" s="99" t="s">
        <v>1971</v>
      </c>
      <c r="L1298" s="101">
        <v>40752</v>
      </c>
      <c r="M1298" s="104">
        <f>IF(Main[[#This Row],[Tech Start Date]]&lt;1/1/1990,"",IF(Main[[#This Row],[Class]]="C",WORKDAY(Main[[#This Row],[Tech Start Date]],9),IF(Main[[#This Row],[Class]]="B", WORKDAY(Main[[#This Row],[Tech Start Date]],6),IF(Main[[#This Row],[Class]]="A",WORKDAY(Main[[#This Row],[Tech Start Date]],2),""))))</f>
        <v>40756</v>
      </c>
      <c r="N1298" s="104">
        <f>IF(Main[[#This Row],[Tech Start Date]]&lt;1/1/1990,"",IF(Main[[#This Row],[Class]]="C",WORKDAY(Main[[#This Row],[Tech Start Date]],19),IF(Main[[#This Row],[Class]]="B", WORKDAY(Main[[#This Row],[Tech Start Date]],12),IF(Main[[#This Row],[Class]]="A",WORKDAY(Main[[#This Row],[Tech Start Date]],4),""))))</f>
        <v>40758</v>
      </c>
      <c r="O1298" s="104">
        <f>IF(Main[[#This Row],[Tech Start Date]]&lt;1/1/1990,"",IF(Main[[#This Row],[Class]]="C",WORKDAY(Main[[#This Row],[Tech Start Date]],23),IF(Main[[#This Row],[Class]]="B", WORKDAY(Main[[#This Row],[Tech Start Date]],15),IF(Main[[#This Row],[Class]]="A",WORKDAY(Main[[#This Row],[Tech Start Date]],5),""))))</f>
        <v>40759</v>
      </c>
      <c r="P1298" s="104">
        <f>IF(Main[[#This Row],[Tech Start Date]]&lt;1/1/1990,"",IF(Main[[#This Row],[Class]]="C",WORKDAY(Main[[#This Row],[Tech Start Date]],28),IF(Main[[#This Row],[Class]]="B", WORKDAY(Main[[#This Row],[Tech Start Date]],19),IF(Main[[#This Row],[Class]]="A",WORKDAY(Main[[#This Row],[Tech Start Date]],9),""))))</f>
        <v>40765</v>
      </c>
      <c r="Q1298" s="101">
        <v>40758</v>
      </c>
      <c r="R1298" s="101">
        <v>40786</v>
      </c>
      <c r="S1298" s="99" t="s">
        <v>6</v>
      </c>
      <c r="T1298" s="107" t="s">
        <v>4</v>
      </c>
      <c r="U1298" s="99" t="s">
        <v>14</v>
      </c>
      <c r="V1298" s="99" t="s">
        <v>1962</v>
      </c>
      <c r="W1298" s="99" t="s">
        <v>1966</v>
      </c>
    </row>
    <row r="1299" spans="1:23" ht="18.600000000000001" customHeight="1">
      <c r="A1299" s="123" t="str">
        <f>IF(priority(Main[[#This Row],[Comments]])&lt;&gt;0, priority(Main[[#This Row],[Comments]]),"")</f>
        <v/>
      </c>
      <c r="B1299" s="127" t="s">
        <v>1945</v>
      </c>
      <c r="C1299" s="99" t="s">
        <v>72</v>
      </c>
      <c r="D1299" s="100" t="s">
        <v>2202</v>
      </c>
      <c r="E1299" s="101">
        <v>40470.014479166668</v>
      </c>
      <c r="F1299" s="101">
        <v>40487</v>
      </c>
      <c r="G1299" s="102">
        <f>IF(stdProdLT(Main[[#This Row],[Comments]])=0.1,"N/A",IF(stdProdLT(Main[[#This Row],[Comments]])=0,"",stdProdLT(Main[[#This Row],[Comments]])))</f>
        <v>42</v>
      </c>
      <c r="H1299" s="103">
        <f>IF(AND(Main[[#This Row],[In Stock Date]]&lt;&gt;"",Main[[#This Row],[Revised Due Date]]&lt;&gt;""),Main[[#This Row],[In Stock Date]]-Main[[#This Row],[Revised Due Date]],"")</f>
        <v>-294</v>
      </c>
      <c r="I1299" s="99" t="s">
        <v>2112</v>
      </c>
      <c r="J1299" s="99" t="s">
        <v>52</v>
      </c>
      <c r="K1299" s="99" t="s">
        <v>1969</v>
      </c>
      <c r="L1299" s="101">
        <v>40756</v>
      </c>
      <c r="M1299" s="104">
        <f>IF(Main[[#This Row],[Tech Start Date]]&lt;1/1/1990,"",IF(Main[[#This Row],[Class]]="C",WORKDAY(Main[[#This Row],[Tech Start Date]],9),IF(Main[[#This Row],[Class]]="B", WORKDAY(Main[[#This Row],[Tech Start Date]],6),IF(Main[[#This Row],[Class]]="A",WORKDAY(Main[[#This Row],[Tech Start Date]],2),""))))</f>
        <v>40764</v>
      </c>
      <c r="N1299" s="104">
        <f>IF(Main[[#This Row],[Tech Start Date]]&lt;1/1/1990,"",IF(Main[[#This Row],[Class]]="C",WORKDAY(Main[[#This Row],[Tech Start Date]],19),IF(Main[[#This Row],[Class]]="B", WORKDAY(Main[[#This Row],[Tech Start Date]],12),IF(Main[[#This Row],[Class]]="A",WORKDAY(Main[[#This Row],[Tech Start Date]],4),""))))</f>
        <v>40772</v>
      </c>
      <c r="O1299" s="104">
        <f>IF(Main[[#This Row],[Tech Start Date]]&lt;1/1/1990,"",IF(Main[[#This Row],[Class]]="C",WORKDAY(Main[[#This Row],[Tech Start Date]],23),IF(Main[[#This Row],[Class]]="B", WORKDAY(Main[[#This Row],[Tech Start Date]],15),IF(Main[[#This Row],[Class]]="A",WORKDAY(Main[[#This Row],[Tech Start Date]],5),""))))</f>
        <v>40777</v>
      </c>
      <c r="P1299" s="104">
        <f>IF(Main[[#This Row],[Tech Start Date]]&lt;1/1/1990,"",IF(Main[[#This Row],[Class]]="C",WORKDAY(Main[[#This Row],[Tech Start Date]],28),IF(Main[[#This Row],[Class]]="B", WORKDAY(Main[[#This Row],[Tech Start Date]],19),IF(Main[[#This Row],[Class]]="A",WORKDAY(Main[[#This Row],[Tech Start Date]],9),""))))</f>
        <v>40781</v>
      </c>
      <c r="Q1299" s="101"/>
      <c r="R1299" s="101">
        <v>40781</v>
      </c>
      <c r="S1299" s="99" t="s">
        <v>6</v>
      </c>
      <c r="T1299" s="107" t="s">
        <v>2203</v>
      </c>
      <c r="U1299" s="99" t="s">
        <v>29</v>
      </c>
      <c r="V1299" s="99" t="s">
        <v>1963</v>
      </c>
      <c r="W1299" s="99" t="s">
        <v>1964</v>
      </c>
    </row>
    <row r="1300" spans="1:23" ht="18.600000000000001" customHeight="1">
      <c r="A1300" s="123" t="str">
        <f>IF(priority(Main[[#This Row],[Comments]])&lt;&gt;0, priority(Main[[#This Row],[Comments]]),"")</f>
        <v/>
      </c>
      <c r="B1300" s="127" t="s">
        <v>1335</v>
      </c>
      <c r="C1300" s="99" t="s">
        <v>379</v>
      </c>
      <c r="D1300" s="100" t="s">
        <v>2337</v>
      </c>
      <c r="E1300" s="101">
        <v>40711.60083333333</v>
      </c>
      <c r="F1300" s="101">
        <v>40877</v>
      </c>
      <c r="G1300" s="102" t="str">
        <f>IF(stdProdLT(Main[[#This Row],[Comments]])=0.1,"N/A",IF(stdProdLT(Main[[#This Row],[Comments]])=0,"",stdProdLT(Main[[#This Row],[Comments]])))</f>
        <v/>
      </c>
      <c r="H1300" s="103">
        <f>IF(AND(Main[[#This Row],[In Stock Date]]&lt;&gt;"",Main[[#This Row],[Revised Due Date]]&lt;&gt;""),Main[[#This Row],[In Stock Date]]-Main[[#This Row],[Revised Due Date]],"")</f>
        <v>0</v>
      </c>
      <c r="I1300" s="99" t="s">
        <v>2102</v>
      </c>
      <c r="J1300" s="99" t="s">
        <v>28</v>
      </c>
      <c r="K1300" s="99" t="s">
        <v>1974</v>
      </c>
      <c r="L1300" s="101">
        <v>40767</v>
      </c>
      <c r="M1300" s="104" t="str">
        <f>IF(Main[[#This Row],[Tech Start Date]]&lt;1/1/1990,"",IF(Main[[#This Row],[Class]]="C",WORKDAY(Main[[#This Row],[Tech Start Date]],9),IF(Main[[#This Row],[Class]]="B", WORKDAY(Main[[#This Row],[Tech Start Date]],6),IF(Main[[#This Row],[Class]]="A",WORKDAY(Main[[#This Row],[Tech Start Date]],2),""))))</f>
        <v/>
      </c>
      <c r="N1300" s="104" t="str">
        <f>IF(Main[[#This Row],[Tech Start Date]]&lt;1/1/1990,"",IF(Main[[#This Row],[Class]]="C",WORKDAY(Main[[#This Row],[Tech Start Date]],19),IF(Main[[#This Row],[Class]]="B", WORKDAY(Main[[#This Row],[Tech Start Date]],12),IF(Main[[#This Row],[Class]]="A",WORKDAY(Main[[#This Row],[Tech Start Date]],4),""))))</f>
        <v/>
      </c>
      <c r="O1300" s="104" t="str">
        <f>IF(Main[[#This Row],[Tech Start Date]]&lt;1/1/1990,"",IF(Main[[#This Row],[Class]]="C",WORKDAY(Main[[#This Row],[Tech Start Date]],23),IF(Main[[#This Row],[Class]]="B", WORKDAY(Main[[#This Row],[Tech Start Date]],15),IF(Main[[#This Row],[Class]]="A",WORKDAY(Main[[#This Row],[Tech Start Date]],5),""))))</f>
        <v/>
      </c>
      <c r="P1300" s="104" t="str">
        <f>IF(Main[[#This Row],[Tech Start Date]]&lt;1/1/1990,"",IF(Main[[#This Row],[Class]]="C",WORKDAY(Main[[#This Row],[Tech Start Date]],28),IF(Main[[#This Row],[Class]]="B", WORKDAY(Main[[#This Row],[Tech Start Date]],19),IF(Main[[#This Row],[Class]]="A",WORKDAY(Main[[#This Row],[Tech Start Date]],9),""))))</f>
        <v/>
      </c>
      <c r="Q1300" s="101">
        <v>40877</v>
      </c>
      <c r="R1300" s="101">
        <v>40877</v>
      </c>
      <c r="S1300" s="99" t="s">
        <v>17</v>
      </c>
      <c r="T1300" s="107" t="s">
        <v>4</v>
      </c>
      <c r="U1300" s="99" t="s">
        <v>29</v>
      </c>
      <c r="V1300" s="99" t="s">
        <v>1965</v>
      </c>
      <c r="W1300" s="99" t="s">
        <v>1970</v>
      </c>
    </row>
    <row r="1301" spans="1:23" ht="18.600000000000001" customHeight="1">
      <c r="A1301" s="123" t="str">
        <f>IF(priority(Main[[#This Row],[Comments]])&lt;&gt;0, priority(Main[[#This Row],[Comments]]),"")</f>
        <v/>
      </c>
      <c r="B1301" s="127" t="s">
        <v>2207</v>
      </c>
      <c r="C1301" s="99" t="s">
        <v>4</v>
      </c>
      <c r="D1301" s="100" t="s">
        <v>2891</v>
      </c>
      <c r="E1301" s="101">
        <v>40772.447592592594</v>
      </c>
      <c r="F1301" s="101"/>
      <c r="G1301" s="102" t="str">
        <f>IF(stdProdLT(Main[[#This Row],[Comments]])=0.1,"N/A",IF(stdProdLT(Main[[#This Row],[Comments]])=0,"",stdProdLT(Main[[#This Row],[Comments]])))</f>
        <v/>
      </c>
      <c r="H1301" s="103" t="str">
        <f>IF(AND(Main[[#This Row],[In Stock Date]]&lt;&gt;"",Main[[#This Row],[Revised Due Date]]&lt;&gt;""),Main[[#This Row],[In Stock Date]]-Main[[#This Row],[Revised Due Date]],"")</f>
        <v/>
      </c>
      <c r="I1301" s="99" t="s">
        <v>893</v>
      </c>
      <c r="J1301" s="99" t="s">
        <v>28</v>
      </c>
      <c r="K1301" s="99" t="s">
        <v>1975</v>
      </c>
      <c r="L1301" s="101">
        <v>40772</v>
      </c>
      <c r="M1301" s="104">
        <f>IF(Main[[#This Row],[Tech Start Date]]&lt;1/1/1990,"",IF(Main[[#This Row],[Class]]="C",WORKDAY(Main[[#This Row],[Tech Start Date]],9),IF(Main[[#This Row],[Class]]="B", WORKDAY(Main[[#This Row],[Tech Start Date]],6),IF(Main[[#This Row],[Class]]="A",WORKDAY(Main[[#This Row],[Tech Start Date]],2),""))))</f>
        <v>40785</v>
      </c>
      <c r="N1301" s="104">
        <f>IF(Main[[#This Row],[Tech Start Date]]&lt;1/1/1990,"",IF(Main[[#This Row],[Class]]="C",WORKDAY(Main[[#This Row],[Tech Start Date]],19),IF(Main[[#This Row],[Class]]="B", WORKDAY(Main[[#This Row],[Tech Start Date]],12),IF(Main[[#This Row],[Class]]="A",WORKDAY(Main[[#This Row],[Tech Start Date]],4),""))))</f>
        <v>40799</v>
      </c>
      <c r="O1301" s="104">
        <f>IF(Main[[#This Row],[Tech Start Date]]&lt;1/1/1990,"",IF(Main[[#This Row],[Class]]="C",WORKDAY(Main[[#This Row],[Tech Start Date]],23),IF(Main[[#This Row],[Class]]="B", WORKDAY(Main[[#This Row],[Tech Start Date]],15),IF(Main[[#This Row],[Class]]="A",WORKDAY(Main[[#This Row],[Tech Start Date]],5),""))))</f>
        <v>40805</v>
      </c>
      <c r="P1301" s="104">
        <f>IF(Main[[#This Row],[Tech Start Date]]&lt;1/1/1990,"",IF(Main[[#This Row],[Class]]="C",WORKDAY(Main[[#This Row],[Tech Start Date]],28),IF(Main[[#This Row],[Class]]="B", WORKDAY(Main[[#This Row],[Tech Start Date]],19),IF(Main[[#This Row],[Class]]="A",WORKDAY(Main[[#This Row],[Tech Start Date]],9),""))))</f>
        <v>40812</v>
      </c>
      <c r="Q1301" s="101">
        <v>40786</v>
      </c>
      <c r="R1301" s="101">
        <v>40907</v>
      </c>
      <c r="S1301" s="99" t="s">
        <v>17</v>
      </c>
      <c r="T1301" s="107" t="s">
        <v>2407</v>
      </c>
      <c r="U1301" s="99" t="s">
        <v>29</v>
      </c>
      <c r="V1301" s="99" t="s">
        <v>1962</v>
      </c>
      <c r="W1301" s="99" t="s">
        <v>1964</v>
      </c>
    </row>
    <row r="1302" spans="1:23" ht="18.600000000000001" customHeight="1">
      <c r="A1302" s="123" t="str">
        <f>IF(priority(Main[[#This Row],[Comments]])&lt;&gt;0, priority(Main[[#This Row],[Comments]]),"")</f>
        <v/>
      </c>
      <c r="B1302" s="127" t="s">
        <v>2206</v>
      </c>
      <c r="C1302" s="99" t="s">
        <v>4</v>
      </c>
      <c r="D1302" s="100" t="s">
        <v>2892</v>
      </c>
      <c r="E1302" s="101">
        <v>40772.344918981478</v>
      </c>
      <c r="F1302" s="101"/>
      <c r="G1302" s="102" t="str">
        <f>IF(stdProdLT(Main[[#This Row],[Comments]])=0.1,"N/A",IF(stdProdLT(Main[[#This Row],[Comments]])=0,"",stdProdLT(Main[[#This Row],[Comments]])))</f>
        <v/>
      </c>
      <c r="H1302" s="103" t="str">
        <f>IF(AND(Main[[#This Row],[In Stock Date]]&lt;&gt;"",Main[[#This Row],[Revised Due Date]]&lt;&gt;""),Main[[#This Row],[In Stock Date]]-Main[[#This Row],[Revised Due Date]],"")</f>
        <v/>
      </c>
      <c r="I1302" s="99" t="s">
        <v>893</v>
      </c>
      <c r="J1302" s="99" t="s">
        <v>28</v>
      </c>
      <c r="K1302" s="99" t="s">
        <v>1969</v>
      </c>
      <c r="L1302" s="101">
        <v>40772</v>
      </c>
      <c r="M1302" s="104">
        <f>IF(Main[[#This Row],[Tech Start Date]]&lt;1/1/1990,"",IF(Main[[#This Row],[Class]]="C",WORKDAY(Main[[#This Row],[Tech Start Date]],9),IF(Main[[#This Row],[Class]]="B", WORKDAY(Main[[#This Row],[Tech Start Date]],6),IF(Main[[#This Row],[Class]]="A",WORKDAY(Main[[#This Row],[Tech Start Date]],2),""))))</f>
        <v>40780</v>
      </c>
      <c r="N1302" s="104">
        <f>IF(Main[[#This Row],[Tech Start Date]]&lt;1/1/1990,"",IF(Main[[#This Row],[Class]]="C",WORKDAY(Main[[#This Row],[Tech Start Date]],19),IF(Main[[#This Row],[Class]]="B", WORKDAY(Main[[#This Row],[Tech Start Date]],12),IF(Main[[#This Row],[Class]]="A",WORKDAY(Main[[#This Row],[Tech Start Date]],4),""))))</f>
        <v>40788</v>
      </c>
      <c r="O1302" s="104">
        <f>IF(Main[[#This Row],[Tech Start Date]]&lt;1/1/1990,"",IF(Main[[#This Row],[Class]]="C",WORKDAY(Main[[#This Row],[Tech Start Date]],23),IF(Main[[#This Row],[Class]]="B", WORKDAY(Main[[#This Row],[Tech Start Date]],15),IF(Main[[#This Row],[Class]]="A",WORKDAY(Main[[#This Row],[Tech Start Date]],5),""))))</f>
        <v>40793</v>
      </c>
      <c r="P1302" s="104">
        <f>IF(Main[[#This Row],[Tech Start Date]]&lt;1/1/1990,"",IF(Main[[#This Row],[Class]]="C",WORKDAY(Main[[#This Row],[Tech Start Date]],28),IF(Main[[#This Row],[Class]]="B", WORKDAY(Main[[#This Row],[Tech Start Date]],19),IF(Main[[#This Row],[Class]]="A",WORKDAY(Main[[#This Row],[Tech Start Date]],9),""))))</f>
        <v>40799</v>
      </c>
      <c r="Q1302" s="101">
        <v>40779</v>
      </c>
      <c r="R1302" s="101">
        <v>40877</v>
      </c>
      <c r="S1302" s="99" t="s">
        <v>6</v>
      </c>
      <c r="T1302" s="107" t="s">
        <v>4</v>
      </c>
      <c r="U1302" s="99" t="s">
        <v>29</v>
      </c>
      <c r="V1302" s="99" t="s">
        <v>1962</v>
      </c>
      <c r="W1302" s="99" t="s">
        <v>1970</v>
      </c>
    </row>
    <row r="1303" spans="1:23" ht="18.600000000000001" customHeight="1">
      <c r="A1303" s="123" t="str">
        <f>IF(priority(Main[[#This Row],[Comments]])&lt;&gt;0, priority(Main[[#This Row],[Comments]]),"")</f>
        <v/>
      </c>
      <c r="B1303" s="127" t="s">
        <v>2211</v>
      </c>
      <c r="C1303" s="99" t="s">
        <v>53</v>
      </c>
      <c r="D1303" s="100" t="s">
        <v>2212</v>
      </c>
      <c r="E1303" s="101">
        <v>40774.327164351853</v>
      </c>
      <c r="F1303" s="101">
        <v>40786</v>
      </c>
      <c r="G1303" s="102" t="str">
        <f>IF(stdProdLT(Main[[#This Row],[Comments]])=0.1,"N/A",IF(stdProdLT(Main[[#This Row],[Comments]])=0,"",stdProdLT(Main[[#This Row],[Comments]])))</f>
        <v/>
      </c>
      <c r="H1303" s="103">
        <f>IF(AND(Main[[#This Row],[In Stock Date]]&lt;&gt;"",Main[[#This Row],[Revised Due Date]]&lt;&gt;""),Main[[#This Row],[In Stock Date]]-Main[[#This Row],[Revised Due Date]],"")</f>
        <v>-6</v>
      </c>
      <c r="I1303" s="99" t="s">
        <v>2112</v>
      </c>
      <c r="J1303" s="99" t="s">
        <v>52</v>
      </c>
      <c r="K1303" s="99" t="s">
        <v>1971</v>
      </c>
      <c r="L1303" s="101">
        <v>40777</v>
      </c>
      <c r="M1303" s="104">
        <f>IF(Main[[#This Row],[Tech Start Date]]&lt;1/1/1990,"",IF(Main[[#This Row],[Class]]="C",WORKDAY(Main[[#This Row],[Tech Start Date]],9),IF(Main[[#This Row],[Class]]="B", WORKDAY(Main[[#This Row],[Tech Start Date]],6),IF(Main[[#This Row],[Class]]="A",WORKDAY(Main[[#This Row],[Tech Start Date]],2),""))))</f>
        <v>40779</v>
      </c>
      <c r="N1303" s="104">
        <f>IF(Main[[#This Row],[Tech Start Date]]&lt;1/1/1990,"",IF(Main[[#This Row],[Class]]="C",WORKDAY(Main[[#This Row],[Tech Start Date]],19),IF(Main[[#This Row],[Class]]="B", WORKDAY(Main[[#This Row],[Tech Start Date]],12),IF(Main[[#This Row],[Class]]="A",WORKDAY(Main[[#This Row],[Tech Start Date]],4),""))))</f>
        <v>40781</v>
      </c>
      <c r="O1303" s="104">
        <f>IF(Main[[#This Row],[Tech Start Date]]&lt;1/1/1990,"",IF(Main[[#This Row],[Class]]="C",WORKDAY(Main[[#This Row],[Tech Start Date]],23),IF(Main[[#This Row],[Class]]="B", WORKDAY(Main[[#This Row],[Tech Start Date]],15),IF(Main[[#This Row],[Class]]="A",WORKDAY(Main[[#This Row],[Tech Start Date]],5),""))))</f>
        <v>40784</v>
      </c>
      <c r="P1303" s="104">
        <f>IF(Main[[#This Row],[Tech Start Date]]&lt;1/1/1990,"",IF(Main[[#This Row],[Class]]="C",WORKDAY(Main[[#This Row],[Tech Start Date]],28),IF(Main[[#This Row],[Class]]="B", WORKDAY(Main[[#This Row],[Tech Start Date]],19),IF(Main[[#This Row],[Class]]="A",WORKDAY(Main[[#This Row],[Tech Start Date]],9),""))))</f>
        <v>40788</v>
      </c>
      <c r="Q1303" s="101"/>
      <c r="R1303" s="101">
        <v>40792</v>
      </c>
      <c r="S1303" s="99" t="s">
        <v>6</v>
      </c>
      <c r="T1303" s="107" t="s">
        <v>4</v>
      </c>
      <c r="U1303" s="99" t="s">
        <v>29</v>
      </c>
      <c r="V1303" s="99" t="s">
        <v>1963</v>
      </c>
      <c r="W1303" s="99" t="s">
        <v>1964</v>
      </c>
    </row>
    <row r="1304" spans="1:23" ht="18.600000000000001" customHeight="1">
      <c r="A1304" s="123" t="str">
        <f>IF(priority(Main[[#This Row],[Comments]])&lt;&gt;0, priority(Main[[#This Row],[Comments]]),"")</f>
        <v/>
      </c>
      <c r="B1304" s="127" t="s">
        <v>2215</v>
      </c>
      <c r="C1304" s="99" t="s">
        <v>2216</v>
      </c>
      <c r="D1304" s="100" t="s">
        <v>2217</v>
      </c>
      <c r="E1304" s="101">
        <v>40778.69290509259</v>
      </c>
      <c r="F1304" s="101"/>
      <c r="G1304" s="102" t="str">
        <f>IF(stdProdLT(Main[[#This Row],[Comments]])=0.1,"N/A",IF(stdProdLT(Main[[#This Row],[Comments]])=0,"",stdProdLT(Main[[#This Row],[Comments]])))</f>
        <v/>
      </c>
      <c r="H1304" s="103" t="str">
        <f>IF(AND(Main[[#This Row],[In Stock Date]]&lt;&gt;"",Main[[#This Row],[Revised Due Date]]&lt;&gt;""),Main[[#This Row],[In Stock Date]]-Main[[#This Row],[Revised Due Date]],"")</f>
        <v/>
      </c>
      <c r="I1304" s="99" t="s">
        <v>959</v>
      </c>
      <c r="J1304" s="99" t="s">
        <v>28</v>
      </c>
      <c r="K1304" s="99" t="s">
        <v>1969</v>
      </c>
      <c r="L1304" s="101">
        <v>40778</v>
      </c>
      <c r="M1304" s="104">
        <f>IF(Main[[#This Row],[Tech Start Date]]&lt;1/1/1990,"",IF(Main[[#This Row],[Class]]="C",WORKDAY(Main[[#This Row],[Tech Start Date]],9),IF(Main[[#This Row],[Class]]="B", WORKDAY(Main[[#This Row],[Tech Start Date]],6),IF(Main[[#This Row],[Class]]="A",WORKDAY(Main[[#This Row],[Tech Start Date]],2),""))))</f>
        <v>40786</v>
      </c>
      <c r="N1304" s="104">
        <f>IF(Main[[#This Row],[Tech Start Date]]&lt;1/1/1990,"",IF(Main[[#This Row],[Class]]="C",WORKDAY(Main[[#This Row],[Tech Start Date]],19),IF(Main[[#This Row],[Class]]="B", WORKDAY(Main[[#This Row],[Tech Start Date]],12),IF(Main[[#This Row],[Class]]="A",WORKDAY(Main[[#This Row],[Tech Start Date]],4),""))))</f>
        <v>40794</v>
      </c>
      <c r="O1304" s="104">
        <f>IF(Main[[#This Row],[Tech Start Date]]&lt;1/1/1990,"",IF(Main[[#This Row],[Class]]="C",WORKDAY(Main[[#This Row],[Tech Start Date]],23),IF(Main[[#This Row],[Class]]="B", WORKDAY(Main[[#This Row],[Tech Start Date]],15),IF(Main[[#This Row],[Class]]="A",WORKDAY(Main[[#This Row],[Tech Start Date]],5),""))))</f>
        <v>40799</v>
      </c>
      <c r="P1304" s="104">
        <f>IF(Main[[#This Row],[Tech Start Date]]&lt;1/1/1990,"",IF(Main[[#This Row],[Class]]="C",WORKDAY(Main[[#This Row],[Tech Start Date]],28),IF(Main[[#This Row],[Class]]="B", WORKDAY(Main[[#This Row],[Tech Start Date]],19),IF(Main[[#This Row],[Class]]="A",WORKDAY(Main[[#This Row],[Tech Start Date]],9),""))))</f>
        <v>40805</v>
      </c>
      <c r="Q1304" s="101"/>
      <c r="R1304" s="101">
        <v>40807</v>
      </c>
      <c r="S1304" s="99" t="s">
        <v>6</v>
      </c>
      <c r="T1304" s="107" t="s">
        <v>4</v>
      </c>
      <c r="U1304" s="99" t="s">
        <v>29</v>
      </c>
      <c r="V1304" s="99" t="s">
        <v>1963</v>
      </c>
      <c r="W1304" s="99" t="s">
        <v>1966</v>
      </c>
    </row>
    <row r="1305" spans="1:23" ht="18.600000000000001" customHeight="1">
      <c r="A1305" s="123" t="str">
        <f>IF(priority(Main[[#This Row],[Comments]])&lt;&gt;0, priority(Main[[#This Row],[Comments]]),"")</f>
        <v/>
      </c>
      <c r="B1305" s="127" t="s">
        <v>2220</v>
      </c>
      <c r="C1305" s="99" t="s">
        <v>2216</v>
      </c>
      <c r="D1305" s="100" t="s">
        <v>2221</v>
      </c>
      <c r="E1305" s="101">
        <v>40778.690706018519</v>
      </c>
      <c r="F1305" s="101"/>
      <c r="G1305" s="102" t="str">
        <f>IF(stdProdLT(Main[[#This Row],[Comments]])=0.1,"N/A",IF(stdProdLT(Main[[#This Row],[Comments]])=0,"",stdProdLT(Main[[#This Row],[Comments]])))</f>
        <v/>
      </c>
      <c r="H1305" s="103" t="str">
        <f>IF(AND(Main[[#This Row],[In Stock Date]]&lt;&gt;"",Main[[#This Row],[Revised Due Date]]&lt;&gt;""),Main[[#This Row],[In Stock Date]]-Main[[#This Row],[Revised Due Date]],"")</f>
        <v/>
      </c>
      <c r="I1305" s="99" t="s">
        <v>959</v>
      </c>
      <c r="J1305" s="99" t="s">
        <v>28</v>
      </c>
      <c r="K1305" s="99" t="s">
        <v>1971</v>
      </c>
      <c r="L1305" s="101">
        <v>40778</v>
      </c>
      <c r="M1305" s="104">
        <f>IF(Main[[#This Row],[Tech Start Date]]&lt;1/1/1990,"",IF(Main[[#This Row],[Class]]="C",WORKDAY(Main[[#This Row],[Tech Start Date]],9),IF(Main[[#This Row],[Class]]="B", WORKDAY(Main[[#This Row],[Tech Start Date]],6),IF(Main[[#This Row],[Class]]="A",WORKDAY(Main[[#This Row],[Tech Start Date]],2),""))))</f>
        <v>40780</v>
      </c>
      <c r="N1305" s="104">
        <f>IF(Main[[#This Row],[Tech Start Date]]&lt;1/1/1990,"",IF(Main[[#This Row],[Class]]="C",WORKDAY(Main[[#This Row],[Tech Start Date]],19),IF(Main[[#This Row],[Class]]="B", WORKDAY(Main[[#This Row],[Tech Start Date]],12),IF(Main[[#This Row],[Class]]="A",WORKDAY(Main[[#This Row],[Tech Start Date]],4),""))))</f>
        <v>40784</v>
      </c>
      <c r="O1305" s="104">
        <f>IF(Main[[#This Row],[Tech Start Date]]&lt;1/1/1990,"",IF(Main[[#This Row],[Class]]="C",WORKDAY(Main[[#This Row],[Tech Start Date]],23),IF(Main[[#This Row],[Class]]="B", WORKDAY(Main[[#This Row],[Tech Start Date]],15),IF(Main[[#This Row],[Class]]="A",WORKDAY(Main[[#This Row],[Tech Start Date]],5),""))))</f>
        <v>40785</v>
      </c>
      <c r="P1305" s="104">
        <f>IF(Main[[#This Row],[Tech Start Date]]&lt;1/1/1990,"",IF(Main[[#This Row],[Class]]="C",WORKDAY(Main[[#This Row],[Tech Start Date]],28),IF(Main[[#This Row],[Class]]="B", WORKDAY(Main[[#This Row],[Tech Start Date]],19),IF(Main[[#This Row],[Class]]="A",WORKDAY(Main[[#This Row],[Tech Start Date]],9),""))))</f>
        <v>40791</v>
      </c>
      <c r="Q1305" s="101"/>
      <c r="R1305" s="101">
        <v>40807</v>
      </c>
      <c r="S1305" s="99" t="s">
        <v>6</v>
      </c>
      <c r="T1305" s="107" t="s">
        <v>4</v>
      </c>
      <c r="U1305" s="99" t="s">
        <v>29</v>
      </c>
      <c r="V1305" s="99" t="s">
        <v>1963</v>
      </c>
      <c r="W1305" s="99" t="s">
        <v>1964</v>
      </c>
    </row>
    <row r="1306" spans="1:23" ht="18.600000000000001" customHeight="1">
      <c r="A1306" s="123" t="str">
        <f>IF(priority(Main[[#This Row],[Comments]])&lt;&gt;0, priority(Main[[#This Row],[Comments]]),"")</f>
        <v/>
      </c>
      <c r="B1306" s="127" t="s">
        <v>2272</v>
      </c>
      <c r="C1306" s="99" t="s">
        <v>116</v>
      </c>
      <c r="D1306" s="100" t="s">
        <v>2273</v>
      </c>
      <c r="E1306" s="101">
        <v>40787.614270833335</v>
      </c>
      <c r="F1306" s="101"/>
      <c r="G1306" s="102" t="str">
        <f>IF(stdProdLT(Main[[#This Row],[Comments]])=0.1,"N/A",IF(stdProdLT(Main[[#This Row],[Comments]])=0,"",stdProdLT(Main[[#This Row],[Comments]])))</f>
        <v/>
      </c>
      <c r="H1306" s="103" t="str">
        <f>IF(AND(Main[[#This Row],[In Stock Date]]&lt;&gt;"",Main[[#This Row],[Revised Due Date]]&lt;&gt;""),Main[[#This Row],[In Stock Date]]-Main[[#This Row],[Revised Due Date]],"")</f>
        <v/>
      </c>
      <c r="I1306" s="99" t="s">
        <v>2324</v>
      </c>
      <c r="J1306" s="99" t="s">
        <v>28</v>
      </c>
      <c r="K1306" s="99" t="s">
        <v>1975</v>
      </c>
      <c r="L1306" s="101">
        <v>40798</v>
      </c>
      <c r="M1306" s="104">
        <f>IF(Main[[#This Row],[Tech Start Date]]&lt;1/1/1990,"",IF(Main[[#This Row],[Class]]="C",WORKDAY(Main[[#This Row],[Tech Start Date]],9),IF(Main[[#This Row],[Class]]="B", WORKDAY(Main[[#This Row],[Tech Start Date]],6),IF(Main[[#This Row],[Class]]="A",WORKDAY(Main[[#This Row],[Tech Start Date]],2),""))))</f>
        <v>40809</v>
      </c>
      <c r="N1306" s="104">
        <f>IF(Main[[#This Row],[Tech Start Date]]&lt;1/1/1990,"",IF(Main[[#This Row],[Class]]="C",WORKDAY(Main[[#This Row],[Tech Start Date]],19),IF(Main[[#This Row],[Class]]="B", WORKDAY(Main[[#This Row],[Tech Start Date]],12),IF(Main[[#This Row],[Class]]="A",WORKDAY(Main[[#This Row],[Tech Start Date]],4),""))))</f>
        <v>40823</v>
      </c>
      <c r="O1306" s="104">
        <f>IF(Main[[#This Row],[Tech Start Date]]&lt;1/1/1990,"",IF(Main[[#This Row],[Class]]="C",WORKDAY(Main[[#This Row],[Tech Start Date]],23),IF(Main[[#This Row],[Class]]="B", WORKDAY(Main[[#This Row],[Tech Start Date]],15),IF(Main[[#This Row],[Class]]="A",WORKDAY(Main[[#This Row],[Tech Start Date]],5),""))))</f>
        <v>40829</v>
      </c>
      <c r="P1306" s="104">
        <f>IF(Main[[#This Row],[Tech Start Date]]&lt;1/1/1990,"",IF(Main[[#This Row],[Class]]="C",WORKDAY(Main[[#This Row],[Tech Start Date]],28),IF(Main[[#This Row],[Class]]="B", WORKDAY(Main[[#This Row],[Tech Start Date]],19),IF(Main[[#This Row],[Class]]="A",WORKDAY(Main[[#This Row],[Tech Start Date]],9),""))))</f>
        <v>40836</v>
      </c>
      <c r="Q1306" s="101">
        <v>40914</v>
      </c>
      <c r="R1306" s="101">
        <v>40841</v>
      </c>
      <c r="S1306" s="99" t="s">
        <v>6</v>
      </c>
      <c r="T1306" s="107" t="s">
        <v>4</v>
      </c>
      <c r="U1306" s="99" t="s">
        <v>29</v>
      </c>
      <c r="V1306" s="99" t="s">
        <v>1963</v>
      </c>
      <c r="W1306" s="99" t="s">
        <v>1964</v>
      </c>
    </row>
    <row r="1307" spans="1:23" ht="18.600000000000001" customHeight="1">
      <c r="A1307" s="123" t="str">
        <f>IF(priority(Main[[#This Row],[Comments]])&lt;&gt;0, priority(Main[[#This Row],[Comments]]),"")</f>
        <v/>
      </c>
      <c r="B1307" s="127" t="s">
        <v>2246</v>
      </c>
      <c r="C1307" s="99" t="s">
        <v>4</v>
      </c>
      <c r="D1307" s="100" t="s">
        <v>2247</v>
      </c>
      <c r="E1307" s="101">
        <v>40787.619050925925</v>
      </c>
      <c r="F1307" s="101"/>
      <c r="G1307" s="102" t="str">
        <f>IF(stdProdLT(Main[[#This Row],[Comments]])=0.1,"N/A",IF(stdProdLT(Main[[#This Row],[Comments]])=0,"",stdProdLT(Main[[#This Row],[Comments]])))</f>
        <v/>
      </c>
      <c r="H1307" s="103" t="str">
        <f>IF(AND(Main[[#This Row],[In Stock Date]]&lt;&gt;"",Main[[#This Row],[Revised Due Date]]&lt;&gt;""),Main[[#This Row],[In Stock Date]]-Main[[#This Row],[Revised Due Date]],"")</f>
        <v/>
      </c>
      <c r="I1307" s="99" t="s">
        <v>958</v>
      </c>
      <c r="J1307" s="99" t="s">
        <v>28</v>
      </c>
      <c r="K1307" s="99" t="s">
        <v>1975</v>
      </c>
      <c r="L1307" s="101">
        <v>40798</v>
      </c>
      <c r="M1307" s="104">
        <f>IF(Main[[#This Row],[Tech Start Date]]&lt;1/1/1990,"",IF(Main[[#This Row],[Class]]="C",WORKDAY(Main[[#This Row],[Tech Start Date]],9),IF(Main[[#This Row],[Class]]="B", WORKDAY(Main[[#This Row],[Tech Start Date]],6),IF(Main[[#This Row],[Class]]="A",WORKDAY(Main[[#This Row],[Tech Start Date]],2),""))))</f>
        <v>40809</v>
      </c>
      <c r="N1307" s="104">
        <f>IF(Main[[#This Row],[Tech Start Date]]&lt;1/1/1990,"",IF(Main[[#This Row],[Class]]="C",WORKDAY(Main[[#This Row],[Tech Start Date]],19),IF(Main[[#This Row],[Class]]="B", WORKDAY(Main[[#This Row],[Tech Start Date]],12),IF(Main[[#This Row],[Class]]="A",WORKDAY(Main[[#This Row],[Tech Start Date]],4),""))))</f>
        <v>40823</v>
      </c>
      <c r="O1307" s="104">
        <f>IF(Main[[#This Row],[Tech Start Date]]&lt;1/1/1990,"",IF(Main[[#This Row],[Class]]="C",WORKDAY(Main[[#This Row],[Tech Start Date]],23),IF(Main[[#This Row],[Class]]="B", WORKDAY(Main[[#This Row],[Tech Start Date]],15),IF(Main[[#This Row],[Class]]="A",WORKDAY(Main[[#This Row],[Tech Start Date]],5),""))))</f>
        <v>40829</v>
      </c>
      <c r="P1307" s="104">
        <f>IF(Main[[#This Row],[Tech Start Date]]&lt;1/1/1990,"",IF(Main[[#This Row],[Class]]="C",WORKDAY(Main[[#This Row],[Tech Start Date]],28),IF(Main[[#This Row],[Class]]="B", WORKDAY(Main[[#This Row],[Tech Start Date]],19),IF(Main[[#This Row],[Class]]="A",WORKDAY(Main[[#This Row],[Tech Start Date]],9),""))))</f>
        <v>40836</v>
      </c>
      <c r="Q1307" s="101">
        <v>40914</v>
      </c>
      <c r="R1307" s="101">
        <v>40841</v>
      </c>
      <c r="S1307" s="99" t="s">
        <v>6</v>
      </c>
      <c r="T1307" s="107" t="s">
        <v>4</v>
      </c>
      <c r="U1307" s="99" t="s">
        <v>29</v>
      </c>
      <c r="V1307" s="99" t="s">
        <v>1963</v>
      </c>
      <c r="W1307" s="99" t="s">
        <v>1964</v>
      </c>
    </row>
    <row r="1308" spans="1:23" ht="18.600000000000001" customHeight="1">
      <c r="A1308" s="123" t="str">
        <f>IF(priority(Main[[#This Row],[Comments]])&lt;&gt;0, priority(Main[[#This Row],[Comments]]),"")</f>
        <v/>
      </c>
      <c r="B1308" s="127" t="s">
        <v>2303</v>
      </c>
      <c r="C1308" s="99" t="s">
        <v>2304</v>
      </c>
      <c r="D1308" s="100" t="s">
        <v>2305</v>
      </c>
      <c r="E1308" s="101"/>
      <c r="F1308" s="101">
        <v>40814</v>
      </c>
      <c r="G1308" s="102">
        <f>IF(stdProdLT(Main[[#This Row],[Comments]])=0.1,"N/A",IF(stdProdLT(Main[[#This Row],[Comments]])=0,"",stdProdLT(Main[[#This Row],[Comments]])))</f>
        <v>112</v>
      </c>
      <c r="H1308" s="103">
        <f>IF(AND(Main[[#This Row],[In Stock Date]]&lt;&gt;"",Main[[#This Row],[Revised Due Date]]&lt;&gt;""),Main[[#This Row],[In Stock Date]]-Main[[#This Row],[Revised Due Date]],"")</f>
        <v>-6</v>
      </c>
      <c r="I1308" s="99" t="s">
        <v>2102</v>
      </c>
      <c r="J1308" s="99" t="s">
        <v>28</v>
      </c>
      <c r="K1308" s="99" t="s">
        <v>1971</v>
      </c>
      <c r="L1308" s="101">
        <v>40805</v>
      </c>
      <c r="M1308" s="104">
        <f>IF(Main[[#This Row],[Tech Start Date]]&lt;1/1/1990,"",IF(Main[[#This Row],[Class]]="C",WORKDAY(Main[[#This Row],[Tech Start Date]],9),IF(Main[[#This Row],[Class]]="B", WORKDAY(Main[[#This Row],[Tech Start Date]],6),IF(Main[[#This Row],[Class]]="A",WORKDAY(Main[[#This Row],[Tech Start Date]],2),""))))</f>
        <v>40807</v>
      </c>
      <c r="N1308" s="104">
        <f>IF(Main[[#This Row],[Tech Start Date]]&lt;1/1/1990,"",IF(Main[[#This Row],[Class]]="C",WORKDAY(Main[[#This Row],[Tech Start Date]],19),IF(Main[[#This Row],[Class]]="B", WORKDAY(Main[[#This Row],[Tech Start Date]],12),IF(Main[[#This Row],[Class]]="A",WORKDAY(Main[[#This Row],[Tech Start Date]],4),""))))</f>
        <v>40809</v>
      </c>
      <c r="O1308" s="104">
        <f>IF(Main[[#This Row],[Tech Start Date]]&lt;1/1/1990,"",IF(Main[[#This Row],[Class]]="C",WORKDAY(Main[[#This Row],[Tech Start Date]],23),IF(Main[[#This Row],[Class]]="B", WORKDAY(Main[[#This Row],[Tech Start Date]],15),IF(Main[[#This Row],[Class]]="A",WORKDAY(Main[[#This Row],[Tech Start Date]],5),""))))</f>
        <v>40812</v>
      </c>
      <c r="P1308" s="104">
        <f>IF(Main[[#This Row],[Tech Start Date]]&lt;1/1/1990,"",IF(Main[[#This Row],[Class]]="C",WORKDAY(Main[[#This Row],[Tech Start Date]],28),IF(Main[[#This Row],[Class]]="B", WORKDAY(Main[[#This Row],[Tech Start Date]],19),IF(Main[[#This Row],[Class]]="A",WORKDAY(Main[[#This Row],[Tech Start Date]],9),""))))</f>
        <v>40816</v>
      </c>
      <c r="Q1308" s="101">
        <v>40819</v>
      </c>
      <c r="R1308" s="101">
        <v>40820</v>
      </c>
      <c r="S1308" s="99" t="s">
        <v>11</v>
      </c>
      <c r="T1308" s="107" t="s">
        <v>2338</v>
      </c>
      <c r="U1308" s="99" t="s">
        <v>14</v>
      </c>
      <c r="V1308" s="99" t="s">
        <v>1965</v>
      </c>
      <c r="W1308" s="99" t="s">
        <v>1970</v>
      </c>
    </row>
    <row r="1309" spans="1:23" ht="18.600000000000001" customHeight="1">
      <c r="A1309" s="123" t="str">
        <f>IF(priority(Main[[#This Row],[Comments]])&lt;&gt;0, priority(Main[[#This Row],[Comments]]),"")</f>
        <v/>
      </c>
      <c r="B1309" s="127" t="s">
        <v>2157</v>
      </c>
      <c r="C1309" s="99" t="s">
        <v>4</v>
      </c>
      <c r="D1309" s="100" t="s">
        <v>2895</v>
      </c>
      <c r="E1309" s="101">
        <v>40760.556030092594</v>
      </c>
      <c r="F1309" s="101"/>
      <c r="G1309" s="102" t="str">
        <f>IF(stdProdLT(Main[[#This Row],[Comments]])=0.1,"N/A",IF(stdProdLT(Main[[#This Row],[Comments]])=0,"",stdProdLT(Main[[#This Row],[Comments]])))</f>
        <v/>
      </c>
      <c r="H1309" s="103" t="str">
        <f>IF(AND(Main[[#This Row],[In Stock Date]]&lt;&gt;"",Main[[#This Row],[Revised Due Date]]&lt;&gt;""),Main[[#This Row],[In Stock Date]]-Main[[#This Row],[Revised Due Date]],"")</f>
        <v/>
      </c>
      <c r="I1309" s="99" t="s">
        <v>905</v>
      </c>
      <c r="J1309" s="99" t="s">
        <v>4</v>
      </c>
      <c r="K1309" s="99" t="s">
        <v>1974</v>
      </c>
      <c r="L1309" s="101">
        <v>40805</v>
      </c>
      <c r="M1309" s="104" t="str">
        <f>IF(Main[[#This Row],[Tech Start Date]]&lt;1/1/1990,"",IF(Main[[#This Row],[Class]]="C",WORKDAY(Main[[#This Row],[Tech Start Date]],9),IF(Main[[#This Row],[Class]]="B", WORKDAY(Main[[#This Row],[Tech Start Date]],6),IF(Main[[#This Row],[Class]]="A",WORKDAY(Main[[#This Row],[Tech Start Date]],2),""))))</f>
        <v/>
      </c>
      <c r="N1309" s="104" t="str">
        <f>IF(Main[[#This Row],[Tech Start Date]]&lt;1/1/1990,"",IF(Main[[#This Row],[Class]]="C",WORKDAY(Main[[#This Row],[Tech Start Date]],19),IF(Main[[#This Row],[Class]]="B", WORKDAY(Main[[#This Row],[Tech Start Date]],12),IF(Main[[#This Row],[Class]]="A",WORKDAY(Main[[#This Row],[Tech Start Date]],4),""))))</f>
        <v/>
      </c>
      <c r="O1309" s="104" t="str">
        <f>IF(Main[[#This Row],[Tech Start Date]]&lt;1/1/1990,"",IF(Main[[#This Row],[Class]]="C",WORKDAY(Main[[#This Row],[Tech Start Date]],23),IF(Main[[#This Row],[Class]]="B", WORKDAY(Main[[#This Row],[Tech Start Date]],15),IF(Main[[#This Row],[Class]]="A",WORKDAY(Main[[#This Row],[Tech Start Date]],5),""))))</f>
        <v/>
      </c>
      <c r="P1309" s="104" t="str">
        <f>IF(Main[[#This Row],[Tech Start Date]]&lt;1/1/1990,"",IF(Main[[#This Row],[Class]]="C",WORKDAY(Main[[#This Row],[Tech Start Date]],28),IF(Main[[#This Row],[Class]]="B", WORKDAY(Main[[#This Row],[Tech Start Date]],19),IF(Main[[#This Row],[Class]]="A",WORKDAY(Main[[#This Row],[Tech Start Date]],9),""))))</f>
        <v/>
      </c>
      <c r="Q1309" s="101"/>
      <c r="R1309" s="101">
        <v>41043</v>
      </c>
      <c r="S1309" s="99" t="s">
        <v>6</v>
      </c>
      <c r="T1309" s="107" t="s">
        <v>4</v>
      </c>
      <c r="U1309" s="99" t="s">
        <v>29</v>
      </c>
      <c r="V1309" s="99" t="s">
        <v>1962</v>
      </c>
      <c r="W1309" s="99" t="s">
        <v>1966</v>
      </c>
    </row>
    <row r="1310" spans="1:23" ht="18.600000000000001" customHeight="1">
      <c r="A1310" s="123" t="str">
        <f>IF(priority(Main[[#This Row],[Comments]])&lt;&gt;0, priority(Main[[#This Row],[Comments]]),"")</f>
        <v/>
      </c>
      <c r="B1310" s="127" t="s">
        <v>2899</v>
      </c>
      <c r="C1310" s="99" t="s">
        <v>524</v>
      </c>
      <c r="D1310" s="100" t="s">
        <v>2900</v>
      </c>
      <c r="E1310" s="101"/>
      <c r="F1310" s="101">
        <v>40854</v>
      </c>
      <c r="G1310" s="102">
        <f>IF(stdProdLT(Main[[#This Row],[Comments]])=0.1,"N/A",IF(stdProdLT(Main[[#This Row],[Comments]])=0,"",stdProdLT(Main[[#This Row],[Comments]])))</f>
        <v>98</v>
      </c>
      <c r="H1310" s="103">
        <f>IF(AND(Main[[#This Row],[In Stock Date]]&lt;&gt;"",Main[[#This Row],[Revised Due Date]]&lt;&gt;""),Main[[#This Row],[In Stock Date]]-Main[[#This Row],[Revised Due Date]],"")</f>
        <v>18</v>
      </c>
      <c r="I1310" s="99" t="s">
        <v>2102</v>
      </c>
      <c r="J1310" s="99" t="s">
        <v>28</v>
      </c>
      <c r="K1310" s="99" t="s">
        <v>1971</v>
      </c>
      <c r="L1310" s="101">
        <v>40821</v>
      </c>
      <c r="M1310" s="104">
        <f>IF(Main[[#This Row],[Tech Start Date]]&lt;1/1/1990,"",IF(Main[[#This Row],[Class]]="C",WORKDAY(Main[[#This Row],[Tech Start Date]],9),IF(Main[[#This Row],[Class]]="B", WORKDAY(Main[[#This Row],[Tech Start Date]],6),IF(Main[[#This Row],[Class]]="A",WORKDAY(Main[[#This Row],[Tech Start Date]],2),""))))</f>
        <v>40823</v>
      </c>
      <c r="N1310" s="104">
        <f>IF(Main[[#This Row],[Tech Start Date]]&lt;1/1/1990,"",IF(Main[[#This Row],[Class]]="C",WORKDAY(Main[[#This Row],[Tech Start Date]],19),IF(Main[[#This Row],[Class]]="B", WORKDAY(Main[[#This Row],[Tech Start Date]],12),IF(Main[[#This Row],[Class]]="A",WORKDAY(Main[[#This Row],[Tech Start Date]],4),""))))</f>
        <v>40827</v>
      </c>
      <c r="O1310" s="104">
        <f>IF(Main[[#This Row],[Tech Start Date]]&lt;1/1/1990,"",IF(Main[[#This Row],[Class]]="C",WORKDAY(Main[[#This Row],[Tech Start Date]],23),IF(Main[[#This Row],[Class]]="B", WORKDAY(Main[[#This Row],[Tech Start Date]],15),IF(Main[[#This Row],[Class]]="A",WORKDAY(Main[[#This Row],[Tech Start Date]],5),""))))</f>
        <v>40828</v>
      </c>
      <c r="P1310" s="104">
        <f>IF(Main[[#This Row],[Tech Start Date]]&lt;1/1/1990,"",IF(Main[[#This Row],[Class]]="C",WORKDAY(Main[[#This Row],[Tech Start Date]],28),IF(Main[[#This Row],[Class]]="B", WORKDAY(Main[[#This Row],[Tech Start Date]],19),IF(Main[[#This Row],[Class]]="A",WORKDAY(Main[[#This Row],[Tech Start Date]],9),""))))</f>
        <v>40834</v>
      </c>
      <c r="Q1310" s="101"/>
      <c r="R1310" s="101">
        <v>40836</v>
      </c>
      <c r="S1310" s="99" t="s">
        <v>11</v>
      </c>
      <c r="T1310" s="107" t="s">
        <v>2901</v>
      </c>
      <c r="U1310" s="99" t="s">
        <v>14</v>
      </c>
      <c r="V1310" s="99" t="s">
        <v>1965</v>
      </c>
      <c r="W1310" s="99" t="s">
        <v>1970</v>
      </c>
    </row>
    <row r="1311" spans="1:23" ht="18.600000000000001" customHeight="1">
      <c r="A1311" s="123" t="str">
        <f>IF(priority(Main[[#This Row],[Comments]])&lt;&gt;0, priority(Main[[#This Row],[Comments]]),"")</f>
        <v/>
      </c>
      <c r="B1311" s="127" t="s">
        <v>2902</v>
      </c>
      <c r="C1311" s="99" t="s">
        <v>116</v>
      </c>
      <c r="D1311" s="100" t="s">
        <v>2903</v>
      </c>
      <c r="E1311" s="101">
        <v>40823.419490740744</v>
      </c>
      <c r="F1311" s="101"/>
      <c r="G1311" s="102" t="str">
        <f>IF(stdProdLT(Main[[#This Row],[Comments]])=0.1,"N/A",IF(stdProdLT(Main[[#This Row],[Comments]])=0,"",stdProdLT(Main[[#This Row],[Comments]])))</f>
        <v/>
      </c>
      <c r="H1311" s="103" t="str">
        <f>IF(AND(Main[[#This Row],[In Stock Date]]&lt;&gt;"",Main[[#This Row],[Revised Due Date]]&lt;&gt;""),Main[[#This Row],[In Stock Date]]-Main[[#This Row],[Revised Due Date]],"")</f>
        <v/>
      </c>
      <c r="I1311" s="99" t="s">
        <v>242</v>
      </c>
      <c r="J1311" s="99" t="s">
        <v>21</v>
      </c>
      <c r="K1311" s="99" t="s">
        <v>1969</v>
      </c>
      <c r="L1311" s="101">
        <v>40823</v>
      </c>
      <c r="M1311" s="104">
        <f>IF(Main[[#This Row],[Tech Start Date]]&lt;1/1/1990,"",IF(Main[[#This Row],[Class]]="C",WORKDAY(Main[[#This Row],[Tech Start Date]],9),IF(Main[[#This Row],[Class]]="B", WORKDAY(Main[[#This Row],[Tech Start Date]],6),IF(Main[[#This Row],[Class]]="A",WORKDAY(Main[[#This Row],[Tech Start Date]],2),""))))</f>
        <v>40833</v>
      </c>
      <c r="N1311" s="104">
        <f>IF(Main[[#This Row],[Tech Start Date]]&lt;1/1/1990,"",IF(Main[[#This Row],[Class]]="C",WORKDAY(Main[[#This Row],[Tech Start Date]],19),IF(Main[[#This Row],[Class]]="B", WORKDAY(Main[[#This Row],[Tech Start Date]],12),IF(Main[[#This Row],[Class]]="A",WORKDAY(Main[[#This Row],[Tech Start Date]],4),""))))</f>
        <v>40841</v>
      </c>
      <c r="O1311" s="104">
        <f>IF(Main[[#This Row],[Tech Start Date]]&lt;1/1/1990,"",IF(Main[[#This Row],[Class]]="C",WORKDAY(Main[[#This Row],[Tech Start Date]],23),IF(Main[[#This Row],[Class]]="B", WORKDAY(Main[[#This Row],[Tech Start Date]],15),IF(Main[[#This Row],[Class]]="A",WORKDAY(Main[[#This Row],[Tech Start Date]],5),""))))</f>
        <v>40844</v>
      </c>
      <c r="P1311" s="104">
        <f>IF(Main[[#This Row],[Tech Start Date]]&lt;1/1/1990,"",IF(Main[[#This Row],[Class]]="C",WORKDAY(Main[[#This Row],[Tech Start Date]],28),IF(Main[[#This Row],[Class]]="B", WORKDAY(Main[[#This Row],[Tech Start Date]],19),IF(Main[[#This Row],[Class]]="A",WORKDAY(Main[[#This Row],[Tech Start Date]],9),""))))</f>
        <v>40850</v>
      </c>
      <c r="Q1311" s="101"/>
      <c r="R1311" s="101">
        <v>40837</v>
      </c>
      <c r="S1311" s="99" t="s">
        <v>6</v>
      </c>
      <c r="T1311" s="107" t="s">
        <v>4</v>
      </c>
      <c r="U1311" s="99" t="s">
        <v>29</v>
      </c>
      <c r="V1311" s="99" t="s">
        <v>1965</v>
      </c>
      <c r="W1311" s="99" t="s">
        <v>1966</v>
      </c>
    </row>
    <row r="1312" spans="1:23" ht="18.600000000000001" customHeight="1">
      <c r="A1312" s="123" t="str">
        <f>IF(priority(Main[[#This Row],[Comments]])&lt;&gt;0, priority(Main[[#This Row],[Comments]]),"")</f>
        <v/>
      </c>
      <c r="B1312" s="127" t="s">
        <v>2911</v>
      </c>
      <c r="C1312" s="99" t="s">
        <v>116</v>
      </c>
      <c r="D1312" s="100" t="s">
        <v>2912</v>
      </c>
      <c r="E1312" s="101"/>
      <c r="F1312" s="101"/>
      <c r="G1312" s="102" t="str">
        <f>IF(stdProdLT(Main[[#This Row],[Comments]])=0.1,"N/A",IF(stdProdLT(Main[[#This Row],[Comments]])=0,"",stdProdLT(Main[[#This Row],[Comments]])))</f>
        <v>N/A</v>
      </c>
      <c r="H1312" s="103" t="str">
        <f>IF(AND(Main[[#This Row],[In Stock Date]]&lt;&gt;"",Main[[#This Row],[Revised Due Date]]&lt;&gt;""),Main[[#This Row],[In Stock Date]]-Main[[#This Row],[Revised Due Date]],"")</f>
        <v/>
      </c>
      <c r="I1312" s="99" t="s">
        <v>173</v>
      </c>
      <c r="J1312" s="99" t="s">
        <v>2029</v>
      </c>
      <c r="K1312" s="99" t="s">
        <v>1971</v>
      </c>
      <c r="L1312" s="101">
        <v>40835</v>
      </c>
      <c r="M1312" s="104">
        <f>IF(Main[[#This Row],[Tech Start Date]]&lt;1/1/1990,"",IF(Main[[#This Row],[Class]]="C",WORKDAY(Main[[#This Row],[Tech Start Date]],9),IF(Main[[#This Row],[Class]]="B", WORKDAY(Main[[#This Row],[Tech Start Date]],6),IF(Main[[#This Row],[Class]]="A",WORKDAY(Main[[#This Row],[Tech Start Date]],2),""))))</f>
        <v>40837</v>
      </c>
      <c r="N1312" s="104">
        <f>IF(Main[[#This Row],[Tech Start Date]]&lt;1/1/1990,"",IF(Main[[#This Row],[Class]]="C",WORKDAY(Main[[#This Row],[Tech Start Date]],19),IF(Main[[#This Row],[Class]]="B", WORKDAY(Main[[#This Row],[Tech Start Date]],12),IF(Main[[#This Row],[Class]]="A",WORKDAY(Main[[#This Row],[Tech Start Date]],4),""))))</f>
        <v>40841</v>
      </c>
      <c r="O1312" s="104">
        <f>IF(Main[[#This Row],[Tech Start Date]]&lt;1/1/1990,"",IF(Main[[#This Row],[Class]]="C",WORKDAY(Main[[#This Row],[Tech Start Date]],23),IF(Main[[#This Row],[Class]]="B", WORKDAY(Main[[#This Row],[Tech Start Date]],15),IF(Main[[#This Row],[Class]]="A",WORKDAY(Main[[#This Row],[Tech Start Date]],5),""))))</f>
        <v>40842</v>
      </c>
      <c r="P1312" s="104">
        <f>IF(Main[[#This Row],[Tech Start Date]]&lt;1/1/1990,"",IF(Main[[#This Row],[Class]]="C",WORKDAY(Main[[#This Row],[Tech Start Date]],28),IF(Main[[#This Row],[Class]]="B", WORKDAY(Main[[#This Row],[Tech Start Date]],19),IF(Main[[#This Row],[Class]]="A",WORKDAY(Main[[#This Row],[Tech Start Date]],9),""))))</f>
        <v>40848</v>
      </c>
      <c r="Q1312" s="101">
        <v>40954</v>
      </c>
      <c r="R1312" s="101">
        <v>40850</v>
      </c>
      <c r="S1312" s="99" t="s">
        <v>11</v>
      </c>
      <c r="T1312" s="107" t="s">
        <v>2913</v>
      </c>
      <c r="U1312" s="99" t="s">
        <v>14</v>
      </c>
      <c r="V1312" s="99" t="s">
        <v>1965</v>
      </c>
      <c r="W1312" s="99" t="s">
        <v>1966</v>
      </c>
    </row>
    <row r="1313" spans="1:23" ht="18.600000000000001" customHeight="1">
      <c r="A1313" s="123" t="str">
        <f>IF(priority(Main[[#This Row],[Comments]])&lt;&gt;0, priority(Main[[#This Row],[Comments]]),"")</f>
        <v/>
      </c>
      <c r="B1313" s="127" t="s">
        <v>2925</v>
      </c>
      <c r="C1313" s="99" t="s">
        <v>4</v>
      </c>
      <c r="D1313" s="100" t="s">
        <v>3173</v>
      </c>
      <c r="E1313" s="101">
        <v>40848.357997685183</v>
      </c>
      <c r="F1313" s="101"/>
      <c r="G1313" s="102" t="str">
        <f>IF(stdProdLT(Main[[#This Row],[Comments]])=0.1,"N/A",IF(stdProdLT(Main[[#This Row],[Comments]])=0,"",stdProdLT(Main[[#This Row],[Comments]])))</f>
        <v/>
      </c>
      <c r="H1313" s="103" t="str">
        <f>IF(AND(Main[[#This Row],[In Stock Date]]&lt;&gt;"",Main[[#This Row],[Revised Due Date]]&lt;&gt;""),Main[[#This Row],[In Stock Date]]-Main[[#This Row],[Revised Due Date]],"")</f>
        <v/>
      </c>
      <c r="I1313" s="99" t="s">
        <v>2926</v>
      </c>
      <c r="J1313" s="99" t="s">
        <v>28</v>
      </c>
      <c r="K1313" s="99" t="s">
        <v>1974</v>
      </c>
      <c r="L1313" s="101">
        <v>40840</v>
      </c>
      <c r="M1313" s="104" t="str">
        <f>IF(Main[[#This Row],[Tech Start Date]]&lt;1/1/1990,"",IF(Main[[#This Row],[Class]]="C",WORKDAY(Main[[#This Row],[Tech Start Date]],9),IF(Main[[#This Row],[Class]]="B", WORKDAY(Main[[#This Row],[Tech Start Date]],6),IF(Main[[#This Row],[Class]]="A",WORKDAY(Main[[#This Row],[Tech Start Date]],2),""))))</f>
        <v/>
      </c>
      <c r="N1313" s="104" t="str">
        <f>IF(Main[[#This Row],[Tech Start Date]]&lt;1/1/1990,"",IF(Main[[#This Row],[Class]]="C",WORKDAY(Main[[#This Row],[Tech Start Date]],19),IF(Main[[#This Row],[Class]]="B", WORKDAY(Main[[#This Row],[Tech Start Date]],12),IF(Main[[#This Row],[Class]]="A",WORKDAY(Main[[#This Row],[Tech Start Date]],4),""))))</f>
        <v/>
      </c>
      <c r="O1313" s="104" t="str">
        <f>IF(Main[[#This Row],[Tech Start Date]]&lt;1/1/1990,"",IF(Main[[#This Row],[Class]]="C",WORKDAY(Main[[#This Row],[Tech Start Date]],23),IF(Main[[#This Row],[Class]]="B", WORKDAY(Main[[#This Row],[Tech Start Date]],15),IF(Main[[#This Row],[Class]]="A",WORKDAY(Main[[#This Row],[Tech Start Date]],5),""))))</f>
        <v/>
      </c>
      <c r="P1313" s="104" t="str">
        <f>IF(Main[[#This Row],[Tech Start Date]]&lt;1/1/1990,"",IF(Main[[#This Row],[Class]]="C",WORKDAY(Main[[#This Row],[Tech Start Date]],28),IF(Main[[#This Row],[Class]]="B", WORKDAY(Main[[#This Row],[Tech Start Date]],19),IF(Main[[#This Row],[Class]]="A",WORKDAY(Main[[#This Row],[Tech Start Date]],9),""))))</f>
        <v/>
      </c>
      <c r="Q1313" s="101">
        <v>40998</v>
      </c>
      <c r="R1313" s="101">
        <v>40998</v>
      </c>
      <c r="S1313" s="99" t="s">
        <v>17</v>
      </c>
      <c r="T1313" s="107" t="s">
        <v>4</v>
      </c>
      <c r="U1313" s="99" t="s">
        <v>29</v>
      </c>
      <c r="V1313" s="99" t="s">
        <v>1962</v>
      </c>
      <c r="W1313" s="99" t="s">
        <v>1967</v>
      </c>
    </row>
    <row r="1314" spans="1:23" ht="18.600000000000001" customHeight="1">
      <c r="A1314" s="123" t="str">
        <f>IF(priority(Main[[#This Row],[Comments]])&lt;&gt;0, priority(Main[[#This Row],[Comments]]),"")</f>
        <v/>
      </c>
      <c r="B1314" s="127" t="s">
        <v>2927</v>
      </c>
      <c r="C1314" s="99" t="s">
        <v>4</v>
      </c>
      <c r="D1314" s="100" t="s">
        <v>3165</v>
      </c>
      <c r="E1314" s="101">
        <v>40857.869537037041</v>
      </c>
      <c r="F1314" s="101"/>
      <c r="G1314" s="102" t="str">
        <f>IF(stdProdLT(Main[[#This Row],[Comments]])=0.1,"N/A",IF(stdProdLT(Main[[#This Row],[Comments]])=0,"",stdProdLT(Main[[#This Row],[Comments]])))</f>
        <v/>
      </c>
      <c r="H1314" s="103" t="str">
        <f>IF(AND(Main[[#This Row],[In Stock Date]]&lt;&gt;"",Main[[#This Row],[Revised Due Date]]&lt;&gt;""),Main[[#This Row],[In Stock Date]]-Main[[#This Row],[Revised Due Date]],"")</f>
        <v/>
      </c>
      <c r="I1314" s="99" t="s">
        <v>905</v>
      </c>
      <c r="J1314" s="99" t="s">
        <v>4</v>
      </c>
      <c r="K1314" s="99" t="s">
        <v>1974</v>
      </c>
      <c r="L1314" s="101">
        <v>40842</v>
      </c>
      <c r="M1314" s="104" t="str">
        <f>IF(Main[[#This Row],[Tech Start Date]]&lt;1/1/1990,"",IF(Main[[#This Row],[Class]]="C",WORKDAY(Main[[#This Row],[Tech Start Date]],9),IF(Main[[#This Row],[Class]]="B", WORKDAY(Main[[#This Row],[Tech Start Date]],6),IF(Main[[#This Row],[Class]]="A",WORKDAY(Main[[#This Row],[Tech Start Date]],2),""))))</f>
        <v/>
      </c>
      <c r="N1314" s="104" t="str">
        <f>IF(Main[[#This Row],[Tech Start Date]]&lt;1/1/1990,"",IF(Main[[#This Row],[Class]]="C",WORKDAY(Main[[#This Row],[Tech Start Date]],19),IF(Main[[#This Row],[Class]]="B", WORKDAY(Main[[#This Row],[Tech Start Date]],12),IF(Main[[#This Row],[Class]]="A",WORKDAY(Main[[#This Row],[Tech Start Date]],4),""))))</f>
        <v/>
      </c>
      <c r="O1314" s="104" t="str">
        <f>IF(Main[[#This Row],[Tech Start Date]]&lt;1/1/1990,"",IF(Main[[#This Row],[Class]]="C",WORKDAY(Main[[#This Row],[Tech Start Date]],23),IF(Main[[#This Row],[Class]]="B", WORKDAY(Main[[#This Row],[Tech Start Date]],15),IF(Main[[#This Row],[Class]]="A",WORKDAY(Main[[#This Row],[Tech Start Date]],5),""))))</f>
        <v/>
      </c>
      <c r="P1314" s="104" t="str">
        <f>IF(Main[[#This Row],[Tech Start Date]]&lt;1/1/1990,"",IF(Main[[#This Row],[Class]]="C",WORKDAY(Main[[#This Row],[Tech Start Date]],28),IF(Main[[#This Row],[Class]]="B", WORKDAY(Main[[#This Row],[Tech Start Date]],19),IF(Main[[#This Row],[Class]]="A",WORKDAY(Main[[#This Row],[Tech Start Date]],9),""))))</f>
        <v/>
      </c>
      <c r="Q1314" s="101">
        <v>40907</v>
      </c>
      <c r="R1314" s="101">
        <v>40907</v>
      </c>
      <c r="S1314" s="99" t="s">
        <v>6</v>
      </c>
      <c r="T1314" s="107" t="s">
        <v>4</v>
      </c>
      <c r="U1314" s="99" t="s">
        <v>29</v>
      </c>
      <c r="V1314" s="99" t="s">
        <v>1962</v>
      </c>
      <c r="W1314" s="99" t="s">
        <v>1966</v>
      </c>
    </row>
    <row r="1315" spans="1:23" ht="18.600000000000001" customHeight="1">
      <c r="A1315" s="123" t="str">
        <f>IF(priority(Main[[#This Row],[Comments]])&lt;&gt;0, priority(Main[[#This Row],[Comments]]),"")</f>
        <v/>
      </c>
      <c r="B1315" s="127" t="s">
        <v>2942</v>
      </c>
      <c r="C1315" s="99" t="s">
        <v>2943</v>
      </c>
      <c r="D1315" s="100" t="s">
        <v>2944</v>
      </c>
      <c r="E1315" s="101"/>
      <c r="F1315" s="101"/>
      <c r="G1315" s="102" t="str">
        <f>IF(stdProdLT(Main[[#This Row],[Comments]])=0.1,"N/A",IF(stdProdLT(Main[[#This Row],[Comments]])=0,"",stdProdLT(Main[[#This Row],[Comments]])))</f>
        <v/>
      </c>
      <c r="H1315" s="103" t="str">
        <f>IF(AND(Main[[#This Row],[In Stock Date]]&lt;&gt;"",Main[[#This Row],[Revised Due Date]]&lt;&gt;""),Main[[#This Row],[In Stock Date]]-Main[[#This Row],[Revised Due Date]],"")</f>
        <v/>
      </c>
      <c r="I1315" s="99" t="s">
        <v>2102</v>
      </c>
      <c r="J1315" s="99" t="s">
        <v>28</v>
      </c>
      <c r="K1315" s="99" t="s">
        <v>1971</v>
      </c>
      <c r="L1315" s="101">
        <v>40848</v>
      </c>
      <c r="M1315" s="104">
        <f>IF(Main[[#This Row],[Tech Start Date]]&lt;1/1/1990,"",IF(Main[[#This Row],[Class]]="C",WORKDAY(Main[[#This Row],[Tech Start Date]],9),IF(Main[[#This Row],[Class]]="B", WORKDAY(Main[[#This Row],[Tech Start Date]],6),IF(Main[[#This Row],[Class]]="A",WORKDAY(Main[[#This Row],[Tech Start Date]],2),""))))</f>
        <v>40850</v>
      </c>
      <c r="N1315" s="104">
        <f>IF(Main[[#This Row],[Tech Start Date]]&lt;1/1/1990,"",IF(Main[[#This Row],[Class]]="C",WORKDAY(Main[[#This Row],[Tech Start Date]],19),IF(Main[[#This Row],[Class]]="B", WORKDAY(Main[[#This Row],[Tech Start Date]],12),IF(Main[[#This Row],[Class]]="A",WORKDAY(Main[[#This Row],[Tech Start Date]],4),""))))</f>
        <v>40854</v>
      </c>
      <c r="O1315" s="104">
        <f>IF(Main[[#This Row],[Tech Start Date]]&lt;1/1/1990,"",IF(Main[[#This Row],[Class]]="C",WORKDAY(Main[[#This Row],[Tech Start Date]],23),IF(Main[[#This Row],[Class]]="B", WORKDAY(Main[[#This Row],[Tech Start Date]],15),IF(Main[[#This Row],[Class]]="A",WORKDAY(Main[[#This Row],[Tech Start Date]],5),""))))</f>
        <v>40855</v>
      </c>
      <c r="P1315" s="104">
        <f>IF(Main[[#This Row],[Tech Start Date]]&lt;1/1/1990,"",IF(Main[[#This Row],[Class]]="C",WORKDAY(Main[[#This Row],[Tech Start Date]],28),IF(Main[[#This Row],[Class]]="B", WORKDAY(Main[[#This Row],[Tech Start Date]],19),IF(Main[[#This Row],[Class]]="A",WORKDAY(Main[[#This Row],[Tech Start Date]],9),""))))</f>
        <v>40861</v>
      </c>
      <c r="Q1315" s="101">
        <v>40849</v>
      </c>
      <c r="R1315" s="101">
        <v>40863</v>
      </c>
      <c r="S1315" s="99" t="s">
        <v>11</v>
      </c>
      <c r="T1315" s="107" t="s">
        <v>4</v>
      </c>
      <c r="U1315" s="99" t="s">
        <v>14</v>
      </c>
      <c r="V1315" s="99" t="s">
        <v>1972</v>
      </c>
      <c r="W1315" s="99" t="s">
        <v>1970</v>
      </c>
    </row>
    <row r="1316" spans="1:23" ht="18.600000000000001" customHeight="1">
      <c r="A1316" s="123" t="str">
        <f>IF(priority(Main[[#This Row],[Comments]])&lt;&gt;0, priority(Main[[#This Row],[Comments]]),"")</f>
        <v/>
      </c>
      <c r="B1316" s="127" t="s">
        <v>2960</v>
      </c>
      <c r="C1316" s="99" t="s">
        <v>72</v>
      </c>
      <c r="D1316" s="100" t="s">
        <v>2961</v>
      </c>
      <c r="E1316" s="101">
        <v>40843.078125</v>
      </c>
      <c r="F1316" s="101">
        <v>41122</v>
      </c>
      <c r="G1316" s="102" t="str">
        <f>IF(stdProdLT(Main[[#This Row],[Comments]])=0.1,"N/A",IF(stdProdLT(Main[[#This Row],[Comments]])=0,"",stdProdLT(Main[[#This Row],[Comments]])))</f>
        <v/>
      </c>
      <c r="H1316" s="103">
        <f>IF(AND(Main[[#This Row],[In Stock Date]]&lt;&gt;"",Main[[#This Row],[Revised Due Date]]&lt;&gt;""),Main[[#This Row],[In Stock Date]]-Main[[#This Row],[Revised Due Date]],"")</f>
        <v>184</v>
      </c>
      <c r="I1316" s="99" t="s">
        <v>2915</v>
      </c>
      <c r="J1316" s="99" t="s">
        <v>28</v>
      </c>
      <c r="K1316" s="99" t="s">
        <v>1975</v>
      </c>
      <c r="L1316" s="101">
        <v>40849</v>
      </c>
      <c r="M1316" s="104">
        <f>IF(Main[[#This Row],[Tech Start Date]]&lt;1/1/1990,"",IF(Main[[#This Row],[Class]]="C",WORKDAY(Main[[#This Row],[Tech Start Date]],9),IF(Main[[#This Row],[Class]]="B", WORKDAY(Main[[#This Row],[Tech Start Date]],6),IF(Main[[#This Row],[Class]]="A",WORKDAY(Main[[#This Row],[Tech Start Date]],2),""))))</f>
        <v>40862</v>
      </c>
      <c r="N1316" s="104">
        <f>IF(Main[[#This Row],[Tech Start Date]]&lt;1/1/1990,"",IF(Main[[#This Row],[Class]]="C",WORKDAY(Main[[#This Row],[Tech Start Date]],19),IF(Main[[#This Row],[Class]]="B", WORKDAY(Main[[#This Row],[Tech Start Date]],12),IF(Main[[#This Row],[Class]]="A",WORKDAY(Main[[#This Row],[Tech Start Date]],4),""))))</f>
        <v>40876</v>
      </c>
      <c r="O1316" s="104">
        <f>IF(Main[[#This Row],[Tech Start Date]]&lt;1/1/1990,"",IF(Main[[#This Row],[Class]]="C",WORKDAY(Main[[#This Row],[Tech Start Date]],23),IF(Main[[#This Row],[Class]]="B", WORKDAY(Main[[#This Row],[Tech Start Date]],15),IF(Main[[#This Row],[Class]]="A",WORKDAY(Main[[#This Row],[Tech Start Date]],5),""))))</f>
        <v>40882</v>
      </c>
      <c r="P1316" s="104">
        <f>IF(Main[[#This Row],[Tech Start Date]]&lt;1/1/1990,"",IF(Main[[#This Row],[Class]]="C",WORKDAY(Main[[#This Row],[Tech Start Date]],28),IF(Main[[#This Row],[Class]]="B", WORKDAY(Main[[#This Row],[Tech Start Date]],19),IF(Main[[#This Row],[Class]]="A",WORKDAY(Main[[#This Row],[Tech Start Date]],9),""))))</f>
        <v>40889</v>
      </c>
      <c r="Q1316" s="101"/>
      <c r="R1316" s="101">
        <v>40938</v>
      </c>
      <c r="S1316" s="99" t="s">
        <v>11</v>
      </c>
      <c r="T1316" s="107" t="s">
        <v>2962</v>
      </c>
      <c r="U1316" s="99" t="s">
        <v>29</v>
      </c>
      <c r="V1316" s="99" t="s">
        <v>1963</v>
      </c>
      <c r="W1316" s="99" t="s">
        <v>1967</v>
      </c>
    </row>
    <row r="1317" spans="1:23" ht="18.600000000000001" customHeight="1">
      <c r="A1317" s="123" t="str">
        <f>IF(priority(Main[[#This Row],[Comments]])&lt;&gt;0, priority(Main[[#This Row],[Comments]]),"")</f>
        <v/>
      </c>
      <c r="B1317" s="127" t="s">
        <v>2970</v>
      </c>
      <c r="C1317" s="99" t="s">
        <v>2954</v>
      </c>
      <c r="D1317" s="100" t="s">
        <v>2971</v>
      </c>
      <c r="E1317" s="101">
        <v>40848.717314814814</v>
      </c>
      <c r="F1317" s="101"/>
      <c r="G1317" s="102" t="str">
        <f>IF(stdProdLT(Main[[#This Row],[Comments]])=0.1,"N/A",IF(stdProdLT(Main[[#This Row],[Comments]])=0,"",stdProdLT(Main[[#This Row],[Comments]])))</f>
        <v/>
      </c>
      <c r="H1317" s="103" t="str">
        <f>IF(AND(Main[[#This Row],[In Stock Date]]&lt;&gt;"",Main[[#This Row],[Revised Due Date]]&lt;&gt;""),Main[[#This Row],[In Stock Date]]-Main[[#This Row],[Revised Due Date]],"")</f>
        <v/>
      </c>
      <c r="I1317" s="99" t="s">
        <v>69</v>
      </c>
      <c r="J1317" s="99" t="s">
        <v>28</v>
      </c>
      <c r="K1317" s="99" t="s">
        <v>1971</v>
      </c>
      <c r="L1317" s="101">
        <v>40849</v>
      </c>
      <c r="M1317" s="104">
        <f>IF(Main[[#This Row],[Tech Start Date]]&lt;1/1/1990,"",IF(Main[[#This Row],[Class]]="C",WORKDAY(Main[[#This Row],[Tech Start Date]],9),IF(Main[[#This Row],[Class]]="B", WORKDAY(Main[[#This Row],[Tech Start Date]],6),IF(Main[[#This Row],[Class]]="A",WORKDAY(Main[[#This Row],[Tech Start Date]],2),""))))</f>
        <v>40851</v>
      </c>
      <c r="N1317" s="104">
        <f>IF(Main[[#This Row],[Tech Start Date]]&lt;1/1/1990,"",IF(Main[[#This Row],[Class]]="C",WORKDAY(Main[[#This Row],[Tech Start Date]],19),IF(Main[[#This Row],[Class]]="B", WORKDAY(Main[[#This Row],[Tech Start Date]],12),IF(Main[[#This Row],[Class]]="A",WORKDAY(Main[[#This Row],[Tech Start Date]],4),""))))</f>
        <v>40855</v>
      </c>
      <c r="O1317" s="104">
        <f>IF(Main[[#This Row],[Tech Start Date]]&lt;1/1/1990,"",IF(Main[[#This Row],[Class]]="C",WORKDAY(Main[[#This Row],[Tech Start Date]],23),IF(Main[[#This Row],[Class]]="B", WORKDAY(Main[[#This Row],[Tech Start Date]],15),IF(Main[[#This Row],[Class]]="A",WORKDAY(Main[[#This Row],[Tech Start Date]],5),""))))</f>
        <v>40856</v>
      </c>
      <c r="P1317" s="104">
        <f>IF(Main[[#This Row],[Tech Start Date]]&lt;1/1/1990,"",IF(Main[[#This Row],[Class]]="C",WORKDAY(Main[[#This Row],[Tech Start Date]],28),IF(Main[[#This Row],[Class]]="B", WORKDAY(Main[[#This Row],[Tech Start Date]],19),IF(Main[[#This Row],[Class]]="A",WORKDAY(Main[[#This Row],[Tech Start Date]],9),""))))</f>
        <v>40862</v>
      </c>
      <c r="Q1317" s="101"/>
      <c r="R1317" s="101">
        <v>40864</v>
      </c>
      <c r="S1317" s="99" t="s">
        <v>6</v>
      </c>
      <c r="T1317" s="107" t="s">
        <v>4</v>
      </c>
      <c r="U1317" s="99" t="s">
        <v>29</v>
      </c>
      <c r="V1317" s="99" t="s">
        <v>1972</v>
      </c>
      <c r="W1317" s="99" t="s">
        <v>1976</v>
      </c>
    </row>
    <row r="1318" spans="1:23" ht="18.600000000000001" customHeight="1">
      <c r="A1318" s="123" t="str">
        <f>IF(priority(Main[[#This Row],[Comments]])&lt;&gt;0, priority(Main[[#This Row],[Comments]]),"")</f>
        <v/>
      </c>
      <c r="B1318" s="127" t="s">
        <v>2972</v>
      </c>
      <c r="C1318" s="99" t="s">
        <v>4</v>
      </c>
      <c r="D1318" s="100" t="s">
        <v>2973</v>
      </c>
      <c r="E1318" s="101">
        <v>40848.726550925923</v>
      </c>
      <c r="F1318" s="101"/>
      <c r="G1318" s="102" t="str">
        <f>IF(stdProdLT(Main[[#This Row],[Comments]])=0.1,"N/A",IF(stdProdLT(Main[[#This Row],[Comments]])=0,"",stdProdLT(Main[[#This Row],[Comments]])))</f>
        <v/>
      </c>
      <c r="H1318" s="103" t="str">
        <f>IF(AND(Main[[#This Row],[In Stock Date]]&lt;&gt;"",Main[[#This Row],[Revised Due Date]]&lt;&gt;""),Main[[#This Row],[In Stock Date]]-Main[[#This Row],[Revised Due Date]],"")</f>
        <v/>
      </c>
      <c r="I1318" s="99" t="s">
        <v>69</v>
      </c>
      <c r="J1318" s="99" t="s">
        <v>28</v>
      </c>
      <c r="K1318" s="99" t="s">
        <v>1971</v>
      </c>
      <c r="L1318" s="101">
        <v>40849</v>
      </c>
      <c r="M1318" s="104">
        <f>IF(Main[[#This Row],[Tech Start Date]]&lt;1/1/1990,"",IF(Main[[#This Row],[Class]]="C",WORKDAY(Main[[#This Row],[Tech Start Date]],9),IF(Main[[#This Row],[Class]]="B", WORKDAY(Main[[#This Row],[Tech Start Date]],6),IF(Main[[#This Row],[Class]]="A",WORKDAY(Main[[#This Row],[Tech Start Date]],2),""))))</f>
        <v>40851</v>
      </c>
      <c r="N1318" s="104">
        <f>IF(Main[[#This Row],[Tech Start Date]]&lt;1/1/1990,"",IF(Main[[#This Row],[Class]]="C",WORKDAY(Main[[#This Row],[Tech Start Date]],19),IF(Main[[#This Row],[Class]]="B", WORKDAY(Main[[#This Row],[Tech Start Date]],12),IF(Main[[#This Row],[Class]]="A",WORKDAY(Main[[#This Row],[Tech Start Date]],4),""))))</f>
        <v>40855</v>
      </c>
      <c r="O1318" s="104">
        <f>IF(Main[[#This Row],[Tech Start Date]]&lt;1/1/1990,"",IF(Main[[#This Row],[Class]]="C",WORKDAY(Main[[#This Row],[Tech Start Date]],23),IF(Main[[#This Row],[Class]]="B", WORKDAY(Main[[#This Row],[Tech Start Date]],15),IF(Main[[#This Row],[Class]]="A",WORKDAY(Main[[#This Row],[Tech Start Date]],5),""))))</f>
        <v>40856</v>
      </c>
      <c r="P1318" s="104">
        <f>IF(Main[[#This Row],[Tech Start Date]]&lt;1/1/1990,"",IF(Main[[#This Row],[Class]]="C",WORKDAY(Main[[#This Row],[Tech Start Date]],28),IF(Main[[#This Row],[Class]]="B", WORKDAY(Main[[#This Row],[Tech Start Date]],19),IF(Main[[#This Row],[Class]]="A",WORKDAY(Main[[#This Row],[Tech Start Date]],9),""))))</f>
        <v>40862</v>
      </c>
      <c r="Q1318" s="101"/>
      <c r="R1318" s="101">
        <v>40864</v>
      </c>
      <c r="S1318" s="99" t="s">
        <v>6</v>
      </c>
      <c r="T1318" s="107" t="s">
        <v>4</v>
      </c>
      <c r="U1318" s="99" t="s">
        <v>29</v>
      </c>
      <c r="V1318" s="99" t="s">
        <v>1972</v>
      </c>
      <c r="W1318" s="99" t="s">
        <v>1976</v>
      </c>
    </row>
    <row r="1319" spans="1:23" ht="18.600000000000001" customHeight="1">
      <c r="A1319" s="123" t="str">
        <f>IF(priority(Main[[#This Row],[Comments]])&lt;&gt;0, priority(Main[[#This Row],[Comments]]),"")</f>
        <v/>
      </c>
      <c r="B1319" s="127" t="s">
        <v>1714</v>
      </c>
      <c r="C1319" s="99" t="s">
        <v>4</v>
      </c>
      <c r="D1319" s="100" t="s">
        <v>2980</v>
      </c>
      <c r="E1319" s="101">
        <v>40647.529861111114</v>
      </c>
      <c r="F1319" s="101"/>
      <c r="G1319" s="102" t="str">
        <f>IF(stdProdLT(Main[[#This Row],[Comments]])=0.1,"N/A",IF(stdProdLT(Main[[#This Row],[Comments]])=0,"",stdProdLT(Main[[#This Row],[Comments]])))</f>
        <v/>
      </c>
      <c r="H1319" s="103" t="str">
        <f>IF(AND(Main[[#This Row],[In Stock Date]]&lt;&gt;"",Main[[#This Row],[Revised Due Date]]&lt;&gt;""),Main[[#This Row],[In Stock Date]]-Main[[#This Row],[Revised Due Date]],"")</f>
        <v/>
      </c>
      <c r="I1319" s="99" t="s">
        <v>893</v>
      </c>
      <c r="J1319" s="99" t="s">
        <v>4</v>
      </c>
      <c r="K1319" s="108" t="s">
        <v>1971</v>
      </c>
      <c r="L1319" s="101">
        <v>40856</v>
      </c>
      <c r="M1319" s="104">
        <f>IF(Main[[#This Row],[Tech Start Date]]&lt;1/1/1990,"",IF(Main[[#This Row],[Class]]="C",WORKDAY(Main[[#This Row],[Tech Start Date]],9),IF(Main[[#This Row],[Class]]="B", WORKDAY(Main[[#This Row],[Tech Start Date]],6),IF(Main[[#This Row],[Class]]="A",WORKDAY(Main[[#This Row],[Tech Start Date]],2),""))))</f>
        <v>40858</v>
      </c>
      <c r="N1319" s="104">
        <f>IF(Main[[#This Row],[Tech Start Date]]&lt;1/1/1990,"",IF(Main[[#This Row],[Class]]="C",WORKDAY(Main[[#This Row],[Tech Start Date]],19),IF(Main[[#This Row],[Class]]="B", WORKDAY(Main[[#This Row],[Tech Start Date]],12),IF(Main[[#This Row],[Class]]="A",WORKDAY(Main[[#This Row],[Tech Start Date]],4),""))))</f>
        <v>40862</v>
      </c>
      <c r="O1319" s="104">
        <f>IF(Main[[#This Row],[Tech Start Date]]&lt;1/1/1990,"",IF(Main[[#This Row],[Class]]="C",WORKDAY(Main[[#This Row],[Tech Start Date]],23),IF(Main[[#This Row],[Class]]="B", WORKDAY(Main[[#This Row],[Tech Start Date]],15),IF(Main[[#This Row],[Class]]="A",WORKDAY(Main[[#This Row],[Tech Start Date]],5),""))))</f>
        <v>40863</v>
      </c>
      <c r="P1319" s="104">
        <f>IF(Main[[#This Row],[Tech Start Date]]&lt;1/1/1990,"",IF(Main[[#This Row],[Class]]="C",WORKDAY(Main[[#This Row],[Tech Start Date]],28),IF(Main[[#This Row],[Class]]="B", WORKDAY(Main[[#This Row],[Tech Start Date]],19),IF(Main[[#This Row],[Class]]="A",WORKDAY(Main[[#This Row],[Tech Start Date]],9),""))))</f>
        <v>40869</v>
      </c>
      <c r="Q1319" s="101">
        <v>40877</v>
      </c>
      <c r="R1319" s="101">
        <v>40883</v>
      </c>
      <c r="S1319" s="99" t="s">
        <v>6</v>
      </c>
      <c r="T1319" s="107" t="s">
        <v>2981</v>
      </c>
      <c r="U1319" s="99" t="s">
        <v>29</v>
      </c>
      <c r="V1319" s="99" t="s">
        <v>1962</v>
      </c>
      <c r="W1319" s="99" t="s">
        <v>1964</v>
      </c>
    </row>
    <row r="1320" spans="1:23" ht="18.600000000000001" customHeight="1">
      <c r="A1320" s="123" t="str">
        <f>IF(priority(Main[[#This Row],[Comments]])&lt;&gt;0, priority(Main[[#This Row],[Comments]]),"")</f>
        <v/>
      </c>
      <c r="B1320" s="127" t="s">
        <v>2768</v>
      </c>
      <c r="C1320" s="99" t="s">
        <v>2504</v>
      </c>
      <c r="D1320" s="100" t="s">
        <v>2769</v>
      </c>
      <c r="E1320" s="101">
        <v>40861.671018518522</v>
      </c>
      <c r="F1320" s="101">
        <v>41030</v>
      </c>
      <c r="G1320" s="102">
        <f>IF(stdProdLT(Main[[#This Row],[Comments]])=0.1,"N/A",IF(stdProdLT(Main[[#This Row],[Comments]])=0,"",stdProdLT(Main[[#This Row],[Comments]])))</f>
        <v>168</v>
      </c>
      <c r="H1320" s="103">
        <f>IF(AND(Main[[#This Row],[In Stock Date]]&lt;&gt;"",Main[[#This Row],[Revised Due Date]]&lt;&gt;""),Main[[#This Row],[In Stock Date]]-Main[[#This Row],[Revised Due Date]],"")</f>
        <v>133</v>
      </c>
      <c r="I1320" s="99" t="s">
        <v>568</v>
      </c>
      <c r="J1320" s="99" t="s">
        <v>28</v>
      </c>
      <c r="K1320" s="99" t="s">
        <v>1969</v>
      </c>
      <c r="L1320" s="101">
        <v>40862</v>
      </c>
      <c r="M1320" s="104">
        <f>IF(Main[[#This Row],[Tech Start Date]]&lt;1/1/1990,"",IF(Main[[#This Row],[Class]]="C",WORKDAY(Main[[#This Row],[Tech Start Date]],9),IF(Main[[#This Row],[Class]]="B", WORKDAY(Main[[#This Row],[Tech Start Date]],6),IF(Main[[#This Row],[Class]]="A",WORKDAY(Main[[#This Row],[Tech Start Date]],2),""))))</f>
        <v>40870</v>
      </c>
      <c r="N1320" s="104">
        <f>IF(Main[[#This Row],[Tech Start Date]]&lt;1/1/1990,"",IF(Main[[#This Row],[Class]]="C",WORKDAY(Main[[#This Row],[Tech Start Date]],19),IF(Main[[#This Row],[Class]]="B", WORKDAY(Main[[#This Row],[Tech Start Date]],12),IF(Main[[#This Row],[Class]]="A",WORKDAY(Main[[#This Row],[Tech Start Date]],4),""))))</f>
        <v>40878</v>
      </c>
      <c r="O1320" s="104">
        <f>IF(Main[[#This Row],[Tech Start Date]]&lt;1/1/1990,"",IF(Main[[#This Row],[Class]]="C",WORKDAY(Main[[#This Row],[Tech Start Date]],23),IF(Main[[#This Row],[Class]]="B", WORKDAY(Main[[#This Row],[Tech Start Date]],15),IF(Main[[#This Row],[Class]]="A",WORKDAY(Main[[#This Row],[Tech Start Date]],5),""))))</f>
        <v>40883</v>
      </c>
      <c r="P1320" s="104">
        <f>IF(Main[[#This Row],[Tech Start Date]]&lt;1/1/1990,"",IF(Main[[#This Row],[Class]]="C",WORKDAY(Main[[#This Row],[Tech Start Date]],28),IF(Main[[#This Row],[Class]]="B", WORKDAY(Main[[#This Row],[Tech Start Date]],19),IF(Main[[#This Row],[Class]]="A",WORKDAY(Main[[#This Row],[Tech Start Date]],9),""))))</f>
        <v>40889</v>
      </c>
      <c r="Q1320" s="101">
        <v>40907</v>
      </c>
      <c r="R1320" s="101">
        <v>40897</v>
      </c>
      <c r="S1320" s="99" t="s">
        <v>11</v>
      </c>
      <c r="T1320" s="107" t="s">
        <v>3084</v>
      </c>
      <c r="U1320" s="99" t="s">
        <v>29</v>
      </c>
      <c r="V1320" s="99" t="s">
        <v>1962</v>
      </c>
      <c r="W1320" s="99" t="s">
        <v>1967</v>
      </c>
    </row>
    <row r="1321" spans="1:23" ht="18.600000000000001" customHeight="1">
      <c r="A1321" s="123" t="str">
        <f>IF(priority(Main[[#This Row],[Comments]])&lt;&gt;0, priority(Main[[#This Row],[Comments]]),"")</f>
        <v/>
      </c>
      <c r="B1321" s="127" t="s">
        <v>2982</v>
      </c>
      <c r="C1321" s="99" t="s">
        <v>4</v>
      </c>
      <c r="D1321" s="100" t="s">
        <v>2983</v>
      </c>
      <c r="E1321" s="101">
        <v>40856.430023148147</v>
      </c>
      <c r="F1321" s="101">
        <v>40891</v>
      </c>
      <c r="G1321" s="102" t="str">
        <f>IF(stdProdLT(Main[[#This Row],[Comments]])=0.1,"N/A",IF(stdProdLT(Main[[#This Row],[Comments]])=0,"",stdProdLT(Main[[#This Row],[Comments]])))</f>
        <v/>
      </c>
      <c r="H1321" s="103">
        <f>IF(AND(Main[[#This Row],[In Stock Date]]&lt;&gt;"",Main[[#This Row],[Revised Due Date]]&lt;&gt;""),Main[[#This Row],[In Stock Date]]-Main[[#This Row],[Revised Due Date]],"")</f>
        <v>5</v>
      </c>
      <c r="I1321" s="99" t="s">
        <v>2324</v>
      </c>
      <c r="J1321" s="99" t="s">
        <v>28</v>
      </c>
      <c r="K1321" s="108" t="s">
        <v>1969</v>
      </c>
      <c r="L1321" s="101">
        <v>40862</v>
      </c>
      <c r="M1321" s="104">
        <f>IF(Main[[#This Row],[Tech Start Date]]&lt;1/1/1990,"",IF(Main[[#This Row],[Class]]="C",WORKDAY(Main[[#This Row],[Tech Start Date]],9),IF(Main[[#This Row],[Class]]="B", WORKDAY(Main[[#This Row],[Tech Start Date]],6),IF(Main[[#This Row],[Class]]="A",WORKDAY(Main[[#This Row],[Tech Start Date]],2),""))))</f>
        <v>40870</v>
      </c>
      <c r="N1321" s="104">
        <f>IF(Main[[#This Row],[Tech Start Date]]&lt;1/1/1990,"",IF(Main[[#This Row],[Class]]="C",WORKDAY(Main[[#This Row],[Tech Start Date]],19),IF(Main[[#This Row],[Class]]="B", WORKDAY(Main[[#This Row],[Tech Start Date]],12),IF(Main[[#This Row],[Class]]="A",WORKDAY(Main[[#This Row],[Tech Start Date]],4),""))))</f>
        <v>40878</v>
      </c>
      <c r="O1321" s="104">
        <f>IF(Main[[#This Row],[Tech Start Date]]&lt;1/1/1990,"",IF(Main[[#This Row],[Class]]="C",WORKDAY(Main[[#This Row],[Tech Start Date]],23),IF(Main[[#This Row],[Class]]="B", WORKDAY(Main[[#This Row],[Tech Start Date]],15),IF(Main[[#This Row],[Class]]="A",WORKDAY(Main[[#This Row],[Tech Start Date]],5),""))))</f>
        <v>40883</v>
      </c>
      <c r="P1321" s="104">
        <f>IF(Main[[#This Row],[Tech Start Date]]&lt;1/1/1990,"",IF(Main[[#This Row],[Class]]="C",WORKDAY(Main[[#This Row],[Tech Start Date]],28),IF(Main[[#This Row],[Class]]="B", WORKDAY(Main[[#This Row],[Tech Start Date]],19),IF(Main[[#This Row],[Class]]="A",WORKDAY(Main[[#This Row],[Tech Start Date]],9),""))))</f>
        <v>40889</v>
      </c>
      <c r="Q1321" s="101"/>
      <c r="R1321" s="101">
        <v>40886</v>
      </c>
      <c r="S1321" s="99" t="s">
        <v>11</v>
      </c>
      <c r="T1321" s="107" t="s">
        <v>2984</v>
      </c>
      <c r="U1321" s="99" t="s">
        <v>29</v>
      </c>
      <c r="V1321" s="99" t="s">
        <v>1963</v>
      </c>
      <c r="W1321" s="99" t="s">
        <v>1970</v>
      </c>
    </row>
    <row r="1322" spans="1:23" ht="18.600000000000001" customHeight="1">
      <c r="A1322" s="123" t="str">
        <f>IF(priority(Main[[#This Row],[Comments]])&lt;&gt;0, priority(Main[[#This Row],[Comments]]),"")</f>
        <v/>
      </c>
      <c r="B1322" s="127" t="s">
        <v>2985</v>
      </c>
      <c r="C1322" s="99" t="s">
        <v>4</v>
      </c>
      <c r="D1322" s="100" t="s">
        <v>2986</v>
      </c>
      <c r="E1322" s="101">
        <v>40864.413506944446</v>
      </c>
      <c r="F1322" s="101"/>
      <c r="G1322" s="102" t="str">
        <f>IF(stdProdLT(Main[[#This Row],[Comments]])=0.1,"N/A",IF(stdProdLT(Main[[#This Row],[Comments]])=0,"",stdProdLT(Main[[#This Row],[Comments]])))</f>
        <v/>
      </c>
      <c r="H1322" s="103" t="str">
        <f>IF(AND(Main[[#This Row],[In Stock Date]]&lt;&gt;"",Main[[#This Row],[Revised Due Date]]&lt;&gt;""),Main[[#This Row],[In Stock Date]]-Main[[#This Row],[Revised Due Date]],"")</f>
        <v/>
      </c>
      <c r="I1322" s="99" t="s">
        <v>959</v>
      </c>
      <c r="J1322" s="99" t="s">
        <v>28</v>
      </c>
      <c r="K1322" s="99" t="s">
        <v>1971</v>
      </c>
      <c r="L1322" s="101">
        <v>40864</v>
      </c>
      <c r="M1322" s="104">
        <f>IF(Main[[#This Row],[Tech Start Date]]&lt;1/1/1990,"",IF(Main[[#This Row],[Class]]="C",WORKDAY(Main[[#This Row],[Tech Start Date]],9),IF(Main[[#This Row],[Class]]="B", WORKDAY(Main[[#This Row],[Tech Start Date]],6),IF(Main[[#This Row],[Class]]="A",WORKDAY(Main[[#This Row],[Tech Start Date]],2),""))))</f>
        <v>40868</v>
      </c>
      <c r="N1322" s="104">
        <f>IF(Main[[#This Row],[Tech Start Date]]&lt;1/1/1990,"",IF(Main[[#This Row],[Class]]="C",WORKDAY(Main[[#This Row],[Tech Start Date]],19),IF(Main[[#This Row],[Class]]="B", WORKDAY(Main[[#This Row],[Tech Start Date]],12),IF(Main[[#This Row],[Class]]="A",WORKDAY(Main[[#This Row],[Tech Start Date]],4),""))))</f>
        <v>40870</v>
      </c>
      <c r="O1322" s="104">
        <f>IF(Main[[#This Row],[Tech Start Date]]&lt;1/1/1990,"",IF(Main[[#This Row],[Class]]="C",WORKDAY(Main[[#This Row],[Tech Start Date]],23),IF(Main[[#This Row],[Class]]="B", WORKDAY(Main[[#This Row],[Tech Start Date]],15),IF(Main[[#This Row],[Class]]="A",WORKDAY(Main[[#This Row],[Tech Start Date]],5),""))))</f>
        <v>40871</v>
      </c>
      <c r="P1322" s="104">
        <f>IF(Main[[#This Row],[Tech Start Date]]&lt;1/1/1990,"",IF(Main[[#This Row],[Class]]="C",WORKDAY(Main[[#This Row],[Tech Start Date]],28),IF(Main[[#This Row],[Class]]="B", WORKDAY(Main[[#This Row],[Tech Start Date]],19),IF(Main[[#This Row],[Class]]="A",WORKDAY(Main[[#This Row],[Tech Start Date]],9),""))))</f>
        <v>40877</v>
      </c>
      <c r="Q1322" s="101"/>
      <c r="R1322" s="101">
        <v>40877</v>
      </c>
      <c r="S1322" s="99" t="s">
        <v>6</v>
      </c>
      <c r="T1322" s="107" t="s">
        <v>4</v>
      </c>
      <c r="U1322" s="99" t="s">
        <v>29</v>
      </c>
      <c r="V1322" s="99" t="s">
        <v>1963</v>
      </c>
      <c r="W1322" s="99" t="s">
        <v>1966</v>
      </c>
    </row>
    <row r="1323" spans="1:23" ht="18.600000000000001" customHeight="1">
      <c r="A1323" s="123" t="str">
        <f>IF(priority(Main[[#This Row],[Comments]])&lt;&gt;0, priority(Main[[#This Row],[Comments]]),"")</f>
        <v/>
      </c>
      <c r="B1323" s="127" t="s">
        <v>2991</v>
      </c>
      <c r="C1323" s="99" t="s">
        <v>72</v>
      </c>
      <c r="D1323" s="100" t="s">
        <v>2992</v>
      </c>
      <c r="E1323" s="101">
        <v>40864.809571759259</v>
      </c>
      <c r="F1323" s="101"/>
      <c r="G1323" s="102" t="str">
        <f>IF(stdProdLT(Main[[#This Row],[Comments]])=0.1,"N/A",IF(stdProdLT(Main[[#This Row],[Comments]])=0,"",stdProdLT(Main[[#This Row],[Comments]])))</f>
        <v/>
      </c>
      <c r="H1323" s="103" t="str">
        <f>IF(AND(Main[[#This Row],[In Stock Date]]&lt;&gt;"",Main[[#This Row],[Revised Due Date]]&lt;&gt;""),Main[[#This Row],[In Stock Date]]-Main[[#This Row],[Revised Due Date]],"")</f>
        <v/>
      </c>
      <c r="I1323" s="99" t="s">
        <v>2324</v>
      </c>
      <c r="J1323" s="99" t="s">
        <v>28</v>
      </c>
      <c r="K1323" s="99" t="s">
        <v>1971</v>
      </c>
      <c r="L1323" s="101">
        <v>40865</v>
      </c>
      <c r="M1323" s="104">
        <f>IF(Main[[#This Row],[Tech Start Date]]&lt;1/1/1990,"",IF(Main[[#This Row],[Class]]="C",WORKDAY(Main[[#This Row],[Tech Start Date]],9),IF(Main[[#This Row],[Class]]="B", WORKDAY(Main[[#This Row],[Tech Start Date]],6),IF(Main[[#This Row],[Class]]="A",WORKDAY(Main[[#This Row],[Tech Start Date]],2),""))))</f>
        <v>40869</v>
      </c>
      <c r="N1323" s="104">
        <f>IF(Main[[#This Row],[Tech Start Date]]&lt;1/1/1990,"",IF(Main[[#This Row],[Class]]="C",WORKDAY(Main[[#This Row],[Tech Start Date]],19),IF(Main[[#This Row],[Class]]="B", WORKDAY(Main[[#This Row],[Tech Start Date]],12),IF(Main[[#This Row],[Class]]="A",WORKDAY(Main[[#This Row],[Tech Start Date]],4),""))))</f>
        <v>40871</v>
      </c>
      <c r="O1323" s="104">
        <f>IF(Main[[#This Row],[Tech Start Date]]&lt;1/1/1990,"",IF(Main[[#This Row],[Class]]="C",WORKDAY(Main[[#This Row],[Tech Start Date]],23),IF(Main[[#This Row],[Class]]="B", WORKDAY(Main[[#This Row],[Tech Start Date]],15),IF(Main[[#This Row],[Class]]="A",WORKDAY(Main[[#This Row],[Tech Start Date]],5),""))))</f>
        <v>40872</v>
      </c>
      <c r="P1323" s="104">
        <f>IF(Main[[#This Row],[Tech Start Date]]&lt;1/1/1990,"",IF(Main[[#This Row],[Class]]="C",WORKDAY(Main[[#This Row],[Tech Start Date]],28),IF(Main[[#This Row],[Class]]="B", WORKDAY(Main[[#This Row],[Tech Start Date]],19),IF(Main[[#This Row],[Class]]="A",WORKDAY(Main[[#This Row],[Tech Start Date]],9),""))))</f>
        <v>40878</v>
      </c>
      <c r="Q1323" s="101">
        <v>40882</v>
      </c>
      <c r="R1323" s="101">
        <v>40886</v>
      </c>
      <c r="S1323" s="99" t="s">
        <v>11</v>
      </c>
      <c r="T1323" s="107" t="s">
        <v>4</v>
      </c>
      <c r="U1323" s="99" t="s">
        <v>29</v>
      </c>
      <c r="V1323" s="99" t="s">
        <v>1963</v>
      </c>
      <c r="W1323" s="99" t="s">
        <v>1967</v>
      </c>
    </row>
    <row r="1324" spans="1:23" ht="18.600000000000001" customHeight="1">
      <c r="A1324" s="123" t="str">
        <f>IF(priority(Main[[#This Row],[Comments]])&lt;&gt;0, priority(Main[[#This Row],[Comments]]),"")</f>
        <v/>
      </c>
      <c r="B1324" s="127" t="s">
        <v>2994</v>
      </c>
      <c r="C1324" s="99" t="s">
        <v>72</v>
      </c>
      <c r="D1324" s="100" t="s">
        <v>2995</v>
      </c>
      <c r="E1324" s="101">
        <v>40864.813379629632</v>
      </c>
      <c r="F1324" s="101"/>
      <c r="G1324" s="102" t="str">
        <f>IF(stdProdLT(Main[[#This Row],[Comments]])=0.1,"N/A",IF(stdProdLT(Main[[#This Row],[Comments]])=0,"",stdProdLT(Main[[#This Row],[Comments]])))</f>
        <v>N/A</v>
      </c>
      <c r="H1324" s="103" t="str">
        <f>IF(AND(Main[[#This Row],[In Stock Date]]&lt;&gt;"",Main[[#This Row],[Revised Due Date]]&lt;&gt;""),Main[[#This Row],[In Stock Date]]-Main[[#This Row],[Revised Due Date]],"")</f>
        <v/>
      </c>
      <c r="I1324" s="99" t="s">
        <v>2324</v>
      </c>
      <c r="J1324" s="99" t="s">
        <v>28</v>
      </c>
      <c r="K1324" s="99" t="s">
        <v>1971</v>
      </c>
      <c r="L1324" s="101">
        <v>40865</v>
      </c>
      <c r="M1324" s="104">
        <f>IF(Main[[#This Row],[Tech Start Date]]&lt;1/1/1990,"",IF(Main[[#This Row],[Class]]="C",WORKDAY(Main[[#This Row],[Tech Start Date]],9),IF(Main[[#This Row],[Class]]="B", WORKDAY(Main[[#This Row],[Tech Start Date]],6),IF(Main[[#This Row],[Class]]="A",WORKDAY(Main[[#This Row],[Tech Start Date]],2),""))))</f>
        <v>40869</v>
      </c>
      <c r="N1324" s="104">
        <f>IF(Main[[#This Row],[Tech Start Date]]&lt;1/1/1990,"",IF(Main[[#This Row],[Class]]="C",WORKDAY(Main[[#This Row],[Tech Start Date]],19),IF(Main[[#This Row],[Class]]="B", WORKDAY(Main[[#This Row],[Tech Start Date]],12),IF(Main[[#This Row],[Class]]="A",WORKDAY(Main[[#This Row],[Tech Start Date]],4),""))))</f>
        <v>40871</v>
      </c>
      <c r="O1324" s="104">
        <f>IF(Main[[#This Row],[Tech Start Date]]&lt;1/1/1990,"",IF(Main[[#This Row],[Class]]="C",WORKDAY(Main[[#This Row],[Tech Start Date]],23),IF(Main[[#This Row],[Class]]="B", WORKDAY(Main[[#This Row],[Tech Start Date]],15),IF(Main[[#This Row],[Class]]="A",WORKDAY(Main[[#This Row],[Tech Start Date]],5),""))))</f>
        <v>40872</v>
      </c>
      <c r="P1324" s="104">
        <f>IF(Main[[#This Row],[Tech Start Date]]&lt;1/1/1990,"",IF(Main[[#This Row],[Class]]="C",WORKDAY(Main[[#This Row],[Tech Start Date]],28),IF(Main[[#This Row],[Class]]="B", WORKDAY(Main[[#This Row],[Tech Start Date]],19),IF(Main[[#This Row],[Class]]="A",WORKDAY(Main[[#This Row],[Tech Start Date]],9),""))))</f>
        <v>40878</v>
      </c>
      <c r="Q1324" s="101">
        <v>40882</v>
      </c>
      <c r="R1324" s="101">
        <v>40886</v>
      </c>
      <c r="S1324" s="99" t="s">
        <v>11</v>
      </c>
      <c r="T1324" s="107" t="s">
        <v>2996</v>
      </c>
      <c r="U1324" s="99" t="s">
        <v>29</v>
      </c>
      <c r="V1324" s="99" t="s">
        <v>1963</v>
      </c>
      <c r="W1324" s="99" t="s">
        <v>1967</v>
      </c>
    </row>
    <row r="1325" spans="1:23" ht="18.600000000000001" customHeight="1">
      <c r="A1325" s="123" t="str">
        <f>IF(priority(Main[[#This Row],[Comments]])&lt;&gt;0, priority(Main[[#This Row],[Comments]]),"")</f>
        <v/>
      </c>
      <c r="B1325" s="127" t="s">
        <v>3006</v>
      </c>
      <c r="C1325" s="99" t="s">
        <v>72</v>
      </c>
      <c r="D1325" s="100" t="s">
        <v>3007</v>
      </c>
      <c r="E1325" s="101">
        <v>40856.055046296293</v>
      </c>
      <c r="F1325" s="101"/>
      <c r="G1325" s="102" t="str">
        <f>IF(stdProdLT(Main[[#This Row],[Comments]])=0.1,"N/A",IF(stdProdLT(Main[[#This Row],[Comments]])=0,"",stdProdLT(Main[[#This Row],[Comments]])))</f>
        <v/>
      </c>
      <c r="H1325" s="103" t="str">
        <f>IF(AND(Main[[#This Row],[In Stock Date]]&lt;&gt;"",Main[[#This Row],[Revised Due Date]]&lt;&gt;""),Main[[#This Row],[In Stock Date]]-Main[[#This Row],[Revised Due Date]],"")</f>
        <v/>
      </c>
      <c r="I1325" s="99" t="s">
        <v>2324</v>
      </c>
      <c r="J1325" s="99" t="s">
        <v>28</v>
      </c>
      <c r="K1325" s="99" t="s">
        <v>1971</v>
      </c>
      <c r="L1325" s="101">
        <v>40869</v>
      </c>
      <c r="M1325" s="104">
        <f>IF(Main[[#This Row],[Tech Start Date]]&lt;1/1/1990,"",IF(Main[[#This Row],[Class]]="C",WORKDAY(Main[[#This Row],[Tech Start Date]],9),IF(Main[[#This Row],[Class]]="B", WORKDAY(Main[[#This Row],[Tech Start Date]],6),IF(Main[[#This Row],[Class]]="A",WORKDAY(Main[[#This Row],[Tech Start Date]],2),""))))</f>
        <v>40871</v>
      </c>
      <c r="N1325" s="104">
        <f>IF(Main[[#This Row],[Tech Start Date]]&lt;1/1/1990,"",IF(Main[[#This Row],[Class]]="C",WORKDAY(Main[[#This Row],[Tech Start Date]],19),IF(Main[[#This Row],[Class]]="B", WORKDAY(Main[[#This Row],[Tech Start Date]],12),IF(Main[[#This Row],[Class]]="A",WORKDAY(Main[[#This Row],[Tech Start Date]],4),""))))</f>
        <v>40875</v>
      </c>
      <c r="O1325" s="104">
        <f>IF(Main[[#This Row],[Tech Start Date]]&lt;1/1/1990,"",IF(Main[[#This Row],[Class]]="C",WORKDAY(Main[[#This Row],[Tech Start Date]],23),IF(Main[[#This Row],[Class]]="B", WORKDAY(Main[[#This Row],[Tech Start Date]],15),IF(Main[[#This Row],[Class]]="A",WORKDAY(Main[[#This Row],[Tech Start Date]],5),""))))</f>
        <v>40876</v>
      </c>
      <c r="P1325" s="104">
        <f>IF(Main[[#This Row],[Tech Start Date]]&lt;1/1/1990,"",IF(Main[[#This Row],[Class]]="C",WORKDAY(Main[[#This Row],[Tech Start Date]],28),IF(Main[[#This Row],[Class]]="B", WORKDAY(Main[[#This Row],[Tech Start Date]],19),IF(Main[[#This Row],[Class]]="A",WORKDAY(Main[[#This Row],[Tech Start Date]],9),""))))</f>
        <v>40882</v>
      </c>
      <c r="Q1325" s="101">
        <v>40882</v>
      </c>
      <c r="R1325" s="101">
        <v>40886</v>
      </c>
      <c r="S1325" s="99" t="s">
        <v>11</v>
      </c>
      <c r="T1325" s="107" t="s">
        <v>4</v>
      </c>
      <c r="U1325" s="99" t="s">
        <v>29</v>
      </c>
      <c r="V1325" s="99" t="s">
        <v>1963</v>
      </c>
      <c r="W1325" s="99" t="s">
        <v>1964</v>
      </c>
    </row>
    <row r="1326" spans="1:23" ht="18.600000000000001" customHeight="1">
      <c r="A1326" s="123" t="str">
        <f>IF(priority(Main[[#This Row],[Comments]])&lt;&gt;0, priority(Main[[#This Row],[Comments]]),"")</f>
        <v/>
      </c>
      <c r="B1326" s="127" t="s">
        <v>2997</v>
      </c>
      <c r="C1326" s="99" t="s">
        <v>72</v>
      </c>
      <c r="D1326" s="100" t="s">
        <v>2998</v>
      </c>
      <c r="E1326" s="101">
        <v>40856.077916666669</v>
      </c>
      <c r="F1326" s="101"/>
      <c r="G1326" s="102" t="str">
        <f>IF(stdProdLT(Main[[#This Row],[Comments]])=0.1,"N/A",IF(stdProdLT(Main[[#This Row],[Comments]])=0,"",stdProdLT(Main[[#This Row],[Comments]])))</f>
        <v/>
      </c>
      <c r="H1326" s="103" t="str">
        <f>IF(AND(Main[[#This Row],[In Stock Date]]&lt;&gt;"",Main[[#This Row],[Revised Due Date]]&lt;&gt;""),Main[[#This Row],[In Stock Date]]-Main[[#This Row],[Revised Due Date]],"")</f>
        <v/>
      </c>
      <c r="I1326" s="99" t="s">
        <v>2324</v>
      </c>
      <c r="J1326" s="99" t="s">
        <v>28</v>
      </c>
      <c r="K1326" s="99" t="s">
        <v>1971</v>
      </c>
      <c r="L1326" s="101">
        <v>40869</v>
      </c>
      <c r="M1326" s="104">
        <f>IF(Main[[#This Row],[Tech Start Date]]&lt;1/1/1990,"",IF(Main[[#This Row],[Class]]="C",WORKDAY(Main[[#This Row],[Tech Start Date]],9),IF(Main[[#This Row],[Class]]="B", WORKDAY(Main[[#This Row],[Tech Start Date]],6),IF(Main[[#This Row],[Class]]="A",WORKDAY(Main[[#This Row],[Tech Start Date]],2),""))))</f>
        <v>40871</v>
      </c>
      <c r="N1326" s="104">
        <f>IF(Main[[#This Row],[Tech Start Date]]&lt;1/1/1990,"",IF(Main[[#This Row],[Class]]="C",WORKDAY(Main[[#This Row],[Tech Start Date]],19),IF(Main[[#This Row],[Class]]="B", WORKDAY(Main[[#This Row],[Tech Start Date]],12),IF(Main[[#This Row],[Class]]="A",WORKDAY(Main[[#This Row],[Tech Start Date]],4),""))))</f>
        <v>40875</v>
      </c>
      <c r="O1326" s="104">
        <f>IF(Main[[#This Row],[Tech Start Date]]&lt;1/1/1990,"",IF(Main[[#This Row],[Class]]="C",WORKDAY(Main[[#This Row],[Tech Start Date]],23),IF(Main[[#This Row],[Class]]="B", WORKDAY(Main[[#This Row],[Tech Start Date]],15),IF(Main[[#This Row],[Class]]="A",WORKDAY(Main[[#This Row],[Tech Start Date]],5),""))))</f>
        <v>40876</v>
      </c>
      <c r="P1326" s="104">
        <f>IF(Main[[#This Row],[Tech Start Date]]&lt;1/1/1990,"",IF(Main[[#This Row],[Class]]="C",WORKDAY(Main[[#This Row],[Tech Start Date]],28),IF(Main[[#This Row],[Class]]="B", WORKDAY(Main[[#This Row],[Tech Start Date]],19),IF(Main[[#This Row],[Class]]="A",WORKDAY(Main[[#This Row],[Tech Start Date]],9),""))))</f>
        <v>40882</v>
      </c>
      <c r="Q1326" s="101">
        <v>40882</v>
      </c>
      <c r="R1326" s="101">
        <v>40886</v>
      </c>
      <c r="S1326" s="99" t="s">
        <v>11</v>
      </c>
      <c r="T1326" s="107" t="s">
        <v>4</v>
      </c>
      <c r="U1326" s="99" t="s">
        <v>29</v>
      </c>
      <c r="V1326" s="99" t="s">
        <v>1963</v>
      </c>
      <c r="W1326" s="99" t="s">
        <v>1964</v>
      </c>
    </row>
    <row r="1327" spans="1:23" ht="18.600000000000001" customHeight="1">
      <c r="A1327" s="123" t="str">
        <f>IF(priority(Main[[#This Row],[Comments]])&lt;&gt;0, priority(Main[[#This Row],[Comments]]),"")</f>
        <v/>
      </c>
      <c r="B1327" s="127" t="s">
        <v>2999</v>
      </c>
      <c r="C1327" s="99" t="s">
        <v>72</v>
      </c>
      <c r="D1327" s="100" t="s">
        <v>3000</v>
      </c>
      <c r="E1327" s="101"/>
      <c r="F1327" s="101"/>
      <c r="G1327" s="102" t="str">
        <f>IF(stdProdLT(Main[[#This Row],[Comments]])=0.1,"N/A",IF(stdProdLT(Main[[#This Row],[Comments]])=0,"",stdProdLT(Main[[#This Row],[Comments]])))</f>
        <v/>
      </c>
      <c r="H1327" s="103" t="str">
        <f>IF(AND(Main[[#This Row],[In Stock Date]]&lt;&gt;"",Main[[#This Row],[Revised Due Date]]&lt;&gt;""),Main[[#This Row],[In Stock Date]]-Main[[#This Row],[Revised Due Date]],"")</f>
        <v/>
      </c>
      <c r="I1327" s="99" t="s">
        <v>2915</v>
      </c>
      <c r="J1327" s="99" t="s">
        <v>28</v>
      </c>
      <c r="K1327" s="99" t="s">
        <v>1971</v>
      </c>
      <c r="L1327" s="101">
        <v>40869</v>
      </c>
      <c r="M1327" s="104">
        <f>IF(Main[[#This Row],[Tech Start Date]]&lt;1/1/1990,"",IF(Main[[#This Row],[Class]]="C",WORKDAY(Main[[#This Row],[Tech Start Date]],9),IF(Main[[#This Row],[Class]]="B", WORKDAY(Main[[#This Row],[Tech Start Date]],6),IF(Main[[#This Row],[Class]]="A",WORKDAY(Main[[#This Row],[Tech Start Date]],2),""))))</f>
        <v>40871</v>
      </c>
      <c r="N1327" s="104">
        <f>IF(Main[[#This Row],[Tech Start Date]]&lt;1/1/1990,"",IF(Main[[#This Row],[Class]]="C",WORKDAY(Main[[#This Row],[Tech Start Date]],19),IF(Main[[#This Row],[Class]]="B", WORKDAY(Main[[#This Row],[Tech Start Date]],12),IF(Main[[#This Row],[Class]]="A",WORKDAY(Main[[#This Row],[Tech Start Date]],4),""))))</f>
        <v>40875</v>
      </c>
      <c r="O1327" s="104">
        <f>IF(Main[[#This Row],[Tech Start Date]]&lt;1/1/1990,"",IF(Main[[#This Row],[Class]]="C",WORKDAY(Main[[#This Row],[Tech Start Date]],23),IF(Main[[#This Row],[Class]]="B", WORKDAY(Main[[#This Row],[Tech Start Date]],15),IF(Main[[#This Row],[Class]]="A",WORKDAY(Main[[#This Row],[Tech Start Date]],5),""))))</f>
        <v>40876</v>
      </c>
      <c r="P1327" s="104">
        <f>IF(Main[[#This Row],[Tech Start Date]]&lt;1/1/1990,"",IF(Main[[#This Row],[Class]]="C",WORKDAY(Main[[#This Row],[Tech Start Date]],28),IF(Main[[#This Row],[Class]]="B", WORKDAY(Main[[#This Row],[Tech Start Date]],19),IF(Main[[#This Row],[Class]]="A",WORKDAY(Main[[#This Row],[Tech Start Date]],9),""))))</f>
        <v>40882</v>
      </c>
      <c r="Q1327" s="101">
        <v>40882</v>
      </c>
      <c r="R1327" s="101">
        <v>40882</v>
      </c>
      <c r="S1327" s="99" t="s">
        <v>17</v>
      </c>
      <c r="T1327" s="107" t="s">
        <v>4</v>
      </c>
      <c r="U1327" s="99" t="s">
        <v>14</v>
      </c>
      <c r="V1327" s="99" t="s">
        <v>1963</v>
      </c>
      <c r="W1327" s="99" t="s">
        <v>1964</v>
      </c>
    </row>
    <row r="1328" spans="1:23" ht="18.600000000000001" customHeight="1">
      <c r="A1328" s="123" t="str">
        <f>IF(priority(Main[[#This Row],[Comments]])&lt;&gt;0, priority(Main[[#This Row],[Comments]]),"")</f>
        <v/>
      </c>
      <c r="B1328" s="127" t="s">
        <v>3008</v>
      </c>
      <c r="C1328" s="99" t="s">
        <v>72</v>
      </c>
      <c r="D1328" s="100" t="s">
        <v>3051</v>
      </c>
      <c r="E1328" s="101"/>
      <c r="F1328" s="101"/>
      <c r="G1328" s="102" t="str">
        <f>IF(stdProdLT(Main[[#This Row],[Comments]])=0.1,"N/A",IF(stdProdLT(Main[[#This Row],[Comments]])=0,"",stdProdLT(Main[[#This Row],[Comments]])))</f>
        <v/>
      </c>
      <c r="H1328" s="103" t="str">
        <f>IF(AND(Main[[#This Row],[In Stock Date]]&lt;&gt;"",Main[[#This Row],[Revised Due Date]]&lt;&gt;""),Main[[#This Row],[In Stock Date]]-Main[[#This Row],[Revised Due Date]],"")</f>
        <v/>
      </c>
      <c r="I1328" s="99" t="s">
        <v>2324</v>
      </c>
      <c r="J1328" s="99" t="s">
        <v>28</v>
      </c>
      <c r="K1328" s="99" t="s">
        <v>1971</v>
      </c>
      <c r="L1328" s="101">
        <v>40869</v>
      </c>
      <c r="M1328" s="104">
        <f>IF(Main[[#This Row],[Tech Start Date]]&lt;1/1/1990,"",IF(Main[[#This Row],[Class]]="C",WORKDAY(Main[[#This Row],[Tech Start Date]],9),IF(Main[[#This Row],[Class]]="B", WORKDAY(Main[[#This Row],[Tech Start Date]],6),IF(Main[[#This Row],[Class]]="A",WORKDAY(Main[[#This Row],[Tech Start Date]],2),""))))</f>
        <v>40871</v>
      </c>
      <c r="N1328" s="104">
        <f>IF(Main[[#This Row],[Tech Start Date]]&lt;1/1/1990,"",IF(Main[[#This Row],[Class]]="C",WORKDAY(Main[[#This Row],[Tech Start Date]],19),IF(Main[[#This Row],[Class]]="B", WORKDAY(Main[[#This Row],[Tech Start Date]],12),IF(Main[[#This Row],[Class]]="A",WORKDAY(Main[[#This Row],[Tech Start Date]],4),""))))</f>
        <v>40875</v>
      </c>
      <c r="O1328" s="104">
        <f>IF(Main[[#This Row],[Tech Start Date]]&lt;1/1/1990,"",IF(Main[[#This Row],[Class]]="C",WORKDAY(Main[[#This Row],[Tech Start Date]],23),IF(Main[[#This Row],[Class]]="B", WORKDAY(Main[[#This Row],[Tech Start Date]],15),IF(Main[[#This Row],[Class]]="A",WORKDAY(Main[[#This Row],[Tech Start Date]],5),""))))</f>
        <v>40876</v>
      </c>
      <c r="P1328" s="104">
        <f>IF(Main[[#This Row],[Tech Start Date]]&lt;1/1/1990,"",IF(Main[[#This Row],[Class]]="C",WORKDAY(Main[[#This Row],[Tech Start Date]],28),IF(Main[[#This Row],[Class]]="B", WORKDAY(Main[[#This Row],[Tech Start Date]],19),IF(Main[[#This Row],[Class]]="A",WORKDAY(Main[[#This Row],[Tech Start Date]],9),""))))</f>
        <v>40882</v>
      </c>
      <c r="Q1328" s="101">
        <v>40882</v>
      </c>
      <c r="R1328" s="101"/>
      <c r="S1328" s="99" t="s">
        <v>11</v>
      </c>
      <c r="T1328" s="107" t="s">
        <v>4</v>
      </c>
      <c r="U1328" s="99" t="s">
        <v>14</v>
      </c>
      <c r="V1328" s="99" t="s">
        <v>1963</v>
      </c>
      <c r="W1328" s="99" t="s">
        <v>1964</v>
      </c>
    </row>
    <row r="1329" spans="1:23" ht="18.600000000000001" customHeight="1">
      <c r="A1329" s="123" t="str">
        <f>IF(priority(Main[[#This Row],[Comments]])&lt;&gt;0, priority(Main[[#This Row],[Comments]]),"")</f>
        <v/>
      </c>
      <c r="B1329" s="127" t="s">
        <v>3004</v>
      </c>
      <c r="C1329" s="99" t="s">
        <v>72</v>
      </c>
      <c r="D1329" s="100" t="s">
        <v>3005</v>
      </c>
      <c r="E1329" s="101"/>
      <c r="F1329" s="101"/>
      <c r="G1329" s="102" t="str">
        <f>IF(stdProdLT(Main[[#This Row],[Comments]])=0.1,"N/A",IF(stdProdLT(Main[[#This Row],[Comments]])=0,"",stdProdLT(Main[[#This Row],[Comments]])))</f>
        <v/>
      </c>
      <c r="H1329" s="103" t="str">
        <f>IF(AND(Main[[#This Row],[In Stock Date]]&lt;&gt;"",Main[[#This Row],[Revised Due Date]]&lt;&gt;""),Main[[#This Row],[In Stock Date]]-Main[[#This Row],[Revised Due Date]],"")</f>
        <v/>
      </c>
      <c r="I1329" s="99" t="s">
        <v>2915</v>
      </c>
      <c r="J1329" s="99" t="s">
        <v>28</v>
      </c>
      <c r="K1329" s="99" t="s">
        <v>1971</v>
      </c>
      <c r="L1329" s="101">
        <v>40869</v>
      </c>
      <c r="M1329" s="104">
        <f>IF(Main[[#This Row],[Tech Start Date]]&lt;1/1/1990,"",IF(Main[[#This Row],[Class]]="C",WORKDAY(Main[[#This Row],[Tech Start Date]],9),IF(Main[[#This Row],[Class]]="B", WORKDAY(Main[[#This Row],[Tech Start Date]],6),IF(Main[[#This Row],[Class]]="A",WORKDAY(Main[[#This Row],[Tech Start Date]],2),""))))</f>
        <v>40871</v>
      </c>
      <c r="N1329" s="104">
        <f>IF(Main[[#This Row],[Tech Start Date]]&lt;1/1/1990,"",IF(Main[[#This Row],[Class]]="C",WORKDAY(Main[[#This Row],[Tech Start Date]],19),IF(Main[[#This Row],[Class]]="B", WORKDAY(Main[[#This Row],[Tech Start Date]],12),IF(Main[[#This Row],[Class]]="A",WORKDAY(Main[[#This Row],[Tech Start Date]],4),""))))</f>
        <v>40875</v>
      </c>
      <c r="O1329" s="104">
        <f>IF(Main[[#This Row],[Tech Start Date]]&lt;1/1/1990,"",IF(Main[[#This Row],[Class]]="C",WORKDAY(Main[[#This Row],[Tech Start Date]],23),IF(Main[[#This Row],[Class]]="B", WORKDAY(Main[[#This Row],[Tech Start Date]],15),IF(Main[[#This Row],[Class]]="A",WORKDAY(Main[[#This Row],[Tech Start Date]],5),""))))</f>
        <v>40876</v>
      </c>
      <c r="P1329" s="104">
        <f>IF(Main[[#This Row],[Tech Start Date]]&lt;1/1/1990,"",IF(Main[[#This Row],[Class]]="C",WORKDAY(Main[[#This Row],[Tech Start Date]],28),IF(Main[[#This Row],[Class]]="B", WORKDAY(Main[[#This Row],[Tech Start Date]],19),IF(Main[[#This Row],[Class]]="A",WORKDAY(Main[[#This Row],[Tech Start Date]],9),""))))</f>
        <v>40882</v>
      </c>
      <c r="Q1329" s="101">
        <v>40882</v>
      </c>
      <c r="R1329" s="101">
        <v>40882</v>
      </c>
      <c r="S1329" s="99" t="s">
        <v>11</v>
      </c>
      <c r="T1329" s="107" t="s">
        <v>4</v>
      </c>
      <c r="U1329" s="99" t="s">
        <v>14</v>
      </c>
      <c r="V1329" s="99" t="s">
        <v>1963</v>
      </c>
      <c r="W1329" s="99" t="s">
        <v>1964</v>
      </c>
    </row>
    <row r="1330" spans="1:23" ht="18.600000000000001" customHeight="1">
      <c r="A1330" s="123" t="str">
        <f>IF(priority(Main[[#This Row],[Comments]])&lt;&gt;0, priority(Main[[#This Row],[Comments]]),"")</f>
        <v/>
      </c>
      <c r="B1330" s="127" t="s">
        <v>3003</v>
      </c>
      <c r="C1330" s="99" t="s">
        <v>72</v>
      </c>
      <c r="D1330" s="100" t="s">
        <v>3050</v>
      </c>
      <c r="E1330" s="101">
        <v>40856.08053240741</v>
      </c>
      <c r="F1330" s="101"/>
      <c r="G1330" s="102" t="str">
        <f>IF(stdProdLT(Main[[#This Row],[Comments]])=0.1,"N/A",IF(stdProdLT(Main[[#This Row],[Comments]])=0,"",stdProdLT(Main[[#This Row],[Comments]])))</f>
        <v/>
      </c>
      <c r="H1330" s="103" t="str">
        <f>IF(AND(Main[[#This Row],[In Stock Date]]&lt;&gt;"",Main[[#This Row],[Revised Due Date]]&lt;&gt;""),Main[[#This Row],[In Stock Date]]-Main[[#This Row],[Revised Due Date]],"")</f>
        <v/>
      </c>
      <c r="I1330" s="99" t="s">
        <v>2324</v>
      </c>
      <c r="J1330" s="99" t="s">
        <v>28</v>
      </c>
      <c r="K1330" s="99" t="s">
        <v>1971</v>
      </c>
      <c r="L1330" s="101">
        <v>40869</v>
      </c>
      <c r="M1330" s="104">
        <f>IF(Main[[#This Row],[Tech Start Date]]&lt;1/1/1990,"",IF(Main[[#This Row],[Class]]="C",WORKDAY(Main[[#This Row],[Tech Start Date]],9),IF(Main[[#This Row],[Class]]="B", WORKDAY(Main[[#This Row],[Tech Start Date]],6),IF(Main[[#This Row],[Class]]="A",WORKDAY(Main[[#This Row],[Tech Start Date]],2),""))))</f>
        <v>40871</v>
      </c>
      <c r="N1330" s="104">
        <f>IF(Main[[#This Row],[Tech Start Date]]&lt;1/1/1990,"",IF(Main[[#This Row],[Class]]="C",WORKDAY(Main[[#This Row],[Tech Start Date]],19),IF(Main[[#This Row],[Class]]="B", WORKDAY(Main[[#This Row],[Tech Start Date]],12),IF(Main[[#This Row],[Class]]="A",WORKDAY(Main[[#This Row],[Tech Start Date]],4),""))))</f>
        <v>40875</v>
      </c>
      <c r="O1330" s="104">
        <f>IF(Main[[#This Row],[Tech Start Date]]&lt;1/1/1990,"",IF(Main[[#This Row],[Class]]="C",WORKDAY(Main[[#This Row],[Tech Start Date]],23),IF(Main[[#This Row],[Class]]="B", WORKDAY(Main[[#This Row],[Tech Start Date]],15),IF(Main[[#This Row],[Class]]="A",WORKDAY(Main[[#This Row],[Tech Start Date]],5),""))))</f>
        <v>40876</v>
      </c>
      <c r="P1330" s="104">
        <f>IF(Main[[#This Row],[Tech Start Date]]&lt;1/1/1990,"",IF(Main[[#This Row],[Class]]="C",WORKDAY(Main[[#This Row],[Tech Start Date]],28),IF(Main[[#This Row],[Class]]="B", WORKDAY(Main[[#This Row],[Tech Start Date]],19),IF(Main[[#This Row],[Class]]="A",WORKDAY(Main[[#This Row],[Tech Start Date]],9),""))))</f>
        <v>40882</v>
      </c>
      <c r="Q1330" s="101">
        <v>40882</v>
      </c>
      <c r="R1330" s="101">
        <v>40886</v>
      </c>
      <c r="S1330" s="99" t="s">
        <v>11</v>
      </c>
      <c r="T1330" s="107" t="s">
        <v>4</v>
      </c>
      <c r="U1330" s="99" t="s">
        <v>29</v>
      </c>
      <c r="V1330" s="99" t="s">
        <v>1963</v>
      </c>
      <c r="W1330" s="99" t="s">
        <v>1964</v>
      </c>
    </row>
    <row r="1331" spans="1:23" ht="18.600000000000001" customHeight="1">
      <c r="A1331" s="124" t="str">
        <f>IF(priority(Main[[#This Row],[Comments]])&lt;&gt;0, priority(Main[[#This Row],[Comments]]),"")</f>
        <v/>
      </c>
      <c r="B1331" s="127" t="s">
        <v>2760</v>
      </c>
      <c r="C1331" s="110" t="s">
        <v>2761</v>
      </c>
      <c r="D1331" s="111" t="s">
        <v>3080</v>
      </c>
      <c r="E1331" s="112">
        <v>40876.663738425923</v>
      </c>
      <c r="F1331" s="112">
        <v>40933</v>
      </c>
      <c r="G1331" s="110" t="str">
        <f>IF(stdProdLT(Main[[#This Row],[Comments]])=0.1,"N/A",IF(stdProdLT(Main[[#This Row],[Comments]])=0,"",stdProdLT(Main[[#This Row],[Comments]])))</f>
        <v/>
      </c>
      <c r="H1331" s="113">
        <f>IF(AND(Main[[#This Row],[In Stock Date]]&lt;&gt;"",Main[[#This Row],[Revised Due Date]]&lt;&gt;""),Main[[#This Row],[In Stock Date]]-Main[[#This Row],[Revised Due Date]],"")</f>
        <v>34</v>
      </c>
      <c r="I1331" s="110" t="s">
        <v>2280</v>
      </c>
      <c r="J1331" s="110" t="s">
        <v>75</v>
      </c>
      <c r="K1331" s="110" t="s">
        <v>1971</v>
      </c>
      <c r="L1331" s="112">
        <v>40878</v>
      </c>
      <c r="M1331" s="114">
        <f>IF(Main[[#This Row],[Tech Start Date]]&lt;1/1/1990,"",IF(Main[[#This Row],[Class]]="C",WORKDAY(Main[[#This Row],[Tech Start Date]],9),IF(Main[[#This Row],[Class]]="B", WORKDAY(Main[[#This Row],[Tech Start Date]],6),IF(Main[[#This Row],[Class]]="A",WORKDAY(Main[[#This Row],[Tech Start Date]],2),""))))</f>
        <v>40882</v>
      </c>
      <c r="N1331" s="114">
        <f>IF(Main[[#This Row],[Tech Start Date]]&lt;1/1/1990,"",IF(Main[[#This Row],[Class]]="C",WORKDAY(Main[[#This Row],[Tech Start Date]],19),IF(Main[[#This Row],[Class]]="B", WORKDAY(Main[[#This Row],[Tech Start Date]],12),IF(Main[[#This Row],[Class]]="A",WORKDAY(Main[[#This Row],[Tech Start Date]],4),""))))</f>
        <v>40884</v>
      </c>
      <c r="O1331" s="114">
        <f>IF(Main[[#This Row],[Tech Start Date]]&lt;1/1/1990,"",IF(Main[[#This Row],[Class]]="C",WORKDAY(Main[[#This Row],[Tech Start Date]],23),IF(Main[[#This Row],[Class]]="B", WORKDAY(Main[[#This Row],[Tech Start Date]],15),IF(Main[[#This Row],[Class]]="A",WORKDAY(Main[[#This Row],[Tech Start Date]],5),""))))</f>
        <v>40885</v>
      </c>
      <c r="P1331" s="114">
        <f>IF(Main[[#This Row],[Tech Start Date]]&lt;1/1/1990,"",IF(Main[[#This Row],[Class]]="C",WORKDAY(Main[[#This Row],[Tech Start Date]],28),IF(Main[[#This Row],[Class]]="B", WORKDAY(Main[[#This Row],[Tech Start Date]],19),IF(Main[[#This Row],[Class]]="A",WORKDAY(Main[[#This Row],[Tech Start Date]],9),""))))</f>
        <v>40891</v>
      </c>
      <c r="Q1331" s="112">
        <v>41249</v>
      </c>
      <c r="R1331" s="112">
        <v>40899</v>
      </c>
      <c r="S1331" s="110" t="s">
        <v>6</v>
      </c>
      <c r="T1331" s="115" t="s">
        <v>4</v>
      </c>
      <c r="U1331" s="110" t="s">
        <v>29</v>
      </c>
      <c r="V1331" s="110" t="s">
        <v>1972</v>
      </c>
      <c r="W1331" s="110" t="s">
        <v>1970</v>
      </c>
    </row>
    <row r="1332" spans="1:23" ht="18.600000000000001" customHeight="1">
      <c r="A1332" s="124" t="str">
        <f>IF(priority(Main[[#This Row],[Comments]])&lt;&gt;0, priority(Main[[#This Row],[Comments]]),"")</f>
        <v/>
      </c>
      <c r="B1332" s="127" t="s">
        <v>3057</v>
      </c>
      <c r="C1332" s="110" t="s">
        <v>53</v>
      </c>
      <c r="D1332" s="111" t="s">
        <v>3058</v>
      </c>
      <c r="E1332" s="112">
        <v>40878.414189814815</v>
      </c>
      <c r="F1332" s="112"/>
      <c r="G1332" s="110" t="str">
        <f>IF(stdProdLT(Main[[#This Row],[Comments]])=0.1,"N/A",IF(stdProdLT(Main[[#This Row],[Comments]])=0,"",stdProdLT(Main[[#This Row],[Comments]])))</f>
        <v/>
      </c>
      <c r="H1332" s="113" t="str">
        <f>IF(AND(Main[[#This Row],[In Stock Date]]&lt;&gt;"",Main[[#This Row],[Revised Due Date]]&lt;&gt;""),Main[[#This Row],[In Stock Date]]-Main[[#This Row],[Revised Due Date]],"")</f>
        <v/>
      </c>
      <c r="I1332" s="110" t="s">
        <v>959</v>
      </c>
      <c r="J1332" s="110" t="s">
        <v>28</v>
      </c>
      <c r="K1332" s="110" t="s">
        <v>1971</v>
      </c>
      <c r="L1332" s="112">
        <v>40878</v>
      </c>
      <c r="M1332" s="114">
        <f>IF(Main[[#This Row],[Tech Start Date]]&lt;1/1/1990,"",IF(Main[[#This Row],[Class]]="C",WORKDAY(Main[[#This Row],[Tech Start Date]],9),IF(Main[[#This Row],[Class]]="B", WORKDAY(Main[[#This Row],[Tech Start Date]],6),IF(Main[[#This Row],[Class]]="A",WORKDAY(Main[[#This Row],[Tech Start Date]],2),""))))</f>
        <v>40882</v>
      </c>
      <c r="N1332" s="114">
        <f>IF(Main[[#This Row],[Tech Start Date]]&lt;1/1/1990,"",IF(Main[[#This Row],[Class]]="C",WORKDAY(Main[[#This Row],[Tech Start Date]],19),IF(Main[[#This Row],[Class]]="B", WORKDAY(Main[[#This Row],[Tech Start Date]],12),IF(Main[[#This Row],[Class]]="A",WORKDAY(Main[[#This Row],[Tech Start Date]],4),""))))</f>
        <v>40884</v>
      </c>
      <c r="O1332" s="114">
        <f>IF(Main[[#This Row],[Tech Start Date]]&lt;1/1/1990,"",IF(Main[[#This Row],[Class]]="C",WORKDAY(Main[[#This Row],[Tech Start Date]],23),IF(Main[[#This Row],[Class]]="B", WORKDAY(Main[[#This Row],[Tech Start Date]],15),IF(Main[[#This Row],[Class]]="A",WORKDAY(Main[[#This Row],[Tech Start Date]],5),""))))</f>
        <v>40885</v>
      </c>
      <c r="P1332" s="114">
        <f>IF(Main[[#This Row],[Tech Start Date]]&lt;1/1/1990,"",IF(Main[[#This Row],[Class]]="C",WORKDAY(Main[[#This Row],[Tech Start Date]],28),IF(Main[[#This Row],[Class]]="B", WORKDAY(Main[[#This Row],[Tech Start Date]],19),IF(Main[[#This Row],[Class]]="A",WORKDAY(Main[[#This Row],[Tech Start Date]],9),""))))</f>
        <v>40891</v>
      </c>
      <c r="Q1332" s="112">
        <v>40885</v>
      </c>
      <c r="R1332" s="112">
        <v>40885</v>
      </c>
      <c r="S1332" s="110" t="s">
        <v>11</v>
      </c>
      <c r="T1332" s="115" t="s">
        <v>4</v>
      </c>
      <c r="U1332" s="110" t="s">
        <v>29</v>
      </c>
      <c r="V1332" s="110" t="s">
        <v>1963</v>
      </c>
      <c r="W1332" s="110" t="s">
        <v>1964</v>
      </c>
    </row>
    <row r="1333" spans="1:23" ht="18.600000000000001" customHeight="1">
      <c r="A1333" s="124" t="str">
        <f>IF(priority(Main[[#This Row],[Comments]])&lt;&gt;0, priority(Main[[#This Row],[Comments]]),"")</f>
        <v/>
      </c>
      <c r="B1333" s="127" t="s">
        <v>2522</v>
      </c>
      <c r="C1333" s="110" t="s">
        <v>2523</v>
      </c>
      <c r="D1333" s="111" t="s">
        <v>2524</v>
      </c>
      <c r="E1333" s="112">
        <v>40864.56318287037</v>
      </c>
      <c r="F1333" s="112"/>
      <c r="G1333" s="110" t="str">
        <f>IF(stdProdLT(Main[[#This Row],[Comments]])=0.1,"N/A",IF(stdProdLT(Main[[#This Row],[Comments]])=0,"",stdProdLT(Main[[#This Row],[Comments]])))</f>
        <v/>
      </c>
      <c r="H1333" s="113" t="str">
        <f>IF(AND(Main[[#This Row],[In Stock Date]]&lt;&gt;"",Main[[#This Row],[Revised Due Date]]&lt;&gt;""),Main[[#This Row],[In Stock Date]]-Main[[#This Row],[Revised Due Date]],"")</f>
        <v/>
      </c>
      <c r="I1333" s="110" t="s">
        <v>959</v>
      </c>
      <c r="J1333" s="110" t="s">
        <v>28</v>
      </c>
      <c r="K1333" s="110" t="s">
        <v>1969</v>
      </c>
      <c r="L1333" s="112">
        <v>40878</v>
      </c>
      <c r="M1333" s="114">
        <f>IF(Main[[#This Row],[Tech Start Date]]&lt;1/1/1990,"",IF(Main[[#This Row],[Class]]="C",WORKDAY(Main[[#This Row],[Tech Start Date]],9),IF(Main[[#This Row],[Class]]="B", WORKDAY(Main[[#This Row],[Tech Start Date]],6),IF(Main[[#This Row],[Class]]="A",WORKDAY(Main[[#This Row],[Tech Start Date]],2),""))))</f>
        <v>40886</v>
      </c>
      <c r="N1333" s="114">
        <f>IF(Main[[#This Row],[Tech Start Date]]&lt;1/1/1990,"",IF(Main[[#This Row],[Class]]="C",WORKDAY(Main[[#This Row],[Tech Start Date]],19),IF(Main[[#This Row],[Class]]="B", WORKDAY(Main[[#This Row],[Tech Start Date]],12),IF(Main[[#This Row],[Class]]="A",WORKDAY(Main[[#This Row],[Tech Start Date]],4),""))))</f>
        <v>40896</v>
      </c>
      <c r="O1333" s="114">
        <f>IF(Main[[#This Row],[Tech Start Date]]&lt;1/1/1990,"",IF(Main[[#This Row],[Class]]="C",WORKDAY(Main[[#This Row],[Tech Start Date]],23),IF(Main[[#This Row],[Class]]="B", WORKDAY(Main[[#This Row],[Tech Start Date]],15),IF(Main[[#This Row],[Class]]="A",WORKDAY(Main[[#This Row],[Tech Start Date]],5),""))))</f>
        <v>40899</v>
      </c>
      <c r="P1333" s="114">
        <f>IF(Main[[#This Row],[Tech Start Date]]&lt;1/1/1990,"",IF(Main[[#This Row],[Class]]="C",WORKDAY(Main[[#This Row],[Tech Start Date]],28),IF(Main[[#This Row],[Class]]="B", WORKDAY(Main[[#This Row],[Tech Start Date]],19),IF(Main[[#This Row],[Class]]="A",WORKDAY(Main[[#This Row],[Tech Start Date]],9),""))))</f>
        <v>40905</v>
      </c>
      <c r="Q1333" s="112"/>
      <c r="R1333" s="112">
        <v>40891</v>
      </c>
      <c r="S1333" s="110" t="s">
        <v>11</v>
      </c>
      <c r="T1333" s="115" t="s">
        <v>2525</v>
      </c>
      <c r="U1333" s="110" t="s">
        <v>29</v>
      </c>
      <c r="V1333" s="110" t="s">
        <v>1963</v>
      </c>
      <c r="W1333" s="110" t="s">
        <v>1964</v>
      </c>
    </row>
    <row r="1334" spans="1:23" ht="18.600000000000001" customHeight="1">
      <c r="A1334" s="124" t="str">
        <f>IF(priority(Main[[#This Row],[Comments]])&lt;&gt;0, priority(Main[[#This Row],[Comments]]),"")</f>
        <v/>
      </c>
      <c r="B1334" s="127" t="s">
        <v>3040</v>
      </c>
      <c r="C1334" s="110" t="s">
        <v>3041</v>
      </c>
      <c r="D1334" s="111" t="s">
        <v>3066</v>
      </c>
      <c r="E1334" s="112">
        <v>40879.092673611114</v>
      </c>
      <c r="F1334" s="112">
        <v>40983</v>
      </c>
      <c r="G1334" s="110">
        <f>IF(stdProdLT(Main[[#This Row],[Comments]])=0.1,"N/A",IF(stdProdLT(Main[[#This Row],[Comments]])=0,"",stdProdLT(Main[[#This Row],[Comments]])))</f>
        <v>182</v>
      </c>
      <c r="H1334" s="113">
        <f>IF(AND(Main[[#This Row],[In Stock Date]]&lt;&gt;"",Main[[#This Row],[Revised Due Date]]&lt;&gt;""),Main[[#This Row],[In Stock Date]]-Main[[#This Row],[Revised Due Date]],"")</f>
        <v>83</v>
      </c>
      <c r="I1334" s="110" t="s">
        <v>242</v>
      </c>
      <c r="J1334" s="110" t="s">
        <v>28</v>
      </c>
      <c r="K1334" s="110" t="s">
        <v>1971</v>
      </c>
      <c r="L1334" s="112">
        <v>40879</v>
      </c>
      <c r="M1334" s="114">
        <f>IF(Main[[#This Row],[Tech Start Date]]&lt;1/1/1990,"",IF(Main[[#This Row],[Class]]="C",WORKDAY(Main[[#This Row],[Tech Start Date]],9),IF(Main[[#This Row],[Class]]="B", WORKDAY(Main[[#This Row],[Tech Start Date]],6),IF(Main[[#This Row],[Class]]="A",WORKDAY(Main[[#This Row],[Tech Start Date]],2),""))))</f>
        <v>40883</v>
      </c>
      <c r="N1334" s="114">
        <f>IF(Main[[#This Row],[Tech Start Date]]&lt;1/1/1990,"",IF(Main[[#This Row],[Class]]="C",WORKDAY(Main[[#This Row],[Tech Start Date]],19),IF(Main[[#This Row],[Class]]="B", WORKDAY(Main[[#This Row],[Tech Start Date]],12),IF(Main[[#This Row],[Class]]="A",WORKDAY(Main[[#This Row],[Tech Start Date]],4),""))))</f>
        <v>40885</v>
      </c>
      <c r="O1334" s="114">
        <f>IF(Main[[#This Row],[Tech Start Date]]&lt;1/1/1990,"",IF(Main[[#This Row],[Class]]="C",WORKDAY(Main[[#This Row],[Tech Start Date]],23),IF(Main[[#This Row],[Class]]="B", WORKDAY(Main[[#This Row],[Tech Start Date]],15),IF(Main[[#This Row],[Class]]="A",WORKDAY(Main[[#This Row],[Tech Start Date]],5),""))))</f>
        <v>40886</v>
      </c>
      <c r="P1334" s="114">
        <f>IF(Main[[#This Row],[Tech Start Date]]&lt;1/1/1990,"",IF(Main[[#This Row],[Class]]="C",WORKDAY(Main[[#This Row],[Tech Start Date]],28),IF(Main[[#This Row],[Class]]="B", WORKDAY(Main[[#This Row],[Tech Start Date]],19),IF(Main[[#This Row],[Class]]="A",WORKDAY(Main[[#This Row],[Tech Start Date]],9),""))))</f>
        <v>40892</v>
      </c>
      <c r="Q1334" s="112">
        <v>40909</v>
      </c>
      <c r="R1334" s="112">
        <v>40900</v>
      </c>
      <c r="S1334" s="110" t="s">
        <v>11</v>
      </c>
      <c r="T1334" s="115" t="s">
        <v>3042</v>
      </c>
      <c r="U1334" s="110" t="s">
        <v>29</v>
      </c>
      <c r="V1334" s="110" t="s">
        <v>1972</v>
      </c>
      <c r="W1334" s="110" t="s">
        <v>1968</v>
      </c>
    </row>
    <row r="1335" spans="1:23" ht="18.600000000000001" customHeight="1">
      <c r="A1335" s="124" t="str">
        <f>IF(priority(Main[[#This Row],[Comments]])&lt;&gt;0, priority(Main[[#This Row],[Comments]]),"")</f>
        <v/>
      </c>
      <c r="B1335" s="127" t="s">
        <v>2529</v>
      </c>
      <c r="C1335" s="110" t="s">
        <v>2530</v>
      </c>
      <c r="D1335" s="111" t="s">
        <v>2531</v>
      </c>
      <c r="E1335" s="112">
        <v>40849.653923611113</v>
      </c>
      <c r="F1335" s="112">
        <v>41061</v>
      </c>
      <c r="G1335" s="110">
        <f>IF(stdProdLT(Main[[#This Row],[Comments]])=0.1,"N/A",IF(stdProdLT(Main[[#This Row],[Comments]])=0,"",stdProdLT(Main[[#This Row],[Comments]])))</f>
        <v>112</v>
      </c>
      <c r="H1335" s="113">
        <f>IF(AND(Main[[#This Row],[In Stock Date]]&lt;&gt;"",Main[[#This Row],[Revised Due Date]]&lt;&gt;""),Main[[#This Row],[In Stock Date]]-Main[[#This Row],[Revised Due Date]],"")</f>
        <v>151</v>
      </c>
      <c r="I1335" s="110" t="s">
        <v>568</v>
      </c>
      <c r="J1335" s="110" t="s">
        <v>28</v>
      </c>
      <c r="K1335" s="110" t="s">
        <v>1969</v>
      </c>
      <c r="L1335" s="112">
        <v>40879</v>
      </c>
      <c r="M1335" s="114">
        <f>IF(Main[[#This Row],[Tech Start Date]]&lt;1/1/1990,"",IF(Main[[#This Row],[Class]]="C",WORKDAY(Main[[#This Row],[Tech Start Date]],9),IF(Main[[#This Row],[Class]]="B", WORKDAY(Main[[#This Row],[Tech Start Date]],6),IF(Main[[#This Row],[Class]]="A",WORKDAY(Main[[#This Row],[Tech Start Date]],2),""))))</f>
        <v>40889</v>
      </c>
      <c r="N1335" s="114">
        <f>IF(Main[[#This Row],[Tech Start Date]]&lt;1/1/1990,"",IF(Main[[#This Row],[Class]]="C",WORKDAY(Main[[#This Row],[Tech Start Date]],19),IF(Main[[#This Row],[Class]]="B", WORKDAY(Main[[#This Row],[Tech Start Date]],12),IF(Main[[#This Row],[Class]]="A",WORKDAY(Main[[#This Row],[Tech Start Date]],4),""))))</f>
        <v>40897</v>
      </c>
      <c r="O1335" s="114">
        <f>IF(Main[[#This Row],[Tech Start Date]]&lt;1/1/1990,"",IF(Main[[#This Row],[Class]]="C",WORKDAY(Main[[#This Row],[Tech Start Date]],23),IF(Main[[#This Row],[Class]]="B", WORKDAY(Main[[#This Row],[Tech Start Date]],15),IF(Main[[#This Row],[Class]]="A",WORKDAY(Main[[#This Row],[Tech Start Date]],5),""))))</f>
        <v>40900</v>
      </c>
      <c r="P1335" s="114">
        <f>IF(Main[[#This Row],[Tech Start Date]]&lt;1/1/1990,"",IF(Main[[#This Row],[Class]]="C",WORKDAY(Main[[#This Row],[Tech Start Date]],28),IF(Main[[#This Row],[Class]]="B", WORKDAY(Main[[#This Row],[Tech Start Date]],19),IF(Main[[#This Row],[Class]]="A",WORKDAY(Main[[#This Row],[Tech Start Date]],9),""))))</f>
        <v>40906</v>
      </c>
      <c r="Q1335" s="112"/>
      <c r="R1335" s="112">
        <v>40910</v>
      </c>
      <c r="S1335" s="110" t="s">
        <v>11</v>
      </c>
      <c r="T1335" s="115" t="s">
        <v>2532</v>
      </c>
      <c r="U1335" s="110" t="s">
        <v>29</v>
      </c>
      <c r="V1335" s="110" t="s">
        <v>1962</v>
      </c>
      <c r="W1335" s="110" t="s">
        <v>1970</v>
      </c>
    </row>
    <row r="1336" spans="1:23" ht="18.600000000000001" customHeight="1">
      <c r="A1336" s="124" t="str">
        <f>IF(priority(Main[[#This Row],[Comments]])&lt;&gt;0, priority(Main[[#This Row],[Comments]]),"")</f>
        <v/>
      </c>
      <c r="B1336" s="127" t="s">
        <v>2812</v>
      </c>
      <c r="C1336" s="110" t="s">
        <v>4</v>
      </c>
      <c r="D1336" s="111" t="s">
        <v>3170</v>
      </c>
      <c r="E1336" s="112">
        <v>40855.461817129632</v>
      </c>
      <c r="F1336" s="112"/>
      <c r="G1336" s="110" t="str">
        <f>IF(stdProdLT(Main[[#This Row],[Comments]])=0.1,"N/A",IF(stdProdLT(Main[[#This Row],[Comments]])=0,"",stdProdLT(Main[[#This Row],[Comments]])))</f>
        <v/>
      </c>
      <c r="H1336" s="113" t="str">
        <f>IF(AND(Main[[#This Row],[In Stock Date]]&lt;&gt;"",Main[[#This Row],[Revised Due Date]]&lt;&gt;""),Main[[#This Row],[In Stock Date]]-Main[[#This Row],[Revised Due Date]],"")</f>
        <v/>
      </c>
      <c r="I1336" s="110" t="s">
        <v>3171</v>
      </c>
      <c r="J1336" s="110" t="s">
        <v>28</v>
      </c>
      <c r="K1336" s="110" t="s">
        <v>1969</v>
      </c>
      <c r="L1336" s="112">
        <v>40882</v>
      </c>
      <c r="M1336" s="114">
        <f>IF(Main[[#This Row],[Tech Start Date]]&lt;1/1/1990,"",IF(Main[[#This Row],[Class]]="C",WORKDAY(Main[[#This Row],[Tech Start Date]],9),IF(Main[[#This Row],[Class]]="B", WORKDAY(Main[[#This Row],[Tech Start Date]],6),IF(Main[[#This Row],[Class]]="A",WORKDAY(Main[[#This Row],[Tech Start Date]],2),""))))</f>
        <v>40890</v>
      </c>
      <c r="N1336" s="114">
        <f>IF(Main[[#This Row],[Tech Start Date]]&lt;1/1/1990,"",IF(Main[[#This Row],[Class]]="C",WORKDAY(Main[[#This Row],[Tech Start Date]],19),IF(Main[[#This Row],[Class]]="B", WORKDAY(Main[[#This Row],[Tech Start Date]],12),IF(Main[[#This Row],[Class]]="A",WORKDAY(Main[[#This Row],[Tech Start Date]],4),""))))</f>
        <v>40898</v>
      </c>
      <c r="O1336" s="114">
        <f>IF(Main[[#This Row],[Tech Start Date]]&lt;1/1/1990,"",IF(Main[[#This Row],[Class]]="C",WORKDAY(Main[[#This Row],[Tech Start Date]],23),IF(Main[[#This Row],[Class]]="B", WORKDAY(Main[[#This Row],[Tech Start Date]],15),IF(Main[[#This Row],[Class]]="A",WORKDAY(Main[[#This Row],[Tech Start Date]],5),""))))</f>
        <v>40903</v>
      </c>
      <c r="P1336" s="114">
        <f>IF(Main[[#This Row],[Tech Start Date]]&lt;1/1/1990,"",IF(Main[[#This Row],[Class]]="C",WORKDAY(Main[[#This Row],[Tech Start Date]],28),IF(Main[[#This Row],[Class]]="B", WORKDAY(Main[[#This Row],[Tech Start Date]],19),IF(Main[[#This Row],[Class]]="A",WORKDAY(Main[[#This Row],[Tech Start Date]],9),""))))</f>
        <v>40907</v>
      </c>
      <c r="Q1336" s="112"/>
      <c r="R1336" s="112">
        <v>40896</v>
      </c>
      <c r="S1336" s="110" t="s">
        <v>6</v>
      </c>
      <c r="T1336" s="115" t="s">
        <v>4</v>
      </c>
      <c r="U1336" s="110" t="s">
        <v>7</v>
      </c>
      <c r="V1336" s="110" t="s">
        <v>1962</v>
      </c>
      <c r="W1336" s="110" t="s">
        <v>1966</v>
      </c>
    </row>
    <row r="1337" spans="1:23" ht="18.600000000000001" customHeight="1">
      <c r="A1337" s="125" t="str">
        <f>IF(priority(Main[[#This Row],[Comments]])&lt;&gt;0, priority(Main[[#This Row],[Comments]]),"")</f>
        <v/>
      </c>
      <c r="B1337" s="128" t="s">
        <v>3159</v>
      </c>
      <c r="C1337" s="116" t="s">
        <v>3160</v>
      </c>
      <c r="D1337" s="117" t="s">
        <v>3161</v>
      </c>
      <c r="E1337" s="118">
        <v>40882.540486111109</v>
      </c>
      <c r="F1337" s="118">
        <v>40892</v>
      </c>
      <c r="G1337" s="116" t="str">
        <f>IF(stdProdLT(Main[[#This Row],[Comments]])=0.1,"N/A",IF(stdProdLT(Main[[#This Row],[Comments]])=0,"",stdProdLT(Main[[#This Row],[Comments]])))</f>
        <v/>
      </c>
      <c r="H1337" s="119">
        <f>IF(AND(Main[[#This Row],[In Stock Date]]&lt;&gt;"",Main[[#This Row],[Revised Due Date]]&lt;&gt;""),Main[[#This Row],[In Stock Date]]-Main[[#This Row],[Revised Due Date]],"")</f>
        <v>0</v>
      </c>
      <c r="I1337" s="116" t="s">
        <v>958</v>
      </c>
      <c r="J1337" s="116" t="s">
        <v>28</v>
      </c>
      <c r="K1337" s="116" t="s">
        <v>1971</v>
      </c>
      <c r="L1337" s="118">
        <v>40882</v>
      </c>
      <c r="M1337" s="120">
        <f>IF(Main[[#This Row],[Tech Start Date]]&lt;1/1/1990,"",IF(Main[[#This Row],[Class]]="C",WORKDAY(Main[[#This Row],[Tech Start Date]],9),IF(Main[[#This Row],[Class]]="B", WORKDAY(Main[[#This Row],[Tech Start Date]],6),IF(Main[[#This Row],[Class]]="A",WORKDAY(Main[[#This Row],[Tech Start Date]],2),""))))</f>
        <v>40884</v>
      </c>
      <c r="N1337" s="120">
        <f>IF(Main[[#This Row],[Tech Start Date]]&lt;1/1/1990,"",IF(Main[[#This Row],[Class]]="C",WORKDAY(Main[[#This Row],[Tech Start Date]],19),IF(Main[[#This Row],[Class]]="B", WORKDAY(Main[[#This Row],[Tech Start Date]],12),IF(Main[[#This Row],[Class]]="A",WORKDAY(Main[[#This Row],[Tech Start Date]],4),""))))</f>
        <v>40886</v>
      </c>
      <c r="O1337" s="120">
        <f>IF(Main[[#This Row],[Tech Start Date]]&lt;1/1/1990,"",IF(Main[[#This Row],[Class]]="C",WORKDAY(Main[[#This Row],[Tech Start Date]],23),IF(Main[[#This Row],[Class]]="B", WORKDAY(Main[[#This Row],[Tech Start Date]],15),IF(Main[[#This Row],[Class]]="A",WORKDAY(Main[[#This Row],[Tech Start Date]],5),""))))</f>
        <v>40889</v>
      </c>
      <c r="P1337" s="120">
        <f>IF(Main[[#This Row],[Tech Start Date]]&lt;1/1/1990,"",IF(Main[[#This Row],[Class]]="C",WORKDAY(Main[[#This Row],[Tech Start Date]],28),IF(Main[[#This Row],[Class]]="B", WORKDAY(Main[[#This Row],[Tech Start Date]],19),IF(Main[[#This Row],[Class]]="A",WORKDAY(Main[[#This Row],[Tech Start Date]],9),""))))</f>
        <v>40893</v>
      </c>
      <c r="Q1337" s="118"/>
      <c r="R1337" s="118">
        <v>40892</v>
      </c>
      <c r="S1337" s="116" t="s">
        <v>6</v>
      </c>
      <c r="T1337" s="121" t="s">
        <v>4</v>
      </c>
      <c r="U1337" s="116" t="s">
        <v>29</v>
      </c>
      <c r="V1337" s="116" t="s">
        <v>1963</v>
      </c>
      <c r="W1337" s="116" t="s">
        <v>1970</v>
      </c>
    </row>
    <row r="1338" spans="1:23" ht="18.600000000000001" customHeight="1">
      <c r="A1338" s="129" t="str">
        <f>IF(priority(Main[[#This Row],[Comments]])&lt;&gt;0, priority(Main[[#This Row],[Comments]]),"")</f>
        <v/>
      </c>
      <c r="B1338" s="130" t="s">
        <v>2415</v>
      </c>
      <c r="C1338" s="131" t="s">
        <v>2416</v>
      </c>
      <c r="D1338" s="132" t="s">
        <v>3172</v>
      </c>
      <c r="E1338" s="133">
        <v>40855.463368055556</v>
      </c>
      <c r="F1338" s="133"/>
      <c r="G1338" s="131" t="str">
        <f>IF(stdProdLT(Main[[#This Row],[Comments]])=0.1,"N/A",IF(stdProdLT(Main[[#This Row],[Comments]])=0,"",stdProdLT(Main[[#This Row],[Comments]])))</f>
        <v/>
      </c>
      <c r="H1338" s="134" t="str">
        <f>IF(AND(Main[[#This Row],[In Stock Date]]&lt;&gt;"",Main[[#This Row],[Revised Due Date]]&lt;&gt;""),Main[[#This Row],[In Stock Date]]-Main[[#This Row],[Revised Due Date]],"")</f>
        <v/>
      </c>
      <c r="I1338" s="131" t="s">
        <v>3171</v>
      </c>
      <c r="J1338" s="131" t="s">
        <v>28</v>
      </c>
      <c r="K1338" s="131" t="s">
        <v>1969</v>
      </c>
      <c r="L1338" s="133">
        <v>40882</v>
      </c>
      <c r="M1338" s="135">
        <f>IF(Main[[#This Row],[Tech Start Date]]&lt;1/1/1990,"",IF(Main[[#This Row],[Class]]="C",WORKDAY(Main[[#This Row],[Tech Start Date]],9),IF(Main[[#This Row],[Class]]="B", WORKDAY(Main[[#This Row],[Tech Start Date]],6),IF(Main[[#This Row],[Class]]="A",WORKDAY(Main[[#This Row],[Tech Start Date]],2),""))))</f>
        <v>40890</v>
      </c>
      <c r="N1338" s="135">
        <f>IF(Main[[#This Row],[Tech Start Date]]&lt;1/1/1990,"",IF(Main[[#This Row],[Class]]="C",WORKDAY(Main[[#This Row],[Tech Start Date]],19),IF(Main[[#This Row],[Class]]="B", WORKDAY(Main[[#This Row],[Tech Start Date]],12),IF(Main[[#This Row],[Class]]="A",WORKDAY(Main[[#This Row],[Tech Start Date]],4),""))))</f>
        <v>40898</v>
      </c>
      <c r="O1338" s="135">
        <f>IF(Main[[#This Row],[Tech Start Date]]&lt;1/1/1990,"",IF(Main[[#This Row],[Class]]="C",WORKDAY(Main[[#This Row],[Tech Start Date]],23),IF(Main[[#This Row],[Class]]="B", WORKDAY(Main[[#This Row],[Tech Start Date]],15),IF(Main[[#This Row],[Class]]="A",WORKDAY(Main[[#This Row],[Tech Start Date]],5),""))))</f>
        <v>40903</v>
      </c>
      <c r="P1338" s="135">
        <f>IF(Main[[#This Row],[Tech Start Date]]&lt;1/1/1990,"",IF(Main[[#This Row],[Class]]="C",WORKDAY(Main[[#This Row],[Tech Start Date]],28),IF(Main[[#This Row],[Class]]="B", WORKDAY(Main[[#This Row],[Tech Start Date]],19),IF(Main[[#This Row],[Class]]="A",WORKDAY(Main[[#This Row],[Tech Start Date]],9),""))))</f>
        <v>40907</v>
      </c>
      <c r="Q1338" s="133"/>
      <c r="R1338" s="133">
        <v>40896</v>
      </c>
      <c r="S1338" s="131" t="s">
        <v>6</v>
      </c>
      <c r="T1338" s="136" t="s">
        <v>4</v>
      </c>
      <c r="U1338" s="131" t="s">
        <v>7</v>
      </c>
      <c r="V1338" s="131" t="s">
        <v>1962</v>
      </c>
      <c r="W1338" s="131" t="s">
        <v>1966</v>
      </c>
    </row>
  </sheetData>
  <sheetProtection formatCells="0" formatColumns="0" formatRows="0" insertColumns="0" insertRows="0" insertHyperlinks="0" deleteColumns="0" deleteRows="0" selectLockedCells="1" sort="0" autoFilter="0" pivotTables="0"/>
  <dataConsolidate/>
  <mergeCells count="4">
    <mergeCell ref="X5:AE5"/>
    <mergeCell ref="A1:B1"/>
    <mergeCell ref="C2:C4"/>
    <mergeCell ref="A2:B4"/>
  </mergeCells>
  <conditionalFormatting sqref="B6:B1338">
    <cfRule type="expression" dxfId="67" priority="16">
      <formula>atat($T6)=TRUE</formula>
    </cfRule>
  </conditionalFormatting>
  <conditionalFormatting sqref="M6:P1338">
    <cfRule type="colorScale" priority="10">
      <colorScale>
        <cfvo type="num" val="TODAY()"/>
        <cfvo type="num" val="TODAY()+2"/>
        <cfvo type="num" val="TODAY()+4"/>
        <color rgb="FFD36767"/>
        <color rgb="FFFFFFD1"/>
        <color rgb="FFC0E391"/>
      </colorScale>
    </cfRule>
  </conditionalFormatting>
  <conditionalFormatting sqref="R6:R1338">
    <cfRule type="expression" dxfId="66" priority="5">
      <formula>AND($R6&lt;=TODAY(), TRIM($R6)&lt;&gt; "")</formula>
    </cfRule>
  </conditionalFormatting>
  <conditionalFormatting sqref="H6:H1338">
    <cfRule type="expression" priority="1" stopIfTrue="1">
      <formula>OR($G6="",$G6="N/A",$H6="")</formula>
    </cfRule>
    <cfRule type="cellIs" dxfId="65" priority="2" stopIfTrue="1" operator="greaterThan">
      <formula>$G6</formula>
    </cfRule>
    <cfRule type="cellIs" dxfId="64" priority="3" operator="between">
      <formula>$G6-7</formula>
      <formula>$G6</formula>
    </cfRule>
    <cfRule type="cellIs" dxfId="63" priority="4" operator="lessThan">
      <formula>$G6</formula>
    </cfRule>
  </conditionalFormatting>
  <conditionalFormatting sqref="C6:R1048576">
    <cfRule type="expression" dxfId="62" priority="607">
      <formula>OR($J6="Document Control", $J6="Quality")</formula>
    </cfRule>
  </conditionalFormatting>
  <conditionalFormatting sqref="C6:U1048576">
    <cfRule type="expression" dxfId="61" priority="620">
      <formula>OR($U6="Design Hold", $U6="Define Requirements")</formula>
    </cfRule>
  </conditionalFormatting>
  <conditionalFormatting sqref="Q6:Q1338">
    <cfRule type="iconSet" priority="1226">
      <iconSet>
        <cfvo type="percent" val="0"/>
        <cfvo type="num" val="TODAY()" gte="0"/>
        <cfvo type="num" val="TODAY()+4" gte="0"/>
      </iconSet>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from>
                <xdr:col>3</xdr:col>
                <xdr:colOff>133350</xdr:colOff>
                <xdr:row>0</xdr:row>
                <xdr:rowOff>66675</xdr:rowOff>
              </from>
              <to>
                <xdr:col>3</xdr:col>
                <xdr:colOff>2819400</xdr:colOff>
                <xdr:row>1</xdr:row>
                <xdr:rowOff>152400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209550</xdr:colOff>
                <xdr:row>2</xdr:row>
                <xdr:rowOff>533400</xdr:rowOff>
              </from>
              <to>
                <xdr:col>3</xdr:col>
                <xdr:colOff>2400300</xdr:colOff>
                <xdr:row>2</xdr:row>
                <xdr:rowOff>857250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209550</xdr:colOff>
                <xdr:row>2</xdr:row>
                <xdr:rowOff>142875</xdr:rowOff>
              </from>
              <to>
                <xdr:col>3</xdr:col>
                <xdr:colOff>2400300</xdr:colOff>
                <xdr:row>2</xdr:row>
                <xdr:rowOff>466725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209550</xdr:colOff>
                <xdr:row>1</xdr:row>
                <xdr:rowOff>581025</xdr:rowOff>
              </from>
              <to>
                <xdr:col>3</xdr:col>
                <xdr:colOff>2400300</xdr:colOff>
                <xdr:row>2</xdr:row>
                <xdr:rowOff>85725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209550</xdr:colOff>
                <xdr:row>1</xdr:row>
                <xdr:rowOff>200025</xdr:rowOff>
              </from>
              <to>
                <xdr:col>3</xdr:col>
                <xdr:colOff>2400300</xdr:colOff>
                <xdr:row>1</xdr:row>
                <xdr:rowOff>523875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autoLine="0" listFillRange="B6:B2151" r:id="rId16">
            <anchor moveWithCells="1">
              <from>
                <xdr:col>2</xdr:col>
                <xdr:colOff>133350</xdr:colOff>
                <xdr:row>2</xdr:row>
                <xdr:rowOff>714375</xdr:rowOff>
              </from>
              <to>
                <xdr:col>2</xdr:col>
                <xdr:colOff>971550</xdr:colOff>
                <xdr:row>3</xdr:row>
                <xdr:rowOff>104775</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971550</xdr:colOff>
                <xdr:row>2</xdr:row>
                <xdr:rowOff>647700</xdr:rowOff>
              </from>
              <to>
                <xdr:col>2</xdr:col>
                <xdr:colOff>1352550</xdr:colOff>
                <xdr:row>3</xdr:row>
                <xdr:rowOff>123825</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autoLine="0" r:id="rId20">
            <anchor moveWithCells="1" sizeWithCells="1">
              <from>
                <xdr:col>2</xdr:col>
                <xdr:colOff>57150</xdr:colOff>
                <xdr:row>1</xdr:row>
                <xdr:rowOff>361950</xdr:rowOff>
              </from>
              <to>
                <xdr:col>2</xdr:col>
                <xdr:colOff>1314450</xdr:colOff>
                <xdr:row>1</xdr:row>
                <xdr:rowOff>666750</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autoLine="0" r:id="rId22">
            <anchor moveWithCells="1" sizeWithCells="1">
              <from>
                <xdr:col>2</xdr:col>
                <xdr:colOff>57150</xdr:colOff>
                <xdr:row>1</xdr:row>
                <xdr:rowOff>733425</xdr:rowOff>
              </from>
              <to>
                <xdr:col>2</xdr:col>
                <xdr:colOff>1314450</xdr:colOff>
                <xdr:row>2</xdr:row>
                <xdr:rowOff>219075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autoLine="0" r:id="rId24">
            <anchor moveWithCells="1" sizeWithCells="1">
              <from>
                <xdr:col>2</xdr:col>
                <xdr:colOff>47625</xdr:colOff>
                <xdr:row>2</xdr:row>
                <xdr:rowOff>276225</xdr:rowOff>
              </from>
              <to>
                <xdr:col>2</xdr:col>
                <xdr:colOff>1285875</xdr:colOff>
                <xdr:row>2</xdr:row>
                <xdr:rowOff>590550</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autoLine="0" r:id="rId26">
            <anchor moveWithCells="1">
              <from>
                <xdr:col>0</xdr:col>
                <xdr:colOff>161925</xdr:colOff>
                <xdr:row>1</xdr:row>
                <xdr:rowOff>514350</xdr:rowOff>
              </from>
              <to>
                <xdr:col>1</xdr:col>
                <xdr:colOff>581025</xdr:colOff>
                <xdr:row>2</xdr:row>
                <xdr:rowOff>200025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autoLine="0" r:id="rId28">
            <anchor moveWithCells="1">
              <from>
                <xdr:col>0</xdr:col>
                <xdr:colOff>209550</xdr:colOff>
                <xdr:row>1</xdr:row>
                <xdr:rowOff>95250</xdr:rowOff>
              </from>
              <to>
                <xdr:col>1</xdr:col>
                <xdr:colOff>495300</xdr:colOff>
                <xdr:row>1</xdr:row>
                <xdr:rowOff>438150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autoLine="0" r:id="rId30">
            <anchor moveWithCells="1">
              <from>
                <xdr:col>0</xdr:col>
                <xdr:colOff>114300</xdr:colOff>
                <xdr:row>2</xdr:row>
                <xdr:rowOff>266700</xdr:rowOff>
              </from>
              <to>
                <xdr:col>1</xdr:col>
                <xdr:colOff>590550</xdr:colOff>
                <xdr:row>2</xdr:row>
                <xdr:rowOff>619125</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autoLine="0" r:id="rId32">
            <anchor moveWithCells="1">
              <from>
                <xdr:col>0</xdr:col>
                <xdr:colOff>104775</xdr:colOff>
                <xdr:row>2</xdr:row>
                <xdr:rowOff>657225</xdr:rowOff>
              </from>
              <to>
                <xdr:col>1</xdr:col>
                <xdr:colOff>647700</xdr:colOff>
                <xdr:row>3</xdr:row>
                <xdr:rowOff>161925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152400</xdr:colOff>
                <xdr:row>1</xdr:row>
                <xdr:rowOff>76200</xdr:rowOff>
              </from>
              <to>
                <xdr:col>2</xdr:col>
                <xdr:colOff>1352550</xdr:colOff>
                <xdr:row>1</xdr:row>
                <xdr:rowOff>333375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autoLine="0" r:id="rId36">
            <anchor moveWithCells="1">
              <from>
                <xdr:col>3</xdr:col>
                <xdr:colOff>2476500</xdr:colOff>
                <xdr:row>1</xdr:row>
                <xdr:rowOff>200025</xdr:rowOff>
              </from>
              <to>
                <xdr:col>3</xdr:col>
                <xdr:colOff>2790825</xdr:colOff>
                <xdr:row>1</xdr:row>
                <xdr:rowOff>523875</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autoLine="0" r:id="rId36">
            <anchor moveWithCells="1">
              <from>
                <xdr:col>3</xdr:col>
                <xdr:colOff>2476500</xdr:colOff>
                <xdr:row>1</xdr:row>
                <xdr:rowOff>581025</xdr:rowOff>
              </from>
              <to>
                <xdr:col>3</xdr:col>
                <xdr:colOff>2790825</xdr:colOff>
                <xdr:row>2</xdr:row>
                <xdr:rowOff>85725</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autoLine="0" r:id="rId36">
            <anchor moveWithCells="1">
              <from>
                <xdr:col>3</xdr:col>
                <xdr:colOff>2476500</xdr:colOff>
                <xdr:row>2</xdr:row>
                <xdr:rowOff>142875</xdr:rowOff>
              </from>
              <to>
                <xdr:col>3</xdr:col>
                <xdr:colOff>2790825</xdr:colOff>
                <xdr:row>2</xdr:row>
                <xdr:rowOff>466725</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autoLine="0" r:id="rId36">
            <anchor moveWithCells="1">
              <from>
                <xdr:col>3</xdr:col>
                <xdr:colOff>2476500</xdr:colOff>
                <xdr:row>2</xdr:row>
                <xdr:rowOff>533400</xdr:rowOff>
              </from>
              <to>
                <xdr:col>3</xdr:col>
                <xdr:colOff>2790825</xdr:colOff>
                <xdr:row>2</xdr:row>
                <xdr:rowOff>857250</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colorScale" priority="6" id="{CAB80E75-2909-44E5-A760-AD4C4C5BDB81}">
            <x14:colorScale>
              <x14:cfvo type="num">
                <xm:f>Settings!#REF!</xm:f>
              </x14:cfvo>
              <x14:cfvo type="percentile">
                <xm:f>65</xm:f>
              </x14:cfvo>
              <x14:cfvo type="num">
                <xm:f>Settings!#REF!</xm:f>
              </x14:cfvo>
              <x14:color rgb="FFD87674"/>
              <x14:color rgb="FFFFFFC5"/>
              <x14:color rgb="FFC0E391"/>
            </x14:colorScale>
          </x14:cfRule>
          <xm:sqref>H6:H1338</xm:sqref>
        </x14:conditionalFormatting>
        <x14:conditionalFormatting xmlns:xm="http://schemas.microsoft.com/office/excel/2006/main">
          <x14:cfRule type="colorScale" priority="1230" id="{4B0BC6B7-F52E-48C0-A0DE-8DA28A8CD3F2}">
            <x14:colorScale>
              <x14:cfvo type="formula">
                <xm:f>Settings!#REF!</xm:f>
              </x14:cfvo>
              <x14:cfvo type="percent">
                <xm:f>65</xm:f>
              </x14:cfvo>
              <x14:cfvo type="formula">
                <xm:f>Settings!#REF!</xm:f>
              </x14:cfvo>
              <x14:color rgb="FFD7796F"/>
              <x14:color rgb="FFFFEB84"/>
              <x14:color rgb="FFC0E391"/>
            </x14:colorScale>
          </x14:cfRule>
          <xm:sqref>G6:G1338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92"/>
  <sheetViews>
    <sheetView topLeftCell="E1" zoomScale="70" zoomScaleNormal="70" workbookViewId="0">
      <selection activeCell="O3" sqref="O3:P7"/>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5" width="18.75" style="4" customWidth="1"/>
    <col min="16" max="16" width="15.5" style="4" customWidth="1"/>
    <col min="17" max="18" width="19.375" style="4" customWidth="1"/>
    <col min="19" max="26" width="15.5" style="4" customWidth="1"/>
    <col min="27" max="16384" width="15.5" style="4"/>
  </cols>
  <sheetData>
    <row r="1" spans="2:18" ht="15" customHeight="1" thickBot="1"/>
    <row r="2" spans="2:18" ht="54" customHeight="1" thickTop="1" thickBot="1">
      <c r="B2" s="161" t="s">
        <v>1029</v>
      </c>
      <c r="C2" s="162"/>
      <c r="D2" s="162"/>
      <c r="E2" s="162"/>
      <c r="F2" s="162"/>
      <c r="G2" s="162"/>
      <c r="H2" s="162"/>
      <c r="I2" s="162"/>
      <c r="J2" s="162"/>
      <c r="K2" s="162"/>
      <c r="L2" s="162"/>
      <c r="M2" s="163"/>
      <c r="O2" s="151" t="s">
        <v>1980</v>
      </c>
      <c r="P2" s="152"/>
      <c r="Q2" s="151" t="s">
        <v>1993</v>
      </c>
      <c r="R2" s="152"/>
    </row>
    <row r="3" spans="2:18" s="7" customFormat="1" ht="16.5" customHeight="1" thickTop="1">
      <c r="B3" s="164" t="s">
        <v>1005</v>
      </c>
      <c r="C3" s="25" t="s">
        <v>1009</v>
      </c>
      <c r="D3" s="17" t="s">
        <v>11</v>
      </c>
      <c r="E3" s="18"/>
      <c r="F3" s="18"/>
      <c r="G3" s="18"/>
      <c r="H3" s="18"/>
      <c r="I3" s="18"/>
      <c r="J3" s="18"/>
      <c r="K3" s="18"/>
      <c r="L3" s="18"/>
      <c r="M3" s="19"/>
      <c r="N3" s="9"/>
      <c r="O3" s="153" t="s">
        <v>3162</v>
      </c>
      <c r="P3" s="153"/>
      <c r="Q3" s="153" t="s">
        <v>3016</v>
      </c>
      <c r="R3" s="153"/>
    </row>
    <row r="4" spans="2:18" s="7" customFormat="1" ht="16.5" customHeight="1">
      <c r="B4" s="165"/>
      <c r="C4" s="26" t="s">
        <v>1985</v>
      </c>
      <c r="D4" s="41" t="s">
        <v>1962</v>
      </c>
      <c r="E4" s="42"/>
      <c r="F4" s="42"/>
      <c r="G4" s="42"/>
      <c r="H4" s="42"/>
      <c r="I4" s="42"/>
      <c r="J4" s="42"/>
      <c r="K4" s="42"/>
      <c r="L4" s="42"/>
      <c r="M4" s="43"/>
      <c r="N4" s="9"/>
      <c r="O4" s="154"/>
      <c r="P4" s="154"/>
      <c r="Q4" s="154"/>
      <c r="R4" s="154"/>
    </row>
    <row r="5" spans="2:18" s="8" customFormat="1" ht="15">
      <c r="B5" s="165"/>
      <c r="C5" s="26" t="s">
        <v>1010</v>
      </c>
      <c r="D5" s="20">
        <v>1</v>
      </c>
      <c r="E5" s="21">
        <v>2</v>
      </c>
      <c r="F5" s="21">
        <v>3</v>
      </c>
      <c r="G5" s="21">
        <v>4</v>
      </c>
      <c r="H5" s="21">
        <v>5</v>
      </c>
      <c r="I5" s="21">
        <v>6</v>
      </c>
      <c r="J5" s="21">
        <v>7</v>
      </c>
      <c r="K5" s="21">
        <v>0</v>
      </c>
      <c r="L5" s="21">
        <v>0</v>
      </c>
      <c r="M5" s="22">
        <v>0</v>
      </c>
      <c r="N5" s="9"/>
      <c r="O5" s="154"/>
      <c r="P5" s="154"/>
      <c r="Q5" s="154"/>
      <c r="R5" s="154"/>
    </row>
    <row r="6" spans="2:18" ht="15">
      <c r="B6" s="165"/>
      <c r="C6" s="26" t="s">
        <v>1011</v>
      </c>
      <c r="D6" s="20" t="s">
        <v>7</v>
      </c>
      <c r="E6" s="21" t="s">
        <v>29</v>
      </c>
      <c r="F6" s="21" t="s">
        <v>540</v>
      </c>
      <c r="G6" s="21" t="s">
        <v>704</v>
      </c>
      <c r="H6" s="21"/>
      <c r="I6" s="21"/>
      <c r="J6" s="21"/>
      <c r="K6" s="21"/>
      <c r="L6" s="21"/>
      <c r="M6" s="22"/>
      <c r="O6" s="154"/>
      <c r="P6" s="154"/>
      <c r="Q6" s="154"/>
      <c r="R6" s="154"/>
    </row>
    <row r="7" spans="2:18" ht="15.75" thickBot="1">
      <c r="B7" s="165"/>
      <c r="C7" s="26" t="s">
        <v>1012</v>
      </c>
      <c r="D7" s="37">
        <v>0</v>
      </c>
      <c r="E7" s="38">
        <v>0</v>
      </c>
      <c r="F7" s="28"/>
      <c r="G7" s="29"/>
      <c r="H7" s="29"/>
      <c r="I7" s="29"/>
      <c r="J7" s="29"/>
      <c r="K7" s="29"/>
      <c r="L7" s="29"/>
      <c r="M7" s="30"/>
      <c r="O7" s="154"/>
      <c r="P7" s="154"/>
      <c r="Q7" s="154"/>
      <c r="R7" s="154"/>
    </row>
    <row r="8" spans="2:18" ht="24" customHeight="1" thickTop="1" thickBot="1">
      <c r="B8" s="166"/>
      <c r="C8" s="27" t="s">
        <v>1013</v>
      </c>
      <c r="D8" s="39">
        <v>0</v>
      </c>
      <c r="E8" s="40">
        <v>0</v>
      </c>
      <c r="F8" s="31"/>
      <c r="G8" s="32"/>
      <c r="H8" s="32"/>
      <c r="I8" s="32"/>
      <c r="J8" s="32"/>
      <c r="K8" s="32"/>
      <c r="L8" s="32"/>
      <c r="M8" s="33"/>
      <c r="O8" s="150" t="s">
        <v>2222</v>
      </c>
      <c r="P8" s="150"/>
      <c r="Q8" s="150" t="s">
        <v>2223</v>
      </c>
      <c r="R8" s="150"/>
    </row>
    <row r="9" spans="2:18" ht="21.75" customHeight="1" thickTop="1" thickBot="1">
      <c r="B9" s="164" t="s">
        <v>1006</v>
      </c>
      <c r="C9" s="25" t="s">
        <v>1014</v>
      </c>
      <c r="D9" s="17" t="s">
        <v>11</v>
      </c>
      <c r="E9" s="18"/>
      <c r="F9" s="18"/>
      <c r="G9" s="18"/>
      <c r="H9" s="18"/>
      <c r="I9" s="18"/>
      <c r="J9" s="18"/>
      <c r="K9" s="18"/>
      <c r="L9" s="18"/>
      <c r="M9" s="19"/>
      <c r="O9" s="149">
        <v>0</v>
      </c>
      <c r="P9" s="149"/>
      <c r="Q9" s="149" t="b">
        <v>1</v>
      </c>
      <c r="R9" s="149"/>
    </row>
    <row r="10" spans="2:18" s="7" customFormat="1" ht="22.5" customHeight="1" thickTop="1" thickBot="1">
      <c r="B10" s="165"/>
      <c r="C10" s="26" t="s">
        <v>1988</v>
      </c>
      <c r="D10" s="41" t="s">
        <v>1965</v>
      </c>
      <c r="E10" s="42" t="s">
        <v>1972</v>
      </c>
      <c r="F10" s="42"/>
      <c r="G10" s="42"/>
      <c r="H10" s="42"/>
      <c r="I10" s="42"/>
      <c r="J10" s="42"/>
      <c r="K10" s="42"/>
      <c r="L10" s="42"/>
      <c r="M10" s="43"/>
      <c r="N10" s="9"/>
      <c r="O10" s="150" t="s">
        <v>2339</v>
      </c>
      <c r="P10" s="150"/>
      <c r="Q10" s="150" t="s">
        <v>2340</v>
      </c>
      <c r="R10" s="150"/>
    </row>
    <row r="11" spans="2:18" ht="22.5" customHeight="1" thickTop="1" thickBot="1">
      <c r="B11" s="165"/>
      <c r="C11" s="26" t="s">
        <v>1015</v>
      </c>
      <c r="D11" s="20">
        <v>1</v>
      </c>
      <c r="E11" s="21">
        <v>2</v>
      </c>
      <c r="F11" s="21">
        <v>3</v>
      </c>
      <c r="G11" s="21">
        <v>4</v>
      </c>
      <c r="H11" s="21">
        <v>5</v>
      </c>
      <c r="I11" s="21">
        <v>6</v>
      </c>
      <c r="J11" s="21">
        <v>7</v>
      </c>
      <c r="K11" s="21">
        <v>0</v>
      </c>
      <c r="L11" s="21">
        <v>0</v>
      </c>
      <c r="M11" s="22">
        <v>0</v>
      </c>
      <c r="O11" s="149" t="s">
        <v>86</v>
      </c>
      <c r="P11" s="149"/>
      <c r="Q11" s="149" t="s">
        <v>1971</v>
      </c>
      <c r="R11" s="149"/>
    </row>
    <row r="12" spans="2:18" ht="15.75" thickTop="1">
      <c r="B12" s="165"/>
      <c r="C12" s="26" t="s">
        <v>1016</v>
      </c>
      <c r="D12" s="20" t="s">
        <v>7</v>
      </c>
      <c r="E12" s="21" t="s">
        <v>29</v>
      </c>
      <c r="F12" s="21" t="s">
        <v>540</v>
      </c>
      <c r="G12" s="21" t="s">
        <v>704</v>
      </c>
      <c r="H12" s="21"/>
      <c r="I12" s="21"/>
      <c r="J12" s="21"/>
      <c r="K12" s="21"/>
      <c r="L12" s="21"/>
      <c r="M12" s="22"/>
    </row>
    <row r="13" spans="2:18" ht="15">
      <c r="B13" s="165"/>
      <c r="C13" s="26" t="s">
        <v>1017</v>
      </c>
      <c r="D13" s="37">
        <v>0</v>
      </c>
      <c r="E13" s="38">
        <v>0</v>
      </c>
      <c r="F13" s="28"/>
      <c r="G13" s="29"/>
      <c r="H13" s="29"/>
      <c r="I13" s="29"/>
      <c r="J13" s="29"/>
      <c r="K13" s="29"/>
      <c r="L13" s="29"/>
      <c r="M13" s="30"/>
    </row>
    <row r="14" spans="2:18" ht="15.75" thickBot="1">
      <c r="B14" s="166"/>
      <c r="C14" s="27" t="s">
        <v>1018</v>
      </c>
      <c r="D14" s="39">
        <v>0</v>
      </c>
      <c r="E14" s="40">
        <v>0</v>
      </c>
      <c r="F14" s="31"/>
      <c r="G14" s="32"/>
      <c r="H14" s="32"/>
      <c r="I14" s="32"/>
      <c r="J14" s="32"/>
      <c r="K14" s="32"/>
      <c r="L14" s="32"/>
      <c r="M14" s="33"/>
    </row>
    <row r="15" spans="2:18" ht="15.75" thickTop="1">
      <c r="B15" s="164" t="s">
        <v>1007</v>
      </c>
      <c r="C15" s="25" t="s">
        <v>1019</v>
      </c>
      <c r="D15" s="17" t="s">
        <v>11</v>
      </c>
      <c r="E15" s="18"/>
      <c r="F15" s="18"/>
      <c r="G15" s="18"/>
      <c r="H15" s="18"/>
      <c r="I15" s="18"/>
      <c r="J15" s="18"/>
      <c r="K15" s="18"/>
      <c r="L15" s="18"/>
      <c r="M15" s="19"/>
    </row>
    <row r="16" spans="2:18" ht="15">
      <c r="B16" s="165"/>
      <c r="C16" s="26" t="s">
        <v>1987</v>
      </c>
      <c r="D16" s="41" t="s">
        <v>1963</v>
      </c>
      <c r="E16" s="42"/>
      <c r="F16" s="42"/>
      <c r="G16" s="42"/>
      <c r="H16" s="42"/>
      <c r="I16" s="42"/>
      <c r="J16" s="42"/>
      <c r="K16" s="42"/>
      <c r="L16" s="42"/>
      <c r="M16" s="43"/>
    </row>
    <row r="17" spans="1:24" ht="15">
      <c r="B17" s="165"/>
      <c r="C17" s="26" t="s">
        <v>1020</v>
      </c>
      <c r="D17" s="20">
        <v>1</v>
      </c>
      <c r="E17" s="21">
        <v>2</v>
      </c>
      <c r="F17" s="21">
        <v>3</v>
      </c>
      <c r="G17" s="21">
        <v>4</v>
      </c>
      <c r="H17" s="21">
        <v>5</v>
      </c>
      <c r="I17" s="21">
        <v>6</v>
      </c>
      <c r="J17" s="21">
        <v>7</v>
      </c>
      <c r="K17" s="21">
        <v>0</v>
      </c>
      <c r="L17" s="21">
        <v>0</v>
      </c>
      <c r="M17" s="22">
        <v>0</v>
      </c>
    </row>
    <row r="18" spans="1:24" ht="15">
      <c r="B18" s="165"/>
      <c r="C18" s="26" t="s">
        <v>1021</v>
      </c>
      <c r="D18" s="20" t="s">
        <v>7</v>
      </c>
      <c r="E18" s="21" t="s">
        <v>29</v>
      </c>
      <c r="F18" s="21" t="s">
        <v>540</v>
      </c>
      <c r="G18" s="21" t="s">
        <v>704</v>
      </c>
      <c r="H18" s="21"/>
      <c r="I18" s="21"/>
      <c r="J18" s="21"/>
      <c r="K18" s="21"/>
      <c r="L18" s="21"/>
      <c r="M18" s="22"/>
    </row>
    <row r="19" spans="1:24" ht="16.5" customHeight="1">
      <c r="B19" s="165"/>
      <c r="C19" s="26" t="s">
        <v>1022</v>
      </c>
      <c r="D19" s="20">
        <v>140</v>
      </c>
      <c r="E19" s="21">
        <v>176</v>
      </c>
      <c r="F19" s="28"/>
      <c r="G19" s="29"/>
      <c r="H19" s="29"/>
      <c r="I19" s="29"/>
      <c r="J19" s="29"/>
      <c r="K19" s="29"/>
      <c r="L19" s="29"/>
      <c r="M19" s="30"/>
    </row>
    <row r="20" spans="1:24" ht="16.5" customHeight="1" thickBot="1">
      <c r="B20" s="166"/>
      <c r="C20" s="27" t="s">
        <v>1023</v>
      </c>
      <c r="D20" s="23">
        <v>176</v>
      </c>
      <c r="E20" s="24">
        <v>218</v>
      </c>
      <c r="F20" s="31"/>
      <c r="G20" s="32"/>
      <c r="H20" s="32"/>
      <c r="I20" s="32"/>
      <c r="J20" s="32"/>
      <c r="K20" s="32"/>
      <c r="L20" s="32"/>
      <c r="M20" s="33"/>
    </row>
    <row r="21" spans="1:24" ht="16.5" customHeight="1" thickTop="1">
      <c r="B21" s="164" t="s">
        <v>1008</v>
      </c>
      <c r="C21" s="25" t="s">
        <v>1024</v>
      </c>
      <c r="D21" s="17" t="s">
        <v>11</v>
      </c>
      <c r="E21" s="18"/>
      <c r="F21" s="18"/>
      <c r="G21" s="18"/>
      <c r="H21" s="18"/>
      <c r="I21" s="18"/>
      <c r="J21" s="18"/>
      <c r="K21" s="18"/>
      <c r="L21" s="18"/>
      <c r="M21" s="19"/>
    </row>
    <row r="22" spans="1:24" ht="16.5" customHeight="1">
      <c r="B22" s="165"/>
      <c r="C22" s="26" t="s">
        <v>1986</v>
      </c>
      <c r="D22" s="41" t="s">
        <v>1977</v>
      </c>
      <c r="E22" s="42"/>
      <c r="F22" s="42"/>
      <c r="G22" s="42"/>
      <c r="H22" s="42"/>
      <c r="I22" s="42"/>
      <c r="J22" s="42"/>
      <c r="K22" s="42"/>
      <c r="L22" s="42"/>
      <c r="M22" s="43"/>
    </row>
    <row r="23" spans="1:24" ht="16.5" customHeight="1">
      <c r="B23" s="165"/>
      <c r="C23" s="26" t="s">
        <v>1025</v>
      </c>
      <c r="D23" s="20">
        <v>1</v>
      </c>
      <c r="E23" s="21">
        <v>2</v>
      </c>
      <c r="F23" s="21">
        <v>3</v>
      </c>
      <c r="G23" s="21">
        <v>4</v>
      </c>
      <c r="H23" s="21">
        <v>5</v>
      </c>
      <c r="I23" s="21">
        <v>6</v>
      </c>
      <c r="J23" s="21">
        <v>7</v>
      </c>
      <c r="K23" s="21">
        <v>0</v>
      </c>
      <c r="L23" s="21">
        <v>0</v>
      </c>
      <c r="M23" s="22">
        <v>0</v>
      </c>
    </row>
    <row r="24" spans="1:24" ht="16.5" customHeight="1">
      <c r="B24" s="165"/>
      <c r="C24" s="26" t="s">
        <v>1026</v>
      </c>
      <c r="D24" s="20" t="s">
        <v>7</v>
      </c>
      <c r="E24" s="21" t="s">
        <v>29</v>
      </c>
      <c r="F24" s="21" t="s">
        <v>540</v>
      </c>
      <c r="G24" s="21" t="s">
        <v>704</v>
      </c>
      <c r="H24" s="21"/>
      <c r="I24" s="21"/>
      <c r="J24" s="21"/>
      <c r="K24" s="21"/>
      <c r="L24" s="21"/>
      <c r="M24" s="22"/>
    </row>
    <row r="25" spans="1:24" ht="16.5" customHeight="1">
      <c r="B25" s="165"/>
      <c r="C25" s="26" t="s">
        <v>1027</v>
      </c>
      <c r="D25" s="37">
        <v>165</v>
      </c>
      <c r="E25" s="38">
        <v>180</v>
      </c>
      <c r="F25" s="28"/>
      <c r="G25" s="29"/>
      <c r="H25" s="29"/>
      <c r="I25" s="29"/>
      <c r="J25" s="29"/>
      <c r="K25" s="29"/>
      <c r="L25" s="29"/>
      <c r="M25" s="30"/>
    </row>
    <row r="26" spans="1:24" ht="16.5" customHeight="1" thickBot="1">
      <c r="B26" s="166"/>
      <c r="C26" s="27" t="s">
        <v>1028</v>
      </c>
      <c r="D26" s="39">
        <v>180</v>
      </c>
      <c r="E26" s="40">
        <v>200</v>
      </c>
      <c r="F26" s="31"/>
      <c r="G26" s="32"/>
      <c r="H26" s="32"/>
      <c r="I26" s="32"/>
      <c r="J26" s="32"/>
      <c r="K26" s="35"/>
      <c r="L26" s="35"/>
      <c r="M26" s="36"/>
    </row>
    <row r="27" spans="1:24" ht="35.25" customHeight="1" thickTop="1" thickBot="1">
      <c r="C27" s="155" t="s">
        <v>999</v>
      </c>
      <c r="D27" s="156"/>
      <c r="E27" s="156"/>
      <c r="F27" s="157"/>
      <c r="G27" s="155" t="s">
        <v>1004</v>
      </c>
      <c r="H27" s="156"/>
      <c r="I27" s="156"/>
      <c r="J27" s="156"/>
      <c r="K27" s="158" t="s">
        <v>1978</v>
      </c>
      <c r="L27" s="159"/>
      <c r="M27" s="159"/>
      <c r="N27" s="159"/>
      <c r="O27" s="160"/>
    </row>
    <row r="28" spans="1:24" s="11" customFormat="1" ht="21" thickTop="1">
      <c r="A28" s="10"/>
      <c r="B28" s="10"/>
      <c r="C28" s="13" t="s">
        <v>1005</v>
      </c>
      <c r="D28" s="13" t="s">
        <v>1006</v>
      </c>
      <c r="E28" s="13" t="s">
        <v>1007</v>
      </c>
      <c r="F28" s="13" t="s">
        <v>1030</v>
      </c>
      <c r="G28" s="16" t="s">
        <v>1032</v>
      </c>
      <c r="H28" s="14" t="s">
        <v>990</v>
      </c>
      <c r="I28" s="14" t="s">
        <v>3</v>
      </c>
      <c r="J28" s="15" t="s">
        <v>1038</v>
      </c>
      <c r="K28" s="34" t="s">
        <v>989</v>
      </c>
      <c r="L28" s="12" t="s">
        <v>987</v>
      </c>
      <c r="M28" s="12" t="s">
        <v>988</v>
      </c>
      <c r="N28" s="12" t="s">
        <v>1000</v>
      </c>
      <c r="O28" s="12" t="s">
        <v>1001</v>
      </c>
      <c r="X28" s="4"/>
    </row>
    <row r="29" spans="1:24" ht="17.25" customHeight="1">
      <c r="C29" s="2" t="s">
        <v>893</v>
      </c>
      <c r="D29" s="2" t="s">
        <v>2027</v>
      </c>
      <c r="E29" s="2" t="s">
        <v>979</v>
      </c>
      <c r="F29" s="12" t="s">
        <v>2283</v>
      </c>
      <c r="G29" t="s">
        <v>2871</v>
      </c>
      <c r="H29" s="2" t="s">
        <v>11</v>
      </c>
      <c r="I29" s="2" t="s">
        <v>14</v>
      </c>
      <c r="J29" s="12" t="s">
        <v>1970</v>
      </c>
      <c r="K29" s="12" t="s">
        <v>1971</v>
      </c>
      <c r="L29" s="12">
        <v>2</v>
      </c>
      <c r="M29" s="12">
        <v>4</v>
      </c>
      <c r="N29" s="12">
        <v>5</v>
      </c>
      <c r="O29" s="12">
        <v>9</v>
      </c>
      <c r="X29" s="11"/>
    </row>
    <row r="30" spans="1:24" ht="17.25" customHeight="1">
      <c r="C30" s="2" t="s">
        <v>50</v>
      </c>
      <c r="D30" s="2" t="s">
        <v>994</v>
      </c>
      <c r="E30" s="2" t="s">
        <v>50</v>
      </c>
      <c r="F30" s="12" t="s">
        <v>2065</v>
      </c>
      <c r="G30" t="s">
        <v>2079</v>
      </c>
      <c r="H30" s="2" t="s">
        <v>17</v>
      </c>
      <c r="I30" s="2" t="s">
        <v>1002</v>
      </c>
      <c r="J30" s="12" t="s">
        <v>1968</v>
      </c>
      <c r="K30" s="12" t="s">
        <v>1969</v>
      </c>
      <c r="L30" s="12">
        <v>6</v>
      </c>
      <c r="M30" s="12">
        <v>12</v>
      </c>
      <c r="N30" s="12">
        <v>15</v>
      </c>
      <c r="O30" s="12">
        <v>19</v>
      </c>
    </row>
    <row r="31" spans="1:24" ht="17.25" customHeight="1">
      <c r="C31" s="2" t="s">
        <v>991</v>
      </c>
      <c r="D31" s="2" t="s">
        <v>2110</v>
      </c>
      <c r="E31" s="2" t="s">
        <v>2915</v>
      </c>
      <c r="F31" s="12" t="s">
        <v>2277</v>
      </c>
      <c r="G31" t="s">
        <v>75</v>
      </c>
      <c r="H31" s="2" t="s">
        <v>417</v>
      </c>
      <c r="I31" s="3" t="s">
        <v>12</v>
      </c>
      <c r="J31" s="12" t="s">
        <v>1976</v>
      </c>
      <c r="K31" s="12" t="s">
        <v>1975</v>
      </c>
      <c r="L31" s="12">
        <v>9</v>
      </c>
      <c r="M31" s="12">
        <v>19</v>
      </c>
      <c r="N31" s="12">
        <v>23</v>
      </c>
      <c r="O31" s="12">
        <v>28</v>
      </c>
    </row>
    <row r="32" spans="1:24" ht="17.25" customHeight="1">
      <c r="C32" s="2" t="s">
        <v>311</v>
      </c>
      <c r="D32" s="2" t="s">
        <v>242</v>
      </c>
      <c r="E32" s="2" t="s">
        <v>311</v>
      </c>
      <c r="F32" s="12" t="s">
        <v>404</v>
      </c>
      <c r="G32" t="s">
        <v>2029</v>
      </c>
      <c r="H32" s="2" t="s">
        <v>6</v>
      </c>
      <c r="I32" s="2" t="s">
        <v>704</v>
      </c>
      <c r="J32" s="12" t="s">
        <v>1964</v>
      </c>
      <c r="K32" s="12" t="s">
        <v>1974</v>
      </c>
      <c r="L32" s="12">
        <v>15</v>
      </c>
      <c r="M32" s="12">
        <v>19</v>
      </c>
      <c r="N32" s="12">
        <v>35</v>
      </c>
      <c r="O32" s="12">
        <v>60</v>
      </c>
    </row>
    <row r="33" spans="3:14" ht="17.25" customHeight="1">
      <c r="C33" s="2" t="s">
        <v>44</v>
      </c>
      <c r="D33" s="2" t="s">
        <v>2102</v>
      </c>
      <c r="E33" s="2" t="s">
        <v>404</v>
      </c>
      <c r="F33" s="12" t="s">
        <v>967</v>
      </c>
      <c r="G33" t="s">
        <v>70</v>
      </c>
      <c r="H33" s="3" t="s">
        <v>301</v>
      </c>
      <c r="I33" s="2" t="s">
        <v>540</v>
      </c>
      <c r="J33" s="12" t="s">
        <v>1966</v>
      </c>
      <c r="K33" s="9"/>
      <c r="L33" s="4"/>
      <c r="M33" s="4"/>
      <c r="N33" s="4"/>
    </row>
    <row r="34" spans="3:14" ht="17.25" customHeight="1">
      <c r="C34" s="2" t="s">
        <v>404</v>
      </c>
      <c r="D34" s="2" t="s">
        <v>81</v>
      </c>
      <c r="E34" s="2" t="s">
        <v>423</v>
      </c>
      <c r="F34" s="51" t="s">
        <v>102</v>
      </c>
      <c r="G34" t="s">
        <v>2284</v>
      </c>
      <c r="H34" s="2" t="s">
        <v>323</v>
      </c>
      <c r="I34" s="2" t="s">
        <v>103</v>
      </c>
      <c r="J34" s="12" t="s">
        <v>1967</v>
      </c>
      <c r="K34" s="9"/>
      <c r="L34" s="4"/>
      <c r="M34" s="4"/>
      <c r="N34" s="4"/>
    </row>
    <row r="35" spans="3:14" ht="17.25" customHeight="1">
      <c r="C35" s="2" t="s">
        <v>423</v>
      </c>
      <c r="D35" s="2" t="s">
        <v>50</v>
      </c>
      <c r="E35" s="2" t="s">
        <v>2324</v>
      </c>
      <c r="F35" s="51" t="s">
        <v>2280</v>
      </c>
      <c r="G35" t="s">
        <v>51</v>
      </c>
      <c r="H35" s="2" t="s">
        <v>23</v>
      </c>
      <c r="I35" s="2" t="s">
        <v>7</v>
      </c>
      <c r="J35" s="12" t="s">
        <v>1973</v>
      </c>
      <c r="K35" s="9"/>
      <c r="L35" s="4"/>
      <c r="M35" s="4"/>
      <c r="N35" s="4"/>
    </row>
    <row r="36" spans="3:14" ht="17.25" customHeight="1">
      <c r="C36" s="2" t="s">
        <v>924</v>
      </c>
      <c r="D36" s="2" t="s">
        <v>758</v>
      </c>
      <c r="E36" s="2" t="s">
        <v>967</v>
      </c>
      <c r="F36" s="52" t="s">
        <v>939</v>
      </c>
      <c r="G36" t="s">
        <v>1003</v>
      </c>
      <c r="H36" s="2" t="s">
        <v>49</v>
      </c>
      <c r="I36" s="2" t="s">
        <v>29</v>
      </c>
      <c r="K36" s="9"/>
      <c r="L36" s="4"/>
      <c r="M36" s="4"/>
      <c r="N36" s="4"/>
    </row>
    <row r="37" spans="3:14" ht="17.25" customHeight="1">
      <c r="C37" s="2" t="s">
        <v>568</v>
      </c>
      <c r="D37" s="2" t="s">
        <v>991</v>
      </c>
      <c r="E37" s="2" t="s">
        <v>960</v>
      </c>
      <c r="F37" s="52" t="s">
        <v>2066</v>
      </c>
      <c r="G37" t="s">
        <v>52</v>
      </c>
      <c r="K37" s="9"/>
      <c r="L37" s="4"/>
      <c r="M37" s="4"/>
      <c r="N37" s="4"/>
    </row>
    <row r="38" spans="3:14" ht="17.25" customHeight="1">
      <c r="C38" s="2" t="s">
        <v>102</v>
      </c>
      <c r="D38" s="2" t="s">
        <v>899</v>
      </c>
      <c r="E38" s="2" t="s">
        <v>102</v>
      </c>
      <c r="F38" s="52" t="s">
        <v>2071</v>
      </c>
      <c r="G38" t="s">
        <v>21</v>
      </c>
      <c r="H38" s="5"/>
      <c r="K38" s="9"/>
      <c r="L38" s="4"/>
      <c r="M38" s="4"/>
      <c r="N38" s="4"/>
    </row>
    <row r="39" spans="3:14" ht="17.25" customHeight="1">
      <c r="C39" s="2" t="s">
        <v>719</v>
      </c>
      <c r="D39" s="2" t="s">
        <v>311</v>
      </c>
      <c r="E39" s="2" t="s">
        <v>958</v>
      </c>
      <c r="F39" s="4"/>
      <c r="G39" t="s">
        <v>28</v>
      </c>
      <c r="K39" s="9"/>
      <c r="L39" s="4"/>
      <c r="M39" s="4"/>
      <c r="N39" s="4"/>
    </row>
    <row r="40" spans="3:14" ht="17.25" customHeight="1">
      <c r="C40" s="2" t="s">
        <v>2280</v>
      </c>
      <c r="D40" s="2" t="s">
        <v>44</v>
      </c>
      <c r="E40" s="2" t="s">
        <v>2280</v>
      </c>
      <c r="K40" s="9"/>
      <c r="L40" s="4"/>
      <c r="M40" s="4"/>
      <c r="N40" s="4"/>
    </row>
    <row r="41" spans="3:14" ht="17.25" customHeight="1">
      <c r="C41" s="2" t="s">
        <v>905</v>
      </c>
      <c r="D41" s="2" t="s">
        <v>2078</v>
      </c>
      <c r="E41" s="2" t="s">
        <v>905</v>
      </c>
      <c r="K41" s="9"/>
      <c r="L41" s="4"/>
      <c r="M41" s="4"/>
      <c r="N41" s="4"/>
    </row>
    <row r="42" spans="3:14" ht="17.25" customHeight="1">
      <c r="C42" s="2" t="s">
        <v>2111</v>
      </c>
      <c r="D42" s="2" t="s">
        <v>404</v>
      </c>
      <c r="E42" s="2" t="s">
        <v>108</v>
      </c>
      <c r="K42" s="9"/>
      <c r="L42" s="4"/>
      <c r="M42" s="4"/>
      <c r="N42" s="4"/>
    </row>
    <row r="43" spans="3:14" ht="17.25" customHeight="1">
      <c r="C43" s="2" t="s">
        <v>126</v>
      </c>
      <c r="D43" s="2" t="s">
        <v>421</v>
      </c>
      <c r="E43" s="46" t="s">
        <v>998</v>
      </c>
      <c r="K43" s="9"/>
    </row>
    <row r="44" spans="3:14" ht="17.25" customHeight="1">
      <c r="C44" s="2" t="s">
        <v>129</v>
      </c>
      <c r="D44" s="2" t="s">
        <v>423</v>
      </c>
      <c r="E44" s="46" t="s">
        <v>959</v>
      </c>
      <c r="K44" s="9"/>
    </row>
    <row r="45" spans="3:14" ht="17.25" customHeight="1">
      <c r="C45" s="2" t="s">
        <v>939</v>
      </c>
      <c r="D45" s="2" t="s">
        <v>995</v>
      </c>
      <c r="E45" s="46" t="s">
        <v>2112</v>
      </c>
      <c r="J45" s="5"/>
      <c r="K45" s="9"/>
    </row>
    <row r="46" spans="3:14" ht="17.25" customHeight="1">
      <c r="C46" s="2" t="s">
        <v>3171</v>
      </c>
      <c r="D46" s="2" t="s">
        <v>165</v>
      </c>
      <c r="E46" s="46" t="s">
        <v>992</v>
      </c>
      <c r="H46" s="1"/>
      <c r="I46" s="5"/>
      <c r="J46" s="5"/>
      <c r="K46" s="9"/>
    </row>
    <row r="47" spans="3:14" ht="17.25" customHeight="1">
      <c r="C47" s="2" t="s">
        <v>911</v>
      </c>
      <c r="D47" s="2" t="s">
        <v>131</v>
      </c>
      <c r="E47" s="4"/>
      <c r="H47" s="1"/>
    </row>
    <row r="48" spans="3:14" ht="17.25" customHeight="1">
      <c r="C48" s="2" t="s">
        <v>437</v>
      </c>
      <c r="D48" s="2" t="s">
        <v>102</v>
      </c>
      <c r="H48" s="1"/>
    </row>
    <row r="49" spans="3:25" ht="17.25" customHeight="1">
      <c r="C49" s="2" t="s">
        <v>929</v>
      </c>
      <c r="D49" s="2" t="s">
        <v>65</v>
      </c>
      <c r="H49" s="1"/>
    </row>
    <row r="50" spans="3:25" ht="17.25" customHeight="1">
      <c r="C50" s="2" t="s">
        <v>2926</v>
      </c>
      <c r="D50" s="2" t="s">
        <v>2280</v>
      </c>
      <c r="G50" s="5"/>
      <c r="H50" s="1"/>
    </row>
    <row r="51" spans="3:25" ht="17.25" customHeight="1">
      <c r="C51" s="2" t="s">
        <v>955</v>
      </c>
      <c r="D51" s="2" t="s">
        <v>2111</v>
      </c>
      <c r="H51" s="1"/>
      <c r="N51" s="1"/>
      <c r="O51" s="1"/>
    </row>
    <row r="52" spans="3:25" ht="17.25" customHeight="1">
      <c r="C52" s="2" t="s">
        <v>992</v>
      </c>
      <c r="D52" s="2" t="s">
        <v>660</v>
      </c>
      <c r="H52" s="1"/>
      <c r="L52" s="1"/>
      <c r="M52" s="1"/>
      <c r="N52" s="1"/>
      <c r="O52" s="1"/>
    </row>
    <row r="53" spans="3:25" ht="17.25" customHeight="1">
      <c r="C53" s="46" t="s">
        <v>902</v>
      </c>
      <c r="D53" s="2" t="s">
        <v>868</v>
      </c>
      <c r="H53" s="1"/>
      <c r="J53" s="1"/>
      <c r="L53" s="1"/>
      <c r="M53" s="1"/>
      <c r="N53" s="1"/>
      <c r="O53" s="1"/>
    </row>
    <row r="54" spans="3:25" ht="17.25" customHeight="1">
      <c r="C54" s="46" t="s">
        <v>993</v>
      </c>
      <c r="D54" s="2" t="s">
        <v>30</v>
      </c>
      <c r="H54" s="1"/>
      <c r="I54" s="1"/>
      <c r="J54" s="1"/>
      <c r="L54" s="1"/>
      <c r="M54" s="1"/>
      <c r="N54" s="1"/>
      <c r="O54" s="1"/>
      <c r="P54" s="1"/>
      <c r="Q54" s="1"/>
      <c r="R54" s="1"/>
      <c r="S54" s="1"/>
      <c r="T54" s="1"/>
      <c r="U54" s="1"/>
      <c r="V54" s="1"/>
      <c r="W54" s="1"/>
      <c r="X54" s="1"/>
      <c r="Y54" s="1"/>
    </row>
    <row r="55" spans="3:25" ht="17.25" customHeight="1">
      <c r="C55" s="4"/>
      <c r="D55" s="2" t="s">
        <v>911</v>
      </c>
      <c r="H55" s="1"/>
      <c r="I55" s="1"/>
      <c r="J55" s="1"/>
      <c r="K55" s="1"/>
      <c r="L55" s="1"/>
      <c r="M55" s="1"/>
      <c r="N55" s="1"/>
      <c r="O55" s="1"/>
      <c r="P55" s="1"/>
      <c r="Q55" s="1"/>
      <c r="R55" s="1"/>
      <c r="S55" s="1"/>
      <c r="T55" s="1"/>
      <c r="U55" s="1"/>
      <c r="V55" s="1"/>
      <c r="W55" s="1"/>
      <c r="X55" s="1"/>
      <c r="Y55" s="1"/>
    </row>
    <row r="56" spans="3:25" ht="17.25" customHeight="1">
      <c r="D56" s="2" t="s">
        <v>536</v>
      </c>
      <c r="H56" s="1"/>
      <c r="I56" s="1"/>
      <c r="J56" s="1"/>
      <c r="K56" s="1"/>
      <c r="L56" s="1"/>
      <c r="M56" s="1"/>
      <c r="N56" s="1"/>
      <c r="O56" s="1"/>
      <c r="P56" s="1"/>
      <c r="Q56" s="1"/>
      <c r="R56" s="1"/>
      <c r="S56" s="1"/>
      <c r="T56" s="1"/>
      <c r="U56" s="1"/>
      <c r="V56" s="1"/>
      <c r="W56" s="1"/>
      <c r="X56" s="1"/>
      <c r="Y56" s="1"/>
    </row>
    <row r="57" spans="3:25" ht="17.25" customHeight="1">
      <c r="D57" s="2" t="s">
        <v>437</v>
      </c>
      <c r="H57" s="1"/>
      <c r="I57" s="1"/>
      <c r="J57" s="1"/>
      <c r="K57" s="1"/>
      <c r="L57" s="1"/>
      <c r="M57" s="1"/>
      <c r="N57" s="1"/>
      <c r="O57" s="1"/>
      <c r="P57" s="1"/>
      <c r="Q57" s="1"/>
      <c r="R57" s="1"/>
      <c r="S57" s="1"/>
      <c r="T57" s="1"/>
      <c r="U57" s="1"/>
      <c r="V57" s="1"/>
      <c r="W57" s="1"/>
      <c r="X57" s="1"/>
      <c r="Y57" s="1"/>
    </row>
    <row r="58" spans="3:25" ht="17.25" customHeight="1">
      <c r="D58" s="2" t="s">
        <v>74</v>
      </c>
      <c r="G58" s="1"/>
      <c r="H58" s="1"/>
      <c r="I58" s="1"/>
      <c r="J58" s="1"/>
      <c r="K58" s="1"/>
      <c r="L58" s="1"/>
      <c r="M58" s="1"/>
      <c r="N58" s="1"/>
      <c r="O58" s="1"/>
      <c r="P58" s="1"/>
      <c r="Q58" s="1"/>
      <c r="R58" s="1"/>
      <c r="S58" s="1"/>
      <c r="T58" s="1"/>
      <c r="U58" s="1"/>
      <c r="V58" s="1"/>
      <c r="W58" s="1"/>
      <c r="X58" s="1"/>
      <c r="Y58" s="1"/>
    </row>
    <row r="59" spans="3:25" ht="17.25" customHeight="1">
      <c r="D59" s="2" t="s">
        <v>915</v>
      </c>
      <c r="G59" s="1"/>
      <c r="H59" s="1"/>
      <c r="I59" s="1"/>
      <c r="J59" s="1"/>
      <c r="K59" s="1"/>
      <c r="L59" s="1"/>
      <c r="M59" s="1"/>
      <c r="N59" s="1"/>
      <c r="O59" s="1"/>
      <c r="P59" s="1"/>
      <c r="Q59" s="1"/>
      <c r="R59" s="1"/>
      <c r="S59" s="1"/>
      <c r="T59" s="1"/>
      <c r="U59" s="1"/>
      <c r="V59" s="1"/>
      <c r="W59" s="1"/>
      <c r="X59" s="1"/>
      <c r="Y59" s="1"/>
    </row>
    <row r="60" spans="3:25" ht="17.25" customHeight="1">
      <c r="D60" s="2" t="s">
        <v>2099</v>
      </c>
      <c r="G60" s="1"/>
      <c r="H60" s="1"/>
      <c r="I60" s="1"/>
      <c r="J60" s="1"/>
      <c r="K60" s="1"/>
      <c r="L60" s="1"/>
      <c r="M60" s="1"/>
      <c r="N60" s="1"/>
      <c r="O60" s="1"/>
      <c r="P60" s="1"/>
      <c r="Q60" s="1"/>
      <c r="R60" s="1"/>
      <c r="S60" s="1"/>
      <c r="T60" s="1"/>
      <c r="U60" s="1"/>
      <c r="V60" s="1"/>
      <c r="W60" s="1"/>
      <c r="X60" s="1"/>
      <c r="Y60" s="1"/>
    </row>
    <row r="61" spans="3:25" ht="17.25" customHeight="1">
      <c r="D61" s="2" t="s">
        <v>277</v>
      </c>
      <c r="G61" s="1"/>
      <c r="H61" s="1"/>
      <c r="I61" s="1"/>
      <c r="J61" s="1"/>
      <c r="K61" s="1"/>
      <c r="L61" s="1"/>
      <c r="M61" s="1"/>
      <c r="N61" s="1"/>
      <c r="O61" s="1"/>
      <c r="P61" s="1"/>
      <c r="Q61" s="1"/>
      <c r="R61" s="1"/>
      <c r="S61" s="1"/>
      <c r="T61" s="1"/>
      <c r="U61" s="1"/>
      <c r="V61" s="1"/>
      <c r="W61" s="1"/>
      <c r="X61" s="1"/>
      <c r="Y61" s="1"/>
    </row>
    <row r="62" spans="3:25" ht="17.25" customHeight="1">
      <c r="D62" s="2" t="s">
        <v>996</v>
      </c>
      <c r="G62" s="1"/>
      <c r="H62" s="1"/>
      <c r="I62" s="1"/>
      <c r="J62" s="1"/>
      <c r="K62" s="1"/>
      <c r="L62" s="1"/>
      <c r="M62" s="1"/>
      <c r="N62" s="1"/>
      <c r="O62" s="1"/>
      <c r="P62" s="1"/>
      <c r="Q62" s="1"/>
      <c r="R62" s="1"/>
      <c r="S62" s="1"/>
      <c r="T62" s="1"/>
      <c r="U62" s="1"/>
      <c r="V62" s="1"/>
      <c r="W62" s="1"/>
      <c r="X62" s="1"/>
      <c r="Y62" s="1"/>
    </row>
    <row r="63" spans="3:25" ht="17.25" customHeight="1">
      <c r="D63" s="2" t="s">
        <v>560</v>
      </c>
      <c r="F63" s="1"/>
      <c r="G63" s="1"/>
      <c r="H63" s="1"/>
      <c r="I63" s="1"/>
      <c r="J63" s="1"/>
      <c r="K63" s="1"/>
      <c r="L63" s="1"/>
      <c r="M63" s="1"/>
      <c r="N63" s="1"/>
      <c r="O63" s="1"/>
      <c r="P63" s="1"/>
      <c r="Q63" s="1"/>
      <c r="R63" s="1"/>
      <c r="S63" s="1"/>
      <c r="T63" s="1"/>
      <c r="U63" s="1"/>
      <c r="V63" s="1"/>
      <c r="W63" s="1"/>
      <c r="X63" s="1"/>
      <c r="Y63" s="1"/>
    </row>
    <row r="64" spans="3:25" ht="17.25" customHeight="1">
      <c r="D64" s="2" t="s">
        <v>495</v>
      </c>
      <c r="F64" s="1"/>
      <c r="G64" s="1"/>
      <c r="H64" s="1"/>
      <c r="I64" s="1"/>
      <c r="J64" s="1"/>
      <c r="K64" s="1"/>
      <c r="L64" s="1"/>
      <c r="M64" s="1"/>
      <c r="N64" s="1"/>
      <c r="O64" s="1"/>
      <c r="P64" s="1"/>
      <c r="Q64" s="1"/>
      <c r="R64" s="1"/>
      <c r="S64" s="1"/>
      <c r="T64" s="1"/>
      <c r="U64" s="1"/>
      <c r="V64" s="1"/>
      <c r="W64" s="1"/>
      <c r="X64" s="1"/>
      <c r="Y64" s="1"/>
    </row>
    <row r="65" spans="4:25" ht="17.25" customHeight="1">
      <c r="D65" s="2" t="s">
        <v>778</v>
      </c>
      <c r="F65" s="1"/>
      <c r="G65" s="1"/>
      <c r="H65" s="1"/>
      <c r="I65" s="1"/>
      <c r="J65" s="1"/>
      <c r="K65" s="1"/>
      <c r="L65" s="1"/>
      <c r="M65" s="1"/>
      <c r="N65" s="1"/>
      <c r="O65" s="1"/>
      <c r="P65" s="1"/>
      <c r="Q65" s="1"/>
      <c r="R65" s="1"/>
      <c r="S65" s="1"/>
      <c r="T65" s="1"/>
      <c r="U65" s="1"/>
      <c r="V65" s="1"/>
      <c r="W65" s="1"/>
      <c r="X65" s="1"/>
      <c r="Y65" s="1"/>
    </row>
    <row r="66" spans="4:25" ht="17.25" customHeight="1">
      <c r="D66" s="46" t="s">
        <v>435</v>
      </c>
      <c r="F66" s="1"/>
      <c r="G66" s="1"/>
      <c r="H66" s="1"/>
      <c r="I66" s="1"/>
      <c r="J66" s="1"/>
      <c r="K66" s="1"/>
      <c r="L66" s="1"/>
      <c r="M66" s="1"/>
      <c r="N66" s="1"/>
      <c r="O66" s="1"/>
      <c r="P66" s="1"/>
      <c r="Q66" s="1"/>
      <c r="R66" s="1"/>
      <c r="S66" s="1"/>
      <c r="T66" s="1"/>
      <c r="U66" s="1"/>
      <c r="V66" s="1"/>
      <c r="W66" s="1"/>
      <c r="X66" s="1"/>
      <c r="Y66" s="1"/>
    </row>
    <row r="67" spans="4:25" ht="17.25" customHeight="1">
      <c r="D67" s="46" t="s">
        <v>997</v>
      </c>
      <c r="F67" s="1"/>
      <c r="G67" s="1"/>
      <c r="H67" s="1"/>
      <c r="I67" s="1"/>
      <c r="J67" s="1"/>
      <c r="K67" s="1"/>
      <c r="L67" s="1"/>
      <c r="M67" s="1"/>
      <c r="N67" s="1"/>
      <c r="O67" s="1"/>
      <c r="P67" s="1"/>
      <c r="Q67" s="1"/>
      <c r="R67" s="1"/>
      <c r="S67" s="1"/>
      <c r="T67" s="1"/>
      <c r="U67" s="1"/>
      <c r="V67" s="1"/>
      <c r="W67" s="1"/>
      <c r="X67" s="1"/>
      <c r="Y67" s="1"/>
    </row>
    <row r="68" spans="4:25" ht="17.25" customHeight="1">
      <c r="D68" s="46" t="s">
        <v>2553</v>
      </c>
      <c r="F68" s="1"/>
      <c r="G68" s="1"/>
      <c r="H68" s="1"/>
      <c r="I68" s="1"/>
      <c r="J68" s="1"/>
      <c r="K68" s="1"/>
      <c r="L68" s="1"/>
      <c r="M68" s="1"/>
      <c r="N68" s="1"/>
      <c r="O68" s="1"/>
      <c r="P68" s="1"/>
      <c r="Q68" s="1"/>
      <c r="R68" s="1"/>
      <c r="S68" s="1"/>
      <c r="T68" s="1"/>
      <c r="U68" s="1"/>
      <c r="V68" s="1"/>
      <c r="W68" s="1"/>
      <c r="X68" s="1"/>
      <c r="Y68" s="1"/>
    </row>
    <row r="69" spans="4:25" ht="17.25" customHeight="1">
      <c r="D69" s="46" t="s">
        <v>69</v>
      </c>
      <c r="F69" s="1"/>
      <c r="G69" s="1"/>
      <c r="H69" s="1"/>
      <c r="I69" s="1"/>
      <c r="J69" s="1"/>
      <c r="K69" s="1"/>
      <c r="L69" s="1"/>
      <c r="M69" s="1"/>
      <c r="N69" s="1"/>
      <c r="O69" s="1"/>
      <c r="P69" s="1"/>
      <c r="Q69" s="1"/>
      <c r="R69" s="1"/>
      <c r="S69" s="1"/>
      <c r="T69" s="1"/>
      <c r="U69" s="1"/>
      <c r="V69" s="1"/>
      <c r="W69" s="1"/>
      <c r="X69" s="1"/>
      <c r="Y69" s="1"/>
    </row>
    <row r="70" spans="4:25" ht="17.25" customHeight="1">
      <c r="D70" s="46" t="s">
        <v>993</v>
      </c>
      <c r="F70" s="1"/>
      <c r="G70" s="1"/>
      <c r="H70" s="1"/>
      <c r="I70" s="1"/>
      <c r="J70" s="1"/>
      <c r="K70" s="1"/>
      <c r="L70" s="1"/>
      <c r="M70" s="1"/>
      <c r="N70" s="1"/>
      <c r="O70" s="1"/>
      <c r="P70" s="1"/>
      <c r="Q70" s="1"/>
      <c r="R70" s="1"/>
      <c r="S70" s="1"/>
      <c r="T70" s="1"/>
      <c r="U70" s="1"/>
      <c r="V70" s="1"/>
      <c r="W70" s="1"/>
      <c r="X70" s="1"/>
      <c r="Y70" s="1"/>
    </row>
    <row r="71" spans="4:25" ht="17.25" customHeight="1">
      <c r="D71" s="46" t="s">
        <v>375</v>
      </c>
      <c r="F71" s="1"/>
      <c r="G71" s="1"/>
      <c r="H71" s="1"/>
      <c r="I71" s="1"/>
      <c r="J71" s="1"/>
      <c r="K71" s="1"/>
      <c r="L71" s="1"/>
      <c r="M71" s="1"/>
      <c r="N71" s="1"/>
      <c r="O71" s="1"/>
      <c r="P71" s="1"/>
      <c r="Q71" s="1"/>
      <c r="R71" s="1"/>
      <c r="S71" s="1"/>
      <c r="T71" s="1"/>
      <c r="U71" s="1"/>
      <c r="V71" s="1"/>
      <c r="W71" s="1"/>
      <c r="X71" s="1"/>
      <c r="Y71" s="1"/>
    </row>
    <row r="72" spans="4:25" ht="17.25" customHeight="1">
      <c r="D72" s="46"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0">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Q11:R11"/>
    <mergeCell ref="Q8:R8"/>
    <mergeCell ref="Q9:R9"/>
    <mergeCell ref="Q2:R2"/>
    <mergeCell ref="Q3:R7"/>
    <mergeCell ref="Q10:R10"/>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
  <sheetViews>
    <sheetView zoomScale="85" zoomScaleNormal="85" workbookViewId="0">
      <selection activeCell="A2" sqref="A2"/>
    </sheetView>
  </sheetViews>
  <sheetFormatPr defaultColWidth="15.875" defaultRowHeight="20.100000000000001" customHeight="1"/>
  <cols>
    <col min="1" max="1" width="8.25" style="44" customWidth="1"/>
    <col min="2" max="2" width="20.5" style="44" customWidth="1"/>
    <col min="3" max="3" width="64.375" style="44" customWidth="1"/>
    <col min="4" max="4" width="37.25" style="44" customWidth="1"/>
    <col min="5" max="7" width="15.875" style="44"/>
    <col min="8" max="8" width="16.625" style="45" customWidth="1"/>
    <col min="9" max="16384" width="15.875" style="44"/>
  </cols>
  <sheetData>
    <row r="1" spans="1:8" s="46" customFormat="1" ht="30" customHeight="1">
      <c r="A1" s="48" t="s">
        <v>990</v>
      </c>
      <c r="B1" s="48" t="s">
        <v>1989</v>
      </c>
      <c r="C1" s="48" t="s">
        <v>0</v>
      </c>
      <c r="D1" s="48" t="s">
        <v>2</v>
      </c>
      <c r="E1" s="48" t="s">
        <v>1990</v>
      </c>
      <c r="F1" s="48" t="s">
        <v>1961</v>
      </c>
      <c r="G1" s="48" t="s">
        <v>1991</v>
      </c>
      <c r="H1" s="49" t="s">
        <v>1992</v>
      </c>
    </row>
    <row r="2" spans="1:8" ht="14.25">
      <c r="A2" s="50"/>
      <c r="B2" s="50"/>
      <c r="C2" s="47"/>
      <c r="D2" s="47"/>
    </row>
    <row r="3" spans="1:8" ht="14.25">
      <c r="A3" s="50"/>
      <c r="B3" s="50"/>
      <c r="C3" s="47"/>
      <c r="D3" s="47"/>
    </row>
    <row r="4" spans="1:8" ht="20.100000000000001" customHeight="1">
      <c r="A4" s="50"/>
      <c r="B4" s="50"/>
      <c r="C4" s="47"/>
      <c r="D4" s="47"/>
    </row>
    <row r="5" spans="1:8" ht="20.100000000000001" customHeight="1">
      <c r="A5" s="50"/>
      <c r="B5" s="50"/>
      <c r="C5" s="47"/>
      <c r="D5" s="47"/>
    </row>
    <row r="6" spans="1:8" ht="20.100000000000001" customHeight="1">
      <c r="A6" s="50"/>
      <c r="B6" s="50"/>
      <c r="C6" s="47"/>
      <c r="D6" s="47"/>
    </row>
    <row r="7" spans="1:8" ht="20.100000000000001" customHeight="1">
      <c r="A7" s="50"/>
      <c r="B7" s="50"/>
      <c r="C7" s="47"/>
      <c r="D7" s="47"/>
    </row>
    <row r="8" spans="1:8" ht="20.100000000000001" customHeight="1">
      <c r="A8" s="50"/>
      <c r="B8" s="50"/>
      <c r="C8" s="47"/>
      <c r="D8" s="47"/>
    </row>
    <row r="9" spans="1:8" ht="20.100000000000001" customHeight="1">
      <c r="A9" s="50"/>
      <c r="B9" s="50"/>
      <c r="C9" s="47"/>
      <c r="D9" s="47"/>
    </row>
    <row r="10" spans="1:8" ht="20.100000000000001" customHeight="1">
      <c r="A10" s="50"/>
      <c r="B10" s="50"/>
      <c r="C10" s="47"/>
      <c r="D10" s="47"/>
    </row>
    <row r="11" spans="1:8" ht="20.100000000000001" customHeight="1">
      <c r="A11" s="50"/>
      <c r="B11" s="50"/>
      <c r="C11" s="47"/>
      <c r="D11" s="47"/>
    </row>
    <row r="12" spans="1:8" ht="20.100000000000001" customHeight="1">
      <c r="A12" s="50"/>
      <c r="B12" s="50"/>
      <c r="C12" s="47"/>
      <c r="D12" s="47"/>
    </row>
    <row r="13" spans="1:8" ht="20.100000000000001" customHeight="1">
      <c r="A13" s="50"/>
      <c r="B13" s="50"/>
      <c r="C13" s="47"/>
      <c r="D13" s="47"/>
    </row>
    <row r="14" spans="1:8" ht="20.100000000000001" customHeight="1">
      <c r="A14" s="50"/>
      <c r="B14" s="50"/>
      <c r="C14" s="47"/>
      <c r="D14" s="47"/>
    </row>
    <row r="15" spans="1:8" ht="20.100000000000001" customHeight="1">
      <c r="A15" s="50"/>
      <c r="B15" s="50"/>
      <c r="C15" s="47"/>
      <c r="D15" s="47"/>
    </row>
    <row r="16" spans="1:8" ht="20.100000000000001" customHeight="1">
      <c r="A16" s="50"/>
      <c r="B16" s="50"/>
      <c r="C16" s="47"/>
      <c r="D16" s="47"/>
    </row>
    <row r="17" spans="1:4" ht="20.100000000000001" customHeight="1">
      <c r="A17" s="50"/>
      <c r="B17" s="50"/>
      <c r="C17" s="47"/>
      <c r="D17" s="47"/>
    </row>
    <row r="18" spans="1:4" ht="20.100000000000001" customHeight="1">
      <c r="A18" s="50"/>
      <c r="B18" s="50"/>
      <c r="C18" s="47"/>
      <c r="D18" s="47"/>
    </row>
    <row r="19" spans="1:4" ht="20.100000000000001" customHeight="1">
      <c r="C19" s="47"/>
      <c r="D19" s="47"/>
    </row>
    <row r="20" spans="1:4" ht="20.100000000000001" customHeight="1">
      <c r="C20" s="47"/>
      <c r="D20" s="47"/>
    </row>
    <row r="21" spans="1:4" ht="20.100000000000001" customHeight="1">
      <c r="C21" s="47"/>
      <c r="D21" s="47"/>
    </row>
    <row r="22" spans="1:4" ht="20.100000000000001" customHeight="1">
      <c r="C22" s="47"/>
      <c r="D22" s="47"/>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zoomScaleNormal="100" workbookViewId="0">
      <selection activeCell="A2" sqref="A2"/>
    </sheetView>
  </sheetViews>
  <sheetFormatPr defaultRowHeight="15.95" customHeight="1"/>
  <cols>
    <col min="1" max="1" width="3.875" style="54" customWidth="1"/>
    <col min="2" max="2" width="9.625" style="54" customWidth="1"/>
    <col min="3" max="3" width="13" style="54" customWidth="1"/>
    <col min="4" max="4" width="32.125" style="54" customWidth="1"/>
    <col min="5" max="5" width="11.875" style="54" customWidth="1"/>
    <col min="6" max="6" width="19.875" style="54" customWidth="1"/>
    <col min="7" max="7" width="14.25" style="54" customWidth="1"/>
    <col min="8" max="8" width="12" style="54" customWidth="1"/>
    <col min="9" max="16384" width="9" style="54"/>
  </cols>
  <sheetData>
    <row r="1" spans="1:8" ht="68.25" customHeight="1">
      <c r="A1" s="167" t="s">
        <v>3151</v>
      </c>
      <c r="B1" s="167"/>
      <c r="C1" s="167"/>
      <c r="D1" s="167"/>
      <c r="E1" s="167"/>
      <c r="F1" s="53"/>
    </row>
    <row r="2" spans="1:8" ht="33.75" customHeight="1">
      <c r="A2" s="46" t="s">
        <v>2020</v>
      </c>
      <c r="B2" s="46" t="s">
        <v>986</v>
      </c>
      <c r="C2" s="46" t="s">
        <v>1033</v>
      </c>
      <c r="D2" s="46" t="s">
        <v>0</v>
      </c>
      <c r="E2" s="46" t="s">
        <v>2021</v>
      </c>
      <c r="F2" s="46" t="s">
        <v>1961</v>
      </c>
      <c r="G2" s="46" t="s">
        <v>2019</v>
      </c>
      <c r="H2" s="46" t="s">
        <v>2022</v>
      </c>
    </row>
    <row r="3" spans="1:8" ht="15.95" customHeight="1">
      <c r="A3" s="55"/>
      <c r="B3" s="55"/>
      <c r="C3" s="55"/>
      <c r="D3" s="78"/>
      <c r="E3" s="56"/>
      <c r="F3" s="55"/>
      <c r="G3" s="55"/>
      <c r="H3" s="56"/>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2"/>
  <sheetViews>
    <sheetView workbookViewId="0">
      <selection activeCell="A2" sqref="A2"/>
    </sheetView>
  </sheetViews>
  <sheetFormatPr defaultColWidth="15.875" defaultRowHeight="20.100000000000001" customHeight="1"/>
  <cols>
    <col min="1" max="1" width="8.25" style="44" customWidth="1"/>
    <col min="2" max="2" width="20.5" style="44" customWidth="1"/>
    <col min="3" max="3" width="79.625" style="44" customWidth="1"/>
    <col min="4" max="16384" width="15.875" style="44"/>
  </cols>
  <sheetData>
    <row r="1" spans="1:3" s="46" customFormat="1" ht="30" customHeight="1">
      <c r="A1" s="48" t="s">
        <v>990</v>
      </c>
      <c r="B1" s="48" t="s">
        <v>1989</v>
      </c>
      <c r="C1" s="48" t="s">
        <v>2</v>
      </c>
    </row>
    <row r="2" spans="1:3" ht="20.100000000000001" customHeight="1">
      <c r="A2" s="50"/>
      <c r="B2" s="50"/>
      <c r="C2" s="47"/>
    </row>
    <row r="3" spans="1:3" ht="20.100000000000001" customHeight="1">
      <c r="A3" s="50"/>
      <c r="B3" s="50"/>
      <c r="C3" s="47"/>
    </row>
    <row r="4" spans="1:3" ht="20.100000000000001" customHeight="1">
      <c r="A4" s="50"/>
      <c r="B4" s="50"/>
      <c r="C4" s="47"/>
    </row>
    <row r="5" spans="1:3" ht="20.100000000000001" customHeight="1">
      <c r="A5" s="50"/>
      <c r="B5" s="50"/>
      <c r="C5" s="47"/>
    </row>
    <row r="6" spans="1:3" ht="20.100000000000001" customHeight="1">
      <c r="A6" s="50"/>
      <c r="B6" s="50"/>
      <c r="C6" s="47"/>
    </row>
    <row r="7" spans="1:3" ht="20.100000000000001" customHeight="1">
      <c r="A7" s="50"/>
      <c r="B7" s="50"/>
      <c r="C7" s="47"/>
    </row>
    <row r="8" spans="1:3" ht="20.100000000000001" customHeight="1">
      <c r="A8" s="50"/>
      <c r="B8" s="50"/>
      <c r="C8" s="47"/>
    </row>
    <row r="9" spans="1:3" ht="20.100000000000001" customHeight="1">
      <c r="A9" s="50"/>
      <c r="B9" s="50"/>
      <c r="C9" s="47"/>
    </row>
    <row r="10" spans="1:3" ht="20.100000000000001" customHeight="1">
      <c r="A10" s="50"/>
      <c r="B10" s="50"/>
      <c r="C10" s="47"/>
    </row>
    <row r="11" spans="1:3" ht="20.100000000000001" customHeight="1">
      <c r="A11" s="50"/>
      <c r="B11" s="50"/>
      <c r="C11" s="47"/>
    </row>
    <row r="12" spans="1:3" ht="20.100000000000001" customHeight="1">
      <c r="A12" s="50"/>
      <c r="B12" s="50"/>
      <c r="C12" s="47"/>
    </row>
    <row r="13" spans="1:3" ht="20.100000000000001" customHeight="1">
      <c r="A13" s="50"/>
      <c r="B13" s="50"/>
      <c r="C13" s="47"/>
    </row>
    <row r="14" spans="1:3" ht="20.100000000000001" customHeight="1">
      <c r="A14" s="50"/>
      <c r="B14" s="50"/>
      <c r="C14" s="47"/>
    </row>
    <row r="15" spans="1:3" ht="20.100000000000001" customHeight="1">
      <c r="A15" s="50"/>
      <c r="B15" s="50"/>
      <c r="C15" s="47"/>
    </row>
    <row r="16" spans="1:3" ht="20.100000000000001" customHeight="1">
      <c r="A16" s="50"/>
      <c r="B16" s="50"/>
      <c r="C16" s="47"/>
    </row>
    <row r="17" spans="1:3" ht="20.100000000000001" customHeight="1">
      <c r="A17" s="50"/>
      <c r="B17" s="50"/>
      <c r="C17" s="47"/>
    </row>
    <row r="18" spans="1:3" ht="20.100000000000001" customHeight="1">
      <c r="A18" s="50"/>
      <c r="B18" s="50"/>
      <c r="C18" s="47"/>
    </row>
    <row r="19" spans="1:3" ht="20.100000000000001" customHeight="1">
      <c r="C19" s="47"/>
    </row>
    <row r="20" spans="1:3" ht="20.100000000000001" customHeight="1">
      <c r="C20" s="47"/>
    </row>
    <row r="21" spans="1:3" ht="20.100000000000001" customHeight="1">
      <c r="C21" s="47"/>
    </row>
    <row r="22" spans="1:3" ht="20.100000000000001" customHeight="1">
      <c r="C22" s="4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Intro Checker</vt:lpstr>
      <vt:lpstr>RTA Manager</vt:lpstr>
      <vt:lpstr>Settings</vt:lpstr>
      <vt:lpstr>RTAimport</vt:lpstr>
      <vt:lpstr>Report</vt:lpstr>
      <vt:lpstr>PriorityLoad</vt:lpstr>
      <vt:lpstr>aisHide</vt:lpstr>
      <vt:lpstr>ATTRclass</vt:lpstr>
      <vt:lpstr>cFilt</vt:lpstr>
      <vt:lpstr>deptHide</vt:lpstr>
      <vt:lpstr>DIcode</vt:lpstr>
      <vt:lpstr>DIlab</vt:lpstr>
      <vt:lpstr>DIlt</vt:lpstr>
      <vt:lpstr>DIplt</vt:lpstr>
      <vt:lpstr>DIstate</vt:lpstr>
      <vt:lpstr>DItype</vt:lpstr>
      <vt:lpstr>FCcode</vt:lpstr>
      <vt:lpstr>FClab</vt:lpstr>
      <vt:lpstr>FClt</vt:lpstr>
      <vt:lpstr>FCplt</vt:lpstr>
      <vt:lpstr>FCstate</vt:lpstr>
      <vt:lpstr>FCtype</vt:lpstr>
      <vt:lpstr>FullScreenMode</vt:lpstr>
      <vt:lpstr>inProc</vt:lpstr>
      <vt:lpstr>nameQuery</vt:lpstr>
      <vt:lpstr>PMcode</vt:lpstr>
      <vt:lpstr>PMlab</vt:lpstr>
      <vt:lpstr>PMlt</vt:lpstr>
      <vt:lpstr>PMplt</vt:lpstr>
      <vt:lpstr>PMstate</vt:lpstr>
      <vt:lpstr>PMThide</vt:lpstr>
      <vt:lpstr>PMtype</vt:lpstr>
      <vt:lpstr>'RTA Manager'!Print_Area</vt:lpstr>
      <vt:lpstr>schedHide</vt:lpstr>
      <vt:lpstr>Scode</vt:lpstr>
      <vt:lpstr>sheetViewMode</vt:lpstr>
      <vt:lpstr>Slab</vt:lpstr>
      <vt:lpstr>Slt</vt:lpstr>
      <vt:lpstr>sortCol</vt:lpstr>
      <vt:lpstr>sortOrder</vt:lpstr>
      <vt:lpstr>Splt</vt:lpstr>
      <vt:lpstr>Sstate</vt:lpstr>
      <vt:lpstr>Stype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2011-12-05T17:27:11Z</cp:lastPrinted>
  <dcterms:created xsi:type="dcterms:W3CDTF">2011-06-24T10:58:18Z</dcterms:created>
  <dcterms:modified xsi:type="dcterms:W3CDTF">2011-12-05T21:18:40Z</dcterms:modified>
</cp:coreProperties>
</file>