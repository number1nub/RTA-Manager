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defaultThemeVersion="124226"/>
  <bookViews>
    <workbookView xWindow="9585" yWindow="-165" windowWidth="4605" windowHeight="8445"/>
  </bookViews>
  <sheets>
    <sheet name="Intro Checker" sheetId="8" r:id="rId1"/>
    <sheet name="RTA Manager" sheetId="4" state="hidden" r:id="rId2"/>
    <sheet name="Settings" sheetId="3" state="hidden" r:id="rId3"/>
    <sheet name="RTAimport" sheetId="5" state="hidden" r:id="rId4"/>
    <sheet name="Report" sheetId="7" state="hidden" r:id="rId5"/>
    <sheet name="PriorityLoad" sheetId="9" state="hidden" r:id="rId6"/>
  </sheets>
  <functionGroups builtInGroupCount="17"/>
  <definedNames>
    <definedName name="aisHide">'RTA Manager'!$F:$H</definedName>
    <definedName name="ATTRclass">Table1[Class]</definedName>
    <definedName name="cFilt">Settings!$O$3</definedName>
    <definedName name="COLappv">Settings!#REF!</definedName>
    <definedName name="COLassTo">Settings!#REF!</definedName>
    <definedName name="COLcheck">Settings!#REF!</definedName>
    <definedName name="COLclass">Settings!#REF!</definedName>
    <definedName name="COLcode">Settings!#REF!</definedName>
    <definedName name="COLcom">Settings!#REF!</definedName>
    <definedName name="COLdept">Settings!#REF!</definedName>
    <definedName name="COLdes">Settings!#REF!</definedName>
    <definedName name="COLdesc">Settings!#REF!</definedName>
    <definedName name="COLdraft">Settings!#REF!</definedName>
    <definedName name="COLlab">Settings!#REF!</definedName>
    <definedName name="COLnums">#REF!</definedName>
    <definedName name="COLreqComp">Settings!#REF!</definedName>
    <definedName name="COLrta">Settings!#REF!</definedName>
    <definedName name="COLstate">Settings!#REF!</definedName>
    <definedName name="COLtechRev">Settings!#REF!</definedName>
    <definedName name="COLtechStart">Settings!#REF!</definedName>
    <definedName name="COLtype">Settings!#REF!</definedName>
    <definedName name="deptHide">'RTA Manager'!$E:$H,'RTA Manager'!$M:$P,'RTA Manager'!$W:$X,'RTA Manager'!$V:$V,'RTA Manager'!$S:$U</definedName>
    <definedName name="DIcode">Settings!$D$17:$M$17</definedName>
    <definedName name="Digital_Infrastructure_Names" localSheetId="2" hidden="1">Settings!$E$29:$E$46</definedName>
    <definedName name="DIlab">Settings!$D$16:$M$16</definedName>
    <definedName name="DIlt">Settings!$D$20:$E$20</definedName>
    <definedName name="DIplt">Settings!$D$19:$E$19</definedName>
    <definedName name="DIstate">Settings!$D$18:$M$18</definedName>
    <definedName name="DItype">Settings!$D$15:$M$15</definedName>
    <definedName name="FCcode">Settings!$D$11:$M$11</definedName>
    <definedName name="FClab">Settings!$D$10:$M$10</definedName>
    <definedName name="FClt">Settings!$D$14:$E$14</definedName>
    <definedName name="FCplt">Settings!$D$13:$E$13</definedName>
    <definedName name="FCstate">Settings!$D$12:$M$12</definedName>
    <definedName name="FCtype">Settings!$D$9:$M$9</definedName>
    <definedName name="Flow_Control_Names" localSheetId="2" hidden="1">Settings!$D$29:$D$72</definedName>
    <definedName name="FullScreenMode">Settings!$Q$9</definedName>
    <definedName name="inProc">Settings!$O$9</definedName>
    <definedName name="ltRange">Settings!#REF!</definedName>
    <definedName name="nameQuery">'RTA Manager'!$I$4</definedName>
    <definedName name="Permanent_Monitoring_Names" localSheetId="2" hidden="1">Settings!$C$29:$C$53</definedName>
    <definedName name="pltRange">Settings!#REF!</definedName>
    <definedName name="PMcode">Settings!$D$5:$M$5</definedName>
    <definedName name="PMlab">Settings!$D$4:$M$4</definedName>
    <definedName name="PMlt">Settings!$D$8:$E$8</definedName>
    <definedName name="PMplt">Settings!$D$7:$E$7</definedName>
    <definedName name="PMstate">Settings!$D$6:$M$6</definedName>
    <definedName name="PMThide">'RTA Manager'!$E$6:$E$1338,'RTA Manager'!$I$6:$I$1338,'RTA Manager'!$K$6:$Q$1338,Main[[Type]:[Code]]</definedName>
    <definedName name="PMtype">Settings!$D$3:$M$3</definedName>
    <definedName name="_xlnm.Print_Area" localSheetId="1">'RTA Manager'!$A$5:$R$81</definedName>
    <definedName name="schedHide">'RTA Manager'!$M:$P</definedName>
    <definedName name="Scode">Settings!$D$23:$M$23</definedName>
    <definedName name="sheetViewMode">Settings!$Q$3</definedName>
    <definedName name="Slab">Settings!$D$22:$M$22</definedName>
    <definedName name="Slt">Settings!$D$26:$E$26</definedName>
    <definedName name="Software_Names" localSheetId="2" hidden="1">Settings!$F$29:$F$38</definedName>
    <definedName name="sortCol">Settings!$O$11</definedName>
    <definedName name="sortOrder">Settings!$Q$11</definedName>
    <definedName name="Splt">Settings!$D$25:$E$25</definedName>
    <definedName name="Sstate">Settings!$D$24:$M$24</definedName>
    <definedName name="Stype">Settings!$D$21:$M$21</definedName>
    <definedName name="Unique_Depts" localSheetId="2" hidden="1">Settings!$G$28:$G$39</definedName>
    <definedName name="Unique_RTA_Attributes_1" localSheetId="2">Settings!#REF!</definedName>
    <definedName name="Unique_RTA_Codes" localSheetId="2" hidden="1">Settings!$J$28:$J$35</definedName>
    <definedName name="Unique_RTA_States" localSheetId="2" hidden="1">Settings!$I$28:$I$36</definedName>
    <definedName name="Unique_RTA_Types_1" localSheetId="2" hidden="1">Settings!$H$28:$H$36</definedName>
    <definedName name="WD_RTA_Querey_rename" localSheetId="1" hidden="1">'RTA Manager'!$B$5:$W$1338</definedName>
  </definedNames>
  <calcPr calcId="145621"/>
</workbook>
</file>

<file path=xl/calcChain.xml><?xml version="1.0" encoding="utf-8"?>
<calcChain xmlns="http://schemas.openxmlformats.org/spreadsheetml/2006/main">
  <c r="H136" i="4" l="1"/>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H191" i="4"/>
  <c r="H192" i="4"/>
  <c r="H193" i="4"/>
  <c r="H194" i="4"/>
  <c r="H195" i="4"/>
  <c r="H196" i="4"/>
  <c r="H197" i="4"/>
  <c r="H198" i="4"/>
  <c r="H199" i="4"/>
  <c r="H200" i="4"/>
  <c r="H201" i="4"/>
  <c r="H202" i="4"/>
  <c r="H203" i="4"/>
  <c r="H204" i="4"/>
  <c r="H205" i="4"/>
  <c r="H206" i="4"/>
  <c r="H207" i="4"/>
  <c r="H208" i="4"/>
  <c r="H209" i="4"/>
  <c r="H210" i="4"/>
  <c r="H211" i="4"/>
  <c r="H104"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244" i="4"/>
  <c r="H245" i="4"/>
  <c r="H246" i="4"/>
  <c r="H247" i="4"/>
  <c r="H69"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312" i="4"/>
  <c r="H6" i="4"/>
  <c r="H313" i="4"/>
  <c r="H314" i="4"/>
  <c r="H315"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359" i="4"/>
  <c r="H360" i="4"/>
  <c r="H361" i="4"/>
  <c r="H362" i="4"/>
  <c r="H100" i="4"/>
  <c r="H363" i="4"/>
  <c r="H364" i="4"/>
  <c r="H365" i="4"/>
  <c r="H366" i="4"/>
  <c r="H367" i="4"/>
  <c r="H368" i="4"/>
  <c r="H369" i="4"/>
  <c r="H370" i="4"/>
  <c r="H371" i="4"/>
  <c r="H61" i="4"/>
  <c r="H372" i="4"/>
  <c r="H373" i="4"/>
  <c r="H374" i="4"/>
  <c r="H375" i="4"/>
  <c r="H376" i="4"/>
  <c r="H377" i="4"/>
  <c r="H378" i="4"/>
  <c r="H379" i="4"/>
  <c r="H380" i="4"/>
  <c r="H381" i="4"/>
  <c r="H382" i="4"/>
  <c r="H383" i="4"/>
  <c r="H384" i="4"/>
  <c r="H385" i="4"/>
  <c r="H386" i="4"/>
  <c r="H387" i="4"/>
  <c r="H388" i="4"/>
  <c r="H389" i="4"/>
  <c r="H390" i="4"/>
  <c r="H391" i="4"/>
  <c r="H392" i="4"/>
  <c r="H393" i="4"/>
  <c r="H394" i="4"/>
  <c r="H395" i="4"/>
  <c r="H396" i="4"/>
  <c r="H397" i="4"/>
  <c r="H398" i="4"/>
  <c r="H399" i="4"/>
  <c r="H400" i="4"/>
  <c r="H401" i="4"/>
  <c r="H402" i="4"/>
  <c r="H403" i="4"/>
  <c r="H404" i="4"/>
  <c r="H405" i="4"/>
  <c r="H406" i="4"/>
  <c r="H407" i="4"/>
  <c r="H408" i="4"/>
  <c r="H409" i="4"/>
  <c r="H410" i="4"/>
  <c r="H411" i="4"/>
  <c r="H412" i="4"/>
  <c r="H413" i="4"/>
  <c r="H414" i="4"/>
  <c r="H415" i="4"/>
  <c r="H416" i="4"/>
  <c r="H417" i="4"/>
  <c r="H418" i="4"/>
  <c r="H419" i="4"/>
  <c r="H420" i="4"/>
  <c r="H421" i="4"/>
  <c r="H422" i="4"/>
  <c r="H423" i="4"/>
  <c r="H424" i="4"/>
  <c r="H425" i="4"/>
  <c r="H426" i="4"/>
  <c r="H427" i="4"/>
  <c r="H428" i="4"/>
  <c r="H429" i="4"/>
  <c r="H430" i="4"/>
  <c r="H431" i="4"/>
  <c r="H432" i="4"/>
  <c r="H433" i="4"/>
  <c r="H434" i="4"/>
  <c r="H435" i="4"/>
  <c r="H436" i="4"/>
  <c r="H437" i="4"/>
  <c r="H438" i="4"/>
  <c r="H439" i="4"/>
  <c r="H440" i="4"/>
  <c r="H441" i="4"/>
  <c r="H442" i="4"/>
  <c r="H443" i="4"/>
  <c r="H444" i="4"/>
  <c r="H445" i="4"/>
  <c r="H446" i="4"/>
  <c r="H447" i="4"/>
  <c r="H448" i="4"/>
  <c r="H449" i="4"/>
  <c r="H450" i="4"/>
  <c r="H451" i="4"/>
  <c r="H452" i="4"/>
  <c r="H453" i="4"/>
  <c r="H454" i="4"/>
  <c r="H455" i="4"/>
  <c r="H456" i="4"/>
  <c r="H457" i="4"/>
  <c r="H458" i="4"/>
  <c r="H459" i="4"/>
  <c r="H460" i="4"/>
  <c r="H461" i="4"/>
  <c r="H462" i="4"/>
  <c r="H463" i="4"/>
  <c r="H464" i="4"/>
  <c r="H465" i="4"/>
  <c r="H466" i="4"/>
  <c r="H467" i="4"/>
  <c r="H468" i="4"/>
  <c r="H469" i="4"/>
  <c r="H470" i="4"/>
  <c r="H471" i="4"/>
  <c r="H472" i="4"/>
  <c r="H473" i="4"/>
  <c r="H474" i="4"/>
  <c r="H475" i="4"/>
  <c r="H476" i="4"/>
  <c r="H477" i="4"/>
  <c r="H478" i="4"/>
  <c r="H479" i="4"/>
  <c r="H480" i="4"/>
  <c r="H481" i="4"/>
  <c r="H482" i="4"/>
  <c r="H483" i="4"/>
  <c r="H484" i="4"/>
  <c r="H485" i="4"/>
  <c r="H486" i="4"/>
  <c r="H487" i="4"/>
  <c r="H488" i="4"/>
  <c r="H489" i="4"/>
  <c r="H490" i="4"/>
  <c r="H491" i="4"/>
  <c r="H492" i="4"/>
  <c r="H493" i="4"/>
  <c r="H494" i="4"/>
  <c r="H495" i="4"/>
  <c r="H496" i="4"/>
  <c r="H497" i="4"/>
  <c r="H498" i="4"/>
  <c r="H499" i="4"/>
  <c r="H500" i="4"/>
  <c r="H501" i="4"/>
  <c r="H502" i="4"/>
  <c r="H503" i="4"/>
  <c r="H504" i="4"/>
  <c r="H505" i="4"/>
  <c r="H506" i="4"/>
  <c r="H507" i="4"/>
  <c r="H508" i="4"/>
  <c r="H509" i="4"/>
  <c r="H510" i="4"/>
  <c r="H511" i="4"/>
  <c r="H512" i="4"/>
  <c r="H513" i="4"/>
  <c r="H514" i="4"/>
  <c r="H515" i="4"/>
  <c r="H516" i="4"/>
  <c r="H517" i="4"/>
  <c r="H518" i="4"/>
  <c r="H519" i="4"/>
  <c r="H520" i="4"/>
  <c r="H521" i="4"/>
  <c r="H522" i="4"/>
  <c r="H523" i="4"/>
  <c r="H524" i="4"/>
  <c r="H525" i="4"/>
  <c r="H526" i="4"/>
  <c r="H527" i="4"/>
  <c r="H528" i="4"/>
  <c r="H529" i="4"/>
  <c r="H530" i="4"/>
  <c r="H531" i="4"/>
  <c r="H532" i="4"/>
  <c r="H533" i="4"/>
  <c r="H534" i="4"/>
  <c r="H535" i="4"/>
  <c r="H536" i="4"/>
  <c r="H537" i="4"/>
  <c r="H538" i="4"/>
  <c r="H539" i="4"/>
  <c r="H540" i="4"/>
  <c r="H541" i="4"/>
  <c r="H542" i="4"/>
  <c r="H543" i="4"/>
  <c r="H544" i="4"/>
  <c r="H545" i="4"/>
  <c r="H546" i="4"/>
  <c r="H547" i="4"/>
  <c r="H548" i="4"/>
  <c r="H549" i="4"/>
  <c r="H550" i="4"/>
  <c r="H551" i="4"/>
  <c r="H552" i="4"/>
  <c r="H553" i="4"/>
  <c r="H554" i="4"/>
  <c r="H555" i="4"/>
  <c r="H556" i="4"/>
  <c r="H557" i="4"/>
  <c r="H558" i="4"/>
  <c r="H559" i="4"/>
  <c r="H560" i="4"/>
  <c r="H561" i="4"/>
  <c r="H562" i="4"/>
  <c r="H563" i="4"/>
  <c r="H564" i="4"/>
  <c r="H565" i="4"/>
  <c r="H566" i="4"/>
  <c r="H567" i="4"/>
  <c r="H568" i="4"/>
  <c r="H569" i="4"/>
  <c r="H570" i="4"/>
  <c r="H571" i="4"/>
  <c r="H572" i="4"/>
  <c r="H573" i="4"/>
  <c r="H574" i="4"/>
  <c r="H575" i="4"/>
  <c r="H576" i="4"/>
  <c r="H577" i="4"/>
  <c r="H578" i="4"/>
  <c r="H579" i="4"/>
  <c r="H580" i="4"/>
  <c r="H581" i="4"/>
  <c r="H582" i="4"/>
  <c r="H583" i="4"/>
  <c r="H584" i="4"/>
  <c r="H585" i="4"/>
  <c r="H586" i="4"/>
  <c r="H587" i="4"/>
  <c r="H588" i="4"/>
  <c r="H589" i="4"/>
  <c r="H590" i="4"/>
  <c r="H591" i="4"/>
  <c r="H592" i="4"/>
  <c r="H593" i="4"/>
  <c r="H594" i="4"/>
  <c r="H595" i="4"/>
  <c r="H596" i="4"/>
  <c r="H597" i="4"/>
  <c r="H598" i="4"/>
  <c r="H599" i="4"/>
  <c r="H600" i="4"/>
  <c r="H601" i="4"/>
  <c r="H602" i="4"/>
  <c r="H603" i="4"/>
  <c r="H604" i="4"/>
  <c r="H605" i="4"/>
  <c r="H606" i="4"/>
  <c r="H607" i="4"/>
  <c r="H80" i="4"/>
  <c r="H127" i="4"/>
  <c r="H85" i="4"/>
  <c r="H608" i="4"/>
  <c r="H609" i="4"/>
  <c r="H610" i="4"/>
  <c r="H611" i="4"/>
  <c r="H612" i="4"/>
  <c r="H613" i="4"/>
  <c r="H614" i="4"/>
  <c r="H615" i="4"/>
  <c r="H616" i="4"/>
  <c r="H119" i="4"/>
  <c r="H617" i="4"/>
  <c r="H618" i="4"/>
  <c r="H619" i="4"/>
  <c r="H620" i="4"/>
  <c r="H621" i="4"/>
  <c r="H622" i="4"/>
  <c r="H623" i="4"/>
  <c r="H624" i="4"/>
  <c r="H625" i="4"/>
  <c r="H626" i="4"/>
  <c r="H627" i="4"/>
  <c r="H628" i="4"/>
  <c r="H629" i="4"/>
  <c r="H630" i="4"/>
  <c r="H631" i="4"/>
  <c r="H632" i="4"/>
  <c r="H633" i="4"/>
  <c r="H634" i="4"/>
  <c r="H635" i="4"/>
  <c r="H636" i="4"/>
  <c r="H637" i="4"/>
  <c r="H638" i="4"/>
  <c r="H639" i="4"/>
  <c r="H640" i="4"/>
  <c r="H641" i="4"/>
  <c r="H642" i="4"/>
  <c r="H643" i="4"/>
  <c r="H644" i="4"/>
  <c r="H645" i="4"/>
  <c r="H646" i="4"/>
  <c r="H647" i="4"/>
  <c r="H648" i="4"/>
  <c r="H649" i="4"/>
  <c r="H650" i="4"/>
  <c r="H651" i="4"/>
  <c r="H90" i="4"/>
  <c r="H652" i="4"/>
  <c r="H653" i="4"/>
  <c r="H654" i="4"/>
  <c r="H655" i="4"/>
  <c r="H656" i="4"/>
  <c r="H657" i="4"/>
  <c r="H658" i="4"/>
  <c r="H659" i="4"/>
  <c r="H660" i="4"/>
  <c r="H661" i="4"/>
  <c r="H662" i="4"/>
  <c r="H663" i="4"/>
  <c r="H664" i="4"/>
  <c r="H665" i="4"/>
  <c r="H666" i="4"/>
  <c r="H667" i="4"/>
  <c r="H668" i="4"/>
  <c r="H669" i="4"/>
  <c r="H670" i="4"/>
  <c r="H671" i="4"/>
  <c r="H672" i="4"/>
  <c r="H673" i="4"/>
  <c r="H674" i="4"/>
  <c r="H675" i="4"/>
  <c r="H676" i="4"/>
  <c r="H677" i="4"/>
  <c r="H678" i="4"/>
  <c r="H679" i="4"/>
  <c r="H680" i="4"/>
  <c r="H681" i="4"/>
  <c r="H682" i="4"/>
  <c r="H683" i="4"/>
  <c r="H684" i="4"/>
  <c r="H685" i="4"/>
  <c r="H105" i="4"/>
  <c r="H686" i="4"/>
  <c r="H687" i="4"/>
  <c r="H688" i="4"/>
  <c r="H689" i="4"/>
  <c r="H690" i="4"/>
  <c r="H691" i="4"/>
  <c r="H692" i="4"/>
  <c r="H693" i="4"/>
  <c r="H694" i="4"/>
  <c r="H695" i="4"/>
  <c r="H696" i="4"/>
  <c r="H697" i="4"/>
  <c r="H698" i="4"/>
  <c r="H699" i="4"/>
  <c r="H700" i="4"/>
  <c r="H701" i="4"/>
  <c r="H702" i="4"/>
  <c r="H703" i="4"/>
  <c r="H704" i="4"/>
  <c r="H705" i="4"/>
  <c r="H706" i="4"/>
  <c r="H707" i="4"/>
  <c r="H708" i="4"/>
  <c r="H709" i="4"/>
  <c r="H710" i="4"/>
  <c r="H711" i="4"/>
  <c r="H712" i="4"/>
  <c r="H713" i="4"/>
  <c r="H714" i="4"/>
  <c r="H715" i="4"/>
  <c r="H716" i="4"/>
  <c r="H717" i="4"/>
  <c r="H718" i="4"/>
  <c r="H719" i="4"/>
  <c r="H720" i="4"/>
  <c r="H721" i="4"/>
  <c r="H722" i="4"/>
  <c r="H723" i="4"/>
  <c r="H724" i="4"/>
  <c r="H725" i="4"/>
  <c r="H726" i="4"/>
  <c r="H727" i="4"/>
  <c r="H728" i="4"/>
  <c r="H729" i="4"/>
  <c r="H730" i="4"/>
  <c r="H731" i="4"/>
  <c r="H732" i="4"/>
  <c r="H733" i="4"/>
  <c r="H734" i="4"/>
  <c r="H735" i="4"/>
  <c r="H736" i="4"/>
  <c r="H737" i="4"/>
  <c r="H738" i="4"/>
  <c r="H739" i="4"/>
  <c r="H740" i="4"/>
  <c r="H741" i="4"/>
  <c r="H742" i="4"/>
  <c r="H743" i="4"/>
  <c r="H744" i="4"/>
  <c r="H745" i="4"/>
  <c r="H746" i="4"/>
  <c r="H747" i="4"/>
  <c r="H748" i="4"/>
  <c r="H749" i="4"/>
  <c r="H750" i="4"/>
  <c r="H751" i="4"/>
  <c r="H752" i="4"/>
  <c r="H753" i="4"/>
  <c r="H754" i="4"/>
  <c r="H755" i="4"/>
  <c r="H756" i="4"/>
  <c r="H757" i="4"/>
  <c r="H758" i="4"/>
  <c r="H759" i="4"/>
  <c r="H760" i="4"/>
  <c r="H761" i="4"/>
  <c r="H762" i="4"/>
  <c r="H763" i="4"/>
  <c r="H764" i="4"/>
  <c r="H765" i="4"/>
  <c r="H766" i="4"/>
  <c r="H767" i="4"/>
  <c r="H768" i="4"/>
  <c r="H769" i="4"/>
  <c r="H770" i="4"/>
  <c r="H771" i="4"/>
  <c r="H772" i="4"/>
  <c r="H773" i="4"/>
  <c r="H774" i="4"/>
  <c r="H775" i="4"/>
  <c r="H776" i="4"/>
  <c r="H777" i="4"/>
  <c r="H778" i="4"/>
  <c r="H779" i="4"/>
  <c r="H780" i="4"/>
  <c r="H781" i="4"/>
  <c r="H782" i="4"/>
  <c r="H783" i="4"/>
  <c r="H784" i="4"/>
  <c r="H785" i="4"/>
  <c r="H786" i="4"/>
  <c r="H787" i="4"/>
  <c r="H788" i="4"/>
  <c r="H789" i="4"/>
  <c r="H790" i="4"/>
  <c r="H791" i="4"/>
  <c r="H792" i="4"/>
  <c r="H793" i="4"/>
  <c r="H794" i="4"/>
  <c r="H795" i="4"/>
  <c r="H796" i="4"/>
  <c r="H797" i="4"/>
  <c r="H798" i="4"/>
  <c r="H799" i="4"/>
  <c r="H800" i="4"/>
  <c r="H801" i="4"/>
  <c r="H802" i="4"/>
  <c r="H803" i="4"/>
  <c r="H804" i="4"/>
  <c r="H805" i="4"/>
  <c r="H806" i="4"/>
  <c r="H807" i="4"/>
  <c r="H808" i="4"/>
  <c r="H809" i="4"/>
  <c r="H810" i="4"/>
  <c r="H811" i="4"/>
  <c r="H812" i="4"/>
  <c r="H813" i="4"/>
  <c r="H107" i="4"/>
  <c r="H39" i="4"/>
  <c r="H814" i="4"/>
  <c r="H815" i="4"/>
  <c r="H816" i="4"/>
  <c r="H817" i="4"/>
  <c r="H818" i="4"/>
  <c r="H819" i="4"/>
  <c r="H820" i="4"/>
  <c r="H821" i="4"/>
  <c r="H822" i="4"/>
  <c r="H133" i="4"/>
  <c r="H823" i="4"/>
  <c r="H824" i="4"/>
  <c r="H825" i="4"/>
  <c r="H826" i="4"/>
  <c r="H827" i="4"/>
  <c r="H828" i="4"/>
  <c r="H829" i="4"/>
  <c r="H830" i="4"/>
  <c r="H831" i="4"/>
  <c r="H832" i="4"/>
  <c r="H833" i="4"/>
  <c r="H834" i="4"/>
  <c r="H835" i="4"/>
  <c r="H836" i="4"/>
  <c r="H837" i="4"/>
  <c r="H838" i="4"/>
  <c r="H839" i="4"/>
  <c r="H840" i="4"/>
  <c r="H841" i="4"/>
  <c r="H842" i="4"/>
  <c r="H843" i="4"/>
  <c r="H844" i="4"/>
  <c r="H845" i="4"/>
  <c r="H846" i="4"/>
  <c r="H847" i="4"/>
  <c r="H848" i="4"/>
  <c r="H849" i="4"/>
  <c r="H850" i="4"/>
  <c r="H851" i="4"/>
  <c r="H852" i="4"/>
  <c r="H853" i="4"/>
  <c r="H854" i="4"/>
  <c r="H855" i="4"/>
  <c r="H7" i="4"/>
  <c r="H856" i="4"/>
  <c r="H857" i="4"/>
  <c r="H858" i="4"/>
  <c r="H859" i="4"/>
  <c r="H860" i="4"/>
  <c r="H861" i="4"/>
  <c r="H862" i="4"/>
  <c r="H863" i="4"/>
  <c r="H864" i="4"/>
  <c r="H865" i="4"/>
  <c r="H866" i="4"/>
  <c r="H867" i="4"/>
  <c r="H868" i="4"/>
  <c r="H869" i="4"/>
  <c r="H870" i="4"/>
  <c r="H871" i="4"/>
  <c r="H872" i="4"/>
  <c r="H873" i="4"/>
  <c r="H874" i="4"/>
  <c r="H875" i="4"/>
  <c r="H876" i="4"/>
  <c r="H877" i="4"/>
  <c r="H878" i="4"/>
  <c r="H879" i="4"/>
  <c r="H880" i="4"/>
  <c r="H881" i="4"/>
  <c r="H882" i="4"/>
  <c r="H883" i="4"/>
  <c r="H884" i="4"/>
  <c r="H885" i="4"/>
  <c r="H886" i="4"/>
  <c r="H887" i="4"/>
  <c r="H888" i="4"/>
  <c r="H889" i="4"/>
  <c r="H890" i="4"/>
  <c r="H891" i="4"/>
  <c r="H892" i="4"/>
  <c r="H893" i="4"/>
  <c r="H894" i="4"/>
  <c r="H895" i="4"/>
  <c r="H896" i="4"/>
  <c r="H897" i="4"/>
  <c r="H898" i="4"/>
  <c r="H899" i="4"/>
  <c r="H900" i="4"/>
  <c r="H901" i="4"/>
  <c r="H902" i="4"/>
  <c r="H903" i="4"/>
  <c r="H904" i="4"/>
  <c r="H905" i="4"/>
  <c r="H906" i="4"/>
  <c r="H907" i="4"/>
  <c r="H908" i="4"/>
  <c r="H909" i="4"/>
  <c r="H910" i="4"/>
  <c r="H911" i="4"/>
  <c r="H912" i="4"/>
  <c r="H913" i="4"/>
  <c r="H914" i="4"/>
  <c r="H915" i="4"/>
  <c r="H916" i="4"/>
  <c r="H917" i="4"/>
  <c r="H918" i="4"/>
  <c r="H919" i="4"/>
  <c r="H920" i="4"/>
  <c r="H921" i="4"/>
  <c r="H922" i="4"/>
  <c r="H923" i="4"/>
  <c r="H924" i="4"/>
  <c r="H925" i="4"/>
  <c r="H926" i="4"/>
  <c r="H927" i="4"/>
  <c r="H928" i="4"/>
  <c r="H929" i="4"/>
  <c r="H930" i="4"/>
  <c r="H931" i="4"/>
  <c r="H932" i="4"/>
  <c r="H933" i="4"/>
  <c r="H934" i="4"/>
  <c r="H935" i="4"/>
  <c r="H936" i="4"/>
  <c r="H937" i="4"/>
  <c r="H938" i="4"/>
  <c r="H939" i="4"/>
  <c r="H940" i="4"/>
  <c r="H941" i="4"/>
  <c r="H942" i="4"/>
  <c r="H943" i="4"/>
  <c r="H944" i="4"/>
  <c r="H945" i="4"/>
  <c r="H946" i="4"/>
  <c r="H947" i="4"/>
  <c r="H948" i="4"/>
  <c r="H949" i="4"/>
  <c r="H950" i="4"/>
  <c r="H951" i="4"/>
  <c r="H108" i="4"/>
  <c r="H952" i="4"/>
  <c r="H953" i="4"/>
  <c r="H954" i="4"/>
  <c r="H955" i="4"/>
  <c r="H956" i="4"/>
  <c r="H957" i="4"/>
  <c r="H958" i="4"/>
  <c r="H959" i="4"/>
  <c r="H960" i="4"/>
  <c r="H961" i="4"/>
  <c r="H962" i="4"/>
  <c r="H963" i="4"/>
  <c r="H964" i="4"/>
  <c r="H965" i="4"/>
  <c r="H966" i="4"/>
  <c r="H967" i="4"/>
  <c r="H968" i="4"/>
  <c r="H969" i="4"/>
  <c r="H970" i="4"/>
  <c r="H971" i="4"/>
  <c r="H972" i="4"/>
  <c r="H973" i="4"/>
  <c r="H974" i="4"/>
  <c r="H975" i="4"/>
  <c r="H976" i="4"/>
  <c r="H977" i="4"/>
  <c r="H978" i="4"/>
  <c r="H979" i="4"/>
  <c r="H73" i="4"/>
  <c r="H980" i="4"/>
  <c r="H981" i="4"/>
  <c r="H982" i="4"/>
  <c r="H983" i="4"/>
  <c r="H984" i="4"/>
  <c r="H985" i="4"/>
  <c r="H60" i="4"/>
  <c r="H986" i="4"/>
  <c r="H987" i="4"/>
  <c r="H988" i="4"/>
  <c r="H989" i="4"/>
  <c r="H990" i="4"/>
  <c r="H991" i="4"/>
  <c r="H992" i="4"/>
  <c r="H993" i="4"/>
  <c r="H994" i="4"/>
  <c r="H995" i="4"/>
  <c r="H996" i="4"/>
  <c r="H997" i="4"/>
  <c r="H998" i="4"/>
  <c r="H999" i="4"/>
  <c r="H1000" i="4"/>
  <c r="H1001" i="4"/>
  <c r="H1002" i="4"/>
  <c r="H1003" i="4"/>
  <c r="H1004" i="4"/>
  <c r="H1005" i="4"/>
  <c r="H1006" i="4"/>
  <c r="H1007" i="4"/>
  <c r="H1008" i="4"/>
  <c r="H1009" i="4"/>
  <c r="H1010" i="4"/>
  <c r="H1011" i="4"/>
  <c r="H1012" i="4"/>
  <c r="H1013" i="4"/>
  <c r="H1014" i="4"/>
  <c r="H1015" i="4"/>
  <c r="H1016" i="4"/>
  <c r="H1017" i="4"/>
  <c r="H1018" i="4"/>
  <c r="H1019" i="4"/>
  <c r="H1020" i="4"/>
  <c r="H1021" i="4"/>
  <c r="H1022" i="4"/>
  <c r="H1023" i="4"/>
  <c r="H1024" i="4"/>
  <c r="H1025" i="4"/>
  <c r="H1026" i="4"/>
  <c r="H1027" i="4"/>
  <c r="H1028" i="4"/>
  <c r="H1029" i="4"/>
  <c r="H1030" i="4"/>
  <c r="H1031" i="4"/>
  <c r="H1032" i="4"/>
  <c r="H1033" i="4"/>
  <c r="H1034" i="4"/>
  <c r="H1035" i="4"/>
  <c r="H1036" i="4"/>
  <c r="H1037" i="4"/>
  <c r="H1038" i="4"/>
  <c r="H1039" i="4"/>
  <c r="H1040" i="4"/>
  <c r="H1041" i="4"/>
  <c r="H1042" i="4"/>
  <c r="H1043" i="4"/>
  <c r="H1044" i="4"/>
  <c r="H1045" i="4"/>
  <c r="H1046" i="4"/>
  <c r="H1047" i="4"/>
  <c r="H1048" i="4"/>
  <c r="H1049" i="4"/>
  <c r="H1050" i="4"/>
  <c r="H8" i="4"/>
  <c r="H1051" i="4"/>
  <c r="H1052" i="4"/>
  <c r="H1053" i="4"/>
  <c r="H1054" i="4"/>
  <c r="H1055" i="4"/>
  <c r="H1056" i="4"/>
  <c r="H1057" i="4"/>
  <c r="H16" i="4"/>
  <c r="H1058" i="4"/>
  <c r="H1059" i="4"/>
  <c r="H1060" i="4"/>
  <c r="H1061" i="4"/>
  <c r="H1062" i="4"/>
  <c r="H1063" i="4"/>
  <c r="H1064" i="4"/>
  <c r="H1065" i="4"/>
  <c r="H1066" i="4"/>
  <c r="H1067" i="4"/>
  <c r="H1068" i="4"/>
  <c r="H1069" i="4"/>
  <c r="H1070" i="4"/>
  <c r="H121" i="4"/>
  <c r="H1071" i="4"/>
  <c r="H1072" i="4"/>
  <c r="H1073" i="4"/>
  <c r="H1074" i="4"/>
  <c r="H1075" i="4"/>
  <c r="H1076" i="4"/>
  <c r="H1077" i="4"/>
  <c r="H1078" i="4"/>
  <c r="H1079" i="4"/>
  <c r="H1080" i="4"/>
  <c r="H1081" i="4"/>
  <c r="H97" i="4"/>
  <c r="H1082" i="4"/>
  <c r="H1083" i="4"/>
  <c r="H1084" i="4"/>
  <c r="H1085" i="4"/>
  <c r="H1086" i="4"/>
  <c r="H1087" i="4"/>
  <c r="H1088" i="4"/>
  <c r="H1089" i="4"/>
  <c r="H1090" i="4"/>
  <c r="H1091" i="4"/>
  <c r="H1092" i="4"/>
  <c r="H1093" i="4"/>
  <c r="H1094" i="4"/>
  <c r="H1095" i="4"/>
  <c r="H1096" i="4"/>
  <c r="H1097" i="4"/>
  <c r="H1098" i="4"/>
  <c r="H1099" i="4"/>
  <c r="H1100" i="4"/>
  <c r="H1101" i="4"/>
  <c r="H1102" i="4"/>
  <c r="H1103" i="4"/>
  <c r="H111" i="4"/>
  <c r="H1104" i="4"/>
  <c r="H50" i="4"/>
  <c r="H1105" i="4"/>
  <c r="H1106" i="4"/>
  <c r="H1107" i="4"/>
  <c r="H1108" i="4"/>
  <c r="H1109" i="4"/>
  <c r="H1110" i="4"/>
  <c r="H1111" i="4"/>
  <c r="H1112" i="4"/>
  <c r="H1113" i="4"/>
  <c r="H1114" i="4"/>
  <c r="H1115" i="4"/>
  <c r="H1116" i="4"/>
  <c r="H1117" i="4"/>
  <c r="H1118" i="4"/>
  <c r="H1119" i="4"/>
  <c r="H1120" i="4"/>
  <c r="H1121" i="4"/>
  <c r="H1122" i="4"/>
  <c r="H1123" i="4"/>
  <c r="H1124" i="4"/>
  <c r="H1125" i="4"/>
  <c r="H1126" i="4"/>
  <c r="H1127" i="4"/>
  <c r="H1128" i="4"/>
  <c r="H1129" i="4"/>
  <c r="H1130" i="4"/>
  <c r="H1131" i="4"/>
  <c r="H1132" i="4"/>
  <c r="H1133" i="4"/>
  <c r="H1134" i="4"/>
  <c r="H1135" i="4"/>
  <c r="H1136" i="4"/>
  <c r="H1137" i="4"/>
  <c r="H1138" i="4"/>
  <c r="H1139" i="4"/>
  <c r="H1140" i="4"/>
  <c r="H1141" i="4"/>
  <c r="H1142" i="4"/>
  <c r="H1143" i="4"/>
  <c r="H1144" i="4"/>
  <c r="H1145" i="4"/>
  <c r="H1146" i="4"/>
  <c r="H1147" i="4"/>
  <c r="H1148" i="4"/>
  <c r="H1149" i="4"/>
  <c r="H1150" i="4"/>
  <c r="H1151" i="4"/>
  <c r="H1152" i="4"/>
  <c r="H1153" i="4"/>
  <c r="H1154" i="4"/>
  <c r="H1155" i="4"/>
  <c r="H1156" i="4"/>
  <c r="H1157" i="4"/>
  <c r="H1158" i="4"/>
  <c r="H1159" i="4"/>
  <c r="H1160" i="4"/>
  <c r="H1161" i="4"/>
  <c r="H1162" i="4"/>
  <c r="H1163" i="4"/>
  <c r="H1164" i="4"/>
  <c r="H1165" i="4"/>
  <c r="H74" i="4"/>
  <c r="H1166" i="4"/>
  <c r="H1167" i="4"/>
  <c r="H1168" i="4"/>
  <c r="H1169" i="4"/>
  <c r="H117" i="4"/>
  <c r="H1170" i="4"/>
  <c r="H1171" i="4"/>
  <c r="H17" i="4"/>
  <c r="H1172" i="4"/>
  <c r="H134" i="4"/>
  <c r="H70" i="4"/>
  <c r="H1173" i="4"/>
  <c r="H1174" i="4"/>
  <c r="H1175" i="4"/>
  <c r="H1176" i="4"/>
  <c r="H1177" i="4"/>
  <c r="H1178" i="4"/>
  <c r="H1179" i="4"/>
  <c r="H1180" i="4"/>
  <c r="H1181" i="4"/>
  <c r="H1182" i="4"/>
  <c r="H1183" i="4"/>
  <c r="H1184" i="4"/>
  <c r="H1185" i="4"/>
  <c r="H1186" i="4"/>
  <c r="H1187" i="4"/>
  <c r="H81" i="4"/>
  <c r="H1188" i="4"/>
  <c r="H125" i="4"/>
  <c r="H66" i="4"/>
  <c r="H101" i="4"/>
  <c r="H113" i="4"/>
  <c r="H109" i="4"/>
  <c r="H1189" i="4"/>
  <c r="H1190" i="4"/>
  <c r="H1191" i="4"/>
  <c r="H1192" i="4"/>
  <c r="H1193" i="4"/>
  <c r="H1194" i="4"/>
  <c r="H1195" i="4"/>
  <c r="H1196" i="4"/>
  <c r="H1197" i="4"/>
  <c r="H1198" i="4"/>
  <c r="H1199" i="4"/>
  <c r="H1200" i="4"/>
  <c r="H1201" i="4"/>
  <c r="H1202" i="4"/>
  <c r="H1203" i="4"/>
  <c r="H1204" i="4"/>
  <c r="H1205" i="4"/>
  <c r="H1206" i="4"/>
  <c r="H1207" i="4"/>
  <c r="H1208" i="4"/>
  <c r="H1209" i="4"/>
  <c r="H1210" i="4"/>
  <c r="H1211" i="4"/>
  <c r="H9" i="4"/>
  <c r="H1212" i="4"/>
  <c r="H1213" i="4"/>
  <c r="H1214" i="4"/>
  <c r="H1215" i="4"/>
  <c r="H1216" i="4"/>
  <c r="H1217" i="4"/>
  <c r="H1218" i="4"/>
  <c r="H1219" i="4"/>
  <c r="H1220" i="4"/>
  <c r="H1221" i="4"/>
  <c r="H1222" i="4"/>
  <c r="H1223" i="4"/>
  <c r="H118" i="4"/>
  <c r="H1224" i="4"/>
  <c r="H1225" i="4"/>
  <c r="H1226" i="4"/>
  <c r="H123" i="4"/>
  <c r="H1227" i="4"/>
  <c r="H1228" i="4"/>
  <c r="H1229" i="4"/>
  <c r="H1230" i="4"/>
  <c r="H1231" i="4"/>
  <c r="H1232" i="4"/>
  <c r="H10" i="4"/>
  <c r="H1233" i="4"/>
  <c r="H1234" i="4"/>
  <c r="H1235" i="4"/>
  <c r="H1236" i="4"/>
  <c r="H1237" i="4"/>
  <c r="H1238" i="4"/>
  <c r="H1239" i="4"/>
  <c r="H1240" i="4"/>
  <c r="H1241" i="4"/>
  <c r="H1242" i="4"/>
  <c r="H1243" i="4"/>
  <c r="H1244" i="4"/>
  <c r="H1245" i="4"/>
  <c r="H1246" i="4"/>
  <c r="H1247" i="4"/>
  <c r="H1248" i="4"/>
  <c r="H1249" i="4"/>
  <c r="H1250" i="4"/>
  <c r="H1251" i="4"/>
  <c r="H1252" i="4"/>
  <c r="H1253" i="4"/>
  <c r="H1254" i="4"/>
  <c r="H1255" i="4"/>
  <c r="H1256" i="4"/>
  <c r="H1257" i="4"/>
  <c r="H1258" i="4"/>
  <c r="H1259" i="4"/>
  <c r="H1260" i="4"/>
  <c r="H1261" i="4"/>
  <c r="H1262" i="4"/>
  <c r="H1263" i="4"/>
  <c r="H1264" i="4"/>
  <c r="H1265" i="4"/>
  <c r="H1266" i="4"/>
  <c r="H1267" i="4"/>
  <c r="H1268" i="4"/>
  <c r="H1269" i="4"/>
  <c r="H1270" i="4"/>
  <c r="H1271" i="4"/>
  <c r="H1272" i="4"/>
  <c r="H1273" i="4"/>
  <c r="H1274" i="4"/>
  <c r="H1275" i="4"/>
  <c r="H1276" i="4"/>
  <c r="H1277" i="4"/>
  <c r="H1278" i="4"/>
  <c r="H1279" i="4"/>
  <c r="H1280" i="4"/>
  <c r="H1281" i="4"/>
  <c r="H131" i="4"/>
  <c r="H1282" i="4"/>
  <c r="H1283" i="4"/>
  <c r="H1284" i="4"/>
  <c r="H1285" i="4"/>
  <c r="H11" i="4"/>
  <c r="H1286" i="4"/>
  <c r="H1287" i="4"/>
  <c r="H67" i="4"/>
  <c r="H1288" i="4"/>
  <c r="H53" i="4"/>
  <c r="H15" i="4"/>
  <c r="H1289" i="4"/>
  <c r="H1290" i="4"/>
  <c r="H132" i="4"/>
  <c r="H129" i="4"/>
  <c r="H1291" i="4"/>
  <c r="H1292" i="4"/>
  <c r="H91" i="4"/>
  <c r="H1293" i="4"/>
  <c r="H51" i="4"/>
  <c r="H12" i="4"/>
  <c r="H1294" i="4"/>
  <c r="H1295" i="4"/>
  <c r="H78" i="4"/>
  <c r="H18" i="4"/>
  <c r="H19" i="4"/>
  <c r="H42" i="4"/>
  <c r="H92" i="4"/>
  <c r="H1296" i="4"/>
  <c r="H1297" i="4"/>
  <c r="H1298" i="4"/>
  <c r="H41" i="4"/>
  <c r="H62" i="4"/>
  <c r="H1299" i="4"/>
  <c r="H1300" i="4"/>
  <c r="H1301" i="4"/>
  <c r="H71" i="4"/>
  <c r="H120" i="4"/>
  <c r="H124" i="4"/>
  <c r="H126" i="4"/>
  <c r="H128" i="4"/>
  <c r="H122" i="4"/>
  <c r="H1302" i="4"/>
  <c r="H1303" i="4"/>
  <c r="H1304" i="4"/>
  <c r="H93" i="4"/>
  <c r="H29" i="4"/>
  <c r="H1305" i="4"/>
  <c r="H1306" i="4"/>
  <c r="H33" i="4"/>
  <c r="H23" i="4"/>
  <c r="H1307" i="4"/>
  <c r="H35" i="4"/>
  <c r="H115" i="4"/>
  <c r="H1308" i="4"/>
  <c r="H1309" i="4"/>
  <c r="H1310" i="4"/>
  <c r="H88" i="4"/>
  <c r="H1311" i="4"/>
  <c r="H130" i="4"/>
  <c r="H63" i="4"/>
  <c r="H72" i="4"/>
  <c r="H1312" i="4"/>
  <c r="H1313" i="4"/>
  <c r="H57" i="4"/>
  <c r="H45" i="4"/>
  <c r="H55" i="4"/>
  <c r="H37" i="4"/>
  <c r="H1314" i="4"/>
  <c r="H26" i="4"/>
  <c r="H64" i="4"/>
  <c r="H24" i="4"/>
  <c r="H86" i="4"/>
  <c r="H83" i="4"/>
  <c r="H82" i="4"/>
  <c r="H1315" i="4"/>
  <c r="H1316" i="4"/>
  <c r="H25" i="4"/>
  <c r="H98" i="4"/>
  <c r="H84" i="4"/>
  <c r="H43" i="4"/>
  <c r="H1317" i="4"/>
  <c r="H89" i="4"/>
  <c r="H95" i="4"/>
  <c r="H27" i="4"/>
  <c r="H30" i="4"/>
  <c r="H1318" i="4"/>
  <c r="H87" i="4"/>
  <c r="H36" i="4"/>
  <c r="H38" i="4"/>
  <c r="H68" i="4"/>
  <c r="H65" i="4"/>
  <c r="H1319" i="4"/>
  <c r="H1320" i="4"/>
  <c r="H135" i="4"/>
  <c r="H13" i="4"/>
  <c r="H58" i="4"/>
  <c r="H75" i="4"/>
  <c r="H1321" i="4"/>
  <c r="H1322" i="4"/>
  <c r="H1323" i="4"/>
  <c r="H1324" i="4"/>
  <c r="H94" i="4"/>
  <c r="H1325" i="4"/>
  <c r="H46" i="4"/>
  <c r="H47" i="4"/>
  <c r="H1326" i="4"/>
  <c r="H1327" i="4"/>
  <c r="H48" i="4"/>
  <c r="H1328" i="4"/>
  <c r="H1329" i="4"/>
  <c r="H1330" i="4"/>
  <c r="H31" i="4"/>
  <c r="H1331" i="4"/>
  <c r="H1332" i="4"/>
  <c r="H116" i="4"/>
  <c r="H76" i="4"/>
  <c r="H34" i="4"/>
  <c r="H1333" i="4"/>
  <c r="H114" i="4"/>
  <c r="H21" i="4"/>
  <c r="H79" i="4"/>
  <c r="H102" i="4"/>
  <c r="H28" i="4"/>
  <c r="H1334" i="4"/>
  <c r="H59" i="4"/>
  <c r="H106" i="4"/>
  <c r="H14" i="4"/>
  <c r="H56" i="4"/>
  <c r="H103" i="4"/>
  <c r="H49" i="4"/>
  <c r="H99" i="4"/>
  <c r="H112" i="4"/>
  <c r="H20" i="4"/>
  <c r="H52" i="4"/>
  <c r="H1335" i="4"/>
  <c r="H110" i="4"/>
  <c r="H32" i="4"/>
  <c r="H22" i="4"/>
  <c r="H54" i="4"/>
  <c r="H77" i="4"/>
  <c r="H1336" i="4"/>
  <c r="H40" i="4"/>
  <c r="H1337" i="4"/>
  <c r="H44" i="4"/>
  <c r="H1338" i="4"/>
  <c r="H96"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104"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69"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6"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100" i="4"/>
  <c r="M363" i="4"/>
  <c r="M364" i="4"/>
  <c r="M365" i="4"/>
  <c r="M366" i="4"/>
  <c r="M367" i="4"/>
  <c r="M368" i="4"/>
  <c r="M369" i="4"/>
  <c r="M370" i="4"/>
  <c r="M371" i="4"/>
  <c r="M6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606" i="4"/>
  <c r="M607" i="4"/>
  <c r="M80" i="4"/>
  <c r="M127" i="4"/>
  <c r="M85" i="4"/>
  <c r="M608" i="4"/>
  <c r="M609" i="4"/>
  <c r="M610" i="4"/>
  <c r="M611" i="4"/>
  <c r="M612" i="4"/>
  <c r="M613" i="4"/>
  <c r="M614" i="4"/>
  <c r="M615" i="4"/>
  <c r="M616" i="4"/>
  <c r="M119" i="4"/>
  <c r="M617" i="4"/>
  <c r="M618" i="4"/>
  <c r="M619" i="4"/>
  <c r="M620" i="4"/>
  <c r="M621" i="4"/>
  <c r="M622" i="4"/>
  <c r="M623" i="4"/>
  <c r="M624" i="4"/>
  <c r="M625" i="4"/>
  <c r="M626" i="4"/>
  <c r="M627" i="4"/>
  <c r="M628" i="4"/>
  <c r="M629" i="4"/>
  <c r="M630" i="4"/>
  <c r="M631" i="4"/>
  <c r="M632" i="4"/>
  <c r="M633" i="4"/>
  <c r="M634" i="4"/>
  <c r="M635" i="4"/>
  <c r="M636" i="4"/>
  <c r="M637" i="4"/>
  <c r="M638" i="4"/>
  <c r="M639" i="4"/>
  <c r="M640" i="4"/>
  <c r="M641" i="4"/>
  <c r="M642" i="4"/>
  <c r="M643" i="4"/>
  <c r="M644" i="4"/>
  <c r="M645" i="4"/>
  <c r="M646" i="4"/>
  <c r="M647" i="4"/>
  <c r="M648" i="4"/>
  <c r="M649" i="4"/>
  <c r="M650" i="4"/>
  <c r="M651" i="4"/>
  <c r="M90"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10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107" i="4"/>
  <c r="M39" i="4"/>
  <c r="M814" i="4"/>
  <c r="M815" i="4"/>
  <c r="M816" i="4"/>
  <c r="M817" i="4"/>
  <c r="M818" i="4"/>
  <c r="M819" i="4"/>
  <c r="M820" i="4"/>
  <c r="M821" i="4"/>
  <c r="M822" i="4"/>
  <c r="M133"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855" i="4"/>
  <c r="M7"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108" i="4"/>
  <c r="M952" i="4"/>
  <c r="M953" i="4"/>
  <c r="M954" i="4"/>
  <c r="M955" i="4"/>
  <c r="M956" i="4"/>
  <c r="M957" i="4"/>
  <c r="M958" i="4"/>
  <c r="M959" i="4"/>
  <c r="M960" i="4"/>
  <c r="M961" i="4"/>
  <c r="M962" i="4"/>
  <c r="M963" i="4"/>
  <c r="M964" i="4"/>
  <c r="M965" i="4"/>
  <c r="M966" i="4"/>
  <c r="M967" i="4"/>
  <c r="M968" i="4"/>
  <c r="M969" i="4"/>
  <c r="M970" i="4"/>
  <c r="M971" i="4"/>
  <c r="M972" i="4"/>
  <c r="M973" i="4"/>
  <c r="M974" i="4"/>
  <c r="M975" i="4"/>
  <c r="M976" i="4"/>
  <c r="M977" i="4"/>
  <c r="M978" i="4"/>
  <c r="M979" i="4"/>
  <c r="M73" i="4"/>
  <c r="M980" i="4"/>
  <c r="M981" i="4"/>
  <c r="M982" i="4"/>
  <c r="M983" i="4"/>
  <c r="M984" i="4"/>
  <c r="M985" i="4"/>
  <c r="M60" i="4"/>
  <c r="M986" i="4"/>
  <c r="M987" i="4"/>
  <c r="M988" i="4"/>
  <c r="M989" i="4"/>
  <c r="M990" i="4"/>
  <c r="M991" i="4"/>
  <c r="M992" i="4"/>
  <c r="M993" i="4"/>
  <c r="M994" i="4"/>
  <c r="M995" i="4"/>
  <c r="M996" i="4"/>
  <c r="M997" i="4"/>
  <c r="M998" i="4"/>
  <c r="M999" i="4"/>
  <c r="M1000" i="4"/>
  <c r="M1001" i="4"/>
  <c r="M1002" i="4"/>
  <c r="M1003" i="4"/>
  <c r="M1004" i="4"/>
  <c r="M1005" i="4"/>
  <c r="M1006" i="4"/>
  <c r="M1007" i="4"/>
  <c r="M1008" i="4"/>
  <c r="M1009" i="4"/>
  <c r="M1010" i="4"/>
  <c r="M1011" i="4"/>
  <c r="M1012" i="4"/>
  <c r="M1013" i="4"/>
  <c r="M1014" i="4"/>
  <c r="M1015" i="4"/>
  <c r="M1016" i="4"/>
  <c r="M1017" i="4"/>
  <c r="M1018" i="4"/>
  <c r="M1019" i="4"/>
  <c r="M1020" i="4"/>
  <c r="M1021" i="4"/>
  <c r="M1022" i="4"/>
  <c r="M1023" i="4"/>
  <c r="M1024" i="4"/>
  <c r="M1025" i="4"/>
  <c r="M1026" i="4"/>
  <c r="M1027" i="4"/>
  <c r="M1028" i="4"/>
  <c r="M1029" i="4"/>
  <c r="M1030" i="4"/>
  <c r="M1031" i="4"/>
  <c r="M1032" i="4"/>
  <c r="M1033" i="4"/>
  <c r="M1034" i="4"/>
  <c r="M1035" i="4"/>
  <c r="M1036" i="4"/>
  <c r="M1037" i="4"/>
  <c r="M1038" i="4"/>
  <c r="M1039" i="4"/>
  <c r="M1040" i="4"/>
  <c r="M1041" i="4"/>
  <c r="M1042" i="4"/>
  <c r="M1043" i="4"/>
  <c r="M1044" i="4"/>
  <c r="M1045" i="4"/>
  <c r="M1046" i="4"/>
  <c r="M1047" i="4"/>
  <c r="M1048" i="4"/>
  <c r="M1049" i="4"/>
  <c r="M1050" i="4"/>
  <c r="M8" i="4"/>
  <c r="M1051" i="4"/>
  <c r="M1052" i="4"/>
  <c r="M1053" i="4"/>
  <c r="M1054" i="4"/>
  <c r="M1055" i="4"/>
  <c r="M1056" i="4"/>
  <c r="M1057" i="4"/>
  <c r="M16" i="4"/>
  <c r="M1058" i="4"/>
  <c r="M1059" i="4"/>
  <c r="M1060" i="4"/>
  <c r="M1061" i="4"/>
  <c r="M1062" i="4"/>
  <c r="M1063" i="4"/>
  <c r="M1064" i="4"/>
  <c r="M1065" i="4"/>
  <c r="M1066" i="4"/>
  <c r="M1067" i="4"/>
  <c r="M1068" i="4"/>
  <c r="M1069" i="4"/>
  <c r="M1070" i="4"/>
  <c r="M121" i="4"/>
  <c r="M1071" i="4"/>
  <c r="M1072" i="4"/>
  <c r="M1073" i="4"/>
  <c r="M1074" i="4"/>
  <c r="M1075" i="4"/>
  <c r="M1076" i="4"/>
  <c r="M1077" i="4"/>
  <c r="M1078" i="4"/>
  <c r="M1079" i="4"/>
  <c r="M1080" i="4"/>
  <c r="M1081" i="4"/>
  <c r="M97" i="4"/>
  <c r="M1082" i="4"/>
  <c r="M1083" i="4"/>
  <c r="M1084" i="4"/>
  <c r="M1085" i="4"/>
  <c r="M1086" i="4"/>
  <c r="M1087" i="4"/>
  <c r="M1088" i="4"/>
  <c r="M1089" i="4"/>
  <c r="M1090" i="4"/>
  <c r="M1091" i="4"/>
  <c r="M1092" i="4"/>
  <c r="M1093" i="4"/>
  <c r="M1094" i="4"/>
  <c r="M1095" i="4"/>
  <c r="M1096" i="4"/>
  <c r="M1097" i="4"/>
  <c r="M1098" i="4"/>
  <c r="M1099" i="4"/>
  <c r="M1100" i="4"/>
  <c r="M1101" i="4"/>
  <c r="M1102" i="4"/>
  <c r="M1103" i="4"/>
  <c r="M111" i="4"/>
  <c r="M1104" i="4"/>
  <c r="M50" i="4"/>
  <c r="M1105" i="4"/>
  <c r="M1106" i="4"/>
  <c r="M1107" i="4"/>
  <c r="M1108" i="4"/>
  <c r="M1109" i="4"/>
  <c r="M1110" i="4"/>
  <c r="M1111" i="4"/>
  <c r="M1112" i="4"/>
  <c r="M1113" i="4"/>
  <c r="M1114" i="4"/>
  <c r="M1115" i="4"/>
  <c r="M1116" i="4"/>
  <c r="M1117" i="4"/>
  <c r="M1118" i="4"/>
  <c r="M1119" i="4"/>
  <c r="M1120" i="4"/>
  <c r="M1121" i="4"/>
  <c r="M1122" i="4"/>
  <c r="M1123" i="4"/>
  <c r="M1124" i="4"/>
  <c r="M1125" i="4"/>
  <c r="M1126" i="4"/>
  <c r="M1127" i="4"/>
  <c r="M1128" i="4"/>
  <c r="M1129" i="4"/>
  <c r="M1130" i="4"/>
  <c r="M1131" i="4"/>
  <c r="M1132" i="4"/>
  <c r="M1133" i="4"/>
  <c r="M1134" i="4"/>
  <c r="M1135" i="4"/>
  <c r="M1136" i="4"/>
  <c r="M1137" i="4"/>
  <c r="M1138" i="4"/>
  <c r="M1139" i="4"/>
  <c r="M1140" i="4"/>
  <c r="M1141" i="4"/>
  <c r="M1142" i="4"/>
  <c r="M1143" i="4"/>
  <c r="M1144" i="4"/>
  <c r="M1145" i="4"/>
  <c r="M1146" i="4"/>
  <c r="M1147" i="4"/>
  <c r="M1148" i="4"/>
  <c r="M1149" i="4"/>
  <c r="M1150" i="4"/>
  <c r="M1151" i="4"/>
  <c r="M1152" i="4"/>
  <c r="M1153" i="4"/>
  <c r="M1154" i="4"/>
  <c r="M1155" i="4"/>
  <c r="M1156" i="4"/>
  <c r="M1157" i="4"/>
  <c r="M1158" i="4"/>
  <c r="M1159" i="4"/>
  <c r="M1160" i="4"/>
  <c r="M1161" i="4"/>
  <c r="M1162" i="4"/>
  <c r="M1163" i="4"/>
  <c r="M1164" i="4"/>
  <c r="M1165" i="4"/>
  <c r="M74" i="4"/>
  <c r="M1166" i="4"/>
  <c r="M1167" i="4"/>
  <c r="M1168" i="4"/>
  <c r="M1169" i="4"/>
  <c r="M117" i="4"/>
  <c r="M1170" i="4"/>
  <c r="M1171" i="4"/>
  <c r="M17" i="4"/>
  <c r="M1172" i="4"/>
  <c r="M134" i="4"/>
  <c r="M70" i="4"/>
  <c r="M1173" i="4"/>
  <c r="M1174" i="4"/>
  <c r="M1175" i="4"/>
  <c r="M1176" i="4"/>
  <c r="M1177" i="4"/>
  <c r="M1178" i="4"/>
  <c r="M1179" i="4"/>
  <c r="M1180" i="4"/>
  <c r="M1181" i="4"/>
  <c r="M1182" i="4"/>
  <c r="M1183" i="4"/>
  <c r="M1184" i="4"/>
  <c r="M1185" i="4"/>
  <c r="M1186" i="4"/>
  <c r="M1187" i="4"/>
  <c r="M81" i="4"/>
  <c r="M1188" i="4"/>
  <c r="M125" i="4"/>
  <c r="M66" i="4"/>
  <c r="M101" i="4"/>
  <c r="M113" i="4"/>
  <c r="M109" i="4"/>
  <c r="M1189" i="4"/>
  <c r="M1190" i="4"/>
  <c r="M1191" i="4"/>
  <c r="M1192" i="4"/>
  <c r="M1193" i="4"/>
  <c r="M1194" i="4"/>
  <c r="M1195" i="4"/>
  <c r="M1196" i="4"/>
  <c r="M1197" i="4"/>
  <c r="M1198" i="4"/>
  <c r="M1199" i="4"/>
  <c r="M1200" i="4"/>
  <c r="M1201" i="4"/>
  <c r="M1202" i="4"/>
  <c r="M1203" i="4"/>
  <c r="M1204" i="4"/>
  <c r="M1205" i="4"/>
  <c r="M1206" i="4"/>
  <c r="M1207" i="4"/>
  <c r="M1208" i="4"/>
  <c r="M1209" i="4"/>
  <c r="M1210" i="4"/>
  <c r="M1211" i="4"/>
  <c r="M9" i="4"/>
  <c r="M1212" i="4"/>
  <c r="M1213" i="4"/>
  <c r="M1214" i="4"/>
  <c r="M1215" i="4"/>
  <c r="M1216" i="4"/>
  <c r="M1217" i="4"/>
  <c r="M1218" i="4"/>
  <c r="M1219" i="4"/>
  <c r="M1220" i="4"/>
  <c r="M1221" i="4"/>
  <c r="M1222" i="4"/>
  <c r="M1223" i="4"/>
  <c r="M118" i="4"/>
  <c r="M1224" i="4"/>
  <c r="M1225" i="4"/>
  <c r="M1226" i="4"/>
  <c r="M123" i="4"/>
  <c r="M1227" i="4"/>
  <c r="M1228" i="4"/>
  <c r="M1229" i="4"/>
  <c r="M1230" i="4"/>
  <c r="M1231" i="4"/>
  <c r="M1232" i="4"/>
  <c r="M10" i="4"/>
  <c r="M1233" i="4"/>
  <c r="M1234" i="4"/>
  <c r="M1235" i="4"/>
  <c r="M1236" i="4"/>
  <c r="M1237" i="4"/>
  <c r="M1238" i="4"/>
  <c r="M1239" i="4"/>
  <c r="M1240" i="4"/>
  <c r="M1241" i="4"/>
  <c r="M1242" i="4"/>
  <c r="M1243" i="4"/>
  <c r="M1244" i="4"/>
  <c r="M1245" i="4"/>
  <c r="M1246" i="4"/>
  <c r="M1247" i="4"/>
  <c r="M1248" i="4"/>
  <c r="M1249" i="4"/>
  <c r="M1250" i="4"/>
  <c r="M1251" i="4"/>
  <c r="M1252" i="4"/>
  <c r="M1253" i="4"/>
  <c r="M1254" i="4"/>
  <c r="M1255" i="4"/>
  <c r="M1256" i="4"/>
  <c r="M1257" i="4"/>
  <c r="M1258" i="4"/>
  <c r="M1259" i="4"/>
  <c r="M1260" i="4"/>
  <c r="M1261" i="4"/>
  <c r="M1262" i="4"/>
  <c r="M1263" i="4"/>
  <c r="M1264" i="4"/>
  <c r="M1265" i="4"/>
  <c r="M1266" i="4"/>
  <c r="M1267" i="4"/>
  <c r="M1268" i="4"/>
  <c r="M1269" i="4"/>
  <c r="M1270" i="4"/>
  <c r="M1271" i="4"/>
  <c r="M1272" i="4"/>
  <c r="M1273" i="4"/>
  <c r="M1274" i="4"/>
  <c r="M1275" i="4"/>
  <c r="M1276" i="4"/>
  <c r="M1277" i="4"/>
  <c r="M1278" i="4"/>
  <c r="M1279" i="4"/>
  <c r="M1280" i="4"/>
  <c r="M1281" i="4"/>
  <c r="M131" i="4"/>
  <c r="M1282" i="4"/>
  <c r="M1283" i="4"/>
  <c r="M1284" i="4"/>
  <c r="M1285" i="4"/>
  <c r="M11" i="4"/>
  <c r="M1286" i="4"/>
  <c r="M1287" i="4"/>
  <c r="M67" i="4"/>
  <c r="M1288" i="4"/>
  <c r="M53" i="4"/>
  <c r="M15" i="4"/>
  <c r="M1289" i="4"/>
  <c r="M1290" i="4"/>
  <c r="M132" i="4"/>
  <c r="M129" i="4"/>
  <c r="M1291" i="4"/>
  <c r="M1292" i="4"/>
  <c r="M91" i="4"/>
  <c r="M1293" i="4"/>
  <c r="M51" i="4"/>
  <c r="M12" i="4"/>
  <c r="M1294" i="4"/>
  <c r="M1295" i="4"/>
  <c r="M78" i="4"/>
  <c r="M18" i="4"/>
  <c r="M19" i="4"/>
  <c r="M42" i="4"/>
  <c r="M92" i="4"/>
  <c r="M1296" i="4"/>
  <c r="M1297" i="4"/>
  <c r="M1298" i="4"/>
  <c r="M41" i="4"/>
  <c r="M62" i="4"/>
  <c r="M1299" i="4"/>
  <c r="M1300" i="4"/>
  <c r="M1301" i="4"/>
  <c r="M71" i="4"/>
  <c r="M120" i="4"/>
  <c r="M124" i="4"/>
  <c r="M126" i="4"/>
  <c r="M128" i="4"/>
  <c r="M122" i="4"/>
  <c r="M1302" i="4"/>
  <c r="M1303" i="4"/>
  <c r="M1304" i="4"/>
  <c r="M93" i="4"/>
  <c r="M29" i="4"/>
  <c r="M1305" i="4"/>
  <c r="M1306" i="4"/>
  <c r="M33" i="4"/>
  <c r="M23" i="4"/>
  <c r="M1307" i="4"/>
  <c r="M35" i="4"/>
  <c r="M115" i="4"/>
  <c r="M1308" i="4"/>
  <c r="M1309" i="4"/>
  <c r="M1310" i="4"/>
  <c r="M88" i="4"/>
  <c r="M1311" i="4"/>
  <c r="M130" i="4"/>
  <c r="M63" i="4"/>
  <c r="M72" i="4"/>
  <c r="M1312" i="4"/>
  <c r="M1313" i="4"/>
  <c r="M57" i="4"/>
  <c r="M45" i="4"/>
  <c r="M55" i="4"/>
  <c r="M37" i="4"/>
  <c r="M1314" i="4"/>
  <c r="M26" i="4"/>
  <c r="M64" i="4"/>
  <c r="M24" i="4"/>
  <c r="M86" i="4"/>
  <c r="M83" i="4"/>
  <c r="M82" i="4"/>
  <c r="M1315" i="4"/>
  <c r="M1316" i="4"/>
  <c r="M25" i="4"/>
  <c r="M98" i="4"/>
  <c r="M84" i="4"/>
  <c r="M43" i="4"/>
  <c r="M1317" i="4"/>
  <c r="M89" i="4"/>
  <c r="M95" i="4"/>
  <c r="M27" i="4"/>
  <c r="M30" i="4"/>
  <c r="M1318" i="4"/>
  <c r="M87" i="4"/>
  <c r="M36" i="4"/>
  <c r="M38" i="4"/>
  <c r="M68" i="4"/>
  <c r="M65" i="4"/>
  <c r="M1319" i="4"/>
  <c r="M1320" i="4"/>
  <c r="M135" i="4"/>
  <c r="M13" i="4"/>
  <c r="M58" i="4"/>
  <c r="M75" i="4"/>
  <c r="M1321" i="4"/>
  <c r="M1322" i="4"/>
  <c r="M1323" i="4"/>
  <c r="M1324" i="4"/>
  <c r="M94" i="4"/>
  <c r="M1325" i="4"/>
  <c r="M46" i="4"/>
  <c r="M47" i="4"/>
  <c r="M1326" i="4"/>
  <c r="M1327" i="4"/>
  <c r="M48" i="4"/>
  <c r="M1328" i="4"/>
  <c r="M1329" i="4"/>
  <c r="M1330" i="4"/>
  <c r="M31" i="4"/>
  <c r="M1331" i="4"/>
  <c r="M1332" i="4"/>
  <c r="M116" i="4"/>
  <c r="M76" i="4"/>
  <c r="M34" i="4"/>
  <c r="M1333" i="4"/>
  <c r="M114" i="4"/>
  <c r="M21" i="4"/>
  <c r="M79" i="4"/>
  <c r="M102" i="4"/>
  <c r="M28" i="4"/>
  <c r="M1334" i="4"/>
  <c r="M59" i="4"/>
  <c r="M106" i="4"/>
  <c r="M14" i="4"/>
  <c r="M56" i="4"/>
  <c r="M103" i="4"/>
  <c r="M49" i="4"/>
  <c r="M99" i="4"/>
  <c r="M112" i="4"/>
  <c r="M20" i="4"/>
  <c r="M52" i="4"/>
  <c r="M1335" i="4"/>
  <c r="M110" i="4"/>
  <c r="M32" i="4"/>
  <c r="M22" i="4"/>
  <c r="M54" i="4"/>
  <c r="M77" i="4"/>
  <c r="M1336" i="4"/>
  <c r="M40" i="4"/>
  <c r="M1337" i="4"/>
  <c r="M44" i="4"/>
  <c r="M1338" i="4"/>
  <c r="M96"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206" i="4"/>
  <c r="N207" i="4"/>
  <c r="N208" i="4"/>
  <c r="N209" i="4"/>
  <c r="N210" i="4"/>
  <c r="N211" i="4"/>
  <c r="N104"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240" i="4"/>
  <c r="N241" i="4"/>
  <c r="N242" i="4"/>
  <c r="N243" i="4"/>
  <c r="N244" i="4"/>
  <c r="N245" i="4"/>
  <c r="N246" i="4"/>
  <c r="N247" i="4"/>
  <c r="N69" i="4"/>
  <c r="N248" i="4"/>
  <c r="N249"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277"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311" i="4"/>
  <c r="N312" i="4"/>
  <c r="N6" i="4"/>
  <c r="N313" i="4"/>
  <c r="N314" i="4"/>
  <c r="N315" i="4"/>
  <c r="N316" i="4"/>
  <c r="N317" i="4"/>
  <c r="N318" i="4"/>
  <c r="N319" i="4"/>
  <c r="N320" i="4"/>
  <c r="N321" i="4"/>
  <c r="N322" i="4"/>
  <c r="N323" i="4"/>
  <c r="N324" i="4"/>
  <c r="N325" i="4"/>
  <c r="N326" i="4"/>
  <c r="N327" i="4"/>
  <c r="N328" i="4"/>
  <c r="N329" i="4"/>
  <c r="N330"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359" i="4"/>
  <c r="N360" i="4"/>
  <c r="N361" i="4"/>
  <c r="N362" i="4"/>
  <c r="N100" i="4"/>
  <c r="N363" i="4"/>
  <c r="N364" i="4"/>
  <c r="N365" i="4"/>
  <c r="N366" i="4"/>
  <c r="N367" i="4"/>
  <c r="N368" i="4"/>
  <c r="N369" i="4"/>
  <c r="N370" i="4"/>
  <c r="N371" i="4"/>
  <c r="N61" i="4"/>
  <c r="N372" i="4"/>
  <c r="N373" i="4"/>
  <c r="N374" i="4"/>
  <c r="N375" i="4"/>
  <c r="N376" i="4"/>
  <c r="N377" i="4"/>
  <c r="N378" i="4"/>
  <c r="N379" i="4"/>
  <c r="N380" i="4"/>
  <c r="N381" i="4"/>
  <c r="N382" i="4"/>
  <c r="N383" i="4"/>
  <c r="N384" i="4"/>
  <c r="N385" i="4"/>
  <c r="N386" i="4"/>
  <c r="N387" i="4"/>
  <c r="N388" i="4"/>
  <c r="N389" i="4"/>
  <c r="N390" i="4"/>
  <c r="N391" i="4"/>
  <c r="N392" i="4"/>
  <c r="N393" i="4"/>
  <c r="N394" i="4"/>
  <c r="N395" i="4"/>
  <c r="N396" i="4"/>
  <c r="N397" i="4"/>
  <c r="N398" i="4"/>
  <c r="N399" i="4"/>
  <c r="N400" i="4"/>
  <c r="N401" i="4"/>
  <c r="N402" i="4"/>
  <c r="N403" i="4"/>
  <c r="N404" i="4"/>
  <c r="N405" i="4"/>
  <c r="N406" i="4"/>
  <c r="N407" i="4"/>
  <c r="N408" i="4"/>
  <c r="N409" i="4"/>
  <c r="N410" i="4"/>
  <c r="N411" i="4"/>
  <c r="N412" i="4"/>
  <c r="N413" i="4"/>
  <c r="N414" i="4"/>
  <c r="N415" i="4"/>
  <c r="N416" i="4"/>
  <c r="N417" i="4"/>
  <c r="N418" i="4"/>
  <c r="N419" i="4"/>
  <c r="N420" i="4"/>
  <c r="N421" i="4"/>
  <c r="N422" i="4"/>
  <c r="N423" i="4"/>
  <c r="N424" i="4"/>
  <c r="N425" i="4"/>
  <c r="N426" i="4"/>
  <c r="N427" i="4"/>
  <c r="N428" i="4"/>
  <c r="N429" i="4"/>
  <c r="N430" i="4"/>
  <c r="N431" i="4"/>
  <c r="N432" i="4"/>
  <c r="N433" i="4"/>
  <c r="N434" i="4"/>
  <c r="N435" i="4"/>
  <c r="N436" i="4"/>
  <c r="N437" i="4"/>
  <c r="N438" i="4"/>
  <c r="N439" i="4"/>
  <c r="N440" i="4"/>
  <c r="N441" i="4"/>
  <c r="N442" i="4"/>
  <c r="N443" i="4"/>
  <c r="N444" i="4"/>
  <c r="N445" i="4"/>
  <c r="N446" i="4"/>
  <c r="N447" i="4"/>
  <c r="N448" i="4"/>
  <c r="N449" i="4"/>
  <c r="N450" i="4"/>
  <c r="N451" i="4"/>
  <c r="N452" i="4"/>
  <c r="N453" i="4"/>
  <c r="N454" i="4"/>
  <c r="N455" i="4"/>
  <c r="N456" i="4"/>
  <c r="N457" i="4"/>
  <c r="N458" i="4"/>
  <c r="N459" i="4"/>
  <c r="N460" i="4"/>
  <c r="N461" i="4"/>
  <c r="N462" i="4"/>
  <c r="N463" i="4"/>
  <c r="N464" i="4"/>
  <c r="N465" i="4"/>
  <c r="N466" i="4"/>
  <c r="N467" i="4"/>
  <c r="N468" i="4"/>
  <c r="N469" i="4"/>
  <c r="N470" i="4"/>
  <c r="N471" i="4"/>
  <c r="N472" i="4"/>
  <c r="N473" i="4"/>
  <c r="N474" i="4"/>
  <c r="N475" i="4"/>
  <c r="N476" i="4"/>
  <c r="N477" i="4"/>
  <c r="N478" i="4"/>
  <c r="N479" i="4"/>
  <c r="N480" i="4"/>
  <c r="N481" i="4"/>
  <c r="N482" i="4"/>
  <c r="N483" i="4"/>
  <c r="N484" i="4"/>
  <c r="N485" i="4"/>
  <c r="N486" i="4"/>
  <c r="N487" i="4"/>
  <c r="N488" i="4"/>
  <c r="N489" i="4"/>
  <c r="N490" i="4"/>
  <c r="N491" i="4"/>
  <c r="N492" i="4"/>
  <c r="N493" i="4"/>
  <c r="N494" i="4"/>
  <c r="N495" i="4"/>
  <c r="N496" i="4"/>
  <c r="N497" i="4"/>
  <c r="N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584" i="4"/>
  <c r="N585" i="4"/>
  <c r="N586" i="4"/>
  <c r="N587" i="4"/>
  <c r="N588" i="4"/>
  <c r="N589" i="4"/>
  <c r="N590" i="4"/>
  <c r="N591" i="4"/>
  <c r="N592" i="4"/>
  <c r="N593" i="4"/>
  <c r="N594" i="4"/>
  <c r="N595" i="4"/>
  <c r="N596" i="4"/>
  <c r="N597" i="4"/>
  <c r="N598" i="4"/>
  <c r="N599" i="4"/>
  <c r="N600" i="4"/>
  <c r="N601" i="4"/>
  <c r="N602" i="4"/>
  <c r="N603" i="4"/>
  <c r="N604" i="4"/>
  <c r="N605" i="4"/>
  <c r="N606" i="4"/>
  <c r="N607" i="4"/>
  <c r="N80" i="4"/>
  <c r="N127" i="4"/>
  <c r="N85" i="4"/>
  <c r="N608" i="4"/>
  <c r="N609" i="4"/>
  <c r="N610" i="4"/>
  <c r="N611" i="4"/>
  <c r="N612" i="4"/>
  <c r="N613" i="4"/>
  <c r="N614" i="4"/>
  <c r="N615" i="4"/>
  <c r="N616" i="4"/>
  <c r="N119" i="4"/>
  <c r="N617" i="4"/>
  <c r="N618" i="4"/>
  <c r="N619" i="4"/>
  <c r="N620" i="4"/>
  <c r="N621" i="4"/>
  <c r="N622" i="4"/>
  <c r="N623" i="4"/>
  <c r="N624" i="4"/>
  <c r="N625" i="4"/>
  <c r="N626" i="4"/>
  <c r="N627" i="4"/>
  <c r="N628" i="4"/>
  <c r="N629" i="4"/>
  <c r="N630" i="4"/>
  <c r="N631" i="4"/>
  <c r="N632" i="4"/>
  <c r="N633" i="4"/>
  <c r="N634" i="4"/>
  <c r="N635" i="4"/>
  <c r="N636" i="4"/>
  <c r="N637" i="4"/>
  <c r="N638" i="4"/>
  <c r="N639" i="4"/>
  <c r="N640" i="4"/>
  <c r="N641" i="4"/>
  <c r="N642" i="4"/>
  <c r="N643" i="4"/>
  <c r="N644" i="4"/>
  <c r="N645" i="4"/>
  <c r="N646" i="4"/>
  <c r="N647" i="4"/>
  <c r="N648" i="4"/>
  <c r="N649" i="4"/>
  <c r="N650" i="4"/>
  <c r="N651" i="4"/>
  <c r="N90" i="4"/>
  <c r="N652" i="4"/>
  <c r="N653" i="4"/>
  <c r="N654" i="4"/>
  <c r="N655" i="4"/>
  <c r="N656" i="4"/>
  <c r="N657" i="4"/>
  <c r="N658" i="4"/>
  <c r="N659" i="4"/>
  <c r="N660" i="4"/>
  <c r="N661" i="4"/>
  <c r="N662" i="4"/>
  <c r="N663" i="4"/>
  <c r="N664" i="4"/>
  <c r="N665" i="4"/>
  <c r="N666" i="4"/>
  <c r="N667" i="4"/>
  <c r="N668" i="4"/>
  <c r="N669" i="4"/>
  <c r="N670" i="4"/>
  <c r="N671" i="4"/>
  <c r="N672" i="4"/>
  <c r="N673" i="4"/>
  <c r="N674" i="4"/>
  <c r="N675" i="4"/>
  <c r="N676" i="4"/>
  <c r="N677" i="4"/>
  <c r="N678" i="4"/>
  <c r="N679" i="4"/>
  <c r="N680" i="4"/>
  <c r="N681" i="4"/>
  <c r="N682" i="4"/>
  <c r="N683" i="4"/>
  <c r="N684" i="4"/>
  <c r="N685" i="4"/>
  <c r="N105" i="4"/>
  <c r="N686" i="4"/>
  <c r="N687" i="4"/>
  <c r="N688" i="4"/>
  <c r="N689" i="4"/>
  <c r="N690" i="4"/>
  <c r="N691" i="4"/>
  <c r="N692" i="4"/>
  <c r="N693" i="4"/>
  <c r="N694" i="4"/>
  <c r="N695" i="4"/>
  <c r="N696" i="4"/>
  <c r="N697" i="4"/>
  <c r="N698" i="4"/>
  <c r="N699" i="4"/>
  <c r="N700" i="4"/>
  <c r="N701" i="4"/>
  <c r="N702" i="4"/>
  <c r="N703" i="4"/>
  <c r="N704" i="4"/>
  <c r="N705" i="4"/>
  <c r="N706" i="4"/>
  <c r="N707" i="4"/>
  <c r="N708" i="4"/>
  <c r="N709" i="4"/>
  <c r="N710" i="4"/>
  <c r="N711" i="4"/>
  <c r="N712" i="4"/>
  <c r="N713" i="4"/>
  <c r="N714" i="4"/>
  <c r="N715" i="4"/>
  <c r="N716" i="4"/>
  <c r="N717" i="4"/>
  <c r="N718" i="4"/>
  <c r="N719" i="4"/>
  <c r="N720" i="4"/>
  <c r="N721" i="4"/>
  <c r="N722" i="4"/>
  <c r="N723" i="4"/>
  <c r="N724" i="4"/>
  <c r="N725" i="4"/>
  <c r="N726" i="4"/>
  <c r="N727" i="4"/>
  <c r="N728" i="4"/>
  <c r="N729" i="4"/>
  <c r="N730" i="4"/>
  <c r="N731" i="4"/>
  <c r="N732" i="4"/>
  <c r="N733" i="4"/>
  <c r="N734" i="4"/>
  <c r="N735" i="4"/>
  <c r="N736" i="4"/>
  <c r="N737" i="4"/>
  <c r="N738" i="4"/>
  <c r="N739" i="4"/>
  <c r="N740" i="4"/>
  <c r="N741" i="4"/>
  <c r="N742" i="4"/>
  <c r="N743" i="4"/>
  <c r="N744" i="4"/>
  <c r="N745" i="4"/>
  <c r="N746" i="4"/>
  <c r="N747" i="4"/>
  <c r="N748" i="4"/>
  <c r="N749" i="4"/>
  <c r="N750" i="4"/>
  <c r="N751" i="4"/>
  <c r="N752" i="4"/>
  <c r="N753" i="4"/>
  <c r="N754" i="4"/>
  <c r="N755" i="4"/>
  <c r="N756" i="4"/>
  <c r="N757" i="4"/>
  <c r="N758" i="4"/>
  <c r="N759" i="4"/>
  <c r="N760" i="4"/>
  <c r="N761" i="4"/>
  <c r="N762" i="4"/>
  <c r="N763" i="4"/>
  <c r="N764" i="4"/>
  <c r="N765" i="4"/>
  <c r="N766" i="4"/>
  <c r="N767" i="4"/>
  <c r="N768" i="4"/>
  <c r="N769" i="4"/>
  <c r="N770" i="4"/>
  <c r="N771" i="4"/>
  <c r="N772" i="4"/>
  <c r="N773" i="4"/>
  <c r="N774" i="4"/>
  <c r="N775" i="4"/>
  <c r="N776" i="4"/>
  <c r="N777" i="4"/>
  <c r="N778" i="4"/>
  <c r="N779" i="4"/>
  <c r="N780" i="4"/>
  <c r="N781" i="4"/>
  <c r="N782" i="4"/>
  <c r="N783" i="4"/>
  <c r="N784" i="4"/>
  <c r="N785" i="4"/>
  <c r="N786" i="4"/>
  <c r="N787" i="4"/>
  <c r="N788" i="4"/>
  <c r="N789" i="4"/>
  <c r="N790" i="4"/>
  <c r="N791" i="4"/>
  <c r="N792" i="4"/>
  <c r="N793" i="4"/>
  <c r="N794" i="4"/>
  <c r="N795" i="4"/>
  <c r="N796" i="4"/>
  <c r="N797" i="4"/>
  <c r="N798" i="4"/>
  <c r="N799" i="4"/>
  <c r="N800" i="4"/>
  <c r="N801" i="4"/>
  <c r="N802" i="4"/>
  <c r="N803" i="4"/>
  <c r="N804" i="4"/>
  <c r="N805" i="4"/>
  <c r="N806" i="4"/>
  <c r="N807" i="4"/>
  <c r="N808" i="4"/>
  <c r="N809" i="4"/>
  <c r="N810" i="4"/>
  <c r="N811" i="4"/>
  <c r="N812" i="4"/>
  <c r="N813" i="4"/>
  <c r="N107" i="4"/>
  <c r="N39" i="4"/>
  <c r="N814" i="4"/>
  <c r="N815" i="4"/>
  <c r="N816" i="4"/>
  <c r="N817" i="4"/>
  <c r="N818" i="4"/>
  <c r="N819" i="4"/>
  <c r="N820" i="4"/>
  <c r="N821" i="4"/>
  <c r="N822" i="4"/>
  <c r="N133" i="4"/>
  <c r="N823" i="4"/>
  <c r="N824" i="4"/>
  <c r="N825" i="4"/>
  <c r="N826" i="4"/>
  <c r="N827" i="4"/>
  <c r="N828" i="4"/>
  <c r="N829" i="4"/>
  <c r="N830" i="4"/>
  <c r="N831" i="4"/>
  <c r="N832" i="4"/>
  <c r="N833" i="4"/>
  <c r="N834" i="4"/>
  <c r="N835" i="4"/>
  <c r="N836" i="4"/>
  <c r="N837" i="4"/>
  <c r="N838" i="4"/>
  <c r="N839" i="4"/>
  <c r="N840" i="4"/>
  <c r="N841" i="4"/>
  <c r="N842" i="4"/>
  <c r="N843" i="4"/>
  <c r="N844" i="4"/>
  <c r="N845" i="4"/>
  <c r="N846" i="4"/>
  <c r="N847" i="4"/>
  <c r="N848" i="4"/>
  <c r="N849" i="4"/>
  <c r="N850" i="4"/>
  <c r="N851" i="4"/>
  <c r="N852" i="4"/>
  <c r="N853" i="4"/>
  <c r="N854" i="4"/>
  <c r="N855" i="4"/>
  <c r="N7" i="4"/>
  <c r="N856" i="4"/>
  <c r="N857" i="4"/>
  <c r="N858" i="4"/>
  <c r="N859" i="4"/>
  <c r="N860" i="4"/>
  <c r="N861" i="4"/>
  <c r="N862" i="4"/>
  <c r="N863" i="4"/>
  <c r="N864" i="4"/>
  <c r="N865" i="4"/>
  <c r="N866" i="4"/>
  <c r="N867" i="4"/>
  <c r="N868" i="4"/>
  <c r="N869" i="4"/>
  <c r="N870" i="4"/>
  <c r="N871" i="4"/>
  <c r="N872" i="4"/>
  <c r="N873" i="4"/>
  <c r="N874" i="4"/>
  <c r="N875" i="4"/>
  <c r="N876" i="4"/>
  <c r="N877" i="4"/>
  <c r="N878" i="4"/>
  <c r="N879" i="4"/>
  <c r="N880" i="4"/>
  <c r="N881" i="4"/>
  <c r="N882" i="4"/>
  <c r="N883" i="4"/>
  <c r="N884" i="4"/>
  <c r="N885" i="4"/>
  <c r="N886" i="4"/>
  <c r="N887" i="4"/>
  <c r="N888" i="4"/>
  <c r="N889" i="4"/>
  <c r="N890" i="4"/>
  <c r="N891" i="4"/>
  <c r="N892" i="4"/>
  <c r="N893" i="4"/>
  <c r="N894" i="4"/>
  <c r="N895" i="4"/>
  <c r="N896" i="4"/>
  <c r="N897" i="4"/>
  <c r="N898" i="4"/>
  <c r="N899" i="4"/>
  <c r="N900" i="4"/>
  <c r="N901" i="4"/>
  <c r="N902" i="4"/>
  <c r="N903" i="4"/>
  <c r="N904" i="4"/>
  <c r="N905" i="4"/>
  <c r="N906" i="4"/>
  <c r="N907" i="4"/>
  <c r="N908" i="4"/>
  <c r="N909" i="4"/>
  <c r="N910" i="4"/>
  <c r="N911" i="4"/>
  <c r="N912" i="4"/>
  <c r="N913" i="4"/>
  <c r="N914" i="4"/>
  <c r="N915" i="4"/>
  <c r="N916" i="4"/>
  <c r="N917" i="4"/>
  <c r="N918" i="4"/>
  <c r="N919" i="4"/>
  <c r="N920" i="4"/>
  <c r="N921" i="4"/>
  <c r="N922" i="4"/>
  <c r="N923" i="4"/>
  <c r="N924" i="4"/>
  <c r="N925" i="4"/>
  <c r="N926" i="4"/>
  <c r="N927" i="4"/>
  <c r="N928" i="4"/>
  <c r="N929" i="4"/>
  <c r="N930" i="4"/>
  <c r="N931" i="4"/>
  <c r="N932" i="4"/>
  <c r="N933" i="4"/>
  <c r="N934" i="4"/>
  <c r="N935" i="4"/>
  <c r="N936" i="4"/>
  <c r="N937" i="4"/>
  <c r="N938" i="4"/>
  <c r="N939" i="4"/>
  <c r="N940" i="4"/>
  <c r="N941" i="4"/>
  <c r="N942" i="4"/>
  <c r="N943" i="4"/>
  <c r="N944" i="4"/>
  <c r="N945" i="4"/>
  <c r="N946" i="4"/>
  <c r="N947" i="4"/>
  <c r="N948" i="4"/>
  <c r="N949" i="4"/>
  <c r="N950" i="4"/>
  <c r="N951" i="4"/>
  <c r="N108" i="4"/>
  <c r="N952" i="4"/>
  <c r="N953" i="4"/>
  <c r="N954" i="4"/>
  <c r="N955" i="4"/>
  <c r="N956" i="4"/>
  <c r="N957" i="4"/>
  <c r="N958" i="4"/>
  <c r="N959" i="4"/>
  <c r="N960" i="4"/>
  <c r="N961" i="4"/>
  <c r="N962" i="4"/>
  <c r="N963" i="4"/>
  <c r="N964" i="4"/>
  <c r="N965" i="4"/>
  <c r="N966" i="4"/>
  <c r="N967" i="4"/>
  <c r="N968" i="4"/>
  <c r="N969" i="4"/>
  <c r="N970" i="4"/>
  <c r="N971" i="4"/>
  <c r="N972" i="4"/>
  <c r="N973" i="4"/>
  <c r="N974" i="4"/>
  <c r="N975" i="4"/>
  <c r="N976" i="4"/>
  <c r="N977" i="4"/>
  <c r="N978" i="4"/>
  <c r="N979" i="4"/>
  <c r="N73" i="4"/>
  <c r="N980" i="4"/>
  <c r="N981" i="4"/>
  <c r="N982" i="4"/>
  <c r="N983" i="4"/>
  <c r="N984" i="4"/>
  <c r="N985" i="4"/>
  <c r="N60" i="4"/>
  <c r="N986" i="4"/>
  <c r="N987" i="4"/>
  <c r="N988" i="4"/>
  <c r="N989" i="4"/>
  <c r="N990" i="4"/>
  <c r="N991" i="4"/>
  <c r="N992" i="4"/>
  <c r="N993" i="4"/>
  <c r="N994" i="4"/>
  <c r="N995" i="4"/>
  <c r="N996" i="4"/>
  <c r="N997" i="4"/>
  <c r="N998" i="4"/>
  <c r="N999" i="4"/>
  <c r="N1000" i="4"/>
  <c r="N1001" i="4"/>
  <c r="N1002" i="4"/>
  <c r="N1003" i="4"/>
  <c r="N1004" i="4"/>
  <c r="N1005" i="4"/>
  <c r="N1006" i="4"/>
  <c r="N1007" i="4"/>
  <c r="N1008" i="4"/>
  <c r="N1009" i="4"/>
  <c r="N1010" i="4"/>
  <c r="N1011" i="4"/>
  <c r="N1012" i="4"/>
  <c r="N1013" i="4"/>
  <c r="N1014" i="4"/>
  <c r="N1015" i="4"/>
  <c r="N1016" i="4"/>
  <c r="N1017" i="4"/>
  <c r="N1018" i="4"/>
  <c r="N1019" i="4"/>
  <c r="N1020" i="4"/>
  <c r="N1021" i="4"/>
  <c r="N1022" i="4"/>
  <c r="N1023" i="4"/>
  <c r="N1024" i="4"/>
  <c r="N1025" i="4"/>
  <c r="N1026" i="4"/>
  <c r="N1027" i="4"/>
  <c r="N1028" i="4"/>
  <c r="N1029" i="4"/>
  <c r="N1030" i="4"/>
  <c r="N1031" i="4"/>
  <c r="N1032" i="4"/>
  <c r="N1033" i="4"/>
  <c r="N1034" i="4"/>
  <c r="N1035" i="4"/>
  <c r="N1036" i="4"/>
  <c r="N1037" i="4"/>
  <c r="N1038" i="4"/>
  <c r="N1039" i="4"/>
  <c r="N1040" i="4"/>
  <c r="N1041" i="4"/>
  <c r="N1042" i="4"/>
  <c r="N1043" i="4"/>
  <c r="N1044" i="4"/>
  <c r="N1045" i="4"/>
  <c r="N1046" i="4"/>
  <c r="N1047" i="4"/>
  <c r="N1048" i="4"/>
  <c r="N1049" i="4"/>
  <c r="N1050" i="4"/>
  <c r="N8" i="4"/>
  <c r="N1051" i="4"/>
  <c r="N1052" i="4"/>
  <c r="N1053" i="4"/>
  <c r="N1054" i="4"/>
  <c r="N1055" i="4"/>
  <c r="N1056" i="4"/>
  <c r="N1057" i="4"/>
  <c r="N16" i="4"/>
  <c r="N1058" i="4"/>
  <c r="N1059" i="4"/>
  <c r="N1060" i="4"/>
  <c r="N1061" i="4"/>
  <c r="N1062" i="4"/>
  <c r="N1063" i="4"/>
  <c r="N1064" i="4"/>
  <c r="N1065" i="4"/>
  <c r="N1066" i="4"/>
  <c r="N1067" i="4"/>
  <c r="N1068" i="4"/>
  <c r="N1069" i="4"/>
  <c r="N1070" i="4"/>
  <c r="N121" i="4"/>
  <c r="N1071" i="4"/>
  <c r="N1072" i="4"/>
  <c r="N1073" i="4"/>
  <c r="N1074" i="4"/>
  <c r="N1075" i="4"/>
  <c r="N1076" i="4"/>
  <c r="N1077" i="4"/>
  <c r="N1078" i="4"/>
  <c r="N1079" i="4"/>
  <c r="N1080" i="4"/>
  <c r="N1081" i="4"/>
  <c r="N97" i="4"/>
  <c r="N1082" i="4"/>
  <c r="N1083" i="4"/>
  <c r="N1084" i="4"/>
  <c r="N1085" i="4"/>
  <c r="N1086" i="4"/>
  <c r="N1087" i="4"/>
  <c r="N1088" i="4"/>
  <c r="N1089" i="4"/>
  <c r="N1090" i="4"/>
  <c r="N1091" i="4"/>
  <c r="N1092" i="4"/>
  <c r="N1093" i="4"/>
  <c r="N1094" i="4"/>
  <c r="N1095" i="4"/>
  <c r="N1096" i="4"/>
  <c r="N1097" i="4"/>
  <c r="N1098" i="4"/>
  <c r="N1099" i="4"/>
  <c r="N1100" i="4"/>
  <c r="N1101" i="4"/>
  <c r="N1102" i="4"/>
  <c r="N1103" i="4"/>
  <c r="N111" i="4"/>
  <c r="N1104" i="4"/>
  <c r="N50" i="4"/>
  <c r="N1105" i="4"/>
  <c r="N1106" i="4"/>
  <c r="N1107" i="4"/>
  <c r="N1108" i="4"/>
  <c r="N1109" i="4"/>
  <c r="N1110" i="4"/>
  <c r="N1111" i="4"/>
  <c r="N1112" i="4"/>
  <c r="N1113" i="4"/>
  <c r="N1114" i="4"/>
  <c r="N1115" i="4"/>
  <c r="N1116" i="4"/>
  <c r="N1117" i="4"/>
  <c r="N1118" i="4"/>
  <c r="N1119" i="4"/>
  <c r="N1120" i="4"/>
  <c r="N1121" i="4"/>
  <c r="N1122" i="4"/>
  <c r="N1123" i="4"/>
  <c r="N1124" i="4"/>
  <c r="N1125" i="4"/>
  <c r="N1126" i="4"/>
  <c r="N1127" i="4"/>
  <c r="N1128" i="4"/>
  <c r="N1129" i="4"/>
  <c r="N1130" i="4"/>
  <c r="N1131" i="4"/>
  <c r="N1132" i="4"/>
  <c r="N1133" i="4"/>
  <c r="N1134" i="4"/>
  <c r="N1135" i="4"/>
  <c r="N1136" i="4"/>
  <c r="N1137" i="4"/>
  <c r="N1138" i="4"/>
  <c r="N1139" i="4"/>
  <c r="N1140" i="4"/>
  <c r="N1141" i="4"/>
  <c r="N1142" i="4"/>
  <c r="N1143" i="4"/>
  <c r="N1144" i="4"/>
  <c r="N1145" i="4"/>
  <c r="N1146" i="4"/>
  <c r="N1147" i="4"/>
  <c r="N1148" i="4"/>
  <c r="N1149" i="4"/>
  <c r="N1150" i="4"/>
  <c r="N1151" i="4"/>
  <c r="N1152" i="4"/>
  <c r="N1153" i="4"/>
  <c r="N1154" i="4"/>
  <c r="N1155" i="4"/>
  <c r="N1156" i="4"/>
  <c r="N1157" i="4"/>
  <c r="N1158" i="4"/>
  <c r="N1159" i="4"/>
  <c r="N1160" i="4"/>
  <c r="N1161" i="4"/>
  <c r="N1162" i="4"/>
  <c r="N1163" i="4"/>
  <c r="N1164" i="4"/>
  <c r="N1165" i="4"/>
  <c r="N74" i="4"/>
  <c r="N1166" i="4"/>
  <c r="N1167" i="4"/>
  <c r="N1168" i="4"/>
  <c r="N1169" i="4"/>
  <c r="N117" i="4"/>
  <c r="N1170" i="4"/>
  <c r="N1171" i="4"/>
  <c r="N17" i="4"/>
  <c r="N1172" i="4"/>
  <c r="N134" i="4"/>
  <c r="N70" i="4"/>
  <c r="N1173" i="4"/>
  <c r="N1174" i="4"/>
  <c r="N1175" i="4"/>
  <c r="N1176" i="4"/>
  <c r="N1177" i="4"/>
  <c r="N1178" i="4"/>
  <c r="N1179" i="4"/>
  <c r="N1180" i="4"/>
  <c r="N1181" i="4"/>
  <c r="N1182" i="4"/>
  <c r="N1183" i="4"/>
  <c r="N1184" i="4"/>
  <c r="N1185" i="4"/>
  <c r="N1186" i="4"/>
  <c r="N1187" i="4"/>
  <c r="N81" i="4"/>
  <c r="N1188" i="4"/>
  <c r="N125" i="4"/>
  <c r="N66" i="4"/>
  <c r="N101" i="4"/>
  <c r="N113" i="4"/>
  <c r="N109" i="4"/>
  <c r="N1189" i="4"/>
  <c r="N1190" i="4"/>
  <c r="N1191" i="4"/>
  <c r="N1192" i="4"/>
  <c r="N1193" i="4"/>
  <c r="N1194" i="4"/>
  <c r="N1195" i="4"/>
  <c r="N1196" i="4"/>
  <c r="N1197" i="4"/>
  <c r="N1198" i="4"/>
  <c r="N1199" i="4"/>
  <c r="N1200" i="4"/>
  <c r="N1201" i="4"/>
  <c r="N1202" i="4"/>
  <c r="N1203" i="4"/>
  <c r="N1204" i="4"/>
  <c r="N1205" i="4"/>
  <c r="N1206" i="4"/>
  <c r="N1207" i="4"/>
  <c r="N1208" i="4"/>
  <c r="N1209" i="4"/>
  <c r="N1210" i="4"/>
  <c r="N1211" i="4"/>
  <c r="N9" i="4"/>
  <c r="N1212" i="4"/>
  <c r="N1213" i="4"/>
  <c r="N1214" i="4"/>
  <c r="N1215" i="4"/>
  <c r="N1216" i="4"/>
  <c r="N1217" i="4"/>
  <c r="N1218" i="4"/>
  <c r="N1219" i="4"/>
  <c r="N1220" i="4"/>
  <c r="N1221" i="4"/>
  <c r="N1222" i="4"/>
  <c r="N1223" i="4"/>
  <c r="N118" i="4"/>
  <c r="N1224" i="4"/>
  <c r="N1225" i="4"/>
  <c r="N1226" i="4"/>
  <c r="N123" i="4"/>
  <c r="N1227" i="4"/>
  <c r="N1228" i="4"/>
  <c r="N1229" i="4"/>
  <c r="N1230" i="4"/>
  <c r="N1231" i="4"/>
  <c r="N1232" i="4"/>
  <c r="N10" i="4"/>
  <c r="N1233" i="4"/>
  <c r="N1234" i="4"/>
  <c r="N1235" i="4"/>
  <c r="N1236" i="4"/>
  <c r="N1237" i="4"/>
  <c r="N1238" i="4"/>
  <c r="N1239" i="4"/>
  <c r="N1240" i="4"/>
  <c r="N1241" i="4"/>
  <c r="N1242" i="4"/>
  <c r="N1243" i="4"/>
  <c r="N1244" i="4"/>
  <c r="N1245" i="4"/>
  <c r="N1246" i="4"/>
  <c r="N1247" i="4"/>
  <c r="N1248" i="4"/>
  <c r="N1249" i="4"/>
  <c r="N1250" i="4"/>
  <c r="N1251" i="4"/>
  <c r="N1252" i="4"/>
  <c r="N1253" i="4"/>
  <c r="N1254" i="4"/>
  <c r="N1255" i="4"/>
  <c r="N1256" i="4"/>
  <c r="N1257" i="4"/>
  <c r="N1258" i="4"/>
  <c r="N1259" i="4"/>
  <c r="N1260" i="4"/>
  <c r="N1261" i="4"/>
  <c r="N1262" i="4"/>
  <c r="N1263" i="4"/>
  <c r="N1264" i="4"/>
  <c r="N1265" i="4"/>
  <c r="N1266" i="4"/>
  <c r="N1267" i="4"/>
  <c r="N1268" i="4"/>
  <c r="N1269" i="4"/>
  <c r="N1270" i="4"/>
  <c r="N1271" i="4"/>
  <c r="N1272" i="4"/>
  <c r="N1273" i="4"/>
  <c r="N1274" i="4"/>
  <c r="N1275" i="4"/>
  <c r="N1276" i="4"/>
  <c r="N1277" i="4"/>
  <c r="N1278" i="4"/>
  <c r="N1279" i="4"/>
  <c r="N1280" i="4"/>
  <c r="N1281" i="4"/>
  <c r="N131" i="4"/>
  <c r="N1282" i="4"/>
  <c r="N1283" i="4"/>
  <c r="N1284" i="4"/>
  <c r="N1285" i="4"/>
  <c r="N11" i="4"/>
  <c r="N1286" i="4"/>
  <c r="N1287" i="4"/>
  <c r="N67" i="4"/>
  <c r="N1288" i="4"/>
  <c r="N53" i="4"/>
  <c r="N15" i="4"/>
  <c r="N1289" i="4"/>
  <c r="N1290" i="4"/>
  <c r="N132" i="4"/>
  <c r="N129" i="4"/>
  <c r="N1291" i="4"/>
  <c r="N1292" i="4"/>
  <c r="N91" i="4"/>
  <c r="N1293" i="4"/>
  <c r="N51" i="4"/>
  <c r="N12" i="4"/>
  <c r="N1294" i="4"/>
  <c r="N1295" i="4"/>
  <c r="N78" i="4"/>
  <c r="N18" i="4"/>
  <c r="N19" i="4"/>
  <c r="N42" i="4"/>
  <c r="N92" i="4"/>
  <c r="N1296" i="4"/>
  <c r="N1297" i="4"/>
  <c r="N1298" i="4"/>
  <c r="N41" i="4"/>
  <c r="N62" i="4"/>
  <c r="N1299" i="4"/>
  <c r="N1300" i="4"/>
  <c r="N1301" i="4"/>
  <c r="N71" i="4"/>
  <c r="N120" i="4"/>
  <c r="N124" i="4"/>
  <c r="N126" i="4"/>
  <c r="N128" i="4"/>
  <c r="N122" i="4"/>
  <c r="N1302" i="4"/>
  <c r="N1303" i="4"/>
  <c r="N1304" i="4"/>
  <c r="N93" i="4"/>
  <c r="N29" i="4"/>
  <c r="N1305" i="4"/>
  <c r="N1306" i="4"/>
  <c r="N33" i="4"/>
  <c r="N23" i="4"/>
  <c r="N1307" i="4"/>
  <c r="N35" i="4"/>
  <c r="N115" i="4"/>
  <c r="N1308" i="4"/>
  <c r="N1309" i="4"/>
  <c r="N1310" i="4"/>
  <c r="N88" i="4"/>
  <c r="N1311" i="4"/>
  <c r="N130" i="4"/>
  <c r="N63" i="4"/>
  <c r="N72" i="4"/>
  <c r="N1312" i="4"/>
  <c r="N1313" i="4"/>
  <c r="N57" i="4"/>
  <c r="N45" i="4"/>
  <c r="N55" i="4"/>
  <c r="N37" i="4"/>
  <c r="N1314" i="4"/>
  <c r="N26" i="4"/>
  <c r="N64" i="4"/>
  <c r="N24" i="4"/>
  <c r="N86" i="4"/>
  <c r="N83" i="4"/>
  <c r="N82" i="4"/>
  <c r="N1315" i="4"/>
  <c r="N1316" i="4"/>
  <c r="N25" i="4"/>
  <c r="N98" i="4"/>
  <c r="N84" i="4"/>
  <c r="N43" i="4"/>
  <c r="N1317" i="4"/>
  <c r="N89" i="4"/>
  <c r="N95" i="4"/>
  <c r="N27" i="4"/>
  <c r="N30" i="4"/>
  <c r="N1318" i="4"/>
  <c r="N87" i="4"/>
  <c r="N36" i="4"/>
  <c r="N38" i="4"/>
  <c r="N68" i="4"/>
  <c r="N65" i="4"/>
  <c r="N1319" i="4"/>
  <c r="N1320" i="4"/>
  <c r="N135" i="4"/>
  <c r="N13" i="4"/>
  <c r="N58" i="4"/>
  <c r="N75" i="4"/>
  <c r="N1321" i="4"/>
  <c r="N1322" i="4"/>
  <c r="N1323" i="4"/>
  <c r="N1324" i="4"/>
  <c r="N94" i="4"/>
  <c r="N1325" i="4"/>
  <c r="N46" i="4"/>
  <c r="N47" i="4"/>
  <c r="N1326" i="4"/>
  <c r="N1327" i="4"/>
  <c r="N48" i="4"/>
  <c r="N1328" i="4"/>
  <c r="N1329" i="4"/>
  <c r="N1330" i="4"/>
  <c r="N31" i="4"/>
  <c r="N1331" i="4"/>
  <c r="N1332" i="4"/>
  <c r="N116" i="4"/>
  <c r="N76" i="4"/>
  <c r="N34" i="4"/>
  <c r="N1333" i="4"/>
  <c r="N114" i="4"/>
  <c r="N21" i="4"/>
  <c r="N79" i="4"/>
  <c r="N102" i="4"/>
  <c r="N28" i="4"/>
  <c r="N1334" i="4"/>
  <c r="N59" i="4"/>
  <c r="N106" i="4"/>
  <c r="N14" i="4"/>
  <c r="N56" i="4"/>
  <c r="N103" i="4"/>
  <c r="N49" i="4"/>
  <c r="N99" i="4"/>
  <c r="N112" i="4"/>
  <c r="N20" i="4"/>
  <c r="N52" i="4"/>
  <c r="N1335" i="4"/>
  <c r="N110" i="4"/>
  <c r="N32" i="4"/>
  <c r="N22" i="4"/>
  <c r="N54" i="4"/>
  <c r="N77" i="4"/>
  <c r="N1336" i="4"/>
  <c r="N40" i="4"/>
  <c r="N1337" i="4"/>
  <c r="N44" i="4"/>
  <c r="N1338" i="4"/>
  <c r="N96"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206" i="4"/>
  <c r="O207" i="4"/>
  <c r="O208" i="4"/>
  <c r="O209" i="4"/>
  <c r="O210" i="4"/>
  <c r="O211" i="4"/>
  <c r="O104"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240" i="4"/>
  <c r="O241" i="4"/>
  <c r="O242" i="4"/>
  <c r="O243" i="4"/>
  <c r="O244" i="4"/>
  <c r="O245" i="4"/>
  <c r="O246" i="4"/>
  <c r="O247" i="4"/>
  <c r="O69" i="4"/>
  <c r="O248" i="4"/>
  <c r="O249"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282" i="4"/>
  <c r="O283" i="4"/>
  <c r="O284" i="4"/>
  <c r="O285" i="4"/>
  <c r="O286" i="4"/>
  <c r="O287" i="4"/>
  <c r="O288" i="4"/>
  <c r="O289" i="4"/>
  <c r="O290" i="4"/>
  <c r="O291" i="4"/>
  <c r="O292" i="4"/>
  <c r="O293" i="4"/>
  <c r="O294" i="4"/>
  <c r="O295" i="4"/>
  <c r="O296" i="4"/>
  <c r="O297" i="4"/>
  <c r="O298" i="4"/>
  <c r="O299" i="4"/>
  <c r="O300" i="4"/>
  <c r="O301" i="4"/>
  <c r="O302" i="4"/>
  <c r="O303" i="4"/>
  <c r="O304" i="4"/>
  <c r="O305" i="4"/>
  <c r="O306" i="4"/>
  <c r="O307" i="4"/>
  <c r="O308" i="4"/>
  <c r="O309" i="4"/>
  <c r="O310" i="4"/>
  <c r="O311" i="4"/>
  <c r="O312" i="4"/>
  <c r="O6" i="4"/>
  <c r="O313" i="4"/>
  <c r="O314" i="4"/>
  <c r="O315" i="4"/>
  <c r="O316" i="4"/>
  <c r="O317" i="4"/>
  <c r="O318" i="4"/>
  <c r="O319" i="4"/>
  <c r="O320" i="4"/>
  <c r="O321" i="4"/>
  <c r="O322" i="4"/>
  <c r="O323" i="4"/>
  <c r="O324" i="4"/>
  <c r="O325" i="4"/>
  <c r="O326" i="4"/>
  <c r="O327" i="4"/>
  <c r="O328" i="4"/>
  <c r="O329"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362" i="4"/>
  <c r="O100" i="4"/>
  <c r="O363" i="4"/>
  <c r="O364" i="4"/>
  <c r="O365" i="4"/>
  <c r="O366" i="4"/>
  <c r="O367" i="4"/>
  <c r="O368" i="4"/>
  <c r="O369" i="4"/>
  <c r="O370" i="4"/>
  <c r="O371" i="4"/>
  <c r="O6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419" i="4"/>
  <c r="O420" i="4"/>
  <c r="O421" i="4"/>
  <c r="O422" i="4"/>
  <c r="O423" i="4"/>
  <c r="O424" i="4"/>
  <c r="O425" i="4"/>
  <c r="O426"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587" i="4"/>
  <c r="O588" i="4"/>
  <c r="O589" i="4"/>
  <c r="O590" i="4"/>
  <c r="O591" i="4"/>
  <c r="O592" i="4"/>
  <c r="O593" i="4"/>
  <c r="O594" i="4"/>
  <c r="O595" i="4"/>
  <c r="O596" i="4"/>
  <c r="O597" i="4"/>
  <c r="O598" i="4"/>
  <c r="O599" i="4"/>
  <c r="O600" i="4"/>
  <c r="O601" i="4"/>
  <c r="O602" i="4"/>
  <c r="O603" i="4"/>
  <c r="O604" i="4"/>
  <c r="O605" i="4"/>
  <c r="O606" i="4"/>
  <c r="O607" i="4"/>
  <c r="O80" i="4"/>
  <c r="O127" i="4"/>
  <c r="O85" i="4"/>
  <c r="O608" i="4"/>
  <c r="O609" i="4"/>
  <c r="O610" i="4"/>
  <c r="O611" i="4"/>
  <c r="O612" i="4"/>
  <c r="O613" i="4"/>
  <c r="O614" i="4"/>
  <c r="O615" i="4"/>
  <c r="O616" i="4"/>
  <c r="O119" i="4"/>
  <c r="O617" i="4"/>
  <c r="O618" i="4"/>
  <c r="O619" i="4"/>
  <c r="O620" i="4"/>
  <c r="O621" i="4"/>
  <c r="O622" i="4"/>
  <c r="O623" i="4"/>
  <c r="O624" i="4"/>
  <c r="O625" i="4"/>
  <c r="O626" i="4"/>
  <c r="O627" i="4"/>
  <c r="O628" i="4"/>
  <c r="O629" i="4"/>
  <c r="O630" i="4"/>
  <c r="O631" i="4"/>
  <c r="O632" i="4"/>
  <c r="O633" i="4"/>
  <c r="O634" i="4"/>
  <c r="O635" i="4"/>
  <c r="O636" i="4"/>
  <c r="O637" i="4"/>
  <c r="O638" i="4"/>
  <c r="O639" i="4"/>
  <c r="O640" i="4"/>
  <c r="O641" i="4"/>
  <c r="O642" i="4"/>
  <c r="O643" i="4"/>
  <c r="O644" i="4"/>
  <c r="O645" i="4"/>
  <c r="O646" i="4"/>
  <c r="O647" i="4"/>
  <c r="O648" i="4"/>
  <c r="O649" i="4"/>
  <c r="O650" i="4"/>
  <c r="O651" i="4"/>
  <c r="O90" i="4"/>
  <c r="O65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684" i="4"/>
  <c r="O685" i="4"/>
  <c r="O105" i="4"/>
  <c r="O686" i="4"/>
  <c r="O687"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O763" i="4"/>
  <c r="O764" i="4"/>
  <c r="O765" i="4"/>
  <c r="O766" i="4"/>
  <c r="O767" i="4"/>
  <c r="O768" i="4"/>
  <c r="O769" i="4"/>
  <c r="O770" i="4"/>
  <c r="O771" i="4"/>
  <c r="O772" i="4"/>
  <c r="O773" i="4"/>
  <c r="O774" i="4"/>
  <c r="O775" i="4"/>
  <c r="O776" i="4"/>
  <c r="O777" i="4"/>
  <c r="O778" i="4"/>
  <c r="O779" i="4"/>
  <c r="O780" i="4"/>
  <c r="O781" i="4"/>
  <c r="O782" i="4"/>
  <c r="O783" i="4"/>
  <c r="O784" i="4"/>
  <c r="O785" i="4"/>
  <c r="O786" i="4"/>
  <c r="O787" i="4"/>
  <c r="O788" i="4"/>
  <c r="O789" i="4"/>
  <c r="O790" i="4"/>
  <c r="O791" i="4"/>
  <c r="O792" i="4"/>
  <c r="O793" i="4"/>
  <c r="O794" i="4"/>
  <c r="O795" i="4"/>
  <c r="O796" i="4"/>
  <c r="O797" i="4"/>
  <c r="O798" i="4"/>
  <c r="O799" i="4"/>
  <c r="O800" i="4"/>
  <c r="O801" i="4"/>
  <c r="O802" i="4"/>
  <c r="O803" i="4"/>
  <c r="O804" i="4"/>
  <c r="O805" i="4"/>
  <c r="O806" i="4"/>
  <c r="O807" i="4"/>
  <c r="O808" i="4"/>
  <c r="O809" i="4"/>
  <c r="O810" i="4"/>
  <c r="O811" i="4"/>
  <c r="O812" i="4"/>
  <c r="O813" i="4"/>
  <c r="O107" i="4"/>
  <c r="O39" i="4"/>
  <c r="O814" i="4"/>
  <c r="O815" i="4"/>
  <c r="O816" i="4"/>
  <c r="O817" i="4"/>
  <c r="O818" i="4"/>
  <c r="O819" i="4"/>
  <c r="O820" i="4"/>
  <c r="O821" i="4"/>
  <c r="O822" i="4"/>
  <c r="O133" i="4"/>
  <c r="O823" i="4"/>
  <c r="O824" i="4"/>
  <c r="O825" i="4"/>
  <c r="O826" i="4"/>
  <c r="O827" i="4"/>
  <c r="O828" i="4"/>
  <c r="O829" i="4"/>
  <c r="O830" i="4"/>
  <c r="O831" i="4"/>
  <c r="O832" i="4"/>
  <c r="O833" i="4"/>
  <c r="O834" i="4"/>
  <c r="O835" i="4"/>
  <c r="O836" i="4"/>
  <c r="O837" i="4"/>
  <c r="O838" i="4"/>
  <c r="O839" i="4"/>
  <c r="O840" i="4"/>
  <c r="O841" i="4"/>
  <c r="O842" i="4"/>
  <c r="O843" i="4"/>
  <c r="O844" i="4"/>
  <c r="O845" i="4"/>
  <c r="O846" i="4"/>
  <c r="O847" i="4"/>
  <c r="O848" i="4"/>
  <c r="O849" i="4"/>
  <c r="O850" i="4"/>
  <c r="O851" i="4"/>
  <c r="O852" i="4"/>
  <c r="O853" i="4"/>
  <c r="O854" i="4"/>
  <c r="O855" i="4"/>
  <c r="O7" i="4"/>
  <c r="O856" i="4"/>
  <c r="O857" i="4"/>
  <c r="O858" i="4"/>
  <c r="O859" i="4"/>
  <c r="O860" i="4"/>
  <c r="O861" i="4"/>
  <c r="O862" i="4"/>
  <c r="O863" i="4"/>
  <c r="O864" i="4"/>
  <c r="O865" i="4"/>
  <c r="O866" i="4"/>
  <c r="O867" i="4"/>
  <c r="O868" i="4"/>
  <c r="O869" i="4"/>
  <c r="O870" i="4"/>
  <c r="O871" i="4"/>
  <c r="O872" i="4"/>
  <c r="O873" i="4"/>
  <c r="O874" i="4"/>
  <c r="O875" i="4"/>
  <c r="O876" i="4"/>
  <c r="O877" i="4"/>
  <c r="O878" i="4"/>
  <c r="O879" i="4"/>
  <c r="O880" i="4"/>
  <c r="O881" i="4"/>
  <c r="O882" i="4"/>
  <c r="O883" i="4"/>
  <c r="O884" i="4"/>
  <c r="O885" i="4"/>
  <c r="O886" i="4"/>
  <c r="O887" i="4"/>
  <c r="O888" i="4"/>
  <c r="O889" i="4"/>
  <c r="O890" i="4"/>
  <c r="O891" i="4"/>
  <c r="O892" i="4"/>
  <c r="O893" i="4"/>
  <c r="O894" i="4"/>
  <c r="O895" i="4"/>
  <c r="O896" i="4"/>
  <c r="O897" i="4"/>
  <c r="O898" i="4"/>
  <c r="O899" i="4"/>
  <c r="O900" i="4"/>
  <c r="O901" i="4"/>
  <c r="O902" i="4"/>
  <c r="O903" i="4"/>
  <c r="O904" i="4"/>
  <c r="O905" i="4"/>
  <c r="O906" i="4"/>
  <c r="O907" i="4"/>
  <c r="O908" i="4"/>
  <c r="O909" i="4"/>
  <c r="O910" i="4"/>
  <c r="O911" i="4"/>
  <c r="O912" i="4"/>
  <c r="O913" i="4"/>
  <c r="O914" i="4"/>
  <c r="O915" i="4"/>
  <c r="O916" i="4"/>
  <c r="O917" i="4"/>
  <c r="O918" i="4"/>
  <c r="O919" i="4"/>
  <c r="O920" i="4"/>
  <c r="O921" i="4"/>
  <c r="O922" i="4"/>
  <c r="O923" i="4"/>
  <c r="O924" i="4"/>
  <c r="O925" i="4"/>
  <c r="O926" i="4"/>
  <c r="O927" i="4"/>
  <c r="O928" i="4"/>
  <c r="O929" i="4"/>
  <c r="O930" i="4"/>
  <c r="O931" i="4"/>
  <c r="O932" i="4"/>
  <c r="O933" i="4"/>
  <c r="O934" i="4"/>
  <c r="O935" i="4"/>
  <c r="O936" i="4"/>
  <c r="O937" i="4"/>
  <c r="O938" i="4"/>
  <c r="O939" i="4"/>
  <c r="O940" i="4"/>
  <c r="O941" i="4"/>
  <c r="O942" i="4"/>
  <c r="O943" i="4"/>
  <c r="O944" i="4"/>
  <c r="O945" i="4"/>
  <c r="O946" i="4"/>
  <c r="O947" i="4"/>
  <c r="O948" i="4"/>
  <c r="O949" i="4"/>
  <c r="O950" i="4"/>
  <c r="O951" i="4"/>
  <c r="O108" i="4"/>
  <c r="O952" i="4"/>
  <c r="O953" i="4"/>
  <c r="O954" i="4"/>
  <c r="O955" i="4"/>
  <c r="O956" i="4"/>
  <c r="O957" i="4"/>
  <c r="O958" i="4"/>
  <c r="O959" i="4"/>
  <c r="O960" i="4"/>
  <c r="O961" i="4"/>
  <c r="O962" i="4"/>
  <c r="O963" i="4"/>
  <c r="O964" i="4"/>
  <c r="O965" i="4"/>
  <c r="O966" i="4"/>
  <c r="O967" i="4"/>
  <c r="O968" i="4"/>
  <c r="O969" i="4"/>
  <c r="O970" i="4"/>
  <c r="O971" i="4"/>
  <c r="O972" i="4"/>
  <c r="O973" i="4"/>
  <c r="O974" i="4"/>
  <c r="O975" i="4"/>
  <c r="O976" i="4"/>
  <c r="O977" i="4"/>
  <c r="O978" i="4"/>
  <c r="O979" i="4"/>
  <c r="O73" i="4"/>
  <c r="O980" i="4"/>
  <c r="O981" i="4"/>
  <c r="O982" i="4"/>
  <c r="O983" i="4"/>
  <c r="O984" i="4"/>
  <c r="O985" i="4"/>
  <c r="O60" i="4"/>
  <c r="O986" i="4"/>
  <c r="O987" i="4"/>
  <c r="O988" i="4"/>
  <c r="O989" i="4"/>
  <c r="O990" i="4"/>
  <c r="O991" i="4"/>
  <c r="O992" i="4"/>
  <c r="O993" i="4"/>
  <c r="O994" i="4"/>
  <c r="O995" i="4"/>
  <c r="O996" i="4"/>
  <c r="O997" i="4"/>
  <c r="O998" i="4"/>
  <c r="O999" i="4"/>
  <c r="O1000" i="4"/>
  <c r="O1001" i="4"/>
  <c r="O1002" i="4"/>
  <c r="O1003" i="4"/>
  <c r="O1004" i="4"/>
  <c r="O1005" i="4"/>
  <c r="O1006" i="4"/>
  <c r="O1007" i="4"/>
  <c r="O1008" i="4"/>
  <c r="O1009" i="4"/>
  <c r="O1010" i="4"/>
  <c r="O1011" i="4"/>
  <c r="O1012" i="4"/>
  <c r="O1013" i="4"/>
  <c r="O1014" i="4"/>
  <c r="O1015" i="4"/>
  <c r="O1016" i="4"/>
  <c r="O1017" i="4"/>
  <c r="O1018" i="4"/>
  <c r="O1019" i="4"/>
  <c r="O1020" i="4"/>
  <c r="O1021" i="4"/>
  <c r="O1022" i="4"/>
  <c r="O1023" i="4"/>
  <c r="O1024" i="4"/>
  <c r="O1025" i="4"/>
  <c r="O1026" i="4"/>
  <c r="O1027" i="4"/>
  <c r="O1028" i="4"/>
  <c r="O1029" i="4"/>
  <c r="O1030" i="4"/>
  <c r="O1031" i="4"/>
  <c r="O1032" i="4"/>
  <c r="O1033" i="4"/>
  <c r="O1034" i="4"/>
  <c r="O1035" i="4"/>
  <c r="O1036" i="4"/>
  <c r="O1037" i="4"/>
  <c r="O1038" i="4"/>
  <c r="O1039" i="4"/>
  <c r="O1040" i="4"/>
  <c r="O1041" i="4"/>
  <c r="O1042" i="4"/>
  <c r="O1043" i="4"/>
  <c r="O1044" i="4"/>
  <c r="O1045" i="4"/>
  <c r="O1046" i="4"/>
  <c r="O1047" i="4"/>
  <c r="O1048" i="4"/>
  <c r="O1049" i="4"/>
  <c r="O1050" i="4"/>
  <c r="O8" i="4"/>
  <c r="O1051" i="4"/>
  <c r="O1052" i="4"/>
  <c r="O1053" i="4"/>
  <c r="O1054" i="4"/>
  <c r="O1055" i="4"/>
  <c r="O1056" i="4"/>
  <c r="O1057" i="4"/>
  <c r="O16" i="4"/>
  <c r="O1058" i="4"/>
  <c r="O1059" i="4"/>
  <c r="O1060" i="4"/>
  <c r="O1061" i="4"/>
  <c r="O1062" i="4"/>
  <c r="O1063" i="4"/>
  <c r="O1064" i="4"/>
  <c r="O1065" i="4"/>
  <c r="O1066" i="4"/>
  <c r="O1067" i="4"/>
  <c r="O1068" i="4"/>
  <c r="O1069" i="4"/>
  <c r="O1070" i="4"/>
  <c r="O121" i="4"/>
  <c r="O1071" i="4"/>
  <c r="O1072" i="4"/>
  <c r="O1073" i="4"/>
  <c r="O1074" i="4"/>
  <c r="O1075" i="4"/>
  <c r="O1076" i="4"/>
  <c r="O1077" i="4"/>
  <c r="O1078" i="4"/>
  <c r="O1079" i="4"/>
  <c r="O1080" i="4"/>
  <c r="O1081" i="4"/>
  <c r="O97" i="4"/>
  <c r="O1082" i="4"/>
  <c r="O1083" i="4"/>
  <c r="O1084" i="4"/>
  <c r="O1085" i="4"/>
  <c r="O1086" i="4"/>
  <c r="O1087" i="4"/>
  <c r="O1088" i="4"/>
  <c r="O1089" i="4"/>
  <c r="O1090" i="4"/>
  <c r="O1091" i="4"/>
  <c r="O1092" i="4"/>
  <c r="O1093" i="4"/>
  <c r="O1094" i="4"/>
  <c r="O1095" i="4"/>
  <c r="O1096" i="4"/>
  <c r="O1097" i="4"/>
  <c r="O1098" i="4"/>
  <c r="O1099" i="4"/>
  <c r="O1100" i="4"/>
  <c r="O1101" i="4"/>
  <c r="O1102" i="4"/>
  <c r="O1103" i="4"/>
  <c r="O111" i="4"/>
  <c r="O1104" i="4"/>
  <c r="O50" i="4"/>
  <c r="O1105" i="4"/>
  <c r="O1106" i="4"/>
  <c r="O1107" i="4"/>
  <c r="O1108" i="4"/>
  <c r="O1109" i="4"/>
  <c r="O1110" i="4"/>
  <c r="O1111" i="4"/>
  <c r="O1112" i="4"/>
  <c r="O1113" i="4"/>
  <c r="O1114" i="4"/>
  <c r="O1115" i="4"/>
  <c r="O1116" i="4"/>
  <c r="O1117" i="4"/>
  <c r="O1118" i="4"/>
  <c r="O1119" i="4"/>
  <c r="O1120" i="4"/>
  <c r="O1121" i="4"/>
  <c r="O1122" i="4"/>
  <c r="O1123" i="4"/>
  <c r="O1124" i="4"/>
  <c r="O1125" i="4"/>
  <c r="O1126" i="4"/>
  <c r="O1127" i="4"/>
  <c r="O1128" i="4"/>
  <c r="O1129" i="4"/>
  <c r="O1130" i="4"/>
  <c r="O1131" i="4"/>
  <c r="O1132" i="4"/>
  <c r="O1133" i="4"/>
  <c r="O1134" i="4"/>
  <c r="O1135" i="4"/>
  <c r="O1136" i="4"/>
  <c r="O1137" i="4"/>
  <c r="O1138" i="4"/>
  <c r="O1139" i="4"/>
  <c r="O1140" i="4"/>
  <c r="O1141" i="4"/>
  <c r="O1142" i="4"/>
  <c r="O1143" i="4"/>
  <c r="O1144" i="4"/>
  <c r="O1145" i="4"/>
  <c r="O1146" i="4"/>
  <c r="O1147" i="4"/>
  <c r="O1148" i="4"/>
  <c r="O1149" i="4"/>
  <c r="O1150" i="4"/>
  <c r="O1151" i="4"/>
  <c r="O1152" i="4"/>
  <c r="O1153" i="4"/>
  <c r="O1154" i="4"/>
  <c r="O1155" i="4"/>
  <c r="O1156" i="4"/>
  <c r="O1157" i="4"/>
  <c r="O1158" i="4"/>
  <c r="O1159" i="4"/>
  <c r="O1160" i="4"/>
  <c r="O1161" i="4"/>
  <c r="O1162" i="4"/>
  <c r="O1163" i="4"/>
  <c r="O1164" i="4"/>
  <c r="O1165" i="4"/>
  <c r="O74" i="4"/>
  <c r="O1166" i="4"/>
  <c r="O1167" i="4"/>
  <c r="O1168" i="4"/>
  <c r="O1169" i="4"/>
  <c r="O117" i="4"/>
  <c r="O1170" i="4"/>
  <c r="O1171" i="4"/>
  <c r="O17" i="4"/>
  <c r="O1172" i="4"/>
  <c r="O134" i="4"/>
  <c r="O70" i="4"/>
  <c r="O1173" i="4"/>
  <c r="O1174" i="4"/>
  <c r="O1175" i="4"/>
  <c r="O1176" i="4"/>
  <c r="O1177" i="4"/>
  <c r="O1178" i="4"/>
  <c r="O1179" i="4"/>
  <c r="O1180" i="4"/>
  <c r="O1181" i="4"/>
  <c r="O1182" i="4"/>
  <c r="O1183" i="4"/>
  <c r="O1184" i="4"/>
  <c r="O1185" i="4"/>
  <c r="O1186" i="4"/>
  <c r="O1187" i="4"/>
  <c r="O81" i="4"/>
  <c r="O1188" i="4"/>
  <c r="O125" i="4"/>
  <c r="O66" i="4"/>
  <c r="O101" i="4"/>
  <c r="O113" i="4"/>
  <c r="O109" i="4"/>
  <c r="O1189" i="4"/>
  <c r="O1190" i="4"/>
  <c r="O1191" i="4"/>
  <c r="O1192" i="4"/>
  <c r="O1193" i="4"/>
  <c r="O1194" i="4"/>
  <c r="O1195" i="4"/>
  <c r="O1196" i="4"/>
  <c r="O1197" i="4"/>
  <c r="O1198" i="4"/>
  <c r="O1199" i="4"/>
  <c r="O1200" i="4"/>
  <c r="O1201" i="4"/>
  <c r="O1202" i="4"/>
  <c r="O1203" i="4"/>
  <c r="O1204" i="4"/>
  <c r="O1205" i="4"/>
  <c r="O1206" i="4"/>
  <c r="O1207" i="4"/>
  <c r="O1208" i="4"/>
  <c r="O1209" i="4"/>
  <c r="O1210" i="4"/>
  <c r="O1211" i="4"/>
  <c r="O9" i="4"/>
  <c r="O1212" i="4"/>
  <c r="O1213" i="4"/>
  <c r="O1214" i="4"/>
  <c r="O1215" i="4"/>
  <c r="O1216" i="4"/>
  <c r="O1217" i="4"/>
  <c r="O1218" i="4"/>
  <c r="O1219" i="4"/>
  <c r="O1220" i="4"/>
  <c r="O1221" i="4"/>
  <c r="O1222" i="4"/>
  <c r="O1223" i="4"/>
  <c r="O118" i="4"/>
  <c r="O1224" i="4"/>
  <c r="O1225" i="4"/>
  <c r="O1226" i="4"/>
  <c r="O123" i="4"/>
  <c r="O1227" i="4"/>
  <c r="O1228" i="4"/>
  <c r="O1229" i="4"/>
  <c r="O1230" i="4"/>
  <c r="O1231" i="4"/>
  <c r="O1232" i="4"/>
  <c r="O10" i="4"/>
  <c r="O1233" i="4"/>
  <c r="O1234" i="4"/>
  <c r="O1235" i="4"/>
  <c r="O1236" i="4"/>
  <c r="O1237" i="4"/>
  <c r="O1238" i="4"/>
  <c r="O1239" i="4"/>
  <c r="O1240" i="4"/>
  <c r="O1241" i="4"/>
  <c r="O1242" i="4"/>
  <c r="O1243" i="4"/>
  <c r="O1244" i="4"/>
  <c r="O1245" i="4"/>
  <c r="O1246" i="4"/>
  <c r="O1247" i="4"/>
  <c r="O1248" i="4"/>
  <c r="O1249" i="4"/>
  <c r="O1250" i="4"/>
  <c r="O1251" i="4"/>
  <c r="O1252" i="4"/>
  <c r="O1253" i="4"/>
  <c r="O1254" i="4"/>
  <c r="O1255" i="4"/>
  <c r="O1256" i="4"/>
  <c r="O1257" i="4"/>
  <c r="O1258" i="4"/>
  <c r="O1259" i="4"/>
  <c r="O1260" i="4"/>
  <c r="O1261" i="4"/>
  <c r="O1262" i="4"/>
  <c r="O1263" i="4"/>
  <c r="O1264" i="4"/>
  <c r="O1265" i="4"/>
  <c r="O1266" i="4"/>
  <c r="O1267" i="4"/>
  <c r="O1268" i="4"/>
  <c r="O1269" i="4"/>
  <c r="O1270" i="4"/>
  <c r="O1271" i="4"/>
  <c r="O1272" i="4"/>
  <c r="O1273" i="4"/>
  <c r="O1274" i="4"/>
  <c r="O1275" i="4"/>
  <c r="O1276" i="4"/>
  <c r="O1277" i="4"/>
  <c r="O1278" i="4"/>
  <c r="O1279" i="4"/>
  <c r="O1280" i="4"/>
  <c r="O1281" i="4"/>
  <c r="O131" i="4"/>
  <c r="O1282" i="4"/>
  <c r="O1283" i="4"/>
  <c r="O1284" i="4"/>
  <c r="O1285" i="4"/>
  <c r="O11" i="4"/>
  <c r="O1286" i="4"/>
  <c r="O1287" i="4"/>
  <c r="O67" i="4"/>
  <c r="O1288" i="4"/>
  <c r="O53" i="4"/>
  <c r="O15" i="4"/>
  <c r="O1289" i="4"/>
  <c r="O1290" i="4"/>
  <c r="O132" i="4"/>
  <c r="O129" i="4"/>
  <c r="O1291" i="4"/>
  <c r="O1292" i="4"/>
  <c r="O91" i="4"/>
  <c r="O1293" i="4"/>
  <c r="O51" i="4"/>
  <c r="O12" i="4"/>
  <c r="O1294" i="4"/>
  <c r="O1295" i="4"/>
  <c r="O78" i="4"/>
  <c r="O18" i="4"/>
  <c r="O19" i="4"/>
  <c r="O42" i="4"/>
  <c r="O92" i="4"/>
  <c r="O1296" i="4"/>
  <c r="O1297" i="4"/>
  <c r="O1298" i="4"/>
  <c r="O41" i="4"/>
  <c r="O62" i="4"/>
  <c r="O1299" i="4"/>
  <c r="O1300" i="4"/>
  <c r="O1301" i="4"/>
  <c r="O71" i="4"/>
  <c r="O120" i="4"/>
  <c r="O124" i="4"/>
  <c r="O126" i="4"/>
  <c r="O128" i="4"/>
  <c r="O122" i="4"/>
  <c r="O1302" i="4"/>
  <c r="O1303" i="4"/>
  <c r="O1304" i="4"/>
  <c r="O93" i="4"/>
  <c r="O29" i="4"/>
  <c r="O1305" i="4"/>
  <c r="O1306" i="4"/>
  <c r="O33" i="4"/>
  <c r="O23" i="4"/>
  <c r="O1307" i="4"/>
  <c r="O35" i="4"/>
  <c r="O115" i="4"/>
  <c r="O1308" i="4"/>
  <c r="O1309" i="4"/>
  <c r="O1310" i="4"/>
  <c r="O88" i="4"/>
  <c r="O1311" i="4"/>
  <c r="O130" i="4"/>
  <c r="O63" i="4"/>
  <c r="O72" i="4"/>
  <c r="O1312" i="4"/>
  <c r="O1313" i="4"/>
  <c r="O57" i="4"/>
  <c r="O45" i="4"/>
  <c r="O55" i="4"/>
  <c r="O37" i="4"/>
  <c r="O1314" i="4"/>
  <c r="O26" i="4"/>
  <c r="O64" i="4"/>
  <c r="O24" i="4"/>
  <c r="O86" i="4"/>
  <c r="O83" i="4"/>
  <c r="O82" i="4"/>
  <c r="O1315" i="4"/>
  <c r="O1316" i="4"/>
  <c r="O25" i="4"/>
  <c r="O98" i="4"/>
  <c r="O84" i="4"/>
  <c r="O43" i="4"/>
  <c r="O1317" i="4"/>
  <c r="O89" i="4"/>
  <c r="O95" i="4"/>
  <c r="O27" i="4"/>
  <c r="O30" i="4"/>
  <c r="O1318" i="4"/>
  <c r="O87" i="4"/>
  <c r="O36" i="4"/>
  <c r="O38" i="4"/>
  <c r="O68" i="4"/>
  <c r="O65" i="4"/>
  <c r="O1319" i="4"/>
  <c r="O1320" i="4"/>
  <c r="O135" i="4"/>
  <c r="O13" i="4"/>
  <c r="O58" i="4"/>
  <c r="O75" i="4"/>
  <c r="O1321" i="4"/>
  <c r="O1322" i="4"/>
  <c r="O1323" i="4"/>
  <c r="O1324" i="4"/>
  <c r="O94" i="4"/>
  <c r="O1325" i="4"/>
  <c r="O46" i="4"/>
  <c r="O47" i="4"/>
  <c r="O1326" i="4"/>
  <c r="O1327" i="4"/>
  <c r="O48" i="4"/>
  <c r="O1328" i="4"/>
  <c r="O1329" i="4"/>
  <c r="O1330" i="4"/>
  <c r="O31" i="4"/>
  <c r="O1331" i="4"/>
  <c r="O1332" i="4"/>
  <c r="O116" i="4"/>
  <c r="O76" i="4"/>
  <c r="O34" i="4"/>
  <c r="O1333" i="4"/>
  <c r="O114" i="4"/>
  <c r="O21" i="4"/>
  <c r="O79" i="4"/>
  <c r="O102" i="4"/>
  <c r="O28" i="4"/>
  <c r="O1334" i="4"/>
  <c r="O59" i="4"/>
  <c r="O106" i="4"/>
  <c r="O14" i="4"/>
  <c r="O56" i="4"/>
  <c r="O103" i="4"/>
  <c r="O49" i="4"/>
  <c r="O99" i="4"/>
  <c r="O112" i="4"/>
  <c r="O20" i="4"/>
  <c r="O52" i="4"/>
  <c r="O1335" i="4"/>
  <c r="O110" i="4"/>
  <c r="O32" i="4"/>
  <c r="O22" i="4"/>
  <c r="O54" i="4"/>
  <c r="O77" i="4"/>
  <c r="O1336" i="4"/>
  <c r="O40" i="4"/>
  <c r="O1337" i="4"/>
  <c r="O44" i="4"/>
  <c r="O1338" i="4"/>
  <c r="O96"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210" i="4"/>
  <c r="P211" i="4"/>
  <c r="P104"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240" i="4"/>
  <c r="P241" i="4"/>
  <c r="P242" i="4"/>
  <c r="P243" i="4"/>
  <c r="P244" i="4"/>
  <c r="P245" i="4"/>
  <c r="P246" i="4"/>
  <c r="P247" i="4"/>
  <c r="P69" i="4"/>
  <c r="P248" i="4"/>
  <c r="P249"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277" i="4"/>
  <c r="P278" i="4"/>
  <c r="P279" i="4"/>
  <c r="P280" i="4"/>
  <c r="P281" i="4"/>
  <c r="P282" i="4"/>
  <c r="P283" i="4"/>
  <c r="P284" i="4"/>
  <c r="P285" i="4"/>
  <c r="P286" i="4"/>
  <c r="P287" i="4"/>
  <c r="P288" i="4"/>
  <c r="P289" i="4"/>
  <c r="P290" i="4"/>
  <c r="P291" i="4"/>
  <c r="P292" i="4"/>
  <c r="P293" i="4"/>
  <c r="P294" i="4"/>
  <c r="P295" i="4"/>
  <c r="P296" i="4"/>
  <c r="P297" i="4"/>
  <c r="P298" i="4"/>
  <c r="P299" i="4"/>
  <c r="P300" i="4"/>
  <c r="P301" i="4"/>
  <c r="P302" i="4"/>
  <c r="P303" i="4"/>
  <c r="P304" i="4"/>
  <c r="P305" i="4"/>
  <c r="P306" i="4"/>
  <c r="P307" i="4"/>
  <c r="P308" i="4"/>
  <c r="P309" i="4"/>
  <c r="P310" i="4"/>
  <c r="P311" i="4"/>
  <c r="P312" i="4"/>
  <c r="P6" i="4"/>
  <c r="P313" i="4"/>
  <c r="P314" i="4"/>
  <c r="P315" i="4"/>
  <c r="P316" i="4"/>
  <c r="P317" i="4"/>
  <c r="P318" i="4"/>
  <c r="P319" i="4"/>
  <c r="P320" i="4"/>
  <c r="P321" i="4"/>
  <c r="P322" i="4"/>
  <c r="P323" i="4"/>
  <c r="P324" i="4"/>
  <c r="P325" i="4"/>
  <c r="P326" i="4"/>
  <c r="P327" i="4"/>
  <c r="P328" i="4"/>
  <c r="P329" i="4"/>
  <c r="P330" i="4"/>
  <c r="P331" i="4"/>
  <c r="P332" i="4"/>
  <c r="P333" i="4"/>
  <c r="P334"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361" i="4"/>
  <c r="P362" i="4"/>
  <c r="P100" i="4"/>
  <c r="P363" i="4"/>
  <c r="P364" i="4"/>
  <c r="P365" i="4"/>
  <c r="P366" i="4"/>
  <c r="P367" i="4"/>
  <c r="P368" i="4"/>
  <c r="P369" i="4"/>
  <c r="P370" i="4"/>
  <c r="P371" i="4"/>
  <c r="P6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P557" i="4"/>
  <c r="P558" i="4"/>
  <c r="P559" i="4"/>
  <c r="P560" i="4"/>
  <c r="P561" i="4"/>
  <c r="P562" i="4"/>
  <c r="P563" i="4"/>
  <c r="P564" i="4"/>
  <c r="P565" i="4"/>
  <c r="P566" i="4"/>
  <c r="P567" i="4"/>
  <c r="P568" i="4"/>
  <c r="P569" i="4"/>
  <c r="P570" i="4"/>
  <c r="P571" i="4"/>
  <c r="P572" i="4"/>
  <c r="P573" i="4"/>
  <c r="P574" i="4"/>
  <c r="P575" i="4"/>
  <c r="P576" i="4"/>
  <c r="P577" i="4"/>
  <c r="P578" i="4"/>
  <c r="P579" i="4"/>
  <c r="P580" i="4"/>
  <c r="P581" i="4"/>
  <c r="P582" i="4"/>
  <c r="P583" i="4"/>
  <c r="P584" i="4"/>
  <c r="P585" i="4"/>
  <c r="P586" i="4"/>
  <c r="P587" i="4"/>
  <c r="P588" i="4"/>
  <c r="P589" i="4"/>
  <c r="P590" i="4"/>
  <c r="P591" i="4"/>
  <c r="P592" i="4"/>
  <c r="P593" i="4"/>
  <c r="P594" i="4"/>
  <c r="P595" i="4"/>
  <c r="P596" i="4"/>
  <c r="P597" i="4"/>
  <c r="P598" i="4"/>
  <c r="P599" i="4"/>
  <c r="P600" i="4"/>
  <c r="P601" i="4"/>
  <c r="P602" i="4"/>
  <c r="P603" i="4"/>
  <c r="P604" i="4"/>
  <c r="P605" i="4"/>
  <c r="P606" i="4"/>
  <c r="P607" i="4"/>
  <c r="P80" i="4"/>
  <c r="P127" i="4"/>
  <c r="P85" i="4"/>
  <c r="P608" i="4"/>
  <c r="P609" i="4"/>
  <c r="P610" i="4"/>
  <c r="P611" i="4"/>
  <c r="P612" i="4"/>
  <c r="P613" i="4"/>
  <c r="P614" i="4"/>
  <c r="P615" i="4"/>
  <c r="P616" i="4"/>
  <c r="P119" i="4"/>
  <c r="P617" i="4"/>
  <c r="P618" i="4"/>
  <c r="P619" i="4"/>
  <c r="P620" i="4"/>
  <c r="P621" i="4"/>
  <c r="P622" i="4"/>
  <c r="P623" i="4"/>
  <c r="P624" i="4"/>
  <c r="P625" i="4"/>
  <c r="P626" i="4"/>
  <c r="P627" i="4"/>
  <c r="P628" i="4"/>
  <c r="P629" i="4"/>
  <c r="P630" i="4"/>
  <c r="P631" i="4"/>
  <c r="P632" i="4"/>
  <c r="P633" i="4"/>
  <c r="P634" i="4"/>
  <c r="P635" i="4"/>
  <c r="P636" i="4"/>
  <c r="P637" i="4"/>
  <c r="P638" i="4"/>
  <c r="P639" i="4"/>
  <c r="P640" i="4"/>
  <c r="P641" i="4"/>
  <c r="P642" i="4"/>
  <c r="P643" i="4"/>
  <c r="P644" i="4"/>
  <c r="P645" i="4"/>
  <c r="P646" i="4"/>
  <c r="P647" i="4"/>
  <c r="P648" i="4"/>
  <c r="P649" i="4"/>
  <c r="P650" i="4"/>
  <c r="P651" i="4"/>
  <c r="P90" i="4"/>
  <c r="P652" i="4"/>
  <c r="P653" i="4"/>
  <c r="P654" i="4"/>
  <c r="P655" i="4"/>
  <c r="P656" i="4"/>
  <c r="P657" i="4"/>
  <c r="P658" i="4"/>
  <c r="P659" i="4"/>
  <c r="P660" i="4"/>
  <c r="P661" i="4"/>
  <c r="P662" i="4"/>
  <c r="P663" i="4"/>
  <c r="P664" i="4"/>
  <c r="P665" i="4"/>
  <c r="P666" i="4"/>
  <c r="P667" i="4"/>
  <c r="P668" i="4"/>
  <c r="P669" i="4"/>
  <c r="P670" i="4"/>
  <c r="P671" i="4"/>
  <c r="P672" i="4"/>
  <c r="P673" i="4"/>
  <c r="P674" i="4"/>
  <c r="P675" i="4"/>
  <c r="P676" i="4"/>
  <c r="P677" i="4"/>
  <c r="P678" i="4"/>
  <c r="P679" i="4"/>
  <c r="P680" i="4"/>
  <c r="P681" i="4"/>
  <c r="P682" i="4"/>
  <c r="P683" i="4"/>
  <c r="P684" i="4"/>
  <c r="P685" i="4"/>
  <c r="P105" i="4"/>
  <c r="P686" i="4"/>
  <c r="P687" i="4"/>
  <c r="P688" i="4"/>
  <c r="P689" i="4"/>
  <c r="P690" i="4"/>
  <c r="P691" i="4"/>
  <c r="P692" i="4"/>
  <c r="P693" i="4"/>
  <c r="P694" i="4"/>
  <c r="P695" i="4"/>
  <c r="P696" i="4"/>
  <c r="P697" i="4"/>
  <c r="P698" i="4"/>
  <c r="P699" i="4"/>
  <c r="P700" i="4"/>
  <c r="P701" i="4"/>
  <c r="P702" i="4"/>
  <c r="P703" i="4"/>
  <c r="P704" i="4"/>
  <c r="P705" i="4"/>
  <c r="P706" i="4"/>
  <c r="P707" i="4"/>
  <c r="P708" i="4"/>
  <c r="P709" i="4"/>
  <c r="P710" i="4"/>
  <c r="P711" i="4"/>
  <c r="P712" i="4"/>
  <c r="P713" i="4"/>
  <c r="P714" i="4"/>
  <c r="P715" i="4"/>
  <c r="P716" i="4"/>
  <c r="P717" i="4"/>
  <c r="P718" i="4"/>
  <c r="P719" i="4"/>
  <c r="P720" i="4"/>
  <c r="P721" i="4"/>
  <c r="P722" i="4"/>
  <c r="P723" i="4"/>
  <c r="P724" i="4"/>
  <c r="P725" i="4"/>
  <c r="P726" i="4"/>
  <c r="P727" i="4"/>
  <c r="P728" i="4"/>
  <c r="P729" i="4"/>
  <c r="P730" i="4"/>
  <c r="P731" i="4"/>
  <c r="P732" i="4"/>
  <c r="P733" i="4"/>
  <c r="P734" i="4"/>
  <c r="P735" i="4"/>
  <c r="P736" i="4"/>
  <c r="P737" i="4"/>
  <c r="P738" i="4"/>
  <c r="P739" i="4"/>
  <c r="P740" i="4"/>
  <c r="P741" i="4"/>
  <c r="P742" i="4"/>
  <c r="P743" i="4"/>
  <c r="P744" i="4"/>
  <c r="P745" i="4"/>
  <c r="P746" i="4"/>
  <c r="P747" i="4"/>
  <c r="P748" i="4"/>
  <c r="P749" i="4"/>
  <c r="P750" i="4"/>
  <c r="P751" i="4"/>
  <c r="P752" i="4"/>
  <c r="P753" i="4"/>
  <c r="P754" i="4"/>
  <c r="P755" i="4"/>
  <c r="P756" i="4"/>
  <c r="P757" i="4"/>
  <c r="P758" i="4"/>
  <c r="P759" i="4"/>
  <c r="P760" i="4"/>
  <c r="P761" i="4"/>
  <c r="P762" i="4"/>
  <c r="P763" i="4"/>
  <c r="P764" i="4"/>
  <c r="P765" i="4"/>
  <c r="P766" i="4"/>
  <c r="P767" i="4"/>
  <c r="P768" i="4"/>
  <c r="P769" i="4"/>
  <c r="P770" i="4"/>
  <c r="P771" i="4"/>
  <c r="P772" i="4"/>
  <c r="P773" i="4"/>
  <c r="P774" i="4"/>
  <c r="P775" i="4"/>
  <c r="P776" i="4"/>
  <c r="P777" i="4"/>
  <c r="P778" i="4"/>
  <c r="P779" i="4"/>
  <c r="P780" i="4"/>
  <c r="P781" i="4"/>
  <c r="P782" i="4"/>
  <c r="P783" i="4"/>
  <c r="P784" i="4"/>
  <c r="P785" i="4"/>
  <c r="P786" i="4"/>
  <c r="P787" i="4"/>
  <c r="P788" i="4"/>
  <c r="P789" i="4"/>
  <c r="P790" i="4"/>
  <c r="P791" i="4"/>
  <c r="P792" i="4"/>
  <c r="P793" i="4"/>
  <c r="P794" i="4"/>
  <c r="P795" i="4"/>
  <c r="P796" i="4"/>
  <c r="P797" i="4"/>
  <c r="P798" i="4"/>
  <c r="P799" i="4"/>
  <c r="P800" i="4"/>
  <c r="P801" i="4"/>
  <c r="P802" i="4"/>
  <c r="P803" i="4"/>
  <c r="P804" i="4"/>
  <c r="P805" i="4"/>
  <c r="P806" i="4"/>
  <c r="P807" i="4"/>
  <c r="P808" i="4"/>
  <c r="P809" i="4"/>
  <c r="P810" i="4"/>
  <c r="P811" i="4"/>
  <c r="P812" i="4"/>
  <c r="P813" i="4"/>
  <c r="P107" i="4"/>
  <c r="P39" i="4"/>
  <c r="P814" i="4"/>
  <c r="P815" i="4"/>
  <c r="P816" i="4"/>
  <c r="P817" i="4"/>
  <c r="P818" i="4"/>
  <c r="P819" i="4"/>
  <c r="P820" i="4"/>
  <c r="P821" i="4"/>
  <c r="P822" i="4"/>
  <c r="P133" i="4"/>
  <c r="P823" i="4"/>
  <c r="P824" i="4"/>
  <c r="P825" i="4"/>
  <c r="P826" i="4"/>
  <c r="P827" i="4"/>
  <c r="P828" i="4"/>
  <c r="P829" i="4"/>
  <c r="P830" i="4"/>
  <c r="P831" i="4"/>
  <c r="P832" i="4"/>
  <c r="P833" i="4"/>
  <c r="P834" i="4"/>
  <c r="P835" i="4"/>
  <c r="P836" i="4"/>
  <c r="P837" i="4"/>
  <c r="P838" i="4"/>
  <c r="P839" i="4"/>
  <c r="P840" i="4"/>
  <c r="P841" i="4"/>
  <c r="P842" i="4"/>
  <c r="P843" i="4"/>
  <c r="P844" i="4"/>
  <c r="P845" i="4"/>
  <c r="P846" i="4"/>
  <c r="P847" i="4"/>
  <c r="P848" i="4"/>
  <c r="P849" i="4"/>
  <c r="P850" i="4"/>
  <c r="P851" i="4"/>
  <c r="P852" i="4"/>
  <c r="P853" i="4"/>
  <c r="P854" i="4"/>
  <c r="P855" i="4"/>
  <c r="P7" i="4"/>
  <c r="P856" i="4"/>
  <c r="P857" i="4"/>
  <c r="P858" i="4"/>
  <c r="P859" i="4"/>
  <c r="P860" i="4"/>
  <c r="P861" i="4"/>
  <c r="P862" i="4"/>
  <c r="P863" i="4"/>
  <c r="P864" i="4"/>
  <c r="P865" i="4"/>
  <c r="P866" i="4"/>
  <c r="P867" i="4"/>
  <c r="P868" i="4"/>
  <c r="P869" i="4"/>
  <c r="P870" i="4"/>
  <c r="P871" i="4"/>
  <c r="P872" i="4"/>
  <c r="P873" i="4"/>
  <c r="P874" i="4"/>
  <c r="P875" i="4"/>
  <c r="P876" i="4"/>
  <c r="P877" i="4"/>
  <c r="P878" i="4"/>
  <c r="P879" i="4"/>
  <c r="P880" i="4"/>
  <c r="P881" i="4"/>
  <c r="P882" i="4"/>
  <c r="P883" i="4"/>
  <c r="P884" i="4"/>
  <c r="P885" i="4"/>
  <c r="P886" i="4"/>
  <c r="P887" i="4"/>
  <c r="P888" i="4"/>
  <c r="P889" i="4"/>
  <c r="P890" i="4"/>
  <c r="P891" i="4"/>
  <c r="P892" i="4"/>
  <c r="P893" i="4"/>
  <c r="P894" i="4"/>
  <c r="P895" i="4"/>
  <c r="P896" i="4"/>
  <c r="P897" i="4"/>
  <c r="P898" i="4"/>
  <c r="P899" i="4"/>
  <c r="P900" i="4"/>
  <c r="P901" i="4"/>
  <c r="P902" i="4"/>
  <c r="P903" i="4"/>
  <c r="P904" i="4"/>
  <c r="P905" i="4"/>
  <c r="P906" i="4"/>
  <c r="P907" i="4"/>
  <c r="P908" i="4"/>
  <c r="P909" i="4"/>
  <c r="P910" i="4"/>
  <c r="P911" i="4"/>
  <c r="P912" i="4"/>
  <c r="P913" i="4"/>
  <c r="P914" i="4"/>
  <c r="P915" i="4"/>
  <c r="P916" i="4"/>
  <c r="P917" i="4"/>
  <c r="P918" i="4"/>
  <c r="P919" i="4"/>
  <c r="P920" i="4"/>
  <c r="P921" i="4"/>
  <c r="P922" i="4"/>
  <c r="P923" i="4"/>
  <c r="P924" i="4"/>
  <c r="P925" i="4"/>
  <c r="P926" i="4"/>
  <c r="P927" i="4"/>
  <c r="P928" i="4"/>
  <c r="P929" i="4"/>
  <c r="P930" i="4"/>
  <c r="P931" i="4"/>
  <c r="P932" i="4"/>
  <c r="P933" i="4"/>
  <c r="P934" i="4"/>
  <c r="P935" i="4"/>
  <c r="P936" i="4"/>
  <c r="P937" i="4"/>
  <c r="P938" i="4"/>
  <c r="P939" i="4"/>
  <c r="P940" i="4"/>
  <c r="P941" i="4"/>
  <c r="P942" i="4"/>
  <c r="P943" i="4"/>
  <c r="P944" i="4"/>
  <c r="P945" i="4"/>
  <c r="P946" i="4"/>
  <c r="P947" i="4"/>
  <c r="P948" i="4"/>
  <c r="P949" i="4"/>
  <c r="P950" i="4"/>
  <c r="P951" i="4"/>
  <c r="P108" i="4"/>
  <c r="P952" i="4"/>
  <c r="P953" i="4"/>
  <c r="P954" i="4"/>
  <c r="P955" i="4"/>
  <c r="P956" i="4"/>
  <c r="P957" i="4"/>
  <c r="P958" i="4"/>
  <c r="P959" i="4"/>
  <c r="P960" i="4"/>
  <c r="P961" i="4"/>
  <c r="P962" i="4"/>
  <c r="P963" i="4"/>
  <c r="P964" i="4"/>
  <c r="P965" i="4"/>
  <c r="P966" i="4"/>
  <c r="P967" i="4"/>
  <c r="P968" i="4"/>
  <c r="P969" i="4"/>
  <c r="P970" i="4"/>
  <c r="P971" i="4"/>
  <c r="P972" i="4"/>
  <c r="P973" i="4"/>
  <c r="P974" i="4"/>
  <c r="P975" i="4"/>
  <c r="P976" i="4"/>
  <c r="P977" i="4"/>
  <c r="P978" i="4"/>
  <c r="P979" i="4"/>
  <c r="P73" i="4"/>
  <c r="P980" i="4"/>
  <c r="P981" i="4"/>
  <c r="P982" i="4"/>
  <c r="P983" i="4"/>
  <c r="P984" i="4"/>
  <c r="P985" i="4"/>
  <c r="P60" i="4"/>
  <c r="P986" i="4"/>
  <c r="P987" i="4"/>
  <c r="P988" i="4"/>
  <c r="P989" i="4"/>
  <c r="P990" i="4"/>
  <c r="P991" i="4"/>
  <c r="P992" i="4"/>
  <c r="P993" i="4"/>
  <c r="P994" i="4"/>
  <c r="P995" i="4"/>
  <c r="P996" i="4"/>
  <c r="P997" i="4"/>
  <c r="P998" i="4"/>
  <c r="P999" i="4"/>
  <c r="P1000" i="4"/>
  <c r="P1001" i="4"/>
  <c r="P1002" i="4"/>
  <c r="P1003" i="4"/>
  <c r="P1004" i="4"/>
  <c r="P1005" i="4"/>
  <c r="P1006" i="4"/>
  <c r="P1007" i="4"/>
  <c r="P1008" i="4"/>
  <c r="P1009" i="4"/>
  <c r="P1010" i="4"/>
  <c r="P1011" i="4"/>
  <c r="P1012" i="4"/>
  <c r="P1013" i="4"/>
  <c r="P1014" i="4"/>
  <c r="P1015" i="4"/>
  <c r="P1016" i="4"/>
  <c r="P1017" i="4"/>
  <c r="P1018" i="4"/>
  <c r="P1019" i="4"/>
  <c r="P1020" i="4"/>
  <c r="P1021" i="4"/>
  <c r="P1022" i="4"/>
  <c r="P1023" i="4"/>
  <c r="P1024" i="4"/>
  <c r="P1025" i="4"/>
  <c r="P1026" i="4"/>
  <c r="P1027" i="4"/>
  <c r="P1028" i="4"/>
  <c r="P1029" i="4"/>
  <c r="P1030" i="4"/>
  <c r="P1031" i="4"/>
  <c r="P1032" i="4"/>
  <c r="P1033" i="4"/>
  <c r="P1034" i="4"/>
  <c r="P1035" i="4"/>
  <c r="P1036" i="4"/>
  <c r="P1037" i="4"/>
  <c r="P1038" i="4"/>
  <c r="P1039" i="4"/>
  <c r="P1040" i="4"/>
  <c r="P1041" i="4"/>
  <c r="P1042" i="4"/>
  <c r="P1043" i="4"/>
  <c r="P1044" i="4"/>
  <c r="P1045" i="4"/>
  <c r="P1046" i="4"/>
  <c r="P1047" i="4"/>
  <c r="P1048" i="4"/>
  <c r="P1049" i="4"/>
  <c r="P1050" i="4"/>
  <c r="P8" i="4"/>
  <c r="P1051" i="4"/>
  <c r="P1052" i="4"/>
  <c r="P1053" i="4"/>
  <c r="P1054" i="4"/>
  <c r="P1055" i="4"/>
  <c r="P1056" i="4"/>
  <c r="P1057" i="4"/>
  <c r="P16" i="4"/>
  <c r="P1058" i="4"/>
  <c r="P1059" i="4"/>
  <c r="P1060" i="4"/>
  <c r="P1061" i="4"/>
  <c r="P1062" i="4"/>
  <c r="P1063" i="4"/>
  <c r="P1064" i="4"/>
  <c r="P1065" i="4"/>
  <c r="P1066" i="4"/>
  <c r="P1067" i="4"/>
  <c r="P1068" i="4"/>
  <c r="P1069" i="4"/>
  <c r="P1070" i="4"/>
  <c r="P121" i="4"/>
  <c r="P1071" i="4"/>
  <c r="P1072" i="4"/>
  <c r="P1073" i="4"/>
  <c r="P1074" i="4"/>
  <c r="P1075" i="4"/>
  <c r="P1076" i="4"/>
  <c r="P1077" i="4"/>
  <c r="P1078" i="4"/>
  <c r="P1079" i="4"/>
  <c r="P1080" i="4"/>
  <c r="P1081" i="4"/>
  <c r="P97" i="4"/>
  <c r="P1082" i="4"/>
  <c r="P1083" i="4"/>
  <c r="P1084" i="4"/>
  <c r="P1085" i="4"/>
  <c r="P1086" i="4"/>
  <c r="P1087" i="4"/>
  <c r="P1088" i="4"/>
  <c r="P1089" i="4"/>
  <c r="P1090" i="4"/>
  <c r="P1091" i="4"/>
  <c r="P1092" i="4"/>
  <c r="P1093" i="4"/>
  <c r="P1094" i="4"/>
  <c r="P1095" i="4"/>
  <c r="P1096" i="4"/>
  <c r="P1097" i="4"/>
  <c r="P1098" i="4"/>
  <c r="P1099" i="4"/>
  <c r="P1100" i="4"/>
  <c r="P1101" i="4"/>
  <c r="P1102" i="4"/>
  <c r="P1103" i="4"/>
  <c r="P111" i="4"/>
  <c r="P1104" i="4"/>
  <c r="P50" i="4"/>
  <c r="P1105" i="4"/>
  <c r="P1106" i="4"/>
  <c r="P1107" i="4"/>
  <c r="P1108" i="4"/>
  <c r="P1109" i="4"/>
  <c r="P1110" i="4"/>
  <c r="P1111" i="4"/>
  <c r="P1112" i="4"/>
  <c r="P1113" i="4"/>
  <c r="P1114" i="4"/>
  <c r="P1115" i="4"/>
  <c r="P1116" i="4"/>
  <c r="P1117" i="4"/>
  <c r="P1118" i="4"/>
  <c r="P1119" i="4"/>
  <c r="P1120" i="4"/>
  <c r="P1121" i="4"/>
  <c r="P1122" i="4"/>
  <c r="P1123" i="4"/>
  <c r="P1124" i="4"/>
  <c r="P1125" i="4"/>
  <c r="P1126" i="4"/>
  <c r="P1127" i="4"/>
  <c r="P1128" i="4"/>
  <c r="P1129" i="4"/>
  <c r="P1130" i="4"/>
  <c r="P1131" i="4"/>
  <c r="P1132" i="4"/>
  <c r="P1133" i="4"/>
  <c r="P1134" i="4"/>
  <c r="P1135" i="4"/>
  <c r="P1136" i="4"/>
  <c r="P1137" i="4"/>
  <c r="P1138" i="4"/>
  <c r="P1139" i="4"/>
  <c r="P1140" i="4"/>
  <c r="P1141" i="4"/>
  <c r="P1142" i="4"/>
  <c r="P1143" i="4"/>
  <c r="P1144" i="4"/>
  <c r="P1145" i="4"/>
  <c r="P1146" i="4"/>
  <c r="P1147" i="4"/>
  <c r="P1148" i="4"/>
  <c r="P1149" i="4"/>
  <c r="P1150" i="4"/>
  <c r="P1151" i="4"/>
  <c r="P1152" i="4"/>
  <c r="P1153" i="4"/>
  <c r="P1154" i="4"/>
  <c r="P1155" i="4"/>
  <c r="P1156" i="4"/>
  <c r="P1157" i="4"/>
  <c r="P1158" i="4"/>
  <c r="P1159" i="4"/>
  <c r="P1160" i="4"/>
  <c r="P1161" i="4"/>
  <c r="P1162" i="4"/>
  <c r="P1163" i="4"/>
  <c r="P1164" i="4"/>
  <c r="P1165" i="4"/>
  <c r="P74" i="4"/>
  <c r="P1166" i="4"/>
  <c r="P1167" i="4"/>
  <c r="P1168" i="4"/>
  <c r="P1169" i="4"/>
  <c r="P117" i="4"/>
  <c r="P1170" i="4"/>
  <c r="P1171" i="4"/>
  <c r="P17" i="4"/>
  <c r="P1172" i="4"/>
  <c r="P134" i="4"/>
  <c r="P70" i="4"/>
  <c r="P1173" i="4"/>
  <c r="P1174" i="4"/>
  <c r="P1175" i="4"/>
  <c r="P1176" i="4"/>
  <c r="P1177" i="4"/>
  <c r="P1178" i="4"/>
  <c r="P1179" i="4"/>
  <c r="P1180" i="4"/>
  <c r="P1181" i="4"/>
  <c r="P1182" i="4"/>
  <c r="P1183" i="4"/>
  <c r="P1184" i="4"/>
  <c r="P1185" i="4"/>
  <c r="P1186" i="4"/>
  <c r="P1187" i="4"/>
  <c r="P81" i="4"/>
  <c r="P1188" i="4"/>
  <c r="P125" i="4"/>
  <c r="P66" i="4"/>
  <c r="P101" i="4"/>
  <c r="P113" i="4"/>
  <c r="P109" i="4"/>
  <c r="P1189" i="4"/>
  <c r="P1190" i="4"/>
  <c r="P1191" i="4"/>
  <c r="P1192" i="4"/>
  <c r="P1193" i="4"/>
  <c r="P1194" i="4"/>
  <c r="P1195" i="4"/>
  <c r="P1196" i="4"/>
  <c r="P1197" i="4"/>
  <c r="P1198" i="4"/>
  <c r="P1199" i="4"/>
  <c r="P1200" i="4"/>
  <c r="P1201" i="4"/>
  <c r="P1202" i="4"/>
  <c r="P1203" i="4"/>
  <c r="P1204" i="4"/>
  <c r="P1205" i="4"/>
  <c r="P1206" i="4"/>
  <c r="P1207" i="4"/>
  <c r="P1208" i="4"/>
  <c r="P1209" i="4"/>
  <c r="P1210" i="4"/>
  <c r="P1211" i="4"/>
  <c r="P9" i="4"/>
  <c r="P1212" i="4"/>
  <c r="P1213" i="4"/>
  <c r="P1214" i="4"/>
  <c r="P1215" i="4"/>
  <c r="P1216" i="4"/>
  <c r="P1217" i="4"/>
  <c r="P1218" i="4"/>
  <c r="P1219" i="4"/>
  <c r="P1220" i="4"/>
  <c r="P1221" i="4"/>
  <c r="P1222" i="4"/>
  <c r="P1223" i="4"/>
  <c r="P118" i="4"/>
  <c r="P1224" i="4"/>
  <c r="P1225" i="4"/>
  <c r="P1226" i="4"/>
  <c r="P123" i="4"/>
  <c r="P1227" i="4"/>
  <c r="P1228" i="4"/>
  <c r="P1229" i="4"/>
  <c r="P1230" i="4"/>
  <c r="P1231" i="4"/>
  <c r="P1232" i="4"/>
  <c r="P10" i="4"/>
  <c r="P1233" i="4"/>
  <c r="P1234" i="4"/>
  <c r="P1235" i="4"/>
  <c r="P1236" i="4"/>
  <c r="P1237" i="4"/>
  <c r="P1238" i="4"/>
  <c r="P1239" i="4"/>
  <c r="P1240" i="4"/>
  <c r="P1241" i="4"/>
  <c r="P1242" i="4"/>
  <c r="P1243" i="4"/>
  <c r="P1244" i="4"/>
  <c r="P1245" i="4"/>
  <c r="P1246" i="4"/>
  <c r="P1247" i="4"/>
  <c r="P1248" i="4"/>
  <c r="P1249" i="4"/>
  <c r="P1250" i="4"/>
  <c r="P1251" i="4"/>
  <c r="P1252" i="4"/>
  <c r="P1253" i="4"/>
  <c r="P1254" i="4"/>
  <c r="P1255" i="4"/>
  <c r="P1256" i="4"/>
  <c r="P1257" i="4"/>
  <c r="P1258" i="4"/>
  <c r="P1259" i="4"/>
  <c r="P1260" i="4"/>
  <c r="P1261" i="4"/>
  <c r="P1262" i="4"/>
  <c r="P1263" i="4"/>
  <c r="P1264" i="4"/>
  <c r="P1265" i="4"/>
  <c r="P1266" i="4"/>
  <c r="P1267" i="4"/>
  <c r="P1268" i="4"/>
  <c r="P1269" i="4"/>
  <c r="P1270" i="4"/>
  <c r="P1271" i="4"/>
  <c r="P1272" i="4"/>
  <c r="P1273" i="4"/>
  <c r="P1274" i="4"/>
  <c r="P1275" i="4"/>
  <c r="P1276" i="4"/>
  <c r="P1277" i="4"/>
  <c r="P1278" i="4"/>
  <c r="P1279" i="4"/>
  <c r="P1280" i="4"/>
  <c r="P1281" i="4"/>
  <c r="P131" i="4"/>
  <c r="P1282" i="4"/>
  <c r="P1283" i="4"/>
  <c r="P1284" i="4"/>
  <c r="P1285" i="4"/>
  <c r="P11" i="4"/>
  <c r="P1286" i="4"/>
  <c r="P1287" i="4"/>
  <c r="P67" i="4"/>
  <c r="P1288" i="4"/>
  <c r="P53" i="4"/>
  <c r="P15" i="4"/>
  <c r="P1289" i="4"/>
  <c r="P1290" i="4"/>
  <c r="P132" i="4"/>
  <c r="P129" i="4"/>
  <c r="P1291" i="4"/>
  <c r="P1292" i="4"/>
  <c r="P91" i="4"/>
  <c r="P1293" i="4"/>
  <c r="P51" i="4"/>
  <c r="P12" i="4"/>
  <c r="P1294" i="4"/>
  <c r="P1295" i="4"/>
  <c r="P78" i="4"/>
  <c r="P18" i="4"/>
  <c r="P19" i="4"/>
  <c r="P42" i="4"/>
  <c r="P92" i="4"/>
  <c r="P1296" i="4"/>
  <c r="P1297" i="4"/>
  <c r="P1298" i="4"/>
  <c r="P41" i="4"/>
  <c r="P62" i="4"/>
  <c r="P1299" i="4"/>
  <c r="P1300" i="4"/>
  <c r="P1301" i="4"/>
  <c r="P71" i="4"/>
  <c r="P120" i="4"/>
  <c r="P124" i="4"/>
  <c r="P126" i="4"/>
  <c r="P128" i="4"/>
  <c r="P122" i="4"/>
  <c r="P1302" i="4"/>
  <c r="P1303" i="4"/>
  <c r="P1304" i="4"/>
  <c r="P93" i="4"/>
  <c r="P29" i="4"/>
  <c r="P1305" i="4"/>
  <c r="P1306" i="4"/>
  <c r="P33" i="4"/>
  <c r="P23" i="4"/>
  <c r="P1307" i="4"/>
  <c r="P35" i="4"/>
  <c r="P115" i="4"/>
  <c r="P1308" i="4"/>
  <c r="P1309" i="4"/>
  <c r="P1310" i="4"/>
  <c r="P88" i="4"/>
  <c r="P1311" i="4"/>
  <c r="P130" i="4"/>
  <c r="P63" i="4"/>
  <c r="P72" i="4"/>
  <c r="P1312" i="4"/>
  <c r="P1313" i="4"/>
  <c r="P57" i="4"/>
  <c r="P45" i="4"/>
  <c r="P55" i="4"/>
  <c r="P37" i="4"/>
  <c r="P1314" i="4"/>
  <c r="P26" i="4"/>
  <c r="P64" i="4"/>
  <c r="P24" i="4"/>
  <c r="P86" i="4"/>
  <c r="P83" i="4"/>
  <c r="P82" i="4"/>
  <c r="P1315" i="4"/>
  <c r="P1316" i="4"/>
  <c r="P25" i="4"/>
  <c r="P98" i="4"/>
  <c r="P84" i="4"/>
  <c r="P43" i="4"/>
  <c r="P1317" i="4"/>
  <c r="P89" i="4"/>
  <c r="P95" i="4"/>
  <c r="P27" i="4"/>
  <c r="P30" i="4"/>
  <c r="P1318" i="4"/>
  <c r="P87" i="4"/>
  <c r="P36" i="4"/>
  <c r="P38" i="4"/>
  <c r="P68" i="4"/>
  <c r="P65" i="4"/>
  <c r="P1319" i="4"/>
  <c r="P1320" i="4"/>
  <c r="P135" i="4"/>
  <c r="P13" i="4"/>
  <c r="P58" i="4"/>
  <c r="P75" i="4"/>
  <c r="P1321" i="4"/>
  <c r="P1322" i="4"/>
  <c r="P1323" i="4"/>
  <c r="P1324" i="4"/>
  <c r="P94" i="4"/>
  <c r="P1325" i="4"/>
  <c r="P46" i="4"/>
  <c r="P47" i="4"/>
  <c r="P1326" i="4"/>
  <c r="P1327" i="4"/>
  <c r="P48" i="4"/>
  <c r="P1328" i="4"/>
  <c r="P1329" i="4"/>
  <c r="P1330" i="4"/>
  <c r="P31" i="4"/>
  <c r="P1331" i="4"/>
  <c r="P1332" i="4"/>
  <c r="P116" i="4"/>
  <c r="P76" i="4"/>
  <c r="P34" i="4"/>
  <c r="P1333" i="4"/>
  <c r="P114" i="4"/>
  <c r="P21" i="4"/>
  <c r="P79" i="4"/>
  <c r="P102" i="4"/>
  <c r="P28" i="4"/>
  <c r="P1334" i="4"/>
  <c r="P59" i="4"/>
  <c r="P106" i="4"/>
  <c r="P14" i="4"/>
  <c r="P56" i="4"/>
  <c r="P103" i="4"/>
  <c r="P49" i="4"/>
  <c r="P99" i="4"/>
  <c r="P112" i="4"/>
  <c r="P20" i="4"/>
  <c r="P52" i="4"/>
  <c r="P1335" i="4"/>
  <c r="P110" i="4"/>
  <c r="P32" i="4"/>
  <c r="P22" i="4"/>
  <c r="P54" i="4"/>
  <c r="P77" i="4"/>
  <c r="P1336" i="4"/>
  <c r="P40" i="4"/>
  <c r="P1337" i="4"/>
  <c r="P44" i="4"/>
  <c r="P1338" i="4"/>
  <c r="P96" i="4"/>
  <c r="A136" i="4"/>
  <c r="A140" i="4"/>
  <c r="A144" i="4"/>
  <c r="A148" i="4"/>
  <c r="A152" i="4"/>
  <c r="A156" i="4"/>
  <c r="A160" i="4"/>
  <c r="A164" i="4"/>
  <c r="A168" i="4"/>
  <c r="A172" i="4"/>
  <c r="A176" i="4"/>
  <c r="A180" i="4"/>
  <c r="A184" i="4"/>
  <c r="A188" i="4"/>
  <c r="A192" i="4"/>
  <c r="A196" i="4"/>
  <c r="A200" i="4"/>
  <c r="A204" i="4"/>
  <c r="A208" i="4"/>
  <c r="A104" i="4"/>
  <c r="A215" i="4"/>
  <c r="A219" i="4"/>
  <c r="A223" i="4"/>
  <c r="A227" i="4"/>
  <c r="A231" i="4"/>
  <c r="A235" i="4"/>
  <c r="A239" i="4"/>
  <c r="A243" i="4"/>
  <c r="A247" i="4"/>
  <c r="A250" i="4"/>
  <c r="A254" i="4"/>
  <c r="A258" i="4"/>
  <c r="A262" i="4"/>
  <c r="A266" i="4"/>
  <c r="A270" i="4"/>
  <c r="A274" i="4"/>
  <c r="A278" i="4"/>
  <c r="A282" i="4"/>
  <c r="A286" i="4"/>
  <c r="A290" i="4"/>
  <c r="A294" i="4"/>
  <c r="A298" i="4"/>
  <c r="A302" i="4"/>
  <c r="A306" i="4"/>
  <c r="A310" i="4"/>
  <c r="A313" i="4"/>
  <c r="A317" i="4"/>
  <c r="A321" i="4"/>
  <c r="A325" i="4"/>
  <c r="A329" i="4"/>
  <c r="A333" i="4"/>
  <c r="A337" i="4"/>
  <c r="A341" i="4"/>
  <c r="A345" i="4"/>
  <c r="A349" i="4"/>
  <c r="A353" i="4"/>
  <c r="A357" i="4"/>
  <c r="A361" i="4"/>
  <c r="A364" i="4"/>
  <c r="A368" i="4"/>
  <c r="A61" i="4"/>
  <c r="A375" i="4"/>
  <c r="A379" i="4"/>
  <c r="A383" i="4"/>
  <c r="A387" i="4"/>
  <c r="A391" i="4"/>
  <c r="A395" i="4"/>
  <c r="A399" i="4"/>
  <c r="A403" i="4"/>
  <c r="A407" i="4"/>
  <c r="A411" i="4"/>
  <c r="A415" i="4"/>
  <c r="A419" i="4"/>
  <c r="A423" i="4"/>
  <c r="A427" i="4"/>
  <c r="A431" i="4"/>
  <c r="A435" i="4"/>
  <c r="A439" i="4"/>
  <c r="A443" i="4"/>
  <c r="A447" i="4"/>
  <c r="A451" i="4"/>
  <c r="A455" i="4"/>
  <c r="A459" i="4"/>
  <c r="A463" i="4"/>
  <c r="A467" i="4"/>
  <c r="A471" i="4"/>
  <c r="A475" i="4"/>
  <c r="A479" i="4"/>
  <c r="A483" i="4"/>
  <c r="A487" i="4"/>
  <c r="A491" i="4"/>
  <c r="A495" i="4"/>
  <c r="A499" i="4"/>
  <c r="A503" i="4"/>
  <c r="A507" i="4"/>
  <c r="A511" i="4"/>
  <c r="A515" i="4"/>
  <c r="A519" i="4"/>
  <c r="A523" i="4"/>
  <c r="A527" i="4"/>
  <c r="A531" i="4"/>
  <c r="A535" i="4"/>
  <c r="A539" i="4"/>
  <c r="A543" i="4"/>
  <c r="A547" i="4"/>
  <c r="A551" i="4"/>
  <c r="A555" i="4"/>
  <c r="A559" i="4"/>
  <c r="A563" i="4"/>
  <c r="A567" i="4"/>
  <c r="A571" i="4"/>
  <c r="A575" i="4"/>
  <c r="A579" i="4"/>
  <c r="A583" i="4"/>
  <c r="A587" i="4"/>
  <c r="A591" i="4"/>
  <c r="A595" i="4"/>
  <c r="A599" i="4"/>
  <c r="A603" i="4"/>
  <c r="A607" i="4"/>
  <c r="A608" i="4"/>
  <c r="A612" i="4"/>
  <c r="A616" i="4"/>
  <c r="A619" i="4"/>
  <c r="A623" i="4"/>
  <c r="A627" i="4"/>
  <c r="A631" i="4"/>
  <c r="A137" i="4"/>
  <c r="A141" i="4"/>
  <c r="A145" i="4"/>
  <c r="A149" i="4"/>
  <c r="A153" i="4"/>
  <c r="A157" i="4"/>
  <c r="A161" i="4"/>
  <c r="A165" i="4"/>
  <c r="A169" i="4"/>
  <c r="A173" i="4"/>
  <c r="A177" i="4"/>
  <c r="A181" i="4"/>
  <c r="A185" i="4"/>
  <c r="A189" i="4"/>
  <c r="A193" i="4"/>
  <c r="A197" i="4"/>
  <c r="A201" i="4"/>
  <c r="A205" i="4"/>
  <c r="A209" i="4"/>
  <c r="A212" i="4"/>
  <c r="A216" i="4"/>
  <c r="A220" i="4"/>
  <c r="A224" i="4"/>
  <c r="A228" i="4"/>
  <c r="A232" i="4"/>
  <c r="A236" i="4"/>
  <c r="A240" i="4"/>
  <c r="A244" i="4"/>
  <c r="A69" i="4"/>
  <c r="A251" i="4"/>
  <c r="A255" i="4"/>
  <c r="A259" i="4"/>
  <c r="A263" i="4"/>
  <c r="A267" i="4"/>
  <c r="A271" i="4"/>
  <c r="A275" i="4"/>
  <c r="A279" i="4"/>
  <c r="A283" i="4"/>
  <c r="A287" i="4"/>
  <c r="A291" i="4"/>
  <c r="A295" i="4"/>
  <c r="A299" i="4"/>
  <c r="A303" i="4"/>
  <c r="A307" i="4"/>
  <c r="A311" i="4"/>
  <c r="A314" i="4"/>
  <c r="A318" i="4"/>
  <c r="A322" i="4"/>
  <c r="A326" i="4"/>
  <c r="A330" i="4"/>
  <c r="A334" i="4"/>
  <c r="A338" i="4"/>
  <c r="A342" i="4"/>
  <c r="A346" i="4"/>
  <c r="A350" i="4"/>
  <c r="A354" i="4"/>
  <c r="A358" i="4"/>
  <c r="A362" i="4"/>
  <c r="A365" i="4"/>
  <c r="A369" i="4"/>
  <c r="A372" i="4"/>
  <c r="A376" i="4"/>
  <c r="A380" i="4"/>
  <c r="A384" i="4"/>
  <c r="A388" i="4"/>
  <c r="A392" i="4"/>
  <c r="A396" i="4"/>
  <c r="A400" i="4"/>
  <c r="A404" i="4"/>
  <c r="A408" i="4"/>
  <c r="A412" i="4"/>
  <c r="A416" i="4"/>
  <c r="A420" i="4"/>
  <c r="A424" i="4"/>
  <c r="A428" i="4"/>
  <c r="A432" i="4"/>
  <c r="A436" i="4"/>
  <c r="A440" i="4"/>
  <c r="A444" i="4"/>
  <c r="A448" i="4"/>
  <c r="A452" i="4"/>
  <c r="A456" i="4"/>
  <c r="A460" i="4"/>
  <c r="A464" i="4"/>
  <c r="A468" i="4"/>
  <c r="A472" i="4"/>
  <c r="A476" i="4"/>
  <c r="A480" i="4"/>
  <c r="A484" i="4"/>
  <c r="A488" i="4"/>
  <c r="A492" i="4"/>
  <c r="A496" i="4"/>
  <c r="A500" i="4"/>
  <c r="A504" i="4"/>
  <c r="A508" i="4"/>
  <c r="A512" i="4"/>
  <c r="A516" i="4"/>
  <c r="A520" i="4"/>
  <c r="A524" i="4"/>
  <c r="A528" i="4"/>
  <c r="A532" i="4"/>
  <c r="A536" i="4"/>
  <c r="A540" i="4"/>
  <c r="A544" i="4"/>
  <c r="A548" i="4"/>
  <c r="A552" i="4"/>
  <c r="A556" i="4"/>
  <c r="A560" i="4"/>
  <c r="A564" i="4"/>
  <c r="A568" i="4"/>
  <c r="A572" i="4"/>
  <c r="A576" i="4"/>
  <c r="A580" i="4"/>
  <c r="A584" i="4"/>
  <c r="A588" i="4"/>
  <c r="A592" i="4"/>
  <c r="A596" i="4"/>
  <c r="A600" i="4"/>
  <c r="A604" i="4"/>
  <c r="A80" i="4"/>
  <c r="A609" i="4"/>
  <c r="A613" i="4"/>
  <c r="A119" i="4"/>
  <c r="A620" i="4"/>
  <c r="A624" i="4"/>
  <c r="A628" i="4"/>
  <c r="A632" i="4"/>
  <c r="A138" i="4"/>
  <c r="A146" i="4"/>
  <c r="A154" i="4"/>
  <c r="A162" i="4"/>
  <c r="A170" i="4"/>
  <c r="A178" i="4"/>
  <c r="A186" i="4"/>
  <c r="A194" i="4"/>
  <c r="A202" i="4"/>
  <c r="A210" i="4"/>
  <c r="A217" i="4"/>
  <c r="A225" i="4"/>
  <c r="A233" i="4"/>
  <c r="A241" i="4"/>
  <c r="A248" i="4"/>
  <c r="A256" i="4"/>
  <c r="A264" i="4"/>
  <c r="A272" i="4"/>
  <c r="A280" i="4"/>
  <c r="A288" i="4"/>
  <c r="A296" i="4"/>
  <c r="A304" i="4"/>
  <c r="A312" i="4"/>
  <c r="A319" i="4"/>
  <c r="A327" i="4"/>
  <c r="A335" i="4"/>
  <c r="A343" i="4"/>
  <c r="A351" i="4"/>
  <c r="A359" i="4"/>
  <c r="A366" i="4"/>
  <c r="A373" i="4"/>
  <c r="A381" i="4"/>
  <c r="A389" i="4"/>
  <c r="A397" i="4"/>
  <c r="A405" i="4"/>
  <c r="A413" i="4"/>
  <c r="A421" i="4"/>
  <c r="A429" i="4"/>
  <c r="A437" i="4"/>
  <c r="A445" i="4"/>
  <c r="A453" i="4"/>
  <c r="A461" i="4"/>
  <c r="A469" i="4"/>
  <c r="A477" i="4"/>
  <c r="A485" i="4"/>
  <c r="A493" i="4"/>
  <c r="A501" i="4"/>
  <c r="A509" i="4"/>
  <c r="A517" i="4"/>
  <c r="A525" i="4"/>
  <c r="A533" i="4"/>
  <c r="A541" i="4"/>
  <c r="A549" i="4"/>
  <c r="A557" i="4"/>
  <c r="A565" i="4"/>
  <c r="A573" i="4"/>
  <c r="A581" i="4"/>
  <c r="A589" i="4"/>
  <c r="A597" i="4"/>
  <c r="A605" i="4"/>
  <c r="A610" i="4"/>
  <c r="A617" i="4"/>
  <c r="A625" i="4"/>
  <c r="A633" i="4"/>
  <c r="A637" i="4"/>
  <c r="A641" i="4"/>
  <c r="A645" i="4"/>
  <c r="A649" i="4"/>
  <c r="A652" i="4"/>
  <c r="A656" i="4"/>
  <c r="A660" i="4"/>
  <c r="A664" i="4"/>
  <c r="A668" i="4"/>
  <c r="A672" i="4"/>
  <c r="A676" i="4"/>
  <c r="A680" i="4"/>
  <c r="A684" i="4"/>
  <c r="A687" i="4"/>
  <c r="A691" i="4"/>
  <c r="A695" i="4"/>
  <c r="A699" i="4"/>
  <c r="A703" i="4"/>
  <c r="A707" i="4"/>
  <c r="A711" i="4"/>
  <c r="A715" i="4"/>
  <c r="A719" i="4"/>
  <c r="A723" i="4"/>
  <c r="A727" i="4"/>
  <c r="A731" i="4"/>
  <c r="A735" i="4"/>
  <c r="A739" i="4"/>
  <c r="A743" i="4"/>
  <c r="A747" i="4"/>
  <c r="A751" i="4"/>
  <c r="A755" i="4"/>
  <c r="A759" i="4"/>
  <c r="A763" i="4"/>
  <c r="A767" i="4"/>
  <c r="A771" i="4"/>
  <c r="A775" i="4"/>
  <c r="A779" i="4"/>
  <c r="A783" i="4"/>
  <c r="A787" i="4"/>
  <c r="A791" i="4"/>
  <c r="A795" i="4"/>
  <c r="A799" i="4"/>
  <c r="A803" i="4"/>
  <c r="A807" i="4"/>
  <c r="A811" i="4"/>
  <c r="A39" i="4"/>
  <c r="A817" i="4"/>
  <c r="A821" i="4"/>
  <c r="A824" i="4"/>
  <c r="A828" i="4"/>
  <c r="A832" i="4"/>
  <c r="A836" i="4"/>
  <c r="A840" i="4"/>
  <c r="A844" i="4"/>
  <c r="A848" i="4"/>
  <c r="A852" i="4"/>
  <c r="A7" i="4"/>
  <c r="A859" i="4"/>
  <c r="A863" i="4"/>
  <c r="A867" i="4"/>
  <c r="A871" i="4"/>
  <c r="A875" i="4"/>
  <c r="A879" i="4"/>
  <c r="A883" i="4"/>
  <c r="A143" i="4"/>
  <c r="A151" i="4"/>
  <c r="A159" i="4"/>
  <c r="A167" i="4"/>
  <c r="A175" i="4"/>
  <c r="A183" i="4"/>
  <c r="A191" i="4"/>
  <c r="A199" i="4"/>
  <c r="A207" i="4"/>
  <c r="A214" i="4"/>
  <c r="A222" i="4"/>
  <c r="A230" i="4"/>
  <c r="A238" i="4"/>
  <c r="A246" i="4"/>
  <c r="A253" i="4"/>
  <c r="A261" i="4"/>
  <c r="A269" i="4"/>
  <c r="A277" i="4"/>
  <c r="A285" i="4"/>
  <c r="A293" i="4"/>
  <c r="A301" i="4"/>
  <c r="A309" i="4"/>
  <c r="A316" i="4"/>
  <c r="A324" i="4"/>
  <c r="A332" i="4"/>
  <c r="A340" i="4"/>
  <c r="A348" i="4"/>
  <c r="A356" i="4"/>
  <c r="A363" i="4"/>
  <c r="A371" i="4"/>
  <c r="A378" i="4"/>
  <c r="A386" i="4"/>
  <c r="A394" i="4"/>
  <c r="A402" i="4"/>
  <c r="A410" i="4"/>
  <c r="A418" i="4"/>
  <c r="A426" i="4"/>
  <c r="A434" i="4"/>
  <c r="A442" i="4"/>
  <c r="A450" i="4"/>
  <c r="A458" i="4"/>
  <c r="A466" i="4"/>
  <c r="A474" i="4"/>
  <c r="A482" i="4"/>
  <c r="A490" i="4"/>
  <c r="A498" i="4"/>
  <c r="A506" i="4"/>
  <c r="A514" i="4"/>
  <c r="A522" i="4"/>
  <c r="A530" i="4"/>
  <c r="A538" i="4"/>
  <c r="A546" i="4"/>
  <c r="A554" i="4"/>
  <c r="A562" i="4"/>
  <c r="A570" i="4"/>
  <c r="A578" i="4"/>
  <c r="A586" i="4"/>
  <c r="A594" i="4"/>
  <c r="A602" i="4"/>
  <c r="A85" i="4"/>
  <c r="A615" i="4"/>
  <c r="A622" i="4"/>
  <c r="A630" i="4"/>
  <c r="A636" i="4"/>
  <c r="A640" i="4"/>
  <c r="A644" i="4"/>
  <c r="A648" i="4"/>
  <c r="A90" i="4"/>
  <c r="A655" i="4"/>
  <c r="A659" i="4"/>
  <c r="A663" i="4"/>
  <c r="A667" i="4"/>
  <c r="A671" i="4"/>
  <c r="A675" i="4"/>
  <c r="A679" i="4"/>
  <c r="A683" i="4"/>
  <c r="A686" i="4"/>
  <c r="A690" i="4"/>
  <c r="A694" i="4"/>
  <c r="A698" i="4"/>
  <c r="A702" i="4"/>
  <c r="A706" i="4"/>
  <c r="A710" i="4"/>
  <c r="A714" i="4"/>
  <c r="A718" i="4"/>
  <c r="A722" i="4"/>
  <c r="A726" i="4"/>
  <c r="A730" i="4"/>
  <c r="A734" i="4"/>
  <c r="A738" i="4"/>
  <c r="A742" i="4"/>
  <c r="A746" i="4"/>
  <c r="A750" i="4"/>
  <c r="A754" i="4"/>
  <c r="A758" i="4"/>
  <c r="A762" i="4"/>
  <c r="A766" i="4"/>
  <c r="A770" i="4"/>
  <c r="A774" i="4"/>
  <c r="A778" i="4"/>
  <c r="A782" i="4"/>
  <c r="A786" i="4"/>
  <c r="A790" i="4"/>
  <c r="A794" i="4"/>
  <c r="A798" i="4"/>
  <c r="A802" i="4"/>
  <c r="A806" i="4"/>
  <c r="A810" i="4"/>
  <c r="A107" i="4"/>
  <c r="A816" i="4"/>
  <c r="A820" i="4"/>
  <c r="A823" i="4"/>
  <c r="A827" i="4"/>
  <c r="A831" i="4"/>
  <c r="A835" i="4"/>
  <c r="A839" i="4"/>
  <c r="A843" i="4"/>
  <c r="A847" i="4"/>
  <c r="A851" i="4"/>
  <c r="A855" i="4"/>
  <c r="A858" i="4"/>
  <c r="A862" i="4"/>
  <c r="A866" i="4"/>
  <c r="A870" i="4"/>
  <c r="A874" i="4"/>
  <c r="A878" i="4"/>
  <c r="A882" i="4"/>
  <c r="A139" i="4"/>
  <c r="A155" i="4"/>
  <c r="A171" i="4"/>
  <c r="A187" i="4"/>
  <c r="A203" i="4"/>
  <c r="A218" i="4"/>
  <c r="A234" i="4"/>
  <c r="A249" i="4"/>
  <c r="A265" i="4"/>
  <c r="A281" i="4"/>
  <c r="A297" i="4"/>
  <c r="A6" i="4"/>
  <c r="A328" i="4"/>
  <c r="A344" i="4"/>
  <c r="A360" i="4"/>
  <c r="A374" i="4"/>
  <c r="A390" i="4"/>
  <c r="A406" i="4"/>
  <c r="A422" i="4"/>
  <c r="A438" i="4"/>
  <c r="A454" i="4"/>
  <c r="A470" i="4"/>
  <c r="A486" i="4"/>
  <c r="A502" i="4"/>
  <c r="A518" i="4"/>
  <c r="A534" i="4"/>
  <c r="A550" i="4"/>
  <c r="A566" i="4"/>
  <c r="A582" i="4"/>
  <c r="A598" i="4"/>
  <c r="A611" i="4"/>
  <c r="A626" i="4"/>
  <c r="A638" i="4"/>
  <c r="A646" i="4"/>
  <c r="A653" i="4"/>
  <c r="A661" i="4"/>
  <c r="A669" i="4"/>
  <c r="A677" i="4"/>
  <c r="A685" i="4"/>
  <c r="A692" i="4"/>
  <c r="A700" i="4"/>
  <c r="A708" i="4"/>
  <c r="A716" i="4"/>
  <c r="A724" i="4"/>
  <c r="A732" i="4"/>
  <c r="A740" i="4"/>
  <c r="A748" i="4"/>
  <c r="A756" i="4"/>
  <c r="A764" i="4"/>
  <c r="A772" i="4"/>
  <c r="A780" i="4"/>
  <c r="A788" i="4"/>
  <c r="A796" i="4"/>
  <c r="A804" i="4"/>
  <c r="A812" i="4"/>
  <c r="A818" i="4"/>
  <c r="A825" i="4"/>
  <c r="A833" i="4"/>
  <c r="A841" i="4"/>
  <c r="A849" i="4"/>
  <c r="A856" i="4"/>
  <c r="A864" i="4"/>
  <c r="A872" i="4"/>
  <c r="A880" i="4"/>
  <c r="A886" i="4"/>
  <c r="A890" i="4"/>
  <c r="A894" i="4"/>
  <c r="A898" i="4"/>
  <c r="A902" i="4"/>
  <c r="A906" i="4"/>
  <c r="A910" i="4"/>
  <c r="A914" i="4"/>
  <c r="A918" i="4"/>
  <c r="A922" i="4"/>
  <c r="A926" i="4"/>
  <c r="A930" i="4"/>
  <c r="A934" i="4"/>
  <c r="A938" i="4"/>
  <c r="A942" i="4"/>
  <c r="A946" i="4"/>
  <c r="A950" i="4"/>
  <c r="A953" i="4"/>
  <c r="A957" i="4"/>
  <c r="A961" i="4"/>
  <c r="A965" i="4"/>
  <c r="A969" i="4"/>
  <c r="A973" i="4"/>
  <c r="A977" i="4"/>
  <c r="A980" i="4"/>
  <c r="A984" i="4"/>
  <c r="A987" i="4"/>
  <c r="A991" i="4"/>
  <c r="A995" i="4"/>
  <c r="A999" i="4"/>
  <c r="A1003" i="4"/>
  <c r="A1007" i="4"/>
  <c r="A1011" i="4"/>
  <c r="A1015" i="4"/>
  <c r="A1019" i="4"/>
  <c r="A1023" i="4"/>
  <c r="A1027" i="4"/>
  <c r="A1031" i="4"/>
  <c r="A1035" i="4"/>
  <c r="A1039" i="4"/>
  <c r="A1043" i="4"/>
  <c r="A1047" i="4"/>
  <c r="A8" i="4"/>
  <c r="A1054" i="4"/>
  <c r="A16" i="4"/>
  <c r="A1061" i="4"/>
  <c r="A1065" i="4"/>
  <c r="A1069" i="4"/>
  <c r="A1072" i="4"/>
  <c r="A1076" i="4"/>
  <c r="A1080" i="4"/>
  <c r="A1083" i="4"/>
  <c r="A1087" i="4"/>
  <c r="A1091" i="4"/>
  <c r="A1095" i="4"/>
  <c r="A1099" i="4"/>
  <c r="A1103" i="4"/>
  <c r="A1105" i="4"/>
  <c r="A1109" i="4"/>
  <c r="A1113" i="4"/>
  <c r="A1117" i="4"/>
  <c r="A1121" i="4"/>
  <c r="A1125" i="4"/>
  <c r="A1129" i="4"/>
  <c r="A1133" i="4"/>
  <c r="A1137" i="4"/>
  <c r="A1141" i="4"/>
  <c r="A1145" i="4"/>
  <c r="A1149" i="4"/>
  <c r="A1153" i="4"/>
  <c r="A1157" i="4"/>
  <c r="A1161" i="4"/>
  <c r="A1165" i="4"/>
  <c r="A1168" i="4"/>
  <c r="A1171" i="4"/>
  <c r="A70" i="4"/>
  <c r="A1176" i="4"/>
  <c r="A1180" i="4"/>
  <c r="A1184" i="4"/>
  <c r="A81" i="4"/>
  <c r="A101" i="4"/>
  <c r="A1190" i="4"/>
  <c r="A1194" i="4"/>
  <c r="A1198" i="4"/>
  <c r="A1202" i="4"/>
  <c r="A1206" i="4"/>
  <c r="A1210" i="4"/>
  <c r="A1213" i="4"/>
  <c r="A1217" i="4"/>
  <c r="A1221" i="4"/>
  <c r="A1224" i="4"/>
  <c r="A1227" i="4"/>
  <c r="A1231" i="4"/>
  <c r="A1234" i="4"/>
  <c r="A1238" i="4"/>
  <c r="A1242" i="4"/>
  <c r="A1246" i="4"/>
  <c r="A1250" i="4"/>
  <c r="A1254" i="4"/>
  <c r="A1258" i="4"/>
  <c r="A1262" i="4"/>
  <c r="A1266" i="4"/>
  <c r="A1270" i="4"/>
  <c r="A1274" i="4"/>
  <c r="A1278" i="4"/>
  <c r="A131" i="4"/>
  <c r="A1285" i="4"/>
  <c r="A67" i="4"/>
  <c r="A1289" i="4"/>
  <c r="A1291" i="4"/>
  <c r="A51" i="4"/>
  <c r="A78" i="4"/>
  <c r="A92" i="4"/>
  <c r="A41" i="4"/>
  <c r="A1301" i="4"/>
  <c r="A126" i="4"/>
  <c r="A1303" i="4"/>
  <c r="A1305" i="4"/>
  <c r="A1307" i="4"/>
  <c r="A1309" i="4"/>
  <c r="A130" i="4"/>
  <c r="A1313" i="4"/>
  <c r="A37" i="4"/>
  <c r="A24" i="4"/>
  <c r="A1315" i="4"/>
  <c r="A84" i="4"/>
  <c r="A95" i="4"/>
  <c r="A87" i="4"/>
  <c r="A65" i="4"/>
  <c r="A13" i="4"/>
  <c r="A1322" i="4"/>
  <c r="A1325" i="4"/>
  <c r="A1327" i="4"/>
  <c r="A1330" i="4"/>
  <c r="A116" i="4"/>
  <c r="A114" i="4"/>
  <c r="A28" i="4"/>
  <c r="A14" i="4"/>
  <c r="A99" i="4"/>
  <c r="A1335" i="4"/>
  <c r="A54" i="4"/>
  <c r="A1337" i="4"/>
  <c r="G136" i="4"/>
  <c r="G140" i="4"/>
  <c r="G144" i="4"/>
  <c r="G148" i="4"/>
  <c r="G152" i="4"/>
  <c r="G156" i="4"/>
  <c r="G160" i="4"/>
  <c r="G164" i="4"/>
  <c r="G168" i="4"/>
  <c r="G172" i="4"/>
  <c r="G176" i="4"/>
  <c r="G180" i="4"/>
  <c r="G184" i="4"/>
  <c r="G188" i="4"/>
  <c r="G192" i="4"/>
  <c r="G196" i="4"/>
  <c r="G200" i="4"/>
  <c r="G204" i="4"/>
  <c r="G208" i="4"/>
  <c r="G104" i="4"/>
  <c r="G215" i="4"/>
  <c r="G219" i="4"/>
  <c r="G223" i="4"/>
  <c r="G227" i="4"/>
  <c r="G231" i="4"/>
  <c r="G235" i="4"/>
  <c r="G239" i="4"/>
  <c r="G243" i="4"/>
  <c r="G247" i="4"/>
  <c r="G250" i="4"/>
  <c r="G254" i="4"/>
  <c r="G258" i="4"/>
  <c r="G262" i="4"/>
  <c r="G266" i="4"/>
  <c r="G270" i="4"/>
  <c r="G274" i="4"/>
  <c r="G278" i="4"/>
  <c r="G282" i="4"/>
  <c r="G286" i="4"/>
  <c r="G290" i="4"/>
  <c r="G294" i="4"/>
  <c r="G298" i="4"/>
  <c r="G302" i="4"/>
  <c r="G306" i="4"/>
  <c r="G310" i="4"/>
  <c r="G313" i="4"/>
  <c r="G317" i="4"/>
  <c r="G321" i="4"/>
  <c r="G325" i="4"/>
  <c r="A150" i="4"/>
  <c r="A166" i="4"/>
  <c r="A182" i="4"/>
  <c r="A198" i="4"/>
  <c r="A213" i="4"/>
  <c r="A229" i="4"/>
  <c r="A245" i="4"/>
  <c r="A260" i="4"/>
  <c r="A276" i="4"/>
  <c r="A292" i="4"/>
  <c r="A308" i="4"/>
  <c r="A323" i="4"/>
  <c r="A339" i="4"/>
  <c r="A355" i="4"/>
  <c r="A370" i="4"/>
  <c r="A385" i="4"/>
  <c r="A401" i="4"/>
  <c r="A417" i="4"/>
  <c r="A433" i="4"/>
  <c r="A449" i="4"/>
  <c r="A465" i="4"/>
  <c r="A481" i="4"/>
  <c r="A497" i="4"/>
  <c r="A513" i="4"/>
  <c r="A529" i="4"/>
  <c r="A545" i="4"/>
  <c r="A561" i="4"/>
  <c r="A577" i="4"/>
  <c r="A593" i="4"/>
  <c r="A127" i="4"/>
  <c r="A621" i="4"/>
  <c r="A635" i="4"/>
  <c r="A643" i="4"/>
  <c r="A651" i="4"/>
  <c r="A658" i="4"/>
  <c r="A666" i="4"/>
  <c r="A674" i="4"/>
  <c r="A682" i="4"/>
  <c r="A689" i="4"/>
  <c r="A697" i="4"/>
  <c r="A705" i="4"/>
  <c r="A713" i="4"/>
  <c r="A721" i="4"/>
  <c r="A729" i="4"/>
  <c r="A737" i="4"/>
  <c r="A745" i="4"/>
  <c r="A753" i="4"/>
  <c r="A761" i="4"/>
  <c r="A769" i="4"/>
  <c r="A777" i="4"/>
  <c r="A785" i="4"/>
  <c r="A793" i="4"/>
  <c r="A801" i="4"/>
  <c r="A809" i="4"/>
  <c r="A815" i="4"/>
  <c r="A133" i="4"/>
  <c r="A830" i="4"/>
  <c r="A838" i="4"/>
  <c r="A846" i="4"/>
  <c r="A854" i="4"/>
  <c r="A861" i="4"/>
  <c r="A869" i="4"/>
  <c r="A877" i="4"/>
  <c r="A885" i="4"/>
  <c r="A889" i="4"/>
  <c r="A893" i="4"/>
  <c r="A897" i="4"/>
  <c r="A901" i="4"/>
  <c r="A905" i="4"/>
  <c r="A909" i="4"/>
  <c r="A913" i="4"/>
  <c r="A917" i="4"/>
  <c r="A921" i="4"/>
  <c r="A925" i="4"/>
  <c r="A929" i="4"/>
  <c r="A933" i="4"/>
  <c r="A937" i="4"/>
  <c r="A941" i="4"/>
  <c r="A945" i="4"/>
  <c r="A949" i="4"/>
  <c r="A952" i="4"/>
  <c r="A956" i="4"/>
  <c r="A960" i="4"/>
  <c r="A964" i="4"/>
  <c r="A968" i="4"/>
  <c r="A972" i="4"/>
  <c r="A976" i="4"/>
  <c r="A73" i="4"/>
  <c r="A983" i="4"/>
  <c r="A986" i="4"/>
  <c r="A990" i="4"/>
  <c r="A994" i="4"/>
  <c r="A998" i="4"/>
  <c r="A1002" i="4"/>
  <c r="A1006" i="4"/>
  <c r="A1010" i="4"/>
  <c r="A1014" i="4"/>
  <c r="A1018" i="4"/>
  <c r="A1022" i="4"/>
  <c r="A1026" i="4"/>
  <c r="A1030" i="4"/>
  <c r="A1034" i="4"/>
  <c r="A1038" i="4"/>
  <c r="A1042" i="4"/>
  <c r="A1046" i="4"/>
  <c r="A1050" i="4"/>
  <c r="A1053" i="4"/>
  <c r="A1057" i="4"/>
  <c r="A1060" i="4"/>
  <c r="A1064" i="4"/>
  <c r="A1068" i="4"/>
  <c r="A1071" i="4"/>
  <c r="A1075" i="4"/>
  <c r="A1079" i="4"/>
  <c r="A1082" i="4"/>
  <c r="A1086" i="4"/>
  <c r="A1090" i="4"/>
  <c r="A1094" i="4"/>
  <c r="A1098" i="4"/>
  <c r="A1102" i="4"/>
  <c r="A50" i="4"/>
  <c r="A1108" i="4"/>
  <c r="A1112" i="4"/>
  <c r="A1116" i="4"/>
  <c r="A1120" i="4"/>
  <c r="A1124" i="4"/>
  <c r="A1128" i="4"/>
  <c r="A1132" i="4"/>
  <c r="A1136" i="4"/>
  <c r="A1140" i="4"/>
  <c r="A1144" i="4"/>
  <c r="A1148" i="4"/>
  <c r="A1152" i="4"/>
  <c r="A1156" i="4"/>
  <c r="A1160" i="4"/>
  <c r="A1164" i="4"/>
  <c r="A1167" i="4"/>
  <c r="A1170" i="4"/>
  <c r="A134" i="4"/>
  <c r="A1175" i="4"/>
  <c r="A1179" i="4"/>
  <c r="A1183" i="4"/>
  <c r="A1187" i="4"/>
  <c r="A66" i="4"/>
  <c r="A1189" i="4"/>
  <c r="A1193" i="4"/>
  <c r="A1197" i="4"/>
  <c r="A1201" i="4"/>
  <c r="A1205" i="4"/>
  <c r="A1209" i="4"/>
  <c r="A1212" i="4"/>
  <c r="A1216" i="4"/>
  <c r="A1220" i="4"/>
  <c r="A118" i="4"/>
  <c r="A123" i="4"/>
  <c r="A1230" i="4"/>
  <c r="A1233" i="4"/>
  <c r="A1237" i="4"/>
  <c r="A1241" i="4"/>
  <c r="A1245" i="4"/>
  <c r="A1249" i="4"/>
  <c r="A1253" i="4"/>
  <c r="A1257" i="4"/>
  <c r="A1261" i="4"/>
  <c r="A1265" i="4"/>
  <c r="A1269" i="4"/>
  <c r="A1273" i="4"/>
  <c r="A1277" i="4"/>
  <c r="A1281" i="4"/>
  <c r="A1284" i="4"/>
  <c r="A1287" i="4"/>
  <c r="A15" i="4"/>
  <c r="A129" i="4"/>
  <c r="A1293" i="4"/>
  <c r="A1295" i="4"/>
  <c r="A42" i="4"/>
  <c r="A1298" i="4"/>
  <c r="A1300" i="4"/>
  <c r="A124" i="4"/>
  <c r="A1302" i="4"/>
  <c r="A29" i="4"/>
  <c r="A23" i="4"/>
  <c r="A1308" i="4"/>
  <c r="A1311" i="4"/>
  <c r="A1312" i="4"/>
  <c r="A55" i="4"/>
  <c r="A64" i="4"/>
  <c r="A82" i="4"/>
  <c r="A98" i="4"/>
  <c r="A89" i="4"/>
  <c r="A1318" i="4"/>
  <c r="A68" i="4"/>
  <c r="A135" i="4"/>
  <c r="A1321" i="4"/>
  <c r="A94" i="4"/>
  <c r="A1326" i="4"/>
  <c r="A1329" i="4"/>
  <c r="A1332" i="4"/>
  <c r="A1333" i="4"/>
  <c r="A102" i="4"/>
  <c r="A106" i="4"/>
  <c r="A49" i="4"/>
  <c r="A52" i="4"/>
  <c r="A22" i="4"/>
  <c r="A40" i="4"/>
  <c r="A96" i="4"/>
  <c r="G139" i="4"/>
  <c r="G143" i="4"/>
  <c r="G147" i="4"/>
  <c r="G151" i="4"/>
  <c r="G155" i="4"/>
  <c r="G159" i="4"/>
  <c r="G163" i="4"/>
  <c r="G167" i="4"/>
  <c r="G171" i="4"/>
  <c r="G175" i="4"/>
  <c r="G179" i="4"/>
  <c r="G183" i="4"/>
  <c r="G187" i="4"/>
  <c r="G191" i="4"/>
  <c r="G195" i="4"/>
  <c r="G199" i="4"/>
  <c r="G203" i="4"/>
  <c r="G207" i="4"/>
  <c r="G211" i="4"/>
  <c r="G214" i="4"/>
  <c r="G218" i="4"/>
  <c r="G222" i="4"/>
  <c r="G226" i="4"/>
  <c r="G230" i="4"/>
  <c r="G234" i="4"/>
  <c r="G238" i="4"/>
  <c r="G242" i="4"/>
  <c r="G246" i="4"/>
  <c r="G249" i="4"/>
  <c r="G253" i="4"/>
  <c r="G257" i="4"/>
  <c r="G261" i="4"/>
  <c r="G265" i="4"/>
  <c r="G269" i="4"/>
  <c r="G273" i="4"/>
  <c r="G277" i="4"/>
  <c r="G281" i="4"/>
  <c r="G285" i="4"/>
  <c r="G289" i="4"/>
  <c r="G293" i="4"/>
  <c r="G297" i="4"/>
  <c r="G301" i="4"/>
  <c r="G305" i="4"/>
  <c r="G309" i="4"/>
  <c r="G6" i="4"/>
  <c r="G316" i="4"/>
  <c r="G320" i="4"/>
  <c r="G324" i="4"/>
  <c r="A142" i="4"/>
  <c r="A174" i="4"/>
  <c r="A206" i="4"/>
  <c r="A237" i="4"/>
  <c r="A268" i="4"/>
  <c r="A300" i="4"/>
  <c r="A331" i="4"/>
  <c r="A100" i="4"/>
  <c r="A393" i="4"/>
  <c r="A425" i="4"/>
  <c r="A457" i="4"/>
  <c r="A489" i="4"/>
  <c r="A521" i="4"/>
  <c r="A553" i="4"/>
  <c r="A585" i="4"/>
  <c r="A614" i="4"/>
  <c r="A639" i="4"/>
  <c r="A654" i="4"/>
  <c r="A670" i="4"/>
  <c r="A105" i="4"/>
  <c r="A701" i="4"/>
  <c r="A717" i="4"/>
  <c r="A733" i="4"/>
  <c r="A749" i="4"/>
  <c r="A765" i="4"/>
  <c r="A781" i="4"/>
  <c r="A797" i="4"/>
  <c r="A813" i="4"/>
  <c r="A826" i="4"/>
  <c r="A842" i="4"/>
  <c r="A857" i="4"/>
  <c r="A873" i="4"/>
  <c r="A887" i="4"/>
  <c r="A895" i="4"/>
  <c r="A903" i="4"/>
  <c r="A911" i="4"/>
  <c r="A919" i="4"/>
  <c r="A927" i="4"/>
  <c r="A935" i="4"/>
  <c r="A943" i="4"/>
  <c r="A951" i="4"/>
  <c r="A958" i="4"/>
  <c r="A966" i="4"/>
  <c r="A974" i="4"/>
  <c r="A981" i="4"/>
  <c r="A988" i="4"/>
  <c r="A996" i="4"/>
  <c r="A1004" i="4"/>
  <c r="A1012" i="4"/>
  <c r="A1020" i="4"/>
  <c r="A1028" i="4"/>
  <c r="A1036" i="4"/>
  <c r="A1044" i="4"/>
  <c r="A1051" i="4"/>
  <c r="A1058" i="4"/>
  <c r="A1066" i="4"/>
  <c r="A1073" i="4"/>
  <c r="A1081" i="4"/>
  <c r="A1088" i="4"/>
  <c r="A1096" i="4"/>
  <c r="A111" i="4"/>
  <c r="A1110" i="4"/>
  <c r="A1118" i="4"/>
  <c r="A1126" i="4"/>
  <c r="A1134" i="4"/>
  <c r="A1142" i="4"/>
  <c r="A1150" i="4"/>
  <c r="A1158" i="4"/>
  <c r="A74" i="4"/>
  <c r="A17" i="4"/>
  <c r="A1177" i="4"/>
  <c r="A1185" i="4"/>
  <c r="A113" i="4"/>
  <c r="A1195" i="4"/>
  <c r="A1203" i="4"/>
  <c r="A1211" i="4"/>
  <c r="A1218" i="4"/>
  <c r="A1225" i="4"/>
  <c r="A1232" i="4"/>
  <c r="A1239" i="4"/>
  <c r="A1247" i="4"/>
  <c r="A1255" i="4"/>
  <c r="A1263" i="4"/>
  <c r="A1271" i="4"/>
  <c r="A1279" i="4"/>
  <c r="A11" i="4"/>
  <c r="A1290" i="4"/>
  <c r="A12" i="4"/>
  <c r="A1296" i="4"/>
  <c r="A71" i="4"/>
  <c r="A1304" i="4"/>
  <c r="A35" i="4"/>
  <c r="A63" i="4"/>
  <c r="A1314" i="4"/>
  <c r="A1316" i="4"/>
  <c r="A27" i="4"/>
  <c r="A1319" i="4"/>
  <c r="A1323" i="4"/>
  <c r="A48" i="4"/>
  <c r="A76" i="4"/>
  <c r="A1334" i="4"/>
  <c r="A112" i="4"/>
  <c r="A77" i="4"/>
  <c r="G137" i="4"/>
  <c r="G145" i="4"/>
  <c r="G153" i="4"/>
  <c r="G161" i="4"/>
  <c r="G169" i="4"/>
  <c r="G177" i="4"/>
  <c r="G185" i="4"/>
  <c r="G193" i="4"/>
  <c r="G201" i="4"/>
  <c r="G209" i="4"/>
  <c r="G216" i="4"/>
  <c r="G224" i="4"/>
  <c r="G232" i="4"/>
  <c r="G240" i="4"/>
  <c r="G69" i="4"/>
  <c r="G255" i="4"/>
  <c r="G263" i="4"/>
  <c r="G271" i="4"/>
  <c r="G279" i="4"/>
  <c r="G287" i="4"/>
  <c r="G295" i="4"/>
  <c r="G303" i="4"/>
  <c r="G311" i="4"/>
  <c r="G318" i="4"/>
  <c r="G326" i="4"/>
  <c r="G330" i="4"/>
  <c r="G334" i="4"/>
  <c r="G338" i="4"/>
  <c r="G342" i="4"/>
  <c r="G346" i="4"/>
  <c r="G350" i="4"/>
  <c r="G354" i="4"/>
  <c r="G358" i="4"/>
  <c r="G362" i="4"/>
  <c r="G365" i="4"/>
  <c r="G369" i="4"/>
  <c r="G372" i="4"/>
  <c r="G376" i="4"/>
  <c r="G380" i="4"/>
  <c r="G384" i="4"/>
  <c r="G388" i="4"/>
  <c r="G392" i="4"/>
  <c r="G396" i="4"/>
  <c r="G400" i="4"/>
  <c r="G404" i="4"/>
  <c r="G408" i="4"/>
  <c r="G412" i="4"/>
  <c r="G416" i="4"/>
  <c r="G420" i="4"/>
  <c r="G424" i="4"/>
  <c r="G428" i="4"/>
  <c r="G432" i="4"/>
  <c r="G436" i="4"/>
  <c r="G440" i="4"/>
  <c r="G444" i="4"/>
  <c r="G448" i="4"/>
  <c r="G452" i="4"/>
  <c r="G456" i="4"/>
  <c r="G460" i="4"/>
  <c r="G464" i="4"/>
  <c r="G468" i="4"/>
  <c r="G472" i="4"/>
  <c r="G476" i="4"/>
  <c r="G480" i="4"/>
  <c r="G484" i="4"/>
  <c r="G488" i="4"/>
  <c r="G492" i="4"/>
  <c r="G496" i="4"/>
  <c r="G500" i="4"/>
  <c r="G504" i="4"/>
  <c r="G508" i="4"/>
  <c r="G512" i="4"/>
  <c r="G516" i="4"/>
  <c r="G520" i="4"/>
  <c r="G524" i="4"/>
  <c r="G528" i="4"/>
  <c r="G532" i="4"/>
  <c r="G536" i="4"/>
  <c r="G540" i="4"/>
  <c r="G544" i="4"/>
  <c r="G548" i="4"/>
  <c r="G552" i="4"/>
  <c r="G556" i="4"/>
  <c r="G560" i="4"/>
  <c r="G564" i="4"/>
  <c r="G568" i="4"/>
  <c r="G572" i="4"/>
  <c r="G576" i="4"/>
  <c r="G580" i="4"/>
  <c r="G584" i="4"/>
  <c r="G588" i="4"/>
  <c r="G592" i="4"/>
  <c r="G596" i="4"/>
  <c r="G600" i="4"/>
  <c r="G604" i="4"/>
  <c r="G80" i="4"/>
  <c r="G609" i="4"/>
  <c r="G613" i="4"/>
  <c r="G119" i="4"/>
  <c r="G620" i="4"/>
  <c r="G624" i="4"/>
  <c r="G628" i="4"/>
  <c r="G632" i="4"/>
  <c r="G636" i="4"/>
  <c r="G640" i="4"/>
  <c r="G644" i="4"/>
  <c r="G648" i="4"/>
  <c r="G90" i="4"/>
  <c r="G655" i="4"/>
  <c r="G659" i="4"/>
  <c r="G663" i="4"/>
  <c r="G667" i="4"/>
  <c r="G671" i="4"/>
  <c r="G675" i="4"/>
  <c r="G679" i="4"/>
  <c r="G683" i="4"/>
  <c r="G686" i="4"/>
  <c r="G690" i="4"/>
  <c r="G694" i="4"/>
  <c r="G698" i="4"/>
  <c r="G702" i="4"/>
  <c r="G706" i="4"/>
  <c r="G710" i="4"/>
  <c r="G714" i="4"/>
  <c r="G718" i="4"/>
  <c r="G722" i="4"/>
  <c r="G726" i="4"/>
  <c r="G730" i="4"/>
  <c r="G734" i="4"/>
  <c r="G738" i="4"/>
  <c r="G742" i="4"/>
  <c r="A147" i="4"/>
  <c r="A179" i="4"/>
  <c r="A211" i="4"/>
  <c r="A242" i="4"/>
  <c r="A273" i="4"/>
  <c r="A305" i="4"/>
  <c r="A336" i="4"/>
  <c r="A367" i="4"/>
  <c r="A398" i="4"/>
  <c r="A430" i="4"/>
  <c r="A462" i="4"/>
  <c r="A494" i="4"/>
  <c r="A526" i="4"/>
  <c r="A558" i="4"/>
  <c r="A590" i="4"/>
  <c r="A618" i="4"/>
  <c r="A642" i="4"/>
  <c r="A657" i="4"/>
  <c r="A673" i="4"/>
  <c r="A688" i="4"/>
  <c r="A704" i="4"/>
  <c r="A720" i="4"/>
  <c r="A736" i="4"/>
  <c r="A752" i="4"/>
  <c r="A768" i="4"/>
  <c r="A784" i="4"/>
  <c r="A800" i="4"/>
  <c r="A814" i="4"/>
  <c r="A829" i="4"/>
  <c r="A845" i="4"/>
  <c r="A860" i="4"/>
  <c r="A876" i="4"/>
  <c r="A888" i="4"/>
  <c r="A896" i="4"/>
  <c r="A904" i="4"/>
  <c r="A912" i="4"/>
  <c r="A920" i="4"/>
  <c r="A928" i="4"/>
  <c r="A936" i="4"/>
  <c r="A944" i="4"/>
  <c r="A108" i="4"/>
  <c r="A959" i="4"/>
  <c r="A967" i="4"/>
  <c r="A975" i="4"/>
  <c r="A982" i="4"/>
  <c r="A989" i="4"/>
  <c r="A997" i="4"/>
  <c r="A1005" i="4"/>
  <c r="A1013" i="4"/>
  <c r="A1021" i="4"/>
  <c r="A1029" i="4"/>
  <c r="A1037" i="4"/>
  <c r="A1045" i="4"/>
  <c r="A1052" i="4"/>
  <c r="A1059" i="4"/>
  <c r="A1067" i="4"/>
  <c r="A1074" i="4"/>
  <c r="A97" i="4"/>
  <c r="A1089" i="4"/>
  <c r="A1097" i="4"/>
  <c r="A1104" i="4"/>
  <c r="A1111" i="4"/>
  <c r="A1119" i="4"/>
  <c r="A1127" i="4"/>
  <c r="A1135" i="4"/>
  <c r="A1143" i="4"/>
  <c r="A1151" i="4"/>
  <c r="A1159" i="4"/>
  <c r="A1166" i="4"/>
  <c r="A1172" i="4"/>
  <c r="A1178" i="4"/>
  <c r="A1186" i="4"/>
  <c r="A109" i="4"/>
  <c r="A1196" i="4"/>
  <c r="A1204" i="4"/>
  <c r="A9" i="4"/>
  <c r="A1219" i="4"/>
  <c r="A1226" i="4"/>
  <c r="A10" i="4"/>
  <c r="A1240" i="4"/>
  <c r="A1248" i="4"/>
  <c r="A1256" i="4"/>
  <c r="A1264" i="4"/>
  <c r="A1272" i="4"/>
  <c r="A1280" i="4"/>
  <c r="A1286" i="4"/>
  <c r="A132" i="4"/>
  <c r="A1294" i="4"/>
  <c r="A1297" i="4"/>
  <c r="A120" i="4"/>
  <c r="A93" i="4"/>
  <c r="A115" i="4"/>
  <c r="A72" i="4"/>
  <c r="A26" i="4"/>
  <c r="A25" i="4"/>
  <c r="A30" i="4"/>
  <c r="A1320" i="4"/>
  <c r="A1324" i="4"/>
  <c r="A1328" i="4"/>
  <c r="A34" i="4"/>
  <c r="A59" i="4"/>
  <c r="A20" i="4"/>
  <c r="A1336" i="4"/>
  <c r="G138" i="4"/>
  <c r="G146" i="4"/>
  <c r="G154" i="4"/>
  <c r="G162" i="4"/>
  <c r="G170" i="4"/>
  <c r="G178" i="4"/>
  <c r="G186" i="4"/>
  <c r="G194" i="4"/>
  <c r="G202" i="4"/>
  <c r="G210" i="4"/>
  <c r="G217" i="4"/>
  <c r="G225" i="4"/>
  <c r="G233" i="4"/>
  <c r="G241" i="4"/>
  <c r="G248" i="4"/>
  <c r="G256" i="4"/>
  <c r="G264" i="4"/>
  <c r="G272" i="4"/>
  <c r="G280" i="4"/>
  <c r="G288" i="4"/>
  <c r="G296" i="4"/>
  <c r="G304" i="4"/>
  <c r="G312" i="4"/>
  <c r="G319" i="4"/>
  <c r="G327" i="4"/>
  <c r="G331" i="4"/>
  <c r="G335" i="4"/>
  <c r="G339" i="4"/>
  <c r="G343" i="4"/>
  <c r="G347" i="4"/>
  <c r="G351" i="4"/>
  <c r="G355" i="4"/>
  <c r="G359" i="4"/>
  <c r="G100" i="4"/>
  <c r="G366" i="4"/>
  <c r="G370" i="4"/>
  <c r="G373" i="4"/>
  <c r="G377" i="4"/>
  <c r="G381" i="4"/>
  <c r="G385" i="4"/>
  <c r="G389" i="4"/>
  <c r="G393" i="4"/>
  <c r="G397" i="4"/>
  <c r="G401" i="4"/>
  <c r="G405" i="4"/>
  <c r="G409" i="4"/>
  <c r="G413" i="4"/>
  <c r="G417" i="4"/>
  <c r="G421" i="4"/>
  <c r="G425" i="4"/>
  <c r="G429" i="4"/>
  <c r="G433" i="4"/>
  <c r="G437" i="4"/>
  <c r="G441" i="4"/>
  <c r="G445" i="4"/>
  <c r="G449" i="4"/>
  <c r="G453" i="4"/>
  <c r="G457" i="4"/>
  <c r="G461" i="4"/>
  <c r="G465" i="4"/>
  <c r="G469" i="4"/>
  <c r="G473" i="4"/>
  <c r="G477" i="4"/>
  <c r="G481" i="4"/>
  <c r="G485" i="4"/>
  <c r="G489" i="4"/>
  <c r="G493" i="4"/>
  <c r="G497" i="4"/>
  <c r="G501" i="4"/>
  <c r="G505" i="4"/>
  <c r="G509" i="4"/>
  <c r="G513" i="4"/>
  <c r="G517" i="4"/>
  <c r="G521" i="4"/>
  <c r="G525" i="4"/>
  <c r="G529" i="4"/>
  <c r="G533" i="4"/>
  <c r="G537" i="4"/>
  <c r="G541" i="4"/>
  <c r="G545" i="4"/>
  <c r="G549" i="4"/>
  <c r="G553" i="4"/>
  <c r="G557" i="4"/>
  <c r="G561" i="4"/>
  <c r="G565" i="4"/>
  <c r="G569" i="4"/>
  <c r="G573" i="4"/>
  <c r="G577" i="4"/>
  <c r="G581" i="4"/>
  <c r="G585" i="4"/>
  <c r="G589" i="4"/>
  <c r="G593" i="4"/>
  <c r="G597" i="4"/>
  <c r="G601" i="4"/>
  <c r="G605" i="4"/>
  <c r="G127" i="4"/>
  <c r="G610" i="4"/>
  <c r="G614" i="4"/>
  <c r="G617" i="4"/>
  <c r="G621" i="4"/>
  <c r="G625" i="4"/>
  <c r="G629" i="4"/>
  <c r="G633" i="4"/>
  <c r="G637" i="4"/>
  <c r="G641" i="4"/>
  <c r="G645" i="4"/>
  <c r="G649" i="4"/>
  <c r="G652" i="4"/>
  <c r="G656" i="4"/>
  <c r="G660" i="4"/>
  <c r="G664" i="4"/>
  <c r="G668" i="4"/>
  <c r="G672" i="4"/>
  <c r="G676" i="4"/>
  <c r="G680" i="4"/>
  <c r="G684" i="4"/>
  <c r="G687" i="4"/>
  <c r="G691" i="4"/>
  <c r="G695" i="4"/>
  <c r="G699" i="4"/>
  <c r="G703" i="4"/>
  <c r="G707" i="4"/>
  <c r="G711" i="4"/>
  <c r="G715" i="4"/>
  <c r="G719" i="4"/>
  <c r="G723" i="4"/>
  <c r="G727" i="4"/>
  <c r="G731" i="4"/>
  <c r="G735" i="4"/>
  <c r="G739" i="4"/>
  <c r="G743" i="4"/>
  <c r="G747" i="4"/>
  <c r="G751" i="4"/>
  <c r="G755" i="4"/>
  <c r="G759" i="4"/>
  <c r="G763" i="4"/>
  <c r="G767" i="4"/>
  <c r="G771" i="4"/>
  <c r="G775" i="4"/>
  <c r="G779" i="4"/>
  <c r="G783" i="4"/>
  <c r="G787" i="4"/>
  <c r="G791" i="4"/>
  <c r="G795" i="4"/>
  <c r="G799" i="4"/>
  <c r="G803" i="4"/>
  <c r="G807" i="4"/>
  <c r="G811" i="4"/>
  <c r="G39" i="4"/>
  <c r="G817" i="4"/>
  <c r="G821" i="4"/>
  <c r="G824" i="4"/>
  <c r="A158" i="4"/>
  <c r="A221" i="4"/>
  <c r="A284" i="4"/>
  <c r="A347" i="4"/>
  <c r="A409" i="4"/>
  <c r="A473" i="4"/>
  <c r="A537" i="4"/>
  <c r="A601" i="4"/>
  <c r="A647" i="4"/>
  <c r="A678" i="4"/>
  <c r="A709" i="4"/>
  <c r="A741" i="4"/>
  <c r="A773" i="4"/>
  <c r="A805" i="4"/>
  <c r="A834" i="4"/>
  <c r="A865" i="4"/>
  <c r="A891" i="4"/>
  <c r="A907" i="4"/>
  <c r="A923" i="4"/>
  <c r="A939" i="4"/>
  <c r="A954" i="4"/>
  <c r="A970" i="4"/>
  <c r="A985" i="4"/>
  <c r="A1000" i="4"/>
  <c r="A1016" i="4"/>
  <c r="A1032" i="4"/>
  <c r="A1048" i="4"/>
  <c r="A1062" i="4"/>
  <c r="A1077" i="4"/>
  <c r="A1092" i="4"/>
  <c r="A1106" i="4"/>
  <c r="A1122" i="4"/>
  <c r="A1138" i="4"/>
  <c r="A1154" i="4"/>
  <c r="A1169" i="4"/>
  <c r="A1181" i="4"/>
  <c r="A1191" i="4"/>
  <c r="A1207" i="4"/>
  <c r="A1222" i="4"/>
  <c r="A1235" i="4"/>
  <c r="A1251" i="4"/>
  <c r="A1267" i="4"/>
  <c r="A1282" i="4"/>
  <c r="A1292" i="4"/>
  <c r="A62" i="4"/>
  <c r="A1306" i="4"/>
  <c r="A57" i="4"/>
  <c r="A43" i="4"/>
  <c r="A58" i="4"/>
  <c r="A31" i="4"/>
  <c r="A56" i="4"/>
  <c r="A44" i="4"/>
  <c r="G149" i="4"/>
  <c r="G165" i="4"/>
  <c r="G181" i="4"/>
  <c r="G197" i="4"/>
  <c r="G212" i="4"/>
  <c r="G228" i="4"/>
  <c r="G244" i="4"/>
  <c r="G259" i="4"/>
  <c r="G275" i="4"/>
  <c r="G291" i="4"/>
  <c r="G307" i="4"/>
  <c r="G322" i="4"/>
  <c r="G332" i="4"/>
  <c r="G340" i="4"/>
  <c r="G348" i="4"/>
  <c r="G356" i="4"/>
  <c r="G363" i="4"/>
  <c r="G371" i="4"/>
  <c r="G378" i="4"/>
  <c r="G386" i="4"/>
  <c r="G394" i="4"/>
  <c r="G402" i="4"/>
  <c r="G410" i="4"/>
  <c r="G418" i="4"/>
  <c r="G426" i="4"/>
  <c r="G434" i="4"/>
  <c r="G442" i="4"/>
  <c r="G450" i="4"/>
  <c r="G458" i="4"/>
  <c r="G466" i="4"/>
  <c r="G474" i="4"/>
  <c r="G482" i="4"/>
  <c r="G490" i="4"/>
  <c r="G498" i="4"/>
  <c r="G506" i="4"/>
  <c r="G514" i="4"/>
  <c r="G522" i="4"/>
  <c r="G530" i="4"/>
  <c r="G538" i="4"/>
  <c r="G546" i="4"/>
  <c r="G554" i="4"/>
  <c r="G562" i="4"/>
  <c r="G570" i="4"/>
  <c r="G578" i="4"/>
  <c r="G586" i="4"/>
  <c r="G594" i="4"/>
  <c r="G602" i="4"/>
  <c r="G85" i="4"/>
  <c r="G615" i="4"/>
  <c r="G622" i="4"/>
  <c r="G630" i="4"/>
  <c r="G638" i="4"/>
  <c r="G646" i="4"/>
  <c r="G653" i="4"/>
  <c r="G661" i="4"/>
  <c r="G669" i="4"/>
  <c r="G677" i="4"/>
  <c r="G685" i="4"/>
  <c r="G692" i="4"/>
  <c r="G700" i="4"/>
  <c r="G708" i="4"/>
  <c r="G716" i="4"/>
  <c r="G724" i="4"/>
  <c r="G732" i="4"/>
  <c r="G740" i="4"/>
  <c r="G746" i="4"/>
  <c r="G752" i="4"/>
  <c r="G757" i="4"/>
  <c r="G762" i="4"/>
  <c r="G768" i="4"/>
  <c r="G773" i="4"/>
  <c r="G778" i="4"/>
  <c r="G784" i="4"/>
  <c r="G789" i="4"/>
  <c r="G794" i="4"/>
  <c r="G800" i="4"/>
  <c r="G805" i="4"/>
  <c r="G810" i="4"/>
  <c r="G814" i="4"/>
  <c r="G819" i="4"/>
  <c r="G823" i="4"/>
  <c r="G828" i="4"/>
  <c r="G832" i="4"/>
  <c r="G836" i="4"/>
  <c r="G840" i="4"/>
  <c r="G844" i="4"/>
  <c r="G848" i="4"/>
  <c r="G852" i="4"/>
  <c r="G7" i="4"/>
  <c r="G859" i="4"/>
  <c r="G863" i="4"/>
  <c r="G867" i="4"/>
  <c r="G871" i="4"/>
  <c r="G875" i="4"/>
  <c r="G879" i="4"/>
  <c r="G883" i="4"/>
  <c r="G887" i="4"/>
  <c r="G891" i="4"/>
  <c r="G895" i="4"/>
  <c r="G899" i="4"/>
  <c r="G903" i="4"/>
  <c r="G907" i="4"/>
  <c r="G911" i="4"/>
  <c r="G915" i="4"/>
  <c r="G919" i="4"/>
  <c r="G923" i="4"/>
  <c r="G927" i="4"/>
  <c r="G931" i="4"/>
  <c r="G935" i="4"/>
  <c r="G939" i="4"/>
  <c r="G943" i="4"/>
  <c r="G947" i="4"/>
  <c r="G951" i="4"/>
  <c r="G954" i="4"/>
  <c r="G958" i="4"/>
  <c r="G962" i="4"/>
  <c r="G966" i="4"/>
  <c r="G970" i="4"/>
  <c r="G974" i="4"/>
  <c r="G978" i="4"/>
  <c r="G981" i="4"/>
  <c r="G985" i="4"/>
  <c r="G988" i="4"/>
  <c r="G992" i="4"/>
  <c r="G996" i="4"/>
  <c r="G1000" i="4"/>
  <c r="G1004" i="4"/>
  <c r="G1008" i="4"/>
  <c r="G1012" i="4"/>
  <c r="G1016" i="4"/>
  <c r="G1020" i="4"/>
  <c r="G1024" i="4"/>
  <c r="G1028" i="4"/>
  <c r="G1032" i="4"/>
  <c r="G1036" i="4"/>
  <c r="G1040" i="4"/>
  <c r="G1044" i="4"/>
  <c r="G1048" i="4"/>
  <c r="G1051" i="4"/>
  <c r="G1055" i="4"/>
  <c r="G1058" i="4"/>
  <c r="G1062" i="4"/>
  <c r="G1066" i="4"/>
  <c r="G1070" i="4"/>
  <c r="G1073" i="4"/>
  <c r="G1077" i="4"/>
  <c r="G1081" i="4"/>
  <c r="G1084" i="4"/>
  <c r="G1088" i="4"/>
  <c r="G1092" i="4"/>
  <c r="G1096" i="4"/>
  <c r="G1100" i="4"/>
  <c r="G111" i="4"/>
  <c r="G1106" i="4"/>
  <c r="G1110" i="4"/>
  <c r="G1114" i="4"/>
  <c r="G1118" i="4"/>
  <c r="G1122" i="4"/>
  <c r="G1126" i="4"/>
  <c r="G1130" i="4"/>
  <c r="G1134" i="4"/>
  <c r="G1138" i="4"/>
  <c r="G1142" i="4"/>
  <c r="G1146" i="4"/>
  <c r="G1150" i="4"/>
  <c r="G1154" i="4"/>
  <c r="G1158" i="4"/>
  <c r="G1162" i="4"/>
  <c r="G74" i="4"/>
  <c r="G1169" i="4"/>
  <c r="G17" i="4"/>
  <c r="G1173" i="4"/>
  <c r="G1177" i="4"/>
  <c r="G1181" i="4"/>
  <c r="G1185" i="4"/>
  <c r="G1188" i="4"/>
  <c r="G113" i="4"/>
  <c r="G1191" i="4"/>
  <c r="G1195" i="4"/>
  <c r="G1199" i="4"/>
  <c r="G1203" i="4"/>
  <c r="G1207" i="4"/>
  <c r="G1211" i="4"/>
  <c r="G1214" i="4"/>
  <c r="G1218" i="4"/>
  <c r="G1222" i="4"/>
  <c r="G1225" i="4"/>
  <c r="G1228" i="4"/>
  <c r="G1232" i="4"/>
  <c r="G1235" i="4"/>
  <c r="G1239" i="4"/>
  <c r="G1243" i="4"/>
  <c r="G1247" i="4"/>
  <c r="G1251" i="4"/>
  <c r="G1255" i="4"/>
  <c r="G1259" i="4"/>
  <c r="G1263" i="4"/>
  <c r="G1267" i="4"/>
  <c r="G1271" i="4"/>
  <c r="G1275" i="4"/>
  <c r="G1279" i="4"/>
  <c r="G1282" i="4"/>
  <c r="G11" i="4"/>
  <c r="G1288" i="4"/>
  <c r="G1290" i="4"/>
  <c r="G1292" i="4"/>
  <c r="G12" i="4"/>
  <c r="G18" i="4"/>
  <c r="G1296" i="4"/>
  <c r="G62" i="4"/>
  <c r="G71" i="4"/>
  <c r="G128" i="4"/>
  <c r="G1304" i="4"/>
  <c r="G1306" i="4"/>
  <c r="G35" i="4"/>
  <c r="G1310" i="4"/>
  <c r="G63" i="4"/>
  <c r="G57" i="4"/>
  <c r="G1314" i="4"/>
  <c r="G86" i="4"/>
  <c r="G1316" i="4"/>
  <c r="G43" i="4"/>
  <c r="G27" i="4"/>
  <c r="G36" i="4"/>
  <c r="G1319" i="4"/>
  <c r="G58" i="4"/>
  <c r="G1323" i="4"/>
  <c r="G46" i="4"/>
  <c r="G48" i="4"/>
  <c r="G31" i="4"/>
  <c r="G76" i="4"/>
  <c r="G21" i="4"/>
  <c r="G1334" i="4"/>
  <c r="G56" i="4"/>
  <c r="G112" i="4"/>
  <c r="G110" i="4"/>
  <c r="G77" i="4"/>
  <c r="G44" i="4"/>
  <c r="A252" i="4"/>
  <c r="A377" i="4"/>
  <c r="A505" i="4"/>
  <c r="A569" i="4"/>
  <c r="A662" i="4"/>
  <c r="A725" i="4"/>
  <c r="A789" i="4"/>
  <c r="A850" i="4"/>
  <c r="A899" i="4"/>
  <c r="A947" i="4"/>
  <c r="A962" i="4"/>
  <c r="A992" i="4"/>
  <c r="A1024" i="4"/>
  <c r="A1055" i="4"/>
  <c r="A1084" i="4"/>
  <c r="A1114" i="4"/>
  <c r="A1146" i="4"/>
  <c r="A1173" i="4"/>
  <c r="A1199" i="4"/>
  <c r="A1228" i="4"/>
  <c r="A1259" i="4"/>
  <c r="A1288" i="4"/>
  <c r="A128" i="4"/>
  <c r="A86" i="4"/>
  <c r="A46" i="4"/>
  <c r="A110" i="4"/>
  <c r="G157" i="4"/>
  <c r="G189" i="4"/>
  <c r="G220" i="4"/>
  <c r="G251" i="4"/>
  <c r="G283" i="4"/>
  <c r="G314" i="4"/>
  <c r="G336" i="4"/>
  <c r="G352" i="4"/>
  <c r="G360" i="4"/>
  <c r="G374" i="4"/>
  <c r="G390" i="4"/>
  <c r="G414" i="4"/>
  <c r="G430" i="4"/>
  <c r="G446" i="4"/>
  <c r="G454" i="4"/>
  <c r="G470" i="4"/>
  <c r="G486" i="4"/>
  <c r="G502" i="4"/>
  <c r="G518" i="4"/>
  <c r="G534" i="4"/>
  <c r="G558" i="4"/>
  <c r="G574" i="4"/>
  <c r="G590" i="4"/>
  <c r="G598" i="4"/>
  <c r="G611" i="4"/>
  <c r="G626" i="4"/>
  <c r="G642" i="4"/>
  <c r="G657" i="4"/>
  <c r="G673" i="4"/>
  <c r="G688" i="4"/>
  <c r="G696" i="4"/>
  <c r="G712" i="4"/>
  <c r="G728" i="4"/>
  <c r="G744" i="4"/>
  <c r="G754" i="4"/>
  <c r="G765" i="4"/>
  <c r="G776" i="4"/>
  <c r="G786" i="4"/>
  <c r="G797" i="4"/>
  <c r="G808" i="4"/>
  <c r="G816" i="4"/>
  <c r="G826" i="4"/>
  <c r="G834" i="4"/>
  <c r="G846" i="4"/>
  <c r="G854" i="4"/>
  <c r="G861" i="4"/>
  <c r="G869" i="4"/>
  <c r="G877" i="4"/>
  <c r="G881" i="4"/>
  <c r="G889" i="4"/>
  <c r="G897" i="4"/>
  <c r="G905" i="4"/>
  <c r="G913" i="4"/>
  <c r="G921" i="4"/>
  <c r="G933" i="4"/>
  <c r="G941" i="4"/>
  <c r="G949" i="4"/>
  <c r="G952" i="4"/>
  <c r="G960" i="4"/>
  <c r="G968" i="4"/>
  <c r="G976" i="4"/>
  <c r="G983" i="4"/>
  <c r="G994" i="4"/>
  <c r="G1002" i="4"/>
  <c r="G1006" i="4"/>
  <c r="G1014" i="4"/>
  <c r="G1026" i="4"/>
  <c r="G1034" i="4"/>
  <c r="G1038" i="4"/>
  <c r="G1046" i="4"/>
  <c r="G1053" i="4"/>
  <c r="G1060" i="4"/>
  <c r="G1068" i="4"/>
  <c r="G1079" i="4"/>
  <c r="G1086" i="4"/>
  <c r="G1094" i="4"/>
  <c r="G1102" i="4"/>
  <c r="G1108" i="4"/>
  <c r="G1116" i="4"/>
  <c r="G1120" i="4"/>
  <c r="G1128" i="4"/>
  <c r="G1136" i="4"/>
  <c r="G1144" i="4"/>
  <c r="G1152" i="4"/>
  <c r="G1164" i="4"/>
  <c r="G1170" i="4"/>
  <c r="G1175" i="4"/>
  <c r="G1183" i="4"/>
  <c r="G66" i="4"/>
  <c r="G1193" i="4"/>
  <c r="G1201" i="4"/>
  <c r="G1209" i="4"/>
  <c r="G1216" i="4"/>
  <c r="G118" i="4"/>
  <c r="G1230" i="4"/>
  <c r="G1237" i="4"/>
  <c r="G1245" i="4"/>
  <c r="G1253" i="4"/>
  <c r="G1261" i="4"/>
  <c r="G1269" i="4"/>
  <c r="G1277" i="4"/>
  <c r="G1284" i="4"/>
  <c r="G15" i="4"/>
  <c r="G1293" i="4"/>
  <c r="G42" i="4"/>
  <c r="G1300" i="4"/>
  <c r="G1302" i="4"/>
  <c r="G23" i="4"/>
  <c r="G1311" i="4"/>
  <c r="G55" i="4"/>
  <c r="G82" i="4"/>
  <c r="G89" i="4"/>
  <c r="G68" i="4"/>
  <c r="G1321" i="4"/>
  <c r="G1326" i="4"/>
  <c r="G1332" i="4"/>
  <c r="G102" i="4"/>
  <c r="G49" i="4"/>
  <c r="G22" i="4"/>
  <c r="G96" i="4"/>
  <c r="A195" i="4"/>
  <c r="A320" i="4"/>
  <c r="A382" i="4"/>
  <c r="A510" i="4"/>
  <c r="A574" i="4"/>
  <c r="A696" i="4"/>
  <c r="A760" i="4"/>
  <c r="A822" i="4"/>
  <c r="A884" i="4"/>
  <c r="A916" i="4"/>
  <c r="A948" i="4"/>
  <c r="A979" i="4"/>
  <c r="A1009" i="4"/>
  <c r="A1041" i="4"/>
  <c r="A121" i="4"/>
  <c r="A1101" i="4"/>
  <c r="A1131" i="4"/>
  <c r="A1163" i="4"/>
  <c r="A1174" i="4"/>
  <c r="A1215" i="4"/>
  <c r="A1244" i="4"/>
  <c r="A1276" i="4"/>
  <c r="A19" i="4"/>
  <c r="A88" i="4"/>
  <c r="A38" i="4"/>
  <c r="A79" i="4"/>
  <c r="G142" i="4"/>
  <c r="G174" i="4"/>
  <c r="G206" i="4"/>
  <c r="G237" i="4"/>
  <c r="G268" i="4"/>
  <c r="G300" i="4"/>
  <c r="G329" i="4"/>
  <c r="G345" i="4"/>
  <c r="G361" i="4"/>
  <c r="G375" i="4"/>
  <c r="G391" i="4"/>
  <c r="G407" i="4"/>
  <c r="G423" i="4"/>
  <c r="G439" i="4"/>
  <c r="G447" i="4"/>
  <c r="G463" i="4"/>
  <c r="G479" i="4"/>
  <c r="G495" i="4"/>
  <c r="G511" i="4"/>
  <c r="G527" i="4"/>
  <c r="G551" i="4"/>
  <c r="G567" i="4"/>
  <c r="G575" i="4"/>
  <c r="G591" i="4"/>
  <c r="G607" i="4"/>
  <c r="G627" i="4"/>
  <c r="G643" i="4"/>
  <c r="G658" i="4"/>
  <c r="G674" i="4"/>
  <c r="G689" i="4"/>
  <c r="G705" i="4"/>
  <c r="G721" i="4"/>
  <c r="G737" i="4"/>
  <c r="G756" i="4"/>
  <c r="G766" i="4"/>
  <c r="G777" i="4"/>
  <c r="G788" i="4"/>
  <c r="G793" i="4"/>
  <c r="G804" i="4"/>
  <c r="G107" i="4"/>
  <c r="G133" i="4"/>
  <c r="G831" i="4"/>
  <c r="G839" i="4"/>
  <c r="G847" i="4"/>
  <c r="G855" i="4"/>
  <c r="G862" i="4"/>
  <c r="G870" i="4"/>
  <c r="G878" i="4"/>
  <c r="G886" i="4"/>
  <c r="A163" i="4"/>
  <c r="A226" i="4"/>
  <c r="A289" i="4"/>
  <c r="A352" i="4"/>
  <c r="A414" i="4"/>
  <c r="A478" i="4"/>
  <c r="A542" i="4"/>
  <c r="A606" i="4"/>
  <c r="A650" i="4"/>
  <c r="A681" i="4"/>
  <c r="A712" i="4"/>
  <c r="A744" i="4"/>
  <c r="A776" i="4"/>
  <c r="A808" i="4"/>
  <c r="A837" i="4"/>
  <c r="A868" i="4"/>
  <c r="A892" i="4"/>
  <c r="A908" i="4"/>
  <c r="A924" i="4"/>
  <c r="A940" i="4"/>
  <c r="A955" i="4"/>
  <c r="A971" i="4"/>
  <c r="A60" i="4"/>
  <c r="A1001" i="4"/>
  <c r="A1017" i="4"/>
  <c r="A1033" i="4"/>
  <c r="A1049" i="4"/>
  <c r="A1063" i="4"/>
  <c r="A1078" i="4"/>
  <c r="A1093" i="4"/>
  <c r="A1107" i="4"/>
  <c r="A1123" i="4"/>
  <c r="A1139" i="4"/>
  <c r="A1155" i="4"/>
  <c r="A117" i="4"/>
  <c r="A1182" i="4"/>
  <c r="A1192" i="4"/>
  <c r="A1208" i="4"/>
  <c r="A1223" i="4"/>
  <c r="A1236" i="4"/>
  <c r="A1252" i="4"/>
  <c r="A1268" i="4"/>
  <c r="A1283" i="4"/>
  <c r="A91" i="4"/>
  <c r="A1299" i="4"/>
  <c r="A33" i="4"/>
  <c r="A45" i="4"/>
  <c r="A1317" i="4"/>
  <c r="A75" i="4"/>
  <c r="A1331" i="4"/>
  <c r="A103" i="4"/>
  <c r="A1338" i="4"/>
  <c r="G150" i="4"/>
  <c r="G166" i="4"/>
  <c r="G182" i="4"/>
  <c r="G198" i="4"/>
  <c r="G213" i="4"/>
  <c r="G229" i="4"/>
  <c r="G245" i="4"/>
  <c r="G260" i="4"/>
  <c r="G276" i="4"/>
  <c r="G292" i="4"/>
  <c r="G308" i="4"/>
  <c r="G323" i="4"/>
  <c r="G333" i="4"/>
  <c r="G341" i="4"/>
  <c r="G349" i="4"/>
  <c r="G357" i="4"/>
  <c r="G364" i="4"/>
  <c r="G61" i="4"/>
  <c r="G379" i="4"/>
  <c r="G387" i="4"/>
  <c r="G395" i="4"/>
  <c r="G403" i="4"/>
  <c r="G411" i="4"/>
  <c r="G419" i="4"/>
  <c r="G427" i="4"/>
  <c r="G435" i="4"/>
  <c r="G443" i="4"/>
  <c r="G451" i="4"/>
  <c r="G459" i="4"/>
  <c r="G467" i="4"/>
  <c r="G475" i="4"/>
  <c r="G483" i="4"/>
  <c r="G491" i="4"/>
  <c r="G499" i="4"/>
  <c r="G507" i="4"/>
  <c r="G515" i="4"/>
  <c r="G523" i="4"/>
  <c r="G531" i="4"/>
  <c r="G539" i="4"/>
  <c r="G547" i="4"/>
  <c r="G555" i="4"/>
  <c r="G563" i="4"/>
  <c r="G571" i="4"/>
  <c r="G579" i="4"/>
  <c r="G587" i="4"/>
  <c r="G595" i="4"/>
  <c r="G603" i="4"/>
  <c r="G608" i="4"/>
  <c r="G616" i="4"/>
  <c r="G623" i="4"/>
  <c r="G631" i="4"/>
  <c r="G639" i="4"/>
  <c r="G647" i="4"/>
  <c r="G654" i="4"/>
  <c r="G662" i="4"/>
  <c r="G670" i="4"/>
  <c r="G678" i="4"/>
  <c r="G105" i="4"/>
  <c r="G693" i="4"/>
  <c r="G701" i="4"/>
  <c r="G709" i="4"/>
  <c r="G717" i="4"/>
  <c r="G725" i="4"/>
  <c r="G733" i="4"/>
  <c r="G741" i="4"/>
  <c r="G748" i="4"/>
  <c r="G753" i="4"/>
  <c r="G758" i="4"/>
  <c r="G764" i="4"/>
  <c r="G769" i="4"/>
  <c r="G774" i="4"/>
  <c r="G780" i="4"/>
  <c r="G785" i="4"/>
  <c r="G790" i="4"/>
  <c r="G796" i="4"/>
  <c r="G801" i="4"/>
  <c r="G806" i="4"/>
  <c r="G812" i="4"/>
  <c r="G815" i="4"/>
  <c r="G820" i="4"/>
  <c r="G825" i="4"/>
  <c r="G829" i="4"/>
  <c r="G833" i="4"/>
  <c r="G837" i="4"/>
  <c r="G841" i="4"/>
  <c r="G845" i="4"/>
  <c r="G849" i="4"/>
  <c r="G853" i="4"/>
  <c r="G856" i="4"/>
  <c r="G860" i="4"/>
  <c r="G864" i="4"/>
  <c r="G868" i="4"/>
  <c r="G872" i="4"/>
  <c r="G876" i="4"/>
  <c r="G880" i="4"/>
  <c r="G884" i="4"/>
  <c r="G888" i="4"/>
  <c r="G892" i="4"/>
  <c r="G896" i="4"/>
  <c r="G900" i="4"/>
  <c r="G904" i="4"/>
  <c r="G908" i="4"/>
  <c r="G912" i="4"/>
  <c r="G916" i="4"/>
  <c r="G920" i="4"/>
  <c r="G924" i="4"/>
  <c r="G928" i="4"/>
  <c r="G932" i="4"/>
  <c r="G936" i="4"/>
  <c r="G940" i="4"/>
  <c r="G944" i="4"/>
  <c r="G948" i="4"/>
  <c r="G108" i="4"/>
  <c r="G955" i="4"/>
  <c r="G959" i="4"/>
  <c r="G963" i="4"/>
  <c r="G967" i="4"/>
  <c r="G971" i="4"/>
  <c r="G975" i="4"/>
  <c r="G979" i="4"/>
  <c r="G982" i="4"/>
  <c r="G60" i="4"/>
  <c r="G989" i="4"/>
  <c r="G993" i="4"/>
  <c r="G997" i="4"/>
  <c r="G1001" i="4"/>
  <c r="G1005" i="4"/>
  <c r="G1009" i="4"/>
  <c r="G1013" i="4"/>
  <c r="G1017" i="4"/>
  <c r="G1021" i="4"/>
  <c r="G1025" i="4"/>
  <c r="G1029" i="4"/>
  <c r="G1033" i="4"/>
  <c r="G1037" i="4"/>
  <c r="G1041" i="4"/>
  <c r="G1045" i="4"/>
  <c r="G1049" i="4"/>
  <c r="G1052" i="4"/>
  <c r="G1056" i="4"/>
  <c r="G1059" i="4"/>
  <c r="G1063" i="4"/>
  <c r="G1067" i="4"/>
  <c r="G121" i="4"/>
  <c r="G1074" i="4"/>
  <c r="G1078" i="4"/>
  <c r="G97" i="4"/>
  <c r="G1085" i="4"/>
  <c r="G1089" i="4"/>
  <c r="G1093" i="4"/>
  <c r="G1097" i="4"/>
  <c r="G1101" i="4"/>
  <c r="G1104" i="4"/>
  <c r="G1107" i="4"/>
  <c r="G1111" i="4"/>
  <c r="G1115" i="4"/>
  <c r="G1119" i="4"/>
  <c r="G1123" i="4"/>
  <c r="G1127" i="4"/>
  <c r="G1131" i="4"/>
  <c r="G1135" i="4"/>
  <c r="G1139" i="4"/>
  <c r="G1143" i="4"/>
  <c r="G1147" i="4"/>
  <c r="G1151" i="4"/>
  <c r="G1155" i="4"/>
  <c r="G1159" i="4"/>
  <c r="G1163" i="4"/>
  <c r="G1166" i="4"/>
  <c r="G117" i="4"/>
  <c r="G1172" i="4"/>
  <c r="G1174" i="4"/>
  <c r="G1178" i="4"/>
  <c r="G1182" i="4"/>
  <c r="G1186" i="4"/>
  <c r="G125" i="4"/>
  <c r="G109" i="4"/>
  <c r="G1192" i="4"/>
  <c r="G1196" i="4"/>
  <c r="G1200" i="4"/>
  <c r="G1204" i="4"/>
  <c r="G1208" i="4"/>
  <c r="G9" i="4"/>
  <c r="G1215" i="4"/>
  <c r="G1219" i="4"/>
  <c r="G1223" i="4"/>
  <c r="G1226" i="4"/>
  <c r="G1229" i="4"/>
  <c r="G10" i="4"/>
  <c r="G1236" i="4"/>
  <c r="G1240" i="4"/>
  <c r="G1244" i="4"/>
  <c r="G1248" i="4"/>
  <c r="G1252" i="4"/>
  <c r="G1256" i="4"/>
  <c r="G1260" i="4"/>
  <c r="G1264" i="4"/>
  <c r="G1268" i="4"/>
  <c r="G1272" i="4"/>
  <c r="G1276" i="4"/>
  <c r="G1280" i="4"/>
  <c r="G1283" i="4"/>
  <c r="G1286" i="4"/>
  <c r="G53" i="4"/>
  <c r="G132" i="4"/>
  <c r="G91" i="4"/>
  <c r="G1294" i="4"/>
  <c r="G19" i="4"/>
  <c r="G1297" i="4"/>
  <c r="G1299" i="4"/>
  <c r="G120" i="4"/>
  <c r="G122" i="4"/>
  <c r="G93" i="4"/>
  <c r="G33" i="4"/>
  <c r="G115" i="4"/>
  <c r="G88" i="4"/>
  <c r="G72" i="4"/>
  <c r="G45" i="4"/>
  <c r="G26" i="4"/>
  <c r="G83" i="4"/>
  <c r="G25" i="4"/>
  <c r="G1317" i="4"/>
  <c r="G30" i="4"/>
  <c r="G38" i="4"/>
  <c r="G1320" i="4"/>
  <c r="G75" i="4"/>
  <c r="G1324" i="4"/>
  <c r="G47" i="4"/>
  <c r="G1328" i="4"/>
  <c r="G1331" i="4"/>
  <c r="G34" i="4"/>
  <c r="G79" i="4"/>
  <c r="G59" i="4"/>
  <c r="G103" i="4"/>
  <c r="G20" i="4"/>
  <c r="G32" i="4"/>
  <c r="G1336" i="4"/>
  <c r="G1338" i="4"/>
  <c r="A190" i="4"/>
  <c r="A315" i="4"/>
  <c r="A441" i="4"/>
  <c r="A629" i="4"/>
  <c r="A693" i="4"/>
  <c r="A757" i="4"/>
  <c r="A819" i="4"/>
  <c r="A881" i="4"/>
  <c r="A915" i="4"/>
  <c r="A931" i="4"/>
  <c r="A978" i="4"/>
  <c r="A1008" i="4"/>
  <c r="A1040" i="4"/>
  <c r="A1070" i="4"/>
  <c r="A1100" i="4"/>
  <c r="A1130" i="4"/>
  <c r="A1162" i="4"/>
  <c r="A1188" i="4"/>
  <c r="A1214" i="4"/>
  <c r="A1243" i="4"/>
  <c r="A1275" i="4"/>
  <c r="A18" i="4"/>
  <c r="A1310" i="4"/>
  <c r="A36" i="4"/>
  <c r="A21" i="4"/>
  <c r="G141" i="4"/>
  <c r="G173" i="4"/>
  <c r="G205" i="4"/>
  <c r="G236" i="4"/>
  <c r="G267" i="4"/>
  <c r="G299" i="4"/>
  <c r="G328" i="4"/>
  <c r="G344" i="4"/>
  <c r="G367" i="4"/>
  <c r="G382" i="4"/>
  <c r="G398" i="4"/>
  <c r="G406" i="4"/>
  <c r="G422" i="4"/>
  <c r="G438" i="4"/>
  <c r="G462" i="4"/>
  <c r="G478" i="4"/>
  <c r="G494" i="4"/>
  <c r="G510" i="4"/>
  <c r="G526" i="4"/>
  <c r="G542" i="4"/>
  <c r="G550" i="4"/>
  <c r="G566" i="4"/>
  <c r="G582" i="4"/>
  <c r="G606" i="4"/>
  <c r="G618" i="4"/>
  <c r="G634" i="4"/>
  <c r="G650" i="4"/>
  <c r="G665" i="4"/>
  <c r="G681" i="4"/>
  <c r="G704" i="4"/>
  <c r="G720" i="4"/>
  <c r="G736" i="4"/>
  <c r="G749" i="4"/>
  <c r="G760" i="4"/>
  <c r="G770" i="4"/>
  <c r="G781" i="4"/>
  <c r="G792" i="4"/>
  <c r="G802" i="4"/>
  <c r="G813" i="4"/>
  <c r="G822" i="4"/>
  <c r="G830" i="4"/>
  <c r="G838" i="4"/>
  <c r="G842" i="4"/>
  <c r="G850" i="4"/>
  <c r="G857" i="4"/>
  <c r="G865" i="4"/>
  <c r="G873" i="4"/>
  <c r="G885" i="4"/>
  <c r="G893" i="4"/>
  <c r="G901" i="4"/>
  <c r="G909" i="4"/>
  <c r="G917" i="4"/>
  <c r="G925" i="4"/>
  <c r="G929" i="4"/>
  <c r="G937" i="4"/>
  <c r="G945" i="4"/>
  <c r="G956" i="4"/>
  <c r="G964" i="4"/>
  <c r="G972" i="4"/>
  <c r="G73" i="4"/>
  <c r="G986" i="4"/>
  <c r="G990" i="4"/>
  <c r="G998" i="4"/>
  <c r="G1010" i="4"/>
  <c r="G1018" i="4"/>
  <c r="G1022" i="4"/>
  <c r="G1030" i="4"/>
  <c r="G1042" i="4"/>
  <c r="G1050" i="4"/>
  <c r="G1057" i="4"/>
  <c r="G1064" i="4"/>
  <c r="G1071" i="4"/>
  <c r="G1075" i="4"/>
  <c r="G1082" i="4"/>
  <c r="G1090" i="4"/>
  <c r="G1098" i="4"/>
  <c r="G50" i="4"/>
  <c r="G1112" i="4"/>
  <c r="G1124" i="4"/>
  <c r="G1132" i="4"/>
  <c r="G1140" i="4"/>
  <c r="G1148" i="4"/>
  <c r="G1156" i="4"/>
  <c r="G1160" i="4"/>
  <c r="G1167" i="4"/>
  <c r="G134" i="4"/>
  <c r="G1179" i="4"/>
  <c r="G1187" i="4"/>
  <c r="G1189" i="4"/>
  <c r="G1197" i="4"/>
  <c r="G1205" i="4"/>
  <c r="G1212" i="4"/>
  <c r="G1220" i="4"/>
  <c r="G123" i="4"/>
  <c r="G1233" i="4"/>
  <c r="G1241" i="4"/>
  <c r="G1249" i="4"/>
  <c r="G1257" i="4"/>
  <c r="G1265" i="4"/>
  <c r="G1273" i="4"/>
  <c r="G1281" i="4"/>
  <c r="G1287" i="4"/>
  <c r="G129" i="4"/>
  <c r="G1295" i="4"/>
  <c r="G1298" i="4"/>
  <c r="G124" i="4"/>
  <c r="G29" i="4"/>
  <c r="G1308" i="4"/>
  <c r="G1312" i="4"/>
  <c r="G64" i="4"/>
  <c r="G98" i="4"/>
  <c r="G1318" i="4"/>
  <c r="G135" i="4"/>
  <c r="G94" i="4"/>
  <c r="G1329" i="4"/>
  <c r="G1333" i="4"/>
  <c r="G106" i="4"/>
  <c r="G52" i="4"/>
  <c r="G40" i="4"/>
  <c r="A257" i="4"/>
  <c r="A446" i="4"/>
  <c r="A634" i="4"/>
  <c r="A665" i="4"/>
  <c r="A728" i="4"/>
  <c r="A792" i="4"/>
  <c r="A853" i="4"/>
  <c r="A900" i="4"/>
  <c r="A932" i="4"/>
  <c r="A963" i="4"/>
  <c r="A993" i="4"/>
  <c r="A1025" i="4"/>
  <c r="A1056" i="4"/>
  <c r="A1085" i="4"/>
  <c r="A1115" i="4"/>
  <c r="A1147" i="4"/>
  <c r="A125" i="4"/>
  <c r="A1200" i="4"/>
  <c r="A1229" i="4"/>
  <c r="A1260" i="4"/>
  <c r="A53" i="4"/>
  <c r="A122" i="4"/>
  <c r="A83" i="4"/>
  <c r="A47" i="4"/>
  <c r="A32" i="4"/>
  <c r="G158" i="4"/>
  <c r="G190" i="4"/>
  <c r="G221" i="4"/>
  <c r="G252" i="4"/>
  <c r="G284" i="4"/>
  <c r="G315" i="4"/>
  <c r="G337" i="4"/>
  <c r="G353" i="4"/>
  <c r="G368" i="4"/>
  <c r="G383" i="4"/>
  <c r="G399" i="4"/>
  <c r="G415" i="4"/>
  <c r="G431" i="4"/>
  <c r="G455" i="4"/>
  <c r="G471" i="4"/>
  <c r="G487" i="4"/>
  <c r="G503" i="4"/>
  <c r="G519" i="4"/>
  <c r="G535" i="4"/>
  <c r="G543" i="4"/>
  <c r="G559" i="4"/>
  <c r="G583" i="4"/>
  <c r="G599" i="4"/>
  <c r="G612" i="4"/>
  <c r="G619" i="4"/>
  <c r="G635" i="4"/>
  <c r="G651" i="4"/>
  <c r="G666" i="4"/>
  <c r="G682" i="4"/>
  <c r="G697" i="4"/>
  <c r="G713" i="4"/>
  <c r="G729" i="4"/>
  <c r="G745" i="4"/>
  <c r="G750" i="4"/>
  <c r="G761" i="4"/>
  <c r="G772" i="4"/>
  <c r="G782" i="4"/>
  <c r="G798" i="4"/>
  <c r="G809" i="4"/>
  <c r="G818" i="4"/>
  <c r="G827" i="4"/>
  <c r="G835" i="4"/>
  <c r="G843" i="4"/>
  <c r="G851" i="4"/>
  <c r="G858" i="4"/>
  <c r="G866" i="4"/>
  <c r="G874" i="4"/>
  <c r="G882" i="4"/>
  <c r="G890" i="4"/>
  <c r="G894" i="4"/>
  <c r="G910" i="4"/>
  <c r="G926" i="4"/>
  <c r="G942" i="4"/>
  <c r="G957" i="4"/>
  <c r="G973" i="4"/>
  <c r="G987" i="4"/>
  <c r="G1003" i="4"/>
  <c r="G1019" i="4"/>
  <c r="G1035" i="4"/>
  <c r="G8" i="4"/>
  <c r="G1065" i="4"/>
  <c r="G1080" i="4"/>
  <c r="G1095" i="4"/>
  <c r="G1109" i="4"/>
  <c r="G1125" i="4"/>
  <c r="G1141" i="4"/>
  <c r="G1157" i="4"/>
  <c r="G1171" i="4"/>
  <c r="G1184" i="4"/>
  <c r="G1194" i="4"/>
  <c r="G1210" i="4"/>
  <c r="G1224" i="4"/>
  <c r="G1238" i="4"/>
  <c r="G1254" i="4"/>
  <c r="G1270" i="4"/>
  <c r="G1285" i="4"/>
  <c r="G51" i="4"/>
  <c r="G1301" i="4"/>
  <c r="G1307" i="4"/>
  <c r="G37" i="4"/>
  <c r="G95" i="4"/>
  <c r="G1322" i="4"/>
  <c r="G116" i="4"/>
  <c r="G99" i="4"/>
  <c r="G898" i="4"/>
  <c r="G930" i="4"/>
  <c r="G946" i="4"/>
  <c r="G977" i="4"/>
  <c r="G1007" i="4"/>
  <c r="G1039" i="4"/>
  <c r="G1054" i="4"/>
  <c r="G1083" i="4"/>
  <c r="G1113" i="4"/>
  <c r="G1145" i="4"/>
  <c r="G70" i="4"/>
  <c r="G1198" i="4"/>
  <c r="G1227" i="4"/>
  <c r="G1258" i="4"/>
  <c r="G67" i="4"/>
  <c r="G126" i="4"/>
  <c r="G1309" i="4"/>
  <c r="G87" i="4"/>
  <c r="G114" i="4"/>
  <c r="G902" i="4"/>
  <c r="G918" i="4"/>
  <c r="G934" i="4"/>
  <c r="G950" i="4"/>
  <c r="G965" i="4"/>
  <c r="G980" i="4"/>
  <c r="G995" i="4"/>
  <c r="G1011" i="4"/>
  <c r="G1027" i="4"/>
  <c r="G1043" i="4"/>
  <c r="G16" i="4"/>
  <c r="G1072" i="4"/>
  <c r="G1087" i="4"/>
  <c r="G1103" i="4"/>
  <c r="G1117" i="4"/>
  <c r="G1133" i="4"/>
  <c r="G1149" i="4"/>
  <c r="G1165" i="4"/>
  <c r="G1176" i="4"/>
  <c r="G101" i="4"/>
  <c r="G1202" i="4"/>
  <c r="G1217" i="4"/>
  <c r="G1231" i="4"/>
  <c r="G1246" i="4"/>
  <c r="G1262" i="4"/>
  <c r="G1278" i="4"/>
  <c r="G1289" i="4"/>
  <c r="G92" i="4"/>
  <c r="G1303" i="4"/>
  <c r="G130" i="4"/>
  <c r="G1315" i="4"/>
  <c r="G65" i="4"/>
  <c r="G1327" i="4"/>
  <c r="G28" i="4"/>
  <c r="G54" i="4"/>
  <c r="G906" i="4"/>
  <c r="G922" i="4"/>
  <c r="G938" i="4"/>
  <c r="G953" i="4"/>
  <c r="G969" i="4"/>
  <c r="G984" i="4"/>
  <c r="G999" i="4"/>
  <c r="G1015" i="4"/>
  <c r="G1031" i="4"/>
  <c r="G1047" i="4"/>
  <c r="G1061" i="4"/>
  <c r="G1076" i="4"/>
  <c r="G1091" i="4"/>
  <c r="G1105" i="4"/>
  <c r="G1121" i="4"/>
  <c r="G1137" i="4"/>
  <c r="G1153" i="4"/>
  <c r="G1168" i="4"/>
  <c r="G1180" i="4"/>
  <c r="G1190" i="4"/>
  <c r="G1206" i="4"/>
  <c r="G1221" i="4"/>
  <c r="G1234" i="4"/>
  <c r="G1250" i="4"/>
  <c r="G1266" i="4"/>
  <c r="G131" i="4"/>
  <c r="G1291" i="4"/>
  <c r="G41" i="4"/>
  <c r="G1305" i="4"/>
  <c r="G1313" i="4"/>
  <c r="G84" i="4"/>
  <c r="G13" i="4"/>
  <c r="G1330" i="4"/>
  <c r="G14" i="4"/>
  <c r="G1337" i="4"/>
  <c r="G914" i="4"/>
  <c r="G961" i="4"/>
  <c r="G991" i="4"/>
  <c r="G1023" i="4"/>
  <c r="G1069" i="4"/>
  <c r="G1099" i="4"/>
  <c r="G1129" i="4"/>
  <c r="G1161" i="4"/>
  <c r="G81" i="4"/>
  <c r="G1213" i="4"/>
  <c r="G1242" i="4"/>
  <c r="G1274" i="4"/>
  <c r="G78" i="4"/>
  <c r="G24" i="4"/>
  <c r="G1325" i="4"/>
  <c r="G1335" i="4"/>
</calcChain>
</file>

<file path=xl/connections.xml><?xml version="1.0" encoding="utf-8"?>
<connections xmlns="http://schemas.openxmlformats.org/spreadsheetml/2006/main">
  <connection id="1" odcFile="C:\Documents and Settings\hb52875\My Documents\My Data Sources\WD RTA Manager Queries\Digital Infrastructure Names.odc" keepAlive="1" name="Digital Infrastructure Names" description="All unique names in WD2"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2%'_x000d__x000a_AND [Assigned To] != ''"/>
  </connection>
  <connection id="2" odcFile="C:\Documents and Settings\hb52875\My Documents\My Data Sources\WD RTA Manager Queries\Flow Control Names.odc" keepAlive="1" name="Flow Control Names" description="All unique names in WD1 &amp; WD4"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1%' OR [Lab Office] like 'WD4%')_x000d__x000a_AND [Assigned To] != ''"/>
  </connection>
  <connection id="3" odcFile="C:\Documents and Settings\hb52875\My Documents\My Data Sources\WD RTA Manager Queries\Formatted WD RTA Querey.odc" keepAlive="1" name="Formatted WD RTA Querey" description="Query for WD RTA info with many of the field names changed and values formatted for simpler viewing." type="5" refreshedVersion="4"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_x000d__x000a_'RTA' = Replace([Name],'R00000',''),_x000d__x000a_Customer = [Customer Name],_x000d__x000a_[Description],_x000d__x000a_Submitted = [Submitted.actual],_x000d__x000a_'In Stock Date' = [Available in Stock Date],_x000d__x000a_[Assigned To],_x000d__x000a_'Current Status' = [Assigned To Department],_x000d__x000a_[Lab Office] = Left([Lab Office],3),_x000d__x000a_'Tech Start Date' = [Technology Start Date],_x000d__x000a_'Request Complete Date' = [Requested Design Complete Date],_x000d__x000a_'Revised Due Date' = [Technology Revised Due Date],_x000d__x000a_Class = Left([RTA Class],1),_x000d__x000a_Type = [RTA Type],_x000d__x000a_[Comments],_x000d__x000a_[State],_x000d__x000a_Code = left([RTA Code],1)_x000d__x000a_FROM Rta_x000d__x000a_WHERE [Lab Office] like 'WD%'_x000d__x000a_AND [State] != 'Complete'_x000d__x000a_AND [Description] not like 'STANDING RTA%'_x000d__x000a_ORDER BY [Tech Start Date] ASC"/>
  </connection>
  <connection id="4" odcFile="C:\Documents and Settings\hb52875\My Documents\My Data Sources\WD RTA Manager Queries\Permanent Monitoring Names.odc" keepAlive="1" name="Permanent Monitoring Names" description="All unique names in WD3"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3%'_x000d__x000a_AND [Assigned To] != ''"/>
  </connection>
  <connection id="5" odcFile="C:\Documents and Settings\hb52875\My Documents\My Data Sources\WD RTA Manager Queries\Software Names.odc" keepAlive="1" name="Software Names" description="All unique names in WD5"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5%'_x000d__x000a_AND [Assigned To] != ''"/>
  </connection>
  <connection id="6" odcFile="C:\Documents and Settings\hb52875\My Documents\My Data Sources\WD RTA Manager Queries\Unique Depts.odc" keepAlive="1" name="Unique Department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Department' = [Assigned To Department] from Rta  WHERE [Lab Office] LIKE 'WD%' AND [Assigned To Department] != '' ORDER BY [Department] asc"/>
  </connection>
  <connection id="7" odcFile="C:\Documents and Settings\hb52875\My Documents\My Data Sources\WD RTA Manager Queries\Unique RTA Codes.odc" keepAlive="1" name="Unique RTA Cod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Code = LEFT([RTA Code],1) FROM Rta  where [Lab Office] LIKE 'WD%' and [RTA Code] != ''"/>
  </connection>
  <connection id="8" odcFile="C:\Documents and Settings\hb52875\My Documents\My Data Sources\WD RTA Manager Queries\Unique RTA States.odc" keepAlive="1" name="Unique RTA Stat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State] from Rta  where [Lab Office] LIKE 'WD%' and [State] != '' order by [State] asc"/>
  </connection>
  <connection id="9" odcFile="C:\Documents and Settings\hb52875\My Documents\My Data Sources\WD RTA Manager Queries\Unique RTA Types.odc" keepAlive="1" name="Unique RTA TYPE"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Type = [Rta Type] from Rta where [rta type] != '' and [lab office] like 'wd%' order by [Type] asc"/>
  </connection>
</connections>
</file>

<file path=xl/sharedStrings.xml><?xml version="1.0" encoding="utf-8"?>
<sst xmlns="http://schemas.openxmlformats.org/spreadsheetml/2006/main" count="14929" uniqueCount="3174">
  <si>
    <t>Description</t>
  </si>
  <si>
    <t>Lab Office</t>
  </si>
  <si>
    <t>Comments</t>
  </si>
  <si>
    <t>State</t>
  </si>
  <si>
    <t/>
  </si>
  <si>
    <t>ECR - The structure for MN 596552 in CWI does not have all parts required in the component parts listing. It needs to include all parts on 8011-5000CL per Kenny Pham.</t>
  </si>
  <si>
    <t>ECR</t>
  </si>
  <si>
    <t>Submitted</t>
  </si>
  <si>
    <t>ECR-101916596. Change BOM to replace brass protector 101883336 with nylon protector</t>
  </si>
  <si>
    <t>319758</t>
  </si>
  <si>
    <t>Same As: 9670-6050; FMC KONGSBERG DUAL GUAGE SUBSEA I/F CARD
Except: Our customer Woodisde Australia has requested document 9550 5119 relating to PDHG system calculation spec be updated to reflect latest recommendations to input all gauge coefficient data as double float.
Project Name: 
Special Quality Plan Required?: No
Material: 
Technical Support Deliverables:
Preliminary Design Specifications
Reference BDMI</t>
  </si>
  <si>
    <t>CUSTOMIZATION</t>
  </si>
  <si>
    <t>Created</t>
  </si>
  <si>
    <t>RTA to Create WA for Kirby Schrader</t>
  </si>
  <si>
    <t>Cancelled</t>
  </si>
  <si>
    <t>Shell Brunei / Nigeria</t>
  </si>
  <si>
    <t>The RTA is being entered to create another variant of the 3.5 inch HS design. This variant is specifically required to address the Brunei / Nigearia (SPDC) market. Certain design features of the current HS valve are not required by the client. By eliminating these feature the cost of the valve can be reduced, thereby increasing the locations margin. More over the quantity that Brunei / SPDC will be ordering over the next three years justifies the creation of a new variant. Attached please find requirements document.
Essentially the new variant will eleminate the position sensor and all related components thus shorting the valve in length in turn reducing cost.
Please contact PLM for additional information</t>
  </si>
  <si>
    <t>DEVELOPMENT</t>
  </si>
  <si>
    <t>Design circle required.
2 7/8%u201D gauge mandrel.  EUE threads.  Splitter block with one 1.125%u201D hybrid gauge and one 0.75%u201D (1%u201D mountsub) hybrid gauge.  They are hoping to keep the running OD under 4.5%u201D if possible.  No by-pass slots.  
Contact Martin Staelens for questions</t>
  </si>
  <si>
    <t>Chevron Tahiti</t>
  </si>
  <si>
    <t>HS-ICV w/ AP3: 4.5 15.1 lbs/ft INC 718, with deflector, 10 Kpsi with Chemraz seals, Box X Pin, Vam Top
Design to be incorporated with control line protection per Tahiti Proposal.
CT2 Plan with 718Alloy Supplemental Process
FLOW TRIM DETAILS ADDED 9/21/10 DM</t>
  </si>
  <si>
    <t>WD-Checking</t>
  </si>
  <si>
    <t>Please provide specs or manufacturer/distributor MN for PN 589985.</t>
  </si>
  <si>
    <t>STOP WORK</t>
  </si>
  <si>
    <t>Shell Pinedale</t>
  </si>
  <si>
    <t>OptoLog CE - Shell Pinedale Project - Surface System Design &amp; Support
Project Name : Shell Pinedale
C800163</t>
  </si>
  <si>
    <t>Perenco Cameroon</t>
  </si>
  <si>
    <t>QUOTATION ONLY
Same As: 71SSS1; SFTY SYS STD RTA DESIGN REQ
Except: Design control panel for Sanaga Project as per design details supplied by Tarik Abchir in his email dated january 4, 2011
Project Name: 
Special Quality Plan Required?: No
Material: 
Technical Support Deliverables:
Preliminary Design Specifications
Reference Assembly Drawing</t>
  </si>
  <si>
    <t>WD-Design</t>
  </si>
  <si>
    <t>WIP</t>
  </si>
  <si>
    <t>Omotayo Ewumi</t>
  </si>
  <si>
    <t>Statoil</t>
  </si>
  <si>
    <t>Change to SB2</t>
  </si>
  <si>
    <t>Saudi Aramco</t>
  </si>
  <si>
    <t>Same As: 9293-6642; ASSY,MDRL,3.5 IN X 9.3PPF,SNGL ROC-150 W
Except: 41/2, 12.6 New Vam or equivilant VAGT Pin X Pin
This will be a single mandrel that can either accept the 0.75in ROC Gauge with the widened mountsub or the 1.125in feedthru gauge.
These mandrels have been requested without burst testing, this will be a function of the project specific quality plans as reviewed with William Kruse.
Project Name: LDOR
Special Quality Plan Required?: No
Material: (1) Low Alloy Steel 80 MY 22HRC (ES-MA-18-9)
Mating Infomation:
Work With item with Part Number 9381-6112
Work With item with Part Number 9381-6029</t>
  </si>
  <si>
    <t>MISC E-MAIL REQUEST
030411 EDWIN GONZALEZ
REF E-MAIL: SPECS FOR 599131</t>
  </si>
  <si>
    <t>Redesign a PAU to allow at least 8 sensors if not more (12 ).  I know a new power supply is being designed.  Design the PAU to incorporate this as well as implement other design changes like lighter batteries, etc.</t>
  </si>
  <si>
    <t>Shell Exploration</t>
  </si>
  <si>
    <t>Same As: 9293-6554-BP1; MDRL ASSY,CHEM INJN,5 1/2-20,VAMTOP KP,1
Except: Except
1. Change thread to 5 1/2 17.0PPF, VAM TOP, BXP, 
2. Change Material to Alloy 4140 Material 
3. Add SPECIAL deisgn 2 PIECE 3/8 CV with 500PSI CRACKING PRESSURE AND no burst disc- see attached email and drawings attached 3/3 discussing the design and the requirement from customer.  
Project Name: Sanaga
Special Quality Plan Required?: No
Material: (1) Low Alloy Steel 80 MY 22HRC (ES-MA-18-9)
Mating Infomation:</t>
  </si>
  <si>
    <t>M/N-101990381 Drawing 312841-00-01 Rev.2
The drawing material/coating chart and the BOM call for
B-011 (QPQ) for all materials. Please fix.</t>
  </si>
  <si>
    <t>revise the BOM on a drawing Item 7 on Rev 2 of the drawing needs to be changed to Item 7 listed on Rev 1.</t>
  </si>
  <si>
    <t>SHS 6 Well, Automated Control Panel wPDG, 65 Deg C Integrated into the SCADAPack Controller
Project Name : Spec RFQ6200389482
C850006</t>
  </si>
  <si>
    <t>WELLDYNAMICS</t>
  </si>
  <si>
    <t>Procedure 7000-5099 needs to be updated to include how to package a dual or triple gauge assembly by itself (Ted has done it well before).  Also it should be updated to pack the gauge/mandrel assembly in something other than the rubber mat - which does not really accomplish anything (Ted has found ways to pack it better).  We also need to specify in the procedure how the screws on the plates are to be held down (possibly with tape) as they have come out by the time the mandrel reaches the rig.</t>
  </si>
  <si>
    <t>Earl Butler</t>
  </si>
  <si>
    <t>M/N-588305 Drawing 0201-2015 Rev.A
Please add drill size 13/32 for the thru hole in the part.
This is a clearance hole for a 3/8-16 SHCS.</t>
  </si>
  <si>
    <t>Varied</t>
  </si>
  <si>
    <t>WellDynamics</t>
  </si>
  <si>
    <t>LUBE VALVES
SLUBVLV-08</t>
  </si>
  <si>
    <t>TO BE DETERMINED</t>
  </si>
  <si>
    <t>Dana Moe</t>
  </si>
  <si>
    <t>Quality</t>
  </si>
  <si>
    <t>WD-Approval</t>
  </si>
  <si>
    <t>Aramco</t>
  </si>
  <si>
    <t>Same As: 71SSS1; SFTY SYS STD RTA DESIGN REQ
Except: Design HPU for Aramco inquiry no. 62053317.
Project Name: 
Special Quality Plan Required?: No
Material: 
Technical Support Deliverables:
Preliminary Design Specifications
Reference Assembly Drawing</t>
  </si>
  <si>
    <t>Create WA for STEVEN GAARE WD1</t>
  </si>
  <si>
    <t>RTA FOR STANDING WORK AUTH FOR AHMED JASSER WD 1</t>
  </si>
  <si>
    <t>RTA FOR STANDING WORK AUTH FOR AHMED JASSER WD 4</t>
  </si>
  <si>
    <t>Petrobras Brazil</t>
  </si>
  <si>
    <t>Hydraulic Expansion Cabinet
Opened 7/9/2009 jcc
9/25/09 
Held meeting with Marcelo, Petrobras, PLM, and Engineering.  We found out that oil based fluids could not be used off-shore, which makes the MC Valve an unusable solution.
We will complete the HEC with new Zone 1 PDGIC display, and use water glycol as the control fluid in case they decide they want to move forward with the other well that is Digi using HVC that can be run with water glycol.  If they decice to move both wells to land, then they will probably need an SHS, but we can still use the WCM design we are submitting with this HEC RTA.</t>
  </si>
  <si>
    <t>RTA FOR STANDING WORK AUTH FOR AHMED JASSER WD 2</t>
  </si>
  <si>
    <t>MISC E-MAIL REQUEST
01042011 HOLLY MARBACK
REF ROC OIL QTY 2 MN 589989 4.5 INCH LV</t>
  </si>
  <si>
    <t>UPDATE ENGINEER DRAWING D00388725 TO HALLIBURTON STANDARDS AND PAY CLOSE ATTENTION TO COATINGS PER G. BHAT</t>
  </si>
  <si>
    <t>322075</t>
  </si>
  <si>
    <t>Same As: 216HA00735U1O03; VLV,INTEGD HSC ACCUPULSE,3.50,UNSHRDD,13
Except: see attachment for details. 
Project Name: 
Special Quality Plan Required?: No
Material: 
Mating Infomation:
ATTACHED VALVE REQUIREMENTS DOCUMENT AND PROMOTED BACK TO SUBMITTED.  9/30/10 DM
S Saldanha to contact field and have RTA submitted properly. 10/19/10 DM</t>
  </si>
  <si>
    <t>Joel Shaw</t>
  </si>
  <si>
    <t>Same As: 71SSS1; SFTY SYS STD RTA DESIGN REQ
Except: Review Aramco RFQ 6200539927 design necessary control panels and provide necessary documentation for quotation.  Quotation due date is May 25 in Houston, sealed bid
Project Name: 
Special Quality Plan Required?: Yes
Quality Plan Identifier: 
Material: 
Technical Support Deliverables:
Preliminary Design Specifications
Reference Assembly Drawing
ZZ Drawing</t>
  </si>
  <si>
    <t>Petrobras</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</si>
  <si>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t>
  </si>
  <si>
    <t>Travis Bordman</t>
  </si>
  <si>
    <t>Drafting - Mechanical</t>
  </si>
  <si>
    <t>MISC E-MAIL REQUEST
121410 EDWIN GONZALEZ
REF E-MAIL: 590583 VERIFICATION OF REQUIREMENT
121410 REQUEST IS BEING HANDLED AS AN ECR UNDER RTA 643351. (AA)</t>
  </si>
  <si>
    <t>BSP</t>
  </si>
  <si>
    <t>REQUEST FOR DESIGN, DEVELOPMENT AND QUALIFICATION OF A NEW 7.625 45.3 LB HF1 PACKER FOR IRON DUKE SK-1. ORDERS ARE IN PLACE FOR QTY 3X OF THESE PACKERS. PLEASE REFER TO THE ATTACHED REQUIREMENT DOCUMENT.
ZEWO:  103441990
NETWORK:  HTWD601605 M001
021511 TSG RECD FOR PROCESSING TASK 651059 ASSIGNED TO J. CALLAWAY DSH
041111 TSG PROCESSING OF BASE AND QUALITY PARTS DSH</t>
  </si>
  <si>
    <t>Ravi Vayeda</t>
  </si>
  <si>
    <t>Document Control</t>
  </si>
  <si>
    <t>1:  Top priority per DT and CM.  4/15/11 DM</t>
  </si>
  <si>
    <t>Please update to quality Plan SB2 for Taper Lock Clamp:  P/N: 235AC0965507-ST1 and SAP No: 590224</t>
  </si>
  <si>
    <t>STANDING WA FOR THOMAS CASSIDY, LAB OFFICE WD3</t>
  </si>
  <si>
    <t>Husky</t>
  </si>
  <si>
    <t>HF-1 Packer
07/20/09 - Set-up and distributed to Paul James - G. Chatelain</t>
  </si>
  <si>
    <t>Damon Trahan</t>
  </si>
  <si>
    <t>ECN-000742</t>
  </si>
  <si>
    <t>305389 (Shell GoM)</t>
  </si>
  <si>
    <t>Same As: 9290-2325; 4 14.8 F/T GAUGE MANDREL, VAM DRS, P X P
Except: RTA code should be 7 as we have not recieved the PO from Shell although we will be doing the installation.
Drawing number 9290_2325 has been used for reference as 9290_2199 is not in CWI system.
There is no other mandrel in the system at present that meets requirements of 4 inch, 13.2 ppf, VARST_1, Super 13 Cr 110 Ksi minimum yield.
Mandrel to be same design as 9290_2199 Rev B but to be tied to Shell Quality Plan.
Full drawing package required to allow manufacture and submittal to Shell.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RTA code to 7=Same as 6 with Customer Special Processing. Returned RTA to Sumitter for additional documentation (GMacias)</t>
  </si>
  <si>
    <t>SCADAPACK PROGRAMMING CAPABILITIES TRANSFERRED TO MANUFACTURING ELECTRONICS LAB - MIKALA WINDHAM</t>
  </si>
  <si>
    <t xml:space="preserve"> </t>
  </si>
  <si>
    <t>TEST RTA FOR PROJECT DATA OBJECT PLEASE DISREGARD</t>
  </si>
  <si>
    <t>Anadarko</t>
  </si>
  <si>
    <t>I need an upper level chemical injection mandrel that will include all bolts, blocks, and a 1/2 inch check valve w/ out burst disc.  Include bypass .990 bypass slots on each side of mandrel.  The material will need to be S13Cr 95Yld, Threads will be BTS-6 Box x Pin, Weight will be 20lb, size will be 5.5 inch.
Customer:  Anadarko
Project:   GC518
Quality:   No</t>
  </si>
  <si>
    <t>MISC E-MAIL REQUEST
110310 CHRIS VANCAMP
REF E MAIL:  Material 101956889
11032010 - SENT EMAIL TO KENNY PHAM TO ASK FOR HIS INPUT ON THIS REQUEST (AA)</t>
  </si>
  <si>
    <t>HF1 PACKERS
SPCKRS-08</t>
  </si>
  <si>
    <t>On all our ROC-S and ROC-L dual, triple, and quad blocks, remove the O-rings from the Kemlon feedthru pins.  That way, when the pressure test is performed on the block, if there is a leak in the gauge metal seals, the block will not be able to contain the pressure and will not pass the pressure test.  It probably means a change to each of the assembly documents to remove the o-rings before inserting the Kemlon pin.
Set up and distributed to M. Scogin (JCallaway) 04072010</t>
  </si>
  <si>
    <t>StatoilHydro</t>
  </si>
  <si>
    <t>Same As: 9381-6000; ROC HS 10K 150 GAUGE ASSY CL
Except: make a Roc H2. Dual sensor in one casing
Project Name: Snorre A
Special Quality Plan Required?: Yes
Quality Plan Identifier: sb2
Material: (16) Customer Supplied - Supply detail in description
Mating Infomation: No special instruction on mating with other parts.
11/10/09 - Set-up and distributed to Matt Scogin - G. Chatelain</t>
  </si>
  <si>
    <t>BP</t>
  </si>
  <si>
    <t>Per the attached email, the following change has been requested for the 7000-5120 procedure:  %u201CAfter completing the check valve tests (Section 8) is it possible to then re-test the check valve seal from inside the mandrel to 7,200 psi (section 7) to see if the cracking and flow has had any effect on the seal? before we rig down the equipment?%u201D
Section 7 is going to be duplicated after section 8 is completed to verify the main check valve seals.
May 6/2010 Set-Up &amp; Distributed to Matthew Scogin (GMacias)</t>
  </si>
  <si>
    <t>Non-Intrusive Flow Meter TNO</t>
  </si>
  <si>
    <t>101867678 ADAPTER / 101867670 TENSION BOLT - N0 MATERIAL / MARKING SPECS IN CWI - EMAIL REQUEST FROM DENISE DEAN 07/14/10</t>
  </si>
  <si>
    <t>RWE</t>
  </si>
  <si>
    <t>I require a part number to be created with a cost and lead time for the following item that was used on the previous RWE installation A20. I need a SAP number for part number C04WCM050000 document number 311418-00-01.This has been installed previously and need additional WCM to make this a two well system
Please note the order if placed is expected to be delivered within 16weeks and would include the top side system</t>
  </si>
  <si>
    <t>Same as 101892578 SUBSEA INTERFACE CARD, IWIS 2ND GENERATION FOR 20 GAUGES, WITHOUT FRONT PANEL, POPULATED, TESTED Except:  Apply PQ1 quality identifier.
Customer:  Petrobras
Project:   Guara
Quality Identifier:  PQ1
020911- TSG RECD FOR PROCESSING- SENT DRAWINGS TO QUALITY FOR MARKUP DSH</t>
  </si>
  <si>
    <t>Janice C Callaway</t>
  </si>
  <si>
    <t>In Process</t>
  </si>
  <si>
    <t>Same As: 105SX0553500-ST1; ASSY, SHRD CROSSOVER, SIZE 5535, SUP13CR
Except: We need a Shrouded Crossover similar to the one referred to, with two differences: 
1. The Threads should be: 5,5inch 23ppf Vam Top HC Box x 3,5inch 9,2ppf Vam Top. 
2. Please update to SB2 Quality Plan
Project Name: Tyrihans
Special Quality Plan Required?: Yes
Quality Plan Identifier: SB2
Material: (11) Super 13 CR 110 MY 32 HRC (ES-MA-134-_)
Technical Support Deliverables:
Reference Assembly Drawing
Reserve SAP Material Number</t>
  </si>
  <si>
    <t>All digi manifolds, example MN 590959, call for FMJ blank plug assy MN 591430. Procedure 029969-00-00, pg 3, step 7, instructs to pre-swage the plug per instructions on drawing 309054-00 before installing the plugs in the manifold. The drawing 309054-00 does not have the instructions for this. Suggest the following note to be added to drawing 309054-00-01: Pre-swage before in installing in manifold. Suggest the following revision to procedure 029969-00-00, pg 3, step 7: Pre-swage the test plugs in a pre-swage tool before installation into the manifold. Install all eight blank plugs, item 7, into the manifold and torque to 30 ft. lbs. except for input line 1. Leave input line 1 hand tight.</t>
  </si>
  <si>
    <t>Total Indonesia</t>
  </si>
  <si>
    <t>Same As: 71SSS1; SFTY SYS STD RTA DESIGN REQ
Except: Design Chemical Injection WLRSV application.
Project Name: 
Special Quality Plan Required?: No
Material: 
Technical Support Deliverables:
Preliminary Design Specifications
Reference Assembly Drawing</t>
  </si>
  <si>
    <t>Robert  Smith</t>
  </si>
  <si>
    <t>Same As: 215PA0550000-ST1; VLV, HVI INTEGD 5-1/2 ACCUPULSE SUP13CR
Except: I need a SAP number for a valve like the one referred to, but with AccuPulse only, excluded Position Sensor. This SAP number shall be included in a customer order list. 
Project Name: Tyrihans 
Special Quality Plan Required?: Yes
Quality Plan Identifier: SB2
Material: (11) Super 13 CR 110 MY 32 HRC (ES-MA-134-_)
Technical Support Deliverables:
Reserve SAP Material Number</t>
  </si>
  <si>
    <t>HS-ICV w/ AP3: 4-¿¿¿¿ 15.1 lbs/ft INC 718, with deflector, 10 Kpsi with MSE Seals (Low Temp), Box X Pin, Vam Top
Design to be incorporated with control line protection per Tahiti Proposal.</t>
  </si>
  <si>
    <t>REQUEST TO OBSOLETE DOCUMENT 026549-00 (ACCEPTABLE HYDRAULIC LEAKAGE RATES AND STABILIZATION ACCEPTANCE CRITERIA FOR VALVE ASSEMBLIES) AND REPLACE IT WITH ES-T-710 (ACCEPTABLE HYDRAULIC LEAKAGE RATES AND STABILIZATION ACCEPTANCE CRITERIA FOR VALVE ASSEMBLIES).
Set up and distributed to D. Trahan 05272010 JCallaway
CAN THE ES-T-710 PROCEDURE BE REVISED TO MAKE IT A STANDARD CRITERIA FOR ALL EQUIPMENT AND NOT SPECIFIC TO VALVE ASSEMBLIES?
@@@@@@@@@@@@@@@@@@@@@@@@@
DOCUMENT REVISION HAS BEEN REQUESTED FROM THE CARROLTON TEAM ON 05JAN11.  (OEWUMI 05JAN11)</t>
  </si>
  <si>
    <t>UPDATE VENTURI FLOWMETER ASSEMBLY AND CREATE A CROSSOVER PURCHASE SUB ASSEMBLY WITH IN THE FLOWMETER ASSEMBLY. THE VENTURI FLOWMETER SECTION REQUIRES THE CROSSOVER TO BE SHRINK FIT. (SEE ATTACHED E-MAIL REQUEST)</t>
  </si>
  <si>
    <t>Chevron</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</si>
  <si>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</si>
  <si>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Project Name: Tyrihans
Special Quality Plan Required?: No
Material: 
Technical Support Deliverables:
Reserve SAP Material Number</t>
  </si>
  <si>
    <t>WD</t>
  </si>
  <si>
    <t>4 1/2 inch Monobore Dual Gauge mandrel for single sensor ROC 150 gauges.  Same as 9290-6745 but 4 1/2 inch, 12.6 lb version</t>
  </si>
  <si>
    <t>32:</t>
  </si>
  <si>
    <t>Training Center SHS
C701072-02</t>
  </si>
  <si>
    <t>Modiy WellDynamics 4 1/2 sFrac Valve for increase in temperature rating.  Replace Nitrile Bonded Seals with Viton Bonded Seals, bonded Viton seals (Arimid filled).  Qualify seals to temperature 350-400 degrees Fahrenheit.  Part numbers for the seal rings are 312127 and 312128.</t>
  </si>
  <si>
    <t>Require a coil tubing shifting tool to suit an HF1 packer with a 4.5 in mandrel. See attached requirements document. This design will be required for the Petrobras Guara project in the even the packer would need to be released.
This design was previously requested under RTA 495609 which was subsequently cancelled. PLM would like to revive this project.
Please contact PLM for additional details</t>
  </si>
  <si>
    <t>Shell</t>
  </si>
  <si>
    <t>Shell Gumusut are in the process of building a triple ROC-S gauge assembly but there is not a gauge to triple block assembly procedure or a triple gauge assembly to mandrel procedure.
Both procedures need to be generated in order to allow the assemblies to be made up by the end of the year.
There was a legacy procedure number 9388-5224, in CITRIX, but no procedure had been generated. Also on the ROC-S triple gauge generic drawing, 9388-5023, there is no reference to a procedure to build the gauges into the triple block.
It is intended that the triple gauge assemblies will be made up using a triple gauge mandrel, to endure that gauge mounts are level, so the procedure will need to reflect this process.</t>
  </si>
  <si>
    <t>RTA TO ADD SCREW HOLE DIMENSIONS FOR CHECK VALVE CLAMP.</t>
  </si>
  <si>
    <t>4.5 ROC LF Mandrel required to be modified to accapt a ROC H Gauge
07/16/09 - Set-up and distributed to Paul James - G. Chatelain</t>
  </si>
  <si>
    <t>Mark Guy</t>
  </si>
  <si>
    <t>ECR
M/N-602275 drawing 312297-04-01 Rev.B
Just past the second under cut from the left end at 30.320 there is an OD feature change that is not dimensioned on the drawing. I spoke with Damon Trahan about this issue and the geometry is not needed and the Rev.1 geometry should be restored.
PLEASE CLOSE RTA, REQUEST IS IN PROCESS ON RTA 665649 (OEWUMI 09MAY11)
051011 TSG recd FOR PROCESSING DSH
5-10-2011 RTA WILL BE CANCELLED DUE TO DUPLICATE WORK; REQUEST COMPLETED ON RTA 665649 JCC</t>
  </si>
  <si>
    <t>JSA and HOC meetings for Permanent Monitoring Engineering Department
Set up and distributed to M. Scogin 05242010 JCallaway</t>
  </si>
  <si>
    <t>Matthew Scogin</t>
  </si>
  <si>
    <t>ECR - Reference Q-note 200555381, Item 1. Suggest replacing W.003PQS252004 with W.003PQS252005. Original screws were too short.</t>
  </si>
  <si>
    <t>James Odle</t>
  </si>
  <si>
    <t>Shell (Brazil)</t>
  </si>
  <si>
    <t>Same as part 302331-01: ASSEMBLY, CONNECTOR, FMJ, ELECTRICAL, 1/4I-WIRE BULKHEAD CONNECT SCRAMS
Except for: Quality plan to be SB2</t>
  </si>
  <si>
    <t>ECR - Drawing 316916-02-01 does not have a balloon call-out for item 10, manifold clamp y-splice.</t>
  </si>
  <si>
    <t>We have a problem on a number of gauge assembly drawings.  For instance, drawing 9381-5010 is a dual ROC-HS drawing.  On the drawing, it references 9388-5200 as an assembly procedure document.  This is the gauge assembly procedure - not the dual gauge assembly procedure.  Nowhere on that drawing is the actual dual gauge assembly procedure document listed. We need to call out on those drawings the correct assembly procedure number.  It does not make sense on a dual (or triple or quad) drawing to call out the gauge assembly procedure.  No one in production or in the field who would be referencing that drawing would be using that 9388-5200 procedure.  I have seen this before for other dual/triple/quad gauge assemblies for different gauges.  These should all be fixed.</t>
  </si>
  <si>
    <t>CREATE PURCHASE PART SPECIFICATIONS FOR THE FOLLOWING PARTS:
101906354        
101906351
101906350
101906349
101906347
599132
Set up and distributed to M. Scogin 05142010 JCallaway</t>
  </si>
  <si>
    <t>3.5 inch Gauge mandrel for ROC 150 10K single transducer gauge.
Material 4140 80 ksi
Bypass slot for 3/8 inch encapsulated control line.</t>
  </si>
  <si>
    <t>Chevron Angola</t>
  </si>
  <si>
    <t>3.5 inch Gauge mandrel for ROC 150 10K single transducer  feedthrough gauge.
Material 4140 80 ksi
Bypass slot for 3/8 inch encapsulated control line.</t>
  </si>
  <si>
    <t>5 well automated SHS c/w 5 x 5 line WCMs + UACU+ c/w 3 x PDGICs
Project Name : SA083725
C850017</t>
  </si>
  <si>
    <t>3RD GENERATION IWIS REDESIGN</t>
  </si>
  <si>
    <t>2010-12-16:  THE SECOND VERSION OF PROJECT PLAN HAS BEEN UPLOADED TENTATIVELY.  THE PROJECT PLANS WILL BE CONSOLIDATED AND RELEASED AFTER ALL STAKEHOLDERS AGREE ON IT.</t>
  </si>
  <si>
    <t>Same As: 215PA0350000-ST1; VLV,INTEGD,HVI ACCU-PULSE 3.500 SHROUDED
Except: We need a SAP number for a valve of the same spec as the 3,5inch shrouded valve we have refered to, but in a 4,5inch shrouded version with Vam Top threads. This version will need only valve with AccuPulse, excluded Position Sensor.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</si>
  <si>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722MC1964701; PKR,9647 MC1,13% CR,4 1/2-12.60 VAMTOP  Except: Need a range packer in 4140 base material which can be installed in 43 to 47 ppf 9.625 casing.  Project Name: LDOR Special Quality Plan Required?: No Material: (1) Low Alloy Steel 80 MY 22HRC (ES-MA-18-9) Mating Infomation:
March 10/2010 Set-Up &amp; Distributed to Paul James (GMacias)</t>
  </si>
  <si>
    <t>Control Methodology for the Choking Steam Valve
In addition to the design of the Choking Steam valve, it will need to be verified that each valve can be selectively control to move to a distinct choking position.  It must be taken into consideration that the Steam Valve Seals have exhibited rather low shifting pressures.  This might unintentionally move some of the valves towards closed when one of the other valves is moved open.  If need be, this can be solved using  a check valve and relief valve in parallel on the close line coming out of each valve.</t>
  </si>
  <si>
    <t>Create Documentation Package for Fiber Optic Pressure/Temperature Gauge and Signal Conditioner.
Dec. 2/2009 Set-up &amp; distributed to Paul James (G.Macias)</t>
  </si>
  <si>
    <t>SURFACE SMARTWELL
SSURFSW-08</t>
  </si>
  <si>
    <t>ECR- 9290-2687 REV A
There is no dimension to the bottom 4 holes on detail E.
We made the dimension .685 to the centre of the bottom 4 holes as per top set.</t>
  </si>
  <si>
    <t>JVPC</t>
  </si>
  <si>
    <t>Same As: 214HSF0735S100-SG1; VLV, HS CHOKE, SHROUDED, 13CR, 3-1/2 SG1
Except: Just the 7 in Shroud Adaptor
4140
3.5 in 9.2 ppf
Project Name: JVPC Rang Dong
Special Quality Plan Required?: No
Material: (1) Low Alloy Steel 80 MY 22HRC (ES-MA-18-9)
Technical Support Deliverables:
Preliminary Design Specifications
Reference Assembly Drawing
Reference BDMI
Reserve SAP Material Number
ZZ Drawing
Operating Envelope</t>
  </si>
  <si>
    <t>Require 9.625 in 53 ppf x 5.5in 23ppf HF1 packer with Nitrile packing element. Please see attached document for additional specifications.
Please note an attempt was made to submit the same RTA but system showed error. Please do not duplicate if previous RTA has been received.
08-06-09 - Set-up and distribued to Paul James - G. Chatelain</t>
  </si>
  <si>
    <t>MANDREL ASSEMBLY,3 1/2-9.20,SINGLE ROC-150,0.75 OD,VAMTOP BXP,4140CR 80K, Single Sensor tubing. 
Use as reference mandrel assembly 101954607 (9293-6675), change material to standard alloy 4140.
Gauge Assembly 101954606 (9290-6675)
PO already in hand</t>
  </si>
  <si>
    <t>RTA TO CREATE OPERATIONS MANUAL AND INSTALLATION AND COMMISSIONING PROCEDURE FOR PETROBRAS CARAPEBA SHS 101832162.</t>
  </si>
  <si>
    <t>ECR
M/N-101844132 Drawing 315637-00-01 Rev.D
The 5-1/2 23lb. VAM TOP HC Pin Thread blanking depths are flipped. The 5.3 length should be for the OD and the 4.75 length should be for the ID.
REQUEST HAS BEEN/WILL BE FULFILLED ON RTA 627598 (OEWUMI 08FEB11)</t>
  </si>
  <si>
    <t>ConocoPhillips for the South Belut Field (Indonesia) will be running 2-7/8 Inch HS-ICVs (RTA 651121) and 2-7/8 Inch ROC Gauges (RTA 656059). The client is requesting a drift test through the Baker inverted seal system and have asked if pictorally we can confirm the offset O.D of both assemblies in relation to the 5.125 Inch Seals. A confirmation of the offset O.Ds based on the Valve and ROC gauge design will need to be confimed as will a Design circle to confirm the combined offet of both assemblies based on the current RTA numbers and customer document included in this RTA.</t>
  </si>
  <si>
    <t>Arrow Engery</t>
  </si>
  <si>
    <t>Same As: 9393-6000; SMARTLOG 5K GAUGE ASSY
Except: Require ex spring lead time and price.
Techincal drawing and design specifications required.
Material that it is made from.
Project Name: Tipon West
Special Quality Plan Required?: No
Material: (15) Other HES - Provide ES-MA callout
Technical Support Deliverables:
Preliminary Design Specifications
Reference Assembly Drawing
Nov. 30/2009 Set-up &amp; distributed to Matt Seogin (G.Macias)</t>
  </si>
  <si>
    <t>Petro China</t>
  </si>
  <si>
    <t>Design Control panel for Petro China.  As per technical information supplied by Jim Ruch with HES Iraq.</t>
  </si>
  <si>
    <t>Cabinda Gulf Oil Co E Business</t>
  </si>
  <si>
    <t>Same As: 9290-6518; 4-1/2 12.6 CHEMICAL INJECTION TENARIS BL
Except: 5 1/2, 17ppf, Tenaris 3SB BxP, suitable for H2S, 15000psi check valve suitable for 3/8 line, 2 bypass slots.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</si>
  <si>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Carigali (Kinabalu) Malaysia</t>
  </si>
  <si>
    <t>HF1 PACKER, 9-5/8IN 47LB, 7,500-PSI WP
OPENED 7/10/2009 JCC
9/30/09
TA 519617,IS DONE, CUSTOMER SERVICE CAN ORDER THAT TOOL (BUT WILL NOT BE ABLE TO ORDER AN ELEMENT)  THE RTA HAD</t>
  </si>
  <si>
    <t>Description:  UPDATE DRAWINGS 312660-00-01, 312087-00-01 AND 311046-00-01;</t>
  </si>
  <si>
    <t>Gregory Marshall</t>
  </si>
  <si>
    <t>ECR- ADD DRGS 9290-2145 AND 9290-6145 TO CWI. NOTE DRG 9290-2145 HAS MISSING DIMENSIONS THAT REQUIRE TO BE ADDED
MAY 17/2010 SET-UP &amp; DISTRIBUTED TO MATTHEW SCOGIN (GMACIAS)</t>
  </si>
  <si>
    <t>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document Qualification Test procedure for Chemical Injection Valve march 2010, attached.  To continue positioning the company as a system provider, and in the lead role we request the system to be qualified as per the new requirements document.
The revenue we expect in the future are as follows
2011:
3 wells with 10 zones ¿¿ total revenue of 600 000 USD
2012 ¿¿ 2017:
2 ¿¿ 3 wells per year ¿¿ total revenue 400 ¿¿ 600 000 USD/ year.</t>
  </si>
  <si>
    <t>SAUDI WELLHEAD OUTLET ATEX CERTIFICATION - Earlier this year, the standard WellDynamics wellhead outlet 9895-6000 was modified from Viton o-rings to Chemrez in order to meet Aramco requirements.  Due to ATEX guidelines, this change disqualified the ATEX certification that existed on this product.  Aramco has agreed to use the initial units without ATEX certification, but it will be required on future units.</t>
  </si>
  <si>
    <t>Require MSE seals developed for the 4.5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</si>
  <si>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 xml:space="preserve"> P/N needs assembly and test documentation attached to CWI</t>
  </si>
  <si>
    <t>331105</t>
  </si>
  <si>
    <t>Same As: 9290-6555; GGE MDRL ASSY,5.5-23.00 VAMTOPHC B X P
Except: Requirements:
17ppf,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101830827 (9290-6565-PQ1)</t>
  </si>
  <si>
    <t>Winfred Cajiles</t>
  </si>
  <si>
    <t>COPI Bawal</t>
  </si>
  <si>
    <t>2 7/8 DUAL GAUGE MANDREL REQUIRED FOR THE COPI PROJECT.  PLEASE SEE THE ATTACHED REQUIREMENTS DOCUMENT.
03-11-2011: DESIGN CIRCLE NEEDS TO BE GENERATED AND SUBMITTED TO ALAN M.
04-04-2011: KENNY PHAM FOR APPROVAL. FOUND DISCREPANCY BETWEEN RTA REQUIREMENTS AND ACTUAL DESIGN. WILL PROVIDE MANDREL PXP (INSTEAD OF BXP), AND BYPASS SLOT WILL BE 1.11X0.36 (INSTEAD OF 6 X 1/4 CL BYPASS). ALL WERE OK BY COLIN MC. PER EMAIL ATTACHED.
CHECKING DUE DATE:  03-25-2011
APPROVAL DUE DATE:  03-29-2011
04/06/11 TSG RECEIVED RTA FOR PROCESSING AND PROVIDED TO JANICE CALLAWAY (GM)
4-7-2011 DWGS TO QUALITY FOR MARKUP JCC</t>
  </si>
  <si>
    <t>This is regarding CPI 300186785.  The operations personnel in Saudi found that they could not install the ROC-L cable termination properly to the TEC.  They found the Tension Bolt (9384-2020) had an ID such that it could not slip over the TEC.  They ended up boring out 6 of these from kits - all from Quantex.  I asked them what the TEC OD was and they advised every line was in the range of 0.253 -0.256 in.  The problem is our drawing for the tension bolt calls out an ID of 0.256 in. (with no tolerances listed aside from the default tolerance of the drawing of 0.005 in).  This means the ID of the tension bolt could be worst case 0.251 in.  We need to fix the tolerances of this part.  The top nut (9384-2019) has an ID of 0.256 +/- 0.002 which is better.  This is the same dimension on the ROC-S parts as well (worst case 0.254 in.).
We need to change the tolerances on the ROC-L tension bolt for sure as Saudi has had repeated problems with it.  However as the TEC OD can be as high as 0.256 in., we might want to consider the tolerances on the other ROC-L and ROC-S termination pieces.  I asked Gulf Coast Downhole Technologies about their max TEC ODs and they advised it was 0.255 in.</t>
  </si>
  <si>
    <t>ECR-031240-10-01 and -11-01. Note on drg to say coat area as per B-001 but this would coat the VAM and NSCT threads which is not allowed. Note dimension will have to be moved  May be other suffix varients with this problem</t>
  </si>
  <si>
    <t>BACK UP RING FOR BS-239 O-RING CHANGED FROM PART 102030296 TO 594247 TO GIVE BETTER PROPERTIES</t>
  </si>
  <si>
    <t>Same as part 235AC0965507-ST1: ASSY, TAPER LOCK CLAMP, SIZE 9655, A-231, UNSHROUDED, W/44MM ASSY, TAPER LOCK
Except for: Quality plan to be SB2</t>
  </si>
  <si>
    <t>ECR - HF1 Packer 101793361 does not have an anchor clamp on the BOM. Per Pranay Asthana, the anchor clamp should be on the BOM. Also, the tie wraps to hold the test keys in place during shipping are not on any packer BOMs.</t>
  </si>
  <si>
    <t>M/N-596802 Drawing 9290-2353 Rev.A
This Mandrel is made from 4140 material; need to add B-004 Phosphate coat entire part with exception to the N5 Gage Mount seal surface which should be coated with rust preventative prior to installing the protective cover.</t>
  </si>
  <si>
    <t>We need to create new documents for mounting dual/triple block gauge assemblies to the mandrel.  9381-5217 was developed for the Tahiti quad gauge.  This could be modified to accommodate 2/3/4 gauge systems.  However it does have several errors in it and those should also be corrected.  In addition, the assembly of the dual/triple/quad gauges into the block should be separate from the mounting to mandrel procedure as these events often happen at different times and sometimes in different locations.  Up to now, ES-A-493 has been used for gauge to mandrel mounting.  However it is really only suitable for single gauge to mandrel mounting.  But it is being loaded into CWI and appears as the procedure for dual and triple gauge systems.  We need to change that.</t>
  </si>
  <si>
    <t>Shell Gumusut</t>
  </si>
  <si>
    <t>Material number 101957883 was released with Flexbrite coating.  We need to have a lower level top sub with out flexbrite coating created and linked to MN 101957883.</t>
  </si>
  <si>
    <t>BG India</t>
  </si>
  <si>
    <t>Same as 1014797604 except: 4.5 12.6ppf ROC150 Gauge Chemical Injection Mandrel. Dual metal seal, Casing- 7inch 23ppf API.  Material 4140 80k yield. One burst disk, 3/8 chem inj line. Thread-Hydril 543 cut.  Pin x pin
Customer:  BG India
Project:   Panna PL
Standard Quality Plan</t>
  </si>
  <si>
    <t xml:space="preserve">TEST TEST </t>
  </si>
  <si>
    <t>Same As: 213AP1450004-BP1; ACCUPULSE,ACTIVE 4.5,HYDR OVER BP1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</si>
  <si>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Create a version of the PAU compatible with the Baker D/H Gauges
Start with the WellDynamics standard PAU (SAP 597320) and add the Baker specific firmware and procedure for programming and testing.</t>
  </si>
  <si>
    <t>TSG</t>
  </si>
  <si>
    <t>Same As: 214HVC450014; VLV,HVC DFTR,718/4140,4 1/2-15.10 VAMTOP
Except: THIS IS JUST A TEST RTA PLEASE DISREGARD
Tech Start Date is in the past
Quoted Manufacturing Lead Time is negative.
Project Name: TESTING RTA
Special Quality Plan Required?: Yes
Quality Plan Identifier: BP1
Material: (12) 25 CR  AF918 85 MY (ES-MA-66-49)
Mating Infomation:</t>
  </si>
  <si>
    <t>Test Project Structure</t>
  </si>
  <si>
    <t>Same As: 722HF1106106-SH1; PKR, HF1, 13CR, 5-1/2 23 VAM TOP HC BXP,
Except: Different quality requirement. New suffix code: SB2
Upgrade packer element from NBR to HNBR.
Different weight class from 60,7 lbs to 65,7 lbs.
Drawing request according to contract obligation.
Ref. SAP4600009874
Project Name: 
Special Quality Plan Required?: Yes
Quality Plan Identifier: SB2
Material: (8) 13 CR 95 MY 32 HRC (ES-MA-58-4)
Mating Infomation: No special instruction on mating with other parts.
10/12/09- Set up &amp; Dist to Paul James ( Holly Carroll)</t>
  </si>
  <si>
    <t>Same As: 722HF1106106-SH1; PKR, HF1, 13CR, 5-1/2 23 VAM TOP HC BXP,
Except: Different quality requirments. New suffix code: SB2.
Change material from 13Cr to Super 13Cr.
Upgrade packer element material from NBR to HNBR.
Drawing request according to contract obligation.
Ref. SAP4600009874.
Project Name: 
Special Quality Plan Required?: Yes
Quality Plan Identifier: SB2
Material: (9) 13 CR 105 MY 35 HRC (ES-MA-585)
Mating Infomation: No special instruction on mating with other parts.
10/12/09- Set up &amp; Dist to Paul James ( Holly Carroll)</t>
  </si>
  <si>
    <t>UPDATE SAP M/N 101832226 (9293-6559-HW1) TO ADD ANY MISSING DRAWINGS, DOCUMENTATION, ETC. ADD ES-T-710 AND REMOVE SDG-QC-010 PER H. MARBACK.</t>
  </si>
  <si>
    <t>QUOTATION
Same As: 71SSS1; SFTY SYS STD RTA DESIGN REQ
Except: PLEASE IDENTIFY SAP PART NUMBERS OF SOLENOID VALVES SPECIFIED ON ARAMCO PO NO. 4501740103
Project Name: 
Special Quality Plan Required?: No
Material: 
Technical Support Deliverables:
Reference Assembly Drawing</t>
  </si>
  <si>
    <t>ROC HS 5.5 Dual Gauge Assy with Position Sensor
07/22/09 - Set-up and distributed to Paul James - G. Chatelain</t>
  </si>
  <si>
    <t>WellDynamics - Convert 9290-6496/9293-6496, 9290-6495/ 9293-6495, and 9290-6483/9293-6483 single gauge mandrels from 10k Sp/Cal 0-150c ROC D to Sp/Cal 0-150C 0-10,000psi ROC150.  Also, allow the mandrels ability to take feedthrough or non-feedthrough ROC150 gauges.  Requires HW-1 Quality.  Requires DDS.</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</si>
  <si>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</si>
  <si>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BP Angola</t>
  </si>
  <si>
    <t>Delete was created for test</t>
  </si>
  <si>
    <t>CABINET, DRAFTING PROCEDURE</t>
  </si>
  <si>
    <t>7 -5.5 Shrouded Crossover 
Project Name : Oseberg Sor F-26
C800586</t>
  </si>
  <si>
    <t>DIRECT SURFACE POSITIONER
D700929_02</t>
  </si>
  <si>
    <t>This RTA is to add the Quality Plan Petrobras Brazil QP1_Type C Inspection. 
Please see the file attached. The equipment need be delivered with TPI certify and the manufacture need follow the quality plan QP1_Type C. 
Quality Plan Identifier: PQ1 Petrobras Brazil (Type C Inspection_Rev3);
Project Name: GUARA 085/10_SAP21563506</t>
  </si>
  <si>
    <t>Oilsearch</t>
  </si>
  <si>
    <t>Same As: 8015-1018; ROC CBL TERM REDRESS KIT (HASTALLOY)
Except: Need a Diamould WHO cable head redress Kit SAP number to be made up that incorporates the following SAP numbers that have been made up.
700083
SAP  645217
DHI0014F
SAP  644379
DHI0307A
 SAP 644381
DHI0308A
SAP  644382
DHI0313A
 SAP 644383
DHI0375A
 SAP 598505
Project Name: Stock
Special Quality Plan Required?: No
Material: (16) Customer Supplied - Supply detail in description
Technical Support Deliverables:
Reserve SAP Material Number
Set up and distributed to M. Scogin (JCallaway) 04292010</t>
  </si>
  <si>
    <t>TEST PLEASE IGNORE</t>
  </si>
  <si>
    <t>Same As: 722HF1964793; PACKER, HF1, 13CR, 3-1/29.2 VAM TOP BXP,
Except: TEST TEST  PLEASE IGNORE 
and change material ...change thread.etc
Project Name: ezRTAClass 27 Oct 2009
Special Quality Plan Required?: Yes
Quality Plan Identifier: BP1
Material: (10) Super 13 CR 95 MY 22 HRC (ES-MA-134-3)
Technical Support Deliverables:
Reference Assembly Drawing</t>
  </si>
  <si>
    <t>Same As: 213AP1450004-BP1; ACCUPULSE,ACTIVE 4.5,HYDR OVER BP1
Except: TEST TEST  PLEASE IGNORE 
change material..change thread to ...
Project Name: ezRTAClass 27 Oct 2009
Special Quality Plan Required?: Yes
Quality Plan Identifier: BP1
Material: (10) Super 13 CR 95 MY 22 HRC (ES-MA-134-3)
Technical Support Deliverables:
Reference Assembly Drawing</t>
  </si>
  <si>
    <t>5-1/2 PUP JOINT, SAP MN 101892736; Ref No. D00428256-SE1
Drawing Number: D00428256
Request to update the drawing to allow fabrication from API tubular material.(Ref Qnote: 200567157)
May 6/2010 Set-Up &amp; Distributed to Paul James (GMacias)</t>
  </si>
  <si>
    <t>MISC E-MAIL REQUEST 
DWG. NOT IN CWI - 593383 RELEASE DOG (312109-00-01). I HAVE A PO FOR THIS PART, AND THE SUPPLIER IS NEEDING THE DRAWING. PLEASE SEND PDF OF DWG. AS SOON AS POSSIBLE.</t>
  </si>
  <si>
    <t>MISC E-MAIL REQUEST
110810 TINA COLUMS
REF E-MAIL: PN 589528 - VLV,HVC,4 1/2-15.10 VAMTOP B-P,13CR -CA1</t>
  </si>
  <si>
    <t>Inventory</t>
  </si>
  <si>
    <t>Same As: 9290-6602; GGE MDRL ASSY,4.5IN-15.1PPF,ROC-D DUAL,V
Except: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</si>
  <si>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Various</t>
  </si>
  <si>
    <t>Horizontal EZ Gauge Develoment for high temperature applications. 
There has been interest in an EZ Gauge that can be used in high temperature horizontal applications.  To date, the only other gauges that can operate in the temperature extremes of the SAGD or CSS environment are Fiber Gauges.  However, Fiber Gauges have proven to be both unreliable and terribly expensive.  Since EZ Gauges have no moving parts and no electronics downhole, EZ Gauge has to temperature limits.  Furthermore, the only parts of an EZ Gauge that can fail are at the surface and can easily be replaced without intervention.  
In addition to the significant demand for EZ Gauge below an ESP in horizontal producers, a Horizontal EZ Gauge would be an enabling technology for Halliburton??s Steam Valve.  The customers have realized that the Steam Valve is a valuable tool in their SAGD assets.  They have also discovered that downhole pressure gauges are essential to understand how to function the Steam Valves.  Even if they were reliable, the cost of Fiber Gauges in the completion can almost double the cost of the Intelligent Completion.  A Horizontal EZ Gauge would offer a solution that is not only bullet proof but would also offer substantial savings to the customer.
Business Case:
Suncor ?? Firebag:
??	Would purchase 20 units over the next year. Sell price would be 35K each
??	Service revenue would continue at about 20-30K/month
??	Installation revenue would be 8K per unit
	Revenue(1-1.5 years): 1.1M
Shell ?? Orion:
??	Instrumentation cost(Fibre gauges) and reliability have been restricting Shell from further Steam Valve installs. The gauges cost as much or more than the valves. Horizontal EZ-Gauges would make the project(s) more economical for Shell 
??	Would purchase min 3 units for next Steam Valve installation and look at adding chambers to existing wells 
35K each plus 8-10K revenue for each install
Revenue(based on 5 units in first year): 215K 
Conoco Phillips:
??	Interested, they would try 2-4 units in the first year Would also help further the Steam Valve marketing
Revenue: 172K
Other Companies
??	As an alternative to bubble tubes and low cost, the Horizontal EZ-Gauge would spike a lot of interest. With a reference from Suncor and Shell, The HEZ-Gauge should sell at least 10 more units to other SAGD/CSS clients.
Revenue: 430K
Total First Year in Canada alone: 1.917M
There is further interest in using horizontal EZ Gauge for PDO in conjunction with the sSteam valve.  They are currently planning on utilizing fiber gauges.  However, there is an emphasis on reliability.  EZ Gauge has proven itself to be reliable under the extreme conditions of the SAGD environment.</t>
  </si>
  <si>
    <t>Same As: 9290-6555; GGE MDRL ASSY,5.5-23.00 VAMTOPHC B X P
Except: Requirements:
23 ppf, 95ksi, DUAL ROCH GAUGE MANDREL 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101830810 (9290-6566-PQ1)</t>
  </si>
  <si>
    <t>CE QUALIFICATION FOR UACU+ WITH LCD: DUE TO RECENT UPDATE OF LCD BEING USED IN XPIO, THERE IS A POSSIBILITY OF USING THE SAME IN UACU+.  IT IS PREDICTED THAT THIS VERSION OF LCD WILL HAVE LOWER EMISSIONS THEREBY COULD POSSIBLY PASS CE REQUIREMENTS.  THIS QUALIFICATION TESTING WILL LEAD TO HAVING AN LCD DISPLAY ON UACU+.
DELIVERABLE: THE TESTING WILL BE PERFORMED BY THIRD PARTY AND A PRODUCT QUALIFICATION REPORT WILL BE RELEASED.  THE UACU+ WILL BE UPDATED TO INCLUDE LCD.</t>
  </si>
  <si>
    <t>Request to verify the compatibility of Solar Panel in attachment. In case it is compatible create a MN and internal cost.
Use the following link for new panel reference:
http://www.affordable-solar.com/store/solar-panels/kyocera-KD135GX-UPU-135-watt-solar-panel</t>
  </si>
  <si>
    <t>Same As: 9290-6448-SV2; GAUGE/MANDREL ASSY 3.5 9.2 ROC-M2 16K VA
Except: See attached Dokument.
Roc H2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</si>
  <si>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Pup Joint, 3.5, 10.2PPF, VAM TOP, Box x Pin, INC 718, 125KSI, 36 inches in length.  Must follow Chevron CT2 QP.</t>
  </si>
  <si>
    <t>6 well Automated SHS with 1 three line WCM and 2 five line WCM</t>
  </si>
  <si>
    <t>Need new packing procedure added to MN 597447. 
Cards need to be shipped with proper documentation and packing. Reference CPI 300151861.</t>
  </si>
  <si>
    <t>Same As: 9555-6180; UACU+, AC UNIT,19 RACK MOUNT, W/5 PDGIC
Except: In addition to the ongoing CE_qualification process:
1. Add a fan to the basic design.
2. Add galvanic isolators to all COMports on unit
3. Add an on  off switch or a hard reset button in front of unit
4. Change plugs to downhole cable to the type used on the UIR to ensure backwards compatibility. This seems to be a better patent as well.
5. Add an option to connect analogue gauges by using a different PDGIC or similar. This is to ensure backwards compatibility in case one or several UIRs needs to be replaced in an existing field.
The following notes is more to the XPIO program used with the UACU+ and the XPIO:
6. I am not able to see the percent value in the program, even if is is displayed correctly in the display.
7.Add support for more gauges in the XPIO screen. Todays number is 8, and Oseberg has 9 on one well. We might look at 12 for future wells.
8. Add support for more wells in the UACU+ screen. Todays number is 40, this will only give room for 4 wells with 9 logical gauges in each. This may or may not include a stronger power supply in the UACU+.
9. The configuration made by operator should be possible to save in a file for later retrieval, backup and onshore support. The format should be readable with notepad, reference made to MIDAS.ini, but modern file handling structure should apply.
Project Name: Grane / Oseberg / Snorre A
Special Quality Plan Required?: No
Material: (16) Customer Supplied - Supply detail in description
Mating Infomation: No special instruction on mating with other parts.
11/05/09 - Set-up and distributed to Robert Smith - G. Chatelain
Changed Plant Where Made from 2040 to 2032
Per D. Hickman, Electronics Surface Equipment not Downhole Equipment therefore special customer processing for quality not required.</t>
  </si>
  <si>
    <t>Same As: C05SHS363X1100W; SHS 6 WELL 440/3/60,AUTO,SYN OIL,6K ATEX
Except: change the SHS cabinet supplied with only 1 WCM for the Waterflood project instead of 4 WCMs originally ordered. New part number required
Project Name: Waterflood
Special Quality Plan Required?: No
Material: (16) Customer Supplied - Supply detail in description
Mating Infomation:</t>
  </si>
  <si>
    <t>4 channel XPIO (597414) to be installed in a Zone 1, ATEX enclosure (As per Phil Allardyce, suggest that we discard the XPIO cover as it stands and mount the XPIO electronics on a back plane in the new enclosure)
We will need the following entries on the bottom face:
??	4 off ???? NPT (for the cables from the wells, but we will need to verify the size of Okonite cable they are using - waiting on customer to forward this information)
??	1 off 1?? NPT (for the multicore cable that may come from a junction box in the wellhead)
??	1 off ???? NPT (for the DC supply to the XPIO)
??	1 off entry for the communications (not sure what we need for that - customer has requested RS 232)
??	All ports to be plugged when enclosure arrives as they will not install all the wells at the same time
The glands need to be for Okonite style cables (if we are to supply these then again we will need to know the cable size)
So some additional information.
Enclosure - The enclosure can come from a number of vendor but Robert / Terje suggested Crouse Hinds (http://www.crouse-hinds.com/). I have attached the data sheet for the enclosure.
Cable ?? They are going to use Okonite and even though we do not supply this you will need the information from them so that we can size the glands and also ensure that we get the correct entry size into the enclosure. I have attached an example of the cable that they will probably run.
Cable Gland ?? Once they spec the cable we will be able to confirm the gland needed</t>
  </si>
  <si>
    <t>1: Design needs to be completed by 5/24 to meet AIS date. Sent email to submitter to confirm Code 6 and AIS date are still accurate.  4/18/11 DM</t>
  </si>
  <si>
    <t>ECR- Can the Accupulse and Digi Manifolds have the lee plug ports relaxed from a class 3 tolerance to a class 1.  This will enable the manufacturing procees to be changed which will reduce Q-Notes and rework.
RTA WILL BE CANCELLED TO BE RESUBMITTED LATER ON IN THE YEAR AS DISCUSSED BY EMAIL SENT ON 09JUN11 FROM P.J. (OEWUMI 10JUN11)</t>
  </si>
  <si>
    <t>REQUEST BY MACHINE SHOP TO ADD MISSING DIMENSION BETWEEN 20 DEG ANGLE &amp; BOTTOM OF BY-PASS SLOT ON SECTION B-B OF 9290-2635</t>
  </si>
  <si>
    <t>ADDRESS ON BOARD TEMPERATURE MEASUREMENT IN 9670-6062TP: THE TEST PROCEDURE DOES NOT INCLUDE RECORDING DATA FROM TEMPERATURE SENSOR ON THE PCB ASSEMBLY.  THE TP SHOULD BE MODIFIED TO RECORD THIS.  THE TEST RESULTS SHEET SHOULD BE CHANGED TO INCLUDE THIS INFORMATION.</t>
  </si>
  <si>
    <t>ROC-H TEST APPLICATION 9381-1003 REV 3 SHOULD HAVE A FEATURE TO LOAD THE ADDRESS OF GAUGE WHEN A COF2 FILE IS LOADED.  THE SOFTWARE SHOULD BE MODIFIED TO REV D.</t>
  </si>
  <si>
    <t>SPDC</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</si>
  <si>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t>
  </si>
  <si>
    <t>Same As: 9290-6539; GGE MDRL ASSY,4.5-12.6PPF,ROC-HS,NEW VAM
Except: Requirements:
12.6 ppf, 80ksi, AISI 4140,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101830832 (9290-6564-PQ1)</t>
  </si>
  <si>
    <t>ECR
M/N-598308 (9388-2109) 1/4 Olive (718)
M/N-598219 (9388-2057) 1/4 Olive (K-Monel)
M/N-598465 (9388-8072) 1/4 Test Olive (K-Monel)
M/N-101852868 (9381-8002) 1/4 Test Olive (MP35N)
Request the silver plating thickness be changed from .002 Thk. to .0002 Thk.</t>
  </si>
  <si>
    <t>PDO</t>
  </si>
  <si>
    <t>Same As: 214SCV350001; VLV,STM,MTM,41XX LAS,3 1/2 API-EU B-B,12
Except: This valve needs to be modified to include a single port up to 0.5 inch diameter when open.  This will be used as an OCD or ICD when open.  The port can probably be placed in the sliding portion between the body and the mandrel.
Project Name: PDO Steam Trial
Special Quality Plan Required?: No
Material: 
Technical Support Deliverables:
Preliminary Design Specifications
Reference Assembly Drawing
Jan 20/2010 Set-up &amp; Distributed to Paul James (GMacias)</t>
  </si>
  <si>
    <t>Revise Engr Drawings 9290-2485 (C to D), 9290-6485 (C to D), 9381-5010 (D to E). Drawings were revised by mistake and now CWI and the drawings do not match in revision version. This revision will put the drawings back in sync with revision number.
MAY 19/2010 SET-UP &amp; DISTRIBUTED TO MATTHEW SCOGIN (GMACIAS)</t>
  </si>
  <si>
    <t>VIBRATE AN IWIS CARD TO DETERMINE IF THE VIBRATION FAULT IS REPRODUCIBLE.</t>
  </si>
  <si>
    <t>ECR - 316371-00-01, SHEET 2 GRID C10. THE (4 X .490 DIMENSION IS MISLEADING AS THIS DIMENSION DOES NOR SNAP ONTO THE CORRECT FACE. (THE .490 DIMENSION WOULD BE HIDDEN ON THIS VIEW.
Nov. 13/2009 Electronic folder created &amp; given to Paul James (GMacias)</t>
  </si>
  <si>
    <t>Chetan Changavi Lokesh</t>
  </si>
  <si>
    <t>Request for design, development and qualification of a new 10.75 73.2 lb HF1 packer for Iron Duke SK-1. Orders are in place for qty 2x of these packers. Please refer to the attached requirement document.
ZEWO;  103441989
Network:  HTWD601604 M001
041111 TSG PROCESSING OF BASE AND QUALITY PARTS DSH</t>
  </si>
  <si>
    <t>1:  Top priority per David Teale and CM  4/15/11 DM</t>
  </si>
  <si>
    <t>Development of all electric solution for ICV control. Hydro Leduc directional pump and motor development specific.
Previously called WIRED ELECTRIC TOOL under development job D701066_01</t>
  </si>
  <si>
    <t>Khuff General Trading</t>
  </si>
  <si>
    <t>splice sub assy, 13 CR 80 KSI, 3 1/2 9.2 NK3SB BxP</t>
  </si>
  <si>
    <t>Vetco Gray</t>
  </si>
  <si>
    <t>Quality Plan has been developed for Vetco Gray to ensure equipment ordered is delivered to the UK complete with individual Certificates of Conformity by serial number of each item.  Also to include Test Reports for each item.												
As such SAP numbers will need to be modified for each applicable part to include VG1 suffix to call up the QP requirements.												
This RTA is for Quality requirements only.														
Part Numbers to be revised:-												
SAP 101836035   IWIS CARDS.  Legacy P/N: 9670-6061.  Vetco P/N: S4153-602-00 Rev: B																
SAP  597449    VETCO SS INTERFACE CARDS.  Legacy P/N: 9670-6010.  Vetco P/N: AJL-43117-00 Rev: NC															
SAP 101857517   PANEX SIMULATOR.  Legacy P/N: 9300-6030. Vetco P/N: AIP-65270-00 Rev: NC																
SAP 597437  UNIVERSAL GAUGE SIMULATOR.  Legacy P/N: 9650-6050.  Vetco P/N: AIP-65260-00 Rev: NC															
SAP 101845149  LAPTOP SERVER W/WDPTPO11	
Please reference the attached RTA Input Sheet
Set up and distributed to R. Smith 05242010 JCallaway</t>
  </si>
  <si>
    <t>Request to update the drawing 9290-2251 rev C to remove the reference to the component list (note 2)and F.A.T procedure(note 3) to ensure it is clear that testing is not required at the mandrel level.</t>
  </si>
  <si>
    <t>Same As: 216HA00735U1O00; VLV,INTEGD HSC ACCUPULSE,3.5 UNSHRDD,13C
Except: Please give details of 3.500 HS valves to replace HVCs in Saudi.  The Inner carbide carrier has to be Inconel 718 to meet Aramcos requirement of Inconel 718 for flow wet dynamics sealing surfaces. The top sub can be 9Cr 1Mo if there are no flow wet dynamic sealing surface in top sub. The remaining parts can be AISI 4140. Please use 215HAO350010 as reference for materials
Project Name: Aramco HS Valve Trial
Special Quality Plan Required?: No
Material: (5) 9 CR-1MO 80 MY 22 HRC (ES-MA-2-7)
Technical Support Deliverables:
Preliminary Design Specifications
Reference Assembly Drawing
Reference BDMI
ZZ Drawing
Operating Envelope
Feb 23/2010 Set-Up &amp; Distributed to Paul James (GMacias)</t>
  </si>
  <si>
    <t>Hal Saudi</t>
  </si>
  <si>
    <t>Add a third distributor to spec sheet 101924743. Due to the availability associated with the two currently listed distributors, a third distributor, with available stock, will be added.</t>
  </si>
  <si>
    <t>UPDATE WD SPECS TO CALL OUT THE EQUIVALENT HALLIBURTON SPECIFICATION ES-SP-21</t>
  </si>
  <si>
    <t>Failure Analysis for 9670-6040 - A 9670-6040 interface card was returned from field.  This RTA is to cover the failure analysis.  The deliverable of this RTA is a PME-FAR report.</t>
  </si>
  <si>
    <t>Same As: 9290-6506; 2 7/8 6.5 PPF SMARTLOG EUE-8RD J-55 BOX
Except: I require a ex spring price and lead time for this gauge mandrel. 
Project Name: Tipon West
Special Quality Plan Required?: No
Material: (1) Low Alloy Steel 80 MY 22HRC (ES-MA-18-9)
Technical Support Deliverables:
Preliminary Design Specifications
Operating Envelope
Nov. 30/2009 Set-up &amp; distributed to Matt Seogin (G.Macias)</t>
  </si>
  <si>
    <t>RECIEVING INSPECTION DOCUMENTATION FOR BLOCK ASSEMBLIES NOT PRESENT IN CWI(ROC-D 7403-5102). THIS WILL EFFECT ALL DOUBLE AND TRIPLE BLOCK ASSEMBLIES AS WELL.. REVIEW OF ALL STANDARD OR NON-STANDARD BLOCK ASSEMBLIES WILL NEED TO TAKE PLACE AND ATTACH DOCUMENTATION</t>
  </si>
  <si>
    <t>Saudi Aramco LDOR units drawings creation to enable vendor to quote.
The purpose is to have all the drawings ready so that it can be submitted to vendors to know the lead times and delivery.</t>
  </si>
  <si>
    <t>Same As: 215PA0350000-ST1; VLV,INTEGD,HVI ACCU-PULSE 3.500 SHROUDED
Except: We need a SAP number for a valve of the same spec as the 3,5inch shrouded valve we have refered to, but in a 4,5inch shrouded version with Vam Top threads.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</si>
  <si>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ECR - (Originally created in ETQ on SDC - 000188)
Add strap to BOM reduce std qty 
13 qty 306610-GD (old)
2 qty 306610-01 (new)
NCR 486 The position sensor assembly support block (312776-00) protrudes higher than the O.D. of the top sub control line cutout of the HVI. The control line strap (306610-GD) does not fit securely over the support block due to the height of the block. 
Action to fix
Replace straps used on sensor support block (Qty 2 per WO) 306610-GD with 306610-01 (under cut for sensor), standard straps can be returned to stock. New straps should be painted yellow so they can be easily recognized in the field.
Set up and distributed to P. James (JCallaway) 04232010</t>
  </si>
  <si>
    <t>Same As: 9290-6601; GGE MDRL ASSY,4.5IN-15.1PPF,DUAL ROC-HS,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</si>
  <si>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Same As: 9290-6602; GGE MDRL ASSY,4.5IN-15.1PPF,ROC-D DUAL,V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</si>
  <si>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ECR - HVC assembly document ES-A-442 instructs to use a drift (size 3.720) on page 14, step 3.3. Valve assembly 101821390 has a special I.D. that differs from that of a common valve. This valve has a 3.688 I.D. The 3.720 drift cannot be used in a 3.688 I.D. bore.</t>
  </si>
  <si>
    <t>Non-Intrusive Flow Meter MOC</t>
  </si>
  <si>
    <t>Same As: 9555-6185; UACU+, AC UNIT,19 RACK MOUNT, W/10 PDGIC
Except: Requirements:
UACU+ AC Unit 19 Rack 4U complete with XPIO LCDKnob Assembly, XPIO Mazzanine Kit with 2G Cflash, 10x PDGIC Gauge Interface Cards, and PC with UACU + display and configuration software.
RACK MOUNTED SURFACE ACQUISITION SYSTEM SAS:
It shall be develop a rack mounted surface acquisition system SAS to be installed on the plataform control room;
Electrical characteristics:
Input CC voltage : 24 vcc
Input AC voltage : automatic 127 or 230 vac
Rechargeable battery operated , 12 hours minimum of autonomy ;
Short and overcharge circuitry protection;
It shall incorporate a battery charger inside;
It shall have a LCD display to show all the parameters as pressure, temperature, power
consumption  voltage and current and error messages and etc;
It shall have a internal memory with the capability of record up to 2,000,000 data sets;
It shall have a RS232 and a RS485 interface selectable by software to allow the reading of data from memory by a plataform control system;
It shall be able to power and read up to ten 10 lines of PDGHR. e.g. it means that it shall be able to read up to twenty 20 PDGHR connected on the same panel;
The electronics and components of PSAS shall be packed into a standard 19 rack mounted;
The necessary SOFTWARE to operate the SAS is scope of supply and shall be windows
architecture compatible and being able to be accessed and monitored via local area network from remote terminal onshore. Once accessed the system must allow the operator
to reprogram, alter log rates, set alarms and retrieve the data log;
The mancomputer interface shall be all written in Portuguese;
A industrial computer standard 19 rack mounted, shall be supplied as part of SAS system with minimum following characteristics and devices: Pentium CPU type, rewritable DVD, rewritable CD, floppy drive 3,5 1.44 MB, 2 hard discs, RS232, RS485 and ethernet port
devices.
The Modbus RTU communication drive is scope of supply of SAS system. It is also scope of supply a CDROM contained all the SOFTWARES necessary to operate the SAS.
Project Name: 750/09 PDG Sales
Special Quality Plan Required?: No
Material: 
Mating Infomation: No special instruction on mating with other parts.
09/14/09 - Set-up and distributed to M. Scogin - G. Chatelain
09/18/09 - Per M. Scogin, distributed to Robert Smith - G. Chatelain</t>
  </si>
  <si>
    <t>Permanent Monitoring Engineering created specifications for a .CFF and a .COF2 coefficient file for use with the position sensor.  In addition, the 9381-1008 application was created to create the position sensor coefficient files when the position sensor is mounted to the valve.  This application needs to be implemented in the valve assembly and test procedure where the position sensor becomes mounted to the valve.  RTA was given code 1 due to support of existing product needed in the field.
April 2/2010 Set-Up &amp; Distributed to M. Scogin (GMacias)</t>
  </si>
  <si>
    <t>REVISE PRODUCT QUALIFICATION REPORT FOR THE 9670-6061 AND FIRMWARE QUALIFICATION OF 55177TE209</t>
  </si>
  <si>
    <t>Submit revised SIRA drawings for re-certification.  See drawing number 9895-6007 and component drawings on RTA 680364.</t>
  </si>
  <si>
    <t>ECR - There are no assembly or test instructions in the CWI structure for MN 101938514, dual gauge block assembly. This is a line item deliverable item that requires both assembly and test at the Spring location.</t>
  </si>
  <si>
    <t>CABGOC</t>
  </si>
  <si>
    <t>Same As: 9290-6656; GGE MDRL ASSY,4.5IN x 12.75PPF,DUAL ROC,
Except: 3.5, 9.3ppf, T3SB threads, 13Cr, ROC150, 10k Gauges. We require option to terminate each gauge to its own TEC line OR use a Y splitter . Each gauge is fed from seperate snorkel line connected to communication sub below. Fully redundant system, require both gauges to read from both snokel lines incase one snorkel line should become blocked.
Project Name: Block 0 - Monobore Completion
Special Quality Plan Required?: No
Material: (7) 13 CR 80 MY 22HRC (ES-MA-58-7)
Technical Support Deliverables:
Preliminary Design Specifications
Reference Assembly Drawing
Reserve SAP Material Number
ZZ Drawing</t>
  </si>
  <si>
    <t>QA REQUEST TO UPDATE CWI STRUCTURE FOR SAP MN 101927814 REF NO. 9290-6648-SE1; 4-1/2 CHEM INJN MDRL ASSY
QUALITY REQUIREMENTS CHANGE, ONLY.
QUALITY PLAN: SE1; REV 10
05/18/11 ASSIGNED FOR PROCESSING VN
051911 TSG RECD FOR PROCESSING DSH
051911 THIS RTA REQUIRED ENGINEERING REVIEW DSH</t>
  </si>
  <si>
    <t>Oil Search</t>
  </si>
  <si>
    <t>Same As: 9290-2553; 4.5 IN 13.5 ppf ROC-S VAMTOPHC 13CR 95K
Except: Requirements Needed:
4140/ 80K material, 4 1/2 12.6 Vam Top threads Pin X Pin.
Fit a single ROC S PDHG.
Has to fit inside 9 5/8 53.4 ppf casing.
Tech Start Date is in the past
Project Name: for stick
Special Quality Plan Required?: No
Material: (1) Low Alloy Steel 80 MY 22HRC (ES-MA-18-9)
Mating Infomation:
Set up and distributed to M. Scogin 05242010 JCallaway</t>
  </si>
  <si>
    <t>Need EDS created for 9388-6063-SM1, reference RTA 581340.
Set up and distributed to M. Scogin (JCallaway) 04202010</t>
  </si>
  <si>
    <t>PLM would like to develop an injection valve that will able to handle high flow rates and associated high differential pressure. In line with that PLM is attaching a requirements document to this RTA to outline the scope of this development. Require engineering to provide a schedule and a cost to be attached to this RTA. Please contact PLM for further information on this project
ZEWO  103576822
Network  HTWD601732 M001</t>
  </si>
  <si>
    <t>RUCHIR PATWA</t>
  </si>
  <si>
    <t>Halliburton Angola</t>
  </si>
  <si>
    <t>create BOM structure for 594242 (312574-00-01).  Mar 1/2010 RTA pending clarification with Robert Smith (GMacias)</t>
  </si>
  <si>
    <t>Devon</t>
  </si>
  <si>
    <t>Same As: 315013-00; EXTERNAL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Quoted Manufacturing Lead Time is negative.
Project Name: Horn River Basin Vert. Strat. appraisal well
Special Quality Plan Required?: No
Material: (16) Customer Supplied - Supply detail in description
Mating Infomation:
Dec. 11/2009 Set-up &amp; distributed to Paul James (G.Macias)</t>
  </si>
  <si>
    <t>ExxonMobil</t>
  </si>
  <si>
    <t>Same As: 9555-6207; XPIO-QT DC UNIT INCL LCD AND MEZZ
Except: A Surface Acquisition Unit SAU in both explosion proof and non explosion proof packages to read off minimum of 4 downhole gauges. This will be battery operated with USB outlets to PC with accessories, cards, switchable surface display and associated memory card
Tech Start Date is in the past
Project Name: TBA
Special Quality Plan Required?: No
Material: (5) 9 CR-1MO 80 MY 22 HRC (ES-MA-2-7)
Mating Infomation:</t>
  </si>
  <si>
    <t>MISCELLANEOUS E-MAIL REQUEST
060811 ESMERALDA HERNANDEZ
REFERENCE E-MAIL: P/N 597937</t>
  </si>
  <si>
    <t>Same As: 235ACP965503-ST1; AHR CLMP ASSY,13CR,HF1 PKR
Except: We need a SAP number for a Anchor Ring Clamp to be used on a 7inch 32ppf isolation packer. This SAP number will be used in a client price list.
Project Name: Tyrihans
Special Quality Plan Required?: Yes
Quality Plan Identifier: SB2
Material: (11) Super 13 CR 110 MY 32 HRC (ES-MA-134-_)
Technical Support Deliverables:
Reserve SAP Material Number</t>
  </si>
  <si>
    <t>Response to long term solution for SCRAMS CPI 300159972
As there still are problem with SCRAMS 6.0 , SCU and computers we are not able to do final function tests on assys. Because of this problem we can no longer quality accept or finish tests on ongoing jobs.
We need a fix or solution to this ASAP to meet the delivery demands.
Solution is to upgrade software to .NET so it can be used on new platform PCs
Set up and distributed to D. Teale (JCallaway) 04292010</t>
  </si>
  <si>
    <t>316670</t>
  </si>
  <si>
    <t>Same As: 215LV0550001-PQ1; PENDING QUALIFICATION TESTING -PQ1
Except: 101829894  change material from 13Cr to 9Cr to comply with all wet components in 9Cr  
Extremelly urgent
Project Name: Wet Tree Deployment
Special Quality Plan Required?: Yes
Quality Plan Identifier: Petrobras Brazil PQ1
Material: 
Mating Infomation:</t>
  </si>
  <si>
    <t>354575 (Tamba_Shell)</t>
  </si>
  <si>
    <t>Same As: PR-BC10-CAISON-LON; PR-BC10-CAISON-LONG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CHANGED RTA CODE TO 1 PER E. NOTTO 11/11/2009 J. CALLAWAY
CHANGED REQUESTED DESIGN COMPLETE DATE TO 11/30/2009 AND THE PLANT WHERE MADE TO SPRING PER P. ALLARDYCE 11/10/2009 J. CALLAWAY
Jan 7/2010 Set-up &amp; Distributed to Paul James (GMacias)</t>
  </si>
  <si>
    <t>Pemex Cantarell</t>
  </si>
  <si>
    <t>Cantarell South is evaluating to have a 3 zone SmartWell. We need a surface control system for these 3 HS-ICVs direct hyd chokable.
Set up and distributed to R. Smith 06152010 JCallaway</t>
  </si>
  <si>
    <t>Hydraulic Control Panel, Electric Surface Control Panel Cabinet to Locally Operate the Valves with integrated XPIO with I-Field specs
Project Name : ABQQ 531 &amp; HRDH 229
C850012</t>
  </si>
  <si>
    <t>ECR drawing 9381-2026 Rev.A
Need a dimension for the depth of the 6 slots X .415 wide that are used to mount the part.</t>
  </si>
  <si>
    <t>Murphy West Africa</t>
  </si>
  <si>
    <t>Same As: 215HA0450030; VLV,INTEGD ACCUPULSE,4.5, 718/4140,2 BY
Except: The customer would like to provide a stack up drawing of the two valves provided for the Murphy project in the 718 and 4140 mix mentioned in this RTA with the following perforated pup joint separating the two valves. Added into the file check in the perf joint dimension are included below
Overall length = 43.31
Connection = 412 Vam Top 12.6 Box x Pin 
Approx. make up length = 40
Min ID = 3.85
Max OD centralizer = 6.975
OD body = 6.21
Offset = 0.197
The stack up drawing will also need to show the landing nipple and Weg attached directly to the lower valve  on tool 215Ha0350037.
They would like to determine the actual length they have beneath the shrouded valve.
I am unable to locate the part number for the shrouded casing joint piece but i believe this to be 6ft long.
Project Name: Azurite 
Special Quality Plan Required?: No
Material: (16) Customer Supplied - Supply detail in description
Technical Support Deliverables:
Reference Assembly Drawing</t>
  </si>
  <si>
    <t>Pup JT, 5.5, 23ppf, VAM TOP, Box x Pin, 125KSI, INC 718, 10ft in length.  Must follow Chevron CT2 quality plan.
Changed connections from P x P to B x P per attached email. 9/15/10 DM
Customer no longer requesting handling pups per attached email.  9/28/10 DM</t>
  </si>
  <si>
    <t>Please create SAP number and attach drawing (included) for ordering part. This is a third party (Tube tec) cross coupling protector. Purchased part.
Requested description Cross coupling clamp, 4.50 12.6 - 15.1 lb per ft Vam Top,44x12 mm Flatpack,11x11 Encap, 1x 0.25 Bare line</t>
  </si>
  <si>
    <t>Saudi Arabia</t>
  </si>
  <si>
    <t>Please create SAP number and attach drawing (included) for ordering part. This is a third party (Tube tec) cross coupling protector. Purchased part.
Requested description Cross coupling clamp,3.50 9.2 lb per ft Vam Top,44x12 mm Flatpack,11x11 Encap, 1x 0.25 Bare line</t>
  </si>
  <si>
    <t>GLOBAL SOURCING REQUEST</t>
  </si>
  <si>
    <t>Same As: 9290-6492; 5-1/2 23 ROC-M2P FEED THRU BLOCK VAM TOP
Except: We have the need for 4 ea 5,5in Triple ROC M Gauge Mandrels
3 ea Single ROC M gauges should be conncted.
One gauge ported to tubing the other two will be connected to snorkel lines measureing temp and pressure further down the well.
Material is 13 Cr   A 205
Threads: 
IS 5,5¿¿ 20LBS Vam Top HC. Material is 13% Cr AS OF 102809 DHENSON
WAS 5,5in Vam Top HC 20lbs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t>
  </si>
  <si>
    <t>Same As: 216H000735U1O01; ASSY,3.5 HS ON/OFF DIR HYDR,13% CR,WITH
Except: see attacment for deatils
S Saldanha to contact field and have RTA submitted properly. 10/19/10 DM
Project Name: 
Special Quality Plan Required?: No
Material: 
Mating Infomation:
ATTACHED VALVE REQUIREMENTS DOCUMENT AND PROMOTED BACK TO SUBMITTED.  9/30/10 DM</t>
  </si>
  <si>
    <t>Statoil / Grane</t>
  </si>
  <si>
    <t>ECR-D00488332 SHEET 2 DETAIL J, CHANGE THREAD DEPTH TO .5 MIN. AS ON REF DRG 317081-00-01 .46 IS REQUIRED FOR SCREW ON ASSY. CHANGE DIMENSIONS THAT HAVE 3 DECIMAL PLC TO 2 WHERE POSSIBLE.
RTA WILL BE CANCELLED TO BE RESUBMITTED LATER ON IN THE YEAR AS DISCUSSED BY EMAIL SENT ON 09JUN11 FROM P.J. (OEWUMI 10JUN11)</t>
  </si>
  <si>
    <t>Request to create HW1 commodity for GGE ASSY,ROC-DF; SAP MN 101809118 (9385-6084). The BOM structure will call out the standard assembly.</t>
  </si>
  <si>
    <t>Same As: 105XO0453503; CROSSOVER, 4.5 X 3.5 4.50 11.6 NEW VAM B
Except: Look at attached drawing. Make the same as that.
Xover with: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</si>
  <si>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9290-6530-SH1; 3.5 9.20 ROC-M2P,10K,VAMTOP,25CR,BYP GAU  Except: I need a 3,5in ROC M2P with mandrel in 25 Cr. It should be the same as 9290 6530 but with SB2 quality plan and a smaller OD.  The OD on the reference will gives us a combined OD with the packer that is bigger than the ID of the 7in liner. I will need an OD similar to 9290 2491.  Tech Start Date is in the past Quoted Manufacturing Lead Time is negative. Project Name: Oseberg S??r F-7 Special Quality Plan Required?: Yes Quality Plan Identifier: SB2 Material: (12) 25 CR  AF918 85 MY (ES-MA-66-49) Mating Infomation:  Mar 5/2010 Set-Up &amp; Distributed to Matthew Scogin (GMacias) Mar 8/2010 RTa returned to Submitter for additional required documents per Matthew Scogin. (GMacias)
March 10/2010 Customer Required documentation received (GMacias)</t>
  </si>
  <si>
    <t>Shell Gumusut requirement for a drawing to be produced for a Perforated Pup. A pre-release SAP number is required to allow Kevin Robertson to add the line item to the quote fo Shell. Peforated Pup to be 30 inches long. Material, 13 CR-80. Thread 4.5 Inch 13.5 pound Vam Top. I.D 3.920, Drift I,D 3.795. Part will be a third party item from Mitco in Malaysia. Tubing and Thread Inspection class is B-1.</t>
  </si>
  <si>
    <t>M/N-101837903, 593590, and 593592; Drawing 312367-00-01 Rev.1
The note on page 2 (zone D-10) say 4 places, should be 5.
RTA CAN BE CLOSED, REQUEST HAS BEEN COMPLETED ON 624916 (OEWUMI 27MAY11)
060111 NEVER RECD A FOLDER OR NOTIFICATION TO RELEASE DSH</t>
  </si>
  <si>
    <t>Dyane Henson</t>
  </si>
  <si>
    <t>Same As: 9290-6539; GGE MDRL ASSY,4.5-12.6PPF,ROC-HS,NEW VAM
Except: Requirements:
13.5 ppf, 80ksi, DUAL ROCH GAUGE MANDREL VAM TOP upper box x lower pin threads, AISI 4140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101830036 (9290-6569-PQ1)</t>
  </si>
  <si>
    <t>ECR - (Originally created in ETQ on SDC - 000229). Doc. 312025-03-01, Step 3 of page 1 calls for a body test. We do not perform a body test on integrations. Also, Page 2, Step 1 of Section 2 calls for the digi manifold output lines to be lined up with the Accu-Pulse manifold by-pass slots. This is incorrect. The by-pass slots of the digi and the Accu-Pulse should be aligned.
Set up and distributed to P. James (JCallaway) 04272010</t>
  </si>
  <si>
    <t>550 F and 650 F Control Line (CL) Fluid Testing for Cyclic Steam Stimulation (CSS)
In conjunction with high temperature testing of the steam valve, long term high temperature testing of CL Fluids need to be conducted.
The current CL fluid (Hysyn FG 46) should be able to operate to 550 F.  However, 650 F testing may require the selection of a new CL Fluid.  Santaovac has been identified in the past as a possible CL Fluid.  However, it is prohibitively expensive and cannot be shipped to the Middle East.  Some heat transfer fluids have previously been identified (both hydrocarbon and silicon based) that may be able to handle these temperatures.  These fluids will need to be placed on Long Term testing.
Network: HTWD601397;M001                   12/16/10 DM
ZEWO:  103377642</t>
  </si>
  <si>
    <t>Legacy Energy LLC</t>
  </si>
  <si>
    <t>Same As: 9290-6581; GGE MDRL ASSY,2.875IN 6.5PPF,ROC-S SGL,E
Except: The customer has requestion to have this mandrel made from CROME 25 material instead of A925.
Project Name: IP-1 Recomplete
Special Quality Plan Required?: No
Material: (12) 25 CR  AF918 85 MY (ES-MA-66-49)
Mating Infomation: No special instruction on mating with other parts.
Nov. 19/2009 - Set up &amp; distributed to Matt Scogin (GM)</t>
  </si>
  <si>
    <t>THIS RTA IS TO MODIFY ALL PARTS USING 9381-5030 OR 9381-5040 TO CALL OUT QTY 2 OF DXB012-XX-YYY-W30 INSTEAD OF DXB012-XX-YYY IN WHICH W30 SIGNIFIES THAT THE TRANSDUCERS WILL USE 30 INCH LONG 30 AWG WIRES.</t>
  </si>
  <si>
    <t>Same as 315080-01-01 EXCEPT: 
Current 315080-01-01 has the ability for 3 lines, 2 zones. For the ExxonMobil Sakhalin Island project we need to produce drawings to illustrate the size and dimensions of the cabinet with 4 line WCMs. The cabinet needs to have the requirement to manage 15 Smartwells with 5 Spare. Additionally the client has requested that we have the ability to bring into the cabinet 30 Non Smart PDG wells. It is understood that the WCMs can be substitued for a PDG PLC Rack, so the unit should be sized accordingly to bring the extra PDG lines from the 30 wells as well as the 15+5 Smartwells that will have PDGs and Hydraulics. Drawings at this stage are preliminary in order for ExxonMobil to be able to advise the platform manufacturer of our estimate of size and weight. Platform will be in minus 40F environment so insulation/heaters may be required which may increase the SHS footprint and size.</t>
  </si>
  <si>
    <t>ELEK ECN to modify 315349-00-01</t>
  </si>
  <si>
    <t>Encapsulated Flatpack Control Line for TRSCSSV and TIV.  Quad 1/4 inch x .049 Incoloy 825 Seamless coil tubing encapsulated in a .080 inch Rislan II jacket (Tube Tec Drawing attched)
SAP No. 630686
Special Quality Plan: BP3
Set-up plant 2071 as a buy
Request to create Old Material Number reference.
Dec 18/2009 Set-up and distributed to Paul James (GMacias)</t>
  </si>
  <si>
    <t>Upload to CWI latest revision of Procedure 9388-5225 Roc-S Male Cable Term Assembly Test and Install.
Feb 8/2010 Set-up &amp; Distributed to Matthew Scogin (GMacias)</t>
  </si>
  <si>
    <t>On the 0.75 dual, triple, and quad blocks, there is a clearance problem when it comes to performing the pressure test.  After the gauges and the block have been secured to the mandrel, The pressure connectors used with the test clamps to pressure test the blocks will contact the mandrel on make-up to the point that the block has to be raised slightly off of the mandrel.  This puts undue stress on the gauge mountings and is not desireable.  It is recommended that the pressure test hole in the block be moved further away from the mandrel body so there is no interference.
Set up and distributed to M. Scogin (JCallaway) 04072010</t>
  </si>
  <si>
    <t>MATERIAL PRODUCTIVITY</t>
  </si>
  <si>
    <t>Develop Software Application:  Softflow Product
07/20/08 - Set-up and distributed to Robert Smith - G. Chatelain</t>
  </si>
  <si>
    <t>Revise cable termination procedure</t>
  </si>
  <si>
    <t>To work with Quartzdyne on the development of ROC-X project, the documents including design spec, firmware, software need to be loaded to the CWI for both party to see same revision.  The documents will be revised and released frequently until design freeze.
MAY 11/2010 SET-UP &amp; DISTRIBUTED TO MATTHEW SCOGIN (GMACIAS)</t>
  </si>
  <si>
    <t>Control System For Snorre A - need drawings and quote as per attached documents</t>
  </si>
  <si>
    <t>Same As: 9290-6448-SV2; GAUGE/MANDREL ASSY 3.5 9.2 ROC-M2 16K VA
Except: See attached Dokument.
Roc H2F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</si>
  <si>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4 1/2 inch Monobore Communication sub.  Same as 9290-6698 but 4 1/2 inch, 12.6 lb version</t>
  </si>
  <si>
    <t>33:</t>
  </si>
  <si>
    <t>Saudi Aramco has asked for compliance to vent / breather / drain requirements for all newly manufactured control panels.
Please see attached specifications.
2011-06-20, Weekly Meeting:  RTA should be cancelled per Robert Smith.  Robert has discussed this with the submitter and has communicated a different approach.</t>
  </si>
  <si>
    <t>17:</t>
  </si>
  <si>
    <t>MOVE DOCUMENTATIONS TO CWI FROM REVISION A
Jan 18/2010 Set-up &amp; Distributed to Matthew Scogin (GMacias)</t>
  </si>
  <si>
    <t>M/N-598253 Drawing 9388-2075 Rev.2
Please add UNS C51000 to the material call-out as an acceptable alternative.</t>
  </si>
  <si>
    <t>2 7/8?? HSC-ICV (Digi manifold ??A??) 13 Cr
Ref. Rta R00000557642 (216HPP0728U1B00)</t>
  </si>
  <si>
    <t>CUT OPEN AND EXAMINE GAUGE ON Q-NOTE 200581870.  IT WAS FOUND THAT THE GAUGE DOES NOT WORK WHEN HORIZONTAL, ONLY VERTICAL.</t>
  </si>
  <si>
    <t>ECR - 9388-8031. A SLOT OR HOLE IS REQUIRED ON THIS DRG TO CLEAR THE DOWEL PIN ON ASSY DRG 9290-6539.  THIS IS CAUSING PROBLEMS AS AT ASSY WHEN WE CAN NOT FIT THIS ON THE BLOCK HAS TO BE REWORKED TO CLEAR THE DOWEL PIN
Set up and distributed to M. Scogin 05242010 JCallaway</t>
  </si>
  <si>
    <t>Same As: 9290-6539; GGE MDRL ASSY,4.5-12.6PPF,ROC-HS,NEW VAM
Except: Requirements:
12.6 ppf, 80ksi, AISI 4140,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101830834 (9290-6562-PQ1)</t>
  </si>
  <si>
    <t>MISC E-MAIL REQUEST
022811 MIKE REAGAN
REF E-MAIL: NEED DRAWINGS LOADED IN CWI 101787222</t>
  </si>
  <si>
    <t>Same As: 215PA0350000-ST1; VLV,INTEGD,HVI ACCU-PULSE 3.500 SHROUDED
Except: We need a SAP number for a valve of the same spec as the 3,5inch shrouded valve we have refered to but without Position Sensor and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</si>
  <si>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UPLOAD DRAWING AND ATTACH TO PART PER E-MAIL REQUEST</t>
  </si>
  <si>
    <t>Same As: 215PA0350003-SH1; VLV,HVI ACCU-PULSE,INTEGD,3.5OO,13% CR,3
Except: No position sensor required.
Suffix code SB2 according to TLQP
PN needed due to contractual requirements.
Ref. contract SAP4600009874
Project Name: 
Special Quality Plan Required?: Yes
Quality Plan Identifier: SB2
Material: (7) 13 CR 80 MY 22HRC (ES-MA-58-7)
Mating Infomation: No special instruction on mating with other parts.
10/12/09- Set up &amp; Dist to Paul James ( Holly Carroll)
10/13/09- UPDATED RTA CODE WAS 7 IS 2 PER D HICKMAN SEE ATTACHED</t>
  </si>
  <si>
    <t>LOAD CUSTOMER SPECS ES-CS-9-108, ES-CS-9-106, ES-CS-9-107 INTO CWI</t>
  </si>
  <si>
    <t>MLT Bypass System for Casing Conveyed Umbilicals
Project Name : MLT Bypass System for Casing Conveyed Umbilicals
D800263</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</si>
  <si>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t>
  </si>
  <si>
    <t>Need to update SWM Server Specification (drawing 314692-00-01) to include latest server specification (current revision loaded is 2006) and change title for both part and drawing to SWM server spec instead of SDACS.  P/N for server is 594819.  For upcoming project Petrobras Guara.</t>
  </si>
  <si>
    <t>SUPPORT SHELL AND FMC WITH DUPLICATE VALUES REPORTED ON SYSTEM WITH 9670-6000 (DHI-108) CARD AND 9650-6051 (ROC-D RAMPING GAUGE SIMULATOR).
PLEASE CONNECT TASK T00000680365 WITH THIS RTA, AS THE REPORT PME-ER-000068 IS TO DESCRIBE THE WORK BEING DONE UNDER THIS RTA.</t>
  </si>
  <si>
    <t>2 Well SHS/HEC, Permanent, Level 2 - Automated, Electrically Operated, Synthetic Oil
10/29, changed RTA Code to 6 based on comments from Region
012610 - CANCELLED PER MELISSA ALLEN (CUSTOMER NO LONGER REQUIRES). SEE ATTACHED CANCELLATION NOTICE. (J. CALLAWAY)</t>
  </si>
  <si>
    <t>UPDATE 9670-6040II QUIESCENT CURRENT LIMIT: After a DC/DC converter change, the normal quiescent current of this card has increased causing it to incorrectly fail a test in the incoming inspection.  The current limit should be increased to account for the higher value.</t>
  </si>
  <si>
    <t>Support Request: Please update 9650-6052 documentation user manual to include support for: PAU/RTI power of simulator, as well as usb-serial support for COE laptop.  This test setup will be used to train field personnel on the use of this newly developed equipment before arriving on site at customer location.</t>
  </si>
  <si>
    <t>TRIED TO GET THESE QUOTED BY THE SUPPLIER - NEED MORE INFORMATION.  ASKING TSG FOR DRAWINGS AND SPECS - ESMERALD HERNANDE 
Esmeralda,  I have looked on our system, and cannot find any cross-reference of a Diamould part, to either 0201-6008 or 588309. Please could you let me have the drawing of the wellhead outlet, or the details of its make-up; pressure rating, previous order numbers etc?
Regards, Chris Lightfoot</t>
  </si>
  <si>
    <t>ConocoPhillips</t>
  </si>
  <si>
    <t>Creation of Optolog DTS-CE - please see attachment. Jameel Rahman previously spoke with Robert Smith concerning this issue. 
Project Name : Optolog DTS
C800213</t>
  </si>
  <si>
    <t>4.5 crossover Sub w/ slot - contract 2001159 (SH1) Grane G13
Feb 16/2010 Set-up &amp; Distributed to Paul James (GMacias)</t>
  </si>
  <si>
    <t>OD reduction of the WellDynamics Frac valve. Additional info is available from Canada
10/6/09- SET UP AND DIST TO DAVID TEALE (HOLLY CARROLL)</t>
  </si>
  <si>
    <t>Shell Malaysia</t>
  </si>
  <si>
    <t>For the Shell Gumusut project, the client requires a pre-release Single SAP Part number to include the following individual part numbers. Material Description to read: 4-1/2 inch Inconel 725 Shrouded ICV (Includes ICV, Shroud and Plug)
101892847 - 4.500 HVC Valve
101901560 - 3.562 RPT
101901563 - 3.562 Lock mandrel
101901564 - 3.562 equalizing prong
101911472 - Wireline Re-entry guide
101911756 - 7 inch 32 pound coupling
101911873 - 7 inch 32 pound shroud
The Shell Gumusut Valve to be qualified to SM-2, remaining items can be SM-1. EDS required for assembly. Please pre-release SAP number as this is required for Shell to issue purchase order to WellDynamics.
MAY 18/2010 SET-UP &amp; DISTRIBUTED TO PAUL JAMES (GMACIAS)</t>
  </si>
  <si>
    <t>STANDINGE RTA FOR JAMES SEALE, LAB OFFICE WD3</t>
  </si>
  <si>
    <t>6 well SHS cabinet with 1 x 5 line WCM + UACU+c/w 1 x PDGIC
Project Name : SA085422
C850015</t>
  </si>
  <si>
    <t>FRAC VALVE, 3.500
D701122_01</t>
  </si>
  <si>
    <t>Same As: 9290-6602; GGE MDRL ASSY,4.5IN-15.1PPF,ROC-D DUAL,V
Except: Except: Drawing change; both gauges need to be ported to annulus and bypass slots need to increase to 0.68.  See attached email.  Any question please get with Matthew Scoggin or Bill Hanks.
Tech Start Date is in the past
Project Name: Gulf Coast Inventory
Special Quality Plan Required?: No
Material: 
Mating Infomation:</t>
  </si>
  <si>
    <t>Same As: 9290-6601; GGE MDRL ASSY,4.5IN-15.1PPF,DUAL ROC-HS,
Except: Except: Drawing change; both gauges need to be ported to annulus and bypass slots need to increase to 0.68 .  See attached email.  Any question please get with Matthew Scoggin or Bill Hanks
Tech Start Date is in the past
Project Name: Gulf Coast Inventory
Special Quality Plan Required?: No
Material: 
Mating Infomation:</t>
  </si>
  <si>
    <t>ECR - Drawing D00485889 is lacking information for the 3/8 inch splice body groove. There is no radius information for the bottom of the groove. See attached drawing for needed radius information.</t>
  </si>
  <si>
    <t>2 well Control System
Project Name : Shaybah 368 and 369
C850024</t>
  </si>
  <si>
    <t>6 well Control System
Project Name : Shaybah 102
C850025</t>
  </si>
  <si>
    <t>Petronas</t>
  </si>
  <si>
    <t>Create upper level part number to include the following:  9555-6104(XPIO AC-DT UNIT), 9555-6110( XPIO LCD and Knob Assy), 9555-6111(Mezzanine Kit)
Project Name : Baronia 7ST
C850023</t>
  </si>
  <si>
    <t>Shell Brunei</t>
  </si>
  <si>
    <t>2 x HVC Digital Hydraulic
Project Name : SWA-303 / SWA-304
C850026</t>
  </si>
  <si>
    <t>QPD</t>
  </si>
  <si>
    <t>Surface Cabinet and XPIO
Project Name : Al Karkara Field
C850035</t>
  </si>
  <si>
    <t>Chevron Nigeria</t>
  </si>
  <si>
    <t>Same As: 215HA0450013; VLV,HVC INTGRTD,4-1/2 ACCU,DFTR,718/4140
Except: Require all control line bypass slots on the valve to be fitted with some type of cover that can be retrofitted to the existing design in the field. This cover sleeve is required to prevent high rated injected fluid entering the void spaces of the bypass slot, inducing vibration and leading to fretting of the control line beneath the hold straps. Current use of teflon sheathing is not proving adequate and hence a new fix to the problem is required. This RTA should be considered as high priority
Tech Start Date is in the past
Project Name: Agbami
Special Quality Plan Required?: No
Material: (15) Other HES - Provide ES-MA callout
Mating Infomation:
Feb 1/2010 Set-up &amp; Distributed to Paul James (GMacias)</t>
  </si>
  <si>
    <t>Please transfer the following documents from Domino into CWI. These are all MC packer design drawings.  Transfer drawings only and mark them as unreleased.
314805
314800
315030
Please contact Ravi Vayeda for additional information
031111 GIVEN TO VINOD DESAI TO HAVE BEEKEN UPLOAD DRAWINGS INTO CWI - REQUESTED WORK BE COMPLETED WITHIN 3-DAYS (GMC)
060211 SPOKE TO VINOD DESAI; VINOD NEEDS RAVI VAYEDA INPUT BEFORE COMPLETING; RAVI WILL RETURN FROM VACATION ON 060611 (GMC)</t>
  </si>
  <si>
    <t>Vinod Desai</t>
  </si>
  <si>
    <t>Same As: 215PA0350000-ST1; VLV,INTEGD,HVI ACCU-PULSE 3.500 SHROUDED
Except: Please  update the SAP Number for this valve to match the SB2 Quality Plan
Project Name: Tyrihans
Special Quality Plan Required?: Yes
Quality Plan Identifier: SB2
Material: (11) Super 13 CR 110 MY 32 HRC (ES-MA-134-_)
Technical Support Deliverables:
Preliminary Design Specifications
Reference Assembly Drawing
Reserve SAP Material Number</t>
  </si>
  <si>
    <t>ECR-102011836. Change BOM to replace brass protector 101883336 with nylon protector</t>
  </si>
  <si>
    <t>REQUEST TO BUILD STRUCTURE FOR PN 214CC2965501 &amp;-SB2 VARIANT FOR RA-000231</t>
  </si>
  <si>
    <t>BP angola</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</si>
  <si>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
09/04/09 - Set-up and distributed to Paul James - G. Chatelain</t>
  </si>
  <si>
    <t>welldynamics</t>
  </si>
  <si>
    <t>Shear Ring for Wireline shifting tool
Shear Ring for Wireline shifting
ER D800232</t>
  </si>
  <si>
    <t>BP Anola</t>
  </si>
  <si>
    <t>Same As: 213AP1450004-BP1; ACCUPULSE,ACTIVE 4.5,HYDR OVER BP1
Except: TEST TEST PLEASE IGNORE, ezRTA training
Project Name: ezRTA AM Class 10262009
Special Quality Plan Required?: No
Material: (1) Low Alloy Steel 80 MY 22HRC (ES-MA-18-9)
Mating Infomation: Special mating requirements:
Run Above RTA at Order Line No. 2
Run Below item with Part Number 602720
Work With Third Party Tool third party LN</t>
  </si>
  <si>
    <t>Saudi Ops</t>
  </si>
  <si>
    <t>Modular SHS - please see attached - and create new part number, drawing numbers and set up documentation accordingly 
Project Name : service order OPS-081117-01
C850028</t>
  </si>
  <si>
    <t>KODECO</t>
  </si>
  <si>
    <t>6-well SHS
Project Name : KUJUNG
C850031</t>
  </si>
  <si>
    <t>Same As: 9381-6000; ROC HS 10K 150 GAUGE ASSY CL
Except: make a Roc H2F. Dual sensor in one casing, and feed through
Project Name: Snorre A
Special Quality Plan Required?: Yes
Quality Plan Identifier: SB2
Material: (16) Customer Supplied - Supply detail in description
Mating Infomation: No special instruction on mating with other parts.
11/10/09 - Set-up and distributed to Matt Scogin - G. Chatelain</t>
  </si>
  <si>
    <t>Same As: 215PA0350000-ST1; VLV,INTEGD,HVI ACCU-PULSE 3.500 SHROUDED
Except: We need a SAP number for a valve of the same spec as the 3,5inch shrouded valve we have refered to with AccuPulse, but without Position Sensor Assembly.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</si>
  <si>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235AC0965507-ST1; ASSY, TAPER LOCK CLAMP, SIZE 9655, A-231
Except: We need a SAP number for a 3,5inch Taper Lock Clamp according to spec in attached document. This SAP number will be included in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</si>
  <si>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235AC0965507-ST1; ASSY, TAPER LOCK CLAMP, SIZE 9655, A-231
Except: Please update this item to SB2 Quality Plan. Thanks
Project Name: Tyrihans
Special Quality Plan Required?: Yes
Quality Plan Identifier: SB2
Material: 
Technical Support Deliverables:
Reserve SAP Material Number</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</si>
  <si>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Tech Start Date is in the past
Project Name: Tyrihans
Special Quality Plan Required?: Yes
Quality Plan Identifier: SB2
Material: (11) Super 13 CR 110 MY 32 HRC (ES-MA-134-_)
Mating Infomation:</t>
  </si>
  <si>
    <t>Update PDGIC (9670-6070) to do the following:
1) Revise firmware to 0901
2) Remove specifications SS.C000XX
3) Use production release versions of 9670-5004 and 9670-5054</t>
  </si>
  <si>
    <t>305389</t>
  </si>
  <si>
    <t>Same As: 9290-6582-SE1; GGE MDRL ASSY,4.5IN-15.1PPF VAM ACE SE1
Except: We will need 4.5IN 15.1 PPF VAM TOP Inconel 718 built to the SE1 Quality Plan. The mandrel must be built to house a dual ROC 175 gauge assembly which can be ordered seperately. The mandrel is being run into 7 5/8IN 41.5 PPF casing with 6.250IN Drift. Customer expects the Max OD of the mandrel to be 5.814IN. No pass through slots necessary.
Tech Start Date is in the past
Project Name: Perdido
Special Quality Plan Required?: Yes
Quality Plan Identifier: SE1
Material: (14) Inconel 718 125 MY 40 HRC (ES-MA-46-2)
Mating Infomation:</t>
  </si>
  <si>
    <t>Same As: 316884-00; MANIFOLD, ELECTRO-HYDRAULIC VALVE,PROTOT
Except: Same as above except
Require a 13Cr manifold for 3.5 and 4.5 in size tubing. Manifold needs to come with FMJ connections
Project Name: Product Line
Special Quality Plan Required?: No
Material: (7) 13 CR 80 MY 22HRC (ES-MA-58-7)
Mating Infomation:
Feb 26/2010 RTA returned for Additional Requirement document (GMacias)</t>
  </si>
  <si>
    <t>Same As: 315012-00; INTERNAL BONDED SEAL 4.500 FRAC VALVE
Except: Seals need to upgraded to a bonded Viton molded seal with Armid Fiber filler.  Original seal is made with Nitrile.  Seals are made by CDI, contact is Jill Dumont 281 446 6662.  Seals are part of 4.5 sFrac valve.  These will be part of a BOM for the 4.5inch sFrac valve.
Project Name: Horn River Basin Strat. Vert. Appraisal Well
Special Quality Plan Required?: No
Material: (16) Customer Supplied - Supply detail in description
Mating Infomation:</t>
  </si>
  <si>
    <t>Statoil Hydro</t>
  </si>
  <si>
    <t>Grane 10 Well SHS Cabinet
07/24/09 - Set-up and distributed to Robert Smith - G. Chatelain</t>
  </si>
  <si>
    <t>Add part number 642591 (Kemlon Soft Boot 16-B-1381-96) to each M2P gauge BOM and add the note that it will be a substitute for K-25 Soft Boot Assembly 9385-2051 in the ROC-S or ROC-L termination kit.  This special boot is required as it has to crimp to a 14 AWG position sensor wire.  In addition, a note needs to be created advising that the position sensor CFF to COF2 conversion software installation files (9381-1008) is available in CWI and needs to be implemented in order to calibrate and use the position sensor.
Set up and distributed to M. Scogin 05242010 JCallaway</t>
  </si>
  <si>
    <t>Same As: 215PA0350003-SH1; VLV,HVI ACCU-PULSE,INTEGD,3.5OO,13% CR,3
Except: Change material from 13Cr to 25Cr.
No pos. sensor required.
Update with current suffix code SB2
Also ref. 215HA0350025_SV1 which did not populate when entered.
This drawing request is to meet contractual obligation.
Ref. SAP 4600009874 
Project Name: 
Special Quality Plan Required?: No
Material: (12) 25 CR  AF918 85 MY (ES-MA-66-49)
Mating Infomation: No special instruction on mating with other parts.
10/12/09- Set up &amp; Dist to Paul James ( Holly Carroll)</t>
  </si>
  <si>
    <t>Please create .BHM version of 101797201 front ferrule.
See attached e-mail for details.
Ref. RTA 593919
Contact Dan Davies or Debra Hickman for .BHM CURL
JUNE 23/2010 SET-UP &amp; DISTRIBUTRD TO PAUL JAMES (GMACIAS)</t>
  </si>
  <si>
    <t>Gaynell Chatelain</t>
  </si>
  <si>
    <t>Same As: 105SX0554545-SH1; ASSY,SHRD XOVER,SZ 5545 25 Cr,ECC -SH1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</si>
  <si>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Kuwait OIl Company</t>
  </si>
  <si>
    <t>Same As: FP8114111; 5 LINE HYDRAULIC FLATPACKCONTROL LINES 1
Except: Number of Lines: 6
Tube OD: 0.25in
Tube Wall Thickness: 0.049
Tube ID: 0.125
Tube Type: Welded and Floating Plug Drawn
Material: 316 SS
Encapsulation Size: 50mm x 12mm
Length: 6600 ft
Working Temperature: 250F
Cleanliness: NAS 6 1638, Class 6
Fluid filled with: Red Oil
Project Name: KOC ESP SmartWells
Special Quality Plan Required?: No
Material: (15) Other HES - Provide ES-MA callout
Mating Infomation:</t>
  </si>
  <si>
    <t>Control Line Protection for Chevron Tahiti Phase Two Water Injection Wells.
Design needs to be verified with Chevron after flow loop testing results</t>
  </si>
  <si>
    <t>CHANGE INTERNAL TEST PRESSURE VALUE IN FAT PROCEDURES AND DESIGN DATA SHEETS FOR 70XX MC1 PACKERS FROM 7500 PSI TO 5500 PSI (THE SS CONTROL LINE TUBES 313298-FC THAT SEE COLLAPSE PRESSURE DURING THE FAT ARE RATED ONLY TO 6000 PSI IN COLLAPSE AT AMBIENT)- RAVI VAYEDA</t>
  </si>
  <si>
    <t>Update p/n 597773 to add SDG-QC-004. See email attached.</t>
  </si>
  <si>
    <t>ECR - (Originally created in ETQ on SDC - 000093). The HVC connection torque value on 215PA0350000 is for inconnel, which is a P-110 material. The torque values given are 3500 min, 3700 opt, 4260 max. The adapter sub (312394-21) is super 13 chrome, which is a 95 yield material. Per VAM, the torque value for this material should be 3330 min, 3700 opt, 4070 max.
Set up and distributed to P. James (JCallaway) 04262010</t>
  </si>
  <si>
    <t>Same As: 9290-6539; GGE MDRL ASSY,4.5-12.6PPF,ROC-HS,NEW VAM
Except: Requirements:
13.5 ppf, 95ksi, DUAL ROCH GAUGE MANDRELVAM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101830686 (9290-6568-PQ1)</t>
  </si>
  <si>
    <t>Same As: 9290-6555; GGE MDRL ASSY,5.5-23.00 VAMTOPHC B X P
Except: Requirements:
23 ppf, 80ksi, DUAL ROCH GAUGE MANDREL VAM TOP upper box x lower pin threads, AISI 4140, 80ksi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101830712 (9290-6567-PQ1)</t>
  </si>
  <si>
    <t>ECR-W.033616-00-00. AT GRID REV E3 DIMENSION .19/.00 WAS .19 at rev 6. ALSO DEPTH OF COUNTERBORE IS MISSING. WAS .38 AT REV 6</t>
  </si>
  <si>
    <t>UP DATE DRAWINGS AND BILLS OF MATERIAL FOR 71CO650 BASDED ON AS BUILT INFORMATION.</t>
  </si>
  <si>
    <t>SIEMENS UPGRADE OF IWIS APPLICATION CODE FROM A TO B (2009-211 TO 2010-101).  THE UPGRADE IS TO FIX THE BUG IN WHICH TURNING OFF THE POWER WITH GAUGES CONFIGURED CAUSES THE POWER TO BE IMMEDIATELY TURNED BACK ON, WITHOUT SEEING THE VOLTAGE IN THE ADC REGISTER.</t>
  </si>
  <si>
    <t>DISCREPANCY ACCEPTANCE</t>
  </si>
  <si>
    <t>ECR - Accu-Pulse Integration, MN101959310, has assy and test procedure ES-A-448 in the CWI structure. This integration has an AP3 Accu-Pulse manifold on it which requires a 10K psi differential pressure test during calibration. The correct assy and test procedure is ES-A-450. ES-A-448 is for a 4K differential pressure test which is incorrect.
WORK BEING COMPLETED ON RTA 667859; THIS RTA WILL BE CANCELLED.</t>
  </si>
  <si>
    <t>Same As: 9290-6601; GGE MDRL ASSY,4.5IN-15.1PPF,DUAL ROC-HS,
Except: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</si>
  <si>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ECR - MN 101892847 has procedure 312022-02-01 in the structure for required documentation. This is a redundant procedure as these same exact instructions are also within procedure ES-A-448. Please remove 312022-02-01 from the structure.</t>
  </si>
  <si>
    <t>Gireesh Bhat</t>
  </si>
  <si>
    <t>Same as 590010(215PA0550000-ST1) except with SB2 variant
Jan 26/2010 Set-up &amp; Distributed to Paul James (GMacias)</t>
  </si>
  <si>
    <t>Gloria Macias</t>
  </si>
  <si>
    <t>REQUEST FROM D. DEAN TO UPDATE P/N 588192 AND 588193 TO INCLUDE ENGR DRAWING AND SPECS
MAY 11/2010 SET-UP &amp; DISTRIBUTED TO MATTHEW SCOGIN (GMACIAS)</t>
  </si>
  <si>
    <t>Same As: 560LV135W004; VLV,LV1,3.5,13CR ASSY W/3.5 10.2 PPF NSC
Except: We need to create SAP Part Number for 560LV135W004 ASAP. 
Project Name: Safaniyah ESP SmartWell
Special Quality Plan Required?: No
Material: (1) Low Alloy Steel 80 MY 22HRC (ES-MA-18-9)
Mating Infomation:
022210 part reference update was 560LV135W005  is 560LV135W004 per attached request. D Henson
Feb 22/2010 Set-up &amp; Distributed to Paul James (GMacias)
Feb 23/2010 Rta demoted to Define Requirements Valve 560LV135W004 has been obsoleted. RTA will have to be re-submitted with requirement documents (New Tool) per Paul James (GMacias)</t>
  </si>
  <si>
    <t>Same As: 105XO0453503; CROSSOVER, 4.5 X 3.5 4.50 11.6 NEW VAM B
Except: Look at attached drawing. Make the same as that.
Xover with: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</si>
  <si>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9290-6539; GGE MDRL ASSY,4.5-12.6PPF,ROC-HS,NEW VAM
Except: Requirements:
12.6 ppf, 95ksi, Super 13Cr,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101830837 (9290-6561-PQ1)</t>
  </si>
  <si>
    <t>Same As: 215HA0350020; ACCUPULSE, 718/25CR/13CR 3-1/2 9.3 VAM T
Except: Change material to 13Cr.
Ref. A205_ST
Upgrade to shrouded version.
Different quality requirments. New suffix code: SB2.
This is a drawing requerst according to contract obligation.
Ref. SAP4600009874
Project Name: 
Special Quality Plan Required?: Yes
Quality Plan Identifier: SB2
Material: (8) 13 CR 95 MY 32 HRC (ES-MA-58-4)
Mating Infomation: No special instruction on mating with other parts.
10/19/09 - Set-up and distributed to Paul James - G. Chatelain</t>
  </si>
  <si>
    <t>Same As: XO-B-5523-01; 5-1/2 23 X 4-1/2 12.6CROSS OVER
Except: Material: A511ST 25 Cr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529553 - email request from Erica Notto (Kare Hognestad) to cancel - G. Chatelain</t>
  </si>
  <si>
    <t>Arrow Energy</t>
  </si>
  <si>
    <t>Same As: 9293-6506; 2 7/8 6.5 PPF SMARTLOG EUE-8RD J-55 BOX
Except: this Gauge mandrel comings from the WellDynamics Smartlog product line. Im after a technical drawing and a price per unit. I have been talking to Alan Sanderson about this product and he mention that this will be the correct way to get a techical infomation i required.
Project Name: Tipton West
Special Quality Plan Required?: No
Material: (1) Low Alloy Steel 80 MY 22HRC (ES-MA-18-9)
Mating Infomation: No special instruction on mating with other parts.
111109- FOLDER CREATED AND DISTRIBUTED TO MATT SCOGIN (DHENSON)</t>
  </si>
  <si>
    <t>1/4 inch 035WT A825 Solid Copper Conductor, Rislan II Encapsulation Tube Tec drawing attached)
Existing SAP No. 630513
Special Quality Plan: BP3
Set-up plant 2071 as a buy
Request to create Old Material Number reference.</t>
  </si>
  <si>
    <t>Correct part 9290-6709</t>
  </si>
  <si>
    <t>ECR: Drawing 9290-2559,VAM bore dimension has changed from 3.919 +.020/-.000 in rev A to 3.909 +.020/-.000 on rev B.  This is incorrect and should be the dimension and tolerance that was on rev A drg.
- 3.690 bore is to be +/-.005 as it was 3.690 +.015/-.00 on rev A drg
- Surface finish locations needed to be corrected. 
- Re-organize drawing for better machining clarification.</t>
  </si>
  <si>
    <t>Steven Gaare</t>
  </si>
  <si>
    <t>ELEK ECN FOR QUALITY PARTS TO CHANGE HOLES SIZE AND LOCATIONS ON 5.5 HVC UPPER SEATS TO PROVIDE INCREASED SUPPORT TO THE LOWER SEAL STACK BEARING RING. PER PAUL JAMES.</t>
  </si>
  <si>
    <t>Pranay Asthana</t>
  </si>
  <si>
    <t>MODIFY THE PDGIC SCHEMATIC AND LAYOUT, ADDING A CAPACITOR OVER D2 IN ORDER TO PREVENT ROUNDING THAT OCCURS WITH SMALL OUTPUT LOADS DURING VOLTAGE MODULATION
06/30/09 - Opened File; Distributed to M. Scogin - G. Chatelain</t>
  </si>
  <si>
    <t>SAUDI ARAMCO</t>
  </si>
  <si>
    <t>QUALIFICATION TESTING FOR MC1 PACKER SIZE 9643 722MC1964300 P/N 101979013 DEVELOPED IN RTA 607367.
Network: HTWD601399;M001               12/16/10 DM
ZEWO: 103377644</t>
  </si>
  <si>
    <t>Same As: 215PA0550000-ST1; VLV, HVI INTEGD 5-1/2 ACCUPULSE SUP13CR
Except: Please update existing valve with SB2 Quality plan, and send me new SAP number. Thanks.
Project Name: Tyrihans 
Special Quality Plan Required?: Yes
Quality Plan Identifier: SB2
Material: (11) Super 13 CR 110 MY 32 HRC (ES-MA-134-_)
Technical Support Deliverables:
Preliminary Design Specifications</t>
  </si>
  <si>
    <t>SCIC</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</si>
  <si>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
07/21/09 - Set-up and distributed to Paul James - G. Chatelain</t>
  </si>
  <si>
    <t>Same As: 722HF1965309-SB2; SZ 9653,HF-1 PKR,PCH REL,5K PSI TO SET,T
Except: We need a SAP number for a isolation packer in 7inch 29ppf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Set-Up &amp; Distributed to Paul James (GMacias)</t>
  </si>
  <si>
    <t>Same As: 215PA0550000-ST1; VLV, HVI INTEGD 5-1/2 ACCUPULSE SUP13CR
Except: I need a SAP number for a valve as the valve referred to, but excluded Position Sensor Assembly and AccuPulse. This SAP number will be included in a client price list.
Project Name: Tyrihans 
Special Quality Plan Required?: Yes
Quality Plan Identifier: SB2
Material: (11) Super 13 CR 110 MY 32 HRC (ES-MA-134-_)
Technical Support Deliverables:
Reserve SAP Material Number</t>
  </si>
  <si>
    <t>In order to streamline both the XPIO product portfolio and manufacturing processes, it is desired to create two versions of the XPIO as follows:
1.  AC/DC powered single channel
2.  AC/DC powered four channel
Each of these shall use the new univeral gauge power supply/modem design and be documented consistanty with other Perment Monitoring electronic assemblies.  Each of the PCBs should be updated and documented fully.</t>
  </si>
  <si>
    <t>Update SAP M/N 598147 with any documentation, specs, etc.</t>
  </si>
  <si>
    <t>ECR-101899755. Change BOM to replace brass protector 101883336 with nylon protector</t>
  </si>
  <si>
    <t>TEST ONLY</t>
  </si>
  <si>
    <t>Control System
Project Name : SA095750
C850033</t>
  </si>
  <si>
    <t>SCRAMS
SSCRAMS-08</t>
  </si>
  <si>
    <t>I have the following part in the UK that I need to ship to Norway, unfortunately there is no SAP number available. Could you please create a SAP number for the following part number.
Set up and distributed to P. James 05252010 JCallaway
DWG number 304341-00-10</t>
  </si>
  <si>
    <t>Same As: 215PA0350000-ST1; VLV,INTEGD,HVI ACCU-PULSE 3.500 SHROUDED
Except: We need a SAP number on a 3,5 inch unshrouded valve with AccuPulse and Position Sensor, the valve will have the same spec otherwise that the valve referred to. The SAP number will be used in a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</si>
  <si>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215PA0350000-ST1; VLV,INTEGD,HVI ACCU-PULSE 3.500 SHROUDED
Except: We need a SAP number for a 3,5 inch valve with Position Sensor, but without Shroud and without AccuPulse. This valve is otherwise similar to the referred valve. The SAP number will be included in the client price list. 
Project Name: Tyrihans
Special Quality Plan Required?: Yes
Quality Plan Identifier: SB2
Material: (11) Super 13 CR 110 MY 32 HRC (ES-MA-134-_)
Technical Support Deliverables:
Reserve SAP Material Number</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</si>
  <si>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t>
  </si>
  <si>
    <t>Need to create p/n for rack-mounted LCD, keyboard, mouse assembly for Petrobras Guara.</t>
  </si>
  <si>
    <t>Same As: 9290-6487; 3 1/2 9.2 PPF CHEM INJ VAM ACE RS 1 S13C
Except: RTA code to be 7.
Mandrel design to be the same as reference mandrel except for the following:
1. Material changed to Super 13 Cr 110 Ksi minimum yield. I have included the old specification for reference.
2. Mandrel needs to be tied to the Shell SE1 quality plan.
3. Mandrel needs to fit in the smallest design circle possible  so that it can be used on projects that use smaller casing sizes.
4. It is possible that a 3_8 inch check valve could be used so if possible keep the check valve prep in the same position and if the smaller check valve is used then a spacer plate could be installed to take up the gap between the check valve body and the mandrel.
A full set of drawings is required so that the mandrel can be manufactured and also a design submitted to Shell for approval.
We do not have an order for this mandrel but it may be used on the Second Popeye well as well as other shell projects.
Project Name: Popeye 
Special Quality Plan Required?: Yes
Quality Plan Identifier: SE1
Material: (11) Super 13 CR 110 MY 32 HRC (ES-MA-134-_)
Technical Support Deliverables:
Reference Assembly Drawing
Reference BDMI
Reserve SAP Material Number
Feb 16/2010 Set-up &amp; Distributed to Paul James (GMacias)
021710- RTA code changed from Code 4 to Code 7 per notation above 
Except: RTA code to be 7 (Dhenson)</t>
  </si>
  <si>
    <t>SHORT HOP INFORMATION AND POWER (SHIP)
D701024_01</t>
  </si>
  <si>
    <t>SHELL PETRO DEV OF NIGERIA, LTD</t>
  </si>
  <si>
    <t>SURFACE CONTROL SYSTEM
PROJECT NAME:  NEMBE CREEK
C701099_08</t>
  </si>
  <si>
    <t>CHEVRON AGBAMI</t>
  </si>
  <si>
    <t>SOFTFLOW SOFTWARE
PROJECT NAME:  CHEVRON AGBAMI
C800074A</t>
  </si>
  <si>
    <t>TEST TEST</t>
  </si>
  <si>
    <t>Same As: 722HF1964793; PACKER, HF1, 13CR, 3-1/29.2 VAM TOP BXP,
Except: TEST TEST PLEASE IGNORE
Project Name: ezrta class oct 27 pm
Special Quality Plan Required?: Yes
Quality Plan Identifier: BP1
Material: (6) 9 CR-1MO 110 MY 36.6 HRC (ES-MA-2-5)
Mating Infomation: No special instruction on mating with other parts.</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</si>
  <si>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</si>
  <si>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213AP1450004-BP1; ACCUPULSE,ACTIVE 4.5,HYDR OVER BP1
Except: TEST TEST 
change material
change operating temp etc.
Project Name: ezrta class oct 27 pm
Special Quality Plan Required?: Yes
Quality Plan Identifier: BP1
Material: (6) 9 CR-1MO 110 MY 36.6 HRC (ES-MA-2-5)
Mating Infomation: Special mating requirements:
Run Above item with Part Number 602720
Run Through Third Party Tool camron crossover
Work With item with RTA Number R000123456</t>
  </si>
  <si>
    <t>Same As: 215PA0350000-ST1; VLV,INTEGD,HVI ACCU-PULSE 3.500 SHROUDED
Except: We need a SAP number for a valve of the same spec as the 3,5inch shrouded valve we have refered to with Position Sensor, but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</si>
  <si>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This RTA request for performing the qualification tests (as required per attached Statoil test report).
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attached test document.  To continue positioning the company as a system provider, and in the lead role we request the system to be qualified as per the new requirements document.
The revenue we expect in the future are as follows
2011 3 wells with 10 zones, total revenue of 600 000 USD
2012 to 2017 between 2 and 3 wells per year, total revenue 400 to 600 000 USD per year.
If we are not able to present a qualified Chemical Injection System to Statoil within the next months we have problems entering this part of the market.
We already have the design developed (ref. P/N 313143-XX and 313142-XX).</t>
  </si>
  <si>
    <t>4.5 in 12.6 ppf ROC Mandrel(See attached Requirements doc)</t>
  </si>
  <si>
    <t>requesting SAP MN for 312380-18-ST0 with SB-2 quality plan</t>
  </si>
  <si>
    <t>TEST TEST Please ignore</t>
  </si>
  <si>
    <t>Same As: 213AP1450004-BP1; ACCUPULSE,ACTIVE 4.5,HYDR OVER BP1
Except: TEST TEST  PLEASE IGNORE
Project Name: Test Test
Special Quality Plan Required?: Yes
Quality Plan Identifier: BP1
Material: (7) 13 CR 80 MY 22HRC (ES-MA-58-7)
Mating Infomation: Special mating requirements:
Work With item with Part Number 602720
Run Through RTA at Order Line No. 2
Retrieve Third Party Tool 3rd party LN</t>
  </si>
  <si>
    <t>ECR - The material spec for insulator (item 7, MN 597536) &amp; end cap (item 8, MN 597538) on connector assembly (MN 101928015) specifically calls for 30% carbon filled peek material (ES-S-14-3). Per Kenny Pham, the correct spec for these parts should be ES-S-14-1 (Virgin Peek).</t>
  </si>
  <si>
    <t>ECR
M/N-598255 (9388-2079)
In order to ease the manufacturing process request to make the following changes.
SECTION A-A: Change the ¿¿.100 to ¿¿.094 so that a 3/32 drill can be used, also remove the ¿¿.078 and the 2.45 depth. This will allow the new ¿¿.094 hole to go 2.64 deep eliminating the need for the ¿¿.078 hole.</t>
  </si>
  <si>
    <t>ECR-9290-2355 REV 2
THERE ARE 4 MISSING DIMENSIONS. THE DIMENSIONS ARE ON THE REV A DRAWING.
1)GRID D-6 2.408 MAX.
2)GRID D-4 2.283 MAX.
3)GRID D-4 0.315  0.010/-0.000
4)GRID F-3 15.5</t>
  </si>
  <si>
    <t>Same As: 306141-00; PCBA TESTED SSI INTERFACE
Except: I will need the card in a single well test box to be used for SCRAMS testing and faultfinding in workshop and offshore. The interfaces should be: Power, RS232 for computer control and Bus out for well control.
Today we use old PES SCU units with various PNs. I found three old 4well SCU units in our workshop: PN 31544001 WO238505R1, 30119801 and 30267602 rev 1. These numbers are markings on the back of the SCUboxes. However we have issues with 2 of the 3 boxes.
Quoted Manufacturing Lead Time is negative.
Project Name: Snorre B
Special Quality Plan Required?: No
Material: (16) Customer Supplied - Supply detail in description
Mating Infomation:
Jan 18/2010 Set-up &amp; Distributed to Robert Smith (GMacias)</t>
  </si>
  <si>
    <t>Statoil Veslefrikk</t>
  </si>
  <si>
    <t>Redesign 313143-00 (SAP 593880) 5,5¿¿ Chemical Inj. Sub so the clamp components is fitted to lower sub of HVC-ICV 215HO0550005-SB2 (101857234)
Also the clamp needs to be a crimp clamp design to accomodate 28 + 28 + 11 mm in width and 11 mm in thickness.
The actual injection valve components does not need changes as we intend to use 313143-00 (SAP 593880) we already have in stock.</t>
  </si>
  <si>
    <t>Same As: 215PA0550000-ST1; VLV, HVI INTEGD 5-1/2 ACCUPULSE SUP13CR
Except: I need a SAP number for a valve as the valve referred to, but with Position Sensor Assembly only, excluded AccuPulse. This SAP number will be included in a customer price list. 
Project Name: Tyrihans 
Special Quality Plan Required?: Yes
Quality Plan Identifier: SB2
Material: (11) Super 13 CR 110 MY 32 HRC (ES-MA-134-_)
Technical Support Deliverables:
Reserve SAP Material Number</t>
  </si>
  <si>
    <t>ECR-1020008789. Change BOM to replace brass protector 101883336 with nylon protector</t>
  </si>
  <si>
    <t>CREATE NEW PART FOR 0.250 TUBING COMPLETION FITTINGS WITH THESE FIND NOS AND QUANTITIES FOR THE ASSEMBLY: QTY 4 SAP P/N 347021, QTY 2 SAP P/N 346977, QTY 2 SAP P/N 347097 (THESE ARE RPM PARTS). EXTEND NEWLY-CREATED BOM TO WAREHOUSE 0171.
Set up and distributed to M. Scogin 06182010 JCallaway</t>
  </si>
  <si>
    <t>Husky Flowmeter Design Data Sheet 9290-5100.  Change mandrel minimum I.D. from 3.688in to 3.687in.</t>
  </si>
  <si>
    <t>HEC with 4 threed line WCM and 4 five line WCMs, Zone 1 ATEX</t>
  </si>
  <si>
    <t>Same As: 9290-6487; 3 1/2 9.2 PPF CHEM INJ VAM ACE RS 1 S13C
Except: The above mandrel was used for reference only as there was no suitable 2.875 or 2.375 inch mandrels.
On the Shell Glider G3 project, which we have recieved a PO for, they are looking for an option to run the deepset chemical injection mandrel in 5, 18 ppf casing with 4.191 inch drift.
The following details need to be taken into account:
1. Thread VARST_1, pin x pin
2. Material Super 13Cr 110Ksi minimum yield
3. 1_2 inch PTI check valve
4. No by pass slots required
5. Needs to fit in 5 inch 18 ppf casing with drift 4.191
6. If there is not sufficient space using 2 7_8 they we will need to give Shell and option of 2 _8
8. If we can get a OD for the mandrel then at least we can go to Shell and tell them what we can do.
9. First option would be 2 7_8 inch, 6.4 ppf 
10. Needs to be tied to the Shell QP
Installation will be at the start of Q2 2010 and if Shell go for the design then we will need to have a machine and assembly drawing so that we can have it manufactured.
If you ned further information contact either Tom Taylor or myself.
Project Name: Glider G3
Special Quality Plan Required?: Yes
Quality Plan Identifier: SE1
Material: (11) Super 13 CR 110 MY 32 HRC (ES-MA-134-_)
Technical Support Deliverables:
Reference Assembly Drawing
RTA CODE CHANGED TO 7 PER E. NOTTO 11/11/2009 J. CALLAWAY
JAN 6/2010 SET-UP &amp; DISTRIBUTED TO MATTHEW SCOGIN (GMACIAS)</t>
  </si>
  <si>
    <t>BP Foinavon W15
Require the following reference part - 235DC0450001,  SAP Ref 602742
To be changed to the following:
25%Cr 80MY Material
Will be required to be compatible with HVC valve on RTA - R00000526784 
Please reference attached RTA input Sheet.
File opened by J. Callaway and distributed to P. James 09/09/2009</t>
  </si>
  <si>
    <t>ECR - 4.5 HVC (101836625) pictorial 311066-40-01 Rev A 
Screws (item 38; p/n - 587884) do not fully make up to the bottom sub (item 2; p/n - 101837024) enough to hold the locking keys (item 21; p/n - 592624) in place.</t>
  </si>
  <si>
    <t>SHELL PERDIDO INVESTIGATION AND IMPROVEMENT: ROC-D SINGLE/DUAL/TRIPLE/QUAD GAUGE MANDREL ASSEMBLY,GAUGE MOUNT-SUBS,BLOCKS,GAUGE TO MANDREL INSTALLATION AND TESTING PROCEDURES,MOUNT SEAL VERIFICATION PROCEDURE,SPECIAL FEELER GAUGE DESIGN,METAL AND O-RINGS SEAL DRAWINGS AND VERIFICATION,UPDATE DRAWINGS FOR ROC-D MOUNT-SUB AND ROC-D GAUGE MANDREL,TEST FIXTURES DESIGN.</t>
  </si>
  <si>
    <t>Project Title: Development of DTS Visualization and Analysis Software
Expected Completion Date: 27th Jan 2009 (multiple deliverables throughout project)
External Spend: 150,000dollars
Estimate of Engineering Hours: 200hrs
Project Schedule: Attached
When setting up this D-Job please use GLG Code: OPT
Project Name : Development of DTS Visualization and Analysis Software
D800322</t>
  </si>
  <si>
    <t>Indonesia</t>
  </si>
  <si>
    <t>Same As: 215PA0350000-ST1; VLV,INTEGD,HVI ACCU-PULSE 3.500 SHROUDED
Except: We need a SAP number for a valve of the same spec as the 3,5inch shrouded valve we have refered to, but in a 4,5inch shrouded version with Vam Top threads. This version will be a valve with Position Sensor, excluded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</si>
  <si>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QA REQUEST TO UPDATE CWI STRUCTURE FOR SAP MN 597206 REF NO. 9290-6489-SE1; 4-1/2 CHEM INJN MDRL ASSY
QUALITY REQUIREMENTS CHANGE, ONLY.
QUALITY PLAN: SE1; REV 10
05/19/11 ASSIGNED FOR PROCESSING VN
051911 TSG REVIEWED DSH
051911 ENG REVIEW REQUIRED DSH</t>
  </si>
  <si>
    <t>Same As: 722HF1964793; PACKER, HF1, 13CR, 3-1/29.2 VAM TOP BXP,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</si>
  <si>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STOP WORK CHANGED TO ECR - PER ALE AVILA, DRAWING HAS THE WOOD GROUP LOGO, SUGGEST REVISING THE DRAWING UNDER AN ECR AND REPLACING THE LOGO WITH HALLIBURTON-WELLDYNAMICS; MN 597937 NEEDS TO HAVE CORRECT SPECIFICATION ADDED 062111 (GMC)
MISCELLANEOUS E-MAIL REQUEST
060811 ESMERALDA HERNANDEZ
REFERENCE E-MAIL: P/N 597937
TSG NOTES---------------------------------------------------
061011 ALE AVILA: REFERENCE NUMBER IS 9385-2058.  ENGR DRAWING OBJECT IN CWI IS AT REV B AND DOES NOT HAVE THE DRAWING ATTACHED.  THE CURRENT DRAWING REV IS B (CAPE WILL HAVE TO LOAD) AND IS LOCATED IN ENGINEERING PUBLIC.  THE DRAWING HAS THE WOOD GROUP LOGO, SO I SUGGEST REVISING THE DRAWING UNDER AN ECR AND REPLACING THE LOGO WITH HALLIBURTON-WELLDYNAMICS.
061511 SPOKE TO ESMERALDA HERNANDEZ; ASKED HER TO LOOK AT THE DRAWING TO VERIFY IT WOULD PROVIDE HER WITH THE INFORMATION NEEDED TO PROCURE MN 597937; SHE SAID SHE COULD USE THE DRAWING; HOWEVER, THE PART DOES NEED TO REVISED TO ADD THE CORRECT SPECIFICATIONS (GMC)
062111 SPOKE TO D. HENSON TO FIND OUT HOW TO HANDLE, WHETHER TO CLOSE STOP WORK OR CHANGE TO ECR; IT WAS DECIDED TO CHANGE RTA (GMC)
---------------------------------------------------------END</t>
  </si>
  <si>
    <t>Apply PQ-1 Quality Plan to RTA 627176.
Customer: Petrobras
Project:  Guara
Quality:  PQ1</t>
  </si>
  <si>
    <t>Scott Garner</t>
  </si>
  <si>
    <t>Same As: 105SX0453500-SH1; ASSY,SHROUDED X-OVER,SZ 4535,25CR,-SH1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</si>
  <si>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ECR - Reference Q-Note 200570836. Steps 7.3 and 9.2 of procedure 7000-5120 state to pressure up to 7200 psi but give no tolerance window for the pressure achieved. Please give an acceptable range for this pressure measurement.</t>
  </si>
  <si>
    <t>EMAIL REQUEST STEPHEN ALLAN 05/25/2010
SAP MN 101859040 - D00411007
In SAP should the above part not be MST not EA.?
On the assembly drawing item 5 asks for a qty 1, UOM EA, but it shows 2 on the drawing.
Set up and distributed to D. Trahan 05262010 JCallaway</t>
  </si>
  <si>
    <t>319525</t>
  </si>
  <si>
    <t>Same As: 722MC1964701; PKR,9647 MC1,13% CR,4 1/2-12.60 VAMTOP
Except: Same as ref but should be a 13Cr packer and change top and bottom connections to 3.5 9.2lbs Vam Top. Only need 2 feed through ports
Project Name: AGL Project
Special Quality Plan Required?: No
Material: (7) 13 CR 80 MY 22HRC (ES-MA-58-7)
Technical Support Deliverables:
Preliminary Design Specifications
Reserve SAP Material Number
Operating Envelope
Feb 23/2010 RTA returned to Submitter for additonal documentation (GMacias)</t>
  </si>
  <si>
    <t>Foxtrot Intl</t>
  </si>
  <si>
    <t>5.5,17ppf,ROC150 Gauge Mandrel, Vam Top Box x Pin, Dual Metal Seal, 9 5/8 17lb Casing, 13Cr/85K
Customer: Foxtrot International
Project:  Mahi
No Special Quality Plan</t>
  </si>
  <si>
    <t>Same As: 215PA0550001-SG1; VLV, HVI INTEGD 5-1/2 13CR VAM TOP BXP,
Except: Different quality requirments.
New suffix code: SB2
No pos. sensor required.
This is a drawing request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</si>
  <si>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Require the following reference part - 215HA0350018,  SAP Ref NA												
To be changed to the following:												
Remove the over ride capability in the A/P												
A 1/4 inch Chemical injection line is passing over the shroud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t>
  </si>
  <si>
    <t>FMC</t>
  </si>
  <si>
    <t>MN 597520 with with quality suffix
CANCEL PER M. MORGAN; DUPLICATE 01-27-2010 J. CALLAWAY</t>
  </si>
  <si>
    <t>Brazil</t>
  </si>
  <si>
    <t>4.5 HS valve integration for Petrobras Brazil water injector application from RTA 627175.  Valve is required to have AP3 manifold to support a minimum 7500 psi collapse rating.  Maintain SAP number 102003649 for the quality variant of the assembly. -PQ1</t>
  </si>
  <si>
    <t>Same As: 9290-2322; 4 14.8 CHEM INJECTION MANDREL, VAM DRS,
Except: RTA code should be 7 as we have not recieved the PO from Shell although we will be doing the installation.
Drawing number 9290_2322 has been used for reference as 9290_2200 is not in CWI system.
There is no other mandrel in the system at present that meets requirements of 4 inch, 13.2 ppf, VARST_1, Super 13 Cr 110 Ksi minimum yield.
Mandrel to be same design as 9290_2200 Rev B but to be tied to Shell Quality Plan.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Lab Office to WD3=Permanent Monitoring and RTA code changed to code 7=Same as 6 with Customer Special Processing. Returned RTA to Sumitter for additional documentation (GMacias)</t>
  </si>
  <si>
    <t>All PM Procedure need to be upgraded, equal to the work done on
procedure (9388-5216) Roc S female cablehead.
Need to upgrade the following procedures:
1. 9388-5228 splice procedure
2. ES-A-459 ROC-S term to gauge assmbly procedure
3. 9895-5102 WHO instalation
4. 9388-5225
5 9388-5223
6.T-WI-000027</t>
  </si>
  <si>
    <t>Request for creating a new 2.875 25 Cr Splice sub per attached requirements. Please review requirements and get back to me if you have any concerns.</t>
  </si>
  <si>
    <t>Shell Canada</t>
  </si>
  <si>
    <t>There is a an HPU in Spring,TX warehouse, Material Number 598301 (old number C04SHS011000). This unit is for Shell Canada for steam valve operation. This HPU needs to be adjusted to operate at 3,000 PSI rather than 5,000 PSI and documentation adjusted to reflect the new settings. This unit needs to be taken from stock and reworked, a new assembly number assigned and put into stock so that it may be shipped to Halliburton in Edmonton. Working Fluid for the system is HySyn Food Grade 46 (Material No 599148, old P/N HYSYN-FG-46)
File opened 08-12-2009 G. Chatelain; distributed to P. James.</t>
  </si>
  <si>
    <t>ECR-9381-2033. A SLOT OR HOLE IS REQUIRED ON THIS DRG TO CLEAR THE DOWEL PIN ON ASSY DRG 9290-6588.  THIS IS CAUSING PROBLEMS AS AT ASSY WHEN WE CAN NOT FIT THIS ON THE BLOCK HAS TO BE REWORKED TO CLEAR THE DOWEL PIN
Set up and distributed to M. Scogin 05242010 JCallaway</t>
  </si>
  <si>
    <t>TEST - CAPE TESTING PLEASE IGNORE</t>
  </si>
  <si>
    <t>Same As: 722HF1965309-SB2; SZ 9653,HF-1 PKR,PCH REL,5K PSI TO SET,T
Except: We need a SAP number for a isolation packer in 7inch 32ppf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 &amp; Distributed to Paul James (GMacias)</t>
  </si>
  <si>
    <t>SUBSEA DIGITAL INFRASTRUCTURE
SSUBSEADI-08</t>
  </si>
  <si>
    <t>Reference CPI 300148789
Tronic connector assembly wires were damaged during shipment.  It is suggested to create a supplemental specification to require individual packaging for the connectors as they come from the supplier.  Packaging specification should include particulars that will mitigate any risk of damage to wires or connector parts.</t>
  </si>
  <si>
    <t>Request for creating a new P/N for a 2-7/8 Direct Accupulse HS-ICV integration (13 Cr. Please refer to the attached requirements document and kindly release an SAP number immediately to get the PO process completed.</t>
  </si>
  <si>
    <t>ADD 2 MORE MATERIALS FOR COMPOSITE SCREW DRAWING AND UPDAETE PARTS TO ADD ENGR DRAWING D00436425 - REQUESTED BY DAMON TRAHAN
ATTACH TASK 605820 TO RTA (OEWUMI 21MAR11)</t>
  </si>
  <si>
    <t>Same as 9388-6038 with SM1 Quality requirements
Set up and distributed to M. Scogin (JCallaway) 04192010</t>
  </si>
  <si>
    <t>RELEASE SHIFTING TOOL ASSEMBLY FOR SIZE 7035 HF1 PACKER - MOVE OVER FROM DOMINO TO CWI AND CHANGE OUT ARBROATH PARTS TO NEW WD PARTS - REQUESTED BY GIREESH BHAT</t>
  </si>
  <si>
    <t>Sustaining-Digital Hydraulics Re-qualification Test &amp; Evaluation
S701117-01</t>
  </si>
  <si>
    <t>ADCO</t>
  </si>
  <si>
    <t>Please review the attached Wellhead Safety System from ADCO and
advise if we can provide a design.  If we can, please provide a design so we may obtain a cost and quote.
Note: This RTA replaces RTA R629795 that was in Lab Office 46</t>
  </si>
  <si>
    <t>Same As: 722HF1106504; SZ 1065 TY HF1 PKR,25% CR,KNOCK OUT PLUG
Except: Materials per attached PLMS 10.75 inch 1065 HF1 tab file. Main loaded items in Inconel 725. Top thread to match upper completion production tubing with 5.500 Inch, 20lbs BxP VAMTOP threads. Assembly to be run in Water Injection well.
Project Name: Gumusut
Special Quality Plan Required?: Yes
Quality Plan Identifier: SM1
Material: (16) Customer Supplied - Supply detail in description
Technical Support Deliverables:
Preliminary Design Specifications
Mar 10/2010 RTA cancelled per Paul James (GMacias)
Reference Assembly Drawing</t>
  </si>
  <si>
    <t>Restricted used gauge(9388-6056) for single gauge applications only
11/06/09 - Set-up and distributed to M. Scogin - G. Chatelain</t>
  </si>
  <si>
    <t>cabinet to house the two UACU+ units for Mafumeira Sul:
-Size: 1800mmx800mmx800mm : base on PF1888 Hoffman cabinet
-Utilize Swing out Rack frame for at least 6U worth of components with depth of 15¿¿, and standard 19¿¿ rack mount
-Cabinet rating to be NEMA 12
-Front Access only with lockable handles
-Include ventilation fans, but cannot be on side or rear.
-Doors to be removable, sealed, and reinforced to prevent buckling.
-Doors and all cabinet components to be bonded with 6AWG or equivalent ground strap.
-Cable entry will be from the top.
-120VAC utility lights required, and include door switch for automatic shut off.
-120VAC service outlet required.</t>
  </si>
  <si>
    <t>CREATE BOM STRUCTURE FOR SAP P/N 598384. P. FUNK NEEDS PART UPDATED SO SHE CAN GET A QUOTE PACKAGE OUT.</t>
  </si>
  <si>
    <t>ECR - 4.5 HVC (101836625) pictorial 311066-40-01 Rev A 
All exterior control line straps (item 39, p/n - 592557 &amp; item 52, p/n - 594918) on the top sub (item 1, p/n - 594340)and bottom sub (item 2, 101837024) fit loose after the retaining screws (item 40, p/n - 589291) are secured. The fix in the past on all Q-notes has been to countersink the screw holes in the top sub and bottom sub. Some variants are inconnel, which is extremely difficult to drill by hand. The cause of the misfit is: 1. The screws are not threaded all the way to the head. 2. The countersinks on the control line straps are too big.      3. The screw holes on the top sub and bottom sub are not countersunk.</t>
  </si>
  <si>
    <t>Statoil ¿¿sgard</t>
  </si>
  <si>
    <t>Same As: 722HFP965300; SZ 9655 TY HF1 PKR,WITH KNOCK OUT PLUG R
Except: Qualification test the HFP packer as per the NORSOK D010 Table 7. See attached document.
Casing to be tested in is up to Halliburton WellDynamics to decide.  I will recommend to test it in the same casing as intended to be set in which is P110.  I understand that we have such casing avilible at our facility.  However if a test casing is required we can get the client to ship one to us.  Please advice.
The client accept a derated envelope. I have attached two WellCat Packer Load simulations for Asgard.  Please review the derated packer casing combination envelope with these simulation. 
Project Name: ??sgard Q-5
Special Quality Plan Required?: Yes
Quality Plan Identifier: SA-1
Material: (11) Super 13 CR 110 MY 32 HRC (ES-MA-134-_)
Mating Infomation: No special instruction on mating with other parts.
Electronic folder created and given to Robert Smith (GMacias)</t>
  </si>
  <si>
    <t>Need to have MN 598358 changed from a Buy to Make,  We need to ensure that the items listed on the BOM are the only items that will be free issuing</t>
  </si>
  <si>
    <t>Require a customized HS valve as per the requirements document. The changes requested will allow us to meet the price point as bid for this tender. Please contact PLM for additional information.</t>
  </si>
  <si>
    <t>BP are looking at completion designs for a 2011 North Sea Oil Producer											
DHFC is a possibility for this well but the upper zone is a chalk interval that requires acid fracture stimulation. Previous acid treatments on the field have used 28% HCI to frac at pumping rates of between 20 &amp; 60 bpm, total acid volumes 500 - 1000 bbl.												
BP would like to know what WD/Halliburton are the current limitations for stimulation through the DHFC system, in terms of rates and volumes (i.e. Field data and qualification data) 																	
Also attached is an email with some additional information from Mark Barrilleaux. 										
If this could be answered asap it would be appreciated as orders for equipment may depend on a fast response.			
Please reference the attached RTA Input Sheet
Set up and distributed to P. James 06162010 JCallaway</t>
  </si>
  <si>
    <t>Paul James</t>
  </si>
  <si>
    <t>ECR - WHO procedure 7303-5102 does not instruct to pressure test the port between the connector adapter and housing after the o-rings are installed on the connector. This step should be after step 16 of section 7.4, pg. 4.</t>
  </si>
  <si>
    <t>Same As: 9290-6539; GGE MDRL ASSY,4.5-12.6PPF,ROC-HS,NEW VAM
Except: Requirements:
12.6 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101830833 (9290-6563-PQ1)</t>
  </si>
  <si>
    <t>Modify PLC firmware, SWM, and SWA to handle new 4-line Digi Decoder, and test added functionality.
10/23/09 - Set-up and distributed to Robert Smith - G. Chatelain
10/28/09 - Design concepts have been reviewed and implemented, put on hold until hardware is available for testing.</t>
  </si>
  <si>
    <t>Design Hold</t>
  </si>
  <si>
    <t>7 inch Contingency Splice Sub
05/12/09 - File created at time of submission from Customer Service
07/20/09 - File recreated by TSG due to Engineering request and distributed to Paul James - G. Chatelain
07/23/09 - Quality Plan attachment removed due to revision control per D. Hickman - G. Chatelain</t>
  </si>
  <si>
    <t>ECR - Reference Q-Note 200524857. Suggest replacing 1x control line strap 315974-NL (SAP MN 595854) with one with an undercut to improve fit. The Q-Note references 316622-GD but this does not appear to be the correct part.
08/07/2009 - Set-up and distributed to Paul James - J. Callaway</t>
  </si>
  <si>
    <t>Attach appropriate specification to all series 300 Stainless steel screws, to allow purchase of commercially available products.</t>
  </si>
  <si>
    <t>UPDATE DRAWING W.302272-00-00 PER CWI STANDARDS. UPDATE ALL CORRESPONDING PARTS WITH W. PREFIX</t>
  </si>
  <si>
    <t>Shell Gumusut requirement for a drawing to be produced for a Perforated Pup. A pre-release SAP number is required to allow Kevin Robertson to add the line item to the quote fo Shell. Peforated Pup to be 30 inches long. Material, 25CR 125. Thread 4.5 Inch 13.5 pound Vam Top. I.D 3.920, Drift I,D 3.795. Part will be a third party item from Mitco in Malaysia. Tubing and Thread Inspection class is B-1.</t>
  </si>
  <si>
    <t>Description: UPDATE 9381-5204 TO SUPPORT Dual Transducer and FEEDTHRU GAUGES: The current FAT assumes one transducer so the FAT will fail for the current levels.  The procedure shall adjust the current ranges according to the gauge part number.  The revised FAT shall cover all released ROC-200 family gauges.</t>
  </si>
  <si>
    <t>Same As: PR-BC10-CAISON-SHO; PR-BC10-CAISON-SHORT PRESSED STEEL CABLE
Except: On the Shell BC10 Caisson project we supply a protector system that has full length coverage. After the first set of installations the design_make up of this protector system was changed. 
Shell Tamba requested that a spares package be supplied that can be used on either the long or short string options. BOM to be generated to allow customer services to purchase the correct parts for the order that we have just received.
Previously there was no part number set up in the system for the spares kit and as such the above reference document was used to allow the RTA to be submitted. 
RTA numbers R00000542026 and 542030 have been submitted to get a BOM for the revison 2 long and short protector systems.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</si>
  <si>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Please update to Quality Plan SB2 for Splice Sub Assy, P/N: 235SF0965542-ST1 and SAP No: 590382</t>
  </si>
  <si>
    <t>P1880</t>
  </si>
  <si>
    <t>Same As: 9381-6010; TECHHOLD   ROC-HS 10K 150C GGE SUB-ASSEMBLY
Except: We need a ROC HSF feedthru version which can be terminated with a cablehead from the bottom and the top.
Project Name: ROC HSand HSF Sys
Special Quality Plan Required?: No
Material: (15) Other HES - Provide ES-MA callout
Mating Infomation: No special instruction on mating with other parts.</t>
  </si>
  <si>
    <t>RUN-OUT CHAMFER TO BE ADDED TO 9450-2308 TO ALLOW CLEARANCE TO PASS OVER O-RINGS</t>
  </si>
  <si>
    <t>ECR - MN 101785221, chemical injection insert, has no instruction for assembly. There is only a drawing, 310611-04-01. The drawing has no instruction on how to identify the part. Should this part get etched? If so, where at? Does the part just get packaged and the package identified? Testing procedures need to be created or attached to M/N 101785221. (See email below.)</t>
  </si>
  <si>
    <t>Statoil Heidrun A-21</t>
  </si>
  <si>
    <t>Splice Sub with Clamp, SAP 590361 or PN 235SF0965515, Please update assy with Anchor Sub SAP: 101936077, and make additional slot for Roxar Splice.</t>
  </si>
  <si>
    <t>Wellhead Connector &amp; Penetrator Set</t>
  </si>
  <si>
    <t>ECR - This RTA is to formally request the creation and qualification of a bonded or H-style bearing ring replacement for HVC and HS seal stack bearing rings.
09/14/09 - Set-up and distributed to Paul James - G. Chatelain</t>
  </si>
  <si>
    <t>4.5 ROC L Mandrel required to be modified to accapt a ROC H Gauge</t>
  </si>
  <si>
    <t>ROC OIL</t>
  </si>
  <si>
    <t>Same As: 304ICR375000; REDRESS KIT F/3.750 HVC SHIFTING TOOL (2
Except: Need a CT shifting standard and flow activated that can take PES Keys 028996 to shift 560LV145W002 Lubricator valve. 
Project Name: CH13 Work over
Special Quality Plan Required?: No
Material: 
Technical Support Deliverables:
Preliminary Design Specifications
Assigned to S Saldanha for PLM review  8/16/10 DM
CANCELLED PER SUBMITTER EMAIL ATTACHED.  10/5/10 DM</t>
  </si>
  <si>
    <t>Savio Saldanha</t>
  </si>
  <si>
    <t>UPDATE SAP M/N 567827 TO INCLUDE ANY MISSING DRAWINGS, DOCUMENTATION, SPECS, ETC.</t>
  </si>
  <si>
    <t>ECR - Reference Q-Note 200579791. Material number 597432 and its lower level assembly (597412) both call out for 1 each of 597351 (LCD/Knob Assy) and 597353 (Mezzanine Kit). Only one of each part is needed for the final assembly.</t>
  </si>
  <si>
    <t>Need EDS created for assembly on RTA 579522
Set up and distributed to M. Scogin (JCallaway) 04202010</t>
  </si>
  <si>
    <t>Create custom 3.5in HVC flow trim for Statoil Osberg South F26 and F7
See Attached
Quality Suffix to be SB2</t>
  </si>
  <si>
    <t>HPHT Metal Packing Element Study
Project Name : HPHT Metal Packing Element Study
D800570A</t>
  </si>
  <si>
    <t>Same As: 9293-6478-SB2; MANDREL ASSY CL 3 1/2 9.2 LB/FT ROC-S SG
Except: 25 Cr 80 yield 3 1/2 9.2 LB/FT Single Mandrel Assembly for ROC 150 single transducer ported to tubing only. VAM TOP DDLAA Box by Box
Tech Start Date is in the past
Project Name: Tapis
Special Quality Plan Required?: No
Material: (15) Other HES - Provide ES-MA callout
Mating Infomation:</t>
  </si>
  <si>
    <t>Test the 17-4 PH metallurgy on the Smartlog guage for resistance to acid in the event of an acid fracture in the well.  This was initiated from a project Dave Christi was working on.  E-mail discussions with Pao Chen, Keith Frost, and Juanita Cassidy have taken place.  They have the means to test various samples.  Relevant e-mail will be sent to Matt Scogin.
Engineering will need to arrange for the material to be bought and sent to Carrolton and the costs will be charged to the RTA.  
Dave Christi was hoping to know the results of this for his proposal.  Either way, it would be good to know if the material of the gauge can withstand an acid environment.</t>
  </si>
  <si>
    <t>James Seale</t>
  </si>
  <si>
    <t>Same As: 105XO0453503; CROSSOVER, 4.5 X 3.5 4.50 11.6 NEW VAM B
Except: Look at attached drawing. Make the same as that.
Xover with slot for crimpclamp  31348300SB2: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</si>
  <si>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214HSF0735U500; VLV,HS CH,3-1/2,4140,3 1/2-10.20 VAMTOP
Except: The valve needs to be integrated with a surface accupulse system, there is no need for positioning sensor. The valve should come with a WellDynamics standard choke trim for fluids. The valve should have provision for a 44mm x 12mm bypass slot for Flatpak with capability to be anchored in place. The thread should be Hydril CS. The valve will be run in a 3 zone completion.
Tech Start Date is in the past
Project Name: Nembe Creek
Special Quality Plan Required?: No
Material: (5) 9 CR-1MO 80 MY 22 HRC (ES-MA-2-7)
Mating Infomation:</t>
  </si>
  <si>
    <t>EnCana</t>
  </si>
  <si>
    <t>Generate up-to-date inspection document for Portable Aquisition Unit.  Currently, PDR-PM-115 is used, but is extremely out of date.  Please revise this document to address the following issues:
Delete ??Woodgroup configuration tab?? in favor of ??WellDynamics Configuration??
Add Halliburton logos
Include testing of pdx software with universal simulator in all four gauge slots 
Include testing of the metric/mixed/English units function
Include optional testing for ramping gauge simulator
Include optional modbus function checks
Include optional flowmeter tab checks
Include a reference to the location of the current rev. of PDX software, current rev of PDX firmware, code burning instructions, and 9 bit driver information.
Evaluate the need for a cable simultor, or for regions without cable simulators, the substitution of a project specific length of cable.
From the WellDynamics configuration tab, include specifications for:
Aquisition time
Timeout
Samples per tool
discard
Update all part numbers to include latest WD legacy number as well as SAP part number
Clarify line 12, ad a reference procedure as applicable
The preceeding issues are not an exhaustive list, as the author of this RTA is not intimately familiar with all of the software and hardware changes present since November 2006.  Please add to this procedure other checklists that apply, which are not be captured here.
Terje Nilsen should be tasked with this RTA.
Dec 21/2009 Set-up &amp; distributed to Matthew Scogin (GMacias)</t>
  </si>
  <si>
    <t>Shell Gumusuat</t>
  </si>
  <si>
    <t>Same as MN 598415(9388-6062)with SM1 Quality requirements
Set up and distributed to D. Henson (JCallaway) 04092010</t>
  </si>
  <si>
    <t>Same As: 215PA0350000; VLV,HV1 ACCU-PULSE,INTEGD,3.500 SHD,NI A
Except: Different quality requirements. New suffix code: SB2
Change material from Super 13Cr to 13Cr, A205_ST
No pos. sensor required.
This is a drawing requerst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</si>
  <si>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Same As: 215PA0450000; VLV, HVI INTEGD, 4.5 ACCUPULSE SHROUDED,
Except: Different quality requirments. New suffix code: SB2.
Change material from 13Cr to Super 13Cr.
No AccuPulse required.
No pos.sensor required.
Drawing request according to contract obligation.
Ref. SAP4600009874
Project Name: 
Special Quality Plan Required?: Yes
Quality Plan Identifier: SB2
Material: (10) Super 13 CR 95 MY 22 HRC (ES-MA-134-3)
Mating Infomation: No special instruction on mating with other parts.
10/12/09- Set up &amp; Dist to Paul James ( Holly Carroll)</t>
  </si>
  <si>
    <t>Same As: 722HF1964793; PACKER, HF1, 13CR, 3-1/29.2 VAM TOP BXP,
Except: TEST TEST  PLEASE IGNORE 
Project Name: Test Test
Special Quality Plan Required?: Yes
Quality Plan Identifier: BP1
Material: (7) 13 CR 80 MY 22HRC (ES-MA-58-7)
Mating Infomation: No special instruction on mating with other parts.</t>
  </si>
  <si>
    <t>ECR - Update lower barrel drawing (9381-2027) and Pressure Housing (9381-2016) for ROC, dual transducers.</t>
  </si>
  <si>
    <t>Maersk Oil</t>
  </si>
  <si>
    <t>Same As: 722MC0551703; PKR,MC-ISO,13% CR,N70 PE,2 7/8-6.40 VAMT
Except: Require a feasibility cost estimate for a 7 in 23 pound MC Isolation packer with 3 1/2 end connection and with Nitrile 
EFR to include the following information
Development Cost
Development Lead time
Estimated production cost 
Approximate Specification for a proposal
Project Name: Qatar
Special Quality Plan Required?: No
Material: (1) Low Alloy Steel 80 MY 22HRC (ES-MA-18-9)
Technical Support Deliverables:
Preliminary Design Specifications</t>
  </si>
  <si>
    <t>Request to update the drawing 9290-2243 rev 5 to remove the reference to the component list (note 2) to ensure it is clear that testing is not required at the mandrel level.</t>
  </si>
  <si>
    <t>SPARE PARTS KIT FOR TWO WELL CONTROL SYSTEM FOR WEST AZERI
Dec. 11/2009 Set-up &amp; distributed to Robert Smith (G.Macias)</t>
  </si>
  <si>
    <t>This RTA is to change the Splice Sub quality plan from Petrobras Brazil _QP1 to Petrobras Brazil  QP1_Type C Inspection. Please see the file attached. 
The equipment need be delivered with TPI certify and the manufacture need follow the quality plan QP1_Type C.</t>
  </si>
  <si>
    <t>Achimgaz</t>
  </si>
  <si>
    <t>SaudiAramco</t>
  </si>
  <si>
    <t>Same As: 216H000735U3O00; VLV,HSC,INTEGD,3.50 DIR HYD,25% CR
Except: We would like to use 4140 material for everything other than the carbide carrier Inc718 and the accupulse 9cr.  This will allow us to significantly reduce the cost of the valve and come in at a competitive price point.  If the use of 4140 L80 for the top sub reduces differential/tensile/compression ratings that is ok.  The current HS ratings far exceed what is needed by Aramco 5,000 psi diff.  Also, please consider using 110ksi material as the next course if 80ksi does not work, however 80ksi is preferred for cost reasons.
Remove item 8 from the BoM lower crossover to help reduce costs on the valve.
Please provide a drawing for inclusion in our trial test package showing details of the material for each component. We will also require a flow trim design data sheet for the aforementioned proposal.
Tor says that the current HS trim is based off this Aramco design.  If this is the case please use current design
Project Name: 
Special Quality Plan Required?: No
Material: 
Mating Infomation:</t>
  </si>
  <si>
    <t>Aker Solutions</t>
  </si>
  <si>
    <t>CREATE PART AND MOVE DRAWINGS TO CWI AND SAP FROM DOMINO:  MN 9650-6020</t>
  </si>
  <si>
    <t>Same as 602443(722HF1702610-SH1) except with SB2 variant
Jan 26/2010 Set-up &amp; Distributed to Paul James (GMacias)</t>
  </si>
  <si>
    <t>RECENTLY, THE DAVIDSON INSTRUMENTS FIBER OPTIC GUAGE PRODUCT PORTFOLIO WAS MOVED FROM WELLDYNAMICS TO PINNCALE.  MOST OF THE EMPLOYEES TRANSFERRED WITH THE MOVE, BUT TOM CASSIDY REMAINED AT WELLDYNAMCIS.  DURING 2010, THERE WILL BE A TRANSITION PERIOD WHERE TOM WILL WORK ON BOTH PINNACLE AND WELLDYNAMICS PROJECTS.  TOM WILL REPORT AND TRACK TIME UNDER WELLDYNAMCIS.  THIS RTA IS TO TRACK THE TIME THAT TOM SPENDS ON PINNACLE RELATED PROJECTS SO THAT TIME CAN BE ADJUSTED CORRECTLY.  THE WORK TOM IS PERFORMING IS DIRECTLY RELATED TO TEH DSU1400 UNIT.
Feb 1/2010 Set-up &amp; Distributed to Matthew Scogin (GMacias)</t>
  </si>
  <si>
    <t>Same As: 722HF1964793; PACKER, HF1, 13CR, 3-1/29.2 VAM TOP BXP,
Except: TEST TEST PLEASE IGNORE, ezRTA training
Project Name: ezRTA AM Class 10262009
Special Quality Plan Required?: No
Material: 
Mating Infomation: No special instruction on mating with other parts.</t>
  </si>
  <si>
    <t>Same As: 315012-00; INTERNAL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Project Name: Horn River Basin Vert. Strat. appraisal well
Special Quality Plan Required?: No
Material: (16) Customer Supplied - Supply detail in description
Mating Infomation:</t>
  </si>
  <si>
    <t>Same As: OME-NOVA-003; 5.5 23 FLOWMETER-OIL PRODUCTION, 13CR 80
Except: ref. Spring; alan sanderson
In need of a 5.5 Flostream flowmeter for StatoilHydro, Grane G41 and G32 water injectors. The flowmeter assembly needs to include annulus measurement, to be installed in a 9.625in. 53.5ppf csg. 
Bypass requirements; a bypass slot for a 28mm x 12 mm flatpack is required.  
info on 5.5 FloStream Flowmeter;
size: 5.5
threads; Vam Top HC
weight; 23ppf
material; 25 Cr
Delivery date to customer: 15th of april
PM System;
preferable; ROC H, alteratively ROC M 16k 150 deg gauges
i 1ea ROC H2 gauge for Tubing AND annulus measurement
ii 1ea ROC H tubing ported gauge
iii Mandrel to be designed to fit both dual and triple block as there will be a line from a lower zone that needs to be connected in a triple block for one well
see attached well schematic and well parameters
Project Name: Grane G41
Special Quality Plan Required?: Yes
Quality Plan Identifier: SB2
Material: (12) 25 CR  AF918 85 MY (ES-MA-66-49)
Mating Infomation:</t>
  </si>
  <si>
    <t>Same as 602443(722HF1702610-SH1) except with SB2 variant</t>
  </si>
  <si>
    <t>Upload to Matrix latest revision of 8011-5001 CL ROC-S Male Cable Term Spares Kit
Feb 8/2010 Set-up &amp; Distributed to Matthew Scogin (GMacias)</t>
  </si>
  <si>
    <t>TEST RTA FOR MASTER JOBFILE TEMPLATE</t>
  </si>
  <si>
    <t>SAP DOES NOT HAVE A BOM LOADED AGAINST THIS ASSEMBLY, P/N 597309. NEED IT CREATED SO WE CAN REVIEW AND BUY COMPONENTS. PLEASE CREATE BOM IN SAP STRUCTURE. REQUESTED BY M. MORGAN. SEE ATTACHED EMAIL.</t>
  </si>
  <si>
    <t>THIS IS A TEST ... PLEASE DISREGARD....WE ARE TESTING THE QUALITY MAILBOX NOTIFICATION</t>
  </si>
  <si>
    <t>UPDATE ROC-D RAMPING GAUGE SIMULATOR DOCUMENTATION: The assembly procedure and the cover drilling detail for ROC-D Ramping Gauge Simulator, 9650-6051 (597439), have minor problems that were identified in the PME-EFD checklist for RTA 606493.  The assembly procedure (9650-6051AP) should be updated so it does not specify that the component list drives the revision for the part and so that it includes the correct logo artwork.  The cover drilling detail (9650-2010) should be updated to include the drill holes for the PCB mounting hardware - just like 9650-2007.</t>
  </si>
  <si>
    <t>HVC VALVES
SHVICV-08</t>
  </si>
  <si>
    <t>ECR - Suggest reevaluating the use of the ID tag (597581) in assembly 101817771, Wellhead Outlet Assy. The plastic version of the tag can break and the metal version must be bent to be installed on a curved surface. Reference Q-Notes 200561772 and 200560197.</t>
  </si>
  <si>
    <t>For the Shell Gumusut Project, client is requesting a single MN for the valve and lower assemblies.Requirement for a Single SAP Part number to include the following individual part numbers. Material Description to read: 4-1/2 inch 13 Cr 80 Shrouded ICV (Includes ICV, Shroud and Plug)
101892844- Valve
101901561- 3.562 RPT
101901559- 3.562 lock mandrel
101901562- 3.562 equalizing prong
101911735- 4.500 Wireline Re-entry guide
101911771 - 7 inch 32 pound Coupling
101912955 - 7 inch 32 pound shroud
The Shell Gumusut Valve (101892844) to be qualified to SM-2, remaining items can be SM-1. EDS required for assembly. Please pre-release SAP number as this is required for Shell to issue purchase order to WellDynamics.
MAY 18/2010 SET-UP &amp; DISTRIBUTED TO PAUL JAMES (GMACIAS)</t>
  </si>
  <si>
    <t>THEORETICAL SHARP CORNER TO BE ADDED ON DRG 9450-2339 TO ALLOW MANUFACTURE
4/12/2011; ASSIGNED TO JAMES SEALE FOR DIMENSION ADDITION.</t>
  </si>
  <si>
    <t>Same As: FP7124121; 5 LINES HYDRAULIC FLAT- PACK CONTROL LIN
Except: Number of Lines: 6
Tube OD: 0.25in
Tube Wall Thickness: 0.049in
Tube ID: 0.125in
Tube Type: Welded and Floating Plug Drawn
Material: Alloy 825
Encapsulation Size: 50mm x 12mm
Length: 5100 ft
Working Temperature: 250F
Cleanliness: NAS 6 1638, Class 6
Fluid filled with: Red Oil
Project Name: KOC ESP SmartWells
Special Quality Plan Required?: No
Material: (15) Other HES - Provide ES-MA callout
Mating Infomation:</t>
  </si>
  <si>
    <t>ECR - Reference Q-Note 200572076. Recommend altering design to use set screws or a torque key to secure the Ported Housing to the Bottom Sub instead of torquing the stub acme thread. This has lead to galling in several assemblies. Assembly material number 602717.</t>
  </si>
  <si>
    <t>REQUEST			
1. Is it possible to test the 3,5 Tyrihans valve for C-3 to 147 deg C and 15k? (The same test as they did for B-1, just up from 140,5 deg C to 147 deg C)
2. Is it possible to re-build the ??sgard R-3 valves to Super 13 Cr 110 ksi, 147 deg C and 15k? (to put on the Tyrihans seals)  If possible - what will be the cost?		
All cost related to this testing will be billed to our region			
Additional Info:			
	The 3,5 valve for Tyrihans has PN: 215PA0350000		
	The 3,5 valve for ??sgard that we want to rebuild to the same spec as Tyrihans		
	have PN: 215HA0350030
07/22/09 - Set-up and distributed to Paul James - G. Chatelain</t>
  </si>
  <si>
    <t>Murphy oil</t>
  </si>
  <si>
    <t>Same As: 314419-GD-BP1; MANIFOLD, Y-SPLICE, 4.5 1 BY-PASS
Except: need to rework a Murphy oil manifold clamp to have a ysplice in the inactive part of the manifold see attached marked up drawing 314419.
Y splice needs to have 38 and 14 FMJ profile on the top and a 14fmj on the bottom. 
pn 313853 03 need to be modified to fit the FMJs 
Project Name: Azurite
Special Quality Plan Required?: Yes
Quality Plan Identifier: Murphy GoM
Material: (16) Customer Supplied - Supply detail in description
Technical Support Deliverables:
Reference Assembly Drawing</t>
  </si>
  <si>
    <t>ECR - (Originally created on SDC - 000157 in ETQ) Spacer 302765-NL requires additional countersink at assembly on .25 holes 6X.  Drawing notes .100 max suggest increase to .130 to .150.  See attached prints
Set up and distributed to P. James (JCallaway) 04232010</t>
  </si>
  <si>
    <t>Same As: 9290-6449-SV2; 5.5 23 ROC-M2F 16K V. TOP HC S13CR 95K A
Except: ee attached Dokument.
Roc H2F gauge and mandrell. 5,5 inch 20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</si>
  <si>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Same as 590382(235SF0965542-ST1) except with SB2 variant
Jan 26/2010 Set-up &amp; Distributed to Paul James (GMacias)</t>
  </si>
  <si>
    <t>B. Stolz discovered duplicate parts: 
516190 (7001-5021) has duplicate p/n 596985
516191 (7001-5017) has duplicate p/n 596981
516190 and 516191 are in Lab Office MMM; 596981 and 596985 are in Lab Office WD3. Brian has asked that the parts in Lab Office MMM (516190, 516191) be obsoleted and superceded by the WD3 parts (596o981, 596985). See attached email from B. Stolz.
Set up and distributed to M. Scogin 05142010 JCallaway</t>
  </si>
  <si>
    <t>Sarawak Shell Berhad</t>
  </si>
  <si>
    <t>Splice Sub Assembly(top), 13Cr, 4.5 in 12.6lbf JFE-BEAR X 9 5/8 53.5 lbf, see requirements documents for additional information.
JUNE 2/2010 SET-UP &amp; DISTRIBUTED TO DAMON TRAHAN (GMACIAS)
060310 E-mail documents added D henson</t>
  </si>
  <si>
    <t>Splice Sub Assembly, 13Cr, 4.5 in 12.6lbf JFE-BEAR X 9 5/8 53.5 lbf, see requirements documents for additional information.
060310 RTA created and dist to Damon Trahan
060310 E-mail documents added D henson</t>
  </si>
  <si>
    <t>ECR - Material number 588309 is set up as a MAKE part when it should be set up as a BUY part. Additionally, there is no specification called out for the welding.</t>
  </si>
  <si>
    <t>Testing documentation for p/n 597732 does not include F.A.T document; update part to add necessary documentation, etc. See email below.</t>
  </si>
  <si>
    <t>Once the ROC-S termination procedure (9388-5216) is complete, we need to update the procedures for the ROC-L termination (9384-5201), the ROC-S splice (9388-5228), ROC-S male cable termination (9388-5225).  These procedures share similar procedures to the ROC-S termination procedure.  There may be other procedures for these specific items other than the procedure numbers I mentioned above.  This needs to be checked as well.</t>
  </si>
  <si>
    <t>ATTACH 9381-5201 TO ALL ROC-HS 0.75 INCH GAUGES PER M. SCOGIN</t>
  </si>
  <si>
    <t>Same As: 251HD1359302; HYD DISCONNECT SUB RECEPTACLE, 6 LINE, 4
Except: We recommend that in the receptacle there is a need for a scoop head to be designed. An idea is to cut ACME threads on the top end of the receptacle and a scoophead to be screwed on.  This will give better guiding capability for the male to mate with the receptacle in a deviated well when the HD is run in a two trip configuration.
Project Name: Safaniyah
Special Quality Plan Required?: No
Material: (1) Low Alloy Steel 80 MY 22HRC (ES-MA-18-9)
Mating Infomation:
Work With item with Part Number 251HD0359321
Dec 22/2009 Set-up &amp; distributed to Paul James (GMacias)
Technology and PLM have been discussing this at length.  It is believed that a scoop head will become a junk-basket in the well and promote failure of the system.
Based on information proveded from the field, the disconnect functions correctly when run in 7.00 casings.  When the disconnect was run in 9.625 casing, there was some difficulty stinging into the receptacle.  When the male half was retrieved, it was found that the pup at the end of the string was bent.  This would contribute to difficulty locating properly.  When a straight pup joint was used, the disconnect installed without issue.
To facilitate make-up in 9.625 casings, we will look into a clamp on centralizer component to be attached to the receptacle.  A sletch of this will be sent to Omar / Saudi for comment prior to design work being performed.  --  Paul James 2010-01-28</t>
  </si>
  <si>
    <t>IWIS INTERFACE CARD 9670-6060 and 9670-6061 ADDITIONAL STAKING:  In response to QNOTE 200568123</t>
  </si>
  <si>
    <t>6 WELL AUTOMATED SHS ATEX ZONE 1 COMPONENT COMES WITH 6 X 3 LINE WCM
Project Name : SNFA-W2
C850001</t>
  </si>
  <si>
    <t>New top level Integration Number to include the following:
C04SHS011000 - SHS
9555-6130 - XPIO
Project Name : Saudi Spec
C850014</t>
  </si>
  <si>
    <t>5 well manually operated SHS with 5 x 5 line WCM + (UACU=) c/w 3 x PDGICs
Project Name : SA085422
C850016</t>
  </si>
  <si>
    <t>ECR - (Originally created in ETQ on SDC - 000145). Doc. 9388-5220, Pressure testing, step 5, pg. 3 calls for a 5 minute pressure test and to record the results on the test record sheet. Per Paul James this test does not require the pressure to settle. There is no pass or fail criteria. Remove the Record result on test record sheet from the paragraph. The same applies to body burst test pg. 5, step 7. Also, the test results chart on pg. 7 needs to reflect these changes. Steps I5 and L7 have no need to record test results. 
Could the 5 minute tests be totally removed from the procedure? If there is no settle out requirement, we are wasting time performing the test. The 15 minute test will prove fail or pass.
Set up and distributed to M. Scogin (JCallaway) 04262010</t>
  </si>
  <si>
    <t>Correct problems with JoeAngels inspection method for the ROC-HS:
1) Evaluate the reason that the software gives inaccurate pressure and temperature readings.
2) Make changes to software or to JoeAngels computer, to implement the fix.</t>
  </si>
  <si>
    <t>Add the following procedures to CWI:
LC-QC-017 Rev G
7000-5074 Rev B
7000-5051 Rev D
7000-5070 Rev B
7000-5069 Rev E
7000-5020 Rev B
7000-5016 Rev B
7000-5018 Rev C
7000-5013 Rev A
Martin can help you get any of these you cannot find.  Most are in Domino.</t>
  </si>
  <si>
    <t>UPDATE SAP M/N 598524 (9400-2049) WITH ANY MISSING DRAWINGS, DOCUMENTATION, SPECS, ETC.</t>
  </si>
  <si>
    <t>SHELL GOM</t>
  </si>
  <si>
    <t>ONLY REQUIRE A DRAWING TO BE CREATED AND UPLOADED IN CWI FOR MN 101864738
Set up and distributed to M. Scogin (JCallaway) 04212010</t>
  </si>
  <si>
    <t>Same As: 9290-6555; GGE MDRL ASSY,5.5-23.00 VAMTOPHC B X P
Except: Material: Super 13 Cr       A 231 ST
Threads:  IS 10/28/09 is  5,5?? 23lbs Vam Top HC. Material is Super 13% Cr  per attached request D Henson
WAS TBA
Should be a 5,5in Dual ROC H gauge mandrel for a ROC H2 gauge
According to contract 2001206 between WD and StatoilHydro.
To be delivered in Norway by March 1, 2010
Should be prepped for Position Sensor
This dual gauge should be ported to both tubing and annulus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
2009-11-24, Matthew Scogin:  This is a dual ROC-HS gauge mandrel.  It is not for a ROC-H2 gauge.</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</si>
  <si>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t>
  </si>
  <si>
    <t>Permanent Monitoring Group AMS Templates: AMS templates for each product need to be designed and released.</t>
  </si>
  <si>
    <t>UPDATE 9550-6140CL: Item 6 in 9550-6140CL is a capacitor from AVX that is difficult to source - part number MR051C103KAATR1.  The component list should be updated with a drop-in replacement that is more available.  Part number C052T103K1X5CR from Kemet has been identified.</t>
  </si>
  <si>
    <t>Same As: XO-B-5523-01; 5-1/2 23 X 4-1/2 12.6CROSS OVER
Except: Material: 13 Cr A205ST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529552 - email request from Erica Notto (Kare Hognestad) to cancel - G. Chatelain</t>
  </si>
  <si>
    <t>RTA TO CREATE PROCEDURES FOR ALL PTI LONG-NOSE STYLE CHECK VALVE ONLY: 
1. CHECK VALVE INSPECTION AND TEST PROCEDURE
2. CHECK VALVE TO MANDREL ASSEMBLY
3. PORT PLUG TO MANDREL ASSEMBLY</t>
  </si>
  <si>
    <t>UPDATE SAP M/N 598526 (9400-2050) TO INCLUDE ANY MISSING DOCUMENTATION, DRAWINGS, SPECS, ETC.</t>
  </si>
  <si>
    <t>UPDATE SAP M/N 598019 (9385-6049-BP2) TO INCLUDE ANY MISSING DRAWINGS, DOCUMENTATION, ETC. ADD 7403-5100 PER J. GALINDO AND D. HICKMAN</t>
  </si>
  <si>
    <t>Request to revise the CWI BOM structure for the 1065 HF1 Packer(SAP No. 597003; Ref No. 722HF1106503-BP1) to include the material specifications and the customer supplemental material specifications (see attached BP1 requirements memo).
032211 TSG RECD FOR PROCESSING DSH</t>
  </si>
  <si>
    <t>This RTA is to create the incoming inspections for the ROC-200 gauges.  The II should cover the Feed-thru gauges as well.</t>
  </si>
  <si>
    <t>ECR - REMOVE AND REVISE ALL APPLICABLE DOCUMENTS WITH ENGINEERING CONTROLLED AND UNRELEASED INFORMATION PER ATTACHED EMAIL FROM M. B.</t>
  </si>
  <si>
    <t>Require the following reference part - 215HA0350027-BP1,  SAP Ref 589713
To be changed to the following:
Customised Flow Trim to be installed.(As attached below)
Shroud must include Tungsten Carbide inserts at flow trim 
please reference attached RTA Input Sheet, Flow Trim Spreadsheet and Quotation sheet from Sean Middleton
09/04/09 - Set-up and distributed to Paul James - G. Chatelain</t>
  </si>
  <si>
    <t>ECR - TPI was asking about step 5.4 of doc. 7000-5122 for the preliminary check valve test.  The step calls for a max pump outlet pressure of 800psi.  We need a range to work with since it is very difficult to achieve an exact number of 800.  Anything below may not be enough to pressure up and actuate the check valve at 650 +-150psi.  I suggest the step read to apply 800-1000 pump pressure for this test.</t>
  </si>
  <si>
    <t>Need EDS created for 9388-6062-SM1, reference RTA 581341.</t>
  </si>
  <si>
    <t>Same As: 215HA0350037; VLV,HVC INTEGRATION,3-1/2 ACCUPULSE,SHRO
Except: See note on order line 1
File opened by J. Callaway &amp; distributed to P. James 08/20/2009
Project Name: Azurite 
Special Quality Plan Required?: No
Material: (16) Customer Supplied - Supply detail in description
Technical Support Deliverables:
Reference Assembly Drawing</t>
  </si>
  <si>
    <t>Same As: 722HF1965341-ST1; SIZE 9653 TYPE HF1 PKR, WITH KNOCK -ST1
Except: Different quality requirments. new suffix code: SB2
Upgrade packer element matr. from NBR to HNBR
Drawing request according to contract obligation.
Ref. SAP4600009874
Project Name: 
Special Quality Plan Required?: Yes
Quality Plan Identifier: SB2
Material: (11) Super 13 CR 110 MY 32 HRC (ES-MA-134-_)
Mating Infomation: No special instruction on mating with other parts.
10/12/09- Set up &amp; Dist to Paul James ( Holly Carroll)</t>
  </si>
  <si>
    <t>URGENT....RUSH
Apply SB2 variant to 591531 FMJ SPLICE BODY SIZE 1/4 WITH LEAD -ST0.
Customer:  Statoil
022811- TSG RECD FOR PROCESSING</t>
  </si>
  <si>
    <t>SPARE PARTS KIT FOR 71CO657</t>
  </si>
  <si>
    <t>Need EDS created for 9388-6062-SM1, reference RTA 581341.
Set up and distributed to M. Scogin (JCallaway) 04201010</t>
  </si>
  <si>
    <t>BUILDING PAU BATTERY OPERATED IN CWI - PART 597320 IN CWI NEEDS TO BE UPDATED WITH LATEST INFORMATION AND OBJECT STRUCTURE NEEDS TO BE CORRECTED.  ADD RTI MEZZANINE CARD TO PAU AND ALL ASSOCIATED FILES CL, AD, AP.  AD IS IN SOLIDWORKS.
ADD THE FOLLOWING OBJECTS: 46765AD, CL, HELP, RH, AND WD.</t>
  </si>
  <si>
    <t>VSF</t>
  </si>
  <si>
    <t>create lower level uncoated part for MN 594493</t>
  </si>
  <si>
    <t>Request creating Installation and Commissioning Procedure and Field Operations Manual for Champion West.
C05SHS36311100W - material number.</t>
  </si>
  <si>
    <t>9 5/8IN x 3 1/2IN VT MC1 Packer
Equivalent to 722HF1964715 (but MC1)
Jan 28/2010 Set-up &amp; Distributed to Paul James (GMacias)</t>
  </si>
  <si>
    <t>Same As: 9290-6518; 4-1/2 12.6 CHEMICAL INJECTION TENARIS BL
Except: 12.75ppf, TENARIS 3SB threads BxP, 15000psi Check valve suitable for 3/8 line, 2 by pass slots, H2S environment.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</si>
  <si>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ECR
M/N-598217 Drawing 9388-2056 Rev.B
In SECTION A-A add a dimension of .100 for the hex depth.
(NOTE) In the machinist handbook the minimum depth of hex for a 10-32 SHCS is .090.</t>
  </si>
  <si>
    <t>E.C.R D00462521 REV A. TO SIMPLIFY MANUFACTURE AND REDUCE COST OF PART, CAN THE STATEMENT o.k. to remove feather edges back to sides of 1.91 slots BE ADDED? AS PER EMAIL DATED 16TH FEB FROM PAUL JAMES.
RTA WILL BE CANCELLED TO BE RESUBMITTED LATER ON IN THE YEAR AS DISCUSSED BY EMAIL SENT ON 09JUN11 FROM P.J. (OEWUMI 10JUN11)</t>
  </si>
  <si>
    <t>Nexen, Apache, EnCana</t>
  </si>
  <si>
    <t>Same As: 316884-00; MANIFOLD, ELECTRO-HYDRAULIC VALVE,PROTOT
Except: CHANGE TO 5.5 SIZE AS PER ATTACHED 316071 00 01 FROM MARK BEDRY.  INFO ATTACHED FROM RTA R00000565271 CONTAINING THE INFORMATION ON THE VALVE THIS WILL BE USED WITH AND WELL CONDITIONS.
Project Name: 
Special Quality Plan Required?: No
Material: (1) Low Alloy Steel 80 MY 22HRC (ES-MA-18-9)
Technical Support Deliverables:
Preliminary Design Specifications
Reference Assembly Drawing
ZZ Drawing
JUNE 22/2010 SET-UP &amp; DISTRIBUTED TO KIRBY SCHRADER  (GMACIAS)</t>
  </si>
  <si>
    <t>Kirby Schrader</t>
  </si>
  <si>
    <t>UPDATE DRAWING W.302276-00-01 PER CWI STANDARDS. UPDATE ALL CORRESPONDING PARTS WITH W. PREFIX</t>
  </si>
  <si>
    <t>3.5 inch 9.2 ppf Vam Top Box x Box EZ-Gauge Chamber with OD 5 inch - casing weight 23.2 ppf, Ported to Annulus. Metallurgy- L80,80 Ksi</t>
  </si>
  <si>
    <t>UPDATE ASSEMBLY DRAWINGS FOR 9650-6055 AND 9650-6056: The assembly drawings for the PCB assemblies inside the ROC Universal Gauge Simulator - 9650-6050 (597437) - and the ROC-D Ramping Gauge Simulator - 9650-6051 (597439) - do not have their dimensions specified. Their assembly drawings (9650-6055AD and 9650-6056AD) should be updated with the relevant dimensions.  Reference PME-EFD Checklist for RTA 602056.</t>
  </si>
  <si>
    <t>UPDATE PCBA CL OF 9650-6050 AND 9650-6051 GAUGE SIMULATORS - INNOVA HAS IDENTIFIED A CRYSTAL THAT IS DIFFICULT TO SOURCE.  IT IS THE 4 MHZ CRYSTAL MANUFACTURED BY AEL.  THEY HAVE IDENTIFIED A REPLACEMENT BUT IT REQUIRES LOADING CAPACITORS THAT HAVE A DIFFERENT VALUE.  THIS CHANGE WOULD AFFECT 9650-6055CL (THE PCBA FOR THE 9650-6050 UNIVERSAL GAUGE SIMULATOR - 597437) AND 9650-6056CL (THE PCBA FOR 9650-6051 ROC-D RAMPING GAUGE SIMULATOR - 597439).</t>
  </si>
  <si>
    <t>DEVELOP THE REVISION CONTROL SYSTEM FOR THE DEPARTMENT</t>
  </si>
  <si>
    <t>Create Troubleshooting Procedure for 9670-6016 per Husky specifications.</t>
  </si>
  <si>
    <t>Contact field to see if still necessary due to age of RTA.  5/2/11 DM</t>
  </si>
  <si>
    <t>Aflas Element Qual not 9-5/8 in x 4.5 HF Packer 15K Packer project. 
This will be the packer body only along with testing of sub components.
The element development will be lumped with the existing Aflas element project D800045
ER 8000151</t>
  </si>
  <si>
    <t>Same As: 9293-6478-SB2; MANDREL ASSY CL 3 1/2 9.2 LB/FT ROC-S SG
Except: 13 Cr 80 yield 3 1/2 9.2 LB/FT Single Mandrel Assembly for ROC 150 single transducer ported to tubing only. VAM TOP Box by Pin
Tech Start Date is in the past
Project Name: Tapis
Special Quality Plan Required?: No
Material: (7) 13 CR 80 MY 22HRC (ES-MA-58-7)
Mating Infomation:</t>
  </si>
  <si>
    <t>I need a detailed specification sheet specifically for the ROC 175 25Ksi rated fully redundant gauge 9381-6163. This document will be submitted to Shell for inclusion in the Completion Equipment Review Team (CERT)process for the upcoming Cardamom project</t>
  </si>
  <si>
    <t>Request creating Installation and Commissioning Procedure and Field Operations Manual for Iron Duke.
101866483 - material number.</t>
  </si>
  <si>
    <t>3 Well manual pneumatic control panel to control 2 ICVs per well.
One XPIO DC Powered</t>
  </si>
  <si>
    <t>5.5 in Splice sub, 13Cr, 8 x ?? Hydraulic +  1 x TEC bypass groove, 5 ?? 15.1 lb VAM Top BOX x PIN (see attached requirements document)</t>
  </si>
  <si>
    <t>Reference CPI 300158618.
Not all Chemical Injection Mandrels have the port test plug listed on the BOM.  This has caused delays for Shell projects whereas test plugs were not available for customer witnessed testing.
Test plugs need to be added to all mandrel assemblies.</t>
  </si>
  <si>
    <t>CREATE BOM AND UPLOAD DRAWINGS FOR 9290-6355 AND 9290-2355 E-MAIL REQUEST 090610 STEPHEN ALLAN
NO REPLY ON 3 FOLLOW UP REQUESTS THIS IS BEING CANCELED</t>
  </si>
  <si>
    <t>ECR - REVISE MATERIAL NOTE ON DRAWING 9290-2647 TO 25CR 85K PER ES-MA-66-49 PER RTA REQUEST 597324.</t>
  </si>
  <si>
    <t>Statoil Visund</t>
  </si>
  <si>
    <t>This request refers to performing the V0 rating qualification, ISO 14310, on the 10 3/4in 65,7lb HF1 Packer.
This size packer is ordered on PO 4507665847, client PO 4502036027, and is planned to be installed at the Statoil Visund field in April 2011. It is crucial that the packer has a V0 rating prior to installation.</t>
  </si>
  <si>
    <t>ACQ to Petrobel Conversion - per Matthew Scoggin
Project Name : n/a
C850030</t>
  </si>
  <si>
    <t>Please create SAP number and attach drawing (included) for ordering part. This is a third party (Tube tec) cross coupling protector. Purchased part.
Requested description Cross coupling clamp,5.50 23 lb per ft Vam Top,44x12 mm Flatpack,11x11 Encap, 1x 0.25 Bare line</t>
  </si>
  <si>
    <t>Change from 53,5 pound to 47 pound packer
use SB2</t>
  </si>
  <si>
    <t>MISC E-MAIL REQUEST 
BASE DRAWING RELEASE REVISION REQUIRED TO UPDATE DRAWING PER KENNY PHAM ORG REQUEST ATTACHED</t>
  </si>
  <si>
    <t>Please change all drawings on olives to reflect new coating requirements.  Note that not all these drawings may be current - some may be obsolete in which case we do not need to amend.  Revised drawings should be sent to all potential suppliers.
Drawing should call out silver plating as  - Bright Silver Plating -  
Also - check the plating thickness.  Some drawings have 0.002 in. plating thickness and some have 0.0002 in.  I am sure it should be 0.002 in. but this should be checked.
Potential applicable drawings are 9381-8002, 9388-8072, 9388-2109, 9388-2057, 9388-2097.</t>
  </si>
  <si>
    <t>SURFACE MONITORING
SSURFMONT-08</t>
  </si>
  <si>
    <t>CONTINUATION  OF RTA 565271- (THIS WAS CLOSED IN ERROR.)
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
111810-REQUEST TO RE-OPEN RTA565271 PER KIRBY SCHRADER(DSH)</t>
  </si>
  <si>
    <t>M/N-598274 Drawing 9388-2094 Rev.B
Change the positional accuracy for the serrations to
 /-0.3 degrees, and the title to ROC-S.
This has been discussed with M. Guy</t>
  </si>
  <si>
    <t>UPDATE DOCUMENT D00502301 TO CONTAIN SCREEN SHOTS AND A DIAGRAM OF THE RAMPING GAUGE SIMULATOR CONNECTION</t>
  </si>
  <si>
    <t>UPDATE DRAWING W.302169-00-00 PER CWI STANDARDS. UPDATE ALL CORRESPONDING PARTS WITH W. PREFIX</t>
  </si>
  <si>
    <t>ECR-9290-2654. NOTE 3 TEXT HAS REVISION A AT THE END OF THE PART NUMBER BUT SHOULD BE REV B. DETAIL H SAYS 3 PLCS BUT SHOULD ONLY BE 2 PLCS</t>
  </si>
  <si>
    <t>Pup JT, 5.5, 23ppf, VAM TOP, Box x Pin, 125KSI, INC 718, 6ft in length.  Must follow Chevron CT2 quality plan.
Updated connection from Pin x Pin to Box x Pin per attached email.  9/15/10 DM</t>
  </si>
  <si>
    <t>MISC E-MAIL REQUEST
03/07/2011 MAYRA HADLEY
TO REVISE PART MN 101978573 REF NO 214HVC450041-BP1 MODIFIED FIND NO 0023 WAS:593093 IS:102012631 REQUESTED BY QUALITY</t>
  </si>
  <si>
    <t>UPDATE P/N 602667 WITH SUPPLIER MFG P/N OR SPECIFICATIONS AT REQUEST OF E. HERNANDEZ. REF EMAIL BELOW: FOUR OF THE PARTS ARE NOT OURS (232561, 303950, 100039803, 101689194); AND 596581 WILL HAVE TO BE BACKFILLED (IT WILL BE PROCESSED ON ANOTHER RTA).</t>
  </si>
  <si>
    <t>ECR - Procedure 0142-5116, pg 2, step 3.1 says to visually inspect all components for damage. Please add a Caution note to this step informing the technician not to disassemble part 597563 (FWC SLIM CONTACT DHCE-A010). This part is assembled in an oil bath at the vendor and the oil will come out making it unusable if this is disassembled.</t>
  </si>
  <si>
    <t>ECR - Applies to all 4.5 HVC valves using standard seal stacks. 
Replace item 311295-ZD (SAP MN 592782) with 1x 317025-JL (SAP MN 602416), 1x 317024-ZB (SAP MN 602415), and 1x 317023-ZB (SAP MN 602413).
Replace item 311304-ZD (SAP MN 592830) with 1x 317026-JL (SAP MN 602417) and 1x 317024-ZB (SAP MN 602415). 
NOTE: 2x plastic bearing rings are used in the Profile Sub and are not to be replaced. 
Additionally, there is a -BP1 varient of this bearing ring (SAP MN 592784) that should be addressed.
08/06/099 - Set-up and distributed to Paul James - G. Chatelain</t>
  </si>
  <si>
    <t>Thai Nippon Steel</t>
  </si>
  <si>
    <t>Create new part number with Quality Plan for MN 101928256 for SHS 6 well.
Cancelled per submitters request.  See attached email.  12/9/10 DM</t>
  </si>
  <si>
    <t>ECR - REVISE 9290-2681
Drg 9290-2681 has dimension of the pin o/dia missing.
The pin thread on the left calls up find number 0806 which on the BOM is saying to Copper Coat B-009. This should be B-006 or change drg to find number 0807</t>
  </si>
  <si>
    <t>ASSEMBLY PROCEDURE FOR ROC UNIVERSAL GAUGE SIMULATOR: An assembly procedure for the 9650-6050 (597437) has not yet been written.  This was discovered as part of review of RTA 602056 and its PME-EFD checklist.  An assembly procedure should be written and can be modeled after the AP for the ROC-D Ramping Gauge Simulator - 9650-6051.</t>
  </si>
  <si>
    <t>ConocoPhilllips</t>
  </si>
  <si>
    <t>Please create a Part Number for:
ROC GAUGE ASSEMBLY, ROC150, DUAL TRANSDUCERS, 1.125IN OD, 10K PSIA, 25 150C
This part will comprise 1 off SAP 101865414   1 off SAP 598392</t>
  </si>
  <si>
    <t>TROUBLESHOOT ASE 3000 CARD: An ASE 3000 - 9550-6140 (597285) card was going through an incoming inspection but was not connected to the power supply correctly and was damaged.  This RTA will cover troubleshooting the to determine whether the card can be repaired or should be scrapped.  A failure analysis report will be generated with recommendations.</t>
  </si>
  <si>
    <t>PDVSA</t>
  </si>
  <si>
    <t>Same As: 9290-6554; TECHHOLD   MANDREL ASSEMBLY,5 1/2-20, VAM TOP
Except: MANDREL ASSEMBLY, CHEMICAL INJECTION, 7in 29lbs/ft; Tenaris Blue, S CR 13, 95KSI, 2 x 1/4 check valve 50 Psi cracking Pressure, 6000 Psi rupture disk with isolation sleeve R Profile 5.963in. 
Standard WD quality Plan
See file attachement=Chemical Injection Mandrel Rev1.xls
Project Name: Cardon IV, Chemical Injection Mandrel with Isolations Sleeve
Special Quality Plan Required?: No
Material: (10) Super 13 CR 95 MY 22 HRC (ES-MA-134-3)
Technical Support Deliverables:
Preliminary Design Specifications
Reference Assembly Drawing</t>
  </si>
  <si>
    <t>Define Requirements</t>
  </si>
  <si>
    <t>REFERENCE RTA 656503 - ENGINEERING DRAWING 316745-0-01(216HA 00735S1O00), LINE ITEMS 7, 9, 10, 12, 17, 18, 20  - W. NEEDS TO BE ADDED TO PART NUMBERS; LINE ITEM 8 NEEDS TO BE CHANGED FROM 028PQS252006 TO 030PQS501316 (SEE TASK  504211 FOR THIS CHANGE)</t>
  </si>
  <si>
    <t>7 5/8 inch, 33.7 lb, 13Cr L80, Vam Top FE single feed through gauge mandrel</t>
  </si>
  <si>
    <t>UPDATE DRAWING W.302548-00-00 PER CWI STANDARDS. UPDATE ALL CORRESPONDING PARTS WITH W. PREFIX</t>
  </si>
  <si>
    <t>Same as part 235CRS703501: ASSEMBLY, 3.5 CRIMP CLAMP, 25CR, ASSEMBLY, 3.5 CLAMP
Except for: Quality plan to be SB2
021711 TSG RECD FOR PROCESSING DSH</t>
  </si>
  <si>
    <t>STANDING WA FOR RAMEEN BAKHTIARY, LAB OFFICE WD3</t>
  </si>
  <si>
    <t>test</t>
  </si>
  <si>
    <t>4.5 in on/off Sfrac valve modification to remove alignment pins and shorten tool
Feb 10/2010 Set-up &amp; Distributed to Kirby Schrader(GMacias)</t>
  </si>
  <si>
    <t>Ref 216HS 3.500 Inch 13CR 80, 9.2 LB VAM TOP B x 4.500 Inch 12.6LB VAM TOP Pin for 7 Inch 23 LB Casing, HS ON-OFF Valve with Fitting kit. Valve requires 8 x 1/4 inch line bypass. Expected well bore fluids are 15% HCL for a max period of 24hrs. Hydraulic working pressure 7500 psi. Special customer requirement is alignment clamp is required on bottom sub to keep control lines out of the high flow.
Apply CO1 Quality Plan.  Design on RTA 624792
Customer:  ConocoPhillips
Project:   Bawal
Quality:   CO1
01/18/2011 - ON VACTION 01/14/10 &amp; 01/17/11 - RETURNED ON 01/18/2011 AND QUALITY MARK-UPS ON DESK - GCHATELAIN</t>
  </si>
  <si>
    <t>PDGIC ON-BOARD CALCULATIONS - In order to provide better data handling for customers using the PDGIC, it has been requested that the PDGIC be updated to support on-board pressure and temperature calculation.  This RTA shall cover the code modifications and the qualification there of.  The firmware will not be placed into production release until the need arises.  The goal is to couple this with the PDGIC hardware update with the new universal power supply.</t>
  </si>
  <si>
    <t>We are experiencing multiple problems in the field with the toothed gauge wrenches wearing out very quickly.  The little teeth on the collar nut can easily slip.  Once they begin to slip, the teeth in the block start to wear and the block soon becomes unusable.  A possible solution would be to change the teeth design on the collar nut to match those of the FMJ which would tend to last much longer and not slip.  It may be possible to do this and the only design change would be to the collar nut itself.  But the stresses in the part will need to be looked at carefully.  Ideally, the field can use the FMJ tools to make up the collar nut.</t>
  </si>
  <si>
    <t>Reference part number: 215HA0450031
FC Product line would like engineering to analyse deflectors of all sizes and to  desigin a handling tool for the deflectors . The large OD &amp; akward shape makes handling deflectors extremely difficult on the rig floor. Moreover the weight of these deflectors without a proper handling tool, could lead to a potential safety issue. Please ensure the solution is applied to all deflectors of all sizes. Please contact product line for additional information.</t>
  </si>
  <si>
    <t>ACCUPULSE PULSE &amp; DIGI
SAPDHYD-08</t>
  </si>
  <si>
    <t>ATTACH LEGACY DOCUMENT TO OBJECT IN CWI.</t>
  </si>
  <si>
    <t>MISCELLANEOUS E-MAIL REQUEST
033111 LIZ ROUTLEDGE
REFERENCE E-MAIL: DRAWING 9293-6355 AND 9290-6355
040611 ALE AVILA: IT IS NOT NECESSARY TO LOAD DOCUMENT 9293-6355CL AS EVERYTHING LISTED IN THE CL IS ALREADY CONNECTED IN THE BOM OF PART 597398 (9293-6355).  9290-6355 IS PART 101950988, AND ITS BOM NEEDS TO BE FILLED IN PER 9290-6355CL, ATTACHED BELOW.
042811 CHANGED RTA TYPE FROM STOP WORK TO ECR - ENGINEERING TIME AND INPUT REQUIRED TO PROCESS RTA (GMC)</t>
  </si>
  <si>
    <t>Jose A Avila</t>
  </si>
  <si>
    <t>This RTA is to develop a chemical injection control sub. The Sub will need to have a chemical injection control module that will be set above the chemical injection mandrel. This module need control the chemical injection, closing the chemical injection line when the HS valve close and open the chemical injection line when the Hs valve open (Please see the schematic attach). 
The module need be added in a splice sub, and the sub need allow by pass one 1/4in electric line + one 1/4in hydraulic line. All the other lines will be connected in the inlet and outlet connectors at the chemical injection control module. 
All the FMJ connectors need be delivered together with the chemical injection control sub.  
The chemical injection control sub need follow the Petrobras Brazil quality plan PQ2.
Chemical Injection Control Sub Metallurgy = 25Cr7Ni4Mo 85Ksi; Compatible with 9 5/8 53.5 lb/ft Casing; Minimum ID = 3.867in; Minimum Colapse pressure = 7500psi; Minimum Brust Pressure = 7500psi; Temperature range = 4 to 135degC. 
Project Name: GUARA 085/10_SAP21563506
For any questions please make contact with Lorenzzo Minassa</t>
  </si>
  <si>
    <t>Update procedure 9388-5222 to include references to both  part numbers of test jigs used for the two different sizes of dual blocks.  The smaller size and the larger size recently created for the ROC hybrid gauges. Procedure needs to state that depending on the dual block used, the one or the other may be required.</t>
  </si>
  <si>
    <t>ECR-313513-00-01. On sheet 2 at detail E change the min depth of thread from .65 to .4.  The screw that goes in those tapped holes only engages by .25.  This will enable us to thread mill the threads and avoid tapping breakages.
RTA WILL BE CANCELLED TO BE RESUBMITTED LATER ON IN THE YEAR AS DISCUSSED BY EMAIL SENT ON 09JUN11 FROM P.J. (OEWUMI 10JUN11)</t>
  </si>
  <si>
    <t>MISCELLANEOUS E-MAIL REQUEST
122710 DENISE DEAN
REFERENCE E-MAIL: VERIFY DWG FOR 589046 IS CORRECT IN CWI REF. DWG. NO. 033083-00-00</t>
  </si>
  <si>
    <t>Sames as 602505 w/CT2 Quality Plan.
Customer:  Chevron
Project:   Jack St Malo
Quality:   CT2</t>
  </si>
  <si>
    <t>Create SmartWell Master Server Assembly, to include the following components:  Rack mount server, SmartWell Master Software w/ subsea controls kit, and rack-mounted keyboard video mouse.  This assembly will be a make assembly, and will include the procedure to install the software onto the server.</t>
  </si>
  <si>
    <t>Verify the compatibility of Solar Panel in the link with the SAU system described in attachment. Create relevant Material Number and internal cost.
http://www.affordable-solar.com/store/solar-panels/kyocera-KD135GX-UPU-135-watt-solar-panel</t>
  </si>
  <si>
    <t>GENERATE TEST REPORT FOR THE 20 KSI FMJ TESTING AS D800161-B LOCATED ON O:-BUSINESS DEVELOPMENT AND TECHNOLOGY GENERAL-JOBFILES-ACTIVE-OPEN D JOBS-D800151-D PROJECT FOR 15,000 ACCU-PULSE-D800161-B 20 K FMJ TESTING   AS PER ATTACHED EMAIL.</t>
  </si>
  <si>
    <t>Same As: 251HD0359321; 3593 HYDR DISC SUB,SNAP LTH WITH GID,6 L
Except: This will be similar to RTA R00000590830 with the addition of a protective sleeve and 1/4 inch control lines.
Same As: 251HD0359321; 3593 HYDR DISC SUB,SNAP LTH W/ GID,6 LIN 
Except: Same as reference except that Min ID is larger than 3.75inch for both parts upperand lower of the disconnect tool. The system will be installed inside 9 5/8Inch 47ppf casing.
Modifications needed to existing design:
Product seals need to be field/workshop redressable.
Protective sleeve on the female member which will push down as the male member engages and return to original position when the male is removed.
1/4 control line used on entire Hydraulic Disconnect tool with a preference to secondary FMJs for termination.
Project Name: Aramco - 4-1/2 Wet Connect
Special Quality Plan Required?: No
Material: 
Mating Infomation:
All 4.5 Hydraulic Disconnect Development activity to be tracked on RTA 590830 per PLM.  9/23/10 DM</t>
  </si>
  <si>
    <t>Same as part P.D00258485: PLUG, BLANKING, 510AV5, 1/4INCH, HYDRAULIC, FMJ
Except for: Quality plan to be SB2
02/17/11 TSG RECD FOR PROCESSING DRG DIST TO QUALITY FOR MARK UP DSH</t>
  </si>
  <si>
    <t>Qualification and element design for RTA 591342.
Customer:  Conoco Phillips
Project:   Bawal
No special quality plan required
Chassis design on RTA 591342 9/15/10 DM</t>
  </si>
  <si>
    <t>Update 9381-5100 to include common spares and test tools required (Martin can help supply this list).  Also, update our multi-drop capability to say 8 single sensor gauges or 6 dual sensor gauges.</t>
  </si>
  <si>
    <t>WellDynamics Permanent Monitoring  Create a modification drawing for 9290-2466 and 9293-6466 to enable a machine shop to convert Triple ROC D Gauge Mandrel 9290-2466 and 9293-6466 to a Dual ROC D gauge mandrel both ported to the tubing.  Modifications will include: facing off the annular step, opening a window in the DF protection ribs to allow a termination to be installed and tested onto the sub adapter of the dual block, relocation of the deflector plates, drilling through of the snorkel-ported DHPT port to allow tubing pressure, inclusion of a FMJ blank into the parts list.  A new number will be created for this modification drawing so that mandrels which have been modified can be readily identified.  Conversation with Kenny P. and Mark G. indicate that this high priority RTA can produce a red-line modification drawing in 1 week.</t>
  </si>
  <si>
    <t>Verify and upload all documentation required for SAP M/N 101890043/D00429422
Per P. James, part is complete as is (see email attached); RTA will be cancelled.</t>
  </si>
  <si>
    <t>6 well SHS
Project Name : FA-67
C850034</t>
  </si>
  <si>
    <t>ROC DUAL REDUDANT PERMANENT DOWNHOLE GAUGE:  The ROC Permanent Downhole Gauge will be an additional variant to the ROC product offering. The ROC dual redundant gauge will be designed primarily for Petrobras permanent monitoring applications.  The design will basically be two gauges housed in a common housing with a shared pressure port with a olive dual metal seal.</t>
  </si>
  <si>
    <t>eSSSV Development</t>
  </si>
  <si>
    <t>ECR - Doc ES-A-450 has instructions to externally test the Accu-Pulse end plug using a test fixture. The new Accu-Pulse design has a test port that eliminates the need for this test fixture. This should be within the text of the procedure, that if the manifold has the test port, the test fixture is not needed. There is an instruction on the drawing 316745-03-01 of the tool for the test port, but this will cause problems if the procedure is not clear and a TPI is present.</t>
  </si>
  <si>
    <t>TEST</t>
  </si>
  <si>
    <t>Same As: 71SSS1; SFTY SYS STD RTA DESIGN REQ
Except: THIS IS A TEST _ PLEASE IGNORE
Project Name: TEST
Special Quality Plan Required?: No
Material: 
Mating Infomation:</t>
  </si>
  <si>
    <t>UPDATE PART NUMBER 597872 (NO ASSEMBLY OR SPECS) AT REQUEST OF K. PEGODA
033111 (ALE AVILA): PDF OF 9384-6013CL HAS BEEN ATTACHED TO THE RTA.  MOST PARTS ARE ALREADY DEFINED IN CWI AND CAN BE CONNECTED TO 597872.  TWO PARTS ARE NOT CURRENTLY DEFINED IN CWI OR SAP: 9400-2079 AND 9400-2080.  DRAWINGS FOR THESE PARTS ARE IN PDF FORMAT IN ENGINEERING PUBLIC.  ONE PART IS IN CWI BUT IN DESIGN REVIEW STATE: 9384-2004 (101850750).
3-31-2011 BOM BUILT; WAITING FOR ENGINEERING REVIEW JCC
CANCELING THIS RTA; PART WILL BE MOVED TO RTA 637787 FOR COMPLETION OF WORK JCC 5-5-2011</t>
  </si>
  <si>
    <t>MISC E-MAIL REQUEST
102710 HOLLY MARBACK
REF E-MAIL: 597437/RMA-000629 (9650-6055PI)
110910 UPDATE - CONFIRMED THAT THE DOCUMENT INITIALLY SHOWS REV 2 IN THE HEADER, BUT CHANGES TO REV 3 AFTER A PRINT PREVIEW.  ACTUAL CURRENT DOCUMENT REVISION WILL BE RESEARCHED AND DOCUMENT WILL HAVE TO BE REVISED TO FIX THE PROBLEM. (AA)</t>
  </si>
  <si>
    <t>MISC E-MAIL REQUEST
111010 HOLLY MARBACK
REF E-MAIL: 9385-6203/RMA-000652
NOTE:  SAP MN 101862000, REF NO. 9385-6203 WAS CREATED IN CWI ON 1/6/2010 AND WAS ATTACHED TO TASK T0000054944; HOWEVER WAS DISCONNECTED FROM THIS TASK ON 01/16/2010</t>
  </si>
  <si>
    <t>ECR-101999731. Change BOM to replace brass protector 101883336 with nylon protector</t>
  </si>
  <si>
    <t>ECR-101958298. Change BOM to replace brass protector 101883336 with nylon protector</t>
  </si>
  <si>
    <t>ECR-102000611. Change BOM to replace brass protector 101883336 with nylon protector</t>
  </si>
  <si>
    <t>MAKE CHANGES TO 2-7/8 HS ICV DRAWINGS BASED ON LEAN SIGMA KAIZEN FINDINGS. MOST OF THE CHANGES ARE MANUFACTURABILITY RELATED AND WILL RESULT IN A COST REDUCTION WITHOUT AFFECTING FUNCTIONALITY OF THE TOOL.</t>
  </si>
  <si>
    <t>Request to create specification sheet for Comm 722HF1964797. It is missing in CWI.</t>
  </si>
  <si>
    <t>CREATE NEW PARTS; THESE NUMBERS ARE NOT IN CWI OR SAP. NEED DRAWINGS FOR ITEMS 1 AND 2. (SEE ATTACHED EMAIL.)
1.	Resettable Straddle = 028007-00
2.	Flow Check Valve Assy = 290FV0275000
3.	Crossover = 031099-00
4.	Location Tool Spacer = 020881-AE</t>
  </si>
  <si>
    <t>Same as part W.300899-00: ASSEMBLY, CONNECTOR, FMJ HYDRAULIC, 1/4
Except for: Quality plan to be SB2</t>
  </si>
  <si>
    <t>M/N-598469 Drawing 9388-8082 Rev.B
Please move part marking location to the side opposite the .255 wide slot.</t>
  </si>
  <si>
    <t>REVISE PDGIC FIRMWARE TO ACCEPT COEFFICIENTS FOR 3 GAUGES AND APPLY THEM ON THE CARD.</t>
  </si>
  <si>
    <t>Create a single and a dual sensor pressure test block for ROC-150, -175, -200 gauges.  The block should have the prep for the olive and the bolt hole pattern for the ROC-150/175/200 gauges.  Something like 9388-8079 can work but it has the wrong bolt spacing (and maybe bolt sizes) and it is set up for a dual gauge application.  I think we need one for a single sensor and one for a dual sensor.  I think a pressure test port on the block is a good idea.  It gives us the option of testing multiple things along with a standard olive and a right-angle test olive.  We could test the gauge pressure, the gauge pressure port plug, the olive itself, and the metal spring energ C ring.  Canada is needing this design for a Husky demonstration.</t>
  </si>
  <si>
    <t>ECR:  DWG NO. 313285-XX VARIANT, REVISE ITEM NO. 33 FROM 010PSV242040 O-RINGS TO 010PSV244040 O-RINGS BECAUSE IT IS INCORRECT.  PLEASE REVISE ALL APPLICABLE MN NUMBERS WITH CORRECT ORING.  
USE DWG 313285-05-01 AS THE CORRECT REFERENCE FOR ORIENTATION AND CORRECT EACH VIEW ON ALL 313285 VARIANT.  (SCOTT G. 17FEB11)</t>
  </si>
  <si>
    <t>ONGC India</t>
  </si>
  <si>
    <t>MISC E-MAIL REQUEST
100810 HOLLY MARBACK
REF E-MAIL: 597311/RMA-000623</t>
  </si>
  <si>
    <t>Drawing change request for material 101833182
ROC-D SPB,10K,(SP.CAL.0-150C),GGE -HW1
M101833182, Q10 Suction Header Manifold
Consider adding batch traceability to this product. The components used to manufacture this manifold are the same configuration as other components in the shop and batch managment would help insure there are no mix-ups.</t>
  </si>
  <si>
    <t>REQUIRE A 7IN 29PPF X 3.5IN VAM TOP MC PACKER WITH HNBR ELEMENT. HNBR ELEMENT FOR THE 7IN 29PPF DOES NOT EXIST AND NEEDS TO BE DEVELOPED. THE REQUIREMENTS DOCUMENT IS ATTACHED. THE WELL IN WHICH THE PACKER WILL BE INSTALLED HAS HIGH H2S &amp; C02. NEED PACKER IN COUNTRY BY NOV 2011. REQUIRE ELEMENT DEVELOPMENT COMPLETED BY MID JULY 2011.
CONTACT CRAIG YEATS OR PLM FOR FURTHER INFORMATION
ZEWO:  103576823
NETWORK:  HTWD601731 M001</t>
  </si>
  <si>
    <t>Darryl Jones</t>
  </si>
  <si>
    <t>REVISE FLOWMETER SOFTWARE PER TERJE NILSEN - FLOWMETER DLL WAS REVISED AND API FOR FLOWMETER CALCULATION DLL WAS UPDATED WITH CHANGES.  THIS RTA SHOULD COVER THE PRODUCTION RELEASE OF THE UPDATED API DOCUMENT AS WELL AS INITIAL CWI RELEASE OF DLL INSTALLATION FILES AND SOURCE CODE.</t>
  </si>
  <si>
    <t>ECR-D00428109 drg was revised from A to B with the split moved fron the o/dia to the i/dia centre.  The dimensions from those centre lines are now incorrect and will have to be corrected.</t>
  </si>
  <si>
    <t>We would like to modify the XPIO Software to support the WITS protocol.  There was a CPI generated by Glen Breerwood (300156115) in which the improvement was recommended.  We have also received feedback from Darrell Hebert with Shell indicating they expect us to have this in place by the end of 2010, beginning of 2011.  We were provided a contact with Sperry, and Terje had a preliminary meeting to review the details of the WITS Protocol.</t>
  </si>
  <si>
    <t>Same As: 9290-2239; 5 15.0 13CR CHEMICAL INJECTION MANDREL
Except: Same as above except as follows:
1. Require a feasibility study and a cost for a dual line multi point Chemical Injection system.
2. A switching method is required to control the flow of fluids at the injection point. In other words, when the ICV is closed the injection point at that valve is shut off too. Like wise any subsequent valve that is open will allow CI injection at that point to operate. See attached document for additional information.
3 Need response for a Tender due 1st march 2010
Project Name: Pre-Salt Guara
Special Quality Plan Required?: No
Material: (7) 13 CR 80 MY 22HRC (ES-MA-58-7)
Technical Support Deliverables:
Preliminary Design Specifications</t>
  </si>
  <si>
    <t>Please create SAP number and attach drawing (included) for ordering part. This is a third party (Tube tec) cross coupling protector. Purchased part.
Requested description Cross coupling clamp,2.875 6.4 lb per ft Vam Top,44x12 mm Flatpack,11x11 Encap</t>
  </si>
  <si>
    <t>MC VALVES AND PACKERS
SMCPROD-08</t>
  </si>
  <si>
    <t>GGE ASSY, DUAL ROC requires Assembly &amp; test documentation attached within CWI</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</si>
  <si>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t>
  </si>
  <si>
    <t>URGENT......RUSH
Apply SB2 variant to 101863514 FMJ SPLICE BODY SIZE 1/4 WITH LEAD FOR FMJ SPLICE BODY -ST0.
Customer:  Statoil
022811 TSG RECD FOR PROCESSING DSH</t>
  </si>
  <si>
    <t>Same As: OME-NOVA-003; 5.5 23 FLOWMETER-OIL PRODUCTION, 13CR 80
Except: ref. Spring; alan sanderson
In need of a 3.5 Flostream flowmeter for StatoilHydro, Grane G41 water injector. The flowmeter assembly needs to include annulus measurement, to be installed in a 7in. 29ppf csg. 
Bypass requirements; bypass for 2 .25in control lines
info on 3.5 FloStream Flowmeter;
size: 3.5
threads; Vam Top
weight; 9.2ppf
material; 25 Cr
Delivery date to customer: 15th of april
PM System;
preferable; ROC H, alteratively ROC M 16k 150 deg gauges
i 1ea ROC H2 gauge for Tubing AND annulus measurement
ii 1ea ROC H tubing ported gauge
iii Mandrel to be designed to fit dual block 
see attached well schematic and well parameters
NB two zones completion water injection to be distributed even. flowrate for 3.5 flowmeter will therfore be 50perc of what is noted as well rate in design input
Project Name: Grane G41
Special Quality Plan Required?: Yes
Quality Plan Identifier: SB2
Material: (12) 25 CR  AF918 85 MY (ES-MA-66-49)
Mating Infomation:</t>
  </si>
  <si>
    <t>Legacy Inc.</t>
  </si>
  <si>
    <t>Create upper level part number to include the following:  9555-6208(XPIO AC-DT; 115-250V AC), 9555-6110( XPIO LCD and Knob Assy), 9555-6111(Mezzanine Kit)
Project Name : Plieto Fire Flood
C850021</t>
  </si>
  <si>
    <t>OBSOLETE DEFINITION SOFTWARE XPIO2K AND REPLACE WITH 9555-1000</t>
  </si>
  <si>
    <t>NONE</t>
  </si>
  <si>
    <t>WD TEST CELL UPGRADE
Set up and distributed to P. James 05142010 JCallaway</t>
  </si>
  <si>
    <t>Modify the firmware and software related to the XPIO for a new C9 value for Panex gauges. The new C9 will be similar to an existing C9, within the XPIO, except that the message format will now be modified to include acceleration data.</t>
  </si>
  <si>
    <t>550 F and 650 F Steam Valve Testing for SAGD
The Steam Valve needs to be qualified to 550 F for SAGD applications in both Canada and Oman.  The current design has been testing to 500 F for the current Shell application in the Orion field.  The seals have been tested to 550 F in a test fixture, but they have not been qualified in the actual tool.  
It is anticipated that Halliburton will receive a PO in the next couple months from PDO for a Steam Valve system that will need to be qualified to 550 F.
The Steam valve also needs to be qualified to 650 F for CSS Stimulation.  This has applications on both US, Canada, Oman, and the Far East.  While the seals for the Steam Valve have only been taken to 550 F, there is a good possibility that the materials used in the seal stack will last up to the 650 F target.
Network:  HTWD601396;M001             12/16/10 DM
ZEWO:  103377641</t>
  </si>
  <si>
    <t>ECR-031240-08,09,10,11,12,13 HAS THE NOTE TO B-001 OVER THE AREA WHICH INCLUDES THE PREMIMUM THREAD.  THE PREMIMUM THREADS CAN NOT BE MOLYCOATED AS THIS IS NOT PART OF THEIR SPEC. MOVE THE AREA TO BE COATED B-001 AWAY FROM THE PREMIMUM THREAD AREAS.</t>
  </si>
  <si>
    <t>CREATE BASE BOMs FOR SAP MN 593576 (312244-02-SA1), 590777 (301271-18-SB1), 590781 (301271-19-SB1), 588379 (021577-03-SB1) AND 588529 (026072-02-SB1).  ACCORDING TO GLOBAL SB2_SB3 STATOIL QUALITY PLAN, THESE PARTS NO LONGER REQUIRE THE 3-DIGIT IDENTIFIER AND ARE TO BE ORDERED AS STANDARD COMMODITIES</t>
  </si>
  <si>
    <t>Scott Hoadley</t>
  </si>
  <si>
    <t>ECR-9290-2687. Remove false cutline of .80 wide slot shown on top view. Add misssing thread dimensions for deflector clamps. At grid ref F7 the .73 TYP dimension is misleading as the other side calculates as .77</t>
  </si>
  <si>
    <t>5-1/2 FRAC VALVE
Set up and distributed to D. Teale 05132010 JCallaway</t>
  </si>
  <si>
    <t>Need 7035 Splice clamp with 5 splices and LIL in 25Cr material. Crossover sub need to be included in assy. Info on sub 25cr 9,2lbs 3,5inch VAm Top B x P
Need SB2 variant.</t>
  </si>
  <si>
    <t>ANALYZE AND DETERMINE THE ISSUES SURROUNDING THE MODBUS TIMEOUT FOR THE 9670-6015 CARD.  IF TIME PERMITS, CHECK THE FUNCTIONALITY OF THE MODBUS TIMEOUT FOR THE REMAINING CARDS (E.G. IWIS).  SEE ATTACHED DESCRIPTION OF FINDINGS FOR MORE INFORMATION REGARDING THE ISSUE.</t>
  </si>
  <si>
    <t>Same As: 9555-6207; XPIO-QT DC UNIT INCL LCD AND MEZZ
Except: This RTA is needed to provide a Surface Acquisition Unit SAU in explosion proof and non explosion proof package with ability to read at least 4 downhole gauges, battery operated with USB outlets to PC with accessories, cards, switchable surface display and associated momory cards/PC connection cables
Project Name: TBA
Special Quality Plan Required?: No
Material: (5) 9 CR-1MO 80 MY 22 HRC (ES-MA-2-7)
Mating Infomation:</t>
  </si>
  <si>
    <t>Same As: W.101598531; SURFACE SYSTEM, COLD WEATHER SOLAR POWER
Except: Vandal Proof Solar Supply Unit with Accessories inclusive of cable glands, junction boxes, connection cables, voltage regulators, fittings and kits
Project Name: TBA
Special Quality Plan Required?: No
Material: (1) Low Alloy Steel 80 MY 22HRC (ES-MA-18-9)
Mating Infomation:</t>
  </si>
  <si>
    <t>PTI CHECK VALVE QUALIFICATION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this RTA.  The exact scope of the qualification will be determined at the beginning of this RTA.</t>
  </si>
  <si>
    <t>Same As: W.101598531; SURFACE SYSTEM, COLD WEATHER SOLAR POWER
Except:  Vandal Proof Solar Supply with Accessories comprosing controller unit, cable glands, junction boxes, voltage regulators, fittings  kit for installation. The power requirement will include the batteries and solar arrays
Project Name: TBA
Special Quality Plan Required?: No
Material: (1) Low Alloy Steel 80 MY 22HRC (ES-MA-18-9)
Mating Infomation:</t>
  </si>
  <si>
    <t>Still in submitted. Code 6. DI?  4/18/11 DM</t>
  </si>
  <si>
    <t>Request for creating a new SAP number for 2.875 HS-ICV digipulse integration. Please refer to attached requirement documents. This RTA is similar to the request made via RTA 647840</t>
  </si>
  <si>
    <t>TEST TEST .More info here....</t>
  </si>
  <si>
    <t>Modify Female Wet Connector procedure 0142-5116 Rev B to include an external 5 and 15 minute pressure test at 10,000 psi.  There were a few other errors in the procedure that should be fixed at that time as well.  The pressure test should be included in the other FWC procedures.</t>
  </si>
  <si>
    <t>Request for designing a new 3-way sub for reducing number of trips while running a smart completion. 
Please refer to the attached documents for more details.</t>
  </si>
  <si>
    <t>CNOOC</t>
  </si>
  <si>
    <t>Same As: 9293-6594; MDRL ASSY,2.875IN-6.5PPF,ROC-S SNGL,EUE-
Except: 2.875 in 6.5ppf, ROC150 Single Gauge Mandrel, EUE BxP, 13Cr
Project Name: CCLS LF13-2
Special Quality Plan Required?: No
Material: (7) 13 CR 80 MY 22HRC (ES-MA-58-7)
Mating Infomation:
04-22-2011: REVIEWED BY BY KP 
- NO BYPASS NEEDED.
- NEEDED GAUGE INFO.</t>
  </si>
  <si>
    <t>Requirements document submitted. Email to field requesting AIS date.  4/18/11 DM Lost tender.  See attached email.  4/22/11 DM</t>
  </si>
  <si>
    <t>STANDING WA FOR THOMAS CASSIDY, LAB OFFICE WD2</t>
  </si>
  <si>
    <t>Create the following gauge part:
GAUGE SUB ASSEMBLY,ROC-175,DUAL REDUNDANT ELECTRONICS, FEEDTHRU,1.125IN OD,0-25K PSIA,25-177C
Base on MN 101868165 but replace item 18, MN 597778, with MN 101904336</t>
  </si>
  <si>
    <t>M/N-598270, Drawing 9388-2093 Rev.A
Please change the silver plating thickness to .0002 and allow for the entire part to be coated.</t>
  </si>
  <si>
    <t>Create the following gauge part:
GAUGE SUB ASSEMBLY,ROC-175,DUAL REDUNDANT ELECTRONICS, 1.125IN OD,0-20K PSIA,25-177C
Base on MN 101868151 but replace item 19, MN 597778, with MN 597780</t>
  </si>
  <si>
    <t>Update SAP M/N 598528 (9400-2051) with any documentation, specs, drawings, etc.</t>
  </si>
  <si>
    <t>THE 9670-6000 CARD VIBRATION FIXTURE NEEDS TO BE MODIFIED FROM IWIS CARD VIBRATION FIXTURE.  THE 9670-6000 VIBRATION FIXTURE TOP SIDE PLATE NEEDS TO BE 0.5 INCH SHORTER THAN IWIS TOP PLATE.  9670-6000 END PLATE NEEDS TO HAVE A DIFFERENT CLEARANCE TO FIT THE BRACKET AND J2 CONNECTOR.</t>
  </si>
  <si>
    <t>THE - Electro-hydraulic control system
Project Name : THE  Electro-hydraulic control system
D800238A
PRODUCT LINE WAS RENAMED TO SMARTPLEX- DM JONES 6-25-10</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</si>
  <si>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
ZEWO:  103456504
Network: HTWD601618 M001</t>
  </si>
  <si>
    <t>4.5 ROC DF Mandrel required to be modified to accapt a ROC H Gauge</t>
  </si>
  <si>
    <t>Revise current FMJ procedure (ES-A-433) to include FMJ make up photographs and a training video on the correct make up of an FMJ. Also edit current check list in the procedure to include sign off to verify tool has been made in the Pre-swage tool and 25 ft/lbs has been used to pre-swage the FMJ ferrules. This check will be included between checks 3.13 and 3.16 in the check list, similar to check 3.19. PLM will take the lead in revisisng the procedure and supply to engnieering to incorporate in the system</t>
  </si>
  <si>
    <t>4.5 in Frac Valve</t>
  </si>
  <si>
    <t>Same As: 235SF0965542-ST1; SPLICE SUB ASSY, SIZE 9655 W/5 SPLICES,
Except: Please update this item to SB2 Quality Plan. Thanks
Project Name: Tyrihans
Special Quality Plan Required?: Yes
Quality Plan Identifier: SB2
Material: 
Technical Support Deliverables:
Reserve SAP Material Number</t>
  </si>
  <si>
    <t>Create the following gauge part:
GAUGE SUB ASSEMBLY,ROC-175,DUAL REDUNDANT ELECTRONICS, FEEDTHRU,1.125IN OD,0-20K PSIA,25-177C
Base on MN 101868165 but replace item 18, MN 597778, with MN 597780</t>
  </si>
  <si>
    <t>Publish ES-X-XXX Template for WellDynamics</t>
  </si>
  <si>
    <t>Same As: 722HF1106504; SZ 1065 TY HF1 PKR,25% CR,KNOCK OUT PLUG
Except: Materials per attached PLMS 10.75 inch 1065 HF1 tab file. Main loaded items in 13 Chrome with some items Inconel 718. Top thread to match upper completion production tubing with 5.500 Inch 20LB, VAMTOP threads. This assembly to be run in gas injection well.
Project Name: Gumusut
Special Quality Plan Required?: Yes
Quality Plan Identifier: SM1
Material: (7) 13 CR 80 MY 22HRC (ES-MA-58-7)
Technical Support Deliverables:
Preliminary Design Specifications
Reference Assembly Drawing
March 10, 2010 RTa cancelled per Paul James (GMacias)</t>
  </si>
  <si>
    <t>Same As: PR-BC10-CAISON-SHO; PR-BC10-CAISON-SHORT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</si>
  <si>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Same as part W.024034-00: FMJ HYDRAULIC CONNECTOR 3/8 HYDRAULIC CONNECTOR
Except for: Quality plan to be SB2</t>
  </si>
  <si>
    <t>MISC REQUEST TO CHANGE A REFERENCE NUMBER ON MN 588678 REF NO NEEDS TO GO BACK TO 026676-02-CA1 SINCE INCORRECT BILL OF MATERIALS WAS ATTACHED TO PART AND BOM NEEDS TO BE REVISED (GM)</t>
  </si>
  <si>
    <t>ECR-313528-00-01 AND -02-01. ON SHEET 2 COULD THE 5 x R.41 DIMENSION BE CHANGED TO .78/.795 DIA AS PER VARIENT -03. THE MATING PART FMJ SPLICE BDY IS .775/.765.   ALSO THE 8 X .75 DIA AT THE SCALLOPS FOR THE CLAMPING HOLES TO .79 OR THE SAME AS THE -03 VARIANT.  THIS WILL ALLOW STANDARD TOOLING TO BE USED TO CUT IN ONE PASS.
RTA WILL BE CANCELLED TO BE RESUBMITTED LATER ON IN THE YEAR AS DISCUSSED BY EMAIL SENT ON 09JUN11 FROM P.J. (OEWUMI 10JUN11)</t>
  </si>
  <si>
    <t>REQUEST FOR CREATING A NEW 9-5/8 47 POUND X 4.50 HF1 PACKER. PLEASE REFER TO THE REQUIREMENTS DOCUMENT ATTACHED WITH THIS RTA.
1ST REVIEW 11/9/2010 J. CALLAWAY TO A. BERRET 11/9/2010</t>
  </si>
  <si>
    <t>Please create .BHM version of 101797202 rear ferrule.
See attached e-mail for details.
Ref. RTA 593919
Contact Dan Davies or Debra Hickman for .BHM CURL
JUNE 23/2010 SET-UP &amp; DISTRIBUTED TO PAUL JAMES (GMACIAS)</t>
  </si>
  <si>
    <t>FLOW LOOP TEST FACILITY
FL00PTF</t>
  </si>
  <si>
    <t>Create the following gauge part:
GAUGE SUB ASSEMBLY,ROC-175,DUAL REDUNDANT ELECTRONICS, 1.125IN OD,0-25K PSIA,25-177C
Base on MN 101868151 but replace item 19, MN 597778, with MN 101904336</t>
  </si>
  <si>
    <t>UPDATE DRAWING W.302264-00-00 PER CWI STANDARDS. UPDATE ALL CORRESPONDING PARTS WITH W. PREFIX</t>
  </si>
  <si>
    <t>TEST RTA FOR ERROR FREE DESIGN DISREGARD</t>
  </si>
  <si>
    <t>9670-6050 DOCUMENTATION CORRECTION: DURING MIGRATION OF DOCUMENTS TO CWI, IT WAS OBSERVED THAT SOME OF THE DOCUMENTS STILL HAVE WOOD GROUP LOGO ON THEM.  THIS NEEDS TO BE FIXED.  THE DOCUMENTS IN QUESTION ARE 9670-6050AD AND 9670-3050.  ADDITIONALLY, 9670-6050II FORMATTING NEEDS TO BE CHECKED.</t>
  </si>
  <si>
    <t>Request for creating new SAP numbers for 2.875 HS-ICV Digipulse integrations (Digi codes A through F). Please see attached requirements document for details. This RTA is for specifically requesting the removal of Bottom subs in existing assemblies that are being used in Brunei.
RTA created as a follow up to the HS-ICV cost reduction Kaizen event. Once this RTA is completed, these will be standard integrations ordered for the Brunei market.
-----------------------------------
Summary:  Produce an new valve integration from the existing referenced integration, removing the lower adapter sub.  The connection used on the bottom of the valve is acceptable to BSP as is.  Add to the description that this is a special for BSP.  --  Paul James 01-12-2011</t>
  </si>
  <si>
    <t>Engr Hours: 370 
Engr Expense: 47360
Outside Exp: 33200
Matl Expense: 12880
Total: 93.440
Project Name : Cableless Demonstration for Saudi Aramco
C800483</t>
  </si>
  <si>
    <t>M/N-613739 Drawing 9670-6060 AD Rev.G
Please add Engineering Specification ES-PP-80 for packaging.</t>
  </si>
  <si>
    <t>Same As: 722HF1965309-SB2; SZ 9653,HF-1 PKR,PCH REL,5K PSI TO SET,T
Except: We need a SAP number for a production packer for  a client price list. please provide, see attached document for spec. Thanks
Project Name: Tyrihans
Special Quality Plan Required?: Yes
Quality Plan Identifier: SB2
Material: (11) Super 13 CR 110 MY 32 HRC (ES-MA-134-_)
Technical Support Deliverables:
Reserve SAP Material Number</t>
  </si>
  <si>
    <t>ECR-9290-2712 AT SECTION B-B DIMENSION TO FACE AT 25 DEGREE ANGLE TO BE 3.05</t>
  </si>
  <si>
    <t>Same as part 235ACP965503-ST1: ANCHOR CLAMP ASSEMBLY, 13 CHROME, HF1 PACKER
Except for: Quality plan to be SB2</t>
  </si>
  <si>
    <t>ECR - Castrol Transaqua HT (legacy part number 309602-01) has been replaced by Transaqua HT2. Please revise the material specification for HT to allow for substitution with HT2 (per Castrol Product &amp; Technical Data: Castrol Transaqua HT2 has an identical formulation to the field proven Castrol Transaqua HT with a replacement dye, ultra violet trace.)
Dec. 15/2009 Set-up &amp; distributed to Paul James (G.Macias)</t>
  </si>
  <si>
    <t>COPI BAWAL</t>
  </si>
  <si>
    <t>Same as MN 102001842, but instead of the MP35N cable term(598392) add the 718 cable term to the structure(598407).  Due to delivery time on MP35N cable terms the customer has requested to change the cable term.</t>
  </si>
  <si>
    <t>Exxon Iraq</t>
  </si>
  <si>
    <t>Same As: 71SSS1; SFTY SYS STD RTA DESIGN REQ
Except: Set up SAP P/N for installation kit for control panel P/N 102034842  71CO657.
Project Name: 
Special Quality Plan Required?: No
Material: 
Technical Support Deliverables:
Preliminary Design Specifications
Reference Assembly Drawing
Reserve SAP Material Number</t>
  </si>
  <si>
    <t>CREATE A DOCUMENT TO BE USED BY PM ENGINEERING FOR CREATING RTA SCHEDULES AND SHOWING DUE DATES FOR EACH PHASE OF A PROJECT.</t>
  </si>
  <si>
    <t>Shell Gumust</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</si>
  <si>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t>
  </si>
  <si>
    <t>Request to update the CWI BOM structure for the Crossover Sub(SAP No.594454; Ref No. 314491-03-BP1)to add applicable customer material and material specifications (reference attached BP1 QP requirements memo).
032211 TSG RECD FOR PROCESSING DSH</t>
  </si>
  <si>
    <t>MISC E-MAIL REQUEST
111811 EDWIN GONZALEZ
REF E-MAIL: PN 589985 SPECS NEEDED</t>
  </si>
  <si>
    <t>Require a Pre-release MN/SAP number for 3rd party buy in of Tube Tec cross coupling protectors for the Shell Gumusut project. Reference drawing is Tubetec drawing A4500-F25SD-T4 Sheet 1 Rev 0. Cross Coupling is for 4 1/2 Inch 13.5ppf VAM TOP Couplings To accommodate , support and protect combinations of :
3 each 9mm Lines
Casing : 95/8 inch 53.5ppf ( 8.500 inch Special Drift )
Material : Stainless Steel ASTM 890 6A
Quality requirements are Shell SM1.</t>
  </si>
  <si>
    <t>Need EDS created for assembly on RTA 579524
Set up and distributed to M. Scogin (JCallaway) 04202010</t>
  </si>
  <si>
    <t>BP Block 31, PSVM</t>
  </si>
  <si>
    <t>reference RTA R00000508316 but with quality suffix added</t>
  </si>
  <si>
    <t>AGIP Nigeria</t>
  </si>
  <si>
    <t>Installation kit for 71CO650 to include sufficient tubing and fittings to locate panel 25 meters from wellhead.
Special Quality Plan Required?: No
Note: This RTA replaces RTA R629086 that was in Lab Office 46</t>
  </si>
  <si>
    <t>I added part 101847487 for the WellDynamics overlay for the XPIO. Firstly, I need the current drawings added to this part. Secondly, we should have these drawings updated to include the Halliburton logo.</t>
  </si>
  <si>
    <t>UPDATE 9290-2353 TO CURRENT HCT STANDARDS AND ADD CRITICAL COMPONENT NOTATION.</t>
  </si>
  <si>
    <t>ESG</t>
  </si>
  <si>
    <t>Request for creating an SAP number for a WCM lifting device for assisting in installation onto SHS unit. The hoisting / lifting device would need to accommodate both the standard WCM as well as the wide frame WCM designs.</t>
  </si>
  <si>
    <t>Create custom 5.5in HVC flow trim for Statoil Osberg South F26 and F7
See Attached
Quality Suffix to be SB2</t>
  </si>
  <si>
    <t>ECR-9290-2712. AT GRID REF F6 RADS ARE REQURED FOR A CUTTER TO MACHINE UP TO THE FACES IN THE CORNERS OF THE 2.99 FACE WHERE THE CLMP SITS. SUGGEST .13 AS THIS SHOULD CLEAR THE CLAMP</t>
  </si>
  <si>
    <t>Test for Folder Structure Design &amp; Development</t>
  </si>
  <si>
    <t>MN 101942013
Dual gauge assembly does not have assembly and test procedure attached to the BOM.  This will imply that the assembly should be shipped as a kit instead of a tested assembly.  The procedure needs to be attached to the BOM.</t>
  </si>
  <si>
    <t>Choking Steam Valve
There has been significant customer interest in a choking Steam Valve.  The interest started with Shell Canada, and has since spread to a number of other customers in Canada.  Further, it is anticipated that Oxy in Oman would have interest in a Choking Steam Valve to solve issues that they are having with ZoneMaster. 
The customers have been advised that we would probably only design a 4 or 5 position valve.</t>
  </si>
  <si>
    <t>Same As: 214IV1275014-SB1; ASSY,7035 IVICV,3 1/2-9.20 VAM,A511-SB1
Except: Update with current suffix code; SB2
Due to contractual requirements we are obligated to update the PN with correct drawing. This is strictly a drawing request.
Project Name: 
Special Quality Plan Required?: Yes
Quality Plan Identifier: SB2
Material: (12) 25 CR  AF918 85 MY (ES-MA-66-49)
Mating Infomation: No special instruction on mating with other parts.
Jan 7/2010 Set-up &amp; Distributed to Paul James (GMacias)</t>
  </si>
  <si>
    <t>Chevron Tahiti Software Development</t>
  </si>
  <si>
    <t>ECR - Crossover sub (MN 101942613) is too short to torque in the torque machine properly when it is installed on a valve, example integration 101933292. If the 3.222 - 3.252 OD area could be approx 4 inches longer it would make torqueing much easier.</t>
  </si>
  <si>
    <t>Require the following reference part - 215HA0450027,  SAP Ref NA												
To be changed to the following:												
A design data sheet to be created for the part number												
The Non Active Manifold 313856 will require 2 splices and still have the bypass functionality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
The two splices are required to be next to each other and the 1 x single line bypass is necessasry for the TEC line.
9/28/10 DM</t>
  </si>
  <si>
    <t>Require the following reference part - 215HA0550016,  SAP Ref NA												
To be changed to the following:												
The Box and Pin connections should be 5 1/2 inch Vam Top 23 lb/ft												
The Non Active Manifold 313129-03 will only require 2 splices and still have the bypass functionality												
Customised Flow Trim a possibility with Corrado Guiliani reviewing the Flow data from RWE and recommendations provided to the Client												
Please reference the attached RTA Input sheet &amp; other attached documents.
NEED DESIGN BY 9/14/10 FOR CUSTOMER PROPOSAL. EXPECT MARCH 2011 IN STOCK DATE IF ORDER IS RECEIVED. NO SPECIAL QUALITY PLAN.  8/17/10 DM
GLOBAL BD (A MCLAUCHLAN) TO HANDLE DRAWINGS AND ENG WILL BEGIN DESIGN.  8/18/10 DM</t>
  </si>
  <si>
    <t>Per CPI 300143317, 
Norway Operations is requesting modification of procedure 316055-00-01 for inclusion of the following:
-Inclusion of a place in the procedure to note the pos sensor SN and WO/JC number. 
-Procedure for an incoming bench stroking test of the sensor prior to mounting on the valve; To document that the sensor is working when received in the field, only resistance measurements with PSA and WMA. 
-Inclusion of the steps in the procedure to locate and retrieve the appropriate sensor calibration file from the Quickplace; Also the generation of the cff file if not readily available.
For further clarification, please contact Anand Venugopal.</t>
  </si>
  <si>
    <t>Same As: 722MCS964004; PACKER, MC-1, 13CR, 5.50 17 SL APEX BOX
Except: Same as ref but should be a 13CR packer with 3.5 9.2lbs Vam Top top and bottom connection. Only 2 feed through lines needed
Project Name: AGL Project
Special Quality Plan Required?: No
Material: (7) 13 CR 80 MY 22HRC (ES-MA-58-7)
Technical Support Deliverables:
Preliminary Design Specifications
Reserve SAP Material Number
Operating Envelope
Feb 23/2010 Set-Up &amp; Distributed to Paul James (GMacias)
Feb 23/2010 RTA returned to Submitter for additional required documentation (GMacias)</t>
  </si>
  <si>
    <t>Bumper sub ID has interference fit with mating adapter sub.  Adapter sub is has standard OD dimension of 5.505, bumper has ID of 5.500-5.515.
Need to revise dwg. 312766-01-01 Rev. A to move ID dimension to ~5.510-5.525.</t>
  </si>
  <si>
    <t>Doc. 312022-00-01 Rev. 12
Step 2.1 BALANCE PISTON TEST (is)
Stroke HVC to mid-stroke position and simultaneously apply Hyd P psi to the open and close chambers
simultaneously. Hold for 15 minutes once the pressure has stabilized. Following this test, stroke the valve
upward to the full Open position. Bleed all lines to zero PSI.
(should be) - 2.1 BALANCE PISTON TEST (omit if HS-ICV)
Stroke IVC to mid-stroke position and simultaneously apply Hyd P psi to the open and close chambers
simultaneously. Hold for 15 minutes once the pressure has stabilized. Following this test, stroke the valve
upward to the full Open position. Bleed all lines to zero PSI.</t>
  </si>
  <si>
    <t>ECR - 5.5 HVI integration, MN 101967953, does not have any instruction in any procedure in the CWI structire to terminate the position sensor to the electrical splice and fmj test it. This applies to all HVI integrations. This particular tool should probably have these instructions in ES-T-713.</t>
  </si>
  <si>
    <t>TEST RTA FOR JOB STRUCTURE CREATION</t>
  </si>
  <si>
    <t>MISC E-MAIL REQUEST
120210 HOLLY MARBACK
REF E-MAIL: 101932418 Spec Sheet</t>
  </si>
  <si>
    <t>The RTA is being entered to create another variant of the 4.5 inch HS design. This variant is required to enhance our product offering with an aim to keep cost low. Certain design features of the current HS valve are not required by the some client. By eliminating these feature the cost of the valve can be reduced, thereby increasing the locations margin.  Attached please find requirements document.
Essentially the new variant will eleminate the position sensor and all related components thus shorting the valve in length in turn reducing cost.
Please contact PLM for additional information</t>
  </si>
  <si>
    <t>3.688in Coil Tubing Shifter
Project Name : 3.688in Coil Tubing Shifter
D800233
No current order.  This is a desired product from product line management.  For questions contact Savio Saldanha.</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</si>
  <si>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
10/20/09 - Set-up and distributed to Paul James - G. Chatelain</t>
  </si>
  <si>
    <t>Require the following reference part - 722HF1965385-BP1,  SAP Ref 597050
To be changed to the following:
25% CR 80K Yield
Packer Elements to be HNBR material
Please reference attached RTA Input Sheet and Quotation sheet from Sean Middleton
09/04/09 - Set-up and distributed to Paul James - G. Chatelain
10/2/09- REVIEWED FOR QUALITY REQUIREMENTS 
the following RTAs will be processed as standard commodities. 
HF1 Packer ???? 526762 
6 5/8??h Splice Sub ???? 527521
Splice Sub ???? 527525
RTA CODE UPDATED  D HENSON
02/05/2010 - BP Packer SoR No. 4005251053 added - G. Chatelain</t>
  </si>
  <si>
    <t>Marty Ballesteros</t>
  </si>
  <si>
    <t>Same As: 312244-02-SA1; TECHHOLD   SHROUD, TAPER LOCK, 3.5 IV-ICV, DUAL FLA
Except: 3,5 Anchor Shroud with Crimp Clamp to place just below the HVC, ref 590303, with a sub. Flatpack size is 36x12mm hydraulic lines no bumper, 11x11mm Iwire and 12x12mm Fibre line. This Anchor Shroud should be in 25 Cr and threads should be 3,5 9,2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</si>
  <si>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Same As: 312244-02-SA1; TECHHOLD   SHROUD, TAPER LOCK, 3.5 IV-ICV, DUAL FLA
Except: 5,5 Anchor Shroud with Crimp Clamp to place just below the HVC with a sub. Flatpack size is 36x12mm hydraulic lines no bumper, 11x11mm Iwire and 12x12mm Fibre line. This Anchor Shroud should be in 25 Cr and threads should be 5,5 20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</si>
  <si>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ENI</t>
  </si>
  <si>
    <t>Same As: 215HDA45A002; INTEGD ASSY 13CR, 4.5 HVC W/ DIGI HYD, W
Except: 4.5 HS ICV with direct accupulse
6 line Bypass
4.5, 13.5 pound Tenaris Blue Box X Pin 13cr L80.
Allow for 2 thread re cuts on both box and pin end. 
7500 pressure rating.
311 F temperature rating.
The Digi Manifolds required would be 2x A manifold, 1 x B manifold and 2 x C manifold.
Project Name: Kitan
Special Quality Plan Required?: No
Material: (7) 13 CR 80 MY 22HRC (ES-MA-58-7)
Mating Infomation:
Nov. 30/2009 Set-up &amp; distributed to Paul James (G.Macias)
QUANTITY CHANGED TO 4 AND DIGI ACCUPULSE ABOVE IN EXCEPT PARAGRAPH CHANGED TO DIRECT ACCUPULSE PER P. KEMSHALL 12/01/09 J. CALLAWAY</t>
  </si>
  <si>
    <t>4007223</t>
  </si>
  <si>
    <t>Same As: 215HA0450035; VLV,HVC,INTEGD,4.5 ACCUPULSE,SHROUDED,13
Except: 4.5in 13.5ppf shrouded Accupulse HS ICV needed .  Bypass required for minimum 2 x 11mm x 11mm encapd lines.  Change threads to 13.5ppf BxP TSHBlue, with enough for 2 thread recuts.  No position sensor required. MUST COME WITH SHROUD AND 3.688in RN NIPPLE.
Project Name: Kitan
Special Quality Plan Required?: No
Material: (7) 13 CR 80 MY 22HRC (ES-MA-58-7)
Mating Infomation:
Nov. 30/2009 Set-up &amp; distributed to Paul James (G.Macias)</t>
  </si>
  <si>
    <t>Same As: 722HF1702942; SIZE 7029 TYPE HF1 TUBING SET RET. PKR W
Except:  Please note correct reference material number is 722HF1702902   which is not extended in SAP.  
Material Ref. 722HF1702902
Changes requested:
5 feedthru instead of 4, If it is difficult to achieve we can use line in line devices
Material:  flow wetted part made of Inc  718, balance of packer 13 Cr
Packer element HNBR V0 qualified
Threads: 2.875 6.4 ppf Tenaris blue B x P
Old style requirement document attached
Project Name: Alli 2
Special Quality Plan Required?: No
Material: (14) Inconel 718 125 MY 40 HRC (ES-MA-46-2)
Mating Infomation: No special instruction on mating with other parts.
09/29/09 setup and dist to Paul James  (Holly Carroll)</t>
  </si>
  <si>
    <t>ECR - Suggest adding clarification to the steps in Procedure ES-T-714 for recording the stroking pressure and required opening pressure for the valve. Stroking pressure requirement should specify the maximum allowable stroking pressure and include a check that the pressure is not increasing over the course of testing. Requirement for opening pressure should specify the pump settings for opening as well as where on the chart the measurement should be taken.
Feb 3/2010 Set-up &amp; Distributed to Paul James (GMacias)</t>
  </si>
  <si>
    <t>4 1/2 inch LV Shifting Tool</t>
  </si>
  <si>
    <t>Husky, Marathon</t>
  </si>
  <si>
    <t>Improvement to 4-1/2 in HVC seal stack.  12.5K rating per Husky &amp; Marathon requirements
Feb 19/2010 Set-up &amp; Distributed to Paul James (GMacias)</t>
  </si>
  <si>
    <t>SPARE PARTS LIST FOR THE NEW INSTALLED UNIT C04HSC222001 TO BE DOCUMENTED TO ENABLE A QUOTE TO BE GIVEN TO THE CUSTOMER.												 The original spare parts list doc - 316140-00-01 has parts that can still be used.												 The new spares kit will be for items not included on the previous document.												 Ted Soules and Robert Smith are aware so they can process this spares kit for BP Azerbaijan for the Azeri east paltform.  Please reference the attached RTA Input Sheet  Jan 21/2010 Set-up &amp; Distributed to Robert Smith (GMacias)</t>
  </si>
  <si>
    <t>Redesign SAM mandrel pocket to accept AEM2 board
March 10/2010 Set-Up &amp; Distributed to Paul James (GMacias)</t>
  </si>
  <si>
    <t>Please correct the structure for MN 598358(C04WCM132207)</t>
  </si>
  <si>
    <t>WellDynaomics</t>
  </si>
  <si>
    <t>Smartplex clamp design Working with Canon to design a cross-coupling style of clamp to hold the smartplex control manifold. need 2-7/8 design for test well in May, 2010 see attached for further information.
March 10/2010 Set-Up &amp; Distributed to Paul James (GMacias)</t>
  </si>
  <si>
    <t>DIRECTIONAL CONTROL VALVE ALTERNATIVE
S700938_01</t>
  </si>
  <si>
    <t>Consum Kit for packer P/N 588679. Only one key was within the BOM, I allocated the other three, (P/N 595085).
March 23/2010 Set-Up &amp; Distributed to Paul James (GMacias)</t>
  </si>
  <si>
    <t>Same As: 290HM0375000; RELEASE TOOL FOR HVICV SIZE 4500 FLOW AC
Except: During the preperation of the Glider project we found that the release tool for the 4 1_2 inch HVC_ICV was to large to get through the nipple above the valve and the one in the SSSV. 
The installation of the Glider well will happen at the beginning of April and although it is not anticipated that the design would be completed by the installation date we would need this if any intervention was carried out on the well.
Since most of the installations in the GoM have nipples in the SSSV smaller than the 3.660 inch OD of the shifting tool, drawing number 312104_00_01, we need to look into the possibilty of redesigning the shifting tool so that the OD is as small as possible and preferably less than 3.410 inches.
This shifting tool would be used worldwide by WellDynamics as a rental_service tool so the smaller the tool the more applications that we can use it in.
The material requirements as a minimum will remain the same as for the previous tool design.
This RTA needs to be handled by Product Line and Engineering to generate a tool design.
I believe that the RTA code of 6 should be used for this product.
Project Name: Internal
Special Quality Plan Required?: No
Material: 
Technical Support Deliverables:
Preliminary Design Specifications
Feb 15/2010 Set-up &amp; Distributed to Paul James (GMacias)</t>
  </si>
  <si>
    <t>PSA Kit BOM correction
PN 595377 314418-03 variants
add qty 10 588885 screws
remove qty 10 589291 screws
undercuts are used on the entire assy, but not PSA kit.
March 23/2010 Set-Up &amp; Distributed to Paul James (GMacias)</t>
  </si>
  <si>
    <t>Dissolve PSA kit from SAM/HS Integration 590039
We would like to  remove the PSA kit and add 3 parts to integration: PSA (592343), magnets (594932) and giblets (everything else,PSA kit less sensor &amp; magnets)  PSA kit 595377
I think it may be easier to remove both critical components and add to integration then all giblet BOMs would us standard parts and docs could be removed. Also it may be easier to make new PN and leave existing for ship loose to the field.
This can be the new standard for PSA BOMs.
Set up and distributed to P. James (JCallaway) 04052010</t>
  </si>
  <si>
    <t>Please create a part for a Cameron controls interface card test kit.  This should include, but is not limited to: 1)24V power source -60 &amp; 50 Hz world wide capable with 25Watt output minimum.  
2)  All Connectors &amp; adaptors + spares required to power and read interface card 9670-6015 &amp; 9670-6016-6, as well as wire connectors to aquire gauge signals.
3)Suitable 10 Ohm resistors for measuring current waveforms.
4) off Decade resistor box--which may negate the need for item 3.
5) user manual, including modscan32 and usb-serial support for field laptop use.
The goals of this RTA is to (1) create a kit for which field offices can order so they may train personnel to run gauges or simulators through the customer specific i/f card prior to arriving on location to troubleshoot same.  (2)more accurately mimic the DHPT system in deeper/multi drop applications near spec limits.
2009-10-02, Mathew Scogin:  The RTA request was reviewed by Matt and Aswin.  The scope of the interface card adaptor has been expanded to include all current subsea interface cards in a single solution.  10 Ohm resistors will be built into the PCB assembly to measure gauge current.  A decade resistance box, user manual for ModScan32 abd a USB to serial converter will not be included in the scope of this development.  ModScan32 configuration is covered on the test documentation and converters change frequently and differ by location where they are procured.
The priority of this has been reviewed with product line taking into account other projects.  The delivery date adjusted on 12/15 due to limited resources.</t>
  </si>
  <si>
    <t>New Generation Smartlog Splitter -
The overall assembly number including individual part numbers need to be entered into SAP and drawings need to be added to our system.  We need to get this part on order as soon as possible.
10/1/09 set up and dist to Matt scogin (Holly Carroll)
2010-04-05:  The RTA was changed from a customization to a development RTA.  The Nilsen Consulting aquisition provided the drawings for the piece components and an assembly drawing.  The following will need to be completed under this RTA:
1.  Order qty 3 complete assemblies for qualification.
2.  Design and order any qualification fixtures.
3.  Create cable splitter assembly procedure.
4.  Create qualification procedure with input from Product Line.
5.  Complete qualification.
6.  Complete qualification reports.
7.  Push upper level assemblies into production release.</t>
  </si>
  <si>
    <t>AEM Board Re-Design and Testing
S701084-01</t>
  </si>
  <si>
    <t>Aswin Balasubramanian</t>
  </si>
  <si>
    <t>Develop 2 well control system for SmartPlex</t>
  </si>
  <si>
    <t>Pemex Cantarell North</t>
  </si>
  <si>
    <t>Cantarell North has a gas lift project, they need to open/close the gas injection in a single point in the productio string, we are proposing a shrouded on/off HS-ICV. Requirement: HS-ICV 2-7/8_inch 13Cr, 7.5K, SHROUDED, 1/2_inch check valve, to be fit in 7-5/8_inch casing. 
Which would be the critical flow rate in order to avoid any damage to the valve?
Forwarded to PLM for review 6/21/10 DLM
JUNE 22/2010 SET-UP &amp; DISTRIBUTED TO PAUL JAMES (GMACIAS)
Check valve and flow issues still outstanding (see E-mail attached)- begin layout.  design will go on hold when layout is complete. - Paul James 07/07/2010</t>
  </si>
  <si>
    <t>Create Advanced Products -Parker manufacturers part number for the following part numbers:  2915-1001 and 2915-1003.  Find mnaufacturers part number for 2915-1015.  Upload all these manufacturers numbers to SAP so that procurement will know what to buy.
Set up and distributed to M. Scogin (JCallaway) 04192010
2010-05-28, Matthew Scogin:  The scope of this RTA will be to generate manufacturers specs for each of the three parts above.  The parts will then be upreved to attached the specs.  This has been made an RTA class B due to the third party input required.  RTA code was changed to a 1 because procurement is currently trying to order these to fulfill demand.
2010-06-08, Matthew Scogin:  2 of the 3 seal part numbers are no longer available from Advanced Products since it became Parker.  Parker does not have the ability to cross numbers or provide documentation.  Therefore, new seals have to be found and the drawings updated to support them.  Since the seals are being changed, additional qualification will have to be completed with a pressure test.  The RTA has been changed to a development due to this change in scope.
The requested completed design date is now changed to 07-30-2010.
2010-08-09, Matthew Scogin:  2915-1001 and 2915-1003 were both updated under customization RTA 604569.  Since replacement seals were found without requiring a design change, qualification does not have to be completed for these two part numbers.</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</si>
  <si>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
JUNE 23/2010 SET-UP &amp; DISTRIBUTED TO PAUL JAMES. E-MAIL SENT TO SUBMITTER TO PROVIDE REQUESTED DESIGN COMPLETE DATE. (GMACIAS)
CANCELLING RTA AND DELETING QUALITY PART. SEE ATTACHED EMAIL.  89/27/10 DM</t>
  </si>
  <si>
    <t>Debra Hickman</t>
  </si>
  <si>
    <t>Same as SAP Number 101911756. Require SAP number pre released for entering into Shell System for P.O release. Require a Coupling, Material to be 13 CR 80 Yield. Box x Box connection to be 7.625 inch 39 pound VAM TOP. Equipment to be used in Gas Injector well. Equipment to be purchased from V and M Tubealloy reference drawing GARYGQD1061310 REV 0. Equipment to meet Shell Class B-1 Specs
JUNE 23/2010 SET-UP &amp; DISTRIBUTED TO PAUL JAMES. E-MAIL SENT TO SUBMITTER TO PROVIDE REQUESTED DESIGN COMPLETE DATE. (GMACIAS)
CANCELLING RTA, DELETING QUALITY PART. SEE ATTACHED EMAIL. 8/27/10 DM</t>
  </si>
  <si>
    <t>Create new materials and BOMs as per included spreadsheet. See Terje Nilsen if there are any questions.
File opened by J. Callaway &amp; distributed to M. Scogin 08/20/2009</t>
  </si>
  <si>
    <t>Thomas Cassidy</t>
  </si>
  <si>
    <t>ROC DUAL, TRIPLE, AND QUAD GAUGE BLOCK:  This RTA is to create new gauge blocks for the now 1.125 in OD gauges and the updated 0.75 in od gauges with the wide mount sub.  The new blocks shall be designed with the gauge ports 1.2in on center.  The material shall be 718.  The height on the gauge block shall be 0.75 in.  This will basically be the ROC-S block widened.  A new part number shall be generated for all three variants.</t>
  </si>
  <si>
    <t>Create and implement AMS templates for WD3 - Permanent Monitoring lab office</t>
  </si>
  <si>
    <t>Kenny Daves</t>
  </si>
  <si>
    <t>Integrate and test surface flow-meter.  If we can qualify a surface flow-meter, we can use it to help automate the calibration process for surface positioning, and use for confirmation of down-hole tool position.
Estimated duration:  3 months
Estimated budget:  200 hours, and 5,000 for materials
Resources:  Harjeet Singh, Reggie Tye, Tim Sonnier, Larry Crocker, Jim Kelley
Network HTWD601248/Project 601248/ZEWO 103188766</t>
  </si>
  <si>
    <t>APA Group</t>
  </si>
  <si>
    <t>APPROVAL DUE DATE:  2010-09-30
Same As: 9555-6175; 37797 XPIO-QT  AC UNIT (INCL. LCD, MEZZ)
Except: Needs to be able to be house in Zone 1 rated environment . 
lead time target need to be around the 15 to 17 weeks Ex works 
Project Name: Mondarra
Special Quality Plan Required?: No
Material: 
Technical Support Deliverables:
Preliminary Design Specifications
March 15/2010 Robert Smith to determine status of RTa (GMacias)
March 16/2010 This RTa should go to DI Lab Office, but assigned to Matt to review per Robert Smith (GMacias)
2010-08-30, Matthew Scogin:  This RTA shall involve packing the four channel XPIO into an EXD enclosure.  THe enclosure shall have cutouts for the glands with plugs.  The two common gland sizes shall be included.</t>
  </si>
  <si>
    <t>HS-ICV,7.5K AND 10K, CHOKING AND ON/OFF VERSIONS
D700925_02</t>
  </si>
  <si>
    <t>CHECKING DUE DATE:  2010-10-07
APPROVAL DUE DATE:  2010-10-13
3.5in 9.2ppf 13Cr/85K Vam Top Box x Pin, 10K ROC-150 Gauge Mandrel.  Dual Metal Seal, 9 5/8in 47lb Casing.
Customer:  Foxtrot International
Project:   Foxtrot FA-5
No Special Quality Plan
29-SEP-2010 DRAWING COMPLETED
- SENT TO MARK FOR CHECKING
30-SEP-2010 RECIEVED CORRECTION FROM MARK
- RESENDING BACK TO MARK FOR FINIAL CHECK / APPROVAL.</t>
  </si>
  <si>
    <t>Paul Haines</t>
  </si>
  <si>
    <t>MISC E-MAIL REQUEST 
101210 CHRIS VANCAMP
REF: REQUEST TO ADD ENG DWG TO M/N 597367</t>
  </si>
  <si>
    <t>REF LEGACY RTA D800151 - 15K PACKER FOR BP TUBULAR BELLS/RAVEN
Changed Technology Revised Due Date to 10/29/2010. G. Bhat 08092010.
UPDATED TITLE OF RTA G. BHAT 09/03/2010</t>
  </si>
  <si>
    <t>ECR - Suggest adding steps to procedure 307862-00-01:
Section 10, Step 1.1: Verify that all shipping plugs are in place and that three (3) AFO Ports are plugged with a brass plug and covered with Kapton tape. 
Section 12, Step 3.1: Prior to welding, remove Kapton tape and brass plugs from the AFO Ports. 
Section 12, Step 7.1: Verify that the AFO Ports are clean and free of debris. Then reinstall the brass plugs and cover ports with Kapton Tape. 
Section 12, Step 7.2: Drift tool OD with a 5.965 in. ID drift. Grind down any excess weld needed to allow the drift to fit.
09/24/09 - Set-up and distributed to Damon Trahan - G. Chatelain</t>
  </si>
  <si>
    <t>Robert Gissler</t>
  </si>
  <si>
    <t>CANCEL RTA/DUPLICATE: PLEASE SEE RTA 632445 PER K. PHAM (J. CALLAWAY 11-3-2010)
ECR - We have a discrepancy in CWI in relation to the Chemical Injection Check Valve installation procedure which has resulted in us having to remove four check valves from Shell chemical injection mandrels at OES in Houma as they were torque??d to the incorrect value. We have three copies of the Check Valve installation procedure:
??         7000-5052 RevD is the current version in CWI
??         7000-5052 Rev E is the current version on the network
??         7000-5052 Rev F was completed by Wolfy a year ago, forwarded to you and then on to Gaynell as per the email trail below, this is the latest version and matches the PTI procedure and has been used by the GoM region but was never loaded into CWI</t>
  </si>
  <si>
    <t>Create Single Well Applications Manual for digital infrastructure.  
Budget- 20K
Time-   4 wks
Resource-  H Singn</t>
  </si>
  <si>
    <t>Electro/Hydraulic Disconnect
Updated Technology Revised Due Date to 08312010. G. Bhat 08172010.
Updated Technology Revised Due Date to 11152010. G. Bhat 09092010.</t>
  </si>
  <si>
    <t>CONCENTRIC ELECTRIC DISCONNECT
D700890_02
Updated Technology Revised Due Date to 08312010. G. Bhat 08172010.
Updated Technology Revised Due Date to 11152010. G. Bhat 09092010.</t>
  </si>
  <si>
    <t>3 1/2 HS VALVE 15K WITH SHROUD FOR BP TUBULAR BELLS/RAVEN</t>
  </si>
  <si>
    <t>5.50 Inch HS Valve, Choking/Open-Close, 7.5K &amp; 10K PSI Versions
UPDATED TECHNOLOGY REVISED DUE DATE TO 12/15/2010 G. BHAT 09102010</t>
  </si>
  <si>
    <t>Same As: 296SF0613501; ASSY, 13 CR, 6.100 SEAL STACK W/MULTI LI
Except: Change seal OD to seal in 6.000in seal bore
Change top thread to 4.5in 13.5ppf TSH Blue Box with room for at least 2 thread recuts
Change bottom thread to 3.5in 9.2ppf TSH Blue Pin with room for at leat 2 thread recuts
Add NOGO locator to top to no go out in 9.625 47 to 53.5ppf x 6.000 bore VBA packer quoted by Willie Ching see attached sales sheet
Change Temp rating to 325degF
Change seal material to HNBR
Must have capability to pass up to 6 hydraulic lines through stinger
Project Name: Kitan
Special Quality Plan Required?: No
Material: (7) 13 CR 80 MY 22HRC (ES-MA-58-7)
Mating Infomation:
Nov. 30/2009 Set-up &amp; distributed to Paul James (G.Macias)
Responses to questions received and design complete date changed from 12/30/09 to 01/19/2010 --- Paul James 12/15/2009
This piece of equipment was dropped from the customers order.  Drafting and checking are complete, so we will complete this RTA, but without a hard due date.  see attached correspondance - pjames 02/01/2010</t>
  </si>
  <si>
    <t>4.5 IN 15. PPF 9 CR - 13 CR LV
Changed Technology Revised Due date to 08/31/2010. G. Bhat 08092010.
Changed Technology Revised Due date to 12/31/2010. G. Bhat 09072010.</t>
  </si>
  <si>
    <t>Hai Bi</t>
  </si>
  <si>
    <t>4-1/2 inch, 15.1 lb/ft, 13Cr-80 LV-ICV full bore
Changed Technology Revised Due date to 08/31/2010. G. Bhat 08092010.
Changed Technology Revised Due date to 12/31/2010. G. Bhat 09072010.</t>
  </si>
  <si>
    <t>Legacy ER ref C701137_01A 9-5/8in 53 lbs HF1 Packer - Statoil Asgard
(Requested by Gireesh Bhat)
Changed Technology Revised Due date to 12/31/2010. G. Bhat 08092010</t>
  </si>
  <si>
    <t>The Water-based Digi Decoder is a new Hydraulically actuated subsystem to be used as a control platform for mid to high pressure service WellDynamics interval control vales. The decoder will be used in various down-hole completions where ICV choking, injection and / or production from a select reservoir are required. 
Project Name : Water Based Digital Hydraulic System ( Water Based Digi)
D800249B
Updated Technology Revised Due Date to 12/31/2010. G. Bhat 08232010.</t>
  </si>
  <si>
    <t>Require the following reference part - 9290-6277	 To be changed to the following:			        The gauge mandrel to be modified from the existing design to theROC 150 Series style of gauge.Still require the functionality of Tubing/Annulus and snorkel line with FMJ By pass required on Both side of the mandrel for 3 line flatpack
QA / Special Processing Requirements
Standard WD Quality Plan.			       Lead time an important factor in Clients decision to order There is a possibility that this may be required to fit in 9 5/8 inch casing.				       Flow trim may change from previous RWE design but being reviewed during the RTA process			     Please reference the attached RTA Input Sheet and other attached documents.
NEED DESIGN BY 9/14/10 FOR CUSTOMER PROPOSAL. EXPECT MARCH 2011 IN STOCK DATE IF ORDER IS RECEIVED. NO SPECIAL QUALITY REQUIREMENTS.  8/17/10 DM
GLOBAL BD (A MCLAUCHLAN)TO WORK ON THE DRAWINGS AND ENG TO BEGIN THE DESIGN.  8/19/10 DM
11/15/2010: CHECKING DUE DATE.
11/19/2010: APPROVAL DUE DATE.
11/10/2010: Mandrel complete. Forward to Rameen for checking
11/17/2010: Back to Mark for small modifications
11/18/2010: Complete. Forward to Rameen for re-checking.
2010-11-23, Matthew Scogin:  Due dates adjusted in response to Shell Perdido impact.  Approval due date:  2010-11-30</t>
  </si>
  <si>
    <t>Rameen Bakhtiary</t>
  </si>
  <si>
    <t>4 1/2 HS VALVE 15K WITH DEFLECTOR FOR BP TUBULAR BELLS/RAVEN</t>
  </si>
  <si>
    <t>LONG TERM PERMANENT MONITORING GAUGE TESTING OBSERVATION (QALT)
Project Name : QALT
D800555
2010-05-18, Matthew Scogin:  This RTA covers the long term product testing for lab office WD3 after the specific development project has been completed.  It will be closed out at the end of the year and a new RTA created for 2011. The RTA will remain in WIP until the end of January to allow all charges to accrue.</t>
  </si>
  <si>
    <t>Same as 101838880. Change to SB2 variant</t>
  </si>
  <si>
    <t>Same as 101905148. Change to SB2  variant</t>
  </si>
  <si>
    <t>Same as 101837798. Change to SB2 variant</t>
  </si>
  <si>
    <t>Same as 101905529. change to SB2 variant</t>
  </si>
  <si>
    <t>Same as 101905311. Change to SB2 variant</t>
  </si>
  <si>
    <t>4.50in HS Valve Proj
Project Name : 4.50in HS Valve Project
D800456
CHANGED TECH REVISED DUE DATE TO 02/28/2011 - GKB 01/07/2011</t>
  </si>
  <si>
    <t>ECR - MN 101787837, chemical injection insert, has no instruction for assembly or testing. There is only a drawing, 310611-04-01. The drawing has no instruction on how to identify the part. Should this part get etched? If so, where at? Does the part just get packaged and the package identified?</t>
  </si>
  <si>
    <t>Nicholas Cooper</t>
  </si>
  <si>
    <t>2011-01-07: TECHNOLOGY DUE DATE WAS ADJUSTED TO 2011-03-11 AS OTHER PROJECTS TOOK PRIORITY.</t>
  </si>
  <si>
    <t>2-7/8 Inch HS Valve, Choking/Open-Close, 7.5K &amp; 10K PSI Versions.
Updated Technology Revised Due Date to 10292010. G. Bhat 08172010.
Updated Technology Revised Due Date to 03162011. G. Bhat 01072011.</t>
  </si>
  <si>
    <t>Drawing (313733-04-01) has a .pdf issue on the file in CWI.  The drawing number and a few other title block things fell off when the pdf was created.  Can you revise this to get a new pdf in the system.  DT (14Feb11)
RTA WILL BE CANCELLED BECAUSE REQUEST HAS BEEN COMPLETED ON RTA 657106 (OEWUMI 15FEB11).</t>
  </si>
  <si>
    <t>Same As: 251HD0359321; 3593 HYDR DISC SUB,SNAP LTH W/ GID,6 LIN
Except: Same as reference except that Min ID is larger than 3.75inch for both parts upper and lower of the disconnect tool.
The system will be installed inside 9 5/8Inch 47ppf casing. 
Project Name: SFNY 960 Platform
Special Quality Plan Required?: No
Material: (1) Low Alloy Steel 80 MY 22HRC (ES-MA-18-9)
Mating Infomation:
Work With item with Part Number 251HD1359302
MAY 17/2010 RTA SUBMITTER CONTACTED FOR ADDITIONAL REQUIRED DOCUMENTATION. RTA TYPE IS DEVELOPMENT. (GMACIAS)
MAY 19/2010 SET-UP &amp; DISTRIBUTED TO DAVID TEALE (GMACIAS)
Activity from RTA 601267 being tracked on this RTA per PLM  9/23/10 DM
Technology Revised Due date updated to 04/11/2011 G. Bhat 10/04/2010.
Updated Requirements Document and attached client approval. End connection WAS:4.5 12.6 VAMTOP IS:4.5 15.1  VAMTOP. Min ID WAS:3.85 IS:3.788  G. Bhat 01/27/2011</t>
  </si>
  <si>
    <t>Change from 53,5 pound to 47 pound packer
use SB2
Customer:  Statoil
Project:   Snorre A
Quality:   SB2
ASSIGNED TO W. CAJILES FOR FURTHER DEVELOPMENT ON 03/25/11_A. BERRET</t>
  </si>
  <si>
    <t>11/12/2010: Issued to Mark Guy for design
11/18/2010: Design complete. Forward to Rameen for checking.
2010-11-23, Matthew Scogin:  The flo sert needed for this RTA has to be developed by Lee.  Kenny Pham is chasing this down.  The Due Date has been updated to 2011-01-07 to reflect this.
CHECKING DUE DATE: 12-15-2010
APPROVAL DUE DATE: 12-22-2010</t>
  </si>
  <si>
    <t>The assembly requires two (P/N 313566-00 SAP 594282) key stocks.  The BOM Drawing, 313285-02-01 Rev. 2 Item 42, only has a qty of one.  Reference parts; (Upper Body 316310-00-01 Section P-P)and (Lower Body 316309-00-01 Detail C).  There needs to be two keys to secure the two bodies together.</t>
  </si>
  <si>
    <t>ECR-316310-00-01 REV B.
Remove or modify part of note 2 (CUT THREADS AFTER OVERALL PART COATING) this is only nesessary when part is being QPQ.</t>
  </si>
  <si>
    <t>ECR - There is currently no process for packaging/protecting seal mandrels for transport/inventory/kitting. It is not uncommon for seal mandrels (LV/HVC/HS, etc.) to obtain some sort of damage before the assembly process begins, thus causing the need for rework of the part before assembly even begins. Currently most seal mandrels come wrapped in small bubble wrap and plastic fishnet. This is not sufficient, especially on the larger size tools because the parts bang against each other in the kit boxed and other parts could get put on top of them. Suggest a blanket procedure for seal mandrels to be protected or identifying the part drawing for the part to be protected.</t>
  </si>
  <si>
    <t>ConocoPhillips Indonesia</t>
  </si>
  <si>
    <t>FOR CONOCOPHILLIPS INDONESIA SOUTH BELUT. 9-5/8 INCH 47 POUND PACKER, KNOCK OUT PLUG, SHIFT AN DPUMP TO RELEASE, CONTROL LINE SET. 4-1/2 INCH 12.6 POUNF VAM TOP BOX X PIN CONNECTIONS. 13 CHROME, CHEMRAZ ELASTOMERS, PACKER TO BE EXPOSED TO 15% HCL FOR A 24 HR PERIOD THEN HEAVY FLUSHED. REF 722HF1964790, CO1 QUALITY PLAN, V3 RATING
05/02/11 PRE RELEASED PART NO TO CUSTOMER ON TOP LEVEL MN 102034665  REF NO. 722HF1964790-CO1 (GM)</t>
  </si>
  <si>
    <t>1:  ENTERED AS DEVELOPMENT RTA IN ERROR.CHANGED TO CUSTOMIZATION 4/21.  4/22/11 DM Recd in drftg 5/5.  Should be released around 5/24.  5/5/11 DM</t>
  </si>
  <si>
    <t>ECR - Specification sheet 216H000728U3O00 identifies the HSC connection as 2 7/8 6.4 lb Vam Top, but does not identify the yield strength. The top sub of the HS valve, MN 101940790, is 718 inconnel which is 125 ksi material and the bottom sub, MN 101941350, is 25 chrome which is 80 ksi material. Please identify both HSC end connections, upper and lower, seperately on the spec sheet as required.  Also list the correct torque specs for each as they are different. The 80 ksi torque spec is on the spec sheet. 125 ksi torque spec is  - min 1920, opt 2130, max 2340</t>
  </si>
  <si>
    <t>N/A</t>
  </si>
  <si>
    <t>Same As: 9290-6506; 2 7/8 6.5 PPF SMARTLOG EUE-8RD J-55 BOX
Except: Need to bring 2 3/8 SmartLog mandrel over from Domino to CWI.
Part No: 9290 6414
Thanks
Project Name: ASP Well
Special Quality Plan Required?: No
Material: (1) Low Alloy Steel 80 MY 22HRC (ES-MA-18-9)
Technical Support Deliverables:
Reference Assembly Drawing
Reserve SAP Material Number</t>
  </si>
  <si>
    <t>Samuel Tehven</t>
  </si>
  <si>
    <t>Still in submitted state. Need to chg code. 4/18/11 DM</t>
  </si>
  <si>
    <t>Esso Angola</t>
  </si>
  <si>
    <t>Joshua Steinhoff</t>
  </si>
  <si>
    <t>Robert Thornburg</t>
  </si>
  <si>
    <t>James Kelley</t>
  </si>
  <si>
    <t>COPI</t>
  </si>
  <si>
    <t>Qualification of Aqualink 300F for COPI Bawal project.</t>
  </si>
  <si>
    <t>1: Qualification to be done in Carrollton. CWI migration/part number creation RTA 658680.  4/14/11 DM</t>
  </si>
  <si>
    <t>Change from 53,5 pound to 47 pound packer
ASSIGNED TO W. CAJILES FOR FURTHER DEVELOPMENT ON 03/25/11_A. BERRET</t>
  </si>
  <si>
    <t>Field cancelled demand.  Design far enough along it will be completed for future demand.  4/18/11 DM</t>
  </si>
  <si>
    <t>Petrobras Guara</t>
  </si>
  <si>
    <t>Harjeet Singh</t>
  </si>
  <si>
    <t>Cameron, Germany</t>
  </si>
  <si>
    <t>Qualification of McDermid HW720R hydraulic fluid.
Petrobraas Guara completion will be using this fluid for its subsea completion equipment, and therefore using it to operate the downhole valves.  We will need to urgently get this fluid in testing parallel to manufacturing and assembling the equipment.
Fluid can use the same test plan as the Transagua HT2 and Brayco SV3 (330F)</t>
  </si>
  <si>
    <t>Next Generation SAM Module Development Project
Develop a next generation SAM module with increased reliability, reduced cost, and improved performance.  The next generation SAM module should be backward compatible with all existing equipment and communication protocols.  The new module will support existing redundancy schemes and have plug and play compatibility with existing surface equipment.
10/26/09 - Set-up and distributed to David Teale - G. Chatelain</t>
  </si>
  <si>
    <t>Qualification of Transaqua HT2 and Castrol Brayco Micronic SV3 hydraulic fluid for 5.5 circulation valve.  Valve design on RTA 643972.
Qualification to be done in Carrollton.</t>
  </si>
  <si>
    <t>Newfield 350677</t>
  </si>
  <si>
    <t>Same As: 9555-6207; XPIO-QT DC UNIT INCL LCD AND MEZZ
Except: Include explosion proof enclosure Crouse Hinds EJB121206 c/w 4.75 diameter window. Customer also wants RS485 output to his DCS; can this be designed in the enclosure
Project Name: Newfield Malaysia 
Special Quality Plan Required?: No
Material: 
Mating Infomation:
Work With item with Part Number 9555-6207</t>
  </si>
  <si>
    <t>FMC/Shell</t>
  </si>
  <si>
    <t>HES NIGERIA</t>
  </si>
  <si>
    <t>Engineering Feasibility Request
Except: This is for the design of an annular valve as described in the attached documents.  WD will only be responsible for the design of the valve portion and not the packer portion.  It is anticipated that HAL will be responsible for the packer portion.  This scope of this RTA is for estimating the cost of designing the valve and the cost of the valve itself.  It is not required that the valve be designed at this time.
One thing that is not obvious from the attached documents is that the valve must fail closed.  In otherwords, if the hydraulic line is severed, the valve must close. 
Project Name: Annular Valve
Special Quality Plan Required?: No
Material: (14) Inconel 718 125 MY 40 HRC (ES-MA-46-2)
Mating Infomation:
Feb 26/2010 Distributed to Dayne Henson (GMacias)</t>
  </si>
  <si>
    <t>Repsol Argentina</t>
  </si>
  <si>
    <t>Require a 5.5 in circulation valve based on the HS on off design. The valve will be placed above the production packer. This valve will be used to circulate completion fluid out in the annulus above the set production packer and prior to landing the hanger. The valve will remain closed during the life of the well. The valve design will require a Metal to Metal seal with a back-up elastomeric seal. Contingency shift is a requirement too. Attached please do find Statoil eSOR, the requirements document &amp; a test procedure used for qualifying the legacy CC valve for information. The valve needs to be qualified in accordance with Statoils qualification standard as outlinedin the test procedure. Please contact Roar Hinna, Norway  for additional information.
Fluid qualification on RTA 688792
ZEWO:      103517971
Network:   HTWD601681 M001
6-8-2011 1:00PM TO TSG FOR PROCESSING BASE ONLY (PENDING QUALIFICATION) JCC
6-9-2011 BASE RELEASED; FOLDER BACK TO P. ASHTANA JCC</t>
  </si>
  <si>
    <t>Ahmed Jasser</t>
  </si>
  <si>
    <t>Infinitely Variable Flow Trim Design for the HS Valve: Design, prototype and qualification of a 3.5 HS Valve that incorporates an infinitely variable flow trim. Nov. 23/2009 - Set up &amp; distributed to Paul James(GMacias)
Updated Technology Revised Due Date to 05/21/2011. G. Bhat 10/13/2010.
Updated Technology Revised Due Date to 06/22/2011. G. Bhat 10/20/2010.</t>
  </si>
  <si>
    <t>THIS RTA IS TO COVER GENERAL PERMANENT MONTORING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</si>
  <si>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LONG TERM PERMANENT MONITORING GAUGE TESTING OBSERVATION (QALT) 2011.  THIS RTA COVERS THE LONG-TERM PRODUCT TESTING FOR LAB OFFICE WD3 AFTER THE SPECIFIC DEVELOPMENT PROJECT HAS BEEN COMPLETED.  IT WILL BE CLOSED OUT AT THE END OF THE YEAR, AND A NEW RTA CREATED FOR 2012.
NICHOLAS COOPER:
- ORDER UACU 
- ORDER MONITORS
- RUN WIRES AND CONNECTIONS</t>
  </si>
  <si>
    <t>2011-01-06:  THE TECHNOLOGY DUE DATE WAS ADJUSTED TO GIVE TIME TO CLOSE OUT ANY PENDING ACTIONS FROM 2011 IN THE FIRST MONTH OF 2012.</t>
  </si>
  <si>
    <t>THIS RTA IS TO COVER GENERAL DIGITAL INFRASTRUCTURE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</si>
  <si>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THIS RTA IS TO COVER GENERAL SOFTWARE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</si>
  <si>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RTA</t>
  </si>
  <si>
    <t>Design</t>
  </si>
  <si>
    <t>Draft</t>
  </si>
  <si>
    <t>Class</t>
  </si>
  <si>
    <t>Type</t>
  </si>
  <si>
    <t>David Teale</t>
  </si>
  <si>
    <t>Terje Nilsen</t>
  </si>
  <si>
    <t>Valerie C Ngim</t>
  </si>
  <si>
    <t>Anand Venugopal</t>
  </si>
  <si>
    <t>Godfried Peters</t>
  </si>
  <si>
    <t>Rudy Aviles</t>
  </si>
  <si>
    <t>Timothy Ortiz</t>
  </si>
  <si>
    <t>Robert Smith</t>
  </si>
  <si>
    <t>Names By Department</t>
  </si>
  <si>
    <t>Check</t>
  </si>
  <si>
    <t>Approve</t>
  </si>
  <si>
    <t>Complete</t>
  </si>
  <si>
    <t>Tewkesbury Engineering</t>
  </si>
  <si>
    <t>RTA Attributes</t>
  </si>
  <si>
    <t>PM</t>
  </si>
  <si>
    <t>FC</t>
  </si>
  <si>
    <t>DI</t>
  </si>
  <si>
    <t>S</t>
  </si>
  <si>
    <t>PMtype</t>
  </si>
  <si>
    <t>PMcode</t>
  </si>
  <si>
    <t>PMstate</t>
  </si>
  <si>
    <t>PMplt</t>
  </si>
  <si>
    <t>PMlt</t>
  </si>
  <si>
    <t>FCtype</t>
  </si>
  <si>
    <t>FCcode</t>
  </si>
  <si>
    <t>FCstate</t>
  </si>
  <si>
    <t>FCplt</t>
  </si>
  <si>
    <t>FClt</t>
  </si>
  <si>
    <t>DItype</t>
  </si>
  <si>
    <t>DIcode</t>
  </si>
  <si>
    <t>DIstate</t>
  </si>
  <si>
    <t>DIplt</t>
  </si>
  <si>
    <t>DIlt</t>
  </si>
  <si>
    <t>Stype</t>
  </si>
  <si>
    <t>Scode</t>
  </si>
  <si>
    <t>Sstate</t>
  </si>
  <si>
    <t>Splt</t>
  </si>
  <si>
    <t>Slt</t>
  </si>
  <si>
    <t>Lab Office Button Filter Settings</t>
  </si>
  <si>
    <t>Soft</t>
  </si>
  <si>
    <t>ECR - Bolts (item 5, MN 587850) do not fit flush with the OD of the clamp (588343) when fully assembled. This is on Eccentric shrouded x-over (MN 101967324). The threads on the socket head cap screws are not threaded to the shoulder, which prevents it from fully making up to the crossover (101967326). Suggest either replacing the cap screw with one that is fully threaded to the head or countersinking the crossover screw hole to allow the screw to fully make up.</t>
  </si>
  <si>
    <t>Department</t>
  </si>
  <si>
    <t>Customer</t>
  </si>
  <si>
    <t>In Stock Date</t>
  </si>
  <si>
    <t>Current Status</t>
  </si>
  <si>
    <t>Tech Start Date</t>
  </si>
  <si>
    <t>Request Complete Date</t>
  </si>
  <si>
    <t>Code</t>
  </si>
  <si>
    <t>681045</t>
  </si>
  <si>
    <t>636333</t>
  </si>
  <si>
    <t>594481</t>
  </si>
  <si>
    <t>662896</t>
  </si>
  <si>
    <t>654926</t>
  </si>
  <si>
    <t>650616</t>
  </si>
  <si>
    <t>495407</t>
  </si>
  <si>
    <t>649354</t>
  </si>
  <si>
    <t>542906</t>
  </si>
  <si>
    <t>660829</t>
  </si>
  <si>
    <t>653796</t>
  </si>
  <si>
    <t>644941</t>
  </si>
  <si>
    <t>676663</t>
  </si>
  <si>
    <t>662345</t>
  </si>
  <si>
    <t>669803</t>
  </si>
  <si>
    <t>600933</t>
  </si>
  <si>
    <t>495558</t>
  </si>
  <si>
    <t>637691</t>
  </si>
  <si>
    <t>585638</t>
  </si>
  <si>
    <t>633800</t>
  </si>
  <si>
    <t>647777</t>
  </si>
  <si>
    <t>495573</t>
  </si>
  <si>
    <t>654950</t>
  </si>
  <si>
    <t>665435</t>
  </si>
  <si>
    <t>668693</t>
  </si>
  <si>
    <t>595165</t>
  </si>
  <si>
    <t>660723</t>
  </si>
  <si>
    <t>660730</t>
  </si>
  <si>
    <t>511336</t>
  </si>
  <si>
    <t>660727</t>
  </si>
  <si>
    <t>598520</t>
  </si>
  <si>
    <t>648807</t>
  </si>
  <si>
    <t>651596</t>
  </si>
  <si>
    <t>612011</t>
  </si>
  <si>
    <t>566635</t>
  </si>
  <si>
    <t>676382</t>
  </si>
  <si>
    <t>597940</t>
  </si>
  <si>
    <t>643250</t>
  </si>
  <si>
    <t>627102</t>
  </si>
  <si>
    <t>607173</t>
  </si>
  <si>
    <t>643189</t>
  </si>
  <si>
    <t>497983</t>
  </si>
  <si>
    <t>657799</t>
  </si>
  <si>
    <t>650241</t>
  </si>
  <si>
    <t>661885</t>
  </si>
  <si>
    <t>633626</t>
  </si>
  <si>
    <t>681248</t>
  </si>
  <si>
    <t>541467</t>
  </si>
  <si>
    <t>669809</t>
  </si>
  <si>
    <t>669794</t>
  </si>
  <si>
    <t>495576</t>
  </si>
  <si>
    <t>580553</t>
  </si>
  <si>
    <t>587687</t>
  </si>
  <si>
    <t>679865</t>
  </si>
  <si>
    <t>665447</t>
  </si>
  <si>
    <t>678279</t>
  </si>
  <si>
    <t>605749</t>
  </si>
  <si>
    <t>626661</t>
  </si>
  <si>
    <t>655996</t>
  </si>
  <si>
    <t>658049</t>
  </si>
  <si>
    <t>569857</t>
  </si>
  <si>
    <t>569735</t>
  </si>
  <si>
    <t>609838</t>
  </si>
  <si>
    <t>593570</t>
  </si>
  <si>
    <t>646170</t>
  </si>
  <si>
    <t>672493</t>
  </si>
  <si>
    <t>569763</t>
  </si>
  <si>
    <t>685878</t>
  </si>
  <si>
    <t>495808</t>
  </si>
  <si>
    <t>676159</t>
  </si>
  <si>
    <t>544488</t>
  </si>
  <si>
    <t>685735</t>
  </si>
  <si>
    <t>688498</t>
  </si>
  <si>
    <t>645338</t>
  </si>
  <si>
    <t>663864</t>
  </si>
  <si>
    <t>657839</t>
  </si>
  <si>
    <t>659557</t>
  </si>
  <si>
    <t>682585</t>
  </si>
  <si>
    <t>590687</t>
  </si>
  <si>
    <t>678283</t>
  </si>
  <si>
    <t>662807</t>
  </si>
  <si>
    <t>662808</t>
  </si>
  <si>
    <t>613128</t>
  </si>
  <si>
    <t>495574</t>
  </si>
  <si>
    <t>553273</t>
  </si>
  <si>
    <t>532968</t>
  </si>
  <si>
    <t>569761</t>
  </si>
  <si>
    <t>572344</t>
  </si>
  <si>
    <t>611336</t>
  </si>
  <si>
    <t>546646</t>
  </si>
  <si>
    <t>495977</t>
  </si>
  <si>
    <t>677699</t>
  </si>
  <si>
    <t>638562</t>
  </si>
  <si>
    <t>518983</t>
  </si>
  <si>
    <t>642413</t>
  </si>
  <si>
    <t>650420</t>
  </si>
  <si>
    <t>512793</t>
  </si>
  <si>
    <t>629393</t>
  </si>
  <si>
    <t>592810</t>
  </si>
  <si>
    <t>627375</t>
  </si>
  <si>
    <t>650466</t>
  </si>
  <si>
    <t>616658</t>
  </si>
  <si>
    <t>671429</t>
  </si>
  <si>
    <t>545550</t>
  </si>
  <si>
    <t>677544</t>
  </si>
  <si>
    <t>605178</t>
  </si>
  <si>
    <t>680516</t>
  </si>
  <si>
    <t>687794</t>
  </si>
  <si>
    <t>656736</t>
  </si>
  <si>
    <t>590948</t>
  </si>
  <si>
    <t>634566</t>
  </si>
  <si>
    <t>625743</t>
  </si>
  <si>
    <t>646075</t>
  </si>
  <si>
    <t>688505</t>
  </si>
  <si>
    <t>528423</t>
  </si>
  <si>
    <t>672692</t>
  </si>
  <si>
    <t>682002</t>
  </si>
  <si>
    <t>617438</t>
  </si>
  <si>
    <t>655296</t>
  </si>
  <si>
    <t>675315</t>
  </si>
  <si>
    <t>657824</t>
  </si>
  <si>
    <t>619712</t>
  </si>
  <si>
    <t>683619</t>
  </si>
  <si>
    <t>672085</t>
  </si>
  <si>
    <t>653863</t>
  </si>
  <si>
    <t>628180</t>
  </si>
  <si>
    <t>625924</t>
  </si>
  <si>
    <t>538870</t>
  </si>
  <si>
    <t>656741</t>
  </si>
  <si>
    <t>577107</t>
  </si>
  <si>
    <t>629562</t>
  </si>
  <si>
    <t>535181</t>
  </si>
  <si>
    <t>535183</t>
  </si>
  <si>
    <t>604857</t>
  </si>
  <si>
    <t>653938</t>
  </si>
  <si>
    <t>515101</t>
  </si>
  <si>
    <t>634703</t>
  </si>
  <si>
    <t>646072</t>
  </si>
  <si>
    <t>550525</t>
  </si>
  <si>
    <t>647269</t>
  </si>
  <si>
    <t>500243</t>
  </si>
  <si>
    <t>496082</t>
  </si>
  <si>
    <t>645318</t>
  </si>
  <si>
    <t>586577</t>
  </si>
  <si>
    <t>538620</t>
  </si>
  <si>
    <t>538619</t>
  </si>
  <si>
    <t>657080</t>
  </si>
  <si>
    <t>678284</t>
  </si>
  <si>
    <t>627366</t>
  </si>
  <si>
    <t>634821</t>
  </si>
  <si>
    <t>634115</t>
  </si>
  <si>
    <t>580101</t>
  </si>
  <si>
    <t>573175</t>
  </si>
  <si>
    <t>621162</t>
  </si>
  <si>
    <t>611324</t>
  </si>
  <si>
    <t>528367</t>
  </si>
  <si>
    <t>656326</t>
  </si>
  <si>
    <t>690250</t>
  </si>
  <si>
    <t>541464</t>
  </si>
  <si>
    <t>617842</t>
  </si>
  <si>
    <t>502340</t>
  </si>
  <si>
    <t>586036</t>
  </si>
  <si>
    <t>540513</t>
  </si>
  <si>
    <t>573049</t>
  </si>
  <si>
    <t>654717</t>
  </si>
  <si>
    <t>644011</t>
  </si>
  <si>
    <t>652150</t>
  </si>
  <si>
    <t>651901</t>
  </si>
  <si>
    <t>688750</t>
  </si>
  <si>
    <t>619918</t>
  </si>
  <si>
    <t>691858</t>
  </si>
  <si>
    <t>622748</t>
  </si>
  <si>
    <t>573047</t>
  </si>
  <si>
    <t>555852</t>
  </si>
  <si>
    <t>591661</t>
  </si>
  <si>
    <t>591536</t>
  </si>
  <si>
    <t>538998</t>
  </si>
  <si>
    <t>627101</t>
  </si>
  <si>
    <t>496098</t>
  </si>
  <si>
    <t>564952</t>
  </si>
  <si>
    <t>669799</t>
  </si>
  <si>
    <t>603856</t>
  </si>
  <si>
    <t>627933</t>
  </si>
  <si>
    <t>566456</t>
  </si>
  <si>
    <t>603996</t>
  </si>
  <si>
    <t>618230</t>
  </si>
  <si>
    <t>662806</t>
  </si>
  <si>
    <t>665890</t>
  </si>
  <si>
    <t>616245</t>
  </si>
  <si>
    <t>545549</t>
  </si>
  <si>
    <t>687396</t>
  </si>
  <si>
    <t>599842</t>
  </si>
  <si>
    <t>569760</t>
  </si>
  <si>
    <t>585386</t>
  </si>
  <si>
    <t>578607</t>
  </si>
  <si>
    <t>578608</t>
  </si>
  <si>
    <t>565660</t>
  </si>
  <si>
    <t>678322</t>
  </si>
  <si>
    <t>528362</t>
  </si>
  <si>
    <t>578664</t>
  </si>
  <si>
    <t>542504</t>
  </si>
  <si>
    <t>681774</t>
  </si>
  <si>
    <t>662297</t>
  </si>
  <si>
    <t>634613</t>
  </si>
  <si>
    <t>681988</t>
  </si>
  <si>
    <t>592643</t>
  </si>
  <si>
    <t>584191</t>
  </si>
  <si>
    <t>682537</t>
  </si>
  <si>
    <t>568795</t>
  </si>
  <si>
    <t>548804</t>
  </si>
  <si>
    <t>586693</t>
  </si>
  <si>
    <t>572923</t>
  </si>
  <si>
    <t>542026</t>
  </si>
  <si>
    <t>599266</t>
  </si>
  <si>
    <t>640799</t>
  </si>
  <si>
    <t>688023</t>
  </si>
  <si>
    <t>569851</t>
  </si>
  <si>
    <t>685884</t>
  </si>
  <si>
    <t>675491</t>
  </si>
  <si>
    <t>528424</t>
  </si>
  <si>
    <t>613396</t>
  </si>
  <si>
    <t>495563</t>
  </si>
  <si>
    <t>596328</t>
  </si>
  <si>
    <t>660662</t>
  </si>
  <si>
    <t>607093</t>
  </si>
  <si>
    <t>522695</t>
  </si>
  <si>
    <t>620566</t>
  </si>
  <si>
    <t>627873</t>
  </si>
  <si>
    <t>678280</t>
  </si>
  <si>
    <t>628802</t>
  </si>
  <si>
    <t>627872</t>
  </si>
  <si>
    <t>537967</t>
  </si>
  <si>
    <t>612010</t>
  </si>
  <si>
    <t>668149</t>
  </si>
  <si>
    <t>583773</t>
  </si>
  <si>
    <t>537117</t>
  </si>
  <si>
    <t>571031</t>
  </si>
  <si>
    <t>592260</t>
  </si>
  <si>
    <t>647081</t>
  </si>
  <si>
    <t>528364</t>
  </si>
  <si>
    <t>585864</t>
  </si>
  <si>
    <t>611331</t>
  </si>
  <si>
    <t>549427</t>
  </si>
  <si>
    <t>686767</t>
  </si>
  <si>
    <t>604910</t>
  </si>
  <si>
    <t>513256</t>
  </si>
  <si>
    <t>550748</t>
  </si>
  <si>
    <t>561862</t>
  </si>
  <si>
    <t>580554</t>
  </si>
  <si>
    <t>514265</t>
  </si>
  <si>
    <t>621432</t>
  </si>
  <si>
    <t>588792</t>
  </si>
  <si>
    <t>505692</t>
  </si>
  <si>
    <t>541465</t>
  </si>
  <si>
    <t>555726</t>
  </si>
  <si>
    <t>641500</t>
  </si>
  <si>
    <t>558621</t>
  </si>
  <si>
    <t>616186</t>
  </si>
  <si>
    <t>592649</t>
  </si>
  <si>
    <t>528426</t>
  </si>
  <si>
    <t>666736</t>
  </si>
  <si>
    <t>661140</t>
  </si>
  <si>
    <t>569780</t>
  </si>
  <si>
    <t>646416</t>
  </si>
  <si>
    <t>534653</t>
  </si>
  <si>
    <t>678630</t>
  </si>
  <si>
    <t>495615</t>
  </si>
  <si>
    <t>526786</t>
  </si>
  <si>
    <t>529471</t>
  </si>
  <si>
    <t>617920</t>
  </si>
  <si>
    <t>495409</t>
  </si>
  <si>
    <t>499734</t>
  </si>
  <si>
    <t>654889</t>
  </si>
  <si>
    <t>534119</t>
  </si>
  <si>
    <t>590698</t>
  </si>
  <si>
    <t>498174</t>
  </si>
  <si>
    <t>495567</t>
  </si>
  <si>
    <t>496100</t>
  </si>
  <si>
    <t>569926</t>
  </si>
  <si>
    <t>687781</t>
  </si>
  <si>
    <t>569925</t>
  </si>
  <si>
    <t>495584</t>
  </si>
  <si>
    <t>495585</t>
  </si>
  <si>
    <t>495583</t>
  </si>
  <si>
    <t>495588</t>
  </si>
  <si>
    <t>495606</t>
  </si>
  <si>
    <t>560149</t>
  </si>
  <si>
    <t>687801</t>
  </si>
  <si>
    <t>504589</t>
  </si>
  <si>
    <t>609692</t>
  </si>
  <si>
    <t>666134</t>
  </si>
  <si>
    <t>573184</t>
  </si>
  <si>
    <t>662780</t>
  </si>
  <si>
    <t>569776</t>
  </si>
  <si>
    <t>681051</t>
  </si>
  <si>
    <t>584484</t>
  </si>
  <si>
    <t>689859</t>
  </si>
  <si>
    <t>678277</t>
  </si>
  <si>
    <t>526784</t>
  </si>
  <si>
    <t>495571</t>
  </si>
  <si>
    <t>538373</t>
  </si>
  <si>
    <t>495456</t>
  </si>
  <si>
    <t>495592</t>
  </si>
  <si>
    <t>495596</t>
  </si>
  <si>
    <t>603709</t>
  </si>
  <si>
    <t>598560</t>
  </si>
  <si>
    <t>568665</t>
  </si>
  <si>
    <t>546717</t>
  </si>
  <si>
    <t>515503</t>
  </si>
  <si>
    <t>667576</t>
  </si>
  <si>
    <t>592519</t>
  </si>
  <si>
    <t>534673</t>
  </si>
  <si>
    <t>600178</t>
  </si>
  <si>
    <t>553894</t>
  </si>
  <si>
    <t>495581</t>
  </si>
  <si>
    <t>565984</t>
  </si>
  <si>
    <t>610776</t>
  </si>
  <si>
    <t>656693</t>
  </si>
  <si>
    <t>609479</t>
  </si>
  <si>
    <t>585652</t>
  </si>
  <si>
    <t>528365</t>
  </si>
  <si>
    <t>528366</t>
  </si>
  <si>
    <t>622003</t>
  </si>
  <si>
    <t>685713</t>
  </si>
  <si>
    <t>552341</t>
  </si>
  <si>
    <t>541468</t>
  </si>
  <si>
    <t>569777</t>
  </si>
  <si>
    <t>569850</t>
  </si>
  <si>
    <t>569855</t>
  </si>
  <si>
    <t>574476</t>
  </si>
  <si>
    <t>656546</t>
  </si>
  <si>
    <t>557749</t>
  </si>
  <si>
    <t>588817</t>
  </si>
  <si>
    <t>565957</t>
  </si>
  <si>
    <t>529551</t>
  </si>
  <si>
    <t>542046</t>
  </si>
  <si>
    <t>550518</t>
  </si>
  <si>
    <t>667163</t>
  </si>
  <si>
    <t>688414</t>
  </si>
  <si>
    <t>603993</t>
  </si>
  <si>
    <t>683869</t>
  </si>
  <si>
    <t>656747</t>
  </si>
  <si>
    <t>508644</t>
  </si>
  <si>
    <t>638808</t>
  </si>
  <si>
    <t>569734</t>
  </si>
  <si>
    <t>514736</t>
  </si>
  <si>
    <t>569836</t>
  </si>
  <si>
    <t>569737</t>
  </si>
  <si>
    <t>609920</t>
  </si>
  <si>
    <t>604820</t>
  </si>
  <si>
    <t>681044</t>
  </si>
  <si>
    <t>497972</t>
  </si>
  <si>
    <t>495604</t>
  </si>
  <si>
    <t>495577</t>
  </si>
  <si>
    <t>592925</t>
  </si>
  <si>
    <t>569793</t>
  </si>
  <si>
    <t>569794</t>
  </si>
  <si>
    <t>637695</t>
  </si>
  <si>
    <t>667127</t>
  </si>
  <si>
    <t>564244</t>
  </si>
  <si>
    <t>496089</t>
  </si>
  <si>
    <t>496141</t>
  </si>
  <si>
    <t>496147</t>
  </si>
  <si>
    <t>538875</t>
  </si>
  <si>
    <t>537119</t>
  </si>
  <si>
    <t>538874</t>
  </si>
  <si>
    <t>569779</t>
  </si>
  <si>
    <t>635827</t>
  </si>
  <si>
    <t>579248</t>
  </si>
  <si>
    <t>609984</t>
  </si>
  <si>
    <t>538630</t>
  </si>
  <si>
    <t>686913</t>
  </si>
  <si>
    <t>624071</t>
  </si>
  <si>
    <t>627869</t>
  </si>
  <si>
    <t>617822</t>
  </si>
  <si>
    <t>667740</t>
  </si>
  <si>
    <t>687764</t>
  </si>
  <si>
    <t>555545</t>
  </si>
  <si>
    <t>580473</t>
  </si>
  <si>
    <t>605559</t>
  </si>
  <si>
    <t>648944</t>
  </si>
  <si>
    <t>569736</t>
  </si>
  <si>
    <t>613415</t>
  </si>
  <si>
    <t>681050</t>
  </si>
  <si>
    <t>598968</t>
  </si>
  <si>
    <t>546337</t>
  </si>
  <si>
    <t>672076</t>
  </si>
  <si>
    <t>502338</t>
  </si>
  <si>
    <t>542193</t>
  </si>
  <si>
    <t>527528</t>
  </si>
  <si>
    <t>537116</t>
  </si>
  <si>
    <t>528427</t>
  </si>
  <si>
    <t>536885</t>
  </si>
  <si>
    <t>562474</t>
  </si>
  <si>
    <t>633430</t>
  </si>
  <si>
    <t>495632</t>
  </si>
  <si>
    <t>537118</t>
  </si>
  <si>
    <t>602819</t>
  </si>
  <si>
    <t>585348</t>
  </si>
  <si>
    <t>569762</t>
  </si>
  <si>
    <t>682202</t>
  </si>
  <si>
    <t>538871</t>
  </si>
  <si>
    <t>688024</t>
  </si>
  <si>
    <t>679217</t>
  </si>
  <si>
    <t>649590</t>
  </si>
  <si>
    <t>626808</t>
  </si>
  <si>
    <t>553893</t>
  </si>
  <si>
    <t>607791</t>
  </si>
  <si>
    <t>593527</t>
  </si>
  <si>
    <t>566831</t>
  </si>
  <si>
    <t>619644</t>
  </si>
  <si>
    <t>535150</t>
  </si>
  <si>
    <t>614023</t>
  </si>
  <si>
    <t>558593</t>
  </si>
  <si>
    <t>658402</t>
  </si>
  <si>
    <t>642144</t>
  </si>
  <si>
    <t>566624</t>
  </si>
  <si>
    <t>655603</t>
  </si>
  <si>
    <t>609186</t>
  </si>
  <si>
    <t>520296</t>
  </si>
  <si>
    <t>592650</t>
  </si>
  <si>
    <t>503269</t>
  </si>
  <si>
    <t>626809</t>
  </si>
  <si>
    <t>650427</t>
  </si>
  <si>
    <t>569835</t>
  </si>
  <si>
    <t>495579</t>
  </si>
  <si>
    <t>628525</t>
  </si>
  <si>
    <t>602540</t>
  </si>
  <si>
    <t>678313</t>
  </si>
  <si>
    <t>495562</t>
  </si>
  <si>
    <t>635748</t>
  </si>
  <si>
    <t>571161</t>
  </si>
  <si>
    <t>541062</t>
  </si>
  <si>
    <t>688330</t>
  </si>
  <si>
    <t>666282</t>
  </si>
  <si>
    <t>583884</t>
  </si>
  <si>
    <t>656330</t>
  </si>
  <si>
    <t>637937</t>
  </si>
  <si>
    <t>598478</t>
  </si>
  <si>
    <t>601996</t>
  </si>
  <si>
    <t>528425</t>
  </si>
  <si>
    <t>537905</t>
  </si>
  <si>
    <t>522202</t>
  </si>
  <si>
    <t>519333</t>
  </si>
  <si>
    <t>657207</t>
  </si>
  <si>
    <t>667349</t>
  </si>
  <si>
    <t>592262</t>
  </si>
  <si>
    <t>682094</t>
  </si>
  <si>
    <t>609981</t>
  </si>
  <si>
    <t>542031</t>
  </si>
  <si>
    <t>607175</t>
  </si>
  <si>
    <t>534392</t>
  </si>
  <si>
    <t>680498</t>
  </si>
  <si>
    <t>641625</t>
  </si>
  <si>
    <t>624423</t>
  </si>
  <si>
    <t>605015</t>
  </si>
  <si>
    <t>562482</t>
  </si>
  <si>
    <t>689707</t>
  </si>
  <si>
    <t>542348</t>
  </si>
  <si>
    <t>687231</t>
  </si>
  <si>
    <t>612836</t>
  </si>
  <si>
    <t>688835</t>
  </si>
  <si>
    <t>543709</t>
  </si>
  <si>
    <t>495671</t>
  </si>
  <si>
    <t>619083</t>
  </si>
  <si>
    <t>616025</t>
  </si>
  <si>
    <t>499280</t>
  </si>
  <si>
    <t>619982</t>
  </si>
  <si>
    <t>528843</t>
  </si>
  <si>
    <t>512785</t>
  </si>
  <si>
    <t>611567</t>
  </si>
  <si>
    <t>604839</t>
  </si>
  <si>
    <t>667631</t>
  </si>
  <si>
    <t>678297</t>
  </si>
  <si>
    <t>608190</t>
  </si>
  <si>
    <t>584204</t>
  </si>
  <si>
    <t>691395</t>
  </si>
  <si>
    <t>627843</t>
  </si>
  <si>
    <t>627833</t>
  </si>
  <si>
    <t>662640</t>
  </si>
  <si>
    <t>669800</t>
  </si>
  <si>
    <t>550158</t>
  </si>
  <si>
    <t>583880</t>
  </si>
  <si>
    <t>535157</t>
  </si>
  <si>
    <t>535168</t>
  </si>
  <si>
    <t>538631</t>
  </si>
  <si>
    <t>617806</t>
  </si>
  <si>
    <t>682205</t>
  </si>
  <si>
    <t>647665</t>
  </si>
  <si>
    <t>604836</t>
  </si>
  <si>
    <t>584494</t>
  </si>
  <si>
    <t>537965</t>
  </si>
  <si>
    <t>678302</t>
  </si>
  <si>
    <t>669810</t>
  </si>
  <si>
    <t>608709</t>
  </si>
  <si>
    <t>515102</t>
  </si>
  <si>
    <t>560898</t>
  </si>
  <si>
    <t>585311</t>
  </si>
  <si>
    <t>541466</t>
  </si>
  <si>
    <t>557748</t>
  </si>
  <si>
    <t>590545</t>
  </si>
  <si>
    <t>645305</t>
  </si>
  <si>
    <t>630290</t>
  </si>
  <si>
    <t>607066</t>
  </si>
  <si>
    <t>630284</t>
  </si>
  <si>
    <t>557752</t>
  </si>
  <si>
    <t>560192</t>
  </si>
  <si>
    <t>538374</t>
  </si>
  <si>
    <t>546501</t>
  </si>
  <si>
    <t>547918</t>
  </si>
  <si>
    <t>557753</t>
  </si>
  <si>
    <t>561874</t>
  </si>
  <si>
    <t>614360</t>
  </si>
  <si>
    <t>683911</t>
  </si>
  <si>
    <t>508186</t>
  </si>
  <si>
    <t>609787</t>
  </si>
  <si>
    <t>495572</t>
  </si>
  <si>
    <t>579422</t>
  </si>
  <si>
    <t>590697</t>
  </si>
  <si>
    <t>672534</t>
  </si>
  <si>
    <t>618948</t>
  </si>
  <si>
    <t>565985</t>
  </si>
  <si>
    <t>595011</t>
  </si>
  <si>
    <t>594972</t>
  </si>
  <si>
    <t>522698</t>
  </si>
  <si>
    <t>645209</t>
  </si>
  <si>
    <t>609478</t>
  </si>
  <si>
    <t>639083</t>
  </si>
  <si>
    <t>604854</t>
  </si>
  <si>
    <t>550909</t>
  </si>
  <si>
    <t>600428</t>
  </si>
  <si>
    <t>573174</t>
  </si>
  <si>
    <t>573179</t>
  </si>
  <si>
    <t>573178</t>
  </si>
  <si>
    <t>573180</t>
  </si>
  <si>
    <t>495555</t>
  </si>
  <si>
    <t>495565</t>
  </si>
  <si>
    <t>495570</t>
  </si>
  <si>
    <t>585716</t>
  </si>
  <si>
    <t>602891</t>
  </si>
  <si>
    <t>548576</t>
  </si>
  <si>
    <t>514737</t>
  </si>
  <si>
    <t>610379</t>
  </si>
  <si>
    <t>608774</t>
  </si>
  <si>
    <t>529550</t>
  </si>
  <si>
    <t>660861</t>
  </si>
  <si>
    <t>669798</t>
  </si>
  <si>
    <t>691689</t>
  </si>
  <si>
    <t>604824</t>
  </si>
  <si>
    <t>604844</t>
  </si>
  <si>
    <t>689901</t>
  </si>
  <si>
    <t>526774</t>
  </si>
  <si>
    <t>547271</t>
  </si>
  <si>
    <t>607615</t>
  </si>
  <si>
    <t>573177</t>
  </si>
  <si>
    <t>615620</t>
  </si>
  <si>
    <t>689519</t>
  </si>
  <si>
    <t>584202</t>
  </si>
  <si>
    <t>522696</t>
  </si>
  <si>
    <t>535173</t>
  </si>
  <si>
    <t>660240</t>
  </si>
  <si>
    <t>688457</t>
  </si>
  <si>
    <t>584193</t>
  </si>
  <si>
    <t>619809</t>
  </si>
  <si>
    <t>661615</t>
  </si>
  <si>
    <t>629314</t>
  </si>
  <si>
    <t>558638</t>
  </si>
  <si>
    <t>605176</t>
  </si>
  <si>
    <t>631277</t>
  </si>
  <si>
    <t>657869</t>
  </si>
  <si>
    <t>599571</t>
  </si>
  <si>
    <t>667350</t>
  </si>
  <si>
    <t>686736</t>
  </si>
  <si>
    <t>627604</t>
  </si>
  <si>
    <t>606518</t>
  </si>
  <si>
    <t>622337</t>
  </si>
  <si>
    <t>626168</t>
  </si>
  <si>
    <t>678317</t>
  </si>
  <si>
    <t>610551</t>
  </si>
  <si>
    <t>495509</t>
  </si>
  <si>
    <t>617685</t>
  </si>
  <si>
    <t>685386</t>
  </si>
  <si>
    <t>625741</t>
  </si>
  <si>
    <t>629321</t>
  </si>
  <si>
    <t>643176</t>
  </si>
  <si>
    <t>628506</t>
  </si>
  <si>
    <t>627394</t>
  </si>
  <si>
    <t>669801</t>
  </si>
  <si>
    <t>619769</t>
  </si>
  <si>
    <t>678312</t>
  </si>
  <si>
    <t>638930</t>
  </si>
  <si>
    <t>582635</t>
  </si>
  <si>
    <t>640468</t>
  </si>
  <si>
    <t>640972</t>
  </si>
  <si>
    <t>495594</t>
  </si>
  <si>
    <t>627874</t>
  </si>
  <si>
    <t>659330</t>
  </si>
  <si>
    <t>627277</t>
  </si>
  <si>
    <t>635187</t>
  </si>
  <si>
    <t>495580</t>
  </si>
  <si>
    <t>546503</t>
  </si>
  <si>
    <t>637696</t>
  </si>
  <si>
    <t>636360</t>
  </si>
  <si>
    <t>629313</t>
  </si>
  <si>
    <t>665712</t>
  </si>
  <si>
    <t>677983</t>
  </si>
  <si>
    <t>660830</t>
  </si>
  <si>
    <t>620563</t>
  </si>
  <si>
    <t>662657</t>
  </si>
  <si>
    <t>629412</t>
  </si>
  <si>
    <t>627948</t>
  </si>
  <si>
    <t>519236</t>
  </si>
  <si>
    <t>630182</t>
  </si>
  <si>
    <t>637311</t>
  </si>
  <si>
    <t>606504</t>
  </si>
  <si>
    <t>647783</t>
  </si>
  <si>
    <t>606511</t>
  </si>
  <si>
    <t>678093</t>
  </si>
  <si>
    <t>675205</t>
  </si>
  <si>
    <t>512861</t>
  </si>
  <si>
    <t>667351</t>
  </si>
  <si>
    <t>657832</t>
  </si>
  <si>
    <t>644273</t>
  </si>
  <si>
    <t>581082</t>
  </si>
  <si>
    <t>573185</t>
  </si>
  <si>
    <t>562195</t>
  </si>
  <si>
    <t>649078</t>
  </si>
  <si>
    <t>678311</t>
  </si>
  <si>
    <t>678278</t>
  </si>
  <si>
    <t>625745</t>
  </si>
  <si>
    <t>689781</t>
  </si>
  <si>
    <t>662777</t>
  </si>
  <si>
    <t>495564</t>
  </si>
  <si>
    <t>652145</t>
  </si>
  <si>
    <t>670117</t>
  </si>
  <si>
    <t>685558</t>
  </si>
  <si>
    <t>669637</t>
  </si>
  <si>
    <t>657710</t>
  </si>
  <si>
    <t>647563</t>
  </si>
  <si>
    <t>689903</t>
  </si>
  <si>
    <t>669804</t>
  </si>
  <si>
    <t>666820</t>
  </si>
  <si>
    <t>662113</t>
  </si>
  <si>
    <t>646478</t>
  </si>
  <si>
    <t>659907</t>
  </si>
  <si>
    <t>669795</t>
  </si>
  <si>
    <t>667131</t>
  </si>
  <si>
    <t>675235</t>
  </si>
  <si>
    <t>690453</t>
  </si>
  <si>
    <t>673889</t>
  </si>
  <si>
    <t>601267</t>
  </si>
  <si>
    <t>657208</t>
  </si>
  <si>
    <t>657851</t>
  </si>
  <si>
    <t>621278</t>
  </si>
  <si>
    <t>676420</t>
  </si>
  <si>
    <t>574477</t>
  </si>
  <si>
    <t>668734</t>
  </si>
  <si>
    <t>604814</t>
  </si>
  <si>
    <t>688729</t>
  </si>
  <si>
    <t>495605</t>
  </si>
  <si>
    <t>603466</t>
  </si>
  <si>
    <t>645308</t>
  </si>
  <si>
    <t>644020</t>
  </si>
  <si>
    <t>641304</t>
  </si>
  <si>
    <t>649792</t>
  </si>
  <si>
    <t>669500</t>
  </si>
  <si>
    <t>678319</t>
  </si>
  <si>
    <t>678307</t>
  </si>
  <si>
    <t>678281</t>
  </si>
  <si>
    <t>635174</t>
  </si>
  <si>
    <t>635761</t>
  </si>
  <si>
    <t>681048</t>
  </si>
  <si>
    <t>681046</t>
  </si>
  <si>
    <t>681049</t>
  </si>
  <si>
    <t>681994</t>
  </si>
  <si>
    <t>673174</t>
  </si>
  <si>
    <t>664959</t>
  </si>
  <si>
    <t>657809</t>
  </si>
  <si>
    <t>667852</t>
  </si>
  <si>
    <t>669802</t>
  </si>
  <si>
    <t>657840</t>
  </si>
  <si>
    <t>690696</t>
  </si>
  <si>
    <t>682203</t>
  </si>
  <si>
    <t>658194</t>
  </si>
  <si>
    <t>641804</t>
  </si>
  <si>
    <t>620779</t>
  </si>
  <si>
    <t>626647</t>
  </si>
  <si>
    <t>681898</t>
  </si>
  <si>
    <t>635169</t>
  </si>
  <si>
    <t>649454</t>
  </si>
  <si>
    <t>676862</t>
  </si>
  <si>
    <t>623080</t>
  </si>
  <si>
    <t>613684</t>
  </si>
  <si>
    <t>614754</t>
  </si>
  <si>
    <t>568216</t>
  </si>
  <si>
    <t>627868</t>
  </si>
  <si>
    <t>495575</t>
  </si>
  <si>
    <t>686408</t>
  </si>
  <si>
    <t>567047</t>
  </si>
  <si>
    <t>613412</t>
  </si>
  <si>
    <t>495582</t>
  </si>
  <si>
    <t>621231</t>
  </si>
  <si>
    <t>555324</t>
  </si>
  <si>
    <t>635730</t>
  </si>
  <si>
    <t>512869</t>
  </si>
  <si>
    <t>660239</t>
  </si>
  <si>
    <t>547919</t>
  </si>
  <si>
    <t>590154</t>
  </si>
  <si>
    <t>645312</t>
  </si>
  <si>
    <t>666821</t>
  </si>
  <si>
    <t>661042</t>
  </si>
  <si>
    <t>682516</t>
  </si>
  <si>
    <t>611328</t>
  </si>
  <si>
    <t>630061</t>
  </si>
  <si>
    <t>610312</t>
  </si>
  <si>
    <t>673070</t>
  </si>
  <si>
    <t>633991</t>
  </si>
  <si>
    <t>640796</t>
  </si>
  <si>
    <t>640797</t>
  </si>
  <si>
    <t>625740</t>
  </si>
  <si>
    <t>640800</t>
  </si>
  <si>
    <t>683531</t>
  </si>
  <si>
    <t>497969</t>
  </si>
  <si>
    <t>638967</t>
  </si>
  <si>
    <t>606737</t>
  </si>
  <si>
    <t>631426</t>
  </si>
  <si>
    <t>627333</t>
  </si>
  <si>
    <t>643191</t>
  </si>
  <si>
    <t>656265</t>
  </si>
  <si>
    <t>672928</t>
  </si>
  <si>
    <t>631742</t>
  </si>
  <si>
    <t>656259</t>
  </si>
  <si>
    <t>604823</t>
  </si>
  <si>
    <t>656351</t>
  </si>
  <si>
    <t>626248</t>
  </si>
  <si>
    <t>495610</t>
  </si>
  <si>
    <t>646073</t>
  </si>
  <si>
    <t>656745</t>
  </si>
  <si>
    <t>512787</t>
  </si>
  <si>
    <t>631826</t>
  </si>
  <si>
    <t>669806</t>
  </si>
  <si>
    <t>562180</t>
  </si>
  <si>
    <t>682204</t>
  </si>
  <si>
    <t>662654</t>
  </si>
  <si>
    <t>569856</t>
  </si>
  <si>
    <t>656262</t>
  </si>
  <si>
    <t>542030</t>
  </si>
  <si>
    <t>657853</t>
  </si>
  <si>
    <t>512791</t>
  </si>
  <si>
    <t>691844</t>
  </si>
  <si>
    <t>667723</t>
  </si>
  <si>
    <t>677930</t>
  </si>
  <si>
    <t>662467</t>
  </si>
  <si>
    <t>667545</t>
  </si>
  <si>
    <t>600179</t>
  </si>
  <si>
    <t>496150</t>
  </si>
  <si>
    <t>656260</t>
  </si>
  <si>
    <t>663365</t>
  </si>
  <si>
    <t>571162</t>
  </si>
  <si>
    <t>664220</t>
  </si>
  <si>
    <t>667346</t>
  </si>
  <si>
    <t>649203</t>
  </si>
  <si>
    <t>495428</t>
  </si>
  <si>
    <t>669644</t>
  </si>
  <si>
    <t>570023</t>
  </si>
  <si>
    <t>544487</t>
  </si>
  <si>
    <t>683214</t>
  </si>
  <si>
    <t>676378</t>
  </si>
  <si>
    <t>657825</t>
  </si>
  <si>
    <t>549625</t>
  </si>
  <si>
    <t>659873</t>
  </si>
  <si>
    <t>635910</t>
  </si>
  <si>
    <t>637381</t>
  </si>
  <si>
    <t>688626</t>
  </si>
  <si>
    <t>682055</t>
  </si>
  <si>
    <t>670806</t>
  </si>
  <si>
    <t>599810</t>
  </si>
  <si>
    <t>546418</t>
  </si>
  <si>
    <t>658176</t>
  </si>
  <si>
    <t>673887</t>
  </si>
  <si>
    <t>631159</t>
  </si>
  <si>
    <t>640723</t>
  </si>
  <si>
    <t>663000</t>
  </si>
  <si>
    <t>584206</t>
  </si>
  <si>
    <t>537886</t>
  </si>
  <si>
    <t>635743</t>
  </si>
  <si>
    <t>542519</t>
  </si>
  <si>
    <t>671622</t>
  </si>
  <si>
    <t>677685</t>
  </si>
  <si>
    <t>543708</t>
  </si>
  <si>
    <t>682095</t>
  </si>
  <si>
    <t>631244</t>
  </si>
  <si>
    <t>682957</t>
  </si>
  <si>
    <t>678282</t>
  </si>
  <si>
    <t>611335</t>
  </si>
  <si>
    <t>553276</t>
  </si>
  <si>
    <t>643736</t>
  </si>
  <si>
    <t>671226</t>
  </si>
  <si>
    <t>614031</t>
  </si>
  <si>
    <t>613987</t>
  </si>
  <si>
    <t>533669</t>
  </si>
  <si>
    <t>566829</t>
  </si>
  <si>
    <t>680162</t>
  </si>
  <si>
    <t>592268</t>
  </si>
  <si>
    <t>591051</t>
  </si>
  <si>
    <t>495609</t>
  </si>
  <si>
    <t>537123</t>
  </si>
  <si>
    <t>526762</t>
  </si>
  <si>
    <t>611334</t>
  </si>
  <si>
    <t>547933</t>
  </si>
  <si>
    <t>547934</t>
  </si>
  <si>
    <t>545543</t>
  </si>
  <si>
    <t>545560</t>
  </si>
  <si>
    <t>532367</t>
  </si>
  <si>
    <t>560483</t>
  </si>
  <si>
    <t>506491</t>
  </si>
  <si>
    <t>556396</t>
  </si>
  <si>
    <t>572257</t>
  </si>
  <si>
    <t>572059</t>
  </si>
  <si>
    <t>522824</t>
  </si>
  <si>
    <t>496153</t>
  </si>
  <si>
    <t>575587</t>
  </si>
  <si>
    <t>562791</t>
  </si>
  <si>
    <t>575992</t>
  </si>
  <si>
    <t>578706</t>
  </si>
  <si>
    <t>578698</t>
  </si>
  <si>
    <t>529483</t>
  </si>
  <si>
    <t>533298</t>
  </si>
  <si>
    <t>495559</t>
  </si>
  <si>
    <t>540842</t>
  </si>
  <si>
    <t>511217</t>
  </si>
  <si>
    <t>599276</t>
  </si>
  <si>
    <t>583394</t>
  </si>
  <si>
    <t>599811</t>
  </si>
  <si>
    <t>599809</t>
  </si>
  <si>
    <t>522781</t>
  </si>
  <si>
    <t>605053</t>
  </si>
  <si>
    <t>603450</t>
  </si>
  <si>
    <t>600131</t>
  </si>
  <si>
    <t>572656</t>
  </si>
  <si>
    <t>613924</t>
  </si>
  <si>
    <t>496079</t>
  </si>
  <si>
    <t>619656</t>
  </si>
  <si>
    <t>627952</t>
  </si>
  <si>
    <t>570802</t>
  </si>
  <si>
    <t>531501</t>
  </si>
  <si>
    <t>632442</t>
  </si>
  <si>
    <t>631822</t>
  </si>
  <si>
    <t>499956</t>
  </si>
  <si>
    <t>597942</t>
  </si>
  <si>
    <t>496076</t>
  </si>
  <si>
    <t>618875</t>
  </si>
  <si>
    <t>503885</t>
  </si>
  <si>
    <t>545525</t>
  </si>
  <si>
    <t>506481</t>
  </si>
  <si>
    <t>603454</t>
  </si>
  <si>
    <t>506485</t>
  </si>
  <si>
    <t>570936</t>
  </si>
  <si>
    <t>495614</t>
  </si>
  <si>
    <t>614005</t>
  </si>
  <si>
    <t>618871</t>
  </si>
  <si>
    <t>495670</t>
  </si>
  <si>
    <t>652960</t>
  </si>
  <si>
    <t>652964</t>
  </si>
  <si>
    <t>652958</t>
  </si>
  <si>
    <t>652966</t>
  </si>
  <si>
    <t>652965</t>
  </si>
  <si>
    <t>638070</t>
  </si>
  <si>
    <t>495665</t>
  </si>
  <si>
    <t>657639</t>
  </si>
  <si>
    <t>631502</t>
  </si>
  <si>
    <t>503784</t>
  </si>
  <si>
    <t>657050</t>
  </si>
  <si>
    <t>654702</t>
  </si>
  <si>
    <t>600333</t>
  </si>
  <si>
    <t>590830</t>
  </si>
  <si>
    <t>667859</t>
  </si>
  <si>
    <t>666558</t>
  </si>
  <si>
    <t>659333</t>
  </si>
  <si>
    <t>613989</t>
  </si>
  <si>
    <t>653912</t>
  </si>
  <si>
    <t>514302</t>
  </si>
  <si>
    <t>673797</t>
  </si>
  <si>
    <t>613047</t>
  </si>
  <si>
    <t>622806</t>
  </si>
  <si>
    <t>669478</t>
  </si>
  <si>
    <t>666603</t>
  </si>
  <si>
    <t>671221</t>
  </si>
  <si>
    <t>659194</t>
  </si>
  <si>
    <t>627852</t>
  </si>
  <si>
    <t>664801</t>
  </si>
  <si>
    <t>673291</t>
  </si>
  <si>
    <t>671607</t>
  </si>
  <si>
    <t>678617</t>
  </si>
  <si>
    <t>659326</t>
  </si>
  <si>
    <t>661903</t>
  </si>
  <si>
    <t>666702</t>
  </si>
  <si>
    <t>679658</t>
  </si>
  <si>
    <t>686635</t>
  </si>
  <si>
    <t>663259</t>
  </si>
  <si>
    <t>538472</t>
  </si>
  <si>
    <t>688792</t>
  </si>
  <si>
    <t>557734</t>
  </si>
  <si>
    <t>687815</t>
  </si>
  <si>
    <t>634690</t>
  </si>
  <si>
    <t>659921</t>
  </si>
  <si>
    <t>629322</t>
  </si>
  <si>
    <t>629311</t>
  </si>
  <si>
    <t>629312</t>
  </si>
  <si>
    <t>676065</t>
  </si>
  <si>
    <t>657934</t>
  </si>
  <si>
    <t>568761</t>
  </si>
  <si>
    <t>689175</t>
  </si>
  <si>
    <t>672091</t>
  </si>
  <si>
    <t>643972</t>
  </si>
  <si>
    <t>687653</t>
  </si>
  <si>
    <t>544813</t>
  </si>
  <si>
    <t>647094</t>
  </si>
  <si>
    <t>621229</t>
  </si>
  <si>
    <t>647096</t>
  </si>
  <si>
    <t>647095</t>
  </si>
  <si>
    <t>Revised Due Date</t>
  </si>
  <si>
    <t>Assigned To</t>
  </si>
  <si>
    <t>WD3</t>
  </si>
  <si>
    <t>WD2</t>
  </si>
  <si>
    <t>4</t>
  </si>
  <si>
    <t>WD1</t>
  </si>
  <si>
    <t>5</t>
  </si>
  <si>
    <t>6</t>
  </si>
  <si>
    <t>2</t>
  </si>
  <si>
    <t>B</t>
  </si>
  <si>
    <t>1</t>
  </si>
  <si>
    <t>A</t>
  </si>
  <si>
    <t>WD4</t>
  </si>
  <si>
    <t>7</t>
  </si>
  <si>
    <t>D</t>
  </si>
  <si>
    <t>C</t>
  </si>
  <si>
    <t>3</t>
  </si>
  <si>
    <t>WD5</t>
  </si>
  <si>
    <t>RTA Schuled Days</t>
  </si>
  <si>
    <t>633474</t>
  </si>
  <si>
    <t>Current Sheet Filter Prefix</t>
  </si>
  <si>
    <t>656949</t>
  </si>
  <si>
    <t>586035</t>
  </si>
  <si>
    <t>Need new packing procedure added to MN 597447. 
Cards need to be shipped with proper documentation and packing. Reference CPI 300151861.
Set up and distributed to M. Scogin (JCallaway) 04272010</t>
  </si>
  <si>
    <t>662344</t>
  </si>
  <si>
    <t>Pmlab</t>
  </si>
  <si>
    <t>Slab</t>
  </si>
  <si>
    <t>Dilab</t>
  </si>
  <si>
    <t>Fclab</t>
  </si>
  <si>
    <t>Name</t>
  </si>
  <si>
    <t>Rta Class</t>
  </si>
  <si>
    <t>Assigned To Department</t>
  </si>
  <si>
    <t>Technology Revised Due Date</t>
  </si>
  <si>
    <t>sheet mode</t>
  </si>
  <si>
    <t>692027</t>
  </si>
  <si>
    <t>565315</t>
  </si>
  <si>
    <t>ECR Required to have BOM created in SAP for MN 596627
Nov. 13/2009 Electronic folder created &amp; given to Matt Seogin (GMacias)</t>
  </si>
  <si>
    <t>Control Sys - Saudi Aramco LDOR Catalog
Need to create part number for Saudi Aramco LDOR catalog.  System will be able to handle 4 down-hole valves, and will be a manual pneumatic system.  It is also required to have an integrated XPIO.  A reference part number for the SHS is 101902984.  (Six lines would enable the use of 2 wells)  Also, we will want to use the new XPIO part number that can handle both AC or DC, and that number is 101937070 ref 9555-6006 which is on a seperate RTA.</t>
  </si>
  <si>
    <t>Safety Sys - Design -71CO628 Revision
Revise Drawing  71CO628 (GBA MPD automaticchoke manifold control panel - 1st generation). 
1) Correct relief setpoint (Zone B6) from 1800 psi to 1500 psi. 1800 psi creates excess force on hydraulic choke actuators.
2) Add setpoint callout for system pressure (Zone B6)  of 1100-1200 psi. Currently no setpoint is specified.
Operations personnel confusion has resulted in damage to chokes (Alaska), and premature seal failures (China).</t>
  </si>
  <si>
    <t>REQUEST TO REPLICATE ISSUES WITH TRENDING FUNCTIONALITY IN SWM, ENCOUNTERED BY BSP, AND PROVIDE SOLUTION.  PLEASE SEE
ATTACHED EMAIL CORRESPONDENCE FOR MORE DETAILS.
2011-06-27, Weekly Meeting:  RTA to be moved to WD5 lab office.  Needs to be a high priority.</t>
  </si>
  <si>
    <t>CREATE A TEST PROCEDURE FOR THE ROC-M2P IN A DUAL-BLOCK ASSEMBLY TO REPLACE THE USE OF 9388-5217 FOR DUAL-BLOCKS.  THE PROCEDURE --MUST-- OUTLINE THAT THE GAUGE BE CONNECTED ON THE UPHOLE END AND NOT ON THE POSITION SENSOR END.
2011-06-27, Weekly Meeting:  Needs to be moved to WD3.</t>
  </si>
  <si>
    <t>CREATE A TEST PROCEDURE FOR THE ROC-M2P IN A DUAL-BLOCK ASSEMBLY TO REPLACE THE USE OF 9388-5217 FOR DUAL-BLOCKS.  THE PROCEDURE --MUST-- OUTLINE THAT THE GAUGE BE CONNECTED ON THE UPHOLE END AND NOT ON THE POSITION SENSOR END.
2011-06-27, Weekly Meeting:  Move to WD3.</t>
  </si>
  <si>
    <t>692330</t>
  </si>
  <si>
    <t>692390</t>
  </si>
  <si>
    <t>Development project for an automated surface control system for SmartPlex. Development consists of two parts, 
two well standalone option and WCM option.
Shell Brunei is one intended customer.
ZEWO:  103607103
Network:  HTWD601753 M001</t>
  </si>
  <si>
    <t>Set up ZEWO per R Smiths request.  6/27/11 DM</t>
  </si>
  <si>
    <t>692438</t>
  </si>
  <si>
    <t>692437</t>
  </si>
  <si>
    <t>692435</t>
  </si>
  <si>
    <t>692436</t>
  </si>
  <si>
    <t>Request to create a part same as 597463 FMC KONGSBERG, DUAL GUAGE, SUBSEA I/F CARD (DHI109)except:
create Halliburton procedure to capture the the temperature cycling and thermal soak as per document X-065455-10.
Pre-release SAP number for customer PO ASAP.
2011-05-16, Matthew Scogin:  Customer cancelled order.  Since majority of work has been completed, we will proceed with the release.  RTA code changed to a code 6.</t>
  </si>
  <si>
    <t>Standard Production Lead Time</t>
  </si>
  <si>
    <t>Remaining Production Lead Time</t>
  </si>
  <si>
    <t>Safety Sys - Design - Installation Kit for 71CO657
SET UP INSTALLATION KIT FOR 102034842 SINGLE WELL SAFETY SYSTEM FOR EXXON IRAQ (71CO657)
2011-06-20, Weekly Meeting:  Design complete and checked.  Part needs to be attached to the taska and then sent to Ted for approval.</t>
  </si>
  <si>
    <t>693965</t>
  </si>
  <si>
    <t>694117</t>
  </si>
  <si>
    <t>CORRECT QUANTITY OF FIND NUMBER 0003 IN SAP PART NUMBER 102011836; HAS QUANTITY OF 2, SHOULD BE 4 PER S. ALLAN (SEE EMAIL)
7-6-2011 CANCEL THIS RTA; DUPLICATE OF RTA 688243 JCC</t>
  </si>
  <si>
    <t>Egypt</t>
  </si>
  <si>
    <t>30: SPLT=126 2011-06-28, Matthew Scogin:  Conference call needs to be scheduled to determine scope/dates/etc Spoke with submitter and forwarded info to M Ballesteros for quote.  Submitter will inform once order is in place for RTA code to chg and AIS date.  7/7/11 DM</t>
  </si>
  <si>
    <t>Status</t>
  </si>
  <si>
    <t>#</t>
  </si>
  <si>
    <t>Available In Stock</t>
  </si>
  <si>
    <t>Tech Rev'd Due Date</t>
  </si>
  <si>
    <t>Require development of a 7in 26-29 ppf multi-weight range viton element for the MC packer. Attached is the requirements document. Please contact product line for additional information
ZEWO:   103618246
Network:  HTWF601762 M001</t>
  </si>
  <si>
    <t>694882</t>
  </si>
  <si>
    <t>Perform DIACS barrier test on the 3.5 in HS valve as per Statoils TR 2385 standard. Please see standard attached. Contact product line for additional information</t>
  </si>
  <si>
    <t>Sonatrach</t>
  </si>
  <si>
    <t>Alfred R Curington</t>
  </si>
  <si>
    <t>P/N 589805 NEEDS CURRENTS DOCS FOR FMJ TESTING ATTACHED TO CWI.(ES-A-433) AND REMOVE OLD DOC: 022060-00-00
RTA WILL BE CANCELLED - EXACT REQUEST IS NOTED ON RTA 692329 (OEWUMI 19JUL11)</t>
  </si>
  <si>
    <t>Drafting</t>
  </si>
  <si>
    <t>19: Per P Allardyce need to turn in by end of week to customer.  7/11/11 DM</t>
  </si>
  <si>
    <t>696515</t>
  </si>
  <si>
    <t>Same As: 71SSS1; SFTY SYS STD RTA DESIGN REQ
Except: On Installation Kit P/N 71COK644 please
change the 1/4 inch tubing from 0.049 wt to 0.065 wt
Project Name: 
Special Quality Plan Required?: No
Material: 
Technical Support Deliverables:
Preliminary Design Specifications
Reference Assembly Drawing
Reserve SAP Material Number</t>
  </si>
  <si>
    <t>695938</t>
  </si>
  <si>
    <t>696688</t>
  </si>
  <si>
    <t>ONLY RELEASE TASKS IN THIS RTA, NOT THE RTA ITSELF
MAKE SEPARATE DRAWINGS FOR CLAMPS SO DRAWINGS ARE REUSABLE.</t>
  </si>
  <si>
    <t>696223</t>
  </si>
  <si>
    <t>697329</t>
  </si>
  <si>
    <t>697389</t>
  </si>
  <si>
    <t>Chevron Colombia</t>
  </si>
  <si>
    <t>Safety Sys - Quote Only
Design Control Panel for Chevron Colombia, as per Safety Control Panel Request form attached
2011-07-18, Weekly Meeting:  Dana to place RTA into WIP and assign to Robert T.</t>
  </si>
  <si>
    <t>9.1:</t>
  </si>
  <si>
    <t>696050</t>
  </si>
  <si>
    <t>Insert comment into all termination to gauge/splitter block make-up procedures highlighting the potential issue of the wire ring falling off during makeup and how care needs to be taken to prevent this from occuring.  See recent technical bulletin generated by Martin Staelens</t>
  </si>
  <si>
    <t>ECR - INCORRECT UOM AND ROUNDING VALUES FROM RTA 685557.  SAP NUMBER 596396 SHOULD BE OBSOLETE AND COPY TO A NEW NUMBER AS EACH (UoM) WITH 2.0 ROUNDING VALUES. SAP NUMBER 596099 SHOULD BE OBSOLETE AND COPY TO A NEW NUMBER AS EACH (UoM) WITH 2.0 ROUNDING VALUES.
TSG TO REVISE REFERENCE NUMBER AS DISCUSSED PER ATTACHED EMAIL AND ECN (OEWUMI 27JUN11)
7-14-2011 PER OEWUMI IT WAS DECIDED THAT TSG WOULD CORRECT ROUNDING VALUES FROM 0.0 TO 2.0 ON BOTH PARTS. PARTS WILL NOT BE OBSOLETED. RTA WILL BE CANCELLED. JCC</t>
  </si>
  <si>
    <t>Maersk Oil Qatar</t>
  </si>
  <si>
    <t>695357</t>
  </si>
  <si>
    <t>696961</t>
  </si>
  <si>
    <t>marubeni</t>
  </si>
  <si>
    <t>need to update prep in mandrel to check valve interface to accomidate the long nose solid end sub.  reference check valve number 102008518.  material is needed for possible installation into the Marubeni development.</t>
  </si>
  <si>
    <t>696482</t>
  </si>
  <si>
    <t>Include an Error Free Design Checklist on part 9290-6486 and quality variants</t>
  </si>
  <si>
    <t>Request to revise &amp; combine the following procedures for assembly and test of the HF series packers:
023578-12-01
023578-09
ES-A-491
023578-10-00
032429-00
309839-02
023578-03-00
023578-02-00
023578-01-00
023578-00-00
033098-00-00
023578-14-01
023578-11
023578-10
023578-08-00
023578-07
023578-05
023578-04-00
Purpose:
- Revise procedures to reflect actual build sequence.
- Ensure all packer assembly procedures are written consistently to reduce variation (prevent assembly mistakes).
- Reduce the number of procedures.
- Implement Manufacturing best practices.
THIS RTA WILL BE CLOSED FOR THE REASONS LISTED BELOW:
- THE REQUEST HAS BEEN COMPLETED ON SEVERAL RTAS, SUCH AS RTA677665.
- OTHER REQUESTS PER THIS RTA HAVE BEEN DISCUSSED WITH THE MANUFACTURING TEAM (08JUL11), WE AGREED THAT THE REMAINING PARTS WILL BE ADDRESS ON SEPARATE RTAs.</t>
  </si>
  <si>
    <t>Customer cancelled order. Proceeding with release. 5/24/11 DM Assign to WD3  7/11/11 DM</t>
  </si>
  <si>
    <t>Customer requires completion prior to final equipment order.  4/18/11 DM Email to submitter requesting quality identifier.  5/11/11 DM In ckg 5/24/11 DM In approval 6/15/11 DM In Approval 6/1/11 DM  2011-06-27, Matthew Scogin:  Memo send out to Bill Hanks and George Arnold detailing the plan to design a new splice and qualify.</t>
  </si>
  <si>
    <t>26: SPLT=112 Emailed submitter to confirm Code 4 and AIS date. No AIS date or order yet per field.  4/26/11 DM Emailed field for clarification of requirements.  Email attached.  6/10/11 DM Placing RTA in design hold per conversation with A Pinheiro. Possibility RTA needs to be cancelled and he will follow up with either clarification of requirements or request to cancel.  6/10/11 DM Submitter will have answers from customer in 3 wks.  Placing on design hold until then.  7/7/11  Design has been completed and checked.  Design Hold will be removed and RTA pushed through as is.  Field can then decide whether or not to order.  7/12/2011 DM</t>
  </si>
  <si>
    <t>13: In approval queue.  7/11/11 DM</t>
  </si>
  <si>
    <t>Same As: 9385-6059; ROC-DFI GAUGE SUB- ASSEMBLY COMPONENT LI
Except: I need a feedthrough gauge assembly with special calibration 0psi to 5000psi and 0 deg C to 80 deg C similar to 93856059, except: I dont want the older ROD DF Gauge. I need this gauge to be one of the newest members of the ROC Gauge family.
Project Name: BC-10 Phase II
Special Quality Plan Required?: Yes
Quality Plan Identifier: SE1
Material: 
Mating Infomation:
Work With Third Party Tool Baker Hughes ESPs in Caisson Orientation
Run Above item with RTA Number R00000688331
Run Through Third Party Tool Shell has decided not to use gauge carrier mandrel. They want to use clamps to hold gauges to the pipe.
2011-07-12, Weekly Meeting:  Kenny to schedule a design review.  RTA to be placed into WIP and assigned to Mark Guy (Class C)</t>
  </si>
  <si>
    <t>26: SPLT=126 RTA to be placed into WIP and assigned to Mark Guy (Class C) 7/12/2011 DM.</t>
  </si>
  <si>
    <t>696099</t>
  </si>
  <si>
    <t>Woodside</t>
  </si>
  <si>
    <t>698600</t>
  </si>
  <si>
    <t>I need drawing No. 303654-00-00 (NUT, UPPER SEAT) modified to depict the following. 
1)  All (4) existing 1 inch diameter .75 in deep holes 
2)  The existing (2) 5/16 - 18 holes
3)  The (2) new 5/16 - 18 threaded holes to be placed 180 deg apart from each other, and rotated 90 deg from the existing 5/16 -18 threaded holes
4)  In the note section, reference the P/N: 23906 (Hoist ring) from Jergens.com and include them in the drawing 
  a) Mate them onto the existing threaded holes</t>
  </si>
  <si>
    <t>698786</t>
  </si>
  <si>
    <t>SOFTFLOW AGBAMI (ACCELEMETRICS)
I would like a D job number created for Softflow development. Softflow is a software that we will be using for Agbami, and future projects. 
The software will be created by a sub-contractor named Accelemetrics. The attachment below , signed by Mike Konopczynski, is the purchase request for this work. I am also attaching the current amendment to the Accelemetrics contract with this e-mail.
Project Name : Softflow development 
D800060</t>
  </si>
  <si>
    <t>Clifford Allen</t>
  </si>
  <si>
    <t>Timothy Sonnier</t>
  </si>
  <si>
    <t>------RTA HAS BEEN COMPLETED ON RTA 596328.------
-------------------S. TEHVEN---------------------
-------------------------------------------------
Request to remove note 2, where it references the component list, from drawing number 9290-2539 Rev A.
Set up and distributed to M. Scogin (JCallaway) 04072010</t>
  </si>
  <si>
    <t>698242</t>
  </si>
  <si>
    <t>NEED TO MIGRATE CURRENT SMARTWELL MASTER FROM:
- WINDOWS SERVER 2003 (32-BIT)
- SQL SERVER 2005
- ICONICS32 9.13
- MATRIKON OPC SERVER FOR MODBUS V4.3.0.0
TO:
- WINDOWS SERVER 2008 (32-BIT)
- SQL SERVER 2008 R2
- ICONICS32 V9.21
- MATRIKON OPC SERVER FOR MODBUS V4.6.0.572
THIS WAS DETERMINED TO BE A COMPONENT OF THE RTA 666736</t>
  </si>
  <si>
    <t>ECR-W.302276-00-01. DRG HAS TITLE DESCRIPTION AS SIZE 96 BUT THE -05 VARIENT IS A 1073 SIZE. SAP ALSO PULLS THIS -05 VARIENT AS SIZE 96. REMOVE OR RECTIFY THE 96 FROM THE -05 VARIENT TO AVOID CONFUSION
TSG NOTES--------------------------------------------------
7-20-2011 TO TSG TO CANCEL RTA; DRAWING IS BEING REVISED ON RTA 667350 JCC
-------------------------------------------------------END</t>
  </si>
  <si>
    <t>Youdee Udochukwu Uchime</t>
  </si>
  <si>
    <t>This is in relation to the BP Foinaven failure investigation. The L4 screen currently used needs to be investigated to be replaced with a screen that will have the ability to flow through and not plug the control line if it moves and mates up with the end of control line. Lee seems to have one such screen which is retained in place by a punched in hollow insert rather than a screw.
ZEWO:   103633205
Network: HTWF601776 M001</t>
  </si>
  <si>
    <t>AUTO GAUGE INSPECTOR
CREATE A SYSTEM FOR AUTOMATED GAUGE INSPECTIONS.  THE SYSTEM IS TO DECREASE THE TIME AND THE COMPLEXITY THAT IT TAKES TO INSPECT A GAUGE, SUCH THAT THE INSPECTION CREW CAN PLUG INTO THE GAUGE AND INTERACT AS LITTLE AS POSSIBLE WITH THE APPLICATION.  THE GAUGE REPORT WILL BE GENERATED BY THE SOFTWARE TO BE USED BY PRODUCTION.</t>
  </si>
  <si>
    <t>Same As: 9290-2525; MDRL,2-7/8 6.4 PPF ROC-L2 FLOMETR,VAM TOP
Except: 
1.Change thread: from 2 7/8 in; 6.4 ppf; Vam Top to 2 7/8in; 6.4ppf; Tenaris Hydril Blue. Box x Pin.
2.The OD need be compatible with the 5in, 18ppf, ID:4.276in.
3.Mandrel is required to handle either a ROCL2 or ROCL2F gauge assembly. If the ROCL2F gauge is used then we will need to attach a cap to the lower termination as there will be no lower gauge.  the parts number of gauge are 597880 and 597894.
4.Gaugue mandril with a straight 2.411 in bore through the mandrel rather than the profiles. 
Project Name: Permanet Monitoring for Argentina
Special Quality Plan Required?: No
Material: (1) Low Alloy Steel 80 MY 22HRC (ES-MA-18-9)
Technical Support Deliverables:
Preliminary Design Specifications
Reference Assembly Drawing
07-19-2011: KENNY PHAM FOR APPROVAL:
- DESIGN DOES NOT FIT CASING REQUIREMENTS.
- GAUGE ASSEMBLY DOES NOT FIT PROPERLY ONTO MANDREL.
- MANDREL OAL WAS O/S.
- SENT BACK TO DESIGN TO REWORK.
-----------
7-21-2011 RB - Design found not to fit into the customers required drift size. Will release the mandrel as-is (with larger Max OD than required drift) but this mandrel will not meet requested design requirements.</t>
  </si>
  <si>
    <t>ROC 30k Gauge Qualification
The purpose of this RTA is to extend the working pressure of the current ROC gauge designs to 30k psi. In addition, the resulting data will be used to fill in fault tree analysis values for the Woodside investigation.  The attached memo details the testing information provided to Woodside.  The details of the proposed qualification sceme are as follows:
Pressure Test to Failure
The qualification tests performed on components of ROC gauge assembly was planned to proof test individual components.  The testing goal was not to take components to failure.  Considering reliability analysis, pressure testing to failure has been identified to be immensely beneficial to determine the physical limits of the gauge components.  Additionally, failure point distribution can be used to project a probability of failure at gauge rating.  The testing identified is to quantify the top line failures in fault tree analysis.
Gauge Mount Sub
The failure of gauge mount sub components leads to tubing well fluids in annulus.  The Olive Metal Seal, Metal Spring Energized C-ring and Test Port Plug will be tested when pressure testing gauge mount sub to failure.
Cable Termination
The failure of cable termination could lead to loss of gauge data as the TEC connection to gauge is compromised.  The pressure testing of cable termination is aimed to test limits of Upper Ferrule Seal, Lower Ferrule Seal and the Seal between Top Union and Cable Head Housing.
Pressure Housing
Any failure of pressure housing will lead to fluid insertion and eventual loss of gauge data.  The testing of pressure housing will ascertain limits of Gauge Toolhead Seal (Metal C-ring and Metal Wire Ring), E-Beam Weld 2 (pressure housing and upper body weld) and E-Beam Weld 3 (pressure housing and transducer weld).
Pressure Testing Notes
-All gauge components need to be procured and a sample of fifteen is recommended for each seal.
-Special fixture will be designed and procured for withstanding testing limits.
-All component procurement, fixture design and experimental procedure drafts must be done in parallel in order to limit impact on project timeline.
-A test facility that will accommodate high pressure testing will be identified for completing the tests.
-Testing shall be completed on both 0.75in and 1.125in gauge pressure housings.
A product qualification report shall be generated to document the testing.
2011-07-19, ASWIN BALASUBRAMANIAN: THE MICROSOFT PROJECT PLAN HAS BEEN ATTACHED TO THE RTA.  THE TASK NUMBERS 45 TO 64 COVERS THE SCOPE OF THIS RTA.
ZEWO:  103633206
Network:  HTWM601777 M001</t>
  </si>
  <si>
    <t>698657</t>
  </si>
  <si>
    <t>Shell Nigeria</t>
  </si>
  <si>
    <t>Gaylon Deville</t>
  </si>
  <si>
    <t>Data Tech - Releasing</t>
  </si>
  <si>
    <t>699574</t>
  </si>
  <si>
    <t>ECR - MN 102010261 (MANDREL ASSEMBLY, CHEMICAL INJECTION,4 1/2-12.75PPF) item 7 component part 101819832/B Qty.6 needs to be replaced with 101926442 Qty.6 per discussion with Rameen Bakhtiary.</t>
  </si>
  <si>
    <t>34:</t>
  </si>
  <si>
    <t>37:</t>
  </si>
  <si>
    <t>38:</t>
  </si>
  <si>
    <t>39:</t>
  </si>
  <si>
    <t>40:</t>
  </si>
  <si>
    <t>699585</t>
  </si>
  <si>
    <t>41:</t>
  </si>
  <si>
    <t>42:</t>
  </si>
  <si>
    <t>Safety Sys - Quote - Same as 101871595 With a Hydraulic Pump
Only, Design Required Safety System - HES Nigeria
Same As: 71SSS1; SFTY SYS STD RTA DESIGN REQ
Except: DESIGN CONTROL PANEL SIMILAR TO P/N 101871595, LEGACY P/N 602992 551 A, BUT TO NOW INCLUDE A PNEUMATIC TO HYDRAULIC PUMP WITH MANUAL OVERRIDE IN LIEU OF JUST A HAND PUMP.
Project Name: 
Special Quality Plan Required?: No
Material: 
Technical Support Deliverables:
Preliminary Design Specifications
Reference Assembly Drawing
Reserve SAP Material Number
2011-06-20, Weekly Meeting:  Quote has been obtained and sent out to customer.  Final documentation in approval.</t>
  </si>
  <si>
    <t>Welcome</t>
  </si>
  <si>
    <t>-   From the main Excel menu, go to Excel Options</t>
  </si>
  <si>
    <t>-   In the 'Trust Center' tab click 'Trust Center Settings'</t>
  </si>
  <si>
    <t>-   In 'Macro Settings' choose 'Enable all macros' and</t>
  </si>
  <si>
    <t>700105</t>
  </si>
  <si>
    <t>700181</t>
  </si>
  <si>
    <t>RTA CREATION FOR NEW WA FOR ROCKNI VAN CLEIF</t>
  </si>
  <si>
    <t>700190</t>
  </si>
  <si>
    <t>Rockni Van Clief</t>
  </si>
  <si>
    <t xml:space="preserve">     in 'External Connections' choose 'Enable all Data Connections'</t>
  </si>
  <si>
    <t>**TIP: To permanently set these permissions:</t>
  </si>
  <si>
    <t>Cole Grandjean</t>
  </si>
  <si>
    <t xml:space="preserve">  *Remember that Macros and External Content must be enabled in order to use this sheet*</t>
  </si>
  <si>
    <t>682088</t>
  </si>
  <si>
    <t>700648</t>
  </si>
  <si>
    <t>700709</t>
  </si>
  <si>
    <t>101819467-Item 801 SDG-QC-010 is TO BE replaced with ES-A-549 in 9293-6XXX level.
Also is the 596696  (Loctite 242) to be changed over to part number 102041828(Loctite 243) ?</t>
  </si>
  <si>
    <t>700983</t>
  </si>
  <si>
    <t>Same As: 71SSS1; SFTY SYS STD RTA DESIGN REQ
Except: Single well Safety Panel
One 1 Hydraulic hand pump with reservoir One 1 5,000 PSI output to SSV One 1 set high/low pilots Capable of sensing up to 15,000 PSI Accumulator, relief valve, etc.
One 1 ESD circuit
Project Name: 
Special Quality Plan Required?: No
Material: 
Technical Support Deliverables:
Preliminary Design Specifications
Reference Assembly Drawing</t>
  </si>
  <si>
    <t>Antoine Berret</t>
  </si>
  <si>
    <t>Kenny Pham</t>
  </si>
  <si>
    <t>Ted Soules</t>
  </si>
  <si>
    <t>9670-6063 FRONT PANEL LOCTITE: THE CURRENT ASSEMBLY OF 9670-6063 DOES NOT USE LOCTITE.  THE ASSEMBLY DRAWING NEEDS TO BE UPDATED TO START USING LOCTITE.  ALSO ALL DOCUMENTATION FOR THE PART SHOULD BE CHECKED FOR CONSISTENCY.
2011-08-01 ASWIN BALASUBRAMANIAN: THE DECISION ON WHETHER TO MAKE THE PART A MAKE OR BUY WILL BE MADE AFTER ROBERT SMITH RETURNS FROM GERMANY.  THE DUE DATE HAS BEEN CHANGED TO END OF AUGUST IN ORDER TO ACCOMODATE THE REQUEST FROM ROBERT SMITH.</t>
  </si>
  <si>
    <t>35:</t>
  </si>
  <si>
    <t>701718</t>
  </si>
  <si>
    <t>Continuation of Power Harvester testing. 
 REF D701026-01 (PREV RTA 568726)
This RTA will cover the work being done currently to finalize the one year flow test of the prototype power harvester and the individual testing on the two new power harvesters being delivered by Moorfield.</t>
  </si>
  <si>
    <t>702043</t>
  </si>
  <si>
    <t>GENERATE NEW TEST CAP FOR 1/2 npt WITH 4-1/2 INCH 17LBS VAM TOP BOX THREAD.  REFERENCE 310202-11-01 PER G.B AND ATTACHED DOCUMENT.
TSG NOTES-------------------------------------------------
8-3-2011 TO TSG TO CANCEL RTA (DUPLICATE TO RTA 618871) J. CALLAWAY
-------------------------------------------------------END</t>
  </si>
  <si>
    <t>701968</t>
  </si>
  <si>
    <t>Test Digipulse integration with control system and 10kft of control line using operating procedure 315425-00-01, to specifically
1. Validate operating pressures and sequence
2. Contrast effects on calibration with old revision of procedure
3. Develop implementation method with existing equipment in multiple wells that were calibrated with old revision.</t>
  </si>
  <si>
    <t>702196</t>
  </si>
  <si>
    <t>702432</t>
  </si>
  <si>
    <t>ECR-Revise part 9290-6686 (101967051) and all quality variants to correct the documentation.
Item 0801 should be ES-A-538, and
item 0802 should be ES-A-530.
------
8/4/2011 ST - SENT TO R. BAKHTIARY FOR APPROVAL
------</t>
  </si>
  <si>
    <t>PLEASE WAIT… LOADING RTA DATA</t>
  </si>
  <si>
    <t>703939</t>
  </si>
  <si>
    <t>ECR - Procedure ES-A-523, pg 15, step 5.6.9 is: Ensure test keys are secured into the packer test slots with a worm drive clamp. Please change to: Secure test keys in the packer test slots. This will allow us flexibility to secure the test keys with something other than a worm drive clamp which we do not keep on hand. We normally use big zip ties for packer test keys. This is important when a 3rd party inspector is invloved.</t>
  </si>
  <si>
    <t>706061</t>
  </si>
  <si>
    <t>704858</t>
  </si>
  <si>
    <t>STANDING WA FOR COLE GRANDJEAN WD4</t>
  </si>
  <si>
    <t>704362</t>
  </si>
  <si>
    <t>UPDATE PART STRUCTURE TO ADD MISSING REFERENCE DOCUMENTS FOR PARTS
598526</t>
  </si>
  <si>
    <t>706692</t>
  </si>
  <si>
    <t>ECR- 9290-2767 REV A &amp; 9290-2715 REV B
Both thread call outs need updated to reflect box &amp; pin.
Both drawings state pins.</t>
  </si>
  <si>
    <t>702808</t>
  </si>
  <si>
    <t>702807</t>
  </si>
  <si>
    <t>703940</t>
  </si>
  <si>
    <t>707037</t>
  </si>
  <si>
    <t>702803</t>
  </si>
  <si>
    <t>RTA TO CREATE TEMPLATE FOR AMS PM GAUGE INTEGRATIONS- DISTRIBUTED TEMPERATURE SENSING</t>
  </si>
  <si>
    <t>704669</t>
  </si>
  <si>
    <t>Add SAP mn 693366 to CWI.  Spec attached.</t>
  </si>
  <si>
    <t>704240</t>
  </si>
  <si>
    <t>MN 101891038 - the control lines between the Y-splice clamp and the HS are not installed during Manufacturing.  This is most likely because there is not have an assembly procedure.
This forces the field to make up and test 4 additional FMJ connections.  These could be made up in Spring, in a more controlled environment.
I suggest creating a simple assembly procedure.  This will then get translated into a master router for the shop.</t>
  </si>
  <si>
    <t>703181</t>
  </si>
  <si>
    <t>ECR-9290-2738 at section A-A the dimension to the top face is missing.
The correct dimension should be 2.865.
Also I assume that the 4 holes ??-20
this dimension should read 8 HOLES
Red lined drg sent by Samuel Tehven.
------
8/8/2011 ST - SENT TO R. BAKHTIARY FOR APPROVAL
------</t>
  </si>
  <si>
    <t>703768</t>
  </si>
  <si>
    <t>708064</t>
  </si>
  <si>
    <t>708293</t>
  </si>
  <si>
    <t>Hibernia</t>
  </si>
  <si>
    <t>Part Number Setup Required for Following:
CONTROL LINE SINGLE 1/4 inch DIA. X 0.049 inch WALL X 2000 FT LONG REEL.
INCOLOY 825 SEAMLESS TUBING ENCAPSULATED IN A 11 X 11 MM
SQUARE TEFLON FEP JACKET WITHOUT BUMPER CABLE.
CERTIFICATION TO BE PROVIDED.
ENCAPSULATION TO BE SQUARE 11 X 11 MILLIMETRE
CONTROL LINE TO BE FLUSHED TO NAS 6 SPECIFICATION, TESTED AND FILLED WITH CASTROL BRAYCO SV3.
MANUFACTURER - MID SOUTH CONTROL LINE</t>
  </si>
  <si>
    <t>ECR - DRAWING D00387464 REV A:  MISSING RADIUS AT ZONE C-6 (MAKE SURE THE 30 DEG ANGLE IS STILL SHOWN), PLUS ADD BREAK EDGE WITH A R0.080 INCH. MARK-UP ATTACHED BELOW (T.O.)
DUE TO OTHER MANUFACTURING CONCERNS, ORIGINAL REVISION WILL BE REPLACED BY THIS ONE. 4.5 IN LUBE VALVE AND ALL APPLICABLE ASSEMBLIES WILL BE REVISED TO MATCH SAME SETUP AS THE 3.5 IN AND 5.5 IN LUBE VALVE PER ATTACHED MARKUP.  ES-A-434 WILL ALSO BE REVISED.  (P.A./O.E 18AUG11)</t>
  </si>
  <si>
    <t>702806</t>
  </si>
  <si>
    <t>704856</t>
  </si>
  <si>
    <t>CREATE STANDING WORK AUTH FOR COLE GRANDJEAN WD1</t>
  </si>
  <si>
    <t>Control Sys - Procedures for Champion West
Request creating Installation and Commissioning Procedure and Field Operations Manual for Champion West.
C05SHS36311100W - material number.
030111 ADD F.A.T. PROCEDURE FOR CHAMPION WEST</t>
  </si>
  <si>
    <t>SPLT-42 Ted to approve and release.  6/20/2011 DM Ted to approve by 8/24. 8/15/11 DM</t>
  </si>
  <si>
    <t>702809</t>
  </si>
  <si>
    <t>704667</t>
  </si>
  <si>
    <t>Add SAP mn 597659 to CWI.  Spec attached.</t>
  </si>
  <si>
    <t>703145</t>
  </si>
  <si>
    <t>707264</t>
  </si>
  <si>
    <t>Design control panel for Aramco RFQ no. 6200559794.  Bid closing date is Sept 3.</t>
  </si>
  <si>
    <t>9: SPLT=42 R Thornburg reviewing items that have been already quoted. Should be cancelled at a later date.  8/22/11 DM</t>
  </si>
  <si>
    <t>708294</t>
  </si>
  <si>
    <t>705344</t>
  </si>
  <si>
    <t>ECR-Drg 9290-2331 calls up the bore as 2.411 +0.060/-0.000 and the o/dia as 3.156 +0.000/-0.06.  The Halliburton and Welldynamics standards for this 2.78-6.5 EUE Pin thread call up 2.421/2.441 for the bore and 3.125/3.094 for the o/d.</t>
  </si>
  <si>
    <t>706059</t>
  </si>
  <si>
    <t>REVISE FOLLOWING PARTS:
102022977 : REPLACE ES-I-186 WITH ES-A-549 AS FIND 0801
102032351 &amp; 101893418 : ADD ES-A-549 AS FIND 0801</t>
  </si>
  <si>
    <t>704662</t>
  </si>
  <si>
    <t>BSP &amp; ARAMCO</t>
  </si>
  <si>
    <t>SWM SOFTWARE DEVELOPMENT FOR AUTOMATED SMARTPLEX. SUPPORT FOR TWO SYSTEMS: 2 WELL STANDALONE 96 ZONES AND 1 WELL 24 ZONES WCM.</t>
  </si>
  <si>
    <t>707207</t>
  </si>
  <si>
    <t>M/N-101847491, 101853798, 102002536, Drawing 311786-11-01 Rev.A
Please remove the 4.0 Min length dimension for the 3-1/2 VAM Top Pin Thread.</t>
  </si>
  <si>
    <t>Control Sys - Procedures for Iron Duke
REQUEST CREATING INSTALLATION AND COMMISSIONING PROCEDURE AND FIELD OPERATIONS MANUAL FOR IRON DUKE.
101866483 - MATERIAL NUMBER.
TSG NOTES -------------------------------------------------
060711 TSG RECD FOR PROCESSING DSH
06/10/11 TSG RETURNED RTA TO ENGINEERING FOR CORRECTIONS. ADD CHANGE DESCRIPTION AND NEED A SECOND APPROVAL ON TASK 638726 (GM)
--------------------------------------------------------END</t>
  </si>
  <si>
    <t>SPLT=42 Ted to approve and close out.  6/20/2011 DM Ted to approve by 8/24.  8/15/11 DM</t>
  </si>
  <si>
    <t>ELEK ECN - UPDATE CWI PART STRUCTURE. ADD FIND NO 0801:A-205; FIND NO 0802:GME-00001-2; FIND NO 0804:ES-MP-255; FIND NO 0805:D00420350; FIND NO 0806:B-009; FIND NO 0807:B-006.
RTA WILL BE CANCELLED, 595711 WAS TRANSFERRED TO ANOTHER RTA TO BE RELEASED (OEWUMI 14AUG11)</t>
  </si>
  <si>
    <t>Safety Sys - Design - Update 71C0643 From First Build
TO UPDATE DRAWING PACKAGE BASED ON FIRST TIME BUILD CHANGES</t>
  </si>
  <si>
    <t>704361</t>
  </si>
  <si>
    <t>UPDATE PART STRUCTURE TO ADD MISSING REFERENCE DOCUMENTS FOR PARTS
591524
594681
588536</t>
  </si>
  <si>
    <t>708276</t>
  </si>
  <si>
    <t>Control Sys - Single Well SHS
1 well SHS / HEC permanent, level 2 - automated pneumatically operated, synthetic oil
Opened 7/8/2009 jcc
2011-06-20, Weekly Meeting:  As built documentation outstanding.</t>
  </si>
  <si>
    <t>SPLT=126 As built documentation outstanding.</t>
  </si>
  <si>
    <t>ECR 312850-00-01 REV D CAN THE MISSING DIMENSION BE ADDED TO DRAWING? SEE ATTACHED EMAIL DATED 2004.
RTA WILL BE CANCELLED BECAUSE REQUEST WAS DUPLICATED AND PROCESSED ON RTA 692581 (OEWUMI 11AUG11)
TSG NOTES--------------------------------------------------
8-11-2011 TO TSG TO CANCEL (DUPLICATE: WORK PROCESSED ON RTA 692581) J. CALLAWAY
--------------------------------------------------------END</t>
  </si>
  <si>
    <t>703769</t>
  </si>
  <si>
    <t>CREATE AMS TEMPLATE FOR DI SUBSEA HARDWARE</t>
  </si>
  <si>
    <t>20: SPLT=112 Quote has been obtained and sent out to customer.  Final documentation in approval. In approval queue.  7/11/11 DM Dana to cancel and extend SAP 102068650 to plant 2032 &amp; move ownership from Lab office 46 to WD2.  8/15/11 DM</t>
  </si>
  <si>
    <t>707501</t>
  </si>
  <si>
    <t>703770</t>
  </si>
  <si>
    <t>CREATE AMS TEMPLATE FOR DI SOFTWARE</t>
  </si>
  <si>
    <t>702891</t>
  </si>
  <si>
    <t>UPDATE 101996838 TO REMOVE ES-A-588 AND ADD TO 9293-XXXX (101996840)SEE ATTACHED REQUEST.</t>
  </si>
  <si>
    <t>704514</t>
  </si>
  <si>
    <t>Add FS1 quality variant to mn 598392 (ref 9388-6038).
Customer:  FMC/Shell
Project:   Bonga
Quality:   FS1
TSG NOTES--------------------------------------------------
081111 TSG RECD FOR PROCESSING; PROVIDED QUALITY WITH TDR (GMC)
081611 RECD MARKUPS FROM QUALITY; SENT RTA TO QUALITY FOR REVIEW AND APPROVAL (GMC)
--------------------------------------------------------END</t>
  </si>
  <si>
    <t>704670</t>
  </si>
  <si>
    <t>Add SAP mn 693365 to CWI.  Spec attached.</t>
  </si>
  <si>
    <t>MC Valve 101864009 had tolerance issues during asst, I think we need to check tolerances on MC valve asst and change dimensions on bottom sub per attached rework drawing
2.15 &amp; 2.39 reference dimensions
Set up and distributed to P. James (JCallaway) 04052010
101864009 is bottom sub part number
Reference Q-note 200555767
TSG NOTES--------------------------------------------------
8-23-2011 TO TSG TO CANCEL; WORK BEING DUPLICATED ON TASK 570175 PER O. EWUMI J. CALLAWAY
-------------------------------------------------------END</t>
  </si>
  <si>
    <t>2-7/8 HS shrouded on-off valve Strategic Development - no customer.</t>
  </si>
  <si>
    <t>ECR
M/N-587963, 587974, 587985, 587996, and all other carbon steel set screws listed on T00000607659.
Please leave the material spec. ES-MA-10 as this is a more comprehensive specification suitable for carbon steel set screws.
-----------------------------------------------------------
RTA TO BE CANCELLED BY TSG. EFFORT IS BEING DUPLICATED ELSWHERE AS PER PAUL JAMES_08/11/2011._A.BERRET
-----------------------------------------------------------</t>
  </si>
  <si>
    <t>Same As: 71SSS1; SFTY SYS STD RTA DESIGN REQ
Except: Modify design no. 71zz3075 to now include remote shut down feature 71ca93.  Set up SAP P/N
Project Name: 
Special Quality Plan Required?: No
Technical Support Deliverables:
Preliminary Design Specifications
Reference Assembly Drawing
Reserve SAP Material Number</t>
  </si>
  <si>
    <t>17: SPLT=42 Ahmed to approve by 8/19.  Dana to create new RTA for CO.  8/15/11 DM</t>
  </si>
  <si>
    <t>Require a low cost 2.875 inch fitting kit (ie cast or pressed steel) similar to the one designed for the 3.5 inch size. Require this to be compatible with direct as well as digital hydraulics integrations. Bypass lines / splice block etc should be the same as the 3.5inch low cost fitting kit design.
Please contact PLM for additional information.
ZEWO:  103672503
Network:  HTWF601817 M001</t>
  </si>
  <si>
    <t>Control Sys - Procedures for Champion Waterflood
Request creating Installation and Commissioning Procedure, Field Operations Manual AND FAT for Champion Waterflood.
C05SHS36310100 - material number.</t>
  </si>
  <si>
    <t>SPLT=42 Ted to approve and release.  6/20/2011 DM Ted to approve by 8/24.  8/15/11 DM</t>
  </si>
  <si>
    <t>Create a standardised shroud kit with the following components:
1. shroud pup
2. landing nipple
3. shroud crossover
4. lock mandrel
5. equalizing valve
6. coupling
7. tubing pup joint
8. WIRELINE REENTRY GUIDE.
This kit shall be in 13 Cr Metalurgy and rated to 10K</t>
  </si>
  <si>
    <t>Create a standardised shroud kit with the following components:
1. shroud pup
2. landing nipple
3. shroud crossover
4. lock mandrel
5. equalizing valve
6. coupling
7. tubing pup joint
8. WIRELINE REENTRY GUIDE.
This kit shall be in INC 718 Metalurgy and rated to 10K</t>
  </si>
  <si>
    <t>705960</t>
  </si>
  <si>
    <t>706020</t>
  </si>
  <si>
    <t>705619</t>
  </si>
  <si>
    <t>Same As: 71SSS1; SFTY SYS STD RTA DESIGN REQ
Except: Set up SAP P/N for Panel Design no. 71ZZ3075
Tech Start Date is in the past
Project Name: 
Special Quality Plan Required?: No
Material: 
Mating Infomation:</t>
  </si>
  <si>
    <t>5: SPLT=154</t>
  </si>
  <si>
    <t>706691</t>
  </si>
  <si>
    <t>I kindly request you update our records (Matrix) for P/N 101315482 (legacy P/N 93FA742) to 
Now reflect the vendor to be Donaldson P/N P562270.
This is necessary since LHA P/N TM-3-100 is no longer available and replaced by above</t>
  </si>
  <si>
    <t>BP Algeria</t>
  </si>
  <si>
    <t>705154</t>
  </si>
  <si>
    <t>707805</t>
  </si>
  <si>
    <t>Turkish Petroleum</t>
  </si>
  <si>
    <t>ECR TO CREATE AS BUILT DRAWINGS FOR 71CO647 FOUR WELL MODULAR SAFETY SYSTEM FOR TURKISH PETROLEUM</t>
  </si>
  <si>
    <t>705274</t>
  </si>
  <si>
    <t>Shell (305389)</t>
  </si>
  <si>
    <t>707803</t>
  </si>
  <si>
    <t>ECR TO CREATE AS BUILT DRAWINGS FOR 71CO646 FOR TURKISH PETROLEUM</t>
  </si>
  <si>
    <t>A Routine Is currently running (1=true)</t>
  </si>
  <si>
    <t>Diable Full Screen Option</t>
  </si>
  <si>
    <t>708834</t>
  </si>
  <si>
    <t>Hal Norway</t>
  </si>
  <si>
    <t>Create SAP Mn for SINGLE CL WITH 1 HYDRAULIC 5500M AND TT240</t>
  </si>
  <si>
    <t>708731</t>
  </si>
  <si>
    <t>WD Mfg Eng</t>
  </si>
  <si>
    <t>CBM project: Drawing update/migration from Domino to CWI per attached legend.</t>
  </si>
  <si>
    <t>UPDATE ALL LISTED ANCHOR CLAMP ASSEMBLIES WITH DRAWINGS TO REPLACE DUMMY BOMS. ADD SMART NUMBERS TO ALL ANCHOR CLAMPS WITHOUT ONE CURRENTLY ASSIGNED
ADD TASK 602613 TO RTA (OEWUMI 02JUN11)
-----------------------------------------------------------FOLDER RETURNED TO SCOTT GARNER FOR MINOR EDITING (DRAWINGS)_A. BERRET_08/25/2011---------------------------------------------------------------------------------------</t>
  </si>
  <si>
    <t>708549</t>
  </si>
  <si>
    <t>708562</t>
  </si>
  <si>
    <t>708734</t>
  </si>
  <si>
    <t>708728</t>
  </si>
  <si>
    <t>708730</t>
  </si>
  <si>
    <t>708737</t>
  </si>
  <si>
    <t>708951</t>
  </si>
  <si>
    <t>ECR - MN 102028446 has ES-A-493 in the CWI structure. Per Kenny Pham this has been replaced with ES-A-537. Please update the CWI structure.</t>
  </si>
  <si>
    <t>708963</t>
  </si>
  <si>
    <t>Mansarovar Energy Colombia</t>
  </si>
  <si>
    <t>This RTA is a request to download and make available the drawings for the Ez-GAUGE TRI-CHAMBER GAUGE ASSY SAP number 590434 and all the sub-assemblies parts linked with this equipment.</t>
  </si>
  <si>
    <t>MISC E-MAIL REQUEST
042111 ESMERALDA MCLEANE
REF E-MAIL: FW_RFQ-FMC
042811 ALE AVILA: THESE TWO PARTS SHOULD BE CREATED IN CWI AND BOM SHOULD BE FILLED IN.  I REVIEWED THE ITEM LIST (IL) DOCUMENTS AND ALMOST ALL PARTS IN THE IL ARE DEFINED IN CWI ALREADY.  IF THEY ARE NOT IN CWI, THEN THE DRAWINGS CAN BE FOUND IN ENGINEERING PUBLIC. FOR 0146-6020, ITEM 1, 9850-2087, IS NOT IN CWI OR IN MATERIAL MASTER, BUT ITS DRAWING IS IN ENGINEERING PUBLIC (AS 98502087.DWG), SO THAT PART MUST BE CREATED AND ITS DRAWING ATTACHED.  THE OTHER THREE COMPONENTS FOR 0146-6020 ARE ALREADY LOADED IN CWI, AND THEY CAN BE CONNECTED TO THE PART BOM AS IS.  FOR 0146-6021, ALL PARTS ARE CURRENTLY LOADED IN CWI, SO THEY ARE READY TO BE CONNECTED.  MECHANICAL ENGINEERING WILL HAVE TO REVIEW ITEM 4 IN THE BOM BECAUSE THE DESCRIPTION IN THE ITEM LIST DOES NOT MATCH THE DECRIPTION OF THE PART IN CWI (DIFFERENT MATERIAL).
042811 CHANGED RTA TYPE FROM STOP WORK TO ECR - ENGINEERING TIME AND INPUT REQUIRED TO PROCESS RTA (GMC)
TSG NOTES--------------------------------------------------
081811 TSG RECD FOR PROCESSING; D. MOE WILL ADVISE 3-DIGIT IDENTIFIER QP, NEED INPUT FROM D. PATTON WHO IS OUT OF THE OFFICE TODAY (GMC)
081911 RELEASED BASE; WAITING FOR CONFIRMATION OF 3-DIGIT IDENTIFIER FROM D.MOE AND/OR D.PATTON BEFORE PROVIDING QUALITY WITH TDRs (GMC)
082411 CHECKED WITH D. MOE TO FIND OUT IF AN IDENTIFIER HAD BEEN CONFIRMED; D. PATTON STILL WAITING FOR AN ANSWER (GMC)
082911 UPDATED ENGINEERING DUE DATE WAS: 08/25/11 IS: 09/06/11 - WAITING FOR 3-DIGIT IDENTIFIER CONFIRMATION FROM CUSTOMER SERVICE (GMC)
--------------------------------------------------------END
------
8/17/2011 ST - SENT TO M. GUY FOR CHECKING
------
8/17/2011 MG - CHECKING COMPLETED, FORWARD TO SAM FOR APPROVAL
------
8/17/2011 ST - SENT TO M. SCOGIN FOR APPROVAL
------</t>
  </si>
  <si>
    <t>710228</t>
  </si>
  <si>
    <t>Servisprommash LLC</t>
  </si>
  <si>
    <t>Set up a part number for Needle valve with the following description:
Needle Valve, 1/4 FNPT x 1/4 MNPT, Stainless Steel, 10,000 psi Working Pressure, 
Swagelok p/n SS-3HNRM4-F4.</t>
  </si>
  <si>
    <t>710536</t>
  </si>
  <si>
    <t>CREATE DRAWING SHOWING TOP LEVEL CONTROL SYSTEMS (SHS) MODULES (WCM). ALSO DRAWING FOR TOP LEVEL SAFETY SYSTEMS
CREATE EXCEL SPREAD SHEET THAT SHOWS ALL LEVELS OF A CONTROL SYSTEM - CABINET, HSC, WCM FRAME, WCM PANEL WCMS ETC TO BE USED AS A DESIGN AID. SIMILAR EXCEL SHEET FOR SAFETY SYSTEMS</t>
  </si>
  <si>
    <t>711930</t>
  </si>
  <si>
    <t>CREATE STANDING WORK AUTH FOR ALISTAIR STUART WD3</t>
  </si>
  <si>
    <t>709420</t>
  </si>
  <si>
    <t>DEVELOPMENT OF A 5.500 CIRCULATING VALVE THAT CAN BE MUTLI-FUNCTIONED AT DEPTH WITHOUT THE REQUIREMENT OF CONTROL LINES.
DESIGN MUST BE ABLE TO 
1. OPEN TO ALLOW CIRCULATION OF COMPLETION FLUID ABOVE THE UPPER MOST COMPLETIONS PACKER 
2. CLOSE TO FACILITATE PRODUCTION</t>
  </si>
  <si>
    <t>710227</t>
  </si>
  <si>
    <t>Set up a part number for Needle valve with the following description:
Needle Valve, 1/2 FNPT x 1/2 MNPT, Stainless Steel, 10,000 psi Working Pressure,
Swagelok p/n SS-6HNRM8-F8.</t>
  </si>
  <si>
    <t>711284</t>
  </si>
  <si>
    <t>M/N-102000548, 594268, 594270, 594272, 594274, 602312, Drawing 313557-00-01 Rev.D
Nippon has changed the OD over box connections again and update is needed. The 5.00 24.1 Box OD blanking dimension should be 5.750/5.782 and the 5-1/2 26.0 Box OD blanking dimension should be 6.221/6.253. The .63 diameter by .160 deep counterbore shown in DETAIL-D will also need to be updated (reference dwg 307019 for proper view of the 40 deg angle at detail D).</t>
  </si>
  <si>
    <t>711794</t>
  </si>
  <si>
    <t>Need part number created for the following third party item.
3.5in SCSSV Standoff protector - Cannon design for 3.5in tubing to capture one bare 1/4in lines and one encapsulated 1/4in line.  To fit on 3.5in premium tubing and protect lines going by an SCSSV having an OD of 5.2in.</t>
  </si>
  <si>
    <t>709412</t>
  </si>
  <si>
    <t>An Echo triggered, battery powered control module combined with electro/hydraulic pump/motor capable of multi-functioning a downhole 4.500 lubricator valve.
Idea is to combine the current trigger device development with the electro/hydraulic pump from the all electric development projects.
Petrobras are interested in a lubricator valve that can be functioned 5 times downhole without the use of control lines. Desired battery life to match competitors current advertised lifetime of 10 months.</t>
  </si>
  <si>
    <t>710000</t>
  </si>
  <si>
    <t>Create material number that is not vendor specific.
Current material number 665770, UOM is EACH.
Material number 665770 current description is 
CROSS CPLG CLAMP,3.50 inch ,10263-01</t>
  </si>
  <si>
    <t>711931</t>
  </si>
  <si>
    <t>CREATE STANDING WORK AUTH FOR ALISTAIR STUART WD5</t>
  </si>
  <si>
    <t>710908</t>
  </si>
  <si>
    <t>Part 1. Requesting ES-A-505 Rev. C has a dissasembly section added to the assembly procedures for proper documentation of rework. 
Part 2. The flow of the ES-A-505 Rev. C does not reflect current shop practice. Step 6 and 7 on page 4 and pic on page 5 are now assembled after step 11 due to an assembly sleeve created by engineering.The flow of the build should look like step 1,2,3,4,5,8,9,10,11,7,12,6 and 13 for ES-A-505 Rev.C.Any questions please contact Christopher Vancamp</t>
  </si>
  <si>
    <t>ECR - (Originally created in ETQ on SDC - 000177) There is no callout for countersinks at the threaded holes used to attach the straps. With no countersink, the screw head does not seat far enough to secur the strap, even with an undercut screw.
This may also be the case on other Top Subs and Bottom Subs.
See attached print where 3-1/2 valve has counter sink and 2-7/8 valve is missing countersink.
Set up and distributed to P. James (JCallaway) 04232010
TSG NOTES--------------------------------------------------
8-30-2011 TSG TO CANCEL PER C. GRANDJEAN JCC
--------------------------------------------------------END</t>
  </si>
  <si>
    <t>711926</t>
  </si>
  <si>
    <t>CREATE STANDING WORK AUTH FOR ALISTAIR STUART WD2</t>
  </si>
  <si>
    <t>709467</t>
  </si>
  <si>
    <t>ECR - UPDATE AND REVISE ALL 1172 HFI PACKER DRAWINGS AND PARTS DUE TO DUPLICATES.</t>
  </si>
  <si>
    <t>710515</t>
  </si>
  <si>
    <t>710531</t>
  </si>
  <si>
    <t>CREATE DRAWING THAT SHOWS HYDRAULIC SYMBOLS AND THEIR DEFINITIONS TO BE ADDED TO DRAWING PACKAGES WITH SCHEMATICS FOR BOTH CONTROL SYSTEMS AND SAFETY SYSTEMS</t>
  </si>
  <si>
    <t>710463</t>
  </si>
  <si>
    <t>Halliburton</t>
  </si>
  <si>
    <t>TEST PLEASE DELETE Standing RTA. ~</t>
  </si>
  <si>
    <t>Eric Lucyk</t>
  </si>
  <si>
    <t>2:  splt=182    RTA links into RTA 682094. H Singh working on design to meet with R Smith after he returns from Dubai.  7/11/11 DM  Robert and Harjeet to review details for gauge connection this week.  7/25/11 DM Robert to meet with Harjeeet to review gauge conection details.  8/22/11 DM  Alistair working on solution.  8/29/11 DM</t>
  </si>
  <si>
    <t>HS On-Off interval Control Valve, this is to be the new low cost design. To suit SmartPlex Clamp.
09/01/2011 - DESIGN HOLD BY: SCOTT HOADLEY.</t>
  </si>
  <si>
    <t>Kelly Neves</t>
  </si>
  <si>
    <t>710090</t>
  </si>
  <si>
    <t>Conoco Phillips</t>
  </si>
  <si>
    <t>Alistair Stuart</t>
  </si>
  <si>
    <t>Engineer</t>
  </si>
  <si>
    <t>713135</t>
  </si>
  <si>
    <t>PINNACLE</t>
  </si>
  <si>
    <t>MANDREL ASSEMBLY DESIGN TO ACCOMMODATE A DUAL BLOCK WITH SINGLE .75IN ROC-175 END GAUGE WITH TERMINATION/CONTROL LINES TO BE DEPLOYED IN A 4.5INCH-13.5PPF P-110 CASING STRING INSIDE A 6.125INCH OPEN HOLE.
DESIGN REQUIREMENTS:
- RUNNING OD  LESS THAN 5.45 INCHES AND FIT WITHIN A DESIGN CIRCLE OF 6.29 INCHES OR LESS WHEN CENTRALIZED.
- BYPASS CHANNEL(S) ONE 1/4 INCH CONTROL LINES (WOULD PREFER ROOM FOR TWO).</t>
  </si>
  <si>
    <t>713699</t>
  </si>
  <si>
    <t>ECR - drawing 316489-02-01, crossover, requires more information for idenifying the threads on the outside of the part. One end is a 9.2 lb thread and the other end is a 10.2 lb thread. If the part were etched on the outside identifying each thread type, size, and weight, this would help with assembly. We have had several MC Packers make it out of production with this crossover torqued to the packer backwards. The 9.2 lb thread was torqued to the packer which is 10.2 lb. See attachment.</t>
  </si>
  <si>
    <t>713656</t>
  </si>
  <si>
    <t>To create a 3.5 HSB valve (4140/Inc 718) integretion with accupulse(9 cr) with multi function fitting kit for saudi Aramco along lines of currently supplied HVC integretion (102003691)</t>
  </si>
  <si>
    <t>713299</t>
  </si>
  <si>
    <t>713559</t>
  </si>
  <si>
    <t>STANDING WA FOR HAKEEM OGUNBUNMI, LAB OFFICE WD2</t>
  </si>
  <si>
    <t>715217</t>
  </si>
  <si>
    <t>On drawings 312906-00-01 Rev.C, 312865-00-01 Rev.E and 311345-00-01 Rev.F Please remove the B-001 coating requirement and update associated BOMs</t>
  </si>
  <si>
    <t>32.1: SPLT=21  Product Line to schedule a review meeting on scope and support.  2011-08-30 MS</t>
  </si>
  <si>
    <t>714562</t>
  </si>
  <si>
    <t>OBSOLETE AND SUPERCEDE -SV1 STATOIL PARTS PER D. HICKMAN
TSG NOTES--------------------------------------------------
9-16-2011 IN PROCESS BY TSG J. CALLAWAY
-------------------------------------------------------END</t>
  </si>
  <si>
    <t>714532</t>
  </si>
  <si>
    <t>Chemical Injection mandrel 9290-2681 (bought by Malaysia region) had two problems.
1) The CIV ports were too close together resulting in problems getting the CIVs made up to the correct torque as the wrench head impacts the adjacent CIV when turning, causing the wrench to slip.
2) Also, the slots near the top of the mandrel through which the CI line passes through are not wide enough to allow the CV 1/2in. PTCM Nipple and the Jam Nut to pass through.  These parts are normally slid up the line, taped in place, and once the tube is in the CIV body, they are slid into position.
Please also check other dual CI mandrels for instances where the ports may be too close together.
-=-=-=-=-=-=-=-=-=-=-=-=-
9/19/2011 RB - Attached drawings provided by Martin S.</t>
  </si>
  <si>
    <t>MISC E-MAIL REQUEST
020711 ERIC MORRELL
REF: E-MAIL: 101915396
TSG NOTES-------------------------------------------------
091911 PENDING CLARIFICATION ON ADDITIONAL SPEC FROM RAMEEN B. (DSH)
------------------------------------------------------END</t>
  </si>
  <si>
    <t>713970</t>
  </si>
  <si>
    <t>361394</t>
  </si>
  <si>
    <t>Same As: 922SNW33033; SNGL ENCAPS HYDR CONTR,LINE,1/4 X .049,3
Except: CL INC825, 120m, 1/4in x .049 sant Encap
Material Incoloy 825
Size 1/4in OD x .049, Seamless
Santoprene Encapsulated 11mm x 11mm
on Wooden Spool
Manufacturer is MidSouth who quoted this item
Tech Start Date is in the past
Quoted Manufacturing Lead Time is negative.
Project Name: GtG Contract
Special Quality Plan Required?: No
Material: 
Mating Infomation:</t>
  </si>
  <si>
    <t>713166</t>
  </si>
  <si>
    <t>OBSOLETE -SV3 STATOIL IDENTIFIERS PER QUALITY
TSG NOTES-------------------------------------------------
9-15-2011 TO TSG FOR PROCESSING J. CALLAWAY
9-16-2011 PAPERWORK AND TASK TO QUALITY FOR APPROVAL; QUALITY CANNOT PROCESS UNTIL WEEK OF OCTOBER 3RD PER D. HICKMAN JCC
------------------------------------------------------END</t>
  </si>
  <si>
    <t>713561</t>
  </si>
  <si>
    <t>STANDING WA FOR HAKEEM OGUNBUNMI, LAB OFFICE WD5</t>
  </si>
  <si>
    <t>713563</t>
  </si>
  <si>
    <t>STANDING WA FOR HAKEEM OGUNBUNMI, LAB OFFICE WD3</t>
  </si>
  <si>
    <t>714382</t>
  </si>
  <si>
    <t>OBSOLETE -SV3 PARTS</t>
  </si>
  <si>
    <t>714352</t>
  </si>
  <si>
    <t>Update attached procedure 7000-5051 to new format for control line to tubing hanger connections.  2225-5004 can be used as a guide as it will be almost the same.  All references to check valves in 7000-5051 need to be removed as this is covered in 2225-5004.  But a new 2225-5XXX procedure needs to be created for these tubing hanger connectors.  Consult Martin Staelens or Phil Allardyce for help before beginning.</t>
  </si>
  <si>
    <t>713131</t>
  </si>
  <si>
    <t>714210</t>
  </si>
  <si>
    <t>714211</t>
  </si>
  <si>
    <t>LASCO STEEL</t>
  </si>
  <si>
    <t>TEST PLEASE DELETE This is a test RTA for EAL8932 ~</t>
  </si>
  <si>
    <t>MISC E-MAIL REQUEST
011811 EDWIN GONZALEZ
REF E-MAIL: PN 598161 SPECS REQUIRED
TSG NOTES--------------------------------------------------
091911 UPDATED TO ECR- 
REQUEST SENT TO ENGINEERING TO REVIEW PN 598157 AND CONFIRM IF SUPPORTING DOCUMENTATION IS REQUIRED. DSH
-----------------------------------------------------END</t>
  </si>
  <si>
    <t>Development of Low Profile replacement hydraulic connector to replace the FMJ. Objective is to reduce overall diameter to 0.5 inch and, if possible, reduce cost.
ZEWO:    103699731
Network: HTWF601847</t>
  </si>
  <si>
    <t>712307</t>
  </si>
  <si>
    <t>Hakeem Ogunbunmi</t>
  </si>
  <si>
    <t>715476</t>
  </si>
  <si>
    <t>The field needs a linear transducer and digital display for the calibration of Accupulse assembled to the HSB valve.  This needs to be a kit that is durable and easy to hook up and use.  Environment could be dusty and up to 130DegF.  Will need to be easily calibrated/maintained.  Optional output to connect to a data acquisition would be a plus.  Last but not least, needs to be cheap and easy.</t>
  </si>
  <si>
    <t>715471</t>
  </si>
  <si>
    <t>ECR 9290-2548 REV 1.
Add 13 deg missing dimension to drawing as per attachments.</t>
  </si>
  <si>
    <t>ESG SDN BHD</t>
  </si>
  <si>
    <t>Assign to:   Joshua Steinhoff - Create upper level part number for MN 102043084 HEC 4 Bay MN 598358 WCMs - qty 4 MN __ Cable - set up at 100 ft increments To be done as an X not a make or buy</t>
  </si>
  <si>
    <t>715683</t>
  </si>
  <si>
    <t>Perform simulation of flow rate through 0.25 in 0.065 inch INC825 control line using transaqua HT2 and HW443. The flow direction should be from reservoir to surface. The idea is to simulate how fast, the hydrualic fluid would be pushed out of the control line before we see hydrocarbons to surface. Please contact PLM if you need additional information. See attached requirements document. This is a client request - Mark Barrilleaux BP</t>
  </si>
  <si>
    <t>715641</t>
  </si>
  <si>
    <t>715739</t>
  </si>
  <si>
    <t>26:  splt=N/A</t>
  </si>
  <si>
    <t>24:  splt=N/A</t>
  </si>
  <si>
    <t>BP would like to verify the Cv values of their flow trim. The have agreed to pay for testing their valves in a flow loop environment to validate the Cv curves. BP will be providing the valves for the test. Following are the commodity numbers
215HA0450042-BP1 SAP 101978554
215HA0350048-BP1 SAP 101988432
I have tentatively booked 3 weeks in Nov 2011 in Duncan to conduct. Require enginnering to prepae test procedure for approval by BP prior to starting any testing. TPI is likely to witness the testing.Please contact PLM for further information.
ZEWO:  103708913
Network:  HTWF601853 M001</t>
  </si>
  <si>
    <t>SPLT=112 @@  Submitted 14 weeks inside lead time.  Emailed submitter to confirm AIS date.  9/20/11 DM Cancelling RTA per attached email.  9/21/11 DM</t>
  </si>
  <si>
    <t>Last sorted column</t>
  </si>
  <si>
    <t>Sort Order (d-descending, a-ascending)</t>
  </si>
  <si>
    <t>716378</t>
  </si>
  <si>
    <t>ICV valve CT shifting tool for 4-1/2 tubing (Collapsed OD 3.4in)
Suggest to ECN or outdate MN 590543, 290HM0375000.   Create new MN (or ECN existing MN) using the LV shifting tool MN 101891607 model with smaller collapsed OD of 3.4in.  The new tool should use all of the same components with the exception of item 5 (keys).  This will use the same pictorial, tech doc, redress kit and assembly tool kit as the LV shifting tool.  This can be processed at the same time as RTA 688498.</t>
  </si>
  <si>
    <t>30:</t>
  </si>
  <si>
    <t>M/N-102010227 Drawing 9290-2714 Rev.A
Please remove find number 0807 (B-006) from the drawing and BOM; Tenaris does not allow this pin connection to be bead blasted.
----------------------------
7/7/2011 - INVESTIGATE 0807 (B-006) BEAD BLAST DIRECTIVE. UPDATE &amp; ADD DRAWINGS, PROCEDURES &amp; EDS SHEET. 
-=-=-=-=-=-=-=-=-=-=-=-=-=
COMPLETED &amp; FORWARDED TO RAMEEN FOR CHECKING 7/8/2011-MG.
-=-=-=-=-=-=-=-=-=-=-=-=-=
7/11/2011 - Returned to Mark for 0807 update.
-=-=-=-=-=-=-=-=-=-=-=-=-=
7/11/2011 - FIND NUMBER 0807 (B-006) REINSTATED ON DRG. LAST CLAUSE IN B-006 CLARIFIES DIRECTIVE TO BEAD BLAST ONLY WITH THREAD MANUFACTURER PERMISSION. THIS NOTE HAS BEEN AGREED BETWEEN TENARIS &amp; WELLDYNAMICS SEVERAL YEARS AGO.
-=-=-=-=-=-=-=-=-=-=-=-=-=
7/12/2011 - FORWARDED TO RAMEEN FOR CHECKING. MG
To James for cking.  8/15/11 DM</t>
  </si>
  <si>
    <t>36:</t>
  </si>
  <si>
    <t>717227</t>
  </si>
  <si>
    <t>BP Luanda Angola</t>
  </si>
  <si>
    <t>717215</t>
  </si>
  <si>
    <t>716766</t>
  </si>
  <si>
    <t>716918</t>
  </si>
  <si>
    <t>ECR - Surface Treatment Procedure B-006 is being revised to ensure that the bead blasting process is included on all incoming material. Format of the document is also modified and attached to this RTA for release to Rev D.</t>
  </si>
  <si>
    <t>717343</t>
  </si>
  <si>
    <t>Cross Coupling Protector
Suitable for 3 1/2 9.2 VAFT Connection
and QTY 2 of 11 x 11 mm lines</t>
  </si>
  <si>
    <t>717347</t>
  </si>
  <si>
    <t>717349</t>
  </si>
  <si>
    <t>717356</t>
  </si>
  <si>
    <t>ADCO BB 617</t>
  </si>
  <si>
    <t>Cross Coupling Clamps
Tubing ¿¿ 3 1/2¿¿ 9.2 lb/ft VAGT Connection
Material: Cast Iron
To protect: 1 off triple 36mm x 12mm, 1 off 13mm
x 13mm, 2 off 11mm x 11mm</t>
  </si>
  <si>
    <t>717360</t>
  </si>
  <si>
    <t>Set up part number for Hanger Fittings for BB 617 Project for ADCO</t>
  </si>
  <si>
    <t>717760</t>
  </si>
  <si>
    <t>WD6</t>
  </si>
  <si>
    <t>717930</t>
  </si>
  <si>
    <t>717875</t>
  </si>
  <si>
    <t>Require a low cost 4.5 inch fitting kit (ie cast or pressed steel) similar to the one designed for the 3.5 inch size. Require this to be compatible with direct as well as digital hydraulics integrations. Bypass lines / splice block etc should be the same as the 3.5inch low cost fitting kit design or more.
This fitting kit needs to be designed and qualified so as to be integrated with equipment that will be delivered inJune 2012 delivery to Petrobras
Please contact PLM for additional information.</t>
  </si>
  <si>
    <t>717933</t>
  </si>
  <si>
    <t>717862</t>
  </si>
  <si>
    <t>717871</t>
  </si>
  <si>
    <t>717876</t>
  </si>
  <si>
    <t>718220</t>
  </si>
  <si>
    <t>Cardon IV (Repsol-ENI) Venezuela</t>
  </si>
  <si>
    <t>ECR - Reference Q-note 200594155: Drawing 215PA0550006. The blocks for the PSA control line do not fit under the straps that are included in the assembly. Either the straps need to be notched or the blocks need to be redesigned to fit.
TSG NOTES---------------------------------------------------
092811 TSG RECD FOR PROCESSING (GMC)
092811 RETD TO ENGINEERING TO UPDATE ECN DESCRIPTION (GMC)
---------------------------------------------------------END</t>
  </si>
  <si>
    <t>UPDATE PARTS WITH MISSING REFERENCE DOCUMENTS PER ATTACHED REQUEST
TSG NOTES-------------------------------------------------
9-28-2011 NECESSARY PARTS UPDATED; FOLDER TO O. EWUMI JCC
--------------------------------------------------------END</t>
  </si>
  <si>
    <t>718325</t>
  </si>
  <si>
    <t>718494</t>
  </si>
  <si>
    <t>718367</t>
  </si>
  <si>
    <t>718491</t>
  </si>
  <si>
    <t>OBSOLETE AND, IF REQUIRED, SUPERCEDE -SH1 STATOIL PARTS PER D. HICKMAN
TSG NOTES-------------------------------------------------
9-29-2011 IN PROCESS BY TSG J. CALLAWAY
-------------------------------------------------------END</t>
  </si>
  <si>
    <t>E.C.R 9290-2664 REV C. COULD YOU ADD THE MISSING DIMENSION FROM DETAIL N SHEET 2. IT IS THE DISTANCE TO THE 6 DEGREE PORT FACE. REF EMAIL FROM MARK GUY, AS BEING .080
-----
8/2/2011 MG - ADD THE ABOVE .08 DIMENSION TO DETAIL N. FORWARD TO RAMEEN FOR CHECKING.</t>
  </si>
  <si>
    <t>Attach appropriate specification to all series 300 Stainless steel screws, to allow purchase of commercially available products.
THIS RTA WILL BE CLOSED BECAUSE RTA 666282 WILL ENCOMPASS THE CHANGES NOTED ABOVE.  (OEWUMI 30SEP11)</t>
  </si>
  <si>
    <t>Quote from CPI 300156136:
Components list for 9290-6559 (101832226) is
incorrect/incomplete:
1.  Item 3 states that the item comes with screws, ptfe spacers, and washers.  No washers are designed for this piece, nor are they part of the components list.  The drawing for item 3 depicts no additional screws, ptfe spacers, or washers.
2.  Item 9 states that the item comes with o-rings and screws.  The o-ring is not part of the components list.  The drawing for item 9 includes no additional screws or o-rings.
3.  One item is missing from this component list:  2 off No.10 screws to fit item 12.  Without these screws we cannot remove the clamp after installing the dowel pin.</t>
  </si>
  <si>
    <t>720457</t>
  </si>
  <si>
    <t>PARTS IDENTIFIED BY CARROLLTON (K. DUANE) AS HAVING INADEQUATE MFG DOCUMENTATION. SEE LIST (REVIEWED/CULLED BY P. JAMES)
TSG NOTES------------------------------------------------
8-23-2011 FOLDER TO PAUL JAMES FOR REVIEW AND APPROVAL JCC
--------------------------------------------------------END</t>
  </si>
  <si>
    <t>ExxonMobil Angola</t>
  </si>
  <si>
    <t>SAP MN For Safety-Strip Hydraulic Control Line (Tube:1/4 in. x 0.065 wall Alloy Inc 825 Laser-Welded.  Encapsulation: Santoprene, 0.410 in. Round, Orange in color.  Flushed &amp; Filled HW-443 to NAS 6.  Includes 48 in. Metal Reel &amp; Skid</t>
  </si>
  <si>
    <t>M/N-598217 Drawing 9388-2056 Rev.B
Please remove material spec. A-304 and add
spec. ES-MA-124-3.
------
9/30/2011 ST - SENT TO J. SEALE FOR CHECKING
------</t>
  </si>
  <si>
    <t>Create EDS for 102010086.  Put it in CWI when complete.
---
7/18/2011 - CHECKING COMPLETE, FORWARD TO RAMEEN FOR APPROVAL</t>
  </si>
  <si>
    <t>ECR - Reference Q-note 200605189. Material number 101911334 has two assembly procedures attached to it. This is causing confusion in assembly. Additionally, the newer procedure calls for installing the 4x 10-32 bolts with 12 ft-lbs of torque. This far exceeds the recommended installation torque for this size and material bot.
------
9/29/2011 ST - SENT TO R. BAKHTIARY FOR APPROVAL
------</t>
  </si>
  <si>
    <t>QA REQUEST TO UPDATE CWI STRUCTURE FOR SAP MN 101805497 REF NO. 9290-6542-SE1_4-1/2 CHEMICAL INJECTION ASSEMBLY TO MEET NEW REVISION OF QUALITY PLAN.
QUALITY REQUIREMENTS CHANGE, ONLY.
QUALITY PLAN: SE1; REV 9
021011 ASSIGNED FOR PROCESSING DSH
021011 ENG DWGS SENT TO QUALITY FOR MARK-UP GMC
022211 PENDING DRG QUALITY MARKUPS (DSH)
030811 PENDING MARK-UP FROM QA; HOWEVER, QA WAITING TO CHANGE ANY SE1 STRUCTURES AS THE QUALITY PLAN MAY CHANGE WHICH WILL AFFECT THE STRUCTURE. QA WILL ONLY MAKE CHANGES TO SE1 STRUCTURES WHERE THERE IS CURRENT DEMAND, OTHERWISE IT WILL WAIT UNTIL A DECISION IS MADE ON THE REVISION OF THE SE1 QP.
032511 RTA DIST TO D MOE FOR DESIGN HOLD (DSH)
05-04-2011: KENNY PHAM. BASE BOM NEEDED TO BE REVISED FOR NEW CHECK VALVE AND PROCEDURES.</t>
  </si>
  <si>
    <t>ECR-9290-2653. NOTE 3 TEXT HAS REVISION A AT THE END OF THE PART NUMBER BUT SHOULD BE REV B
-------
09/15/2011 J. SEALE - FIXED NOTE 3 REVISION LEVEL ON DRAWING. SENDING TO S. TEHVEN FOR CHECKING
-------------
9/24/2011 ST - SENT TO R. BAKHTIARY FOR APPROVAL
------</t>
  </si>
  <si>
    <t>NEED ES-I-186 REMOVED FROM P/Ns 102010301, 102011349 AND 102010087. PLEASE REVIEW ALL 9293/MAND ASSY AND REVOVE ES-I-186 IF APPLICABLE.
===========================================
7/15/2011 S. TEHVEN - 102011349 COMPLETED ON RTA 668380 AND 102010087 COMPLETED ON RTA 668693.
7/18/2011 - M.GUY - CHECKED AND FORWARDED TO RAMEEN FOR APPROVAL</t>
  </si>
  <si>
    <t>Please Issue DDS for Gauge Mandrel (PN 101829884) and Gauge Sub Assembly (PN 101903686)
------------------------
7/22/2011 S. TEHVEN:
EDS FOR 101829884 COMPLETE
EDS FOR 101903686 NOT GOING TO BE COMPLETED BECAUSE EDSs ARE NOT DONE FOR GAUGES.
-----------------------------</t>
  </si>
  <si>
    <t>Urgent request to update the CWI structure for SAP MN 101889539 (ref no 0191-6012) to include the standard assembly and FAT procedures.
----
Remove Saudi Aramco specific test protocol which was required only for design verification; Reference RTA 558339</t>
  </si>
  <si>
    <t>Update ES-A-482 (formally 9388-5207) to CLEARLY and BOLDLY state in the document title that this procedure is for SDG-XS gauges only.
------
9/30/2011 ST - SENT TO J. SEALE FOR CHECKING
------</t>
  </si>
  <si>
    <t>CORRECT BOMs ON MANDRELS 9293-6659 AND 9293-6660 TO CALL OUT THE CORRECT CLAMP SCREW. ALSO, THE MFRS SPEC DOCUMENT FOR PART 2020-1028 HAS AN INCORRECT DESCRIPTION &amp; PART NUMBER IN THE REFERENCE DOCUMENT DESCRIPTION. THIS SHOULD BE FIXED TO CALL OUT THE CORRECT PART.
-------
7/15/2011 ST - 2020-1028 NOT UPDATED B/C 2020-1054 IS NOW USED INSTEAD.
=============================================
7/15/2011 S. TEHVEN - SENT TO M. GUY FOR CHECKING.
7/19/2011 M. GUY - CHECKED &amp; CORRECTED ITEM 5 TO 101902908 INSTEAD OF 598397.
----
FORWARD TO RAMEEN FOR APPROVAL</t>
  </si>
  <si>
    <t>ROC Gauge Procedures Per Kaizan Event
CREATE PROCEDURES FOR THE ASSEMBLY AND TESTING OF ALL ROC GAUGE ASSEMBLIES. PROCEDURES TO INCLUDE GAUGE TO BLOCK PROCEDURES FOR ALL GAUGE ASSEMBLY PERMEUTATIONS AND GAUGE TO MANDREL AND ALL PERMEATATIONS.
SEE ATTACHED SPREADSHEET FOR LIST OF PROCEDURES TO BE COMPLETED.</t>
  </si>
  <si>
    <t>719081</t>
  </si>
  <si>
    <t>720134</t>
  </si>
  <si>
    <t>720175</t>
  </si>
  <si>
    <t>ECR - REVISE ES-I-197 INSPECTION DOCUMENT TO IMPROVE THE INSPECTION PROCESS AT WD AND VENDOR.  CREATE BLANKING MANIFOLD THAT WOULD BE USED FOR INSPECTING BOTH THE ACCUPULSE AND DIGI MULTI-FUNCTION CLAMPS.  CREATE SAP NUMBERS FOR ALL COMPONENTS AND ASSEMBLIES.</t>
  </si>
  <si>
    <t>MANDREL, 4 1/2-11.6 TRIPLE ROC-D/DF, FMJ, 16K SPECIAL CALIBRATION, VAM TOP PIN X PIN, INC 718 125K, WITH .80X.30 DEEP BY-PASS. ORIGINALLY DRAWN IN NOV 2006 &amp; NEVER ISSUED TO CWI.
---
5/23/2011 Forwarded to Rameen for checking</t>
  </si>
  <si>
    <t>MANDREL, 4 1/2-11.60 PPF, TRIPLE ROC, 1.125 OD, VAM TOP PIN x PIN, 25CR 85K WITH .80 x .30 DEEP BY-PASS.
ORIGINALLY DESIGNED FOR ANGOLA (RTA-636757).
----
5/23/2011 Forwarded to Rameen for checking.</t>
  </si>
  <si>
    <t>Control Sys - Same As: 315248-001; PROGBL LGC CONTRL,SCADAPACK 357
Except: The downhole gauge data will be fetched with a UACU+ and communicated to a SWM server. A display on the WCM will display the downhole gauge data for the specific gauge. To enable this feature the data available in the SWM must be communicated to the WCM PLC registers.
Project Name: 6-slot SHS w/ 6 WCMs
Special Quality Plan Required?: No
Material: (16) Customer Supplied - Supply detail in description
Mating Infomation: Work With item with Part Number 315883-00
----
2011-06-27, Weekly Meeting:  Dana to put RTA into WIP and assign RTA to Harjeet (class C).  Harjeet will need to hold a review with Robert Smith and the submitter.
------
2011-07-18, Weekly Meeting:  RObert to meet with Harjeet next week.</t>
  </si>
  <si>
    <t>Same As: 9293-6711-T; W/O TSTG MDRL ASSY,2 3/8-4.60,SNGL -T
Except: Needs to be ported to the Annulus.As with the reference, this mandrel needs to be able to handle single or feedthrough ROC150 gauges 
Project Name: LDOR
Special Quality Plan Required?: No
Material: (1) Low Alloy Steel 80 MY 22HRC (ES-MA-18-9)
Mating Infomation:
Work With item with Part Number 9381-6029
Work With item with Part Number 9381-6112
----------
9/26/2011 J. SEALE - COMPLETED DESIGN,
- NOTE CHANGED FROM CLAMPS WHICH USE PTFE, 
- TO STANDARD DEFLECTOR CLAMP, HAVE TO CHANGE OFFSET FOR MOUNTING OF SCREWS.
- BACK SCREWS ON UP-SIDE CLAMPS CLOSEST TO GAUGE INTER THE CAVITY, FYI.
----------
9/27/2011 J. SEALE - COMPLETED DRAFTING AND CWI, SENDING TO S. TEHVEN FOR CHECKING.
----------
9/29/2011 ST - SENT BACK TO J. SEALE FOR CORRECTIONS
----------
10/30/2011 J. SEALE - SENDING BACK TO S. TEHVEN FOR FINAL CHECKING AND THEN TO APPROVAL.
------
10/3/2011 ST - SENT TO R. BAKHTIARY FOR APPROVAL
------</t>
  </si>
  <si>
    <t>2011-10-04 WM - THE PROJECT IS ON HOLD UNTIL COMPLETION OF GAUGE PROTECTION R00000676065. THE CIRCUIT IS BEING FINALIZED FOR DEVELOPMENT.</t>
  </si>
  <si>
    <t>2011-10-04 WM - THE ZENER DIODE DIE CHANGE HAS BEEN COMBINED WITH TESTING OF ZTX453.  THE TEST IS ONGOING AND THE EXPERIMENTAL PROCEDURE WILL BE RELEASED AFTER ALL SAMPLES FAIL.  THE RELIABILITY INFORMATION AT CONCLUSION OF TEST WILL BE ANALYZED FOR ANY POSSIBLE USE AS PART OF PRODUCT QUALIFICATION REPORT.  THE HOT PLATE TEST HAS BEEN COMPLETED AND PME-EP-00092.  THE LONG TERM OVEN TEST WILL BE DOCUMENTED IN PME-EP-00093.  THE DUE DATE HAS BEEN REVISED TO JAN 2012 TO ENSURE THAT ALL SAMPLES FAIL.  THE PROJECT PLAN WILL BE UPDATED AND LOADED IN CWI.</t>
  </si>
  <si>
    <t>2011-10-04 WM - THE XPIO PRODUCT HAS BEEN STREAMLINED TO 4 PART NUMBERS.  ALL OTHER PART NUMBERS HAVE BEEN MADE OBSOLETE OR PLACED ON OTD.  THE UACU+ PART NUMBERS ARE BEING STREAMLINED.  THE PROJECT IS ON HOLD TO COMPLETE AEM POWER SUPPLY EVALUATION.</t>
  </si>
  <si>
    <t>726727</t>
  </si>
  <si>
    <t>This RTA is regarding a change to procedure SDG-QC-11.
The change requested is on page 5 of 11. Step 4.16. Step 4.16 should be removed as this step is already being done in step 4.11
------
10/27/2011 ST - SENT TO R. BAKHTIARY FOR APPROVAL</t>
  </si>
  <si>
    <t>723216</t>
  </si>
  <si>
    <t>UPDATE PART NUMBER 101457471 TO UPDATE STRUCTURE TO INCLUDE ANY REFERENCE, TEST AND ASSEMBLY DOCUMENTATION,</t>
  </si>
  <si>
    <t>Revise drawing for part 9388-2093 (SAP 598270). Please change the silver plating thickness to .0002 and allow for the entire part to be coated.
Revised print to be sent to Diana Clark at Quartzdyne.
------
9/30/2011 ST - SENT TO J. SEALE FOR CHECKING
------
10/14/2011 J. SEALE - CHECKING COMPLETE 
-REMOVED SEE NOTE 2 IN ZONE B7
-SENDING TO R. BAKHTIARY FOR APPROVAL</t>
  </si>
  <si>
    <t>736520</t>
  </si>
  <si>
    <t>UPDATE PARTS:
PN 102081472  
PN 102081473  
TO UNOBSOLETE PARTS SO THEY CAN BE RECEIVED IN TO STOCK THEN REOBSOLETE THE PARTS</t>
  </si>
  <si>
    <t>730954</t>
  </si>
  <si>
    <t>FMC Houston</t>
  </si>
  <si>
    <t>ELEC - Need FAR for RMA 775 MN 597484 wo 103679589
2011-11-21 WM The interface card is undergoing troubleshooting at PCBA lab.  The FAR will be released as soon as issue is identified.</t>
  </si>
  <si>
    <t>736074</t>
  </si>
  <si>
    <t>725807</t>
  </si>
  <si>
    <t>Same As: SJ-A-3510-03-B; 3.5 9,2 SWIVEL JOINT LOWER BODY
Except: 1 Change base material from 25Cr to Super 13Cr 110KSI
2 Add SB2 QAP
3 Issue common SAP part number on lower and upper body 
Project Name: Oseberg S??r F-8
Special Quality Plan Required?: Yes
Quality Plan Identifier: SB2
Material: (11) Super 13 CR 110 MY 32 HRC (ES-MA-134-_)
Mating Infomation:
Run Below item with RTA Number R00000725806</t>
  </si>
  <si>
    <t>SPLT=140 Emailed submitter to verify AIS date...see attached email.  11/3/11 DM  Cancelling RTA per submitter request.  See attached email.  11/14/11 DM</t>
  </si>
  <si>
    <t>MISCELLANEOUS E-MAIL REQUEST
062411 ESMERALDA HERNANDEZ 
REFERENCE E-MAIL: PLEASE CALL ME ON THIS - MN 594270
TSG NOTES---------------------------------------------------
062411 MN 594270 REVISED MISSING SPEC ADDED; ATTRIBUTES UPDATED; SENT TO ENGINEERING FOR REVIEW AND APPROVAL (GMC)
---------------------------------------------------------END
RTA WILL BE CANCELLED, REQUEST WILL BE PROCESSED UNDER RTA R00000711284 (OEWUMI 15NOV11)</t>
  </si>
  <si>
    <t>ECR
Drawing 9388-2069 M/N-598245
On NOTE-1, please add ES-MA-12-0 for the material requirement. This is the free substitution spec. for SS.
------
9/30/2011 ST - SENT TO J. SEALE FOR CHECKING
----
10/12/2011 J. SEALE - COMPLETED CHECKING
1. MISSING DIMENSION ACROSS FLATS
2. MISSING TOLERANCE ON DIA .623
3. NEED TO ADD NOTE 1 FOR MARKING
4. MOVE 9/16-18 UNF-2B THREAD LOCATION DOWN TO SECTION VIEW AND DIAMETER .562 ALSO
5. REMOVE .010 ON SECTION A-A ZONE C5
6. RELOCATE CHAMFER DIMENSION ON SECTION A-A AS SHOWN ON MARKUP
----
------
10/25/2011 ST - SENT TO R. BAKHTIARY FOR APPROVAL</t>
  </si>
  <si>
    <t>Assign to Lab Office 5  7/11/11 DM  Patch sent to field 9/22. Working on engineering report to issue to field and close out RTA. Additional problems per field RTA should be submitted. 11/14/11 DM</t>
  </si>
  <si>
    <t>734651</t>
  </si>
  <si>
    <t>wa</t>
  </si>
  <si>
    <t>722771</t>
  </si>
  <si>
    <t>5.5 inch  20ppf cementable feed thru ROC 175C gauge mandrel ported internally with rupture disc-spec. 615.61608</t>
  </si>
  <si>
    <t>726493</t>
  </si>
  <si>
    <t>UPDATE 9290-2800 DWG TO INCLUDE DIMENSION TO FLAT IN END VIEW.
------
10/25/2011 ST - SENT TO R. BAKHTIARY FOR APPROVAL</t>
  </si>
  <si>
    <t>TSG - The following parts need to be made obsolete
9400-6020
9400-6021
9400-6026
9400-6034
9400-6035
9400-6044
9400-6045
9400-6047
9400-6052
9400-6059
9400-6213
9400-6214
They should be superceded by 9388-6073 (ROC-S Splice Assembly, MP35N Material)
Set up and distributed to M. Scogin (JCallaway) 04062010</t>
  </si>
  <si>
    <t>Please put old gauge mount sub pressure test adaptor 598451(9388-8064)on tech hold and substitute the new adaptor 102012914 (9388-8122) in its place.  We should perform a where used search and substitute the new part for the old in all kits.
------
9/30/2011 ST - SENT TO J. SEALE FOR CHECKING
------
10/27/2011 J. SEALE - CHECKING COMPLETED, SENDING TO R. BAKHTIARY FOR APPROVAL
- NOTE FIND NO 0003 WAS REPLACED WITH NEW VERSION.
- SEE ATTACHED DRAWING 9388-8122. 
- ORIGINAL PART WAS TO SHORT KEPT HITTING PARTS.
-----</t>
  </si>
  <si>
    <t>CBM project: Drawing update/migration from Domino to CWI per attached legend.
TSG NOTES 10-27-11 TO TSG TO REVIEW DRAWING TASKS FOR RELEASE SO THAT PARTS CAN BE BACKFILLED JCC</t>
  </si>
  <si>
    <t>722426</t>
  </si>
  <si>
    <t>UPDATE DRAWINGS 312950-00-01, 313728-00-01, 313148-00-01, 310283-00-01, 313050-00-01, 313044-00-01 TO ADD CRITICAL COMPONENT DESIGNATION TO PRINT</t>
  </si>
  <si>
    <t>736378</t>
  </si>
  <si>
    <t>REMOVE PRESSURE TRANSMITTER, BALL VALVE, AND COMPONENTS AS SHOWN ON MARKED UP DRAWINGS FROM THE CUSTOMER ATTACHED.</t>
  </si>
  <si>
    <t>Shell Popeye</t>
  </si>
  <si>
    <t>724190</t>
  </si>
  <si>
    <t>CABCOG</t>
  </si>
  <si>
    <t>Same As: 9555-6275; EXPLOSION PROOF XPIO-QT+ UNIT, ATEX CERT
Except: I require a detailed installation package of information including general arrangement drawing with dimensions. See copy of email below from customer.
According to attached specification, XPIO housing needs to be made of stainless steel. I do not believe this was provided during tender process.
Hi Rory,
To facilitate tie into our existing well EI system, we require the following Chevronapproved AsBuilt Halliburton drawings/documentation:
a XPIO Technical Specifications and Data Sheet
b Panel General Arrangement and Back Panel Layout
c Panel Installation Details
d Schematic and Interconnection Wiring Diagrams 
Thanks and regards,
Mac
Project Name: Malongo
Special Quality Plan Required?: No
Material: 
Technical Support Deliverables:
Preliminary Design Specifications
Reference Assembly Drawing
ZZ Drawing</t>
  </si>
  <si>
    <t>The description for material number 613701 needs to be updated to show Teflon instead of Viton.
------
9/30/2011 ST - SENT TO J. SEALE FOR CHECKING
------
10/12/2011 J. SEALE - CHECKING COMPLETE, SENDING TO R. BAKHTIARY FOR APPROVAL
------</t>
  </si>
  <si>
    <t>724461</t>
  </si>
  <si>
    <t>SAP 102053559 Commodity 236H000735U5O00
Please replace the bottom connecction for the above reference valve with a 3.5in 9.3PPF Tenaris hydril CS Pin / material ES-MA-18-9 (4140). Contact PLM for additional info</t>
  </si>
  <si>
    <t>728690</t>
  </si>
  <si>
    <t>OBSOLETE ES-SP-23 STANDARD OBJECT AND CREATE ES-SP-23 SPECIFICATION OBJECT.
------
11/2/2011 ST - SENT TO R. BAKHTIARY FOR APPROVAL</t>
  </si>
  <si>
    <t>ELEC - XPIO DOWNLOAD SPEED
A faster download speed via FTP on the Ethernet of the XPIO unit is needed as client has informed competitor equipment is faster than WD surface loggers when data is downloaded. The part number of the XPIO is 9555-6130
Network:  HTWD601401;M001               12/16/10 DM
ZEWO: 103377646
2011-06-30:  Schematic capture and board layout were completed.  Prototypes have been received and are in testing.  To date the boot ROM and SD RAM have been verified.  Currently working on the SD flash card interface.  Project Plan is out of date and will be update within the next couple weeks.
11/07/11 WM - The project is on hold until IWIS card conceptual review and dual power supply XPIO conceptual reviews are completed.  11/07/11 AB
2011-11-28, WM:  All hardware is functioning.  Driver for SD memeory card in development.  Target of February 2012 to have prototype for XPIO qualification.</t>
  </si>
  <si>
    <t>728228</t>
  </si>
  <si>
    <t>QUOTATION ONLY  Same As: 71SSS1; SFTY SYS STD RTA DESIGN REQ
Except: Review, design and quote as per Aramco RFQ No B 0746 001 for Zuluf Gosp 3 and 4.  Bid closing date is Oct 29, 2011.
Project Name: 
Special Quality Plan Required?: No
Material: 
Technical Support Deliverables:
Preliminary Design Specifications
Reference Assembly Drawing
10/17/11 WM  Assign to Robert T Class B</t>
  </si>
  <si>
    <t>Assign to Hakeem Ogunbunmi Class B. Budgetary quote will be sumitted on 10/29.  10/24/11 DM</t>
  </si>
  <si>
    <t>ELEC - Dual Powered XPIO
Due to competition already having dual powered surface data loggers for PDHMS, WellDynamics need to have a dual powered surface data logger that has been in development for some time now.
Also need to check how already built AC or DC systems can have a change out to the dual power supply after part number finalisation.
11/07/11 WM - A conceptual review of scope needs to be determined along with resource allocation.  A meeting will be held to decide on course ahead along with resource allocation.  11/07/11 AB
11/14/11 Conceptual work is in progress with some basic evaluation testing scheduled for completion before end of the month.  The decision of changes will be made after testing is completed.  11/14/11 AB
2011-11-28, WM:  Terje has procured proto PCBs.  Aswin needs to provide Gate from info to Dana to place into WIP.</t>
  </si>
  <si>
    <t>734944</t>
  </si>
  <si>
    <t>Statoil Fast Track</t>
  </si>
  <si>
    <t>Ref. 7in TLC assy (235AC2107000-SB2)
Except:
- number of slots: 2 slots 90deg apart. Each w/4x.25 lines.
- threads to be 7in 29LB Vam Top Box x Pin
- material to be 25Cr</t>
  </si>
  <si>
    <t>13: SPLT=182 @@</t>
  </si>
  <si>
    <t>729045</t>
  </si>
  <si>
    <t>PCSB</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</si>
  <si>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Above item with RTA Number R00000729042
Run Below item with RTA Number R00000729043</t>
  </si>
  <si>
    <t>REVISE DIMENSION ON SHEET 2, ZONE C-4 FROM 3x0.234 TO 3x0.239  /- 0.003 ON ALL VARIANT SHOWN BELOW AND ATTACHED:
314853-xx
307916-xx
313544-xx
D0038827-xx
TSG NOTES 102111 TSG RECD FOR PROCESSING (GMC) 102611 TSG RETD TO ENGINEERING; SOME BUT NOT ALL PARTS REVISED TO CURRENT STANDARDS; TSG DID A WHERE USED ON ALL DRAWINGS TO PROVIDE ENGINEERING; CHANGE DESCRIPTIONS ON DRAWINGS AND PARTS NOT COMPLETE, TSG CORRECTED DESCRIPTIONS (GMC) END</t>
  </si>
  <si>
    <t>722286</t>
  </si>
  <si>
    <t>UPDATE PART 594527 TO ADD MISSING COATING NOT REQUIRED SPECIFICATION PER ATTACHED REQUEST.</t>
  </si>
  <si>
    <t>ELEC - Revise 9384-6050II for excel sheet limits - During incoming inspection of ROC-L gauge, JoeAngel Galindo observed that the limits for voltage trough and modulation voltage (steps 9.4 and 9.5) are not correct.  The 9384-6050TP was checked and it was verified that the II needs to be revised.  Additionally, a N/A could be added for steps 9.8, 9.9, 9.10, 9.14, 9.15 and 9.16 in order to account for gauge with only one transducer.</t>
  </si>
  <si>
    <t>M/N-101953646, Drawing 9260-2025 Rev. A
The minor diameter for the 2 5/8-8 UN 2B box threads is incorrect. Should be 2.490/2.515 or the dimension should be pulled off the drawing.
------
9/30/2011 ST - SENT TO J. SEALE FOR CHECKING
------
10/13/2011 J. SEALE - CHECKING COMPLETE, SENDING BACK TO S. TEHVEN TO CORRECT DIMENSION
- REMOVE MIN AND CHANGE TO 2.490/2.515 DIAMETER
------
10/25/2011 ST - SENT TO R. BAKHTIARY FOR APPROVAL</t>
  </si>
  <si>
    <t>730725</t>
  </si>
  <si>
    <t>MFGR SPEC - Create a manufacturers specification for Q-Note labels used in MFG Assy &amp; Test.</t>
  </si>
  <si>
    <t>731321</t>
  </si>
  <si>
    <t>QNTY 2 (1/4 INCH NPT FEMALE X 1/4 INCH NPT FEMALE , NEEDLE VALVE SWAGELOK P/N SS-1-RF4). NOTE: SWAGELOK DOES NOT MAKE AN INCOLOY VERSION.</t>
  </si>
  <si>
    <t>Material Number: 101797653
Reference Number: 9290-2539
BOM does NOT have critical component specification applied.  This is a gauge mandrel, of which falls under our definition of critical component and therefore requires additional quality control.
JUNE 9/2010 SET-UP &amp; DISTRIBUTED TO MATTHEW SCOGIN (GMACIAS)
7/21/2011 - DRG complete, forward to Mark Guy for checking (ST)
7/29/2011 - Checked, returned to Sam for two minor changes (MG)
7/29/2011 ST - SENT TO R. BAKHTIARY FOR APPROVAL
2011-11-03 MWS:  This has been added from ECR 580473 - Request to remove note 2, where it references the component list, from drawing number 9290-2539 Rev A.</t>
  </si>
  <si>
    <t>NEEDS TO BE CANCELLED -- SEE RTA 723209. S. TEHVEN
CREATE A NEW PART FOR 2225-0012 REF VENDOR REVISION D
SEE ATTACHED E MAIL REQUEST</t>
  </si>
  <si>
    <t>727062</t>
  </si>
  <si>
    <t>ECR - 3.5 HSC Accu-Pulse Integration, MN 102005591, does not have an electrical splice for the position sensor. The non-active manifold does not have the geometry to accept an electrical splice. See attached red-lined BOM from Damon Trahan for replacement parts and added parts. Instead of adding electrical splice kit (101879643) to the integration, suggest adding the assembled and tested electrical splice. This would be assembled and tested in the electrical lab at a lower level, instead of the un-assembled electrical splice kit going to production which requires assembly and electrical test. This requires soldering, which the electrical lab techs perform.</t>
  </si>
  <si>
    <t>731488</t>
  </si>
  <si>
    <t>During installation of the protective clamp (Part number: 101987610) to mandrel (Part number: 102005724) it was found that there was insufficient clearance to make up the clamp with the gauge termination in place. As a short term soloution Broussard modified the protective clamp (Part number: 101987610) to fit th mandrel with guidance from PM engineering.
It is required that any mandrel that incorporates protective clamp (Part number: 101987610) have its design reviewed to ensure that the design allows the correct assembly of the mandrel. 
After verifying which design has potential problems this information will need to be communicated to the filed to allow any rework to be carried out.</t>
  </si>
  <si>
    <t>731324</t>
  </si>
  <si>
    <t>QNTY 2 1/4 INCH NPT DOUBLE/CLOSE NIPPLE SWAGELOK P/N SS-4-HN-10K OFFERED AS AN ALTERNATE TO INCOLOY/ALLOY 600</t>
  </si>
  <si>
    <t>734927</t>
  </si>
  <si>
    <t>REVISE DRAWING NUMBER 92BWR6 TO INCLUDE CORRECT REPLACEMENT NUMBER HC3BBHR1 FOR HCT3BB-101, WHICH IS OBSOLETE (SEE ATTACHED EMAIL).</t>
  </si>
  <si>
    <t>724455</t>
  </si>
  <si>
    <t>SAP 102056909 Commodity 215HA0350051
Please change the bottom connection of the above reference valve to a 3.5 in 9.2 PPF NEW VAM Pin / Material ES-MA-46-2 (NI ALY 718)</t>
  </si>
  <si>
    <t>731186</t>
  </si>
  <si>
    <t>Request for creating a SAP number for elctronic part in SHS.Item is a ADAM ethernet switch, 6520i.</t>
  </si>
  <si>
    <t>730946</t>
  </si>
  <si>
    <t>Cameron GmbH</t>
  </si>
  <si>
    <t>Need FAR for RMA 821 MN 597467 wo 103757386</t>
  </si>
  <si>
    <t>732963</t>
  </si>
  <si>
    <t>ECR - PACKER ENVELOPE GENERATIONS FOR EXISTING HF1 PRODUCTS.  TASK WILL INCLUDE ALL REQUIRED DOCUMENTS PLUS THE PUBLISHED ENVELOPE IN A PDF FORMAT.  PART II:
722HF1702611
722HF1703204
722HF1703232
722HF1703233
722HF1764500
IGNORE ALL NEW VAM THREADS</t>
  </si>
  <si>
    <t>ECR- D00441840 REV C
A diameter or length for the 75 deg angle shown on 
detail E is missing.
-----------------------------------------------------------IN ENG. DESIGN-A. BERRET_10/31/2011---------------------END
IN DRAFTIONG: FOLDER RETURNED TO T. BORDMAN BOX FOR DISTRIBUTION_A. BERRET_11/28/2011</t>
  </si>
  <si>
    <t>725077</t>
  </si>
  <si>
    <t>PLANNING, WEEKLY DOC/ROUTER REVIEW, WEEK OF 10/17/11 HOLLY MARBACK - 10/18/2011
ORDER START DATE 10/21/2011 MN 102051724 VLV,HVI,3-1/20,SHROUDED,SEALS -TSG:  Per ES-SP-22, I think we are missing ES-A-445. Please verify and upload this spec into CWI for this item, if needed.
TSG NOTES 101911 TSG RECD FOR PROCESSING; 102611 WAITING FOR ENGINEERING TO REVIEW AND APPROVE (GMC) END</t>
  </si>
  <si>
    <t>721795</t>
  </si>
  <si>
    <t>Woodside australia is planning on a 5 well smartwell campaign, where in they require 7 feedthroughs through a 9 5/8 packer. The current packer portfolio limits the packers to 6 feedthrough. PLM would like engineering to do a  feasibility study to verify if we will able to bypass 8 x 0.25 in control line past the packer. Attached is the requirements document. Contact PLM if additional information is required</t>
  </si>
  <si>
    <t>736188</t>
  </si>
  <si>
    <t>UPDATE DRAWING 315588-00-01 TO LATEST STANDARDS. REMOVE KOLSTERISING NOTE AS IT IS NOT IMPLEMENTED IN THE CURRENT DESIGN.</t>
  </si>
  <si>
    <t>CBM project: Drawing update/migration from Domino to CWI per attached legend.
TSG NOTES 10-27-11 TO TSG FOR REVIEW AND RELEASE SO PARTS CAN BE BACKFILLED J. CALLAWAY</t>
  </si>
  <si>
    <t>ELEC - A 9670-6050 CARD WAS SEEN TO OPERATE THROUGH A SERIAL SELECTOR (MULTIPLEXER) THAT MAY HAVE SWITCHED HALF-WAY THROUGH A MODBUS WRITE REGISTERS PACKET.  SOME ADDRESSES WERE SHOWN TO HAVE CHANGED, OTHERS DID NOT.  
PLEASE VERIFY THAT THE 9670-6050 ONLY MAKES CHANGES TO THE MODBUS REGISTERS IF RECEIPT OF THE CRC OCCURS AND IF THE CRC VALIDATES.  IF IT ALWAYS CHANGES TO REGISTERS, THEN THE FIRMWARE MUST BE UPDATED TO PREVENT THIS CASE.</t>
  </si>
  <si>
    <t>730619</t>
  </si>
  <si>
    <t>ECR - REVISE 9-5/8 53 LB MC1 PACKER AS PER ATTACHED TASK.  REVISE SCREW LOCATED ON ITEM 41 TO 1/4-20-3/8SCREW. 
ATTACH FREE-FLOATING TASK TO RTA (OE 07NOV11)</t>
  </si>
  <si>
    <t>731189</t>
  </si>
  <si>
    <t>Request for creating a SAP number for elctronic part in SHS. Item is a RTD, MINI MCR-SL-PT100-1-DC-24.</t>
  </si>
  <si>
    <t>728196</t>
  </si>
  <si>
    <t>ECR - 313295-00-01 Release Keys, 7026 MC Hyd Set Ret Packer. 
Modification includes:
1. From .607/.619 To .610/.615; zone B4
2. Mod groove depth to .068/.073 TYP dim for groove profile.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-----------------------------------------------------------DESIGN FOLDER RETURN TO T. BOARDMAN FOR SUBSEQUENT DISTRIBUTION-A. BERRET_11/01/2011-----------------------END</t>
  </si>
  <si>
    <t>ECR-9290-2550. Material ES-MA-134-22 is called up on drg and on BOM. Spec UNS41425 is called up on drg at 2 places This UNS41425 is ES-MA-134-2 and this should be called up on the BOM and replaced on the drg.  ES-MA-134-22 spec is for UNS41425/41426
------
9/30/2011 ST - SENT TO J. SEALE FOR CHECKING
------
10/13/2011 J. SEALE - CHECKING COMPLETE SENDING TO R. BAKHTIARY FOR APPROVAL</t>
  </si>
  <si>
    <t>ELEC - XPIO AND UACU+ PART STRUCTURE IN CWI: THE XPIO AND UACU+ PART STRUCTURE IN CWI HAS TO BE CHANGED TO INCLUDE THE FOLLOWING:
1. ONLY TESTED CARDS WILL BE BOUGHT FROM HOUSTECH
2. XPIO AND UACU+ PARTS WILL BE A MAKE
3. ALL TESTED CARDS WILL BE 100% INSPECTED AND BATCH TESTED ON GOODS RECEIPT
4. UPPER LEVEL ASSEMBLIES SHOULD CALL OUT ONLY FOR TESTED CARDS
5. ONLY PLACE UNTESTED CARDS WILL BE CALLED OUT IS AT TESTED LEVEL.
6. ALL TESTED CARDS WILL BE A BUY
THIS RTA WILL COVER ALL ABOVE MENTIONED ACTIONS TO FACILITATE MANUFACTURING AND ENGINEERING.  THE XPIO PART STRUCTURE HAS BEEN REQUESTED TO BE RELEASED BY 2011-03-31.
11/07/11 WM - The part structure for XPIO and UACU+ is continually being worked on.  Separate ECR RTAs are in progress to build BOM in CWI.  11/07/11 AB</t>
  </si>
  <si>
    <t>732991</t>
  </si>
  <si>
    <t>SHELL BRAZIL</t>
  </si>
  <si>
    <t>Change Top Thread to 4 1/2-12.6lb/ft VAMTOP box. Change Bottom Thread to 4 1/2-12.6 lb/ft VAMTOP pin. Add SE1 quality plan. 
Note: Client Request pre-released SAP numbers to release the PO. 
Project: BC-10 (Second fase)_ BR11176.
111511 PRE-RELEASE SE1 TOP LEVEL QUALITY PART - REQUESTED BY LORENZZO BREDA MINASSA (D. MOE) FOR SHELL BRAZIL BC-10 PURCHASE ORDER - PRE-RELEASED SAP MN MN 102104964, REFERENCE NUMBER 9290-6XXX-SE1 (GMC)</t>
  </si>
  <si>
    <t>SPLT=112  Assign to James Class B  11/28/11 DM</t>
  </si>
  <si>
    <t>ELEC - RTA TO CREATE TEMPLATE FOR AMS PM FOLWMETER INTEGRATIONS
2011-10-19 Aswin Balasubramanian: The project plan for completing the AMS templates has been attached to the RTA.</t>
  </si>
  <si>
    <t>Add Tronic A70 installation procedure to CWI.  Glen Breerwood and Phil Allardyce and Martin Staelens have created this document.  It is ready to be reviewed and uploaded to CWI.
------
10/26/2011 ST - SENT TO R. BAKHTIARY FOR APPROVAL</t>
  </si>
  <si>
    <t>ELEC - RTA TO CREATE TEMPLATE FOR AMS PM WELLHEAD EQUIPMENT
2011-10-19 Aswin Balasubramanian: The project plan for completing the AMS templates has been attached to the RTA.</t>
  </si>
  <si>
    <t>M/N-598274 Drawing 9388-2094 Rev.B
Please change the note/tolerance for the serrations to
 /-0.3 degrees not minutes.
------
9/30/2011 ST - SENT TO J. SEALE FOR CHECKING
------
10/13/2011 J. SEALE - CHECKING COMPLETE, SENDING TO R. BAKHTIARY FOR APPROVAL</t>
  </si>
  <si>
    <t>TSG - QA REQUEST TO UPDATE CWI STRUCTURE FOR SAP MN 101915394 REF NO. 9290-6632-SE1; 4-1/2 IN CHEM INJN MDRL ASSY
QUALITY REQUIREMENTS CHANGE, ONLY.
QUALITY PLAN: SE1; REV 10
05/19/11 ASSIGNED FOR PROCESSING VN</t>
  </si>
  <si>
    <t>TSG - QA REQUEST TO UPDATE CWI STRUCTURE FOR SAP MN 101905152 REF NO. 9290-6631-SE1; 3-1/2 CHEM INJN MDRL ASSY
QUALITY REQUIREMENTS CHANGE, ONLY.
QUALITY PLAN: SE1; REV 10
05/19/11 ASSIGNED FOR PROCESSING VN</t>
  </si>
  <si>
    <t>734647</t>
  </si>
  <si>
    <t>E-MAIL REQUEST
101711 VALERIE NGIM
REF: MN 597314 / CWI STRUCTURE</t>
  </si>
  <si>
    <t>731330</t>
  </si>
  <si>
    <t>SAFETY SYSTEM, SINGLE WELL, VITON ELASTOMERS, 6,000 PSI HYDRAULIC HAND PUMP, RESERVOIR, 0-10,000 PSI PROCESS GAUGE, ESD VALVE, FUSIBLE PLUG, TEST CONNECTION, W/ ESPHL SSV CONTROL (10-125 PSI LO, 75-550 PSI HI) SET PER SALES ORDER, FOR OMV YEMEN</t>
  </si>
  <si>
    <t>CREATE AMS TEMPLATE FOR DI SURFACE HARDWARE
2011-10-19 Aswin Balasubramanian: The project plan for completing the AMS templates has been attached to the RTA.</t>
  </si>
  <si>
    <t>731318</t>
  </si>
  <si>
    <t>MN 590680
Please add the FMJ assy and test procedure ES-A-433 to the Reference Objects in the BOM.
Please add pdf file of W.300899-00-00.DWG to the Definition Objects.
Also noticed the Basic Material field says Carpenter.  Probably should say 718 Nickel Alloy, as the jam nuts are the major material inthe assembly.</t>
  </si>
  <si>
    <t>734083</t>
  </si>
  <si>
    <t>14: SPLT=182 @@</t>
  </si>
  <si>
    <t>733921</t>
  </si>
  <si>
    <t>NSC Chornomornaftogaz</t>
  </si>
  <si>
    <t>Review attached Control Panel designs.  create new halliburton designed panels with same or equal inputs and outputs.  Bid Due date has not been advised at this time.</t>
  </si>
  <si>
    <t>Waiting for requirements document from field.  Dana to follow up.  11/28/11 DM</t>
  </si>
  <si>
    <t>736667</t>
  </si>
  <si>
    <t>Ref.part 216HAP1035U3O00SB2 (3-1/2 HS Valve with Accupulse and PSA),
Except:
- Customised flow trim (see attachment)
- 2 off External slots for FMJ splices
- Bypass for 1 off 1/4in 0,035 WT line
- Change material to 13Cr</t>
  </si>
  <si>
    <t>30: SPLT=168 @@</t>
  </si>
  <si>
    <t>728962</t>
  </si>
  <si>
    <t>ADTI-Stella</t>
  </si>
  <si>
    <t>4.5 12.6ppf, 13Cr 80K, JFE Bear Gauge Mandrel. 
To accomodate ROC-175, 1.125 OD, 0-16KPSIA GAUGE, Dual Redundant Gauge P/N 9381-6076 SAP 101868151
Max OD 7in 32lb
Casg Size 4 1/2 15.1
Metallurgy  13Cr 80Ksi
Connection  JFE Bear x JFE Bear
Min ID  5.969
2011-11-28 WM: Assign to James Class B 11/28/11 DM</t>
  </si>
  <si>
    <t>SPLT=112 Emailed field for AIS date.  11/2/11 DM  Need drawing for customer review and mn for PO. Completion date is 6/2012.  11/23/2011 DM  Assign to James Class B 11/28/11 DM</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</si>
  <si>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717933 WILL REVIEW AND ADD THE REQUIRED MISSING DIMENSION FOR THE FOLLOWING PCAKERS: 
128836; 339611; 341523; 375529; 375551; 383594; 418603; 418604; 424300; 424581; 426978; 438332; 438345; 440203; 442304; 442745; 454091; 454105; 454107; 456355; 456625;
470034; 470315; 470849; 471957; 588746; 595211; 596535.
REMAINING PACKERS ARE CAPTURED IN FOLLOWING RTAS: 735003; 735006; 735008; 735014; 735016.
A. BERRET_11/22/2011_END</t>
  </si>
  <si>
    <t>725806</t>
  </si>
  <si>
    <t>Same As: SJ-A-3510-02-A; 3.5 9,2 SWIVEL JOINT UPPERBODY
Except: 1 Change base material to Super 13Cr 110KSI
2 Add SB2 QAP
3 Issue common SAP part number on lower and upper body 
Project Name: Oseberg S??r F-8
Special Quality Plan Required?: Yes
Quality Plan Identifier: SB2
Material: (11) Super 13 CR 110 MY 32 HRC (ES-MA-134-_)
Mating Infomation:
Run Above item with RTA Number R00000725807</t>
  </si>
  <si>
    <t>16.2: SPLT=140 @@  Cancelled per submitter request.  See attached email.  11/14/11 DM</t>
  </si>
  <si>
    <t>734505</t>
  </si>
  <si>
    <t>Request for creating a 9-5/8 x 5.5 Splice sub assembly (13 Cr) with 3x Hydraulic splices, 1x Control line protector, 1x 11mm X 11mm Flatpack and 1x Third party Splice. Please refer to attached files.
This request is similar to RTA584665 (MN 101912520 but to fit inside a different size casing.</t>
  </si>
  <si>
    <t>15: SPLT=140 @@</t>
  </si>
  <si>
    <t>ECR - HF1 Packer procedure ES-A-491, pg 15, header for internal body test requires additional information. To have clear instructions please add if applicable. We do not perform a full body test during normal FAT. This causes confusion with 3rd party inspectors in production. If applicable would help clarify this section. See attachment pg 15, hi-lite yellow.
-----------------------------------------------------------IN ENGINEERING DESIGN-A. BERRET_10/24/2011--------------END</t>
  </si>
  <si>
    <t>720685</t>
  </si>
  <si>
    <t>ECR - REVISE DWG D00436073 (COVER STRAP, MULTI-FUNCTION KIT) TO REVISE THE 2 X 0.72 INCH LENGTH TO A LOWER NUMBER - BEND FALLS INTO THE GROOVE OF THE FMJ BODY AND DOES NOT ALLOW FOR PROPER CLAMPING.
PLEASE UPDATE COVER SLEEVE (d00436071-03) AND COVER STRAP AS PER AUTOCAD DRAWING ATTACHED TO THE RTA.  PLEASE UPDATE TAB CLIP (d00436079-04) AS PER MARKED UP DOCUMENT IN FOLDER.</t>
  </si>
  <si>
    <t>721796</t>
  </si>
  <si>
    <t>720927</t>
  </si>
  <si>
    <t>ECR - PACKER ENVELOPE GENERATIONS FOR EXISTING HF1 PRODUCTS.  TASK WILL INCLUDE ALL REQUIRED DOCUMENTS PLUS THE PUBLISHED ENVELOPE IN A PDF FORMAT.  PART II:
722HF1702305 - PENDING RTA 714312
722HF1702607 - PENDING RTA 714312
722HF1702608 - PENDING RTA 714312
IGNORE ALL NEW VAM THREADS</t>
  </si>
  <si>
    <t>30% CARBON FILLED PEEK IS CALLED OUT AS SPECS ON MN 597536 &amp; 597538.  THIS SPEC NEEDS TO BE CHANGED TO A VIRGIN PEEK SPEC (NO CARBON).  ES-S-14-1.
------
9/30/2011 ST - SENT TO J. SEALE FOR CHECKING
------
10/27/2011 J. SEALE - CHECKING COMPLETED SENDING TO R. BAKHTIARY FOR APPROVAL</t>
  </si>
  <si>
    <t>M/N-598278 Drawing 9388-2096 Rev.B
Please add dimension .035/.040 in DETAIL-C for the width of the flat cut on the top half of the part.
------
9/30/2011 ST - SENT TO J. SEALE FOR CHECKING
------
------
10/25/2011 ST - SENT TO R. BAKHTIARY FOR APPROVAL</t>
  </si>
  <si>
    <t>ECR - PACKER ENVELOPE GENERATIONS FOR EXISTING HF1 PRODUCTS.  TASK WILL INCLUDE ALL REQUIRED DOCUMENTS PLUS THE PUBLISHED ENVELOPE IN A PDF FORMAT.  PART I:
722HF1702304
722HF1702600
722HF1702610
722HF1702631
722HF1702904
IGNORE ALL NEW VAM THREADS</t>
  </si>
  <si>
    <t>727440</t>
  </si>
  <si>
    <t>UPDATE PN 9293-6763-FT1 TO SE1 QUALITY PLAN SEE ATTACHED.
TSG NOTES 10-28-11 DRAWINGS TO QUALITY FOR MARKUP JCC END</t>
  </si>
  <si>
    <t>Dana to change to an ECR.  10/31/2011 MS</t>
  </si>
  <si>
    <t>ECR 9290-2682 REV A &amp; 9290-2683 REV A CAN THE TOLERANCE OF THE .1867 HOLE DETAIL E BE CORRECTED IN BOTH DRAWINGS? SEE ATTACHED EMAIL.
------
9/30/2011 ST - SENT TO J. SEALE FOR CHECKING
------
10/14/2011 J. SEALE - CHECKING COMPLETE SENDING R. BAKHTIARY FOR APPROVAL</t>
  </si>
  <si>
    <t>Tommie Burks</t>
  </si>
  <si>
    <t>ECR-On drg D00504158 the 2.920 bore dimension is to 3 decimal places so tolerance would be +/-.005.
Similar 2.7/8 Top Sub, drg D00394549 has the tolerance on the 2.920 bore as +/-.002.
Drg D00504158 2.920 bore is to be changed so tolerance would be +/-.002.
-----------------------------------------------------------
IN ENG. DESIGN-A. BERRET_10/31/2011---------------------END</t>
  </si>
  <si>
    <t>2011-09-26, WM - 50% complete.  Procedures being created as needed.</t>
  </si>
  <si>
    <t>732977</t>
  </si>
  <si>
    <t>Source an alternative vendor for machined Filler Strips of various designs. Price reduction to be atleast 50% over existing suppliers. Design a filler strip for circulation valve which is extrudable and cost efficient in the long term. Cost efficient sheet metal straps to be designed to hold the circulation valve filler strips on the valve. Idea to be extendable to other HS valves/ HVC valves as well in the future.</t>
  </si>
  <si>
    <t>722105</t>
  </si>
  <si>
    <t>9290-2754 REV A -
There is no dia. for the 2 of dowel holes on detail D.
Also the holes are drawn in the correct position but centre lines for these holes are on the .465 centreline.</t>
  </si>
  <si>
    <t>734828</t>
  </si>
  <si>
    <t>Statoil Snorre B</t>
  </si>
  <si>
    <t>4: SPLT=182 @@</t>
  </si>
  <si>
    <t>ELEC - ROC-X ASIC Gauge Development and Qualification
This project covers the development of a new hybrid assembly capable of higher temperature operation with increased reliability due to ASIC technology.  The Permanent Monitoring Department????s goal for the ASIC hybrid development is to become the technical leader in Permanent Monitoring by designing a gauge system capable of reading 32 pressure/temperature data points on a single TEC in 2 seconds at 225C with full Quartzdyne resolution and accuracy.  The priorities for the development are as follows:
1.Implement Cissoid A/D Converter
2.Implement a Voltage Divider for Qty 2 Position Sensors 
3.Maintain the Same Package Size
4.Support Qty 4 Transducers on a Single Hybrid Assembly
5.Toolhead Voltage Diagnostics
6.Implement Voltage Reference to Stabilize Power Supply Over Temperature
7.Simplify the Incoming Communication Circuitry
8.Analysis on Resistors vs. Diodes for Return Communications and Possible Replacement
9.Hard Code FPGA Addresses
10.Add a Feed-thru Switch Capability
11.Allow the Feed-Thru and position sensor to share one pin
12.Remove FMI Oscillator
13.Verification of firmware and circuit with 30,000 ft cable 
14.Qualification of the whole system in 225deg aC oven 
Project Leads:  Ale Avila and Hai Bi
Estimated project costs:  578K - 726K (depending on required ASIC revision
2011-09-27, WM - ASIC wafers have been procured.  Prototype test fixtures for the ASIC are in progress.  Quartzdyne is currently completing analog testing.  Hybrid substrate has been ordered.  Hai needs to update the project plan and attach it to the RTA.  
2011-10-04 WM - THE LATEST PROJECT PLAN WILL BE ATTACHED TO THE RTA.  PMOS TEST FOR FEEDTHRU SWITCHING WAS STARTED 2011-09-29.  DIFFERENCE AMPLIFIER MANUFACTURED BY TI HAS BEEN ASSEMBLED FOR TESTING.  THE TEST WILL BE COMMISSIONED THIS WEEK. 
2011-10-10 AB - ASIC TEST KIT HAS BEEN SHIPPED TO QUARTZDYNE.  A PROJECT PLAN HAS BEEN UPDATED AND UPLOADED IN CWI.  THE DESIGN SPECIFICATION IS COVERED PARTIALLY AS PART OF FIRMWARE SPEC, A NEW DOCUMENT WILL BE COMPLETED IN DOCUMENT RELEASE STATE.
2011-10-17 WM  Proto bd in process following AEM power supply bds.  Goal to order proto bds by 10/28 
2011-10-24 WM Quartzdyne successfully communicated with ASIC.  Rest of analog and logic testing will continue. 
2011-10-31 WM Quartzdyne is completing full function tests on the ASIC using a breadboard setup.  Ambient verification should be completed 11/15.  The proto board for ROC-X hybrid test is on hold until Quartzdyne makes a call on connector.
11/07/11 WM - PO is reaching its limit.  Quartzdyne will be funding the rest of the development costs.  The TX connection internal to ASIC was found to be not functional.  A bug report is being compiled.  ROC-X BOM is being built in CWI.  11/07/11 AB
11/14/11 WM - Design specifications are in progress for transducer simulator, gauge simulator and production assembly/test software. 11/14/11 AB
2011-11-21 WM The bug report is on track for delivery in first week of December.  The transducer simulator options will be explored at the same time.</t>
  </si>
  <si>
    <t>ECR D00503211 Drawing should have a (2x) on dimension 7.050.
See attached email.
-----------------------------------------------------------IN ENGINEERING DESIGN-A.BERRET_10/17/2011---------------END
RTA WILL BE CANCELLED, BECAUSE REQUEST WAS COMPLETED ON RTA 718435 (OEWUMI 21OCT11)</t>
  </si>
  <si>
    <t>734840</t>
  </si>
  <si>
    <t>5: SPLT=182 @@</t>
  </si>
  <si>
    <t>726888</t>
  </si>
  <si>
    <t>M/N-101924867 Drawing 9381-2047 Rev.C
Please move the GD&amp;T (Total runout .002 to DATUM A) call-out up to the .750 OD.
--THE M/N IS 101942867, NOT 101924867--
------
9/30/2011 ST - SENT TO J. SEALE FOR CHECKING
------
10/13/2011 J. SEALE - CHACKING COMPLETE SENDING BACK S. TEHVEN FOR DRAWING CHANGES.
- ADD REV C BACK TO REVISION BLOCK SHOWN ON COPY DRAWING
- CHANGE YOUR SYMBOLS TO REV D
-----
------
10/25/2011 ST - SENT TO R. BAKHTIARY FOR APPROVAL</t>
  </si>
  <si>
    <t>ECR
M/N-101927575
On 9293-6314 CL change ITEM 6 (590180/2020-1072) to
1/4-20UNC X .4375 LG SHCS/SS. This will allow for proper fit-up when the Clamps are installed. (NOTE) I do not know what the part number is for this new screw.
------
9/30/2011 ST - SENT TO J. SEALE FOR CHECKING
------
10/13/2011 J. SEALE - CHECKING COMPLETE SENDING TO R. BAKHTIARY FOR APPROVAL</t>
  </si>
  <si>
    <t>724491</t>
  </si>
  <si>
    <t>SAP 101915156 Commodity 236H000735U1O01
Please change the bottom connection for the above referenc valve to 3.5in 10.2PPF Vam Top Pin / material 13 Cr</t>
  </si>
  <si>
    <t>729367</t>
  </si>
  <si>
    <t>Same As: 9290-6693; GGE MDRL ASSY,3 1/2-9.30,DBL ROC,0.75 OD
Except: Referring to RTA 729043, I need a 2.875 in sub ported to tubing for the snorkel tube. This sub will be placed above the 2.875 in shrouded ICV
Tech Start Date is in the past
Project Name: Angsi E11 &amp; E12
Special Quality Plan Required?: No
Material: (7) 13 CR 80 MY 22HRC (ES-MA-58-7)
Mating Infomation:
Run Below item with RTA Number 729043
2011-11-28 WM:  Assign to Sam Class B</t>
  </si>
  <si>
    <t>728784</t>
  </si>
  <si>
    <t>M/N-101832304, 101936041, 590974, 590976, 590986, 590991, Drawing W.302696-00-00 Rev.S
The drawing has been updated to current standards but not all the BOMs associated with it have been updated for the coating find numbers 0805 and 0806. BOMs for 101983634 and 590984 are correct and do not need update.</t>
  </si>
  <si>
    <t>731124</t>
  </si>
  <si>
    <t>PDX/XPIO software has a limitation on the real-time plots generated by the software.  The maximum pressure limit is 10k psi.  Increase the limit to allow for 25kpsi (30kpsi?) gauges.</t>
  </si>
  <si>
    <t>M/N-594096 Drawing 312542-00-01 Rev.7
Please modify NOTE 8, find number 0803; is B-001 Moly should be B-006 Bead Blast for the 3-1/2 10.2 NSCT Pin Thread.
-----------------------------------------------------------
IN ENGINEERING CHECKING_A. BERRET_10/03/2011------------END
FOLDER RETURNED TO P. JAMES FOR APPROVAL_A. BERRET_10/05/2011---------------------------------------END
-----------------------------------------------------------
FOLDER RETURNED TO P. JAMES_AFFECTED ITEMS LIST NEEDS TO BE FURTHER EDITED_A. BERRET_10/09/2011------------------END
-----------------------------------------------------------
IN ENG. DESIGN CHECK-A. BERRET_10/31/2011---------------END
-----------------------------------------------------------
FOLDER RETURNED TO P. JAMES FOR APPROVAL-A. BERRET_11/08/2011---------------------------------------END
-----------------------------------------------------------
RETURNED TO T. BORDMAN FOR MINOR PRINT CHANGES-A. BERRET_11/17/2011---------------------------------------END</t>
  </si>
  <si>
    <t>DEVELOP SOFTWARE GAUGE AND FLOWMETER .DLL (WDEU) FOR CHEVRON / TAHITI
2011-10-01:  License utility has been added, but have not had time for Youdee to test.  Working on diagnosic logging.  Also Youdee is finalizing Super-user interface.
2011-10-17 WM:  Testing is outstanding.  Ali needs to review test setup and who will complete the testing.  Manuals will be completed this week.  Complete documentation complete by 12/9.
2011-10-31:  Testing of DLL and Super User Interface ongoing.  On target for mid November.</t>
  </si>
  <si>
    <t>2:</t>
  </si>
  <si>
    <t>721137</t>
  </si>
  <si>
    <t>ECR-102041828-THIS IS FOR LOCTITE 243. CAN THE BOTTLE SIZE OF 0.34oz(10ml)BE ADDED TO THE M.N.DESCRIPTION IN SAP AS THE ONLY WAY TO FIND THIS OUT IS TO GO TO THE OLD MATERIAL NUMBER WHICH CALLS-THEN GO INTO CWI WITH THIS OLD MATERIAL NUMBER WHICH STATES THE VENDERS PART NUMBER THEN HAVE TO GO ON THIS VENDERS WEBSITE WITH THEIR PART NUMBER TO FIND OUT THE SIZE OF BOTTLE REQD TO PURCHASE.</t>
  </si>
  <si>
    <t>720878</t>
  </si>
  <si>
    <t>UPDATE  PART DESCRIPTION TO READ 25CR INSTEAD OF 13CR
REMOVE MATERIAL DESCRIPTION FROM THE PRINT</t>
  </si>
  <si>
    <t>732966</t>
  </si>
  <si>
    <t>ECR - PACKER ENVELOPE GENERATIONS FOR EXISTING HF1 PRODUCTS.  TASK WILL INCLUDE ALL REQUIRED DOCUMENTS PLUS THE PUBLISHED ENVELOPE IN A PDF FORMAT.  PART III:
722HF1702906
722HF1702905
722HF1702933
722HF1702938 - PACKER ENVELOPE ALREADY CREATED
722HF1702941 - PACKER ENVELOPE MOVED TO RTA 732973
IGNORE ALL NEW VAM THREADS</t>
  </si>
  <si>
    <t>2011-10-04, MWS - Requested design complete date updated. In final review, low priority.</t>
  </si>
  <si>
    <t>M/N-101959809 Drawing 9450-2285 Rev.1
Please change marking spec. to ES-MM-51-4
Title Block says PTFE which is teflon, should be PEEK.
------
9/30/2011 ST - SENT TO J. SEALE FOR CHECKING
------
10/14/2011 J. SEALE - CHECKING COMPLETED, SENDING TO R. BAKHTIARY FOR APPROVAL.</t>
  </si>
  <si>
    <t>727216</t>
  </si>
  <si>
    <t>UPLOAD 309001-06-01 DRAWING FROM DOMINO TO CWI. SETUP PART STRUCTURE.</t>
  </si>
  <si>
    <t>727740</t>
  </si>
  <si>
    <t>Investigate using an olive with a slightly bigger hole to prevent plugging of the olive port.  We have seen a few cases in Norway where the tiny hole in the olive becomes plugged.</t>
  </si>
  <si>
    <t>729046</t>
  </si>
  <si>
    <t>720683</t>
  </si>
  <si>
    <t>ECR - ADD MISSING TEST KEYS IN ALL PACKER CONSUMABLE KIT--------------------------------------------------------------
I DESIGN SINCE 10/04/2011. A. BERRET--------------------END
-----------------------------------------------------------
RETURNED FOLDER IN TRAVIS B. BOX FOR DISTRIBUTION_A.BERRET_10/07/2011------------------------END</t>
  </si>
  <si>
    <t>724828</t>
  </si>
  <si>
    <t>UPDATE ATTACHMENT OF DOCUMENT. ERROR IN DOCUMENT LOAD</t>
  </si>
  <si>
    <t>720674</t>
  </si>
  <si>
    <t>726801</t>
  </si>
  <si>
    <t>Ref.part SAP 590216,
Change design as per attached sketch: add a wedge for 11mm bumber and 2 off 3/8in lines, move the by-pass groove.
Quality plan to be SB2.</t>
  </si>
  <si>
    <t>734907</t>
  </si>
  <si>
    <t>DRAWING NUMBER 312858-00-01 (BELLEVILLE SPACER) NEEDS THE 7.945 INCH DIAMETER DIMENSION CHANGED TO 7.890 INCH. THE .06X45 DEG RADIUS NEEDS TO BE INCLUDED AS WELL.  11-7/8 INCH HF-1 PACKER AS 722HF1117200/01
REVISED DESCRIPTION REQUEST (OEWUMI 28JUL11)
-----------------------------------------------------------RETURNED TO P. JAMES FOR APPROVAL. A . BERRET_08/22/2011---
-----------------------------------------------------------
FOLDER RETURNED TO P. JAMES FOR APPROVAL AFTER REVIEW OF ECN FORMS. A. BERRET_09/06/2011---------------------------------------------------------------------------------------
FOLDER RETURNED TO A. BERRET BY E. BUTLER FOR MINOR UPDATES ON ECR FORM AS PER TSG-A. BERRET_10/31/2011-----END
-----------------------------------------------------------FOLDER RETUNRED TO P. JAMES FOR APPROVAL AND DISTRIBUTION-A. BERRET_11/16/2011</t>
  </si>
  <si>
    <t>REVISE 102024467 TO REPLACE ES-I-186 WITH ES-A-549 AS FIND 0801
------
8/17/2011 ST - SENT TO J. SEALE FOR CHECKING
------
10/25/2011 ST - SENT TO R. BAKHTIARY FOR APPROVAL</t>
  </si>
  <si>
    <t>724749</t>
  </si>
  <si>
    <t>UPDATE DRAWINGS WITH WRONG ATTACHEMENTS IN CWI DUE TO LOADING PROBLEMS. SEE ATTACHED E-MAILS</t>
  </si>
  <si>
    <t>Revise ROC Gauge Mandrel parts variants to correct and update documentation.
-9293-6000 level should have ES-A-549 attached, and ES-I-186 removed
-9293-6000 LEVEL SHOULD HAVE LOCTITE 243 ATTACHED, AND LOCTITE 242 REMOVED
------
10/1/2011 ST - SENT TO R. BAKHTIARY FOR APPROVAL</t>
  </si>
  <si>
    <t>726618</t>
  </si>
  <si>
    <t>Revise mandrel RTA requirements document (9290-5101) to add a field for number of checkvalves in the chemical injection mandrel section.
Also, update the sheet to contain part information/references that are more pertinent to currently used gauges.</t>
  </si>
  <si>
    <t>OBSOLETE 589280 (W.028PQS252006) AND REPLACE WITH 588885 (030PQS252006)
-----------------------------------------------------------IN ENGINEERING DESIGN-A.BERRET_10/17/2010---------------END
-----------------------------------------------------------
IN DRAFTING. FOLDER ASSIGENED TO CHETAN L. FOR BOM DRAWING UPDATE-A.BERRET_10/25/2011------------------------------END</t>
  </si>
  <si>
    <t>724488</t>
  </si>
  <si>
    <t>SAP 102091428 commodity 216HA00735D500
Please change the bottom connection for the above referenc integration to 3.5in 9.2 PPF Vam Top Pin / material 4140. Please contact PLM for additional info</t>
  </si>
  <si>
    <t>722303</t>
  </si>
  <si>
    <t>ROC 25K Gauge SUB ASSY COMPONENT LIST.
The list does not contain the material type for item 1 and 2.  Customer has requested that the list be updated with the proper material type for future records.  
Please update this list and notify Bill Hanks.  If you have any questions call Bill Hanks</t>
  </si>
  <si>
    <t>730920</t>
  </si>
  <si>
    <t>Create Object Structure and Part Numbers for the following test fixtures used to test assemblies. 
Need:
4-1/2in 12.75lb P-110 BOX X 9/16in MP Autoclave X-Overs X 8in 
4-1/2in 12.75lb P-110 PIN X 9/16in MP Autoclave X-Overs X 8in 
Also need to have these made for Max. Pressure of 11,590 psi.
See attached drawings from local machine shop.</t>
  </si>
  <si>
    <t>734094</t>
  </si>
  <si>
    <t>736087</t>
  </si>
  <si>
    <t>736635</t>
  </si>
  <si>
    <t>Ref.part 105XO0453505-ST0 (3 1/2 - 4 1/2 Crossover),
Except for:
- 4 1/2in threads to be 12,6LB/FT Vam Top Pin
- Quality Plan to be SB2</t>
  </si>
  <si>
    <t>34: SPLT=182 @@</t>
  </si>
  <si>
    <t>729043</t>
  </si>
  <si>
    <t>Same As: 9290-6693; GGE MDRL ASSY,3 1/2-9.30,DBL ROC,0.75 OD
Except: 2 dual sensor gauges. 1 ported to annulus and tubing. 1 having snorkel tube all the way down to lower ICV ported to tubing and into shroud. Threads, 3.5 in K Fox 9.2 ppf. bypass for control lines to Upper and Lower ICVs
Tech Start Date is in the past
Project Name: Angsi E11 &amp; E12
Special Quality Plan Required?: No
Material: (7) 13 CR 80 MY 22HRC (ES-MA-58-7)
Mating Infomation:
Run Above item with RTA Number R00000729041
Run Above item with RTA Number R00000729042
2011-11-28 WM: Assign to Sam Class B</t>
  </si>
  <si>
    <t>735049</t>
  </si>
  <si>
    <t>Add pressure rating to Purchase Specification for MN 102102659</t>
  </si>
  <si>
    <t>724865</t>
  </si>
  <si>
    <t>736493</t>
  </si>
  <si>
    <t>Regarding SAP MN 590680 (ref no. W.300899-00) and other relevant sizes / material variants, Quality request to add the following specifications:
ES-I-125 for additional hardness testing and ES-I-30 for Dye Penetrant
The specifications should be added to the following components:
- Primary Jam Nut: W.300955-02
- Secondary Jam Nut: W.31017-JL
- Tertiary Jam Nut: 304457-JL
- Front Ferrule: W.030588-00
- Rear Ferrule: W.030587-00
- Ferrule Set: W.300449-00
Note: A-150 is not specified in ES-I-125, can it be added to ensure an additional hardness is performed on the raw material for the ferrules consistently.</t>
  </si>
  <si>
    <t>736379</t>
  </si>
  <si>
    <t>UPLOAD CWI the procedure 7403-5140 referenced in the CPI ATTACHED</t>
  </si>
  <si>
    <t>ELEC - AEM Hybrid Development and Qualification
THIS RTA IS TO COVER THE DEVELOPMENT OF THE AEM HYBRID ASSEMBLY REQUIRED FOR THE SAM TOOL REDESIGN UNDER RTA 538472.  IT WILL INCLUDE THE DEVELOPMENT OF A HYBRID MICROCIRCUIT, QUALIFICATION THEREOF, AND GENERATION OF PRODUCTION DOCUMENTATION.  THE ORIGINAL PROPOSAL FOR THE HYBRID REDESIGN IS ATTACHED TO RTA 538472.
THIS RTA WILL BE COMPLETED BY ASWIN BALASUBRAMANIAN AND ALE AVILA.  THE RTA FOLDER SHOULD BE DISTRUBUTED TO MATTHEW SCOGIN.
Jan 26/2010 Set-up &amp; Distributed to Matthew Scogin (GMacias)
ZEWO:  103441994
Network:  HTWD601607 M001
2011-06-22: THE PROJECT PLAN WITH REVISED DUE DATES WAS ATTACHED TO THE RTA.  THIS PLAN IS SET FOR GOING FORWARD AFTER IMPACT ON PROJECT TIMELINE DUE TO CUSTOMIZATION RTAS AND RELIABILITY STUDY OF ROC GAUGE FOR WOODSIDE.
10/17/11 WM  Design review complete.  Ordering power supply bd by end of week.  Updating the SOV bd.
11/14/11 WM - Schematic and components are being finalized.  A design review will be scheduled for next week.  11/14/11 AB
10/24/11 WM Buck converter PCB is on order.  Testing will begin end of this week.  AEM hybrid circuit verification other than power supply, expected to be completed by next week.  10/24 AB
10/31/11 WM Initial testing is being completed.  Architecture will be discussed with CMAC for final freeze.  Design functionality freeze has been reached.  10/31 AB
11/07/11 WM The schematic is under review with CL and CD as deliverable.  A design review will be scheduled next week to capture the change information.  11/07/11 AB
2011-11-21 WM Analog Switch testing is ongoing.  Tests for Transmit, Receive, SOV Switching, ADC have been completed.  A design review will be held 2011-11-22.  FPGA Code is being completed.
2011-11-28, WM:  Design review completed last week.  Electrical schematic design locked with the exception of the external inductor and capacitor.  FPGA code is 40% complete.</t>
  </si>
  <si>
    <t>2011-09-27, WM - Power supply analysis and testing in progress with primary focus on the PWM method until September 30th. CMAC and QD are both on hold until the power supply has been resolved.  Project plan will be updated after the power supply evaluation is complete.  2011-10-04 WM - PWM EVALUATION HAS BEEN COMPLETED AND THE HARDWARE RESULTS POINT TO TRANSITIONING TO A FULL BUCK CONVERTER.  THE CIRCUIT HAS BEEN POPULATED ON BREADBOARD AND WILL BE EVALUATED THIS WEEK.  A DESIGN REVIEW WILL BE SCHEDULED AFTER PROOF OF CONCEPT AND IMPLICATIONS OF AEM CIRCUIT DIAGRAM WILL BE ANALYZED.  THE PROJECT PLAN WILL BE UPDATED AFTER THE DESIGN REVIEW. 2011-10-10, WM - BUCK CONVERTER EVALUATION WAS COMPLETED.  THE SYSTEM ARCHITECTURE WILL BE COMPLETED AND A CONCEPT DESIGN REVIEW WILL BE COMPLETED WITH THE TEAM.</t>
  </si>
  <si>
    <t>ELEC - ECHO (HalSonics) Upgrade and Qualification
Reference RTA 533492, 534031.  
The purpose of this project is to upgrade the Halsonics hardware and electronics and redesign the system as a whole to be universally applicable to many other completion, testing and drilling applications as previously conceived for the technology. Requirements document and proposed project plan generated from previous RTAs are attached.
10/17/11 WM  Design review completed.  Ale &amp; Bruce Scott to complete action items originating from design review.
10/24/11 WM Conceptual design of tool including hydrophone for mechanical design has been started.  Crystal material and assembly is being reviewed.  10/24 AB
10/31/11 WM Conceptual design is in progress and will be available for review by end of the week.  Detailed design will start after the review.  Intelligent Trigger project will be detailed in a separate project plan.  This project will be run in parallel with Echo.  10/31 AB
11/07/11 WM - The models and separate project plans are in progress.  New vendor is being setup so as to buy hydrophones off-the-shelf.  Test circuit has been completed for single wire communication with PCB assembly.  11/07/11 AB
11/14/11 WM - Conceptual models were reviewed for downhole tool.  Further design work is scheduled for this week.  Two versions of the tool will be run in parallel.  Hydrophones will be ordered this week, the vendor has been added to accepted vendor list.  11/14/11 AB
2011-11-28, WM:  Specification completed.  Alternate vendor hydrophones in process with anticipated delivery by end of year.  Updated HAL hydrophone design completed, detailed drawings in progress.</t>
  </si>
  <si>
    <t>2011-09-27, WM - Testing of the first batch of hydrophones has been completed.  A design review will be scheduled for next week to update the design and manufacture a new batch.  Tool design is on hold due to resources.  Ale will attach each of the monthly project updates and the latest project plan.  2011-10-04 WM - THE REPORT ON TESTING HAS BEEN STARTED.  THE PROJECT PLAN HAS BEEN UPDATED WITH LATEST TIMELINES.  THE HYDROPHONES HELD UP TO 10000 PSI AS PART OF PRELIMINARY PRESSURE TESTING.  THERE WAS NO CRACKING OF POTTING OR THE SENSOR.  THE DESIGN REVIEW WILL BE HELD AFTER COMPLETION OF THE REPORT.  2011-10-10, WM - FURTHER TESTING WAS COMPLETED AT 150C.  THE REPORT WILL CAPTURE THE OBSERVATIONS.  A PROJECT UPDATE WAS GENERATED FOR CHEVRON.</t>
  </si>
  <si>
    <t>ELEC - HIGH TEMPERATURE CAPACITOR SHOOTOUT:  In order to support the development of high temperature hybrid projects such as the ROC-X and AEM ASIC, further qualification needs to be completed on ceramic capacitors.  This RTA is to cover the definition, setup, and completion of a long term capacitor test between Presidio, Eclipse Nanomed, Holystone, and AMC capacitors.
ZEWO  1035000943
Network:  HTWD601666 M001
10/17/11 WM  Schematic for test block complete by end of week.  Ale to review.
10/24/11 WM The schematic has been completed and is ready for layout.  Hierarchical symbols have been implemented and it port forward to layout was verified.  This will not be an automated system.  The project will be on hold for next three weeks. 10/24 AB
2011-11-28, WM:  Project still on hold pending the completion of ROC-P development.</t>
  </si>
  <si>
    <t>2011-09-27, WM - All capacitor configurations built (Four vendors, qty 50 samples).  External test boards still in development with targeted completion in October.  Project plan out of date and will be updated before next meeting.  2011-10-04 WM - THE SCHEMATIC FOR LONG TERM TESTING IS UNDER PROGRESS.  THE PROJECT PLAN HAS BEEN UPDATED WITH THE DATES.  THE SCHEMATIC WILL BE COMPLETED BY OCTOBER 11.  2011-10-10, WM - AUTOMATING THE READING OF CAPACITANCE AND LEAKAGE CURRENT WILL BE EXPLORED.  THE SCHEMATIC WILL BE COMPLETED AFTER THE DECISION ON AUTOMATION.  THE UPDATED PROJECT PLAN HAS BEEN ATTACHED TO THE RTA AND DUE DATE HAS BEEN REVISED TO REFLECT THE DATE IN PROJECT PLAN.</t>
  </si>
  <si>
    <t>728189</t>
  </si>
  <si>
    <t>ECR - 315032-00-01 Release Keys, 9653 (9 5/8) x 4.5 MC Prod. Packer Drawing. 
Modification includes:
1. From .814/.826 To .813/.818; zone C3
2. Add detail view to include 60 deg angle dim and .068/.073 dim to groove profile.
3. Modify note to read --May use 8 TPI National Thread insert.--
4. Add missing 45 deg chamfer dims to include radius on Section A-A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
FOLDER RETURNED TO T. BORDMAN FOR SUBSEQUENT DISTRIBUTION-A.BERRET_11/04/2011-------------------------------------END</t>
  </si>
  <si>
    <t>731277</t>
  </si>
  <si>
    <t>1/2 inch NPT nipple x 1/4 inch Swagelok/tube with a bore size large to feedthrough 1/4 inch tube (INC-400-1-8BT)</t>
  </si>
  <si>
    <t>734837</t>
  </si>
  <si>
    <t>Need following changers to M/N 101875875 (eccentric TLC):
Redesign one of the wedges to accomodate 1 single   bumper 8mm. This refers to the left side wedge according to attachement.
Remove wedges number 2 to incorporate 2 bypass slots (each 36 x 12 mm)</t>
  </si>
  <si>
    <t>Cancelling per submitter request...email attached.  11/22/11 DM</t>
  </si>
  <si>
    <t>728783</t>
  </si>
  <si>
    <t>E.C.R D00401549 REV A. COULD THE CORRECT BLANKING DIMENSION OF THE VAM BOX THREAD ADDED TO THE DRAWING. SEE ATTACHED EMAIL.</t>
  </si>
  <si>
    <t>732940</t>
  </si>
  <si>
    <t>724660</t>
  </si>
  <si>
    <t>MISCELLANEOUS E-MAIL REQUEST:
101711 KELLEY PEGODA
REFERENCE E-MAIL: DOCUMENT REQUEST</t>
  </si>
  <si>
    <t>722768</t>
  </si>
  <si>
    <t>722769</t>
  </si>
  <si>
    <t>5.5 inch  20ppf cementable end ROC 175C gauge mandrel ported internally with rupture disc-spec. 615.61608</t>
  </si>
  <si>
    <t>731326</t>
  </si>
  <si>
    <t>QNTY 1, 1/4 INCH NPT FEMALE CONNECTION TEE PIECE SWAGELOK P/N SS-4-T-10K, OFFERED AS AN ALTERNATE TO INCOLOY/ALLOY 600.</t>
  </si>
  <si>
    <t>TSG - QA REQUEST TO UPDATE CWI STRUCTURE FOR SAP MN 597210 REF NO. 9290-6490-SE1; 7-5/8 33.7 CHEMICAL INJVAM TOP-FE, -SE1 TO MEET NEW REVISION OF SE1 QUALITY PLAN.
QUALITY REQUIREMENTS CHANGE, ONLY.
QUALITY PLAN: SE1; REV 10
6/10/11 ASSIGNED FOR PROCESSING VN</t>
  </si>
  <si>
    <t>TSG - QA REQUEST TO UPDATE CWI STRUCTURE FOR SAP MN 597306 REF NO. 9290-6523-SE1; 4.500-15.10PPF CHEMICAL INJECTION VAMTOP S13CR 95K BY-PASS 1/2CV -SE1, -SE1 TO MEET NEW REVISION OF SE1 QUALITY PLAN.
QUALITY REQUIREMENTS CHANGE, ONLY.
QUALITY PLAN: SE1; REV 10
6/10/11 ASSIGNED FOR PROCESSING VN</t>
  </si>
  <si>
    <t>733972</t>
  </si>
  <si>
    <t>Need a simulation for BP Dorado troubleshooting.  How long will it take for pressure to equalize in the Open Line across thru the 198klohm restricor when the Common Close Line is pressured to 5k.</t>
  </si>
  <si>
    <t>731729</t>
  </si>
  <si>
    <t>1/4 INCH NPT DOUBLE/CLOSE NIPPLE SWAGELOK P/N SS-4-HN-10K, OFFERED AS AN ALTERNATE TO INCOLOY/ALLOY 600</t>
  </si>
  <si>
    <t>720667</t>
  </si>
  <si>
    <t>OBSOLETE AND, IF REQUIRED, SUPERCEDE ALL STATOIL PARTS WITH -SV2 THREE-DIGIT IDENTIFIER PER D. HICKMAN</t>
  </si>
  <si>
    <t>724474</t>
  </si>
  <si>
    <t>SAP 102073718 commodity 236HS00S00735U1A00
SAP 102073759 commodity 236HS00S00735U1B00
SAP 102073762 commodity 236HS00S00735U1C00
SAP 102073766 commodity 236HS00S00735U1D00
SAP 102073772 commodity 236HS00S00735U1E00
SAP 102073789 commodity 236HS00S00735U1F00
Please change the bottom connection of the above reference valves to 3.5in 9.2PPF HUNTING SEAL-LOCK APEX Pin / material 13 Cr. Please contact PLM for additional info</t>
  </si>
  <si>
    <t>726258</t>
  </si>
  <si>
    <t>ELEC NE Canada team advised that when they were running the gauges past mudline and the temperatures became close to zero (or below zero), the PDX software showed  - invalid - readings.  The gauges were actually measuring the temperature correctly and were logging the data with good temp and pressure values.  But the display was showing the - invalid - giving the wrong impression to the crew and causing a lot of concern and potential downtime while troubleshooting took place.  It sounds like it is a problem with the software at close to zero deg C temps.  The same change required might be necessary for the XPIO/UACU software too.
11/07/11 A decision on final values will be made and software will be updated.  11/07/11 AB</t>
  </si>
  <si>
    <t>Contacted submitter and confirmed that work can begin once T Nilsen returns from Norway.  Aswin will contact Terje and Nick to determine what course to take.  10/24/11 DM  J Flygare to verify temperature threshhold that flags a value invalid.  11/14/11 DM</t>
  </si>
  <si>
    <t>731112</t>
  </si>
  <si>
    <t>The issue is the lack of space between the FMJ connector and the Punch Mandrel Assy and being able to use the FMJ wrench and torque wrench in order to make up the FMJ into the punch mandrel assembly. The thickest part of the
wrench will not fit in the space that separates the two FMJ
fittings.  The wrenches cannot get a grasp onto the spline slots of the FMJ (Primary Jam Nut and Tertiary Nut) fitting. You will only get an 1/8 turn when the wrenches fit into the spline slots making it difficult to make up. Below are the material numbers for the items in this discussion.
Part list:
 FMJ connector (590680)
 Punch Mandrel Assy (101996838/ drawing  9290-6698)
 Spline wrench (Combination Hand Tool SAP 588447)</t>
  </si>
  <si>
    <t>729042</t>
  </si>
  <si>
    <t>Same As: 216HA00728U1O00; VLV INTEGD,HS,ACCUPULSE,2-7/8,UNSHRDD,13
Except: K Fox threads, Do not need 6 line bypass, need a shroud  41/2 12.6 ppf KFox Shroud ,length to be less than bottom fitting kit
Tech Start Date is in the past
Project Name: Angsi E11 &amp; E12
Special Quality Plan Required?: Yes
Quality Plan Identifier: Witness Testing Done
Material: (7) 13 CR 80 MY 22HRC (ES-MA-58-7)
Mating Infomation:
Run Below item with RTA Number R00000729041</t>
  </si>
  <si>
    <t>734308</t>
  </si>
  <si>
    <t>ECR - Create and release a document that is a standard work for the preservation process for top level assemblies in the Spring facility. Paul Lively 11/18/2011</t>
  </si>
  <si>
    <t>730909</t>
  </si>
  <si>
    <t>Coiled Tubing shifting tools for 4.56 ID equipment.
See attached document with details for each task and or tool.</t>
  </si>
  <si>
    <t>724485</t>
  </si>
  <si>
    <t>SAP 102089847 commodity 226HA00735C5O00
Please change the bottom connection for the above referenc integration to 3.5in 9.2 PPF Vam Top Pin / material 4140. Please contact PLM for additional info</t>
  </si>
  <si>
    <t>723429</t>
  </si>
  <si>
    <t>ELEC  Create conversion kit for pt number 102025389 to change from AC supply power to DC supply power.  ready to order conversion kit and ship, just waiting on part number and final product.</t>
  </si>
  <si>
    <t>43:</t>
  </si>
  <si>
    <t>735506</t>
  </si>
  <si>
    <t>BHP Billiton</t>
  </si>
  <si>
    <t>728828</t>
  </si>
  <si>
    <t>ECR 315685-02-01 REV A. COULD THE NOTE MIN WALL THICKNESS ALLOWED IN THIS AREA .140in BE ADDED TO THE DRAWING. SIMILAR TO DRAWING D00401548 REV C.</t>
  </si>
  <si>
    <t>724888</t>
  </si>
  <si>
    <t>Modify installation procedures for DC powered XPIO. please assign to Aswin Balasubramanian</t>
  </si>
  <si>
    <t>727370</t>
  </si>
  <si>
    <t>RUSSIAN REGION</t>
  </si>
  <si>
    <t>REPLACEMENT OF NON FUNCTIONING GAUGES</t>
  </si>
  <si>
    <t>731787</t>
  </si>
  <si>
    <t>ECR - Create documentation that defines Manufacturing Readiness and the details regarding the minimum necessities associated with BOMs, Drawings, Assy Procedures, and Test Procedures used to communicate product definition to MFG Assembly.</t>
  </si>
  <si>
    <t>735481</t>
  </si>
  <si>
    <t>Request for creating 3.50 HS Digipulse integrations with HSB style valves. Please see attached document for requirements.</t>
  </si>
  <si>
    <t>728620</t>
  </si>
  <si>
    <t>MFGR SPEC - Create documentation for Eagle Downhole Solutions Extention with bushing for traveling block, MFGR PN 110804-00. This extention is used for the vise in MFG to hold smaller parts.</t>
  </si>
  <si>
    <t>735006</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</si>
  <si>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735006 WILL REVIEW AND ADD THE REQUIRED MISSING DIMENSION FOR THE FOLLOWING PACKERS: 
597012; 597013; 597015; 597017; 597021; 597023; 597026; 597030; 597035; 597037; 597039; 597041; 597043; 597045; 597050; 597051; 597059; 597061; 597063; 597065; 597066; 597068; 597082; 597093; 597146; 597192; 597218.
REMAINING PACKERS ARE CAPTURED IN FOLLOWING RTAS: 717933; 735003; 735008; 735014; 735016.
A. BERRET_11/22/2011_END</t>
  </si>
  <si>
    <t>726428</t>
  </si>
  <si>
    <t>Revise part 9290-2800 to add missing dimension from center to clamp mounting base. Also, Section line for A-A should be centered on clamp holes (.50 from wall on right)</t>
  </si>
  <si>
    <t>BP requires the 722HF1965392 BP1 SAP 101935977 to be retest as per ISO 14310 V3 and with some additional steps sugested by BP to simulate BP well specific conditions. BP has placed a demand for the packer in our system to be specifically used for this testing. BP test requirements have been attached to the RTA. Require engineering to prepare a test procedure or plan and have that approved by BP before commencing any testing. This packer will need to be released using a punch to release tool that Halliburton Angola will supply. TPI will most likely be required to witness the testing. Please contact PLM for additional information.
Network:  HTWF601818 M001
ZEWO:     103734283</t>
  </si>
  <si>
    <t>727369</t>
  </si>
  <si>
    <t>REPLACE NON FUNCTIONING GAUGES</t>
  </si>
  <si>
    <t>727383</t>
  </si>
  <si>
    <t>Create FAR for RMA 774 MN 101836035 being scrapped for replacement for FMC Houston.  See Q Note:  200655573   Aswin Balasubramanian to update quote.</t>
  </si>
  <si>
    <t>722376</t>
  </si>
  <si>
    <t>ECR - Design data sheet 214HSO0735U101 has Conoco Bawal as the customer. This same spec sheet was used for another job, Conoco Belut. This was brought up by a third party inspector. See attachment hi-lite. Request to either remove Bawal or add Belut to the job file/customer line.</t>
  </si>
  <si>
    <t>734120</t>
  </si>
  <si>
    <t>MISCELLANEOUS E-MAIL REQUEST
111611 KELLEY PEGODA
REFERENCE E-MAIL : MN598421
TSG NOTES: 111611 RECD EMAIL FROM K.PEGODA THROUGH FUNCTIONAL EMAIL BOX; 111811 SENT EMAIL TO G. WEBB TO HAVE MN 598421 BACKFILLED SO BOM CAN BE ADDED TO PART;  PROVIDED QUALITY WITH ZTDR PRINTOUT FROM SAP TO MARKUP (GMC) END</t>
  </si>
  <si>
    <t>736606</t>
  </si>
  <si>
    <t>Flatpack: 
Four Core Hydraulic (Easy Strip) Flatpack,TT240
Supplier: Tube-Tec</t>
  </si>
  <si>
    <t>736608</t>
  </si>
  <si>
    <t>Flatpack: 
Trippel Core Hydraulic (Easy Strip) Flatpack,TT240
Supplier: Tube-Tec</t>
  </si>
  <si>
    <t>736672</t>
  </si>
  <si>
    <t>Ref.part 722HF1965341-SB2 (9-5/8 HF1 Prod.Packer),
Except:
- All parts which are made of S13Cr to be made of 13Cr</t>
  </si>
  <si>
    <t>29: SPLT=210 @@</t>
  </si>
  <si>
    <t>736673</t>
  </si>
  <si>
    <t>Ref.part 235SFC965511-SB2 (9655 Splice Clamp),
Except:
- All parts which are made of 25Cr to be made of 13Cr</t>
  </si>
  <si>
    <t>31: SPLT=182 @@</t>
  </si>
  <si>
    <t>736679</t>
  </si>
  <si>
    <t>Ref.part 022083-18-SB2 (7055 Shrouded Crossover),
Except:
- All parts which are made of 25Cr to be made of 13Cr</t>
  </si>
  <si>
    <t>32: SPLT=182 @@</t>
  </si>
  <si>
    <t>736632</t>
  </si>
  <si>
    <t>Ref.part D00410010-GD-SB2 (3 1/2in Bullnose),
Except for:
- Size to be 4 1/2in
- Threads to be 4 1/2in 12,6LB/FT Vam Top Box</t>
  </si>
  <si>
    <t>33: SPLT=182 @@</t>
  </si>
  <si>
    <t>736641</t>
  </si>
  <si>
    <t>Ref.part 235SFC703527-SB2 (7035 Splice Clamp),
Except:
- Change material to 13Cr</t>
  </si>
  <si>
    <t>35: SPLT=182 @@</t>
  </si>
  <si>
    <t>736639</t>
  </si>
  <si>
    <t>Ref.part 9290-6819-SB2 (3 1/2 Gauge Mandrel Assembly),
Including ROC-P gauge and Dual Block (for pos.sensor).
Feed-thru.</t>
  </si>
  <si>
    <t>731331</t>
  </si>
  <si>
    <t>QNTY 4, 1/4 INCH  NPT NIPPLE X  1/4 INCH SWAGELOK P/N INC-400-1-4.</t>
  </si>
  <si>
    <t>735192</t>
  </si>
  <si>
    <t>Same As: 216H000735U1O07CO1; VLV INTEGD,HSC,3-1/2,UNSHR,13CR,7.5K-CO1
Except: for the GWF project it looks like the hydraulic chamber need to be upgreade to cope with the exspect down hole pressure.
Ive attached two emails which goes into detail of what the well expectations are and what has currently been looked at by GA Graham Fleming. 
looks like the current chamer rating for the ICV is 10500 psi but we are looking the possiblity of upspecting this to cope with the expected pressure of the GWF completions.
would like to out the follow:
1. is it possible to upspect the current design.
2. is addition test going to be required adn how much it would cost
3. time frames of testing if required.
Project Name: Greater Western Flank
Special Quality Plan Required?: No
Material: (7) 13 CR 80 MY 22HRC (ES-MA-58-7)
Technical Support Deliverables:
Preliminary Design Specifications
Operating Envelope</t>
  </si>
  <si>
    <t>46: SPLT=168</t>
  </si>
  <si>
    <t>730623</t>
  </si>
  <si>
    <t>ECR - REVISE 9-5/8 53 LB MC1 PACKER AS PER ATTACHED TASK.  REVISE SCREW LOCATED ON ITEM 41 TO 1/4-20-3/8SCREW. 
ATTACH FREE-FLOATING TASK 610299   TO RTA (OE 07NOV11)</t>
  </si>
  <si>
    <t>ELEC - Please set up BOM for MN 597411(9555-6206)</t>
  </si>
  <si>
    <t>731088</t>
  </si>
  <si>
    <t>CREATE 4 STANDARD SPOOL DRAWINGS AND REVISE 4 EXISTING SPOOL DRAWINGS TO BRING UP TO STANDARDS.
THESE 8 SPOOLS WILL BE THE STANDARD SPOOLS LISTED ON THE FLATPACK REQUIREMENTS DOCUMENT FOR THE CUSTOMERS TO CHOOSE FROM.
THE 4 SPOOLS THAT NEED TO BE REVISED ARE 316324-03, 316324-06, 316324-10, AND 316324-11.
THE 4 SPOOLS THAT NEED TO BE CREATED ARE THE SAME AS ABOVE JUST SWITCH THE SHAFT DIAMETER TO THE OTHER SHAFT SIZE (EITHER 3 INCH OR 4 INCH)</t>
  </si>
  <si>
    <t>728465</t>
  </si>
  <si>
    <t>Need 4-1/2in, 15.1ppf, S-13Cr100, ROC-175 Gauge Mandrel with Vam DRS Pin x Pin connection, bypass slot at 1.25W x .82D. Dual ROC-175 Gauges side by side, both redundant ported to tubular. Needs to work with 3rd part TEC-598418.
Customer:  Shell
Project:   Habanero
Quality:   SE1</t>
  </si>
  <si>
    <t>SPLT=126</t>
  </si>
  <si>
    <t>732970</t>
  </si>
  <si>
    <t>Next Generation ICV development
See requirements document.</t>
  </si>
  <si>
    <t>736693</t>
  </si>
  <si>
    <t>Ref.part 235SF0967011-SB2  (9670 Splice Clamp Assy),
Except:
- All parts which are made of 25Cr to be made of 13Cr</t>
  </si>
  <si>
    <t>736611</t>
  </si>
  <si>
    <t>Flatpack: 
Dual Core Hydraulic (Easy Strip) Flatpack,TT240
Supplier: Tube-Tec</t>
  </si>
  <si>
    <t>722822</t>
  </si>
  <si>
    <t>OBSOLETE P/N 599609; THIS IS A DUPLICATE OF CARROLLTON P/N 101016414. REMARK STOCK OF 56 AND TAKE CARE OF ORDERS FROM SAP INFORMATION VIA CODE 05 ECN. (SEE EMAIL FROM K. PEGODA)
TSG NOTES: ENGINEERING DECIDED NOT TO OBSOLETE THE PART DUE TO ISSUES OF REVENUE RECOGNITION AND STOCK. RTA WILL BE CANCELLED. JCC</t>
  </si>
  <si>
    <t>729044</t>
  </si>
  <si>
    <t>729041</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</si>
  <si>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Below RTA at Order Line No. 3</t>
  </si>
  <si>
    <t>736005</t>
  </si>
  <si>
    <t>Emailed submitter for AIS date and requirements document.  11/28/11 DM</t>
  </si>
  <si>
    <t>724666</t>
  </si>
  <si>
    <t>MISCELLANEOUS E-MAIL REQUEST
101811 DYANE HENSON
REFERENCE E-MAIL: MATERIAL 594580
TSG NOTES 101811 TSG TO UPDATE STRUCTURES TO ADD SPECIFICATIONS AND UPDATE TO CURRENT STANDARDS; NEED TO MEET WITH QUALITY TO DETERMINE WHICH QUALITY VARIANTS TO OBSOLETE AND WHICH TO REVISE (GMC) END</t>
  </si>
  <si>
    <t>726587</t>
  </si>
  <si>
    <t>Fawares Petroleum</t>
  </si>
  <si>
    <t>Design and cost Control Panel for Single Well SSSV with
one 10,000 PSI output and input is 480 VAC hydraulic pump with manual override.  ESD is only with manual valve or relay.  Bid due date Nov. 1</t>
  </si>
  <si>
    <t>735003</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</si>
  <si>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735003 WILL REVIEW AND ADD THE REQUIRED MISSING DIMENSION FOR THE FOLLOWING PACKERS: 
596537; 596562; 596585; 596608; 596631; 596653; 596676; 596699; 596723; 596746; 596769; 596771; 596817; 596840;
596863; 596885; 596908; 596954; 596978; 596991; 596995; 596999; 597001; 597002; 597003; 597008; 597009.
REMAINING PACKERS ARE CAPTURED IN FOLLOWING RTAS: 717933; 735006; 735008; 735014; 735016.
A. BERRET_11/22/2011_END</t>
  </si>
  <si>
    <t>730819</t>
  </si>
  <si>
    <t>P1411</t>
  </si>
  <si>
    <t>736534</t>
  </si>
  <si>
    <t>Adco</t>
  </si>
  <si>
    <t>736307</t>
  </si>
  <si>
    <t>Drawings 313482-00-01 Rev.2 and 316438-00-01 Rev.B
Please add 2X 15 degrees for the bevels at each end of the 3.268 length shown in SECTION B-B, both drawings.</t>
  </si>
  <si>
    <t>736449</t>
  </si>
  <si>
    <t>UPDATE SAP PART NUMBER 101828288 TO MATCH DRAWING REQUESTED BY J. MACDONALD. REQUESTED REFERENCE NUMBER BE CHANGED BY CAPE FROM 302254-04 TO W.302254-04; HOWEVER THERE IS ALREADY A REFERENCE NUMBER W.302254-04 (590982). WILL ONE OF THESE NEED TO BE OBSOLETED?</t>
  </si>
  <si>
    <t>730541</t>
  </si>
  <si>
    <t>M/N-101984891 Drawing 309484-08-01
Please add critical component specification ES-MP-255 to the BOM.</t>
  </si>
  <si>
    <t>732986</t>
  </si>
  <si>
    <t>Change material to 1% CHROME 80Ksi. Change Top Thread to 5 1/2-20.0lb/ft VAMTOP box. Change Bottom Thread to 5 1/2-20.0 lb/ft VAMTOP pin. Remove the by pass slots. Add SE1 quality plan. 
Note: Client Request pre-released SAP numbers to release the PO.
Project: BC-10 (Second fase)_ BR11176
111511PRE-RELEASE SE1 TOP LEVEL QUALITY PART; REQUESTED BY LORENZZO BREDA MINASSA (D.MOE)FOR SHELL BRAZIL BC-10 PROJECT PURCHASE ORDER - PRE-RELEASED SAP MN 102105010, REFERENCE NUMBER 9290-6XX-SE1 (GMC)</t>
  </si>
  <si>
    <t>732444</t>
  </si>
  <si>
    <t>ECR-316892-00-01. ON SHEET 2 AT SECTION E-E,DETAIL F ,CHANGE THRU HOLES TO .4 MIN. SCREW ONLY GOES IN AROUND .3. TAPS ARE NOT LONG ENOUGH TO GO THRU</t>
  </si>
  <si>
    <t>732445</t>
  </si>
  <si>
    <t>727512</t>
  </si>
  <si>
    <t>ELEC Modbus Specification for Panex: During recent testing with FMC, a review of specification document for Modbus for IWIS cards indicated that the specification document is missing the information on Panex gauge registers.  Either the existing Modbus specification or a new one needs to generated documenting information for Panex gauges.</t>
  </si>
  <si>
    <t>ECR - Consumable kit, 588702, for 9 5/8 HF1 Packer, MN 596631, has a qty of 12 set screws, MN 588285, on the BOM. The correct quantity is 16 to assemble the packer. Change the quantity to 16.
TSG NOTES-------------------------------------------------
081911 TSG RECD FOR PROCESSING (GMC)
-------------------------------------------------------END
-----------------------------------------------------------FOLDER RETURNED TO PAUL JAMES FOR FURTHER DISTRIBUTIUON. A.BERRET_08/15/2011
-----------------------------------------------------------
FOLDER RETURNED TO A. BERRET BY PAUL JAMES FOR MINOR CORRECTIONS AS PER TSG NOTES_A.BERRET_10/31/2011--------END
-----------------------------------------------------------FOLDER RETURNED TO P. HAINES FOR APPROVAL-A. BERRET_11/15/2011</t>
  </si>
  <si>
    <t>OBSOLETE PARTS THAT WERE CREATED BY MISTAKE 102078195 REF 2020-1126 AND 102078196 REF 2020-1127
------
10/26/2011 ST - SENT TO R. BAKHTIARY FOR APPROVAL</t>
  </si>
  <si>
    <t>721553</t>
  </si>
  <si>
    <t>UPDATE PART 595723 TO ADD MISSING REFERENCE DOCUMENTS AND UPDATE DRAWING ATTACHEMENT TO INCLUDE PAGE 2 PER MOPNTY HUBBARD REQUEST</t>
  </si>
  <si>
    <t>725344</t>
  </si>
  <si>
    <t>ECR - drawing 316333-00-01 for 4.5 inch HS carbide carrier - production has had several issues with the carbide carrier damaging the upper seal stack during assembly. The .060 radius on the up-hole end of the carrier comes from the vendor with machine lines that can be felt by hand and the radius also has a point where it meets the 4.799-4.801 OD of the mandrel. These two features commonly peel back the vee-rings of the upper seal stack assembly. This scraps the seal stack (1150.00) and damages the carbide carrier which requires rework (2-4 hrs). See attachment for suggested changes/additions to drawing.</t>
  </si>
  <si>
    <t>731280</t>
  </si>
  <si>
    <t xml:space="preserve">
QNTY (2) 3/8 INCH NPT NIPPLE X 1/4 INCH SWAGELOK/TUBE WITH A BORE SIZE LARGE TO FEEDTHROUGH 1/4 INCH TUBE SWAGELOK P/N INC-400-1-6BT</t>
  </si>
  <si>
    <t>OBSOLETE AND SUPERCEDE -SG1 STATOIL 3-DIGIT IDENTIFIER- QA REQUEST DUE TO AGREEMENT ON SB2_SB3 GLOBAL QUALITY PLAN PER D. HICKMAN</t>
  </si>
  <si>
    <t>22:  splt=N/A</t>
  </si>
  <si>
    <t>736486</t>
  </si>
  <si>
    <t>729049</t>
  </si>
  <si>
    <t>20: SPLT=168 @@  No special quality requirements per attached email from submitter.  11/18/11 DM</t>
  </si>
  <si>
    <t>736637</t>
  </si>
  <si>
    <t>Ref.part 9290-6819-SB2 (3 1/2 Gauge Mandrel Assembly),
Including ROC-P gauge and Dual Block (for pos.sensor).
No feed-thru.</t>
  </si>
  <si>
    <t>SPLT=168  Changed order qty per submitter RTA attached.  11/30/11 DM</t>
  </si>
  <si>
    <t>720845</t>
  </si>
  <si>
    <t>PETROBRAS BRAZIL</t>
  </si>
  <si>
    <t>Customize the valve to commodity reference number 226HA00745U3O; 4 1/2in HS VALVE , w/ AP-1 ACCU-PULSE INTEGRATED and Multi Functional Fitting Kit (RTA: R00000717876) able to hold four FMJ SPLICE BODY SIZE 1/4in (SAP: 102006501) with FMJ connectors (SAP: 590680) + one bypass for one 1/4in TEC line rounded encapsulated (0.43in x 0.43in). Special Customer Quality Plan PQ-2. Change base metalurgy to 25Cr-7Ni-4Mo 80Ksi.</t>
  </si>
  <si>
    <t>44: SPLT=168  No customer PO until end of year. May need to VSF long lead items once this is received. Design waiting for development of 4.5 multi-function ftg kit which is udnerway. Email attached.  10/13/11 DM</t>
  </si>
  <si>
    <t>092711 CREATING RTA TO MAKE UPDATES TO DRAWING NUMBER  W.020108-01-02. DRAWING NAME STATES W. BUT NO W. ON THE DRAWING. THE DRAWING NEEDS TO BE UPDATED TO INCLUDE THE W.
103111 THIS UPDATE WAS COMPLETED UNDER ANOTHER RTA. THIS RTA WILL BE CANCELLED. (KEN)</t>
  </si>
  <si>
    <t>731933</t>
  </si>
  <si>
    <t>OMV</t>
  </si>
  <si>
    <t>Same As: 235SF0965526; SPLICE ASSY SUB 9655 W/4SPLICES &amp; 1 BY-P
Except: Splice Sub 5.5 in 17lb 13Cr w_4 splice and 1 TEC bypass, connections are Tenaris Blue CB box x pin
Tech Start Date is in the past
Project Name: MR6
Special Quality Plan Required?: No
Material: (7) 13 CR 80 MY 22HRC (ES-MA-58-7)
Mating Infomation:
Run Above item with RTA Number 727116
Thread change to Tenaris Blue.  See revised requirements document attached.  11/17/11 DM</t>
  </si>
  <si>
    <t>19: SPLT=98  @@ Attached updated requirements document reflecting thread changes to Tenaris Blue.  11/17/11 DM</t>
  </si>
  <si>
    <t>736590</t>
  </si>
  <si>
    <t>Flatpack: 
Five Core Hydraulic (Easy Strip) Flatpack,TT240
Supplier: Tube-Tec</t>
  </si>
  <si>
    <t>736277</t>
  </si>
  <si>
    <t>MN 102069884 (9450-7005-JL) Would like to change the raw material on Mandrel Clamp that is used on Mandrel Assy MN 102069882 from ES-MA-46-2 (Inco 718) to ES-MA-89-4.  To keep the costs down Darren Cortes has okayed to change this raw material.</t>
  </si>
  <si>
    <t>ELEC - Presently our XPIOs and RTI box product line has cards which have a current limit of 125 mA.  Recently an IWIS card was upgraded to have a limit of 205mA.  We need to perform this same modification on all our XPIO and RTI products.</t>
  </si>
  <si>
    <t>ECR - DUE TO CONCERNS IN THE FIELD, HF1 PACKER FOR BAWAL WOULD NEED TO BE REVIEWED. REVIEW ALIGNMENT OF HF1 PACKER BODY AND CLAMPS AND REVIEW TOLERANCE STACK UP ON PACKER BODY PARTS AND GUIDE RING. 
WAITING ON ASSOCIATED HF1 PACKER SAP NUMBER FROM THE PLM TEAM (OEWUMI 12SEP11)
-----------------------------------------------------------
FOLDER RETURNED TO T. BORDMAN FOR DISTRIBUTION.           A. BERRET_09/20/2011------------------------------------END
-----------------------------------------------------------
FOLDER RETURNED TO J. ODLE FOR DESIGN MODIFICATIONS-A. BERRET_11/07/2011---------------------------------------END</t>
  </si>
  <si>
    <t>734448</t>
  </si>
  <si>
    <t>Generate new MN and drawing for a 4.750 ECCENTRIC SEAL STACK ASSEMBLY WITH MULTI-LINE FEEDTHRU (4) similar to MN 101996875 (296SF0472801) with a seal area length: 40in. Material: L80 13%Cr; 80 MY Equivalent, Threads: 2.875 in 9.2ppf Vam Top Box x Vam Top Pin</t>
  </si>
  <si>
    <t>SPLT=98  Emailed submitter for AIS date, customer, and project.  11/23/ 11DM</t>
  </si>
  <si>
    <t>734447</t>
  </si>
  <si>
    <t>2.875in HVC-ICV as per MN 101798455 but with Flow Trim MN 101798447 (311239-07. Threaded 2.875in 9.2ppf Vam Top Box x Vam Top Pin. L80 13% Cr,80 MY Equivalent. The customization requires Accu-Pulse Integration as well.</t>
  </si>
  <si>
    <t>SPLT=168  Emailed submitter for AIS date, requirements document, customer name, and project name.  11/30/11 DM</t>
  </si>
  <si>
    <t>730948</t>
  </si>
  <si>
    <t>ELEC - Need FAR for RMA 822 MN 597467 wo 103757388
2011-11-21 WM The interface card is undergoing troubleshooting at PCBA lab.  The FAR will be released as soon as issue is identified.</t>
  </si>
  <si>
    <t>732059</t>
  </si>
  <si>
    <t>ECR - PRODUCTION LABEL 102045152.  Revise existing mfg spec to crete new label stock for label PN 102045152. This change modifies label stock from green to bright yellow. Also add revision letter to label artwork. Artwork and mfg spec attached for use with Task Auth. Any questions please contact Paul Lively 11/7/11</t>
  </si>
  <si>
    <t>734514</t>
  </si>
  <si>
    <t>728372</t>
  </si>
  <si>
    <t>Need 4-1/2in, 15.1ppf, S-13Cr110, Chemical Injection Mandrel with Vam DRS Pin x Pin connection , 2 bypass slots at 1.25W x .82D. Check Valve to be 1/2in single ported to tubing, 50psi cracking pressure. Need to work with 3rd party 1/2in, .083wt, A825 control line. To include blocks and protectors. Needs to follow SE-1 quality plan.
Customer:  Shell
Project:   Glider 5
Quality:   SE1
2011-11-28 WM: Assign to Sam Class B</t>
  </si>
  <si>
    <t>731916</t>
  </si>
  <si>
    <t>UPDATE DRAWING 026483-04-01 TO MEET HCT STANDARDS</t>
  </si>
  <si>
    <t>735014</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</si>
  <si>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735014 WILL REVIEW AND ADD THE REQUIRED MISSING DIMENSION FOR THE FOLLOWING PACKERS: 
101840247; 101840328; 101843495; 101843768; 101845320;
101849346; 101850155; 101857227; 101860374; 101863376;
101863896; 101868658; 101875304; 101880594; 101881506;
101890041; 101892384; 101892890; 101892896; 101897396; 101903491; 101903675; 101906500; 101909237; 101909810;
101910266; 101911372; 101915813; 101917896.
REMAINING PACKERS ARE CAPTURED IN FOLLOWING RTAS: 717933; 735003; 735006; 735008; 735016.
A. BERRET_11/22/2011_END</t>
  </si>
  <si>
    <t>735016</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</si>
  <si>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735016 WILL REVIEW AND ADD THE REQUIRED MISSING DIMENSION FOR THE FOLLOWING PACKERS: 
101920405; 101924401; 101927033; 101935526; 101935977;
101939647; 101964411; 101964424; 101973712; 101975165;
101980333; 101981091; 101983432; 101989643; 101995483;
102000473; 102002297; 102021679; 102025725; 102026620;
102028037; 102034506; 102034665; 102038088; 102054923; 102089587.
REMAINING PACKERS ARE CAPTURED IN FOLLOWING RTAS: 717933; 735003; 735006; 735008; 735014.
A. BERRET_11/22/2011_END</t>
  </si>
  <si>
    <t>731144</t>
  </si>
  <si>
    <t>735450</t>
  </si>
  <si>
    <t>ECR - using p/n 101996090 as a template and the attached redline, create a new part number and drawing. Communicate the new part number to Procurment dept. (Connie Fulford)</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</si>
  <si>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
THIS RTA CONTINUES ON FROM R538553 WHICH WAS CLOSED ERRONEOUSLY.
ZEWO:103068237 Network: HTWD600945;M004</t>
  </si>
  <si>
    <t>TSG - QA REQUEST TO UPDATE CWI STRUCTURE FOR SAP MN 101915817 REF NO. 9290-6633-SE1; 4.00 IN CHEM INJN MDRL ASSY
QUALITY REQUIREMENTS CHANGE, ONLY.
QUALITY PLAN: SE1; REV 10
05/19/11 ASSIGNED FOR PROCESSING VN</t>
  </si>
  <si>
    <t>ELEC - This is regarding the Achimgaz gauge sensor failure.  I believe Matt and Colin have discussed a software programming change that would create a filter that could discard all values outside of a valid range.  The default setting would be 0 - 30,000psi but the flexibility should be there to allow the range limits to be set by the user.  This software change is in response to the customers needs to have good data.  Various e-mails have been sent back and forth on this issue.  These can be forwarded to engineering at the appropriate time.</t>
  </si>
  <si>
    <t>ELEC - RTA TO CREATE TEMPLATE FOR AMS PM CHEMICAL INJECTION MANDRELS
2011-10-19 Aswin Balasubramanian: The project plan for completing the AMS templates has been attached to the RTA.</t>
  </si>
  <si>
    <t>734504</t>
  </si>
  <si>
    <t>Request for creating a 9-5/8 x 4.5 Splice sub assembly (13 Cr) with 3x Hydraulic splices, 1x Control line protector, 1x 11mm X 11mm Flatpack and 1x Third party Splice. Please refer to attached files.
This request is similar to RTA584665 (MN 101912520 but to fit inside a different size casing.</t>
  </si>
  <si>
    <t>16: SPLT=140 @@</t>
  </si>
  <si>
    <t>Chemical Injection Mandrel-4.5in Vam DRS
Same As: 9290-6648; TECHHOLD   CHEM INJN MDRL ASSY,4.5IN x 18.9PPF,1/2I
Except: 4 1/2in 18.9ppf ...Customer requested 125Ksi Min Yield, but I am only familiar with Inconel 718 125Ksi Min Yield open to suggestions... VAM DRS Single 1/2in check valve capable of 0.2gal per minute injection rate at 30,000ft MD / 26,000ft TVD ... 23,000Ksi BHP and 260degrees F BHT. 0.68in bypass slots. Smallest OD possible. hoping for 6.25in OD or smaller...
Project Name: Appomattox
Special Quality Plan Required?: Yes
Quality Plan Identifier: SE1
Material: (14) Inconel 718 125 MY 40 HRC (ES-MA-46-2)
Technical Support Deliverables:
Preliminary Design Specifications
Reference Assembly Drawing
2011-07-12, Weekly Meeting:  Kenny to contact Wolfie and review exact requirements and RTA code.  If everything clarified, RTA will be placed into WIP.
2011-07-18, Weekly Meeting:  Mark has started on design using the PTI check valve.  Kenny still needs to hold the design review meeting to determine exactly what is needed.
2011-07-21: Had conversation with Wolfie:
1. This should be development RTA. Customer will need us to develope CV with flow rate above and working pressure approx. at 30000 psi. 
2. Kenny Pham will propose new CV soon per these requirements to satisfy this need.
2011-11-28 WM:  Matt to provide info for Lee.</t>
  </si>
  <si>
    <t>ES-T-709 requires updating with the current selection of hydraulic fluids available for use with WellDynamics hydraulic equipment; e.g., Brayco SV3, LV3, Mobil Aero, etc.
I would also reword the title to something more inclusive of our hydraulic systems.
-----------------------------------------------------------FOLDER RETURNED TO P. JAMES FOR APPROVAL-A. BERRET_11/08/2011---------------------------------------END</t>
  </si>
  <si>
    <t>732973</t>
  </si>
  <si>
    <t>ECR - PACKER ENVELOPE GENERATIONS FOR EXISTING HF1 PRODUCTS.  TASK WILL INCLUDE ALL REQUIRED DOCUMENTS PLUS THE PUBLISHED ENVELOPE IN A PDF FORMAT.  PART IV:
722HF1702940
722HF1702942
722HF1702943
722HF1702944
722HF1703231
722HF1702941
IGNORE ALL NEW VAM THREADS</t>
  </si>
  <si>
    <t>736083</t>
  </si>
  <si>
    <t>ECR - 102030600, MULTIFUNCTION FITTING KIT, FOR 3 1/2 HS/HVC ACCUPULSE INTEGRATIONS. The cover strap; MN 102030586, does not fit properly on the clamp, MN 101971806. It requires the strap, MN 101971806, to have notches cut over the Accu-Pulse manifold mounting bolts for the strap to fit properly.</t>
  </si>
  <si>
    <t>36: SPLT=140 Chgd to customization Code 1 as Brunei is waiting to order per attached email from field.  11/15/11 DM</t>
  </si>
  <si>
    <t>728440</t>
  </si>
  <si>
    <t>Need 4-1/2in, 15.1ppf, S-13Cr110, ROC-D Gauge Mandrel with Vam DRS Pin x Pin connection, bypass slot at 1.25W x .82D. Dual ROC Gauge side by side, both redundant ported to tubular. Need to work with 3rd party TEC-598418.
Customer:  Shell
Project:   Habanero
Quality:   SE1</t>
  </si>
  <si>
    <t>ELEC We need to review the Quartzdyne quality control process as it appears they are allowing us to receive gauges where a shift in the pressure reading has occurred.  A review of the Chevron Tahiti data shows this to be the case.  In the short term we also need to review our inspection tolerance levels and flag these suspect gauges before they are installed onto mandrels.</t>
  </si>
  <si>
    <t>727437</t>
  </si>
  <si>
    <t>UPDATE PN 9293-6764-FT1 TO SE1 QUALITY PLAN SEE ATTACHED.
TSG NOTES 10-28-11 DRAWINGS TO QUALITY FOR MARKUP JCC END</t>
  </si>
  <si>
    <t>730739</t>
  </si>
  <si>
    <t>TESTING 123</t>
  </si>
  <si>
    <t>720671</t>
  </si>
  <si>
    <t>Add position sensor simulator to the existing ramping gauge simulator software/hardware package.</t>
  </si>
  <si>
    <t>Added customer per Colins attached email.  10/12/11 DM  Hope to have simulator ready for Grane in March 2012.  11/14/11 DM</t>
  </si>
  <si>
    <t>We appear to have duplicate mandrel assemblies, MN 101874068 and MN 101873043. Please review and determine if indeed these are duplicates and obsolete one of these parts. Please ensure that a where used is performed and upper assemblies are revised to call out the correct part.
------
10/13/2011 ST - SENT TO J. SEALE FOR CHECKING
PART STILL NEEDS TO BE OBSOLETED.
------</t>
  </si>
  <si>
    <t>734838</t>
  </si>
  <si>
    <t>6: SPLT=182 @@</t>
  </si>
  <si>
    <t>Document ES-A-442 Rev. C has redundant steps located on page 13 and 14. Steps in question are 6.42 and 6.43. Requesting the removal of step 6.42 from page 14 and 
renumbering steps 6.43, 6.44 and 6.45 to reflect the deletion of step 6.42. The Bold instructions on page 13 will need to be changed such as step A should call out -follow steps 6.39-6.41. Step B should be changed to -please do step 6.39 and omit steps 6.40-6.42. File attached for example. If question send email. Christopher Vancamp
-----------------------------------------------------------IN ENGINEERING DESIGN_A. BERRET_10/24/2011--------------END
-----------------------------------------------------------
FOLDER RETURNED TO P. JAMES FOR APPROVAL-A. BERRET_11/07/2011---------------------------------------END</t>
  </si>
  <si>
    <t>2011-09-27, WM - ROC gauge protocol being implement in MultiSAS unit.  Awaiting a test unit for qualification.  Engineering on hold until it is received.  2011-10-10, WM - JIM FLYGARE IS WORKING TO GET A UNIT IN FROM TRANSCONTROL FOR TESTING BY END OF 2011.  SCHEDULING WILL BE CONFIRMED AFTER DATES ON RECEIVING IN THE UNITS.</t>
  </si>
  <si>
    <t>734622</t>
  </si>
  <si>
    <t>REVISE THE DRAWINGS 312026-00-01, 307017-00-01, 311376-00- 01 AND 311389-00-01 TO UPDATE AS PER ATTACHED MARKUPS.....REQUESTED BY DAMON TRAHAN</t>
  </si>
  <si>
    <t>735008</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</si>
  <si>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(6)DISTINCT RTAS. 
RTA 735008 WILL REVIEW AND ADD THE REQUIRED MISSING DIMENSION FOR THE FOLLOWING PACKERS: 
597266; 597289; 597427; 597656; 597884; 598339; 602440;
602442; 602443; 602444; 602445; 602446; 602448; 602449;
101563391; 101683377; 101688941; 101793361; 101793458;
101807979; 101815615; 101815622; 101818583; 101820631;
101825305; 101832627; 101834839; 101837805; 101838492;
101839826.
REMAINING PACKERS ARE CAPTURED IN FOLLOWING RTAS: 717933; 735003; 735006; 735014; 735016.
A. BERRET_11/22/2011_END</t>
  </si>
  <si>
    <t>TSG - QA REQUEST TO UPDATE CWI STRUCTURE FOR SAP MN 597308 REF NO. 9290-6524-SE1; 4-1/2 CHEM INJECTION VAM ACE MANDREL-SE1 TO MEET NEW REVISION OF SE1 QUALITY PLAN.
QUALITY REQUIREMENTS CHANGE, ONLY.
QUALITY PLAN: SE1; REV 10
05/18/11 ASSIGNED FOR PROCESSING VN</t>
  </si>
  <si>
    <t>736627</t>
  </si>
  <si>
    <t>ECR - PART STRUCTURE UPDATED TO CURRENT HES STANDARD
ATTACH TASK 575932 TO AN RTA (OEWUMI 30NOV11)</t>
  </si>
  <si>
    <t>721372</t>
  </si>
  <si>
    <t>Need Gauge ref: 9290-6595-SB2  / 101874030 with the following changes:1) Change base material from 25% Cr to Super 13% Cr 110KSI.2) Change to dual mandrel with splitter block and individual position sensor (ref: Martin Staelens)
Customer:  Statoil
Project:   Oseberg Sor F-8
Quality:   SB2</t>
  </si>
  <si>
    <t>ELEC - Next Generation Subsea IWIS Interface Card
UDPATE IWIS FIRMWARE TO HANDLE 20 GAUGES AND HARDWARE TO HANDLE 150 MA AT 70 DEGREES C.  
THE RTA REGARDS 
- 9670-6062 IWIS - (HIGH CURRENT) WITHOUT FRONT PANEL
  o A CLONE OF THE 9670-6061 WAS MADE
- 9670-6063 IWIS - (HIGH CURRENT) WITH FRONT PANEL
- 9670-6064 IWIS 3 (TDR) WILL BE MOVED TO THIS NUMBER
  o THE REFERENCE NUMBER HAS BEEN CHANGED TO MATCH
- 9670-6065 IWIS 3 (TDR W/PANEL) WILL BE MOVED TO THIS
  o A CLONE OF THE NEW 9670-6064 WAS MADE
10/17/11 WM  Material number will be released after completion of AEM power supply design.  TDR will be added later.
10/24/11 WM Layout is in progress and will be completed by end of this week.  IWIS card will be developed without TDR implementation initially. 10/24 AB
10/31/11 WM Layout will be ready for team design review before prototyping phase.  10/31 AB
11/07/11 WM - The board layout has been completed.  The schematic and CL will be finalized.  Prototypes will be turn-keyed at Rev C.  TDR implementation is still in works with legal.  11/07/11 AB
11/14/11 WM - The IWIS card FAB has been interrupted by other development priorities.  The FAB files will be generated by 11/25/11.  11/14/11 AB
2011-11-28, WM:  Kenny is completing the component list; estimated completion of next week.</t>
  </si>
  <si>
    <t>2011-09-27, WD - Licensing agreement for TDR is in progress.  Power supply in its final stages and will be verified in latest board layout which is on hold until AEM FPGA code has been completed (approx 4 weeks).  Tom will update the project plan taking into account current status and the AEM impact. 2011-10-04 WM - THE PROJECT IS ON HOLD FOR COMPLETION OF AEM HYBRID POWER SUPPLY DEVELOPMENT. 2011-10-04, MWS - Requested design complete date adjusted taking into account estimated TDR implementation and qualification.</t>
  </si>
  <si>
    <t>IWC PC SOFTWARE DEVELOPMENT - TAHITI
2011-09-15:  SIT for both IWOCS and IWC application were completed in June and July.  Commissioning of first IWOCS installation completed in August.  Finishing Documentation expected to be completed in November.
2011-10-17 WM:  Documentation is outstanding.  Working with Chevron on clatifications.  Youdee is trying to complete all documentation by 11/4.
2011-10-31 WM:  Youdee held meetings with Chevron for documentation review to expedite completion of client documents.  Internal document progress is being by Accelermetrics which is taking longer than expected.</t>
  </si>
  <si>
    <t>1:  SIT has been completed successfully at Berwick, LA - AGS 7/31/11 Documentation to be completed early next year.  11/14/11 DM</t>
  </si>
  <si>
    <t>729048</t>
  </si>
  <si>
    <t>ELEC - ROC-200 AND ROC-H HYBRIDS AND GAUGES NEED TO BE QUALIFIED AGAIN DUE TO THE RECENT CHANGE OF ZTX-453 DIE GEOMETRY.  AT LEAST TWO SEALED HYBRIDS PLUS ONE UNSEALED HYBRID SHOULD BE ORDERED FOR HOT PLATE TEST.  GAUGES SHOULD BE ORDERED IF THE HOT PLATE TEST IS SUCCESSFUL. QUALIFICATION REPORTS WILL BE UPDATED AT THE END OF THE TEST.
2011-10-04 ASWIN BALASUBRAMANIAN: THE SCOPE OF THE RTA HAS BEEN EXTENDED TO INCLUDE QUALIFICATION OF CONSTANT CURRENT DIODE AND ZTX453 AT 240C.
ZEWO  103442235
Network:  HTWD601609 M001
10/17/11 WM  FAR to be completed by end of month.
10/31/11 WM Failure analysis has been completed and failure information has been detailed in experimental procedure.  The EP is under review.  The failure modes is common between all gauges that have failed.  10/31 AB
11/07/11 WM - The document is still under review.  The RTA will be closed after the review.  11/07/11 AB</t>
  </si>
  <si>
    <t>Checking</t>
  </si>
  <si>
    <t>43: SPLT=112  Well cancelled.  Design far enough along it will be completed for future needs. 4/18/11 DM</t>
  </si>
  <si>
    <t>GENERATE HALLIBURTON FORMAT NUMBERS FOR ALL SPECIFICATIONS NOTED BELOW.  OBSOLETE OLD SPECIFICATION ONCE THE CHANGE HAS BEEN COMPLETED AS PER ATTACHED EMAIL. (OEWUMI 25MAR11)
LAST TASK WAS SENT TO OMOTAYO FOR REVIEW AND UPDATE(DSH)</t>
  </si>
  <si>
    <t>ELEC - ROC Gauge System Protection - Over Voltage
ROC GAUGE SYSTEM PROTECTION: THIS TWO-MONTH PROJECT COVERS THE ROC-L GAUGE SYSTEM PROTECTION:  IT HAS BEEN FOUND THAT HIGH VOLTAGE FROM WELDING PROCESS (WHILE ROC-L IS POWERED UP) COULD DAMAGE THE ROC-L GAUGES. IN THIS PROJECT, AN EXTERNAL CIRCUIT SOLUTION WILL BE PROPOSED AND VERIFIED TO PROMISE A DEGREE OF PROTECTION.  THE DELIVERABLE WILL BE CIRCUIT DIAGRAM, BOARD LAYOUT, PRODUCT QUALIFICATION REPORT, ASSEMBLY PROCEDURE AND EXPERIMENTAL PROCEDURE.
2011-06-30:  Qty 25 ROC-L boards on order to support testing.  The protection circuit boards are complete and procured.  A high power modem has been created to support field trouble shooting.  An updated project plan will be released by the end of next week.
ZEWO:    103618249
Network: HTWM601763
10/17/11  WM QPD to be completed by end of month.
11/07/11 WM - The report is under review by Thomas Cassidy before being forwarded to Colin McKay.  11/07/11 AB
11/14/11 WM - The report has been sent to QPD informing them of the findings. The reports will be released in CWI.  11/14/11 AB
2011-11-28, WM:  Reports have been completed and have been loaded into CWI.  Aswin to approve and close RTA.</t>
  </si>
  <si>
    <t>2011-09-27, WM - Lab testing has been completed using a welder.  Terje is writing a report from the initial testing.  Aswin will meet with Terje to update the project plan.  2011-10-04 WM - THE PROJECT WILL BE CONTINUED FROM NEXT WEEK.  THE INITIAL OUTLOOK INDICATE THAT IF GAUGE SHARE CURRENT PATH WITH HIGH ENERGY OPERATIONS, THE VOLTAGE WILL BE AFFECTED.  2011-10-10, WM - A TEST STRATEGY HAS BEEN COMPLETED AND PROVIDED FOR QPD.  MORE TESTING WILL BE STARTED THIS WEEK.</t>
  </si>
  <si>
    <t>1.01:  Needs to be addressed- customer waiting for this to place equipment order.  4/18/11 DM Changing to development due to qualification. Emailed M Scogin for project plan and financials in order to set up ZEWO.  5/24/11 DM</t>
  </si>
  <si>
    <t>WD WellDynamics  Create BOM and routers for 9400-6057 twisted pair splice.  Publish qualification results and add pressure ratings to the drawing.  Build EDS for equipment.  Customer (Chevron Bigfoot) requires pressure ratings prior to finalizing equipment order.  Reference CPI 300188155.
Customer:  Chevron
Project:   Bigfoot
Quality:   CT2
DESIGN COMPLETE 5/13/2011; FORWARD TO R.BAKHTIARY FOR CHECKING.</t>
  </si>
  <si>
    <t>DH Chemical Injection Mandrel 
Same As: 9290-6715; CHEM INJN MDRL ASSY,5 1/2-17.00,3/8 CV,5
Except: Material 13Cr 80MY ESMA58 7 or equivalent, H2S CO2 service.
Two thread recut allowance each end.
5 1/2in 20lb Vam Top HC, Pin x Pin.
FAT must verify low pressure 100psi sealing capability of check valves so rupture disk cannot be installed with check valves. Allow room at top of check valve assembly for a rupture disk assembly. Rupture disk not to be included with this assembly.
Note. A 5000psi rupture disk assembly will be attached during prejob assembly. Two rupture disk assemblies will be available, one with a 3/8 tubing connection and one with a 1/2 tubing connection.
Slotted protected bypass for qty1 encapsulated 1/2in, qty1 encapsulated 3/8in and qty2 encapsulated 1/4in control lines.
This CIM will be installed in 9 5/8 47 casing. However, it will also be used in 10 3/4 55.5 and in this case it will have a 2 3/8 TSH533 dual string. See attached cross coupling protector design for the 10 3/4 configuration. See attached mock up drawing.
Use slotted design for valve protection and eliminate valve protection clamp. Use plates to clamp down control lines.
Add HAA quality plan.
Tech Start Date is in the past
Project Name: Kizomba Satellites
Special Quality Plan Required?: Yes
Quality Plan Identifier: HAA
Material: (7) 13 CR 80 MY 22HRC (ES-MA-58-7)
-----------------------------
June-01-2011; Cross Section Rev F, to fit 5.50-20ppf C.I. Mandrel with 2 3/8-4.7ppf TSH-533 tubing inside 10 3/4 Casing with 1 bypass (1.455 x 0.56); Rob said to remove the 1/2 Encapsulated Control Line to give more clearance.
sent email this morning to Rob, reference RTA_664801_5.50-20ppf_ChemInj_CrossSection_RevF.pdf
2011-06-06, Matthew Scogin:  RTA class changed to D due to hours invested to date with design challenge and back and forth with submitter.  Design still outstanding.
2011-06-27, Matthew Scogin:  Requested check valve arrangement is a new one that needs to be qualified.  A development RTA will be kicked off to support the qualification of this new arrangement.  This RTA will be placed on hold until this development is complete.
2011-07-05, Weekly Meeting:  RTA has been placed onto design hold until the PTI check valve configuration is qualified.
2011-07-12, Weekly Meeting:  Design review meeting tentatively planned for next week.  Once design is worked out, it will be released and left on techhold until development qualification is complete which is not anticipated until late September.
2011-07-18, Weekly Meeting:  Design Review has finalized design and James is working on detailed drawings.  Dana will review history and adjust available in stock date.  Requested design complete date updated to reflect delays in reviews/design changes.
2011-08-08, Weekly Meeting: WIll supply drawings to Rob Pounds on Wed 8/10 to customer for review. Dana: need to discuss AIS date with Rob Pounds.
Complete design drwgs sent to submitter 8/24 for review.  Waiting for answer before proceeding.  8/29/11 DM
09/06/2011: KENNY PHAM TO REVIEW ISSUES: EMAIL ANSWERED TO ROB P. IS ATTACHED BELOW. 
- REQUESTED TO USE BAKER BD.
- REQUESTED FEA DOCUMENTATIONS FOR CIM BUT NO AVAILABLE.
10/17/11 DM  WM  Field requested clarification on ck valve.  Dana will send info and request approval of PTI design to proceed.</t>
  </si>
  <si>
    <t>DH Chemical Injection Mandrel-5.5in
Identify if 5.5 Chemical injection Mandrel will work with ESP lines as described in RTA 682626.  It must be considered the lines will have specialy control line clamps along with the control lines.  See Kennys email attached.
-06-23-2011: Received folder. Kenny and James will have conceptual design submitted for review early next week. Few design options are discussed and will pursue.
2011-07-12, Weekly Meeting:  Design review scheduled for Thursday.
2011-07-18, Weekly Meeting:  Design review held last week.  Bill is needing a flow rate in excess of what is currently available.  This will be reviewed with Product Line to determine scope, leadtime, etc.  Kenny has reviewed this flow rate with Lee and they will respond this week.  Tech Revised Due Date deleted until requirements confirmed and acknowledged.
2011-08-08 Weekly Meeting: Waiting on Bill Hanks to reply on pressure range of the flosert.
2011-11-28 WM:  Matt to provide info for Lee.</t>
  </si>
  <si>
    <t>Control Sys - 6 Well
Same As: C05SHS06060200; SHS,6 WELL,PNEU,MNL CONT,WTR GLYCL,10K
Except: With reference to preliminary drawing 316328_04_01.
1 ea 6_slot SHS
6 ea 3_line WCM w/LCD display
1 ea 8_slot HEC
SWM software to be installed on company supplied server.
UACU+ to be connected to SWM, already delivered
3rd party connection to SWM, read/write access, need modbus map.
To be used with Transaqua HT2.
ATEX Zone 1 and NORSOK compliant
To be built be Proserv Norge AS
Require design drawings and support from Houston
Require an inhouse test in Houston with: actual server with installed configuration software and SWM software, Actual PLCs, WCM displays, UACU+ with gauge simulators and a MODBUS link to 3rd party.
Both the SHS and HEC shall be ready for 5 line WCMs even if the delivery is 3line WCMs.
Design pressure 10000PSI.
Suggested LCD display: BEKA BA488C
Fiber cable between SHS and SWM server
230 VAC 50hz for light fixture and PLCs
690 VAC 50 hz for motors.
Request FAT procedure and assistance for FAT in Norway.
Design basis drawings 3D and component list from Houston will be delivered to Proserv Norway for tweaking and building.
WD inc to deliver:
Rotator valves 6 ea
Programmed PLCs, 8 ea including 1 spare
Software for configuration and use SWA and SWM.
Tech Start Date is in the past
Project Name: 6-Slot SHS with 6 ea 3-line WCMs, 8-slot HEC,
Special Quality Plan Required?: Yes
Quality Plan Identifier: SB2
Material: (16) Customer Supplied - Supply detail in description
Mating Infomation:Work With item with Part Number 315883-00
2011-07-18, Weekly Meeting:  Kickoff meeting scheduled for 7/19.
10/17/2011 WM  Call with ProServ tomorrow, region in town for mtg.  ProServ design still incomplete.  DM
2011-11-07, WM:  Drawing updates have been agreed upon.  Josh is awaiting the final markups from the manufacturer.  Once received prints will be uploaded and released.  The order is in process, only documentation outstanding. MWS</t>
  </si>
  <si>
    <t>2: SPLT=182  @@   9/25/11 WM reviewing BOM; awaiting updated drawings from ProServe to incorporate into our drawings Wkly mtg 10/4. Parts on order and build started. New changes to design recd 9/30.  10/3/11 DM   2011-07-05, Matthew Scogin:  Leadtime is not standard due to new manufacturer.  Splt reflects this. T Soules to set up mtg w/ProServ Norway 7/19/11 DM Field to order direct from ProServ.  8/11/11 DM Mtg w/mfg 8/17. D Moe to confirm AIS date can be pushed to 1/20/2012.  8/15/11 DM     Ted &amp; Josh sending initial design details to manufacturer by  8/2.  7/25/11 DM  Mtg w/mfg next week.  8/29/11 DM  Robert going to Norway to meet w/ProServ and Statoil.  9/6/11 DM Robert in Norway this week mtg with Proserv and Statoil.  9/12/11 DM Recd GA drwgs from Norway. Design to be completed in next week or two.  9/19/11 DM Pushed AIS date per R Smith.  9/21/11 DM  DM Pushed AIS date per R Smith.  9/21/11 DM  Waiting for updated drwgs from ProServ.  Meeting w/them 10/11.  10/10/11 DM ProServ drawings have been reviewed and changes need to be made.  MeetingPlace mtg scheduled tomorrow. Dana to ck with Christoffer to confirm PO is in place for this order. 10/24/11 DM  Working on TrendingWorX Logger issues, modbus maps to be updated, shipping PLCs to Norway.  11/14/11 DM  DI waiting for final drwgs from ProServ.  11/14/11 DM</t>
  </si>
  <si>
    <t>Safety System-Quote Only-Update Drawings per Evaluation Letter
Aramco Ref. no. 6200525690, Technical Evaluation Letter from Aramco dated 7/5/11.  Please update drawings as per this letter.  Ref Quote no. 21610712
10/17/11 WM  Customer still evaluating materials.
2011-11-07, WM:  The second evaluation letter has been completed by Robert and needs to be reviewed by Ted the morning of 11/8.</t>
  </si>
  <si>
    <t>DH Safety System-Quote Only
ESD system for Safaniya Offshore as per Mike Bergeron
e mail dated July 11.  4 well, 2 well and 1 well versions
of the 6 well panel quoted last week.
2011-07-18, Weekly Meeting:  Jay to further review and will discuss further next week.
10/17/11 WM  Customer still evaluating materials.
2011-11-07, WM:  This RTA is on hold until RTA 693965 is completed and approved by the customer.  RTA to be placed on design hold.</t>
  </si>
  <si>
    <t>37: SPLT=126 To drftg 8/12.  8/11/11 DM Inital drwg complete. Design review mtg 8/23.  8/23/11 DM Emailed field regarding customer PO and AIS date. Changing to code 6 until customer PO is received.  8/25/11 DM Emailed field regarding customer PO and AIS date. Changing to code 6 until customer PO is received.  8/25/11 DM  Design hold until Research Engineering completes and releases Smartplex HS Manifold and Protective Cover Assembly.</t>
  </si>
  <si>
    <t>40: SPLT=84 On design hold waiting for designs by Carrollton FC. RTA 707224-718 Landing Nipple, 707227-718 Lock Mandrel, 707231-718 Equalizing Valve/Prong.  8/22/11 DM Pushed out AIS date and TRDD per P James.  9/20/11 DM</t>
  </si>
  <si>
    <t>39: SPLT=84  On design hold waiting for designs by Carrollton FC. RTA 707224-718 Landing Nipple, 707227-718 Lock Mandrel, 707231-718 Equalizing Valve/Prong.  8/22/11 DM Pushed out AIS date and TRDD per P James.  9/20/11 DM Revised AIS and TRDD per P James.  10/5/11 DM</t>
  </si>
  <si>
    <t>Create a standardised shroud kit with the following components:
1. shroud pup
2. landing nipple
3. shroud crossover
4. lock mandrel
5. equalizing valve
6. coupling
7. tubing pup joint
8. Wireline Entry Guide
This kit shall be in 25CR Metalurgy and rated to 10K</t>
  </si>
  <si>
    <t>38: SPLT=84 On design hold waiting for designs by Carrollton FC. RTA 707224-718 Landing Nipple, 707227-718 Lock Mandrel, 707231-718 Equalizing Valve/Prong.  8/22/11 DM Pushed out AIS date and TRDD per P James.  9/20/11 DM Revised AIS and TRDD per P James.  10/5/11 DM</t>
  </si>
  <si>
    <t>Create a standardised shroud kit with the following components:
1. shroud pup
2. landing nipple
3. shroud crossover
4. lock mandrel
5. equalizing valve
6. coupling
7. tubing pup joint
8. Wireline Entry Guide.
This kit shall be in 4140 Metalurgy and rated to 10K</t>
  </si>
  <si>
    <t>41: SPLT=84 On design hold waiting for designs by Carrollton FC. RTA 707224-718 Landing Nipple, 707227-718 Lock Mandrel, 707231-718 Equalizing Valve/Prong.  8/22/11 DM Pushed out AIS date and TRDD per P James.  9/20/11 DM</t>
  </si>
  <si>
    <t>ELEC - XPIO AND UACU+ CLEAN UP AND STREAMLINING: THERE ARE NUMEROUS PART NUMBERS IN CWI FOR XPIO AND UACU+ VARIANTS.  THERE ARE ISSUES WITH BILL OF MATERIALS ON MOST OF THEM ALONG WITH CONFUSION ON VARIANTS THAT CAN BE SOLD TO CUSTOMER.  THIS MEETING WAS ORGANIZED TO IDENTIFY ALL VARIANTS THAT NEED TO BE SUPPORTED AND REMOVE/OBSOLETE VARIANTS THAT ARE NOT GOING TO BE USED.  THIS RTA HAS BEEN CREATED TO PERFORM THIS TASK.
2011-11-28, WM:  Pam/Kenny working on manufacturing specifications.  RTA type should be changed to an ECR.</t>
  </si>
  <si>
    <t>ELEC - REPLACE XPIO OPTREX LCD/KNOB ASSY PART WITH NEWER VERSION: DUE TO OBSOLETE COMPONENTS A NEWER VERSION OF LCD ASSY HAS BEEN RELEASED IN CWI.  THE PART NUMBER FOR NEWER REVISION IS 102012023.  102012023 WILL REPLACE BOTH 597351 AND 101845216 IN CWI.  THIS RTA IS TO MODIFY ALL BOM IN CWI.
2011-09-01 ASWIN BALASUBRAMANIAN: ALL BOM THAT USED 597351 HAVE BEEN UPDATED TO START USING 102012023.  AED 2011-007 HAS BEEN RELEASED IN CWI FOR INITIATING ACTION TO CONVERT ALL 597351 TO 102012023.  THIS ACTION HAS BEEN ASSIGNED TO PROCUREMENT AND PLANNING.  THE RTA WILL REMAIN OPEN UNTIL 597351 AND 101845216 CAN BE MADE OBSOLETE.  THE TECHNOLOGY DUE DATE HAS BEEN PUSHED TO 2011-09-20 TO GIVE ENOUGH TIME FOR PLANNING AND PROCUREMENT TO COMPLETE THEIR ACTIONS.
11/07/11 WM - The tested and untested part numbers have been moved to new part number.  The process was carried out AED 2011-007.  11/07/11 AB</t>
  </si>
  <si>
    <t>ELEC Modify the existing PAU MN 597320 (9555-6041) with additional option to be powered with a cable connected to a car charger.
---
See attached email re: Modify the existing PAU MN 597320 (9555-6041) with additional 4-20mA analog output connections
10/17/11 WM  Dana to ask region to enter demand for the standard PAU, this will be changed to new material number upon release.  Engineering deliverables : 1) Modification procedure of existing PAU- T Nilsen by 10/31 2) New upper level part number completely built out K Daves by 11/30/11 Evaluate possibility of tech hold after demand is entered.
11/07/11 WM The modification procedure along with a new part number will be released by 11/14.  The build of PAU in CWI will be covered in the development project in queue.  11/07/11 AB
11/21/11 WM The final drawing is in progress and will be delivered to TSG today.
2011/11/28 WM Aswin to update assembly with additional card.  Existing part number ready for demand.  RTA will close  once Aswin finishes. Robert S to communicate with field to load demand.</t>
  </si>
  <si>
    <t>DH Gauge Mandrel-4.5in Blank Pin ROC Single Gauge Mandrel
MANDREL FOR A ROC-175 END GAUGE (IE: 101863926) W/TERMINATION (598407)TO BE DEPLOYED IN A 4.5INCH-13.5PPF P-110 CASING STRING INSIDE A 6.125INCH OPEN HOLE.
DESIGN REQUIREMENTS:
- RUNNING OD  LESS THAN 5.45 INCHES AND FIT WITHIN A DESIGN CIRCLE OF 6.29 INCHES OR LESS WHEN CENTRALIZED.
- BYPASS CHANNEL(S) ONE 1/4 INCH CONTROL LINES (WOULD PREFER ROOM FOR TWO).
10/17/11 WM  Submitted design circle too large, Sam to submit two more proposals.  Dana to follow up on accurate AIS date.
------
10/17/2011 ST - SENT ROUND 2 OF DESIGN CIRCLES TO DANA TO FORWARD TO FRANK GREMILLION.
2011-11-21, WM:  Jim reviewed with submitter and the ID cannot be reduced.  A higher yield material 125k needs to be investigated to see if it can be smaller.  Sam will update with higher yield material and send to Jim for review with region.
2011-11-28,  WM:  Sam to send updated design circle to J Flygare with higher yield material.
------
2011-11-29 ST - SENT DESIGN CIRCLE TO JIM WITH RUNNING OD SATISFIED BUT CONCENTRIC OD NOT SATISFIED. WAITING FOR JIM TO TALK WITH CUSTOMER TO GET FEEDBACK.</t>
  </si>
  <si>
    <t>ELEC - RTA TO CREATE TEMPLATE FOR AMS PM ACCESSORY EQUIPMENT
2011-10-19 Aswin Balasubramanian: The project plan for releasing AMS templates has been attached to the RTA.
2011-11-10 Aswin Balasubramanian: Initially Cable termination and gauge block templates will be released by 2011-12-20.  But due to reduced priority the other two accessory equipment Connector and TEC will be released by May 2012.</t>
  </si>
  <si>
    <t>42: SPLT=126 @@ Pushed AIS and TRDD per P James.  9/20/11 DM</t>
  </si>
  <si>
    <t>Halliburton bottom hole gauge mandrel part number 101844878
need a second slot for a dual flat pack control line 1/4 x 1/4 dims 18mm x 12mm this line will be run from below the BHG to above the BHG on up to the surface.
Customer:  BP Angola
Quality:   BP1
------
10/06/2011 J. SEALE - DESIGN AND DRAFTING COMPLETE SENDING TO S. TEHVEN FOR CHECKING
------
10/17/11 WM  Dana to follow up on AIS date.
------
10/18/2011 ST - SENT BACK TO J. SEALE FOR CORRECTIONS
------
10/19/2011 J. SEALE - SENDING BACK TO S. TEHVEN FOR FINAL CHECK.
------
10/20/2011 ST - SENT TO R. BAKHTIARY FOR APPROVAL</t>
  </si>
  <si>
    <t>For BP PSVM project for producer wells only.
Halliburton Chemical Injection Sub part number 101847892
Increase control line slot to handle a dual encapsualted control line flat pack. dims are 18mm x 12 mm with 1/4 x 1/4 in CLs
Customer:  BP Angola
Quality:   BP1
-------
10/04/2011 J. SEALE - DESIGN COMPLETE
10/05/2011 J. SEALE - DRAFTING COMPLETE SENDING TO S. TEHVEN FOR CHECKING
------
10/25/2011 ST - SENT TO J. SEALE FOR CHECKING
------
10/26/2011 J. SEALE - FINISHED CORRECTION, SENDING BACK TO S. TEHVEN FOR FINAL CHECKING / APPROVAL
------
10/26/2011 ST - SENT TO R. BAKHTIARY FOR APPROVAL</t>
  </si>
  <si>
    <t>720975</t>
  </si>
  <si>
    <t>Four line flatpack consisting of (4)1/4in OD x 0.049 wall. Type Inc 825 welded and drawn hydraulic control line. Lines will be colour coded to support line identification.
Encapsulation material to be Santoprene (temp rating 275 Deg F),profile 36 x 12 mm. Each line to be filled and flushed to NAS1638 class 6 specification using Red Oil.
Flatpack to be spooled on a ¿¿60in metal drum.</t>
  </si>
  <si>
    <t>SPLT=98  Submitted 8 wks inside lead time. 10/5/11 DM  Emailed submitter re: spool size. Email attached. 10/7/11 DM Recd spool info from submitter. Email attached.  10/14/11 DM</t>
  </si>
  <si>
    <t>721651</t>
  </si>
  <si>
    <t>GENERATE PACKER ENVELOPE FOR MN 101945595 722HF1763902</t>
  </si>
  <si>
    <t>Statoil/FMC</t>
  </si>
  <si>
    <t>ELEC Statoil/FMC have asked that we configure the DHI212/9670-6062 I/F card to communicate with Panex gauges.  Terje Nilsen has been in communication with FMC and Chris Naden regarding this issue.  Martin Staelens now has a Panex simulator which can be used for this purpose
10/17/2011 WM  Assign to T Nilsen Class B
11/07/11 WM Terje has provided trip report.  The trip report will be released as part of RTA.  A revised software will be released for reading PANEX temperature counts.  11/07/11 AB
2011/11/28 WM Aswin/Terje to revise and release software by end of week prior to RTA release.  11/28/11 DM</t>
  </si>
  <si>
    <t>724202</t>
  </si>
  <si>
    <t>Suncor</t>
  </si>
  <si>
    <t>721359</t>
  </si>
  <si>
    <t>Need valve ref: 215PA0350004 SH1 / 602725 with the following changes :1) Change base material from 25% Cr to Super 13% Cr 110KSI.2) Change QAP to SB2
Customer:  Statoil
Project:   Oseberg Sor F-8
Quality:   SB2</t>
  </si>
  <si>
    <t>24: SPLT=168 @@ Moved AIS date per attached email from submitter. 10/20/11 DM  Valve to be S13Cr Accupulse to be 13Cr. Sent email to submitter for confirmation. 10/25/11 DM Emailed submitter to verify AIS date...see attached email.  11/3/11 DM  Revised AIS date per attached email from submitter.  11/16/11 DM</t>
  </si>
  <si>
    <t>724494</t>
  </si>
  <si>
    <t>SAP 102092782 Commodity 226HA00735U5O01
Please change the bottom connection for the above referenc valve to 3 1/2-9.30 API EUE 8RD Pin / material 4140</t>
  </si>
  <si>
    <t>SPLT=0</t>
  </si>
  <si>
    <t>Etisalat GPRS Radio Modem and Antenna for ADCO Perm Downhole Gauges Project
Customer:  ADCO
Project:     ASAB
Quality:     AD1
10/17/11 WM Assign to James Kelley Class B  Ted/Robert still need to review requirements. Dana to email Craig &amp; Bruce and confirm AIS date and priority for all ADCO rtas.
2011-11-07, WM:  RTA reassigned to Dan.</t>
  </si>
  <si>
    <t>Daniel Clements</t>
  </si>
  <si>
    <t>3: 2011-9-25 WM  Place in define requirements and ask for clearer requirements i.e. specification.  DM  R Smith/T Soules to review requirements.  10/10/11 DM Emailed submitter regarding confirmation of AIS date. Email attached.  10/24/11 DM Moved AIS date per PMT discussion.  11/3/11 DM  Ted, Dan, and Robert to meet and review requirements.  11/14/11 DM  Revised AIS date per Craig Yeats attached email.  11/17/11 DM  Waiting for conference call w/Bruce Gavin and client to discuss modem requirements.  11/28/11 DM</t>
  </si>
  <si>
    <t>Solar Power system(with poles) for ADCO BB 617
Customer:  ADCO
Project:  ASAB
Quality:  AD1
10/17/11 WM Assign to James Kelley Class B  Ted/Robert still need to review requirements. Dana to email Craig &amp; Bruce and confirm AIS date and priority for all ADCO rtas.
2011-11-07, WM:  RTA reassigned to Dan.</t>
  </si>
  <si>
    <t>4: SPLT=84  Get better requirements from field and confirm AIS date.  10/3/11 DM RSmith/T Soules to review requirements.  10/10/11 DM Emailed field regarding confirmation of AIS date. Email attached.  10/24/11 DM  Changed AIS date per PMT discussion.  11/3/11 DM  SolarCraft leadtime is 8 weeks.  Leadtime fo 12 weeks used to allow for order processing and logistics.  11/7/11 MS  Revised AIS date per attached email from Craig Yeats.  11/17/11 DM  Waiting for conference call w/Bruce Gavin and client to discuss modem requirements.  11/28/11 DM</t>
  </si>
  <si>
    <t>724857</t>
  </si>
  <si>
    <t>Need valve ref: 215PA0550004 SH1 / 602727 with the following changes :
1) Change base material from 25% Cr to Super 13% Cr 110KSI.
2) Change treads from 5,5 20 Vam Top to 5.5 26 Vam Top HC at top and bottom connection
3) Change QAP to SB2
Customer:  Statoil
Project:   Oseberg Sor F-8
Quality:   SB2</t>
  </si>
  <si>
    <t>22: SPLT=168 @@ Moved AIS date per attached email from submitter. 10/20/11 DM  Valve to be S13Cr Accupulse to be 13Cr. Sent email to submitter for confirmation. 10/25/11 DM Emailed submitter to verify AIS date...see attached email.  11/3/11 DM  Revised AIS date per attached email from submitter.  11/16/11 DM</t>
  </si>
  <si>
    <t>724853</t>
  </si>
  <si>
    <t>Need packer ref: 722HF1106504-SH1 - 602441 with the following changes:
1) Change base material from 13% Cr to Super 13%Cr 110KSI.
2) Change QAP to SB2-3) Change treads from 5,5 23 Vam Top HC to 5,5 26 Vam Top HC bottom and top connections Box x Pin
Customer:  Statoil
Project:   Oseberg Sor F-8
Quality:   SB2</t>
  </si>
  <si>
    <t>23: SPLT=168 @@ Emailed submitter to verify AIS date...see attached email.  11/3/11 DM  Revised AIS date per attached email from submitter.  11/16/11 DM</t>
  </si>
  <si>
    <t>728343</t>
  </si>
  <si>
    <t>ELEC ROC-P Gauge Development: The ROC-X project under development pushes the boundary of temperature rating to a potential of reaching 225C operation and its design specification has been set to include position sensing in addition to pressure and temperature sensing.  However, with project completion date for ROC-X being in second half of 2012, the position sensing requirements for field is open to be satisfied.  This memo summarizes the three options available to complete the ROC-P (position sensing) gauge using all or some form of ROC-M design with minor modifications influenced by knowledge from ROC-200 and ROC-L gauge family.  The mandrel RTA 718494 and 724865 will be completed after ROC-P design completion.
11/07/11 WM - A conceptual review was completed.  Gate 1 and Gate 2 forms have been signed.  Waiting RTA to be put to WIP.  Schematic capture is under review.  11/07/11 AB
11/14/11 WM - Design review of schematic and PCB layout was completed.  Critical components assessment has been completed. 11/14/11 AB
2011-11-21 WM Availability issues have been finalized.  The Programming Instructions has been reviewed.  ES and TP are in the works.  The reliability portfolio is being reviewed and will be available by end of November.
Network:  HTWM601951 M001
ZEWO:     103784461
2011-11-28, WM:  Kenny is completing subassembly CWI buildout.  Sai completing test procedure.  Kenny to setup a design review for Thursday.</t>
  </si>
  <si>
    <t>Sai Karthik Rajaraman</t>
  </si>
  <si>
    <t>731920</t>
  </si>
  <si>
    <t>725804</t>
  </si>
  <si>
    <t>Same As: 235SF0965557-SB2; SUB,SPLC,9655,S13CR,12.5K,5 1/2-2 -SB2
Except: 1 Change treads from 5 1/2 23 Vam Top HC to 5 1/2 26 Vam Top HC
Tech Start Date is in the past
Project Name: Oseberg S??r F-8
Special Quality Plan Required?: Yes
Quality Plan Identifier: SB2
Material: (11) Super 13 CR 110 MY 32 HRC (ES-MA-134-_)
Mating Infomation:</t>
  </si>
  <si>
    <t>28: SPLT=140 @@  Emailed submitter to verify AIS date...see attached email.  11/3/11 DM  Revised AIS date per attached email from submitter.  11/16/11 DM</t>
  </si>
  <si>
    <t>725808</t>
  </si>
  <si>
    <t>Same As: 235CR0703502-SB2; ASSY,3.5 CRP CLMP,3.50-9.20 VAMTOP -SB2
Except: 1 Change base material from 25Cr to Super 13Cr 110KSI
Tech Start Date is in the past
Project Name: Oseberg S??r F-8
Special Quality Plan Required?: Yes
Quality Plan Identifier: SB2
Material: (11) Super 13 CR 110 MY 32 HRC (ES-MA-134-_)
Mating Infomation:</t>
  </si>
  <si>
    <t>27: SPLT=140 @@  Emailed submitter to verify AIS date...see attached email.  11/3/11 DM  Revised AIS date per attached email from submitter.  11/16/11 DM</t>
  </si>
  <si>
    <t>727979</t>
  </si>
  <si>
    <t>725200</t>
  </si>
  <si>
    <t>ExxonMobil - ENL</t>
  </si>
  <si>
    <t>Control System - Quote Only
ExxonMobil Arkutun Dagi: Require costing for the following Digital Infrastructure components for upcoming comercial tender: SHS, 20 well cabinet, need costing for SHS, and individual WCM?. (ref drawing attached)  UACU+ needs to have the ability to monitor 45 Wells. (Specs are attached)    Smartwell Master software, needs output capability to a separate DCS, but must be able to monitor the hydraulics (20 wells x 3 line dual zone direct hydraulics with accupulse) and Gauges (45 wells)(Specs Attached)  Costing for a PC, Keyboard, Mouse, Monitor and UPS   ExxonMobil HPP Quality requirements will need to be adhered to.
2011-11-07, WM:  Dan has started work.</t>
  </si>
  <si>
    <t>5: SPLT=N/A    Dan/Josh to be ready for vendor quote by 12/9.  11/28/11 DM</t>
  </si>
  <si>
    <t>723526</t>
  </si>
  <si>
    <t>SWM GUARA
Need to modify SmartWell Master Core Product (C07SWM100P00) to enable it to perform valve moves by sending DCV move requeste directly to MCS and monitoring line presures in SCM through MCS.  Petrobras Guara
ZEWO:  103573100
Network:  HTWD601729
2011-06-09: Added 2700 dollar Matrikon OPC Data Manager to project plan under task 12.
2011-10-17 WM:  Harjeet is completing the Soft PLC implementation.</t>
  </si>
  <si>
    <t>3: OPC interface document received from Aker, PLC logic change review meeting has been performed and project plan has been updated to include all steps required for project completion - AGS 7/31/11  Anticipate completion mid March 2012.  11/14/11 DM</t>
  </si>
  <si>
    <t>727715</t>
  </si>
  <si>
    <t>HESS</t>
  </si>
  <si>
    <t>I need two changes to part number 102095618.
Change 1. The description of this part needs to read Flatpack Dual, 1  3/8 - 1 1/4 x.065
Change 2.  In the description the 1/4 line in the flatpack needs to have a wall thickness of .065, not .049.</t>
  </si>
  <si>
    <t>726767</t>
  </si>
  <si>
    <t>10: SPLT=140 @@ Revised AIS date per C McKays attached email. Required requirements document from submitter by email.  10/26/11 DM</t>
  </si>
  <si>
    <t>725803</t>
  </si>
  <si>
    <t>25: SPLT=140 @@ Emailed submitter re: requirements document.  11/1/11 DM  Recd and attached requirement document.  11/2/11 DM  Emailed submitter to verify AIS date...see attached email.  11/3/11 DM Revised AIS date per attached email from submitter.  11/16/11 DM  Task 7258056 does not have a description.  Please add description to clarify and enable approval.  P.H. 11/17/2011</t>
  </si>
  <si>
    <t>723556</t>
  </si>
  <si>
    <t>727122</t>
  </si>
  <si>
    <t>Same As: 215HA0550018; VLV, HVC, INTEGRATION, ACCUPULSE, 5-1/2,
Except: 5.5 in HVC ICV 13Cr, Tenaris Blue Box x Pin, water injection well, choking carbide trim 31153735
Project Name: MR6 (M2A)
Special Quality Plan Required?: No
Material: (7) 13 CR 80 MY 22HRC (ES-MA-58-7)
Mating Infomation:</t>
  </si>
  <si>
    <t>17: SPLT=126 @@ Emailed submitter and requested a requirements document.  10/27/11 DM  Recd and attached requirements document.  11/2/11 DM</t>
  </si>
  <si>
    <t>728613</t>
  </si>
  <si>
    <t>Well Dynamics</t>
  </si>
  <si>
    <t>Slick joint tool used to screw on the Upper retaining ring to the slick joint</t>
  </si>
  <si>
    <t>47:</t>
  </si>
  <si>
    <t>727116</t>
  </si>
  <si>
    <t>Same As: 722HF1964714; 722HF1964714, ASSY, PKR HF1, 13CR, TBG S
Except: 9.625 x 5.5 in 17lb HF1 packer, 13CR, tubing set
Project Name: MR6 (M2A)
Special Quality Plan Required?: No
Material: (7) 13 CR 80 MY 22HRC (ES-MA-58-7)
Mating Infomation:
Thread change to Tenaris Blue.  See revised requirements document attached.  11/17/11 DM</t>
  </si>
  <si>
    <t>18: SPLT=126 @@  Emailed submitter to request requirements document.  10/27/11 DM Recd and attached requirements document.  11/2/11 DM  Attached updated requirements document reflecting thread changes to Tenaris Blue.  11/17/11 DM</t>
  </si>
  <si>
    <t>727108</t>
  </si>
  <si>
    <t>Control System - 2 Well SHS (460/3/60) for AMDP11 Platform
Request for creating a new 2-well SHS (460/3/60) unit with 1x 3-Line Auto WCM for AMDP11 platform. Please refer to attached document for specifications.
Fluid - Brayco Micronic LV3
WCM to be used for: Well name - SWA 5DW.
Need to certify the entire SHS to zone 1 ATEX specification, certification to be produced at the time of delivery. Please advise standard cost and lead time as soon as possible.</t>
  </si>
  <si>
    <t>Dan working on design and will contact SIRA for ATEX certification once design is complete.  11/28/11 DM</t>
  </si>
  <si>
    <t>726755</t>
  </si>
  <si>
    <t>7: SPLT=168 @@ Revised AIS date per C McKays attached email. Requested requirements document from submitter by email.  10/26/11 DM</t>
  </si>
  <si>
    <t>726862</t>
  </si>
  <si>
    <t>Control System - 4 ICV, 2 Well Automated 
System Part Number Needed so as to order ASAP. Also required along with the SHS is the provision of a bracket so that 1 x XPIO QT+ can be installed along with the system.
Multi-valve system.
2011-11-07, WM:  Dan is evaluating requirements.
2011-11-21, Dan created Part and Eng Drawing and attached Draft Autocad dwg and BOM. New Drawing num- D00577686, SAP 102106951.</t>
  </si>
  <si>
    <t>1:  Dan to complete design and Jim to review by 12/2/11 DM</t>
  </si>
  <si>
    <t>726761</t>
  </si>
  <si>
    <t>8: SPLT=168  @@ Revised AIS date per C McKays attached email. Requested requirements document from submitter by email.  10/26/11 DM</t>
  </si>
  <si>
    <t>728615</t>
  </si>
  <si>
    <t>One pair of custom fixtures used to assist in the torque of all check valves for the chemical injection mandrels.</t>
  </si>
  <si>
    <t>728617</t>
  </si>
  <si>
    <t>9-5/8 inch packer straddle for upper body setting port pressure test</t>
  </si>
  <si>
    <t>729213</t>
  </si>
  <si>
    <t>OMV Yemen</t>
  </si>
  <si>
    <t>Safety System 
Same As: 71SSS1; SFTY SYS STD RTA DESIGN REQ
Except: 1/2 inch NPT Nipple x 1/4 Swagelok/tube with a bore size large to feed thru 1/4 inch tube,  Swagelok no. INC 400 1 8BT, 3/8 inch NPT nipple x 1/4 inch sadgelok/tube with a bore size large to feed thru 1/4 inch tube, Swagelok no. INC 400 1 6BT, 1/4 inch NPT Bottom Conn x 10,000 PSIG pressure gauge 2 1/2 inch GF, McDaniel no. K6KP GF, 1/4 inch NPT Female x 1/4 NPT female needle valve, Swagelok no. SS 1 RF4, 1/4 inch NPT female connection TEE piece, Swagelok no. SS 4 T 10K
Project Name: 
Special Quality Plan Required?: No
Material: 
Technical Support Deliverables:
Preliminary Design Specifications
Reference Assembly Drawing
Reserve SAP Material Number
2011-11-07, WM:  This is for spare parts only.  Jay does not foresee an order in the immediate future.  RTA to be assigned to Hakeem, Class B.</t>
  </si>
  <si>
    <t>728016</t>
  </si>
  <si>
    <t>Safety System - Quote Only:  Review Aramco RFQ no. KMBT 36220111029003639, design control panel, prepare design package, obtain quotes from vendors.  Bid due date is Nov. 12, 2011.
2011-11-07, WM:  Robert has almost completed design.  Packge is out for bid.  RTA needs to be assigned to Robert, Class B.  MWS</t>
  </si>
  <si>
    <t>20: SPLT=N/A</t>
  </si>
  <si>
    <t>ELEC - DOCUMENT 9670-5031 ADDED MODBUS TIMEOUT REGISTER WITHOUT ADDING UNITS FOR THE REGISTER.  IT IS IMPORTANT THAT THIS DOCUMENT BE REVIEWED TO ADD UNITS WHEREVER POSSIBLE.  OTHER DOCUMENTS THAT HAVE A MODBUT TIMEOUT REGISTER MAY ALSO NEED TO BE VISITED.</t>
  </si>
  <si>
    <t>Should close out in next week.  11/14/11 DM</t>
  </si>
  <si>
    <t>731319</t>
  </si>
  <si>
    <t>1/4 INCH NPT BOTTOM CONN X  10000 PSIG PRESSURE GAUGE 2 1/2 INCH GF, MCDANIEL P/N KPPB-GF</t>
  </si>
  <si>
    <t>Hakeem to make minor changes then push to Ted for approval by 12/2.  11/28/11 DM</t>
  </si>
  <si>
    <t>733846</t>
  </si>
  <si>
    <t>FIELD LOCATION MADE CHANGES TO SAFETY SYSTEM 71CO651. THE CHANGES ARE LISTED IN THE DOCUMENTS ATTACHED. THESE CHANGES ARE TO BE INCORPORATED INTO 71CO651 REVESION B ENGINEERING UPDATE</t>
  </si>
  <si>
    <t>728324</t>
  </si>
  <si>
    <t>Same As: 235SF0967013-SB2; CLMP,SPLC,9670,13CR,7-29.00 VAMTOP -SB2
Except: 1. Remove Roxar splice and add Roc S splice in same groove
2. Move 3/8 x 1/4 FMJ Splice. ref attached drawing.
3. Change top and bottom treads to 7 32 ppf Vam Top HC
Tech Start Date is in the past
Project Name: Oseberg S??r
Special Quality Plan Required?: Yes
Quality Plan Identifier: SB2
Material: (7) 13 CR 80 MY 22HRC (ES-MA-58-7)
Mating Infomation:</t>
  </si>
  <si>
    <t>26: SPLT=140 @@ Recd and attached requirements document.  11/2/11 DM  Emailed submitter to verify AIS date...see attached email.  11/3/11 DM Revised AIS date per attached email from submitter.  11/16/11 DM</t>
  </si>
  <si>
    <t>734018</t>
  </si>
  <si>
    <t>734014</t>
  </si>
  <si>
    <t>REQUEST FOR CREATING A SAP NUMBER FOR ELCTRONIC PART IN SHS. ITEM IS PTX 7801 200 PSI 30 FEET CABLE WITH ATEX CERT.</t>
  </si>
  <si>
    <t>734016</t>
  </si>
  <si>
    <t>734015</t>
  </si>
  <si>
    <t>REQUEST FOR CREATING A SAP NUMBER FOR ELCTRONIC PART IN SHS. ITEM IS PTX 7801 125 MBAR (LT-1) 40 FEET CABLE WITH ATEX CERT.</t>
  </si>
  <si>
    <t>SPLT=N/A</t>
  </si>
  <si>
    <t>731191</t>
  </si>
  <si>
    <t>REQUEST FOR CREATING A SAP NUMBER FOR AN ELECTRONIC COMPONENT IN THE SHS/WCM. ITEM IS A CONTROL MICROSYSTEMS SCADAPACK BATTERY, 3V</t>
  </si>
  <si>
    <t>731193</t>
  </si>
  <si>
    <t>REQUEST FOR CREATING A SAP NUMBER FOR A HYDAC ADAPTER USED WITH ACCUMULATOR CHARGING KIT TO CHARGE A HYDAC ACCUMULATOR WITH N2.</t>
  </si>
  <si>
    <t>725682</t>
  </si>
  <si>
    <t>733914</t>
  </si>
  <si>
    <t>731192</t>
  </si>
  <si>
    <t>731190</t>
  </si>
  <si>
    <t>REQUEST FOR CREATING A SAP NUMBER FOR AN ACCUMULATOR CHARGING KIT USED TO PRE-CHARGE THE ACCUMULATOR IN THE SHS. ITEM DESCRIPTION IS ACCUMULATOR CHARGING KIT WITH GAUGES UP TO 3K PSI</t>
  </si>
  <si>
    <t>731183</t>
  </si>
  <si>
    <t>REQUEST FOR CREATING A SAP NUMBER FOR ELCTRONIC PART IN SHS.ITEM IS A ADAM ETHERNET SWITCH, 6520I.</t>
  </si>
  <si>
    <t>731187</t>
  </si>
  <si>
    <t>728809</t>
  </si>
  <si>
    <t>28:</t>
  </si>
  <si>
    <t>20:  splt=N/A</t>
  </si>
  <si>
    <t>18:</t>
  </si>
  <si>
    <t>736893</t>
  </si>
  <si>
    <t>ECR - The BOM in CWI for punch mandrel, MN 102054316, is incorrect. It is short 2 each back-up rings, item 8, MN 102030296. Drawing 9290-6773 shows 4 each back-up rings installed in detail D, item 8. The BOM calls for a qty of 2 each.</t>
  </si>
  <si>
    <t>21: SPLT=126  K Pham met with Lee and design will continue once we have fluid info and pressure reg range.  7/20/11 DM  Waiting for additional info from field to complete design.  Development and qualification on separate RTA.  Design stategy mtg on 8/17.  7/25/11 DM    2011-09-26, WM - Check valve design must be solidified.  Design is on hold until solidified.  2011-10-03, WM:  Jim to provide a check valve spec by the end of the week.   Meeting w/Lee to discuss ck valve this week.  10/10/11 DM Chg AIS date per Colins attached email.  10/12/11 DM  Matt to provide ck valve info to Lee.  11/28/11 DM</t>
  </si>
  <si>
    <t>PMT</t>
  </si>
  <si>
    <t>10: SPLT=N/A  R Thornburg to attach drwgs to RTA.  Ted to approve ltr and drwgs.  7/25/11 DM R Smith/T Soules to approve drwgs and ltr 8/19.  8/15/11 DM  Submitted to customer waiting for response. Contact J Bissell to inquire regarding response.  8/29/11 DM Still waiting for approval of ltr from Dan Gibson with SaudiAramco. 9/12/11 DM Ditto 9/19/11 DM  9/25/11 WM Quoted in Feb...not awarded yet. Jay contacting Peter to visit customer and get resolution.  DM Recd responses from Aramco 10/6.  R Thornburg/T Soules to review.  10/10/11 DM  J Bissell contacting R Thornburg for response to SaudiAramco questions.  10/24/11 DM  Ted to review letter and push approval through.  11/14/11 DM R Thornburg to load approved letter in CWI and send to Ted for approval.  11/28/11 DM</t>
  </si>
  <si>
    <t>19: SPLT=N/A  Waiting for approval on RTA 693965.  7/25/11 DM Ted/Robert to review letter on 693965 by 8/17. Confirm AIs date with Jay.  8/15/11 DM Still waiting for approval of ltr from Dan Gibson with SaudiAramco. 9/12/11  Ditto. Contact J Bissell to inquire regarding response. 9/19/11 DM  9/25/11 WM Quoted in Feb...not awarded yet. Jay contacting Peter to visit customer and get resolution.  DM J Bissell contacting R Thornburg for response to SaudiAramco questions.  10/24/11 DM  Ted to review letter and approve.  11/14/11  DM  Letter returned with changes waiting for customer response.  11/28/11 DM</t>
  </si>
  <si>
    <t>17:  AIS date? Assign to J Kelley Code B.  10/10/11 DM Review in process.  10/24/11 DM</t>
  </si>
  <si>
    <t>16: SPLT=N/A  Hakeem to make minor changes and push through.  11/28/11 DM</t>
  </si>
  <si>
    <t>12:</t>
  </si>
  <si>
    <t>11:</t>
  </si>
  <si>
    <t>12: SPLT=168 @@</t>
  </si>
  <si>
    <t>To create a 3.5 HSB with DEFLECTOR with carbide insert (INC 718/4140) with a multipurpose fitting kit .</t>
  </si>
  <si>
    <t>Need to qualify low cost water-glycol based DCV for new Multi-valve SHS design.
Resources:  Jim Kelley, Shane Barnes, Charlie Betts
Time:  160 hours
ZEWO:  103796619
Network:  HTWD601958 M001</t>
  </si>
  <si>
    <t>CBM project: Drawing update/migration from Domino to CWI per attached legend.
TSG NOTES 10-27-11 TO TSG TO REVIEW DWGS AND PUSH TASK SO PARTS CAN BE BACKFILLED (JCC) 12011 CHECKED DWGS, PART NUMBERS AND MODELS; RETD FOLDER TO TB FOR REVIEW AND APPROVAL (GMC) END
IN ENG. DESIGN-A.BERRET_10/31/2011----------------------END
-----------------------------------------------------------FOLDER RETUNED TO T. BORDMAN FOR DISTRIBUTION-A. BERRET_11/09/2011--------------------------------------END
IN ENGINEERING FOR CHECKING. A. BERRET_12/02/2011 END</t>
  </si>
  <si>
    <t>736993</t>
  </si>
  <si>
    <t>Create SAP MN for the attached 5.5in TR-SSSV Clamp, TubeTec Ref A5500-26A-M1-L and A5500-26A-M1-L for 44 x 12 mm flatpack.</t>
  </si>
  <si>
    <t>737356</t>
  </si>
  <si>
    <t>THIS RTA MODYFIES THE LENGHT OF ANCHOR SUB SAP 593620. LENGTH WAS: 60 IN, IS: 44 IN AS PER RTA 726800.  SEE ATTACHED CORRESPONDENT</t>
  </si>
  <si>
    <t>ECR - REVISE MANUFACTURING ASSEMBLY SPECIFICATIONS NOTED BELOW: (D.G.)
-  023578-09 (HF1 HYDRAULIC SET XXXXXX), REVISE AND CORRECT STEPS ON PAGE 7 OF MAIN PACKER ASSEMBLY -ATTACHED MARKUP. PLEASE REVIEW THE REMAINING STEPS AND CONFIRM THAT ALL STEPS ARE ACCURATE. 
-  309840-01-01, PLEASE REMOVE (INTERNAL BODY TEST SECTION) FROM PROCEDURE.
-----------------------------------------------------------IN ENG. DESIGN-A.BERRET_10/24/2011----------------------END
-----------------------------------------------------------FOLDER RETUNED TO P. JAMES FOR APPROVAL-A. BERRET_10/31/2011---------------------------------------END
IN ENG DESIGN FOR EDITING. A. BERRET_12/02/2011 END</t>
  </si>
  <si>
    <t>737000</t>
  </si>
  <si>
    <t>DH  Installed into well D-21 is the new version 296FO0960002 disconnect drawing number 308594-01-01
Based on the previous RTA submittd R00000724603 we are now going to refurbish the upper section and test. 
I am going to manufacture the lower head 308372 and make up to a pup joint. ID has to be at least 5.64 in to accomdate the latch in the upper assembly (drawing 308350) going into the lower pup joint
Engineering support required 
Drawing required for the following
Crossover 6 1/2 in - 8 STUB ACME-INT (as per drawing 309372) over to 6 5/8 24Ib/ft STUB ACME
100 in pup joint 6 5/8 24Ib/ft STUB ACME 1 end threaded only with a min ID 5.92 in
To test the upper and lower to ensure they meet together with no issues we will requie to use a threaded rod bar to pass through, attach plates either side and give us the ability to turn giving us the ability to mate together. Engineering to provide specifications on what to use as there will be the spring force to over come and cant afford for this to fail. Engineering costs to be provided for this work and previous RTA also
RTA REQUIRED COMPLETION DATE 28TH NOVEMBER 2011</t>
  </si>
  <si>
    <t>Placing in design hold...S Saldanha reviewing and assessing with region.  12/1/11 DM</t>
  </si>
  <si>
    <t>737003</t>
  </si>
  <si>
    <t>Create a SAP MN linked to the following Tube-Tec  5¿¿¿¿ Cross Coupling Cable Protector Assembly Drawing A5500-26A Sheet 2 Rev 0</t>
  </si>
  <si>
    <t>737309</t>
  </si>
  <si>
    <t>736977</t>
  </si>
  <si>
    <t>REQ - per HOC 504669 create a new fixture for carbide carriers that will safely secure the part during assembly steps. 
Notes: Carbide carrier is placed onto a piece stock material secured to a standard shop vise on workbench and hangs over the floor not the workbench at a declining angle. There is a potential to drop and damage the carbide carriers and/or the Technician.</t>
  </si>
  <si>
    <t>737261</t>
  </si>
  <si>
    <t>Statoil Fast Track Hyme</t>
  </si>
  <si>
    <t>13.1 SPLT=182</t>
  </si>
  <si>
    <t>35.1: SPLT=126 @@</t>
  </si>
  <si>
    <t>Statoil Oseberg F8</t>
  </si>
  <si>
    <t>Statoil Fst Trk Hyme</t>
  </si>
  <si>
    <t>Shrouded X Over
Same as SAP 101967324,
Except for: 
- 7in thread to be 29PPF Vam Top</t>
  </si>
  <si>
    <t>Same As: 235SF0703541-SB2; CLMP,SPLC,7035,13CR,3 1/2-9.20 VAM -SB2
Except: 1 Change base material from 25Cr to Super 13Cr 110KSI
2 Remove Roxar splice and add FMJ splice body in same groove
3 Remove Y block and add Roc S splice body in same groove
Tech Start Date is in the past
Project Name: Oseberg S??r F-8
Special Quality Plan Required?: Yes
Quality Plan Identifier: SB2
Material: (11) Super 13 CR 110 MY 32 HRC (ES-MA-134-_)
Mating Infomation:
RTA ON HOLD AND CAN BE LOCATED BY O.E. (01DEC11)</t>
  </si>
  <si>
    <t>ICV   Same as SAP 102005591,
Except for: 
- no PSA 
- Flow Trim to be 315955-HCD (see attachment)</t>
  </si>
  <si>
    <t>REQUEST FOR CREATING A SAP NUMBER FOR ELCTRONIC PART IN SHS. ITEM IS PTX 7801 100 MBAR (LT-2) 40 FOOT CABLE WITH ATEX CERT.</t>
  </si>
  <si>
    <t>REQUEST FOR CREATING A SAP NUMBER FOR AN ELECTRONIC COMPONENT IN THE SHS/WCM. ITEM IS A CONTROL MICROSYSTEMS SCADAPACK FUSE</t>
  </si>
  <si>
    <t>REQUEST FOR CREATING A SAP NUMBER FOR ELCTRONIC PART IN SHS. ITEM IS A LEVEL TRANSMITTER PTX 7801 6K PSI 30 FOOT CABLE W/ ATEX CERT</t>
  </si>
  <si>
    <t>35.1: SPLT=168</t>
  </si>
  <si>
    <t>Statoil F T Visund S</t>
  </si>
  <si>
    <t>Norway</t>
  </si>
  <si>
    <t>1: SPLT=15</t>
  </si>
  <si>
    <t>Shrouded X Over
Need following changes to M/N 101789075:
Maximum concentric OD: 6in.
Statoil QP SB-2
25% Cr</t>
  </si>
  <si>
    <t>737021</t>
  </si>
  <si>
    <t>Same As: 71SSS1; SFTY SYS STD RTA DESIGN REQ
Except: Prepare Aramco NMR 602 paperwork for Aramco PO No 4503296149 and 4503342062, our order no. 8040697
and submit to Aramco Houston by Dec. 2.
Project Name: 
Special Quality Plan Required?: No
Material: 
Technical Support Deliverables:
Preliminary Design Specifications
Reference Assembly Drawing</t>
  </si>
  <si>
    <t>21: SPLT=168 @@ No special quality plan required per attached email from submitter.  11/18/11 DM  AIS date confirmed with submitter per attached email.  11/18/11 DM Mike Ski working on flow trim data...see attached email.  12/1/11 DM</t>
  </si>
  <si>
    <t>2.2: SPLT=15</t>
  </si>
  <si>
    <t>TLC  Need following changers to M/N 101875875 (eccentric TLC):
Redesign one of the wedges to accomodate 1 single   bumper 8mm. This refers to the left side wedge according to attachement.
Remove wedges number 2 to incorporate 2 bypass slots (each 36 x 12 mm)
Include crossover sub 589023
Customer:  Statoil
Project:   Snorre B
Quality:   SB2</t>
  </si>
  <si>
    <t>Taper Lock Clamp
Need following changers to M/N 101875875 (eccentric TLC):
Add one wedge to accomodate 1 single and bumper 8mm to the left according to attachement.
Include crossover sub 589023. Statoil QA plan SB2.</t>
  </si>
  <si>
    <t>2.1: SPLT=15</t>
  </si>
  <si>
    <t>Statoil Troll</t>
  </si>
  <si>
    <t>Splice Sub  Same As: 235SF0967009-SB2; SUB,SPLC,9670,13% CR,5K,7-26.00  - SB2
Except: NOR1142   ER09186
Please submit to WD4=WD Accessory Equipment
Need clamp splice: 235SF0967009SB2 / 101887088 with the following changes:
1 Add one extra 1/4 FMJ splice body. Total 5 ea hyd cl + 1 ea Roc S splice
Project Name: Troll O-25
Special Quality Plan Required?: Yes
Quality Plan Identifier: SB2
Material: 
Mating Infomation:</t>
  </si>
  <si>
    <t>Spl Clmp Assy   NEED A NEW PART Ref. 235SF0967011-SB2 (9670 Splice Clamp Assy)
Except for:
- material to be 13Cr</t>
  </si>
  <si>
    <t>Create SAP MN for the attached Flatpack
Incorporating 4 each 0.25 in OD x 0.049 in WT Alloy 825 welded &amp; floating plug drawn annealed tubes respectively colour-coded with ink prior to encapsulation PLUS 1 each free-issue 0.25 in OD TEC Cable.
Encapsulated as 44mm x 12mm in TT270 thermoplastic, suitable for maximum 280??F hydrocarbon &amp; brine service.
upplied as a single continuous length 
Secondary (post encapsulation) chart recorded pressure testing at 15,000 psi with Castrol Transaqua HT fluid.
Flushed to NAS 1638 Class 6 with Castrol Transaqua HT fluid.</t>
  </si>
  <si>
    <t>SPLT=112 Emailed submitter for AIS date, requirements doc, customer and project info.  12/2/11 DM</t>
  </si>
  <si>
    <t>737556</t>
  </si>
  <si>
    <t>As a business strategy, product line would like to develop a new valve to replace the MC. This new valve is menat for the cost effective environment. Attached is a requiredments documents outlining the design specification envelope for this new valve. Please contact PLM for additional information</t>
  </si>
  <si>
    <t>Statoil FT Visund S</t>
  </si>
  <si>
    <t>737549</t>
  </si>
  <si>
    <t>M/N-588280, Drawing W.018885-00-00 Rev.2
The BOM shows coating AC-C-024-B Phosphate, please change the coating to B-011 QPQ to reflect what is called out on the drawing.</t>
  </si>
  <si>
    <t>DR  SPLICE SUB ASSY,QTY 4 SPLICE W/CNTRL LINE PROTECTORS, QTY 1 BY PASS- SPLICE SUB ASSY; SIMILAR TO THE PRESENT MN 590378 - 235SF0965540. THREADED 5.5 IN 20 PPF HUNTING FOX BOX x 5.5 IN 20 PPF NS-CC PIN. MATL: 13% CR; 80 MY</t>
  </si>
  <si>
    <t>SPLT=140 Emailed submitter for AIS date, customer,project, and requirements document.  11/28/11 DM Emailed followup to customer.  12/2/2011 DM</t>
  </si>
  <si>
    <t>DR  Modify ACCUPULSE NON-ACTIVE MNFLD 5-1/2, 1 EXT BY-PASS, 1 SPLICE (DRW 313956-00-01) adding a splice line, this modification will be relevant to the 215HA0550012 5.5 in HVC; MN 589805
Customer: Burullus Egypt, Project: Saphire South Central</t>
  </si>
  <si>
    <t>This RTA is to perform a customization in the Chemical Injection Mandrel assy SAP:102026128;
FINAL DESIGN REQUIREMENTS: Change the material to 25CR-7NI-4MO 80KSI; Change quality plan to PQ-2.
PROJECT NAME: BSM 9&amp;11_BR11158
QUALITY PLAN REQUIRED?: YES
QUALITY PLAN IDENTIFIER: PQ2 PETROBRAS BRAZIL (TYPE B)
------
11/2/2011 ST - SENT TO J. SEALE FOR CHECKING
------
11/18/2011 J. SEALE - CHECKING COMPLETE, NEED MODELS UPLOADED TO CWI.
------
11/23/2011 ST - SENT TO R. BAKHTIARY FOR APPROVAL
=-=-=-=-=-=-=-=-=
12/2/2011 RB - Spoke with Lorenzzo and he would like to reduce the overall length of this mandrel by shortenning the box/pin. We can do this by removing 1 of the thread re-cuts. Seding back to design. Changing AIS date to 7/1/2012 per Lorenzzo</t>
  </si>
  <si>
    <t>This RTA is to perform a customization in the Chemical Injection Mandrel assy SAP:102013066;
FINAL DESIGN REQUIREMENTS: Change the material to 25CR-7NI-4MO 80KSI; Change quality plan to PQ-2.
PROJECT NAME: BSM 9&amp;11_BR11158
QUALITY PLAN REQUIRED?: YES
QUALITY PLAN IDENTIFIER: PQ2 PETROBRAS BRAZIL (TYPE B)
------
11/4/2011 ST - SENT TO J. SEALE FOR CHECKING
------
11/21/2011 JS - SENT BACK TO S. TEHVEN FOR CORRECTIONS
------
11/23/2011 ST - SENT TO R. BAKHTIARY FOR APPROVAL
=-=-=-=-=-=-=-=-=
12/2/2011 RB - Spoke with Lorenzzo and he would like to reduce the overall length of this mandrel by shortenning the box/pin. We can do this by removing 1 of the thread re-cuts. Seding back to design.Changing AIS date to 7/1/2012 per Lorenzzo</t>
  </si>
  <si>
    <t>REQUEST FOR CREATING A SAP NUMBER FOR ELECTRONIC PART IN SHS. ITEM IS ABC-2-R, CERAMIC FUSE 2 AMP.</t>
  </si>
  <si>
    <t>Modify MN 102092115 to show a 4 in drum shaft instead of a 3 in drum shaft.  need urgently, so we can get material on order.
TSG NOTES 120211 RCVD. FILE FOR PROCESSING. (KEN) END.</t>
  </si>
  <si>
    <t>Shell Glider 5</t>
  </si>
  <si>
    <t>ECR - (Originally created in ETQ on SDC - 000233) The call out Qty of (Item 42) P/N 313566-00 does not match the Qty called out by procedure Doc. 314826-00. A Qty of 2 on the B.O.M.would match the Assembly procedures (313285-00-01, 313285-02-01, 313285-03-01).
TSG NOTE 120211 RCVD. FILE FOR PROCESSING. (KEN) END</t>
  </si>
  <si>
    <t>SPLT=168</t>
  </si>
  <si>
    <t>SPLT=168 Assign to James Class B  11/28/11 DM</t>
  </si>
  <si>
    <t>2: SPLT=15  Emailed submitter for spool info.  12/2/2011 DM</t>
  </si>
  <si>
    <t>Sheet Control</t>
  </si>
  <si>
    <t>Extras</t>
  </si>
  <si>
    <t>ROC Gauge Qualification - Woodside
ADDITIONAL QUALIFICATION FOR THE ROC GAUGES INCLUDIING:  1.  ISO 13628 - SHOCK, VIBRATION, HOT TEMPERATURE SOAK, COLD TEMPERATURE SOAK, AND THERMAL CYCLING  2.  HALT - QTY 2 GAUGES WILL BE TESTED UNTIL THEY FAIL USING THERMAL RAMPING, THERMAL TRANSISTION, VIBRATION, AND COMBINED ENVIRONMENT  3.  QALT - QTY 3 GAUGES WILL BE PUT ON LONG TERM TEST IN 200C OVEN.  THIS RTA WILL COVER OTHER QUALICATION TEST FOR ROC-200 AS WELL IF NEEDED.  PRODUCT QUALIFICATION REPORT WILL BE GENERATED NEEDED AFTER THE TESTING IS COMPLETE
Network: HTWD601398;M001                  12/16/10 DM
ZEWO: 103377643
2011-07-06: A REVISED PROJECT PLAN HAS BEEN ATTACHED TO THE RTA.  THE SCOPE OF RTA INCLUDES ADDITIONAL PRESSURE TESTING, HALT AND QALT ON ROC GAUGES.
2011-09-27, WM - Mechanical seal parts and gauges in procurement.  HALT fixtures need to be addressed next week.  Project due date extended to the end of next year due to QALT testing.  Aswin will update project plan.
2011-10-04 WM - QUALMARK WAS CONTACTED TO CONFIRM ABOUT HALT.  THE DATES AND INITIAL QUOTES ARE EXPECTED TO COME IN BY NEXT WM.  PARTS FOR PRESSURE TEST TO FAILURE HAVE BEEN ORDERED.
2011-11-01:  Project plan updated 10/25 (attached).  First mechanical testing to start 11/8 which the second batch to follow shortly afterwards.  The reliability tasks have been captured and attached under the planning section (2011-10-18 Woodside Oustanding Reliability Task Status.msg).  Trip to Woodside is tentatively scheduled for mid December.
2011-12-05, MWS:  
PQR-000007-20 for the gauge mountsub seal qualification has been completed and 58 of the 60 samples analyzed.  Qty 2 of the c-ring samples failed in an alternate method and will require additional verification.  Report is approximately 70% complete. 
PQR-000007-21 for the cable termination gauge seals has been completed for qty 30 of the 45 samples.  The outstanding qty 15 samples are targeted for the o-ring and will not be critical to reliability probablity for the FTA.
PQR-000007-22 HALT procedure is still under review by Woodside.
PQR-000007-23 QALT procedure is in review and will be sent to Woodsiwill de shortly.
Interim trip most likely push to January.</t>
  </si>
  <si>
    <t>REVISE CLAMP 9450-7004 TO ADD ANGLE TO SECTION B-B, AND REMOVE THE DEPTH CALLOUT ON THE COUNTER-BORE CALLOUT.
2011-12-05, WM:  Work complete, ready for approval.</t>
  </si>
  <si>
    <t>UPDATE BOM PART NUMBER 598415; PART NUMBER 101820300 IS LISTED TWICE AS FIND NUMBER 0010 AND 0013 PER KELLEY PEGODA (SEE ATTACHED EMAIL). FIND NUMBER 0010 SHOULD BE 9388-2132; THERE IS NO SUCH PART IN CWI OR SAP, SO IT WILL HAVE TO BE CREATED. DRAWING 9388-2132 IS ATTACHED.
2011-12-05, WM:  Mark Guy to follow-up on.</t>
  </si>
  <si>
    <t>CREATE NEW PART FOR ATTACHED E MAIL REQUEST
Part 102067480 ref 9450-7004-GB-New Component part
Part 102067471 ref 9293-6786- New Mandrel Assy
102067470 ref 9290-6786- New Gauge Mandrel Assy
2011-12-05, WM:  Assign to James, Class A.  This is just a material change on the clamp.  Dana to review AIS date, SPLT.</t>
  </si>
  <si>
    <t>Assign to James, Class A.  Review AIS and SPLT.  12/5/11 DM</t>
  </si>
  <si>
    <t>Need Gauge ref: 9290-6593-SB2  - 101875081 with the following changes:
1) Change base material from 25% Cr to Super 13% Cr 110KSI.
2) Change to dual mandrel with splitter block and individual position sensor (ref: Martin Staelens)
3) Change treads from 5.5 20 Vam Top HC to 5.5 26 Vam Top HC
Customer: Statoil
Project:  Oseberg Sor F-8
Quality:  SB2
2011-11-07, WM:  Design cannot be started until ROC-P is complete.
2011-11-21, WM:  ROC-P design complete, pending design review.  Once finalized, design will move forward.  Dana to assign to Mark, Class B, due date 12/15.
2011-11-28, WM:  ROC-P almost complete, design to begin this week.  Change assigment to Sam.
2011-12-05, WM:  Dana to assign to Sam, Class B, due date 12/19.
Design review completed on ROC-P last week.  Reassigned to James.  James is starting on mandrel design and should be complete by Wednesday.</t>
  </si>
  <si>
    <t>737968</t>
  </si>
  <si>
    <t>QGC</t>
  </si>
  <si>
    <t>Set up 71CO P/N and SAP P/N for the following panel design no. 71ZZ2900</t>
  </si>
  <si>
    <t>Need EFDs for PN-101905152. Chemical Injection Mandrel Assembly for Shell Popeye scheduled for 12-8-11
2011-12-05, WM:  Assign to Rameen, Class A.</t>
  </si>
  <si>
    <t>Need part number created for material 588257(P/N 0151-6017) with special quality as detailed below:
We want, on part 1 and 4; 316L parts:
CHARPY VEE NOTCH:THREE SPECIMENS PER ASTM A370 
   AVE ENERGY 42JOULES (31 FT LBS) 
   MIN SINGLE 34 JOULES (25 FT LBS)
   MAX TEST TEMPERATURE -46 DEG C (-50 F)
   TESTING IN TRANSVERSE AND LONGITUDINAL
   DIRECTION
Elastomer seal material with a temperature rating at least -29 degC.
We had a look at James Walker data book, there is this material called Elast-O-Lion (HNBR) is suitable for oil based environment, and rated at -29 deg C and 10Ksi. please see attached data sheet. 
Please see Grade 101 and grade 985
2011-12-05, WM:  Matt to review this RTA to determine scope/feasibility.</t>
  </si>
  <si>
    <t>Need EFDs for PN-101904348. Gauge Mandrel for Shell Popeye scheduled for 12-8-11
2011-12-05, WM:  Assign to Rameen, Class A.</t>
  </si>
  <si>
    <t>CHECK VALVE ALTERNATIVE SUPPLIER INVESTIGATION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RTA 625740.  Prior to this qualification regime, it is desired to complete an analysis of other alternatives for check valves.  This shall include quality, documentation, cost, and leadtime.
2011-11-01:  Met with Lee Company to review options.  A conceptual design is being generated with a design review to follow.  A detailed specification will also be created following the results from the Lee meeting.
2011-12-05, MWS:  Sam will start on the conceptual design by 12/7 with a design review planned for the following week.</t>
  </si>
  <si>
    <t>737783</t>
  </si>
  <si>
    <t>Request for creating a new SAP number for a 1-Line, .25 in. OD x .049 in. wall thickness flatpack (with safety strip) with Mobil Aero HF (Red Oil). Please see attached sheet for specifications.
This is a third party item.</t>
  </si>
  <si>
    <t>737782</t>
  </si>
  <si>
    <t>Request for creating a new SAP number for a 5-Line, .25 in. OD x .049 in. wall thickness flatpack (with safety strip) with Castrol Brayco Micronic LV3. Please see attached sheet for specifications.
This is a third party item.</t>
  </si>
  <si>
    <t>737780</t>
  </si>
  <si>
    <t>Request for creating a new SAP number for a 1-Line, .25 in. OD x .049 in. wall thickness flatpack (with safety strip) with Castrol Brayco Micronic LV3. Please see attached sheet for specifications.
This is a third party item.</t>
  </si>
  <si>
    <t>737781</t>
  </si>
  <si>
    <t>Request for creating a new SAP number for a 4-Line, .25 in. OD x .049 in. wall thickness flatpack (with safety strip) with Castrol Brayco Micronic LV3. Please see attached sheet for specifications.
This is a third party item.</t>
  </si>
  <si>
    <t>737779</t>
  </si>
  <si>
    <t>Request for creating a new SAP number for a 3-Line, .25 in. OD x .049 in. wall thickness flatpack (with safety strip) with Red oil. Please see attached sheet for specifications.
This is a third party item.</t>
  </si>
  <si>
    <t>737804</t>
  </si>
  <si>
    <t>CHANGE DRG 315685-02-01 TO HAVE THE MIN WALL THICKNESS ADDED AND RUN OUT TOL TO THE SAME AS ON DRGS 315685-00-01- AND -01-01.</t>
  </si>
  <si>
    <t>737859</t>
  </si>
  <si>
    <t>M/N-593899 Drawing 313151-00-01 Rev.D and M/N-593901 Drawing 313152-00-01 Rev.C
Please update the End and Center Element drawings to reflect the approved dimensional deviations for Custom Rubber Products. Please reference attached deviations..</t>
  </si>
  <si>
    <t>ELEC - ROC Gauge Integration with MultiSAS for Petrobras
 - In order to support gauge installations for Petrobras, an integration has to be completed with the Multisas unit.  The steps will be as follows:
1.  Need a document to detail gauge communications, include waveforms
2.  Need a document to detail qualification/acceptance criteria
3.  Establish timeline assuming Transcontrol implement ROC protocol
4.  Vendor to complete work.
5.  Product qualification.
2011-01-13:  Transcontrol is currently reviewing specifications and will provide feedback and a quote.
2011-05-26:  Colin awaiting response from Transcontrol.  Will follow up.  Transcontrol is designing interface and this will be ready in December 2011.                                                                                                                 2011-08-23: We only need to provide a project plan to PETROBRAS along with preliminary testing results we have by Q1 2012 to qualify for upcoming tenders per Jim/Colin meeting in Brazil w/Transcontrol on 2011-07-27 
2011-10-24 WM Transcontrol is going to verify WD simulators to verify operation with their system followed by characterization.  James Flygare is in contact and provided the update.
2011-11-01  The logistics in bringing a unit to Spring may be time prohibitive.  Therefore a trip to Brazil may be required in the spring.
2011-12-05, MWS: TransControl Design to be completed by January 2012.  Qualification is targeted for February 2012.</t>
  </si>
  <si>
    <t>WellDynamics - Convert Flowmeter 9290-6559-HW1 from Sp/Cal 0-150c 10K ROC D to Sp/Cal 0-150c, 0-10,000psi ROC150.  Include BOM for mandrel level and gauge level with special quality HW1.
Customer:  Husky
Quality:  HW1
---------
2011-08-08 Weekly Meeting: Tech Revised date pushed to 8/26.
10/17/11 WM  Ckg should be complete 10/21 then to P Haines for Venturi review, back to Rameen for approval.
------
10/20/2011 ST - SENT BACK TO M. GUY FOR CORRECTIONS
------
11/1/2011 MG - Corrections complete, forwarded to Sam for checking.
11/2/2011 ST - SENT TO R. BAKHTIARY FOR APPROVAL
2011-11-28 WM:  To TSG today.
----
12/1/2011 RB - RTA must be returned to engineering &amp; demoted in order to meet new CWI standards/requirements (loading all solidworks models &amp; drawings)
2011-12-05, WM:  Updated completed per TSG requirements.  Going to TSG today.</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</si>
  <si>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
2011-11-01:  Conceptual design completed and sent out for review.  Intermediate design review scheduled for 11/3 to finalize the design and qualification process.
2011-12-05, MWS:  Design and drawings have been completed and reviewed.  Prototype units in process with an anticipated delivery date by the end of the year.  Mechanical seal testing on the gauge termination will be application to design.  Additional qualification through HALT will validate the updated connector assembly.</t>
  </si>
  <si>
    <t>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Design and drawings are complete.  Ready for approval.  RTA 733914 was submitted as an alternate.
2011-11-28, WM: Minor changes...then to approval by 11/30.
2011-12-05, WM:  RTA provided to Paul Haines for checking on 11/30.  Rameen to followup.  Need two days to approve once complete.</t>
  </si>
  <si>
    <t>DH Chemical Injection Mandrel 5.5 in Tenaris Blue
Same As: 9290-6554; TECHHOLD   MANDREL ASSEMBLY,5 1/2-20, VAM TOP
Except: Same as Reference 9290 6554, change:
Production Tubing: 7in 29lbs/ft; Tenaris Blue, or suitable thread to accomplish with technical requirements
Chemical Injection line: 1/4 OD as per Customer requirement.
Casing: 9 5/8in, 53.5ppf
Profile: R Profile 5.963in. 
Requirements: 2 x 1/4 check valve 50 Psi cracking pressure, 6000 Psi rupture disk with isolation sleeve.
Mandrel Max OD: 8.32in
Material: Super 13 Cr, 95MY, 22HRC. ESMA 134 3
Project Name: Cardon IV, Chemical Injection Mandrel with Isolations Sleeve
Special Quality Plan Required?: No
Material: (10) Super 13 CR 95 MY 22 HRC (ES-MA-134-3)
10/17/11 WM  Assign to James.  James to complete design circle today.
--------------
10/26/2011 RB - Sending email to d moe to forward to submitter. Design circle will not fit within customers requirements. Design circle has been attached (File: RTA 718220 - Sheet1.pdf). Waiting for customer response
2011-11-21, WM:  Design will not fit.  Dana to follow-up with submitter to discuss plan forward.
2011-12-05, WM:  Jim Flygare has assigned to Ahmed for clarification.  RTA needs to be placed into design hold by Dana.</t>
  </si>
  <si>
    <t>Same As: 9290-6603-SB2; GGE MDRL ASSY,3.5 INCH-9.2PPF,ROC--SB2
Except: Need Gauge ref: 9290-6603-SB2  /  101873003 with the following changes :
1 Change base material from 25 Cr to Super 13 Cr 110KSI.
2 Change to dual mandrel with splitter block and individual position sensor ref: Martin Staelens
-----
Tech Start Date is in the past
Project Name: Oseber sor F-08
Special Quality Plan Required?: SB2
Material: (11) Super 13 CR 110 MY 32 HRC (ES-MA-134-_)
10/17/11 WM  Position sensor module required by Electrical team.  Once complete mechanical design can be done.  125C target temp- must use ROC-M.  WDT diode must be changed.  Assign to Kenny Code C
2011-11-07, WM:  Design cannot be started until ROC-P desgin is established.
2011-11-28, WM:  ROC-P almost complete, design to begin this week.  Change assigment to Sam.
2011-11-21, WM:  ROC-P design complete, pending design review.  Once finalized, design will move forward.
2011-12-05, WM:  Design review completed on ROC-P last week.  Reassigned to James.  James is starting on mandrel design and should be complete by Wednesday.</t>
  </si>
  <si>
    <t>Customer has a requirment for 7 inch Chemical Injection Mandrel to fit inside 9.875 inch OD, 62.8 ppf casing.  Casing will be special drift to 8.582 inches.  Currently smallest ID in Completion is 5.75 inch through the Side Pocket Mandrel, so would prefer keep ID at least this size.  Need Feasability done ASAP (at a miniumum, a design circle) to determine if we can do this.  Need to have information back to customer for Wednesday, October 19, 2011 as they have a Management review meeting.
2011-10-12, Paul Anthony changed the requirements to increase the clearance by reducing the ID/OD a little.  As long as ID doesnt get smaller than 5.75in, see how much we could reduce the eccentric OD.  Also, would like to have the mandrel Box x Pin as opposed to Pin x Pin.
13Cr 80 MY Material per submitter email attached.  11/2/11 DM
2011-11-21, WM:  Sam sent request to submitter for approval.  Dana to review if approval has been received.
2011-11-28, WM:  Dana to follow up on approval from field.
2011-12-05, WM:  Additional requirements have been requested.  Jim to look into requested HAL design for preparation for conference call.  Sam to setup a conference call towards the end of the week.  Class updated to Class B.</t>
  </si>
  <si>
    <t>Same As: 9290-6664; FLOMETR GGE MDRL ASSY,4 1/2-15.1,QUAD RO
Except: 5.5 in 17lb FloStream Downhole Flow Meter, Tenaris Blue Box x Pin, one ROC150 dual sensor with 1 tbg upstream venturi and 1 downstream venturi and one ROC150 ported to annulus.  Application is a water injector, venturi sized according to info in attached worksheet.
Project Name: MR6 (M2A)
Special Quality Plan Required?: No
Material: (7) 13 CR 80 MY 22HRC (ES-MA-58-7)
Mating Infomation:
2011/11/28, WM:  Work beginning.
2011-12-05, WM:  Mandrel is a larger diameter so the venturi will need to be redesigned.  Rameen to review venturi flowmeter design.  Prior to checking review material with Dana to verify that an update has not been requested.  Notify Dana when checking is complete so VSF can be implemented.</t>
  </si>
  <si>
    <t>ICV   Same as SAP 101969572,
Except for: 
- no PSA 
- Flow Trim to be 311537-HCD (see attachment)
HAVING PROBLEMS PROMOTING VALVE DUE TO PROTOTYPE O-RING ASSEMBLY MODEL IN VALVE ASSEMBLY MODEL.  NEED DESIGNER/CAPE TO REVIEW THIS PLUS IT IS TIED TO NORTH BELT FACILITY (OEWUMI 03DEC11)</t>
  </si>
  <si>
    <t>Need Gauge ref: 9290-6595-SB2  / 101874030 with the following changes:1) Change base material from 25% Cr to Super 13% Cr 110KSI.2) Change to dual mandrel with splitter block and individual position sensor (ref: Martin Staelens)
Customer:  Statoil
Project:   Oseberg Sor F-8
Quality:   SB2
2011-11-07, WM:  Mandrel design cannot be completed until ROC-P design is completed.
2011-11-21, WM:  ROC-P design complete, pending design review.  Once finalized, design will move forward.  Dana to assign to Mark, Class B, due date 12/15.
2011-11-28, WM:  ROC-P almost complete, design to begin this week.  Change assigment to Sam.
2011-12-05, WM:  Design review completed on ROC-P last week.  Reassigned to James.  James is starting on mandrel design and should be complete by Wednesday.</t>
  </si>
  <si>
    <t>Revision to RTA 705274 11-17-2011:
Shell would like the same Flowmeter as below with a feed-through dual sensor gauge replacing one of the two dual sensor gauges...
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This design shall be nothing more than the already completed design replacing one gauge with a feedthru gauge.  The venturi assembly should stay the same.
2011-12-05, WM:  New gauge design in progress.  Mandrel design completed, drafting in progress.</t>
  </si>
  <si>
    <t>Need part number created for 4.5INCH ROC-150 annullus ported mandrel
Please refere to attached Tubing ported mandrel drawing 9290-2588RevA. The only difference would be to have the mandrel annulus ported.
2011-11-21, WM:  Dana to assign to James, Class B and review AIS date.
2011-12-05, WM:  Dana to review AIS date.  Desing in progress.</t>
  </si>
  <si>
    <t>Ref. 7in TLC assy (235AC2107000-SB2)
Except:
- threads to be 7in 29LB Vam Top Box x Pin
- material to be 13Cr
IN ENGINEERING FOR CHECKING. A. BERRET_12/02/2011 END
ENG. CHECK COMPLETED. FOLDER RETURNED TO P. JAMES_A. BERRET_12/05/2011)_END</t>
  </si>
  <si>
    <t>1:  SPLT=NA  Assign to Rameen, Class A. 12/5/11 DM</t>
  </si>
  <si>
    <t>2:  Assign to Rameen, Class A.</t>
  </si>
  <si>
    <t>3: SPLT=126  @@ Assign to Mark Class C.  8/22/2011 MS    2011-09-26, WM - Mandrel design completed, venturi outstanding.  FlowCalc software has been received for venturi design.  2011-10-03, WM:  On schedule.  Assigned to P Haines in Flow Control for Venturi design.  10/10/11 DM  Design review completed, notes attached to the RTA.  Due date updated per design review.  10/13/11 MS  AIS date changed to 2/15/12 due to customer demands.  See attached email.  10/18/11 DM Venturi design complete...M Guy completing design.  10/14/2011 PH: Checked &amp; returned to Mark for Venturi, X-over &amp; Fishing neck modifications. 10/24/11 DM  Design complete, headed into checking.  Paul Haines will check first, then Sam.  Date may pullin with FC help on approval. 10/31/11 MS. 10/31/2011 MG: DESIGN/DRAFTING complete &amp; passed back to Paul Haines for re-checking.  Minor changes...then to approval by 11/30.  11/28/11 DM</t>
  </si>
  <si>
    <t>4: SPLT=112  @@ Dana to follow-up on AIS date and obtain SPLT from manufacturing.  Assign to Mark, class C. 10/31/2011 MS Moved up priority per PMT discussion.  11/3/11 DM Added requirements document from submitter.  11/3/11 DM</t>
  </si>
  <si>
    <t>5:  SPLT=126  @@ Dana to assign to Mark, Class B.  11/21 DM</t>
  </si>
  <si>
    <t>6:  SPLT=120 @@ Assign to Aswin in WD3 8/22/11 DM Pushed AIS date due to attached email. 9/20/11 DM    2011-09-27, WM - The PAU already includes a car charger.  However, it does not have 4-20 mA outputs.  RTA was verbally reviewed between Matt and Robert and Robert would like them to use an XPIO if possible.  Dana needs to review the requirements with Robert/submitter and cancel if needed.  RTA work is on hold until then. Emailed submitter copying Robert and advised he consult R Smith to evaluate.  9/29/11 DM R Smith to contact field and discuss options.  10/10/11 DM  Dana to contact field to find out if they want to return existing PAU for modification (2 wks) or if they have time to order new (14 wks). Update AIS date.  10/24/11 DM.  Aswin to update assembly with additional card.  Existing part number ready for demand.  RTA will close  once Aswin finishes. Robert S to communicate with field to load demand.  11/28/11 DM</t>
  </si>
  <si>
    <t>7: SPLT=112 @@ Will submit design circle for review by submitter.  9/6/11 DM Field is planning to mfg in Alaska. J Flygare to discuss valid AIS date with submitter.  9/27/11 DM Proceeding per PLM instructions-see attached email.  9/30/11 DM  2011-10-03, WM:  Starting on design today.  Goal is to have to TSG by the end of the week.  Dana to review AIS date. Emailed submitter with design circle. Waiting for guidance from the field as the design circle does not work. Email attached. 10/4/11 DM  Submitter reviewing with customer and will reply with direction.  Placing in design hold until we hear back.  10/13/11 DM  Sent two new design circles to submitter for review and confirmation of new AIS date.  10/18/11 DM Dana to ck w/Jim Flygare for customer confirmation of design. 10/24/11  DM  Submitter is waiting for customer to return from Alaska for direction per J Flygare.  10/25/11 DM</t>
  </si>
  <si>
    <t>8: SPLT=98  @@ T Nilsen in Norway troubleshooting.  10/24/11 DM  Emailed submitter for AIS date.  10/26/11 DM  Modified AIS date per email from submitter.  10/27/11 DM Deleted AIS date per attached email from C McKay. 11/3/11 DM Software tested and accepted by customer.  RTA should close in the next couple of weeks.  11/14/11 DM  Aswin/Terje to revise and release software by end of week prior to RTA release.  11/28/11 DM</t>
  </si>
  <si>
    <t>9: SPLT=112 @@ See Colins attached email regarding design.  11/3/11 DM  Assign to Sam Class B  11/28/11 DM</t>
  </si>
  <si>
    <t>10: SPLT=112  @@ Assign to Sam Class B  11/28/11 DM</t>
  </si>
  <si>
    <t>11:  SPLT=126 @@ Emailed submitter re:  quality requirements and requirements doc.  9/29/11 DM Recd and attached requirements doc.  9/30/11 DM  2011-10-03, WM:  Jim and Matt to review requirements and outline plan.  ASIC tstg in progress, direction to be decided by end of Oct.  10/10/11 DM  Matt/Jim to determine course for position sensor.  Project kick-off scheduled for 10/27.  10/24/11 DM Emailed submitter to verify AIS date...see attached email.  11/3/11 DM  Revised AIS date per attached email from submitter.  11/16/11 DM  ROC-P almost complete, design to begin this week.  11/28/11 DM</t>
  </si>
  <si>
    <t>12: SPLT=126 @@ Electrical working on position sensor...mandrel design to follow. Matt/Jim deciding on design concepts presented by Aswin. 10/24/11 DM  Direction of ROC-M based module decided.  10/31/11 MS  Emailed submitter to verify AIS date...see attached email.  11/3/11 DM  Revised AIS date per attached email from submitter.  11/16/11 DM  ROC-P almost complete, design to begin this week.  11/28/11 DM</t>
  </si>
  <si>
    <t>13: SPLT=126 @@ Electrical working on position sensor...mandrel design to follow. Matt/Jim deciding on design concepts presented by Aswin. 10/24/11 DM  Direction of ROC-M based module decided.  10/31/11 MS  Emailed submitter to verify AIS date...see attached email.  11/3/11 DM  Revised AIS date per attached email from submitter.  11/16/11 DM  ROC-P almost complete, design to begin this week.  11/28/11 DM  Dana to assign to Sam, Class B, due date 12/19.  12/5/11 DM</t>
  </si>
  <si>
    <t>14: SPLT=112   Emailed submitter for design clarification. Will place in design hold if info is not provided by EOD 5/25.  5/24/11 DM No order pending.  In design- priority pushed to end of list.  6/1/11 DM 6/27/2011 - Design &amp; drawings complete to ROC-150 specification, forward to Rameen for checking. MG Emailed submitter and told him a this point SPLT pushed AIS date to Feb 2012.  Recd email in return stating that date will be fine at the moment. A McLauchlan and C Quinton will be meeting with customer in early October to finalize order. Email attached.  9/21/11 DM    2011-09-26, WM - Due to Kenny leaving, Sam will check and Rameen approve.  To cover any shortfalls, Rameen will have Paul James or Damon Trahan review prior to approval.  2011-10-03, WM:  On schedule. In checking.  10/10/11 DM  Spoke with A. McLauchlan after his return from region and we should have confirmation of AIS date 10/19.  10/18/11 DM Emailed C Quinton for AIS verfication following customer mtg.  10/25/11 DM  To TSG 11/28.  11/28/11 DM</t>
  </si>
  <si>
    <t>15: @@ SPLT=0 10/18 MWS - Originally submitted as a development, moved to customization.  Sam will update the design circle per the updated requirements. Emailed submitter re: ck vlv size, burst disk info, and metallurgy. Requested requirements document.  10/31/11 DM Recd requirements document from submitter.  11/1/11 DM  Emailed submitter for material requirements.  11/2/11 DM  Recd material requirement per attached email from submitter.  11/3/11 DM  Waiting for submitter to approve design circle.  11/23/11 DM Recd customer response with further questions. Forwarded to Sam.  12/2/2011  Review RTA code, AIS date, and SPLT.  12/5/11 DM</t>
  </si>
  <si>
    <t>16: SPLT=0 Emailed submitter re: Design Documenatation note in Order No field. Inquired as to whether he is asking for a design circle or complete design.  9/29/11 DM Response from submitter attached.  Design circle to begin with for award of project (competitor is providing drwg now and we need to do same to get the job) then complete design. 9/29/11 DM  2011-10-03, WM:  Assign to Sam, Class C, schedule lead time.  Design circle is needed immediately, complete can follow. Recd further clarification of requirements. Email attached. 10/13/11 DM Rameen and J Seale to speak with Phil regarding isolation sleeve and complete design circle asap.  10/24/11 DM Emailed submitter with design circle per attached email from Rameen. Waiting for response.  10/26/11 DM REcd response from submitter indicating he is forwarding questions to project leads for response.  10/27/11 DM  Design circle does not fit.  Awaiting clarification from submitter to proceed.  Dana to contact Juan Carlos to clarify scope and place RTA into DH. 10/31/11 MS  J Flygare following up with field for isolation sleeve info and other direction since the design circle did not work.  11/28/11 DM  Place RTA into design hold/  12/5/11 DM</t>
  </si>
  <si>
    <t>17: SPLT=126 2011-10-03, WM:  Assign to James, Class B, Standard lead time.  Dana to determine AIS date. Define requirement waiting for quality plan info from submitter.  10/5/2011 DM Recd quality info from submitter 10/10/11 DM AIS date confirmed by submitter. 10/18/11 DM  Moved AIS date per C McKays attached email.  10/25/11 DM</t>
  </si>
  <si>
    <t>18: SPLT=112  @@ Design must be completed by 4/25 to meet AIS date.  Emailed D Hickman regarding HAA quality identifier.  4/18/11 DM  Consignment stock for Esso Angola contract to replace Nova mandrels.  Mfg in Singapore in order to apply HAA quality plan.  4/20/11 DM Emailed submitter and additional notifiers for design clarification 4/25/11 DM Phone call between K Pham and R Pounds.  Design changing again due to casing ID restrictions.  M Guy to re-design and submit for review by submitter.  6/1/11 DM New design still does not work. Design review scheduled.  6/13/11 DM. Placing in design hold pending field response/design review 6/20/2011 DM.  2011-06-27, DM.  Placing on hold while development RTA is completed.    2011-07-05, Weekly Meeting:  RTA has been placed onto design hold until the PTI check valve configuration is qualified.  Available in stock date needs to be updated 7/12/2011 DM.  Dana to contact R Pounds to discuss AIS date. 2011-09-26, WM -Waiting on Esso to approve the currently submitted design. Paul has a meeting with Esso on Friday and will check the status of the design review.  Available in stock date will be pushed to February 28th which assumes engineering will receive final agreement to the design by October 15th and be able to complete the work by October 30th. See attached email.  9/29/11 DM  2011-10-03, WM:  Engineering has not heard back from submitter.</t>
  </si>
  <si>
    <t>19: SPLT=98  2011-10-03, WM:  Assign to James, Class B, standard lead time.  Dana to follow-up on AIS date. Emailed submitter for quality plan info. Email attached.  10/5/11 DM  Emailed submitter to verify completion date.  10/7/11 DM  Design complete, going to ckg. 10/10/11 DM Submitter has equipment to last through April and wants to order equipment for rest of year.  Email attached.  Moved AIS date to 5/1.  10/10/11 DM</t>
  </si>
  <si>
    <t>20: SPLT=126 @@ Emailed submitter for AIS date.  11/1/11 DM  Adding AIS date per attached email from submitter.  11/2/11 DM  Assign to Sam Class B  11/28/11 DM</t>
  </si>
  <si>
    <t>22: SPLT=126 Dana to contact T Taylor and confirm reasonable AIS date. CV needs to be developed and qualified then customization completed. CV strategy mtg planned for 8/17.  7/25/11 DM Placing on design hold until CV details are confirmed. Sent email to G. Greerwood to confirm AIS date.  9/20/11 DM Updated AIS date to 6/1 per submitter email...email attached.  9/20/11 DM  Chg from customization to development per Colins attached email.  10/12/11 DM  Matt to provide ck valve info to Lee.  11/28/11 DM</t>
  </si>
  <si>
    <t>23:  SPLT=126 Assign to Sam, Class B 10/31/11</t>
  </si>
  <si>
    <t>24:  SPLT=126 Assign to Sam, Class B 10/31/11</t>
  </si>
  <si>
    <t>25: SPLT=112 No order in place yet...Mfg in Livingston...Submitter will advise when order is in place for prioritization.  8/23/11 DM    2011-09-26, WM - James has almost completed design, estimated completion date 9/26.  Date no moved up due to higher priorities and dealyed requirement date.  2011-10-03, WM:  Going to approval today.  Due date not moved up due to low priority.</t>
  </si>
  <si>
    <t>27:  SPLT=112 @@ Assign to James, Class B and review AIS date.  11/21 DM  Review AIS date, submitted inside LT.  12/5/11 DM</t>
  </si>
  <si>
    <t>12/5/2011 Permanent Monitoring RTA Priorities List</t>
  </si>
  <si>
    <t>703289</t>
  </si>
  <si>
    <t>ELEC-UACU+ 10 Well, 24VDC Powered, Rack Mount
Same As: ASY-76897; TECHHOLD   76897 - UACU+ DC VERSION
Except: UACU+ for up to 10 wells, rackmounted, DC powered, 24VDC will be supplied
----
Tech Start Date is in the past
Project Name: Sepat Berantai
Special Quality Plan Required?: No
Material: (15) Other HES - Provide ES-MA callout
Mating Infomation:
11/07/11 WM - Work will not be started until December due to ROC position sensor taking priority.  11/07/11 AB</t>
  </si>
  <si>
    <t>26: SPLT= 154 Assign to Aswin Balasubramanian Code C.  Confirm AIS date with submitter.     8/15/11 DM Emailed field to confirm AIS date.  8/17/11 DM Pushing AIS date out because submitter confirmed they are going with an AC unit but still need design completed for upcoming PCSB project. Email from field attached. 8/25/11 DM Customer going with AC version.  Completing design for future use.  9/20/11 DM  2011-09-27, WM - RTA code changed to Code 6 because customer ordered the AC version for the immediate need.  RTA priority changed to 29.1.  Work will not be started until December due to ROC position sensor taking priority.  10/24/11 DM Pushed AIS date per PMT discussion. 11/3/11 DM</t>
  </si>
  <si>
    <t>738014</t>
  </si>
  <si>
    <t>SHFCP</t>
  </si>
  <si>
    <t>INJECTION LINE SEAMLESS
5/8 x .049, INC825, 3700m</t>
  </si>
  <si>
    <t>Emailed field for requirements document and AIS date.  12/5/11 DM</t>
  </si>
  <si>
    <t>738008</t>
  </si>
  <si>
    <t>KOC</t>
  </si>
  <si>
    <t>Need to modify junction boxes to alleviate space issues as well as conform to customer requests.</t>
  </si>
  <si>
    <t>pm</t>
  </si>
  <si>
    <t>ELEC MN 102094512, 102094513, 102094514, 102094476 NEED TO HAVE SUMMIT ELECTRIC SUPPLY ADDED TO THE MANUFACTURERS SPEC SHEET.
MN 102095963 NEEDS TO HAVE INDUSTRIAL EQUIPMENT ADDED TO THE MANUFACTURERS SPEC SHEET (PER K. PEGODA SEE ATTACHED EMAIL).
2011-11-21 WM The MFG SPEC will be updated with a secondary source.
2011-12-05 WM: The MFG SPEC will be updated and released by 2011-12-16.</t>
  </si>
  <si>
    <t>ELEC  WE ARE LOOKING TO EXPAND OUR SUPPLIERS FOR THE DIFFERENT TYPES OF CARDS WE PURCHASE. IN ORDER TO DO SO, WE NEED THE APPROVED MANUFACTURERS NAME AND PART NUMBER BILLED OUT IN THE COMPONENT LIST OF EACH OF THE PART NUMBERS LISTED: 613757, 596972, 613754, 613758, 101848369 (SEE ATTACHED EMAIL).
2011-12-05 WM: The RTA will be placed in WIP.  Work will be started next week.  A kick off meeting to identify the scope will be scheduled for 2011-12-12.</t>
  </si>
  <si>
    <t>ELEC RTA TO CREATE TEMPLATE FOR AMS PM GAUGE INTEGRATIONS
2011-11-21 WM Work has been started and templates are under review.  The project plan will be updated to reflect RTA number.
2011-12-05 WM: The RTA will be picked back up after ROC-P and Woodside requirements are met.</t>
  </si>
</sst>
</file>

<file path=xl/styles.xml><?xml version="1.0" encoding="utf-8"?>
<styleSheet xmlns="http://schemas.openxmlformats.org/spreadsheetml/2006/main" xmlns:mc="http://schemas.openxmlformats.org/markup-compatibility/2006" xmlns:x14ac="http://schemas.microsoft.com/office/spreadsheetml/2009/9/ac" mc:Ignorable="x14ac">
  <fonts count="32">
    <font>
      <sz val="11"/>
      <color theme="1"/>
      <name val="Arial"/>
      <family val="2"/>
    </font>
    <font>
      <b/>
      <sz val="11"/>
      <color theme="1"/>
      <name val="Arial"/>
      <family val="2"/>
    </font>
    <font>
      <sz val="18"/>
      <color theme="1"/>
      <name val="Vineta BT"/>
      <family val="5"/>
    </font>
    <font>
      <sz val="12"/>
      <color theme="1"/>
      <name val="Arial"/>
      <family val="2"/>
    </font>
    <font>
      <sz val="24"/>
      <color theme="1"/>
      <name val="Vineta BT"/>
      <family val="5"/>
    </font>
    <font>
      <b/>
      <sz val="18"/>
      <color theme="0"/>
      <name val="Arial"/>
      <family val="2"/>
    </font>
    <font>
      <b/>
      <sz val="16"/>
      <color theme="0"/>
      <name val="Arial"/>
      <family val="2"/>
    </font>
    <font>
      <b/>
      <sz val="12"/>
      <color theme="1"/>
      <name val="Arial"/>
      <family val="2"/>
    </font>
    <font>
      <b/>
      <sz val="11"/>
      <color theme="0"/>
      <name val="Arial"/>
      <family val="2"/>
    </font>
    <font>
      <b/>
      <sz val="10"/>
      <color theme="1"/>
      <name val="Arial"/>
      <family val="2"/>
    </font>
    <font>
      <sz val="11.5"/>
      <color theme="1"/>
      <name val="Arial"/>
      <family val="2"/>
    </font>
    <font>
      <sz val="16"/>
      <color theme="1"/>
      <name val="Vineta BT"/>
      <family val="5"/>
    </font>
    <font>
      <b/>
      <sz val="14"/>
      <color theme="1"/>
      <name val="Arial"/>
      <family val="2"/>
    </font>
    <font>
      <sz val="11"/>
      <color theme="0" tint="-0.249977111117893"/>
      <name val="Arial"/>
      <family val="2"/>
    </font>
    <font>
      <b/>
      <sz val="11"/>
      <color theme="0" tint="-0.249977111117893"/>
      <name val="Arial"/>
      <family val="2"/>
    </font>
    <font>
      <sz val="11"/>
      <color theme="1"/>
      <name val="Arial"/>
      <family val="2"/>
    </font>
    <font>
      <b/>
      <sz val="18"/>
      <color rgb="FFFF0000"/>
      <name val="Arial"/>
      <family val="2"/>
    </font>
    <font>
      <b/>
      <sz val="11.5"/>
      <color theme="1"/>
      <name val="Arial"/>
      <family val="2"/>
    </font>
    <font>
      <sz val="11"/>
      <name val="Arial"/>
      <family val="2"/>
    </font>
    <font>
      <sz val="12"/>
      <color theme="1"/>
      <name val="Century Gothic"/>
      <family val="2"/>
    </font>
    <font>
      <sz val="14"/>
      <color theme="1"/>
      <name val="Century Gothic"/>
      <family val="2"/>
    </font>
    <font>
      <sz val="11"/>
      <color theme="0"/>
      <name val="Century Gothic"/>
      <family val="2"/>
    </font>
    <font>
      <sz val="10"/>
      <color theme="0"/>
      <name val="Century Gothic"/>
      <family val="2"/>
    </font>
    <font>
      <sz val="11"/>
      <color theme="1"/>
      <name val="Century Gothic"/>
      <family val="2"/>
    </font>
    <font>
      <sz val="11"/>
      <color theme="0" tint="-0.499984740745262"/>
      <name val="Arial"/>
      <family val="2"/>
    </font>
    <font>
      <sz val="11"/>
      <color theme="1" tint="0.499984740745262"/>
      <name val="Arial"/>
      <family val="2"/>
    </font>
    <font>
      <b/>
      <sz val="26"/>
      <color theme="1" tint="0.34998626667073579"/>
      <name val="Arial"/>
      <family val="2"/>
    </font>
    <font>
      <sz val="11"/>
      <color theme="1" tint="0.34998626667073579"/>
      <name val="Arial"/>
      <family val="2"/>
    </font>
    <font>
      <b/>
      <sz val="14"/>
      <color theme="1" tint="0.34998626667073579"/>
      <name val="Arial"/>
      <family val="2"/>
    </font>
    <font>
      <b/>
      <sz val="11"/>
      <color theme="1" tint="0.34998626667073579"/>
      <name val="Arial"/>
      <family val="2"/>
    </font>
    <font>
      <sz val="11"/>
      <color theme="1"/>
      <name val="Century Gothic"/>
    </font>
    <font>
      <sz val="12"/>
      <color theme="0"/>
      <name val="Century Gothic"/>
      <family val="2"/>
    </font>
  </fonts>
  <fills count="12">
    <fill>
      <patternFill patternType="none"/>
    </fill>
    <fill>
      <patternFill patternType="gray125"/>
    </fill>
    <fill>
      <patternFill patternType="solid">
        <fgColor rgb="FFFFFF00"/>
        <bgColor indexed="64"/>
      </patternFill>
    </fill>
    <fill>
      <patternFill patternType="solid">
        <fgColor theme="3" tint="0.39997558519241921"/>
        <bgColor indexed="64"/>
      </patternFill>
    </fill>
    <fill>
      <patternFill patternType="solid">
        <fgColor theme="1" tint="0.499984740745262"/>
        <bgColor indexed="64"/>
      </patternFill>
    </fill>
    <fill>
      <patternFill patternType="solid">
        <fgColor theme="3" tint="0.79998168889431442"/>
        <bgColor indexed="64"/>
      </patternFill>
    </fill>
    <fill>
      <patternFill patternType="mediumGray">
        <fgColor auto="1"/>
        <bgColor theme="1" tint="0.34998626667073579"/>
      </patternFill>
    </fill>
    <fill>
      <patternFill patternType="solid">
        <fgColor rgb="FFFFFFA3"/>
        <bgColor indexed="64"/>
      </patternFill>
    </fill>
    <fill>
      <patternFill patternType="solid">
        <fgColor theme="0"/>
        <bgColor indexed="64"/>
      </patternFill>
    </fill>
    <fill>
      <patternFill patternType="solid">
        <fgColor rgb="FF5B9CD7"/>
        <bgColor indexed="64"/>
      </patternFill>
    </fill>
    <fill>
      <patternFill patternType="solid">
        <fgColor theme="0" tint="-0.14999847407452621"/>
        <bgColor indexed="64"/>
      </patternFill>
    </fill>
    <fill>
      <patternFill patternType="solid">
        <fgColor rgb="FFE8E8E8"/>
        <bgColor indexed="64"/>
      </patternFill>
    </fill>
  </fills>
  <borders count="54">
    <border>
      <left/>
      <right/>
      <top/>
      <bottom/>
      <diagonal/>
    </border>
    <border>
      <left style="thick">
        <color auto="1"/>
      </left>
      <right style="double">
        <color auto="1"/>
      </right>
      <top style="thick">
        <color auto="1"/>
      </top>
      <bottom/>
      <diagonal/>
    </border>
    <border>
      <left style="thick">
        <color auto="1"/>
      </left>
      <right style="double">
        <color auto="1"/>
      </right>
      <top/>
      <bottom/>
      <diagonal/>
    </border>
    <border>
      <left style="thick">
        <color auto="1"/>
      </left>
      <right style="double">
        <color auto="1"/>
      </right>
      <top/>
      <bottom style="thick">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n">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n">
        <color auto="1"/>
      </left>
      <right style="thin">
        <color auto="1"/>
      </right>
      <top style="thin">
        <color auto="1"/>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thin">
        <color auto="1"/>
      </right>
      <top style="thick">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thick">
        <color auto="1"/>
      </bottom>
      <diagonal/>
    </border>
    <border>
      <left style="double">
        <color auto="1"/>
      </left>
      <right style="medium">
        <color auto="1"/>
      </right>
      <top style="thick">
        <color auto="1"/>
      </top>
      <bottom/>
      <diagonal/>
    </border>
    <border>
      <left style="double">
        <color auto="1"/>
      </left>
      <right style="medium">
        <color auto="1"/>
      </right>
      <top/>
      <bottom/>
      <diagonal/>
    </border>
    <border>
      <left style="double">
        <color auto="1"/>
      </left>
      <right style="medium">
        <color auto="1"/>
      </right>
      <top/>
      <bottom style="thick">
        <color auto="1"/>
      </bottom>
      <diagonal/>
    </border>
    <border>
      <left/>
      <right style="thick">
        <color auto="1"/>
      </right>
      <top/>
      <bottom/>
      <diagonal/>
    </border>
    <border>
      <left/>
      <right/>
      <top/>
      <bottom style="thick">
        <color auto="1"/>
      </bottom>
      <diagonal/>
    </border>
    <border>
      <left/>
      <right style="thick">
        <color auto="1"/>
      </right>
      <top/>
      <bottom style="thick">
        <color auto="1"/>
      </bottom>
      <diagonal/>
    </border>
    <border>
      <left/>
      <right/>
      <top style="thick">
        <color auto="1"/>
      </top>
      <bottom/>
      <diagonal/>
    </border>
    <border>
      <left style="thick">
        <color auto="1"/>
      </left>
      <right/>
      <top style="thick">
        <color auto="1"/>
      </top>
      <bottom/>
      <diagonal/>
    </border>
    <border>
      <left/>
      <right style="thick">
        <color auto="1"/>
      </right>
      <top style="thick">
        <color auto="1"/>
      </top>
      <bottom/>
      <diagonal/>
    </border>
    <border>
      <left style="thin">
        <color auto="1"/>
      </left>
      <right/>
      <top style="thin">
        <color auto="1"/>
      </top>
      <bottom/>
      <diagonal/>
    </border>
    <border>
      <left/>
      <right/>
      <top style="thin">
        <color auto="1"/>
      </top>
      <bottom/>
      <diagonal/>
    </border>
    <border>
      <left/>
      <right style="thick">
        <color auto="1"/>
      </right>
      <top style="thin">
        <color auto="1"/>
      </top>
      <bottom/>
      <diagonal/>
    </border>
    <border>
      <left style="thin">
        <color auto="1"/>
      </left>
      <right/>
      <top/>
      <bottom style="thick">
        <color auto="1"/>
      </bottom>
      <diagonal/>
    </border>
    <border>
      <left/>
      <right/>
      <top style="double">
        <color auto="1"/>
      </top>
      <bottom/>
      <diagonal/>
    </border>
    <border>
      <left/>
      <right style="thick">
        <color auto="1"/>
      </right>
      <top style="thick">
        <color auto="1"/>
      </top>
      <bottom style="double">
        <color auto="1"/>
      </bottom>
      <diagonal/>
    </border>
    <border>
      <left/>
      <right/>
      <top style="thick">
        <color auto="1"/>
      </top>
      <bottom style="double">
        <color auto="1"/>
      </bottom>
      <diagonal/>
    </border>
    <border>
      <left style="thick">
        <color auto="1"/>
      </left>
      <right/>
      <top style="thick">
        <color auto="1"/>
      </top>
      <bottom style="double">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style="thick">
        <color auto="1"/>
      </right>
      <top/>
      <bottom style="thin">
        <color auto="1"/>
      </bottom>
      <diagonal/>
    </border>
    <border>
      <left style="thick">
        <color indexed="64"/>
      </left>
      <right style="thick">
        <color indexed="64"/>
      </right>
      <top style="thick">
        <color indexed="64"/>
      </top>
      <bottom style="thick">
        <color indexed="64"/>
      </bottom>
      <diagonal/>
    </border>
    <border>
      <left/>
      <right style="thin">
        <color indexed="64"/>
      </right>
      <top/>
      <bottom/>
      <diagonal/>
    </border>
    <border>
      <left style="thick">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auto="1"/>
      </right>
      <top style="thin">
        <color indexed="64"/>
      </top>
      <bottom/>
      <diagonal/>
    </border>
    <border>
      <left style="thin">
        <color indexed="64"/>
      </left>
      <right style="thin">
        <color auto="1"/>
      </right>
      <top/>
      <bottom/>
      <diagonal/>
    </border>
    <border>
      <left/>
      <right style="thin">
        <color indexed="64"/>
      </right>
      <top style="thin">
        <color auto="1"/>
      </top>
      <bottom/>
      <diagonal/>
    </border>
    <border>
      <left style="thin">
        <color theme="0"/>
      </left>
      <right style="thin">
        <color theme="0"/>
      </right>
      <top/>
      <bottom/>
      <diagonal/>
    </border>
    <border>
      <left style="thin">
        <color theme="0"/>
      </left>
      <right style="thick">
        <color theme="0"/>
      </right>
      <top/>
      <bottom/>
      <diagonal/>
    </border>
    <border>
      <left/>
      <right style="thin">
        <color theme="0"/>
      </right>
      <top/>
      <bottom/>
      <diagonal/>
    </border>
    <border>
      <left style="thin">
        <color theme="0"/>
      </left>
      <right style="thin">
        <color theme="0"/>
      </right>
      <top/>
      <bottom style="thin">
        <color theme="0"/>
      </bottom>
      <diagonal/>
    </border>
    <border>
      <left/>
      <right style="thin">
        <color theme="0"/>
      </right>
      <top/>
      <bottom style="thin">
        <color theme="0"/>
      </bottom>
      <diagonal/>
    </border>
    <border>
      <left style="thin">
        <color theme="0"/>
      </left>
      <right style="thin">
        <color indexed="64"/>
      </right>
      <top/>
      <bottom/>
      <diagonal/>
    </border>
    <border>
      <left/>
      <right/>
      <top/>
      <bottom style="thin">
        <color theme="0"/>
      </bottom>
      <diagonal/>
    </border>
    <border>
      <left/>
      <right/>
      <top style="thin">
        <color theme="0"/>
      </top>
      <bottom style="thin">
        <color theme="0"/>
      </bottom>
      <diagonal/>
    </border>
    <border>
      <left/>
      <right/>
      <top style="thin">
        <color theme="0"/>
      </top>
      <bottom/>
      <diagonal/>
    </border>
    <border>
      <left/>
      <right style="thin">
        <color theme="0" tint="-0.499984740745262"/>
      </right>
      <top/>
      <bottom style="thin">
        <color theme="0"/>
      </bottom>
      <diagonal/>
    </border>
    <border>
      <left/>
      <right style="thin">
        <color theme="0" tint="-0.499984740745262"/>
      </right>
      <top style="thin">
        <color theme="0"/>
      </top>
      <bottom style="thin">
        <color theme="0"/>
      </bottom>
      <diagonal/>
    </border>
    <border>
      <left/>
      <right style="thin">
        <color theme="0" tint="-0.499984740745262"/>
      </right>
      <top style="thin">
        <color theme="0"/>
      </top>
      <bottom/>
      <diagonal/>
    </border>
  </borders>
  <cellStyleXfs count="1">
    <xf numFmtId="0" fontId="0" fillId="0" borderId="0"/>
  </cellStyleXfs>
  <cellXfs count="168">
    <xf numFmtId="0" fontId="0" fillId="0" borderId="0" xfId="0"/>
    <xf numFmtId="0" fontId="0" fillId="4" borderId="0" xfId="0" applyFill="1"/>
    <xf numFmtId="0" fontId="0" fillId="0" borderId="0" xfId="0" applyBorder="1" applyAlignment="1">
      <alignment horizontal="center" vertical="center" wrapText="1"/>
    </xf>
    <xf numFmtId="0" fontId="3" fillId="0" borderId="0" xfId="0" applyFont="1" applyBorder="1" applyAlignment="1">
      <alignment horizontal="center" vertical="center" wrapText="1"/>
    </xf>
    <xf numFmtId="0" fontId="0" fillId="4" borderId="0" xfId="0" applyFill="1" applyAlignment="1">
      <alignment horizontal="center" vertical="center" wrapText="1"/>
    </xf>
    <xf numFmtId="0" fontId="0" fillId="4" borderId="0" xfId="0" applyFill="1" applyBorder="1" applyAlignment="1">
      <alignment horizontal="center" vertical="center" wrapText="1"/>
    </xf>
    <xf numFmtId="0" fontId="0" fillId="4" borderId="0" xfId="0" applyFill="1" applyAlignment="1">
      <alignment wrapText="1"/>
    </xf>
    <xf numFmtId="0" fontId="1" fillId="4" borderId="0" xfId="0" applyFont="1" applyFill="1" applyAlignment="1">
      <alignment horizontal="center" vertical="center" wrapText="1"/>
    </xf>
    <xf numFmtId="0" fontId="3" fillId="4" borderId="0" xfId="0" applyFont="1" applyFill="1" applyAlignment="1">
      <alignment horizontal="center" vertical="center" wrapText="1"/>
    </xf>
    <xf numFmtId="0" fontId="0" fillId="4" borderId="0" xfId="0" applyFill="1" applyBorder="1" applyAlignment="1">
      <alignment wrapText="1"/>
    </xf>
    <xf numFmtId="0" fontId="0" fillId="4" borderId="0" xfId="0" applyFont="1" applyFill="1" applyAlignment="1">
      <alignment wrapText="1"/>
    </xf>
    <xf numFmtId="0" fontId="0" fillId="4" borderId="0" xfId="0" applyFont="1" applyFill="1" applyAlignment="1">
      <alignment horizontal="center" vertical="center" wrapText="1"/>
    </xf>
    <xf numFmtId="0" fontId="0" fillId="0" borderId="0" xfId="0" applyFont="1" applyFill="1" applyBorder="1" applyAlignment="1">
      <alignment horizontal="center" vertical="center" wrapText="1"/>
    </xf>
    <xf numFmtId="0" fontId="6" fillId="3" borderId="28" xfId="0" applyFont="1" applyFill="1" applyBorder="1" applyAlignment="1">
      <alignment horizontal="center" vertical="center" wrapText="1"/>
    </xf>
    <xf numFmtId="0" fontId="7" fillId="0" borderId="28" xfId="0" applyFont="1" applyBorder="1" applyAlignment="1">
      <alignment horizontal="center" vertical="center" wrapText="1"/>
    </xf>
    <xf numFmtId="0" fontId="7" fillId="0" borderId="28" xfId="0" applyFont="1" applyFill="1" applyBorder="1" applyAlignment="1">
      <alignment horizontal="center" vertical="center" wrapText="1"/>
    </xf>
    <xf numFmtId="0" fontId="7" fillId="0" borderId="28" xfId="0" applyFont="1" applyBorder="1" applyAlignment="1">
      <alignment horizontal="center" vertical="center"/>
    </xf>
    <xf numFmtId="0" fontId="9" fillId="5" borderId="12" xfId="0" applyFont="1" applyFill="1" applyBorder="1" applyAlignment="1">
      <alignment horizontal="center" vertical="center"/>
    </xf>
    <xf numFmtId="0" fontId="9" fillId="5" borderId="4" xfId="0" applyFont="1" applyFill="1" applyBorder="1" applyAlignment="1">
      <alignment horizontal="center" vertical="center"/>
    </xf>
    <xf numFmtId="0" fontId="9" fillId="5" borderId="5" xfId="0" applyFont="1" applyFill="1" applyBorder="1" applyAlignment="1">
      <alignment horizontal="center" vertical="center"/>
    </xf>
    <xf numFmtId="0" fontId="9" fillId="5" borderId="13" xfId="0" applyFont="1" applyFill="1" applyBorder="1" applyAlignment="1">
      <alignment horizontal="center" vertical="center"/>
    </xf>
    <xf numFmtId="0" fontId="9" fillId="5" borderId="6" xfId="0" applyFont="1" applyFill="1" applyBorder="1" applyAlignment="1">
      <alignment horizontal="center" vertical="center"/>
    </xf>
    <xf numFmtId="0" fontId="9" fillId="5" borderId="7" xfId="0" applyFont="1" applyFill="1" applyBorder="1" applyAlignment="1">
      <alignment horizontal="center" vertical="center"/>
    </xf>
    <xf numFmtId="0" fontId="9" fillId="5" borderId="14" xfId="0" applyFont="1" applyFill="1" applyBorder="1" applyAlignment="1">
      <alignment horizontal="center" vertical="center"/>
    </xf>
    <xf numFmtId="0" fontId="9" fillId="5" borderId="8" xfId="0" applyFont="1" applyFill="1" applyBorder="1" applyAlignment="1">
      <alignment horizontal="center" vertical="center"/>
    </xf>
    <xf numFmtId="0" fontId="8" fillId="3" borderId="15" xfId="0" applyFont="1" applyFill="1" applyBorder="1" applyAlignment="1">
      <alignment horizontal="right" vertical="center"/>
    </xf>
    <xf numFmtId="0" fontId="8" fillId="3" borderId="16" xfId="0" applyFont="1" applyFill="1" applyBorder="1" applyAlignment="1">
      <alignment horizontal="right" vertical="center"/>
    </xf>
    <xf numFmtId="0" fontId="8" fillId="3" borderId="17" xfId="0" applyFont="1" applyFill="1" applyBorder="1" applyAlignment="1">
      <alignment horizontal="right" vertical="center"/>
    </xf>
    <xf numFmtId="0" fontId="9" fillId="6" borderId="24" xfId="0" applyFont="1" applyFill="1" applyBorder="1" applyAlignment="1">
      <alignment horizontal="center" vertical="center"/>
    </xf>
    <xf numFmtId="0" fontId="9" fillId="6" borderId="25" xfId="0" applyFont="1" applyFill="1" applyBorder="1" applyAlignment="1">
      <alignment horizontal="center" vertical="center"/>
    </xf>
    <xf numFmtId="0" fontId="9" fillId="6" borderId="26" xfId="0" applyFont="1" applyFill="1" applyBorder="1" applyAlignment="1">
      <alignment horizontal="center" vertical="center"/>
    </xf>
    <xf numFmtId="0" fontId="9" fillId="6" borderId="27" xfId="0" applyFont="1" applyFill="1" applyBorder="1" applyAlignment="1">
      <alignment horizontal="center" vertical="center"/>
    </xf>
    <xf numFmtId="0" fontId="9" fillId="6" borderId="19" xfId="0" applyFont="1" applyFill="1" applyBorder="1" applyAlignment="1">
      <alignment horizontal="center" vertical="center"/>
    </xf>
    <xf numFmtId="0" fontId="9" fillId="6" borderId="20" xfId="0" applyFont="1" applyFill="1" applyBorder="1" applyAlignment="1">
      <alignment horizontal="center" vertical="center"/>
    </xf>
    <xf numFmtId="0" fontId="0" fillId="0" borderId="0" xfId="0" applyFill="1" applyBorder="1" applyAlignment="1">
      <alignment horizontal="center" vertical="center" wrapText="1"/>
    </xf>
    <xf numFmtId="0" fontId="9" fillId="6" borderId="0" xfId="0" applyFont="1" applyFill="1" applyBorder="1" applyAlignment="1">
      <alignment horizontal="center" vertical="center"/>
    </xf>
    <xf numFmtId="0" fontId="9" fillId="6" borderId="18" xfId="0" applyFont="1" applyFill="1" applyBorder="1" applyAlignment="1">
      <alignment horizontal="center" vertical="center"/>
    </xf>
    <xf numFmtId="1" fontId="9" fillId="5" borderId="13" xfId="0" applyNumberFormat="1" applyFont="1" applyFill="1" applyBorder="1" applyAlignment="1">
      <alignment horizontal="center" vertical="center"/>
    </xf>
    <xf numFmtId="1" fontId="9" fillId="5" borderId="6" xfId="0" applyNumberFormat="1" applyFont="1" applyFill="1" applyBorder="1" applyAlignment="1">
      <alignment horizontal="center" vertical="center"/>
    </xf>
    <xf numFmtId="1" fontId="9" fillId="5" borderId="14" xfId="0" applyNumberFormat="1" applyFont="1" applyFill="1" applyBorder="1" applyAlignment="1">
      <alignment horizontal="center" vertical="center"/>
    </xf>
    <xf numFmtId="1" fontId="9" fillId="5" borderId="8" xfId="0" applyNumberFormat="1" applyFont="1" applyFill="1" applyBorder="1" applyAlignment="1">
      <alignment horizontal="center" vertical="center"/>
    </xf>
    <xf numFmtId="0" fontId="9" fillId="5" borderId="32" xfId="0" applyFont="1" applyFill="1" applyBorder="1" applyAlignment="1">
      <alignment horizontal="center" vertical="center"/>
    </xf>
    <xf numFmtId="0" fontId="9" fillId="5" borderId="33" xfId="0" applyFont="1" applyFill="1" applyBorder="1" applyAlignment="1">
      <alignment horizontal="center" vertical="center"/>
    </xf>
    <xf numFmtId="0" fontId="9" fillId="5" borderId="34" xfId="0" applyFont="1" applyFill="1" applyBorder="1" applyAlignment="1">
      <alignment horizontal="center" vertical="center"/>
    </xf>
    <xf numFmtId="0" fontId="0" fillId="0" borderId="0" xfId="0" applyAlignment="1">
      <alignment wrapText="1"/>
    </xf>
    <xf numFmtId="14" fontId="0" fillId="0" borderId="0" xfId="0" applyNumberFormat="1" applyAlignment="1">
      <alignment wrapText="1"/>
    </xf>
    <xf numFmtId="0" fontId="0" fillId="0" borderId="0" xfId="0" applyAlignment="1">
      <alignment horizontal="center" vertical="center" wrapText="1"/>
    </xf>
    <xf numFmtId="0" fontId="0" fillId="0" borderId="0" xfId="0" applyAlignment="1">
      <alignment horizontal="left" wrapText="1"/>
    </xf>
    <xf numFmtId="0" fontId="0" fillId="2" borderId="0" xfId="0" applyFill="1" applyAlignment="1">
      <alignment horizontal="center" vertical="center" wrapText="1"/>
    </xf>
    <xf numFmtId="14" fontId="0" fillId="2" borderId="0" xfId="0" applyNumberFormat="1" applyFill="1" applyAlignment="1">
      <alignment horizontal="center" vertical="center" wrapText="1"/>
    </xf>
    <xf numFmtId="0" fontId="0" fillId="7" borderId="0" xfId="0" applyFill="1" applyAlignment="1">
      <alignment wrapText="1"/>
    </xf>
    <xf numFmtId="0" fontId="15" fillId="0" borderId="0" xfId="0" applyFont="1" applyFill="1" applyAlignment="1">
      <alignment horizontal="center" vertical="center" wrapText="1"/>
    </xf>
    <xf numFmtId="0" fontId="0" fillId="0" borderId="0" xfId="0" applyFont="1" applyFill="1" applyAlignment="1">
      <alignment horizontal="center" vertical="center" wrapText="1"/>
    </xf>
    <xf numFmtId="0" fontId="12" fillId="0" borderId="0" xfId="0" applyFont="1" applyAlignment="1">
      <alignment horizontal="center" vertical="top" wrapText="1"/>
    </xf>
    <xf numFmtId="0" fontId="0" fillId="0" borderId="0" xfId="0" applyAlignment="1">
      <alignment horizontal="center" vertical="top" wrapText="1"/>
    </xf>
    <xf numFmtId="0" fontId="0" fillId="0" borderId="0" xfId="0" applyBorder="1" applyAlignment="1">
      <alignment horizontal="center" vertical="top" wrapText="1"/>
    </xf>
    <xf numFmtId="14" fontId="0" fillId="0" borderId="0" xfId="0" applyNumberFormat="1" applyBorder="1" applyAlignment="1">
      <alignment horizontal="center" vertical="top" wrapText="1"/>
    </xf>
    <xf numFmtId="0" fontId="18" fillId="8" borderId="0" xfId="0" applyFont="1" applyFill="1" applyProtection="1"/>
    <xf numFmtId="14" fontId="18" fillId="8" borderId="0" xfId="0" applyNumberFormat="1" applyFont="1" applyFill="1" applyProtection="1"/>
    <xf numFmtId="0" fontId="0" fillId="8" borderId="0" xfId="0" applyFill="1" applyProtection="1"/>
    <xf numFmtId="14" fontId="0" fillId="8" borderId="0" xfId="0" applyNumberFormat="1" applyFill="1" applyProtection="1"/>
    <xf numFmtId="14" fontId="0" fillId="8" borderId="0" xfId="0" applyNumberFormat="1" applyFill="1" applyBorder="1" applyProtection="1"/>
    <xf numFmtId="0" fontId="18" fillId="8" borderId="40" xfId="0" applyFont="1" applyFill="1" applyBorder="1" applyProtection="1"/>
    <xf numFmtId="0" fontId="0" fillId="8" borderId="40" xfId="0" applyFill="1" applyBorder="1" applyProtection="1"/>
    <xf numFmtId="0" fontId="0" fillId="8" borderId="39" xfId="0" applyFill="1" applyBorder="1" applyProtection="1"/>
    <xf numFmtId="0" fontId="10" fillId="8" borderId="0" xfId="0" applyFont="1" applyFill="1" applyBorder="1" applyAlignment="1" applyProtection="1">
      <alignment horizontal="center" vertical="center"/>
      <protection locked="0"/>
    </xf>
    <xf numFmtId="0" fontId="0" fillId="8" borderId="0" xfId="0" applyFont="1" applyFill="1" applyProtection="1">
      <protection locked="0"/>
    </xf>
    <xf numFmtId="0" fontId="0" fillId="8" borderId="0" xfId="0" applyFont="1" applyFill="1" applyAlignment="1" applyProtection="1">
      <alignment vertical="center"/>
      <protection locked="0"/>
    </xf>
    <xf numFmtId="0" fontId="0" fillId="8" borderId="0" xfId="0" applyFont="1" applyFill="1" applyAlignment="1" applyProtection="1">
      <alignment horizontal="center" vertical="center"/>
      <protection locked="0"/>
    </xf>
    <xf numFmtId="14" fontId="0" fillId="8" borderId="0" xfId="0" applyNumberFormat="1" applyFont="1" applyFill="1" applyProtection="1">
      <protection locked="0"/>
    </xf>
    <xf numFmtId="0" fontId="0" fillId="8" borderId="0" xfId="0" applyFont="1" applyFill="1"/>
    <xf numFmtId="0" fontId="1" fillId="8" borderId="0" xfId="0" applyFont="1" applyFill="1" applyProtection="1">
      <protection locked="0"/>
    </xf>
    <xf numFmtId="0" fontId="20" fillId="10" borderId="38" xfId="0" applyFont="1" applyFill="1" applyBorder="1" applyAlignment="1" applyProtection="1">
      <alignment horizontal="center" vertical="center"/>
    </xf>
    <xf numFmtId="0" fontId="21" fillId="9" borderId="42" xfId="0" applyFont="1" applyFill="1" applyBorder="1" applyAlignment="1">
      <alignment horizontal="center" vertical="center" wrapText="1"/>
    </xf>
    <xf numFmtId="0" fontId="13" fillId="8" borderId="0" xfId="0" applyFont="1" applyFill="1"/>
    <xf numFmtId="0" fontId="14" fillId="8" borderId="0" xfId="0" applyFont="1" applyFill="1"/>
    <xf numFmtId="0" fontId="13" fillId="8" borderId="0" xfId="0" applyFont="1" applyFill="1" applyAlignment="1">
      <alignment horizontal="left" vertical="center"/>
    </xf>
    <xf numFmtId="0" fontId="24" fillId="8" borderId="0" xfId="0" applyFont="1" applyFill="1"/>
    <xf numFmtId="0" fontId="0" fillId="0" borderId="0" xfId="0" applyBorder="1" applyAlignment="1">
      <alignment horizontal="left" vertical="top" wrapText="1"/>
    </xf>
    <xf numFmtId="0" fontId="25" fillId="8" borderId="0" xfId="0" applyFont="1" applyFill="1"/>
    <xf numFmtId="0" fontId="27" fillId="8" borderId="0" xfId="0" applyFont="1" applyFill="1"/>
    <xf numFmtId="0" fontId="28" fillId="8" borderId="0" xfId="0" applyFont="1" applyFill="1"/>
    <xf numFmtId="0" fontId="29" fillId="8" borderId="0" xfId="0" applyFont="1" applyFill="1"/>
    <xf numFmtId="0" fontId="29" fillId="8" borderId="0" xfId="0" applyFont="1" applyFill="1" applyAlignment="1"/>
    <xf numFmtId="0" fontId="27" fillId="8" borderId="0" xfId="0" applyFont="1" applyFill="1" applyAlignment="1"/>
    <xf numFmtId="0" fontId="29" fillId="8" borderId="0" xfId="0" quotePrefix="1" applyFont="1" applyFill="1" applyAlignment="1">
      <alignment horizontal="left" vertical="center"/>
    </xf>
    <xf numFmtId="0" fontId="27" fillId="8" borderId="0" xfId="0" applyFont="1" applyFill="1" applyAlignment="1">
      <alignment horizontal="left" vertical="center"/>
    </xf>
    <xf numFmtId="0" fontId="29" fillId="8" borderId="0" xfId="0" applyFont="1" applyFill="1" applyAlignment="1">
      <alignment horizontal="left" vertical="center"/>
    </xf>
    <xf numFmtId="0" fontId="29" fillId="8" borderId="0" xfId="0" applyFont="1" applyFill="1" applyAlignment="1">
      <alignment vertical="top"/>
    </xf>
    <xf numFmtId="0" fontId="29" fillId="8" borderId="0" xfId="0" applyFont="1" applyFill="1" applyAlignment="1">
      <alignment horizontal="left" vertical="center" wrapText="1"/>
    </xf>
    <xf numFmtId="0" fontId="27" fillId="8" borderId="0" xfId="0" applyFont="1" applyFill="1" applyAlignment="1">
      <alignment horizontal="left" vertical="center" wrapText="1"/>
    </xf>
    <xf numFmtId="0" fontId="21" fillId="9" borderId="45" xfId="0" applyFont="1" applyFill="1" applyBorder="1" applyAlignment="1">
      <alignment horizontal="center" vertical="center" wrapText="1"/>
    </xf>
    <xf numFmtId="0" fontId="22" fillId="9" borderId="45" xfId="0" applyFont="1" applyFill="1" applyBorder="1" applyAlignment="1">
      <alignment horizontal="center" vertical="center" wrapText="1"/>
    </xf>
    <xf numFmtId="0" fontId="21" fillId="9" borderId="42" xfId="0" applyFont="1" applyFill="1" applyBorder="1" applyAlignment="1">
      <alignment horizontal="center" vertical="top" wrapText="1"/>
    </xf>
    <xf numFmtId="0" fontId="21" fillId="9" borderId="45" xfId="0" applyFont="1" applyFill="1" applyBorder="1" applyAlignment="1" applyProtection="1">
      <alignment horizontal="center" vertical="center" wrapText="1"/>
    </xf>
    <xf numFmtId="0" fontId="21" fillId="9" borderId="46" xfId="0" applyFont="1" applyFill="1" applyBorder="1" applyAlignment="1">
      <alignment horizontal="center" vertical="center" wrapText="1"/>
    </xf>
    <xf numFmtId="0" fontId="31" fillId="9" borderId="47" xfId="0" applyFont="1" applyFill="1" applyBorder="1" applyAlignment="1">
      <alignment horizontal="center" vertical="center" wrapText="1"/>
    </xf>
    <xf numFmtId="0" fontId="21" fillId="9" borderId="44" xfId="0" applyFont="1" applyFill="1" applyBorder="1" applyAlignment="1">
      <alignment horizontal="center" vertical="top" wrapText="1"/>
    </xf>
    <xf numFmtId="0" fontId="21" fillId="9" borderId="43" xfId="0" applyFont="1" applyFill="1" applyBorder="1" applyAlignment="1">
      <alignment horizontal="center" vertical="top" wrapText="1"/>
    </xf>
    <xf numFmtId="0" fontId="23" fillId="0" borderId="49" xfId="0" applyFont="1" applyFill="1" applyBorder="1" applyAlignment="1" applyProtection="1">
      <alignment horizontal="center" vertical="top" wrapText="1"/>
      <protection locked="0"/>
    </xf>
    <xf numFmtId="0" fontId="23" fillId="0" borderId="49" xfId="0" applyFont="1" applyFill="1" applyBorder="1" applyAlignment="1" applyProtection="1">
      <alignment horizontal="left" vertical="top" wrapText="1"/>
      <protection locked="0"/>
    </xf>
    <xf numFmtId="14" fontId="23" fillId="0" borderId="49" xfId="0" applyNumberFormat="1" applyFont="1" applyFill="1" applyBorder="1" applyAlignment="1" applyProtection="1">
      <alignment horizontal="center" vertical="top" wrapText="1"/>
      <protection locked="0"/>
    </xf>
    <xf numFmtId="0" fontId="23" fillId="0" borderId="49" xfId="0" applyNumberFormat="1" applyFont="1" applyFill="1" applyBorder="1" applyAlignment="1" applyProtection="1">
      <alignment horizontal="center" vertical="top" wrapText="1"/>
    </xf>
    <xf numFmtId="1" fontId="23" fillId="0" borderId="49" xfId="0" applyNumberFormat="1" applyFont="1" applyFill="1" applyBorder="1" applyAlignment="1" applyProtection="1">
      <alignment horizontal="center" vertical="top" wrapText="1"/>
    </xf>
    <xf numFmtId="14" fontId="23" fillId="0" borderId="49" xfId="0" applyNumberFormat="1" applyFont="1" applyFill="1" applyBorder="1" applyAlignment="1" applyProtection="1">
      <alignment horizontal="center" vertical="top" wrapText="1"/>
    </xf>
    <xf numFmtId="0" fontId="23" fillId="0" borderId="48" xfId="0" applyFont="1" applyFill="1" applyBorder="1" applyAlignment="1" applyProtection="1">
      <alignment horizontal="center" vertical="top" wrapText="1"/>
      <protection locked="0"/>
    </xf>
    <xf numFmtId="49" fontId="23" fillId="0" borderId="48" xfId="0" applyNumberFormat="1" applyFont="1" applyFill="1" applyBorder="1" applyAlignment="1" applyProtection="1">
      <alignment horizontal="center" vertical="top" wrapText="1"/>
      <protection locked="0"/>
    </xf>
    <xf numFmtId="49" fontId="23" fillId="0" borderId="49" xfId="0" applyNumberFormat="1" applyFont="1" applyFill="1" applyBorder="1" applyAlignment="1" applyProtection="1">
      <alignment horizontal="center" vertical="top" wrapText="1"/>
      <protection locked="0"/>
    </xf>
    <xf numFmtId="1" fontId="23" fillId="0" borderId="49" xfId="0" applyNumberFormat="1" applyFont="1" applyFill="1" applyBorder="1" applyAlignment="1" applyProtection="1">
      <alignment horizontal="center" vertical="top" wrapText="1"/>
      <protection locked="0"/>
    </xf>
    <xf numFmtId="49" fontId="23" fillId="0" borderId="49" xfId="0" quotePrefix="1" applyNumberFormat="1" applyFont="1" applyFill="1" applyBorder="1" applyAlignment="1" applyProtection="1">
      <alignment horizontal="center" vertical="top" wrapText="1"/>
      <protection locked="0"/>
    </xf>
    <xf numFmtId="0" fontId="23" fillId="0" borderId="49" xfId="0" applyFont="1" applyBorder="1" applyAlignment="1">
      <alignment horizontal="center" vertical="top" wrapText="1"/>
    </xf>
    <xf numFmtId="0" fontId="23" fillId="0" borderId="49" xfId="0" applyFont="1" applyBorder="1" applyAlignment="1">
      <alignment horizontal="left" vertical="top" wrapText="1"/>
    </xf>
    <xf numFmtId="14" fontId="23" fillId="0" borderId="49" xfId="0" applyNumberFormat="1" applyFont="1" applyBorder="1" applyAlignment="1">
      <alignment horizontal="center" vertical="top" wrapText="1"/>
    </xf>
    <xf numFmtId="1" fontId="23" fillId="0" borderId="49" xfId="0" applyNumberFormat="1" applyFont="1" applyBorder="1" applyAlignment="1">
      <alignment horizontal="center" vertical="top" wrapText="1"/>
    </xf>
    <xf numFmtId="14" fontId="23" fillId="0" borderId="49" xfId="0" applyNumberFormat="1" applyFont="1" applyBorder="1" applyAlignment="1" applyProtection="1">
      <alignment horizontal="center" vertical="top" wrapText="1"/>
    </xf>
    <xf numFmtId="49" fontId="23" fillId="0" borderId="49" xfId="0" applyNumberFormat="1" applyFont="1" applyBorder="1" applyAlignment="1">
      <alignment horizontal="center" vertical="top" wrapText="1"/>
    </xf>
    <xf numFmtId="0" fontId="30" fillId="0" borderId="50" xfId="0" applyFont="1" applyBorder="1" applyAlignment="1">
      <alignment horizontal="center" vertical="top" wrapText="1"/>
    </xf>
    <xf numFmtId="0" fontId="30" fillId="0" borderId="50" xfId="0" applyFont="1" applyBorder="1" applyAlignment="1">
      <alignment horizontal="left" vertical="top" wrapText="1"/>
    </xf>
    <xf numFmtId="14" fontId="30" fillId="0" borderId="50" xfId="0" applyNumberFormat="1" applyFont="1" applyBorder="1" applyAlignment="1">
      <alignment horizontal="center" vertical="top" wrapText="1"/>
    </xf>
    <xf numFmtId="1" fontId="30" fillId="0" borderId="50" xfId="0" applyNumberFormat="1" applyFont="1" applyBorder="1" applyAlignment="1">
      <alignment horizontal="center" vertical="top" wrapText="1"/>
    </xf>
    <xf numFmtId="14" fontId="30" fillId="0" borderId="50" xfId="0" applyNumberFormat="1" applyFont="1" applyBorder="1" applyAlignment="1" applyProtection="1">
      <alignment horizontal="center" vertical="top" wrapText="1"/>
    </xf>
    <xf numFmtId="49" fontId="30" fillId="0" borderId="50" xfId="0" applyNumberFormat="1" applyFont="1" applyBorder="1" applyAlignment="1">
      <alignment horizontal="center" vertical="top" wrapText="1"/>
    </xf>
    <xf numFmtId="0" fontId="23" fillId="11" borderId="48" xfId="0" applyNumberFormat="1" applyFont="1" applyFill="1" applyBorder="1" applyAlignment="1" applyProtection="1">
      <alignment horizontal="center" vertical="top" wrapText="1"/>
    </xf>
    <xf numFmtId="0" fontId="23" fillId="11" borderId="49" xfId="0" applyNumberFormat="1" applyFont="1" applyFill="1" applyBorder="1" applyAlignment="1" applyProtection="1">
      <alignment horizontal="center" vertical="top" wrapText="1"/>
    </xf>
    <xf numFmtId="0" fontId="23" fillId="11" borderId="49" xfId="0" applyFont="1" applyFill="1" applyBorder="1" applyAlignment="1">
      <alignment horizontal="center" vertical="top" wrapText="1"/>
    </xf>
    <xf numFmtId="0" fontId="23" fillId="11" borderId="50" xfId="0" applyFont="1" applyFill="1" applyBorder="1" applyAlignment="1">
      <alignment horizontal="center" vertical="top" wrapText="1"/>
    </xf>
    <xf numFmtId="0" fontId="23" fillId="11" borderId="51" xfId="0" applyFont="1" applyFill="1" applyBorder="1" applyAlignment="1" applyProtection="1">
      <alignment horizontal="center" vertical="top" wrapText="1"/>
      <protection locked="0"/>
    </xf>
    <xf numFmtId="0" fontId="23" fillId="11" borderId="52" xfId="0" applyFont="1" applyFill="1" applyBorder="1" applyAlignment="1" applyProtection="1">
      <alignment horizontal="center" vertical="top" wrapText="1"/>
      <protection locked="0"/>
    </xf>
    <xf numFmtId="0" fontId="23" fillId="11" borderId="53" xfId="0" applyFont="1" applyFill="1" applyBorder="1" applyAlignment="1" applyProtection="1">
      <alignment horizontal="center" vertical="top" wrapText="1"/>
      <protection locked="0"/>
    </xf>
    <xf numFmtId="0" fontId="30" fillId="11" borderId="49" xfId="0" applyFont="1" applyFill="1" applyBorder="1" applyAlignment="1">
      <alignment horizontal="center" vertical="top" wrapText="1"/>
    </xf>
    <xf numFmtId="0" fontId="30" fillId="11" borderId="52" xfId="0" applyFont="1" applyFill="1" applyBorder="1" applyAlignment="1" applyProtection="1">
      <alignment horizontal="center" vertical="top" wrapText="1"/>
      <protection locked="0"/>
    </xf>
    <xf numFmtId="0" fontId="30" fillId="0" borderId="49" xfId="0" applyFont="1" applyBorder="1" applyAlignment="1">
      <alignment horizontal="center" vertical="top" wrapText="1"/>
    </xf>
    <xf numFmtId="0" fontId="30" fillId="0" borderId="49" xfId="0" applyFont="1" applyBorder="1" applyAlignment="1">
      <alignment horizontal="left" vertical="top" wrapText="1"/>
    </xf>
    <xf numFmtId="14" fontId="30" fillId="0" borderId="49" xfId="0" applyNumberFormat="1" applyFont="1" applyBorder="1" applyAlignment="1">
      <alignment horizontal="center" vertical="top" wrapText="1"/>
    </xf>
    <xf numFmtId="1" fontId="30" fillId="0" borderId="49" xfId="0" applyNumberFormat="1" applyFont="1" applyBorder="1" applyAlignment="1">
      <alignment horizontal="center" vertical="top" wrapText="1"/>
    </xf>
    <xf numFmtId="14" fontId="30" fillId="0" borderId="49" xfId="0" applyNumberFormat="1" applyFont="1" applyBorder="1" applyAlignment="1" applyProtection="1">
      <alignment horizontal="center" vertical="top" wrapText="1"/>
    </xf>
    <xf numFmtId="49" fontId="30" fillId="0" borderId="49" xfId="0" applyNumberFormat="1" applyFont="1" applyBorder="1" applyAlignment="1">
      <alignment horizontal="center" vertical="top" wrapText="1"/>
    </xf>
    <xf numFmtId="0" fontId="26" fillId="8" borderId="0" xfId="0" applyFont="1" applyFill="1" applyAlignment="1">
      <alignment horizontal="center" vertical="center"/>
    </xf>
    <xf numFmtId="0" fontId="16" fillId="8" borderId="0" xfId="0" applyFont="1" applyFill="1" applyAlignment="1">
      <alignment horizontal="center" vertical="center"/>
    </xf>
    <xf numFmtId="0" fontId="17" fillId="8" borderId="0" xfId="0" applyFont="1" applyFill="1" applyBorder="1" applyAlignment="1" applyProtection="1">
      <alignment horizontal="left" vertical="center"/>
      <protection locked="0"/>
    </xf>
    <xf numFmtId="0" fontId="17" fillId="8" borderId="0" xfId="0" applyFont="1" applyFill="1" applyBorder="1" applyAlignment="1" applyProtection="1">
      <alignment horizontal="center" vertical="center"/>
      <protection locked="0"/>
    </xf>
    <xf numFmtId="0" fontId="19" fillId="10" borderId="7" xfId="0" applyFont="1" applyFill="1" applyBorder="1" applyAlignment="1" applyProtection="1">
      <alignment horizontal="center" vertical="center"/>
    </xf>
    <xf numFmtId="0" fontId="19" fillId="10" borderId="37" xfId="0" applyFont="1" applyFill="1" applyBorder="1" applyAlignment="1" applyProtection="1">
      <alignment horizontal="center" vertical="center"/>
    </xf>
    <xf numFmtId="0" fontId="0" fillId="8" borderId="39" xfId="0" applyFont="1" applyFill="1" applyBorder="1" applyAlignment="1" applyProtection="1">
      <alignment horizontal="center"/>
    </xf>
    <xf numFmtId="0" fontId="0" fillId="8" borderId="40" xfId="0" applyFont="1" applyFill="1" applyBorder="1" applyAlignment="1" applyProtection="1">
      <alignment horizontal="center"/>
    </xf>
    <xf numFmtId="0" fontId="0" fillId="8" borderId="25" xfId="0" applyFont="1" applyFill="1" applyBorder="1" applyAlignment="1" applyProtection="1">
      <alignment horizontal="center"/>
    </xf>
    <xf numFmtId="0" fontId="0" fillId="8" borderId="41" xfId="0" applyFont="1" applyFill="1" applyBorder="1" applyAlignment="1" applyProtection="1">
      <alignment horizontal="center"/>
    </xf>
    <xf numFmtId="0" fontId="0" fillId="8" borderId="0" xfId="0" applyFont="1" applyFill="1" applyBorder="1" applyAlignment="1" applyProtection="1">
      <alignment horizontal="center"/>
    </xf>
    <xf numFmtId="0" fontId="0" fillId="8" borderId="36" xfId="0" applyFont="1" applyFill="1" applyBorder="1" applyAlignment="1" applyProtection="1">
      <alignment horizontal="center"/>
    </xf>
    <xf numFmtId="0" fontId="0" fillId="5" borderId="19" xfId="0" applyFill="1" applyBorder="1" applyAlignment="1">
      <alignment horizontal="center" vertical="center" wrapText="1"/>
    </xf>
    <xf numFmtId="0" fontId="0" fillId="2" borderId="35" xfId="0" applyFill="1" applyBorder="1" applyAlignment="1">
      <alignment horizontal="center" vertical="center" wrapText="1"/>
    </xf>
    <xf numFmtId="0" fontId="11" fillId="2" borderId="9" xfId="0" applyFont="1" applyFill="1" applyBorder="1" applyAlignment="1">
      <alignment horizontal="center" vertical="center" wrapText="1"/>
    </xf>
    <xf numFmtId="0" fontId="11" fillId="2" borderId="10" xfId="0" applyFont="1" applyFill="1" applyBorder="1" applyAlignment="1">
      <alignment horizontal="center" vertical="center" wrapText="1"/>
    </xf>
    <xf numFmtId="0" fontId="1" fillId="5" borderId="21" xfId="0" applyFont="1" applyFill="1" applyBorder="1" applyAlignment="1">
      <alignment horizontal="center" vertical="center" wrapText="1"/>
    </xf>
    <xf numFmtId="0" fontId="1" fillId="5" borderId="0" xfId="0" applyFont="1" applyFill="1" applyBorder="1" applyAlignment="1">
      <alignment horizontal="center" vertical="center" wrapText="1"/>
    </xf>
    <xf numFmtId="0" fontId="2" fillId="2" borderId="22" xfId="0" applyFont="1" applyFill="1" applyBorder="1" applyAlignment="1">
      <alignment horizontal="center" vertical="center" wrapText="1"/>
    </xf>
    <xf numFmtId="0" fontId="2" fillId="2" borderId="21" xfId="0" applyFont="1" applyFill="1" applyBorder="1" applyAlignment="1">
      <alignment horizontal="center" vertical="center" wrapText="1"/>
    </xf>
    <xf numFmtId="0" fontId="2" fillId="2" borderId="23" xfId="0" applyFont="1" applyFill="1" applyBorder="1" applyAlignment="1">
      <alignment horizontal="center" vertical="center" wrapText="1"/>
    </xf>
    <xf numFmtId="0" fontId="2" fillId="2" borderId="31" xfId="0" applyFont="1" applyFill="1" applyBorder="1" applyAlignment="1">
      <alignment horizontal="center" vertical="center" wrapText="1"/>
    </xf>
    <xf numFmtId="0" fontId="2" fillId="2" borderId="30" xfId="0" applyFont="1" applyFill="1" applyBorder="1" applyAlignment="1">
      <alignment horizontal="center" vertical="center" wrapText="1"/>
    </xf>
    <xf numFmtId="0" fontId="2" fillId="2" borderId="29" xfId="0" applyFont="1" applyFill="1" applyBorder="1" applyAlignment="1">
      <alignment horizontal="center" vertical="center" wrapText="1"/>
    </xf>
    <xf numFmtId="0" fontId="4" fillId="2" borderId="9" xfId="0" applyFont="1" applyFill="1" applyBorder="1" applyAlignment="1">
      <alignment horizontal="center" vertical="center" wrapText="1"/>
    </xf>
    <xf numFmtId="0" fontId="4" fillId="2" borderId="10" xfId="0" applyFont="1" applyFill="1" applyBorder="1" applyAlignment="1">
      <alignment horizontal="center" vertical="center" wrapText="1"/>
    </xf>
    <xf numFmtId="0" fontId="4" fillId="2" borderId="11" xfId="0" applyFont="1" applyFill="1" applyBorder="1" applyAlignment="1">
      <alignment horizontal="center" vertical="center" wrapText="1"/>
    </xf>
    <xf numFmtId="0" fontId="5" fillId="3" borderId="1"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3" xfId="0" applyFont="1" applyFill="1" applyBorder="1" applyAlignment="1">
      <alignment horizontal="center" vertical="center"/>
    </xf>
    <xf numFmtId="0" fontId="12" fillId="0" borderId="0" xfId="0" applyFont="1" applyAlignment="1">
      <alignment horizontal="center" vertical="center" wrapText="1"/>
    </xf>
  </cellXfs>
  <cellStyles count="1">
    <cellStyle name="Normal" xfId="0" builtinId="0"/>
  </cellStyles>
  <dxfs count="101">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fill>
        <patternFill patternType="solid">
          <fgColor indexed="64"/>
          <bgColor theme="1" tint="0.499984740745262"/>
        </patternFill>
      </fill>
      <alignment horizontal="center" vertical="center" textRotation="0" wrapText="1" indent="0" justifyLastLine="0" shrinkToFit="0" readingOrder="0"/>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numFmt numFmtId="30" formatCode="@"/>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protection locked="1" hidden="0"/>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protection locked="1" hidden="0"/>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protection locked="1" hidden="0"/>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protection locked="1" hidden="0"/>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numFmt numFmtId="1" formatCode="0"/>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left"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b val="0"/>
        <strike val="0"/>
        <outline val="0"/>
        <shadow val="0"/>
        <u val="none"/>
        <vertAlign val="baseline"/>
        <sz val="11"/>
        <color theme="1"/>
        <name val="Century Gothic"/>
        <scheme val="none"/>
      </font>
      <fill>
        <patternFill patternType="solid">
          <fgColor indexed="64"/>
          <bgColor rgb="FFE8E8E8"/>
        </patternFill>
      </fill>
      <alignment horizontal="center" vertical="top" textRotation="0" wrapText="1" indent="0" justifyLastLine="0" shrinkToFit="0" readingOrder="0"/>
      <border diagonalUp="0" diagonalDown="0">
        <left/>
        <right style="thin">
          <color theme="0" tint="-0.499984740745262"/>
        </right>
        <top style="thin">
          <color theme="0"/>
        </top>
        <bottom/>
        <vertical/>
        <horizontal/>
      </border>
      <protection locked="0" hidden="0"/>
    </dxf>
    <dxf>
      <font>
        <b val="0"/>
        <strike val="0"/>
        <outline val="0"/>
        <shadow val="0"/>
        <u val="none"/>
        <vertAlign val="baseline"/>
        <sz val="11"/>
        <color theme="1"/>
        <name val="Century Gothic"/>
        <scheme val="none"/>
      </font>
      <fill>
        <patternFill patternType="solid">
          <fgColor indexed="64"/>
          <bgColor rgb="FFE8E8E8"/>
        </patternFill>
      </fill>
      <alignment horizontal="center" vertical="top" textRotation="0" wrapText="1" indent="0" justifyLastLine="0" shrinkToFit="0" readingOrder="0"/>
      <border diagonalUp="0" diagonalDown="0">
        <left/>
        <right/>
        <top style="thin">
          <color theme="0"/>
        </top>
        <bottom/>
        <vertical/>
        <horizontal/>
      </border>
    </dxf>
    <dxf>
      <numFmt numFmtId="19" formatCode="m/d/yyyy"/>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numFmt numFmtId="19" formatCode="m/d/yyyy"/>
      <alignment horizontal="center" vertical="top" textRotation="0" wrapText="1" indent="0" justifyLastLine="0" shrinkToFit="0" readingOrder="0"/>
    </dxf>
    <dxf>
      <alignment horizontal="left"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center" textRotation="0" wrapText="1" indent="0" justifyLastLine="0" shrinkToFit="0" readingOrder="0"/>
    </dxf>
    <dxf>
      <border diagonalUp="0" diagonalDown="0">
        <left style="thick">
          <color auto="1"/>
        </left>
        <right style="thick">
          <color auto="1"/>
        </right>
        <top style="thick">
          <color auto="1"/>
        </top>
        <bottom style="thick">
          <color auto="1"/>
        </bottom>
      </border>
    </dxf>
    <dxf>
      <border outline="0">
        <top style="double">
          <color auto="1"/>
        </top>
      </border>
    </dxf>
    <dxf>
      <fill>
        <patternFill patternType="solid">
          <fgColor indexed="64"/>
          <bgColor theme="1" tint="0.499984740745262"/>
        </patternFill>
      </fill>
      <alignment horizontal="center" vertical="center" textRotation="0" wrapText="1" relativeIndent="0" justifyLastLine="0" shrinkToFit="0" readingOrder="0"/>
    </dxf>
    <dxf>
      <font>
        <b/>
        <strike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alignment horizontal="center" vertical="center" textRotation="0" wrapText="1" indent="0" justifyLastLine="0" shrinkToFit="0" readingOrder="0"/>
    </dxf>
    <dxf>
      <font>
        <b/>
        <i val="0"/>
        <strike val="0"/>
        <condense val="0"/>
        <extend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strike val="0"/>
        <outline val="0"/>
        <shadow val="0"/>
        <u val="none"/>
        <vertAlign val="baseline"/>
        <name val="Century Gothic"/>
        <scheme val="none"/>
      </font>
      <alignment horizontal="center" vertical="top" textRotation="0" wrapText="1" indent="0" justifyLastLine="0" shrinkToFit="0" readingOrder="0"/>
    </dxf>
    <dxf>
      <border>
        <bottom style="thin">
          <color theme="0"/>
        </bottom>
      </border>
    </dxf>
    <dxf>
      <font>
        <strike val="0"/>
        <outline val="0"/>
        <shadow val="0"/>
        <u val="none"/>
        <vertAlign val="baseline"/>
        <sz val="11"/>
        <color theme="0"/>
        <name val="Century Gothic"/>
        <scheme val="none"/>
      </font>
      <alignment horizontal="center" vertical="top" textRotation="0" wrapText="1" indent="0" justifyLastLine="0" shrinkToFit="0" readingOrder="0"/>
      <border diagonalUp="0" diagonalDown="0" outline="0">
        <left style="thin">
          <color theme="0"/>
        </left>
        <right style="thin">
          <color theme="0"/>
        </right>
        <top/>
        <bottom/>
      </border>
    </dxf>
    <dxf>
      <font>
        <b val="0"/>
        <i val="0"/>
        <color rgb="FFD55653"/>
      </font>
    </dxf>
    <dxf>
      <font>
        <b val="0"/>
        <i/>
        <color theme="0" tint="-0.499984740745262"/>
      </font>
    </dxf>
    <dxf>
      <font>
        <color theme="0"/>
      </font>
      <fill>
        <patternFill>
          <bgColor rgb="FFD86966"/>
        </patternFill>
      </fill>
    </dxf>
    <dxf>
      <font>
        <color theme="1"/>
      </font>
      <fill>
        <patternFill>
          <bgColor rgb="FFFFFFD1"/>
        </patternFill>
      </fill>
    </dxf>
    <dxf>
      <fill>
        <patternFill>
          <bgColor rgb="FFC0E391"/>
        </patternFill>
      </fill>
    </dxf>
    <dxf>
      <font>
        <color theme="0"/>
      </font>
      <fill>
        <patternFill>
          <bgColor rgb="FFD46966"/>
        </patternFill>
      </fill>
    </dxf>
    <dxf>
      <font>
        <b val="0"/>
        <i val="0"/>
        <color rgb="FFD14643"/>
      </font>
    </dxf>
    <dxf>
      <border diagonalUp="0" diagonalDown="0">
        <left/>
        <right/>
        <top/>
        <bottom/>
        <vertical/>
        <horizontal/>
      </border>
    </dxf>
    <dxf>
      <border diagonalUp="0" diagonalDown="0">
        <left/>
        <right/>
        <top/>
        <bottom/>
        <vertical/>
        <horizontal/>
      </border>
    </dxf>
    <dxf>
      <fill>
        <patternFill>
          <bgColor rgb="FFB5CEED"/>
        </patternFill>
      </fill>
    </dxf>
    <dxf>
      <font>
        <b/>
        <color theme="1"/>
      </font>
    </dxf>
    <dxf>
      <border diagonalUp="0" diagonalDown="0">
        <left/>
        <right/>
        <top/>
        <bottom/>
        <vertical/>
        <horizontal/>
      </border>
    </dxf>
    <dxf>
      <font>
        <b/>
        <color theme="1"/>
      </font>
      <border diagonalUp="0" diagonalDown="0">
        <left/>
        <right/>
        <top/>
        <bottom/>
        <vertical/>
        <horizontal/>
      </border>
    </dxf>
    <dxf>
      <font>
        <b/>
        <i val="0"/>
        <color theme="0"/>
      </font>
      <border diagonalUp="0" diagonalDown="0">
        <left/>
        <right/>
        <top/>
        <bottom/>
        <vertical/>
        <horizontal/>
      </border>
    </dxf>
    <dxf>
      <font>
        <color theme="1"/>
      </font>
      <fill>
        <gradientFill>
          <stop position="0">
            <color rgb="FF1143E5"/>
          </stop>
          <stop position="1">
            <color rgb="FFD00000"/>
          </stop>
        </gradientFill>
      </fill>
      <border diagonalUp="0" diagonalDown="0">
        <left/>
        <right/>
        <top/>
        <bottom/>
        <vertical/>
        <horizontal/>
      </border>
    </dxf>
    <dxf>
      <fill>
        <patternFill patternType="solid">
          <fgColor theme="0" tint="-0.34998626667073579"/>
          <bgColor theme="0" tint="-0.34998626667073579"/>
        </patternFill>
      </fill>
    </dxf>
    <dxf>
      <fill>
        <patternFill patternType="solid">
          <fgColor theme="0" tint="-0.34998626667073579"/>
          <bgColor theme="0" tint="-0.34998626667073579"/>
        </patternFill>
      </fill>
    </dxf>
    <dxf>
      <font>
        <b/>
        <color theme="1"/>
      </font>
    </dxf>
    <dxf>
      <font>
        <b/>
        <color theme="1"/>
      </font>
      <border>
        <right/>
        <vertical/>
      </border>
    </dxf>
    <dxf>
      <font>
        <b/>
        <color theme="1"/>
      </font>
      <border>
        <top style="medium">
          <color theme="1"/>
        </top>
      </border>
    </dxf>
    <dxf>
      <font>
        <b/>
        <color theme="1"/>
      </font>
      <border diagonalUp="0" diagonalDown="0">
        <left style="thick">
          <color auto="1"/>
        </left>
        <right style="thick">
          <color auto="1"/>
        </right>
        <top style="thick">
          <color auto="1"/>
        </top>
        <bottom/>
        <vertical/>
        <horizontal/>
      </border>
    </dxf>
    <dxf>
      <font>
        <color theme="1"/>
      </font>
      <fill>
        <patternFill patternType="solid">
          <fgColor theme="0" tint="-0.14999847407452621"/>
          <bgColor theme="0" tint="-0.14999847407452621"/>
        </patternFill>
      </fill>
      <border>
        <left style="thick">
          <color theme="1"/>
        </left>
        <right style="thick">
          <color theme="1"/>
        </right>
        <top style="thick">
          <color theme="1"/>
        </top>
        <bottom style="thick">
          <color theme="1"/>
        </bottom>
        <vertical style="thin">
          <color theme="1"/>
        </vertical>
        <horizontal style="thin">
          <color theme="1"/>
        </horizontal>
      </border>
    </dxf>
    <dxf>
      <fill>
        <patternFill patternType="solid">
          <fgColor theme="0" tint="-0.14999847407452621"/>
          <bgColor theme="0" tint="-0.14999847407452621"/>
        </patternFill>
      </fill>
    </dxf>
    <dxf>
      <font>
        <color theme="0"/>
      </font>
      <fill>
        <patternFill patternType="solid">
          <fgColor theme="0" tint="-0.14993743705557422"/>
          <bgColor theme="0" tint="-0.499984740745262"/>
        </patternFill>
      </fill>
    </dxf>
    <dxf>
      <font>
        <b/>
        <color theme="0"/>
      </font>
      <fill>
        <patternFill patternType="solid">
          <fgColor theme="4"/>
          <bgColor theme="4"/>
        </patternFill>
      </fill>
    </dxf>
    <dxf>
      <font>
        <b/>
        <color theme="0"/>
      </font>
      <fill>
        <patternFill patternType="solid">
          <fgColor theme="4"/>
          <bgColor theme="4"/>
        </patternFill>
      </fill>
    </dxf>
    <dxf>
      <border>
        <top style="double">
          <color theme="1"/>
        </top>
      </border>
    </dxf>
    <dxf>
      <font>
        <b/>
        <color theme="0"/>
      </font>
      <fill>
        <patternFill patternType="solid">
          <fgColor theme="4"/>
          <bgColor theme="4"/>
        </patternFill>
      </fill>
      <border>
        <bottom style="medium">
          <color theme="1"/>
        </bottom>
      </border>
    </dxf>
    <dxf>
      <font>
        <color theme="1"/>
      </font>
      <fill>
        <patternFill>
          <bgColor theme="4" tint="0.79998168889431442"/>
        </patternFill>
      </fill>
      <border>
        <top style="medium">
          <color theme="1"/>
        </top>
        <bottom style="medium">
          <color theme="1"/>
        </bottom>
      </border>
    </dxf>
    <dxf>
      <fill>
        <patternFill>
          <bgColor rgb="FFE4E4E4"/>
        </patternFill>
      </fill>
    </dxf>
    <dxf>
      <font>
        <b/>
        <color theme="1"/>
      </font>
      <border>
        <top style="thin">
          <color theme="1"/>
        </top>
      </border>
    </dxf>
    <dxf>
      <border diagonalUp="0" diagonalDown="0">
        <left/>
        <right/>
        <top/>
        <bottom/>
        <vertical/>
        <horizontal/>
      </border>
    </dxf>
    <dxf>
      <fill>
        <patternFill>
          <bgColor theme="0"/>
        </patternFill>
      </fill>
      <border diagonalUp="0" diagonalDown="0">
        <left/>
        <right/>
        <top/>
        <bottom/>
        <vertical/>
        <horizontal/>
      </border>
    </dxf>
    <dxf>
      <fill>
        <patternFill patternType="solid">
          <fgColor theme="4" tint="0.59999389629810485"/>
          <bgColor theme="4" tint="0.59999389629810485"/>
        </patternFill>
      </fill>
    </dxf>
    <dxf>
      <fill>
        <patternFill patternType="solid">
          <fgColor theme="4" tint="0.59999389629810485"/>
          <bgColor rgb="FF909ED8"/>
        </patternFill>
      </fill>
    </dxf>
    <dxf>
      <font>
        <b/>
        <color theme="1"/>
      </font>
    </dxf>
    <dxf>
      <font>
        <b/>
        <color theme="1"/>
      </font>
    </dxf>
    <dxf>
      <font>
        <b/>
        <color theme="1"/>
      </font>
      <border>
        <top style="double">
          <color theme="1"/>
        </top>
      </border>
    </dxf>
    <dxf>
      <font>
        <color theme="0"/>
      </font>
      <fill>
        <patternFill patternType="solid">
          <fgColor theme="5"/>
          <bgColor theme="5"/>
        </patternFill>
      </fill>
    </dxf>
    <dxf>
      <fill>
        <patternFill patternType="solid">
          <fgColor theme="4" tint="0.79995117038483843"/>
          <bgColor rgb="FFB7CBE3"/>
        </patternFill>
      </fill>
    </dxf>
  </dxfs>
  <tableStyles count="5" defaultTableStyle="TableStyleMedium9" defaultPivotStyle="PivotStyleLight16">
    <tableStyle name="TableStyleDark9 2" pivot="0" count="7">
      <tableStyleElement type="wholeTable" dxfId="100"/>
      <tableStyleElement type="headerRow" dxfId="99"/>
      <tableStyleElement type="totalRow" dxfId="98"/>
      <tableStyleElement type="firstColumn" dxfId="97"/>
      <tableStyleElement type="lastColumn" dxfId="96"/>
      <tableStyleElement type="firstRowStripe" dxfId="95"/>
      <tableStyleElement type="firstColumnStripe" dxfId="94"/>
    </tableStyle>
    <tableStyle name="TableStyleLight1 2" pivot="0" count="4">
      <tableStyleElement type="wholeTable" dxfId="93"/>
      <tableStyleElement type="headerRow" dxfId="92"/>
      <tableStyleElement type="totalRow" dxfId="91"/>
      <tableStyleElement type="firstRowStripe" dxfId="90"/>
    </tableStyle>
    <tableStyle name="TableStyleMedium16 2" pivot="0" count="7">
      <tableStyleElement type="wholeTable" dxfId="89"/>
      <tableStyleElement type="headerRow" dxfId="88"/>
      <tableStyleElement type="totalRow" dxfId="87"/>
      <tableStyleElement type="firstColumn" dxfId="86"/>
      <tableStyleElement type="lastColumn" dxfId="85"/>
      <tableStyleElement type="firstRowStripe" dxfId="84"/>
      <tableStyleElement type="firstColumnStripe" dxfId="83"/>
    </tableStyle>
    <tableStyle name="TableStyleMedium22 2" pivot="0" count="7">
      <tableStyleElement type="wholeTable" dxfId="82"/>
      <tableStyleElement type="headerRow" dxfId="81"/>
      <tableStyleElement type="totalRow" dxfId="80"/>
      <tableStyleElement type="firstColumn" dxfId="79"/>
      <tableStyleElement type="lastColumn" dxfId="78"/>
      <tableStyleElement type="firstRowStripe" dxfId="77"/>
      <tableStyleElement type="firstColumnStripe" dxfId="76"/>
    </tableStyle>
    <tableStyle name="TableStyleMedium23 2" pivot="0" count="8">
      <tableStyleElement type="wholeTable" dxfId="75"/>
      <tableStyleElement type="headerRow" dxfId="74"/>
      <tableStyleElement type="totalRow" dxfId="73"/>
      <tableStyleElement type="firstColumn" dxfId="72"/>
      <tableStyleElement type="lastColumn" dxfId="71"/>
      <tableStyleElement type="firstRowStripe" dxfId="70"/>
      <tableStyleElement type="firstColumnStripe" dxfId="69"/>
      <tableStyleElement type="secondColumnStripe" dxfId="68"/>
    </tableStyle>
  </tableStyles>
  <colors>
    <mruColors>
      <color rgb="FFE4E4E4"/>
      <color rgb="FFD14643"/>
      <color rgb="FF73A2DB"/>
      <color rgb="FFE8E8E8"/>
      <color rgb="FFF0F0F0"/>
      <color rgb="FFD36767"/>
      <color rgb="FFD55653"/>
      <color rgb="FFD46966"/>
      <color rgb="FFD86966"/>
      <color rgb="FF91B6E3"/>
    </mruColors>
  </colors>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xsd="http://www.w3.org/2001/XMLSchema" xmlns="">
      <xsd:element nillable="true" name="LabOfficePriorities">
        <xsd:complexType>
          <xsd:sequence minOccurs="0">
            <xsd:element minOccurs="0" maxOccurs="unbounded" nillable="true" name="Entry" form="unqualified">
              <xsd:complexType>
                <xsd:sequence minOccurs="0">
                  <xsd:element minOccurs="0" nillable="true" type="xsd:string" name="LabOffice" form="unqualified"/>
                  <xsd:element minOccurs="0" nillable="true" type="xsd:string" name="Priority" form="unqualified"/>
                  <xsd:element minOccurs="0" nillable="true" type="xsd:string" name="RTA" form="unqualified"/>
                  <xsd:element minOccurs="0" nillable="true" type="xsd:string" name="Customer" form="unqualified"/>
                  <xsd:element minOccurs="0" nillable="true" type="xsd:string" name="Description" form="unqualified"/>
                  <xsd:element minOccurs="0" nillable="true" type="xsd:string" name="InStockDate" form="unqualified"/>
                  <xsd:element minOccurs="0" nillable="true" type="xsd:string" name="StdProdLT" form="unqualified"/>
                  <xsd:element minOccurs="0" nillable="true" type="xsd:string" name="RemProdLT" form="unqualified"/>
                  <xsd:element minOccurs="0" nillable="true" type="xsd:string" name="Status" form="unqualified"/>
                  <xsd:element minOccurs="0" nillable="true" type="xsd:string" name="RevisedDueDate" form="unqualified"/>
                </xsd:sequence>
              </xsd:complexType>
            </xsd:element>
          </xsd:sequence>
        </xsd:complexType>
      </xsd:element>
    </xsd:schema>
  </Schema>
  <Map ID="2" Name="priorityReport" RootElement="LabOfficePriorities" SchemaID="Schema1" ShowImportExportValidationErrors="true" AutoFit="fals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xmlMaps" Target="xmlMap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4C599241-6926-101B-9992-00000B65C6F9}"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4C599241-6926-101B-9992-00000B65C6F9}" ax:persistence="persistStreamInit" r:id="rId1"/>
</file>

<file path=xl/activeX/activeX19.xml><?xml version="1.0" encoding="utf-8"?>
<ax:ocx xmlns:ax="http://schemas.microsoft.com/office/2006/activeX" xmlns:r="http://schemas.openxmlformats.org/officeDocument/2006/relationships" ax:classid="{4C599241-6926-101B-9992-00000B65C6F9}" ax:persistence="persistStreamInit" r:id="rId1"/>
</file>

<file path=xl/activeX/activeX20.xml><?xml version="1.0" encoding="utf-8"?>
<ax:ocx xmlns:ax="http://schemas.microsoft.com/office/2006/activeX" xmlns:r="http://schemas.openxmlformats.org/officeDocument/2006/relationships" ax:classid="{4C599241-6926-101B-9992-00000B65C6F9}" ax:persistence="persistStreamInit" r:id="rId1"/>
</file>

<file path=xl/activeX/activeX21.xml><?xml version="1.0" encoding="utf-8"?>
<ax:ocx xmlns:ax="http://schemas.microsoft.com/office/2006/activeX" xmlns:r="http://schemas.openxmlformats.org/officeDocument/2006/relationships" ax:classid="{4C599241-6926-101B-9992-00000B65C6F9}"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image" Target="../media/image16.emf"/><Relationship Id="rId3" Type="http://schemas.openxmlformats.org/officeDocument/2006/relationships/image" Target="../media/image7.emf"/><Relationship Id="rId7" Type="http://schemas.openxmlformats.org/officeDocument/2006/relationships/image" Target="../media/image10.emf"/><Relationship Id="rId12" Type="http://schemas.openxmlformats.org/officeDocument/2006/relationships/image" Target="../media/image15.emf"/><Relationship Id="rId2" Type="http://schemas.openxmlformats.org/officeDocument/2006/relationships/image" Target="../media/image8.emf"/><Relationship Id="rId16" Type="http://schemas.openxmlformats.org/officeDocument/2006/relationships/image" Target="../media/image19.emf"/><Relationship Id="rId1" Type="http://schemas.openxmlformats.org/officeDocument/2006/relationships/image" Target="../media/image4.emf"/><Relationship Id="rId6" Type="http://schemas.openxmlformats.org/officeDocument/2006/relationships/image" Target="../media/image9.emf"/><Relationship Id="rId11" Type="http://schemas.openxmlformats.org/officeDocument/2006/relationships/image" Target="../media/image14.emf"/><Relationship Id="rId5" Type="http://schemas.openxmlformats.org/officeDocument/2006/relationships/image" Target="../media/image5.emf"/><Relationship Id="rId15" Type="http://schemas.openxmlformats.org/officeDocument/2006/relationships/image" Target="../media/image18.emf"/><Relationship Id="rId10" Type="http://schemas.openxmlformats.org/officeDocument/2006/relationships/image" Target="../media/image13.emf"/><Relationship Id="rId4" Type="http://schemas.openxmlformats.org/officeDocument/2006/relationships/image" Target="../media/image6.emf"/><Relationship Id="rId9" Type="http://schemas.openxmlformats.org/officeDocument/2006/relationships/image" Target="../media/image12.emf"/><Relationship Id="rId14" Type="http://schemas.openxmlformats.org/officeDocument/2006/relationships/image" Target="../media/image1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1.png"/><Relationship Id="rId1" Type="http://schemas.openxmlformats.org/officeDocument/2006/relationships/image" Target="../media/image20.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462328</xdr:colOff>
      <xdr:row>0</xdr:row>
      <xdr:rowOff>0</xdr:rowOff>
    </xdr:from>
    <xdr:to>
      <xdr:col>11</xdr:col>
      <xdr:colOff>235324</xdr:colOff>
      <xdr:row>7</xdr:row>
      <xdr:rowOff>42133</xdr:rowOff>
    </xdr:to>
    <xdr:pic>
      <xdr:nvPicPr>
        <xdr:cNvPr id="2" name="Picture 1" descr="Copy of WD RTA sheet header.jpg"/>
        <xdr:cNvPicPr>
          <a:picLocks noChangeAspect="1"/>
        </xdr:cNvPicPr>
      </xdr:nvPicPr>
      <xdr:blipFill>
        <a:blip xmlns:r="http://schemas.openxmlformats.org/officeDocument/2006/relationships" r:embed="rId1" cstate="print"/>
        <a:stretch>
          <a:fillRect/>
        </a:stretch>
      </xdr:blipFill>
      <xdr:spPr>
        <a:xfrm>
          <a:off x="675240" y="0"/>
          <a:ext cx="6855113" cy="1308398"/>
        </a:xfrm>
        <a:prstGeom prst="roundRect">
          <a:avLst>
            <a:gd name="adj" fmla="val 8594"/>
          </a:avLst>
        </a:prstGeom>
        <a:solidFill>
          <a:srgbClr val="FFFFFF">
            <a:shade val="85000"/>
          </a:srgbClr>
        </a:solidFill>
        <a:ln>
          <a:noFill/>
        </a:ln>
        <a:effectLst>
          <a:reflection blurRad="6350" stA="9000" endPos="90000" dir="5400000" sy="-100000" algn="bl" rotWithShape="0"/>
        </a:effectLst>
      </xdr:spPr>
    </xdr:pic>
    <xdr:clientData/>
  </xdr:twoCellAnchor>
  <mc:AlternateContent xmlns:mc="http://schemas.openxmlformats.org/markup-compatibility/2006">
    <mc:Choice xmlns:a14="http://schemas.microsoft.com/office/drawing/2010/main" Requires="a14">
      <xdr:twoCellAnchor editAs="oneCell">
        <xdr:from>
          <xdr:col>10</xdr:col>
          <xdr:colOff>542925</xdr:colOff>
          <xdr:row>5</xdr:row>
          <xdr:rowOff>47625</xdr:rowOff>
        </xdr:from>
        <xdr:to>
          <xdr:col>11</xdr:col>
          <xdr:colOff>104775</xdr:colOff>
          <xdr:row>6</xdr:row>
          <xdr:rowOff>104775</xdr:rowOff>
        </xdr:to>
        <xdr:sp macro="" textlink="">
          <xdr:nvSpPr>
            <xdr:cNvPr id="2051" name="sheetRev" hidden="1">
              <a:extLst>
                <a:ext uri="{63B3BB69-23CF-44E3-9099-C40C66FF867C}">
                  <a14:compatExt spid="_x0000_s20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419100</xdr:colOff>
          <xdr:row>24</xdr:row>
          <xdr:rowOff>219075</xdr:rowOff>
        </xdr:from>
        <xdr:to>
          <xdr:col>7</xdr:col>
          <xdr:colOff>209550</xdr:colOff>
          <xdr:row>27</xdr:row>
          <xdr:rowOff>95250</xdr:rowOff>
        </xdr:to>
        <xdr:sp macro="" textlink="">
          <xdr:nvSpPr>
            <xdr:cNvPr id="2052" name="CommandButton1" hidden="1">
              <a:extLst>
                <a:ext uri="{63B3BB69-23CF-44E3-9099-C40C66FF867C}">
                  <a14:compatExt spid="_x0000_s2052"/>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133350</xdr:colOff>
          <xdr:row>0</xdr:row>
          <xdr:rowOff>57149</xdr:rowOff>
        </xdr:from>
        <xdr:to>
          <xdr:col>3</xdr:col>
          <xdr:colOff>2819400</xdr:colOff>
          <xdr:row>1</xdr:row>
          <xdr:rowOff>142874</xdr:rowOff>
        </xdr:to>
        <xdr:sp macro="" textlink="">
          <xdr:nvSpPr>
            <xdr:cNvPr id="1055" name="sheetView" hidden="1">
              <a:extLst>
                <a:ext uri="{63B3BB69-23CF-44E3-9099-C40C66FF867C}">
                  <a14:compatExt spid="_x0000_s105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1</xdr:row>
          <xdr:rowOff>228600</xdr:rowOff>
        </xdr:from>
        <xdr:to>
          <xdr:col>3</xdr:col>
          <xdr:colOff>2438400</xdr:colOff>
          <xdr:row>1</xdr:row>
          <xdr:rowOff>552450</xdr:rowOff>
        </xdr:to>
        <xdr:sp macro="" textlink="">
          <xdr:nvSpPr>
            <xdr:cNvPr id="1045" name="PM" hidden="1">
              <a:extLst>
                <a:ext uri="{63B3BB69-23CF-44E3-9099-C40C66FF867C}">
                  <a14:compatExt spid="_x0000_s104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1</xdr:row>
          <xdr:rowOff>609600</xdr:rowOff>
        </xdr:from>
        <xdr:to>
          <xdr:col>3</xdr:col>
          <xdr:colOff>2438400</xdr:colOff>
          <xdr:row>2</xdr:row>
          <xdr:rowOff>114300</xdr:rowOff>
        </xdr:to>
        <xdr:sp macro="" textlink="">
          <xdr:nvSpPr>
            <xdr:cNvPr id="1046" name="fc" hidden="1">
              <a:extLst>
                <a:ext uri="{63B3BB69-23CF-44E3-9099-C40C66FF867C}">
                  <a14:compatExt spid="_x0000_s104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2</xdr:row>
          <xdr:rowOff>171450</xdr:rowOff>
        </xdr:from>
        <xdr:to>
          <xdr:col>3</xdr:col>
          <xdr:colOff>2438400</xdr:colOff>
          <xdr:row>2</xdr:row>
          <xdr:rowOff>495300</xdr:rowOff>
        </xdr:to>
        <xdr:sp macro="" textlink="">
          <xdr:nvSpPr>
            <xdr:cNvPr id="1047" name="di" hidden="1">
              <a:extLst>
                <a:ext uri="{63B3BB69-23CF-44E3-9099-C40C66FF867C}">
                  <a14:compatExt spid="_x0000_s104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2</xdr:row>
          <xdr:rowOff>561975</xdr:rowOff>
        </xdr:from>
        <xdr:to>
          <xdr:col>3</xdr:col>
          <xdr:colOff>2438400</xdr:colOff>
          <xdr:row>3</xdr:row>
          <xdr:rowOff>9525</xdr:rowOff>
        </xdr:to>
        <xdr:sp macro="" textlink="">
          <xdr:nvSpPr>
            <xdr:cNvPr id="1048" name="soft" hidden="1">
              <a:extLst>
                <a:ext uri="{63B3BB69-23CF-44E3-9099-C40C66FF867C}">
                  <a14:compatExt spid="_x0000_s104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2</xdr:row>
          <xdr:rowOff>714375</xdr:rowOff>
        </xdr:from>
        <xdr:to>
          <xdr:col>2</xdr:col>
          <xdr:colOff>971550</xdr:colOff>
          <xdr:row>3</xdr:row>
          <xdr:rowOff>104775</xdr:rowOff>
        </xdr:to>
        <xdr:sp macro="" textlink="">
          <xdr:nvSpPr>
            <xdr:cNvPr id="9961" name="rtasearch" hidden="1">
              <a:extLst>
                <a:ext uri="{63B3BB69-23CF-44E3-9099-C40C66FF867C}">
                  <a14:compatExt spid="_x0000_s99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971550</xdr:colOff>
          <xdr:row>2</xdr:row>
          <xdr:rowOff>647700</xdr:rowOff>
        </xdr:from>
        <xdr:to>
          <xdr:col>2</xdr:col>
          <xdr:colOff>1352550</xdr:colOff>
          <xdr:row>3</xdr:row>
          <xdr:rowOff>123825</xdr:rowOff>
        </xdr:to>
        <xdr:sp macro="" textlink="">
          <xdr:nvSpPr>
            <xdr:cNvPr id="9967" name="searchButton" hidden="1">
              <a:extLst>
                <a:ext uri="{63B3BB69-23CF-44E3-9099-C40C66FF867C}">
                  <a14:compatExt spid="_x0000_s996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1</xdr:row>
          <xdr:rowOff>361950</xdr:rowOff>
        </xdr:from>
        <xdr:to>
          <xdr:col>2</xdr:col>
          <xdr:colOff>1314450</xdr:colOff>
          <xdr:row>1</xdr:row>
          <xdr:rowOff>666750</xdr:rowOff>
        </xdr:to>
        <xdr:sp macro="" textlink="">
          <xdr:nvSpPr>
            <xdr:cNvPr id="9968" name="tools" hidden="1">
              <a:extLst>
                <a:ext uri="{63B3BB69-23CF-44E3-9099-C40C66FF867C}">
                  <a14:compatExt spid="_x0000_s99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xdr:row>
          <xdr:rowOff>733425</xdr:rowOff>
        </xdr:from>
        <xdr:to>
          <xdr:col>2</xdr:col>
          <xdr:colOff>1314450</xdr:colOff>
          <xdr:row>2</xdr:row>
          <xdr:rowOff>219075</xdr:rowOff>
        </xdr:to>
        <xdr:sp macro="" textlink="">
          <xdr:nvSpPr>
            <xdr:cNvPr id="9969" name="printReport" hidden="1">
              <a:extLst>
                <a:ext uri="{63B3BB69-23CF-44E3-9099-C40C66FF867C}">
                  <a14:compatExt spid="_x0000_s99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47625</xdr:colOff>
          <xdr:row>2</xdr:row>
          <xdr:rowOff>276225</xdr:rowOff>
        </xdr:from>
        <xdr:to>
          <xdr:col>2</xdr:col>
          <xdr:colOff>1285875</xdr:colOff>
          <xdr:row>2</xdr:row>
          <xdr:rowOff>590550</xdr:rowOff>
        </xdr:to>
        <xdr:sp macro="" textlink="">
          <xdr:nvSpPr>
            <xdr:cNvPr id="9970" name="prioritizer" hidden="1">
              <a:extLst>
                <a:ext uri="{63B3BB69-23CF-44E3-9099-C40C66FF867C}">
                  <a14:compatExt spid="_x0000_s99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xdr:row>
          <xdr:rowOff>514350</xdr:rowOff>
        </xdr:from>
        <xdr:to>
          <xdr:col>1</xdr:col>
          <xdr:colOff>581025</xdr:colOff>
          <xdr:row>2</xdr:row>
          <xdr:rowOff>200025</xdr:rowOff>
        </xdr:to>
        <xdr:sp macro="" textlink="">
          <xdr:nvSpPr>
            <xdr:cNvPr id="9971" name="gotoDept" hidden="1">
              <a:extLst>
                <a:ext uri="{63B3BB69-23CF-44E3-9099-C40C66FF867C}">
                  <a14:compatExt spid="_x0000_s99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209550</xdr:colOff>
          <xdr:row>1</xdr:row>
          <xdr:rowOff>95250</xdr:rowOff>
        </xdr:from>
        <xdr:to>
          <xdr:col>1</xdr:col>
          <xdr:colOff>495300</xdr:colOff>
          <xdr:row>1</xdr:row>
          <xdr:rowOff>438150</xdr:rowOff>
        </xdr:to>
        <xdr:sp macro="" textlink="">
          <xdr:nvSpPr>
            <xdr:cNvPr id="9972" name="ClearSort" hidden="1">
              <a:extLst>
                <a:ext uri="{63B3BB69-23CF-44E3-9099-C40C66FF867C}">
                  <a14:compatExt spid="_x0000_s99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xdr:row>
          <xdr:rowOff>266700</xdr:rowOff>
        </xdr:from>
        <xdr:to>
          <xdr:col>1</xdr:col>
          <xdr:colOff>590550</xdr:colOff>
          <xdr:row>2</xdr:row>
          <xdr:rowOff>619125</xdr:rowOff>
        </xdr:to>
        <xdr:sp macro="" textlink="">
          <xdr:nvSpPr>
            <xdr:cNvPr id="9973" name="refreshMain" hidden="1">
              <a:extLst>
                <a:ext uri="{63B3BB69-23CF-44E3-9099-C40C66FF867C}">
                  <a14:compatExt spid="_x0000_s99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2</xdr:row>
          <xdr:rowOff>657225</xdr:rowOff>
        </xdr:from>
        <xdr:to>
          <xdr:col>1</xdr:col>
          <xdr:colOff>647700</xdr:colOff>
          <xdr:row>3</xdr:row>
          <xdr:rowOff>161925</xdr:rowOff>
        </xdr:to>
        <xdr:sp macro="" textlink="">
          <xdr:nvSpPr>
            <xdr:cNvPr id="9974" name="posReturn" hidden="1">
              <a:extLst>
                <a:ext uri="{63B3BB69-23CF-44E3-9099-C40C66FF867C}">
                  <a14:compatExt spid="_x0000_s99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xdr:row>
          <xdr:rowOff>76200</xdr:rowOff>
        </xdr:from>
        <xdr:to>
          <xdr:col>2</xdr:col>
          <xdr:colOff>1352550</xdr:colOff>
          <xdr:row>1</xdr:row>
          <xdr:rowOff>333375</xdr:rowOff>
        </xdr:to>
        <xdr:sp macro="" textlink="">
          <xdr:nvSpPr>
            <xdr:cNvPr id="9975" name="fullScreenMode" hidden="1">
              <a:extLst>
                <a:ext uri="{63B3BB69-23CF-44E3-9099-C40C66FF867C}">
                  <a14:compatExt spid="_x0000_s99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2486025</xdr:colOff>
          <xdr:row>1</xdr:row>
          <xdr:rowOff>228600</xdr:rowOff>
        </xdr:from>
        <xdr:to>
          <xdr:col>3</xdr:col>
          <xdr:colOff>2800350</xdr:colOff>
          <xdr:row>1</xdr:row>
          <xdr:rowOff>552450</xdr:rowOff>
        </xdr:to>
        <xdr:sp macro="" textlink="">
          <xdr:nvSpPr>
            <xdr:cNvPr id="9976" name="pmSht" hidden="1">
              <a:extLst>
                <a:ext uri="{63B3BB69-23CF-44E3-9099-C40C66FF867C}">
                  <a14:compatExt spid="_x0000_s99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2486025</xdr:colOff>
          <xdr:row>1</xdr:row>
          <xdr:rowOff>609600</xdr:rowOff>
        </xdr:from>
        <xdr:to>
          <xdr:col>3</xdr:col>
          <xdr:colOff>2800350</xdr:colOff>
          <xdr:row>2</xdr:row>
          <xdr:rowOff>114300</xdr:rowOff>
        </xdr:to>
        <xdr:sp macro="" textlink="">
          <xdr:nvSpPr>
            <xdr:cNvPr id="9978" name="fcSht" hidden="1">
              <a:extLst>
                <a:ext uri="{63B3BB69-23CF-44E3-9099-C40C66FF867C}">
                  <a14:compatExt spid="_x0000_s99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2486025</xdr:colOff>
          <xdr:row>2</xdr:row>
          <xdr:rowOff>171450</xdr:rowOff>
        </xdr:from>
        <xdr:to>
          <xdr:col>3</xdr:col>
          <xdr:colOff>2800350</xdr:colOff>
          <xdr:row>2</xdr:row>
          <xdr:rowOff>495300</xdr:rowOff>
        </xdr:to>
        <xdr:sp macro="" textlink="">
          <xdr:nvSpPr>
            <xdr:cNvPr id="9979" name="diSht" hidden="1">
              <a:extLst>
                <a:ext uri="{63B3BB69-23CF-44E3-9099-C40C66FF867C}">
                  <a14:compatExt spid="_x0000_s99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2486025</xdr:colOff>
          <xdr:row>2</xdr:row>
          <xdr:rowOff>561975</xdr:rowOff>
        </xdr:from>
        <xdr:to>
          <xdr:col>3</xdr:col>
          <xdr:colOff>2800350</xdr:colOff>
          <xdr:row>3</xdr:row>
          <xdr:rowOff>9525</xdr:rowOff>
        </xdr:to>
        <xdr:sp macro="" textlink="">
          <xdr:nvSpPr>
            <xdr:cNvPr id="9980" name="softSht" hidden="1">
              <a:extLst>
                <a:ext uri="{63B3BB69-23CF-44E3-9099-C40C66FF867C}">
                  <a14:compatExt spid="_x0000_s9980"/>
                </a:ext>
              </a:extLst>
            </xdr:cNvPr>
            <xdr:cNvSpPr/>
          </xdr:nvSpPr>
          <xdr:spPr>
            <a:xfrm>
              <a:off x="0" y="0"/>
              <a:ext cx="0" cy="0"/>
            </a:xfrm>
            <a:prstGeom prst="rect">
              <a:avLst/>
            </a:prstGeom>
          </xdr:spPr>
        </xdr:sp>
        <xdr:clientData/>
      </xdr:twoCellAnchor>
    </mc:Choice>
    <mc:Fallback/>
  </mc:AlternateContent>
</xdr:wsDr>
</file>

<file path=xl/queryTables/queryTable1.xml><?xml version="1.0" encoding="utf-8"?>
<queryTable xmlns="http://schemas.openxmlformats.org/spreadsheetml/2006/main" name="WD RTA Querey_rename" backgroundRefresh="0" refreshOnLoad="1" adjustColumnWidth="0" connectionId="3" autoFormatId="16" applyNumberFormats="0" applyBorderFormats="0" applyFontFormats="0" applyPatternFormats="0" applyAlignmentFormats="0" applyWidthHeightFormats="0">
  <queryTableRefresh nextId="29" unboundColumnsLeft="1">
    <queryTableFields count="23">
      <queryTableField id="17" dataBound="0" tableColumnId="17"/>
      <queryTableField id="1" name="RTA" tableColumnId="1"/>
      <queryTableField id="2" name="Customer" tableColumnId="2"/>
      <queryTableField id="3" name="Description" tableColumnId="3"/>
      <queryTableField id="4" name="Submitted" tableColumnId="4"/>
      <queryTableField id="5" name="In Stock Date" tableColumnId="5"/>
      <queryTableField id="19" dataBound="0" tableColumnId="19"/>
      <queryTableField id="18" dataBound="0" tableColumnId="18"/>
      <queryTableField id="6" name="Assigned To" tableColumnId="6"/>
      <queryTableField id="7" name="Current Status" tableColumnId="7"/>
      <queryTableField id="12" name="Class" tableColumnId="12"/>
      <queryTableField id="9" name="Tech Start Date" tableColumnId="9"/>
      <queryTableField id="23" dataBound="0" tableColumnId="22"/>
      <queryTableField id="22" dataBound="0" tableColumnId="23"/>
      <queryTableField id="21" dataBound="0" tableColumnId="21"/>
      <queryTableField id="20" dataBound="0" tableColumnId="20"/>
      <queryTableField id="10" name="Request Complete Date" tableColumnId="10"/>
      <queryTableField id="11" name="Revised Due Date" tableColumnId="11"/>
      <queryTableField id="13" name="Type" tableColumnId="13"/>
      <queryTableField id="14" name="Comments" tableColumnId="14"/>
      <queryTableField id="15" name="State" tableColumnId="15"/>
      <queryTableField id="8" name="Lab Office" tableColumnId="8"/>
      <queryTableField id="16" name="Code" tableColumnId="16"/>
    </queryTableFields>
  </queryTableRefresh>
</queryTable>
</file>

<file path=xl/queryTables/queryTable2.xml><?xml version="1.0" encoding="utf-8"?>
<queryTable xmlns="http://schemas.openxmlformats.org/spreadsheetml/2006/main" name="Permanent Monitoring Names" headers="0" refreshOnLoad="1" adjustColumnWidth="0" connectionId="4"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3.xml><?xml version="1.0" encoding="utf-8"?>
<queryTable xmlns="http://schemas.openxmlformats.org/spreadsheetml/2006/main" name="Flow Control Names" headers="0" refreshOnLoad="1" adjustColumnWidth="0" connectionId="2"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4.xml><?xml version="1.0" encoding="utf-8"?>
<queryTable xmlns="http://schemas.openxmlformats.org/spreadsheetml/2006/main" name="Digital Infrastructure Names" headers="0" refreshOnLoad="1" adjustColumnWidth="0" connectionId="1"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5.xml><?xml version="1.0" encoding="utf-8"?>
<queryTable xmlns="http://schemas.openxmlformats.org/spreadsheetml/2006/main" name="Software Names" headers="0" refreshOnLoad="1" adjustColumnWidth="0" connectionId="5"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6.xml><?xml version="1.0" encoding="utf-8"?>
<queryTable xmlns="http://schemas.openxmlformats.org/spreadsheetml/2006/main" name="Unique Depts" refreshOnLoad="1" adjustColumnWidth="0" connectionId="6" autoFormatId="16" applyNumberFormats="0" applyBorderFormats="0" applyFontFormats="0" applyPatternFormats="0" applyAlignmentFormats="0" applyWidthHeightFormats="0">
  <queryTableRefresh nextId="3">
    <queryTableFields count="1">
      <queryTableField id="2" name="Department" tableColumnId="1"/>
    </queryTableFields>
  </queryTableRefresh>
</queryTable>
</file>

<file path=xl/queryTables/queryTable7.xml><?xml version="1.0" encoding="utf-8"?>
<queryTable xmlns="http://schemas.openxmlformats.org/spreadsheetml/2006/main" name="Unique RTA States" refreshOnLoad="1" adjustColumnWidth="0" connectionId="8" autoFormatId="16" applyNumberFormats="0" applyBorderFormats="0" applyFontFormats="0" applyPatternFormats="0" applyAlignmentFormats="0" applyWidthHeightFormats="0">
  <queryTableRefresh nextId="2">
    <queryTableFields count="1">
      <queryTableField id="1" name="State" tableColumnId="1"/>
    </queryTableFields>
  </queryTableRefresh>
</queryTable>
</file>

<file path=xl/queryTables/queryTable8.xml><?xml version="1.0" encoding="utf-8"?>
<queryTable xmlns="http://schemas.openxmlformats.org/spreadsheetml/2006/main" name="Unique RTA Codes" refreshOnLoad="1" adjustColumnWidth="0" connectionId="7" autoFormatId="16" applyNumberFormats="0" applyBorderFormats="0" applyFontFormats="0" applyPatternFormats="0" applyAlignmentFormats="0" applyWidthHeightFormats="0">
  <queryTableRefresh nextId="3">
    <queryTableFields count="1">
      <queryTableField id="2" name="Code" tableColumnId="1"/>
    </queryTableFields>
  </queryTableRefresh>
</queryTable>
</file>

<file path=xl/queryTables/queryTable9.xml><?xml version="1.0" encoding="utf-8"?>
<queryTable xmlns="http://schemas.openxmlformats.org/spreadsheetml/2006/main" name="Unique RTA Types_1" refreshOnLoad="1" adjustColumnWidth="0" connectionId="9" autoFormatId="16" applyNumberFormats="0" applyBorderFormats="0" applyFontFormats="0" applyPatternFormats="0" applyAlignmentFormats="0" applyWidthHeightFormats="0">
  <queryTableRefresh nextId="2">
    <queryTableFields count="1">
      <queryTableField id="1" name="Typ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id="6" name="Main" displayName="Main" ref="A5:W1338" tableType="queryTable" totalsRowShown="0" headerRowDxfId="60" dataDxfId="58" headerRowBorderDxfId="59">
  <sortState ref="A6:W1338">
    <sortCondition ref="A5:A1338"/>
  </sortState>
  <tableColumns count="23">
    <tableColumn id="17" uniqueName="17" name=" " queryTableFieldId="17" dataDxfId="29">
      <calculatedColumnFormula>IF(priority(Main[[#This Row],[Comments]])&lt;&gt;0, priority(Main[[#This Row],[Comments]]),"")</calculatedColumnFormula>
    </tableColumn>
    <tableColumn id="1" uniqueName="1" name="RTA" queryTableFieldId="1" dataDxfId="28"/>
    <tableColumn id="2" uniqueName="2" name="Customer" queryTableFieldId="2" dataDxfId="27"/>
    <tableColumn id="3" uniqueName="3" name="Description" queryTableFieldId="3" dataDxfId="26"/>
    <tableColumn id="4" uniqueName="4" name="Submitted" queryTableFieldId="4" dataDxfId="25"/>
    <tableColumn id="5" uniqueName="5" name="In Stock Date" queryTableFieldId="5" dataDxfId="24"/>
    <tableColumn id="19" uniqueName="19" name="Standard Production Lead Time" queryTableFieldId="19" dataDxfId="23">
      <calculatedColumnFormula>IF(stdProdLT(Main[[#This Row],[Comments]])=0.1,"N/A",IF(stdProdLT(Main[[#This Row],[Comments]])=0,"",stdProdLT(Main[[#This Row],[Comments]])))</calculatedColumnFormula>
    </tableColumn>
    <tableColumn id="18" uniqueName="18" name="Remaining Production Lead Time" queryTableFieldId="18" dataDxfId="22">
      <calculatedColumnFormula>IF(AND(Main[[#This Row],[In Stock Date]]&lt;&gt;"",Main[[#This Row],[Revised Due Date]]&lt;&gt;""),Main[[#This Row],[In Stock Date]]-Main[[#This Row],[Revised Due Date]],"")</calculatedColumnFormula>
    </tableColumn>
    <tableColumn id="6" uniqueName="6" name="Assigned To" queryTableFieldId="6" dataDxfId="21"/>
    <tableColumn id="7" uniqueName="7" name="Current Status" queryTableFieldId="7" dataDxfId="20"/>
    <tableColumn id="12" uniqueName="12" name="Class" queryTableFieldId="12" dataDxfId="19"/>
    <tableColumn id="9" uniqueName="9" name="Tech Start Date" queryTableFieldId="9" dataDxfId="18"/>
    <tableColumn id="22" uniqueName="22" name="Design" queryTableFieldId="23" dataDxfId="17">
      <calculatedColumnFormula>IF(Main[[#This Row],[Tech Start Date]]&lt;1/1/1990,"",IF(Main[[#This Row],[Class]]="C",WORKDAY(Main[[#This Row],[Tech Start Date]],9),IF(Main[[#This Row],[Class]]="B", WORKDAY(Main[[#This Row],[Tech Start Date]],6),IF(Main[[#This Row],[Class]]="A",WORKDAY(Main[[#This Row],[Tech Start Date]],2),""))))</calculatedColumnFormula>
    </tableColumn>
    <tableColumn id="23" uniqueName="23" name="Draft" queryTableFieldId="22" dataDxfId="16">
      <calculatedColumnFormula>IF(Main[[#This Row],[Tech Start Date]]&lt;1/1/1990,"",IF(Main[[#This Row],[Class]]="C",WORKDAY(Main[[#This Row],[Tech Start Date]],19),IF(Main[[#This Row],[Class]]="B", WORKDAY(Main[[#This Row],[Tech Start Date]],12),IF(Main[[#This Row],[Class]]="A",WORKDAY(Main[[#This Row],[Tech Start Date]],4),""))))</calculatedColumnFormula>
    </tableColumn>
    <tableColumn id="21" uniqueName="21" name="Check" queryTableFieldId="21" dataDxfId="15">
      <calculatedColumnFormula>IF(Main[[#This Row],[Tech Start Date]]&lt;1/1/1990,"",IF(Main[[#This Row],[Class]]="C",WORKDAY(Main[[#This Row],[Tech Start Date]],23),IF(Main[[#This Row],[Class]]="B", WORKDAY(Main[[#This Row],[Tech Start Date]],15),IF(Main[[#This Row],[Class]]="A",WORKDAY(Main[[#This Row],[Tech Start Date]],5),""))))</calculatedColumnFormula>
    </tableColumn>
    <tableColumn id="20" uniqueName="20" name="Approve" queryTableFieldId="20" dataDxfId="14">
      <calculatedColumnFormula>IF(Main[[#This Row],[Tech Start Date]]&lt;1/1/1990,"",IF(Main[[#This Row],[Class]]="C",WORKDAY(Main[[#This Row],[Tech Start Date]],28),IF(Main[[#This Row],[Class]]="B", WORKDAY(Main[[#This Row],[Tech Start Date]],19),IF(Main[[#This Row],[Class]]="A",WORKDAY(Main[[#This Row],[Tech Start Date]],9),""))))</calculatedColumnFormula>
    </tableColumn>
    <tableColumn id="10" uniqueName="10" name="Request Complete Date" queryTableFieldId="10" dataDxfId="13"/>
    <tableColumn id="11" uniqueName="11" name="Revised Due Date" queryTableFieldId="11" dataDxfId="12"/>
    <tableColumn id="13" uniqueName="13" name="Type" queryTableFieldId="13" dataDxfId="11"/>
    <tableColumn id="14" uniqueName="14" name="Comments" queryTableFieldId="14" dataDxfId="10"/>
    <tableColumn id="15" uniqueName="15" name="State" queryTableFieldId="15" dataDxfId="9"/>
    <tableColumn id="8" uniqueName="8" name="Lab Office" queryTableFieldId="8" dataDxfId="8"/>
    <tableColumn id="16" uniqueName="16" name="Code" queryTableFieldId="16" dataDxfId="7"/>
  </tableColumns>
  <tableStyleInfo name="TableStyleLight1 2" showFirstColumn="0" showLastColumn="0" showRowStripes="1" showColumnStripes="0"/>
</table>
</file>

<file path=xl/tables/table2.xml><?xml version="1.0" encoding="utf-8"?>
<table xmlns="http://schemas.openxmlformats.org/spreadsheetml/2006/main" id="2" name="NamePM" displayName="NamePM" ref="C29:C53" tableType="queryTable" headerRowCount="0" totalsRowShown="0" headerRowDxfId="57" dataDxfId="56">
  <tableColumns count="1">
    <tableColumn id="1" uniqueName="1" name="Assigned To" queryTableFieldId="1" headerRowDxfId="55" dataDxfId="0"/>
  </tableColumns>
  <tableStyleInfo name="TableStyleMedium9" showFirstColumn="0" showLastColumn="0" showRowStripes="1" showColumnStripes="0"/>
</table>
</file>

<file path=xl/tables/table3.xml><?xml version="1.0" encoding="utf-8"?>
<table xmlns="http://schemas.openxmlformats.org/spreadsheetml/2006/main" id="3" name="NameFC" displayName="NameFC" ref="D29:D72" tableType="queryTable" headerRowCount="0" totalsRowShown="0" headerRowDxfId="54" dataDxfId="53">
  <tableColumns count="1">
    <tableColumn id="1" uniqueName="1" name="Assigned To" queryTableFieldId="1" headerRowDxfId="52" dataDxfId="1"/>
  </tableColumns>
  <tableStyleInfo name="TableStyleMedium9" showFirstColumn="0" showLastColumn="0" showRowStripes="1" showColumnStripes="0"/>
</table>
</file>

<file path=xl/tables/table4.xml><?xml version="1.0" encoding="utf-8"?>
<table xmlns="http://schemas.openxmlformats.org/spreadsheetml/2006/main" id="4" name="NameDI" displayName="NameDI" ref="E29:E46" tableType="queryTable" headerRowCount="0" totalsRowShown="0" headerRowDxfId="51" dataDxfId="50">
  <tableColumns count="1">
    <tableColumn id="1" uniqueName="1" name="Assigned To" queryTableFieldId="1" headerRowDxfId="49" dataDxfId="2"/>
  </tableColumns>
  <tableStyleInfo name="TableStyleMedium9" showFirstColumn="0" showLastColumn="0" showRowStripes="1" showColumnStripes="0"/>
</table>
</file>

<file path=xl/tables/table5.xml><?xml version="1.0" encoding="utf-8"?>
<table xmlns="http://schemas.openxmlformats.org/spreadsheetml/2006/main" id="5" name="NameS" displayName="NameS" ref="F29:F38" tableType="queryTable" headerRowCount="0" totalsRowShown="0">
  <tableColumns count="1">
    <tableColumn id="1" uniqueName="1" name="Assigned To" queryTableFieldId="1" headerRowDxfId="48" dataDxfId="3"/>
  </tableColumns>
  <tableStyleInfo name="TableStyleMedium9" showFirstColumn="0" showLastColumn="0" showRowStripes="1" showColumnStripes="0"/>
</table>
</file>

<file path=xl/tables/table6.xml><?xml version="1.0" encoding="utf-8"?>
<table xmlns="http://schemas.openxmlformats.org/spreadsheetml/2006/main" id="7" name="ATTRdept" displayName="ATTRdept" ref="G28:G39" tableType="queryTable" totalsRowShown="0" headerRowDxfId="47">
  <autoFilter ref="G28:G39"/>
  <tableColumns count="1">
    <tableColumn id="1" uniqueName="1" name="Department" queryTableFieldId="2"/>
  </tableColumns>
  <tableStyleInfo name="TableStyleMedium9" showFirstColumn="0" showLastColumn="0" showRowStripes="1" showColumnStripes="0"/>
</table>
</file>

<file path=xl/tables/table7.xml><?xml version="1.0" encoding="utf-8"?>
<table xmlns="http://schemas.openxmlformats.org/spreadsheetml/2006/main" id="9" name="ATTRstate" displayName="ATTRstate" ref="I28:I36" tableType="queryTable" totalsRowShown="0" headerRowDxfId="46" dataDxfId="45">
  <autoFilter ref="I28:I36"/>
  <sortState ref="I29:I36">
    <sortCondition ref="I2:I10"/>
  </sortState>
  <tableColumns count="1">
    <tableColumn id="1" uniqueName="1" name="State" queryTableFieldId="1" dataDxfId="4"/>
  </tableColumns>
  <tableStyleInfo name="TableStyleMedium9" showFirstColumn="0" showLastColumn="0" showRowStripes="1" showColumnStripes="0"/>
</table>
</file>

<file path=xl/tables/table8.xml><?xml version="1.0" encoding="utf-8"?>
<table xmlns="http://schemas.openxmlformats.org/spreadsheetml/2006/main" id="10" name="ATTRcode" displayName="ATTRcode" ref="J28:J35" tableType="queryTable" totalsRowShown="0" headerRowDxfId="44">
  <autoFilter ref="J28:J35"/>
  <sortState ref="J29:J35">
    <sortCondition ref="J24:J31"/>
  </sortState>
  <tableColumns count="1">
    <tableColumn id="1" uniqueName="1" name="Code" queryTableFieldId="2" dataDxfId="5"/>
  </tableColumns>
  <tableStyleInfo name="TableStyleMedium9" showFirstColumn="0" showLastColumn="0" showRowStripes="1" showColumnStripes="0"/>
</table>
</file>

<file path=xl/tables/table9.xml><?xml version="1.0" encoding="utf-8"?>
<table xmlns="http://schemas.openxmlformats.org/spreadsheetml/2006/main" id="8" name="ATTRtype" displayName="ATTRtype" ref="H28:H36" tableType="queryTable" totalsRowShown="0" headerRowDxfId="43" dataDxfId="42" tableBorderDxfId="41">
  <autoFilter ref="H28:H36"/>
  <tableColumns count="1">
    <tableColumn id="1" uniqueName="1" name="Type" queryTableFieldId="1" dataDxfId="6"/>
  </tableColumns>
  <tableStyleInfo name="TableStyleMedium9" showFirstColumn="0" showLastColumn="0" showRowStripes="1" showColumnStripes="0"/>
</table>
</file>

<file path=xl/tables/table10.xml><?xml version="1.0" encoding="utf-8"?>
<table xmlns="http://schemas.openxmlformats.org/spreadsheetml/2006/main" id="1" name="Table1" displayName="Table1" ref="K28:O32" totalsRowShown="0" tableBorderDxfId="40">
  <autoFilter ref="K28:O32"/>
  <tableColumns count="5">
    <tableColumn id="1" name="Class"/>
    <tableColumn id="2" name="Design"/>
    <tableColumn id="3" name="Draft"/>
    <tableColumn id="4" name="Check"/>
    <tableColumn id="5" name="Approve"/>
  </tableColumns>
  <tableStyleInfo name="TableStyleMedium9" showFirstColumn="1" showLastColumn="0" showRowStripes="1" showColumnStripes="0"/>
</table>
</file>

<file path=xl/tables/table11.xml><?xml version="1.0" encoding="utf-8"?>
<table xmlns="http://schemas.openxmlformats.org/spreadsheetml/2006/main" id="16" name="Table16" displayName="Table16" ref="A2:H3" insertRow="1" totalsRowShown="0" headerRowDxfId="39" dataDxfId="38">
  <tableColumns count="8">
    <tableColumn id="1" name="#" dataDxfId="37"/>
    <tableColumn id="2" name="RTA" dataDxfId="36"/>
    <tableColumn id="3" name="Customer" dataDxfId="35"/>
    <tableColumn id="4" name="Description" dataDxfId="34"/>
    <tableColumn id="5" name="Available In Stock" dataDxfId="33"/>
    <tableColumn id="11" name="Assigned To" dataDxfId="32"/>
    <tableColumn id="8" name="Status" dataDxfId="31"/>
    <tableColumn id="9" name="Tech Rev'd Due Date" dataDxfId="3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control" Target="../activeX/activeX7.xml"/><Relationship Id="rId18" Type="http://schemas.openxmlformats.org/officeDocument/2006/relationships/image" Target="../media/image10.emf"/><Relationship Id="rId26" Type="http://schemas.openxmlformats.org/officeDocument/2006/relationships/image" Target="../media/image14.emf"/><Relationship Id="rId39" Type="http://schemas.openxmlformats.org/officeDocument/2006/relationships/control" Target="../activeX/activeX21.xml"/><Relationship Id="rId3" Type="http://schemas.openxmlformats.org/officeDocument/2006/relationships/vmlDrawing" Target="../drawings/vmlDrawing2.vml"/><Relationship Id="rId21" Type="http://schemas.openxmlformats.org/officeDocument/2006/relationships/control" Target="../activeX/activeX11.xml"/><Relationship Id="rId34" Type="http://schemas.openxmlformats.org/officeDocument/2006/relationships/image" Target="../media/image18.emf"/><Relationship Id="rId7" Type="http://schemas.openxmlformats.org/officeDocument/2006/relationships/control" Target="../activeX/activeX4.xml"/><Relationship Id="rId12" Type="http://schemas.openxmlformats.org/officeDocument/2006/relationships/image" Target="../media/image7.emf"/><Relationship Id="rId17" Type="http://schemas.openxmlformats.org/officeDocument/2006/relationships/control" Target="../activeX/activeX9.xml"/><Relationship Id="rId25" Type="http://schemas.openxmlformats.org/officeDocument/2006/relationships/control" Target="../activeX/activeX13.xml"/><Relationship Id="rId33" Type="http://schemas.openxmlformats.org/officeDocument/2006/relationships/control" Target="../activeX/activeX17.xml"/><Relationship Id="rId38" Type="http://schemas.openxmlformats.org/officeDocument/2006/relationships/control" Target="../activeX/activeX20.xml"/><Relationship Id="rId2" Type="http://schemas.openxmlformats.org/officeDocument/2006/relationships/drawing" Target="../drawings/drawing2.xml"/><Relationship Id="rId16" Type="http://schemas.openxmlformats.org/officeDocument/2006/relationships/image" Target="../media/image9.emf"/><Relationship Id="rId20" Type="http://schemas.openxmlformats.org/officeDocument/2006/relationships/image" Target="../media/image11.emf"/><Relationship Id="rId29" Type="http://schemas.openxmlformats.org/officeDocument/2006/relationships/control" Target="../activeX/activeX15.xml"/><Relationship Id="rId1" Type="http://schemas.openxmlformats.org/officeDocument/2006/relationships/printerSettings" Target="../printerSettings/printerSettings2.bin"/><Relationship Id="rId6" Type="http://schemas.openxmlformats.org/officeDocument/2006/relationships/image" Target="../media/image4.emf"/><Relationship Id="rId11" Type="http://schemas.openxmlformats.org/officeDocument/2006/relationships/control" Target="../activeX/activeX6.xml"/><Relationship Id="rId24" Type="http://schemas.openxmlformats.org/officeDocument/2006/relationships/image" Target="../media/image13.emf"/><Relationship Id="rId32" Type="http://schemas.openxmlformats.org/officeDocument/2006/relationships/image" Target="../media/image17.emf"/><Relationship Id="rId37" Type="http://schemas.openxmlformats.org/officeDocument/2006/relationships/control" Target="../activeX/activeX19.xml"/><Relationship Id="rId40" Type="http://schemas.openxmlformats.org/officeDocument/2006/relationships/table" Target="../tables/table1.xml"/><Relationship Id="rId5" Type="http://schemas.openxmlformats.org/officeDocument/2006/relationships/control" Target="../activeX/activeX3.xml"/><Relationship Id="rId15" Type="http://schemas.openxmlformats.org/officeDocument/2006/relationships/control" Target="../activeX/activeX8.xml"/><Relationship Id="rId23" Type="http://schemas.openxmlformats.org/officeDocument/2006/relationships/control" Target="../activeX/activeX12.xml"/><Relationship Id="rId28" Type="http://schemas.openxmlformats.org/officeDocument/2006/relationships/image" Target="../media/image15.emf"/><Relationship Id="rId36" Type="http://schemas.openxmlformats.org/officeDocument/2006/relationships/image" Target="../media/image19.emf"/><Relationship Id="rId10" Type="http://schemas.openxmlformats.org/officeDocument/2006/relationships/image" Target="../media/image6.emf"/><Relationship Id="rId19" Type="http://schemas.openxmlformats.org/officeDocument/2006/relationships/control" Target="../activeX/activeX10.xml"/><Relationship Id="rId31" Type="http://schemas.openxmlformats.org/officeDocument/2006/relationships/control" Target="../activeX/activeX16.xml"/><Relationship Id="rId4" Type="http://schemas.openxmlformats.org/officeDocument/2006/relationships/vmlDrawing" Target="../drawings/vmlDrawing3.vml"/><Relationship Id="rId9" Type="http://schemas.openxmlformats.org/officeDocument/2006/relationships/control" Target="../activeX/activeX5.xml"/><Relationship Id="rId14" Type="http://schemas.openxmlformats.org/officeDocument/2006/relationships/image" Target="../media/image8.emf"/><Relationship Id="rId22" Type="http://schemas.openxmlformats.org/officeDocument/2006/relationships/image" Target="../media/image12.emf"/><Relationship Id="rId27" Type="http://schemas.openxmlformats.org/officeDocument/2006/relationships/control" Target="../activeX/activeX14.xml"/><Relationship Id="rId30" Type="http://schemas.openxmlformats.org/officeDocument/2006/relationships/image" Target="../media/image16.emf"/><Relationship Id="rId35" Type="http://schemas.openxmlformats.org/officeDocument/2006/relationships/control" Target="../activeX/activeX18.xml"/></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2:L28"/>
  <sheetViews>
    <sheetView tabSelected="1" zoomScaleNormal="100" workbookViewId="0"/>
  </sheetViews>
  <sheetFormatPr defaultRowHeight="14.25"/>
  <cols>
    <col min="1" max="1" width="2.75" style="74" customWidth="1"/>
    <col min="2" max="2" width="9.5" style="74" customWidth="1"/>
    <col min="3" max="3" width="9.75" style="74" customWidth="1"/>
    <col min="4" max="4" width="8" style="74" customWidth="1"/>
    <col min="5" max="9" width="9.5" style="74" customWidth="1"/>
    <col min="10" max="16384" width="9" style="74"/>
  </cols>
  <sheetData>
    <row r="2" spans="2:12">
      <c r="C2" s="138" t="s">
        <v>2124</v>
      </c>
      <c r="D2" s="138"/>
      <c r="E2" s="138"/>
      <c r="F2" s="138"/>
      <c r="G2" s="138"/>
      <c r="H2" s="138"/>
      <c r="I2" s="138"/>
      <c r="J2" s="138"/>
      <c r="K2" s="138"/>
    </row>
    <row r="3" spans="2:12">
      <c r="C3" s="138"/>
      <c r="D3" s="138"/>
      <c r="E3" s="138"/>
      <c r="F3" s="138"/>
      <c r="G3" s="138"/>
      <c r="H3" s="138"/>
      <c r="I3" s="138"/>
      <c r="J3" s="138"/>
      <c r="K3" s="138"/>
    </row>
    <row r="4" spans="2:12" ht="15" customHeight="1">
      <c r="C4" s="138"/>
      <c r="D4" s="138"/>
      <c r="E4" s="138"/>
      <c r="F4" s="138"/>
      <c r="G4" s="138"/>
      <c r="H4" s="138"/>
      <c r="I4" s="138"/>
      <c r="J4" s="138"/>
      <c r="K4" s="138"/>
    </row>
    <row r="5" spans="2:12" ht="14.25" customHeight="1">
      <c r="C5" s="138"/>
      <c r="D5" s="138"/>
      <c r="E5" s="138"/>
      <c r="F5" s="138"/>
      <c r="G5" s="138"/>
      <c r="H5" s="138"/>
      <c r="I5" s="138"/>
      <c r="J5" s="138"/>
      <c r="K5" s="138"/>
    </row>
    <row r="6" spans="2:12" ht="14.25" customHeight="1">
      <c r="C6" s="138"/>
      <c r="D6" s="138"/>
      <c r="E6" s="138"/>
      <c r="F6" s="138"/>
      <c r="G6" s="138"/>
      <c r="H6" s="138"/>
      <c r="I6" s="138"/>
      <c r="J6" s="138"/>
      <c r="K6" s="138"/>
    </row>
    <row r="7" spans="2:12" ht="14.25" customHeight="1"/>
    <row r="8" spans="2:12" ht="14.25" customHeight="1"/>
    <row r="9" spans="2:12" ht="14.25" customHeight="1"/>
    <row r="10" spans="2:12" ht="14.25" customHeight="1"/>
    <row r="11" spans="2:12" ht="14.25" customHeight="1"/>
    <row r="12" spans="2:12" ht="14.25" customHeight="1"/>
    <row r="13" spans="2:12" ht="14.25" customHeight="1"/>
    <row r="14" spans="2:12" ht="6.75" customHeight="1"/>
    <row r="15" spans="2:12" ht="6.75" customHeight="1">
      <c r="B15" s="79"/>
      <c r="C15" s="79"/>
      <c r="D15" s="79"/>
      <c r="E15" s="79"/>
      <c r="F15" s="79"/>
      <c r="G15" s="79"/>
      <c r="H15" s="79"/>
      <c r="I15" s="79"/>
      <c r="J15" s="79"/>
      <c r="K15" s="79"/>
      <c r="L15" s="79"/>
    </row>
    <row r="16" spans="2:12" ht="33.75">
      <c r="B16" s="137" t="s">
        <v>2091</v>
      </c>
      <c r="C16" s="137"/>
      <c r="D16" s="137"/>
      <c r="E16" s="137"/>
      <c r="F16" s="137"/>
      <c r="G16" s="137"/>
      <c r="H16" s="137"/>
      <c r="I16" s="137"/>
      <c r="J16" s="137"/>
      <c r="K16" s="137"/>
      <c r="L16" s="137"/>
    </row>
    <row r="17" spans="1:12">
      <c r="B17" s="80"/>
      <c r="C17" s="80"/>
      <c r="D17" s="80"/>
      <c r="E17" s="80"/>
      <c r="F17" s="80"/>
      <c r="G17" s="80"/>
      <c r="H17" s="80"/>
      <c r="I17" s="80"/>
      <c r="J17" s="80"/>
      <c r="K17" s="80"/>
      <c r="L17" s="80"/>
    </row>
    <row r="18" spans="1:12" ht="14.25" customHeight="1">
      <c r="B18" s="81" t="s">
        <v>2103</v>
      </c>
      <c r="C18" s="80"/>
      <c r="D18" s="82"/>
      <c r="E18" s="82"/>
      <c r="F18" s="82"/>
      <c r="G18" s="82"/>
      <c r="H18" s="82"/>
      <c r="I18" s="82"/>
      <c r="J18" s="82"/>
      <c r="K18" s="80"/>
      <c r="L18" s="80"/>
    </row>
    <row r="19" spans="1:12" s="75" customFormat="1" ht="21" customHeight="1">
      <c r="A19" s="74"/>
      <c r="B19" s="80"/>
      <c r="C19" s="80"/>
      <c r="D19" s="80"/>
      <c r="E19" s="80"/>
      <c r="F19" s="80"/>
      <c r="G19" s="80"/>
      <c r="H19" s="80"/>
      <c r="I19" s="80"/>
      <c r="J19" s="80"/>
      <c r="K19" s="82"/>
      <c r="L19" s="82"/>
    </row>
    <row r="20" spans="1:12" ht="14.25" customHeight="1">
      <c r="B20" s="80"/>
      <c r="C20" s="80"/>
      <c r="D20" s="83" t="s">
        <v>2101</v>
      </c>
      <c r="E20" s="83"/>
      <c r="F20" s="83"/>
      <c r="G20" s="83"/>
      <c r="H20" s="83"/>
      <c r="I20" s="83"/>
      <c r="J20" s="84"/>
      <c r="K20" s="84"/>
      <c r="L20" s="80"/>
    </row>
    <row r="21" spans="1:12" ht="24" customHeight="1">
      <c r="B21" s="80"/>
      <c r="C21" s="80"/>
      <c r="D21" s="82"/>
      <c r="E21" s="85" t="s">
        <v>2092</v>
      </c>
      <c r="F21" s="82"/>
      <c r="G21" s="82"/>
      <c r="H21" s="82"/>
      <c r="I21" s="82"/>
      <c r="J21" s="80"/>
      <c r="K21" s="80"/>
      <c r="L21" s="80"/>
    </row>
    <row r="22" spans="1:12" s="76" customFormat="1" ht="25.5" customHeight="1">
      <c r="B22" s="86"/>
      <c r="C22" s="86"/>
      <c r="D22" s="87"/>
      <c r="E22" s="85" t="s">
        <v>2093</v>
      </c>
      <c r="F22" s="87"/>
      <c r="G22" s="87"/>
      <c r="H22" s="87"/>
      <c r="I22" s="87"/>
      <c r="J22" s="86"/>
      <c r="K22" s="86"/>
      <c r="L22" s="86"/>
    </row>
    <row r="23" spans="1:12" s="76" customFormat="1" ht="15">
      <c r="B23" s="86"/>
      <c r="C23" s="86"/>
      <c r="D23" s="87"/>
      <c r="E23" s="85" t="s">
        <v>2094</v>
      </c>
      <c r="F23" s="87"/>
      <c r="G23" s="87"/>
      <c r="H23" s="87"/>
      <c r="I23" s="87"/>
      <c r="J23" s="86"/>
      <c r="K23" s="86"/>
      <c r="L23" s="86"/>
    </row>
    <row r="24" spans="1:12" s="76" customFormat="1" ht="20.25" customHeight="1">
      <c r="B24" s="86"/>
      <c r="C24" s="86"/>
      <c r="D24" s="87"/>
      <c r="E24" s="88" t="s">
        <v>2100</v>
      </c>
      <c r="F24" s="89"/>
      <c r="G24" s="89"/>
      <c r="H24" s="89"/>
      <c r="I24" s="89"/>
      <c r="J24" s="90"/>
      <c r="K24" s="86"/>
      <c r="L24" s="86"/>
    </row>
    <row r="25" spans="1:12" ht="20.25" customHeight="1">
      <c r="B25" s="77"/>
      <c r="C25" s="77"/>
      <c r="D25" s="77"/>
      <c r="E25" s="77"/>
      <c r="F25" s="77"/>
      <c r="G25" s="77"/>
      <c r="H25" s="77"/>
      <c r="I25" s="77"/>
      <c r="J25" s="77"/>
      <c r="K25" s="77"/>
      <c r="L25" s="77"/>
    </row>
    <row r="26" spans="1:12" ht="14.25" customHeight="1"/>
    <row r="27" spans="1:12" ht="14.25" customHeight="1"/>
    <row r="28" spans="1:12" ht="14.25" customHeight="1"/>
  </sheetData>
  <dataConsolidate/>
  <mergeCells count="2">
    <mergeCell ref="B16:L16"/>
    <mergeCell ref="C2:K6"/>
  </mergeCells>
  <pageMargins left="0.7" right="0.7" top="0.75" bottom="0.75" header="0.3" footer="0.3"/>
  <pageSetup orientation="portrait" r:id="rId1"/>
  <drawing r:id="rId2"/>
  <legacyDrawing r:id="rId3"/>
  <controls>
    <mc:AlternateContent xmlns:mc="http://schemas.openxmlformats.org/markup-compatibility/2006">
      <mc:Choice Requires="x14">
        <control shapeId="2052" r:id="rId4" name="CommandButton1">
          <controlPr defaultSize="0" autoLine="0" r:id="rId5">
            <anchor moveWithCells="1">
              <from>
                <xdr:col>5</xdr:col>
                <xdr:colOff>419100</xdr:colOff>
                <xdr:row>24</xdr:row>
                <xdr:rowOff>219075</xdr:rowOff>
              </from>
              <to>
                <xdr:col>7</xdr:col>
                <xdr:colOff>209550</xdr:colOff>
                <xdr:row>27</xdr:row>
                <xdr:rowOff>95250</xdr:rowOff>
              </to>
            </anchor>
          </controlPr>
        </control>
      </mc:Choice>
      <mc:Fallback>
        <control shapeId="2052" r:id="rId4" name="CommandButton1"/>
      </mc:Fallback>
    </mc:AlternateContent>
    <mc:AlternateContent xmlns:mc="http://schemas.openxmlformats.org/markup-compatibility/2006">
      <mc:Choice Requires="x14">
        <control shapeId="2051" r:id="rId6" name="sheetRev">
          <controlPr defaultSize="0" autoLine="0" r:id="rId7">
            <anchor moveWithCells="1">
              <from>
                <xdr:col>10</xdr:col>
                <xdr:colOff>542925</xdr:colOff>
                <xdr:row>5</xdr:row>
                <xdr:rowOff>47625</xdr:rowOff>
              </from>
              <to>
                <xdr:col>11</xdr:col>
                <xdr:colOff>104775</xdr:colOff>
                <xdr:row>6</xdr:row>
                <xdr:rowOff>104775</xdr:rowOff>
              </to>
            </anchor>
          </controlPr>
        </control>
      </mc:Choice>
      <mc:Fallback>
        <control shapeId="2051" r:id="rId6" name="sheetRev"/>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E1338"/>
  <sheetViews>
    <sheetView zoomScaleNormal="100" workbookViewId="0">
      <pane xSplit="4" ySplit="5" topLeftCell="F6" activePane="bottomRight" state="frozen"/>
      <selection pane="topRight" activeCell="E1" sqref="E1"/>
      <selection pane="bottomLeft" activeCell="A6" sqref="A6"/>
      <selection pane="bottomRight" activeCell="B33" sqref="B33"/>
    </sheetView>
  </sheetViews>
  <sheetFormatPr defaultColWidth="9" defaultRowHeight="18.600000000000001" customHeight="1"/>
  <cols>
    <col min="1" max="1" width="6.75" style="68" customWidth="1"/>
    <col min="2" max="2" width="9.25" style="66" customWidth="1"/>
    <col min="3" max="3" width="18.25" style="66" customWidth="1"/>
    <col min="4" max="4" width="38.5" style="66" customWidth="1"/>
    <col min="5" max="5" width="11.375" style="66" hidden="1" customWidth="1"/>
    <col min="6" max="6" width="12.625" style="66" customWidth="1"/>
    <col min="7" max="8" width="10.625" style="66" customWidth="1"/>
    <col min="9" max="9" width="20.125" style="66" hidden="1" customWidth="1"/>
    <col min="10" max="10" width="17.875" style="66" customWidth="1"/>
    <col min="11" max="11" width="8" style="66" hidden="1" customWidth="1"/>
    <col min="12" max="12" width="12.25" style="69" hidden="1" customWidth="1"/>
    <col min="13" max="16" width="13.5" style="69" hidden="1" customWidth="1"/>
    <col min="17" max="17" width="14.25" style="70" hidden="1" customWidth="1"/>
    <col min="18" max="18" width="12.625" style="69" customWidth="1"/>
    <col min="19" max="19" width="17.375" style="66" hidden="1" customWidth="1"/>
    <col min="20" max="20" width="31" style="66" hidden="1" customWidth="1"/>
    <col min="21" max="21" width="13.375" style="66" hidden="1" customWidth="1"/>
    <col min="22" max="22" width="11.5" style="66" hidden="1" customWidth="1"/>
    <col min="23" max="23" width="6.375" style="66" hidden="1" customWidth="1"/>
    <col min="24" max="24" width="13.875" style="66" customWidth="1"/>
    <col min="25" max="25" width="5.875" style="66" customWidth="1"/>
    <col min="26" max="26" width="7.75" style="66" customWidth="1"/>
    <col min="27" max="27" width="5.75" style="66" customWidth="1"/>
    <col min="28" max="28" width="22.375" style="66" customWidth="1"/>
    <col min="29" max="16384" width="9" style="66"/>
  </cols>
  <sheetData>
    <row r="1" spans="1:31" s="59" customFormat="1" ht="21" customHeight="1">
      <c r="A1" s="141" t="s">
        <v>3092</v>
      </c>
      <c r="B1" s="142"/>
      <c r="C1" s="72" t="s">
        <v>3093</v>
      </c>
      <c r="D1" s="64"/>
      <c r="L1" s="60"/>
      <c r="M1" s="60"/>
      <c r="N1" s="60"/>
      <c r="O1" s="60"/>
      <c r="P1" s="60"/>
      <c r="Q1" s="60"/>
    </row>
    <row r="2" spans="1:31" s="59" customFormat="1" ht="64.5" customHeight="1">
      <c r="A2" s="145"/>
      <c r="B2" s="146"/>
      <c r="C2" s="143"/>
      <c r="D2" s="63"/>
      <c r="L2" s="60"/>
      <c r="M2" s="60"/>
      <c r="N2" s="60"/>
      <c r="O2" s="60"/>
      <c r="P2" s="60"/>
      <c r="Q2" s="60"/>
    </row>
    <row r="3" spans="1:31" s="59" customFormat="1" ht="69" customHeight="1">
      <c r="A3" s="147"/>
      <c r="B3" s="148"/>
      <c r="C3" s="144"/>
      <c r="D3" s="63"/>
      <c r="L3" s="60"/>
      <c r="M3" s="61"/>
      <c r="N3" s="60"/>
      <c r="O3" s="60"/>
      <c r="P3" s="60"/>
      <c r="Q3" s="60"/>
    </row>
    <row r="4" spans="1:31" s="57" customFormat="1" ht="18" customHeight="1">
      <c r="A4" s="147"/>
      <c r="B4" s="148"/>
      <c r="C4" s="144"/>
      <c r="D4" s="62"/>
      <c r="L4" s="58"/>
      <c r="M4" s="58"/>
      <c r="N4" s="58"/>
      <c r="O4" s="58"/>
      <c r="P4" s="58"/>
      <c r="Q4" s="58"/>
    </row>
    <row r="5" spans="1:31" s="65" customFormat="1" ht="42" customHeight="1">
      <c r="A5" s="73" t="s">
        <v>86</v>
      </c>
      <c r="B5" s="96" t="s">
        <v>986</v>
      </c>
      <c r="C5" s="95" t="s">
        <v>1033</v>
      </c>
      <c r="D5" s="91" t="s">
        <v>0</v>
      </c>
      <c r="E5" s="91" t="s">
        <v>7</v>
      </c>
      <c r="F5" s="91" t="s">
        <v>1034</v>
      </c>
      <c r="G5" s="92" t="s">
        <v>2011</v>
      </c>
      <c r="H5" s="92" t="s">
        <v>2012</v>
      </c>
      <c r="I5" s="91" t="s">
        <v>1961</v>
      </c>
      <c r="J5" s="91" t="s">
        <v>1035</v>
      </c>
      <c r="K5" s="91" t="s">
        <v>989</v>
      </c>
      <c r="L5" s="91" t="s">
        <v>1036</v>
      </c>
      <c r="M5" s="94" t="s">
        <v>987</v>
      </c>
      <c r="N5" s="94" t="s">
        <v>988</v>
      </c>
      <c r="O5" s="94" t="s">
        <v>1000</v>
      </c>
      <c r="P5" s="94" t="s">
        <v>1001</v>
      </c>
      <c r="Q5" s="92" t="s">
        <v>1037</v>
      </c>
      <c r="R5" s="91" t="s">
        <v>1960</v>
      </c>
      <c r="S5" s="97" t="s">
        <v>990</v>
      </c>
      <c r="T5" s="93" t="s">
        <v>2</v>
      </c>
      <c r="U5" s="93" t="s">
        <v>3</v>
      </c>
      <c r="V5" s="93" t="s">
        <v>1</v>
      </c>
      <c r="W5" s="98" t="s">
        <v>1038</v>
      </c>
      <c r="X5" s="139"/>
      <c r="Y5" s="140"/>
      <c r="Z5" s="140"/>
      <c r="AA5" s="140"/>
      <c r="AB5" s="140"/>
      <c r="AC5" s="140"/>
      <c r="AD5" s="140"/>
      <c r="AE5" s="140"/>
    </row>
    <row r="6" spans="1:31" ht="18.600000000000001" customHeight="1">
      <c r="A6" s="122">
        <f>IF(priority(Main[[#This Row],[Comments]])&lt;&gt;0, priority(Main[[#This Row],[Comments]]),"")</f>
        <v>1</v>
      </c>
      <c r="B6" s="126" t="s">
        <v>1203</v>
      </c>
      <c r="C6" s="99" t="s">
        <v>138</v>
      </c>
      <c r="D6" s="100" t="s">
        <v>227</v>
      </c>
      <c r="E6" s="101"/>
      <c r="F6" s="101">
        <v>40770</v>
      </c>
      <c r="G6" s="102" t="str">
        <f>IF(stdProdLT(Main[[#This Row],[Comments]])=0.1,"N/A",IF(stdProdLT(Main[[#This Row],[Comments]])=0,"",stdProdLT(Main[[#This Row],[Comments]])))</f>
        <v/>
      </c>
      <c r="H6" s="103" t="str">
        <f>IF(AND(Main[[#This Row],[In Stock Date]]&lt;&gt;"",Main[[#This Row],[Revised Due Date]]&lt;&gt;""),Main[[#This Row],[In Stock Date]]-Main[[#This Row],[Revised Due Date]],"")</f>
        <v/>
      </c>
      <c r="I6" s="99" t="s">
        <v>4</v>
      </c>
      <c r="J6" s="99" t="s">
        <v>28</v>
      </c>
      <c r="K6" s="99" t="s">
        <v>1974</v>
      </c>
      <c r="L6" s="101"/>
      <c r="M6" s="104" t="str">
        <f>IF(Main[[#This Row],[Tech Start Date]]&lt;1/1/1990,"",IF(Main[[#This Row],[Class]]="C",WORKDAY(Main[[#This Row],[Tech Start Date]],9),IF(Main[[#This Row],[Class]]="B", WORKDAY(Main[[#This Row],[Tech Start Date]],6),IF(Main[[#This Row],[Class]]="A",WORKDAY(Main[[#This Row],[Tech Start Date]],2),""))))</f>
        <v/>
      </c>
      <c r="N6" s="104" t="str">
        <f>IF(Main[[#This Row],[Tech Start Date]]&lt;1/1/1990,"",IF(Main[[#This Row],[Class]]="C",WORKDAY(Main[[#This Row],[Tech Start Date]],19),IF(Main[[#This Row],[Class]]="B", WORKDAY(Main[[#This Row],[Tech Start Date]],12),IF(Main[[#This Row],[Class]]="A",WORKDAY(Main[[#This Row],[Tech Start Date]],4),""))))</f>
        <v/>
      </c>
      <c r="O6" s="104" t="str">
        <f>IF(Main[[#This Row],[Tech Start Date]]&lt;1/1/1990,"",IF(Main[[#This Row],[Class]]="C",WORKDAY(Main[[#This Row],[Tech Start Date]],23),IF(Main[[#This Row],[Class]]="B", WORKDAY(Main[[#This Row],[Tech Start Date]],15),IF(Main[[#This Row],[Class]]="A",WORKDAY(Main[[#This Row],[Tech Start Date]],5),""))))</f>
        <v/>
      </c>
      <c r="P6" s="104" t="str">
        <f>IF(Main[[#This Row],[Tech Start Date]]&lt;1/1/1990,"",IF(Main[[#This Row],[Class]]="C",WORKDAY(Main[[#This Row],[Tech Start Date]],28),IF(Main[[#This Row],[Class]]="B", WORKDAY(Main[[#This Row],[Tech Start Date]],19),IF(Main[[#This Row],[Class]]="A",WORKDAY(Main[[#This Row],[Tech Start Date]],9),""))))</f>
        <v/>
      </c>
      <c r="Q6" s="101">
        <v>40585</v>
      </c>
      <c r="R6" s="101"/>
      <c r="S6" s="105" t="s">
        <v>11</v>
      </c>
      <c r="T6" s="106" t="s">
        <v>228</v>
      </c>
      <c r="U6" s="105" t="s">
        <v>14</v>
      </c>
      <c r="V6" s="105" t="s">
        <v>1963</v>
      </c>
      <c r="W6" s="105" t="s">
        <v>1967</v>
      </c>
    </row>
    <row r="7" spans="1:31" ht="18.600000000000001" customHeight="1">
      <c r="A7" s="123">
        <f>IF(priority(Main[[#This Row],[Comments]])&lt;&gt;0, priority(Main[[#This Row],[Comments]]),"")</f>
        <v>1</v>
      </c>
      <c r="B7" s="127" t="s">
        <v>1216</v>
      </c>
      <c r="C7" s="99" t="s">
        <v>72</v>
      </c>
      <c r="D7" s="100" t="s">
        <v>243</v>
      </c>
      <c r="E7" s="101">
        <v>40461.111585648148</v>
      </c>
      <c r="F7" s="101"/>
      <c r="G7" s="102" t="str">
        <f>IF(stdProdLT(Main[[#This Row],[Comments]])=0.1,"N/A",IF(stdProdLT(Main[[#This Row],[Comments]])=0,"",stdProdLT(Main[[#This Row],[Comments]])))</f>
        <v/>
      </c>
      <c r="H7" s="103" t="str">
        <f>IF(AND(Main[[#This Row],[In Stock Date]]&lt;&gt;"",Main[[#This Row],[Revised Due Date]]&lt;&gt;""),Main[[#This Row],[In Stock Date]]-Main[[#This Row],[Revised Due Date]],"")</f>
        <v/>
      </c>
      <c r="I7" s="99" t="s">
        <v>74</v>
      </c>
      <c r="J7" s="99" t="s">
        <v>4</v>
      </c>
      <c r="K7" s="99" t="s">
        <v>1974</v>
      </c>
      <c r="L7" s="101"/>
      <c r="M7" s="104" t="str">
        <f>IF(Main[[#This Row],[Tech Start Date]]&lt;1/1/1990,"",IF(Main[[#This Row],[Class]]="C",WORKDAY(Main[[#This Row],[Tech Start Date]],9),IF(Main[[#This Row],[Class]]="B", WORKDAY(Main[[#This Row],[Tech Start Date]],6),IF(Main[[#This Row],[Class]]="A",WORKDAY(Main[[#This Row],[Tech Start Date]],2),""))))</f>
        <v/>
      </c>
      <c r="N7" s="104" t="str">
        <f>IF(Main[[#This Row],[Tech Start Date]]&lt;1/1/1990,"",IF(Main[[#This Row],[Class]]="C",WORKDAY(Main[[#This Row],[Tech Start Date]],19),IF(Main[[#This Row],[Class]]="B", WORKDAY(Main[[#This Row],[Tech Start Date]],12),IF(Main[[#This Row],[Class]]="A",WORKDAY(Main[[#This Row],[Tech Start Date]],4),""))))</f>
        <v/>
      </c>
      <c r="O7" s="104" t="str">
        <f>IF(Main[[#This Row],[Tech Start Date]]&lt;1/1/1990,"",IF(Main[[#This Row],[Class]]="C",WORKDAY(Main[[#This Row],[Tech Start Date]],23),IF(Main[[#This Row],[Class]]="B", WORKDAY(Main[[#This Row],[Tech Start Date]],15),IF(Main[[#This Row],[Class]]="A",WORKDAY(Main[[#This Row],[Tech Start Date]],5),""))))</f>
        <v/>
      </c>
      <c r="P7" s="104" t="str">
        <f>IF(Main[[#This Row],[Tech Start Date]]&lt;1/1/1990,"",IF(Main[[#This Row],[Class]]="C",WORKDAY(Main[[#This Row],[Tech Start Date]],28),IF(Main[[#This Row],[Class]]="B", WORKDAY(Main[[#This Row],[Tech Start Date]],19),IF(Main[[#This Row],[Class]]="A",WORKDAY(Main[[#This Row],[Tech Start Date]],9),""))))</f>
        <v/>
      </c>
      <c r="Q7" s="101"/>
      <c r="R7" s="101">
        <v>40836</v>
      </c>
      <c r="S7" s="99" t="s">
        <v>17</v>
      </c>
      <c r="T7" s="107" t="s">
        <v>244</v>
      </c>
      <c r="U7" s="99" t="s">
        <v>29</v>
      </c>
      <c r="V7" s="99" t="s">
        <v>1965</v>
      </c>
      <c r="W7" s="99" t="s">
        <v>1970</v>
      </c>
    </row>
    <row r="8" spans="1:31" ht="18.600000000000001" customHeight="1">
      <c r="A8" s="123">
        <f>IF(priority(Main[[#This Row],[Comments]])&lt;&gt;0, priority(Main[[#This Row],[Comments]]),"")</f>
        <v>1</v>
      </c>
      <c r="B8" s="127" t="s">
        <v>1077</v>
      </c>
      <c r="C8" s="99" t="s">
        <v>72</v>
      </c>
      <c r="D8" s="100" t="s">
        <v>73</v>
      </c>
      <c r="E8" s="101">
        <v>40461.12232638889</v>
      </c>
      <c r="F8" s="101"/>
      <c r="G8" s="102" t="str">
        <f>IF(stdProdLT(Main[[#This Row],[Comments]])=0.1,"N/A",IF(stdProdLT(Main[[#This Row],[Comments]])=0,"",stdProdLT(Main[[#This Row],[Comments]])))</f>
        <v/>
      </c>
      <c r="H8" s="103" t="str">
        <f>IF(AND(Main[[#This Row],[In Stock Date]]&lt;&gt;"",Main[[#This Row],[Revised Due Date]]&lt;&gt;""),Main[[#This Row],[In Stock Date]]-Main[[#This Row],[Revised Due Date]],"")</f>
        <v/>
      </c>
      <c r="I8" s="99" t="s">
        <v>74</v>
      </c>
      <c r="J8" s="99" t="s">
        <v>75</v>
      </c>
      <c r="K8" s="99" t="s">
        <v>1974</v>
      </c>
      <c r="L8" s="101"/>
      <c r="M8" s="104" t="str">
        <f>IF(Main[[#This Row],[Tech Start Date]]&lt;1/1/1990,"",IF(Main[[#This Row],[Class]]="C",WORKDAY(Main[[#This Row],[Tech Start Date]],9),IF(Main[[#This Row],[Class]]="B", WORKDAY(Main[[#This Row],[Tech Start Date]],6),IF(Main[[#This Row],[Class]]="A",WORKDAY(Main[[#This Row],[Tech Start Date]],2),""))))</f>
        <v/>
      </c>
      <c r="N8" s="104" t="str">
        <f>IF(Main[[#This Row],[Tech Start Date]]&lt;1/1/1990,"",IF(Main[[#This Row],[Class]]="C",WORKDAY(Main[[#This Row],[Tech Start Date]],19),IF(Main[[#This Row],[Class]]="B", WORKDAY(Main[[#This Row],[Tech Start Date]],12),IF(Main[[#This Row],[Class]]="A",WORKDAY(Main[[#This Row],[Tech Start Date]],4),""))))</f>
        <v/>
      </c>
      <c r="O8" s="104" t="str">
        <f>IF(Main[[#This Row],[Tech Start Date]]&lt;1/1/1990,"",IF(Main[[#This Row],[Class]]="C",WORKDAY(Main[[#This Row],[Tech Start Date]],23),IF(Main[[#This Row],[Class]]="B", WORKDAY(Main[[#This Row],[Tech Start Date]],15),IF(Main[[#This Row],[Class]]="A",WORKDAY(Main[[#This Row],[Tech Start Date]],5),""))))</f>
        <v/>
      </c>
      <c r="P8" s="104" t="str">
        <f>IF(Main[[#This Row],[Tech Start Date]]&lt;1/1/1990,"",IF(Main[[#This Row],[Class]]="C",WORKDAY(Main[[#This Row],[Tech Start Date]],28),IF(Main[[#This Row],[Class]]="B", WORKDAY(Main[[#This Row],[Tech Start Date]],19),IF(Main[[#This Row],[Class]]="A",WORKDAY(Main[[#This Row],[Tech Start Date]],9),""))))</f>
        <v/>
      </c>
      <c r="Q8" s="101"/>
      <c r="R8" s="101">
        <v>40849</v>
      </c>
      <c r="S8" s="99" t="s">
        <v>17</v>
      </c>
      <c r="T8" s="107" t="s">
        <v>76</v>
      </c>
      <c r="U8" s="99" t="s">
        <v>29</v>
      </c>
      <c r="V8" s="99" t="s">
        <v>1965</v>
      </c>
      <c r="W8" s="99" t="s">
        <v>1970</v>
      </c>
    </row>
    <row r="9" spans="1:31" ht="18.600000000000001" customHeight="1">
      <c r="A9" s="123">
        <f>IF(priority(Main[[#This Row],[Comments]])&lt;&gt;0, priority(Main[[#This Row],[Comments]]),"")</f>
        <v>1</v>
      </c>
      <c r="B9" s="127">
        <v>736489</v>
      </c>
      <c r="C9" s="99" t="s">
        <v>2438</v>
      </c>
      <c r="D9" s="100" t="s">
        <v>3103</v>
      </c>
      <c r="E9" s="101">
        <v>40876.599826388891</v>
      </c>
      <c r="F9" s="101"/>
      <c r="G9" s="102" t="str">
        <f>IF(stdProdLT(Main[[#This Row],[Comments]])=0.1,"N/A",IF(stdProdLT(Main[[#This Row],[Comments]])=0,"",stdProdLT(Main[[#This Row],[Comments]])))</f>
        <v>N/A</v>
      </c>
      <c r="H9" s="103" t="str">
        <f>IF(AND(Main[[#This Row],[In Stock Date]]&lt;&gt;"",Main[[#This Row],[Revised Due Date]]&lt;&gt;""),Main[[#This Row],[In Stock Date]]-Main[[#This Row],[Revised Due Date]],"")</f>
        <v/>
      </c>
      <c r="I9" s="99" t="s">
        <v>4</v>
      </c>
      <c r="J9" s="99" t="s">
        <v>4</v>
      </c>
      <c r="K9" s="99" t="s">
        <v>4</v>
      </c>
      <c r="L9" s="101"/>
      <c r="M9" s="104" t="str">
        <f>IF(Main[[#This Row],[Tech Start Date]]&lt;1/1/1990,"",IF(Main[[#This Row],[Class]]="C",WORKDAY(Main[[#This Row],[Tech Start Date]],9),IF(Main[[#This Row],[Class]]="B", WORKDAY(Main[[#This Row],[Tech Start Date]],6),IF(Main[[#This Row],[Class]]="A",WORKDAY(Main[[#This Row],[Tech Start Date]],2),""))))</f>
        <v/>
      </c>
      <c r="N9" s="104" t="str">
        <f>IF(Main[[#This Row],[Tech Start Date]]&lt;1/1/1990,"",IF(Main[[#This Row],[Class]]="C",WORKDAY(Main[[#This Row],[Tech Start Date]],19),IF(Main[[#This Row],[Class]]="B", WORKDAY(Main[[#This Row],[Tech Start Date]],12),IF(Main[[#This Row],[Class]]="A",WORKDAY(Main[[#This Row],[Tech Start Date]],4),""))))</f>
        <v/>
      </c>
      <c r="O9" s="104" t="str">
        <f>IF(Main[[#This Row],[Tech Start Date]]&lt;1/1/1990,"",IF(Main[[#This Row],[Class]]="C",WORKDAY(Main[[#This Row],[Tech Start Date]],23),IF(Main[[#This Row],[Class]]="B", WORKDAY(Main[[#This Row],[Tech Start Date]],15),IF(Main[[#This Row],[Class]]="A",WORKDAY(Main[[#This Row],[Tech Start Date]],5),""))))</f>
        <v/>
      </c>
      <c r="P9" s="104" t="str">
        <f>IF(Main[[#This Row],[Tech Start Date]]&lt;1/1/1990,"",IF(Main[[#This Row],[Class]]="C",WORKDAY(Main[[#This Row],[Tech Start Date]],28),IF(Main[[#This Row],[Class]]="B", WORKDAY(Main[[#This Row],[Tech Start Date]],19),IF(Main[[#This Row],[Class]]="A",WORKDAY(Main[[#This Row],[Tech Start Date]],9),""))))</f>
        <v/>
      </c>
      <c r="Q9" s="101">
        <v>40878</v>
      </c>
      <c r="R9" s="101"/>
      <c r="S9" s="99" t="s">
        <v>4</v>
      </c>
      <c r="T9" s="107" t="s">
        <v>3134</v>
      </c>
      <c r="U9" s="99" t="s">
        <v>7</v>
      </c>
      <c r="V9" s="99" t="s">
        <v>1962</v>
      </c>
      <c r="W9" s="99" t="s">
        <v>1964</v>
      </c>
    </row>
    <row r="10" spans="1:31" ht="18.600000000000001" customHeight="1">
      <c r="A10" s="123">
        <f>IF(priority(Main[[#This Row],[Comments]])&lt;&gt;0, priority(Main[[#This Row],[Comments]]),"")</f>
        <v>1</v>
      </c>
      <c r="B10" s="127">
        <v>634112</v>
      </c>
      <c r="C10" s="99" t="s">
        <v>19</v>
      </c>
      <c r="D10" s="100" t="s">
        <v>2872</v>
      </c>
      <c r="E10" s="101">
        <v>40487.36078703704</v>
      </c>
      <c r="F10" s="101"/>
      <c r="G10" s="102" t="str">
        <f>IF(stdProdLT(Main[[#This Row],[Comments]])=0.1,"N/A",IF(stdProdLT(Main[[#This Row],[Comments]])=0,"",stdProdLT(Main[[#This Row],[Comments]])))</f>
        <v/>
      </c>
      <c r="H10" s="103" t="str">
        <f>IF(AND(Main[[#This Row],[In Stock Date]]&lt;&gt;"",Main[[#This Row],[Revised Due Date]]&lt;&gt;""),Main[[#This Row],[In Stock Date]]-Main[[#This Row],[Revised Due Date]],"")</f>
        <v/>
      </c>
      <c r="I10" s="99" t="s">
        <v>2071</v>
      </c>
      <c r="J10" s="99" t="s">
        <v>28</v>
      </c>
      <c r="K10" s="99" t="s">
        <v>1974</v>
      </c>
      <c r="L10" s="101"/>
      <c r="M10" s="104" t="str">
        <f>IF(Main[[#This Row],[Tech Start Date]]&lt;1/1/1990,"",IF(Main[[#This Row],[Class]]="C",WORKDAY(Main[[#This Row],[Tech Start Date]],9),IF(Main[[#This Row],[Class]]="B", WORKDAY(Main[[#This Row],[Tech Start Date]],6),IF(Main[[#This Row],[Class]]="A",WORKDAY(Main[[#This Row],[Tech Start Date]],2),""))))</f>
        <v/>
      </c>
      <c r="N10" s="104" t="str">
        <f>IF(Main[[#This Row],[Tech Start Date]]&lt;1/1/1990,"",IF(Main[[#This Row],[Class]]="C",WORKDAY(Main[[#This Row],[Tech Start Date]],19),IF(Main[[#This Row],[Class]]="B", WORKDAY(Main[[#This Row],[Tech Start Date]],12),IF(Main[[#This Row],[Class]]="A",WORKDAY(Main[[#This Row],[Tech Start Date]],4),""))))</f>
        <v/>
      </c>
      <c r="O10" s="104" t="str">
        <f>IF(Main[[#This Row],[Tech Start Date]]&lt;1/1/1990,"",IF(Main[[#This Row],[Class]]="C",WORKDAY(Main[[#This Row],[Tech Start Date]],23),IF(Main[[#This Row],[Class]]="B", WORKDAY(Main[[#This Row],[Tech Start Date]],15),IF(Main[[#This Row],[Class]]="A",WORKDAY(Main[[#This Row],[Tech Start Date]],5),""))))</f>
        <v/>
      </c>
      <c r="P10" s="104" t="str">
        <f>IF(Main[[#This Row],[Tech Start Date]]&lt;1/1/1990,"",IF(Main[[#This Row],[Class]]="C",WORKDAY(Main[[#This Row],[Tech Start Date]],28),IF(Main[[#This Row],[Class]]="B", WORKDAY(Main[[#This Row],[Tech Start Date]],19),IF(Main[[#This Row],[Class]]="A",WORKDAY(Main[[#This Row],[Tech Start Date]],9),""))))</f>
        <v/>
      </c>
      <c r="Q10" s="101">
        <v>40862</v>
      </c>
      <c r="R10" s="101">
        <v>40862</v>
      </c>
      <c r="S10" s="99" t="s">
        <v>17</v>
      </c>
      <c r="T10" s="107" t="s">
        <v>2873</v>
      </c>
      <c r="U10" s="99" t="s">
        <v>29</v>
      </c>
      <c r="V10" s="99" t="s">
        <v>1977</v>
      </c>
      <c r="W10" s="99" t="s">
        <v>1970</v>
      </c>
    </row>
    <row r="11" spans="1:31" ht="18.600000000000001" customHeight="1">
      <c r="A11" s="123">
        <f>IF(priority(Main[[#This Row],[Comments]])&lt;&gt;0, priority(Main[[#This Row],[Comments]]),"")</f>
        <v>1</v>
      </c>
      <c r="B11" s="127" t="s">
        <v>1925</v>
      </c>
      <c r="C11" s="99" t="s">
        <v>949</v>
      </c>
      <c r="D11" s="100" t="s">
        <v>950</v>
      </c>
      <c r="E11" s="101"/>
      <c r="F11" s="101">
        <v>40787</v>
      </c>
      <c r="G11" s="102" t="str">
        <f>IF(stdProdLT(Main[[#This Row],[Comments]])=0.1,"N/A",IF(stdProdLT(Main[[#This Row],[Comments]])=0,"",stdProdLT(Main[[#This Row],[Comments]])))</f>
        <v/>
      </c>
      <c r="H11" s="103">
        <f>IF(AND(Main[[#This Row],[In Stock Date]]&lt;&gt;"",Main[[#This Row],[Revised Due Date]]&lt;&gt;""),Main[[#This Row],[In Stock Date]]-Main[[#This Row],[Revised Due Date]],"")</f>
        <v>91</v>
      </c>
      <c r="I11" s="99" t="s">
        <v>495</v>
      </c>
      <c r="J11" s="99" t="s">
        <v>70</v>
      </c>
      <c r="K11" s="99" t="s">
        <v>1971</v>
      </c>
      <c r="L11" s="101">
        <v>40658</v>
      </c>
      <c r="M11" s="104">
        <f>IF(Main[[#This Row],[Tech Start Date]]&lt;1/1/1990,"",IF(Main[[#This Row],[Class]]="C",WORKDAY(Main[[#This Row],[Tech Start Date]],9),IF(Main[[#This Row],[Class]]="B", WORKDAY(Main[[#This Row],[Tech Start Date]],6),IF(Main[[#This Row],[Class]]="A",WORKDAY(Main[[#This Row],[Tech Start Date]],2),""))))</f>
        <v>40660</v>
      </c>
      <c r="N11" s="104">
        <f>IF(Main[[#This Row],[Tech Start Date]]&lt;1/1/1990,"",IF(Main[[#This Row],[Class]]="C",WORKDAY(Main[[#This Row],[Tech Start Date]],19),IF(Main[[#This Row],[Class]]="B", WORKDAY(Main[[#This Row],[Tech Start Date]],12),IF(Main[[#This Row],[Class]]="A",WORKDAY(Main[[#This Row],[Tech Start Date]],4),""))))</f>
        <v>40662</v>
      </c>
      <c r="O11" s="104">
        <f>IF(Main[[#This Row],[Tech Start Date]]&lt;1/1/1990,"",IF(Main[[#This Row],[Class]]="C",WORKDAY(Main[[#This Row],[Tech Start Date]],23),IF(Main[[#This Row],[Class]]="B", WORKDAY(Main[[#This Row],[Tech Start Date]],15),IF(Main[[#This Row],[Class]]="A",WORKDAY(Main[[#This Row],[Tech Start Date]],5),""))))</f>
        <v>40665</v>
      </c>
      <c r="P11" s="104">
        <f>IF(Main[[#This Row],[Tech Start Date]]&lt;1/1/1990,"",IF(Main[[#This Row],[Class]]="C",WORKDAY(Main[[#This Row],[Tech Start Date]],28),IF(Main[[#This Row],[Class]]="B", WORKDAY(Main[[#This Row],[Tech Start Date]],19),IF(Main[[#This Row],[Class]]="A",WORKDAY(Main[[#This Row],[Tech Start Date]],9),""))))</f>
        <v>40669</v>
      </c>
      <c r="Q11" s="101">
        <v>40696</v>
      </c>
      <c r="R11" s="101">
        <v>40696</v>
      </c>
      <c r="S11" s="99" t="s">
        <v>11</v>
      </c>
      <c r="T11" s="107" t="s">
        <v>951</v>
      </c>
      <c r="U11" s="99" t="s">
        <v>14</v>
      </c>
      <c r="V11" s="99" t="s">
        <v>1965</v>
      </c>
      <c r="W11" s="99" t="s">
        <v>1968</v>
      </c>
    </row>
    <row r="12" spans="1:31" ht="18.600000000000001" customHeight="1">
      <c r="A12" s="123">
        <f>IF(priority(Main[[#This Row],[Comments]])&lt;&gt;0, priority(Main[[#This Row],[Comments]]),"")</f>
        <v>1</v>
      </c>
      <c r="B12" s="127" t="s">
        <v>1930</v>
      </c>
      <c r="C12" s="99" t="s">
        <v>961</v>
      </c>
      <c r="D12" s="100" t="s">
        <v>962</v>
      </c>
      <c r="E12" s="101">
        <v>40647.670324074075</v>
      </c>
      <c r="F12" s="101">
        <v>40709</v>
      </c>
      <c r="G12" s="102" t="str">
        <f>IF(stdProdLT(Main[[#This Row],[Comments]])=0.1,"N/A",IF(stdProdLT(Main[[#This Row],[Comments]])=0,"",stdProdLT(Main[[#This Row],[Comments]])))</f>
        <v/>
      </c>
      <c r="H12" s="103">
        <f>IF(AND(Main[[#This Row],[In Stock Date]]&lt;&gt;"",Main[[#This Row],[Revised Due Date]]&lt;&gt;""),Main[[#This Row],[In Stock Date]]-Main[[#This Row],[Revised Due Date]],"")</f>
        <v>-128</v>
      </c>
      <c r="I12" s="99" t="s">
        <v>437</v>
      </c>
      <c r="J12" s="99" t="s">
        <v>28</v>
      </c>
      <c r="K12" s="99" t="s">
        <v>1974</v>
      </c>
      <c r="L12" s="101">
        <v>40708</v>
      </c>
      <c r="M12" s="104" t="str">
        <f>IF(Main[[#This Row],[Tech Start Date]]&lt;1/1/1990,"",IF(Main[[#This Row],[Class]]="C",WORKDAY(Main[[#This Row],[Tech Start Date]],9),IF(Main[[#This Row],[Class]]="B", WORKDAY(Main[[#This Row],[Tech Start Date]],6),IF(Main[[#This Row],[Class]]="A",WORKDAY(Main[[#This Row],[Tech Start Date]],2),""))))</f>
        <v/>
      </c>
      <c r="N12" s="104" t="str">
        <f>IF(Main[[#This Row],[Tech Start Date]]&lt;1/1/1990,"",IF(Main[[#This Row],[Class]]="C",WORKDAY(Main[[#This Row],[Tech Start Date]],19),IF(Main[[#This Row],[Class]]="B", WORKDAY(Main[[#This Row],[Tech Start Date]],12),IF(Main[[#This Row],[Class]]="A",WORKDAY(Main[[#This Row],[Tech Start Date]],4),""))))</f>
        <v/>
      </c>
      <c r="O12" s="104" t="str">
        <f>IF(Main[[#This Row],[Tech Start Date]]&lt;1/1/1990,"",IF(Main[[#This Row],[Class]]="C",WORKDAY(Main[[#This Row],[Tech Start Date]],23),IF(Main[[#This Row],[Class]]="B", WORKDAY(Main[[#This Row],[Tech Start Date]],15),IF(Main[[#This Row],[Class]]="A",WORKDAY(Main[[#This Row],[Tech Start Date]],5),""))))</f>
        <v/>
      </c>
      <c r="P12" s="104" t="str">
        <f>IF(Main[[#This Row],[Tech Start Date]]&lt;1/1/1990,"",IF(Main[[#This Row],[Class]]="C",WORKDAY(Main[[#This Row],[Tech Start Date]],28),IF(Main[[#This Row],[Class]]="B", WORKDAY(Main[[#This Row],[Tech Start Date]],19),IF(Main[[#This Row],[Class]]="A",WORKDAY(Main[[#This Row],[Tech Start Date]],9),""))))</f>
        <v/>
      </c>
      <c r="Q12" s="101">
        <v>40709</v>
      </c>
      <c r="R12" s="101">
        <v>40837</v>
      </c>
      <c r="S12" s="99" t="s">
        <v>17</v>
      </c>
      <c r="T12" s="107" t="s">
        <v>963</v>
      </c>
      <c r="U12" s="99" t="s">
        <v>29</v>
      </c>
      <c r="V12" s="99" t="s">
        <v>1965</v>
      </c>
      <c r="W12" s="99" t="s">
        <v>1970</v>
      </c>
    </row>
    <row r="13" spans="1:31" ht="18.600000000000001" customHeight="1">
      <c r="A13" s="123">
        <f>IF(priority(Main[[#This Row],[Comments]])&lt;&gt;0, priority(Main[[#This Row],[Comments]]),"")</f>
        <v>1</v>
      </c>
      <c r="B13" s="127" t="s">
        <v>2971</v>
      </c>
      <c r="C13" s="99" t="s">
        <v>33</v>
      </c>
      <c r="D13" s="100" t="s">
        <v>2972</v>
      </c>
      <c r="E13" s="101">
        <v>40842.371076388888</v>
      </c>
      <c r="F13" s="101">
        <v>40966</v>
      </c>
      <c r="G13" s="102" t="str">
        <f>IF(stdProdLT(Main[[#This Row],[Comments]])=0.1,"N/A",IF(stdProdLT(Main[[#This Row],[Comments]])=0,"",stdProdLT(Main[[#This Row],[Comments]])))</f>
        <v/>
      </c>
      <c r="H13" s="103">
        <f>IF(AND(Main[[#This Row],[In Stock Date]]&lt;&gt;"",Main[[#This Row],[Revised Due Date]]&lt;&gt;""),Main[[#This Row],[In Stock Date]]-Main[[#This Row],[Revised Due Date]],"")</f>
        <v>81</v>
      </c>
      <c r="I13" s="99" t="s">
        <v>2920</v>
      </c>
      <c r="J13" s="99" t="s">
        <v>28</v>
      </c>
      <c r="K13" s="99" t="s">
        <v>1975</v>
      </c>
      <c r="L13" s="101">
        <v>40849</v>
      </c>
      <c r="M13" s="104">
        <f>IF(Main[[#This Row],[Tech Start Date]]&lt;1/1/1990,"",IF(Main[[#This Row],[Class]]="C",WORKDAY(Main[[#This Row],[Tech Start Date]],9),IF(Main[[#This Row],[Class]]="B", WORKDAY(Main[[#This Row],[Tech Start Date]],6),IF(Main[[#This Row],[Class]]="A",WORKDAY(Main[[#This Row],[Tech Start Date]],2),""))))</f>
        <v>40862</v>
      </c>
      <c r="N13" s="104">
        <f>IF(Main[[#This Row],[Tech Start Date]]&lt;1/1/1990,"",IF(Main[[#This Row],[Class]]="C",WORKDAY(Main[[#This Row],[Tech Start Date]],19),IF(Main[[#This Row],[Class]]="B", WORKDAY(Main[[#This Row],[Tech Start Date]],12),IF(Main[[#This Row],[Class]]="A",WORKDAY(Main[[#This Row],[Tech Start Date]],4),""))))</f>
        <v>40876</v>
      </c>
      <c r="O13" s="104">
        <f>IF(Main[[#This Row],[Tech Start Date]]&lt;1/1/1990,"",IF(Main[[#This Row],[Class]]="C",WORKDAY(Main[[#This Row],[Tech Start Date]],23),IF(Main[[#This Row],[Class]]="B", WORKDAY(Main[[#This Row],[Tech Start Date]],15),IF(Main[[#This Row],[Class]]="A",WORKDAY(Main[[#This Row],[Tech Start Date]],5),""))))</f>
        <v>40882</v>
      </c>
      <c r="P13" s="104">
        <f>IF(Main[[#This Row],[Tech Start Date]]&lt;1/1/1990,"",IF(Main[[#This Row],[Class]]="C",WORKDAY(Main[[#This Row],[Tech Start Date]],28),IF(Main[[#This Row],[Class]]="B", WORKDAY(Main[[#This Row],[Tech Start Date]],19),IF(Main[[#This Row],[Class]]="A",WORKDAY(Main[[#This Row],[Tech Start Date]],9),""))))</f>
        <v>40889</v>
      </c>
      <c r="Q13" s="101">
        <v>40857</v>
      </c>
      <c r="R13" s="101">
        <v>40885</v>
      </c>
      <c r="S13" s="99" t="s">
        <v>11</v>
      </c>
      <c r="T13" s="107" t="s">
        <v>2973</v>
      </c>
      <c r="U13" s="99" t="s">
        <v>29</v>
      </c>
      <c r="V13" s="99" t="s">
        <v>1963</v>
      </c>
      <c r="W13" s="99" t="s">
        <v>1967</v>
      </c>
    </row>
    <row r="14" spans="1:31" ht="18.600000000000001" customHeight="1">
      <c r="A14" s="123">
        <f>IF(priority(Main[[#This Row],[Comments]])&lt;&gt;0, priority(Main[[#This Row],[Comments]]),"")</f>
        <v>1</v>
      </c>
      <c r="B14" s="127" t="s">
        <v>2746</v>
      </c>
      <c r="C14" s="99" t="s">
        <v>3060</v>
      </c>
      <c r="D14" s="100" t="s">
        <v>2747</v>
      </c>
      <c r="E14" s="101">
        <v>40877.18246527778</v>
      </c>
      <c r="F14" s="101">
        <v>40884</v>
      </c>
      <c r="G14" s="102">
        <f>IF(stdProdLT(Main[[#This Row],[Comments]])=0.1,"N/A",IF(stdProdLT(Main[[#This Row],[Comments]])=0,"",stdProdLT(Main[[#This Row],[Comments]])))</f>
        <v>15</v>
      </c>
      <c r="H14" s="103">
        <f>IF(AND(Main[[#This Row],[In Stock Date]]&lt;&gt;"",Main[[#This Row],[Revised Due Date]]&lt;&gt;""),Main[[#This Row],[In Stock Date]]-Main[[#This Row],[Revised Due Date]],"")</f>
        <v>-9</v>
      </c>
      <c r="I14" s="99" t="s">
        <v>536</v>
      </c>
      <c r="J14" s="99" t="s">
        <v>52</v>
      </c>
      <c r="K14" s="99" t="s">
        <v>1971</v>
      </c>
      <c r="L14" s="101">
        <v>40878</v>
      </c>
      <c r="M14" s="104">
        <f>IF(Main[[#This Row],[Tech Start Date]]&lt;1/1/1990,"",IF(Main[[#This Row],[Class]]="C",WORKDAY(Main[[#This Row],[Tech Start Date]],9),IF(Main[[#This Row],[Class]]="B", WORKDAY(Main[[#This Row],[Tech Start Date]],6),IF(Main[[#This Row],[Class]]="A",WORKDAY(Main[[#This Row],[Tech Start Date]],2),""))))</f>
        <v>40882</v>
      </c>
      <c r="N14" s="104">
        <f>IF(Main[[#This Row],[Tech Start Date]]&lt;1/1/1990,"",IF(Main[[#This Row],[Class]]="C",WORKDAY(Main[[#This Row],[Tech Start Date]],19),IF(Main[[#This Row],[Class]]="B", WORKDAY(Main[[#This Row],[Tech Start Date]],12),IF(Main[[#This Row],[Class]]="A",WORKDAY(Main[[#This Row],[Tech Start Date]],4),""))))</f>
        <v>40884</v>
      </c>
      <c r="O14" s="104">
        <f>IF(Main[[#This Row],[Tech Start Date]]&lt;1/1/1990,"",IF(Main[[#This Row],[Class]]="C",WORKDAY(Main[[#This Row],[Tech Start Date]],23),IF(Main[[#This Row],[Class]]="B", WORKDAY(Main[[#This Row],[Tech Start Date]],15),IF(Main[[#This Row],[Class]]="A",WORKDAY(Main[[#This Row],[Tech Start Date]],5),""))))</f>
        <v>40885</v>
      </c>
      <c r="P14" s="104">
        <f>IF(Main[[#This Row],[Tech Start Date]]&lt;1/1/1990,"",IF(Main[[#This Row],[Class]]="C",WORKDAY(Main[[#This Row],[Tech Start Date]],28),IF(Main[[#This Row],[Class]]="B", WORKDAY(Main[[#This Row],[Tech Start Date]],19),IF(Main[[#This Row],[Class]]="A",WORKDAY(Main[[#This Row],[Tech Start Date]],9),""))))</f>
        <v>40891</v>
      </c>
      <c r="Q14" s="101">
        <v>40881</v>
      </c>
      <c r="R14" s="101">
        <v>40893</v>
      </c>
      <c r="S14" s="99" t="s">
        <v>11</v>
      </c>
      <c r="T14" s="107" t="s">
        <v>3061</v>
      </c>
      <c r="U14" s="99" t="s">
        <v>29</v>
      </c>
      <c r="V14" s="99" t="s">
        <v>1972</v>
      </c>
      <c r="W14" s="99" t="s">
        <v>1970</v>
      </c>
    </row>
    <row r="15" spans="1:31" ht="18.600000000000001" customHeight="1">
      <c r="A15" s="123">
        <f>IF(priority(Main[[#This Row],[Comments]])&lt;&gt;0, priority(Main[[#This Row],[Comments]]),"")</f>
        <v>1.01</v>
      </c>
      <c r="B15" s="127" t="s">
        <v>1924</v>
      </c>
      <c r="C15" s="99" t="s">
        <v>113</v>
      </c>
      <c r="D15" s="100" t="s">
        <v>3123</v>
      </c>
      <c r="E15" s="101">
        <v>40633.588854166665</v>
      </c>
      <c r="F15" s="101">
        <v>40674</v>
      </c>
      <c r="G15" s="102" t="str">
        <f>IF(stdProdLT(Main[[#This Row],[Comments]])=0.1,"N/A",IF(stdProdLT(Main[[#This Row],[Comments]])=0,"",stdProdLT(Main[[#This Row],[Comments]])))</f>
        <v/>
      </c>
      <c r="H15" s="103">
        <f>IF(AND(Main[[#This Row],[In Stock Date]]&lt;&gt;"",Main[[#This Row],[Revised Due Date]]&lt;&gt;""),Main[[#This Row],[In Stock Date]]-Main[[#This Row],[Revised Due Date]],"")</f>
        <v>-234</v>
      </c>
      <c r="I15" s="99" t="s">
        <v>955</v>
      </c>
      <c r="J15" s="99" t="s">
        <v>28</v>
      </c>
      <c r="K15" s="99" t="s">
        <v>1974</v>
      </c>
      <c r="L15" s="101">
        <v>40666</v>
      </c>
      <c r="M15" s="104" t="str">
        <f>IF(Main[[#This Row],[Tech Start Date]]&lt;1/1/1990,"",IF(Main[[#This Row],[Class]]="C",WORKDAY(Main[[#This Row],[Tech Start Date]],9),IF(Main[[#This Row],[Class]]="B", WORKDAY(Main[[#This Row],[Tech Start Date]],6),IF(Main[[#This Row],[Class]]="A",WORKDAY(Main[[#This Row],[Tech Start Date]],2),""))))</f>
        <v/>
      </c>
      <c r="N15" s="104" t="str">
        <f>IF(Main[[#This Row],[Tech Start Date]]&lt;1/1/1990,"",IF(Main[[#This Row],[Class]]="C",WORKDAY(Main[[#This Row],[Tech Start Date]],19),IF(Main[[#This Row],[Class]]="B", WORKDAY(Main[[#This Row],[Tech Start Date]],12),IF(Main[[#This Row],[Class]]="A",WORKDAY(Main[[#This Row],[Tech Start Date]],4),""))))</f>
        <v/>
      </c>
      <c r="O15" s="104" t="str">
        <f>IF(Main[[#This Row],[Tech Start Date]]&lt;1/1/1990,"",IF(Main[[#This Row],[Class]]="C",WORKDAY(Main[[#This Row],[Tech Start Date]],23),IF(Main[[#This Row],[Class]]="B", WORKDAY(Main[[#This Row],[Tech Start Date]],15),IF(Main[[#This Row],[Class]]="A",WORKDAY(Main[[#This Row],[Tech Start Date]],5),""))))</f>
        <v/>
      </c>
      <c r="P15" s="104" t="str">
        <f>IF(Main[[#This Row],[Tech Start Date]]&lt;1/1/1990,"",IF(Main[[#This Row],[Class]]="C",WORKDAY(Main[[#This Row],[Tech Start Date]],28),IF(Main[[#This Row],[Class]]="B", WORKDAY(Main[[#This Row],[Tech Start Date]],19),IF(Main[[#This Row],[Class]]="A",WORKDAY(Main[[#This Row],[Tech Start Date]],9),""))))</f>
        <v/>
      </c>
      <c r="Q15" s="101">
        <v>40939</v>
      </c>
      <c r="R15" s="101">
        <v>40908</v>
      </c>
      <c r="S15" s="99" t="s">
        <v>17</v>
      </c>
      <c r="T15" s="107" t="s">
        <v>2881</v>
      </c>
      <c r="U15" s="99" t="s">
        <v>29</v>
      </c>
      <c r="V15" s="99" t="s">
        <v>1962</v>
      </c>
      <c r="W15" s="99" t="s">
        <v>1973</v>
      </c>
    </row>
    <row r="16" spans="1:31" ht="18.600000000000001" customHeight="1">
      <c r="A16" s="123">
        <f>IF(priority(Main[[#This Row],[Comments]])&lt;&gt;0, priority(Main[[#This Row],[Comments]]),"")</f>
        <v>2</v>
      </c>
      <c r="B16" s="127" t="s">
        <v>1189</v>
      </c>
      <c r="C16" s="99" t="s">
        <v>19</v>
      </c>
      <c r="D16" s="100" t="s">
        <v>2580</v>
      </c>
      <c r="E16" s="101">
        <v>40487.363657407404</v>
      </c>
      <c r="F16" s="101"/>
      <c r="G16" s="102" t="str">
        <f>IF(stdProdLT(Main[[#This Row],[Comments]])=0.1,"N/A",IF(stdProdLT(Main[[#This Row],[Comments]])=0,"",stdProdLT(Main[[#This Row],[Comments]])))</f>
        <v/>
      </c>
      <c r="H16" s="103" t="str">
        <f>IF(AND(Main[[#This Row],[In Stock Date]]&lt;&gt;"",Main[[#This Row],[Revised Due Date]]&lt;&gt;""),Main[[#This Row],[In Stock Date]]-Main[[#This Row],[Revised Due Date]],"")</f>
        <v/>
      </c>
      <c r="I16" s="99" t="s">
        <v>2071</v>
      </c>
      <c r="J16" s="99" t="s">
        <v>28</v>
      </c>
      <c r="K16" s="99" t="s">
        <v>4</v>
      </c>
      <c r="L16" s="101"/>
      <c r="M16" s="104" t="str">
        <f>IF(Main[[#This Row],[Tech Start Date]]&lt;1/1/1990,"",IF(Main[[#This Row],[Class]]="C",WORKDAY(Main[[#This Row],[Tech Start Date]],9),IF(Main[[#This Row],[Class]]="B", WORKDAY(Main[[#This Row],[Tech Start Date]],6),IF(Main[[#This Row],[Class]]="A",WORKDAY(Main[[#This Row],[Tech Start Date]],2),""))))</f>
        <v/>
      </c>
      <c r="N16" s="104" t="str">
        <f>IF(Main[[#This Row],[Tech Start Date]]&lt;1/1/1990,"",IF(Main[[#This Row],[Class]]="C",WORKDAY(Main[[#This Row],[Tech Start Date]],19),IF(Main[[#This Row],[Class]]="B", WORKDAY(Main[[#This Row],[Tech Start Date]],12),IF(Main[[#This Row],[Class]]="A",WORKDAY(Main[[#This Row],[Tech Start Date]],4),""))))</f>
        <v/>
      </c>
      <c r="O16" s="104" t="str">
        <f>IF(Main[[#This Row],[Tech Start Date]]&lt;1/1/1990,"",IF(Main[[#This Row],[Class]]="C",WORKDAY(Main[[#This Row],[Tech Start Date]],23),IF(Main[[#This Row],[Class]]="B", WORKDAY(Main[[#This Row],[Tech Start Date]],15),IF(Main[[#This Row],[Class]]="A",WORKDAY(Main[[#This Row],[Tech Start Date]],5),""))))</f>
        <v/>
      </c>
      <c r="P16" s="104" t="str">
        <f>IF(Main[[#This Row],[Tech Start Date]]&lt;1/1/1990,"",IF(Main[[#This Row],[Class]]="C",WORKDAY(Main[[#This Row],[Tech Start Date]],28),IF(Main[[#This Row],[Class]]="B", WORKDAY(Main[[#This Row],[Tech Start Date]],19),IF(Main[[#This Row],[Class]]="A",WORKDAY(Main[[#This Row],[Tech Start Date]],9),""))))</f>
        <v/>
      </c>
      <c r="Q16" s="101">
        <v>40862</v>
      </c>
      <c r="R16" s="101">
        <v>40862</v>
      </c>
      <c r="S16" s="99" t="s">
        <v>17</v>
      </c>
      <c r="T16" s="107" t="s">
        <v>2581</v>
      </c>
      <c r="U16" s="99" t="s">
        <v>29</v>
      </c>
      <c r="V16" s="99" t="s">
        <v>1977</v>
      </c>
      <c r="W16" s="99" t="s">
        <v>1964</v>
      </c>
    </row>
    <row r="17" spans="1:30" ht="18.600000000000001" customHeight="1">
      <c r="A17" s="123">
        <f>IF(priority(Main[[#This Row],[Comments]])&lt;&gt;0, priority(Main[[#This Row],[Comments]]),"")</f>
        <v>2</v>
      </c>
      <c r="B17" s="127" t="s">
        <v>2789</v>
      </c>
      <c r="C17" s="99" t="s">
        <v>2438</v>
      </c>
      <c r="D17" s="100" t="s">
        <v>3105</v>
      </c>
      <c r="E17" s="101">
        <v>40876.595868055556</v>
      </c>
      <c r="F17" s="101"/>
      <c r="G17" s="102" t="str">
        <f>IF(stdProdLT(Main[[#This Row],[Comments]])=0.1,"N/A",IF(stdProdLT(Main[[#This Row],[Comments]])=0,"",stdProdLT(Main[[#This Row],[Comments]])))</f>
        <v/>
      </c>
      <c r="H17" s="103" t="str">
        <f>IF(AND(Main[[#This Row],[In Stock Date]]&lt;&gt;"",Main[[#This Row],[Revised Due Date]]&lt;&gt;""),Main[[#This Row],[In Stock Date]]-Main[[#This Row],[Revised Due Date]],"")</f>
        <v/>
      </c>
      <c r="I17" s="99" t="s">
        <v>4</v>
      </c>
      <c r="J17" s="99" t="s">
        <v>4</v>
      </c>
      <c r="K17" s="99" t="s">
        <v>4</v>
      </c>
      <c r="L17" s="101"/>
      <c r="M17" s="104" t="str">
        <f>IF(Main[[#This Row],[Tech Start Date]]&lt;1/1/1990,"",IF(Main[[#This Row],[Class]]="C",WORKDAY(Main[[#This Row],[Tech Start Date]],9),IF(Main[[#This Row],[Class]]="B", WORKDAY(Main[[#This Row],[Tech Start Date]],6),IF(Main[[#This Row],[Class]]="A",WORKDAY(Main[[#This Row],[Tech Start Date]],2),""))))</f>
        <v/>
      </c>
      <c r="N17" s="104" t="str">
        <f>IF(Main[[#This Row],[Tech Start Date]]&lt;1/1/1990,"",IF(Main[[#This Row],[Class]]="C",WORKDAY(Main[[#This Row],[Tech Start Date]],19),IF(Main[[#This Row],[Class]]="B", WORKDAY(Main[[#This Row],[Tech Start Date]],12),IF(Main[[#This Row],[Class]]="A",WORKDAY(Main[[#This Row],[Tech Start Date]],4),""))))</f>
        <v/>
      </c>
      <c r="O17" s="104" t="str">
        <f>IF(Main[[#This Row],[Tech Start Date]]&lt;1/1/1990,"",IF(Main[[#This Row],[Class]]="C",WORKDAY(Main[[#This Row],[Tech Start Date]],23),IF(Main[[#This Row],[Class]]="B", WORKDAY(Main[[#This Row],[Tech Start Date]],15),IF(Main[[#This Row],[Class]]="A",WORKDAY(Main[[#This Row],[Tech Start Date]],5),""))))</f>
        <v/>
      </c>
      <c r="P17" s="104" t="str">
        <f>IF(Main[[#This Row],[Tech Start Date]]&lt;1/1/1990,"",IF(Main[[#This Row],[Class]]="C",WORKDAY(Main[[#This Row],[Tech Start Date]],28),IF(Main[[#This Row],[Class]]="B", WORKDAY(Main[[#This Row],[Tech Start Date]],19),IF(Main[[#This Row],[Class]]="A",WORKDAY(Main[[#This Row],[Tech Start Date]],9),""))))</f>
        <v/>
      </c>
      <c r="Q17" s="101"/>
      <c r="R17" s="101"/>
      <c r="S17" s="99" t="s">
        <v>4</v>
      </c>
      <c r="T17" s="107" t="s">
        <v>3135</v>
      </c>
      <c r="U17" s="99" t="s">
        <v>7</v>
      </c>
      <c r="V17" s="99" t="s">
        <v>1962</v>
      </c>
      <c r="W17" s="99" t="s">
        <v>1964</v>
      </c>
    </row>
    <row r="18" spans="1:30" ht="18.600000000000001" customHeight="1">
      <c r="A18" s="123">
        <f>IF(priority(Main[[#This Row],[Comments]])&lt;&gt;0, priority(Main[[#This Row],[Comments]]),"")</f>
        <v>2</v>
      </c>
      <c r="B18" s="127" t="s">
        <v>1486</v>
      </c>
      <c r="C18" s="99" t="s">
        <v>304</v>
      </c>
      <c r="D18" s="100" t="s">
        <v>2885</v>
      </c>
      <c r="E18" s="101">
        <v>40682.310381944444</v>
      </c>
      <c r="F18" s="101">
        <v>40977</v>
      </c>
      <c r="G18" s="102">
        <f>IF(stdProdLT(Main[[#This Row],[Comments]])=0.1,"N/A",IF(stdProdLT(Main[[#This Row],[Comments]])=0,"",stdProdLT(Main[[#This Row],[Comments]])))</f>
        <v>182</v>
      </c>
      <c r="H18" s="103">
        <f>IF(AND(Main[[#This Row],[In Stock Date]]&lt;&gt;"",Main[[#This Row],[Revised Due Date]]&lt;&gt;""),Main[[#This Row],[In Stock Date]]-Main[[#This Row],[Revised Due Date]],"")</f>
        <v>91</v>
      </c>
      <c r="I18" s="99" t="s">
        <v>2112</v>
      </c>
      <c r="J18" s="99" t="s">
        <v>28</v>
      </c>
      <c r="K18" s="99" t="s">
        <v>1975</v>
      </c>
      <c r="L18" s="101">
        <v>40725</v>
      </c>
      <c r="M18" s="104">
        <f>IF(Main[[#This Row],[Tech Start Date]]&lt;1/1/1990,"",IF(Main[[#This Row],[Class]]="C",WORKDAY(Main[[#This Row],[Tech Start Date]],9),IF(Main[[#This Row],[Class]]="B", WORKDAY(Main[[#This Row],[Tech Start Date]],6),IF(Main[[#This Row],[Class]]="A",WORKDAY(Main[[#This Row],[Tech Start Date]],2),""))))</f>
        <v>40738</v>
      </c>
      <c r="N18" s="104">
        <f>IF(Main[[#This Row],[Tech Start Date]]&lt;1/1/1990,"",IF(Main[[#This Row],[Class]]="C",WORKDAY(Main[[#This Row],[Tech Start Date]],19),IF(Main[[#This Row],[Class]]="B", WORKDAY(Main[[#This Row],[Tech Start Date]],12),IF(Main[[#This Row],[Class]]="A",WORKDAY(Main[[#This Row],[Tech Start Date]],4),""))))</f>
        <v>40752</v>
      </c>
      <c r="O18" s="104">
        <f>IF(Main[[#This Row],[Tech Start Date]]&lt;1/1/1990,"",IF(Main[[#This Row],[Class]]="C",WORKDAY(Main[[#This Row],[Tech Start Date]],23),IF(Main[[#This Row],[Class]]="B", WORKDAY(Main[[#This Row],[Tech Start Date]],15),IF(Main[[#This Row],[Class]]="A",WORKDAY(Main[[#This Row],[Tech Start Date]],5),""))))</f>
        <v>40758</v>
      </c>
      <c r="P18" s="104">
        <f>IF(Main[[#This Row],[Tech Start Date]]&lt;1/1/1990,"",IF(Main[[#This Row],[Class]]="C",WORKDAY(Main[[#This Row],[Tech Start Date]],28),IF(Main[[#This Row],[Class]]="B", WORKDAY(Main[[#This Row],[Tech Start Date]],19),IF(Main[[#This Row],[Class]]="A",WORKDAY(Main[[#This Row],[Tech Start Date]],9),""))))</f>
        <v>40765</v>
      </c>
      <c r="Q18" s="101">
        <v>40712</v>
      </c>
      <c r="R18" s="101">
        <v>40886</v>
      </c>
      <c r="S18" s="99" t="s">
        <v>11</v>
      </c>
      <c r="T18" s="107" t="s">
        <v>2886</v>
      </c>
      <c r="U18" s="99" t="s">
        <v>29</v>
      </c>
      <c r="V18" s="99" t="s">
        <v>1963</v>
      </c>
      <c r="W18" s="99" t="s">
        <v>1973</v>
      </c>
    </row>
    <row r="19" spans="1:30" ht="18.600000000000001" customHeight="1">
      <c r="A19" s="123">
        <f>IF(priority(Main[[#This Row],[Comments]])&lt;&gt;0, priority(Main[[#This Row],[Comments]]),"")</f>
        <v>2</v>
      </c>
      <c r="B19" s="127" t="s">
        <v>2104</v>
      </c>
      <c r="C19" s="99" t="s">
        <v>304</v>
      </c>
      <c r="D19" s="100" t="s">
        <v>2403</v>
      </c>
      <c r="E19" s="101">
        <v>40682.272986111115</v>
      </c>
      <c r="F19" s="101">
        <v>40909</v>
      </c>
      <c r="G19" s="102">
        <f>IF(stdProdLT(Main[[#This Row],[Comments]])=0.1,"N/A",IF(stdProdLT(Main[[#This Row],[Comments]])=0,"",stdProdLT(Main[[#This Row],[Comments]])))</f>
        <v>182</v>
      </c>
      <c r="H19" s="103">
        <f>IF(AND(Main[[#This Row],[In Stock Date]]&lt;&gt;"",Main[[#This Row],[Revised Due Date]]&lt;&gt;""),Main[[#This Row],[In Stock Date]]-Main[[#This Row],[Revised Due Date]],"")</f>
        <v>78</v>
      </c>
      <c r="I19" s="99" t="s">
        <v>967</v>
      </c>
      <c r="J19" s="99" t="s">
        <v>28</v>
      </c>
      <c r="K19" s="99" t="s">
        <v>1975</v>
      </c>
      <c r="L19" s="101">
        <v>40725</v>
      </c>
      <c r="M19" s="104">
        <f>IF(Main[[#This Row],[Tech Start Date]]&lt;1/1/1990,"",IF(Main[[#This Row],[Class]]="C",WORKDAY(Main[[#This Row],[Tech Start Date]],9),IF(Main[[#This Row],[Class]]="B", WORKDAY(Main[[#This Row],[Tech Start Date]],6),IF(Main[[#This Row],[Class]]="A",WORKDAY(Main[[#This Row],[Tech Start Date]],2),""))))</f>
        <v>40738</v>
      </c>
      <c r="N19" s="104">
        <f>IF(Main[[#This Row],[Tech Start Date]]&lt;1/1/1990,"",IF(Main[[#This Row],[Class]]="C",WORKDAY(Main[[#This Row],[Tech Start Date]],19),IF(Main[[#This Row],[Class]]="B", WORKDAY(Main[[#This Row],[Tech Start Date]],12),IF(Main[[#This Row],[Class]]="A",WORKDAY(Main[[#This Row],[Tech Start Date]],4),""))))</f>
        <v>40752</v>
      </c>
      <c r="O19" s="104">
        <f>IF(Main[[#This Row],[Tech Start Date]]&lt;1/1/1990,"",IF(Main[[#This Row],[Class]]="C",WORKDAY(Main[[#This Row],[Tech Start Date]],23),IF(Main[[#This Row],[Class]]="B", WORKDAY(Main[[#This Row],[Tech Start Date]],15),IF(Main[[#This Row],[Class]]="A",WORKDAY(Main[[#This Row],[Tech Start Date]],5),""))))</f>
        <v>40758</v>
      </c>
      <c r="P19" s="104">
        <f>IF(Main[[#This Row],[Tech Start Date]]&lt;1/1/1990,"",IF(Main[[#This Row],[Class]]="C",WORKDAY(Main[[#This Row],[Tech Start Date]],28),IF(Main[[#This Row],[Class]]="B", WORKDAY(Main[[#This Row],[Tech Start Date]],19),IF(Main[[#This Row],[Class]]="A",WORKDAY(Main[[#This Row],[Tech Start Date]],9),""))))</f>
        <v>40765</v>
      </c>
      <c r="Q19" s="101">
        <v>40724</v>
      </c>
      <c r="R19" s="101">
        <v>40831</v>
      </c>
      <c r="S19" s="99" t="s">
        <v>17</v>
      </c>
      <c r="T19" s="107" t="s">
        <v>2278</v>
      </c>
      <c r="U19" s="99" t="s">
        <v>29</v>
      </c>
      <c r="V19" s="99" t="s">
        <v>1963</v>
      </c>
      <c r="W19" s="99" t="s">
        <v>1967</v>
      </c>
    </row>
    <row r="20" spans="1:30" ht="18.600000000000001" customHeight="1">
      <c r="A20" s="123">
        <f>IF(priority(Main[[#This Row],[Comments]])&lt;&gt;0, priority(Main[[#This Row],[Comments]]),"")</f>
        <v>2</v>
      </c>
      <c r="B20" s="127" t="s">
        <v>2804</v>
      </c>
      <c r="C20" s="99" t="s">
        <v>3060</v>
      </c>
      <c r="D20" s="100" t="s">
        <v>2805</v>
      </c>
      <c r="E20" s="101">
        <v>40877.1484375</v>
      </c>
      <c r="F20" s="101">
        <v>40884</v>
      </c>
      <c r="G20" s="102">
        <f>IF(stdProdLT(Main[[#This Row],[Comments]])=0.1,"N/A",IF(stdProdLT(Main[[#This Row],[Comments]])=0,"",stdProdLT(Main[[#This Row],[Comments]])))</f>
        <v>15</v>
      </c>
      <c r="H20" s="103">
        <f>IF(AND(Main[[#This Row],[In Stock Date]]&lt;&gt;"",Main[[#This Row],[Revised Due Date]]&lt;&gt;""),Main[[#This Row],[In Stock Date]]-Main[[#This Row],[Revised Due Date]],"")</f>
        <v>-9</v>
      </c>
      <c r="I20" s="99" t="s">
        <v>536</v>
      </c>
      <c r="J20" s="99" t="s">
        <v>52</v>
      </c>
      <c r="K20" s="99" t="s">
        <v>1971</v>
      </c>
      <c r="L20" s="101">
        <v>40878</v>
      </c>
      <c r="M20" s="104">
        <f>IF(Main[[#This Row],[Tech Start Date]]&lt;1/1/1990,"",IF(Main[[#This Row],[Class]]="C",WORKDAY(Main[[#This Row],[Tech Start Date]],9),IF(Main[[#This Row],[Class]]="B", WORKDAY(Main[[#This Row],[Tech Start Date]],6),IF(Main[[#This Row],[Class]]="A",WORKDAY(Main[[#This Row],[Tech Start Date]],2),""))))</f>
        <v>40882</v>
      </c>
      <c r="N20" s="104">
        <f>IF(Main[[#This Row],[Tech Start Date]]&lt;1/1/1990,"",IF(Main[[#This Row],[Class]]="C",WORKDAY(Main[[#This Row],[Tech Start Date]],19),IF(Main[[#This Row],[Class]]="B", WORKDAY(Main[[#This Row],[Tech Start Date]],12),IF(Main[[#This Row],[Class]]="A",WORKDAY(Main[[#This Row],[Tech Start Date]],4),""))))</f>
        <v>40884</v>
      </c>
      <c r="O20" s="104">
        <f>IF(Main[[#This Row],[Tech Start Date]]&lt;1/1/1990,"",IF(Main[[#This Row],[Class]]="C",WORKDAY(Main[[#This Row],[Tech Start Date]],23),IF(Main[[#This Row],[Class]]="B", WORKDAY(Main[[#This Row],[Tech Start Date]],15),IF(Main[[#This Row],[Class]]="A",WORKDAY(Main[[#This Row],[Tech Start Date]],5),""))))</f>
        <v>40885</v>
      </c>
      <c r="P20" s="104">
        <f>IF(Main[[#This Row],[Tech Start Date]]&lt;1/1/1990,"",IF(Main[[#This Row],[Class]]="C",WORKDAY(Main[[#This Row],[Tech Start Date]],28),IF(Main[[#This Row],[Class]]="B", WORKDAY(Main[[#This Row],[Tech Start Date]],19),IF(Main[[#This Row],[Class]]="A",WORKDAY(Main[[#This Row],[Tech Start Date]],9),""))))</f>
        <v>40891</v>
      </c>
      <c r="Q20" s="101">
        <v>40881</v>
      </c>
      <c r="R20" s="101">
        <v>40893</v>
      </c>
      <c r="S20" s="99" t="s">
        <v>11</v>
      </c>
      <c r="T20" s="107" t="s">
        <v>3091</v>
      </c>
      <c r="U20" s="99" t="s">
        <v>29</v>
      </c>
      <c r="V20" s="99" t="s">
        <v>1965</v>
      </c>
      <c r="W20" s="99" t="s">
        <v>1970</v>
      </c>
    </row>
    <row r="21" spans="1:30" ht="18.600000000000001" customHeight="1">
      <c r="A21" s="123">
        <f>IF(priority(Main[[#This Row],[Comments]])&lt;&gt;0, priority(Main[[#This Row],[Comments]]),"")</f>
        <v>2.1</v>
      </c>
      <c r="B21" s="127" t="s">
        <v>2710</v>
      </c>
      <c r="C21" s="99" t="s">
        <v>3060</v>
      </c>
      <c r="D21" s="100" t="s">
        <v>2711</v>
      </c>
      <c r="E21" s="101">
        <v>40877.179502314815</v>
      </c>
      <c r="F21" s="101">
        <v>40884</v>
      </c>
      <c r="G21" s="102">
        <f>IF(stdProdLT(Main[[#This Row],[Comments]])=0.1,"N/A",IF(stdProdLT(Main[[#This Row],[Comments]])=0,"",stdProdLT(Main[[#This Row],[Comments]])))</f>
        <v>15</v>
      </c>
      <c r="H21" s="103">
        <f>IF(AND(Main[[#This Row],[In Stock Date]]&lt;&gt;"",Main[[#This Row],[Revised Due Date]]&lt;&gt;""),Main[[#This Row],[In Stock Date]]-Main[[#This Row],[Revised Due Date]],"")</f>
        <v>-9</v>
      </c>
      <c r="I21" s="99" t="s">
        <v>536</v>
      </c>
      <c r="J21" s="99" t="s">
        <v>52</v>
      </c>
      <c r="K21" s="108" t="s">
        <v>1971</v>
      </c>
      <c r="L21" s="101">
        <v>40878</v>
      </c>
      <c r="M21" s="104">
        <f>IF(Main[[#This Row],[Tech Start Date]]&lt;1/1/1990,"",IF(Main[[#This Row],[Class]]="C",WORKDAY(Main[[#This Row],[Tech Start Date]],9),IF(Main[[#This Row],[Class]]="B", WORKDAY(Main[[#This Row],[Tech Start Date]],6),IF(Main[[#This Row],[Class]]="A",WORKDAY(Main[[#This Row],[Tech Start Date]],2),""))))</f>
        <v>40882</v>
      </c>
      <c r="N21" s="104">
        <f>IF(Main[[#This Row],[Tech Start Date]]&lt;1/1/1990,"",IF(Main[[#This Row],[Class]]="C",WORKDAY(Main[[#This Row],[Tech Start Date]],19),IF(Main[[#This Row],[Class]]="B", WORKDAY(Main[[#This Row],[Tech Start Date]],12),IF(Main[[#This Row],[Class]]="A",WORKDAY(Main[[#This Row],[Tech Start Date]],4),""))))</f>
        <v>40884</v>
      </c>
      <c r="O21" s="104">
        <f>IF(Main[[#This Row],[Tech Start Date]]&lt;1/1/1990,"",IF(Main[[#This Row],[Class]]="C",WORKDAY(Main[[#This Row],[Tech Start Date]],23),IF(Main[[#This Row],[Class]]="B", WORKDAY(Main[[#This Row],[Tech Start Date]],15),IF(Main[[#This Row],[Class]]="A",WORKDAY(Main[[#This Row],[Tech Start Date]],5),""))))</f>
        <v>40885</v>
      </c>
      <c r="P21" s="104">
        <f>IF(Main[[#This Row],[Tech Start Date]]&lt;1/1/1990,"",IF(Main[[#This Row],[Class]]="C",WORKDAY(Main[[#This Row],[Tech Start Date]],28),IF(Main[[#This Row],[Class]]="B", WORKDAY(Main[[#This Row],[Tech Start Date]],19),IF(Main[[#This Row],[Class]]="A",WORKDAY(Main[[#This Row],[Tech Start Date]],9),""))))</f>
        <v>40891</v>
      </c>
      <c r="Q21" s="101">
        <v>40881</v>
      </c>
      <c r="R21" s="101">
        <v>40893</v>
      </c>
      <c r="S21" s="99" t="s">
        <v>11</v>
      </c>
      <c r="T21" s="107" t="s">
        <v>3069</v>
      </c>
      <c r="U21" s="99" t="s">
        <v>29</v>
      </c>
      <c r="V21" s="99" t="s">
        <v>1972</v>
      </c>
      <c r="W21" s="99" t="s">
        <v>1970</v>
      </c>
    </row>
    <row r="22" spans="1:30" ht="18.600000000000001" customHeight="1">
      <c r="A22" s="123">
        <f>IF(priority(Main[[#This Row],[Comments]])&lt;&gt;0, priority(Main[[#This Row],[Comments]]),"")</f>
        <v>2.2000000000000002</v>
      </c>
      <c r="B22" s="127" t="s">
        <v>2708</v>
      </c>
      <c r="C22" s="99" t="s">
        <v>3060</v>
      </c>
      <c r="D22" s="100" t="s">
        <v>2709</v>
      </c>
      <c r="E22" s="101">
        <v>40877.174097222225</v>
      </c>
      <c r="F22" s="101">
        <v>40884</v>
      </c>
      <c r="G22" s="102">
        <f>IF(stdProdLT(Main[[#This Row],[Comments]])=0.1,"N/A",IF(stdProdLT(Main[[#This Row],[Comments]])=0,"",stdProdLT(Main[[#This Row],[Comments]])))</f>
        <v>15</v>
      </c>
      <c r="H22" s="103">
        <f>IF(AND(Main[[#This Row],[In Stock Date]]&lt;&gt;"",Main[[#This Row],[Revised Due Date]]&lt;&gt;""),Main[[#This Row],[In Stock Date]]-Main[[#This Row],[Revised Due Date]],"")</f>
        <v>-9</v>
      </c>
      <c r="I22" s="99" t="s">
        <v>536</v>
      </c>
      <c r="J22" s="99" t="s">
        <v>52</v>
      </c>
      <c r="K22" s="108" t="s">
        <v>1971</v>
      </c>
      <c r="L22" s="101">
        <v>40878</v>
      </c>
      <c r="M22" s="104">
        <f>IF(Main[[#This Row],[Tech Start Date]]&lt;1/1/1990,"",IF(Main[[#This Row],[Class]]="C",WORKDAY(Main[[#This Row],[Tech Start Date]],9),IF(Main[[#This Row],[Class]]="B", WORKDAY(Main[[#This Row],[Tech Start Date]],6),IF(Main[[#This Row],[Class]]="A",WORKDAY(Main[[#This Row],[Tech Start Date]],2),""))))</f>
        <v>40882</v>
      </c>
      <c r="N22" s="104">
        <f>IF(Main[[#This Row],[Tech Start Date]]&lt;1/1/1990,"",IF(Main[[#This Row],[Class]]="C",WORKDAY(Main[[#This Row],[Tech Start Date]],19),IF(Main[[#This Row],[Class]]="B", WORKDAY(Main[[#This Row],[Tech Start Date]],12),IF(Main[[#This Row],[Class]]="A",WORKDAY(Main[[#This Row],[Tech Start Date]],4),""))))</f>
        <v>40884</v>
      </c>
      <c r="O22" s="104">
        <f>IF(Main[[#This Row],[Tech Start Date]]&lt;1/1/1990,"",IF(Main[[#This Row],[Class]]="C",WORKDAY(Main[[#This Row],[Tech Start Date]],23),IF(Main[[#This Row],[Class]]="B", WORKDAY(Main[[#This Row],[Tech Start Date]],15),IF(Main[[#This Row],[Class]]="A",WORKDAY(Main[[#This Row],[Tech Start Date]],5),""))))</f>
        <v>40885</v>
      </c>
      <c r="P22" s="104">
        <f>IF(Main[[#This Row],[Tech Start Date]]&lt;1/1/1990,"",IF(Main[[#This Row],[Class]]="C",WORKDAY(Main[[#This Row],[Tech Start Date]],28),IF(Main[[#This Row],[Class]]="B", WORKDAY(Main[[#This Row],[Tech Start Date]],19),IF(Main[[#This Row],[Class]]="A",WORKDAY(Main[[#This Row],[Tech Start Date]],9),""))))</f>
        <v>40891</v>
      </c>
      <c r="Q22" s="101">
        <v>40881</v>
      </c>
      <c r="R22" s="101">
        <v>40893</v>
      </c>
      <c r="S22" s="99" t="s">
        <v>11</v>
      </c>
      <c r="T22" s="107" t="s">
        <v>3066</v>
      </c>
      <c r="U22" s="99" t="s">
        <v>29</v>
      </c>
      <c r="V22" s="99" t="s">
        <v>1972</v>
      </c>
      <c r="W22" s="99" t="s">
        <v>1970</v>
      </c>
    </row>
    <row r="23" spans="1:30" ht="18.600000000000001" customHeight="1">
      <c r="A23" s="123">
        <f>IF(priority(Main[[#This Row],[Comments]])&lt;&gt;0, priority(Main[[#This Row],[Comments]]),"")</f>
        <v>3</v>
      </c>
      <c r="B23" s="127" t="s">
        <v>2218</v>
      </c>
      <c r="C23" s="99" t="s">
        <v>2219</v>
      </c>
      <c r="D23" s="100" t="s">
        <v>3124</v>
      </c>
      <c r="E23" s="101">
        <v>40770.33797453704</v>
      </c>
      <c r="F23" s="101">
        <v>40954</v>
      </c>
      <c r="G23" s="102">
        <f>IF(stdProdLT(Main[[#This Row],[Comments]])=0.1,"N/A",IF(stdProdLT(Main[[#This Row],[Comments]])=0,"",stdProdLT(Main[[#This Row],[Comments]])))</f>
        <v>126</v>
      </c>
      <c r="H23" s="103">
        <f>IF(AND(Main[[#This Row],[In Stock Date]]&lt;&gt;"",Main[[#This Row],[Revised Due Date]]&lt;&gt;""),Main[[#This Row],[In Stock Date]]-Main[[#This Row],[Revised Due Date]],"")</f>
        <v>63</v>
      </c>
      <c r="I23" s="99" t="s">
        <v>911</v>
      </c>
      <c r="J23" s="99" t="s">
        <v>21</v>
      </c>
      <c r="K23" s="99" t="s">
        <v>1975</v>
      </c>
      <c r="L23" s="101">
        <v>40778</v>
      </c>
      <c r="M23" s="104">
        <f>IF(Main[[#This Row],[Tech Start Date]]&lt;1/1/1990,"",IF(Main[[#This Row],[Class]]="C",WORKDAY(Main[[#This Row],[Tech Start Date]],9),IF(Main[[#This Row],[Class]]="B", WORKDAY(Main[[#This Row],[Tech Start Date]],6),IF(Main[[#This Row],[Class]]="A",WORKDAY(Main[[#This Row],[Tech Start Date]],2),""))))</f>
        <v>40791</v>
      </c>
      <c r="N23" s="104">
        <f>IF(Main[[#This Row],[Tech Start Date]]&lt;1/1/1990,"",IF(Main[[#This Row],[Class]]="C",WORKDAY(Main[[#This Row],[Tech Start Date]],19),IF(Main[[#This Row],[Class]]="B", WORKDAY(Main[[#This Row],[Tech Start Date]],12),IF(Main[[#This Row],[Class]]="A",WORKDAY(Main[[#This Row],[Tech Start Date]],4),""))))</f>
        <v>40805</v>
      </c>
      <c r="O23" s="104">
        <f>IF(Main[[#This Row],[Tech Start Date]]&lt;1/1/1990,"",IF(Main[[#This Row],[Class]]="C",WORKDAY(Main[[#This Row],[Tech Start Date]],23),IF(Main[[#This Row],[Class]]="B", WORKDAY(Main[[#This Row],[Tech Start Date]],15),IF(Main[[#This Row],[Class]]="A",WORKDAY(Main[[#This Row],[Tech Start Date]],5),""))))</f>
        <v>40809</v>
      </c>
      <c r="P23" s="104">
        <f>IF(Main[[#This Row],[Tech Start Date]]&lt;1/1/1990,"",IF(Main[[#This Row],[Class]]="C",WORKDAY(Main[[#This Row],[Tech Start Date]],28),IF(Main[[#This Row],[Class]]="B", WORKDAY(Main[[#This Row],[Tech Start Date]],19),IF(Main[[#This Row],[Class]]="A",WORKDAY(Main[[#This Row],[Tech Start Date]],9),""))))</f>
        <v>40816</v>
      </c>
      <c r="Q23" s="101">
        <v>40802</v>
      </c>
      <c r="R23" s="101">
        <v>40891</v>
      </c>
      <c r="S23" s="99" t="s">
        <v>11</v>
      </c>
      <c r="T23" s="107" t="s">
        <v>3136</v>
      </c>
      <c r="U23" s="99" t="s">
        <v>29</v>
      </c>
      <c r="V23" s="99" t="s">
        <v>1962</v>
      </c>
      <c r="W23" s="99" t="s">
        <v>1968</v>
      </c>
    </row>
    <row r="24" spans="1:30" ht="18.600000000000001" customHeight="1">
      <c r="A24" s="123">
        <f>IF(priority(Main[[#This Row],[Comments]])&lt;&gt;0, priority(Main[[#This Row],[Comments]]),"")</f>
        <v>3</v>
      </c>
      <c r="B24" s="127" t="s">
        <v>2355</v>
      </c>
      <c r="C24" s="99" t="s">
        <v>524</v>
      </c>
      <c r="D24" s="100" t="s">
        <v>2919</v>
      </c>
      <c r="E24" s="101">
        <v>40812.552488425928</v>
      </c>
      <c r="F24" s="101">
        <v>41030</v>
      </c>
      <c r="G24" s="102" t="str">
        <f>IF(stdProdLT(Main[[#This Row],[Comments]])=0.1,"N/A",IF(stdProdLT(Main[[#This Row],[Comments]])=0,"",stdProdLT(Main[[#This Row],[Comments]])))</f>
        <v/>
      </c>
      <c r="H24" s="103">
        <f>IF(AND(Main[[#This Row],[In Stock Date]]&lt;&gt;"",Main[[#This Row],[Revised Due Date]]&lt;&gt;""),Main[[#This Row],[In Stock Date]]-Main[[#This Row],[Revised Due Date]],"")</f>
        <v>139</v>
      </c>
      <c r="I24" s="99" t="s">
        <v>2920</v>
      </c>
      <c r="J24" s="99" t="s">
        <v>28</v>
      </c>
      <c r="K24" s="99" t="s">
        <v>1969</v>
      </c>
      <c r="L24" s="101">
        <v>40835</v>
      </c>
      <c r="M24" s="104">
        <f>IF(Main[[#This Row],[Tech Start Date]]&lt;1/1/1990,"",IF(Main[[#This Row],[Class]]="C",WORKDAY(Main[[#This Row],[Tech Start Date]],9),IF(Main[[#This Row],[Class]]="B", WORKDAY(Main[[#This Row],[Tech Start Date]],6),IF(Main[[#This Row],[Class]]="A",WORKDAY(Main[[#This Row],[Tech Start Date]],2),""))))</f>
        <v>40843</v>
      </c>
      <c r="N24" s="104">
        <f>IF(Main[[#This Row],[Tech Start Date]]&lt;1/1/1990,"",IF(Main[[#This Row],[Class]]="C",WORKDAY(Main[[#This Row],[Tech Start Date]],19),IF(Main[[#This Row],[Class]]="B", WORKDAY(Main[[#This Row],[Tech Start Date]],12),IF(Main[[#This Row],[Class]]="A",WORKDAY(Main[[#This Row],[Tech Start Date]],4),""))))</f>
        <v>40851</v>
      </c>
      <c r="O24" s="104">
        <f>IF(Main[[#This Row],[Tech Start Date]]&lt;1/1/1990,"",IF(Main[[#This Row],[Class]]="C",WORKDAY(Main[[#This Row],[Tech Start Date]],23),IF(Main[[#This Row],[Class]]="B", WORKDAY(Main[[#This Row],[Tech Start Date]],15),IF(Main[[#This Row],[Class]]="A",WORKDAY(Main[[#This Row],[Tech Start Date]],5),""))))</f>
        <v>40856</v>
      </c>
      <c r="P24" s="104">
        <f>IF(Main[[#This Row],[Tech Start Date]]&lt;1/1/1990,"",IF(Main[[#This Row],[Class]]="C",WORKDAY(Main[[#This Row],[Tech Start Date]],28),IF(Main[[#This Row],[Class]]="B", WORKDAY(Main[[#This Row],[Tech Start Date]],19),IF(Main[[#This Row],[Class]]="A",WORKDAY(Main[[#This Row],[Tech Start Date]],9),""))))</f>
        <v>40862</v>
      </c>
      <c r="Q24" s="101">
        <v>40816</v>
      </c>
      <c r="R24" s="101">
        <v>40891</v>
      </c>
      <c r="S24" s="99" t="s">
        <v>11</v>
      </c>
      <c r="T24" s="107" t="s">
        <v>2921</v>
      </c>
      <c r="U24" s="99" t="s">
        <v>29</v>
      </c>
      <c r="V24" s="99" t="s">
        <v>1963</v>
      </c>
      <c r="W24" s="99" t="s">
        <v>1970</v>
      </c>
    </row>
    <row r="25" spans="1:30" ht="18.600000000000001" customHeight="1">
      <c r="A25" s="123">
        <f>IF(priority(Main[[#This Row],[Comments]])&lt;&gt;0, priority(Main[[#This Row],[Comments]]),"")</f>
        <v>3</v>
      </c>
      <c r="B25" s="127" t="s">
        <v>1935</v>
      </c>
      <c r="C25" s="99" t="s">
        <v>966</v>
      </c>
      <c r="D25" s="100" t="s">
        <v>2946</v>
      </c>
      <c r="E25" s="101">
        <v>40694.711041666669</v>
      </c>
      <c r="F25" s="101"/>
      <c r="G25" s="102" t="str">
        <f>IF(stdProdLT(Main[[#This Row],[Comments]])=0.1,"N/A",IF(stdProdLT(Main[[#This Row],[Comments]])=0,"",stdProdLT(Main[[#This Row],[Comments]])))</f>
        <v/>
      </c>
      <c r="H25" s="103" t="str">
        <f>IF(AND(Main[[#This Row],[In Stock Date]]&lt;&gt;"",Main[[#This Row],[Revised Due Date]]&lt;&gt;""),Main[[#This Row],[In Stock Date]]-Main[[#This Row],[Revised Due Date]],"")</f>
        <v/>
      </c>
      <c r="I25" s="99" t="s">
        <v>967</v>
      </c>
      <c r="J25" s="99" t="s">
        <v>28</v>
      </c>
      <c r="K25" s="108" t="s">
        <v>1974</v>
      </c>
      <c r="L25" s="101">
        <v>40848</v>
      </c>
      <c r="M25" s="104" t="str">
        <f>IF(Main[[#This Row],[Tech Start Date]]&lt;1/1/1990,"",IF(Main[[#This Row],[Class]]="C",WORKDAY(Main[[#This Row],[Tech Start Date]],9),IF(Main[[#This Row],[Class]]="B", WORKDAY(Main[[#This Row],[Tech Start Date]],6),IF(Main[[#This Row],[Class]]="A",WORKDAY(Main[[#This Row],[Tech Start Date]],2),""))))</f>
        <v/>
      </c>
      <c r="N25" s="104" t="str">
        <f>IF(Main[[#This Row],[Tech Start Date]]&lt;1/1/1990,"",IF(Main[[#This Row],[Class]]="C",WORKDAY(Main[[#This Row],[Tech Start Date]],19),IF(Main[[#This Row],[Class]]="B", WORKDAY(Main[[#This Row],[Tech Start Date]],12),IF(Main[[#This Row],[Class]]="A",WORKDAY(Main[[#This Row],[Tech Start Date]],4),""))))</f>
        <v/>
      </c>
      <c r="O25" s="104" t="str">
        <f>IF(Main[[#This Row],[Tech Start Date]]&lt;1/1/1990,"",IF(Main[[#This Row],[Class]]="C",WORKDAY(Main[[#This Row],[Tech Start Date]],23),IF(Main[[#This Row],[Class]]="B", WORKDAY(Main[[#This Row],[Tech Start Date]],15),IF(Main[[#This Row],[Class]]="A",WORKDAY(Main[[#This Row],[Tech Start Date]],5),""))))</f>
        <v/>
      </c>
      <c r="P25" s="104" t="str">
        <f>IF(Main[[#This Row],[Tech Start Date]]&lt;1/1/1990,"",IF(Main[[#This Row],[Class]]="C",WORKDAY(Main[[#This Row],[Tech Start Date]],28),IF(Main[[#This Row],[Class]]="B", WORKDAY(Main[[#This Row],[Tech Start Date]],19),IF(Main[[#This Row],[Class]]="A",WORKDAY(Main[[#This Row],[Tech Start Date]],9),""))))</f>
        <v/>
      </c>
      <c r="Q25" s="101">
        <v>40729</v>
      </c>
      <c r="R25" s="101"/>
      <c r="S25" s="99" t="s">
        <v>17</v>
      </c>
      <c r="T25" s="107" t="s">
        <v>2947</v>
      </c>
      <c r="U25" s="99" t="s">
        <v>29</v>
      </c>
      <c r="V25" s="99" t="s">
        <v>1977</v>
      </c>
      <c r="W25" s="99" t="s">
        <v>1970</v>
      </c>
    </row>
    <row r="26" spans="1:30" ht="18.600000000000001" customHeight="1">
      <c r="A26" s="123">
        <f>IF(priority(Main[[#This Row],[Comments]])&lt;&gt;0, priority(Main[[#This Row],[Comments]]),"")</f>
        <v>4</v>
      </c>
      <c r="B26" s="127" t="s">
        <v>2354</v>
      </c>
      <c r="C26" s="99" t="s">
        <v>524</v>
      </c>
      <c r="D26" s="100" t="s">
        <v>2922</v>
      </c>
      <c r="E26" s="101">
        <v>40812.55064814815</v>
      </c>
      <c r="F26" s="101">
        <v>41030</v>
      </c>
      <c r="G26" s="102">
        <f>IF(stdProdLT(Main[[#This Row],[Comments]])=0.1,"N/A",IF(stdProdLT(Main[[#This Row],[Comments]])=0,"",stdProdLT(Main[[#This Row],[Comments]])))</f>
        <v>84</v>
      </c>
      <c r="H26" s="103">
        <f>IF(AND(Main[[#This Row],[In Stock Date]]&lt;&gt;"",Main[[#This Row],[Revised Due Date]]&lt;&gt;""),Main[[#This Row],[In Stock Date]]-Main[[#This Row],[Revised Due Date]],"")</f>
        <v>139</v>
      </c>
      <c r="I26" s="99" t="s">
        <v>2920</v>
      </c>
      <c r="J26" s="99" t="s">
        <v>28</v>
      </c>
      <c r="K26" s="99" t="s">
        <v>1969</v>
      </c>
      <c r="L26" s="101">
        <v>40835</v>
      </c>
      <c r="M26" s="104">
        <f>IF(Main[[#This Row],[Tech Start Date]]&lt;1/1/1990,"",IF(Main[[#This Row],[Class]]="C",WORKDAY(Main[[#This Row],[Tech Start Date]],9),IF(Main[[#This Row],[Class]]="B", WORKDAY(Main[[#This Row],[Tech Start Date]],6),IF(Main[[#This Row],[Class]]="A",WORKDAY(Main[[#This Row],[Tech Start Date]],2),""))))</f>
        <v>40843</v>
      </c>
      <c r="N26" s="104">
        <f>IF(Main[[#This Row],[Tech Start Date]]&lt;1/1/1990,"",IF(Main[[#This Row],[Class]]="C",WORKDAY(Main[[#This Row],[Tech Start Date]],19),IF(Main[[#This Row],[Class]]="B", WORKDAY(Main[[#This Row],[Tech Start Date]],12),IF(Main[[#This Row],[Class]]="A",WORKDAY(Main[[#This Row],[Tech Start Date]],4),""))))</f>
        <v>40851</v>
      </c>
      <c r="O26" s="104">
        <f>IF(Main[[#This Row],[Tech Start Date]]&lt;1/1/1990,"",IF(Main[[#This Row],[Class]]="C",WORKDAY(Main[[#This Row],[Tech Start Date]],23),IF(Main[[#This Row],[Class]]="B", WORKDAY(Main[[#This Row],[Tech Start Date]],15),IF(Main[[#This Row],[Class]]="A",WORKDAY(Main[[#This Row],[Tech Start Date]],5),""))))</f>
        <v>40856</v>
      </c>
      <c r="P26" s="104">
        <f>IF(Main[[#This Row],[Tech Start Date]]&lt;1/1/1990,"",IF(Main[[#This Row],[Class]]="C",WORKDAY(Main[[#This Row],[Tech Start Date]],28),IF(Main[[#This Row],[Class]]="B", WORKDAY(Main[[#This Row],[Tech Start Date]],19),IF(Main[[#This Row],[Class]]="A",WORKDAY(Main[[#This Row],[Tech Start Date]],9),""))))</f>
        <v>40862</v>
      </c>
      <c r="Q26" s="101">
        <v>40816</v>
      </c>
      <c r="R26" s="101">
        <v>40891</v>
      </c>
      <c r="S26" s="99" t="s">
        <v>11</v>
      </c>
      <c r="T26" s="107" t="s">
        <v>2923</v>
      </c>
      <c r="U26" s="99" t="s">
        <v>29</v>
      </c>
      <c r="V26" s="99" t="s">
        <v>1963</v>
      </c>
      <c r="W26" s="99" t="s">
        <v>1970</v>
      </c>
    </row>
    <row r="27" spans="1:30" ht="18.600000000000001" customHeight="1">
      <c r="A27" s="123">
        <f>IF(priority(Main[[#This Row],[Comments]])&lt;&gt;0, priority(Main[[#This Row],[Comments]]),"")</f>
        <v>4</v>
      </c>
      <c r="B27" s="127" t="s">
        <v>2940</v>
      </c>
      <c r="C27" s="99" t="s">
        <v>2801</v>
      </c>
      <c r="D27" s="100" t="s">
        <v>3128</v>
      </c>
      <c r="E27" s="101">
        <v>40847.264097222222</v>
      </c>
      <c r="F27" s="101">
        <v>40983</v>
      </c>
      <c r="G27" s="102">
        <f>IF(stdProdLT(Main[[#This Row],[Comments]])=0.1,"N/A",IF(stdProdLT(Main[[#This Row],[Comments]])=0,"",stdProdLT(Main[[#This Row],[Comments]])))</f>
        <v>112</v>
      </c>
      <c r="H27" s="103">
        <f>IF(AND(Main[[#This Row],[In Stock Date]]&lt;&gt;"",Main[[#This Row],[Revised Due Date]]&lt;&gt;""),Main[[#This Row],[In Stock Date]]-Main[[#This Row],[Revised Due Date]],"")</f>
        <v>83</v>
      </c>
      <c r="I27" s="99" t="s">
        <v>929</v>
      </c>
      <c r="J27" s="99" t="s">
        <v>28</v>
      </c>
      <c r="K27" s="99" t="s">
        <v>1975</v>
      </c>
      <c r="L27" s="101">
        <v>40848</v>
      </c>
      <c r="M27" s="104">
        <f>IF(Main[[#This Row],[Tech Start Date]]&lt;1/1/1990,"",IF(Main[[#This Row],[Class]]="C",WORKDAY(Main[[#This Row],[Tech Start Date]],9),IF(Main[[#This Row],[Class]]="B", WORKDAY(Main[[#This Row],[Tech Start Date]],6),IF(Main[[#This Row],[Class]]="A",WORKDAY(Main[[#This Row],[Tech Start Date]],2),""))))</f>
        <v>40861</v>
      </c>
      <c r="N27" s="104">
        <f>IF(Main[[#This Row],[Tech Start Date]]&lt;1/1/1990,"",IF(Main[[#This Row],[Class]]="C",WORKDAY(Main[[#This Row],[Tech Start Date]],19),IF(Main[[#This Row],[Class]]="B", WORKDAY(Main[[#This Row],[Tech Start Date]],12),IF(Main[[#This Row],[Class]]="A",WORKDAY(Main[[#This Row],[Tech Start Date]],4),""))))</f>
        <v>40875</v>
      </c>
      <c r="O27" s="104">
        <f>IF(Main[[#This Row],[Tech Start Date]]&lt;1/1/1990,"",IF(Main[[#This Row],[Class]]="C",WORKDAY(Main[[#This Row],[Tech Start Date]],23),IF(Main[[#This Row],[Class]]="B", WORKDAY(Main[[#This Row],[Tech Start Date]],15),IF(Main[[#This Row],[Class]]="A",WORKDAY(Main[[#This Row],[Tech Start Date]],5),""))))</f>
        <v>40879</v>
      </c>
      <c r="P27" s="104">
        <f>IF(Main[[#This Row],[Tech Start Date]]&lt;1/1/1990,"",IF(Main[[#This Row],[Class]]="C",WORKDAY(Main[[#This Row],[Tech Start Date]],28),IF(Main[[#This Row],[Class]]="B", WORKDAY(Main[[#This Row],[Tech Start Date]],19),IF(Main[[#This Row],[Class]]="A",WORKDAY(Main[[#This Row],[Tech Start Date]],9),""))))</f>
        <v>40886</v>
      </c>
      <c r="Q27" s="101">
        <v>40885</v>
      </c>
      <c r="R27" s="101">
        <v>40900</v>
      </c>
      <c r="S27" s="99" t="s">
        <v>11</v>
      </c>
      <c r="T27" s="107" t="s">
        <v>3137</v>
      </c>
      <c r="U27" s="99" t="s">
        <v>29</v>
      </c>
      <c r="V27" s="99" t="s">
        <v>1962</v>
      </c>
      <c r="W27" s="99" t="s">
        <v>1970</v>
      </c>
    </row>
    <row r="28" spans="1:30" ht="18.600000000000001" customHeight="1">
      <c r="A28" s="123">
        <f>IF(priority(Main[[#This Row],[Comments]])&lt;&gt;0, priority(Main[[#This Row],[Comments]]),"")</f>
        <v>4</v>
      </c>
      <c r="B28" s="127" t="s">
        <v>2561</v>
      </c>
      <c r="C28" s="99" t="s">
        <v>2562</v>
      </c>
      <c r="D28" s="100" t="s">
        <v>3062</v>
      </c>
      <c r="E28" s="101">
        <v>40869.10083333333</v>
      </c>
      <c r="F28" s="101">
        <v>40969</v>
      </c>
      <c r="G28" s="102">
        <f>IF(stdProdLT(Main[[#This Row],[Comments]])=0.1,"N/A",IF(stdProdLT(Main[[#This Row],[Comments]])=0,"",stdProdLT(Main[[#This Row],[Comments]])))</f>
        <v>182</v>
      </c>
      <c r="H28" s="103">
        <f>IF(AND(Main[[#This Row],[In Stock Date]]&lt;&gt;"",Main[[#This Row],[Revised Due Date]]&lt;&gt;""),Main[[#This Row],[In Stock Date]]-Main[[#This Row],[Revised Due Date]],"")</f>
        <v>70</v>
      </c>
      <c r="I28" s="99" t="s">
        <v>242</v>
      </c>
      <c r="J28" s="99" t="s">
        <v>28</v>
      </c>
      <c r="K28" s="99" t="s">
        <v>1971</v>
      </c>
      <c r="L28" s="101">
        <v>40878</v>
      </c>
      <c r="M28" s="104">
        <f>IF(Main[[#This Row],[Tech Start Date]]&lt;1/1/1990,"",IF(Main[[#This Row],[Class]]="C",WORKDAY(Main[[#This Row],[Tech Start Date]],9),IF(Main[[#This Row],[Class]]="B", WORKDAY(Main[[#This Row],[Tech Start Date]],6),IF(Main[[#This Row],[Class]]="A",WORKDAY(Main[[#This Row],[Tech Start Date]],2),""))))</f>
        <v>40882</v>
      </c>
      <c r="N28" s="104">
        <f>IF(Main[[#This Row],[Tech Start Date]]&lt;1/1/1990,"",IF(Main[[#This Row],[Class]]="C",WORKDAY(Main[[#This Row],[Tech Start Date]],19),IF(Main[[#This Row],[Class]]="B", WORKDAY(Main[[#This Row],[Tech Start Date]],12),IF(Main[[#This Row],[Class]]="A",WORKDAY(Main[[#This Row],[Tech Start Date]],4),""))))</f>
        <v>40884</v>
      </c>
      <c r="O28" s="104">
        <f>IF(Main[[#This Row],[Tech Start Date]]&lt;1/1/1990,"",IF(Main[[#This Row],[Class]]="C",WORKDAY(Main[[#This Row],[Tech Start Date]],23),IF(Main[[#This Row],[Class]]="B", WORKDAY(Main[[#This Row],[Tech Start Date]],15),IF(Main[[#This Row],[Class]]="A",WORKDAY(Main[[#This Row],[Tech Start Date]],5),""))))</f>
        <v>40885</v>
      </c>
      <c r="P28" s="104">
        <f>IF(Main[[#This Row],[Tech Start Date]]&lt;1/1/1990,"",IF(Main[[#This Row],[Class]]="C",WORKDAY(Main[[#This Row],[Tech Start Date]],28),IF(Main[[#This Row],[Class]]="B", WORKDAY(Main[[#This Row],[Tech Start Date]],19),IF(Main[[#This Row],[Class]]="A",WORKDAY(Main[[#This Row],[Tech Start Date]],9),""))))</f>
        <v>40891</v>
      </c>
      <c r="Q28" s="101">
        <v>40877</v>
      </c>
      <c r="R28" s="101">
        <v>40899</v>
      </c>
      <c r="S28" s="99" t="s">
        <v>11</v>
      </c>
      <c r="T28" s="107" t="s">
        <v>2563</v>
      </c>
      <c r="U28" s="99" t="s">
        <v>29</v>
      </c>
      <c r="V28" s="99" t="s">
        <v>1965</v>
      </c>
      <c r="W28" s="99" t="s">
        <v>1970</v>
      </c>
    </row>
    <row r="29" spans="1:30" ht="18.600000000000001" customHeight="1">
      <c r="A29" s="123">
        <f>IF(priority(Main[[#This Row],[Comments]])&lt;&gt;0, priority(Main[[#This Row],[Comments]]),"")</f>
        <v>5</v>
      </c>
      <c r="B29" s="127" t="s">
        <v>2208</v>
      </c>
      <c r="C29" s="99" t="s">
        <v>2077</v>
      </c>
      <c r="D29" s="100" t="s">
        <v>2209</v>
      </c>
      <c r="E29" s="101"/>
      <c r="F29" s="101">
        <v>40771</v>
      </c>
      <c r="G29" s="102">
        <f>IF(stdProdLT(Main[[#This Row],[Comments]])=0.1,"N/A",IF(stdProdLT(Main[[#This Row],[Comments]])=0,"",stdProdLT(Main[[#This Row],[Comments]])))</f>
        <v>154</v>
      </c>
      <c r="H29" s="103">
        <f>IF(AND(Main[[#This Row],[In Stock Date]]&lt;&gt;"",Main[[#This Row],[Revised Due Date]]&lt;&gt;""),Main[[#This Row],[In Stock Date]]-Main[[#This Row],[Revised Due Date]],"")</f>
        <v>-44</v>
      </c>
      <c r="I29" s="99" t="s">
        <v>959</v>
      </c>
      <c r="J29" s="99" t="s">
        <v>28</v>
      </c>
      <c r="K29" s="108" t="s">
        <v>1975</v>
      </c>
      <c r="L29" s="101">
        <v>40772</v>
      </c>
      <c r="M29" s="104">
        <f>IF(Main[[#This Row],[Tech Start Date]]&lt;1/1/1990,"",IF(Main[[#This Row],[Class]]="C",WORKDAY(Main[[#This Row],[Tech Start Date]],9),IF(Main[[#This Row],[Class]]="B", WORKDAY(Main[[#This Row],[Tech Start Date]],6),IF(Main[[#This Row],[Class]]="A",WORKDAY(Main[[#This Row],[Tech Start Date]],2),""))))</f>
        <v>40785</v>
      </c>
      <c r="N29" s="104">
        <f>IF(Main[[#This Row],[Tech Start Date]]&lt;1/1/1990,"",IF(Main[[#This Row],[Class]]="C",WORKDAY(Main[[#This Row],[Tech Start Date]],19),IF(Main[[#This Row],[Class]]="B", WORKDAY(Main[[#This Row],[Tech Start Date]],12),IF(Main[[#This Row],[Class]]="A",WORKDAY(Main[[#This Row],[Tech Start Date]],4),""))))</f>
        <v>40799</v>
      </c>
      <c r="O29" s="104">
        <f>IF(Main[[#This Row],[Tech Start Date]]&lt;1/1/1990,"",IF(Main[[#This Row],[Class]]="C",WORKDAY(Main[[#This Row],[Tech Start Date]],23),IF(Main[[#This Row],[Class]]="B", WORKDAY(Main[[#This Row],[Tech Start Date]],15),IF(Main[[#This Row],[Class]]="A",WORKDAY(Main[[#This Row],[Tech Start Date]],5),""))))</f>
        <v>40805</v>
      </c>
      <c r="P29" s="104">
        <f>IF(Main[[#This Row],[Tech Start Date]]&lt;1/1/1990,"",IF(Main[[#This Row],[Class]]="C",WORKDAY(Main[[#This Row],[Tech Start Date]],28),IF(Main[[#This Row],[Class]]="B", WORKDAY(Main[[#This Row],[Tech Start Date]],19),IF(Main[[#This Row],[Class]]="A",WORKDAY(Main[[#This Row],[Tech Start Date]],9),""))))</f>
        <v>40812</v>
      </c>
      <c r="Q29" s="101">
        <v>40771</v>
      </c>
      <c r="R29" s="101">
        <v>40815</v>
      </c>
      <c r="S29" s="99" t="s">
        <v>11</v>
      </c>
      <c r="T29" s="107" t="s">
        <v>2210</v>
      </c>
      <c r="U29" s="99" t="s">
        <v>14</v>
      </c>
      <c r="V29" s="99" t="s">
        <v>1963</v>
      </c>
      <c r="W29" s="99" t="s">
        <v>1970</v>
      </c>
    </row>
    <row r="30" spans="1:30" ht="18.600000000000001" customHeight="1">
      <c r="A30" s="123">
        <f>IF(priority(Main[[#This Row],[Comments]])&lt;&gt;0, priority(Main[[#This Row],[Comments]]),"")</f>
        <v>5</v>
      </c>
      <c r="B30" s="127" t="s">
        <v>2941</v>
      </c>
      <c r="C30" s="99" t="s">
        <v>2942</v>
      </c>
      <c r="D30" s="100" t="s">
        <v>2943</v>
      </c>
      <c r="E30" s="101">
        <v>40835.462650462963</v>
      </c>
      <c r="F30" s="101">
        <v>40909</v>
      </c>
      <c r="G30" s="102" t="str">
        <f>IF(stdProdLT(Main[[#This Row],[Comments]])=0.1,"N/A",IF(stdProdLT(Main[[#This Row],[Comments]])=0,"",stdProdLT(Main[[#This Row],[Comments]])))</f>
        <v>N/A</v>
      </c>
      <c r="H30" s="103">
        <f>IF(AND(Main[[#This Row],[In Stock Date]]&lt;&gt;"",Main[[#This Row],[Revised Due Date]]&lt;&gt;""),Main[[#This Row],[In Stock Date]]-Main[[#This Row],[Revised Due Date]],"")</f>
        <v>16</v>
      </c>
      <c r="I30" s="99" t="s">
        <v>2920</v>
      </c>
      <c r="J30" s="99" t="s">
        <v>28</v>
      </c>
      <c r="K30" s="99" t="s">
        <v>1975</v>
      </c>
      <c r="L30" s="101">
        <v>40848</v>
      </c>
      <c r="M30" s="104">
        <f>IF(Main[[#This Row],[Tech Start Date]]&lt;1/1/1990,"",IF(Main[[#This Row],[Class]]="C",WORKDAY(Main[[#This Row],[Tech Start Date]],9),IF(Main[[#This Row],[Class]]="B", WORKDAY(Main[[#This Row],[Tech Start Date]],6),IF(Main[[#This Row],[Class]]="A",WORKDAY(Main[[#This Row],[Tech Start Date]],2),""))))</f>
        <v>40861</v>
      </c>
      <c r="N30" s="104">
        <f>IF(Main[[#This Row],[Tech Start Date]]&lt;1/1/1990,"",IF(Main[[#This Row],[Class]]="C",WORKDAY(Main[[#This Row],[Tech Start Date]],19),IF(Main[[#This Row],[Class]]="B", WORKDAY(Main[[#This Row],[Tech Start Date]],12),IF(Main[[#This Row],[Class]]="A",WORKDAY(Main[[#This Row],[Tech Start Date]],4),""))))</f>
        <v>40875</v>
      </c>
      <c r="O30" s="104">
        <f>IF(Main[[#This Row],[Tech Start Date]]&lt;1/1/1990,"",IF(Main[[#This Row],[Class]]="C",WORKDAY(Main[[#This Row],[Tech Start Date]],23),IF(Main[[#This Row],[Class]]="B", WORKDAY(Main[[#This Row],[Tech Start Date]],15),IF(Main[[#This Row],[Class]]="A",WORKDAY(Main[[#This Row],[Tech Start Date]],5),""))))</f>
        <v>40879</v>
      </c>
      <c r="P30" s="104">
        <f>IF(Main[[#This Row],[Tech Start Date]]&lt;1/1/1990,"",IF(Main[[#This Row],[Class]]="C",WORKDAY(Main[[#This Row],[Tech Start Date]],28),IF(Main[[#This Row],[Class]]="B", WORKDAY(Main[[#This Row],[Tech Start Date]],19),IF(Main[[#This Row],[Class]]="A",WORKDAY(Main[[#This Row],[Tech Start Date]],9),""))))</f>
        <v>40886</v>
      </c>
      <c r="Q30" s="101">
        <v>40857</v>
      </c>
      <c r="R30" s="101">
        <v>40893</v>
      </c>
      <c r="S30" s="99" t="s">
        <v>11</v>
      </c>
      <c r="T30" s="107" t="s">
        <v>2944</v>
      </c>
      <c r="U30" s="99" t="s">
        <v>29</v>
      </c>
      <c r="V30" s="99" t="s">
        <v>1963</v>
      </c>
      <c r="W30" s="99" t="s">
        <v>1964</v>
      </c>
    </row>
    <row r="31" spans="1:30" ht="18.600000000000001" customHeight="1">
      <c r="A31" s="123">
        <f>IF(priority(Main[[#This Row],[Comments]])&lt;&gt;0, priority(Main[[#This Row],[Comments]]),"")</f>
        <v>5</v>
      </c>
      <c r="B31" s="127" t="s">
        <v>3008</v>
      </c>
      <c r="C31" s="99" t="s">
        <v>2219</v>
      </c>
      <c r="D31" s="100" t="s">
        <v>3131</v>
      </c>
      <c r="E31" s="101">
        <v>40864.570104166669</v>
      </c>
      <c r="F31" s="101">
        <v>40954</v>
      </c>
      <c r="G31" s="102">
        <f>IF(stdProdLT(Main[[#This Row],[Comments]])=0.1,"N/A",IF(stdProdLT(Main[[#This Row],[Comments]])=0,"",stdProdLT(Main[[#This Row],[Comments]])))</f>
        <v>126</v>
      </c>
      <c r="H31" s="103">
        <f>IF(AND(Main[[#This Row],[In Stock Date]]&lt;&gt;"",Main[[#This Row],[Revised Due Date]]&lt;&gt;""),Main[[#This Row],[In Stock Date]]-Main[[#This Row],[Revised Due Date]],"")</f>
        <v>50</v>
      </c>
      <c r="I31" s="99" t="s">
        <v>126</v>
      </c>
      <c r="J31" s="99" t="s">
        <v>21</v>
      </c>
      <c r="K31" s="99" t="s">
        <v>1969</v>
      </c>
      <c r="L31" s="101">
        <v>40869</v>
      </c>
      <c r="M31" s="104">
        <f>IF(Main[[#This Row],[Tech Start Date]]&lt;1/1/1990,"",IF(Main[[#This Row],[Class]]="C",WORKDAY(Main[[#This Row],[Tech Start Date]],9),IF(Main[[#This Row],[Class]]="B", WORKDAY(Main[[#This Row],[Tech Start Date]],6),IF(Main[[#This Row],[Class]]="A",WORKDAY(Main[[#This Row],[Tech Start Date]],2),""))))</f>
        <v>40877</v>
      </c>
      <c r="N31" s="104">
        <f>IF(Main[[#This Row],[Tech Start Date]]&lt;1/1/1990,"",IF(Main[[#This Row],[Class]]="C",WORKDAY(Main[[#This Row],[Tech Start Date]],19),IF(Main[[#This Row],[Class]]="B", WORKDAY(Main[[#This Row],[Tech Start Date]],12),IF(Main[[#This Row],[Class]]="A",WORKDAY(Main[[#This Row],[Tech Start Date]],4),""))))</f>
        <v>40885</v>
      </c>
      <c r="O31" s="104">
        <f>IF(Main[[#This Row],[Tech Start Date]]&lt;1/1/1990,"",IF(Main[[#This Row],[Class]]="C",WORKDAY(Main[[#This Row],[Tech Start Date]],23),IF(Main[[#This Row],[Class]]="B", WORKDAY(Main[[#This Row],[Tech Start Date]],15),IF(Main[[#This Row],[Class]]="A",WORKDAY(Main[[#This Row],[Tech Start Date]],5),""))))</f>
        <v>40890</v>
      </c>
      <c r="P31" s="104">
        <f>IF(Main[[#This Row],[Tech Start Date]]&lt;1/1/1990,"",IF(Main[[#This Row],[Class]]="C",WORKDAY(Main[[#This Row],[Tech Start Date]],28),IF(Main[[#This Row],[Class]]="B", WORKDAY(Main[[#This Row],[Tech Start Date]],19),IF(Main[[#This Row],[Class]]="A",WORKDAY(Main[[#This Row],[Tech Start Date]],9),""))))</f>
        <v>40896</v>
      </c>
      <c r="Q31" s="101">
        <v>40904</v>
      </c>
      <c r="R31" s="101">
        <v>40904</v>
      </c>
      <c r="S31" s="99" t="s">
        <v>11</v>
      </c>
      <c r="T31" s="107" t="s">
        <v>3138</v>
      </c>
      <c r="U31" s="99" t="s">
        <v>29</v>
      </c>
      <c r="V31" s="99" t="s">
        <v>1962</v>
      </c>
      <c r="W31" s="99" t="s">
        <v>1968</v>
      </c>
    </row>
    <row r="32" spans="1:30" ht="18.600000000000001" customHeight="1">
      <c r="A32" s="123">
        <f>IF(priority(Main[[#This Row],[Comments]])&lt;&gt;0, priority(Main[[#This Row],[Comments]]),"")</f>
        <v>5</v>
      </c>
      <c r="B32" s="127" t="s">
        <v>2566</v>
      </c>
      <c r="C32" s="99" t="s">
        <v>2562</v>
      </c>
      <c r="D32" s="100" t="s">
        <v>3068</v>
      </c>
      <c r="E32" s="101">
        <v>40869.126736111109</v>
      </c>
      <c r="F32" s="101">
        <v>40969</v>
      </c>
      <c r="G32" s="102">
        <f>IF(stdProdLT(Main[[#This Row],[Comments]])=0.1,"N/A",IF(stdProdLT(Main[[#This Row],[Comments]])=0,"",stdProdLT(Main[[#This Row],[Comments]])))</f>
        <v>182</v>
      </c>
      <c r="H32" s="103">
        <f>IF(AND(Main[[#This Row],[In Stock Date]]&lt;&gt;"",Main[[#This Row],[Revised Due Date]]&lt;&gt;""),Main[[#This Row],[In Stock Date]]-Main[[#This Row],[Revised Due Date]],"")</f>
        <v>70</v>
      </c>
      <c r="I32" s="99" t="s">
        <v>242</v>
      </c>
      <c r="J32" s="99" t="s">
        <v>28</v>
      </c>
      <c r="K32" s="99" t="s">
        <v>1971</v>
      </c>
      <c r="L32" s="101">
        <v>40878</v>
      </c>
      <c r="M32" s="104">
        <f>IF(Main[[#This Row],[Tech Start Date]]&lt;1/1/1990,"",IF(Main[[#This Row],[Class]]="C",WORKDAY(Main[[#This Row],[Tech Start Date]],9),IF(Main[[#This Row],[Class]]="B", WORKDAY(Main[[#This Row],[Tech Start Date]],6),IF(Main[[#This Row],[Class]]="A",WORKDAY(Main[[#This Row],[Tech Start Date]],2),""))))</f>
        <v>40882</v>
      </c>
      <c r="N32" s="104">
        <f>IF(Main[[#This Row],[Tech Start Date]]&lt;1/1/1990,"",IF(Main[[#This Row],[Class]]="C",WORKDAY(Main[[#This Row],[Tech Start Date]],19),IF(Main[[#This Row],[Class]]="B", WORKDAY(Main[[#This Row],[Tech Start Date]],12),IF(Main[[#This Row],[Class]]="A",WORKDAY(Main[[#This Row],[Tech Start Date]],4),""))))</f>
        <v>40884</v>
      </c>
      <c r="O32" s="104">
        <f>IF(Main[[#This Row],[Tech Start Date]]&lt;1/1/1990,"",IF(Main[[#This Row],[Class]]="C",WORKDAY(Main[[#This Row],[Tech Start Date]],23),IF(Main[[#This Row],[Class]]="B", WORKDAY(Main[[#This Row],[Tech Start Date]],15),IF(Main[[#This Row],[Class]]="A",WORKDAY(Main[[#This Row],[Tech Start Date]],5),""))))</f>
        <v>40885</v>
      </c>
      <c r="P32" s="104">
        <f>IF(Main[[#This Row],[Tech Start Date]]&lt;1/1/1990,"",IF(Main[[#This Row],[Class]]="C",WORKDAY(Main[[#This Row],[Tech Start Date]],28),IF(Main[[#This Row],[Class]]="B", WORKDAY(Main[[#This Row],[Tech Start Date]],19),IF(Main[[#This Row],[Class]]="A",WORKDAY(Main[[#This Row],[Tech Start Date]],9),""))))</f>
        <v>40891</v>
      </c>
      <c r="Q32" s="101"/>
      <c r="R32" s="101">
        <v>40899</v>
      </c>
      <c r="S32" s="99" t="s">
        <v>11</v>
      </c>
      <c r="T32" s="107" t="s">
        <v>2567</v>
      </c>
      <c r="U32" s="99" t="s">
        <v>29</v>
      </c>
      <c r="V32" s="99" t="s">
        <v>1972</v>
      </c>
      <c r="W32" s="99" t="s">
        <v>1970</v>
      </c>
      <c r="AD32" s="67"/>
    </row>
    <row r="33" spans="1:28" ht="18.600000000000001" customHeight="1">
      <c r="A33" s="123">
        <f>IF(priority(Main[[#This Row],[Comments]])&lt;&gt;0, priority(Main[[#This Row],[Comments]]),"")</f>
        <v>6</v>
      </c>
      <c r="B33" s="127" t="s">
        <v>2214</v>
      </c>
      <c r="C33" s="99" t="s">
        <v>2213</v>
      </c>
      <c r="D33" s="100" t="s">
        <v>2898</v>
      </c>
      <c r="E33" s="101">
        <v>40769.443738425929</v>
      </c>
      <c r="F33" s="101">
        <v>40831</v>
      </c>
      <c r="G33" s="102">
        <f>IF(stdProdLT(Main[[#This Row],[Comments]])=0.1,"N/A",IF(stdProdLT(Main[[#This Row],[Comments]])=0,"",stdProdLT(Main[[#This Row],[Comments]])))</f>
        <v>120</v>
      </c>
      <c r="H33" s="103">
        <f>IF(AND(Main[[#This Row],[In Stock Date]]&lt;&gt;"",Main[[#This Row],[Revised Due Date]]&lt;&gt;""),Main[[#This Row],[In Stock Date]]-Main[[#This Row],[Revised Due Date]],"")</f>
        <v>-52</v>
      </c>
      <c r="I33" s="99" t="s">
        <v>893</v>
      </c>
      <c r="J33" s="99" t="s">
        <v>28</v>
      </c>
      <c r="K33" s="99" t="s">
        <v>1971</v>
      </c>
      <c r="L33" s="101">
        <v>40778</v>
      </c>
      <c r="M33" s="104">
        <f>IF(Main[[#This Row],[Tech Start Date]]&lt;1/1/1990,"",IF(Main[[#This Row],[Class]]="C",WORKDAY(Main[[#This Row],[Tech Start Date]],9),IF(Main[[#This Row],[Class]]="B", WORKDAY(Main[[#This Row],[Tech Start Date]],6),IF(Main[[#This Row],[Class]]="A",WORKDAY(Main[[#This Row],[Tech Start Date]],2),""))))</f>
        <v>40780</v>
      </c>
      <c r="N33" s="104">
        <f>IF(Main[[#This Row],[Tech Start Date]]&lt;1/1/1990,"",IF(Main[[#This Row],[Class]]="C",WORKDAY(Main[[#This Row],[Tech Start Date]],19),IF(Main[[#This Row],[Class]]="B", WORKDAY(Main[[#This Row],[Tech Start Date]],12),IF(Main[[#This Row],[Class]]="A",WORKDAY(Main[[#This Row],[Tech Start Date]],4),""))))</f>
        <v>40784</v>
      </c>
      <c r="O33" s="104">
        <f>IF(Main[[#This Row],[Tech Start Date]]&lt;1/1/1990,"",IF(Main[[#This Row],[Class]]="C",WORKDAY(Main[[#This Row],[Tech Start Date]],23),IF(Main[[#This Row],[Class]]="B", WORKDAY(Main[[#This Row],[Tech Start Date]],15),IF(Main[[#This Row],[Class]]="A",WORKDAY(Main[[#This Row],[Tech Start Date]],5),""))))</f>
        <v>40785</v>
      </c>
      <c r="P33" s="104">
        <f>IF(Main[[#This Row],[Tech Start Date]]&lt;1/1/1990,"",IF(Main[[#This Row],[Class]]="C",WORKDAY(Main[[#This Row],[Tech Start Date]],28),IF(Main[[#This Row],[Class]]="B", WORKDAY(Main[[#This Row],[Tech Start Date]],19),IF(Main[[#This Row],[Class]]="A",WORKDAY(Main[[#This Row],[Tech Start Date]],9),""))))</f>
        <v>40791</v>
      </c>
      <c r="Q33" s="101">
        <v>40776</v>
      </c>
      <c r="R33" s="101">
        <v>40883</v>
      </c>
      <c r="S33" s="99" t="s">
        <v>11</v>
      </c>
      <c r="T33" s="107" t="s">
        <v>3139</v>
      </c>
      <c r="U33" s="99" t="s">
        <v>29</v>
      </c>
      <c r="V33" s="99" t="s">
        <v>1962</v>
      </c>
      <c r="W33" s="99" t="s">
        <v>1970</v>
      </c>
    </row>
    <row r="34" spans="1:28" ht="18.600000000000001" customHeight="1">
      <c r="A34" s="123">
        <f>IF(priority(Main[[#This Row],[Comments]])&lt;&gt;0, priority(Main[[#This Row],[Comments]]),"")</f>
        <v>6</v>
      </c>
      <c r="B34" s="127" t="s">
        <v>2857</v>
      </c>
      <c r="C34" s="99" t="s">
        <v>2562</v>
      </c>
      <c r="D34" s="100" t="s">
        <v>3067</v>
      </c>
      <c r="E34" s="101">
        <v>40869.123263888891</v>
      </c>
      <c r="F34" s="101">
        <v>40969</v>
      </c>
      <c r="G34" s="102">
        <f>IF(stdProdLT(Main[[#This Row],[Comments]])=0.1,"N/A",IF(stdProdLT(Main[[#This Row],[Comments]])=0,"",stdProdLT(Main[[#This Row],[Comments]])))</f>
        <v>182</v>
      </c>
      <c r="H34" s="103">
        <f>IF(AND(Main[[#This Row],[In Stock Date]]&lt;&gt;"",Main[[#This Row],[Revised Due Date]]&lt;&gt;""),Main[[#This Row],[In Stock Date]]-Main[[#This Row],[Revised Due Date]],"")</f>
        <v>70</v>
      </c>
      <c r="I34" s="99" t="s">
        <v>242</v>
      </c>
      <c r="J34" s="99" t="s">
        <v>28</v>
      </c>
      <c r="K34" s="99" t="s">
        <v>1971</v>
      </c>
      <c r="L34" s="101">
        <v>40878</v>
      </c>
      <c r="M34" s="104">
        <f>IF(Main[[#This Row],[Tech Start Date]]&lt;1/1/1990,"",IF(Main[[#This Row],[Class]]="C",WORKDAY(Main[[#This Row],[Tech Start Date]],9),IF(Main[[#This Row],[Class]]="B", WORKDAY(Main[[#This Row],[Tech Start Date]],6),IF(Main[[#This Row],[Class]]="A",WORKDAY(Main[[#This Row],[Tech Start Date]],2),""))))</f>
        <v>40882</v>
      </c>
      <c r="N34" s="104">
        <f>IF(Main[[#This Row],[Tech Start Date]]&lt;1/1/1990,"",IF(Main[[#This Row],[Class]]="C",WORKDAY(Main[[#This Row],[Tech Start Date]],19),IF(Main[[#This Row],[Class]]="B", WORKDAY(Main[[#This Row],[Tech Start Date]],12),IF(Main[[#This Row],[Class]]="A",WORKDAY(Main[[#This Row],[Tech Start Date]],4),""))))</f>
        <v>40884</v>
      </c>
      <c r="O34" s="104">
        <f>IF(Main[[#This Row],[Tech Start Date]]&lt;1/1/1990,"",IF(Main[[#This Row],[Class]]="C",WORKDAY(Main[[#This Row],[Tech Start Date]],23),IF(Main[[#This Row],[Class]]="B", WORKDAY(Main[[#This Row],[Tech Start Date]],15),IF(Main[[#This Row],[Class]]="A",WORKDAY(Main[[#This Row],[Tech Start Date]],5),""))))</f>
        <v>40885</v>
      </c>
      <c r="P34" s="104">
        <f>IF(Main[[#This Row],[Tech Start Date]]&lt;1/1/1990,"",IF(Main[[#This Row],[Class]]="C",WORKDAY(Main[[#This Row],[Tech Start Date]],28),IF(Main[[#This Row],[Class]]="B", WORKDAY(Main[[#This Row],[Tech Start Date]],19),IF(Main[[#This Row],[Class]]="A",WORKDAY(Main[[#This Row],[Tech Start Date]],9),""))))</f>
        <v>40891</v>
      </c>
      <c r="Q34" s="101">
        <v>40882</v>
      </c>
      <c r="R34" s="101">
        <v>40899</v>
      </c>
      <c r="S34" s="99" t="s">
        <v>11</v>
      </c>
      <c r="T34" s="107" t="s">
        <v>2858</v>
      </c>
      <c r="U34" s="99" t="s">
        <v>29</v>
      </c>
      <c r="V34" s="99" t="s">
        <v>1965</v>
      </c>
      <c r="W34" s="99" t="s">
        <v>1968</v>
      </c>
      <c r="AB34" s="71"/>
    </row>
    <row r="35" spans="1:28" ht="18.600000000000001" customHeight="1">
      <c r="A35" s="123">
        <f>IF(priority(Main[[#This Row],[Comments]])&lt;&gt;0, priority(Main[[#This Row],[Comments]]),"")</f>
        <v>7</v>
      </c>
      <c r="B35" s="127" t="s">
        <v>2281</v>
      </c>
      <c r="C35" s="99" t="s">
        <v>2282</v>
      </c>
      <c r="D35" s="100" t="s">
        <v>2899</v>
      </c>
      <c r="E35" s="101">
        <v>40786.584108796298</v>
      </c>
      <c r="F35" s="101">
        <v>40940</v>
      </c>
      <c r="G35" s="102">
        <f>IF(stdProdLT(Main[[#This Row],[Comments]])=0.1,"N/A",IF(stdProdLT(Main[[#This Row],[Comments]])=0,"",stdProdLT(Main[[#This Row],[Comments]])))</f>
        <v>112</v>
      </c>
      <c r="H35" s="103">
        <f>IF(AND(Main[[#This Row],[In Stock Date]]&lt;&gt;"",Main[[#This Row],[Revised Due Date]]&lt;&gt;""),Main[[#This Row],[In Stock Date]]-Main[[#This Row],[Revised Due Date]],"")</f>
        <v>54</v>
      </c>
      <c r="I35" s="99" t="s">
        <v>955</v>
      </c>
      <c r="J35" s="99" t="s">
        <v>28</v>
      </c>
      <c r="K35" s="99" t="s">
        <v>1969</v>
      </c>
      <c r="L35" s="101">
        <v>40792</v>
      </c>
      <c r="M35" s="104">
        <f>IF(Main[[#This Row],[Tech Start Date]]&lt;1/1/1990,"",IF(Main[[#This Row],[Class]]="C",WORKDAY(Main[[#This Row],[Tech Start Date]],9),IF(Main[[#This Row],[Class]]="B", WORKDAY(Main[[#This Row],[Tech Start Date]],6),IF(Main[[#This Row],[Class]]="A",WORKDAY(Main[[#This Row],[Tech Start Date]],2),""))))</f>
        <v>40800</v>
      </c>
      <c r="N35" s="104">
        <f>IF(Main[[#This Row],[Tech Start Date]]&lt;1/1/1990,"",IF(Main[[#This Row],[Class]]="C",WORKDAY(Main[[#This Row],[Tech Start Date]],19),IF(Main[[#This Row],[Class]]="B", WORKDAY(Main[[#This Row],[Tech Start Date]],12),IF(Main[[#This Row],[Class]]="A",WORKDAY(Main[[#This Row],[Tech Start Date]],4),""))))</f>
        <v>40808</v>
      </c>
      <c r="O35" s="104">
        <f>IF(Main[[#This Row],[Tech Start Date]]&lt;1/1/1990,"",IF(Main[[#This Row],[Class]]="C",WORKDAY(Main[[#This Row],[Tech Start Date]],23),IF(Main[[#This Row],[Class]]="B", WORKDAY(Main[[#This Row],[Tech Start Date]],15),IF(Main[[#This Row],[Class]]="A",WORKDAY(Main[[#This Row],[Tech Start Date]],5),""))))</f>
        <v>40813</v>
      </c>
      <c r="P35" s="104">
        <f>IF(Main[[#This Row],[Tech Start Date]]&lt;1/1/1990,"",IF(Main[[#This Row],[Class]]="C",WORKDAY(Main[[#This Row],[Tech Start Date]],28),IF(Main[[#This Row],[Class]]="B", WORKDAY(Main[[#This Row],[Tech Start Date]],19),IF(Main[[#This Row],[Class]]="A",WORKDAY(Main[[#This Row],[Tech Start Date]],9),""))))</f>
        <v>40819</v>
      </c>
      <c r="Q35" s="101">
        <v>40792</v>
      </c>
      <c r="R35" s="101">
        <v>40886</v>
      </c>
      <c r="S35" s="99" t="s">
        <v>11</v>
      </c>
      <c r="T35" s="107" t="s">
        <v>3140</v>
      </c>
      <c r="U35" s="99" t="s">
        <v>540</v>
      </c>
      <c r="V35" s="99" t="s">
        <v>1962</v>
      </c>
      <c r="W35" s="99" t="s">
        <v>1967</v>
      </c>
    </row>
    <row r="36" spans="1:28" ht="18.600000000000001" customHeight="1">
      <c r="A36" s="123">
        <f>IF(priority(Main[[#This Row],[Comments]])&lt;&gt;0, priority(Main[[#This Row],[Comments]]),"")</f>
        <v>7</v>
      </c>
      <c r="B36" s="127" t="s">
        <v>2969</v>
      </c>
      <c r="C36" s="99" t="s">
        <v>3051</v>
      </c>
      <c r="D36" s="100" t="s">
        <v>3054</v>
      </c>
      <c r="E36" s="101">
        <v>40842.0390162037</v>
      </c>
      <c r="F36" s="101">
        <v>40983</v>
      </c>
      <c r="G36" s="102">
        <f>IF(stdProdLT(Main[[#This Row],[Comments]])=0.1,"N/A",IF(stdProdLT(Main[[#This Row],[Comments]])=0,"",stdProdLT(Main[[#This Row],[Comments]])))</f>
        <v>168</v>
      </c>
      <c r="H36" s="103">
        <f>IF(AND(Main[[#This Row],[In Stock Date]]&lt;&gt;"",Main[[#This Row],[Revised Due Date]]&lt;&gt;""),Main[[#This Row],[In Stock Date]]-Main[[#This Row],[Revised Due Date]],"")</f>
        <v>85</v>
      </c>
      <c r="I36" s="99" t="s">
        <v>495</v>
      </c>
      <c r="J36" s="99" t="s">
        <v>2029</v>
      </c>
      <c r="K36" s="99" t="s">
        <v>1975</v>
      </c>
      <c r="L36" s="101">
        <v>40849</v>
      </c>
      <c r="M36" s="104">
        <f>IF(Main[[#This Row],[Tech Start Date]]&lt;1/1/1990,"",IF(Main[[#This Row],[Class]]="C",WORKDAY(Main[[#This Row],[Tech Start Date]],9),IF(Main[[#This Row],[Class]]="B", WORKDAY(Main[[#This Row],[Tech Start Date]],6),IF(Main[[#This Row],[Class]]="A",WORKDAY(Main[[#This Row],[Tech Start Date]],2),""))))</f>
        <v>40862</v>
      </c>
      <c r="N36" s="104">
        <f>IF(Main[[#This Row],[Tech Start Date]]&lt;1/1/1990,"",IF(Main[[#This Row],[Class]]="C",WORKDAY(Main[[#This Row],[Tech Start Date]],19),IF(Main[[#This Row],[Class]]="B", WORKDAY(Main[[#This Row],[Tech Start Date]],12),IF(Main[[#This Row],[Class]]="A",WORKDAY(Main[[#This Row],[Tech Start Date]],4),""))))</f>
        <v>40876</v>
      </c>
      <c r="O36" s="104">
        <f>IF(Main[[#This Row],[Tech Start Date]]&lt;1/1/1990,"",IF(Main[[#This Row],[Class]]="C",WORKDAY(Main[[#This Row],[Tech Start Date]],23),IF(Main[[#This Row],[Class]]="B", WORKDAY(Main[[#This Row],[Tech Start Date]],15),IF(Main[[#This Row],[Class]]="A",WORKDAY(Main[[#This Row],[Tech Start Date]],5),""))))</f>
        <v>40882</v>
      </c>
      <c r="P36" s="104">
        <f>IF(Main[[#This Row],[Tech Start Date]]&lt;1/1/1990,"",IF(Main[[#This Row],[Class]]="C",WORKDAY(Main[[#This Row],[Tech Start Date]],28),IF(Main[[#This Row],[Class]]="B", WORKDAY(Main[[#This Row],[Tech Start Date]],19),IF(Main[[#This Row],[Class]]="A",WORKDAY(Main[[#This Row],[Tech Start Date]],9),""))))</f>
        <v>40889</v>
      </c>
      <c r="Q36" s="101">
        <v>40878</v>
      </c>
      <c r="R36" s="101">
        <v>40898</v>
      </c>
      <c r="S36" s="99" t="s">
        <v>11</v>
      </c>
      <c r="T36" s="107" t="s">
        <v>2970</v>
      </c>
      <c r="U36" s="99" t="s">
        <v>29</v>
      </c>
      <c r="V36" s="99" t="s">
        <v>1965</v>
      </c>
      <c r="W36" s="99" t="s">
        <v>1968</v>
      </c>
    </row>
    <row r="37" spans="1:28" ht="18.600000000000001" customHeight="1">
      <c r="A37" s="123">
        <f>IF(priority(Main[[#This Row],[Comments]])&lt;&gt;0, priority(Main[[#This Row],[Comments]]),"")</f>
        <v>8</v>
      </c>
      <c r="B37" s="127" t="s">
        <v>2397</v>
      </c>
      <c r="C37" s="99" t="s">
        <v>2909</v>
      </c>
      <c r="D37" s="100" t="s">
        <v>2910</v>
      </c>
      <c r="E37" s="101">
        <v>40816.661724537036</v>
      </c>
      <c r="F37" s="101">
        <v>40830</v>
      </c>
      <c r="G37" s="102">
        <f>IF(stdProdLT(Main[[#This Row],[Comments]])=0.1,"N/A",IF(stdProdLT(Main[[#This Row],[Comments]])=0,"",stdProdLT(Main[[#This Row],[Comments]])))</f>
        <v>98</v>
      </c>
      <c r="H37" s="103">
        <f>IF(AND(Main[[#This Row],[In Stock Date]]&lt;&gt;"",Main[[#This Row],[Revised Due Date]]&lt;&gt;""),Main[[#This Row],[In Stock Date]]-Main[[#This Row],[Revised Due Date]],"")</f>
        <v>-52</v>
      </c>
      <c r="I37" s="99" t="s">
        <v>992</v>
      </c>
      <c r="J37" s="99" t="s">
        <v>28</v>
      </c>
      <c r="K37" s="99" t="s">
        <v>1969</v>
      </c>
      <c r="L37" s="101">
        <v>40834</v>
      </c>
      <c r="M37" s="104">
        <f>IF(Main[[#This Row],[Tech Start Date]]&lt;1/1/1990,"",IF(Main[[#This Row],[Class]]="C",WORKDAY(Main[[#This Row],[Tech Start Date]],9),IF(Main[[#This Row],[Class]]="B", WORKDAY(Main[[#This Row],[Tech Start Date]],6),IF(Main[[#This Row],[Class]]="A",WORKDAY(Main[[#This Row],[Tech Start Date]],2),""))))</f>
        <v>40842</v>
      </c>
      <c r="N37" s="104">
        <f>IF(Main[[#This Row],[Tech Start Date]]&lt;1/1/1990,"",IF(Main[[#This Row],[Class]]="C",WORKDAY(Main[[#This Row],[Tech Start Date]],19),IF(Main[[#This Row],[Class]]="B", WORKDAY(Main[[#This Row],[Tech Start Date]],12),IF(Main[[#This Row],[Class]]="A",WORKDAY(Main[[#This Row],[Tech Start Date]],4),""))))</f>
        <v>40850</v>
      </c>
      <c r="O37" s="104">
        <f>IF(Main[[#This Row],[Tech Start Date]]&lt;1/1/1990,"",IF(Main[[#This Row],[Class]]="C",WORKDAY(Main[[#This Row],[Tech Start Date]],23),IF(Main[[#This Row],[Class]]="B", WORKDAY(Main[[#This Row],[Tech Start Date]],15),IF(Main[[#This Row],[Class]]="A",WORKDAY(Main[[#This Row],[Tech Start Date]],5),""))))</f>
        <v>40855</v>
      </c>
      <c r="P37" s="104">
        <f>IF(Main[[#This Row],[Tech Start Date]]&lt;1/1/1990,"",IF(Main[[#This Row],[Class]]="C",WORKDAY(Main[[#This Row],[Tech Start Date]],28),IF(Main[[#This Row],[Class]]="B", WORKDAY(Main[[#This Row],[Tech Start Date]],19),IF(Main[[#This Row],[Class]]="A",WORKDAY(Main[[#This Row],[Tech Start Date]],9),""))))</f>
        <v>40861</v>
      </c>
      <c r="Q37" s="101">
        <v>40830</v>
      </c>
      <c r="R37" s="101">
        <v>40882</v>
      </c>
      <c r="S37" s="99" t="s">
        <v>11</v>
      </c>
      <c r="T37" s="107" t="s">
        <v>3141</v>
      </c>
      <c r="U37" s="99" t="s">
        <v>29</v>
      </c>
      <c r="V37" s="99" t="s">
        <v>1962</v>
      </c>
      <c r="W37" s="99" t="s">
        <v>1968</v>
      </c>
    </row>
    <row r="38" spans="1:28" ht="18.600000000000001" customHeight="1">
      <c r="A38" s="123">
        <f>IF(priority(Main[[#This Row],[Comments]])&lt;&gt;0, priority(Main[[#This Row],[Comments]]),"")</f>
        <v>8</v>
      </c>
      <c r="B38" s="127" t="s">
        <v>2974</v>
      </c>
      <c r="C38" s="99" t="s">
        <v>3051</v>
      </c>
      <c r="D38" s="100" t="s">
        <v>3129</v>
      </c>
      <c r="E38" s="101">
        <v>40842.092060185183</v>
      </c>
      <c r="F38" s="101">
        <v>40983</v>
      </c>
      <c r="G38" s="102">
        <f>IF(stdProdLT(Main[[#This Row],[Comments]])=0.1,"N/A",IF(stdProdLT(Main[[#This Row],[Comments]])=0,"",stdProdLT(Main[[#This Row],[Comments]])))</f>
        <v>168</v>
      </c>
      <c r="H38" s="103">
        <f>IF(AND(Main[[#This Row],[In Stock Date]]&lt;&gt;"",Main[[#This Row],[Revised Due Date]]&lt;&gt;""),Main[[#This Row],[In Stock Date]]-Main[[#This Row],[Revised Due Date]],"")</f>
        <v>85</v>
      </c>
      <c r="I38" s="99" t="s">
        <v>30</v>
      </c>
      <c r="J38" s="99" t="s">
        <v>21</v>
      </c>
      <c r="K38" s="99" t="s">
        <v>1975</v>
      </c>
      <c r="L38" s="101">
        <v>40849</v>
      </c>
      <c r="M38" s="104">
        <f>IF(Main[[#This Row],[Tech Start Date]]&lt;1/1/1990,"",IF(Main[[#This Row],[Class]]="C",WORKDAY(Main[[#This Row],[Tech Start Date]],9),IF(Main[[#This Row],[Class]]="B", WORKDAY(Main[[#This Row],[Tech Start Date]],6),IF(Main[[#This Row],[Class]]="A",WORKDAY(Main[[#This Row],[Tech Start Date]],2),""))))</f>
        <v>40862</v>
      </c>
      <c r="N38" s="104">
        <f>IF(Main[[#This Row],[Tech Start Date]]&lt;1/1/1990,"",IF(Main[[#This Row],[Class]]="C",WORKDAY(Main[[#This Row],[Tech Start Date]],19),IF(Main[[#This Row],[Class]]="B", WORKDAY(Main[[#This Row],[Tech Start Date]],12),IF(Main[[#This Row],[Class]]="A",WORKDAY(Main[[#This Row],[Tech Start Date]],4),""))))</f>
        <v>40876</v>
      </c>
      <c r="O38" s="104">
        <f>IF(Main[[#This Row],[Tech Start Date]]&lt;1/1/1990,"",IF(Main[[#This Row],[Class]]="C",WORKDAY(Main[[#This Row],[Tech Start Date]],23),IF(Main[[#This Row],[Class]]="B", WORKDAY(Main[[#This Row],[Tech Start Date]],15),IF(Main[[#This Row],[Class]]="A",WORKDAY(Main[[#This Row],[Tech Start Date]],5),""))))</f>
        <v>40882</v>
      </c>
      <c r="P38" s="104">
        <f>IF(Main[[#This Row],[Tech Start Date]]&lt;1/1/1990,"",IF(Main[[#This Row],[Class]]="C",WORKDAY(Main[[#This Row],[Tech Start Date]],28),IF(Main[[#This Row],[Class]]="B", WORKDAY(Main[[#This Row],[Tech Start Date]],19),IF(Main[[#This Row],[Class]]="A",WORKDAY(Main[[#This Row],[Tech Start Date]],9),""))))</f>
        <v>40889</v>
      </c>
      <c r="Q38" s="101">
        <v>40878</v>
      </c>
      <c r="R38" s="101">
        <v>40898</v>
      </c>
      <c r="S38" s="99" t="s">
        <v>11</v>
      </c>
      <c r="T38" s="107" t="s">
        <v>2975</v>
      </c>
      <c r="U38" s="99" t="s">
        <v>29</v>
      </c>
      <c r="V38" s="99" t="s">
        <v>1965</v>
      </c>
      <c r="W38" s="99" t="s">
        <v>1968</v>
      </c>
    </row>
    <row r="39" spans="1:28" ht="18.600000000000001" customHeight="1">
      <c r="A39" s="123">
        <f>IF(priority(Main[[#This Row],[Comments]])&lt;&gt;0, priority(Main[[#This Row],[Comments]]),"")</f>
        <v>9</v>
      </c>
      <c r="B39" s="127" t="s">
        <v>2161</v>
      </c>
      <c r="C39" s="99" t="s">
        <v>53</v>
      </c>
      <c r="D39" s="100" t="s">
        <v>2162</v>
      </c>
      <c r="E39" s="101"/>
      <c r="F39" s="101">
        <v>40789</v>
      </c>
      <c r="G39" s="102">
        <f>IF(stdProdLT(Main[[#This Row],[Comments]])=0.1,"N/A",IF(stdProdLT(Main[[#This Row],[Comments]])=0,"",stdProdLT(Main[[#This Row],[Comments]])))</f>
        <v>42</v>
      </c>
      <c r="H39" s="103">
        <f>IF(AND(Main[[#This Row],[In Stock Date]]&lt;&gt;"",Main[[#This Row],[Revised Due Date]]&lt;&gt;""),Main[[#This Row],[In Stock Date]]-Main[[#This Row],[Revised Due Date]],"")</f>
        <v>1</v>
      </c>
      <c r="I39" s="99" t="s">
        <v>959</v>
      </c>
      <c r="J39" s="99" t="s">
        <v>28</v>
      </c>
      <c r="K39" s="99" t="s">
        <v>4</v>
      </c>
      <c r="L39" s="101"/>
      <c r="M39" s="104" t="str">
        <f>IF(Main[[#This Row],[Tech Start Date]]&lt;1/1/1990,"",IF(Main[[#This Row],[Class]]="C",WORKDAY(Main[[#This Row],[Tech Start Date]],9),IF(Main[[#This Row],[Class]]="B", WORKDAY(Main[[#This Row],[Tech Start Date]],6),IF(Main[[#This Row],[Class]]="A",WORKDAY(Main[[#This Row],[Tech Start Date]],2),""))))</f>
        <v/>
      </c>
      <c r="N39" s="104" t="str">
        <f>IF(Main[[#This Row],[Tech Start Date]]&lt;1/1/1990,"",IF(Main[[#This Row],[Class]]="C",WORKDAY(Main[[#This Row],[Tech Start Date]],19),IF(Main[[#This Row],[Class]]="B", WORKDAY(Main[[#This Row],[Tech Start Date]],12),IF(Main[[#This Row],[Class]]="A",WORKDAY(Main[[#This Row],[Tech Start Date]],4),""))))</f>
        <v/>
      </c>
      <c r="O39" s="104" t="str">
        <f>IF(Main[[#This Row],[Tech Start Date]]&lt;1/1/1990,"",IF(Main[[#This Row],[Class]]="C",WORKDAY(Main[[#This Row],[Tech Start Date]],23),IF(Main[[#This Row],[Class]]="B", WORKDAY(Main[[#This Row],[Tech Start Date]],15),IF(Main[[#This Row],[Class]]="A",WORKDAY(Main[[#This Row],[Tech Start Date]],5),""))))</f>
        <v/>
      </c>
      <c r="P39" s="104" t="str">
        <f>IF(Main[[#This Row],[Tech Start Date]]&lt;1/1/1990,"",IF(Main[[#This Row],[Class]]="C",WORKDAY(Main[[#This Row],[Tech Start Date]],28),IF(Main[[#This Row],[Class]]="B", WORKDAY(Main[[#This Row],[Tech Start Date]],19),IF(Main[[#This Row],[Class]]="A",WORKDAY(Main[[#This Row],[Tech Start Date]],9),""))))</f>
        <v/>
      </c>
      <c r="Q39" s="101"/>
      <c r="R39" s="101">
        <v>40788</v>
      </c>
      <c r="S39" s="99" t="s">
        <v>11</v>
      </c>
      <c r="T39" s="107" t="s">
        <v>2163</v>
      </c>
      <c r="U39" s="99" t="s">
        <v>14</v>
      </c>
      <c r="V39" s="99" t="s">
        <v>1963</v>
      </c>
      <c r="W39" s="99" t="s">
        <v>1964</v>
      </c>
    </row>
    <row r="40" spans="1:28" ht="18.600000000000001" customHeight="1">
      <c r="A40" s="123">
        <f>IF(priority(Main[[#This Row],[Comments]])&lt;&gt;0, priority(Main[[#This Row],[Comments]]),"")</f>
        <v>9</v>
      </c>
      <c r="B40" s="127" t="s">
        <v>2622</v>
      </c>
      <c r="C40" s="99" t="s">
        <v>2457</v>
      </c>
      <c r="D40" s="100" t="s">
        <v>2623</v>
      </c>
      <c r="E40" s="101">
        <v>40850.123391203706</v>
      </c>
      <c r="F40" s="101">
        <v>41008</v>
      </c>
      <c r="G40" s="102">
        <f>IF(stdProdLT(Main[[#This Row],[Comments]])=0.1,"N/A",IF(stdProdLT(Main[[#This Row],[Comments]])=0,"",stdProdLT(Main[[#This Row],[Comments]])))</f>
        <v>112</v>
      </c>
      <c r="H40" s="103">
        <f>IF(AND(Main[[#This Row],[In Stock Date]]&lt;&gt;"",Main[[#This Row],[Revised Due Date]]&lt;&gt;""),Main[[#This Row],[In Stock Date]]-Main[[#This Row],[Revised Due Date]],"")</f>
        <v>98</v>
      </c>
      <c r="I40" s="99" t="s">
        <v>955</v>
      </c>
      <c r="J40" s="99" t="s">
        <v>28</v>
      </c>
      <c r="K40" s="99" t="s">
        <v>1969</v>
      </c>
      <c r="L40" s="101">
        <v>40879</v>
      </c>
      <c r="M40" s="104">
        <f>IF(Main[[#This Row],[Tech Start Date]]&lt;1/1/1990,"",IF(Main[[#This Row],[Class]]="C",WORKDAY(Main[[#This Row],[Tech Start Date]],9),IF(Main[[#This Row],[Class]]="B", WORKDAY(Main[[#This Row],[Tech Start Date]],6),IF(Main[[#This Row],[Class]]="A",WORKDAY(Main[[#This Row],[Tech Start Date]],2),""))))</f>
        <v>40889</v>
      </c>
      <c r="N40" s="104">
        <f>IF(Main[[#This Row],[Tech Start Date]]&lt;1/1/1990,"",IF(Main[[#This Row],[Class]]="C",WORKDAY(Main[[#This Row],[Tech Start Date]],19),IF(Main[[#This Row],[Class]]="B", WORKDAY(Main[[#This Row],[Tech Start Date]],12),IF(Main[[#This Row],[Class]]="A",WORKDAY(Main[[#This Row],[Tech Start Date]],4),""))))</f>
        <v>40897</v>
      </c>
      <c r="O40" s="104">
        <f>IF(Main[[#This Row],[Tech Start Date]]&lt;1/1/1990,"",IF(Main[[#This Row],[Class]]="C",WORKDAY(Main[[#This Row],[Tech Start Date]],23),IF(Main[[#This Row],[Class]]="B", WORKDAY(Main[[#This Row],[Tech Start Date]],15),IF(Main[[#This Row],[Class]]="A",WORKDAY(Main[[#This Row],[Tech Start Date]],5),""))))</f>
        <v>40900</v>
      </c>
      <c r="P40" s="104">
        <f>IF(Main[[#This Row],[Tech Start Date]]&lt;1/1/1990,"",IF(Main[[#This Row],[Class]]="C",WORKDAY(Main[[#This Row],[Tech Start Date]],28),IF(Main[[#This Row],[Class]]="B", WORKDAY(Main[[#This Row],[Tech Start Date]],19),IF(Main[[#This Row],[Class]]="A",WORKDAY(Main[[#This Row],[Tech Start Date]],9),""))))</f>
        <v>40906</v>
      </c>
      <c r="Q40" s="101">
        <v>40812</v>
      </c>
      <c r="R40" s="101">
        <v>40910</v>
      </c>
      <c r="S40" s="99" t="s">
        <v>11</v>
      </c>
      <c r="T40" s="107" t="s">
        <v>3142</v>
      </c>
      <c r="U40" s="99" t="s">
        <v>29</v>
      </c>
      <c r="V40" s="99" t="s">
        <v>1962</v>
      </c>
      <c r="W40" s="99" t="s">
        <v>1970</v>
      </c>
    </row>
    <row r="41" spans="1:28" ht="18.600000000000001" customHeight="1">
      <c r="A41" s="123">
        <f>IF(priority(Main[[#This Row],[Comments]])&lt;&gt;0, priority(Main[[#This Row],[Comments]]),"")</f>
        <v>9.1</v>
      </c>
      <c r="B41" s="127" t="s">
        <v>2038</v>
      </c>
      <c r="C41" s="99" t="s">
        <v>2039</v>
      </c>
      <c r="D41" s="100" t="s">
        <v>2040</v>
      </c>
      <c r="E41" s="101"/>
      <c r="F41" s="101"/>
      <c r="G41" s="102" t="str">
        <f>IF(stdProdLT(Main[[#This Row],[Comments]])=0.1,"N/A",IF(stdProdLT(Main[[#This Row],[Comments]])=0,"",stdProdLT(Main[[#This Row],[Comments]])))</f>
        <v/>
      </c>
      <c r="H41" s="103" t="str">
        <f>IF(AND(Main[[#This Row],[In Stock Date]]&lt;&gt;"",Main[[#This Row],[Revised Due Date]]&lt;&gt;""),Main[[#This Row],[In Stock Date]]-Main[[#This Row],[Revised Due Date]],"")</f>
        <v/>
      </c>
      <c r="I41" s="99" t="s">
        <v>959</v>
      </c>
      <c r="J41" s="99" t="s">
        <v>28</v>
      </c>
      <c r="K41" s="99" t="s">
        <v>4</v>
      </c>
      <c r="L41" s="101">
        <v>40745</v>
      </c>
      <c r="M41" s="104" t="str">
        <f>IF(Main[[#This Row],[Tech Start Date]]&lt;1/1/1990,"",IF(Main[[#This Row],[Class]]="C",WORKDAY(Main[[#This Row],[Tech Start Date]],9),IF(Main[[#This Row],[Class]]="B", WORKDAY(Main[[#This Row],[Tech Start Date]],6),IF(Main[[#This Row],[Class]]="A",WORKDAY(Main[[#This Row],[Tech Start Date]],2),""))))</f>
        <v/>
      </c>
      <c r="N41" s="104" t="str">
        <f>IF(Main[[#This Row],[Tech Start Date]]&lt;1/1/1990,"",IF(Main[[#This Row],[Class]]="C",WORKDAY(Main[[#This Row],[Tech Start Date]],19),IF(Main[[#This Row],[Class]]="B", WORKDAY(Main[[#This Row],[Tech Start Date]],12),IF(Main[[#This Row],[Class]]="A",WORKDAY(Main[[#This Row],[Tech Start Date]],4),""))))</f>
        <v/>
      </c>
      <c r="O41" s="104" t="str">
        <f>IF(Main[[#This Row],[Tech Start Date]]&lt;1/1/1990,"",IF(Main[[#This Row],[Class]]="C",WORKDAY(Main[[#This Row],[Tech Start Date]],23),IF(Main[[#This Row],[Class]]="B", WORKDAY(Main[[#This Row],[Tech Start Date]],15),IF(Main[[#This Row],[Class]]="A",WORKDAY(Main[[#This Row],[Tech Start Date]],5),""))))</f>
        <v/>
      </c>
      <c r="P41" s="104" t="str">
        <f>IF(Main[[#This Row],[Tech Start Date]]&lt;1/1/1990,"",IF(Main[[#This Row],[Class]]="C",WORKDAY(Main[[#This Row],[Tech Start Date]],28),IF(Main[[#This Row],[Class]]="B", WORKDAY(Main[[#This Row],[Tech Start Date]],19),IF(Main[[#This Row],[Class]]="A",WORKDAY(Main[[#This Row],[Tech Start Date]],9),""))))</f>
        <v/>
      </c>
      <c r="Q41" s="101"/>
      <c r="R41" s="101"/>
      <c r="S41" s="99" t="s">
        <v>11</v>
      </c>
      <c r="T41" s="107" t="s">
        <v>2041</v>
      </c>
      <c r="U41" s="99" t="s">
        <v>14</v>
      </c>
      <c r="V41" s="99" t="s">
        <v>1963</v>
      </c>
      <c r="W41" s="99" t="s">
        <v>1964</v>
      </c>
    </row>
    <row r="42" spans="1:28" ht="18.600000000000001" customHeight="1">
      <c r="A42" s="123">
        <f>IF(priority(Main[[#This Row],[Comments]])&lt;&gt;0, priority(Main[[#This Row],[Comments]]),"")</f>
        <v>10</v>
      </c>
      <c r="B42" s="127" t="s">
        <v>2014</v>
      </c>
      <c r="C42" s="99" t="s">
        <v>53</v>
      </c>
      <c r="D42" s="100" t="s">
        <v>2887</v>
      </c>
      <c r="E42" s="101">
        <v>40730.363298611112</v>
      </c>
      <c r="F42" s="101">
        <v>40846</v>
      </c>
      <c r="G42" s="102" t="str">
        <f>IF(stdProdLT(Main[[#This Row],[Comments]])=0.1,"N/A",IF(stdProdLT(Main[[#This Row],[Comments]])=0,"",stdProdLT(Main[[#This Row],[Comments]])))</f>
        <v>N/A</v>
      </c>
      <c r="H42" s="103">
        <f>IF(AND(Main[[#This Row],[In Stock Date]]&lt;&gt;"",Main[[#This Row],[Revised Due Date]]&lt;&gt;""),Main[[#This Row],[In Stock Date]]-Main[[#This Row],[Revised Due Date]],"")</f>
        <v>-40</v>
      </c>
      <c r="I42" s="99" t="s">
        <v>959</v>
      </c>
      <c r="J42" s="99" t="s">
        <v>28</v>
      </c>
      <c r="K42" s="99" t="s">
        <v>1969</v>
      </c>
      <c r="L42" s="101">
        <v>40730</v>
      </c>
      <c r="M42" s="104">
        <f>IF(Main[[#This Row],[Tech Start Date]]&lt;1/1/1990,"",IF(Main[[#This Row],[Class]]="C",WORKDAY(Main[[#This Row],[Tech Start Date]],9),IF(Main[[#This Row],[Class]]="B", WORKDAY(Main[[#This Row],[Tech Start Date]],6),IF(Main[[#This Row],[Class]]="A",WORKDAY(Main[[#This Row],[Tech Start Date]],2),""))))</f>
        <v>40738</v>
      </c>
      <c r="N42" s="104">
        <f>IF(Main[[#This Row],[Tech Start Date]]&lt;1/1/1990,"",IF(Main[[#This Row],[Class]]="C",WORKDAY(Main[[#This Row],[Tech Start Date]],19),IF(Main[[#This Row],[Class]]="B", WORKDAY(Main[[#This Row],[Tech Start Date]],12),IF(Main[[#This Row],[Class]]="A",WORKDAY(Main[[#This Row],[Tech Start Date]],4),""))))</f>
        <v>40746</v>
      </c>
      <c r="O42" s="104">
        <f>IF(Main[[#This Row],[Tech Start Date]]&lt;1/1/1990,"",IF(Main[[#This Row],[Class]]="C",WORKDAY(Main[[#This Row],[Tech Start Date]],23),IF(Main[[#This Row],[Class]]="B", WORKDAY(Main[[#This Row],[Tech Start Date]],15),IF(Main[[#This Row],[Class]]="A",WORKDAY(Main[[#This Row],[Tech Start Date]],5),""))))</f>
        <v>40751</v>
      </c>
      <c r="P42" s="104">
        <f>IF(Main[[#This Row],[Tech Start Date]]&lt;1/1/1990,"",IF(Main[[#This Row],[Class]]="C",WORKDAY(Main[[#This Row],[Tech Start Date]],28),IF(Main[[#This Row],[Class]]="B", WORKDAY(Main[[#This Row],[Tech Start Date]],19),IF(Main[[#This Row],[Class]]="A",WORKDAY(Main[[#This Row],[Tech Start Date]],9),""))))</f>
        <v>40757</v>
      </c>
      <c r="Q42" s="101"/>
      <c r="R42" s="101">
        <v>40886</v>
      </c>
      <c r="S42" s="99" t="s">
        <v>11</v>
      </c>
      <c r="T42" s="107" t="s">
        <v>3023</v>
      </c>
      <c r="U42" s="99" t="s">
        <v>29</v>
      </c>
      <c r="V42" s="99" t="s">
        <v>1963</v>
      </c>
      <c r="W42" s="99" t="s">
        <v>1964</v>
      </c>
    </row>
    <row r="43" spans="1:28" ht="18.600000000000001" customHeight="1">
      <c r="A43" s="123">
        <f>IF(priority(Main[[#This Row],[Comments]])&lt;&gt;0, priority(Main[[#This Row],[Comments]]),"")</f>
        <v>10</v>
      </c>
      <c r="B43" s="127" t="s">
        <v>2951</v>
      </c>
      <c r="C43" s="99" t="s">
        <v>3051</v>
      </c>
      <c r="D43" s="100" t="s">
        <v>3052</v>
      </c>
      <c r="E43" s="101">
        <v>40842.129513888889</v>
      </c>
      <c r="F43" s="101">
        <v>40983</v>
      </c>
      <c r="G43" s="102">
        <f>IF(stdProdLT(Main[[#This Row],[Comments]])=0.1,"N/A",IF(stdProdLT(Main[[#This Row],[Comments]])=0,"",stdProdLT(Main[[#This Row],[Comments]])))</f>
        <v>140</v>
      </c>
      <c r="H43" s="103">
        <f>IF(AND(Main[[#This Row],[In Stock Date]]&lt;&gt;"",Main[[#This Row],[Revised Due Date]]&lt;&gt;""),Main[[#This Row],[In Stock Date]]-Main[[#This Row],[Revised Due Date]],"")</f>
        <v>100</v>
      </c>
      <c r="I43" s="99" t="s">
        <v>435</v>
      </c>
      <c r="J43" s="99" t="s">
        <v>52</v>
      </c>
      <c r="K43" s="99" t="s">
        <v>1969</v>
      </c>
      <c r="L43" s="101">
        <v>40848</v>
      </c>
      <c r="M43" s="104">
        <f>IF(Main[[#This Row],[Tech Start Date]]&lt;1/1/1990,"",IF(Main[[#This Row],[Class]]="C",WORKDAY(Main[[#This Row],[Tech Start Date]],9),IF(Main[[#This Row],[Class]]="B", WORKDAY(Main[[#This Row],[Tech Start Date]],6),IF(Main[[#This Row],[Class]]="A",WORKDAY(Main[[#This Row],[Tech Start Date]],2),""))))</f>
        <v>40856</v>
      </c>
      <c r="N43" s="104">
        <f>IF(Main[[#This Row],[Tech Start Date]]&lt;1/1/1990,"",IF(Main[[#This Row],[Class]]="C",WORKDAY(Main[[#This Row],[Tech Start Date]],19),IF(Main[[#This Row],[Class]]="B", WORKDAY(Main[[#This Row],[Tech Start Date]],12),IF(Main[[#This Row],[Class]]="A",WORKDAY(Main[[#This Row],[Tech Start Date]],4),""))))</f>
        <v>40864</v>
      </c>
      <c r="O43" s="104">
        <f>IF(Main[[#This Row],[Tech Start Date]]&lt;1/1/1990,"",IF(Main[[#This Row],[Class]]="C",WORKDAY(Main[[#This Row],[Tech Start Date]],23),IF(Main[[#This Row],[Class]]="B", WORKDAY(Main[[#This Row],[Tech Start Date]],15),IF(Main[[#This Row],[Class]]="A",WORKDAY(Main[[#This Row],[Tech Start Date]],5),""))))</f>
        <v>40869</v>
      </c>
      <c r="P43" s="104">
        <f>IF(Main[[#This Row],[Tech Start Date]]&lt;1/1/1990,"",IF(Main[[#This Row],[Class]]="C",WORKDAY(Main[[#This Row],[Tech Start Date]],28),IF(Main[[#This Row],[Class]]="B", WORKDAY(Main[[#This Row],[Tech Start Date]],19),IF(Main[[#This Row],[Class]]="A",WORKDAY(Main[[#This Row],[Tech Start Date]],9),""))))</f>
        <v>40875</v>
      </c>
      <c r="Q43" s="101">
        <v>40878</v>
      </c>
      <c r="R43" s="101">
        <v>40883</v>
      </c>
      <c r="S43" s="99" t="s">
        <v>11</v>
      </c>
      <c r="T43" s="107" t="s">
        <v>2952</v>
      </c>
      <c r="U43" s="99" t="s">
        <v>29</v>
      </c>
      <c r="V43" s="99" t="s">
        <v>1972</v>
      </c>
      <c r="W43" s="99" t="s">
        <v>1968</v>
      </c>
    </row>
    <row r="44" spans="1:28" ht="18.600000000000001" customHeight="1">
      <c r="A44" s="123">
        <f>IF(priority(Main[[#This Row],[Comments]])&lt;&gt;0, priority(Main[[#This Row],[Comments]]),"")</f>
        <v>10</v>
      </c>
      <c r="B44" s="127" t="s">
        <v>2573</v>
      </c>
      <c r="C44" s="99" t="s">
        <v>2457</v>
      </c>
      <c r="D44" s="100" t="s">
        <v>2574</v>
      </c>
      <c r="E44" s="101">
        <v>40850.897800925923</v>
      </c>
      <c r="F44" s="101">
        <v>41008</v>
      </c>
      <c r="G44" s="102">
        <f>IF(stdProdLT(Main[[#This Row],[Comments]])=0.1,"N/A",IF(stdProdLT(Main[[#This Row],[Comments]])=0,"",stdProdLT(Main[[#This Row],[Comments]])))</f>
        <v>112</v>
      </c>
      <c r="H44" s="103">
        <f>IF(AND(Main[[#This Row],[In Stock Date]]&lt;&gt;"",Main[[#This Row],[Revised Due Date]]&lt;&gt;""),Main[[#This Row],[In Stock Date]]-Main[[#This Row],[Revised Due Date]],"")</f>
        <v>98</v>
      </c>
      <c r="I44" s="99" t="s">
        <v>955</v>
      </c>
      <c r="J44" s="99" t="s">
        <v>28</v>
      </c>
      <c r="K44" s="99" t="s">
        <v>1969</v>
      </c>
      <c r="L44" s="101">
        <v>40879</v>
      </c>
      <c r="M44" s="104">
        <f>IF(Main[[#This Row],[Tech Start Date]]&lt;1/1/1990,"",IF(Main[[#This Row],[Class]]="C",WORKDAY(Main[[#This Row],[Tech Start Date]],9),IF(Main[[#This Row],[Class]]="B", WORKDAY(Main[[#This Row],[Tech Start Date]],6),IF(Main[[#This Row],[Class]]="A",WORKDAY(Main[[#This Row],[Tech Start Date]],2),""))))</f>
        <v>40889</v>
      </c>
      <c r="N44" s="104">
        <f>IF(Main[[#This Row],[Tech Start Date]]&lt;1/1/1990,"",IF(Main[[#This Row],[Class]]="C",WORKDAY(Main[[#This Row],[Tech Start Date]],19),IF(Main[[#This Row],[Class]]="B", WORKDAY(Main[[#This Row],[Tech Start Date]],12),IF(Main[[#This Row],[Class]]="A",WORKDAY(Main[[#This Row],[Tech Start Date]],4),""))))</f>
        <v>40897</v>
      </c>
      <c r="O44" s="104">
        <f>IF(Main[[#This Row],[Tech Start Date]]&lt;1/1/1990,"",IF(Main[[#This Row],[Class]]="C",WORKDAY(Main[[#This Row],[Tech Start Date]],23),IF(Main[[#This Row],[Class]]="B", WORKDAY(Main[[#This Row],[Tech Start Date]],15),IF(Main[[#This Row],[Class]]="A",WORKDAY(Main[[#This Row],[Tech Start Date]],5),""))))</f>
        <v>40900</v>
      </c>
      <c r="P44" s="104">
        <f>IF(Main[[#This Row],[Tech Start Date]]&lt;1/1/1990,"",IF(Main[[#This Row],[Class]]="C",WORKDAY(Main[[#This Row],[Tech Start Date]],28),IF(Main[[#This Row],[Class]]="B", WORKDAY(Main[[#This Row],[Tech Start Date]],19),IF(Main[[#This Row],[Class]]="A",WORKDAY(Main[[#This Row],[Tech Start Date]],9),""))))</f>
        <v>40906</v>
      </c>
      <c r="Q44" s="101">
        <v>40812</v>
      </c>
      <c r="R44" s="101">
        <v>40910</v>
      </c>
      <c r="S44" s="99" t="s">
        <v>11</v>
      </c>
      <c r="T44" s="107" t="s">
        <v>3143</v>
      </c>
      <c r="U44" s="99" t="s">
        <v>29</v>
      </c>
      <c r="V44" s="99" t="s">
        <v>1962</v>
      </c>
      <c r="W44" s="99" t="s">
        <v>1970</v>
      </c>
    </row>
    <row r="45" spans="1:28" ht="18.600000000000001" customHeight="1">
      <c r="A45" s="123">
        <f>IF(priority(Main[[#This Row],[Comments]])&lt;&gt;0, priority(Main[[#This Row],[Comments]]),"")</f>
        <v>11</v>
      </c>
      <c r="B45" s="127" t="s">
        <v>2375</v>
      </c>
      <c r="C45" s="99" t="s">
        <v>3077</v>
      </c>
      <c r="D45" s="100" t="s">
        <v>3126</v>
      </c>
      <c r="E45" s="101">
        <v>40815.375868055555</v>
      </c>
      <c r="F45" s="101">
        <v>41014</v>
      </c>
      <c r="G45" s="102">
        <f>IF(stdProdLT(Main[[#This Row],[Comments]])=0.1,"N/A",IF(stdProdLT(Main[[#This Row],[Comments]])=0,"",stdProdLT(Main[[#This Row],[Comments]])))</f>
        <v>126</v>
      </c>
      <c r="H45" s="103">
        <f>IF(AND(Main[[#This Row],[In Stock Date]]&lt;&gt;"",Main[[#This Row],[Revised Due Date]]&lt;&gt;""),Main[[#This Row],[In Stock Date]]-Main[[#This Row],[Revised Due Date]],"")</f>
        <v>118</v>
      </c>
      <c r="I45" s="99" t="s">
        <v>568</v>
      </c>
      <c r="J45" s="99" t="s">
        <v>28</v>
      </c>
      <c r="K45" s="99" t="s">
        <v>1975</v>
      </c>
      <c r="L45" s="101">
        <v>40834</v>
      </c>
      <c r="M45" s="104">
        <f>IF(Main[[#This Row],[Tech Start Date]]&lt;1/1/1990,"",IF(Main[[#This Row],[Class]]="C",WORKDAY(Main[[#This Row],[Tech Start Date]],9),IF(Main[[#This Row],[Class]]="B", WORKDAY(Main[[#This Row],[Tech Start Date]],6),IF(Main[[#This Row],[Class]]="A",WORKDAY(Main[[#This Row],[Tech Start Date]],2),""))))</f>
        <v>40847</v>
      </c>
      <c r="N45" s="104">
        <f>IF(Main[[#This Row],[Tech Start Date]]&lt;1/1/1990,"",IF(Main[[#This Row],[Class]]="C",WORKDAY(Main[[#This Row],[Tech Start Date]],19),IF(Main[[#This Row],[Class]]="B", WORKDAY(Main[[#This Row],[Tech Start Date]],12),IF(Main[[#This Row],[Class]]="A",WORKDAY(Main[[#This Row],[Tech Start Date]],4),""))))</f>
        <v>40861</v>
      </c>
      <c r="O45" s="104">
        <f>IF(Main[[#This Row],[Tech Start Date]]&lt;1/1/1990,"",IF(Main[[#This Row],[Class]]="C",WORKDAY(Main[[#This Row],[Tech Start Date]],23),IF(Main[[#This Row],[Class]]="B", WORKDAY(Main[[#This Row],[Tech Start Date]],15),IF(Main[[#This Row],[Class]]="A",WORKDAY(Main[[#This Row],[Tech Start Date]],5),""))))</f>
        <v>40865</v>
      </c>
      <c r="P45" s="104">
        <f>IF(Main[[#This Row],[Tech Start Date]]&lt;1/1/1990,"",IF(Main[[#This Row],[Class]]="C",WORKDAY(Main[[#This Row],[Tech Start Date]],28),IF(Main[[#This Row],[Class]]="B", WORKDAY(Main[[#This Row],[Tech Start Date]],19),IF(Main[[#This Row],[Class]]="A",WORKDAY(Main[[#This Row],[Tech Start Date]],9),""))))</f>
        <v>40872</v>
      </c>
      <c r="Q45" s="101">
        <v>40773</v>
      </c>
      <c r="R45" s="101">
        <v>40896</v>
      </c>
      <c r="S45" s="99" t="s">
        <v>11</v>
      </c>
      <c r="T45" s="107" t="s">
        <v>3144</v>
      </c>
      <c r="U45" s="99" t="s">
        <v>29</v>
      </c>
      <c r="V45" s="99" t="s">
        <v>1962</v>
      </c>
      <c r="W45" s="99" t="s">
        <v>1968</v>
      </c>
    </row>
    <row r="46" spans="1:28" ht="18.600000000000001" customHeight="1">
      <c r="A46" s="123">
        <f>IF(priority(Main[[#This Row],[Comments]])&lt;&gt;0, priority(Main[[#This Row],[Comments]]),"")</f>
        <v>11</v>
      </c>
      <c r="B46" s="127" t="s">
        <v>2996</v>
      </c>
      <c r="C46" s="99" t="s">
        <v>72</v>
      </c>
      <c r="D46" s="100" t="s">
        <v>3085</v>
      </c>
      <c r="E46" s="101">
        <v>40864.833043981482</v>
      </c>
      <c r="F46" s="101"/>
      <c r="G46" s="102" t="str">
        <f>IF(stdProdLT(Main[[#This Row],[Comments]])=0.1,"N/A",IF(stdProdLT(Main[[#This Row],[Comments]])=0,"",stdProdLT(Main[[#This Row],[Comments]])))</f>
        <v/>
      </c>
      <c r="H46" s="103" t="str">
        <f>IF(AND(Main[[#This Row],[In Stock Date]]&lt;&gt;"",Main[[#This Row],[Revised Due Date]]&lt;&gt;""),Main[[#This Row],[In Stock Date]]-Main[[#This Row],[Revised Due Date]],"")</f>
        <v/>
      </c>
      <c r="I46" s="99" t="s">
        <v>2324</v>
      </c>
      <c r="J46" s="99" t="s">
        <v>28</v>
      </c>
      <c r="K46" s="108" t="s">
        <v>1971</v>
      </c>
      <c r="L46" s="101">
        <v>40865</v>
      </c>
      <c r="M46" s="104">
        <f>IF(Main[[#This Row],[Tech Start Date]]&lt;1/1/1990,"",IF(Main[[#This Row],[Class]]="C",WORKDAY(Main[[#This Row],[Tech Start Date]],9),IF(Main[[#This Row],[Class]]="B", WORKDAY(Main[[#This Row],[Tech Start Date]],6),IF(Main[[#This Row],[Class]]="A",WORKDAY(Main[[#This Row],[Tech Start Date]],2),""))))</f>
        <v>40869</v>
      </c>
      <c r="N46" s="104">
        <f>IF(Main[[#This Row],[Tech Start Date]]&lt;1/1/1990,"",IF(Main[[#This Row],[Class]]="C",WORKDAY(Main[[#This Row],[Tech Start Date]],19),IF(Main[[#This Row],[Class]]="B", WORKDAY(Main[[#This Row],[Tech Start Date]],12),IF(Main[[#This Row],[Class]]="A",WORKDAY(Main[[#This Row],[Tech Start Date]],4),""))))</f>
        <v>40871</v>
      </c>
      <c r="O46" s="104">
        <f>IF(Main[[#This Row],[Tech Start Date]]&lt;1/1/1990,"",IF(Main[[#This Row],[Class]]="C",WORKDAY(Main[[#This Row],[Tech Start Date]],23),IF(Main[[#This Row],[Class]]="B", WORKDAY(Main[[#This Row],[Tech Start Date]],15),IF(Main[[#This Row],[Class]]="A",WORKDAY(Main[[#This Row],[Tech Start Date]],5),""))))</f>
        <v>40872</v>
      </c>
      <c r="P46" s="104">
        <f>IF(Main[[#This Row],[Tech Start Date]]&lt;1/1/1990,"",IF(Main[[#This Row],[Class]]="C",WORKDAY(Main[[#This Row],[Tech Start Date]],28),IF(Main[[#This Row],[Class]]="B", WORKDAY(Main[[#This Row],[Tech Start Date]],19),IF(Main[[#This Row],[Class]]="A",WORKDAY(Main[[#This Row],[Tech Start Date]],9),""))))</f>
        <v>40878</v>
      </c>
      <c r="Q46" s="101">
        <v>40882</v>
      </c>
      <c r="R46" s="101">
        <v>40886</v>
      </c>
      <c r="S46" s="99" t="s">
        <v>11</v>
      </c>
      <c r="T46" s="107" t="s">
        <v>3028</v>
      </c>
      <c r="U46" s="99" t="s">
        <v>29</v>
      </c>
      <c r="V46" s="99" t="s">
        <v>1963</v>
      </c>
      <c r="W46" s="99" t="s">
        <v>1967</v>
      </c>
    </row>
    <row r="47" spans="1:28" ht="18.600000000000001" customHeight="1">
      <c r="A47" s="123">
        <f>IF(priority(Main[[#This Row],[Comments]])&lt;&gt;0, priority(Main[[#This Row],[Comments]]),"")</f>
        <v>12</v>
      </c>
      <c r="B47" s="127" t="s">
        <v>2999</v>
      </c>
      <c r="C47" s="99" t="s">
        <v>72</v>
      </c>
      <c r="D47" s="100" t="s">
        <v>3055</v>
      </c>
      <c r="E47" s="101">
        <v>40864.817141203705</v>
      </c>
      <c r="F47" s="101"/>
      <c r="G47" s="102" t="str">
        <f>IF(stdProdLT(Main[[#This Row],[Comments]])=0.1,"N/A",IF(stdProdLT(Main[[#This Row],[Comments]])=0,"",stdProdLT(Main[[#This Row],[Comments]])))</f>
        <v/>
      </c>
      <c r="H47" s="103" t="str">
        <f>IF(AND(Main[[#This Row],[In Stock Date]]&lt;&gt;"",Main[[#This Row],[Revised Due Date]]&lt;&gt;""),Main[[#This Row],[In Stock Date]]-Main[[#This Row],[Revised Due Date]],"")</f>
        <v/>
      </c>
      <c r="I47" s="99" t="s">
        <v>2324</v>
      </c>
      <c r="J47" s="99" t="s">
        <v>28</v>
      </c>
      <c r="K47" s="99" t="s">
        <v>1971</v>
      </c>
      <c r="L47" s="101">
        <v>40865</v>
      </c>
      <c r="M47" s="104">
        <f>IF(Main[[#This Row],[Tech Start Date]]&lt;1/1/1990,"",IF(Main[[#This Row],[Class]]="C",WORKDAY(Main[[#This Row],[Tech Start Date]],9),IF(Main[[#This Row],[Class]]="B", WORKDAY(Main[[#This Row],[Tech Start Date]],6),IF(Main[[#This Row],[Class]]="A",WORKDAY(Main[[#This Row],[Tech Start Date]],2),""))))</f>
        <v>40869</v>
      </c>
      <c r="N47" s="104">
        <f>IF(Main[[#This Row],[Tech Start Date]]&lt;1/1/1990,"",IF(Main[[#This Row],[Class]]="C",WORKDAY(Main[[#This Row],[Tech Start Date]],19),IF(Main[[#This Row],[Class]]="B", WORKDAY(Main[[#This Row],[Tech Start Date]],12),IF(Main[[#This Row],[Class]]="A",WORKDAY(Main[[#This Row],[Tech Start Date]],4),""))))</f>
        <v>40871</v>
      </c>
      <c r="O47" s="104">
        <f>IF(Main[[#This Row],[Tech Start Date]]&lt;1/1/1990,"",IF(Main[[#This Row],[Class]]="C",WORKDAY(Main[[#This Row],[Tech Start Date]],23),IF(Main[[#This Row],[Class]]="B", WORKDAY(Main[[#This Row],[Tech Start Date]],15),IF(Main[[#This Row],[Class]]="A",WORKDAY(Main[[#This Row],[Tech Start Date]],5),""))))</f>
        <v>40872</v>
      </c>
      <c r="P47" s="104">
        <f>IF(Main[[#This Row],[Tech Start Date]]&lt;1/1/1990,"",IF(Main[[#This Row],[Class]]="C",WORKDAY(Main[[#This Row],[Tech Start Date]],28),IF(Main[[#This Row],[Class]]="B", WORKDAY(Main[[#This Row],[Tech Start Date]],19),IF(Main[[#This Row],[Class]]="A",WORKDAY(Main[[#This Row],[Tech Start Date]],9),""))))</f>
        <v>40878</v>
      </c>
      <c r="Q47" s="101"/>
      <c r="R47" s="101">
        <v>40886</v>
      </c>
      <c r="S47" s="99" t="s">
        <v>11</v>
      </c>
      <c r="T47" s="107" t="s">
        <v>3027</v>
      </c>
      <c r="U47" s="99" t="s">
        <v>29</v>
      </c>
      <c r="V47" s="99" t="s">
        <v>1963</v>
      </c>
      <c r="W47" s="99" t="s">
        <v>1967</v>
      </c>
    </row>
    <row r="48" spans="1:28" ht="18.600000000000001" customHeight="1">
      <c r="A48" s="123">
        <f>IF(priority(Main[[#This Row],[Comments]])&lt;&gt;0, priority(Main[[#This Row],[Comments]]),"")</f>
        <v>12</v>
      </c>
      <c r="B48" s="127" t="s">
        <v>3007</v>
      </c>
      <c r="C48" s="99" t="s">
        <v>3077</v>
      </c>
      <c r="D48" s="100" t="s">
        <v>3130</v>
      </c>
      <c r="E48" s="101">
        <v>40836.684050925927</v>
      </c>
      <c r="F48" s="101">
        <v>41014</v>
      </c>
      <c r="G48" s="102">
        <f>IF(stdProdLT(Main[[#This Row],[Comments]])=0.1,"N/A",IF(stdProdLT(Main[[#This Row],[Comments]])=0,"",stdProdLT(Main[[#This Row],[Comments]])))</f>
        <v>126</v>
      </c>
      <c r="H48" s="103">
        <f>IF(AND(Main[[#This Row],[In Stock Date]]&lt;&gt;"",Main[[#This Row],[Revised Due Date]]&lt;&gt;""),Main[[#This Row],[In Stock Date]]-Main[[#This Row],[Revised Due Date]],"")</f>
        <v>118</v>
      </c>
      <c r="I48" s="99" t="s">
        <v>568</v>
      </c>
      <c r="J48" s="99" t="s">
        <v>28</v>
      </c>
      <c r="K48" s="99" t="s">
        <v>1969</v>
      </c>
      <c r="L48" s="101">
        <v>40869</v>
      </c>
      <c r="M48" s="104">
        <f>IF(Main[[#This Row],[Tech Start Date]]&lt;1/1/1990,"",IF(Main[[#This Row],[Class]]="C",WORKDAY(Main[[#This Row],[Tech Start Date]],9),IF(Main[[#This Row],[Class]]="B", WORKDAY(Main[[#This Row],[Tech Start Date]],6),IF(Main[[#This Row],[Class]]="A",WORKDAY(Main[[#This Row],[Tech Start Date]],2),""))))</f>
        <v>40877</v>
      </c>
      <c r="N48" s="104">
        <f>IF(Main[[#This Row],[Tech Start Date]]&lt;1/1/1990,"",IF(Main[[#This Row],[Class]]="C",WORKDAY(Main[[#This Row],[Tech Start Date]],19),IF(Main[[#This Row],[Class]]="B", WORKDAY(Main[[#This Row],[Tech Start Date]],12),IF(Main[[#This Row],[Class]]="A",WORKDAY(Main[[#This Row],[Tech Start Date]],4),""))))</f>
        <v>40885</v>
      </c>
      <c r="O48" s="104">
        <f>IF(Main[[#This Row],[Tech Start Date]]&lt;1/1/1990,"",IF(Main[[#This Row],[Class]]="C",WORKDAY(Main[[#This Row],[Tech Start Date]],23),IF(Main[[#This Row],[Class]]="B", WORKDAY(Main[[#This Row],[Tech Start Date]],15),IF(Main[[#This Row],[Class]]="A",WORKDAY(Main[[#This Row],[Tech Start Date]],5),""))))</f>
        <v>40890</v>
      </c>
      <c r="P48" s="104">
        <f>IF(Main[[#This Row],[Tech Start Date]]&lt;1/1/1990,"",IF(Main[[#This Row],[Class]]="C",WORKDAY(Main[[#This Row],[Tech Start Date]],28),IF(Main[[#This Row],[Class]]="B", WORKDAY(Main[[#This Row],[Tech Start Date]],19),IF(Main[[#This Row],[Class]]="A",WORKDAY(Main[[#This Row],[Tech Start Date]],9),""))))</f>
        <v>40896</v>
      </c>
      <c r="Q48" s="101"/>
      <c r="R48" s="101">
        <v>40896</v>
      </c>
      <c r="S48" s="99" t="s">
        <v>11</v>
      </c>
      <c r="T48" s="107" t="s">
        <v>3145</v>
      </c>
      <c r="U48" s="99" t="s">
        <v>29</v>
      </c>
      <c r="V48" s="99" t="s">
        <v>1962</v>
      </c>
      <c r="W48" s="99" t="s">
        <v>1968</v>
      </c>
    </row>
    <row r="49" spans="1:23" ht="18.600000000000001" customHeight="1">
      <c r="A49" s="123">
        <f>IF(priority(Main[[#This Row],[Comments]])&lt;&gt;0, priority(Main[[#This Row],[Comments]]),"")</f>
        <v>12</v>
      </c>
      <c r="B49" s="127" t="s">
        <v>2820</v>
      </c>
      <c r="C49" s="99" t="s">
        <v>3051</v>
      </c>
      <c r="D49" s="100" t="s">
        <v>3133</v>
      </c>
      <c r="E49" s="101">
        <v>40868.046643518515</v>
      </c>
      <c r="F49" s="101">
        <v>40983</v>
      </c>
      <c r="G49" s="102">
        <f>IF(stdProdLT(Main[[#This Row],[Comments]])=0.1,"N/A",IF(stdProdLT(Main[[#This Row],[Comments]])=0,"",stdProdLT(Main[[#This Row],[Comments]])))</f>
        <v>168</v>
      </c>
      <c r="H49" s="103">
        <f>IF(AND(Main[[#This Row],[In Stock Date]]&lt;&gt;"",Main[[#This Row],[Revised Due Date]]&lt;&gt;""),Main[[#This Row],[In Stock Date]]-Main[[#This Row],[Revised Due Date]],"")</f>
        <v>84</v>
      </c>
      <c r="I49" s="99" t="s">
        <v>536</v>
      </c>
      <c r="J49" s="99" t="s">
        <v>70</v>
      </c>
      <c r="K49" s="99" t="s">
        <v>1971</v>
      </c>
      <c r="L49" s="101">
        <v>40878</v>
      </c>
      <c r="M49" s="104">
        <f>IF(Main[[#This Row],[Tech Start Date]]&lt;1/1/1990,"",IF(Main[[#This Row],[Class]]="C",WORKDAY(Main[[#This Row],[Tech Start Date]],9),IF(Main[[#This Row],[Class]]="B", WORKDAY(Main[[#This Row],[Tech Start Date]],6),IF(Main[[#This Row],[Class]]="A",WORKDAY(Main[[#This Row],[Tech Start Date]],2),""))))</f>
        <v>40882</v>
      </c>
      <c r="N49" s="104">
        <f>IF(Main[[#This Row],[Tech Start Date]]&lt;1/1/1990,"",IF(Main[[#This Row],[Class]]="C",WORKDAY(Main[[#This Row],[Tech Start Date]],19),IF(Main[[#This Row],[Class]]="B", WORKDAY(Main[[#This Row],[Tech Start Date]],12),IF(Main[[#This Row],[Class]]="A",WORKDAY(Main[[#This Row],[Tech Start Date]],4),""))))</f>
        <v>40884</v>
      </c>
      <c r="O49" s="104">
        <f>IF(Main[[#This Row],[Tech Start Date]]&lt;1/1/1990,"",IF(Main[[#This Row],[Class]]="C",WORKDAY(Main[[#This Row],[Tech Start Date]],23),IF(Main[[#This Row],[Class]]="B", WORKDAY(Main[[#This Row],[Tech Start Date]],15),IF(Main[[#This Row],[Class]]="A",WORKDAY(Main[[#This Row],[Tech Start Date]],5),""))))</f>
        <v>40885</v>
      </c>
      <c r="P49" s="104">
        <f>IF(Main[[#This Row],[Tech Start Date]]&lt;1/1/1990,"",IF(Main[[#This Row],[Class]]="C",WORKDAY(Main[[#This Row],[Tech Start Date]],28),IF(Main[[#This Row],[Class]]="B", WORKDAY(Main[[#This Row],[Tech Start Date]],19),IF(Main[[#This Row],[Class]]="A",WORKDAY(Main[[#This Row],[Tech Start Date]],9),""))))</f>
        <v>40891</v>
      </c>
      <c r="Q49" s="101">
        <v>40878</v>
      </c>
      <c r="R49" s="101">
        <v>40899</v>
      </c>
      <c r="S49" s="99" t="s">
        <v>11</v>
      </c>
      <c r="T49" s="107" t="s">
        <v>3029</v>
      </c>
      <c r="U49" s="99" t="s">
        <v>29</v>
      </c>
      <c r="V49" s="99" t="s">
        <v>1972</v>
      </c>
      <c r="W49" s="99" t="s">
        <v>1968</v>
      </c>
    </row>
    <row r="50" spans="1:23" ht="18.600000000000001" customHeight="1">
      <c r="A50" s="123">
        <f>IF(priority(Main[[#This Row],[Comments]])&lt;&gt;0, priority(Main[[#This Row],[Comments]]),"")</f>
        <v>13</v>
      </c>
      <c r="B50" s="127" t="s">
        <v>2626</v>
      </c>
      <c r="C50" s="99" t="s">
        <v>3077</v>
      </c>
      <c r="D50" s="100" t="s">
        <v>3099</v>
      </c>
      <c r="E50" s="101">
        <v>40834.583020833335</v>
      </c>
      <c r="F50" s="101">
        <v>41014</v>
      </c>
      <c r="G50" s="102">
        <f>IF(stdProdLT(Main[[#This Row],[Comments]])=0.1,"N/A",IF(stdProdLT(Main[[#This Row],[Comments]])=0,"",stdProdLT(Main[[#This Row],[Comments]])))</f>
        <v>126</v>
      </c>
      <c r="H50" s="103" t="str">
        <f>IF(AND(Main[[#This Row],[In Stock Date]]&lt;&gt;"",Main[[#This Row],[Revised Due Date]]&lt;&gt;""),Main[[#This Row],[In Stock Date]]-Main[[#This Row],[Revised Due Date]],"")</f>
        <v/>
      </c>
      <c r="I50" s="99" t="s">
        <v>4</v>
      </c>
      <c r="J50" s="99" t="s">
        <v>4</v>
      </c>
      <c r="K50" s="99" t="s">
        <v>4</v>
      </c>
      <c r="L50" s="101"/>
      <c r="M50" s="104" t="str">
        <f>IF(Main[[#This Row],[Tech Start Date]]&lt;1/1/1990,"",IF(Main[[#This Row],[Class]]="C",WORKDAY(Main[[#This Row],[Tech Start Date]],9),IF(Main[[#This Row],[Class]]="B", WORKDAY(Main[[#This Row],[Tech Start Date]],6),IF(Main[[#This Row],[Class]]="A",WORKDAY(Main[[#This Row],[Tech Start Date]],2),""))))</f>
        <v/>
      </c>
      <c r="N50" s="104" t="str">
        <f>IF(Main[[#This Row],[Tech Start Date]]&lt;1/1/1990,"",IF(Main[[#This Row],[Class]]="C",WORKDAY(Main[[#This Row],[Tech Start Date]],19),IF(Main[[#This Row],[Class]]="B", WORKDAY(Main[[#This Row],[Tech Start Date]],12),IF(Main[[#This Row],[Class]]="A",WORKDAY(Main[[#This Row],[Tech Start Date]],4),""))))</f>
        <v/>
      </c>
      <c r="O50" s="104" t="str">
        <f>IF(Main[[#This Row],[Tech Start Date]]&lt;1/1/1990,"",IF(Main[[#This Row],[Class]]="C",WORKDAY(Main[[#This Row],[Tech Start Date]],23),IF(Main[[#This Row],[Class]]="B", WORKDAY(Main[[#This Row],[Tech Start Date]],15),IF(Main[[#This Row],[Class]]="A",WORKDAY(Main[[#This Row],[Tech Start Date]],5),""))))</f>
        <v/>
      </c>
      <c r="P50" s="104" t="str">
        <f>IF(Main[[#This Row],[Tech Start Date]]&lt;1/1/1990,"",IF(Main[[#This Row],[Class]]="C",WORKDAY(Main[[#This Row],[Tech Start Date]],28),IF(Main[[#This Row],[Class]]="B", WORKDAY(Main[[#This Row],[Tech Start Date]],19),IF(Main[[#This Row],[Class]]="A",WORKDAY(Main[[#This Row],[Tech Start Date]],9),""))))</f>
        <v/>
      </c>
      <c r="Q50" s="101"/>
      <c r="R50" s="101"/>
      <c r="S50" s="99" t="s">
        <v>11</v>
      </c>
      <c r="T50" s="107" t="s">
        <v>3146</v>
      </c>
      <c r="U50" s="99" t="s">
        <v>7</v>
      </c>
      <c r="V50" s="99" t="s">
        <v>1962</v>
      </c>
      <c r="W50" s="99" t="s">
        <v>1968</v>
      </c>
    </row>
    <row r="51" spans="1:23" ht="18.600000000000001" customHeight="1">
      <c r="A51" s="123">
        <f>IF(priority(Main[[#This Row],[Comments]])&lt;&gt;0, priority(Main[[#This Row],[Comments]]),"")</f>
        <v>13</v>
      </c>
      <c r="B51" s="127" t="s">
        <v>1942</v>
      </c>
      <c r="C51" s="99" t="s">
        <v>830</v>
      </c>
      <c r="D51" s="100" t="s">
        <v>2013</v>
      </c>
      <c r="E51" s="101"/>
      <c r="F51" s="101">
        <v>40767</v>
      </c>
      <c r="G51" s="102" t="str">
        <f>IF(stdProdLT(Main[[#This Row],[Comments]])=0.1,"N/A",IF(stdProdLT(Main[[#This Row],[Comments]])=0,"",stdProdLT(Main[[#This Row],[Comments]])))</f>
        <v/>
      </c>
      <c r="H51" s="103">
        <f>IF(AND(Main[[#This Row],[In Stock Date]]&lt;&gt;"",Main[[#This Row],[Revised Due Date]]&lt;&gt;""),Main[[#This Row],[In Stock Date]]-Main[[#This Row],[Revised Due Date]],"")</f>
        <v>21</v>
      </c>
      <c r="I51" s="99" t="s">
        <v>959</v>
      </c>
      <c r="J51" s="99" t="s">
        <v>28</v>
      </c>
      <c r="K51" s="99" t="s">
        <v>1971</v>
      </c>
      <c r="L51" s="101">
        <v>40704</v>
      </c>
      <c r="M51" s="104">
        <f>IF(Main[[#This Row],[Tech Start Date]]&lt;1/1/1990,"",IF(Main[[#This Row],[Class]]="C",WORKDAY(Main[[#This Row],[Tech Start Date]],9),IF(Main[[#This Row],[Class]]="B", WORKDAY(Main[[#This Row],[Tech Start Date]],6),IF(Main[[#This Row],[Class]]="A",WORKDAY(Main[[#This Row],[Tech Start Date]],2),""))))</f>
        <v>40708</v>
      </c>
      <c r="N51" s="104">
        <f>IF(Main[[#This Row],[Tech Start Date]]&lt;1/1/1990,"",IF(Main[[#This Row],[Class]]="C",WORKDAY(Main[[#This Row],[Tech Start Date]],19),IF(Main[[#This Row],[Class]]="B", WORKDAY(Main[[#This Row],[Tech Start Date]],12),IF(Main[[#This Row],[Class]]="A",WORKDAY(Main[[#This Row],[Tech Start Date]],4),""))))</f>
        <v>40710</v>
      </c>
      <c r="O51" s="104">
        <f>IF(Main[[#This Row],[Tech Start Date]]&lt;1/1/1990,"",IF(Main[[#This Row],[Class]]="C",WORKDAY(Main[[#This Row],[Tech Start Date]],23),IF(Main[[#This Row],[Class]]="B", WORKDAY(Main[[#This Row],[Tech Start Date]],15),IF(Main[[#This Row],[Class]]="A",WORKDAY(Main[[#This Row],[Tech Start Date]],5),""))))</f>
        <v>40711</v>
      </c>
      <c r="P51" s="104">
        <f>IF(Main[[#This Row],[Tech Start Date]]&lt;1/1/1990,"",IF(Main[[#This Row],[Class]]="C",WORKDAY(Main[[#This Row],[Tech Start Date]],28),IF(Main[[#This Row],[Class]]="B", WORKDAY(Main[[#This Row],[Tech Start Date]],19),IF(Main[[#This Row],[Class]]="A",WORKDAY(Main[[#This Row],[Tech Start Date]],9),""))))</f>
        <v>40717</v>
      </c>
      <c r="Q51" s="101"/>
      <c r="R51" s="101">
        <v>40746</v>
      </c>
      <c r="S51" s="99" t="s">
        <v>11</v>
      </c>
      <c r="T51" s="107" t="s">
        <v>2056</v>
      </c>
      <c r="U51" s="99" t="s">
        <v>14</v>
      </c>
      <c r="V51" s="99" t="s">
        <v>1963</v>
      </c>
      <c r="W51" s="99" t="s">
        <v>1970</v>
      </c>
    </row>
    <row r="52" spans="1:23" ht="18.600000000000001" customHeight="1">
      <c r="A52" s="123">
        <f>IF(priority(Main[[#This Row],[Comments]])&lt;&gt;0, priority(Main[[#This Row],[Comments]]),"")</f>
        <v>13</v>
      </c>
      <c r="B52" s="127" t="s">
        <v>2452</v>
      </c>
      <c r="C52" s="99" t="s">
        <v>3051</v>
      </c>
      <c r="D52" s="100" t="s">
        <v>2454</v>
      </c>
      <c r="E52" s="101">
        <v>40869.394097222219</v>
      </c>
      <c r="F52" s="101">
        <v>40983</v>
      </c>
      <c r="G52" s="102">
        <f>IF(stdProdLT(Main[[#This Row],[Comments]])=0.1,"N/A",IF(stdProdLT(Main[[#This Row],[Comments]])=0,"",stdProdLT(Main[[#This Row],[Comments]])))</f>
        <v>182</v>
      </c>
      <c r="H52" s="103">
        <f>IF(AND(Main[[#This Row],[In Stock Date]]&lt;&gt;"",Main[[#This Row],[Revised Due Date]]&lt;&gt;""),Main[[#This Row],[In Stock Date]]-Main[[#This Row],[Revised Due Date]],"")</f>
        <v>84</v>
      </c>
      <c r="I52" s="99" t="s">
        <v>435</v>
      </c>
      <c r="J52" s="99" t="s">
        <v>70</v>
      </c>
      <c r="K52" s="99" t="s">
        <v>1971</v>
      </c>
      <c r="L52" s="101">
        <v>40878</v>
      </c>
      <c r="M52" s="104">
        <f>IF(Main[[#This Row],[Tech Start Date]]&lt;1/1/1990,"",IF(Main[[#This Row],[Class]]="C",WORKDAY(Main[[#This Row],[Tech Start Date]],9),IF(Main[[#This Row],[Class]]="B", WORKDAY(Main[[#This Row],[Tech Start Date]],6),IF(Main[[#This Row],[Class]]="A",WORKDAY(Main[[#This Row],[Tech Start Date]],2),""))))</f>
        <v>40882</v>
      </c>
      <c r="N52" s="104">
        <f>IF(Main[[#This Row],[Tech Start Date]]&lt;1/1/1990,"",IF(Main[[#This Row],[Class]]="C",WORKDAY(Main[[#This Row],[Tech Start Date]],19),IF(Main[[#This Row],[Class]]="B", WORKDAY(Main[[#This Row],[Tech Start Date]],12),IF(Main[[#This Row],[Class]]="A",WORKDAY(Main[[#This Row],[Tech Start Date]],4),""))))</f>
        <v>40884</v>
      </c>
      <c r="O52" s="104">
        <f>IF(Main[[#This Row],[Tech Start Date]]&lt;1/1/1990,"",IF(Main[[#This Row],[Class]]="C",WORKDAY(Main[[#This Row],[Tech Start Date]],23),IF(Main[[#This Row],[Class]]="B", WORKDAY(Main[[#This Row],[Tech Start Date]],15),IF(Main[[#This Row],[Class]]="A",WORKDAY(Main[[#This Row],[Tech Start Date]],5),""))))</f>
        <v>40885</v>
      </c>
      <c r="P52" s="104">
        <f>IF(Main[[#This Row],[Tech Start Date]]&lt;1/1/1990,"",IF(Main[[#This Row],[Class]]="C",WORKDAY(Main[[#This Row],[Tech Start Date]],28),IF(Main[[#This Row],[Class]]="B", WORKDAY(Main[[#This Row],[Tech Start Date]],19),IF(Main[[#This Row],[Class]]="A",WORKDAY(Main[[#This Row],[Tech Start Date]],9),""))))</f>
        <v>40891</v>
      </c>
      <c r="Q52" s="101">
        <v>40878</v>
      </c>
      <c r="R52" s="101">
        <v>40899</v>
      </c>
      <c r="S52" s="99" t="s">
        <v>11</v>
      </c>
      <c r="T52" s="107" t="s">
        <v>2455</v>
      </c>
      <c r="U52" s="99" t="s">
        <v>29</v>
      </c>
      <c r="V52" s="99" t="s">
        <v>1972</v>
      </c>
      <c r="W52" s="99" t="s">
        <v>1968</v>
      </c>
    </row>
    <row r="53" spans="1:23" ht="18.600000000000001" customHeight="1">
      <c r="A53" s="123">
        <f>IF(priority(Main[[#This Row],[Comments]])&lt;&gt;0, priority(Main[[#This Row],[Comments]]),"")</f>
        <v>14</v>
      </c>
      <c r="B53" s="127" t="s">
        <v>1943</v>
      </c>
      <c r="C53" s="99" t="s">
        <v>79</v>
      </c>
      <c r="D53" s="100" t="s">
        <v>3122</v>
      </c>
      <c r="E53" s="101">
        <v>40490.480590277781</v>
      </c>
      <c r="F53" s="101">
        <v>40999</v>
      </c>
      <c r="G53" s="102">
        <f>IF(stdProdLT(Main[[#This Row],[Comments]])=0.1,"N/A",IF(stdProdLT(Main[[#This Row],[Comments]])=0,"",stdProdLT(Main[[#This Row],[Comments]])))</f>
        <v>112</v>
      </c>
      <c r="H53" s="103">
        <f>IF(AND(Main[[#This Row],[In Stock Date]]&lt;&gt;"",Main[[#This Row],[Revised Due Date]]&lt;&gt;""),Main[[#This Row],[In Stock Date]]-Main[[#This Row],[Revised Due Date]],"")</f>
        <v>113</v>
      </c>
      <c r="I53" s="99" t="s">
        <v>929</v>
      </c>
      <c r="J53" s="99" t="s">
        <v>52</v>
      </c>
      <c r="K53" s="99" t="s">
        <v>1975</v>
      </c>
      <c r="L53" s="101">
        <v>40666</v>
      </c>
      <c r="M53" s="104">
        <f>IF(Main[[#This Row],[Tech Start Date]]&lt;1/1/1990,"",IF(Main[[#This Row],[Class]]="C",WORKDAY(Main[[#This Row],[Tech Start Date]],9),IF(Main[[#This Row],[Class]]="B", WORKDAY(Main[[#This Row],[Tech Start Date]],6),IF(Main[[#This Row],[Class]]="A",WORKDAY(Main[[#This Row],[Tech Start Date]],2),""))))</f>
        <v>40679</v>
      </c>
      <c r="N53" s="104">
        <f>IF(Main[[#This Row],[Tech Start Date]]&lt;1/1/1990,"",IF(Main[[#This Row],[Class]]="C",WORKDAY(Main[[#This Row],[Tech Start Date]],19),IF(Main[[#This Row],[Class]]="B", WORKDAY(Main[[#This Row],[Tech Start Date]],12),IF(Main[[#This Row],[Class]]="A",WORKDAY(Main[[#This Row],[Tech Start Date]],4),""))))</f>
        <v>40693</v>
      </c>
      <c r="O53" s="104">
        <f>IF(Main[[#This Row],[Tech Start Date]]&lt;1/1/1990,"",IF(Main[[#This Row],[Class]]="C",WORKDAY(Main[[#This Row],[Tech Start Date]],23),IF(Main[[#This Row],[Class]]="B", WORKDAY(Main[[#This Row],[Tech Start Date]],15),IF(Main[[#This Row],[Class]]="A",WORKDAY(Main[[#This Row],[Tech Start Date]],5),""))))</f>
        <v>40697</v>
      </c>
      <c r="P53" s="104">
        <f>IF(Main[[#This Row],[Tech Start Date]]&lt;1/1/1990,"",IF(Main[[#This Row],[Class]]="C",WORKDAY(Main[[#This Row],[Tech Start Date]],28),IF(Main[[#This Row],[Class]]="B", WORKDAY(Main[[#This Row],[Tech Start Date]],19),IF(Main[[#This Row],[Class]]="A",WORKDAY(Main[[#This Row],[Tech Start Date]],9),""))))</f>
        <v>40704</v>
      </c>
      <c r="Q53" s="101">
        <v>40701</v>
      </c>
      <c r="R53" s="101">
        <v>40886</v>
      </c>
      <c r="S53" s="99" t="s">
        <v>11</v>
      </c>
      <c r="T53" s="107" t="s">
        <v>3147</v>
      </c>
      <c r="U53" s="99" t="s">
        <v>29</v>
      </c>
      <c r="V53" s="99" t="s">
        <v>1962</v>
      </c>
      <c r="W53" s="99" t="s">
        <v>1973</v>
      </c>
    </row>
    <row r="54" spans="1:23" ht="18.600000000000001" customHeight="1">
      <c r="A54" s="123">
        <f>IF(priority(Main[[#This Row],[Comments]])&lt;&gt;0, priority(Main[[#This Row],[Comments]]),"")</f>
        <v>14</v>
      </c>
      <c r="B54" s="127" t="s">
        <v>2521</v>
      </c>
      <c r="C54" s="99" t="s">
        <v>3070</v>
      </c>
      <c r="D54" s="100" t="s">
        <v>3071</v>
      </c>
      <c r="E54" s="101">
        <v>40865.312094907407</v>
      </c>
      <c r="F54" s="101">
        <v>40986</v>
      </c>
      <c r="G54" s="102">
        <f>IF(stdProdLT(Main[[#This Row],[Comments]])=0.1,"N/A",IF(stdProdLT(Main[[#This Row],[Comments]])=0,"",stdProdLT(Main[[#This Row],[Comments]])))</f>
        <v>182</v>
      </c>
      <c r="H54" s="103">
        <f>IF(AND(Main[[#This Row],[In Stock Date]]&lt;&gt;"",Main[[#This Row],[Revised Due Date]]&lt;&gt;""),Main[[#This Row],[In Stock Date]]-Main[[#This Row],[Revised Due Date]],"")</f>
        <v>87</v>
      </c>
      <c r="I54" s="99" t="s">
        <v>435</v>
      </c>
      <c r="J54" s="99" t="s">
        <v>70</v>
      </c>
      <c r="K54" s="108" t="s">
        <v>1971</v>
      </c>
      <c r="L54" s="101">
        <v>40878</v>
      </c>
      <c r="M54" s="104">
        <f>IF(Main[[#This Row],[Tech Start Date]]&lt;1/1/1990,"",IF(Main[[#This Row],[Class]]="C",WORKDAY(Main[[#This Row],[Tech Start Date]],9),IF(Main[[#This Row],[Class]]="B", WORKDAY(Main[[#This Row],[Tech Start Date]],6),IF(Main[[#This Row],[Class]]="A",WORKDAY(Main[[#This Row],[Tech Start Date]],2),""))))</f>
        <v>40882</v>
      </c>
      <c r="N54" s="104">
        <f>IF(Main[[#This Row],[Tech Start Date]]&lt;1/1/1990,"",IF(Main[[#This Row],[Class]]="C",WORKDAY(Main[[#This Row],[Tech Start Date]],19),IF(Main[[#This Row],[Class]]="B", WORKDAY(Main[[#This Row],[Tech Start Date]],12),IF(Main[[#This Row],[Class]]="A",WORKDAY(Main[[#This Row],[Tech Start Date]],4),""))))</f>
        <v>40884</v>
      </c>
      <c r="O54" s="104">
        <f>IF(Main[[#This Row],[Tech Start Date]]&lt;1/1/1990,"",IF(Main[[#This Row],[Class]]="C",WORKDAY(Main[[#This Row],[Tech Start Date]],23),IF(Main[[#This Row],[Class]]="B", WORKDAY(Main[[#This Row],[Tech Start Date]],15),IF(Main[[#This Row],[Class]]="A",WORKDAY(Main[[#This Row],[Tech Start Date]],5),""))))</f>
        <v>40885</v>
      </c>
      <c r="P54" s="104">
        <f>IF(Main[[#This Row],[Tech Start Date]]&lt;1/1/1990,"",IF(Main[[#This Row],[Class]]="C",WORKDAY(Main[[#This Row],[Tech Start Date]],28),IF(Main[[#This Row],[Class]]="B", WORKDAY(Main[[#This Row],[Tech Start Date]],19),IF(Main[[#This Row],[Class]]="A",WORKDAY(Main[[#This Row],[Tech Start Date]],9),""))))</f>
        <v>40891</v>
      </c>
      <c r="Q54" s="101">
        <v>40921</v>
      </c>
      <c r="R54" s="101">
        <v>40899</v>
      </c>
      <c r="S54" s="99" t="s">
        <v>11</v>
      </c>
      <c r="T54" s="107" t="s">
        <v>2522</v>
      </c>
      <c r="U54" s="99" t="s">
        <v>29</v>
      </c>
      <c r="V54" s="99" t="s">
        <v>1972</v>
      </c>
      <c r="W54" s="99" t="s">
        <v>1973</v>
      </c>
    </row>
    <row r="55" spans="1:23" ht="18.600000000000001" customHeight="1">
      <c r="A55" s="123">
        <f>IF(priority(Main[[#This Row],[Comments]])&lt;&gt;0, priority(Main[[#This Row],[Comments]]),"")</f>
        <v>15</v>
      </c>
      <c r="B55" s="127" t="s">
        <v>2911</v>
      </c>
      <c r="C55" s="99" t="s">
        <v>2912</v>
      </c>
      <c r="D55" s="100" t="s">
        <v>3127</v>
      </c>
      <c r="E55" s="101">
        <v>40833.303182870368</v>
      </c>
      <c r="F55" s="101">
        <v>40855</v>
      </c>
      <c r="G55" s="102" t="str">
        <f>IF(stdProdLT(Main[[#This Row],[Comments]])=0.1,"N/A",IF(stdProdLT(Main[[#This Row],[Comments]])=0,"",stdProdLT(Main[[#This Row],[Comments]])))</f>
        <v>N/A</v>
      </c>
      <c r="H55" s="103">
        <f>IF(AND(Main[[#This Row],[In Stock Date]]&lt;&gt;"",Main[[#This Row],[Revised Due Date]]&lt;&gt;""),Main[[#This Row],[In Stock Date]]-Main[[#This Row],[Revised Due Date]],"")</f>
        <v>-52</v>
      </c>
      <c r="I55" s="99" t="s">
        <v>955</v>
      </c>
      <c r="J55" s="99" t="s">
        <v>28</v>
      </c>
      <c r="K55" s="99" t="s">
        <v>1971</v>
      </c>
      <c r="L55" s="101">
        <v>40834</v>
      </c>
      <c r="M55" s="104">
        <f>IF(Main[[#This Row],[Tech Start Date]]&lt;1/1/1990,"",IF(Main[[#This Row],[Class]]="C",WORKDAY(Main[[#This Row],[Tech Start Date]],9),IF(Main[[#This Row],[Class]]="B", WORKDAY(Main[[#This Row],[Tech Start Date]],6),IF(Main[[#This Row],[Class]]="A",WORKDAY(Main[[#This Row],[Tech Start Date]],2),""))))</f>
        <v>40836</v>
      </c>
      <c r="N55" s="104">
        <f>IF(Main[[#This Row],[Tech Start Date]]&lt;1/1/1990,"",IF(Main[[#This Row],[Class]]="C",WORKDAY(Main[[#This Row],[Tech Start Date]],19),IF(Main[[#This Row],[Class]]="B", WORKDAY(Main[[#This Row],[Tech Start Date]],12),IF(Main[[#This Row],[Class]]="A",WORKDAY(Main[[#This Row],[Tech Start Date]],4),""))))</f>
        <v>40840</v>
      </c>
      <c r="O55" s="104">
        <f>IF(Main[[#This Row],[Tech Start Date]]&lt;1/1/1990,"",IF(Main[[#This Row],[Class]]="C",WORKDAY(Main[[#This Row],[Tech Start Date]],23),IF(Main[[#This Row],[Class]]="B", WORKDAY(Main[[#This Row],[Tech Start Date]],15),IF(Main[[#This Row],[Class]]="A",WORKDAY(Main[[#This Row],[Tech Start Date]],5),""))))</f>
        <v>40841</v>
      </c>
      <c r="P55" s="104">
        <f>IF(Main[[#This Row],[Tech Start Date]]&lt;1/1/1990,"",IF(Main[[#This Row],[Class]]="C",WORKDAY(Main[[#This Row],[Tech Start Date]],28),IF(Main[[#This Row],[Class]]="B", WORKDAY(Main[[#This Row],[Tech Start Date]],19),IF(Main[[#This Row],[Class]]="A",WORKDAY(Main[[#This Row],[Tech Start Date]],9),""))))</f>
        <v>40847</v>
      </c>
      <c r="Q55" s="101">
        <v>40855</v>
      </c>
      <c r="R55" s="101">
        <v>40907</v>
      </c>
      <c r="S55" s="99" t="s">
        <v>11</v>
      </c>
      <c r="T55" s="107" t="s">
        <v>3148</v>
      </c>
      <c r="U55" s="99" t="s">
        <v>29</v>
      </c>
      <c r="V55" s="99" t="s">
        <v>1962</v>
      </c>
      <c r="W55" s="99" t="s">
        <v>1964</v>
      </c>
    </row>
    <row r="56" spans="1:23" ht="18.600000000000001" customHeight="1">
      <c r="A56" s="123">
        <f>IF(priority(Main[[#This Row],[Comments]])&lt;&gt;0, priority(Main[[#This Row],[Comments]]),"")</f>
        <v>15</v>
      </c>
      <c r="B56" s="127" t="s">
        <v>2538</v>
      </c>
      <c r="C56" s="99" t="s">
        <v>72</v>
      </c>
      <c r="D56" s="100" t="s">
        <v>2539</v>
      </c>
      <c r="E56" s="101">
        <v>40867.937222222223</v>
      </c>
      <c r="F56" s="101">
        <v>41000</v>
      </c>
      <c r="G56" s="102">
        <f>IF(stdProdLT(Main[[#This Row],[Comments]])=0.1,"N/A",IF(stdProdLT(Main[[#This Row],[Comments]])=0,"",stdProdLT(Main[[#This Row],[Comments]])))</f>
        <v>140</v>
      </c>
      <c r="H56" s="103">
        <f>IF(AND(Main[[#This Row],[In Stock Date]]&lt;&gt;"",Main[[#This Row],[Revised Due Date]]&lt;&gt;""),Main[[#This Row],[In Stock Date]]-Main[[#This Row],[Revised Due Date]],"")</f>
        <v>107</v>
      </c>
      <c r="I56" s="99" t="s">
        <v>131</v>
      </c>
      <c r="J56" s="99" t="s">
        <v>70</v>
      </c>
      <c r="K56" s="108" t="s">
        <v>1971</v>
      </c>
      <c r="L56" s="101">
        <v>40878</v>
      </c>
      <c r="M56" s="104">
        <f>IF(Main[[#This Row],[Tech Start Date]]&lt;1/1/1990,"",IF(Main[[#This Row],[Class]]="C",WORKDAY(Main[[#This Row],[Tech Start Date]],9),IF(Main[[#This Row],[Class]]="B", WORKDAY(Main[[#This Row],[Tech Start Date]],6),IF(Main[[#This Row],[Class]]="A",WORKDAY(Main[[#This Row],[Tech Start Date]],2),""))))</f>
        <v>40882</v>
      </c>
      <c r="N56" s="104">
        <f>IF(Main[[#This Row],[Tech Start Date]]&lt;1/1/1990,"",IF(Main[[#This Row],[Class]]="C",WORKDAY(Main[[#This Row],[Tech Start Date]],19),IF(Main[[#This Row],[Class]]="B", WORKDAY(Main[[#This Row],[Tech Start Date]],12),IF(Main[[#This Row],[Class]]="A",WORKDAY(Main[[#This Row],[Tech Start Date]],4),""))))</f>
        <v>40884</v>
      </c>
      <c r="O56" s="104">
        <f>IF(Main[[#This Row],[Tech Start Date]]&lt;1/1/1990,"",IF(Main[[#This Row],[Class]]="C",WORKDAY(Main[[#This Row],[Tech Start Date]],23),IF(Main[[#This Row],[Class]]="B", WORKDAY(Main[[#This Row],[Tech Start Date]],15),IF(Main[[#This Row],[Class]]="A",WORKDAY(Main[[#This Row],[Tech Start Date]],5),""))))</f>
        <v>40885</v>
      </c>
      <c r="P56" s="104">
        <f>IF(Main[[#This Row],[Tech Start Date]]&lt;1/1/1990,"",IF(Main[[#This Row],[Class]]="C",WORKDAY(Main[[#This Row],[Tech Start Date]],28),IF(Main[[#This Row],[Class]]="B", WORKDAY(Main[[#This Row],[Tech Start Date]],19),IF(Main[[#This Row],[Class]]="A",WORKDAY(Main[[#This Row],[Tech Start Date]],9),""))))</f>
        <v>40891</v>
      </c>
      <c r="Q56" s="101"/>
      <c r="R56" s="101">
        <v>40893</v>
      </c>
      <c r="S56" s="99" t="s">
        <v>11</v>
      </c>
      <c r="T56" s="107" t="s">
        <v>2540</v>
      </c>
      <c r="U56" s="99" t="s">
        <v>29</v>
      </c>
      <c r="V56" s="99" t="s">
        <v>1972</v>
      </c>
      <c r="W56" s="99" t="s">
        <v>1970</v>
      </c>
    </row>
    <row r="57" spans="1:23" ht="18.600000000000001" customHeight="1">
      <c r="A57" s="123">
        <f>IF(priority(Main[[#This Row],[Comments]])&lt;&gt;0, priority(Main[[#This Row],[Comments]]),"")</f>
        <v>16</v>
      </c>
      <c r="B57" s="127" t="s">
        <v>2370</v>
      </c>
      <c r="C57" s="99" t="s">
        <v>2371</v>
      </c>
      <c r="D57" s="100" t="s">
        <v>3125</v>
      </c>
      <c r="E57" s="101">
        <v>40814.583657407406</v>
      </c>
      <c r="F57" s="101">
        <v>40939</v>
      </c>
      <c r="G57" s="102" t="str">
        <f>IF(stdProdLT(Main[[#This Row],[Comments]])=0.1,"N/A",IF(stdProdLT(Main[[#This Row],[Comments]])=0,"",stdProdLT(Main[[#This Row],[Comments]])))</f>
        <v>N/A</v>
      </c>
      <c r="H57" s="103">
        <f>IF(AND(Main[[#This Row],[In Stock Date]]&lt;&gt;"",Main[[#This Row],[Revised Due Date]]&lt;&gt;""),Main[[#This Row],[In Stock Date]]-Main[[#This Row],[Revised Due Date]],"")</f>
        <v>32</v>
      </c>
      <c r="I57" s="99" t="s">
        <v>568</v>
      </c>
      <c r="J57" s="99" t="s">
        <v>28</v>
      </c>
      <c r="K57" s="99" t="s">
        <v>1975</v>
      </c>
      <c r="L57" s="101">
        <v>40828</v>
      </c>
      <c r="M57" s="104">
        <f>IF(Main[[#This Row],[Tech Start Date]]&lt;1/1/1990,"",IF(Main[[#This Row],[Class]]="C",WORKDAY(Main[[#This Row],[Tech Start Date]],9),IF(Main[[#This Row],[Class]]="B", WORKDAY(Main[[#This Row],[Tech Start Date]],6),IF(Main[[#This Row],[Class]]="A",WORKDAY(Main[[#This Row],[Tech Start Date]],2),""))))</f>
        <v>40841</v>
      </c>
      <c r="N57" s="104">
        <f>IF(Main[[#This Row],[Tech Start Date]]&lt;1/1/1990,"",IF(Main[[#This Row],[Class]]="C",WORKDAY(Main[[#This Row],[Tech Start Date]],19),IF(Main[[#This Row],[Class]]="B", WORKDAY(Main[[#This Row],[Tech Start Date]],12),IF(Main[[#This Row],[Class]]="A",WORKDAY(Main[[#This Row],[Tech Start Date]],4),""))))</f>
        <v>40855</v>
      </c>
      <c r="O57" s="104">
        <f>IF(Main[[#This Row],[Tech Start Date]]&lt;1/1/1990,"",IF(Main[[#This Row],[Class]]="C",WORKDAY(Main[[#This Row],[Tech Start Date]],23),IF(Main[[#This Row],[Class]]="B", WORKDAY(Main[[#This Row],[Tech Start Date]],15),IF(Main[[#This Row],[Class]]="A",WORKDAY(Main[[#This Row],[Tech Start Date]],5),""))))</f>
        <v>40861</v>
      </c>
      <c r="P57" s="104">
        <f>IF(Main[[#This Row],[Tech Start Date]]&lt;1/1/1990,"",IF(Main[[#This Row],[Class]]="C",WORKDAY(Main[[#This Row],[Tech Start Date]],28),IF(Main[[#This Row],[Class]]="B", WORKDAY(Main[[#This Row],[Tech Start Date]],19),IF(Main[[#This Row],[Class]]="A",WORKDAY(Main[[#This Row],[Tech Start Date]],9),""))))</f>
        <v>40868</v>
      </c>
      <c r="Q57" s="101">
        <v>40876</v>
      </c>
      <c r="R57" s="101">
        <v>40907</v>
      </c>
      <c r="S57" s="99" t="s">
        <v>11</v>
      </c>
      <c r="T57" s="107" t="s">
        <v>3149</v>
      </c>
      <c r="U57" s="99" t="s">
        <v>29</v>
      </c>
      <c r="V57" s="99" t="s">
        <v>1962</v>
      </c>
      <c r="W57" s="99" t="s">
        <v>1968</v>
      </c>
    </row>
    <row r="58" spans="1:23" ht="18.600000000000001" customHeight="1">
      <c r="A58" s="123">
        <f>IF(priority(Main[[#This Row],[Comments]])&lt;&gt;0, priority(Main[[#This Row],[Comments]]),"")</f>
        <v>16</v>
      </c>
      <c r="B58" s="127" t="s">
        <v>2980</v>
      </c>
      <c r="C58" s="99" t="s">
        <v>2981</v>
      </c>
      <c r="D58" s="100" t="s">
        <v>2982</v>
      </c>
      <c r="E58" s="101">
        <v>40850.457199074073</v>
      </c>
      <c r="F58" s="101"/>
      <c r="G58" s="102" t="str">
        <f>IF(stdProdLT(Main[[#This Row],[Comments]])=0.1,"N/A",IF(stdProdLT(Main[[#This Row],[Comments]])=0,"",stdProdLT(Main[[#This Row],[Comments]])))</f>
        <v>N/A</v>
      </c>
      <c r="H58" s="103" t="str">
        <f>IF(AND(Main[[#This Row],[In Stock Date]]&lt;&gt;"",Main[[#This Row],[Revised Due Date]]&lt;&gt;""),Main[[#This Row],[In Stock Date]]-Main[[#This Row],[Revised Due Date]],"")</f>
        <v/>
      </c>
      <c r="I58" s="99" t="s">
        <v>2324</v>
      </c>
      <c r="J58" s="99" t="s">
        <v>28</v>
      </c>
      <c r="K58" s="99" t="s">
        <v>1971</v>
      </c>
      <c r="L58" s="101">
        <v>40854</v>
      </c>
      <c r="M58" s="104">
        <f>IF(Main[[#This Row],[Tech Start Date]]&lt;1/1/1990,"",IF(Main[[#This Row],[Class]]="C",WORKDAY(Main[[#This Row],[Tech Start Date]],9),IF(Main[[#This Row],[Class]]="B", WORKDAY(Main[[#This Row],[Tech Start Date]],6),IF(Main[[#This Row],[Class]]="A",WORKDAY(Main[[#This Row],[Tech Start Date]],2),""))))</f>
        <v>40856</v>
      </c>
      <c r="N58" s="104">
        <f>IF(Main[[#This Row],[Tech Start Date]]&lt;1/1/1990,"",IF(Main[[#This Row],[Class]]="C",WORKDAY(Main[[#This Row],[Tech Start Date]],19),IF(Main[[#This Row],[Class]]="B", WORKDAY(Main[[#This Row],[Tech Start Date]],12),IF(Main[[#This Row],[Class]]="A",WORKDAY(Main[[#This Row],[Tech Start Date]],4),""))))</f>
        <v>40858</v>
      </c>
      <c r="O58" s="104">
        <f>IF(Main[[#This Row],[Tech Start Date]]&lt;1/1/1990,"",IF(Main[[#This Row],[Class]]="C",WORKDAY(Main[[#This Row],[Tech Start Date]],23),IF(Main[[#This Row],[Class]]="B", WORKDAY(Main[[#This Row],[Tech Start Date]],15),IF(Main[[#This Row],[Class]]="A",WORKDAY(Main[[#This Row],[Tech Start Date]],5),""))))</f>
        <v>40861</v>
      </c>
      <c r="P58" s="104">
        <f>IF(Main[[#This Row],[Tech Start Date]]&lt;1/1/1990,"",IF(Main[[#This Row],[Class]]="C",WORKDAY(Main[[#This Row],[Tech Start Date]],28),IF(Main[[#This Row],[Class]]="B", WORKDAY(Main[[#This Row],[Tech Start Date]],19),IF(Main[[#This Row],[Class]]="A",WORKDAY(Main[[#This Row],[Tech Start Date]],9),""))))</f>
        <v>40865</v>
      </c>
      <c r="Q58" s="101">
        <v>40869</v>
      </c>
      <c r="R58" s="101">
        <v>40882</v>
      </c>
      <c r="S58" s="99" t="s">
        <v>11</v>
      </c>
      <c r="T58" s="107" t="s">
        <v>3026</v>
      </c>
      <c r="U58" s="99" t="s">
        <v>29</v>
      </c>
      <c r="V58" s="99" t="s">
        <v>1963</v>
      </c>
      <c r="W58" s="99" t="s">
        <v>1967</v>
      </c>
    </row>
    <row r="59" spans="1:23" ht="18.600000000000001" customHeight="1">
      <c r="A59" s="123">
        <f>IF(priority(Main[[#This Row],[Comments]])&lt;&gt;0, priority(Main[[#This Row],[Comments]]),"")</f>
        <v>16</v>
      </c>
      <c r="B59" s="127" t="s">
        <v>2836</v>
      </c>
      <c r="C59" s="99" t="s">
        <v>72</v>
      </c>
      <c r="D59" s="100" t="s">
        <v>2837</v>
      </c>
      <c r="E59" s="101">
        <v>40867.93037037037</v>
      </c>
      <c r="F59" s="101">
        <v>41000</v>
      </c>
      <c r="G59" s="102">
        <f>IF(stdProdLT(Main[[#This Row],[Comments]])=0.1,"N/A",IF(stdProdLT(Main[[#This Row],[Comments]])=0,"",stdProdLT(Main[[#This Row],[Comments]])))</f>
        <v>140</v>
      </c>
      <c r="H59" s="103">
        <f>IF(AND(Main[[#This Row],[In Stock Date]]&lt;&gt;"",Main[[#This Row],[Revised Due Date]]&lt;&gt;""),Main[[#This Row],[In Stock Date]]-Main[[#This Row],[Revised Due Date]],"")</f>
        <v>107</v>
      </c>
      <c r="I59" s="99" t="s">
        <v>131</v>
      </c>
      <c r="J59" s="99" t="s">
        <v>70</v>
      </c>
      <c r="K59" s="108" t="s">
        <v>1971</v>
      </c>
      <c r="L59" s="101">
        <v>40878</v>
      </c>
      <c r="M59" s="104">
        <f>IF(Main[[#This Row],[Tech Start Date]]&lt;1/1/1990,"",IF(Main[[#This Row],[Class]]="C",WORKDAY(Main[[#This Row],[Tech Start Date]],9),IF(Main[[#This Row],[Class]]="B", WORKDAY(Main[[#This Row],[Tech Start Date]],6),IF(Main[[#This Row],[Class]]="A",WORKDAY(Main[[#This Row],[Tech Start Date]],2),""))))</f>
        <v>40882</v>
      </c>
      <c r="N59" s="104">
        <f>IF(Main[[#This Row],[Tech Start Date]]&lt;1/1/1990,"",IF(Main[[#This Row],[Class]]="C",WORKDAY(Main[[#This Row],[Tech Start Date]],19),IF(Main[[#This Row],[Class]]="B", WORKDAY(Main[[#This Row],[Tech Start Date]],12),IF(Main[[#This Row],[Class]]="A",WORKDAY(Main[[#This Row],[Tech Start Date]],4),""))))</f>
        <v>40884</v>
      </c>
      <c r="O59" s="104">
        <f>IF(Main[[#This Row],[Tech Start Date]]&lt;1/1/1990,"",IF(Main[[#This Row],[Class]]="C",WORKDAY(Main[[#This Row],[Tech Start Date]],23),IF(Main[[#This Row],[Class]]="B", WORKDAY(Main[[#This Row],[Tech Start Date]],15),IF(Main[[#This Row],[Class]]="A",WORKDAY(Main[[#This Row],[Tech Start Date]],5),""))))</f>
        <v>40885</v>
      </c>
      <c r="P59" s="104">
        <f>IF(Main[[#This Row],[Tech Start Date]]&lt;1/1/1990,"",IF(Main[[#This Row],[Class]]="C",WORKDAY(Main[[#This Row],[Tech Start Date]],28),IF(Main[[#This Row],[Class]]="B", WORKDAY(Main[[#This Row],[Tech Start Date]],19),IF(Main[[#This Row],[Class]]="A",WORKDAY(Main[[#This Row],[Tech Start Date]],9),""))))</f>
        <v>40891</v>
      </c>
      <c r="Q59" s="101"/>
      <c r="R59" s="101">
        <v>40893</v>
      </c>
      <c r="S59" s="99" t="s">
        <v>11</v>
      </c>
      <c r="T59" s="107" t="s">
        <v>2838</v>
      </c>
      <c r="U59" s="99" t="s">
        <v>29</v>
      </c>
      <c r="V59" s="99" t="s">
        <v>1972</v>
      </c>
      <c r="W59" s="99" t="s">
        <v>1970</v>
      </c>
    </row>
    <row r="60" spans="1:23" ht="18.600000000000001" customHeight="1">
      <c r="A60" s="123">
        <f>IF(priority(Main[[#This Row],[Comments]])&lt;&gt;0, priority(Main[[#This Row],[Comments]]),"")</f>
        <v>16.2</v>
      </c>
      <c r="B60" s="127" t="s">
        <v>2535</v>
      </c>
      <c r="C60" s="99" t="s">
        <v>31</v>
      </c>
      <c r="D60" s="100" t="s">
        <v>2536</v>
      </c>
      <c r="E60" s="101"/>
      <c r="F60" s="101">
        <v>41000</v>
      </c>
      <c r="G60" s="102">
        <f>IF(stdProdLT(Main[[#This Row],[Comments]])=0.1,"N/A",IF(stdProdLT(Main[[#This Row],[Comments]])=0,"",stdProdLT(Main[[#This Row],[Comments]])))</f>
        <v>140</v>
      </c>
      <c r="H60" s="103" t="str">
        <f>IF(AND(Main[[#This Row],[In Stock Date]]&lt;&gt;"",Main[[#This Row],[Revised Due Date]]&lt;&gt;""),Main[[#This Row],[In Stock Date]]-Main[[#This Row],[Revised Due Date]],"")</f>
        <v/>
      </c>
      <c r="I60" s="99" t="s">
        <v>4</v>
      </c>
      <c r="J60" s="99" t="s">
        <v>4</v>
      </c>
      <c r="K60" s="99" t="s">
        <v>4</v>
      </c>
      <c r="L60" s="101"/>
      <c r="M60" s="104" t="str">
        <f>IF(Main[[#This Row],[Tech Start Date]]&lt;1/1/1990,"",IF(Main[[#This Row],[Class]]="C",WORKDAY(Main[[#This Row],[Tech Start Date]],9),IF(Main[[#This Row],[Class]]="B", WORKDAY(Main[[#This Row],[Tech Start Date]],6),IF(Main[[#This Row],[Class]]="A",WORKDAY(Main[[#This Row],[Tech Start Date]],2),""))))</f>
        <v/>
      </c>
      <c r="N60" s="104" t="str">
        <f>IF(Main[[#This Row],[Tech Start Date]]&lt;1/1/1990,"",IF(Main[[#This Row],[Class]]="C",WORKDAY(Main[[#This Row],[Tech Start Date]],19),IF(Main[[#This Row],[Class]]="B", WORKDAY(Main[[#This Row],[Tech Start Date]],12),IF(Main[[#This Row],[Class]]="A",WORKDAY(Main[[#This Row],[Tech Start Date]],4),""))))</f>
        <v/>
      </c>
      <c r="O60" s="104" t="str">
        <f>IF(Main[[#This Row],[Tech Start Date]]&lt;1/1/1990,"",IF(Main[[#This Row],[Class]]="C",WORKDAY(Main[[#This Row],[Tech Start Date]],23),IF(Main[[#This Row],[Class]]="B", WORKDAY(Main[[#This Row],[Tech Start Date]],15),IF(Main[[#This Row],[Class]]="A",WORKDAY(Main[[#This Row],[Tech Start Date]],5),""))))</f>
        <v/>
      </c>
      <c r="P60" s="104" t="str">
        <f>IF(Main[[#This Row],[Tech Start Date]]&lt;1/1/1990,"",IF(Main[[#This Row],[Class]]="C",WORKDAY(Main[[#This Row],[Tech Start Date]],28),IF(Main[[#This Row],[Class]]="B", WORKDAY(Main[[#This Row],[Tech Start Date]],19),IF(Main[[#This Row],[Class]]="A",WORKDAY(Main[[#This Row],[Tech Start Date]],9),""))))</f>
        <v/>
      </c>
      <c r="Q60" s="101">
        <v>40916</v>
      </c>
      <c r="R60" s="101"/>
      <c r="S60" s="99" t="s">
        <v>11</v>
      </c>
      <c r="T60" s="107" t="s">
        <v>2537</v>
      </c>
      <c r="U60" s="99" t="s">
        <v>14</v>
      </c>
      <c r="V60" s="99" t="s">
        <v>1972</v>
      </c>
      <c r="W60" s="99" t="s">
        <v>1968</v>
      </c>
    </row>
    <row r="61" spans="1:23" ht="18.600000000000001" customHeight="1">
      <c r="A61" s="123">
        <f>IF(priority(Main[[#This Row],[Comments]])&lt;&gt;0, priority(Main[[#This Row],[Comments]]),"")</f>
        <v>17</v>
      </c>
      <c r="B61" s="127" t="s">
        <v>1257</v>
      </c>
      <c r="C61" s="99" t="s">
        <v>33</v>
      </c>
      <c r="D61" s="100" t="s">
        <v>331</v>
      </c>
      <c r="E61" s="101"/>
      <c r="F61" s="101">
        <v>40695</v>
      </c>
      <c r="G61" s="102" t="str">
        <f>IF(stdProdLT(Main[[#This Row],[Comments]])=0.1,"N/A",IF(stdProdLT(Main[[#This Row],[Comments]])=0,"",stdProdLT(Main[[#This Row],[Comments]])))</f>
        <v/>
      </c>
      <c r="H61" s="103" t="str">
        <f>IF(AND(Main[[#This Row],[In Stock Date]]&lt;&gt;"",Main[[#This Row],[Revised Due Date]]&lt;&gt;""),Main[[#This Row],[In Stock Date]]-Main[[#This Row],[Revised Due Date]],"")</f>
        <v/>
      </c>
      <c r="I61" s="99" t="s">
        <v>108</v>
      </c>
      <c r="J61" s="99" t="s">
        <v>28</v>
      </c>
      <c r="K61" s="99" t="s">
        <v>4</v>
      </c>
      <c r="L61" s="101"/>
      <c r="M61" s="104" t="str">
        <f>IF(Main[[#This Row],[Tech Start Date]]&lt;1/1/1990,"",IF(Main[[#This Row],[Class]]="C",WORKDAY(Main[[#This Row],[Tech Start Date]],9),IF(Main[[#This Row],[Class]]="B", WORKDAY(Main[[#This Row],[Tech Start Date]],6),IF(Main[[#This Row],[Class]]="A",WORKDAY(Main[[#This Row],[Tech Start Date]],2),""))))</f>
        <v/>
      </c>
      <c r="N61" s="104" t="str">
        <f>IF(Main[[#This Row],[Tech Start Date]]&lt;1/1/1990,"",IF(Main[[#This Row],[Class]]="C",WORKDAY(Main[[#This Row],[Tech Start Date]],19),IF(Main[[#This Row],[Class]]="B", WORKDAY(Main[[#This Row],[Tech Start Date]],12),IF(Main[[#This Row],[Class]]="A",WORKDAY(Main[[#This Row],[Tech Start Date]],4),""))))</f>
        <v/>
      </c>
      <c r="O61" s="104" t="str">
        <f>IF(Main[[#This Row],[Tech Start Date]]&lt;1/1/1990,"",IF(Main[[#This Row],[Class]]="C",WORKDAY(Main[[#This Row],[Tech Start Date]],23),IF(Main[[#This Row],[Class]]="B", WORKDAY(Main[[#This Row],[Tech Start Date]],15),IF(Main[[#This Row],[Class]]="A",WORKDAY(Main[[#This Row],[Tech Start Date]],5),""))))</f>
        <v/>
      </c>
      <c r="P61" s="104" t="str">
        <f>IF(Main[[#This Row],[Tech Start Date]]&lt;1/1/1990,"",IF(Main[[#This Row],[Class]]="C",WORKDAY(Main[[#This Row],[Tech Start Date]],28),IF(Main[[#This Row],[Class]]="B", WORKDAY(Main[[#This Row],[Tech Start Date]],19),IF(Main[[#This Row],[Class]]="A",WORKDAY(Main[[#This Row],[Tech Start Date]],9),""))))</f>
        <v/>
      </c>
      <c r="Q61" s="101">
        <v>40695</v>
      </c>
      <c r="R61" s="101"/>
      <c r="S61" s="99" t="s">
        <v>11</v>
      </c>
      <c r="T61" s="107" t="s">
        <v>332</v>
      </c>
      <c r="U61" s="99" t="s">
        <v>14</v>
      </c>
      <c r="V61" s="99" t="s">
        <v>1963</v>
      </c>
      <c r="W61" s="99" t="s">
        <v>1967</v>
      </c>
    </row>
    <row r="62" spans="1:23" ht="18.600000000000001" customHeight="1">
      <c r="A62" s="123">
        <f>IF(priority(Main[[#This Row],[Comments]])&lt;&gt;0, priority(Main[[#This Row],[Comments]]),"")</f>
        <v>17</v>
      </c>
      <c r="B62" s="127" t="s">
        <v>2076</v>
      </c>
      <c r="C62" s="99" t="s">
        <v>2077</v>
      </c>
      <c r="D62" s="100" t="s">
        <v>2199</v>
      </c>
      <c r="E62" s="101"/>
      <c r="F62" s="101">
        <v>40752</v>
      </c>
      <c r="G62" s="102">
        <f>IF(stdProdLT(Main[[#This Row],[Comments]])=0.1,"N/A",IF(stdProdLT(Main[[#This Row],[Comments]])=0,"",stdProdLT(Main[[#This Row],[Comments]])))</f>
        <v>42</v>
      </c>
      <c r="H62" s="103">
        <f>IF(AND(Main[[#This Row],[In Stock Date]]&lt;&gt;"",Main[[#This Row],[Revised Due Date]]&lt;&gt;""),Main[[#This Row],[In Stock Date]]-Main[[#This Row],[Revised Due Date]],"")</f>
        <v>-32</v>
      </c>
      <c r="I62" s="99" t="s">
        <v>979</v>
      </c>
      <c r="J62" s="99" t="s">
        <v>28</v>
      </c>
      <c r="K62" s="108" t="s">
        <v>1969</v>
      </c>
      <c r="L62" s="101">
        <v>40745</v>
      </c>
      <c r="M62" s="104">
        <f>IF(Main[[#This Row],[Tech Start Date]]&lt;1/1/1990,"",IF(Main[[#This Row],[Class]]="C",WORKDAY(Main[[#This Row],[Tech Start Date]],9),IF(Main[[#This Row],[Class]]="B", WORKDAY(Main[[#This Row],[Tech Start Date]],6),IF(Main[[#This Row],[Class]]="A",WORKDAY(Main[[#This Row],[Tech Start Date]],2),""))))</f>
        <v>40753</v>
      </c>
      <c r="N62" s="104">
        <f>IF(Main[[#This Row],[Tech Start Date]]&lt;1/1/1990,"",IF(Main[[#This Row],[Class]]="C",WORKDAY(Main[[#This Row],[Tech Start Date]],19),IF(Main[[#This Row],[Class]]="B", WORKDAY(Main[[#This Row],[Tech Start Date]],12),IF(Main[[#This Row],[Class]]="A",WORKDAY(Main[[#This Row],[Tech Start Date]],4),""))))</f>
        <v>40763</v>
      </c>
      <c r="O62" s="104">
        <f>IF(Main[[#This Row],[Tech Start Date]]&lt;1/1/1990,"",IF(Main[[#This Row],[Class]]="C",WORKDAY(Main[[#This Row],[Tech Start Date]],23),IF(Main[[#This Row],[Class]]="B", WORKDAY(Main[[#This Row],[Tech Start Date]],15),IF(Main[[#This Row],[Class]]="A",WORKDAY(Main[[#This Row],[Tech Start Date]],5),""))))</f>
        <v>40766</v>
      </c>
      <c r="P62" s="104">
        <f>IF(Main[[#This Row],[Tech Start Date]]&lt;1/1/1990,"",IF(Main[[#This Row],[Class]]="C",WORKDAY(Main[[#This Row],[Tech Start Date]],28),IF(Main[[#This Row],[Class]]="B", WORKDAY(Main[[#This Row],[Tech Start Date]],19),IF(Main[[#This Row],[Class]]="A",WORKDAY(Main[[#This Row],[Tech Start Date]],9),""))))</f>
        <v>40772</v>
      </c>
      <c r="Q62" s="101">
        <v>40752</v>
      </c>
      <c r="R62" s="101">
        <v>40784</v>
      </c>
      <c r="S62" s="99" t="s">
        <v>11</v>
      </c>
      <c r="T62" s="107" t="s">
        <v>2200</v>
      </c>
      <c r="U62" s="99" t="s">
        <v>14</v>
      </c>
      <c r="V62" s="99" t="s">
        <v>1963</v>
      </c>
      <c r="W62" s="99" t="s">
        <v>1964</v>
      </c>
    </row>
    <row r="63" spans="1:23" ht="18.600000000000001" customHeight="1">
      <c r="A63" s="123">
        <f>IF(priority(Main[[#This Row],[Comments]])&lt;&gt;0, priority(Main[[#This Row],[Comments]]),"")</f>
        <v>17</v>
      </c>
      <c r="B63" s="127" t="s">
        <v>2346</v>
      </c>
      <c r="C63" s="99" t="s">
        <v>2347</v>
      </c>
      <c r="D63" s="100" t="s">
        <v>2902</v>
      </c>
      <c r="E63" s="101">
        <v>40826.471261574072</v>
      </c>
      <c r="F63" s="101">
        <v>41060</v>
      </c>
      <c r="G63" s="102">
        <f>IF(stdProdLT(Main[[#This Row],[Comments]])=0.1,"N/A",IF(stdProdLT(Main[[#This Row],[Comments]])=0,"",stdProdLT(Main[[#This Row],[Comments]])))</f>
        <v>126</v>
      </c>
      <c r="H63" s="103">
        <f>IF(AND(Main[[#This Row],[In Stock Date]]&lt;&gt;"",Main[[#This Row],[Revised Due Date]]&lt;&gt;""),Main[[#This Row],[In Stock Date]]-Main[[#This Row],[Revised Due Date]],"")</f>
        <v>153</v>
      </c>
      <c r="I63" s="99" t="s">
        <v>929</v>
      </c>
      <c r="J63" s="99" t="s">
        <v>52</v>
      </c>
      <c r="K63" s="108" t="s">
        <v>1969</v>
      </c>
      <c r="L63" s="101">
        <v>40820</v>
      </c>
      <c r="M63" s="104">
        <f>IF(Main[[#This Row],[Tech Start Date]]&lt;1/1/1990,"",IF(Main[[#This Row],[Class]]="C",WORKDAY(Main[[#This Row],[Tech Start Date]],9),IF(Main[[#This Row],[Class]]="B", WORKDAY(Main[[#This Row],[Tech Start Date]],6),IF(Main[[#This Row],[Class]]="A",WORKDAY(Main[[#This Row],[Tech Start Date]],2),""))))</f>
        <v>40828</v>
      </c>
      <c r="N63" s="104">
        <f>IF(Main[[#This Row],[Tech Start Date]]&lt;1/1/1990,"",IF(Main[[#This Row],[Class]]="C",WORKDAY(Main[[#This Row],[Tech Start Date]],19),IF(Main[[#This Row],[Class]]="B", WORKDAY(Main[[#This Row],[Tech Start Date]],12),IF(Main[[#This Row],[Class]]="A",WORKDAY(Main[[#This Row],[Tech Start Date]],4),""))))</f>
        <v>40836</v>
      </c>
      <c r="O63" s="104">
        <f>IF(Main[[#This Row],[Tech Start Date]]&lt;1/1/1990,"",IF(Main[[#This Row],[Class]]="C",WORKDAY(Main[[#This Row],[Tech Start Date]],23),IF(Main[[#This Row],[Class]]="B", WORKDAY(Main[[#This Row],[Tech Start Date]],15),IF(Main[[#This Row],[Class]]="A",WORKDAY(Main[[#This Row],[Tech Start Date]],5),""))))</f>
        <v>40841</v>
      </c>
      <c r="P63" s="104">
        <f>IF(Main[[#This Row],[Tech Start Date]]&lt;1/1/1990,"",IF(Main[[#This Row],[Class]]="C",WORKDAY(Main[[#This Row],[Tech Start Date]],28),IF(Main[[#This Row],[Class]]="B", WORKDAY(Main[[#This Row],[Tech Start Date]],19),IF(Main[[#This Row],[Class]]="A",WORKDAY(Main[[#This Row],[Tech Start Date]],9),""))))</f>
        <v>40847</v>
      </c>
      <c r="Q63" s="101">
        <v>40833</v>
      </c>
      <c r="R63" s="101">
        <v>40907</v>
      </c>
      <c r="S63" s="99" t="s">
        <v>11</v>
      </c>
      <c r="T63" s="107" t="s">
        <v>3150</v>
      </c>
      <c r="U63" s="99" t="s">
        <v>29</v>
      </c>
      <c r="V63" s="99" t="s">
        <v>1962</v>
      </c>
      <c r="W63" s="99" t="s">
        <v>1968</v>
      </c>
    </row>
    <row r="64" spans="1:23" ht="18.600000000000001" customHeight="1">
      <c r="A64" s="123">
        <f>IF(priority(Main[[#This Row],[Comments]])&lt;&gt;0, priority(Main[[#This Row],[Comments]]),"")</f>
        <v>17</v>
      </c>
      <c r="B64" s="127" t="s">
        <v>1196</v>
      </c>
      <c r="C64" s="99" t="s">
        <v>4</v>
      </c>
      <c r="D64" s="100" t="s">
        <v>220</v>
      </c>
      <c r="E64" s="101">
        <v>40820.439050925925</v>
      </c>
      <c r="F64" s="101">
        <v>40724</v>
      </c>
      <c r="G64" s="102" t="str">
        <f>IF(stdProdLT(Main[[#This Row],[Comments]])=0.1,"N/A",IF(stdProdLT(Main[[#This Row],[Comments]])=0,"",stdProdLT(Main[[#This Row],[Comments]])))</f>
        <v/>
      </c>
      <c r="H64" s="103">
        <f>IF(AND(Main[[#This Row],[In Stock Date]]&lt;&gt;"",Main[[#This Row],[Revised Due Date]]&lt;&gt;""),Main[[#This Row],[In Stock Date]]-Main[[#This Row],[Revised Due Date]],"")</f>
        <v>-162</v>
      </c>
      <c r="I64" s="99" t="s">
        <v>960</v>
      </c>
      <c r="J64" s="99" t="s">
        <v>28</v>
      </c>
      <c r="K64" s="99" t="s">
        <v>1969</v>
      </c>
      <c r="L64" s="101">
        <v>40835</v>
      </c>
      <c r="M64" s="104">
        <f>IF(Main[[#This Row],[Tech Start Date]]&lt;1/1/1990,"",IF(Main[[#This Row],[Class]]="C",WORKDAY(Main[[#This Row],[Tech Start Date]],9),IF(Main[[#This Row],[Class]]="B", WORKDAY(Main[[#This Row],[Tech Start Date]],6),IF(Main[[#This Row],[Class]]="A",WORKDAY(Main[[#This Row],[Tech Start Date]],2),""))))</f>
        <v>40843</v>
      </c>
      <c r="N64" s="104">
        <f>IF(Main[[#This Row],[Tech Start Date]]&lt;1/1/1990,"",IF(Main[[#This Row],[Class]]="C",WORKDAY(Main[[#This Row],[Tech Start Date]],19),IF(Main[[#This Row],[Class]]="B", WORKDAY(Main[[#This Row],[Tech Start Date]],12),IF(Main[[#This Row],[Class]]="A",WORKDAY(Main[[#This Row],[Tech Start Date]],4),""))))</f>
        <v>40851</v>
      </c>
      <c r="O64" s="104">
        <f>IF(Main[[#This Row],[Tech Start Date]]&lt;1/1/1990,"",IF(Main[[#This Row],[Class]]="C",WORKDAY(Main[[#This Row],[Tech Start Date]],23),IF(Main[[#This Row],[Class]]="B", WORKDAY(Main[[#This Row],[Tech Start Date]],15),IF(Main[[#This Row],[Class]]="A",WORKDAY(Main[[#This Row],[Tech Start Date]],5),""))))</f>
        <v>40856</v>
      </c>
      <c r="P64" s="104">
        <f>IF(Main[[#This Row],[Tech Start Date]]&lt;1/1/1990,"",IF(Main[[#This Row],[Class]]="C",WORKDAY(Main[[#This Row],[Tech Start Date]],28),IF(Main[[#This Row],[Class]]="B", WORKDAY(Main[[#This Row],[Tech Start Date]],19),IF(Main[[#This Row],[Class]]="A",WORKDAY(Main[[#This Row],[Tech Start Date]],9),""))))</f>
        <v>40862</v>
      </c>
      <c r="Q64" s="101">
        <v>40724</v>
      </c>
      <c r="R64" s="101">
        <v>40886</v>
      </c>
      <c r="S64" s="99" t="s">
        <v>11</v>
      </c>
      <c r="T64" s="107" t="s">
        <v>3025</v>
      </c>
      <c r="U64" s="99" t="s">
        <v>29</v>
      </c>
      <c r="V64" s="99" t="s">
        <v>1963</v>
      </c>
      <c r="W64" s="99" t="s">
        <v>1970</v>
      </c>
    </row>
    <row r="65" spans="1:23" ht="18.600000000000001" customHeight="1">
      <c r="A65" s="123">
        <f>IF(priority(Main[[#This Row],[Comments]])&lt;&gt;0, priority(Main[[#This Row],[Comments]]),"")</f>
        <v>17</v>
      </c>
      <c r="B65" s="127" t="s">
        <v>2956</v>
      </c>
      <c r="C65" s="99" t="s">
        <v>2801</v>
      </c>
      <c r="D65" s="100" t="s">
        <v>2957</v>
      </c>
      <c r="E65" s="101">
        <v>40843.117893518516</v>
      </c>
      <c r="F65" s="101">
        <v>41000</v>
      </c>
      <c r="G65" s="102">
        <f>IF(stdProdLT(Main[[#This Row],[Comments]])=0.1,"N/A",IF(stdProdLT(Main[[#This Row],[Comments]])=0,"",stdProdLT(Main[[#This Row],[Comments]])))</f>
        <v>126</v>
      </c>
      <c r="H65" s="103">
        <f>IF(AND(Main[[#This Row],[In Stock Date]]&lt;&gt;"",Main[[#This Row],[Revised Due Date]]&lt;&gt;""),Main[[#This Row],[In Stock Date]]-Main[[#This Row],[Revised Due Date]],"")</f>
        <v>108</v>
      </c>
      <c r="I65" s="99" t="s">
        <v>242</v>
      </c>
      <c r="J65" s="99" t="s">
        <v>21</v>
      </c>
      <c r="K65" s="99" t="s">
        <v>1975</v>
      </c>
      <c r="L65" s="101">
        <v>40849</v>
      </c>
      <c r="M65" s="104">
        <f>IF(Main[[#This Row],[Tech Start Date]]&lt;1/1/1990,"",IF(Main[[#This Row],[Class]]="C",WORKDAY(Main[[#This Row],[Tech Start Date]],9),IF(Main[[#This Row],[Class]]="B", WORKDAY(Main[[#This Row],[Tech Start Date]],6),IF(Main[[#This Row],[Class]]="A",WORKDAY(Main[[#This Row],[Tech Start Date]],2),""))))</f>
        <v>40862</v>
      </c>
      <c r="N65" s="104">
        <f>IF(Main[[#This Row],[Tech Start Date]]&lt;1/1/1990,"",IF(Main[[#This Row],[Class]]="C",WORKDAY(Main[[#This Row],[Tech Start Date]],19),IF(Main[[#This Row],[Class]]="B", WORKDAY(Main[[#This Row],[Tech Start Date]],12),IF(Main[[#This Row],[Class]]="A",WORKDAY(Main[[#This Row],[Tech Start Date]],4),""))))</f>
        <v>40876</v>
      </c>
      <c r="O65" s="104">
        <f>IF(Main[[#This Row],[Tech Start Date]]&lt;1/1/1990,"",IF(Main[[#This Row],[Class]]="C",WORKDAY(Main[[#This Row],[Tech Start Date]],23),IF(Main[[#This Row],[Class]]="B", WORKDAY(Main[[#This Row],[Tech Start Date]],15),IF(Main[[#This Row],[Class]]="A",WORKDAY(Main[[#This Row],[Tech Start Date]],5),""))))</f>
        <v>40882</v>
      </c>
      <c r="P65" s="104">
        <f>IF(Main[[#This Row],[Tech Start Date]]&lt;1/1/1990,"",IF(Main[[#This Row],[Class]]="C",WORKDAY(Main[[#This Row],[Tech Start Date]],28),IF(Main[[#This Row],[Class]]="B", WORKDAY(Main[[#This Row],[Tech Start Date]],19),IF(Main[[#This Row],[Class]]="A",WORKDAY(Main[[#This Row],[Tech Start Date]],9),""))))</f>
        <v>40889</v>
      </c>
      <c r="Q65" s="101">
        <v>40880</v>
      </c>
      <c r="R65" s="101">
        <v>40892</v>
      </c>
      <c r="S65" s="99" t="s">
        <v>11</v>
      </c>
      <c r="T65" s="107" t="s">
        <v>2958</v>
      </c>
      <c r="U65" s="99" t="s">
        <v>29</v>
      </c>
      <c r="V65" s="99" t="s">
        <v>1965</v>
      </c>
      <c r="W65" s="99" t="s">
        <v>1970</v>
      </c>
    </row>
    <row r="66" spans="1:23" ht="18.600000000000001" customHeight="1">
      <c r="A66" s="123">
        <f>IF(priority(Main[[#This Row],[Comments]])&lt;&gt;0, priority(Main[[#This Row],[Comments]]),"")</f>
        <v>18</v>
      </c>
      <c r="B66" s="127" t="s">
        <v>1268</v>
      </c>
      <c r="C66" s="99" t="s">
        <v>299</v>
      </c>
      <c r="D66" s="100" t="s">
        <v>2393</v>
      </c>
      <c r="E66" s="101">
        <v>40466.671342592592</v>
      </c>
      <c r="F66" s="101"/>
      <c r="G66" s="102" t="str">
        <f>IF(stdProdLT(Main[[#This Row],[Comments]])=0.1,"N/A",IF(stdProdLT(Main[[#This Row],[Comments]])=0,"",stdProdLT(Main[[#This Row],[Comments]])))</f>
        <v/>
      </c>
      <c r="H66" s="103" t="str">
        <f>IF(AND(Main[[#This Row],[In Stock Date]]&lt;&gt;"",Main[[#This Row],[Revised Due Date]]&lt;&gt;""),Main[[#This Row],[In Stock Date]]-Main[[#This Row],[Revised Due Date]],"")</f>
        <v/>
      </c>
      <c r="I66" s="99" t="s">
        <v>4</v>
      </c>
      <c r="J66" s="99" t="s">
        <v>28</v>
      </c>
      <c r="K66" s="108" t="s">
        <v>4</v>
      </c>
      <c r="L66" s="101"/>
      <c r="M66" s="104" t="str">
        <f>IF(Main[[#This Row],[Tech Start Date]]&lt;1/1/1990,"",IF(Main[[#This Row],[Class]]="C",WORKDAY(Main[[#This Row],[Tech Start Date]],9),IF(Main[[#This Row],[Class]]="B", WORKDAY(Main[[#This Row],[Tech Start Date]],6),IF(Main[[#This Row],[Class]]="A",WORKDAY(Main[[#This Row],[Tech Start Date]],2),""))))</f>
        <v/>
      </c>
      <c r="N66" s="104" t="str">
        <f>IF(Main[[#This Row],[Tech Start Date]]&lt;1/1/1990,"",IF(Main[[#This Row],[Class]]="C",WORKDAY(Main[[#This Row],[Tech Start Date]],19),IF(Main[[#This Row],[Class]]="B", WORKDAY(Main[[#This Row],[Tech Start Date]],12),IF(Main[[#This Row],[Class]]="A",WORKDAY(Main[[#This Row],[Tech Start Date]],4),""))))</f>
        <v/>
      </c>
      <c r="O66" s="104" t="str">
        <f>IF(Main[[#This Row],[Tech Start Date]]&lt;1/1/1990,"",IF(Main[[#This Row],[Class]]="C",WORKDAY(Main[[#This Row],[Tech Start Date]],23),IF(Main[[#This Row],[Class]]="B", WORKDAY(Main[[#This Row],[Tech Start Date]],15),IF(Main[[#This Row],[Class]]="A",WORKDAY(Main[[#This Row],[Tech Start Date]],5),""))))</f>
        <v/>
      </c>
      <c r="P66" s="104" t="str">
        <f>IF(Main[[#This Row],[Tech Start Date]]&lt;1/1/1990,"",IF(Main[[#This Row],[Class]]="C",WORKDAY(Main[[#This Row],[Tech Start Date]],28),IF(Main[[#This Row],[Class]]="B", WORKDAY(Main[[#This Row],[Tech Start Date]],19),IF(Main[[#This Row],[Class]]="A",WORKDAY(Main[[#This Row],[Tech Start Date]],9),""))))</f>
        <v/>
      </c>
      <c r="Q66" s="101"/>
      <c r="R66" s="101"/>
      <c r="S66" s="99" t="s">
        <v>6</v>
      </c>
      <c r="T66" s="107" t="s">
        <v>3018</v>
      </c>
      <c r="U66" s="99" t="s">
        <v>7</v>
      </c>
      <c r="V66" s="99" t="s">
        <v>1962</v>
      </c>
      <c r="W66" s="99" t="s">
        <v>1970</v>
      </c>
    </row>
    <row r="67" spans="1:23" ht="18.600000000000001" customHeight="1">
      <c r="A67" s="123">
        <f>IF(priority(Main[[#This Row],[Comments]])&lt;&gt;0, priority(Main[[#This Row],[Comments]]),"")</f>
        <v>18</v>
      </c>
      <c r="B67" s="127" t="s">
        <v>1929</v>
      </c>
      <c r="C67" s="99" t="s">
        <v>957</v>
      </c>
      <c r="D67" s="100" t="s">
        <v>2883</v>
      </c>
      <c r="E67" s="101">
        <v>40617.624050925922</v>
      </c>
      <c r="F67" s="101">
        <v>40967</v>
      </c>
      <c r="G67" s="102">
        <f>IF(stdProdLT(Main[[#This Row],[Comments]])=0.1,"N/A",IF(stdProdLT(Main[[#This Row],[Comments]])=0,"",stdProdLT(Main[[#This Row],[Comments]])))</f>
        <v>112</v>
      </c>
      <c r="H67" s="103">
        <f>IF(AND(Main[[#This Row],[In Stock Date]]&lt;&gt;"",Main[[#This Row],[Revised Due Date]]&lt;&gt;""),Main[[#This Row],[In Stock Date]]-Main[[#This Row],[Revised Due Date]],"")</f>
        <v>90</v>
      </c>
      <c r="I67" s="99" t="s">
        <v>568</v>
      </c>
      <c r="J67" s="99" t="s">
        <v>28</v>
      </c>
      <c r="K67" s="108" t="s">
        <v>1975</v>
      </c>
      <c r="L67" s="101">
        <v>40666</v>
      </c>
      <c r="M67" s="104">
        <f>IF(Main[[#This Row],[Tech Start Date]]&lt;1/1/1990,"",IF(Main[[#This Row],[Class]]="C",WORKDAY(Main[[#This Row],[Tech Start Date]],9),IF(Main[[#This Row],[Class]]="B", WORKDAY(Main[[#This Row],[Tech Start Date]],6),IF(Main[[#This Row],[Class]]="A",WORKDAY(Main[[#This Row],[Tech Start Date]],2),""))))</f>
        <v>40679</v>
      </c>
      <c r="N67" s="104">
        <f>IF(Main[[#This Row],[Tech Start Date]]&lt;1/1/1990,"",IF(Main[[#This Row],[Class]]="C",WORKDAY(Main[[#This Row],[Tech Start Date]],19),IF(Main[[#This Row],[Class]]="B", WORKDAY(Main[[#This Row],[Tech Start Date]],12),IF(Main[[#This Row],[Class]]="A",WORKDAY(Main[[#This Row],[Tech Start Date]],4),""))))</f>
        <v>40693</v>
      </c>
      <c r="O67" s="104">
        <f>IF(Main[[#This Row],[Tech Start Date]]&lt;1/1/1990,"",IF(Main[[#This Row],[Class]]="C",WORKDAY(Main[[#This Row],[Tech Start Date]],23),IF(Main[[#This Row],[Class]]="B", WORKDAY(Main[[#This Row],[Tech Start Date]],15),IF(Main[[#This Row],[Class]]="A",WORKDAY(Main[[#This Row],[Tech Start Date]],5),""))))</f>
        <v>40697</v>
      </c>
      <c r="P67" s="104">
        <f>IF(Main[[#This Row],[Tech Start Date]]&lt;1/1/1990,"",IF(Main[[#This Row],[Class]]="C",WORKDAY(Main[[#This Row],[Tech Start Date]],28),IF(Main[[#This Row],[Class]]="B", WORKDAY(Main[[#This Row],[Tech Start Date]],19),IF(Main[[#This Row],[Class]]="A",WORKDAY(Main[[#This Row],[Tech Start Date]],9),""))))</f>
        <v>40704</v>
      </c>
      <c r="Q67" s="101">
        <v>40767</v>
      </c>
      <c r="R67" s="101">
        <v>40877</v>
      </c>
      <c r="S67" s="99" t="s">
        <v>11</v>
      </c>
      <c r="T67" s="107" t="s">
        <v>3151</v>
      </c>
      <c r="U67" s="99" t="s">
        <v>540</v>
      </c>
      <c r="V67" s="99" t="s">
        <v>1962</v>
      </c>
      <c r="W67" s="99" t="s">
        <v>1970</v>
      </c>
    </row>
    <row r="68" spans="1:23" ht="18.600000000000001" customHeight="1">
      <c r="A68" s="123">
        <f>IF(priority(Main[[#This Row],[Comments]])&lt;&gt;0, priority(Main[[#This Row],[Comments]]),"")</f>
        <v>18</v>
      </c>
      <c r="B68" s="127" t="s">
        <v>2963</v>
      </c>
      <c r="C68" s="99" t="s">
        <v>2801</v>
      </c>
      <c r="D68" s="100" t="s">
        <v>2964</v>
      </c>
      <c r="E68" s="101">
        <v>40843.101504629631</v>
      </c>
      <c r="F68" s="101">
        <v>41000</v>
      </c>
      <c r="G68" s="102">
        <f>IF(stdProdLT(Main[[#This Row],[Comments]])=0.1,"N/A",IF(stdProdLT(Main[[#This Row],[Comments]])=0,"",stdProdLT(Main[[#This Row],[Comments]])))</f>
        <v>126</v>
      </c>
      <c r="H68" s="103">
        <f>IF(AND(Main[[#This Row],[In Stock Date]]&lt;&gt;"",Main[[#This Row],[Revised Due Date]]&lt;&gt;""),Main[[#This Row],[In Stock Date]]-Main[[#This Row],[Revised Due Date]],"")</f>
        <v>108</v>
      </c>
      <c r="I68" s="99" t="s">
        <v>173</v>
      </c>
      <c r="J68" s="99" t="s">
        <v>70</v>
      </c>
      <c r="K68" s="99" t="s">
        <v>1975</v>
      </c>
      <c r="L68" s="101">
        <v>40849</v>
      </c>
      <c r="M68" s="104">
        <f>IF(Main[[#This Row],[Tech Start Date]]&lt;1/1/1990,"",IF(Main[[#This Row],[Class]]="C",WORKDAY(Main[[#This Row],[Tech Start Date]],9),IF(Main[[#This Row],[Class]]="B", WORKDAY(Main[[#This Row],[Tech Start Date]],6),IF(Main[[#This Row],[Class]]="A",WORKDAY(Main[[#This Row],[Tech Start Date]],2),""))))</f>
        <v>40862</v>
      </c>
      <c r="N68" s="104">
        <f>IF(Main[[#This Row],[Tech Start Date]]&lt;1/1/1990,"",IF(Main[[#This Row],[Class]]="C",WORKDAY(Main[[#This Row],[Tech Start Date]],19),IF(Main[[#This Row],[Class]]="B", WORKDAY(Main[[#This Row],[Tech Start Date]],12),IF(Main[[#This Row],[Class]]="A",WORKDAY(Main[[#This Row],[Tech Start Date]],4),""))))</f>
        <v>40876</v>
      </c>
      <c r="O68" s="104">
        <f>IF(Main[[#This Row],[Tech Start Date]]&lt;1/1/1990,"",IF(Main[[#This Row],[Class]]="C",WORKDAY(Main[[#This Row],[Tech Start Date]],23),IF(Main[[#This Row],[Class]]="B", WORKDAY(Main[[#This Row],[Tech Start Date]],15),IF(Main[[#This Row],[Class]]="A",WORKDAY(Main[[#This Row],[Tech Start Date]],5),""))))</f>
        <v>40882</v>
      </c>
      <c r="P68" s="104">
        <f>IF(Main[[#This Row],[Tech Start Date]]&lt;1/1/1990,"",IF(Main[[#This Row],[Class]]="C",WORKDAY(Main[[#This Row],[Tech Start Date]],28),IF(Main[[#This Row],[Class]]="B", WORKDAY(Main[[#This Row],[Tech Start Date]],19),IF(Main[[#This Row],[Class]]="A",WORKDAY(Main[[#This Row],[Tech Start Date]],9),""))))</f>
        <v>40889</v>
      </c>
      <c r="Q68" s="101">
        <v>40881</v>
      </c>
      <c r="R68" s="101">
        <v>40892</v>
      </c>
      <c r="S68" s="99" t="s">
        <v>11</v>
      </c>
      <c r="T68" s="107" t="s">
        <v>2965</v>
      </c>
      <c r="U68" s="99" t="s">
        <v>29</v>
      </c>
      <c r="V68" s="99" t="s">
        <v>1965</v>
      </c>
      <c r="W68" s="99" t="s">
        <v>1970</v>
      </c>
    </row>
    <row r="69" spans="1:23" ht="18.600000000000001" customHeight="1">
      <c r="A69" s="123">
        <f>IF(priority(Main[[#This Row],[Comments]])&lt;&gt;0, priority(Main[[#This Row],[Comments]]),"")</f>
        <v>19</v>
      </c>
      <c r="B69" s="127" t="s">
        <v>1620</v>
      </c>
      <c r="C69" s="99" t="s">
        <v>122</v>
      </c>
      <c r="D69" s="100" t="s">
        <v>670</v>
      </c>
      <c r="E69" s="101"/>
      <c r="F69" s="101">
        <v>40704</v>
      </c>
      <c r="G69" s="102" t="str">
        <f>IF(stdProdLT(Main[[#This Row],[Comments]])=0.1,"N/A",IF(stdProdLT(Main[[#This Row],[Comments]])=0,"",stdProdLT(Main[[#This Row],[Comments]])))</f>
        <v/>
      </c>
      <c r="H69" s="103" t="str">
        <f>IF(AND(Main[[#This Row],[In Stock Date]]&lt;&gt;"",Main[[#This Row],[Revised Due Date]]&lt;&gt;""),Main[[#This Row],[In Stock Date]]-Main[[#This Row],[Revised Due Date]],"")</f>
        <v/>
      </c>
      <c r="I69" s="99" t="s">
        <v>4</v>
      </c>
      <c r="J69" s="99" t="s">
        <v>28</v>
      </c>
      <c r="K69" s="99" t="s">
        <v>1971</v>
      </c>
      <c r="L69" s="101"/>
      <c r="M69" s="104" t="str">
        <f>IF(Main[[#This Row],[Tech Start Date]]&lt;1/1/1990,"",IF(Main[[#This Row],[Class]]="C",WORKDAY(Main[[#This Row],[Tech Start Date]],9),IF(Main[[#This Row],[Class]]="B", WORKDAY(Main[[#This Row],[Tech Start Date]],6),IF(Main[[#This Row],[Class]]="A",WORKDAY(Main[[#This Row],[Tech Start Date]],2),""))))</f>
        <v/>
      </c>
      <c r="N69" s="104" t="str">
        <f>IF(Main[[#This Row],[Tech Start Date]]&lt;1/1/1990,"",IF(Main[[#This Row],[Class]]="C",WORKDAY(Main[[#This Row],[Tech Start Date]],19),IF(Main[[#This Row],[Class]]="B", WORKDAY(Main[[#This Row],[Tech Start Date]],12),IF(Main[[#This Row],[Class]]="A",WORKDAY(Main[[#This Row],[Tech Start Date]],4),""))))</f>
        <v/>
      </c>
      <c r="O69" s="104" t="str">
        <f>IF(Main[[#This Row],[Tech Start Date]]&lt;1/1/1990,"",IF(Main[[#This Row],[Class]]="C",WORKDAY(Main[[#This Row],[Tech Start Date]],23),IF(Main[[#This Row],[Class]]="B", WORKDAY(Main[[#This Row],[Tech Start Date]],15),IF(Main[[#This Row],[Class]]="A",WORKDAY(Main[[#This Row],[Tech Start Date]],5),""))))</f>
        <v/>
      </c>
      <c r="P69" s="104" t="str">
        <f>IF(Main[[#This Row],[Tech Start Date]]&lt;1/1/1990,"",IF(Main[[#This Row],[Class]]="C",WORKDAY(Main[[#This Row],[Tech Start Date]],28),IF(Main[[#This Row],[Class]]="B", WORKDAY(Main[[#This Row],[Tech Start Date]],19),IF(Main[[#This Row],[Class]]="A",WORKDAY(Main[[#This Row],[Tech Start Date]],9),""))))</f>
        <v/>
      </c>
      <c r="Q69" s="101">
        <v>40704</v>
      </c>
      <c r="R69" s="101"/>
      <c r="S69" s="99" t="s">
        <v>11</v>
      </c>
      <c r="T69" s="107" t="s">
        <v>2030</v>
      </c>
      <c r="U69" s="99" t="s">
        <v>14</v>
      </c>
      <c r="V69" s="99" t="s">
        <v>1962</v>
      </c>
      <c r="W69" s="99" t="s">
        <v>1964</v>
      </c>
    </row>
    <row r="70" spans="1:23" ht="18.600000000000001" customHeight="1">
      <c r="A70" s="123">
        <f>IF(priority(Main[[#This Row],[Comments]])&lt;&gt;0, priority(Main[[#This Row],[Comments]]),"")</f>
        <v>19</v>
      </c>
      <c r="B70" s="127" t="s">
        <v>2800</v>
      </c>
      <c r="C70" s="99" t="s">
        <v>2801</v>
      </c>
      <c r="D70" s="100" t="s">
        <v>2802</v>
      </c>
      <c r="E70" s="101">
        <v>40857.997499999998</v>
      </c>
      <c r="F70" s="101">
        <v>40998</v>
      </c>
      <c r="G70" s="102">
        <f>IF(stdProdLT(Main[[#This Row],[Comments]])=0.1,"N/A",IF(stdProdLT(Main[[#This Row],[Comments]])=0,"",stdProdLT(Main[[#This Row],[Comments]])))</f>
        <v>98</v>
      </c>
      <c r="H70" s="103" t="str">
        <f>IF(AND(Main[[#This Row],[In Stock Date]]&lt;&gt;"",Main[[#This Row],[Revised Due Date]]&lt;&gt;""),Main[[#This Row],[In Stock Date]]-Main[[#This Row],[Revised Due Date]],"")</f>
        <v/>
      </c>
      <c r="I70" s="99" t="s">
        <v>4</v>
      </c>
      <c r="J70" s="99" t="s">
        <v>4</v>
      </c>
      <c r="K70" s="108" t="s">
        <v>4</v>
      </c>
      <c r="L70" s="101"/>
      <c r="M70" s="104" t="str">
        <f>IF(Main[[#This Row],[Tech Start Date]]&lt;1/1/1990,"",IF(Main[[#This Row],[Class]]="C",WORKDAY(Main[[#This Row],[Tech Start Date]],9),IF(Main[[#This Row],[Class]]="B", WORKDAY(Main[[#This Row],[Tech Start Date]],6),IF(Main[[#This Row],[Class]]="A",WORKDAY(Main[[#This Row],[Tech Start Date]],2),""))))</f>
        <v/>
      </c>
      <c r="N70" s="104" t="str">
        <f>IF(Main[[#This Row],[Tech Start Date]]&lt;1/1/1990,"",IF(Main[[#This Row],[Class]]="C",WORKDAY(Main[[#This Row],[Tech Start Date]],19),IF(Main[[#This Row],[Class]]="B", WORKDAY(Main[[#This Row],[Tech Start Date]],12),IF(Main[[#This Row],[Class]]="A",WORKDAY(Main[[#This Row],[Tech Start Date]],4),""))))</f>
        <v/>
      </c>
      <c r="O70" s="104" t="str">
        <f>IF(Main[[#This Row],[Tech Start Date]]&lt;1/1/1990,"",IF(Main[[#This Row],[Class]]="C",WORKDAY(Main[[#This Row],[Tech Start Date]],23),IF(Main[[#This Row],[Class]]="B", WORKDAY(Main[[#This Row],[Tech Start Date]],15),IF(Main[[#This Row],[Class]]="A",WORKDAY(Main[[#This Row],[Tech Start Date]],5),""))))</f>
        <v/>
      </c>
      <c r="P70" s="104" t="str">
        <f>IF(Main[[#This Row],[Tech Start Date]]&lt;1/1/1990,"",IF(Main[[#This Row],[Class]]="C",WORKDAY(Main[[#This Row],[Tech Start Date]],28),IF(Main[[#This Row],[Class]]="B", WORKDAY(Main[[#This Row],[Tech Start Date]],19),IF(Main[[#This Row],[Class]]="A",WORKDAY(Main[[#This Row],[Tech Start Date]],9),""))))</f>
        <v/>
      </c>
      <c r="Q70" s="101">
        <v>40879</v>
      </c>
      <c r="R70" s="101"/>
      <c r="S70" s="99" t="s">
        <v>11</v>
      </c>
      <c r="T70" s="107" t="s">
        <v>2803</v>
      </c>
      <c r="U70" s="99" t="s">
        <v>7</v>
      </c>
      <c r="V70" s="99" t="s">
        <v>1972</v>
      </c>
      <c r="W70" s="99" t="s">
        <v>1970</v>
      </c>
    </row>
    <row r="71" spans="1:23" ht="18.600000000000001" customHeight="1">
      <c r="A71" s="123">
        <f>IF(priority(Main[[#This Row],[Comments]])&lt;&gt;0, priority(Main[[#This Row],[Comments]]),"")</f>
        <v>19</v>
      </c>
      <c r="B71" s="127" t="s">
        <v>2046</v>
      </c>
      <c r="C71" s="99" t="s">
        <v>53</v>
      </c>
      <c r="D71" s="100" t="s">
        <v>2888</v>
      </c>
      <c r="E71" s="101">
        <v>40735.69803240741</v>
      </c>
      <c r="F71" s="101">
        <v>40836</v>
      </c>
      <c r="G71" s="102" t="str">
        <f>IF(stdProdLT(Main[[#This Row],[Comments]])=0.1,"N/A",IF(stdProdLT(Main[[#This Row],[Comments]])=0,"",stdProdLT(Main[[#This Row],[Comments]])))</f>
        <v>N/A</v>
      </c>
      <c r="H71" s="103">
        <f>IF(AND(Main[[#This Row],[In Stock Date]]&lt;&gt;"",Main[[#This Row],[Revised Due Date]]&lt;&gt;""),Main[[#This Row],[In Stock Date]]-Main[[#This Row],[Revised Due Date]],"")</f>
        <v>-71</v>
      </c>
      <c r="I71" s="99" t="s">
        <v>959</v>
      </c>
      <c r="J71" s="99" t="s">
        <v>28</v>
      </c>
      <c r="K71" s="99" t="s">
        <v>1969</v>
      </c>
      <c r="L71" s="101">
        <v>40756</v>
      </c>
      <c r="M71" s="104">
        <f>IF(Main[[#This Row],[Tech Start Date]]&lt;1/1/1990,"",IF(Main[[#This Row],[Class]]="C",WORKDAY(Main[[#This Row],[Tech Start Date]],9),IF(Main[[#This Row],[Class]]="B", WORKDAY(Main[[#This Row],[Tech Start Date]],6),IF(Main[[#This Row],[Class]]="A",WORKDAY(Main[[#This Row],[Tech Start Date]],2),""))))</f>
        <v>40764</v>
      </c>
      <c r="N71" s="104">
        <f>IF(Main[[#This Row],[Tech Start Date]]&lt;1/1/1990,"",IF(Main[[#This Row],[Class]]="C",WORKDAY(Main[[#This Row],[Tech Start Date]],19),IF(Main[[#This Row],[Class]]="B", WORKDAY(Main[[#This Row],[Tech Start Date]],12),IF(Main[[#This Row],[Class]]="A",WORKDAY(Main[[#This Row],[Tech Start Date]],4),""))))</f>
        <v>40772</v>
      </c>
      <c r="O71" s="104">
        <f>IF(Main[[#This Row],[Tech Start Date]]&lt;1/1/1990,"",IF(Main[[#This Row],[Class]]="C",WORKDAY(Main[[#This Row],[Tech Start Date]],23),IF(Main[[#This Row],[Class]]="B", WORKDAY(Main[[#This Row],[Tech Start Date]],15),IF(Main[[#This Row],[Class]]="A",WORKDAY(Main[[#This Row],[Tech Start Date]],5),""))))</f>
        <v>40777</v>
      </c>
      <c r="P71" s="104">
        <f>IF(Main[[#This Row],[Tech Start Date]]&lt;1/1/1990,"",IF(Main[[#This Row],[Class]]="C",WORKDAY(Main[[#This Row],[Tech Start Date]],28),IF(Main[[#This Row],[Class]]="B", WORKDAY(Main[[#This Row],[Tech Start Date]],19),IF(Main[[#This Row],[Class]]="A",WORKDAY(Main[[#This Row],[Tech Start Date]],9),""))))</f>
        <v>40781</v>
      </c>
      <c r="Q71" s="101"/>
      <c r="R71" s="101">
        <v>40907</v>
      </c>
      <c r="S71" s="99" t="s">
        <v>11</v>
      </c>
      <c r="T71" s="107" t="s">
        <v>3024</v>
      </c>
      <c r="U71" s="99" t="s">
        <v>7</v>
      </c>
      <c r="V71" s="99" t="s">
        <v>1963</v>
      </c>
      <c r="W71" s="99" t="s">
        <v>1964</v>
      </c>
    </row>
    <row r="72" spans="1:23" ht="18.600000000000001" customHeight="1">
      <c r="A72" s="123">
        <f>IF(priority(Main[[#This Row],[Comments]])&lt;&gt;0, priority(Main[[#This Row],[Comments]]),"")</f>
        <v>19</v>
      </c>
      <c r="B72" s="127" t="s">
        <v>2348</v>
      </c>
      <c r="C72" s="99" t="s">
        <v>95</v>
      </c>
      <c r="D72" s="100" t="s">
        <v>2903</v>
      </c>
      <c r="E72" s="101">
        <v>40823.58494212963</v>
      </c>
      <c r="F72" s="101">
        <v>41030</v>
      </c>
      <c r="G72" s="102">
        <f>IF(stdProdLT(Main[[#This Row],[Comments]])=0.1,"N/A",IF(stdProdLT(Main[[#This Row],[Comments]])=0,"",stdProdLT(Main[[#This Row],[Comments]])))</f>
        <v>98</v>
      </c>
      <c r="H72" s="103">
        <f>IF(AND(Main[[#This Row],[In Stock Date]]&lt;&gt;"",Main[[#This Row],[Revised Due Date]]&lt;&gt;""),Main[[#This Row],[In Stock Date]]-Main[[#This Row],[Revised Due Date]],"")</f>
        <v>130</v>
      </c>
      <c r="I72" s="99" t="s">
        <v>929</v>
      </c>
      <c r="J72" s="99" t="s">
        <v>52</v>
      </c>
      <c r="K72" s="99" t="s">
        <v>1969</v>
      </c>
      <c r="L72" s="101">
        <v>40820</v>
      </c>
      <c r="M72" s="104">
        <f>IF(Main[[#This Row],[Tech Start Date]]&lt;1/1/1990,"",IF(Main[[#This Row],[Class]]="C",WORKDAY(Main[[#This Row],[Tech Start Date]],9),IF(Main[[#This Row],[Class]]="B", WORKDAY(Main[[#This Row],[Tech Start Date]],6),IF(Main[[#This Row],[Class]]="A",WORKDAY(Main[[#This Row],[Tech Start Date]],2),""))))</f>
        <v>40828</v>
      </c>
      <c r="N72" s="104">
        <f>IF(Main[[#This Row],[Tech Start Date]]&lt;1/1/1990,"",IF(Main[[#This Row],[Class]]="C",WORKDAY(Main[[#This Row],[Tech Start Date]],19),IF(Main[[#This Row],[Class]]="B", WORKDAY(Main[[#This Row],[Tech Start Date]],12),IF(Main[[#This Row],[Class]]="A",WORKDAY(Main[[#This Row],[Tech Start Date]],4),""))))</f>
        <v>40836</v>
      </c>
      <c r="O72" s="104">
        <f>IF(Main[[#This Row],[Tech Start Date]]&lt;1/1/1990,"",IF(Main[[#This Row],[Class]]="C",WORKDAY(Main[[#This Row],[Tech Start Date]],23),IF(Main[[#This Row],[Class]]="B", WORKDAY(Main[[#This Row],[Tech Start Date]],15),IF(Main[[#This Row],[Class]]="A",WORKDAY(Main[[#This Row],[Tech Start Date]],5),""))))</f>
        <v>40841</v>
      </c>
      <c r="P72" s="104">
        <f>IF(Main[[#This Row],[Tech Start Date]]&lt;1/1/1990,"",IF(Main[[#This Row],[Class]]="C",WORKDAY(Main[[#This Row],[Tech Start Date]],28),IF(Main[[#This Row],[Class]]="B", WORKDAY(Main[[#This Row],[Tech Start Date]],19),IF(Main[[#This Row],[Class]]="A",WORKDAY(Main[[#This Row],[Tech Start Date]],9),""))))</f>
        <v>40847</v>
      </c>
      <c r="Q72" s="101"/>
      <c r="R72" s="101">
        <v>40900</v>
      </c>
      <c r="S72" s="99" t="s">
        <v>11</v>
      </c>
      <c r="T72" s="107" t="s">
        <v>3152</v>
      </c>
      <c r="U72" s="99" t="s">
        <v>29</v>
      </c>
      <c r="V72" s="99" t="s">
        <v>1962</v>
      </c>
      <c r="W72" s="99" t="s">
        <v>1968</v>
      </c>
    </row>
    <row r="73" spans="1:23" ht="18.600000000000001" customHeight="1">
      <c r="A73" s="123">
        <f>IF(priority(Main[[#This Row],[Comments]])&lt;&gt;0, priority(Main[[#This Row],[Comments]]),"")</f>
        <v>20</v>
      </c>
      <c r="B73" s="127" t="s">
        <v>1949</v>
      </c>
      <c r="C73" s="99" t="s">
        <v>975</v>
      </c>
      <c r="D73" s="100" t="s">
        <v>2090</v>
      </c>
      <c r="E73" s="101"/>
      <c r="F73" s="101"/>
      <c r="G73" s="102">
        <f>IF(stdProdLT(Main[[#This Row],[Comments]])=0.1,"N/A",IF(stdProdLT(Main[[#This Row],[Comments]])=0,"",stdProdLT(Main[[#This Row],[Comments]])))</f>
        <v>112</v>
      </c>
      <c r="H73" s="103" t="str">
        <f>IF(AND(Main[[#This Row],[In Stock Date]]&lt;&gt;"",Main[[#This Row],[Revised Due Date]]&lt;&gt;""),Main[[#This Row],[In Stock Date]]-Main[[#This Row],[Revised Due Date]],"")</f>
        <v/>
      </c>
      <c r="I73" s="99" t="s">
        <v>50</v>
      </c>
      <c r="J73" s="99" t="s">
        <v>52</v>
      </c>
      <c r="K73" s="99" t="s">
        <v>1975</v>
      </c>
      <c r="L73" s="101"/>
      <c r="M73" s="104" t="str">
        <f>IF(Main[[#This Row],[Tech Start Date]]&lt;1/1/1990,"",IF(Main[[#This Row],[Class]]="C",WORKDAY(Main[[#This Row],[Tech Start Date]],9),IF(Main[[#This Row],[Class]]="B", WORKDAY(Main[[#This Row],[Tech Start Date]],6),IF(Main[[#This Row],[Class]]="A",WORKDAY(Main[[#This Row],[Tech Start Date]],2),""))))</f>
        <v/>
      </c>
      <c r="N73" s="104" t="str">
        <f>IF(Main[[#This Row],[Tech Start Date]]&lt;1/1/1990,"",IF(Main[[#This Row],[Class]]="C",WORKDAY(Main[[#This Row],[Tech Start Date]],19),IF(Main[[#This Row],[Class]]="B", WORKDAY(Main[[#This Row],[Tech Start Date]],12),IF(Main[[#This Row],[Class]]="A",WORKDAY(Main[[#This Row],[Tech Start Date]],4),""))))</f>
        <v/>
      </c>
      <c r="O73" s="104" t="str">
        <f>IF(Main[[#This Row],[Tech Start Date]]&lt;1/1/1990,"",IF(Main[[#This Row],[Class]]="C",WORKDAY(Main[[#This Row],[Tech Start Date]],23),IF(Main[[#This Row],[Class]]="B", WORKDAY(Main[[#This Row],[Tech Start Date]],15),IF(Main[[#This Row],[Class]]="A",WORKDAY(Main[[#This Row],[Tech Start Date]],5),""))))</f>
        <v/>
      </c>
      <c r="P73" s="104" t="str">
        <f>IF(Main[[#This Row],[Tech Start Date]]&lt;1/1/1990,"",IF(Main[[#This Row],[Class]]="C",WORKDAY(Main[[#This Row],[Tech Start Date]],28),IF(Main[[#This Row],[Class]]="B", WORKDAY(Main[[#This Row],[Tech Start Date]],19),IF(Main[[#This Row],[Class]]="A",WORKDAY(Main[[#This Row],[Tech Start Date]],9),""))))</f>
        <v/>
      </c>
      <c r="Q73" s="101">
        <v>40598</v>
      </c>
      <c r="R73" s="101">
        <v>40786</v>
      </c>
      <c r="S73" s="99" t="s">
        <v>11</v>
      </c>
      <c r="T73" s="107" t="s">
        <v>2186</v>
      </c>
      <c r="U73" s="99" t="s">
        <v>14</v>
      </c>
      <c r="V73" s="99" t="s">
        <v>1963</v>
      </c>
      <c r="W73" s="99" t="s">
        <v>1964</v>
      </c>
    </row>
    <row r="74" spans="1:23" ht="18.600000000000001" customHeight="1">
      <c r="A74" s="123">
        <f>IF(priority(Main[[#This Row],[Comments]])&lt;&gt;0, priority(Main[[#This Row],[Comments]]),"")</f>
        <v>20</v>
      </c>
      <c r="B74" s="127" t="s">
        <v>2003</v>
      </c>
      <c r="C74" s="99" t="s">
        <v>4</v>
      </c>
      <c r="D74" s="100" t="s">
        <v>2344</v>
      </c>
      <c r="E74" s="101">
        <v>40722.471516203703</v>
      </c>
      <c r="F74" s="101"/>
      <c r="G74" s="102" t="str">
        <f>IF(stdProdLT(Main[[#This Row],[Comments]])=0.1,"N/A",IF(stdProdLT(Main[[#This Row],[Comments]])=0,"",stdProdLT(Main[[#This Row],[Comments]])))</f>
        <v>N/A</v>
      </c>
      <c r="H74" s="103" t="str">
        <f>IF(AND(Main[[#This Row],[In Stock Date]]&lt;&gt;"",Main[[#This Row],[Revised Due Date]]&lt;&gt;""),Main[[#This Row],[In Stock Date]]-Main[[#This Row],[Revised Due Date]],"")</f>
        <v/>
      </c>
      <c r="I74" s="99" t="s">
        <v>929</v>
      </c>
      <c r="J74" s="99" t="s">
        <v>21</v>
      </c>
      <c r="K74" s="108" t="s">
        <v>1971</v>
      </c>
      <c r="L74" s="101"/>
      <c r="M74" s="104" t="str">
        <f>IF(Main[[#This Row],[Tech Start Date]]&lt;1/1/1990,"",IF(Main[[#This Row],[Class]]="C",WORKDAY(Main[[#This Row],[Tech Start Date]],9),IF(Main[[#This Row],[Class]]="B", WORKDAY(Main[[#This Row],[Tech Start Date]],6),IF(Main[[#This Row],[Class]]="A",WORKDAY(Main[[#This Row],[Tech Start Date]],2),""))))</f>
        <v/>
      </c>
      <c r="N74" s="104" t="str">
        <f>IF(Main[[#This Row],[Tech Start Date]]&lt;1/1/1990,"",IF(Main[[#This Row],[Class]]="C",WORKDAY(Main[[#This Row],[Tech Start Date]],19),IF(Main[[#This Row],[Class]]="B", WORKDAY(Main[[#This Row],[Tech Start Date]],12),IF(Main[[#This Row],[Class]]="A",WORKDAY(Main[[#This Row],[Tech Start Date]],4),""))))</f>
        <v/>
      </c>
      <c r="O74" s="104" t="str">
        <f>IF(Main[[#This Row],[Tech Start Date]]&lt;1/1/1990,"",IF(Main[[#This Row],[Class]]="C",WORKDAY(Main[[#This Row],[Tech Start Date]],23),IF(Main[[#This Row],[Class]]="B", WORKDAY(Main[[#This Row],[Tech Start Date]],15),IF(Main[[#This Row],[Class]]="A",WORKDAY(Main[[#This Row],[Tech Start Date]],5),""))))</f>
        <v/>
      </c>
      <c r="P74" s="104" t="str">
        <f>IF(Main[[#This Row],[Tech Start Date]]&lt;1/1/1990,"",IF(Main[[#This Row],[Class]]="C",WORKDAY(Main[[#This Row],[Tech Start Date]],28),IF(Main[[#This Row],[Class]]="B", WORKDAY(Main[[#This Row],[Tech Start Date]],19),IF(Main[[#This Row],[Class]]="A",WORKDAY(Main[[#This Row],[Tech Start Date]],9),""))))</f>
        <v/>
      </c>
      <c r="Q74" s="101">
        <v>40753</v>
      </c>
      <c r="R74" s="101">
        <v>40756</v>
      </c>
      <c r="S74" s="99" t="s">
        <v>6</v>
      </c>
      <c r="T74" s="107" t="s">
        <v>3017</v>
      </c>
      <c r="U74" s="99" t="s">
        <v>29</v>
      </c>
      <c r="V74" s="99" t="s">
        <v>1962</v>
      </c>
      <c r="W74" s="99" t="s">
        <v>1966</v>
      </c>
    </row>
    <row r="75" spans="1:23" ht="18.600000000000001" customHeight="1">
      <c r="A75" s="123">
        <f>IF(priority(Main[[#This Row],[Comments]])&lt;&gt;0, priority(Main[[#This Row],[Comments]]),"")</f>
        <v>20</v>
      </c>
      <c r="B75" s="127" t="s">
        <v>2983</v>
      </c>
      <c r="C75" s="99" t="s">
        <v>53</v>
      </c>
      <c r="D75" s="100" t="s">
        <v>2984</v>
      </c>
      <c r="E75" s="101"/>
      <c r="F75" s="101"/>
      <c r="G75" s="102" t="str">
        <f>IF(stdProdLT(Main[[#This Row],[Comments]])=0.1,"N/A",IF(stdProdLT(Main[[#This Row],[Comments]])=0,"",stdProdLT(Main[[#This Row],[Comments]])))</f>
        <v>N/A</v>
      </c>
      <c r="H75" s="103" t="str">
        <f>IF(AND(Main[[#This Row],[In Stock Date]]&lt;&gt;"",Main[[#This Row],[Revised Due Date]]&lt;&gt;""),Main[[#This Row],[In Stock Date]]-Main[[#This Row],[Revised Due Date]],"")</f>
        <v/>
      </c>
      <c r="I75" s="99" t="s">
        <v>959</v>
      </c>
      <c r="J75" s="99" t="s">
        <v>28</v>
      </c>
      <c r="K75" s="108" t="s">
        <v>1969</v>
      </c>
      <c r="L75" s="101">
        <v>40854</v>
      </c>
      <c r="M75" s="104">
        <f>IF(Main[[#This Row],[Tech Start Date]]&lt;1/1/1990,"",IF(Main[[#This Row],[Class]]="C",WORKDAY(Main[[#This Row],[Tech Start Date]],9),IF(Main[[#This Row],[Class]]="B", WORKDAY(Main[[#This Row],[Tech Start Date]],6),IF(Main[[#This Row],[Class]]="A",WORKDAY(Main[[#This Row],[Tech Start Date]],2),""))))</f>
        <v>40862</v>
      </c>
      <c r="N75" s="104">
        <f>IF(Main[[#This Row],[Tech Start Date]]&lt;1/1/1990,"",IF(Main[[#This Row],[Class]]="C",WORKDAY(Main[[#This Row],[Tech Start Date]],19),IF(Main[[#This Row],[Class]]="B", WORKDAY(Main[[#This Row],[Tech Start Date]],12),IF(Main[[#This Row],[Class]]="A",WORKDAY(Main[[#This Row],[Tech Start Date]],4),""))))</f>
        <v>40870</v>
      </c>
      <c r="O75" s="104">
        <f>IF(Main[[#This Row],[Tech Start Date]]&lt;1/1/1990,"",IF(Main[[#This Row],[Class]]="C",WORKDAY(Main[[#This Row],[Tech Start Date]],23),IF(Main[[#This Row],[Class]]="B", WORKDAY(Main[[#This Row],[Tech Start Date]],15),IF(Main[[#This Row],[Class]]="A",WORKDAY(Main[[#This Row],[Tech Start Date]],5),""))))</f>
        <v>40875</v>
      </c>
      <c r="P75" s="104">
        <f>IF(Main[[#This Row],[Tech Start Date]]&lt;1/1/1990,"",IF(Main[[#This Row],[Class]]="C",WORKDAY(Main[[#This Row],[Tech Start Date]],28),IF(Main[[#This Row],[Class]]="B", WORKDAY(Main[[#This Row],[Tech Start Date]],19),IF(Main[[#This Row],[Class]]="A",WORKDAY(Main[[#This Row],[Tech Start Date]],9),""))))</f>
        <v>40879</v>
      </c>
      <c r="Q75" s="101">
        <v>40883</v>
      </c>
      <c r="R75" s="101">
        <v>40877</v>
      </c>
      <c r="S75" s="99" t="s">
        <v>11</v>
      </c>
      <c r="T75" s="107" t="s">
        <v>2985</v>
      </c>
      <c r="U75" s="99" t="s">
        <v>14</v>
      </c>
      <c r="V75" s="99" t="s">
        <v>1963</v>
      </c>
      <c r="W75" s="99" t="s">
        <v>1964</v>
      </c>
    </row>
    <row r="76" spans="1:23" ht="18.600000000000001" customHeight="1">
      <c r="A76" s="123">
        <f>IF(priority(Main[[#This Row],[Comments]])&lt;&gt;0, priority(Main[[#This Row],[Comments]]),"")</f>
        <v>20</v>
      </c>
      <c r="B76" s="127" t="s">
        <v>2790</v>
      </c>
      <c r="C76" s="99" t="s">
        <v>2457</v>
      </c>
      <c r="D76" s="100" t="s">
        <v>2458</v>
      </c>
      <c r="E76" s="101">
        <v>40850.148009259261</v>
      </c>
      <c r="F76" s="101">
        <v>41008</v>
      </c>
      <c r="G76" s="102">
        <f>IF(stdProdLT(Main[[#This Row],[Comments]])=0.1,"N/A",IF(stdProdLT(Main[[#This Row],[Comments]])=0,"",stdProdLT(Main[[#This Row],[Comments]])))</f>
        <v>168</v>
      </c>
      <c r="H76" s="103">
        <f>IF(AND(Main[[#This Row],[In Stock Date]]&lt;&gt;"",Main[[#This Row],[Revised Due Date]]&lt;&gt;""),Main[[#This Row],[In Stock Date]]-Main[[#This Row],[Revised Due Date]],"")</f>
        <v>101</v>
      </c>
      <c r="I76" s="99" t="s">
        <v>44</v>
      </c>
      <c r="J76" s="99" t="s">
        <v>28</v>
      </c>
      <c r="K76" s="99" t="s">
        <v>1969</v>
      </c>
      <c r="L76" s="101">
        <v>40878</v>
      </c>
      <c r="M76" s="104">
        <f>IF(Main[[#This Row],[Tech Start Date]]&lt;1/1/1990,"",IF(Main[[#This Row],[Class]]="C",WORKDAY(Main[[#This Row],[Tech Start Date]],9),IF(Main[[#This Row],[Class]]="B", WORKDAY(Main[[#This Row],[Tech Start Date]],6),IF(Main[[#This Row],[Class]]="A",WORKDAY(Main[[#This Row],[Tech Start Date]],2),""))))</f>
        <v>40886</v>
      </c>
      <c r="N76" s="104">
        <f>IF(Main[[#This Row],[Tech Start Date]]&lt;1/1/1990,"",IF(Main[[#This Row],[Class]]="C",WORKDAY(Main[[#This Row],[Tech Start Date]],19),IF(Main[[#This Row],[Class]]="B", WORKDAY(Main[[#This Row],[Tech Start Date]],12),IF(Main[[#This Row],[Class]]="A",WORKDAY(Main[[#This Row],[Tech Start Date]],4),""))))</f>
        <v>40896</v>
      </c>
      <c r="O76" s="104">
        <f>IF(Main[[#This Row],[Tech Start Date]]&lt;1/1/1990,"",IF(Main[[#This Row],[Class]]="C",WORKDAY(Main[[#This Row],[Tech Start Date]],23),IF(Main[[#This Row],[Class]]="B", WORKDAY(Main[[#This Row],[Tech Start Date]],15),IF(Main[[#This Row],[Class]]="A",WORKDAY(Main[[#This Row],[Tech Start Date]],5),""))))</f>
        <v>40899</v>
      </c>
      <c r="P76" s="104">
        <f>IF(Main[[#This Row],[Tech Start Date]]&lt;1/1/1990,"",IF(Main[[#This Row],[Class]]="C",WORKDAY(Main[[#This Row],[Tech Start Date]],28),IF(Main[[#This Row],[Class]]="B", WORKDAY(Main[[#This Row],[Tech Start Date]],19),IF(Main[[#This Row],[Class]]="A",WORKDAY(Main[[#This Row],[Tech Start Date]],9),""))))</f>
        <v>40905</v>
      </c>
      <c r="Q76" s="101"/>
      <c r="R76" s="101">
        <v>40907</v>
      </c>
      <c r="S76" s="99" t="s">
        <v>11</v>
      </c>
      <c r="T76" s="107" t="s">
        <v>2791</v>
      </c>
      <c r="U76" s="99" t="s">
        <v>29</v>
      </c>
      <c r="V76" s="99" t="s">
        <v>1965</v>
      </c>
      <c r="W76" s="99" t="s">
        <v>1970</v>
      </c>
    </row>
    <row r="77" spans="1:23" ht="18.600000000000001" customHeight="1">
      <c r="A77" s="123">
        <f>IF(priority(Main[[#This Row],[Comments]])&lt;&gt;0, priority(Main[[#This Row],[Comments]]),"")</f>
        <v>20</v>
      </c>
      <c r="B77" s="127" t="s">
        <v>2821</v>
      </c>
      <c r="C77" s="99" t="s">
        <v>3087</v>
      </c>
      <c r="D77" s="100" t="s">
        <v>2822</v>
      </c>
      <c r="E77" s="101">
        <v>40848.383587962962</v>
      </c>
      <c r="F77" s="101">
        <v>40995</v>
      </c>
      <c r="G77" s="102">
        <f>IF(stdProdLT(Main[[#This Row],[Comments]])=0.1,"N/A",IF(stdProdLT(Main[[#This Row],[Comments]])=0,"",stdProdLT(Main[[#This Row],[Comments]])))</f>
        <v>126</v>
      </c>
      <c r="H77" s="103">
        <f>IF(AND(Main[[#This Row],[In Stock Date]]&lt;&gt;"",Main[[#This Row],[Revised Due Date]]&lt;&gt;""),Main[[#This Row],[In Stock Date]]-Main[[#This Row],[Revised Due Date]],"")</f>
        <v>81</v>
      </c>
      <c r="I77" s="99" t="s">
        <v>955</v>
      </c>
      <c r="J77" s="99" t="s">
        <v>28</v>
      </c>
      <c r="K77" s="108" t="s">
        <v>1969</v>
      </c>
      <c r="L77" s="101">
        <v>40879</v>
      </c>
      <c r="M77" s="104">
        <f>IF(Main[[#This Row],[Tech Start Date]]&lt;1/1/1990,"",IF(Main[[#This Row],[Class]]="C",WORKDAY(Main[[#This Row],[Tech Start Date]],9),IF(Main[[#This Row],[Class]]="B", WORKDAY(Main[[#This Row],[Tech Start Date]],6),IF(Main[[#This Row],[Class]]="A",WORKDAY(Main[[#This Row],[Tech Start Date]],2),""))))</f>
        <v>40889</v>
      </c>
      <c r="N77" s="104">
        <f>IF(Main[[#This Row],[Tech Start Date]]&lt;1/1/1990,"",IF(Main[[#This Row],[Class]]="C",WORKDAY(Main[[#This Row],[Tech Start Date]],19),IF(Main[[#This Row],[Class]]="B", WORKDAY(Main[[#This Row],[Tech Start Date]],12),IF(Main[[#This Row],[Class]]="A",WORKDAY(Main[[#This Row],[Tech Start Date]],4),""))))</f>
        <v>40897</v>
      </c>
      <c r="O77" s="104">
        <f>IF(Main[[#This Row],[Tech Start Date]]&lt;1/1/1990,"",IF(Main[[#This Row],[Class]]="C",WORKDAY(Main[[#This Row],[Tech Start Date]],23),IF(Main[[#This Row],[Class]]="B", WORKDAY(Main[[#This Row],[Tech Start Date]],15),IF(Main[[#This Row],[Class]]="A",WORKDAY(Main[[#This Row],[Tech Start Date]],5),""))))</f>
        <v>40900</v>
      </c>
      <c r="P77" s="104">
        <f>IF(Main[[#This Row],[Tech Start Date]]&lt;1/1/1990,"",IF(Main[[#This Row],[Class]]="C",WORKDAY(Main[[#This Row],[Tech Start Date]],28),IF(Main[[#This Row],[Class]]="B", WORKDAY(Main[[#This Row],[Tech Start Date]],19),IF(Main[[#This Row],[Class]]="A",WORKDAY(Main[[#This Row],[Tech Start Date]],9),""))))</f>
        <v>40906</v>
      </c>
      <c r="Q77" s="101"/>
      <c r="R77" s="101">
        <v>40914</v>
      </c>
      <c r="S77" s="99" t="s">
        <v>11</v>
      </c>
      <c r="T77" s="107" t="s">
        <v>3153</v>
      </c>
      <c r="U77" s="99" t="s">
        <v>29</v>
      </c>
      <c r="V77" s="99" t="s">
        <v>1962</v>
      </c>
      <c r="W77" s="99" t="s">
        <v>1968</v>
      </c>
    </row>
    <row r="78" spans="1:23" ht="18.600000000000001" customHeight="1">
      <c r="A78" s="123">
        <f>IF(priority(Main[[#This Row],[Comments]])&lt;&gt;0, priority(Main[[#This Row],[Comments]]),"")</f>
        <v>21</v>
      </c>
      <c r="B78" s="127" t="s">
        <v>1951</v>
      </c>
      <c r="C78" s="99" t="s">
        <v>113</v>
      </c>
      <c r="D78" s="100" t="s">
        <v>2884</v>
      </c>
      <c r="E78" s="101">
        <v>40709.602083333331</v>
      </c>
      <c r="F78" s="101">
        <v>41091</v>
      </c>
      <c r="G78" s="102">
        <f>IF(stdProdLT(Main[[#This Row],[Comments]])=0.1,"N/A",IF(stdProdLT(Main[[#This Row],[Comments]])=0,"",stdProdLT(Main[[#This Row],[Comments]])))</f>
        <v>126</v>
      </c>
      <c r="H78" s="103">
        <f>IF(AND(Main[[#This Row],[In Stock Date]]&lt;&gt;"",Main[[#This Row],[Revised Due Date]]&lt;&gt;""),Main[[#This Row],[In Stock Date]]-Main[[#This Row],[Revised Due Date]],"")</f>
        <v>205</v>
      </c>
      <c r="I78" s="99" t="s">
        <v>568</v>
      </c>
      <c r="J78" s="99" t="s">
        <v>28</v>
      </c>
      <c r="K78" s="108" t="s">
        <v>1975</v>
      </c>
      <c r="L78" s="101">
        <v>40709</v>
      </c>
      <c r="M78" s="104">
        <f>IF(Main[[#This Row],[Tech Start Date]]&lt;1/1/1990,"",IF(Main[[#This Row],[Class]]="C",WORKDAY(Main[[#This Row],[Tech Start Date]],9),IF(Main[[#This Row],[Class]]="B", WORKDAY(Main[[#This Row],[Tech Start Date]],6),IF(Main[[#This Row],[Class]]="A",WORKDAY(Main[[#This Row],[Tech Start Date]],2),""))))</f>
        <v>40722</v>
      </c>
      <c r="N78" s="104">
        <f>IF(Main[[#This Row],[Tech Start Date]]&lt;1/1/1990,"",IF(Main[[#This Row],[Class]]="C",WORKDAY(Main[[#This Row],[Tech Start Date]],19),IF(Main[[#This Row],[Class]]="B", WORKDAY(Main[[#This Row],[Tech Start Date]],12),IF(Main[[#This Row],[Class]]="A",WORKDAY(Main[[#This Row],[Tech Start Date]],4),""))))</f>
        <v>40736</v>
      </c>
      <c r="O78" s="104">
        <f>IF(Main[[#This Row],[Tech Start Date]]&lt;1/1/1990,"",IF(Main[[#This Row],[Class]]="C",WORKDAY(Main[[#This Row],[Tech Start Date]],23),IF(Main[[#This Row],[Class]]="B", WORKDAY(Main[[#This Row],[Tech Start Date]],15),IF(Main[[#This Row],[Class]]="A",WORKDAY(Main[[#This Row],[Tech Start Date]],5),""))))</f>
        <v>40742</v>
      </c>
      <c r="P78" s="104">
        <f>IF(Main[[#This Row],[Tech Start Date]]&lt;1/1/1990,"",IF(Main[[#This Row],[Class]]="C",WORKDAY(Main[[#This Row],[Tech Start Date]],28),IF(Main[[#This Row],[Class]]="B", WORKDAY(Main[[#This Row],[Tech Start Date]],19),IF(Main[[#This Row],[Class]]="A",WORKDAY(Main[[#This Row],[Tech Start Date]],9),""))))</f>
        <v>40749</v>
      </c>
      <c r="Q78" s="101"/>
      <c r="R78" s="101">
        <v>40886</v>
      </c>
      <c r="S78" s="99" t="s">
        <v>11</v>
      </c>
      <c r="T78" s="107" t="s">
        <v>3021</v>
      </c>
      <c r="U78" s="99" t="s">
        <v>540</v>
      </c>
      <c r="V78" s="99" t="s">
        <v>1962</v>
      </c>
      <c r="W78" s="99" t="s">
        <v>1973</v>
      </c>
    </row>
    <row r="79" spans="1:23" ht="18.600000000000001" customHeight="1">
      <c r="A79" s="123">
        <f>IF(priority(Main[[#This Row],[Comments]])&lt;&gt;0, priority(Main[[#This Row],[Comments]]),"")</f>
        <v>21</v>
      </c>
      <c r="B79" s="127" t="s">
        <v>2669</v>
      </c>
      <c r="C79" s="99" t="s">
        <v>2457</v>
      </c>
      <c r="D79" s="100" t="s">
        <v>2670</v>
      </c>
      <c r="E79" s="101">
        <v>40850.123124999998</v>
      </c>
      <c r="F79" s="101">
        <v>41008</v>
      </c>
      <c r="G79" s="102">
        <f>IF(stdProdLT(Main[[#This Row],[Comments]])=0.1,"N/A",IF(stdProdLT(Main[[#This Row],[Comments]])=0,"",stdProdLT(Main[[#This Row],[Comments]])))</f>
        <v>168</v>
      </c>
      <c r="H79" s="103">
        <f>IF(AND(Main[[#This Row],[In Stock Date]]&lt;&gt;"",Main[[#This Row],[Revised Due Date]]&lt;&gt;""),Main[[#This Row],[In Stock Date]]-Main[[#This Row],[Revised Due Date]],"")</f>
        <v>101</v>
      </c>
      <c r="I79" s="99" t="s">
        <v>44</v>
      </c>
      <c r="J79" s="99" t="s">
        <v>28</v>
      </c>
      <c r="K79" s="99" t="s">
        <v>1969</v>
      </c>
      <c r="L79" s="101">
        <v>40878</v>
      </c>
      <c r="M79" s="104">
        <f>IF(Main[[#This Row],[Tech Start Date]]&lt;1/1/1990,"",IF(Main[[#This Row],[Class]]="C",WORKDAY(Main[[#This Row],[Tech Start Date]],9),IF(Main[[#This Row],[Class]]="B", WORKDAY(Main[[#This Row],[Tech Start Date]],6),IF(Main[[#This Row],[Class]]="A",WORKDAY(Main[[#This Row],[Tech Start Date]],2),""))))</f>
        <v>40886</v>
      </c>
      <c r="N79" s="104">
        <f>IF(Main[[#This Row],[Tech Start Date]]&lt;1/1/1990,"",IF(Main[[#This Row],[Class]]="C",WORKDAY(Main[[#This Row],[Tech Start Date]],19),IF(Main[[#This Row],[Class]]="B", WORKDAY(Main[[#This Row],[Tech Start Date]],12),IF(Main[[#This Row],[Class]]="A",WORKDAY(Main[[#This Row],[Tech Start Date]],4),""))))</f>
        <v>40896</v>
      </c>
      <c r="O79" s="104">
        <f>IF(Main[[#This Row],[Tech Start Date]]&lt;1/1/1990,"",IF(Main[[#This Row],[Class]]="C",WORKDAY(Main[[#This Row],[Tech Start Date]],23),IF(Main[[#This Row],[Class]]="B", WORKDAY(Main[[#This Row],[Tech Start Date]],15),IF(Main[[#This Row],[Class]]="A",WORKDAY(Main[[#This Row],[Tech Start Date]],5),""))))</f>
        <v>40899</v>
      </c>
      <c r="P79" s="104">
        <f>IF(Main[[#This Row],[Tech Start Date]]&lt;1/1/1990,"",IF(Main[[#This Row],[Class]]="C",WORKDAY(Main[[#This Row],[Tech Start Date]],28),IF(Main[[#This Row],[Class]]="B", WORKDAY(Main[[#This Row],[Tech Start Date]],19),IF(Main[[#This Row],[Class]]="A",WORKDAY(Main[[#This Row],[Tech Start Date]],9),""))))</f>
        <v>40905</v>
      </c>
      <c r="Q79" s="101">
        <v>40826</v>
      </c>
      <c r="R79" s="101">
        <v>40907</v>
      </c>
      <c r="S79" s="99" t="s">
        <v>11</v>
      </c>
      <c r="T79" s="107" t="s">
        <v>3065</v>
      </c>
      <c r="U79" s="99" t="s">
        <v>29</v>
      </c>
      <c r="V79" s="99" t="s">
        <v>1965</v>
      </c>
      <c r="W79" s="99" t="s">
        <v>1970</v>
      </c>
    </row>
    <row r="80" spans="1:23" ht="18.600000000000001" customHeight="1">
      <c r="A80" s="123">
        <f>IF(priority(Main[[#This Row],[Comments]])&lt;&gt;0, priority(Main[[#This Row],[Comments]]),"")</f>
        <v>22</v>
      </c>
      <c r="B80" s="127" t="s">
        <v>1720</v>
      </c>
      <c r="C80" s="99" t="s">
        <v>4</v>
      </c>
      <c r="D80" s="100" t="s">
        <v>2391</v>
      </c>
      <c r="E80" s="101">
        <v>40715.570891203701</v>
      </c>
      <c r="F80" s="101"/>
      <c r="G80" s="102" t="str">
        <f>IF(stdProdLT(Main[[#This Row],[Comments]])=0.1,"N/A",IF(stdProdLT(Main[[#This Row],[Comments]])=0,"",stdProdLT(Main[[#This Row],[Comments]])))</f>
        <v>N/A</v>
      </c>
      <c r="H80" s="103" t="str">
        <f>IF(AND(Main[[#This Row],[In Stock Date]]&lt;&gt;"",Main[[#This Row],[Revised Due Date]]&lt;&gt;""),Main[[#This Row],[In Stock Date]]-Main[[#This Row],[Revised Due Date]],"")</f>
        <v/>
      </c>
      <c r="I80" s="99" t="s">
        <v>929</v>
      </c>
      <c r="J80" s="99" t="s">
        <v>52</v>
      </c>
      <c r="K80" s="99" t="s">
        <v>4</v>
      </c>
      <c r="L80" s="101"/>
      <c r="M80" s="104" t="str">
        <f>IF(Main[[#This Row],[Tech Start Date]]&lt;1/1/1990,"",IF(Main[[#This Row],[Class]]="C",WORKDAY(Main[[#This Row],[Tech Start Date]],9),IF(Main[[#This Row],[Class]]="B", WORKDAY(Main[[#This Row],[Tech Start Date]],6),IF(Main[[#This Row],[Class]]="A",WORKDAY(Main[[#This Row],[Tech Start Date]],2),""))))</f>
        <v/>
      </c>
      <c r="N80" s="104" t="str">
        <f>IF(Main[[#This Row],[Tech Start Date]]&lt;1/1/1990,"",IF(Main[[#This Row],[Class]]="C",WORKDAY(Main[[#This Row],[Tech Start Date]],19),IF(Main[[#This Row],[Class]]="B", WORKDAY(Main[[#This Row],[Tech Start Date]],12),IF(Main[[#This Row],[Class]]="A",WORKDAY(Main[[#This Row],[Tech Start Date]],4),""))))</f>
        <v/>
      </c>
      <c r="O80" s="104" t="str">
        <f>IF(Main[[#This Row],[Tech Start Date]]&lt;1/1/1990,"",IF(Main[[#This Row],[Class]]="C",WORKDAY(Main[[#This Row],[Tech Start Date]],23),IF(Main[[#This Row],[Class]]="B", WORKDAY(Main[[#This Row],[Tech Start Date]],15),IF(Main[[#This Row],[Class]]="A",WORKDAY(Main[[#This Row],[Tech Start Date]],5),""))))</f>
        <v/>
      </c>
      <c r="P80" s="104" t="str">
        <f>IF(Main[[#This Row],[Tech Start Date]]&lt;1/1/1990,"",IF(Main[[#This Row],[Class]]="C",WORKDAY(Main[[#This Row],[Tech Start Date]],28),IF(Main[[#This Row],[Class]]="B", WORKDAY(Main[[#This Row],[Tech Start Date]],19),IF(Main[[#This Row],[Class]]="A",WORKDAY(Main[[#This Row],[Tech Start Date]],9),""))))</f>
        <v/>
      </c>
      <c r="Q80" s="101">
        <v>40733</v>
      </c>
      <c r="R80" s="101">
        <v>40756</v>
      </c>
      <c r="S80" s="99" t="s">
        <v>6</v>
      </c>
      <c r="T80" s="107" t="s">
        <v>2788</v>
      </c>
      <c r="U80" s="99" t="s">
        <v>29</v>
      </c>
      <c r="V80" s="99" t="s">
        <v>1962</v>
      </c>
      <c r="W80" s="99" t="s">
        <v>1966</v>
      </c>
    </row>
    <row r="81" spans="1:23" ht="18.600000000000001" customHeight="1">
      <c r="A81" s="123">
        <f>IF(priority(Main[[#This Row],[Comments]])&lt;&gt;0, priority(Main[[#This Row],[Comments]]),"")</f>
        <v>22</v>
      </c>
      <c r="B81" s="127" t="s">
        <v>1697</v>
      </c>
      <c r="C81" s="99" t="s">
        <v>122</v>
      </c>
      <c r="D81" s="100" t="s">
        <v>2839</v>
      </c>
      <c r="E81" s="101">
        <v>40828.408333333333</v>
      </c>
      <c r="F81" s="101">
        <v>41061</v>
      </c>
      <c r="G81" s="102">
        <f>IF(stdProdLT(Main[[#This Row],[Comments]])=0.1,"N/A",IF(stdProdLT(Main[[#This Row],[Comments]])=0,"",stdProdLT(Main[[#This Row],[Comments]])))</f>
        <v>126</v>
      </c>
      <c r="H81" s="103" t="str">
        <f>IF(AND(Main[[#This Row],[In Stock Date]]&lt;&gt;"",Main[[#This Row],[Revised Due Date]]&lt;&gt;""),Main[[#This Row],[In Stock Date]]-Main[[#This Row],[Revised Due Date]],"")</f>
        <v/>
      </c>
      <c r="I81" s="99" t="s">
        <v>4</v>
      </c>
      <c r="J81" s="99" t="s">
        <v>28</v>
      </c>
      <c r="K81" s="99" t="s">
        <v>1975</v>
      </c>
      <c r="L81" s="101"/>
      <c r="M81" s="104" t="str">
        <f>IF(Main[[#This Row],[Tech Start Date]]&lt;1/1/1990,"",IF(Main[[#This Row],[Class]]="C",WORKDAY(Main[[#This Row],[Tech Start Date]],9),IF(Main[[#This Row],[Class]]="B", WORKDAY(Main[[#This Row],[Tech Start Date]],6),IF(Main[[#This Row],[Class]]="A",WORKDAY(Main[[#This Row],[Tech Start Date]],2),""))))</f>
        <v/>
      </c>
      <c r="N81" s="104" t="str">
        <f>IF(Main[[#This Row],[Tech Start Date]]&lt;1/1/1990,"",IF(Main[[#This Row],[Class]]="C",WORKDAY(Main[[#This Row],[Tech Start Date]],19),IF(Main[[#This Row],[Class]]="B", WORKDAY(Main[[#This Row],[Tech Start Date]],12),IF(Main[[#This Row],[Class]]="A",WORKDAY(Main[[#This Row],[Tech Start Date]],4),""))))</f>
        <v/>
      </c>
      <c r="O81" s="104" t="str">
        <f>IF(Main[[#This Row],[Tech Start Date]]&lt;1/1/1990,"",IF(Main[[#This Row],[Class]]="C",WORKDAY(Main[[#This Row],[Tech Start Date]],23),IF(Main[[#This Row],[Class]]="B", WORKDAY(Main[[#This Row],[Tech Start Date]],15),IF(Main[[#This Row],[Class]]="A",WORKDAY(Main[[#This Row],[Tech Start Date]],5),""))))</f>
        <v/>
      </c>
      <c r="P81" s="104" t="str">
        <f>IF(Main[[#This Row],[Tech Start Date]]&lt;1/1/1990,"",IF(Main[[#This Row],[Class]]="C",WORKDAY(Main[[#This Row],[Tech Start Date]],28),IF(Main[[#This Row],[Class]]="B", WORKDAY(Main[[#This Row],[Tech Start Date]],19),IF(Main[[#This Row],[Class]]="A",WORKDAY(Main[[#This Row],[Tech Start Date]],9),""))))</f>
        <v/>
      </c>
      <c r="Q81" s="101">
        <v>40711</v>
      </c>
      <c r="R81" s="101"/>
      <c r="S81" s="99" t="s">
        <v>11</v>
      </c>
      <c r="T81" s="107" t="s">
        <v>3154</v>
      </c>
      <c r="U81" s="99" t="s">
        <v>7</v>
      </c>
      <c r="V81" s="99" t="s">
        <v>1962</v>
      </c>
      <c r="W81" s="99" t="s">
        <v>1964</v>
      </c>
    </row>
    <row r="82" spans="1:23" ht="18.600000000000001" customHeight="1">
      <c r="A82" s="123">
        <f>IF(priority(Main[[#This Row],[Comments]])&lt;&gt;0, priority(Main[[#This Row],[Comments]]),"")</f>
        <v>22</v>
      </c>
      <c r="B82" s="127" t="s">
        <v>2924</v>
      </c>
      <c r="C82" s="99" t="s">
        <v>3050</v>
      </c>
      <c r="D82" s="100" t="s">
        <v>2925</v>
      </c>
      <c r="E82" s="101">
        <v>40834.57916666667</v>
      </c>
      <c r="F82" s="101">
        <v>41014</v>
      </c>
      <c r="G82" s="102">
        <f>IF(stdProdLT(Main[[#This Row],[Comments]])=0.1,"N/A",IF(stdProdLT(Main[[#This Row],[Comments]])=0,"",stdProdLT(Main[[#This Row],[Comments]])))</f>
        <v>168</v>
      </c>
      <c r="H82" s="103">
        <f>IF(AND(Main[[#This Row],[In Stock Date]]&lt;&gt;"",Main[[#This Row],[Revised Due Date]]&lt;&gt;""),Main[[#This Row],[In Stock Date]]-Main[[#This Row],[Revised Due Date]],"")</f>
        <v>118</v>
      </c>
      <c r="I82" s="99" t="s">
        <v>495</v>
      </c>
      <c r="J82" s="99" t="s">
        <v>70</v>
      </c>
      <c r="K82" s="99" t="s">
        <v>1969</v>
      </c>
      <c r="L82" s="101">
        <v>40835</v>
      </c>
      <c r="M82" s="104">
        <f>IF(Main[[#This Row],[Tech Start Date]]&lt;1/1/1990,"",IF(Main[[#This Row],[Class]]="C",WORKDAY(Main[[#This Row],[Tech Start Date]],9),IF(Main[[#This Row],[Class]]="B", WORKDAY(Main[[#This Row],[Tech Start Date]],6),IF(Main[[#This Row],[Class]]="A",WORKDAY(Main[[#This Row],[Tech Start Date]],2),""))))</f>
        <v>40843</v>
      </c>
      <c r="N82" s="104">
        <f>IF(Main[[#This Row],[Tech Start Date]]&lt;1/1/1990,"",IF(Main[[#This Row],[Class]]="C",WORKDAY(Main[[#This Row],[Tech Start Date]],19),IF(Main[[#This Row],[Class]]="B", WORKDAY(Main[[#This Row],[Tech Start Date]],12),IF(Main[[#This Row],[Class]]="A",WORKDAY(Main[[#This Row],[Tech Start Date]],4),""))))</f>
        <v>40851</v>
      </c>
      <c r="O82" s="104">
        <f>IF(Main[[#This Row],[Tech Start Date]]&lt;1/1/1990,"",IF(Main[[#This Row],[Class]]="C",WORKDAY(Main[[#This Row],[Tech Start Date]],23),IF(Main[[#This Row],[Class]]="B", WORKDAY(Main[[#This Row],[Tech Start Date]],15),IF(Main[[#This Row],[Class]]="A",WORKDAY(Main[[#This Row],[Tech Start Date]],5),""))))</f>
        <v>40856</v>
      </c>
      <c r="P82" s="104">
        <f>IF(Main[[#This Row],[Tech Start Date]]&lt;1/1/1990,"",IF(Main[[#This Row],[Class]]="C",WORKDAY(Main[[#This Row],[Tech Start Date]],28),IF(Main[[#This Row],[Class]]="B", WORKDAY(Main[[#This Row],[Tech Start Date]],19),IF(Main[[#This Row],[Class]]="A",WORKDAY(Main[[#This Row],[Tech Start Date]],9),""))))</f>
        <v>40862</v>
      </c>
      <c r="Q82" s="101">
        <v>40870</v>
      </c>
      <c r="R82" s="101">
        <v>40896</v>
      </c>
      <c r="S82" s="99" t="s">
        <v>11</v>
      </c>
      <c r="T82" s="107" t="s">
        <v>2926</v>
      </c>
      <c r="U82" s="99" t="s">
        <v>29</v>
      </c>
      <c r="V82" s="99" t="s">
        <v>1965</v>
      </c>
      <c r="W82" s="99" t="s">
        <v>1968</v>
      </c>
    </row>
    <row r="83" spans="1:23" ht="18.600000000000001" customHeight="1">
      <c r="A83" s="123">
        <f>IF(priority(Main[[#This Row],[Comments]])&lt;&gt;0, priority(Main[[#This Row],[Comments]]),"")</f>
        <v>23</v>
      </c>
      <c r="B83" s="127" t="s">
        <v>2927</v>
      </c>
      <c r="C83" s="99" t="s">
        <v>3050</v>
      </c>
      <c r="D83" s="100" t="s">
        <v>2928</v>
      </c>
      <c r="E83" s="101">
        <v>40834.573761574073</v>
      </c>
      <c r="F83" s="101">
        <v>41014</v>
      </c>
      <c r="G83" s="102">
        <f>IF(stdProdLT(Main[[#This Row],[Comments]])=0.1,"N/A",IF(stdProdLT(Main[[#This Row],[Comments]])=0,"",stdProdLT(Main[[#This Row],[Comments]])))</f>
        <v>168</v>
      </c>
      <c r="H83" s="103">
        <f>IF(AND(Main[[#This Row],[In Stock Date]]&lt;&gt;"",Main[[#This Row],[Revised Due Date]]&lt;&gt;""),Main[[#This Row],[In Stock Date]]-Main[[#This Row],[Revised Due Date]],"")</f>
        <v>144</v>
      </c>
      <c r="I83" s="99" t="s">
        <v>81</v>
      </c>
      <c r="J83" s="99" t="s">
        <v>52</v>
      </c>
      <c r="K83" s="99" t="s">
        <v>1969</v>
      </c>
      <c r="L83" s="101">
        <v>40835</v>
      </c>
      <c r="M83" s="104">
        <f>IF(Main[[#This Row],[Tech Start Date]]&lt;1/1/1990,"",IF(Main[[#This Row],[Class]]="C",WORKDAY(Main[[#This Row],[Tech Start Date]],9),IF(Main[[#This Row],[Class]]="B", WORKDAY(Main[[#This Row],[Tech Start Date]],6),IF(Main[[#This Row],[Class]]="A",WORKDAY(Main[[#This Row],[Tech Start Date]],2),""))))</f>
        <v>40843</v>
      </c>
      <c r="N83" s="104">
        <f>IF(Main[[#This Row],[Tech Start Date]]&lt;1/1/1990,"",IF(Main[[#This Row],[Class]]="C",WORKDAY(Main[[#This Row],[Tech Start Date]],19),IF(Main[[#This Row],[Class]]="B", WORKDAY(Main[[#This Row],[Tech Start Date]],12),IF(Main[[#This Row],[Class]]="A",WORKDAY(Main[[#This Row],[Tech Start Date]],4),""))))</f>
        <v>40851</v>
      </c>
      <c r="O83" s="104">
        <f>IF(Main[[#This Row],[Tech Start Date]]&lt;1/1/1990,"",IF(Main[[#This Row],[Class]]="C",WORKDAY(Main[[#This Row],[Tech Start Date]],23),IF(Main[[#This Row],[Class]]="B", WORKDAY(Main[[#This Row],[Tech Start Date]],15),IF(Main[[#This Row],[Class]]="A",WORKDAY(Main[[#This Row],[Tech Start Date]],5),""))))</f>
        <v>40856</v>
      </c>
      <c r="P83" s="104">
        <f>IF(Main[[#This Row],[Tech Start Date]]&lt;1/1/1990,"",IF(Main[[#This Row],[Class]]="C",WORKDAY(Main[[#This Row],[Tech Start Date]],28),IF(Main[[#This Row],[Class]]="B", WORKDAY(Main[[#This Row],[Tech Start Date]],19),IF(Main[[#This Row],[Class]]="A",WORKDAY(Main[[#This Row],[Tech Start Date]],9),""))))</f>
        <v>40862</v>
      </c>
      <c r="Q83" s="101">
        <v>40870</v>
      </c>
      <c r="R83" s="101">
        <v>40870</v>
      </c>
      <c r="S83" s="99" t="s">
        <v>11</v>
      </c>
      <c r="T83" s="107" t="s">
        <v>2929</v>
      </c>
      <c r="U83" s="99" t="s">
        <v>29</v>
      </c>
      <c r="V83" s="99" t="s">
        <v>1965</v>
      </c>
      <c r="W83" s="99" t="s">
        <v>1968</v>
      </c>
    </row>
    <row r="84" spans="1:23" ht="18.600000000000001" customHeight="1">
      <c r="A84" s="123">
        <f>IF(priority(Main[[#This Row],[Comments]])&lt;&gt;0, priority(Main[[#This Row],[Comments]]),"")</f>
        <v>23</v>
      </c>
      <c r="B84" s="127" t="s">
        <v>2945</v>
      </c>
      <c r="C84" s="99" t="s">
        <v>58</v>
      </c>
      <c r="D84" s="100" t="s">
        <v>3083</v>
      </c>
      <c r="E84" s="101">
        <v>40829.585555555554</v>
      </c>
      <c r="F84" s="101">
        <v>41091</v>
      </c>
      <c r="G84" s="102">
        <f>IF(stdProdLT(Main[[#This Row],[Comments]])=0.1,"N/A",IF(stdProdLT(Main[[#This Row],[Comments]])=0,"",stdProdLT(Main[[#This Row],[Comments]])))</f>
        <v>126</v>
      </c>
      <c r="H84" s="103">
        <f>IF(AND(Main[[#This Row],[In Stock Date]]&lt;&gt;"",Main[[#This Row],[Revised Due Date]]&lt;&gt;""),Main[[#This Row],[In Stock Date]]-Main[[#This Row],[Revised Due Date]],"")</f>
        <v>191</v>
      </c>
      <c r="I84" s="99" t="s">
        <v>955</v>
      </c>
      <c r="J84" s="99" t="s">
        <v>52</v>
      </c>
      <c r="K84" s="99" t="s">
        <v>1969</v>
      </c>
      <c r="L84" s="101">
        <v>40848</v>
      </c>
      <c r="M84" s="104">
        <f>IF(Main[[#This Row],[Tech Start Date]]&lt;1/1/1990,"",IF(Main[[#This Row],[Class]]="C",WORKDAY(Main[[#This Row],[Tech Start Date]],9),IF(Main[[#This Row],[Class]]="B", WORKDAY(Main[[#This Row],[Tech Start Date]],6),IF(Main[[#This Row],[Class]]="A",WORKDAY(Main[[#This Row],[Tech Start Date]],2),""))))</f>
        <v>40856</v>
      </c>
      <c r="N84" s="104">
        <f>IF(Main[[#This Row],[Tech Start Date]]&lt;1/1/1990,"",IF(Main[[#This Row],[Class]]="C",WORKDAY(Main[[#This Row],[Tech Start Date]],19),IF(Main[[#This Row],[Class]]="B", WORKDAY(Main[[#This Row],[Tech Start Date]],12),IF(Main[[#This Row],[Class]]="A",WORKDAY(Main[[#This Row],[Tech Start Date]],4),""))))</f>
        <v>40864</v>
      </c>
      <c r="O84" s="104">
        <f>IF(Main[[#This Row],[Tech Start Date]]&lt;1/1/1990,"",IF(Main[[#This Row],[Class]]="C",WORKDAY(Main[[#This Row],[Tech Start Date]],23),IF(Main[[#This Row],[Class]]="B", WORKDAY(Main[[#This Row],[Tech Start Date]],15),IF(Main[[#This Row],[Class]]="A",WORKDAY(Main[[#This Row],[Tech Start Date]],5),""))))</f>
        <v>40869</v>
      </c>
      <c r="P84" s="104">
        <f>IF(Main[[#This Row],[Tech Start Date]]&lt;1/1/1990,"",IF(Main[[#This Row],[Class]]="C",WORKDAY(Main[[#This Row],[Tech Start Date]],28),IF(Main[[#This Row],[Class]]="B", WORKDAY(Main[[#This Row],[Tech Start Date]],19),IF(Main[[#This Row],[Class]]="A",WORKDAY(Main[[#This Row],[Tech Start Date]],9),""))))</f>
        <v>40875</v>
      </c>
      <c r="Q84" s="101">
        <v>40900</v>
      </c>
      <c r="R84" s="101">
        <v>40900</v>
      </c>
      <c r="S84" s="99" t="s">
        <v>11</v>
      </c>
      <c r="T84" s="107" t="s">
        <v>3155</v>
      </c>
      <c r="U84" s="99" t="s">
        <v>29</v>
      </c>
      <c r="V84" s="99" t="s">
        <v>1962</v>
      </c>
      <c r="W84" s="99" t="s">
        <v>1973</v>
      </c>
    </row>
    <row r="85" spans="1:23" ht="18.600000000000001" customHeight="1">
      <c r="A85" s="123">
        <f>IF(priority(Main[[#This Row],[Comments]])&lt;&gt;0, priority(Main[[#This Row],[Comments]]),"")</f>
        <v>24</v>
      </c>
      <c r="B85" s="127" t="s">
        <v>1595</v>
      </c>
      <c r="C85" s="99" t="s">
        <v>4</v>
      </c>
      <c r="D85" s="100" t="s">
        <v>2381</v>
      </c>
      <c r="E85" s="101">
        <v>40710.712175925924</v>
      </c>
      <c r="F85" s="101"/>
      <c r="G85" s="102" t="str">
        <f>IF(stdProdLT(Main[[#This Row],[Comments]])=0.1,"N/A",IF(stdProdLT(Main[[#This Row],[Comments]])=0,"",stdProdLT(Main[[#This Row],[Comments]])))</f>
        <v>N/A</v>
      </c>
      <c r="H85" s="103" t="str">
        <f>IF(AND(Main[[#This Row],[In Stock Date]]&lt;&gt;"",Main[[#This Row],[Revised Due Date]]&lt;&gt;""),Main[[#This Row],[In Stock Date]]-Main[[#This Row],[Revised Due Date]],"")</f>
        <v/>
      </c>
      <c r="I85" s="99" t="s">
        <v>929</v>
      </c>
      <c r="J85" s="99" t="s">
        <v>4</v>
      </c>
      <c r="K85" s="99" t="s">
        <v>4</v>
      </c>
      <c r="L85" s="101"/>
      <c r="M85" s="104" t="str">
        <f>IF(Main[[#This Row],[Tech Start Date]]&lt;1/1/1990,"",IF(Main[[#This Row],[Class]]="C",WORKDAY(Main[[#This Row],[Tech Start Date]],9),IF(Main[[#This Row],[Class]]="B", WORKDAY(Main[[#This Row],[Tech Start Date]],6),IF(Main[[#This Row],[Class]]="A",WORKDAY(Main[[#This Row],[Tech Start Date]],2),""))))</f>
        <v/>
      </c>
      <c r="N85" s="104" t="str">
        <f>IF(Main[[#This Row],[Tech Start Date]]&lt;1/1/1990,"",IF(Main[[#This Row],[Class]]="C",WORKDAY(Main[[#This Row],[Tech Start Date]],19),IF(Main[[#This Row],[Class]]="B", WORKDAY(Main[[#This Row],[Tech Start Date]],12),IF(Main[[#This Row],[Class]]="A",WORKDAY(Main[[#This Row],[Tech Start Date]],4),""))))</f>
        <v/>
      </c>
      <c r="O85" s="104" t="str">
        <f>IF(Main[[#This Row],[Tech Start Date]]&lt;1/1/1990,"",IF(Main[[#This Row],[Class]]="C",WORKDAY(Main[[#This Row],[Tech Start Date]],23),IF(Main[[#This Row],[Class]]="B", WORKDAY(Main[[#This Row],[Tech Start Date]],15),IF(Main[[#This Row],[Class]]="A",WORKDAY(Main[[#This Row],[Tech Start Date]],5),""))))</f>
        <v/>
      </c>
      <c r="P85" s="104" t="str">
        <f>IF(Main[[#This Row],[Tech Start Date]]&lt;1/1/1990,"",IF(Main[[#This Row],[Class]]="C",WORKDAY(Main[[#This Row],[Tech Start Date]],28),IF(Main[[#This Row],[Class]]="B", WORKDAY(Main[[#This Row],[Tech Start Date]],19),IF(Main[[#This Row],[Class]]="A",WORKDAY(Main[[#This Row],[Tech Start Date]],9),""))))</f>
        <v/>
      </c>
      <c r="Q85" s="101"/>
      <c r="R85" s="101">
        <v>40756</v>
      </c>
      <c r="S85" s="99" t="s">
        <v>6</v>
      </c>
      <c r="T85" s="107" t="s">
        <v>2336</v>
      </c>
      <c r="U85" s="99" t="s">
        <v>29</v>
      </c>
      <c r="V85" s="99" t="s">
        <v>1962</v>
      </c>
      <c r="W85" s="99" t="s">
        <v>1966</v>
      </c>
    </row>
    <row r="86" spans="1:23" ht="18.600000000000001" customHeight="1">
      <c r="A86" s="123">
        <f>IF(priority(Main[[#This Row],[Comments]])&lt;&gt;0, priority(Main[[#This Row],[Comments]]),"")</f>
        <v>24</v>
      </c>
      <c r="B86" s="127" t="s">
        <v>2913</v>
      </c>
      <c r="C86" s="99" t="s">
        <v>3050</v>
      </c>
      <c r="D86" s="100" t="s">
        <v>2914</v>
      </c>
      <c r="E86" s="101">
        <v>40822.618564814817</v>
      </c>
      <c r="F86" s="101">
        <v>41014</v>
      </c>
      <c r="G86" s="102">
        <f>IF(stdProdLT(Main[[#This Row],[Comments]])=0.1,"N/A",IF(stdProdLT(Main[[#This Row],[Comments]])=0,"",stdProdLT(Main[[#This Row],[Comments]])))</f>
        <v>168</v>
      </c>
      <c r="H86" s="103">
        <f>IF(AND(Main[[#This Row],[In Stock Date]]&lt;&gt;"",Main[[#This Row],[Revised Due Date]]&lt;&gt;""),Main[[#This Row],[In Stock Date]]-Main[[#This Row],[Revised Due Date]],"")</f>
        <v>118</v>
      </c>
      <c r="I86" s="99" t="s">
        <v>495</v>
      </c>
      <c r="J86" s="99" t="s">
        <v>70</v>
      </c>
      <c r="K86" s="99" t="s">
        <v>1969</v>
      </c>
      <c r="L86" s="101">
        <v>40835</v>
      </c>
      <c r="M86" s="104">
        <f>IF(Main[[#This Row],[Tech Start Date]]&lt;1/1/1990,"",IF(Main[[#This Row],[Class]]="C",WORKDAY(Main[[#This Row],[Tech Start Date]],9),IF(Main[[#This Row],[Class]]="B", WORKDAY(Main[[#This Row],[Tech Start Date]],6),IF(Main[[#This Row],[Class]]="A",WORKDAY(Main[[#This Row],[Tech Start Date]],2),""))))</f>
        <v>40843</v>
      </c>
      <c r="N86" s="104">
        <f>IF(Main[[#This Row],[Tech Start Date]]&lt;1/1/1990,"",IF(Main[[#This Row],[Class]]="C",WORKDAY(Main[[#This Row],[Tech Start Date]],19),IF(Main[[#This Row],[Class]]="B", WORKDAY(Main[[#This Row],[Tech Start Date]],12),IF(Main[[#This Row],[Class]]="A",WORKDAY(Main[[#This Row],[Tech Start Date]],4),""))))</f>
        <v>40851</v>
      </c>
      <c r="O86" s="104">
        <f>IF(Main[[#This Row],[Tech Start Date]]&lt;1/1/1990,"",IF(Main[[#This Row],[Class]]="C",WORKDAY(Main[[#This Row],[Tech Start Date]],23),IF(Main[[#This Row],[Class]]="B", WORKDAY(Main[[#This Row],[Tech Start Date]],15),IF(Main[[#This Row],[Class]]="A",WORKDAY(Main[[#This Row],[Tech Start Date]],5),""))))</f>
        <v>40856</v>
      </c>
      <c r="P86" s="104">
        <f>IF(Main[[#This Row],[Tech Start Date]]&lt;1/1/1990,"",IF(Main[[#This Row],[Class]]="C",WORKDAY(Main[[#This Row],[Tech Start Date]],28),IF(Main[[#This Row],[Class]]="B", WORKDAY(Main[[#This Row],[Tech Start Date]],19),IF(Main[[#This Row],[Class]]="A",WORKDAY(Main[[#This Row],[Tech Start Date]],9),""))))</f>
        <v>40862</v>
      </c>
      <c r="Q86" s="101">
        <v>40870</v>
      </c>
      <c r="R86" s="101">
        <v>40896</v>
      </c>
      <c r="S86" s="99" t="s">
        <v>11</v>
      </c>
      <c r="T86" s="107" t="s">
        <v>2915</v>
      </c>
      <c r="U86" s="99" t="s">
        <v>29</v>
      </c>
      <c r="V86" s="99" t="s">
        <v>1965</v>
      </c>
      <c r="W86" s="99" t="s">
        <v>1968</v>
      </c>
    </row>
    <row r="87" spans="1:23" ht="18.600000000000001" customHeight="1">
      <c r="A87" s="123">
        <f>IF(priority(Main[[#This Row],[Comments]])&lt;&gt;0, priority(Main[[#This Row],[Comments]]),"")</f>
        <v>24</v>
      </c>
      <c r="B87" s="127" t="s">
        <v>2955</v>
      </c>
      <c r="C87" s="99" t="s">
        <v>58</v>
      </c>
      <c r="D87" s="100" t="s">
        <v>3084</v>
      </c>
      <c r="E87" s="101">
        <v>40829.598877314813</v>
      </c>
      <c r="F87" s="101">
        <v>41091</v>
      </c>
      <c r="G87" s="102">
        <f>IF(stdProdLT(Main[[#This Row],[Comments]])=0.1,"N/A",IF(stdProdLT(Main[[#This Row],[Comments]])=0,"",stdProdLT(Main[[#This Row],[Comments]])))</f>
        <v>126</v>
      </c>
      <c r="H87" s="103">
        <f>IF(AND(Main[[#This Row],[In Stock Date]]&lt;&gt;"",Main[[#This Row],[Revised Due Date]]&lt;&gt;""),Main[[#This Row],[In Stock Date]]-Main[[#This Row],[Revised Due Date]],"")</f>
        <v>191</v>
      </c>
      <c r="I87" s="99" t="s">
        <v>955</v>
      </c>
      <c r="J87" s="99" t="s">
        <v>28</v>
      </c>
      <c r="K87" s="99" t="s">
        <v>1969</v>
      </c>
      <c r="L87" s="101">
        <v>40849</v>
      </c>
      <c r="M87" s="104">
        <f>IF(Main[[#This Row],[Tech Start Date]]&lt;1/1/1990,"",IF(Main[[#This Row],[Class]]="C",WORKDAY(Main[[#This Row],[Tech Start Date]],9),IF(Main[[#This Row],[Class]]="B", WORKDAY(Main[[#This Row],[Tech Start Date]],6),IF(Main[[#This Row],[Class]]="A",WORKDAY(Main[[#This Row],[Tech Start Date]],2),""))))</f>
        <v>40857</v>
      </c>
      <c r="N87" s="104">
        <f>IF(Main[[#This Row],[Tech Start Date]]&lt;1/1/1990,"",IF(Main[[#This Row],[Class]]="C",WORKDAY(Main[[#This Row],[Tech Start Date]],19),IF(Main[[#This Row],[Class]]="B", WORKDAY(Main[[#This Row],[Tech Start Date]],12),IF(Main[[#This Row],[Class]]="A",WORKDAY(Main[[#This Row],[Tech Start Date]],4),""))))</f>
        <v>40865</v>
      </c>
      <c r="O87" s="104">
        <f>IF(Main[[#This Row],[Tech Start Date]]&lt;1/1/1990,"",IF(Main[[#This Row],[Class]]="C",WORKDAY(Main[[#This Row],[Tech Start Date]],23),IF(Main[[#This Row],[Class]]="B", WORKDAY(Main[[#This Row],[Tech Start Date]],15),IF(Main[[#This Row],[Class]]="A",WORKDAY(Main[[#This Row],[Tech Start Date]],5),""))))</f>
        <v>40870</v>
      </c>
      <c r="P87" s="104">
        <f>IF(Main[[#This Row],[Tech Start Date]]&lt;1/1/1990,"",IF(Main[[#This Row],[Class]]="C",WORKDAY(Main[[#This Row],[Tech Start Date]],28),IF(Main[[#This Row],[Class]]="B", WORKDAY(Main[[#This Row],[Tech Start Date]],19),IF(Main[[#This Row],[Class]]="A",WORKDAY(Main[[#This Row],[Tech Start Date]],9),""))))</f>
        <v>40876</v>
      </c>
      <c r="Q87" s="101">
        <v>40900</v>
      </c>
      <c r="R87" s="101">
        <v>40900</v>
      </c>
      <c r="S87" s="99" t="s">
        <v>11</v>
      </c>
      <c r="T87" s="107" t="s">
        <v>3156</v>
      </c>
      <c r="U87" s="99" t="s">
        <v>29</v>
      </c>
      <c r="V87" s="99" t="s">
        <v>1962</v>
      </c>
      <c r="W87" s="99" t="s">
        <v>1973</v>
      </c>
    </row>
    <row r="88" spans="1:23" ht="18.600000000000001" customHeight="1">
      <c r="A88" s="123">
        <f>IF(priority(Main[[#This Row],[Comments]])&lt;&gt;0, priority(Main[[#This Row],[Comments]]),"")</f>
        <v>25</v>
      </c>
      <c r="B88" s="127" t="s">
        <v>2137</v>
      </c>
      <c r="C88" s="99" t="s">
        <v>33</v>
      </c>
      <c r="D88" s="100" t="s">
        <v>2404</v>
      </c>
      <c r="E88" s="101">
        <v>40776.124837962961</v>
      </c>
      <c r="F88" s="101">
        <v>41007</v>
      </c>
      <c r="G88" s="102">
        <f>IF(stdProdLT(Main[[#This Row],[Comments]])=0.1,"N/A",IF(stdProdLT(Main[[#This Row],[Comments]])=0,"",stdProdLT(Main[[#This Row],[Comments]])))</f>
        <v>112</v>
      </c>
      <c r="H88" s="103">
        <f>IF(AND(Main[[#This Row],[In Stock Date]]&lt;&gt;"",Main[[#This Row],[Revised Due Date]]&lt;&gt;""),Main[[#This Row],[In Stock Date]]-Main[[#This Row],[Revised Due Date]],"")</f>
        <v>107</v>
      </c>
      <c r="I88" s="99" t="s">
        <v>929</v>
      </c>
      <c r="J88" s="99" t="s">
        <v>52</v>
      </c>
      <c r="K88" s="99" t="s">
        <v>1975</v>
      </c>
      <c r="L88" s="101">
        <v>40805</v>
      </c>
      <c r="M88" s="104">
        <f>IF(Main[[#This Row],[Tech Start Date]]&lt;1/1/1990,"",IF(Main[[#This Row],[Class]]="C",WORKDAY(Main[[#This Row],[Tech Start Date]],9),IF(Main[[#This Row],[Class]]="B", WORKDAY(Main[[#This Row],[Tech Start Date]],6),IF(Main[[#This Row],[Class]]="A",WORKDAY(Main[[#This Row],[Tech Start Date]],2),""))))</f>
        <v>40816</v>
      </c>
      <c r="N88" s="104">
        <f>IF(Main[[#This Row],[Tech Start Date]]&lt;1/1/1990,"",IF(Main[[#This Row],[Class]]="C",WORKDAY(Main[[#This Row],[Tech Start Date]],19),IF(Main[[#This Row],[Class]]="B", WORKDAY(Main[[#This Row],[Tech Start Date]],12),IF(Main[[#This Row],[Class]]="A",WORKDAY(Main[[#This Row],[Tech Start Date]],4),""))))</f>
        <v>40830</v>
      </c>
      <c r="O88" s="104">
        <f>IF(Main[[#This Row],[Tech Start Date]]&lt;1/1/1990,"",IF(Main[[#This Row],[Class]]="C",WORKDAY(Main[[#This Row],[Tech Start Date]],23),IF(Main[[#This Row],[Class]]="B", WORKDAY(Main[[#This Row],[Tech Start Date]],15),IF(Main[[#This Row],[Class]]="A",WORKDAY(Main[[#This Row],[Tech Start Date]],5),""))))</f>
        <v>40836</v>
      </c>
      <c r="P88" s="104">
        <f>IF(Main[[#This Row],[Tech Start Date]]&lt;1/1/1990,"",IF(Main[[#This Row],[Class]]="C",WORKDAY(Main[[#This Row],[Tech Start Date]],28),IF(Main[[#This Row],[Class]]="B", WORKDAY(Main[[#This Row],[Tech Start Date]],19),IF(Main[[#This Row],[Class]]="A",WORKDAY(Main[[#This Row],[Tech Start Date]],9),""))))</f>
        <v>40843</v>
      </c>
      <c r="Q88" s="101">
        <v>40811</v>
      </c>
      <c r="R88" s="101">
        <v>40900</v>
      </c>
      <c r="S88" s="99" t="s">
        <v>11</v>
      </c>
      <c r="T88" s="107" t="s">
        <v>3157</v>
      </c>
      <c r="U88" s="99" t="s">
        <v>29</v>
      </c>
      <c r="V88" s="99" t="s">
        <v>1962</v>
      </c>
      <c r="W88" s="99" t="s">
        <v>1967</v>
      </c>
    </row>
    <row r="89" spans="1:23" ht="18.600000000000001" customHeight="1">
      <c r="A89" s="123">
        <f>IF(priority(Main[[#This Row],[Comments]])&lt;&gt;0, priority(Main[[#This Row],[Comments]]),"")</f>
        <v>25</v>
      </c>
      <c r="B89" s="127" t="s">
        <v>2953</v>
      </c>
      <c r="C89" s="99" t="s">
        <v>3050</v>
      </c>
      <c r="D89" s="100" t="s">
        <v>3053</v>
      </c>
      <c r="E89" s="101">
        <v>40837.218958333331</v>
      </c>
      <c r="F89" s="101">
        <v>41014</v>
      </c>
      <c r="G89" s="102">
        <f>IF(stdProdLT(Main[[#This Row],[Comments]])=0.1,"N/A",IF(stdProdLT(Main[[#This Row],[Comments]])=0,"",stdProdLT(Main[[#This Row],[Comments]])))</f>
        <v>140</v>
      </c>
      <c r="H89" s="103">
        <f>IF(AND(Main[[#This Row],[In Stock Date]]&lt;&gt;"",Main[[#This Row],[Revised Due Date]]&lt;&gt;""),Main[[#This Row],[In Stock Date]]-Main[[#This Row],[Revised Due Date]],"")</f>
        <v>131</v>
      </c>
      <c r="I89" s="99" t="s">
        <v>81</v>
      </c>
      <c r="J89" s="99" t="s">
        <v>52</v>
      </c>
      <c r="K89" s="99" t="s">
        <v>1969</v>
      </c>
      <c r="L89" s="101">
        <v>40848</v>
      </c>
      <c r="M89" s="104">
        <f>IF(Main[[#This Row],[Tech Start Date]]&lt;1/1/1990,"",IF(Main[[#This Row],[Class]]="C",WORKDAY(Main[[#This Row],[Tech Start Date]],9),IF(Main[[#This Row],[Class]]="B", WORKDAY(Main[[#This Row],[Tech Start Date]],6),IF(Main[[#This Row],[Class]]="A",WORKDAY(Main[[#This Row],[Tech Start Date]],2),""))))</f>
        <v>40856</v>
      </c>
      <c r="N89" s="104">
        <f>IF(Main[[#This Row],[Tech Start Date]]&lt;1/1/1990,"",IF(Main[[#This Row],[Class]]="C",WORKDAY(Main[[#This Row],[Tech Start Date]],19),IF(Main[[#This Row],[Class]]="B", WORKDAY(Main[[#This Row],[Tech Start Date]],12),IF(Main[[#This Row],[Class]]="A",WORKDAY(Main[[#This Row],[Tech Start Date]],4),""))))</f>
        <v>40864</v>
      </c>
      <c r="O89" s="104">
        <f>IF(Main[[#This Row],[Tech Start Date]]&lt;1/1/1990,"",IF(Main[[#This Row],[Class]]="C",WORKDAY(Main[[#This Row],[Tech Start Date]],23),IF(Main[[#This Row],[Class]]="B", WORKDAY(Main[[#This Row],[Tech Start Date]],15),IF(Main[[#This Row],[Class]]="A",WORKDAY(Main[[#This Row],[Tech Start Date]],5),""))))</f>
        <v>40869</v>
      </c>
      <c r="P89" s="104">
        <f>IF(Main[[#This Row],[Tech Start Date]]&lt;1/1/1990,"",IF(Main[[#This Row],[Class]]="C",WORKDAY(Main[[#This Row],[Tech Start Date]],28),IF(Main[[#This Row],[Class]]="B", WORKDAY(Main[[#This Row],[Tech Start Date]],19),IF(Main[[#This Row],[Class]]="A",WORKDAY(Main[[#This Row],[Tech Start Date]],9),""))))</f>
        <v>40875</v>
      </c>
      <c r="Q89" s="101">
        <v>40860</v>
      </c>
      <c r="R89" s="101">
        <v>40883</v>
      </c>
      <c r="S89" s="99" t="s">
        <v>11</v>
      </c>
      <c r="T89" s="107" t="s">
        <v>2954</v>
      </c>
      <c r="U89" s="99" t="s">
        <v>29</v>
      </c>
      <c r="V89" s="99" t="s">
        <v>1972</v>
      </c>
      <c r="W89" s="99" t="s">
        <v>1968</v>
      </c>
    </row>
    <row r="90" spans="1:23" ht="18.600000000000001" customHeight="1">
      <c r="A90" s="123">
        <f>IF(priority(Main[[#This Row],[Comments]])&lt;&gt;0, priority(Main[[#This Row],[Comments]]),"")</f>
        <v>26</v>
      </c>
      <c r="B90" s="127" t="s">
        <v>1498</v>
      </c>
      <c r="C90" s="99" t="s">
        <v>4</v>
      </c>
      <c r="D90" s="100" t="s">
        <v>2395</v>
      </c>
      <c r="E90" s="101">
        <v>40702.622164351851</v>
      </c>
      <c r="F90" s="101"/>
      <c r="G90" s="102" t="str">
        <f>IF(stdProdLT(Main[[#This Row],[Comments]])=0.1,"N/A",IF(stdProdLT(Main[[#This Row],[Comments]])=0,"",stdProdLT(Main[[#This Row],[Comments]])))</f>
        <v>N/A</v>
      </c>
      <c r="H90" s="103" t="str">
        <f>IF(AND(Main[[#This Row],[In Stock Date]]&lt;&gt;"",Main[[#This Row],[Revised Due Date]]&lt;&gt;""),Main[[#This Row],[In Stock Date]]-Main[[#This Row],[Revised Due Date]],"")</f>
        <v/>
      </c>
      <c r="I90" s="99" t="s">
        <v>929</v>
      </c>
      <c r="J90" s="99" t="s">
        <v>52</v>
      </c>
      <c r="K90" s="99" t="s">
        <v>4</v>
      </c>
      <c r="L90" s="101"/>
      <c r="M90" s="104" t="str">
        <f>IF(Main[[#This Row],[Tech Start Date]]&lt;1/1/1990,"",IF(Main[[#This Row],[Class]]="C",WORKDAY(Main[[#This Row],[Tech Start Date]],9),IF(Main[[#This Row],[Class]]="B", WORKDAY(Main[[#This Row],[Tech Start Date]],6),IF(Main[[#This Row],[Class]]="A",WORKDAY(Main[[#This Row],[Tech Start Date]],2),""))))</f>
        <v/>
      </c>
      <c r="N90" s="104" t="str">
        <f>IF(Main[[#This Row],[Tech Start Date]]&lt;1/1/1990,"",IF(Main[[#This Row],[Class]]="C",WORKDAY(Main[[#This Row],[Tech Start Date]],19),IF(Main[[#This Row],[Class]]="B", WORKDAY(Main[[#This Row],[Tech Start Date]],12),IF(Main[[#This Row],[Class]]="A",WORKDAY(Main[[#This Row],[Tech Start Date]],4),""))))</f>
        <v/>
      </c>
      <c r="O90" s="104" t="str">
        <f>IF(Main[[#This Row],[Tech Start Date]]&lt;1/1/1990,"",IF(Main[[#This Row],[Class]]="C",WORKDAY(Main[[#This Row],[Tech Start Date]],23),IF(Main[[#This Row],[Class]]="B", WORKDAY(Main[[#This Row],[Tech Start Date]],15),IF(Main[[#This Row],[Class]]="A",WORKDAY(Main[[#This Row],[Tech Start Date]],5),""))))</f>
        <v/>
      </c>
      <c r="P90" s="104" t="str">
        <f>IF(Main[[#This Row],[Tech Start Date]]&lt;1/1/1990,"",IF(Main[[#This Row],[Class]]="C",WORKDAY(Main[[#This Row],[Tech Start Date]],28),IF(Main[[#This Row],[Class]]="B", WORKDAY(Main[[#This Row],[Tech Start Date]],19),IF(Main[[#This Row],[Class]]="A",WORKDAY(Main[[#This Row],[Tech Start Date]],9),""))))</f>
        <v/>
      </c>
      <c r="Q90" s="101"/>
      <c r="R90" s="101">
        <v>40756</v>
      </c>
      <c r="S90" s="99" t="s">
        <v>6</v>
      </c>
      <c r="T90" s="107" t="s">
        <v>2335</v>
      </c>
      <c r="U90" s="99" t="s">
        <v>29</v>
      </c>
      <c r="V90" s="99" t="s">
        <v>1962</v>
      </c>
      <c r="W90" s="99" t="s">
        <v>1966</v>
      </c>
    </row>
    <row r="91" spans="1:23" ht="18.600000000000001" customHeight="1">
      <c r="A91" s="123">
        <f>IF(priority(Main[[#This Row],[Comments]])&lt;&gt;0, priority(Main[[#This Row],[Comments]]),"")</f>
        <v>26</v>
      </c>
      <c r="B91" s="127" t="s">
        <v>1952</v>
      </c>
      <c r="C91" s="99" t="s">
        <v>977</v>
      </c>
      <c r="D91" s="100" t="s">
        <v>2074</v>
      </c>
      <c r="E91" s="101"/>
      <c r="F91" s="101"/>
      <c r="G91" s="102">
        <f>IF(stdProdLT(Main[[#This Row],[Comments]])=0.1,"N/A",IF(stdProdLT(Main[[#This Row],[Comments]])=0,"",stdProdLT(Main[[#This Row],[Comments]])))</f>
        <v>112</v>
      </c>
      <c r="H91" s="103" t="str">
        <f>IF(AND(Main[[#This Row],[In Stock Date]]&lt;&gt;"",Main[[#This Row],[Revised Due Date]]&lt;&gt;""),Main[[#This Row],[In Stock Date]]-Main[[#This Row],[Revised Due Date]],"")</f>
        <v/>
      </c>
      <c r="I91" s="99" t="s">
        <v>4</v>
      </c>
      <c r="J91" s="99" t="s">
        <v>52</v>
      </c>
      <c r="K91" s="99" t="s">
        <v>1975</v>
      </c>
      <c r="L91" s="101">
        <v>40694</v>
      </c>
      <c r="M91" s="104">
        <f>IF(Main[[#This Row],[Tech Start Date]]&lt;1/1/1990,"",IF(Main[[#This Row],[Class]]="C",WORKDAY(Main[[#This Row],[Tech Start Date]],9),IF(Main[[#This Row],[Class]]="B", WORKDAY(Main[[#This Row],[Tech Start Date]],6),IF(Main[[#This Row],[Class]]="A",WORKDAY(Main[[#This Row],[Tech Start Date]],2),""))))</f>
        <v>40707</v>
      </c>
      <c r="N91" s="104">
        <f>IF(Main[[#This Row],[Tech Start Date]]&lt;1/1/1990,"",IF(Main[[#This Row],[Class]]="C",WORKDAY(Main[[#This Row],[Tech Start Date]],19),IF(Main[[#This Row],[Class]]="B", WORKDAY(Main[[#This Row],[Tech Start Date]],12),IF(Main[[#This Row],[Class]]="A",WORKDAY(Main[[#This Row],[Tech Start Date]],4),""))))</f>
        <v>40721</v>
      </c>
      <c r="O91" s="104">
        <f>IF(Main[[#This Row],[Tech Start Date]]&lt;1/1/1990,"",IF(Main[[#This Row],[Class]]="C",WORKDAY(Main[[#This Row],[Tech Start Date]],23),IF(Main[[#This Row],[Class]]="B", WORKDAY(Main[[#This Row],[Tech Start Date]],15),IF(Main[[#This Row],[Class]]="A",WORKDAY(Main[[#This Row],[Tech Start Date]],5),""))))</f>
        <v>40725</v>
      </c>
      <c r="P91" s="104">
        <f>IF(Main[[#This Row],[Tech Start Date]]&lt;1/1/1990,"",IF(Main[[#This Row],[Class]]="C",WORKDAY(Main[[#This Row],[Tech Start Date]],28),IF(Main[[#This Row],[Class]]="B", WORKDAY(Main[[#This Row],[Tech Start Date]],19),IF(Main[[#This Row],[Class]]="A",WORKDAY(Main[[#This Row],[Tech Start Date]],9),""))))</f>
        <v>40732</v>
      </c>
      <c r="Q91" s="101">
        <v>40723</v>
      </c>
      <c r="R91" s="101">
        <v>40753</v>
      </c>
      <c r="S91" s="99" t="s">
        <v>11</v>
      </c>
      <c r="T91" s="107" t="s">
        <v>2055</v>
      </c>
      <c r="U91" s="99" t="s">
        <v>14</v>
      </c>
      <c r="V91" s="99" t="s">
        <v>1962</v>
      </c>
      <c r="W91" s="99" t="s">
        <v>1964</v>
      </c>
    </row>
    <row r="92" spans="1:23" ht="18.600000000000001" customHeight="1">
      <c r="A92" s="123">
        <f>IF(priority(Main[[#This Row],[Comments]])&lt;&gt;0, priority(Main[[#This Row],[Comments]]),"")</f>
        <v>26</v>
      </c>
      <c r="B92" s="127" t="s">
        <v>1472</v>
      </c>
      <c r="C92" s="99" t="s">
        <v>132</v>
      </c>
      <c r="D92" s="100" t="s">
        <v>2057</v>
      </c>
      <c r="E92" s="101"/>
      <c r="F92" s="101">
        <v>40939</v>
      </c>
      <c r="G92" s="102">
        <f>IF(stdProdLT(Main[[#This Row],[Comments]])=0.1,"N/A",IF(stdProdLT(Main[[#This Row],[Comments]])=0,"",stdProdLT(Main[[#This Row],[Comments]])))</f>
        <v>126</v>
      </c>
      <c r="H92" s="103">
        <f>IF(AND(Main[[#This Row],[In Stock Date]]&lt;&gt;"",Main[[#This Row],[Revised Due Date]]&lt;&gt;""),Main[[#This Row],[In Stock Date]]-Main[[#This Row],[Revised Due Date]],"")</f>
        <v>154</v>
      </c>
      <c r="I92" s="99" t="s">
        <v>126</v>
      </c>
      <c r="J92" s="99" t="s">
        <v>28</v>
      </c>
      <c r="K92" s="99" t="s">
        <v>1975</v>
      </c>
      <c r="L92" s="101">
        <v>40736</v>
      </c>
      <c r="M92" s="104">
        <f>IF(Main[[#This Row],[Tech Start Date]]&lt;1/1/1990,"",IF(Main[[#This Row],[Class]]="C",WORKDAY(Main[[#This Row],[Tech Start Date]],9),IF(Main[[#This Row],[Class]]="B", WORKDAY(Main[[#This Row],[Tech Start Date]],6),IF(Main[[#This Row],[Class]]="A",WORKDAY(Main[[#This Row],[Tech Start Date]],2),""))))</f>
        <v>40749</v>
      </c>
      <c r="N92" s="104">
        <f>IF(Main[[#This Row],[Tech Start Date]]&lt;1/1/1990,"",IF(Main[[#This Row],[Class]]="C",WORKDAY(Main[[#This Row],[Tech Start Date]],19),IF(Main[[#This Row],[Class]]="B", WORKDAY(Main[[#This Row],[Tech Start Date]],12),IF(Main[[#This Row],[Class]]="A",WORKDAY(Main[[#This Row],[Tech Start Date]],4),""))))</f>
        <v>40763</v>
      </c>
      <c r="O92" s="104">
        <f>IF(Main[[#This Row],[Tech Start Date]]&lt;1/1/1990,"",IF(Main[[#This Row],[Class]]="C",WORKDAY(Main[[#This Row],[Tech Start Date]],23),IF(Main[[#This Row],[Class]]="B", WORKDAY(Main[[#This Row],[Tech Start Date]],15),IF(Main[[#This Row],[Class]]="A",WORKDAY(Main[[#This Row],[Tech Start Date]],5),""))))</f>
        <v>40767</v>
      </c>
      <c r="P92" s="104">
        <f>IF(Main[[#This Row],[Tech Start Date]]&lt;1/1/1990,"",IF(Main[[#This Row],[Class]]="C",WORKDAY(Main[[#This Row],[Tech Start Date]],28),IF(Main[[#This Row],[Class]]="B", WORKDAY(Main[[#This Row],[Tech Start Date]],19),IF(Main[[#This Row],[Class]]="A",WORKDAY(Main[[#This Row],[Tech Start Date]],9),""))))</f>
        <v>40774</v>
      </c>
      <c r="Q92" s="101">
        <v>40799</v>
      </c>
      <c r="R92" s="101">
        <v>40785</v>
      </c>
      <c r="S92" s="99" t="s">
        <v>11</v>
      </c>
      <c r="T92" s="107" t="s">
        <v>2058</v>
      </c>
      <c r="U92" s="99" t="s">
        <v>14</v>
      </c>
      <c r="V92" s="99" t="s">
        <v>1962</v>
      </c>
      <c r="W92" s="99" t="s">
        <v>1973</v>
      </c>
    </row>
    <row r="93" spans="1:23" ht="18.600000000000001" customHeight="1">
      <c r="A93" s="123">
        <f>IF(priority(Main[[#This Row],[Comments]])&lt;&gt;0, priority(Main[[#This Row],[Comments]]),"")</f>
        <v>26</v>
      </c>
      <c r="B93" s="127" t="s">
        <v>3160</v>
      </c>
      <c r="C93" s="99" t="s">
        <v>116</v>
      </c>
      <c r="D93" s="100" t="s">
        <v>3161</v>
      </c>
      <c r="E93" s="101">
        <v>40763.500717592593</v>
      </c>
      <c r="F93" s="101">
        <v>41090</v>
      </c>
      <c r="G93" s="102">
        <f>IF(stdProdLT(Main[[#This Row],[Comments]])=0.1,"N/A",IF(stdProdLT(Main[[#This Row],[Comments]])=0,"",stdProdLT(Main[[#This Row],[Comments]])))</f>
        <v>154</v>
      </c>
      <c r="H93" s="103">
        <f>IF(AND(Main[[#This Row],[In Stock Date]]&lt;&gt;"",Main[[#This Row],[Revised Due Date]]&lt;&gt;""),Main[[#This Row],[In Stock Date]]-Main[[#This Row],[Revised Due Date]],"")</f>
        <v>182</v>
      </c>
      <c r="I93" s="99" t="s">
        <v>905</v>
      </c>
      <c r="J93" s="99" t="s">
        <v>28</v>
      </c>
      <c r="K93" s="99" t="s">
        <v>1975</v>
      </c>
      <c r="L93" s="101">
        <v>40772</v>
      </c>
      <c r="M93" s="104">
        <f>IF(Main[[#This Row],[Tech Start Date]]&lt;1/1/1990,"",IF(Main[[#This Row],[Class]]="C",WORKDAY(Main[[#This Row],[Tech Start Date]],9),IF(Main[[#This Row],[Class]]="B", WORKDAY(Main[[#This Row],[Tech Start Date]],6),IF(Main[[#This Row],[Class]]="A",WORKDAY(Main[[#This Row],[Tech Start Date]],2),""))))</f>
        <v>40785</v>
      </c>
      <c r="N93" s="104">
        <f>IF(Main[[#This Row],[Tech Start Date]]&lt;1/1/1990,"",IF(Main[[#This Row],[Class]]="C",WORKDAY(Main[[#This Row],[Tech Start Date]],19),IF(Main[[#This Row],[Class]]="B", WORKDAY(Main[[#This Row],[Tech Start Date]],12),IF(Main[[#This Row],[Class]]="A",WORKDAY(Main[[#This Row],[Tech Start Date]],4),""))))</f>
        <v>40799</v>
      </c>
      <c r="O93" s="104">
        <f>IF(Main[[#This Row],[Tech Start Date]]&lt;1/1/1990,"",IF(Main[[#This Row],[Class]]="C",WORKDAY(Main[[#This Row],[Tech Start Date]],23),IF(Main[[#This Row],[Class]]="B", WORKDAY(Main[[#This Row],[Tech Start Date]],15),IF(Main[[#This Row],[Class]]="A",WORKDAY(Main[[#This Row],[Tech Start Date]],5),""))))</f>
        <v>40805</v>
      </c>
      <c r="P93" s="104">
        <f>IF(Main[[#This Row],[Tech Start Date]]&lt;1/1/1990,"",IF(Main[[#This Row],[Class]]="C",WORKDAY(Main[[#This Row],[Tech Start Date]],28),IF(Main[[#This Row],[Class]]="B", WORKDAY(Main[[#This Row],[Tech Start Date]],19),IF(Main[[#This Row],[Class]]="A",WORKDAY(Main[[#This Row],[Tech Start Date]],9),""))))</f>
        <v>40812</v>
      </c>
      <c r="Q93" s="101">
        <v>40687</v>
      </c>
      <c r="R93" s="101">
        <v>40908</v>
      </c>
      <c r="S93" s="99" t="s">
        <v>11</v>
      </c>
      <c r="T93" s="107" t="s">
        <v>3162</v>
      </c>
      <c r="U93" s="99" t="s">
        <v>29</v>
      </c>
      <c r="V93" s="99" t="s">
        <v>1962</v>
      </c>
      <c r="W93" s="99" t="s">
        <v>1967</v>
      </c>
    </row>
    <row r="94" spans="1:23" ht="18.600000000000001" customHeight="1">
      <c r="A94" s="123">
        <f>IF(priority(Main[[#This Row],[Comments]])&lt;&gt;0, priority(Main[[#This Row],[Comments]]),"")</f>
        <v>26</v>
      </c>
      <c r="B94" s="127" t="s">
        <v>2993</v>
      </c>
      <c r="C94" s="99" t="s">
        <v>3050</v>
      </c>
      <c r="D94" s="100" t="s">
        <v>2994</v>
      </c>
      <c r="E94" s="101">
        <v>40848.333912037036</v>
      </c>
      <c r="F94" s="101">
        <v>41014</v>
      </c>
      <c r="G94" s="102">
        <f>IF(stdProdLT(Main[[#This Row],[Comments]])=0.1,"N/A",IF(stdProdLT(Main[[#This Row],[Comments]])=0,"",stdProdLT(Main[[#This Row],[Comments]])))</f>
        <v>140</v>
      </c>
      <c r="H94" s="103">
        <f>IF(AND(Main[[#This Row],[In Stock Date]]&lt;&gt;"",Main[[#This Row],[Revised Due Date]]&lt;&gt;""),Main[[#This Row],[In Stock Date]]-Main[[#This Row],[Revised Due Date]],"")</f>
        <v>115</v>
      </c>
      <c r="I94" s="99" t="s">
        <v>30</v>
      </c>
      <c r="J94" s="99" t="s">
        <v>52</v>
      </c>
      <c r="K94" s="99" t="s">
        <v>1969</v>
      </c>
      <c r="L94" s="101">
        <v>40864</v>
      </c>
      <c r="M94" s="104">
        <f>IF(Main[[#This Row],[Tech Start Date]]&lt;1/1/1990,"",IF(Main[[#This Row],[Class]]="C",WORKDAY(Main[[#This Row],[Tech Start Date]],9),IF(Main[[#This Row],[Class]]="B", WORKDAY(Main[[#This Row],[Tech Start Date]],6),IF(Main[[#This Row],[Class]]="A",WORKDAY(Main[[#This Row],[Tech Start Date]],2),""))))</f>
        <v>40872</v>
      </c>
      <c r="N94" s="104">
        <f>IF(Main[[#This Row],[Tech Start Date]]&lt;1/1/1990,"",IF(Main[[#This Row],[Class]]="C",WORKDAY(Main[[#This Row],[Tech Start Date]],19),IF(Main[[#This Row],[Class]]="B", WORKDAY(Main[[#This Row],[Tech Start Date]],12),IF(Main[[#This Row],[Class]]="A",WORKDAY(Main[[#This Row],[Tech Start Date]],4),""))))</f>
        <v>40882</v>
      </c>
      <c r="O94" s="104">
        <f>IF(Main[[#This Row],[Tech Start Date]]&lt;1/1/1990,"",IF(Main[[#This Row],[Class]]="C",WORKDAY(Main[[#This Row],[Tech Start Date]],23),IF(Main[[#This Row],[Class]]="B", WORKDAY(Main[[#This Row],[Tech Start Date]],15),IF(Main[[#This Row],[Class]]="A",WORKDAY(Main[[#This Row],[Tech Start Date]],5),""))))</f>
        <v>40885</v>
      </c>
      <c r="P94" s="104">
        <f>IF(Main[[#This Row],[Tech Start Date]]&lt;1/1/1990,"",IF(Main[[#This Row],[Class]]="C",WORKDAY(Main[[#This Row],[Tech Start Date]],28),IF(Main[[#This Row],[Class]]="B", WORKDAY(Main[[#This Row],[Tech Start Date]],19),IF(Main[[#This Row],[Class]]="A",WORKDAY(Main[[#This Row],[Tech Start Date]],9),""))))</f>
        <v>40891</v>
      </c>
      <c r="Q94" s="101">
        <v>40860</v>
      </c>
      <c r="R94" s="101">
        <v>40899</v>
      </c>
      <c r="S94" s="99" t="s">
        <v>11</v>
      </c>
      <c r="T94" s="107" t="s">
        <v>2995</v>
      </c>
      <c r="U94" s="99" t="s">
        <v>29</v>
      </c>
      <c r="V94" s="99" t="s">
        <v>1972</v>
      </c>
      <c r="W94" s="99" t="s">
        <v>1968</v>
      </c>
    </row>
    <row r="95" spans="1:23" ht="18.600000000000001" customHeight="1">
      <c r="A95" s="123">
        <f>IF(priority(Main[[#This Row],[Comments]])&lt;&gt;0, priority(Main[[#This Row],[Comments]]),"")</f>
        <v>27</v>
      </c>
      <c r="B95" s="127" t="s">
        <v>2937</v>
      </c>
      <c r="C95" s="99" t="s">
        <v>3050</v>
      </c>
      <c r="D95" s="100" t="s">
        <v>2938</v>
      </c>
      <c r="E95" s="101">
        <v>40837.219710648147</v>
      </c>
      <c r="F95" s="101">
        <v>41014</v>
      </c>
      <c r="G95" s="102">
        <f>IF(stdProdLT(Main[[#This Row],[Comments]])=0.1,"N/A",IF(stdProdLT(Main[[#This Row],[Comments]])=0,"",stdProdLT(Main[[#This Row],[Comments]])))</f>
        <v>140</v>
      </c>
      <c r="H95" s="103">
        <f>IF(AND(Main[[#This Row],[In Stock Date]]&lt;&gt;"",Main[[#This Row],[Revised Due Date]]&lt;&gt;""),Main[[#This Row],[In Stock Date]]-Main[[#This Row],[Revised Due Date]],"")</f>
        <v>131</v>
      </c>
      <c r="I95" s="99" t="s">
        <v>131</v>
      </c>
      <c r="J95" s="99" t="s">
        <v>70</v>
      </c>
      <c r="K95" s="99" t="s">
        <v>1971</v>
      </c>
      <c r="L95" s="101">
        <v>40848</v>
      </c>
      <c r="M95" s="104">
        <f>IF(Main[[#This Row],[Tech Start Date]]&lt;1/1/1990,"",IF(Main[[#This Row],[Class]]="C",WORKDAY(Main[[#This Row],[Tech Start Date]],9),IF(Main[[#This Row],[Class]]="B", WORKDAY(Main[[#This Row],[Tech Start Date]],6),IF(Main[[#This Row],[Class]]="A",WORKDAY(Main[[#This Row],[Tech Start Date]],2),""))))</f>
        <v>40850</v>
      </c>
      <c r="N95" s="104">
        <f>IF(Main[[#This Row],[Tech Start Date]]&lt;1/1/1990,"",IF(Main[[#This Row],[Class]]="C",WORKDAY(Main[[#This Row],[Tech Start Date]],19),IF(Main[[#This Row],[Class]]="B", WORKDAY(Main[[#This Row],[Tech Start Date]],12),IF(Main[[#This Row],[Class]]="A",WORKDAY(Main[[#This Row],[Tech Start Date]],4),""))))</f>
        <v>40854</v>
      </c>
      <c r="O95" s="104">
        <f>IF(Main[[#This Row],[Tech Start Date]]&lt;1/1/1990,"",IF(Main[[#This Row],[Class]]="C",WORKDAY(Main[[#This Row],[Tech Start Date]],23),IF(Main[[#This Row],[Class]]="B", WORKDAY(Main[[#This Row],[Tech Start Date]],15),IF(Main[[#This Row],[Class]]="A",WORKDAY(Main[[#This Row],[Tech Start Date]],5),""))))</f>
        <v>40855</v>
      </c>
      <c r="P95" s="104">
        <f>IF(Main[[#This Row],[Tech Start Date]]&lt;1/1/1990,"",IF(Main[[#This Row],[Class]]="C",WORKDAY(Main[[#This Row],[Tech Start Date]],28),IF(Main[[#This Row],[Class]]="B", WORKDAY(Main[[#This Row],[Tech Start Date]],19),IF(Main[[#This Row],[Class]]="A",WORKDAY(Main[[#This Row],[Tech Start Date]],9),""))))</f>
        <v>40861</v>
      </c>
      <c r="Q95" s="101">
        <v>40860</v>
      </c>
      <c r="R95" s="101">
        <v>40883</v>
      </c>
      <c r="S95" s="99" t="s">
        <v>11</v>
      </c>
      <c r="T95" s="107" t="s">
        <v>2939</v>
      </c>
      <c r="U95" s="99" t="s">
        <v>29</v>
      </c>
      <c r="V95" s="99" t="s">
        <v>1965</v>
      </c>
      <c r="W95" s="99" t="s">
        <v>1968</v>
      </c>
    </row>
    <row r="96" spans="1:23" ht="18.600000000000001" customHeight="1">
      <c r="A96" s="123">
        <f>IF(priority(Main[[#This Row],[Comments]])&lt;&gt;0, priority(Main[[#This Row],[Comments]]),"")</f>
        <v>27</v>
      </c>
      <c r="B96" s="127" t="s">
        <v>3015</v>
      </c>
      <c r="C96" s="99" t="s">
        <v>33</v>
      </c>
      <c r="D96" s="100" t="s">
        <v>3132</v>
      </c>
      <c r="E96" s="101">
        <v>40849.421423611115</v>
      </c>
      <c r="F96" s="101">
        <v>40877</v>
      </c>
      <c r="G96" s="102">
        <f>IF(stdProdLT(Main[[#This Row],[Comments]])=0.1,"N/A",IF(stdProdLT(Main[[#This Row],[Comments]])=0,"",stdProdLT(Main[[#This Row],[Comments]])))</f>
        <v>112</v>
      </c>
      <c r="H96" s="103">
        <f>IF(AND(Main[[#This Row],[In Stock Date]]&lt;&gt;"",Main[[#This Row],[Revised Due Date]]&lt;&gt;""),Main[[#This Row],[In Stock Date]]-Main[[#This Row],[Revised Due Date]],"")</f>
        <v>-22</v>
      </c>
      <c r="I96" s="99" t="s">
        <v>568</v>
      </c>
      <c r="J96" s="99" t="s">
        <v>28</v>
      </c>
      <c r="K96" s="99" t="s">
        <v>1969</v>
      </c>
      <c r="L96" s="101">
        <v>41235</v>
      </c>
      <c r="M96" s="104">
        <f>IF(Main[[#This Row],[Tech Start Date]]&lt;1/1/1990,"",IF(Main[[#This Row],[Class]]="C",WORKDAY(Main[[#This Row],[Tech Start Date]],9),IF(Main[[#This Row],[Class]]="B", WORKDAY(Main[[#This Row],[Tech Start Date]],6),IF(Main[[#This Row],[Class]]="A",WORKDAY(Main[[#This Row],[Tech Start Date]],2),""))))</f>
        <v>41243</v>
      </c>
      <c r="N96" s="104">
        <f>IF(Main[[#This Row],[Tech Start Date]]&lt;1/1/1990,"",IF(Main[[#This Row],[Class]]="C",WORKDAY(Main[[#This Row],[Tech Start Date]],19),IF(Main[[#This Row],[Class]]="B", WORKDAY(Main[[#This Row],[Tech Start Date]],12),IF(Main[[#This Row],[Class]]="A",WORKDAY(Main[[#This Row],[Tech Start Date]],4),""))))</f>
        <v>41253</v>
      </c>
      <c r="O96" s="104">
        <f>IF(Main[[#This Row],[Tech Start Date]]&lt;1/1/1990,"",IF(Main[[#This Row],[Class]]="C",WORKDAY(Main[[#This Row],[Tech Start Date]],23),IF(Main[[#This Row],[Class]]="B", WORKDAY(Main[[#This Row],[Tech Start Date]],15),IF(Main[[#This Row],[Class]]="A",WORKDAY(Main[[#This Row],[Tech Start Date]],5),""))))</f>
        <v>41256</v>
      </c>
      <c r="P96" s="104">
        <f>IF(Main[[#This Row],[Tech Start Date]]&lt;1/1/1990,"",IF(Main[[#This Row],[Class]]="C",WORKDAY(Main[[#This Row],[Tech Start Date]],28),IF(Main[[#This Row],[Class]]="B", WORKDAY(Main[[#This Row],[Tech Start Date]],19),IF(Main[[#This Row],[Class]]="A",WORKDAY(Main[[#This Row],[Tech Start Date]],9),""))))</f>
        <v>41262</v>
      </c>
      <c r="Q96" s="101">
        <v>40899</v>
      </c>
      <c r="R96" s="101">
        <v>40899</v>
      </c>
      <c r="S96" s="99" t="s">
        <v>11</v>
      </c>
      <c r="T96" s="107" t="s">
        <v>3158</v>
      </c>
      <c r="U96" s="99" t="s">
        <v>29</v>
      </c>
      <c r="V96" s="99" t="s">
        <v>1962</v>
      </c>
      <c r="W96" s="99" t="s">
        <v>1967</v>
      </c>
    </row>
    <row r="97" spans="1:23" ht="18.600000000000001" customHeight="1">
      <c r="A97" s="123">
        <f>IF(priority(Main[[#This Row],[Comments]])&lt;&gt;0, priority(Main[[#This Row],[Comments]]),"")</f>
        <v>28</v>
      </c>
      <c r="B97" s="127" t="s">
        <v>1048</v>
      </c>
      <c r="C97" s="99" t="s">
        <v>4</v>
      </c>
      <c r="D97" s="100" t="s">
        <v>2390</v>
      </c>
      <c r="E97" s="101">
        <v>40603.481041666666</v>
      </c>
      <c r="F97" s="101"/>
      <c r="G97" s="102" t="str">
        <f>IF(stdProdLT(Main[[#This Row],[Comments]])=0.1,"N/A",IF(stdProdLT(Main[[#This Row],[Comments]])=0,"",stdProdLT(Main[[#This Row],[Comments]])))</f>
        <v/>
      </c>
      <c r="H97" s="103" t="str">
        <f>IF(AND(Main[[#This Row],[In Stock Date]]&lt;&gt;"",Main[[#This Row],[Revised Due Date]]&lt;&gt;""),Main[[#This Row],[In Stock Date]]-Main[[#This Row],[Revised Due Date]],"")</f>
        <v/>
      </c>
      <c r="I97" s="99" t="s">
        <v>929</v>
      </c>
      <c r="J97" s="99" t="s">
        <v>52</v>
      </c>
      <c r="K97" s="99" t="s">
        <v>1971</v>
      </c>
      <c r="L97" s="101"/>
      <c r="M97" s="104" t="str">
        <f>IF(Main[[#This Row],[Tech Start Date]]&lt;1/1/1990,"",IF(Main[[#This Row],[Class]]="C",WORKDAY(Main[[#This Row],[Tech Start Date]],9),IF(Main[[#This Row],[Class]]="B", WORKDAY(Main[[#This Row],[Tech Start Date]],6),IF(Main[[#This Row],[Class]]="A",WORKDAY(Main[[#This Row],[Tech Start Date]],2),""))))</f>
        <v/>
      </c>
      <c r="N97" s="104" t="str">
        <f>IF(Main[[#This Row],[Tech Start Date]]&lt;1/1/1990,"",IF(Main[[#This Row],[Class]]="C",WORKDAY(Main[[#This Row],[Tech Start Date]],19),IF(Main[[#This Row],[Class]]="B", WORKDAY(Main[[#This Row],[Tech Start Date]],12),IF(Main[[#This Row],[Class]]="A",WORKDAY(Main[[#This Row],[Tech Start Date]],4),""))))</f>
        <v/>
      </c>
      <c r="O97" s="104" t="str">
        <f>IF(Main[[#This Row],[Tech Start Date]]&lt;1/1/1990,"",IF(Main[[#This Row],[Class]]="C",WORKDAY(Main[[#This Row],[Tech Start Date]],23),IF(Main[[#This Row],[Class]]="B", WORKDAY(Main[[#This Row],[Tech Start Date]],15),IF(Main[[#This Row],[Class]]="A",WORKDAY(Main[[#This Row],[Tech Start Date]],5),""))))</f>
        <v/>
      </c>
      <c r="P97" s="104" t="str">
        <f>IF(Main[[#This Row],[Tech Start Date]]&lt;1/1/1990,"",IF(Main[[#This Row],[Class]]="C",WORKDAY(Main[[#This Row],[Tech Start Date]],28),IF(Main[[#This Row],[Class]]="B", WORKDAY(Main[[#This Row],[Tech Start Date]],19),IF(Main[[#This Row],[Class]]="A",WORKDAY(Main[[#This Row],[Tech Start Date]],9),""))))</f>
        <v/>
      </c>
      <c r="Q97" s="101">
        <v>40637</v>
      </c>
      <c r="R97" s="101"/>
      <c r="S97" s="99" t="s">
        <v>6</v>
      </c>
      <c r="T97" s="107" t="s">
        <v>3016</v>
      </c>
      <c r="U97" s="99" t="s">
        <v>29</v>
      </c>
      <c r="V97" s="99" t="s">
        <v>1962</v>
      </c>
      <c r="W97" s="99" t="s">
        <v>1964</v>
      </c>
    </row>
    <row r="98" spans="1:23" ht="18.600000000000001" customHeight="1">
      <c r="A98" s="123">
        <f>IF(priority(Main[[#This Row],[Comments]])&lt;&gt;0, priority(Main[[#This Row],[Comments]]),"")</f>
        <v>28</v>
      </c>
      <c r="B98" s="127" t="s">
        <v>2934</v>
      </c>
      <c r="C98" s="99" t="s">
        <v>3050</v>
      </c>
      <c r="D98" s="100" t="s">
        <v>2935</v>
      </c>
      <c r="E98" s="101">
        <v>40837.218611111108</v>
      </c>
      <c r="F98" s="101">
        <v>41014</v>
      </c>
      <c r="G98" s="102">
        <f>IF(stdProdLT(Main[[#This Row],[Comments]])=0.1,"N/A",IF(stdProdLT(Main[[#This Row],[Comments]])=0,"",stdProdLT(Main[[#This Row],[Comments]])))</f>
        <v>140</v>
      </c>
      <c r="H98" s="103">
        <f>IF(AND(Main[[#This Row],[In Stock Date]]&lt;&gt;"",Main[[#This Row],[Revised Due Date]]&lt;&gt;""),Main[[#This Row],[In Stock Date]]-Main[[#This Row],[Revised Due Date]],"")</f>
        <v>131</v>
      </c>
      <c r="I98" s="99" t="s">
        <v>911</v>
      </c>
      <c r="J98" s="99" t="s">
        <v>52</v>
      </c>
      <c r="K98" s="99" t="s">
        <v>1969</v>
      </c>
      <c r="L98" s="101">
        <v>40848</v>
      </c>
      <c r="M98" s="104">
        <f>IF(Main[[#This Row],[Tech Start Date]]&lt;1/1/1990,"",IF(Main[[#This Row],[Class]]="C",WORKDAY(Main[[#This Row],[Tech Start Date]],9),IF(Main[[#This Row],[Class]]="B", WORKDAY(Main[[#This Row],[Tech Start Date]],6),IF(Main[[#This Row],[Class]]="A",WORKDAY(Main[[#This Row],[Tech Start Date]],2),""))))</f>
        <v>40856</v>
      </c>
      <c r="N98" s="104">
        <f>IF(Main[[#This Row],[Tech Start Date]]&lt;1/1/1990,"",IF(Main[[#This Row],[Class]]="C",WORKDAY(Main[[#This Row],[Tech Start Date]],19),IF(Main[[#This Row],[Class]]="B", WORKDAY(Main[[#This Row],[Tech Start Date]],12),IF(Main[[#This Row],[Class]]="A",WORKDAY(Main[[#This Row],[Tech Start Date]],4),""))))</f>
        <v>40864</v>
      </c>
      <c r="O98" s="104">
        <f>IF(Main[[#This Row],[Tech Start Date]]&lt;1/1/1990,"",IF(Main[[#This Row],[Class]]="C",WORKDAY(Main[[#This Row],[Tech Start Date]],23),IF(Main[[#This Row],[Class]]="B", WORKDAY(Main[[#This Row],[Tech Start Date]],15),IF(Main[[#This Row],[Class]]="A",WORKDAY(Main[[#This Row],[Tech Start Date]],5),""))))</f>
        <v>40869</v>
      </c>
      <c r="P98" s="104">
        <f>IF(Main[[#This Row],[Tech Start Date]]&lt;1/1/1990,"",IF(Main[[#This Row],[Class]]="C",WORKDAY(Main[[#This Row],[Tech Start Date]],28),IF(Main[[#This Row],[Class]]="B", WORKDAY(Main[[#This Row],[Tech Start Date]],19),IF(Main[[#This Row],[Class]]="A",WORKDAY(Main[[#This Row],[Tech Start Date]],9),""))))</f>
        <v>40875</v>
      </c>
      <c r="Q98" s="101">
        <v>40860</v>
      </c>
      <c r="R98" s="101">
        <v>40883</v>
      </c>
      <c r="S98" s="99" t="s">
        <v>11</v>
      </c>
      <c r="T98" s="107" t="s">
        <v>2936</v>
      </c>
      <c r="U98" s="99" t="s">
        <v>29</v>
      </c>
      <c r="V98" s="99" t="s">
        <v>1972</v>
      </c>
      <c r="W98" s="99" t="s">
        <v>1968</v>
      </c>
    </row>
    <row r="99" spans="1:23" ht="18.600000000000001" customHeight="1">
      <c r="A99" s="123">
        <f>IF(priority(Main[[#This Row],[Comments]])&lt;&gt;0, priority(Main[[#This Row],[Comments]]),"")</f>
        <v>29</v>
      </c>
      <c r="B99" s="127" t="s">
        <v>2712</v>
      </c>
      <c r="C99" s="99" t="s">
        <v>3059</v>
      </c>
      <c r="D99" s="100" t="s">
        <v>2713</v>
      </c>
      <c r="E99" s="101">
        <v>40877.359907407408</v>
      </c>
      <c r="F99" s="101">
        <v>41030</v>
      </c>
      <c r="G99" s="102">
        <f>IF(stdProdLT(Main[[#This Row],[Comments]])=0.1,"N/A",IF(stdProdLT(Main[[#This Row],[Comments]])=0,"",stdProdLT(Main[[#This Row],[Comments]])))</f>
        <v>210</v>
      </c>
      <c r="H99" s="103">
        <f>IF(AND(Main[[#This Row],[In Stock Date]]&lt;&gt;"",Main[[#This Row],[Revised Due Date]]&lt;&gt;""),Main[[#This Row],[In Stock Date]]-Main[[#This Row],[Revised Due Date]],"")</f>
        <v>117</v>
      </c>
      <c r="I99" s="99" t="s">
        <v>173</v>
      </c>
      <c r="J99" s="99" t="s">
        <v>70</v>
      </c>
      <c r="K99" s="99" t="s">
        <v>1969</v>
      </c>
      <c r="L99" s="101">
        <v>40878</v>
      </c>
      <c r="M99" s="104">
        <f>IF(Main[[#This Row],[Tech Start Date]]&lt;1/1/1990,"",IF(Main[[#This Row],[Class]]="C",WORKDAY(Main[[#This Row],[Tech Start Date]],9),IF(Main[[#This Row],[Class]]="B", WORKDAY(Main[[#This Row],[Tech Start Date]],6),IF(Main[[#This Row],[Class]]="A",WORKDAY(Main[[#This Row],[Tech Start Date]],2),""))))</f>
        <v>40886</v>
      </c>
      <c r="N99" s="104">
        <f>IF(Main[[#This Row],[Tech Start Date]]&lt;1/1/1990,"",IF(Main[[#This Row],[Class]]="C",WORKDAY(Main[[#This Row],[Tech Start Date]],19),IF(Main[[#This Row],[Class]]="B", WORKDAY(Main[[#This Row],[Tech Start Date]],12),IF(Main[[#This Row],[Class]]="A",WORKDAY(Main[[#This Row],[Tech Start Date]],4),""))))</f>
        <v>40896</v>
      </c>
      <c r="O99" s="104">
        <f>IF(Main[[#This Row],[Tech Start Date]]&lt;1/1/1990,"",IF(Main[[#This Row],[Class]]="C",WORKDAY(Main[[#This Row],[Tech Start Date]],23),IF(Main[[#This Row],[Class]]="B", WORKDAY(Main[[#This Row],[Tech Start Date]],15),IF(Main[[#This Row],[Class]]="A",WORKDAY(Main[[#This Row],[Tech Start Date]],5),""))))</f>
        <v>40899</v>
      </c>
      <c r="P99" s="104">
        <f>IF(Main[[#This Row],[Tech Start Date]]&lt;1/1/1990,"",IF(Main[[#This Row],[Class]]="C",WORKDAY(Main[[#This Row],[Tech Start Date]],28),IF(Main[[#This Row],[Class]]="B", WORKDAY(Main[[#This Row],[Tech Start Date]],19),IF(Main[[#This Row],[Class]]="A",WORKDAY(Main[[#This Row],[Tech Start Date]],9),""))))</f>
        <v>40905</v>
      </c>
      <c r="Q99" s="101">
        <v>40923</v>
      </c>
      <c r="R99" s="101">
        <v>40913</v>
      </c>
      <c r="S99" s="99" t="s">
        <v>11</v>
      </c>
      <c r="T99" s="107" t="s">
        <v>2714</v>
      </c>
      <c r="U99" s="99" t="s">
        <v>29</v>
      </c>
      <c r="V99" s="99" t="s">
        <v>1965</v>
      </c>
      <c r="W99" s="99" t="s">
        <v>1968</v>
      </c>
    </row>
    <row r="100" spans="1:23" ht="18.600000000000001" customHeight="1">
      <c r="A100" s="123">
        <f>IF(priority(Main[[#This Row],[Comments]])&lt;&gt;0, priority(Main[[#This Row],[Comments]]),"")</f>
        <v>30</v>
      </c>
      <c r="B100" s="127" t="s">
        <v>1611</v>
      </c>
      <c r="C100" s="99" t="s">
        <v>2017</v>
      </c>
      <c r="D100" s="100" t="s">
        <v>662</v>
      </c>
      <c r="E100" s="101"/>
      <c r="F100" s="101"/>
      <c r="G100" s="102">
        <f>IF(stdProdLT(Main[[#This Row],[Comments]])=0.1,"N/A",IF(stdProdLT(Main[[#This Row],[Comments]])=0,"",stdProdLT(Main[[#This Row],[Comments]])))</f>
        <v>126</v>
      </c>
      <c r="H100" s="103" t="str">
        <f>IF(AND(Main[[#This Row],[In Stock Date]]&lt;&gt;"",Main[[#This Row],[Revised Due Date]]&lt;&gt;""),Main[[#This Row],[In Stock Date]]-Main[[#This Row],[Revised Due Date]],"")</f>
        <v/>
      </c>
      <c r="I100" s="99" t="s">
        <v>4</v>
      </c>
      <c r="J100" s="99" t="s">
        <v>4</v>
      </c>
      <c r="K100" s="99" t="s">
        <v>4</v>
      </c>
      <c r="L100" s="101"/>
      <c r="M100" s="104" t="str">
        <f>IF(Main[[#This Row],[Tech Start Date]]&lt;1/1/1990,"",IF(Main[[#This Row],[Class]]="C",WORKDAY(Main[[#This Row],[Tech Start Date]],9),IF(Main[[#This Row],[Class]]="B", WORKDAY(Main[[#This Row],[Tech Start Date]],6),IF(Main[[#This Row],[Class]]="A",WORKDAY(Main[[#This Row],[Tech Start Date]],2),""))))</f>
        <v/>
      </c>
      <c r="N100" s="104" t="str">
        <f>IF(Main[[#This Row],[Tech Start Date]]&lt;1/1/1990,"",IF(Main[[#This Row],[Class]]="C",WORKDAY(Main[[#This Row],[Tech Start Date]],19),IF(Main[[#This Row],[Class]]="B", WORKDAY(Main[[#This Row],[Tech Start Date]],12),IF(Main[[#This Row],[Class]]="A",WORKDAY(Main[[#This Row],[Tech Start Date]],4),""))))</f>
        <v/>
      </c>
      <c r="O100" s="104" t="str">
        <f>IF(Main[[#This Row],[Tech Start Date]]&lt;1/1/1990,"",IF(Main[[#This Row],[Class]]="C",WORKDAY(Main[[#This Row],[Tech Start Date]],23),IF(Main[[#This Row],[Class]]="B", WORKDAY(Main[[#This Row],[Tech Start Date]],15),IF(Main[[#This Row],[Class]]="A",WORKDAY(Main[[#This Row],[Tech Start Date]],5),""))))</f>
        <v/>
      </c>
      <c r="P100" s="104" t="str">
        <f>IF(Main[[#This Row],[Tech Start Date]]&lt;1/1/1990,"",IF(Main[[#This Row],[Class]]="C",WORKDAY(Main[[#This Row],[Tech Start Date]],28),IF(Main[[#This Row],[Class]]="B", WORKDAY(Main[[#This Row],[Tech Start Date]],19),IF(Main[[#This Row],[Class]]="A",WORKDAY(Main[[#This Row],[Tech Start Date]],9),""))))</f>
        <v/>
      </c>
      <c r="Q100" s="101">
        <v>40710</v>
      </c>
      <c r="R100" s="101">
        <v>40778</v>
      </c>
      <c r="S100" s="99" t="s">
        <v>11</v>
      </c>
      <c r="T100" s="107" t="s">
        <v>2018</v>
      </c>
      <c r="U100" s="99" t="s">
        <v>14</v>
      </c>
      <c r="V100" s="99" t="s">
        <v>1962</v>
      </c>
      <c r="W100" s="99" t="s">
        <v>1964</v>
      </c>
    </row>
    <row r="101" spans="1:23" ht="18.600000000000001" customHeight="1">
      <c r="A101" s="123">
        <f>IF(priority(Main[[#This Row],[Comments]])&lt;&gt;0, priority(Main[[#This Row],[Comments]]),"")</f>
        <v>30</v>
      </c>
      <c r="B101" s="127" t="s">
        <v>1061</v>
      </c>
      <c r="C101" s="99" t="s">
        <v>37</v>
      </c>
      <c r="D101" s="100" t="s">
        <v>2389</v>
      </c>
      <c r="E101" s="101">
        <v>40578.593101851853</v>
      </c>
      <c r="F101" s="101">
        <v>40603</v>
      </c>
      <c r="G101" s="102" t="str">
        <f>IF(stdProdLT(Main[[#This Row],[Comments]])=0.1,"N/A",IF(stdProdLT(Main[[#This Row],[Comments]])=0,"",stdProdLT(Main[[#This Row],[Comments]])))</f>
        <v/>
      </c>
      <c r="H101" s="103" t="str">
        <f>IF(AND(Main[[#This Row],[In Stock Date]]&lt;&gt;"",Main[[#This Row],[Revised Due Date]]&lt;&gt;""),Main[[#This Row],[In Stock Date]]-Main[[#This Row],[Revised Due Date]],"")</f>
        <v/>
      </c>
      <c r="I101" s="99" t="s">
        <v>50</v>
      </c>
      <c r="J101" s="99" t="s">
        <v>51</v>
      </c>
      <c r="K101" s="99" t="s">
        <v>1971</v>
      </c>
      <c r="L101" s="101"/>
      <c r="M101" s="104" t="str">
        <f>IF(Main[[#This Row],[Tech Start Date]]&lt;1/1/1990,"",IF(Main[[#This Row],[Class]]="C",WORKDAY(Main[[#This Row],[Tech Start Date]],9),IF(Main[[#This Row],[Class]]="B", WORKDAY(Main[[#This Row],[Tech Start Date]],6),IF(Main[[#This Row],[Class]]="A",WORKDAY(Main[[#This Row],[Tech Start Date]],2),""))))</f>
        <v/>
      </c>
      <c r="N101" s="104" t="str">
        <f>IF(Main[[#This Row],[Tech Start Date]]&lt;1/1/1990,"",IF(Main[[#This Row],[Class]]="C",WORKDAY(Main[[#This Row],[Tech Start Date]],19),IF(Main[[#This Row],[Class]]="B", WORKDAY(Main[[#This Row],[Tech Start Date]],12),IF(Main[[#This Row],[Class]]="A",WORKDAY(Main[[#This Row],[Tech Start Date]],4),""))))</f>
        <v/>
      </c>
      <c r="O101" s="104" t="str">
        <f>IF(Main[[#This Row],[Tech Start Date]]&lt;1/1/1990,"",IF(Main[[#This Row],[Class]]="C",WORKDAY(Main[[#This Row],[Tech Start Date]],23),IF(Main[[#This Row],[Class]]="B", WORKDAY(Main[[#This Row],[Tech Start Date]],15),IF(Main[[#This Row],[Class]]="A",WORKDAY(Main[[#This Row],[Tech Start Date]],5),""))))</f>
        <v/>
      </c>
      <c r="P101" s="104" t="str">
        <f>IF(Main[[#This Row],[Tech Start Date]]&lt;1/1/1990,"",IF(Main[[#This Row],[Class]]="C",WORKDAY(Main[[#This Row],[Tech Start Date]],28),IF(Main[[#This Row],[Class]]="B", WORKDAY(Main[[#This Row],[Tech Start Date]],19),IF(Main[[#This Row],[Class]]="A",WORKDAY(Main[[#This Row],[Tech Start Date]],9),""))))</f>
        <v/>
      </c>
      <c r="Q101" s="101">
        <v>40603</v>
      </c>
      <c r="R101" s="101"/>
      <c r="S101" s="99" t="s">
        <v>6</v>
      </c>
      <c r="T101" s="107" t="s">
        <v>2343</v>
      </c>
      <c r="U101" s="99" t="s">
        <v>29</v>
      </c>
      <c r="V101" s="99" t="s">
        <v>1962</v>
      </c>
      <c r="W101" s="99" t="s">
        <v>1973</v>
      </c>
    </row>
    <row r="102" spans="1:23" ht="18.600000000000001" customHeight="1">
      <c r="A102" s="123">
        <f>IF(priority(Main[[#This Row],[Comments]])&lt;&gt;0, priority(Main[[#This Row],[Comments]]),"")</f>
        <v>30</v>
      </c>
      <c r="B102" s="127" t="s">
        <v>2527</v>
      </c>
      <c r="C102" s="99" t="s">
        <v>3059</v>
      </c>
      <c r="D102" s="100" t="s">
        <v>2528</v>
      </c>
      <c r="E102" s="101">
        <v>40877.350543981483</v>
      </c>
      <c r="F102" s="101">
        <v>41030</v>
      </c>
      <c r="G102" s="102">
        <f>IF(stdProdLT(Main[[#This Row],[Comments]])=0.1,"N/A",IF(stdProdLT(Main[[#This Row],[Comments]])=0,"",stdProdLT(Main[[#This Row],[Comments]])))</f>
        <v>168</v>
      </c>
      <c r="H102" s="103">
        <f>IF(AND(Main[[#This Row],[In Stock Date]]&lt;&gt;"",Main[[#This Row],[Revised Due Date]]&lt;&gt;""),Main[[#This Row],[In Stock Date]]-Main[[#This Row],[Revised Due Date]],"")</f>
        <v>117</v>
      </c>
      <c r="I102" s="99" t="s">
        <v>30</v>
      </c>
      <c r="J102" s="99" t="s">
        <v>28</v>
      </c>
      <c r="K102" s="99" t="s">
        <v>1969</v>
      </c>
      <c r="L102" s="101">
        <v>40878</v>
      </c>
      <c r="M102" s="104">
        <f>IF(Main[[#This Row],[Tech Start Date]]&lt;1/1/1990,"",IF(Main[[#This Row],[Class]]="C",WORKDAY(Main[[#This Row],[Tech Start Date]],9),IF(Main[[#This Row],[Class]]="B", WORKDAY(Main[[#This Row],[Tech Start Date]],6),IF(Main[[#This Row],[Class]]="A",WORKDAY(Main[[#This Row],[Tech Start Date]],2),""))))</f>
        <v>40886</v>
      </c>
      <c r="N102" s="104">
        <f>IF(Main[[#This Row],[Tech Start Date]]&lt;1/1/1990,"",IF(Main[[#This Row],[Class]]="C",WORKDAY(Main[[#This Row],[Tech Start Date]],19),IF(Main[[#This Row],[Class]]="B", WORKDAY(Main[[#This Row],[Tech Start Date]],12),IF(Main[[#This Row],[Class]]="A",WORKDAY(Main[[#This Row],[Tech Start Date]],4),""))))</f>
        <v>40896</v>
      </c>
      <c r="O102" s="104">
        <f>IF(Main[[#This Row],[Tech Start Date]]&lt;1/1/1990,"",IF(Main[[#This Row],[Class]]="C",WORKDAY(Main[[#This Row],[Tech Start Date]],23),IF(Main[[#This Row],[Class]]="B", WORKDAY(Main[[#This Row],[Tech Start Date]],15),IF(Main[[#This Row],[Class]]="A",WORKDAY(Main[[#This Row],[Tech Start Date]],5),""))))</f>
        <v>40899</v>
      </c>
      <c r="P102" s="104">
        <f>IF(Main[[#This Row],[Tech Start Date]]&lt;1/1/1990,"",IF(Main[[#This Row],[Class]]="C",WORKDAY(Main[[#This Row],[Tech Start Date]],28),IF(Main[[#This Row],[Class]]="B", WORKDAY(Main[[#This Row],[Tech Start Date]],19),IF(Main[[#This Row],[Class]]="A",WORKDAY(Main[[#This Row],[Tech Start Date]],9),""))))</f>
        <v>40905</v>
      </c>
      <c r="Q102" s="101">
        <v>40923</v>
      </c>
      <c r="R102" s="101">
        <v>40913</v>
      </c>
      <c r="S102" s="99" t="s">
        <v>11</v>
      </c>
      <c r="T102" s="107" t="s">
        <v>2529</v>
      </c>
      <c r="U102" s="99" t="s">
        <v>29</v>
      </c>
      <c r="V102" s="99" t="s">
        <v>1965</v>
      </c>
      <c r="W102" s="99" t="s">
        <v>1968</v>
      </c>
    </row>
    <row r="103" spans="1:23" ht="18.600000000000001" customHeight="1">
      <c r="A103" s="123">
        <f>IF(priority(Main[[#This Row],[Comments]])&lt;&gt;0, priority(Main[[#This Row],[Comments]]),"")</f>
        <v>31</v>
      </c>
      <c r="B103" s="127" t="s">
        <v>2715</v>
      </c>
      <c r="C103" s="99" t="s">
        <v>3059</v>
      </c>
      <c r="D103" s="100" t="s">
        <v>2716</v>
      </c>
      <c r="E103" s="101">
        <v>40877.364317129628</v>
      </c>
      <c r="F103" s="101">
        <v>41030</v>
      </c>
      <c r="G103" s="102">
        <f>IF(stdProdLT(Main[[#This Row],[Comments]])=0.1,"N/A",IF(stdProdLT(Main[[#This Row],[Comments]])=0,"",stdProdLT(Main[[#This Row],[Comments]])))</f>
        <v>182</v>
      </c>
      <c r="H103" s="103">
        <f>IF(AND(Main[[#This Row],[In Stock Date]]&lt;&gt;"",Main[[#This Row],[Revised Due Date]]&lt;&gt;""),Main[[#This Row],[In Stock Date]]-Main[[#This Row],[Revised Due Date]],"")</f>
        <v>131</v>
      </c>
      <c r="I103" s="99" t="s">
        <v>131</v>
      </c>
      <c r="J103" s="99" t="s">
        <v>70</v>
      </c>
      <c r="K103" s="99" t="s">
        <v>1971</v>
      </c>
      <c r="L103" s="101">
        <v>40878</v>
      </c>
      <c r="M103" s="104">
        <f>IF(Main[[#This Row],[Tech Start Date]]&lt;1/1/1990,"",IF(Main[[#This Row],[Class]]="C",WORKDAY(Main[[#This Row],[Tech Start Date]],9),IF(Main[[#This Row],[Class]]="B", WORKDAY(Main[[#This Row],[Tech Start Date]],6),IF(Main[[#This Row],[Class]]="A",WORKDAY(Main[[#This Row],[Tech Start Date]],2),""))))</f>
        <v>40882</v>
      </c>
      <c r="N103" s="104">
        <f>IF(Main[[#This Row],[Tech Start Date]]&lt;1/1/1990,"",IF(Main[[#This Row],[Class]]="C",WORKDAY(Main[[#This Row],[Tech Start Date]],19),IF(Main[[#This Row],[Class]]="B", WORKDAY(Main[[#This Row],[Tech Start Date]],12),IF(Main[[#This Row],[Class]]="A",WORKDAY(Main[[#This Row],[Tech Start Date]],4),""))))</f>
        <v>40884</v>
      </c>
      <c r="O103" s="104">
        <f>IF(Main[[#This Row],[Tech Start Date]]&lt;1/1/1990,"",IF(Main[[#This Row],[Class]]="C",WORKDAY(Main[[#This Row],[Tech Start Date]],23),IF(Main[[#This Row],[Class]]="B", WORKDAY(Main[[#This Row],[Tech Start Date]],15),IF(Main[[#This Row],[Class]]="A",WORKDAY(Main[[#This Row],[Tech Start Date]],5),""))))</f>
        <v>40885</v>
      </c>
      <c r="P103" s="104">
        <f>IF(Main[[#This Row],[Tech Start Date]]&lt;1/1/1990,"",IF(Main[[#This Row],[Class]]="C",WORKDAY(Main[[#This Row],[Tech Start Date]],28),IF(Main[[#This Row],[Class]]="B", WORKDAY(Main[[#This Row],[Tech Start Date]],19),IF(Main[[#This Row],[Class]]="A",WORKDAY(Main[[#This Row],[Tech Start Date]],9),""))))</f>
        <v>40891</v>
      </c>
      <c r="Q103" s="101">
        <v>40923</v>
      </c>
      <c r="R103" s="101">
        <v>40899</v>
      </c>
      <c r="S103" s="99" t="s">
        <v>11</v>
      </c>
      <c r="T103" s="107" t="s">
        <v>2717</v>
      </c>
      <c r="U103" s="99" t="s">
        <v>29</v>
      </c>
      <c r="V103" s="99" t="s">
        <v>1972</v>
      </c>
      <c r="W103" s="99" t="s">
        <v>1968</v>
      </c>
    </row>
    <row r="104" spans="1:23" ht="18.600000000000001" customHeight="1">
      <c r="A104" s="123">
        <f>IF(priority(Main[[#This Row],[Comments]])&lt;&gt;0, priority(Main[[#This Row],[Comments]]),"")</f>
        <v>32</v>
      </c>
      <c r="B104" s="127" t="s">
        <v>1106</v>
      </c>
      <c r="C104" s="99" t="s">
        <v>116</v>
      </c>
      <c r="D104" s="100" t="s">
        <v>117</v>
      </c>
      <c r="E104" s="101"/>
      <c r="F104" s="101"/>
      <c r="G104" s="102" t="str">
        <f>IF(stdProdLT(Main[[#This Row],[Comments]])=0.1,"N/A",IF(stdProdLT(Main[[#This Row],[Comments]])=0,"",stdProdLT(Main[[#This Row],[Comments]])))</f>
        <v/>
      </c>
      <c r="H104" s="103" t="str">
        <f>IF(AND(Main[[#This Row],[In Stock Date]]&lt;&gt;"",Main[[#This Row],[Revised Due Date]]&lt;&gt;""),Main[[#This Row],[In Stock Date]]-Main[[#This Row],[Revised Due Date]],"")</f>
        <v/>
      </c>
      <c r="I104" s="99" t="s">
        <v>4</v>
      </c>
      <c r="J104" s="99" t="s">
        <v>4</v>
      </c>
      <c r="K104" s="99" t="s">
        <v>4</v>
      </c>
      <c r="L104" s="101"/>
      <c r="M104" s="104" t="str">
        <f>IF(Main[[#This Row],[Tech Start Date]]&lt;1/1/1990,"",IF(Main[[#This Row],[Class]]="C",WORKDAY(Main[[#This Row],[Tech Start Date]],9),IF(Main[[#This Row],[Class]]="B", WORKDAY(Main[[#This Row],[Tech Start Date]],6),IF(Main[[#This Row],[Class]]="A",WORKDAY(Main[[#This Row],[Tech Start Date]],2),""))))</f>
        <v/>
      </c>
      <c r="N104" s="104" t="str">
        <f>IF(Main[[#This Row],[Tech Start Date]]&lt;1/1/1990,"",IF(Main[[#This Row],[Class]]="C",WORKDAY(Main[[#This Row],[Tech Start Date]],19),IF(Main[[#This Row],[Class]]="B", WORKDAY(Main[[#This Row],[Tech Start Date]],12),IF(Main[[#This Row],[Class]]="A",WORKDAY(Main[[#This Row],[Tech Start Date]],4),""))))</f>
        <v/>
      </c>
      <c r="O104" s="104" t="str">
        <f>IF(Main[[#This Row],[Tech Start Date]]&lt;1/1/1990,"",IF(Main[[#This Row],[Class]]="C",WORKDAY(Main[[#This Row],[Tech Start Date]],23),IF(Main[[#This Row],[Class]]="B", WORKDAY(Main[[#This Row],[Tech Start Date]],15),IF(Main[[#This Row],[Class]]="A",WORKDAY(Main[[#This Row],[Tech Start Date]],5),""))))</f>
        <v/>
      </c>
      <c r="P104" s="104" t="str">
        <f>IF(Main[[#This Row],[Tech Start Date]]&lt;1/1/1990,"",IF(Main[[#This Row],[Class]]="C",WORKDAY(Main[[#This Row],[Tech Start Date]],28),IF(Main[[#This Row],[Class]]="B", WORKDAY(Main[[#This Row],[Tech Start Date]],19),IF(Main[[#This Row],[Class]]="A",WORKDAY(Main[[#This Row],[Tech Start Date]],9),""))))</f>
        <v/>
      </c>
      <c r="Q104" s="101">
        <v>40786</v>
      </c>
      <c r="R104" s="101"/>
      <c r="S104" s="99" t="s">
        <v>11</v>
      </c>
      <c r="T104" s="107" t="s">
        <v>118</v>
      </c>
      <c r="U104" s="99" t="s">
        <v>14</v>
      </c>
      <c r="V104" s="99" t="s">
        <v>1962</v>
      </c>
      <c r="W104" s="99" t="s">
        <v>1967</v>
      </c>
    </row>
    <row r="105" spans="1:23" ht="18.600000000000001" customHeight="1">
      <c r="A105" s="123">
        <f>IF(priority(Main[[#This Row],[Comments]])&lt;&gt;0, priority(Main[[#This Row],[Comments]]),"")</f>
        <v>32</v>
      </c>
      <c r="B105" s="127" t="s">
        <v>1098</v>
      </c>
      <c r="C105" s="99" t="s">
        <v>4</v>
      </c>
      <c r="D105" s="100" t="s">
        <v>2392</v>
      </c>
      <c r="E105" s="101">
        <v>40591.506215277775</v>
      </c>
      <c r="F105" s="101"/>
      <c r="G105" s="102" t="str">
        <f>IF(stdProdLT(Main[[#This Row],[Comments]])=0.1,"N/A",IF(stdProdLT(Main[[#This Row],[Comments]])=0,"",stdProdLT(Main[[#This Row],[Comments]])))</f>
        <v/>
      </c>
      <c r="H105" s="103" t="str">
        <f>IF(AND(Main[[#This Row],[In Stock Date]]&lt;&gt;"",Main[[#This Row],[Revised Due Date]]&lt;&gt;""),Main[[#This Row],[In Stock Date]]-Main[[#This Row],[Revised Due Date]],"")</f>
        <v/>
      </c>
      <c r="I105" s="99" t="s">
        <v>929</v>
      </c>
      <c r="J105" s="99" t="s">
        <v>52</v>
      </c>
      <c r="K105" s="99" t="s">
        <v>1971</v>
      </c>
      <c r="L105" s="101"/>
      <c r="M105" s="104" t="str">
        <f>IF(Main[[#This Row],[Tech Start Date]]&lt;1/1/1990,"",IF(Main[[#This Row],[Class]]="C",WORKDAY(Main[[#This Row],[Tech Start Date]],9),IF(Main[[#This Row],[Class]]="B", WORKDAY(Main[[#This Row],[Tech Start Date]],6),IF(Main[[#This Row],[Class]]="A",WORKDAY(Main[[#This Row],[Tech Start Date]],2),""))))</f>
        <v/>
      </c>
      <c r="N105" s="104" t="str">
        <f>IF(Main[[#This Row],[Tech Start Date]]&lt;1/1/1990,"",IF(Main[[#This Row],[Class]]="C",WORKDAY(Main[[#This Row],[Tech Start Date]],19),IF(Main[[#This Row],[Class]]="B", WORKDAY(Main[[#This Row],[Tech Start Date]],12),IF(Main[[#This Row],[Class]]="A",WORKDAY(Main[[#This Row],[Tech Start Date]],4),""))))</f>
        <v/>
      </c>
      <c r="O105" s="104" t="str">
        <f>IF(Main[[#This Row],[Tech Start Date]]&lt;1/1/1990,"",IF(Main[[#This Row],[Class]]="C",WORKDAY(Main[[#This Row],[Tech Start Date]],23),IF(Main[[#This Row],[Class]]="B", WORKDAY(Main[[#This Row],[Tech Start Date]],15),IF(Main[[#This Row],[Class]]="A",WORKDAY(Main[[#This Row],[Tech Start Date]],5),""))))</f>
        <v/>
      </c>
      <c r="P105" s="104" t="str">
        <f>IF(Main[[#This Row],[Tech Start Date]]&lt;1/1/1990,"",IF(Main[[#This Row],[Class]]="C",WORKDAY(Main[[#This Row],[Tech Start Date]],28),IF(Main[[#This Row],[Class]]="B", WORKDAY(Main[[#This Row],[Tech Start Date]],19),IF(Main[[#This Row],[Class]]="A",WORKDAY(Main[[#This Row],[Tech Start Date]],9),""))))</f>
        <v/>
      </c>
      <c r="Q105" s="101">
        <v>40605</v>
      </c>
      <c r="R105" s="101"/>
      <c r="S105" s="99" t="s">
        <v>6</v>
      </c>
      <c r="T105" s="107" t="s">
        <v>118</v>
      </c>
      <c r="U105" s="99" t="s">
        <v>29</v>
      </c>
      <c r="V105" s="99" t="s">
        <v>1962</v>
      </c>
      <c r="W105" s="99" t="s">
        <v>1964</v>
      </c>
    </row>
    <row r="106" spans="1:23" ht="18.600000000000001" customHeight="1">
      <c r="A106" s="123">
        <f>IF(priority(Main[[#This Row],[Comments]])&lt;&gt;0, priority(Main[[#This Row],[Comments]]),"")</f>
        <v>32</v>
      </c>
      <c r="B106" s="127" t="s">
        <v>2718</v>
      </c>
      <c r="C106" s="99" t="s">
        <v>3059</v>
      </c>
      <c r="D106" s="100" t="s">
        <v>2719</v>
      </c>
      <c r="E106" s="101">
        <v>40877.367951388886</v>
      </c>
      <c r="F106" s="101">
        <v>41030</v>
      </c>
      <c r="G106" s="102">
        <f>IF(stdProdLT(Main[[#This Row],[Comments]])=0.1,"N/A",IF(stdProdLT(Main[[#This Row],[Comments]])=0,"",stdProdLT(Main[[#This Row],[Comments]])))</f>
        <v>182</v>
      </c>
      <c r="H106" s="103">
        <f>IF(AND(Main[[#This Row],[In Stock Date]]&lt;&gt;"",Main[[#This Row],[Revised Due Date]]&lt;&gt;""),Main[[#This Row],[In Stock Date]]-Main[[#This Row],[Revised Due Date]],"")</f>
        <v>131</v>
      </c>
      <c r="I106" s="99" t="s">
        <v>435</v>
      </c>
      <c r="J106" s="99" t="s">
        <v>70</v>
      </c>
      <c r="K106" s="99" t="s">
        <v>1971</v>
      </c>
      <c r="L106" s="101">
        <v>40878</v>
      </c>
      <c r="M106" s="104">
        <f>IF(Main[[#This Row],[Tech Start Date]]&lt;1/1/1990,"",IF(Main[[#This Row],[Class]]="C",WORKDAY(Main[[#This Row],[Tech Start Date]],9),IF(Main[[#This Row],[Class]]="B", WORKDAY(Main[[#This Row],[Tech Start Date]],6),IF(Main[[#This Row],[Class]]="A",WORKDAY(Main[[#This Row],[Tech Start Date]],2),""))))</f>
        <v>40882</v>
      </c>
      <c r="N106" s="104">
        <f>IF(Main[[#This Row],[Tech Start Date]]&lt;1/1/1990,"",IF(Main[[#This Row],[Class]]="C",WORKDAY(Main[[#This Row],[Tech Start Date]],19),IF(Main[[#This Row],[Class]]="B", WORKDAY(Main[[#This Row],[Tech Start Date]],12),IF(Main[[#This Row],[Class]]="A",WORKDAY(Main[[#This Row],[Tech Start Date]],4),""))))</f>
        <v>40884</v>
      </c>
      <c r="O106" s="104">
        <f>IF(Main[[#This Row],[Tech Start Date]]&lt;1/1/1990,"",IF(Main[[#This Row],[Class]]="C",WORKDAY(Main[[#This Row],[Tech Start Date]],23),IF(Main[[#This Row],[Class]]="B", WORKDAY(Main[[#This Row],[Tech Start Date]],15),IF(Main[[#This Row],[Class]]="A",WORKDAY(Main[[#This Row],[Tech Start Date]],5),""))))</f>
        <v>40885</v>
      </c>
      <c r="P106" s="104">
        <f>IF(Main[[#This Row],[Tech Start Date]]&lt;1/1/1990,"",IF(Main[[#This Row],[Class]]="C",WORKDAY(Main[[#This Row],[Tech Start Date]],28),IF(Main[[#This Row],[Class]]="B", WORKDAY(Main[[#This Row],[Tech Start Date]],19),IF(Main[[#This Row],[Class]]="A",WORKDAY(Main[[#This Row],[Tech Start Date]],9),""))))</f>
        <v>40891</v>
      </c>
      <c r="Q106" s="101">
        <v>40923</v>
      </c>
      <c r="R106" s="101">
        <v>40899</v>
      </c>
      <c r="S106" s="99" t="s">
        <v>11</v>
      </c>
      <c r="T106" s="107" t="s">
        <v>2720</v>
      </c>
      <c r="U106" s="99" t="s">
        <v>29</v>
      </c>
      <c r="V106" s="99" t="s">
        <v>1972</v>
      </c>
      <c r="W106" s="99" t="s">
        <v>1968</v>
      </c>
    </row>
    <row r="107" spans="1:23" ht="18.600000000000001" customHeight="1">
      <c r="A107" s="123">
        <f>IF(priority(Main[[#This Row],[Comments]])&lt;&gt;0, priority(Main[[#This Row],[Comments]]),"")</f>
        <v>32.1</v>
      </c>
      <c r="B107" s="127" t="s">
        <v>2239</v>
      </c>
      <c r="C107" s="99" t="s">
        <v>2240</v>
      </c>
      <c r="D107" s="100" t="s">
        <v>2241</v>
      </c>
      <c r="E107" s="101"/>
      <c r="F107" s="101">
        <v>40795</v>
      </c>
      <c r="G107" s="102">
        <f>IF(stdProdLT(Main[[#This Row],[Comments]])=0.1,"N/A",IF(stdProdLT(Main[[#This Row],[Comments]])=0,"",stdProdLT(Main[[#This Row],[Comments]])))</f>
        <v>21</v>
      </c>
      <c r="H107" s="103" t="str">
        <f>IF(AND(Main[[#This Row],[In Stock Date]]&lt;&gt;"",Main[[#This Row],[Revised Due Date]]&lt;&gt;""),Main[[#This Row],[In Stock Date]]-Main[[#This Row],[Revised Due Date]],"")</f>
        <v/>
      </c>
      <c r="I107" s="99" t="s">
        <v>4</v>
      </c>
      <c r="J107" s="99" t="s">
        <v>4</v>
      </c>
      <c r="K107" s="99" t="s">
        <v>4</v>
      </c>
      <c r="L107" s="101"/>
      <c r="M107" s="104" t="str">
        <f>IF(Main[[#This Row],[Tech Start Date]]&lt;1/1/1990,"",IF(Main[[#This Row],[Class]]="C",WORKDAY(Main[[#This Row],[Tech Start Date]],9),IF(Main[[#This Row],[Class]]="B", WORKDAY(Main[[#This Row],[Tech Start Date]],6),IF(Main[[#This Row],[Class]]="A",WORKDAY(Main[[#This Row],[Tech Start Date]],2),""))))</f>
        <v/>
      </c>
      <c r="N107" s="104" t="str">
        <f>IF(Main[[#This Row],[Tech Start Date]]&lt;1/1/1990,"",IF(Main[[#This Row],[Class]]="C",WORKDAY(Main[[#This Row],[Tech Start Date]],19),IF(Main[[#This Row],[Class]]="B", WORKDAY(Main[[#This Row],[Tech Start Date]],12),IF(Main[[#This Row],[Class]]="A",WORKDAY(Main[[#This Row],[Tech Start Date]],4),""))))</f>
        <v/>
      </c>
      <c r="O107" s="104" t="str">
        <f>IF(Main[[#This Row],[Tech Start Date]]&lt;1/1/1990,"",IF(Main[[#This Row],[Class]]="C",WORKDAY(Main[[#This Row],[Tech Start Date]],23),IF(Main[[#This Row],[Class]]="B", WORKDAY(Main[[#This Row],[Tech Start Date]],15),IF(Main[[#This Row],[Class]]="A",WORKDAY(Main[[#This Row],[Tech Start Date]],5),""))))</f>
        <v/>
      </c>
      <c r="P107" s="104" t="str">
        <f>IF(Main[[#This Row],[Tech Start Date]]&lt;1/1/1990,"",IF(Main[[#This Row],[Class]]="C",WORKDAY(Main[[#This Row],[Tech Start Date]],28),IF(Main[[#This Row],[Class]]="B", WORKDAY(Main[[#This Row],[Tech Start Date]],19),IF(Main[[#This Row],[Class]]="A",WORKDAY(Main[[#This Row],[Tech Start Date]],9),""))))</f>
        <v/>
      </c>
      <c r="Q107" s="101">
        <v>40795</v>
      </c>
      <c r="R107" s="101"/>
      <c r="S107" s="99" t="s">
        <v>11</v>
      </c>
      <c r="T107" s="107" t="s">
        <v>2297</v>
      </c>
      <c r="U107" s="99" t="s">
        <v>14</v>
      </c>
      <c r="V107" s="99" t="s">
        <v>1962</v>
      </c>
      <c r="W107" s="99" t="s">
        <v>1967</v>
      </c>
    </row>
    <row r="108" spans="1:23" ht="18.600000000000001" customHeight="1">
      <c r="A108" s="123">
        <f>IF(priority(Main[[#This Row],[Comments]])&lt;&gt;0, priority(Main[[#This Row],[Comments]]),"")</f>
        <v>33</v>
      </c>
      <c r="B108" s="127" t="s">
        <v>1256</v>
      </c>
      <c r="C108" s="99" t="s">
        <v>116</v>
      </c>
      <c r="D108" s="100" t="s">
        <v>329</v>
      </c>
      <c r="E108" s="101"/>
      <c r="F108" s="101"/>
      <c r="G108" s="102" t="str">
        <f>IF(stdProdLT(Main[[#This Row],[Comments]])=0.1,"N/A",IF(stdProdLT(Main[[#This Row],[Comments]])=0,"",stdProdLT(Main[[#This Row],[Comments]])))</f>
        <v/>
      </c>
      <c r="H108" s="103" t="str">
        <f>IF(AND(Main[[#This Row],[In Stock Date]]&lt;&gt;"",Main[[#This Row],[Revised Due Date]]&lt;&gt;""),Main[[#This Row],[In Stock Date]]-Main[[#This Row],[Revised Due Date]],"")</f>
        <v/>
      </c>
      <c r="I108" s="99" t="s">
        <v>4</v>
      </c>
      <c r="J108" s="99" t="s">
        <v>4</v>
      </c>
      <c r="K108" s="99" t="s">
        <v>4</v>
      </c>
      <c r="L108" s="101"/>
      <c r="M108" s="104" t="str">
        <f>IF(Main[[#This Row],[Tech Start Date]]&lt;1/1/1990,"",IF(Main[[#This Row],[Class]]="C",WORKDAY(Main[[#This Row],[Tech Start Date]],9),IF(Main[[#This Row],[Class]]="B", WORKDAY(Main[[#This Row],[Tech Start Date]],6),IF(Main[[#This Row],[Class]]="A",WORKDAY(Main[[#This Row],[Tech Start Date]],2),""))))</f>
        <v/>
      </c>
      <c r="N108" s="104" t="str">
        <f>IF(Main[[#This Row],[Tech Start Date]]&lt;1/1/1990,"",IF(Main[[#This Row],[Class]]="C",WORKDAY(Main[[#This Row],[Tech Start Date]],19),IF(Main[[#This Row],[Class]]="B", WORKDAY(Main[[#This Row],[Tech Start Date]],12),IF(Main[[#This Row],[Class]]="A",WORKDAY(Main[[#This Row],[Tech Start Date]],4),""))))</f>
        <v/>
      </c>
      <c r="O108" s="104" t="str">
        <f>IF(Main[[#This Row],[Tech Start Date]]&lt;1/1/1990,"",IF(Main[[#This Row],[Class]]="C",WORKDAY(Main[[#This Row],[Tech Start Date]],23),IF(Main[[#This Row],[Class]]="B", WORKDAY(Main[[#This Row],[Tech Start Date]],15),IF(Main[[#This Row],[Class]]="A",WORKDAY(Main[[#This Row],[Tech Start Date]],5),""))))</f>
        <v/>
      </c>
      <c r="P108" s="104" t="str">
        <f>IF(Main[[#This Row],[Tech Start Date]]&lt;1/1/1990,"",IF(Main[[#This Row],[Class]]="C",WORKDAY(Main[[#This Row],[Tech Start Date]],28),IF(Main[[#This Row],[Class]]="B", WORKDAY(Main[[#This Row],[Tech Start Date]],19),IF(Main[[#This Row],[Class]]="A",WORKDAY(Main[[#This Row],[Tech Start Date]],9),""))))</f>
        <v/>
      </c>
      <c r="Q108" s="101"/>
      <c r="R108" s="101"/>
      <c r="S108" s="99" t="s">
        <v>11</v>
      </c>
      <c r="T108" s="107" t="s">
        <v>330</v>
      </c>
      <c r="U108" s="99" t="s">
        <v>14</v>
      </c>
      <c r="V108" s="99" t="s">
        <v>1962</v>
      </c>
      <c r="W108" s="99" t="s">
        <v>1967</v>
      </c>
    </row>
    <row r="109" spans="1:23" ht="18.600000000000001" customHeight="1">
      <c r="A109" s="123">
        <f>IF(priority(Main[[#This Row],[Comments]])&lt;&gt;0, priority(Main[[#This Row],[Comments]]),"")</f>
        <v>33</v>
      </c>
      <c r="B109" s="127" t="s">
        <v>1112</v>
      </c>
      <c r="C109" s="99" t="s">
        <v>122</v>
      </c>
      <c r="D109" s="100" t="s">
        <v>123</v>
      </c>
      <c r="E109" s="101">
        <v>40534.411678240744</v>
      </c>
      <c r="F109" s="101">
        <v>40541</v>
      </c>
      <c r="G109" s="102" t="str">
        <f>IF(stdProdLT(Main[[#This Row],[Comments]])=0.1,"N/A",IF(stdProdLT(Main[[#This Row],[Comments]])=0,"",stdProdLT(Main[[#This Row],[Comments]])))</f>
        <v/>
      </c>
      <c r="H109" s="103" t="str">
        <f>IF(AND(Main[[#This Row],[In Stock Date]]&lt;&gt;"",Main[[#This Row],[Revised Due Date]]&lt;&gt;""),Main[[#This Row],[In Stock Date]]-Main[[#This Row],[Revised Due Date]],"")</f>
        <v/>
      </c>
      <c r="I109" s="99" t="s">
        <v>4</v>
      </c>
      <c r="J109" s="99" t="s">
        <v>28</v>
      </c>
      <c r="K109" s="99" t="s">
        <v>1971</v>
      </c>
      <c r="L109" s="101"/>
      <c r="M109" s="104" t="str">
        <f>IF(Main[[#This Row],[Tech Start Date]]&lt;1/1/1990,"",IF(Main[[#This Row],[Class]]="C",WORKDAY(Main[[#This Row],[Tech Start Date]],9),IF(Main[[#This Row],[Class]]="B", WORKDAY(Main[[#This Row],[Tech Start Date]],6),IF(Main[[#This Row],[Class]]="A",WORKDAY(Main[[#This Row],[Tech Start Date]],2),""))))</f>
        <v/>
      </c>
      <c r="N109" s="104" t="str">
        <f>IF(Main[[#This Row],[Tech Start Date]]&lt;1/1/1990,"",IF(Main[[#This Row],[Class]]="C",WORKDAY(Main[[#This Row],[Tech Start Date]],19),IF(Main[[#This Row],[Class]]="B", WORKDAY(Main[[#This Row],[Tech Start Date]],12),IF(Main[[#This Row],[Class]]="A",WORKDAY(Main[[#This Row],[Tech Start Date]],4),""))))</f>
        <v/>
      </c>
      <c r="O109" s="104" t="str">
        <f>IF(Main[[#This Row],[Tech Start Date]]&lt;1/1/1990,"",IF(Main[[#This Row],[Class]]="C",WORKDAY(Main[[#This Row],[Tech Start Date]],23),IF(Main[[#This Row],[Class]]="B", WORKDAY(Main[[#This Row],[Tech Start Date]],15),IF(Main[[#This Row],[Class]]="A",WORKDAY(Main[[#This Row],[Tech Start Date]],5),""))))</f>
        <v/>
      </c>
      <c r="P109" s="104" t="str">
        <f>IF(Main[[#This Row],[Tech Start Date]]&lt;1/1/1990,"",IF(Main[[#This Row],[Class]]="C",WORKDAY(Main[[#This Row],[Tech Start Date]],28),IF(Main[[#This Row],[Class]]="B", WORKDAY(Main[[#This Row],[Tech Start Date]],19),IF(Main[[#This Row],[Class]]="A",WORKDAY(Main[[#This Row],[Tech Start Date]],9),""))))</f>
        <v/>
      </c>
      <c r="Q109" s="101">
        <v>40541</v>
      </c>
      <c r="R109" s="101"/>
      <c r="S109" s="99" t="s">
        <v>6</v>
      </c>
      <c r="T109" s="107" t="s">
        <v>330</v>
      </c>
      <c r="U109" s="99" t="s">
        <v>7</v>
      </c>
      <c r="V109" s="99" t="s">
        <v>1962</v>
      </c>
      <c r="W109" s="99" t="s">
        <v>1966</v>
      </c>
    </row>
    <row r="110" spans="1:23" ht="18.600000000000001" customHeight="1">
      <c r="A110" s="123">
        <f>IF(priority(Main[[#This Row],[Comments]])&lt;&gt;0, priority(Main[[#This Row],[Comments]]),"")</f>
        <v>33</v>
      </c>
      <c r="B110" s="127" t="s">
        <v>2721</v>
      </c>
      <c r="C110" s="99" t="s">
        <v>3059</v>
      </c>
      <c r="D110" s="100" t="s">
        <v>2722</v>
      </c>
      <c r="E110" s="101">
        <v>40877.297893518517</v>
      </c>
      <c r="F110" s="101">
        <v>41030</v>
      </c>
      <c r="G110" s="102">
        <f>IF(stdProdLT(Main[[#This Row],[Comments]])=0.1,"N/A",IF(stdProdLT(Main[[#This Row],[Comments]])=0,"",stdProdLT(Main[[#This Row],[Comments]])))</f>
        <v>182</v>
      </c>
      <c r="H110" s="103">
        <f>IF(AND(Main[[#This Row],[In Stock Date]]&lt;&gt;"",Main[[#This Row],[Revised Due Date]]&lt;&gt;""),Main[[#This Row],[In Stock Date]]-Main[[#This Row],[Revised Due Date]],"")</f>
        <v>131</v>
      </c>
      <c r="I110" s="99" t="s">
        <v>435</v>
      </c>
      <c r="J110" s="99" t="s">
        <v>70</v>
      </c>
      <c r="K110" s="99" t="s">
        <v>1971</v>
      </c>
      <c r="L110" s="101">
        <v>40878</v>
      </c>
      <c r="M110" s="104">
        <f>IF(Main[[#This Row],[Tech Start Date]]&lt;1/1/1990,"",IF(Main[[#This Row],[Class]]="C",WORKDAY(Main[[#This Row],[Tech Start Date]],9),IF(Main[[#This Row],[Class]]="B", WORKDAY(Main[[#This Row],[Tech Start Date]],6),IF(Main[[#This Row],[Class]]="A",WORKDAY(Main[[#This Row],[Tech Start Date]],2),""))))</f>
        <v>40882</v>
      </c>
      <c r="N110" s="104">
        <f>IF(Main[[#This Row],[Tech Start Date]]&lt;1/1/1990,"",IF(Main[[#This Row],[Class]]="C",WORKDAY(Main[[#This Row],[Tech Start Date]],19),IF(Main[[#This Row],[Class]]="B", WORKDAY(Main[[#This Row],[Tech Start Date]],12),IF(Main[[#This Row],[Class]]="A",WORKDAY(Main[[#This Row],[Tech Start Date]],4),""))))</f>
        <v>40884</v>
      </c>
      <c r="O110" s="104">
        <f>IF(Main[[#This Row],[Tech Start Date]]&lt;1/1/1990,"",IF(Main[[#This Row],[Class]]="C",WORKDAY(Main[[#This Row],[Tech Start Date]],23),IF(Main[[#This Row],[Class]]="B", WORKDAY(Main[[#This Row],[Tech Start Date]],15),IF(Main[[#This Row],[Class]]="A",WORKDAY(Main[[#This Row],[Tech Start Date]],5),""))))</f>
        <v>40885</v>
      </c>
      <c r="P110" s="104">
        <f>IF(Main[[#This Row],[Tech Start Date]]&lt;1/1/1990,"",IF(Main[[#This Row],[Class]]="C",WORKDAY(Main[[#This Row],[Tech Start Date]],28),IF(Main[[#This Row],[Class]]="B", WORKDAY(Main[[#This Row],[Tech Start Date]],19),IF(Main[[#This Row],[Class]]="A",WORKDAY(Main[[#This Row],[Tech Start Date]],9),""))))</f>
        <v>40891</v>
      </c>
      <c r="Q110" s="101">
        <v>40923</v>
      </c>
      <c r="R110" s="101">
        <v>40899</v>
      </c>
      <c r="S110" s="99" t="s">
        <v>11</v>
      </c>
      <c r="T110" s="107" t="s">
        <v>2723</v>
      </c>
      <c r="U110" s="99" t="s">
        <v>29</v>
      </c>
      <c r="V110" s="99" t="s">
        <v>1972</v>
      </c>
      <c r="W110" s="99" t="s">
        <v>1968</v>
      </c>
    </row>
    <row r="111" spans="1:23" ht="18.600000000000001" customHeight="1">
      <c r="A111" s="123">
        <f>IF(priority(Main[[#This Row],[Comments]])&lt;&gt;0, priority(Main[[#This Row],[Comments]]),"")</f>
        <v>34</v>
      </c>
      <c r="B111" s="127" t="s">
        <v>1134</v>
      </c>
      <c r="C111" s="99" t="s">
        <v>4</v>
      </c>
      <c r="D111" s="100" t="s">
        <v>2379</v>
      </c>
      <c r="E111" s="101">
        <v>40561.117199074077</v>
      </c>
      <c r="F111" s="101">
        <v>40592</v>
      </c>
      <c r="G111" s="102" t="str">
        <f>IF(stdProdLT(Main[[#This Row],[Comments]])=0.1,"N/A",IF(stdProdLT(Main[[#This Row],[Comments]])=0,"",stdProdLT(Main[[#This Row],[Comments]])))</f>
        <v/>
      </c>
      <c r="H111" s="103" t="str">
        <f>IF(AND(Main[[#This Row],[In Stock Date]]&lt;&gt;"",Main[[#This Row],[Revised Due Date]]&lt;&gt;""),Main[[#This Row],[In Stock Date]]-Main[[#This Row],[Revised Due Date]],"")</f>
        <v/>
      </c>
      <c r="I111" s="99" t="s">
        <v>929</v>
      </c>
      <c r="J111" s="99" t="s">
        <v>21</v>
      </c>
      <c r="K111" s="108" t="s">
        <v>1969</v>
      </c>
      <c r="L111" s="101"/>
      <c r="M111" s="104" t="str">
        <f>IF(Main[[#This Row],[Tech Start Date]]&lt;1/1/1990,"",IF(Main[[#This Row],[Class]]="C",WORKDAY(Main[[#This Row],[Tech Start Date]],9),IF(Main[[#This Row],[Class]]="B", WORKDAY(Main[[#This Row],[Tech Start Date]],6),IF(Main[[#This Row],[Class]]="A",WORKDAY(Main[[#This Row],[Tech Start Date]],2),""))))</f>
        <v/>
      </c>
      <c r="N111" s="104" t="str">
        <f>IF(Main[[#This Row],[Tech Start Date]]&lt;1/1/1990,"",IF(Main[[#This Row],[Class]]="C",WORKDAY(Main[[#This Row],[Tech Start Date]],19),IF(Main[[#This Row],[Class]]="B", WORKDAY(Main[[#This Row],[Tech Start Date]],12),IF(Main[[#This Row],[Class]]="A",WORKDAY(Main[[#This Row],[Tech Start Date]],4),""))))</f>
        <v/>
      </c>
      <c r="O111" s="104" t="str">
        <f>IF(Main[[#This Row],[Tech Start Date]]&lt;1/1/1990,"",IF(Main[[#This Row],[Class]]="C",WORKDAY(Main[[#This Row],[Tech Start Date]],23),IF(Main[[#This Row],[Class]]="B", WORKDAY(Main[[#This Row],[Tech Start Date]],15),IF(Main[[#This Row],[Class]]="A",WORKDAY(Main[[#This Row],[Tech Start Date]],5),""))))</f>
        <v/>
      </c>
      <c r="P111" s="104" t="str">
        <f>IF(Main[[#This Row],[Tech Start Date]]&lt;1/1/1990,"",IF(Main[[#This Row],[Class]]="C",WORKDAY(Main[[#This Row],[Tech Start Date]],28),IF(Main[[#This Row],[Class]]="B", WORKDAY(Main[[#This Row],[Tech Start Date]],19),IF(Main[[#This Row],[Class]]="A",WORKDAY(Main[[#This Row],[Tech Start Date]],9),""))))</f>
        <v/>
      </c>
      <c r="Q111" s="101">
        <v>40592</v>
      </c>
      <c r="R111" s="101"/>
      <c r="S111" s="99" t="s">
        <v>6</v>
      </c>
      <c r="T111" s="107" t="s">
        <v>2082</v>
      </c>
      <c r="U111" s="99" t="s">
        <v>29</v>
      </c>
      <c r="V111" s="99" t="s">
        <v>1962</v>
      </c>
      <c r="W111" s="99" t="s">
        <v>1964</v>
      </c>
    </row>
    <row r="112" spans="1:23" ht="18.600000000000001" customHeight="1">
      <c r="A112" s="123">
        <f>IF(priority(Main[[#This Row],[Comments]])&lt;&gt;0, priority(Main[[#This Row],[Comments]]),"")</f>
        <v>34</v>
      </c>
      <c r="B112" s="127" t="s">
        <v>2619</v>
      </c>
      <c r="C112" s="99" t="s">
        <v>3059</v>
      </c>
      <c r="D112" s="100" t="s">
        <v>2620</v>
      </c>
      <c r="E112" s="101">
        <v>40877.30159722222</v>
      </c>
      <c r="F112" s="101">
        <v>41030</v>
      </c>
      <c r="G112" s="102">
        <f>IF(stdProdLT(Main[[#This Row],[Comments]])=0.1,"N/A",IF(stdProdLT(Main[[#This Row],[Comments]])=0,"",stdProdLT(Main[[#This Row],[Comments]])))</f>
        <v>182</v>
      </c>
      <c r="H112" s="103">
        <f>IF(AND(Main[[#This Row],[In Stock Date]]&lt;&gt;"",Main[[#This Row],[Revised Due Date]]&lt;&gt;""),Main[[#This Row],[In Stock Date]]-Main[[#This Row],[Revised Due Date]],"")</f>
        <v>131</v>
      </c>
      <c r="I112" s="99" t="s">
        <v>131</v>
      </c>
      <c r="J112" s="99" t="s">
        <v>70</v>
      </c>
      <c r="K112" s="99" t="s">
        <v>1971</v>
      </c>
      <c r="L112" s="101">
        <v>40878</v>
      </c>
      <c r="M112" s="104">
        <f>IF(Main[[#This Row],[Tech Start Date]]&lt;1/1/1990,"",IF(Main[[#This Row],[Class]]="C",WORKDAY(Main[[#This Row],[Tech Start Date]],9),IF(Main[[#This Row],[Class]]="B", WORKDAY(Main[[#This Row],[Tech Start Date]],6),IF(Main[[#This Row],[Class]]="A",WORKDAY(Main[[#This Row],[Tech Start Date]],2),""))))</f>
        <v>40882</v>
      </c>
      <c r="N112" s="104">
        <f>IF(Main[[#This Row],[Tech Start Date]]&lt;1/1/1990,"",IF(Main[[#This Row],[Class]]="C",WORKDAY(Main[[#This Row],[Tech Start Date]],19),IF(Main[[#This Row],[Class]]="B", WORKDAY(Main[[#This Row],[Tech Start Date]],12),IF(Main[[#This Row],[Class]]="A",WORKDAY(Main[[#This Row],[Tech Start Date]],4),""))))</f>
        <v>40884</v>
      </c>
      <c r="O112" s="104">
        <f>IF(Main[[#This Row],[Tech Start Date]]&lt;1/1/1990,"",IF(Main[[#This Row],[Class]]="C",WORKDAY(Main[[#This Row],[Tech Start Date]],23),IF(Main[[#This Row],[Class]]="B", WORKDAY(Main[[#This Row],[Tech Start Date]],15),IF(Main[[#This Row],[Class]]="A",WORKDAY(Main[[#This Row],[Tech Start Date]],5),""))))</f>
        <v>40885</v>
      </c>
      <c r="P112" s="104">
        <f>IF(Main[[#This Row],[Tech Start Date]]&lt;1/1/1990,"",IF(Main[[#This Row],[Class]]="C",WORKDAY(Main[[#This Row],[Tech Start Date]],28),IF(Main[[#This Row],[Class]]="B", WORKDAY(Main[[#This Row],[Tech Start Date]],19),IF(Main[[#This Row],[Class]]="A",WORKDAY(Main[[#This Row],[Tech Start Date]],9),""))))</f>
        <v>40891</v>
      </c>
      <c r="Q112" s="101">
        <v>40923</v>
      </c>
      <c r="R112" s="101">
        <v>40899</v>
      </c>
      <c r="S112" s="99" t="s">
        <v>11</v>
      </c>
      <c r="T112" s="107" t="s">
        <v>2621</v>
      </c>
      <c r="U112" s="99" t="s">
        <v>29</v>
      </c>
      <c r="V112" s="99" t="s">
        <v>1972</v>
      </c>
      <c r="W112" s="99" t="s">
        <v>1968</v>
      </c>
    </row>
    <row r="113" spans="1:23" ht="18.600000000000001" customHeight="1">
      <c r="A113" s="123">
        <f>IF(priority(Main[[#This Row],[Comments]])&lt;&gt;0, priority(Main[[#This Row],[Comments]]),"")</f>
        <v>35</v>
      </c>
      <c r="B113" s="127" t="s">
        <v>1063</v>
      </c>
      <c r="C113" s="99" t="s">
        <v>4</v>
      </c>
      <c r="D113" s="100" t="s">
        <v>2387</v>
      </c>
      <c r="E113" s="101">
        <v>40631.454745370371</v>
      </c>
      <c r="F113" s="101"/>
      <c r="G113" s="102" t="str">
        <f>IF(stdProdLT(Main[[#This Row],[Comments]])=0.1,"N/A",IF(stdProdLT(Main[[#This Row],[Comments]])=0,"",stdProdLT(Main[[#This Row],[Comments]])))</f>
        <v/>
      </c>
      <c r="H113" s="103" t="str">
        <f>IF(AND(Main[[#This Row],[In Stock Date]]&lt;&gt;"",Main[[#This Row],[Revised Due Date]]&lt;&gt;""),Main[[#This Row],[In Stock Date]]-Main[[#This Row],[Revised Due Date]],"")</f>
        <v/>
      </c>
      <c r="I113" s="99" t="s">
        <v>929</v>
      </c>
      <c r="J113" s="99" t="s">
        <v>52</v>
      </c>
      <c r="K113" s="108" t="s">
        <v>4</v>
      </c>
      <c r="L113" s="101"/>
      <c r="M113" s="104" t="str">
        <f>IF(Main[[#This Row],[Tech Start Date]]&lt;1/1/1990,"",IF(Main[[#This Row],[Class]]="C",WORKDAY(Main[[#This Row],[Tech Start Date]],9),IF(Main[[#This Row],[Class]]="B", WORKDAY(Main[[#This Row],[Tech Start Date]],6),IF(Main[[#This Row],[Class]]="A",WORKDAY(Main[[#This Row],[Tech Start Date]],2),""))))</f>
        <v/>
      </c>
      <c r="N113" s="104" t="str">
        <f>IF(Main[[#This Row],[Tech Start Date]]&lt;1/1/1990,"",IF(Main[[#This Row],[Class]]="C",WORKDAY(Main[[#This Row],[Tech Start Date]],19),IF(Main[[#This Row],[Class]]="B", WORKDAY(Main[[#This Row],[Tech Start Date]],12),IF(Main[[#This Row],[Class]]="A",WORKDAY(Main[[#This Row],[Tech Start Date]],4),""))))</f>
        <v/>
      </c>
      <c r="O113" s="104" t="str">
        <f>IF(Main[[#This Row],[Tech Start Date]]&lt;1/1/1990,"",IF(Main[[#This Row],[Class]]="C",WORKDAY(Main[[#This Row],[Tech Start Date]],23),IF(Main[[#This Row],[Class]]="B", WORKDAY(Main[[#This Row],[Tech Start Date]],15),IF(Main[[#This Row],[Class]]="A",WORKDAY(Main[[#This Row],[Tech Start Date]],5),""))))</f>
        <v/>
      </c>
      <c r="P113" s="104" t="str">
        <f>IF(Main[[#This Row],[Tech Start Date]]&lt;1/1/1990,"",IF(Main[[#This Row],[Class]]="C",WORKDAY(Main[[#This Row],[Tech Start Date]],28),IF(Main[[#This Row],[Class]]="B", WORKDAY(Main[[#This Row],[Tech Start Date]],19),IF(Main[[#This Row],[Class]]="A",WORKDAY(Main[[#This Row],[Tech Start Date]],9),""))))</f>
        <v/>
      </c>
      <c r="Q113" s="101">
        <v>40637</v>
      </c>
      <c r="R113" s="101"/>
      <c r="S113" s="99" t="s">
        <v>6</v>
      </c>
      <c r="T113" s="107" t="s">
        <v>2114</v>
      </c>
      <c r="U113" s="99" t="s">
        <v>29</v>
      </c>
      <c r="V113" s="99" t="s">
        <v>1962</v>
      </c>
      <c r="W113" s="99" t="s">
        <v>1970</v>
      </c>
    </row>
    <row r="114" spans="1:23" ht="18.600000000000001" customHeight="1">
      <c r="A114" s="123">
        <f>IF(priority(Main[[#This Row],[Comments]])&lt;&gt;0, priority(Main[[#This Row],[Comments]]),"")</f>
        <v>35</v>
      </c>
      <c r="B114" s="127" t="s">
        <v>2724</v>
      </c>
      <c r="C114" s="99" t="s">
        <v>3059</v>
      </c>
      <c r="D114" s="100" t="s">
        <v>2725</v>
      </c>
      <c r="E114" s="101">
        <v>40877.342847222222</v>
      </c>
      <c r="F114" s="101">
        <v>41030</v>
      </c>
      <c r="G114" s="102">
        <f>IF(stdProdLT(Main[[#This Row],[Comments]])=0.1,"N/A",IF(stdProdLT(Main[[#This Row],[Comments]])=0,"",stdProdLT(Main[[#This Row],[Comments]])))</f>
        <v>182</v>
      </c>
      <c r="H114" s="103">
        <f>IF(AND(Main[[#This Row],[In Stock Date]]&lt;&gt;"",Main[[#This Row],[Revised Due Date]]&lt;&gt;""),Main[[#This Row],[In Stock Date]]-Main[[#This Row],[Revised Due Date]],"")</f>
        <v>131</v>
      </c>
      <c r="I114" s="99" t="s">
        <v>435</v>
      </c>
      <c r="J114" s="99" t="s">
        <v>70</v>
      </c>
      <c r="K114" s="99" t="s">
        <v>1971</v>
      </c>
      <c r="L114" s="101">
        <v>40878</v>
      </c>
      <c r="M114" s="104">
        <f>IF(Main[[#This Row],[Tech Start Date]]&lt;1/1/1990,"",IF(Main[[#This Row],[Class]]="C",WORKDAY(Main[[#This Row],[Tech Start Date]],9),IF(Main[[#This Row],[Class]]="B", WORKDAY(Main[[#This Row],[Tech Start Date]],6),IF(Main[[#This Row],[Class]]="A",WORKDAY(Main[[#This Row],[Tech Start Date]],2),""))))</f>
        <v>40882</v>
      </c>
      <c r="N114" s="104">
        <f>IF(Main[[#This Row],[Tech Start Date]]&lt;1/1/1990,"",IF(Main[[#This Row],[Class]]="C",WORKDAY(Main[[#This Row],[Tech Start Date]],19),IF(Main[[#This Row],[Class]]="B", WORKDAY(Main[[#This Row],[Tech Start Date]],12),IF(Main[[#This Row],[Class]]="A",WORKDAY(Main[[#This Row],[Tech Start Date]],4),""))))</f>
        <v>40884</v>
      </c>
      <c r="O114" s="104">
        <f>IF(Main[[#This Row],[Tech Start Date]]&lt;1/1/1990,"",IF(Main[[#This Row],[Class]]="C",WORKDAY(Main[[#This Row],[Tech Start Date]],23),IF(Main[[#This Row],[Class]]="B", WORKDAY(Main[[#This Row],[Tech Start Date]],15),IF(Main[[#This Row],[Class]]="A",WORKDAY(Main[[#This Row],[Tech Start Date]],5),""))))</f>
        <v>40885</v>
      </c>
      <c r="P114" s="104">
        <f>IF(Main[[#This Row],[Tech Start Date]]&lt;1/1/1990,"",IF(Main[[#This Row],[Class]]="C",WORKDAY(Main[[#This Row],[Tech Start Date]],28),IF(Main[[#This Row],[Class]]="B", WORKDAY(Main[[#This Row],[Tech Start Date]],19),IF(Main[[#This Row],[Class]]="A",WORKDAY(Main[[#This Row],[Tech Start Date]],9),""))))</f>
        <v>40891</v>
      </c>
      <c r="Q114" s="101">
        <v>40923</v>
      </c>
      <c r="R114" s="101">
        <v>40899</v>
      </c>
      <c r="S114" s="99" t="s">
        <v>11</v>
      </c>
      <c r="T114" s="107" t="s">
        <v>2726</v>
      </c>
      <c r="U114" s="99" t="s">
        <v>29</v>
      </c>
      <c r="V114" s="99" t="s">
        <v>1972</v>
      </c>
      <c r="W114" s="99" t="s">
        <v>1968</v>
      </c>
    </row>
    <row r="115" spans="1:23" ht="18.600000000000001" customHeight="1">
      <c r="A115" s="123">
        <f>IF(priority(Main[[#This Row],[Comments]])&lt;&gt;0, priority(Main[[#This Row],[Comments]]),"")</f>
        <v>35.1</v>
      </c>
      <c r="B115" s="127" t="s">
        <v>2323</v>
      </c>
      <c r="C115" s="99" t="s">
        <v>149</v>
      </c>
      <c r="D115" s="100" t="s">
        <v>3030</v>
      </c>
      <c r="E115" s="101">
        <v>40794.58861111111</v>
      </c>
      <c r="F115" s="101">
        <v>40953</v>
      </c>
      <c r="G115" s="102">
        <f>IF(stdProdLT(Main[[#This Row],[Comments]])=0.1,"N/A",IF(stdProdLT(Main[[#This Row],[Comments]])=0,"",stdProdLT(Main[[#This Row],[Comments]])))</f>
        <v>126</v>
      </c>
      <c r="H115" s="103">
        <f>IF(AND(Main[[#This Row],[In Stock Date]]&lt;&gt;"",Main[[#This Row],[Revised Due Date]]&lt;&gt;""),Main[[#This Row],[In Stock Date]]-Main[[#This Row],[Revised Due Date]],"")</f>
        <v>71</v>
      </c>
      <c r="I115" s="99" t="s">
        <v>81</v>
      </c>
      <c r="J115" s="99" t="s">
        <v>52</v>
      </c>
      <c r="K115" s="108" t="s">
        <v>1975</v>
      </c>
      <c r="L115" s="101">
        <v>40795</v>
      </c>
      <c r="M115" s="104">
        <f>IF(Main[[#This Row],[Tech Start Date]]&lt;1/1/1990,"",IF(Main[[#This Row],[Class]]="C",WORKDAY(Main[[#This Row],[Tech Start Date]],9),IF(Main[[#This Row],[Class]]="B", WORKDAY(Main[[#This Row],[Tech Start Date]],6),IF(Main[[#This Row],[Class]]="A",WORKDAY(Main[[#This Row],[Tech Start Date]],2),""))))</f>
        <v>40808</v>
      </c>
      <c r="N115" s="104">
        <f>IF(Main[[#This Row],[Tech Start Date]]&lt;1/1/1990,"",IF(Main[[#This Row],[Class]]="C",WORKDAY(Main[[#This Row],[Tech Start Date]],19),IF(Main[[#This Row],[Class]]="B", WORKDAY(Main[[#This Row],[Tech Start Date]],12),IF(Main[[#This Row],[Class]]="A",WORKDAY(Main[[#This Row],[Tech Start Date]],4),""))))</f>
        <v>40822</v>
      </c>
      <c r="O115" s="104">
        <f>IF(Main[[#This Row],[Tech Start Date]]&lt;1/1/1990,"",IF(Main[[#This Row],[Class]]="C",WORKDAY(Main[[#This Row],[Tech Start Date]],23),IF(Main[[#This Row],[Class]]="B", WORKDAY(Main[[#This Row],[Tech Start Date]],15),IF(Main[[#This Row],[Class]]="A",WORKDAY(Main[[#This Row],[Tech Start Date]],5),""))))</f>
        <v>40828</v>
      </c>
      <c r="P115" s="104">
        <f>IF(Main[[#This Row],[Tech Start Date]]&lt;1/1/1990,"",IF(Main[[#This Row],[Class]]="C",WORKDAY(Main[[#This Row],[Tech Start Date]],28),IF(Main[[#This Row],[Class]]="B", WORKDAY(Main[[#This Row],[Tech Start Date]],19),IF(Main[[#This Row],[Class]]="A",WORKDAY(Main[[#This Row],[Tech Start Date]],9),""))))</f>
        <v>40835</v>
      </c>
      <c r="Q115" s="101">
        <v>40840</v>
      </c>
      <c r="R115" s="101">
        <v>40882</v>
      </c>
      <c r="S115" s="99" t="s">
        <v>11</v>
      </c>
      <c r="T115" s="107" t="s">
        <v>3049</v>
      </c>
      <c r="U115" s="99" t="s">
        <v>29</v>
      </c>
      <c r="V115" s="99" t="s">
        <v>1965</v>
      </c>
      <c r="W115" s="99" t="s">
        <v>1967</v>
      </c>
    </row>
    <row r="116" spans="1:23" ht="18.600000000000001" customHeight="1">
      <c r="A116" s="123">
        <f>IF(priority(Main[[#This Row],[Comments]])&lt;&gt;0, priority(Main[[#This Row],[Comments]]),"")</f>
        <v>35.1</v>
      </c>
      <c r="B116" s="127" t="s">
        <v>2691</v>
      </c>
      <c r="C116" s="99" t="s">
        <v>72</v>
      </c>
      <c r="D116" s="100" t="s">
        <v>2692</v>
      </c>
      <c r="E116" s="101">
        <v>40871.083078703705</v>
      </c>
      <c r="F116" s="101">
        <v>41061</v>
      </c>
      <c r="G116" s="102">
        <f>IF(stdProdLT(Main[[#This Row],[Comments]])=0.1,"N/A",IF(stdProdLT(Main[[#This Row],[Comments]])=0,"",stdProdLT(Main[[#This Row],[Comments]])))</f>
        <v>168</v>
      </c>
      <c r="H116" s="103">
        <f>IF(AND(Main[[#This Row],[In Stock Date]]&lt;&gt;"",Main[[#This Row],[Revised Due Date]]&lt;&gt;""),Main[[#This Row],[In Stock Date]]-Main[[#This Row],[Revised Due Date]],"")</f>
        <v>505</v>
      </c>
      <c r="I116" s="99" t="s">
        <v>242</v>
      </c>
      <c r="J116" s="99" t="s">
        <v>28</v>
      </c>
      <c r="K116" s="99" t="s">
        <v>1975</v>
      </c>
      <c r="L116" s="101">
        <v>40878</v>
      </c>
      <c r="M116" s="104">
        <f>IF(Main[[#This Row],[Tech Start Date]]&lt;1/1/1990,"",IF(Main[[#This Row],[Class]]="C",WORKDAY(Main[[#This Row],[Tech Start Date]],9),IF(Main[[#This Row],[Class]]="B", WORKDAY(Main[[#This Row],[Tech Start Date]],6),IF(Main[[#This Row],[Class]]="A",WORKDAY(Main[[#This Row],[Tech Start Date]],2),""))))</f>
        <v>40891</v>
      </c>
      <c r="N116" s="104">
        <f>IF(Main[[#This Row],[Tech Start Date]]&lt;1/1/1990,"",IF(Main[[#This Row],[Class]]="C",WORKDAY(Main[[#This Row],[Tech Start Date]],19),IF(Main[[#This Row],[Class]]="B", WORKDAY(Main[[#This Row],[Tech Start Date]],12),IF(Main[[#This Row],[Class]]="A",WORKDAY(Main[[#This Row],[Tech Start Date]],4),""))))</f>
        <v>40905</v>
      </c>
      <c r="O116" s="104">
        <f>IF(Main[[#This Row],[Tech Start Date]]&lt;1/1/1990,"",IF(Main[[#This Row],[Class]]="C",WORKDAY(Main[[#This Row],[Tech Start Date]],23),IF(Main[[#This Row],[Class]]="B", WORKDAY(Main[[#This Row],[Tech Start Date]],15),IF(Main[[#This Row],[Class]]="A",WORKDAY(Main[[#This Row],[Tech Start Date]],5),""))))</f>
        <v>40911</v>
      </c>
      <c r="P116" s="104">
        <f>IF(Main[[#This Row],[Tech Start Date]]&lt;1/1/1990,"",IF(Main[[#This Row],[Class]]="C",WORKDAY(Main[[#This Row],[Tech Start Date]],28),IF(Main[[#This Row],[Class]]="B", WORKDAY(Main[[#This Row],[Tech Start Date]],19),IF(Main[[#This Row],[Class]]="A",WORKDAY(Main[[#This Row],[Tech Start Date]],9),""))))</f>
        <v>40918</v>
      </c>
      <c r="Q116" s="101"/>
      <c r="R116" s="101">
        <v>40556</v>
      </c>
      <c r="S116" s="99" t="s">
        <v>11</v>
      </c>
      <c r="T116" s="107" t="s">
        <v>3058</v>
      </c>
      <c r="U116" s="99" t="s">
        <v>29</v>
      </c>
      <c r="V116" s="99" t="s">
        <v>1965</v>
      </c>
      <c r="W116" s="99" t="s">
        <v>1967</v>
      </c>
    </row>
    <row r="117" spans="1:23" ht="18.600000000000001" customHeight="1">
      <c r="A117" s="123">
        <f>IF(priority(Main[[#This Row],[Comments]])&lt;&gt;0, priority(Main[[#This Row],[Comments]]),"")</f>
        <v>36</v>
      </c>
      <c r="B117" s="127" t="s">
        <v>1717</v>
      </c>
      <c r="C117" s="99" t="s">
        <v>72</v>
      </c>
      <c r="D117" s="100" t="s">
        <v>748</v>
      </c>
      <c r="E117" s="101">
        <v>40627.683692129627</v>
      </c>
      <c r="F117" s="101"/>
      <c r="G117" s="102">
        <f>IF(stdProdLT(Main[[#This Row],[Comments]])=0.1,"N/A",IF(stdProdLT(Main[[#This Row],[Comments]])=0,"",stdProdLT(Main[[#This Row],[Comments]])))</f>
        <v>140</v>
      </c>
      <c r="H117" s="103" t="str">
        <f>IF(AND(Main[[#This Row],[In Stock Date]]&lt;&gt;"",Main[[#This Row],[Revised Due Date]]&lt;&gt;""),Main[[#This Row],[In Stock Date]]-Main[[#This Row],[Revised Due Date]],"")</f>
        <v/>
      </c>
      <c r="I117" s="99" t="s">
        <v>131</v>
      </c>
      <c r="J117" s="99" t="s">
        <v>52</v>
      </c>
      <c r="K117" s="99" t="s">
        <v>1971</v>
      </c>
      <c r="L117" s="101"/>
      <c r="M117" s="104" t="str">
        <f>IF(Main[[#This Row],[Tech Start Date]]&lt;1/1/1990,"",IF(Main[[#This Row],[Class]]="C",WORKDAY(Main[[#This Row],[Tech Start Date]],9),IF(Main[[#This Row],[Class]]="B", WORKDAY(Main[[#This Row],[Tech Start Date]],6),IF(Main[[#This Row],[Class]]="A",WORKDAY(Main[[#This Row],[Tech Start Date]],2),""))))</f>
        <v/>
      </c>
      <c r="N117" s="104" t="str">
        <f>IF(Main[[#This Row],[Tech Start Date]]&lt;1/1/1990,"",IF(Main[[#This Row],[Class]]="C",WORKDAY(Main[[#This Row],[Tech Start Date]],19),IF(Main[[#This Row],[Class]]="B", WORKDAY(Main[[#This Row],[Tech Start Date]],12),IF(Main[[#This Row],[Class]]="A",WORKDAY(Main[[#This Row],[Tech Start Date]],4),""))))</f>
        <v/>
      </c>
      <c r="O117" s="104" t="str">
        <f>IF(Main[[#This Row],[Tech Start Date]]&lt;1/1/1990,"",IF(Main[[#This Row],[Class]]="C",WORKDAY(Main[[#This Row],[Tech Start Date]],23),IF(Main[[#This Row],[Class]]="B", WORKDAY(Main[[#This Row],[Tech Start Date]],15),IF(Main[[#This Row],[Class]]="A",WORKDAY(Main[[#This Row],[Tech Start Date]],5),""))))</f>
        <v/>
      </c>
      <c r="P117" s="104" t="str">
        <f>IF(Main[[#This Row],[Tech Start Date]]&lt;1/1/1990,"",IF(Main[[#This Row],[Class]]="C",WORKDAY(Main[[#This Row],[Tech Start Date]],28),IF(Main[[#This Row],[Class]]="B", WORKDAY(Main[[#This Row],[Tech Start Date]],19),IF(Main[[#This Row],[Class]]="A",WORKDAY(Main[[#This Row],[Tech Start Date]],9),""))))</f>
        <v/>
      </c>
      <c r="Q117" s="101"/>
      <c r="R117" s="101"/>
      <c r="S117" s="99" t="s">
        <v>11</v>
      </c>
      <c r="T117" s="107" t="s">
        <v>2845</v>
      </c>
      <c r="U117" s="99" t="s">
        <v>29</v>
      </c>
      <c r="V117" s="99" t="s">
        <v>1965</v>
      </c>
      <c r="W117" s="99" t="s">
        <v>1970</v>
      </c>
    </row>
    <row r="118" spans="1:23" ht="18.600000000000001" customHeight="1">
      <c r="A118" s="123">
        <f>IF(priority(Main[[#This Row],[Comments]])&lt;&gt;0, priority(Main[[#This Row],[Comments]]),"")</f>
        <v>36</v>
      </c>
      <c r="B118" s="127" t="s">
        <v>1243</v>
      </c>
      <c r="C118" s="99" t="s">
        <v>4</v>
      </c>
      <c r="D118" s="100" t="s">
        <v>272</v>
      </c>
      <c r="E118" s="101">
        <v>40681.617800925924</v>
      </c>
      <c r="F118" s="101"/>
      <c r="G118" s="102" t="str">
        <f>IF(stdProdLT(Main[[#This Row],[Comments]])=0.1,"N/A",IF(stdProdLT(Main[[#This Row],[Comments]])=0,"",stdProdLT(Main[[#This Row],[Comments]])))</f>
        <v/>
      </c>
      <c r="H118" s="103" t="str">
        <f>IF(AND(Main[[#This Row],[In Stock Date]]&lt;&gt;"",Main[[#This Row],[Revised Due Date]]&lt;&gt;""),Main[[#This Row],[In Stock Date]]-Main[[#This Row],[Revised Due Date]],"")</f>
        <v/>
      </c>
      <c r="I118" s="99" t="s">
        <v>4</v>
      </c>
      <c r="J118" s="99" t="s">
        <v>21</v>
      </c>
      <c r="K118" s="99" t="s">
        <v>4</v>
      </c>
      <c r="L118" s="101"/>
      <c r="M118" s="104" t="str">
        <f>IF(Main[[#This Row],[Tech Start Date]]&lt;1/1/1990,"",IF(Main[[#This Row],[Class]]="C",WORKDAY(Main[[#This Row],[Tech Start Date]],9),IF(Main[[#This Row],[Class]]="B", WORKDAY(Main[[#This Row],[Tech Start Date]],6),IF(Main[[#This Row],[Class]]="A",WORKDAY(Main[[#This Row],[Tech Start Date]],2),""))))</f>
        <v/>
      </c>
      <c r="N118" s="104" t="str">
        <f>IF(Main[[#This Row],[Tech Start Date]]&lt;1/1/1990,"",IF(Main[[#This Row],[Class]]="C",WORKDAY(Main[[#This Row],[Tech Start Date]],19),IF(Main[[#This Row],[Class]]="B", WORKDAY(Main[[#This Row],[Tech Start Date]],12),IF(Main[[#This Row],[Class]]="A",WORKDAY(Main[[#This Row],[Tech Start Date]],4),""))))</f>
        <v/>
      </c>
      <c r="O118" s="104" t="str">
        <f>IF(Main[[#This Row],[Tech Start Date]]&lt;1/1/1990,"",IF(Main[[#This Row],[Class]]="C",WORKDAY(Main[[#This Row],[Tech Start Date]],23),IF(Main[[#This Row],[Class]]="B", WORKDAY(Main[[#This Row],[Tech Start Date]],15),IF(Main[[#This Row],[Class]]="A",WORKDAY(Main[[#This Row],[Tech Start Date]],5),""))))</f>
        <v/>
      </c>
      <c r="P118" s="104" t="str">
        <f>IF(Main[[#This Row],[Tech Start Date]]&lt;1/1/1990,"",IF(Main[[#This Row],[Class]]="C",WORKDAY(Main[[#This Row],[Tech Start Date]],28),IF(Main[[#This Row],[Class]]="B", WORKDAY(Main[[#This Row],[Tech Start Date]],19),IF(Main[[#This Row],[Class]]="A",WORKDAY(Main[[#This Row],[Tech Start Date]],9),""))))</f>
        <v/>
      </c>
      <c r="Q118" s="101">
        <v>40710</v>
      </c>
      <c r="R118" s="101"/>
      <c r="S118" s="99" t="s">
        <v>6</v>
      </c>
      <c r="T118" s="107" t="s">
        <v>2345</v>
      </c>
      <c r="U118" s="99" t="s">
        <v>540</v>
      </c>
      <c r="V118" s="99" t="s">
        <v>1962</v>
      </c>
      <c r="W118" s="99" t="s">
        <v>1973</v>
      </c>
    </row>
    <row r="119" spans="1:23" ht="18.600000000000001" customHeight="1">
      <c r="A119" s="123">
        <f>IF(priority(Main[[#This Row],[Comments]])&lt;&gt;0, priority(Main[[#This Row],[Comments]]),"")</f>
        <v>37</v>
      </c>
      <c r="B119" s="127" t="s">
        <v>1206</v>
      </c>
      <c r="C119" s="99" t="s">
        <v>4</v>
      </c>
      <c r="D119" s="100" t="s">
        <v>230</v>
      </c>
      <c r="E119" s="101">
        <v>40567.332951388889</v>
      </c>
      <c r="F119" s="101">
        <v>40602</v>
      </c>
      <c r="G119" s="102" t="str">
        <f>IF(stdProdLT(Main[[#This Row],[Comments]])=0.1,"N/A",IF(stdProdLT(Main[[#This Row],[Comments]])=0,"",stdProdLT(Main[[#This Row],[Comments]])))</f>
        <v/>
      </c>
      <c r="H119" s="103" t="str">
        <f>IF(AND(Main[[#This Row],[In Stock Date]]&lt;&gt;"",Main[[#This Row],[Revised Due Date]]&lt;&gt;""),Main[[#This Row],[In Stock Date]]-Main[[#This Row],[Revised Due Date]],"")</f>
        <v/>
      </c>
      <c r="I119" s="99" t="s">
        <v>929</v>
      </c>
      <c r="J119" s="99" t="s">
        <v>52</v>
      </c>
      <c r="K119" s="99" t="s">
        <v>1971</v>
      </c>
      <c r="L119" s="101"/>
      <c r="M119" s="104" t="str">
        <f>IF(Main[[#This Row],[Tech Start Date]]&lt;1/1/1990,"",IF(Main[[#This Row],[Class]]="C",WORKDAY(Main[[#This Row],[Tech Start Date]],9),IF(Main[[#This Row],[Class]]="B", WORKDAY(Main[[#This Row],[Tech Start Date]],6),IF(Main[[#This Row],[Class]]="A",WORKDAY(Main[[#This Row],[Tech Start Date]],2),""))))</f>
        <v/>
      </c>
      <c r="N119" s="104" t="str">
        <f>IF(Main[[#This Row],[Tech Start Date]]&lt;1/1/1990,"",IF(Main[[#This Row],[Class]]="C",WORKDAY(Main[[#This Row],[Tech Start Date]],19),IF(Main[[#This Row],[Class]]="B", WORKDAY(Main[[#This Row],[Tech Start Date]],12),IF(Main[[#This Row],[Class]]="A",WORKDAY(Main[[#This Row],[Tech Start Date]],4),""))))</f>
        <v/>
      </c>
      <c r="O119" s="104" t="str">
        <f>IF(Main[[#This Row],[Tech Start Date]]&lt;1/1/1990,"",IF(Main[[#This Row],[Class]]="C",WORKDAY(Main[[#This Row],[Tech Start Date]],23),IF(Main[[#This Row],[Class]]="B", WORKDAY(Main[[#This Row],[Tech Start Date]],15),IF(Main[[#This Row],[Class]]="A",WORKDAY(Main[[#This Row],[Tech Start Date]],5),""))))</f>
        <v/>
      </c>
      <c r="P119" s="104" t="str">
        <f>IF(Main[[#This Row],[Tech Start Date]]&lt;1/1/1990,"",IF(Main[[#This Row],[Class]]="C",WORKDAY(Main[[#This Row],[Tech Start Date]],28),IF(Main[[#This Row],[Class]]="B", WORKDAY(Main[[#This Row],[Tech Start Date]],19),IF(Main[[#This Row],[Class]]="A",WORKDAY(Main[[#This Row],[Tech Start Date]],9),""))))</f>
        <v/>
      </c>
      <c r="Q119" s="101">
        <v>40602</v>
      </c>
      <c r="R119" s="101"/>
      <c r="S119" s="99" t="s">
        <v>6</v>
      </c>
      <c r="T119" s="107" t="s">
        <v>2083</v>
      </c>
      <c r="U119" s="99" t="s">
        <v>29</v>
      </c>
      <c r="V119" s="99" t="s">
        <v>1962</v>
      </c>
      <c r="W119" s="99" t="s">
        <v>1964</v>
      </c>
    </row>
    <row r="120" spans="1:23" ht="18.600000000000001" customHeight="1">
      <c r="A120" s="123">
        <f>IF(priority(Main[[#This Row],[Comments]])&lt;&gt;0, priority(Main[[#This Row],[Comments]]),"")</f>
        <v>37</v>
      </c>
      <c r="B120" s="127" t="s">
        <v>2068</v>
      </c>
      <c r="C120" s="99" t="s">
        <v>2045</v>
      </c>
      <c r="D120" s="100" t="s">
        <v>2279</v>
      </c>
      <c r="E120" s="101">
        <v>40744.420902777776</v>
      </c>
      <c r="F120" s="101">
        <v>40953</v>
      </c>
      <c r="G120" s="102">
        <f>IF(stdProdLT(Main[[#This Row],[Comments]])=0.1,"N/A",IF(stdProdLT(Main[[#This Row],[Comments]])=0,"",stdProdLT(Main[[#This Row],[Comments]])))</f>
        <v>126</v>
      </c>
      <c r="H120" s="103">
        <f>IF(AND(Main[[#This Row],[In Stock Date]]&lt;&gt;"",Main[[#This Row],[Revised Due Date]]&lt;&gt;""),Main[[#This Row],[In Stock Date]]-Main[[#This Row],[Revised Due Date]],"")</f>
        <v>160</v>
      </c>
      <c r="I120" s="99" t="s">
        <v>778</v>
      </c>
      <c r="J120" s="99" t="s">
        <v>52</v>
      </c>
      <c r="K120" s="108" t="s">
        <v>1975</v>
      </c>
      <c r="L120" s="101">
        <v>40758</v>
      </c>
      <c r="M120" s="104">
        <f>IF(Main[[#This Row],[Tech Start Date]]&lt;1/1/1990,"",IF(Main[[#This Row],[Class]]="C",WORKDAY(Main[[#This Row],[Tech Start Date]],9),IF(Main[[#This Row],[Class]]="B", WORKDAY(Main[[#This Row],[Tech Start Date]],6),IF(Main[[#This Row],[Class]]="A",WORKDAY(Main[[#This Row],[Tech Start Date]],2),""))))</f>
        <v>40771</v>
      </c>
      <c r="N120" s="104">
        <f>IF(Main[[#This Row],[Tech Start Date]]&lt;1/1/1990,"",IF(Main[[#This Row],[Class]]="C",WORKDAY(Main[[#This Row],[Tech Start Date]],19),IF(Main[[#This Row],[Class]]="B", WORKDAY(Main[[#This Row],[Tech Start Date]],12),IF(Main[[#This Row],[Class]]="A",WORKDAY(Main[[#This Row],[Tech Start Date]],4),""))))</f>
        <v>40785</v>
      </c>
      <c r="O120" s="104">
        <f>IF(Main[[#This Row],[Tech Start Date]]&lt;1/1/1990,"",IF(Main[[#This Row],[Class]]="C",WORKDAY(Main[[#This Row],[Tech Start Date]],23),IF(Main[[#This Row],[Class]]="B", WORKDAY(Main[[#This Row],[Tech Start Date]],15),IF(Main[[#This Row],[Class]]="A",WORKDAY(Main[[#This Row],[Tech Start Date]],5),""))))</f>
        <v>40791</v>
      </c>
      <c r="P120" s="104">
        <f>IF(Main[[#This Row],[Tech Start Date]]&lt;1/1/1990,"",IF(Main[[#This Row],[Class]]="C",WORKDAY(Main[[#This Row],[Tech Start Date]],28),IF(Main[[#This Row],[Class]]="B", WORKDAY(Main[[#This Row],[Tech Start Date]],19),IF(Main[[#This Row],[Class]]="A",WORKDAY(Main[[#This Row],[Tech Start Date]],9),""))))</f>
        <v>40798</v>
      </c>
      <c r="Q120" s="101">
        <v>40772</v>
      </c>
      <c r="R120" s="101">
        <v>40793</v>
      </c>
      <c r="S120" s="99" t="s">
        <v>11</v>
      </c>
      <c r="T120" s="107" t="s">
        <v>2889</v>
      </c>
      <c r="U120" s="99" t="s">
        <v>540</v>
      </c>
      <c r="V120" s="99" t="s">
        <v>1965</v>
      </c>
      <c r="W120" s="99" t="s">
        <v>1967</v>
      </c>
    </row>
    <row r="121" spans="1:23" ht="18.600000000000001" customHeight="1">
      <c r="A121" s="123">
        <f>IF(priority(Main[[#This Row],[Comments]])&lt;&gt;0, priority(Main[[#This Row],[Comments]]),"")</f>
        <v>38</v>
      </c>
      <c r="B121" s="127" t="s">
        <v>1261</v>
      </c>
      <c r="C121" s="99" t="s">
        <v>4</v>
      </c>
      <c r="D121" s="100" t="s">
        <v>2468</v>
      </c>
      <c r="E121" s="101">
        <v>40337.30976851852</v>
      </c>
      <c r="F121" s="101"/>
      <c r="G121" s="102" t="str">
        <f>IF(stdProdLT(Main[[#This Row],[Comments]])=0.1,"N/A",IF(stdProdLT(Main[[#This Row],[Comments]])=0,"",stdProdLT(Main[[#This Row],[Comments]])))</f>
        <v/>
      </c>
      <c r="H121" s="103" t="str">
        <f>IF(AND(Main[[#This Row],[In Stock Date]]&lt;&gt;"",Main[[#This Row],[Revised Due Date]]&lt;&gt;""),Main[[#This Row],[In Stock Date]]-Main[[#This Row],[Revised Due Date]],"")</f>
        <v/>
      </c>
      <c r="I121" s="99" t="s">
        <v>929</v>
      </c>
      <c r="J121" s="99" t="s">
        <v>52</v>
      </c>
      <c r="K121" s="99" t="s">
        <v>4</v>
      </c>
      <c r="L121" s="101"/>
      <c r="M121" s="104" t="str">
        <f>IF(Main[[#This Row],[Tech Start Date]]&lt;1/1/1990,"",IF(Main[[#This Row],[Class]]="C",WORKDAY(Main[[#This Row],[Tech Start Date]],9),IF(Main[[#This Row],[Class]]="B", WORKDAY(Main[[#This Row],[Tech Start Date]],6),IF(Main[[#This Row],[Class]]="A",WORKDAY(Main[[#This Row],[Tech Start Date]],2),""))))</f>
        <v/>
      </c>
      <c r="N121" s="104" t="str">
        <f>IF(Main[[#This Row],[Tech Start Date]]&lt;1/1/1990,"",IF(Main[[#This Row],[Class]]="C",WORKDAY(Main[[#This Row],[Tech Start Date]],19),IF(Main[[#This Row],[Class]]="B", WORKDAY(Main[[#This Row],[Tech Start Date]],12),IF(Main[[#This Row],[Class]]="A",WORKDAY(Main[[#This Row],[Tech Start Date]],4),""))))</f>
        <v/>
      </c>
      <c r="O121" s="104" t="str">
        <f>IF(Main[[#This Row],[Tech Start Date]]&lt;1/1/1990,"",IF(Main[[#This Row],[Class]]="C",WORKDAY(Main[[#This Row],[Tech Start Date]],23),IF(Main[[#This Row],[Class]]="B", WORKDAY(Main[[#This Row],[Tech Start Date]],15),IF(Main[[#This Row],[Class]]="A",WORKDAY(Main[[#This Row],[Tech Start Date]],5),""))))</f>
        <v/>
      </c>
      <c r="P121" s="104" t="str">
        <f>IF(Main[[#This Row],[Tech Start Date]]&lt;1/1/1990,"",IF(Main[[#This Row],[Class]]="C",WORKDAY(Main[[#This Row],[Tech Start Date]],28),IF(Main[[#This Row],[Class]]="B", WORKDAY(Main[[#This Row],[Tech Start Date]],19),IF(Main[[#This Row],[Class]]="A",WORKDAY(Main[[#This Row],[Tech Start Date]],9),""))))</f>
        <v/>
      </c>
      <c r="Q121" s="101">
        <v>40344</v>
      </c>
      <c r="R121" s="101"/>
      <c r="S121" s="99" t="s">
        <v>6</v>
      </c>
      <c r="T121" s="107" t="s">
        <v>2084</v>
      </c>
      <c r="U121" s="99" t="s">
        <v>29</v>
      </c>
      <c r="V121" s="99" t="s">
        <v>1962</v>
      </c>
      <c r="W121" s="99" t="s">
        <v>1966</v>
      </c>
    </row>
    <row r="122" spans="1:23" ht="18.600000000000001" customHeight="1">
      <c r="A122" s="123">
        <f>IF(priority(Main[[#This Row],[Comments]])&lt;&gt;0, priority(Main[[#This Row],[Comments]]),"")</f>
        <v>38</v>
      </c>
      <c r="B122" s="127" t="s">
        <v>2006</v>
      </c>
      <c r="C122" s="99" t="s">
        <v>116</v>
      </c>
      <c r="D122" s="100" t="s">
        <v>2892</v>
      </c>
      <c r="E122" s="101">
        <v>40722.573900462965</v>
      </c>
      <c r="F122" s="101">
        <v>41334</v>
      </c>
      <c r="G122" s="102">
        <f>IF(stdProdLT(Main[[#This Row],[Comments]])=0.1,"N/A",IF(stdProdLT(Main[[#This Row],[Comments]])=0,"",stdProdLT(Main[[#This Row],[Comments]])))</f>
        <v>84</v>
      </c>
      <c r="H122" s="103">
        <f>IF(AND(Main[[#This Row],[In Stock Date]]&lt;&gt;"",Main[[#This Row],[Revised Due Date]]&lt;&gt;""),Main[[#This Row],[In Stock Date]]-Main[[#This Row],[Revised Due Date]],"")</f>
        <v>452</v>
      </c>
      <c r="I122" s="99" t="s">
        <v>81</v>
      </c>
      <c r="J122" s="99" t="s">
        <v>21</v>
      </c>
      <c r="K122" s="99" t="s">
        <v>1975</v>
      </c>
      <c r="L122" s="101">
        <v>40767</v>
      </c>
      <c r="M122" s="104">
        <f>IF(Main[[#This Row],[Tech Start Date]]&lt;1/1/1990,"",IF(Main[[#This Row],[Class]]="C",WORKDAY(Main[[#This Row],[Tech Start Date]],9),IF(Main[[#This Row],[Class]]="B", WORKDAY(Main[[#This Row],[Tech Start Date]],6),IF(Main[[#This Row],[Class]]="A",WORKDAY(Main[[#This Row],[Tech Start Date]],2),""))))</f>
        <v>40780</v>
      </c>
      <c r="N122" s="104">
        <f>IF(Main[[#This Row],[Tech Start Date]]&lt;1/1/1990,"",IF(Main[[#This Row],[Class]]="C",WORKDAY(Main[[#This Row],[Tech Start Date]],19),IF(Main[[#This Row],[Class]]="B", WORKDAY(Main[[#This Row],[Tech Start Date]],12),IF(Main[[#This Row],[Class]]="A",WORKDAY(Main[[#This Row],[Tech Start Date]],4),""))))</f>
        <v>40794</v>
      </c>
      <c r="O122" s="104">
        <f>IF(Main[[#This Row],[Tech Start Date]]&lt;1/1/1990,"",IF(Main[[#This Row],[Class]]="C",WORKDAY(Main[[#This Row],[Tech Start Date]],23),IF(Main[[#This Row],[Class]]="B", WORKDAY(Main[[#This Row],[Tech Start Date]],15),IF(Main[[#This Row],[Class]]="A",WORKDAY(Main[[#This Row],[Tech Start Date]],5),""))))</f>
        <v>40800</v>
      </c>
      <c r="P122" s="104">
        <f>IF(Main[[#This Row],[Tech Start Date]]&lt;1/1/1990,"",IF(Main[[#This Row],[Class]]="C",WORKDAY(Main[[#This Row],[Tech Start Date]],28),IF(Main[[#This Row],[Class]]="B", WORKDAY(Main[[#This Row],[Tech Start Date]],19),IF(Main[[#This Row],[Class]]="A",WORKDAY(Main[[#This Row],[Tech Start Date]],9),""))))</f>
        <v>40807</v>
      </c>
      <c r="Q122" s="101">
        <v>41061</v>
      </c>
      <c r="R122" s="101">
        <v>40882</v>
      </c>
      <c r="S122" s="99" t="s">
        <v>11</v>
      </c>
      <c r="T122" s="107" t="s">
        <v>2893</v>
      </c>
      <c r="U122" s="99" t="s">
        <v>29</v>
      </c>
      <c r="V122" s="99" t="s">
        <v>1965</v>
      </c>
      <c r="W122" s="99" t="s">
        <v>1967</v>
      </c>
    </row>
    <row r="123" spans="1:23" ht="18.600000000000001" customHeight="1">
      <c r="A123" s="123">
        <f>IF(priority(Main[[#This Row],[Comments]])&lt;&gt;0, priority(Main[[#This Row],[Comments]]),"")</f>
        <v>39</v>
      </c>
      <c r="B123" s="127" t="s">
        <v>1439</v>
      </c>
      <c r="C123" s="99" t="s">
        <v>37</v>
      </c>
      <c r="D123" s="100" t="s">
        <v>491</v>
      </c>
      <c r="E123" s="101">
        <v>40682.478391203702</v>
      </c>
      <c r="F123" s="101"/>
      <c r="G123" s="102" t="str">
        <f>IF(stdProdLT(Main[[#This Row],[Comments]])=0.1,"N/A",IF(stdProdLT(Main[[#This Row],[Comments]])=0,"",stdProdLT(Main[[#This Row],[Comments]])))</f>
        <v/>
      </c>
      <c r="H123" s="103" t="str">
        <f>IF(AND(Main[[#This Row],[In Stock Date]]&lt;&gt;"",Main[[#This Row],[Revised Due Date]]&lt;&gt;""),Main[[#This Row],[In Stock Date]]-Main[[#This Row],[Revised Due Date]],"")</f>
        <v/>
      </c>
      <c r="I123" s="99" t="s">
        <v>4</v>
      </c>
      <c r="J123" s="99" t="s">
        <v>21</v>
      </c>
      <c r="K123" s="108" t="s">
        <v>4</v>
      </c>
      <c r="L123" s="101"/>
      <c r="M123" s="104" t="str">
        <f>IF(Main[[#This Row],[Tech Start Date]]&lt;1/1/1990,"",IF(Main[[#This Row],[Class]]="C",WORKDAY(Main[[#This Row],[Tech Start Date]],9),IF(Main[[#This Row],[Class]]="B", WORKDAY(Main[[#This Row],[Tech Start Date]],6),IF(Main[[#This Row],[Class]]="A",WORKDAY(Main[[#This Row],[Tech Start Date]],2),""))))</f>
        <v/>
      </c>
      <c r="N123" s="104" t="str">
        <f>IF(Main[[#This Row],[Tech Start Date]]&lt;1/1/1990,"",IF(Main[[#This Row],[Class]]="C",WORKDAY(Main[[#This Row],[Tech Start Date]],19),IF(Main[[#This Row],[Class]]="B", WORKDAY(Main[[#This Row],[Tech Start Date]],12),IF(Main[[#This Row],[Class]]="A",WORKDAY(Main[[#This Row],[Tech Start Date]],4),""))))</f>
        <v/>
      </c>
      <c r="O123" s="104" t="str">
        <f>IF(Main[[#This Row],[Tech Start Date]]&lt;1/1/1990,"",IF(Main[[#This Row],[Class]]="C",WORKDAY(Main[[#This Row],[Tech Start Date]],23),IF(Main[[#This Row],[Class]]="B", WORKDAY(Main[[#This Row],[Tech Start Date]],15),IF(Main[[#This Row],[Class]]="A",WORKDAY(Main[[#This Row],[Tech Start Date]],5),""))))</f>
        <v/>
      </c>
      <c r="P123" s="104" t="str">
        <f>IF(Main[[#This Row],[Tech Start Date]]&lt;1/1/1990,"",IF(Main[[#This Row],[Class]]="C",WORKDAY(Main[[#This Row],[Tech Start Date]],28),IF(Main[[#This Row],[Class]]="B", WORKDAY(Main[[#This Row],[Tech Start Date]],19),IF(Main[[#This Row],[Class]]="A",WORKDAY(Main[[#This Row],[Tech Start Date]],9),""))))</f>
        <v/>
      </c>
      <c r="Q123" s="101">
        <v>40696</v>
      </c>
      <c r="R123" s="101"/>
      <c r="S123" s="99" t="s">
        <v>6</v>
      </c>
      <c r="T123" s="107" t="s">
        <v>2085</v>
      </c>
      <c r="U123" s="99" t="s">
        <v>540</v>
      </c>
      <c r="V123" s="99" t="s">
        <v>1962</v>
      </c>
      <c r="W123" s="99" t="s">
        <v>1973</v>
      </c>
    </row>
    <row r="124" spans="1:23" ht="18.600000000000001" customHeight="1">
      <c r="A124" s="123">
        <f>IF(priority(Main[[#This Row],[Comments]])&lt;&gt;0, priority(Main[[#This Row],[Comments]]),"")</f>
        <v>39</v>
      </c>
      <c r="B124" s="127" t="s">
        <v>2008</v>
      </c>
      <c r="C124" s="99" t="s">
        <v>116</v>
      </c>
      <c r="D124" s="100" t="s">
        <v>2204</v>
      </c>
      <c r="E124" s="101">
        <v>40722.571018518516</v>
      </c>
      <c r="F124" s="101">
        <v>41334</v>
      </c>
      <c r="G124" s="102">
        <f>IF(stdProdLT(Main[[#This Row],[Comments]])=0.1,"N/A",IF(stdProdLT(Main[[#This Row],[Comments]])=0,"",stdProdLT(Main[[#This Row],[Comments]])))</f>
        <v>84</v>
      </c>
      <c r="H124" s="103">
        <f>IF(AND(Main[[#This Row],[In Stock Date]]&lt;&gt;"",Main[[#This Row],[Revised Due Date]]&lt;&gt;""),Main[[#This Row],[In Stock Date]]-Main[[#This Row],[Revised Due Date]],"")</f>
        <v>452</v>
      </c>
      <c r="I124" s="99" t="s">
        <v>81</v>
      </c>
      <c r="J124" s="99" t="s">
        <v>21</v>
      </c>
      <c r="K124" s="99" t="s">
        <v>1975</v>
      </c>
      <c r="L124" s="101">
        <v>40767</v>
      </c>
      <c r="M124" s="104">
        <f>IF(Main[[#This Row],[Tech Start Date]]&lt;1/1/1990,"",IF(Main[[#This Row],[Class]]="C",WORKDAY(Main[[#This Row],[Tech Start Date]],9),IF(Main[[#This Row],[Class]]="B", WORKDAY(Main[[#This Row],[Tech Start Date]],6),IF(Main[[#This Row],[Class]]="A",WORKDAY(Main[[#This Row],[Tech Start Date]],2),""))))</f>
        <v>40780</v>
      </c>
      <c r="N124" s="104">
        <f>IF(Main[[#This Row],[Tech Start Date]]&lt;1/1/1990,"",IF(Main[[#This Row],[Class]]="C",WORKDAY(Main[[#This Row],[Tech Start Date]],19),IF(Main[[#This Row],[Class]]="B", WORKDAY(Main[[#This Row],[Tech Start Date]],12),IF(Main[[#This Row],[Class]]="A",WORKDAY(Main[[#This Row],[Tech Start Date]],4),""))))</f>
        <v>40794</v>
      </c>
      <c r="O124" s="104">
        <f>IF(Main[[#This Row],[Tech Start Date]]&lt;1/1/1990,"",IF(Main[[#This Row],[Class]]="C",WORKDAY(Main[[#This Row],[Tech Start Date]],23),IF(Main[[#This Row],[Class]]="B", WORKDAY(Main[[#This Row],[Tech Start Date]],15),IF(Main[[#This Row],[Class]]="A",WORKDAY(Main[[#This Row],[Tech Start Date]],5),""))))</f>
        <v>40800</v>
      </c>
      <c r="P124" s="104">
        <f>IF(Main[[#This Row],[Tech Start Date]]&lt;1/1/1990,"",IF(Main[[#This Row],[Class]]="C",WORKDAY(Main[[#This Row],[Tech Start Date]],28),IF(Main[[#This Row],[Class]]="B", WORKDAY(Main[[#This Row],[Tech Start Date]],19),IF(Main[[#This Row],[Class]]="A",WORKDAY(Main[[#This Row],[Tech Start Date]],9),""))))</f>
        <v>40807</v>
      </c>
      <c r="Q124" s="101">
        <v>41061</v>
      </c>
      <c r="R124" s="101">
        <v>40882</v>
      </c>
      <c r="S124" s="99" t="s">
        <v>11</v>
      </c>
      <c r="T124" s="107" t="s">
        <v>2891</v>
      </c>
      <c r="U124" s="99" t="s">
        <v>29</v>
      </c>
      <c r="V124" s="99" t="s">
        <v>1965</v>
      </c>
      <c r="W124" s="99" t="s">
        <v>1967</v>
      </c>
    </row>
    <row r="125" spans="1:23" ht="18.600000000000001" customHeight="1">
      <c r="A125" s="123">
        <f>IF(priority(Main[[#This Row],[Comments]])&lt;&gt;0, priority(Main[[#This Row],[Comments]]),"")</f>
        <v>40</v>
      </c>
      <c r="B125" s="127" t="s">
        <v>1478</v>
      </c>
      <c r="C125" s="99" t="s">
        <v>4</v>
      </c>
      <c r="D125" s="100" t="s">
        <v>537</v>
      </c>
      <c r="E125" s="101">
        <v>40358.575729166667</v>
      </c>
      <c r="F125" s="101"/>
      <c r="G125" s="102" t="str">
        <f>IF(stdProdLT(Main[[#This Row],[Comments]])=0.1,"N/A",IF(stdProdLT(Main[[#This Row],[Comments]])=0,"",stdProdLT(Main[[#This Row],[Comments]])))</f>
        <v/>
      </c>
      <c r="H125" s="103" t="str">
        <f>IF(AND(Main[[#This Row],[In Stock Date]]&lt;&gt;"",Main[[#This Row],[Revised Due Date]]&lt;&gt;""),Main[[#This Row],[In Stock Date]]-Main[[#This Row],[Revised Due Date]],"")</f>
        <v/>
      </c>
      <c r="I125" s="99" t="s">
        <v>4</v>
      </c>
      <c r="J125" s="99" t="s">
        <v>21</v>
      </c>
      <c r="K125" s="99" t="s">
        <v>4</v>
      </c>
      <c r="L125" s="101"/>
      <c r="M125" s="104" t="str">
        <f>IF(Main[[#This Row],[Tech Start Date]]&lt;1/1/1990,"",IF(Main[[#This Row],[Class]]="C",WORKDAY(Main[[#This Row],[Tech Start Date]],9),IF(Main[[#This Row],[Class]]="B", WORKDAY(Main[[#This Row],[Tech Start Date]],6),IF(Main[[#This Row],[Class]]="A",WORKDAY(Main[[#This Row],[Tech Start Date]],2),""))))</f>
        <v/>
      </c>
      <c r="N125" s="104" t="str">
        <f>IF(Main[[#This Row],[Tech Start Date]]&lt;1/1/1990,"",IF(Main[[#This Row],[Class]]="C",WORKDAY(Main[[#This Row],[Tech Start Date]],19),IF(Main[[#This Row],[Class]]="B", WORKDAY(Main[[#This Row],[Tech Start Date]],12),IF(Main[[#This Row],[Class]]="A",WORKDAY(Main[[#This Row],[Tech Start Date]],4),""))))</f>
        <v/>
      </c>
      <c r="O125" s="104" t="str">
        <f>IF(Main[[#This Row],[Tech Start Date]]&lt;1/1/1990,"",IF(Main[[#This Row],[Class]]="C",WORKDAY(Main[[#This Row],[Tech Start Date]],23),IF(Main[[#This Row],[Class]]="B", WORKDAY(Main[[#This Row],[Tech Start Date]],15),IF(Main[[#This Row],[Class]]="A",WORKDAY(Main[[#This Row],[Tech Start Date]],5),""))))</f>
        <v/>
      </c>
      <c r="P125" s="104" t="str">
        <f>IF(Main[[#This Row],[Tech Start Date]]&lt;1/1/1990,"",IF(Main[[#This Row],[Class]]="C",WORKDAY(Main[[#This Row],[Tech Start Date]],28),IF(Main[[#This Row],[Class]]="B", WORKDAY(Main[[#This Row],[Tech Start Date]],19),IF(Main[[#This Row],[Class]]="A",WORKDAY(Main[[#This Row],[Tech Start Date]],9),""))))</f>
        <v/>
      </c>
      <c r="Q125" s="101">
        <v>40389</v>
      </c>
      <c r="R125" s="101"/>
      <c r="S125" s="99" t="s">
        <v>6</v>
      </c>
      <c r="T125" s="107" t="s">
        <v>2086</v>
      </c>
      <c r="U125" s="99" t="s">
        <v>7</v>
      </c>
      <c r="V125" s="99" t="s">
        <v>1962</v>
      </c>
      <c r="W125" s="99" t="s">
        <v>1966</v>
      </c>
    </row>
    <row r="126" spans="1:23" ht="18.600000000000001" customHeight="1">
      <c r="A126" s="123">
        <f>IF(priority(Main[[#This Row],[Comments]])&lt;&gt;0, priority(Main[[#This Row],[Comments]]),"")</f>
        <v>40</v>
      </c>
      <c r="B126" s="127" t="s">
        <v>2009</v>
      </c>
      <c r="C126" s="99" t="s">
        <v>116</v>
      </c>
      <c r="D126" s="100" t="s">
        <v>2205</v>
      </c>
      <c r="E126" s="101">
        <v>40722.572418981479</v>
      </c>
      <c r="F126" s="101">
        <v>41334</v>
      </c>
      <c r="G126" s="102">
        <f>IF(stdProdLT(Main[[#This Row],[Comments]])=0.1,"N/A",IF(stdProdLT(Main[[#This Row],[Comments]])=0,"",stdProdLT(Main[[#This Row],[Comments]])))</f>
        <v>84</v>
      </c>
      <c r="H126" s="103">
        <f>IF(AND(Main[[#This Row],[In Stock Date]]&lt;&gt;"",Main[[#This Row],[Revised Due Date]]&lt;&gt;""),Main[[#This Row],[In Stock Date]]-Main[[#This Row],[Revised Due Date]],"")</f>
        <v>452</v>
      </c>
      <c r="I126" s="99" t="s">
        <v>81</v>
      </c>
      <c r="J126" s="99" t="s">
        <v>21</v>
      </c>
      <c r="K126" s="99" t="s">
        <v>1975</v>
      </c>
      <c r="L126" s="101">
        <v>40767</v>
      </c>
      <c r="M126" s="104">
        <f>IF(Main[[#This Row],[Tech Start Date]]&lt;1/1/1990,"",IF(Main[[#This Row],[Class]]="C",WORKDAY(Main[[#This Row],[Tech Start Date]],9),IF(Main[[#This Row],[Class]]="B", WORKDAY(Main[[#This Row],[Tech Start Date]],6),IF(Main[[#This Row],[Class]]="A",WORKDAY(Main[[#This Row],[Tech Start Date]],2),""))))</f>
        <v>40780</v>
      </c>
      <c r="N126" s="104">
        <f>IF(Main[[#This Row],[Tech Start Date]]&lt;1/1/1990,"",IF(Main[[#This Row],[Class]]="C",WORKDAY(Main[[#This Row],[Tech Start Date]],19),IF(Main[[#This Row],[Class]]="B", WORKDAY(Main[[#This Row],[Tech Start Date]],12),IF(Main[[#This Row],[Class]]="A",WORKDAY(Main[[#This Row],[Tech Start Date]],4),""))))</f>
        <v>40794</v>
      </c>
      <c r="O126" s="104">
        <f>IF(Main[[#This Row],[Tech Start Date]]&lt;1/1/1990,"",IF(Main[[#This Row],[Class]]="C",WORKDAY(Main[[#This Row],[Tech Start Date]],23),IF(Main[[#This Row],[Class]]="B", WORKDAY(Main[[#This Row],[Tech Start Date]],15),IF(Main[[#This Row],[Class]]="A",WORKDAY(Main[[#This Row],[Tech Start Date]],5),""))))</f>
        <v>40800</v>
      </c>
      <c r="P126" s="104">
        <f>IF(Main[[#This Row],[Tech Start Date]]&lt;1/1/1990,"",IF(Main[[#This Row],[Class]]="C",WORKDAY(Main[[#This Row],[Tech Start Date]],28),IF(Main[[#This Row],[Class]]="B", WORKDAY(Main[[#This Row],[Tech Start Date]],19),IF(Main[[#This Row],[Class]]="A",WORKDAY(Main[[#This Row],[Tech Start Date]],9),""))))</f>
        <v>40807</v>
      </c>
      <c r="Q126" s="101">
        <v>41061</v>
      </c>
      <c r="R126" s="101">
        <v>40882</v>
      </c>
      <c r="S126" s="99" t="s">
        <v>11</v>
      </c>
      <c r="T126" s="107" t="s">
        <v>2890</v>
      </c>
      <c r="U126" s="99" t="s">
        <v>29</v>
      </c>
      <c r="V126" s="99" t="s">
        <v>1965</v>
      </c>
      <c r="W126" s="99" t="s">
        <v>1967</v>
      </c>
    </row>
    <row r="127" spans="1:23" ht="18.600000000000001" customHeight="1">
      <c r="A127" s="123">
        <f>IF(priority(Main[[#This Row],[Comments]])&lt;&gt;0, priority(Main[[#This Row],[Comments]]),"")</f>
        <v>41</v>
      </c>
      <c r="B127" s="127" t="s">
        <v>2050</v>
      </c>
      <c r="C127" s="99" t="s">
        <v>4</v>
      </c>
      <c r="D127" s="100" t="s">
        <v>2051</v>
      </c>
      <c r="E127" s="101">
        <v>40738.567210648151</v>
      </c>
      <c r="F127" s="101"/>
      <c r="G127" s="102" t="str">
        <f>IF(stdProdLT(Main[[#This Row],[Comments]])=0.1,"N/A",IF(stdProdLT(Main[[#This Row],[Comments]])=0,"",stdProdLT(Main[[#This Row],[Comments]])))</f>
        <v/>
      </c>
      <c r="H127" s="103" t="str">
        <f>IF(AND(Main[[#This Row],[In Stock Date]]&lt;&gt;"",Main[[#This Row],[Revised Due Date]]&lt;&gt;""),Main[[#This Row],[In Stock Date]]-Main[[#This Row],[Revised Due Date]],"")</f>
        <v/>
      </c>
      <c r="I127" s="99" t="s">
        <v>929</v>
      </c>
      <c r="J127" s="99" t="s">
        <v>52</v>
      </c>
      <c r="K127" s="99" t="s">
        <v>4</v>
      </c>
      <c r="L127" s="101"/>
      <c r="M127" s="104" t="str">
        <f>IF(Main[[#This Row],[Tech Start Date]]&lt;1/1/1990,"",IF(Main[[#This Row],[Class]]="C",WORKDAY(Main[[#This Row],[Tech Start Date]],9),IF(Main[[#This Row],[Class]]="B", WORKDAY(Main[[#This Row],[Tech Start Date]],6),IF(Main[[#This Row],[Class]]="A",WORKDAY(Main[[#This Row],[Tech Start Date]],2),""))))</f>
        <v/>
      </c>
      <c r="N127" s="104" t="str">
        <f>IF(Main[[#This Row],[Tech Start Date]]&lt;1/1/1990,"",IF(Main[[#This Row],[Class]]="C",WORKDAY(Main[[#This Row],[Tech Start Date]],19),IF(Main[[#This Row],[Class]]="B", WORKDAY(Main[[#This Row],[Tech Start Date]],12),IF(Main[[#This Row],[Class]]="A",WORKDAY(Main[[#This Row],[Tech Start Date]],4),""))))</f>
        <v/>
      </c>
      <c r="O127" s="104" t="str">
        <f>IF(Main[[#This Row],[Tech Start Date]]&lt;1/1/1990,"",IF(Main[[#This Row],[Class]]="C",WORKDAY(Main[[#This Row],[Tech Start Date]],23),IF(Main[[#This Row],[Class]]="B", WORKDAY(Main[[#This Row],[Tech Start Date]],15),IF(Main[[#This Row],[Class]]="A",WORKDAY(Main[[#This Row],[Tech Start Date]],5),""))))</f>
        <v/>
      </c>
      <c r="P127" s="104" t="str">
        <f>IF(Main[[#This Row],[Tech Start Date]]&lt;1/1/1990,"",IF(Main[[#This Row],[Class]]="C",WORKDAY(Main[[#This Row],[Tech Start Date]],28),IF(Main[[#This Row],[Class]]="B", WORKDAY(Main[[#This Row],[Tech Start Date]],19),IF(Main[[#This Row],[Class]]="A",WORKDAY(Main[[#This Row],[Tech Start Date]],9),""))))</f>
        <v/>
      </c>
      <c r="Q127" s="101">
        <v>40749</v>
      </c>
      <c r="R127" s="101"/>
      <c r="S127" s="99" t="s">
        <v>6</v>
      </c>
      <c r="T127" s="107" t="s">
        <v>2088</v>
      </c>
      <c r="U127" s="99" t="s">
        <v>29</v>
      </c>
      <c r="V127" s="99" t="s">
        <v>1962</v>
      </c>
      <c r="W127" s="99" t="s">
        <v>1968</v>
      </c>
    </row>
    <row r="128" spans="1:23" ht="18.600000000000001" customHeight="1">
      <c r="A128" s="123">
        <f>IF(priority(Main[[#This Row],[Comments]])&lt;&gt;0, priority(Main[[#This Row],[Comments]]),"")</f>
        <v>41</v>
      </c>
      <c r="B128" s="127" t="s">
        <v>2007</v>
      </c>
      <c r="C128" s="99" t="s">
        <v>116</v>
      </c>
      <c r="D128" s="100" t="s">
        <v>2894</v>
      </c>
      <c r="E128" s="101">
        <v>40722.573182870372</v>
      </c>
      <c r="F128" s="101">
        <v>41334</v>
      </c>
      <c r="G128" s="102">
        <f>IF(stdProdLT(Main[[#This Row],[Comments]])=0.1,"N/A",IF(stdProdLT(Main[[#This Row],[Comments]])=0,"",stdProdLT(Main[[#This Row],[Comments]])))</f>
        <v>84</v>
      </c>
      <c r="H128" s="103">
        <f>IF(AND(Main[[#This Row],[In Stock Date]]&lt;&gt;"",Main[[#This Row],[Revised Due Date]]&lt;&gt;""),Main[[#This Row],[In Stock Date]]-Main[[#This Row],[Revised Due Date]],"")</f>
        <v>452</v>
      </c>
      <c r="I128" s="99" t="s">
        <v>81</v>
      </c>
      <c r="J128" s="99" t="s">
        <v>21</v>
      </c>
      <c r="K128" s="99" t="s">
        <v>1975</v>
      </c>
      <c r="L128" s="101">
        <v>40767</v>
      </c>
      <c r="M128" s="104">
        <f>IF(Main[[#This Row],[Tech Start Date]]&lt;1/1/1990,"",IF(Main[[#This Row],[Class]]="C",WORKDAY(Main[[#This Row],[Tech Start Date]],9),IF(Main[[#This Row],[Class]]="B", WORKDAY(Main[[#This Row],[Tech Start Date]],6),IF(Main[[#This Row],[Class]]="A",WORKDAY(Main[[#This Row],[Tech Start Date]],2),""))))</f>
        <v>40780</v>
      </c>
      <c r="N128" s="104">
        <f>IF(Main[[#This Row],[Tech Start Date]]&lt;1/1/1990,"",IF(Main[[#This Row],[Class]]="C",WORKDAY(Main[[#This Row],[Tech Start Date]],19),IF(Main[[#This Row],[Class]]="B", WORKDAY(Main[[#This Row],[Tech Start Date]],12),IF(Main[[#This Row],[Class]]="A",WORKDAY(Main[[#This Row],[Tech Start Date]],4),""))))</f>
        <v>40794</v>
      </c>
      <c r="O128" s="104">
        <f>IF(Main[[#This Row],[Tech Start Date]]&lt;1/1/1990,"",IF(Main[[#This Row],[Class]]="C",WORKDAY(Main[[#This Row],[Tech Start Date]],23),IF(Main[[#This Row],[Class]]="B", WORKDAY(Main[[#This Row],[Tech Start Date]],15),IF(Main[[#This Row],[Class]]="A",WORKDAY(Main[[#This Row],[Tech Start Date]],5),""))))</f>
        <v>40800</v>
      </c>
      <c r="P128" s="104">
        <f>IF(Main[[#This Row],[Tech Start Date]]&lt;1/1/1990,"",IF(Main[[#This Row],[Class]]="C",WORKDAY(Main[[#This Row],[Tech Start Date]],28),IF(Main[[#This Row],[Class]]="B", WORKDAY(Main[[#This Row],[Tech Start Date]],19),IF(Main[[#This Row],[Class]]="A",WORKDAY(Main[[#This Row],[Tech Start Date]],9),""))))</f>
        <v>40807</v>
      </c>
      <c r="Q128" s="101">
        <v>41061</v>
      </c>
      <c r="R128" s="101">
        <v>40882</v>
      </c>
      <c r="S128" s="99" t="s">
        <v>11</v>
      </c>
      <c r="T128" s="107" t="s">
        <v>2895</v>
      </c>
      <c r="U128" s="99" t="s">
        <v>29</v>
      </c>
      <c r="V128" s="99" t="s">
        <v>1965</v>
      </c>
      <c r="W128" s="99" t="s">
        <v>1967</v>
      </c>
    </row>
    <row r="129" spans="1:23" ht="18.600000000000001" customHeight="1">
      <c r="A129" s="123">
        <f>IF(priority(Main[[#This Row],[Comments]])&lt;&gt;0, priority(Main[[#This Row],[Comments]]),"")</f>
        <v>42</v>
      </c>
      <c r="B129" s="127" t="s">
        <v>1931</v>
      </c>
      <c r="C129" s="99" t="s">
        <v>116</v>
      </c>
      <c r="D129" s="100" t="s">
        <v>2401</v>
      </c>
      <c r="E129" s="101">
        <v>40641.274907407409</v>
      </c>
      <c r="F129" s="101">
        <v>40714</v>
      </c>
      <c r="G129" s="102" t="str">
        <f>IF(stdProdLT(Main[[#This Row],[Comments]])=0.1,"N/A",IF(stdProdLT(Main[[#This Row],[Comments]])=0,"",stdProdLT(Main[[#This Row],[Comments]])))</f>
        <v/>
      </c>
      <c r="H129" s="103">
        <f>IF(AND(Main[[#This Row],[In Stock Date]]&lt;&gt;"",Main[[#This Row],[Revised Due Date]]&lt;&gt;""),Main[[#This Row],[In Stock Date]]-Main[[#This Row],[Revised Due Date]],"")</f>
        <v>0</v>
      </c>
      <c r="I129" s="99" t="s">
        <v>929</v>
      </c>
      <c r="J129" s="99" t="s">
        <v>21</v>
      </c>
      <c r="K129" s="99" t="s">
        <v>1975</v>
      </c>
      <c r="L129" s="101">
        <v>40679</v>
      </c>
      <c r="M129" s="104">
        <f>IF(Main[[#This Row],[Tech Start Date]]&lt;1/1/1990,"",IF(Main[[#This Row],[Class]]="C",WORKDAY(Main[[#This Row],[Tech Start Date]],9),IF(Main[[#This Row],[Class]]="B", WORKDAY(Main[[#This Row],[Tech Start Date]],6),IF(Main[[#This Row],[Class]]="A",WORKDAY(Main[[#This Row],[Tech Start Date]],2),""))))</f>
        <v>40690</v>
      </c>
      <c r="N129" s="104">
        <f>IF(Main[[#This Row],[Tech Start Date]]&lt;1/1/1990,"",IF(Main[[#This Row],[Class]]="C",WORKDAY(Main[[#This Row],[Tech Start Date]],19),IF(Main[[#This Row],[Class]]="B", WORKDAY(Main[[#This Row],[Tech Start Date]],12),IF(Main[[#This Row],[Class]]="A",WORKDAY(Main[[#This Row],[Tech Start Date]],4),""))))</f>
        <v>40704</v>
      </c>
      <c r="O129" s="104">
        <f>IF(Main[[#This Row],[Tech Start Date]]&lt;1/1/1990,"",IF(Main[[#This Row],[Class]]="C",WORKDAY(Main[[#This Row],[Tech Start Date]],23),IF(Main[[#This Row],[Class]]="B", WORKDAY(Main[[#This Row],[Tech Start Date]],15),IF(Main[[#This Row],[Class]]="A",WORKDAY(Main[[#This Row],[Tech Start Date]],5),""))))</f>
        <v>40710</v>
      </c>
      <c r="P129" s="104">
        <f>IF(Main[[#This Row],[Tech Start Date]]&lt;1/1/1990,"",IF(Main[[#This Row],[Class]]="C",WORKDAY(Main[[#This Row],[Tech Start Date]],28),IF(Main[[#This Row],[Class]]="B", WORKDAY(Main[[#This Row],[Tech Start Date]],19),IF(Main[[#This Row],[Class]]="A",WORKDAY(Main[[#This Row],[Tech Start Date]],9),""))))</f>
        <v>40717</v>
      </c>
      <c r="Q129" s="101">
        <v>40714</v>
      </c>
      <c r="R129" s="101">
        <v>40714</v>
      </c>
      <c r="S129" s="99" t="s">
        <v>6</v>
      </c>
      <c r="T129" s="107" t="s">
        <v>2089</v>
      </c>
      <c r="U129" s="99" t="s">
        <v>29</v>
      </c>
      <c r="V129" s="99" t="s">
        <v>1962</v>
      </c>
      <c r="W129" s="99" t="s">
        <v>1964</v>
      </c>
    </row>
    <row r="130" spans="1:23" ht="18.600000000000001" customHeight="1">
      <c r="A130" s="123">
        <f>IF(priority(Main[[#This Row],[Comments]])&lt;&gt;0, priority(Main[[#This Row],[Comments]]),"")</f>
        <v>42</v>
      </c>
      <c r="B130" s="127" t="s">
        <v>2290</v>
      </c>
      <c r="C130" s="99" t="s">
        <v>33</v>
      </c>
      <c r="D130" s="100" t="s">
        <v>2291</v>
      </c>
      <c r="E130" s="101">
        <v>40799.635092592594</v>
      </c>
      <c r="F130" s="101">
        <v>40973</v>
      </c>
      <c r="G130" s="102">
        <f>IF(stdProdLT(Main[[#This Row],[Comments]])=0.1,"N/A",IF(stdProdLT(Main[[#This Row],[Comments]])=0,"",stdProdLT(Main[[#This Row],[Comments]])))</f>
        <v>126</v>
      </c>
      <c r="H130" s="103">
        <f>IF(AND(Main[[#This Row],[In Stock Date]]&lt;&gt;"",Main[[#This Row],[Revised Due Date]]&lt;&gt;""),Main[[#This Row],[In Stock Date]]-Main[[#This Row],[Revised Due Date]],"")</f>
        <v>91</v>
      </c>
      <c r="I130" s="99" t="s">
        <v>81</v>
      </c>
      <c r="J130" s="99" t="s">
        <v>21</v>
      </c>
      <c r="K130" s="99" t="s">
        <v>1975</v>
      </c>
      <c r="L130" s="101">
        <v>40813</v>
      </c>
      <c r="M130" s="104">
        <f>IF(Main[[#This Row],[Tech Start Date]]&lt;1/1/1990,"",IF(Main[[#This Row],[Class]]="C",WORKDAY(Main[[#This Row],[Tech Start Date]],9),IF(Main[[#This Row],[Class]]="B", WORKDAY(Main[[#This Row],[Tech Start Date]],6),IF(Main[[#This Row],[Class]]="A",WORKDAY(Main[[#This Row],[Tech Start Date]],2),""))))</f>
        <v>40826</v>
      </c>
      <c r="N130" s="104">
        <f>IF(Main[[#This Row],[Tech Start Date]]&lt;1/1/1990,"",IF(Main[[#This Row],[Class]]="C",WORKDAY(Main[[#This Row],[Tech Start Date]],19),IF(Main[[#This Row],[Class]]="B", WORKDAY(Main[[#This Row],[Tech Start Date]],12),IF(Main[[#This Row],[Class]]="A",WORKDAY(Main[[#This Row],[Tech Start Date]],4),""))))</f>
        <v>40840</v>
      </c>
      <c r="O130" s="104">
        <f>IF(Main[[#This Row],[Tech Start Date]]&lt;1/1/1990,"",IF(Main[[#This Row],[Class]]="C",WORKDAY(Main[[#This Row],[Tech Start Date]],23),IF(Main[[#This Row],[Class]]="B", WORKDAY(Main[[#This Row],[Tech Start Date]],15),IF(Main[[#This Row],[Class]]="A",WORKDAY(Main[[#This Row],[Tech Start Date]],5),""))))</f>
        <v>40844</v>
      </c>
      <c r="P130" s="104">
        <f>IF(Main[[#This Row],[Tech Start Date]]&lt;1/1/1990,"",IF(Main[[#This Row],[Class]]="C",WORKDAY(Main[[#This Row],[Tech Start Date]],28),IF(Main[[#This Row],[Class]]="B", WORKDAY(Main[[#This Row],[Tech Start Date]],19),IF(Main[[#This Row],[Class]]="A",WORKDAY(Main[[#This Row],[Tech Start Date]],9),""))))</f>
        <v>40851</v>
      </c>
      <c r="Q130" s="101">
        <v>40907</v>
      </c>
      <c r="R130" s="101">
        <v>40882</v>
      </c>
      <c r="S130" s="99" t="s">
        <v>11</v>
      </c>
      <c r="T130" s="107" t="s">
        <v>2901</v>
      </c>
      <c r="U130" s="99" t="s">
        <v>29</v>
      </c>
      <c r="V130" s="99" t="s">
        <v>1965</v>
      </c>
      <c r="W130" s="99" t="s">
        <v>1967</v>
      </c>
    </row>
    <row r="131" spans="1:23" ht="18.600000000000001" customHeight="1">
      <c r="A131" s="123">
        <f>IF(priority(Main[[#This Row],[Comments]])&lt;&gt;0, priority(Main[[#This Row],[Comments]]),"")</f>
        <v>43</v>
      </c>
      <c r="B131" s="127" t="s">
        <v>1934</v>
      </c>
      <c r="C131" s="99" t="s">
        <v>116</v>
      </c>
      <c r="D131" s="100" t="s">
        <v>2197</v>
      </c>
      <c r="E131" s="101">
        <v>40606.548784722225</v>
      </c>
      <c r="F131" s="101">
        <v>41258</v>
      </c>
      <c r="G131" s="102">
        <f>IF(stdProdLT(Main[[#This Row],[Comments]])=0.1,"N/A",IF(stdProdLT(Main[[#This Row],[Comments]])=0,"",stdProdLT(Main[[#This Row],[Comments]])))</f>
        <v>112</v>
      </c>
      <c r="H131" s="103">
        <f>IF(AND(Main[[#This Row],[In Stock Date]]&lt;&gt;"",Main[[#This Row],[Revised Due Date]]&lt;&gt;""),Main[[#This Row],[In Stock Date]]-Main[[#This Row],[Revised Due Date]],"")</f>
        <v>376</v>
      </c>
      <c r="I131" s="99" t="s">
        <v>421</v>
      </c>
      <c r="J131" s="99" t="s">
        <v>2876</v>
      </c>
      <c r="K131" s="99" t="s">
        <v>1975</v>
      </c>
      <c r="L131" s="101">
        <v>40623</v>
      </c>
      <c r="M131" s="104">
        <f>IF(Main[[#This Row],[Tech Start Date]]&lt;1/1/1990,"",IF(Main[[#This Row],[Class]]="C",WORKDAY(Main[[#This Row],[Tech Start Date]],9),IF(Main[[#This Row],[Class]]="B", WORKDAY(Main[[#This Row],[Tech Start Date]],6),IF(Main[[#This Row],[Class]]="A",WORKDAY(Main[[#This Row],[Tech Start Date]],2),""))))</f>
        <v>40634</v>
      </c>
      <c r="N131" s="104">
        <f>IF(Main[[#This Row],[Tech Start Date]]&lt;1/1/1990,"",IF(Main[[#This Row],[Class]]="C",WORKDAY(Main[[#This Row],[Tech Start Date]],19),IF(Main[[#This Row],[Class]]="B", WORKDAY(Main[[#This Row],[Tech Start Date]],12),IF(Main[[#This Row],[Class]]="A",WORKDAY(Main[[#This Row],[Tech Start Date]],4),""))))</f>
        <v>40648</v>
      </c>
      <c r="O131" s="104">
        <f>IF(Main[[#This Row],[Tech Start Date]]&lt;1/1/1990,"",IF(Main[[#This Row],[Class]]="C",WORKDAY(Main[[#This Row],[Tech Start Date]],23),IF(Main[[#This Row],[Class]]="B", WORKDAY(Main[[#This Row],[Tech Start Date]],15),IF(Main[[#This Row],[Class]]="A",WORKDAY(Main[[#This Row],[Tech Start Date]],5),""))))</f>
        <v>40654</v>
      </c>
      <c r="P131" s="104">
        <f>IF(Main[[#This Row],[Tech Start Date]]&lt;1/1/1990,"",IF(Main[[#This Row],[Class]]="C",WORKDAY(Main[[#This Row],[Tech Start Date]],28),IF(Main[[#This Row],[Class]]="B", WORKDAY(Main[[#This Row],[Tech Start Date]],19),IF(Main[[#This Row],[Class]]="A",WORKDAY(Main[[#This Row],[Tech Start Date]],9),""))))</f>
        <v>40661</v>
      </c>
      <c r="Q131" s="101">
        <v>41082</v>
      </c>
      <c r="R131" s="101">
        <v>40882</v>
      </c>
      <c r="S131" s="99" t="s">
        <v>11</v>
      </c>
      <c r="T131" s="107" t="s">
        <v>2877</v>
      </c>
      <c r="U131" s="99" t="s">
        <v>29</v>
      </c>
      <c r="V131" s="99" t="s">
        <v>1965</v>
      </c>
      <c r="W131" s="99" t="s">
        <v>1967</v>
      </c>
    </row>
    <row r="132" spans="1:23" ht="18.600000000000001" customHeight="1">
      <c r="A132" s="123">
        <f>IF(priority(Main[[#This Row],[Comments]])&lt;&gt;0, priority(Main[[#This Row],[Comments]]),"")</f>
        <v>43</v>
      </c>
      <c r="B132" s="127" t="s">
        <v>1932</v>
      </c>
      <c r="C132" s="99" t="s">
        <v>116</v>
      </c>
      <c r="D132" s="100" t="s">
        <v>2402</v>
      </c>
      <c r="E132" s="101">
        <v>40668.56144675926</v>
      </c>
      <c r="F132" s="101">
        <v>40714</v>
      </c>
      <c r="G132" s="102" t="str">
        <f>IF(stdProdLT(Main[[#This Row],[Comments]])=0.1,"N/A",IF(stdProdLT(Main[[#This Row],[Comments]])=0,"",stdProdLT(Main[[#This Row],[Comments]])))</f>
        <v/>
      </c>
      <c r="H132" s="103">
        <f>IF(AND(Main[[#This Row],[In Stock Date]]&lt;&gt;"",Main[[#This Row],[Revised Due Date]]&lt;&gt;""),Main[[#This Row],[In Stock Date]]-Main[[#This Row],[Revised Due Date]],"")</f>
        <v>0</v>
      </c>
      <c r="I132" s="99" t="s">
        <v>929</v>
      </c>
      <c r="J132" s="99" t="s">
        <v>21</v>
      </c>
      <c r="K132" s="99" t="s">
        <v>1975</v>
      </c>
      <c r="L132" s="101">
        <v>40679</v>
      </c>
      <c r="M132" s="104">
        <f>IF(Main[[#This Row],[Tech Start Date]]&lt;1/1/1990,"",IF(Main[[#This Row],[Class]]="C",WORKDAY(Main[[#This Row],[Tech Start Date]],9),IF(Main[[#This Row],[Class]]="B", WORKDAY(Main[[#This Row],[Tech Start Date]],6),IF(Main[[#This Row],[Class]]="A",WORKDAY(Main[[#This Row],[Tech Start Date]],2),""))))</f>
        <v>40690</v>
      </c>
      <c r="N132" s="104">
        <f>IF(Main[[#This Row],[Tech Start Date]]&lt;1/1/1990,"",IF(Main[[#This Row],[Class]]="C",WORKDAY(Main[[#This Row],[Tech Start Date]],19),IF(Main[[#This Row],[Class]]="B", WORKDAY(Main[[#This Row],[Tech Start Date]],12),IF(Main[[#This Row],[Class]]="A",WORKDAY(Main[[#This Row],[Tech Start Date]],4),""))))</f>
        <v>40704</v>
      </c>
      <c r="O132" s="104">
        <f>IF(Main[[#This Row],[Tech Start Date]]&lt;1/1/1990,"",IF(Main[[#This Row],[Class]]="C",WORKDAY(Main[[#This Row],[Tech Start Date]],23),IF(Main[[#This Row],[Class]]="B", WORKDAY(Main[[#This Row],[Tech Start Date]],15),IF(Main[[#This Row],[Class]]="A",WORKDAY(Main[[#This Row],[Tech Start Date]],5),""))))</f>
        <v>40710</v>
      </c>
      <c r="P132" s="104">
        <f>IF(Main[[#This Row],[Tech Start Date]]&lt;1/1/1990,"",IF(Main[[#This Row],[Class]]="C",WORKDAY(Main[[#This Row],[Tech Start Date]],28),IF(Main[[#This Row],[Class]]="B", WORKDAY(Main[[#This Row],[Tech Start Date]],19),IF(Main[[#This Row],[Class]]="A",WORKDAY(Main[[#This Row],[Tech Start Date]],9),""))))</f>
        <v>40717</v>
      </c>
      <c r="Q132" s="101">
        <v>40714</v>
      </c>
      <c r="R132" s="101">
        <v>40714</v>
      </c>
      <c r="S132" s="99" t="s">
        <v>6</v>
      </c>
      <c r="T132" s="107" t="s">
        <v>2679</v>
      </c>
      <c r="U132" s="99" t="s">
        <v>29</v>
      </c>
      <c r="V132" s="99" t="s">
        <v>1962</v>
      </c>
      <c r="W132" s="99" t="s">
        <v>1964</v>
      </c>
    </row>
    <row r="133" spans="1:23" ht="18.600000000000001" customHeight="1">
      <c r="A133" s="123">
        <f>IF(priority(Main[[#This Row],[Comments]])&lt;&gt;0, priority(Main[[#This Row],[Comments]]),"")</f>
        <v>44</v>
      </c>
      <c r="B133" s="127" t="s">
        <v>2795</v>
      </c>
      <c r="C133" s="99" t="s">
        <v>2796</v>
      </c>
      <c r="D133" s="100" t="s">
        <v>2797</v>
      </c>
      <c r="E133" s="101">
        <v>40821.398842592593</v>
      </c>
      <c r="F133" s="101">
        <v>41024</v>
      </c>
      <c r="G133" s="102">
        <f>IF(stdProdLT(Main[[#This Row],[Comments]])=0.1,"N/A",IF(stdProdLT(Main[[#This Row],[Comments]])=0,"",stdProdLT(Main[[#This Row],[Comments]])))</f>
        <v>168</v>
      </c>
      <c r="H133" s="103" t="str">
        <f>IF(AND(Main[[#This Row],[In Stock Date]]&lt;&gt;"",Main[[#This Row],[Revised Due Date]]&lt;&gt;""),Main[[#This Row],[In Stock Date]]-Main[[#This Row],[Revised Due Date]],"")</f>
        <v/>
      </c>
      <c r="I133" s="99" t="s">
        <v>4</v>
      </c>
      <c r="J133" s="99" t="s">
        <v>4</v>
      </c>
      <c r="K133" s="108" t="s">
        <v>4</v>
      </c>
      <c r="L133" s="101"/>
      <c r="M133" s="104" t="str">
        <f>IF(Main[[#This Row],[Tech Start Date]]&lt;1/1/1990,"",IF(Main[[#This Row],[Class]]="C",WORKDAY(Main[[#This Row],[Tech Start Date]],9),IF(Main[[#This Row],[Class]]="B", WORKDAY(Main[[#This Row],[Tech Start Date]],6),IF(Main[[#This Row],[Class]]="A",WORKDAY(Main[[#This Row],[Tech Start Date]],2),""))))</f>
        <v/>
      </c>
      <c r="N133" s="104" t="str">
        <f>IF(Main[[#This Row],[Tech Start Date]]&lt;1/1/1990,"",IF(Main[[#This Row],[Class]]="C",WORKDAY(Main[[#This Row],[Tech Start Date]],19),IF(Main[[#This Row],[Class]]="B", WORKDAY(Main[[#This Row],[Tech Start Date]],12),IF(Main[[#This Row],[Class]]="A",WORKDAY(Main[[#This Row],[Tech Start Date]],4),""))))</f>
        <v/>
      </c>
      <c r="O133" s="104" t="str">
        <f>IF(Main[[#This Row],[Tech Start Date]]&lt;1/1/1990,"",IF(Main[[#This Row],[Class]]="C",WORKDAY(Main[[#This Row],[Tech Start Date]],23),IF(Main[[#This Row],[Class]]="B", WORKDAY(Main[[#This Row],[Tech Start Date]],15),IF(Main[[#This Row],[Class]]="A",WORKDAY(Main[[#This Row],[Tech Start Date]],5),""))))</f>
        <v/>
      </c>
      <c r="P133" s="104" t="str">
        <f>IF(Main[[#This Row],[Tech Start Date]]&lt;1/1/1990,"",IF(Main[[#This Row],[Class]]="C",WORKDAY(Main[[#This Row],[Tech Start Date]],28),IF(Main[[#This Row],[Class]]="B", WORKDAY(Main[[#This Row],[Tech Start Date]],19),IF(Main[[#This Row],[Class]]="A",WORKDAY(Main[[#This Row],[Tech Start Date]],9),""))))</f>
        <v/>
      </c>
      <c r="Q133" s="101">
        <v>40872</v>
      </c>
      <c r="R133" s="101"/>
      <c r="S133" s="99" t="s">
        <v>11</v>
      </c>
      <c r="T133" s="107" t="s">
        <v>2798</v>
      </c>
      <c r="U133" s="99" t="s">
        <v>29</v>
      </c>
      <c r="V133" s="99" t="s">
        <v>1965</v>
      </c>
      <c r="W133" s="99" t="s">
        <v>1967</v>
      </c>
    </row>
    <row r="134" spans="1:23" ht="18.600000000000001" customHeight="1">
      <c r="A134" s="123">
        <f>IF(priority(Main[[#This Row],[Comments]])&lt;&gt;0, priority(Main[[#This Row],[Comments]]),"")</f>
        <v>46</v>
      </c>
      <c r="B134" s="127" t="s">
        <v>2731</v>
      </c>
      <c r="C134" s="99" t="s">
        <v>2060</v>
      </c>
      <c r="D134" s="100" t="s">
        <v>2732</v>
      </c>
      <c r="E134" s="101"/>
      <c r="F134" s="101"/>
      <c r="G134" s="102">
        <f>IF(stdProdLT(Main[[#This Row],[Comments]])=0.1,"N/A",IF(stdProdLT(Main[[#This Row],[Comments]])=0,"",stdProdLT(Main[[#This Row],[Comments]])))</f>
        <v>168</v>
      </c>
      <c r="H134" s="103" t="str">
        <f>IF(AND(Main[[#This Row],[In Stock Date]]&lt;&gt;"",Main[[#This Row],[Revised Due Date]]&lt;&gt;""),Main[[#This Row],[In Stock Date]]-Main[[#This Row],[Revised Due Date]],"")</f>
        <v/>
      </c>
      <c r="I134" s="99" t="s">
        <v>4</v>
      </c>
      <c r="J134" s="99" t="s">
        <v>4</v>
      </c>
      <c r="K134" s="99" t="s">
        <v>4</v>
      </c>
      <c r="L134" s="101"/>
      <c r="M134" s="104" t="str">
        <f>IF(Main[[#This Row],[Tech Start Date]]&lt;1/1/1990,"",IF(Main[[#This Row],[Class]]="C",WORKDAY(Main[[#This Row],[Tech Start Date]],9),IF(Main[[#This Row],[Class]]="B", WORKDAY(Main[[#This Row],[Tech Start Date]],6),IF(Main[[#This Row],[Class]]="A",WORKDAY(Main[[#This Row],[Tech Start Date]],2),""))))</f>
        <v/>
      </c>
      <c r="N134" s="104" t="str">
        <f>IF(Main[[#This Row],[Tech Start Date]]&lt;1/1/1990,"",IF(Main[[#This Row],[Class]]="C",WORKDAY(Main[[#This Row],[Tech Start Date]],19),IF(Main[[#This Row],[Class]]="B", WORKDAY(Main[[#This Row],[Tech Start Date]],12),IF(Main[[#This Row],[Class]]="A",WORKDAY(Main[[#This Row],[Tech Start Date]],4),""))))</f>
        <v/>
      </c>
      <c r="O134" s="104" t="str">
        <f>IF(Main[[#This Row],[Tech Start Date]]&lt;1/1/1990,"",IF(Main[[#This Row],[Class]]="C",WORKDAY(Main[[#This Row],[Tech Start Date]],23),IF(Main[[#This Row],[Class]]="B", WORKDAY(Main[[#This Row],[Tech Start Date]],15),IF(Main[[#This Row],[Class]]="A",WORKDAY(Main[[#This Row],[Tech Start Date]],5),""))))</f>
        <v/>
      </c>
      <c r="P134" s="104" t="str">
        <f>IF(Main[[#This Row],[Tech Start Date]]&lt;1/1/1990,"",IF(Main[[#This Row],[Class]]="C",WORKDAY(Main[[#This Row],[Tech Start Date]],28),IF(Main[[#This Row],[Class]]="B", WORKDAY(Main[[#This Row],[Tech Start Date]],19),IF(Main[[#This Row],[Class]]="A",WORKDAY(Main[[#This Row],[Tech Start Date]],9),""))))</f>
        <v/>
      </c>
      <c r="Q134" s="101">
        <v>40874</v>
      </c>
      <c r="R134" s="101"/>
      <c r="S134" s="99" t="s">
        <v>11</v>
      </c>
      <c r="T134" s="107" t="s">
        <v>2733</v>
      </c>
      <c r="U134" s="99" t="s">
        <v>14</v>
      </c>
      <c r="V134" s="99" t="s">
        <v>1965</v>
      </c>
      <c r="W134" s="99" t="s">
        <v>1964</v>
      </c>
    </row>
    <row r="135" spans="1:23" ht="18.600000000000001" customHeight="1">
      <c r="A135" s="123">
        <f>IF(priority(Main[[#This Row],[Comments]])&lt;&gt;0, priority(Main[[#This Row],[Comments]]),"")</f>
        <v>47</v>
      </c>
      <c r="B135" s="127" t="s">
        <v>2959</v>
      </c>
      <c r="C135" s="99" t="s">
        <v>2960</v>
      </c>
      <c r="D135" s="100" t="s">
        <v>2961</v>
      </c>
      <c r="E135" s="101">
        <v>40848.70516203704</v>
      </c>
      <c r="F135" s="101">
        <v>40879</v>
      </c>
      <c r="G135" s="102" t="str">
        <f>IF(stdProdLT(Main[[#This Row],[Comments]])=0.1,"N/A",IF(stdProdLT(Main[[#This Row],[Comments]])=0,"",stdProdLT(Main[[#This Row],[Comments]])))</f>
        <v/>
      </c>
      <c r="H135" s="103">
        <f>IF(AND(Main[[#This Row],[In Stock Date]]&lt;&gt;"",Main[[#This Row],[Revised Due Date]]&lt;&gt;""),Main[[#This Row],[In Stock Date]]-Main[[#This Row],[Revised Due Date]],"")</f>
        <v>4</v>
      </c>
      <c r="I135" s="99" t="s">
        <v>69</v>
      </c>
      <c r="J135" s="99" t="s">
        <v>28</v>
      </c>
      <c r="K135" s="99" t="s">
        <v>1971</v>
      </c>
      <c r="L135" s="101">
        <v>40849</v>
      </c>
      <c r="M135" s="104">
        <f>IF(Main[[#This Row],[Tech Start Date]]&lt;1/1/1990,"",IF(Main[[#This Row],[Class]]="C",WORKDAY(Main[[#This Row],[Tech Start Date]],9),IF(Main[[#This Row],[Class]]="B", WORKDAY(Main[[#This Row],[Tech Start Date]],6),IF(Main[[#This Row],[Class]]="A",WORKDAY(Main[[#This Row],[Tech Start Date]],2),""))))</f>
        <v>40851</v>
      </c>
      <c r="N135" s="104">
        <f>IF(Main[[#This Row],[Tech Start Date]]&lt;1/1/1990,"",IF(Main[[#This Row],[Class]]="C",WORKDAY(Main[[#This Row],[Tech Start Date]],19),IF(Main[[#This Row],[Class]]="B", WORKDAY(Main[[#This Row],[Tech Start Date]],12),IF(Main[[#This Row],[Class]]="A",WORKDAY(Main[[#This Row],[Tech Start Date]],4),""))))</f>
        <v>40855</v>
      </c>
      <c r="O135" s="104">
        <f>IF(Main[[#This Row],[Tech Start Date]]&lt;1/1/1990,"",IF(Main[[#This Row],[Class]]="C",WORKDAY(Main[[#This Row],[Tech Start Date]],23),IF(Main[[#This Row],[Class]]="B", WORKDAY(Main[[#This Row],[Tech Start Date]],15),IF(Main[[#This Row],[Class]]="A",WORKDAY(Main[[#This Row],[Tech Start Date]],5),""))))</f>
        <v>40856</v>
      </c>
      <c r="P135" s="104">
        <f>IF(Main[[#This Row],[Tech Start Date]]&lt;1/1/1990,"",IF(Main[[#This Row],[Class]]="C",WORKDAY(Main[[#This Row],[Tech Start Date]],28),IF(Main[[#This Row],[Class]]="B", WORKDAY(Main[[#This Row],[Tech Start Date]],19),IF(Main[[#This Row],[Class]]="A",WORKDAY(Main[[#This Row],[Tech Start Date]],9),""))))</f>
        <v>40862</v>
      </c>
      <c r="Q135" s="101"/>
      <c r="R135" s="101">
        <v>40875</v>
      </c>
      <c r="S135" s="99" t="s">
        <v>11</v>
      </c>
      <c r="T135" s="107" t="s">
        <v>2962</v>
      </c>
      <c r="U135" s="99" t="s">
        <v>29</v>
      </c>
      <c r="V135" s="99" t="s">
        <v>1972</v>
      </c>
      <c r="W135" s="99" t="s">
        <v>1966</v>
      </c>
    </row>
    <row r="136" spans="1:23" ht="18.600000000000001" customHeight="1">
      <c r="A136" s="123" t="str">
        <f>IF(priority(Main[[#This Row],[Comments]])&lt;&gt;0, priority(Main[[#This Row],[Comments]]),"")</f>
        <v/>
      </c>
      <c r="B136" s="127" t="s">
        <v>1071</v>
      </c>
      <c r="C136" s="99" t="s">
        <v>4</v>
      </c>
      <c r="D136" s="100" t="s">
        <v>62</v>
      </c>
      <c r="E136" s="101"/>
      <c r="F136" s="101"/>
      <c r="G136" s="102" t="str">
        <f>IF(stdProdLT(Main[[#This Row],[Comments]])=0.1,"N/A",IF(stdProdLT(Main[[#This Row],[Comments]])=0,"",stdProdLT(Main[[#This Row],[Comments]])))</f>
        <v/>
      </c>
      <c r="H136" s="103" t="str">
        <f>IF(AND(Main[[#This Row],[In Stock Date]]&lt;&gt;"",Main[[#This Row],[Revised Due Date]]&lt;&gt;""),Main[[#This Row],[In Stock Date]]-Main[[#This Row],[Revised Due Date]],"")</f>
        <v/>
      </c>
      <c r="I136" s="99" t="s">
        <v>44</v>
      </c>
      <c r="J136" s="99" t="s">
        <v>28</v>
      </c>
      <c r="K136" s="99" t="s">
        <v>1971</v>
      </c>
      <c r="L136" s="101"/>
      <c r="M136" s="104" t="str">
        <f>IF(Main[[#This Row],[Tech Start Date]]&lt;1/1/1990,"",IF(Main[[#This Row],[Class]]="C",WORKDAY(Main[[#This Row],[Tech Start Date]],9),IF(Main[[#This Row],[Class]]="B", WORKDAY(Main[[#This Row],[Tech Start Date]],6),IF(Main[[#This Row],[Class]]="A",WORKDAY(Main[[#This Row],[Tech Start Date]],2),""))))</f>
        <v/>
      </c>
      <c r="N136" s="104" t="str">
        <f>IF(Main[[#This Row],[Tech Start Date]]&lt;1/1/1990,"",IF(Main[[#This Row],[Class]]="C",WORKDAY(Main[[#This Row],[Tech Start Date]],19),IF(Main[[#This Row],[Class]]="B", WORKDAY(Main[[#This Row],[Tech Start Date]],12),IF(Main[[#This Row],[Class]]="A",WORKDAY(Main[[#This Row],[Tech Start Date]],4),""))))</f>
        <v/>
      </c>
      <c r="O136" s="104" t="str">
        <f>IF(Main[[#This Row],[Tech Start Date]]&lt;1/1/1990,"",IF(Main[[#This Row],[Class]]="C",WORKDAY(Main[[#This Row],[Tech Start Date]],23),IF(Main[[#This Row],[Class]]="B", WORKDAY(Main[[#This Row],[Tech Start Date]],15),IF(Main[[#This Row],[Class]]="A",WORKDAY(Main[[#This Row],[Tech Start Date]],5),""))))</f>
        <v/>
      </c>
      <c r="P136" s="104" t="str">
        <f>IF(Main[[#This Row],[Tech Start Date]]&lt;1/1/1990,"",IF(Main[[#This Row],[Class]]="C",WORKDAY(Main[[#This Row],[Tech Start Date]],28),IF(Main[[#This Row],[Class]]="B", WORKDAY(Main[[#This Row],[Tech Start Date]],19),IF(Main[[#This Row],[Class]]="A",WORKDAY(Main[[#This Row],[Tech Start Date]],9),""))))</f>
        <v/>
      </c>
      <c r="Q136" s="101"/>
      <c r="R136" s="101"/>
      <c r="S136" s="99" t="s">
        <v>23</v>
      </c>
      <c r="T136" s="107" t="s">
        <v>4</v>
      </c>
      <c r="U136" s="99" t="s">
        <v>14</v>
      </c>
      <c r="V136" s="99" t="s">
        <v>1965</v>
      </c>
      <c r="W136" s="99" t="s">
        <v>1964</v>
      </c>
    </row>
    <row r="137" spans="1:23" ht="18.600000000000001" customHeight="1">
      <c r="A137" s="123" t="str">
        <f>IF(priority(Main[[#This Row],[Comments]])&lt;&gt;0, priority(Main[[#This Row],[Comments]]),"")</f>
        <v/>
      </c>
      <c r="B137" s="127" t="s">
        <v>1072</v>
      </c>
      <c r="C137" s="99" t="s">
        <v>63</v>
      </c>
      <c r="D137" s="100" t="s">
        <v>64</v>
      </c>
      <c r="E137" s="101"/>
      <c r="F137" s="101">
        <v>40513</v>
      </c>
      <c r="G137" s="102" t="str">
        <f>IF(stdProdLT(Main[[#This Row],[Comments]])=0.1,"N/A",IF(stdProdLT(Main[[#This Row],[Comments]])=0,"",stdProdLT(Main[[#This Row],[Comments]])))</f>
        <v/>
      </c>
      <c r="H137" s="103" t="str">
        <f>IF(AND(Main[[#This Row],[In Stock Date]]&lt;&gt;"",Main[[#This Row],[Revised Due Date]]&lt;&gt;""),Main[[#This Row],[In Stock Date]]-Main[[#This Row],[Revised Due Date]],"")</f>
        <v/>
      </c>
      <c r="I137" s="99" t="s">
        <v>65</v>
      </c>
      <c r="J137" s="99" t="s">
        <v>28</v>
      </c>
      <c r="K137" s="99" t="s">
        <v>4</v>
      </c>
      <c r="L137" s="101"/>
      <c r="M137" s="104" t="str">
        <f>IF(Main[[#This Row],[Tech Start Date]]&lt;1/1/1990,"",IF(Main[[#This Row],[Class]]="C",WORKDAY(Main[[#This Row],[Tech Start Date]],9),IF(Main[[#This Row],[Class]]="B", WORKDAY(Main[[#This Row],[Tech Start Date]],6),IF(Main[[#This Row],[Class]]="A",WORKDAY(Main[[#This Row],[Tech Start Date]],2),""))))</f>
        <v/>
      </c>
      <c r="N137" s="104" t="str">
        <f>IF(Main[[#This Row],[Tech Start Date]]&lt;1/1/1990,"",IF(Main[[#This Row],[Class]]="C",WORKDAY(Main[[#This Row],[Tech Start Date]],19),IF(Main[[#This Row],[Class]]="B", WORKDAY(Main[[#This Row],[Tech Start Date]],12),IF(Main[[#This Row],[Class]]="A",WORKDAY(Main[[#This Row],[Tech Start Date]],4),""))))</f>
        <v/>
      </c>
      <c r="O137" s="104" t="str">
        <f>IF(Main[[#This Row],[Tech Start Date]]&lt;1/1/1990,"",IF(Main[[#This Row],[Class]]="C",WORKDAY(Main[[#This Row],[Tech Start Date]],23),IF(Main[[#This Row],[Class]]="B", WORKDAY(Main[[#This Row],[Tech Start Date]],15),IF(Main[[#This Row],[Class]]="A",WORKDAY(Main[[#This Row],[Tech Start Date]],5),""))))</f>
        <v/>
      </c>
      <c r="P137" s="104" t="str">
        <f>IF(Main[[#This Row],[Tech Start Date]]&lt;1/1/1990,"",IF(Main[[#This Row],[Class]]="C",WORKDAY(Main[[#This Row],[Tech Start Date]],28),IF(Main[[#This Row],[Class]]="B", WORKDAY(Main[[#This Row],[Tech Start Date]],19),IF(Main[[#This Row],[Class]]="A",WORKDAY(Main[[#This Row],[Tech Start Date]],9),""))))</f>
        <v/>
      </c>
      <c r="Q137" s="101">
        <v>40513</v>
      </c>
      <c r="R137" s="101"/>
      <c r="S137" s="99" t="s">
        <v>11</v>
      </c>
      <c r="T137" s="107" t="s">
        <v>4</v>
      </c>
      <c r="U137" s="99" t="s">
        <v>14</v>
      </c>
      <c r="V137" s="99" t="s">
        <v>1965</v>
      </c>
      <c r="W137" s="99" t="s">
        <v>1967</v>
      </c>
    </row>
    <row r="138" spans="1:23" ht="18.600000000000001" customHeight="1">
      <c r="A138" s="123" t="str">
        <f>IF(priority(Main[[#This Row],[Comments]])&lt;&gt;0, priority(Main[[#This Row],[Comments]]),"")</f>
        <v/>
      </c>
      <c r="B138" s="127" t="s">
        <v>2108</v>
      </c>
      <c r="C138" s="99" t="s">
        <v>702</v>
      </c>
      <c r="D138" s="100" t="s">
        <v>2109</v>
      </c>
      <c r="E138" s="101"/>
      <c r="F138" s="101"/>
      <c r="G138" s="102" t="str">
        <f>IF(stdProdLT(Main[[#This Row],[Comments]])=0.1,"N/A",IF(stdProdLT(Main[[#This Row],[Comments]])=0,"",stdProdLT(Main[[#This Row],[Comments]])))</f>
        <v/>
      </c>
      <c r="H138" s="103" t="str">
        <f>IF(AND(Main[[#This Row],[In Stock Date]]&lt;&gt;"",Main[[#This Row],[Revised Due Date]]&lt;&gt;""),Main[[#This Row],[In Stock Date]]-Main[[#This Row],[Revised Due Date]],"")</f>
        <v/>
      </c>
      <c r="I138" s="99" t="s">
        <v>4</v>
      </c>
      <c r="J138" s="99" t="s">
        <v>4</v>
      </c>
      <c r="K138" s="99" t="s">
        <v>4</v>
      </c>
      <c r="L138" s="101"/>
      <c r="M138" s="104" t="str">
        <f>IF(Main[[#This Row],[Tech Start Date]]&lt;1/1/1990,"",IF(Main[[#This Row],[Class]]="C",WORKDAY(Main[[#This Row],[Tech Start Date]],9),IF(Main[[#This Row],[Class]]="B", WORKDAY(Main[[#This Row],[Tech Start Date]],6),IF(Main[[#This Row],[Class]]="A",WORKDAY(Main[[#This Row],[Tech Start Date]],2),""))))</f>
        <v/>
      </c>
      <c r="N138" s="104" t="str">
        <f>IF(Main[[#This Row],[Tech Start Date]]&lt;1/1/1990,"",IF(Main[[#This Row],[Class]]="C",WORKDAY(Main[[#This Row],[Tech Start Date]],19),IF(Main[[#This Row],[Class]]="B", WORKDAY(Main[[#This Row],[Tech Start Date]],12),IF(Main[[#This Row],[Class]]="A",WORKDAY(Main[[#This Row],[Tech Start Date]],4),""))))</f>
        <v/>
      </c>
      <c r="O138" s="104" t="str">
        <f>IF(Main[[#This Row],[Tech Start Date]]&lt;1/1/1990,"",IF(Main[[#This Row],[Class]]="C",WORKDAY(Main[[#This Row],[Tech Start Date]],23),IF(Main[[#This Row],[Class]]="B", WORKDAY(Main[[#This Row],[Tech Start Date]],15),IF(Main[[#This Row],[Class]]="A",WORKDAY(Main[[#This Row],[Tech Start Date]],5),""))))</f>
        <v/>
      </c>
      <c r="P138" s="104" t="str">
        <f>IF(Main[[#This Row],[Tech Start Date]]&lt;1/1/1990,"",IF(Main[[#This Row],[Class]]="C",WORKDAY(Main[[#This Row],[Tech Start Date]],28),IF(Main[[#This Row],[Class]]="B", WORKDAY(Main[[#This Row],[Tech Start Date]],19),IF(Main[[#This Row],[Class]]="A",WORKDAY(Main[[#This Row],[Tech Start Date]],9),""))))</f>
        <v/>
      </c>
      <c r="Q138" s="101">
        <v>40760</v>
      </c>
      <c r="R138" s="101"/>
      <c r="S138" s="99" t="s">
        <v>11</v>
      </c>
      <c r="T138" s="107" t="s">
        <v>4</v>
      </c>
      <c r="U138" s="99" t="s">
        <v>14</v>
      </c>
      <c r="V138" s="99" t="s">
        <v>1963</v>
      </c>
      <c r="W138" s="99" t="s">
        <v>1964</v>
      </c>
    </row>
    <row r="139" spans="1:23" ht="18.600000000000001" customHeight="1">
      <c r="A139" s="123" t="str">
        <f>IF(priority(Main[[#This Row],[Comments]])&lt;&gt;0, priority(Main[[#This Row],[Comments]]),"")</f>
        <v/>
      </c>
      <c r="B139" s="127" t="s">
        <v>1062</v>
      </c>
      <c r="C139" s="99" t="s">
        <v>53</v>
      </c>
      <c r="D139" s="100" t="s">
        <v>54</v>
      </c>
      <c r="E139" s="101"/>
      <c r="F139" s="101"/>
      <c r="G139" s="102" t="str">
        <f>IF(stdProdLT(Main[[#This Row],[Comments]])=0.1,"N/A",IF(stdProdLT(Main[[#This Row],[Comments]])=0,"",stdProdLT(Main[[#This Row],[Comments]])))</f>
        <v/>
      </c>
      <c r="H139" s="103" t="str">
        <f>IF(AND(Main[[#This Row],[In Stock Date]]&lt;&gt;"",Main[[#This Row],[Revised Due Date]]&lt;&gt;""),Main[[#This Row],[In Stock Date]]-Main[[#This Row],[Revised Due Date]],"")</f>
        <v/>
      </c>
      <c r="I139" s="99" t="s">
        <v>4</v>
      </c>
      <c r="J139" s="99" t="s">
        <v>28</v>
      </c>
      <c r="K139" s="99" t="s">
        <v>1975</v>
      </c>
      <c r="L139" s="101"/>
      <c r="M139" s="104" t="str">
        <f>IF(Main[[#This Row],[Tech Start Date]]&lt;1/1/1990,"",IF(Main[[#This Row],[Class]]="C",WORKDAY(Main[[#This Row],[Tech Start Date]],9),IF(Main[[#This Row],[Class]]="B", WORKDAY(Main[[#This Row],[Tech Start Date]],6),IF(Main[[#This Row],[Class]]="A",WORKDAY(Main[[#This Row],[Tech Start Date]],2),""))))</f>
        <v/>
      </c>
      <c r="N139" s="104" t="str">
        <f>IF(Main[[#This Row],[Tech Start Date]]&lt;1/1/1990,"",IF(Main[[#This Row],[Class]]="C",WORKDAY(Main[[#This Row],[Tech Start Date]],19),IF(Main[[#This Row],[Class]]="B", WORKDAY(Main[[#This Row],[Tech Start Date]],12),IF(Main[[#This Row],[Class]]="A",WORKDAY(Main[[#This Row],[Tech Start Date]],4),""))))</f>
        <v/>
      </c>
      <c r="O139" s="104" t="str">
        <f>IF(Main[[#This Row],[Tech Start Date]]&lt;1/1/1990,"",IF(Main[[#This Row],[Class]]="C",WORKDAY(Main[[#This Row],[Tech Start Date]],23),IF(Main[[#This Row],[Class]]="B", WORKDAY(Main[[#This Row],[Tech Start Date]],15),IF(Main[[#This Row],[Class]]="A",WORKDAY(Main[[#This Row],[Tech Start Date]],5),""))))</f>
        <v/>
      </c>
      <c r="P139" s="104" t="str">
        <f>IF(Main[[#This Row],[Tech Start Date]]&lt;1/1/1990,"",IF(Main[[#This Row],[Class]]="C",WORKDAY(Main[[#This Row],[Tech Start Date]],28),IF(Main[[#This Row],[Class]]="B", WORKDAY(Main[[#This Row],[Tech Start Date]],19),IF(Main[[#This Row],[Class]]="A",WORKDAY(Main[[#This Row],[Tech Start Date]],9),""))))</f>
        <v/>
      </c>
      <c r="Q139" s="101">
        <v>40626</v>
      </c>
      <c r="R139" s="101"/>
      <c r="S139" s="99" t="s">
        <v>11</v>
      </c>
      <c r="T139" s="107" t="s">
        <v>4</v>
      </c>
      <c r="U139" s="99" t="s">
        <v>14</v>
      </c>
      <c r="V139" s="99" t="s">
        <v>1963</v>
      </c>
      <c r="W139" s="99" t="s">
        <v>1964</v>
      </c>
    </row>
    <row r="140" spans="1:23" ht="18.600000000000001" customHeight="1">
      <c r="A140" s="123" t="str">
        <f>IF(priority(Main[[#This Row],[Comments]])&lt;&gt;0, priority(Main[[#This Row],[Comments]]),"")</f>
        <v/>
      </c>
      <c r="B140" s="127" t="s">
        <v>1064</v>
      </c>
      <c r="C140" s="99" t="s">
        <v>4</v>
      </c>
      <c r="D140" s="100" t="s">
        <v>55</v>
      </c>
      <c r="E140" s="101"/>
      <c r="F140" s="101"/>
      <c r="G140" s="102" t="str">
        <f>IF(stdProdLT(Main[[#This Row],[Comments]])=0.1,"N/A",IF(stdProdLT(Main[[#This Row],[Comments]])=0,"",stdProdLT(Main[[#This Row],[Comments]])))</f>
        <v/>
      </c>
      <c r="H140" s="103" t="str">
        <f>IF(AND(Main[[#This Row],[In Stock Date]]&lt;&gt;"",Main[[#This Row],[Revised Due Date]]&lt;&gt;""),Main[[#This Row],[In Stock Date]]-Main[[#This Row],[Revised Due Date]],"")</f>
        <v/>
      </c>
      <c r="I140" s="99" t="s">
        <v>4</v>
      </c>
      <c r="J140" s="99" t="s">
        <v>4</v>
      </c>
      <c r="K140" s="108" t="s">
        <v>4</v>
      </c>
      <c r="L140" s="101"/>
      <c r="M140" s="104" t="str">
        <f>IF(Main[[#This Row],[Tech Start Date]]&lt;1/1/1990,"",IF(Main[[#This Row],[Class]]="C",WORKDAY(Main[[#This Row],[Tech Start Date]],9),IF(Main[[#This Row],[Class]]="B", WORKDAY(Main[[#This Row],[Tech Start Date]],6),IF(Main[[#This Row],[Class]]="A",WORKDAY(Main[[#This Row],[Tech Start Date]],2),""))))</f>
        <v/>
      </c>
      <c r="N140" s="104" t="str">
        <f>IF(Main[[#This Row],[Tech Start Date]]&lt;1/1/1990,"",IF(Main[[#This Row],[Class]]="C",WORKDAY(Main[[#This Row],[Tech Start Date]],19),IF(Main[[#This Row],[Class]]="B", WORKDAY(Main[[#This Row],[Tech Start Date]],12),IF(Main[[#This Row],[Class]]="A",WORKDAY(Main[[#This Row],[Tech Start Date]],4),""))))</f>
        <v/>
      </c>
      <c r="O140" s="104" t="str">
        <f>IF(Main[[#This Row],[Tech Start Date]]&lt;1/1/1990,"",IF(Main[[#This Row],[Class]]="C",WORKDAY(Main[[#This Row],[Tech Start Date]],23),IF(Main[[#This Row],[Class]]="B", WORKDAY(Main[[#This Row],[Tech Start Date]],15),IF(Main[[#This Row],[Class]]="A",WORKDAY(Main[[#This Row],[Tech Start Date]],5),""))))</f>
        <v/>
      </c>
      <c r="P140" s="104" t="str">
        <f>IF(Main[[#This Row],[Tech Start Date]]&lt;1/1/1990,"",IF(Main[[#This Row],[Class]]="C",WORKDAY(Main[[#This Row],[Tech Start Date]],28),IF(Main[[#This Row],[Class]]="B", WORKDAY(Main[[#This Row],[Tech Start Date]],19),IF(Main[[#This Row],[Class]]="A",WORKDAY(Main[[#This Row],[Tech Start Date]],9),""))))</f>
        <v/>
      </c>
      <c r="Q140" s="101"/>
      <c r="R140" s="101"/>
      <c r="S140" s="99" t="s">
        <v>6</v>
      </c>
      <c r="T140" s="107" t="s">
        <v>4</v>
      </c>
      <c r="U140" s="99" t="s">
        <v>14</v>
      </c>
      <c r="V140" s="99" t="s">
        <v>1965</v>
      </c>
      <c r="W140" s="99" t="s">
        <v>1966</v>
      </c>
    </row>
    <row r="141" spans="1:23" ht="18.600000000000001" customHeight="1">
      <c r="A141" s="123" t="str">
        <f>IF(priority(Main[[#This Row],[Comments]])&lt;&gt;0, priority(Main[[#This Row],[Comments]]),"")</f>
        <v/>
      </c>
      <c r="B141" s="127" t="s">
        <v>1065</v>
      </c>
      <c r="C141" s="99" t="s">
        <v>4</v>
      </c>
      <c r="D141" s="100" t="s">
        <v>56</v>
      </c>
      <c r="E141" s="101"/>
      <c r="F141" s="101"/>
      <c r="G141" s="102" t="str">
        <f>IF(stdProdLT(Main[[#This Row],[Comments]])=0.1,"N/A",IF(stdProdLT(Main[[#This Row],[Comments]])=0,"",stdProdLT(Main[[#This Row],[Comments]])))</f>
        <v/>
      </c>
      <c r="H141" s="103" t="str">
        <f>IF(AND(Main[[#This Row],[In Stock Date]]&lt;&gt;"",Main[[#This Row],[Revised Due Date]]&lt;&gt;""),Main[[#This Row],[In Stock Date]]-Main[[#This Row],[Revised Due Date]],"")</f>
        <v/>
      </c>
      <c r="I141" s="99" t="s">
        <v>4</v>
      </c>
      <c r="J141" s="99" t="s">
        <v>4</v>
      </c>
      <c r="K141" s="99" t="s">
        <v>4</v>
      </c>
      <c r="L141" s="101"/>
      <c r="M141" s="104" t="str">
        <f>IF(Main[[#This Row],[Tech Start Date]]&lt;1/1/1990,"",IF(Main[[#This Row],[Class]]="C",WORKDAY(Main[[#This Row],[Tech Start Date]],9),IF(Main[[#This Row],[Class]]="B", WORKDAY(Main[[#This Row],[Tech Start Date]],6),IF(Main[[#This Row],[Class]]="A",WORKDAY(Main[[#This Row],[Tech Start Date]],2),""))))</f>
        <v/>
      </c>
      <c r="N141" s="104" t="str">
        <f>IF(Main[[#This Row],[Tech Start Date]]&lt;1/1/1990,"",IF(Main[[#This Row],[Class]]="C",WORKDAY(Main[[#This Row],[Tech Start Date]],19),IF(Main[[#This Row],[Class]]="B", WORKDAY(Main[[#This Row],[Tech Start Date]],12),IF(Main[[#This Row],[Class]]="A",WORKDAY(Main[[#This Row],[Tech Start Date]],4),""))))</f>
        <v/>
      </c>
      <c r="O141" s="104" t="str">
        <f>IF(Main[[#This Row],[Tech Start Date]]&lt;1/1/1990,"",IF(Main[[#This Row],[Class]]="C",WORKDAY(Main[[#This Row],[Tech Start Date]],23),IF(Main[[#This Row],[Class]]="B", WORKDAY(Main[[#This Row],[Tech Start Date]],15),IF(Main[[#This Row],[Class]]="A",WORKDAY(Main[[#This Row],[Tech Start Date]],5),""))))</f>
        <v/>
      </c>
      <c r="P141" s="104" t="str">
        <f>IF(Main[[#This Row],[Tech Start Date]]&lt;1/1/1990,"",IF(Main[[#This Row],[Class]]="C",WORKDAY(Main[[#This Row],[Tech Start Date]],28),IF(Main[[#This Row],[Class]]="B", WORKDAY(Main[[#This Row],[Tech Start Date]],19),IF(Main[[#This Row],[Class]]="A",WORKDAY(Main[[#This Row],[Tech Start Date]],9),""))))</f>
        <v/>
      </c>
      <c r="Q141" s="101"/>
      <c r="R141" s="101"/>
      <c r="S141" s="99" t="s">
        <v>49</v>
      </c>
      <c r="T141" s="107" t="s">
        <v>4</v>
      </c>
      <c r="U141" s="99" t="s">
        <v>14</v>
      </c>
      <c r="V141" s="99" t="s">
        <v>1965</v>
      </c>
      <c r="W141" s="99" t="s">
        <v>1966</v>
      </c>
    </row>
    <row r="142" spans="1:23" ht="18.600000000000001" customHeight="1">
      <c r="A142" s="123" t="str">
        <f>IF(priority(Main[[#This Row],[Comments]])&lt;&gt;0, priority(Main[[#This Row],[Comments]]),"")</f>
        <v/>
      </c>
      <c r="B142" s="127" t="s">
        <v>1066</v>
      </c>
      <c r="C142" s="99" t="s">
        <v>4</v>
      </c>
      <c r="D142" s="100" t="s">
        <v>57</v>
      </c>
      <c r="E142" s="101"/>
      <c r="F142" s="101"/>
      <c r="G142" s="102" t="str">
        <f>IF(stdProdLT(Main[[#This Row],[Comments]])=0.1,"N/A",IF(stdProdLT(Main[[#This Row],[Comments]])=0,"",stdProdLT(Main[[#This Row],[Comments]])))</f>
        <v/>
      </c>
      <c r="H142" s="103" t="str">
        <f>IF(AND(Main[[#This Row],[In Stock Date]]&lt;&gt;"",Main[[#This Row],[Revised Due Date]]&lt;&gt;""),Main[[#This Row],[In Stock Date]]-Main[[#This Row],[Revised Due Date]],"")</f>
        <v/>
      </c>
      <c r="I142" s="99" t="s">
        <v>4</v>
      </c>
      <c r="J142" s="99" t="s">
        <v>4</v>
      </c>
      <c r="K142" s="99" t="s">
        <v>4</v>
      </c>
      <c r="L142" s="101"/>
      <c r="M142" s="104" t="str">
        <f>IF(Main[[#This Row],[Tech Start Date]]&lt;1/1/1990,"",IF(Main[[#This Row],[Class]]="C",WORKDAY(Main[[#This Row],[Tech Start Date]],9),IF(Main[[#This Row],[Class]]="B", WORKDAY(Main[[#This Row],[Tech Start Date]],6),IF(Main[[#This Row],[Class]]="A",WORKDAY(Main[[#This Row],[Tech Start Date]],2),""))))</f>
        <v/>
      </c>
      <c r="N142" s="104" t="str">
        <f>IF(Main[[#This Row],[Tech Start Date]]&lt;1/1/1990,"",IF(Main[[#This Row],[Class]]="C",WORKDAY(Main[[#This Row],[Tech Start Date]],19),IF(Main[[#This Row],[Class]]="B", WORKDAY(Main[[#This Row],[Tech Start Date]],12),IF(Main[[#This Row],[Class]]="A",WORKDAY(Main[[#This Row],[Tech Start Date]],4),""))))</f>
        <v/>
      </c>
      <c r="O142" s="104" t="str">
        <f>IF(Main[[#This Row],[Tech Start Date]]&lt;1/1/1990,"",IF(Main[[#This Row],[Class]]="C",WORKDAY(Main[[#This Row],[Tech Start Date]],23),IF(Main[[#This Row],[Class]]="B", WORKDAY(Main[[#This Row],[Tech Start Date]],15),IF(Main[[#This Row],[Class]]="A",WORKDAY(Main[[#This Row],[Tech Start Date]],5),""))))</f>
        <v/>
      </c>
      <c r="P142" s="104" t="str">
        <f>IF(Main[[#This Row],[Tech Start Date]]&lt;1/1/1990,"",IF(Main[[#This Row],[Class]]="C",WORKDAY(Main[[#This Row],[Tech Start Date]],28),IF(Main[[#This Row],[Class]]="B", WORKDAY(Main[[#This Row],[Tech Start Date]],19),IF(Main[[#This Row],[Class]]="A",WORKDAY(Main[[#This Row],[Tech Start Date]],9),""))))</f>
        <v/>
      </c>
      <c r="Q142" s="101"/>
      <c r="R142" s="101"/>
      <c r="S142" s="99" t="s">
        <v>49</v>
      </c>
      <c r="T142" s="107" t="s">
        <v>4</v>
      </c>
      <c r="U142" s="99" t="s">
        <v>14</v>
      </c>
      <c r="V142" s="99" t="s">
        <v>1972</v>
      </c>
      <c r="W142" s="99" t="s">
        <v>1966</v>
      </c>
    </row>
    <row r="143" spans="1:23" ht="18.600000000000001" customHeight="1">
      <c r="A143" s="123" t="str">
        <f>IF(priority(Main[[#This Row],[Comments]])&lt;&gt;0, priority(Main[[#This Row],[Comments]]),"")</f>
        <v/>
      </c>
      <c r="B143" s="127" t="s">
        <v>1067</v>
      </c>
      <c r="C143" s="99" t="s">
        <v>58</v>
      </c>
      <c r="D143" s="100" t="s">
        <v>59</v>
      </c>
      <c r="E143" s="101"/>
      <c r="F143" s="101"/>
      <c r="G143" s="102" t="str">
        <f>IF(stdProdLT(Main[[#This Row],[Comments]])=0.1,"N/A",IF(stdProdLT(Main[[#This Row],[Comments]])=0,"",stdProdLT(Main[[#This Row],[Comments]])))</f>
        <v/>
      </c>
      <c r="H143" s="103" t="str">
        <f>IF(AND(Main[[#This Row],[In Stock Date]]&lt;&gt;"",Main[[#This Row],[Revised Due Date]]&lt;&gt;""),Main[[#This Row],[In Stock Date]]-Main[[#This Row],[Revised Due Date]],"")</f>
        <v/>
      </c>
      <c r="I143" s="99" t="s">
        <v>4</v>
      </c>
      <c r="J143" s="99" t="s">
        <v>4</v>
      </c>
      <c r="K143" s="99" t="s">
        <v>4</v>
      </c>
      <c r="L143" s="101"/>
      <c r="M143" s="104" t="str">
        <f>IF(Main[[#This Row],[Tech Start Date]]&lt;1/1/1990,"",IF(Main[[#This Row],[Class]]="C",WORKDAY(Main[[#This Row],[Tech Start Date]],9),IF(Main[[#This Row],[Class]]="B", WORKDAY(Main[[#This Row],[Tech Start Date]],6),IF(Main[[#This Row],[Class]]="A",WORKDAY(Main[[#This Row],[Tech Start Date]],2),""))))</f>
        <v/>
      </c>
      <c r="N143" s="104" t="str">
        <f>IF(Main[[#This Row],[Tech Start Date]]&lt;1/1/1990,"",IF(Main[[#This Row],[Class]]="C",WORKDAY(Main[[#This Row],[Tech Start Date]],19),IF(Main[[#This Row],[Class]]="B", WORKDAY(Main[[#This Row],[Tech Start Date]],12),IF(Main[[#This Row],[Class]]="A",WORKDAY(Main[[#This Row],[Tech Start Date]],4),""))))</f>
        <v/>
      </c>
      <c r="O143" s="104" t="str">
        <f>IF(Main[[#This Row],[Tech Start Date]]&lt;1/1/1990,"",IF(Main[[#This Row],[Class]]="C",WORKDAY(Main[[#This Row],[Tech Start Date]],23),IF(Main[[#This Row],[Class]]="B", WORKDAY(Main[[#This Row],[Tech Start Date]],15),IF(Main[[#This Row],[Class]]="A",WORKDAY(Main[[#This Row],[Tech Start Date]],5),""))))</f>
        <v/>
      </c>
      <c r="P143" s="104" t="str">
        <f>IF(Main[[#This Row],[Tech Start Date]]&lt;1/1/1990,"",IF(Main[[#This Row],[Class]]="C",WORKDAY(Main[[#This Row],[Tech Start Date]],28),IF(Main[[#This Row],[Class]]="B", WORKDAY(Main[[#This Row],[Tech Start Date]],19),IF(Main[[#This Row],[Class]]="A",WORKDAY(Main[[#This Row],[Tech Start Date]],9),""))))</f>
        <v/>
      </c>
      <c r="Q143" s="101"/>
      <c r="R143" s="101"/>
      <c r="S143" s="99" t="s">
        <v>11</v>
      </c>
      <c r="T143" s="107" t="s">
        <v>4</v>
      </c>
      <c r="U143" s="99" t="s">
        <v>14</v>
      </c>
      <c r="V143" s="99" t="s">
        <v>1963</v>
      </c>
      <c r="W143" s="99" t="s">
        <v>1967</v>
      </c>
    </row>
    <row r="144" spans="1:23" ht="18.600000000000001" customHeight="1">
      <c r="A144" s="123" t="str">
        <f>IF(priority(Main[[#This Row],[Comments]])&lt;&gt;0, priority(Main[[#This Row],[Comments]]),"")</f>
        <v/>
      </c>
      <c r="B144" s="127" t="s">
        <v>1068</v>
      </c>
      <c r="C144" s="99" t="s">
        <v>4</v>
      </c>
      <c r="D144" s="100" t="s">
        <v>60</v>
      </c>
      <c r="E144" s="101"/>
      <c r="F144" s="101"/>
      <c r="G144" s="102" t="str">
        <f>IF(stdProdLT(Main[[#This Row],[Comments]])=0.1,"N/A",IF(stdProdLT(Main[[#This Row],[Comments]])=0,"",stdProdLT(Main[[#This Row],[Comments]])))</f>
        <v/>
      </c>
      <c r="H144" s="103" t="str">
        <f>IF(AND(Main[[#This Row],[In Stock Date]]&lt;&gt;"",Main[[#This Row],[Revised Due Date]]&lt;&gt;""),Main[[#This Row],[In Stock Date]]-Main[[#This Row],[Revised Due Date]],"")</f>
        <v/>
      </c>
      <c r="I144" s="99" t="s">
        <v>4</v>
      </c>
      <c r="J144" s="99" t="s">
        <v>4</v>
      </c>
      <c r="K144" s="99" t="s">
        <v>4</v>
      </c>
      <c r="L144" s="101"/>
      <c r="M144" s="104" t="str">
        <f>IF(Main[[#This Row],[Tech Start Date]]&lt;1/1/1990,"",IF(Main[[#This Row],[Class]]="C",WORKDAY(Main[[#This Row],[Tech Start Date]],9),IF(Main[[#This Row],[Class]]="B", WORKDAY(Main[[#This Row],[Tech Start Date]],6),IF(Main[[#This Row],[Class]]="A",WORKDAY(Main[[#This Row],[Tech Start Date]],2),""))))</f>
        <v/>
      </c>
      <c r="N144" s="104" t="str">
        <f>IF(Main[[#This Row],[Tech Start Date]]&lt;1/1/1990,"",IF(Main[[#This Row],[Class]]="C",WORKDAY(Main[[#This Row],[Tech Start Date]],19),IF(Main[[#This Row],[Class]]="B", WORKDAY(Main[[#This Row],[Tech Start Date]],12),IF(Main[[#This Row],[Class]]="A",WORKDAY(Main[[#This Row],[Tech Start Date]],4),""))))</f>
        <v/>
      </c>
      <c r="O144" s="104" t="str">
        <f>IF(Main[[#This Row],[Tech Start Date]]&lt;1/1/1990,"",IF(Main[[#This Row],[Class]]="C",WORKDAY(Main[[#This Row],[Tech Start Date]],23),IF(Main[[#This Row],[Class]]="B", WORKDAY(Main[[#This Row],[Tech Start Date]],15),IF(Main[[#This Row],[Class]]="A",WORKDAY(Main[[#This Row],[Tech Start Date]],5),""))))</f>
        <v/>
      </c>
      <c r="P144" s="104" t="str">
        <f>IF(Main[[#This Row],[Tech Start Date]]&lt;1/1/1990,"",IF(Main[[#This Row],[Class]]="C",WORKDAY(Main[[#This Row],[Tech Start Date]],28),IF(Main[[#This Row],[Class]]="B", WORKDAY(Main[[#This Row],[Tech Start Date]],19),IF(Main[[#This Row],[Class]]="A",WORKDAY(Main[[#This Row],[Tech Start Date]],9),""))))</f>
        <v/>
      </c>
      <c r="Q144" s="101"/>
      <c r="R144" s="101"/>
      <c r="S144" s="99" t="s">
        <v>49</v>
      </c>
      <c r="T144" s="107" t="s">
        <v>4</v>
      </c>
      <c r="U144" s="99" t="s">
        <v>14</v>
      </c>
      <c r="V144" s="99" t="s">
        <v>1963</v>
      </c>
      <c r="W144" s="99" t="s">
        <v>1966</v>
      </c>
    </row>
    <row r="145" spans="1:23" ht="18.600000000000001" customHeight="1">
      <c r="A145" s="123" t="str">
        <f>IF(priority(Main[[#This Row],[Comments]])&lt;&gt;0, priority(Main[[#This Row],[Comments]]),"")</f>
        <v/>
      </c>
      <c r="B145" s="127" t="s">
        <v>2408</v>
      </c>
      <c r="C145" s="99" t="s">
        <v>4</v>
      </c>
      <c r="D145" s="100" t="s">
        <v>2409</v>
      </c>
      <c r="E145" s="101">
        <v>40841.712557870371</v>
      </c>
      <c r="F145" s="101"/>
      <c r="G145" s="102" t="str">
        <f>IF(stdProdLT(Main[[#This Row],[Comments]])=0.1,"N/A",IF(stdProdLT(Main[[#This Row],[Comments]])=0,"",stdProdLT(Main[[#This Row],[Comments]])))</f>
        <v/>
      </c>
      <c r="H145" s="103" t="str">
        <f>IF(AND(Main[[#This Row],[In Stock Date]]&lt;&gt;"",Main[[#This Row],[Revised Due Date]]&lt;&gt;""),Main[[#This Row],[In Stock Date]]-Main[[#This Row],[Revised Due Date]],"")</f>
        <v/>
      </c>
      <c r="I145" s="99" t="s">
        <v>929</v>
      </c>
      <c r="J145" s="99" t="s">
        <v>52</v>
      </c>
      <c r="K145" s="99" t="s">
        <v>4</v>
      </c>
      <c r="L145" s="101"/>
      <c r="M145" s="104" t="str">
        <f>IF(Main[[#This Row],[Tech Start Date]]&lt;1/1/1990,"",IF(Main[[#This Row],[Class]]="C",WORKDAY(Main[[#This Row],[Tech Start Date]],9),IF(Main[[#This Row],[Class]]="B", WORKDAY(Main[[#This Row],[Tech Start Date]],6),IF(Main[[#This Row],[Class]]="A",WORKDAY(Main[[#This Row],[Tech Start Date]],2),""))))</f>
        <v/>
      </c>
      <c r="N145" s="104" t="str">
        <f>IF(Main[[#This Row],[Tech Start Date]]&lt;1/1/1990,"",IF(Main[[#This Row],[Class]]="C",WORKDAY(Main[[#This Row],[Tech Start Date]],19),IF(Main[[#This Row],[Class]]="B", WORKDAY(Main[[#This Row],[Tech Start Date]],12),IF(Main[[#This Row],[Class]]="A",WORKDAY(Main[[#This Row],[Tech Start Date]],4),""))))</f>
        <v/>
      </c>
      <c r="O145" s="104" t="str">
        <f>IF(Main[[#This Row],[Tech Start Date]]&lt;1/1/1990,"",IF(Main[[#This Row],[Class]]="C",WORKDAY(Main[[#This Row],[Tech Start Date]],23),IF(Main[[#This Row],[Class]]="B", WORKDAY(Main[[#This Row],[Tech Start Date]],15),IF(Main[[#This Row],[Class]]="A",WORKDAY(Main[[#This Row],[Tech Start Date]],5),""))))</f>
        <v/>
      </c>
      <c r="P145" s="104" t="str">
        <f>IF(Main[[#This Row],[Tech Start Date]]&lt;1/1/1990,"",IF(Main[[#This Row],[Class]]="C",WORKDAY(Main[[#This Row],[Tech Start Date]],28),IF(Main[[#This Row],[Class]]="B", WORKDAY(Main[[#This Row],[Tech Start Date]],19),IF(Main[[#This Row],[Class]]="A",WORKDAY(Main[[#This Row],[Tech Start Date]],9),""))))</f>
        <v/>
      </c>
      <c r="Q145" s="101">
        <v>40856</v>
      </c>
      <c r="R145" s="101"/>
      <c r="S145" s="99" t="s">
        <v>6</v>
      </c>
      <c r="T145" s="107" t="s">
        <v>4</v>
      </c>
      <c r="U145" s="99" t="s">
        <v>29</v>
      </c>
      <c r="V145" s="99" t="s">
        <v>1962</v>
      </c>
      <c r="W145" s="99" t="s">
        <v>1970</v>
      </c>
    </row>
    <row r="146" spans="1:23" ht="18.600000000000001" customHeight="1">
      <c r="A146" s="123" t="str">
        <f>IF(priority(Main[[#This Row],[Comments]])&lt;&gt;0, priority(Main[[#This Row],[Comments]]),"")</f>
        <v/>
      </c>
      <c r="B146" s="127" t="s">
        <v>1070</v>
      </c>
      <c r="C146" s="99" t="s">
        <v>4</v>
      </c>
      <c r="D146" s="100" t="s">
        <v>61</v>
      </c>
      <c r="E146" s="101"/>
      <c r="F146" s="101"/>
      <c r="G146" s="102" t="str">
        <f>IF(stdProdLT(Main[[#This Row],[Comments]])=0.1,"N/A",IF(stdProdLT(Main[[#This Row],[Comments]])=0,"",stdProdLT(Main[[#This Row],[Comments]])))</f>
        <v/>
      </c>
      <c r="H146" s="103" t="str">
        <f>IF(AND(Main[[#This Row],[In Stock Date]]&lt;&gt;"",Main[[#This Row],[Revised Due Date]]&lt;&gt;""),Main[[#This Row],[In Stock Date]]-Main[[#This Row],[Revised Due Date]],"")</f>
        <v/>
      </c>
      <c r="I146" s="99" t="s">
        <v>4</v>
      </c>
      <c r="J146" s="99" t="s">
        <v>4</v>
      </c>
      <c r="K146" s="99" t="s">
        <v>4</v>
      </c>
      <c r="L146" s="101"/>
      <c r="M146" s="104" t="str">
        <f>IF(Main[[#This Row],[Tech Start Date]]&lt;1/1/1990,"",IF(Main[[#This Row],[Class]]="C",WORKDAY(Main[[#This Row],[Tech Start Date]],9),IF(Main[[#This Row],[Class]]="B", WORKDAY(Main[[#This Row],[Tech Start Date]],6),IF(Main[[#This Row],[Class]]="A",WORKDAY(Main[[#This Row],[Tech Start Date]],2),""))))</f>
        <v/>
      </c>
      <c r="N146" s="104" t="str">
        <f>IF(Main[[#This Row],[Tech Start Date]]&lt;1/1/1990,"",IF(Main[[#This Row],[Class]]="C",WORKDAY(Main[[#This Row],[Tech Start Date]],19),IF(Main[[#This Row],[Class]]="B", WORKDAY(Main[[#This Row],[Tech Start Date]],12),IF(Main[[#This Row],[Class]]="A",WORKDAY(Main[[#This Row],[Tech Start Date]],4),""))))</f>
        <v/>
      </c>
      <c r="O146" s="104" t="str">
        <f>IF(Main[[#This Row],[Tech Start Date]]&lt;1/1/1990,"",IF(Main[[#This Row],[Class]]="C",WORKDAY(Main[[#This Row],[Tech Start Date]],23),IF(Main[[#This Row],[Class]]="B", WORKDAY(Main[[#This Row],[Tech Start Date]],15),IF(Main[[#This Row],[Class]]="A",WORKDAY(Main[[#This Row],[Tech Start Date]],5),""))))</f>
        <v/>
      </c>
      <c r="P146" s="104" t="str">
        <f>IF(Main[[#This Row],[Tech Start Date]]&lt;1/1/1990,"",IF(Main[[#This Row],[Class]]="C",WORKDAY(Main[[#This Row],[Tech Start Date]],28),IF(Main[[#This Row],[Class]]="B", WORKDAY(Main[[#This Row],[Tech Start Date]],19),IF(Main[[#This Row],[Class]]="A",WORKDAY(Main[[#This Row],[Tech Start Date]],9),""))))</f>
        <v/>
      </c>
      <c r="Q146" s="101">
        <v>40564</v>
      </c>
      <c r="R146" s="101"/>
      <c r="S146" s="99" t="s">
        <v>23</v>
      </c>
      <c r="T146" s="107" t="s">
        <v>4</v>
      </c>
      <c r="U146" s="99" t="s">
        <v>12</v>
      </c>
      <c r="V146" s="99" t="s">
        <v>1965</v>
      </c>
      <c r="W146" s="99" t="s">
        <v>1966</v>
      </c>
    </row>
    <row r="147" spans="1:23" ht="18.600000000000001" customHeight="1">
      <c r="A147" s="123" t="str">
        <f>IF(priority(Main[[#This Row],[Comments]])&lt;&gt;0, priority(Main[[#This Row],[Comments]]),"")</f>
        <v/>
      </c>
      <c r="B147" s="127" t="s">
        <v>1073</v>
      </c>
      <c r="C147" s="99" t="s">
        <v>83</v>
      </c>
      <c r="D147" s="100" t="s">
        <v>84</v>
      </c>
      <c r="E147" s="101"/>
      <c r="F147" s="101"/>
      <c r="G147" s="102" t="str">
        <f>IF(stdProdLT(Main[[#This Row],[Comments]])=0.1,"N/A",IF(stdProdLT(Main[[#This Row],[Comments]])=0,"",stdProdLT(Main[[#This Row],[Comments]])))</f>
        <v/>
      </c>
      <c r="H147" s="103" t="str">
        <f>IF(AND(Main[[#This Row],[In Stock Date]]&lt;&gt;"",Main[[#This Row],[Revised Due Date]]&lt;&gt;""),Main[[#This Row],[In Stock Date]]-Main[[#This Row],[Revised Due Date]],"")</f>
        <v/>
      </c>
      <c r="I147" s="99" t="s">
        <v>4</v>
      </c>
      <c r="J147" s="99" t="s">
        <v>4</v>
      </c>
      <c r="K147" s="99" t="s">
        <v>4</v>
      </c>
      <c r="L147" s="101"/>
      <c r="M147" s="104" t="str">
        <f>IF(Main[[#This Row],[Tech Start Date]]&lt;1/1/1990,"",IF(Main[[#This Row],[Class]]="C",WORKDAY(Main[[#This Row],[Tech Start Date]],9),IF(Main[[#This Row],[Class]]="B", WORKDAY(Main[[#This Row],[Tech Start Date]],6),IF(Main[[#This Row],[Class]]="A",WORKDAY(Main[[#This Row],[Tech Start Date]],2),""))))</f>
        <v/>
      </c>
      <c r="N147" s="104" t="str">
        <f>IF(Main[[#This Row],[Tech Start Date]]&lt;1/1/1990,"",IF(Main[[#This Row],[Class]]="C",WORKDAY(Main[[#This Row],[Tech Start Date]],19),IF(Main[[#This Row],[Class]]="B", WORKDAY(Main[[#This Row],[Tech Start Date]],12),IF(Main[[#This Row],[Class]]="A",WORKDAY(Main[[#This Row],[Tech Start Date]],4),""))))</f>
        <v/>
      </c>
      <c r="O147" s="104" t="str">
        <f>IF(Main[[#This Row],[Tech Start Date]]&lt;1/1/1990,"",IF(Main[[#This Row],[Class]]="C",WORKDAY(Main[[#This Row],[Tech Start Date]],23),IF(Main[[#This Row],[Class]]="B", WORKDAY(Main[[#This Row],[Tech Start Date]],15),IF(Main[[#This Row],[Class]]="A",WORKDAY(Main[[#This Row],[Tech Start Date]],5),""))))</f>
        <v/>
      </c>
      <c r="P147" s="104" t="str">
        <f>IF(Main[[#This Row],[Tech Start Date]]&lt;1/1/1990,"",IF(Main[[#This Row],[Class]]="C",WORKDAY(Main[[#This Row],[Tech Start Date]],28),IF(Main[[#This Row],[Class]]="B", WORKDAY(Main[[#This Row],[Tech Start Date]],19),IF(Main[[#This Row],[Class]]="A",WORKDAY(Main[[#This Row],[Tech Start Date]],9),""))))</f>
        <v/>
      </c>
      <c r="Q147" s="101">
        <v>40259</v>
      </c>
      <c r="R147" s="101"/>
      <c r="S147" s="99" t="s">
        <v>11</v>
      </c>
      <c r="T147" s="107" t="s">
        <v>4</v>
      </c>
      <c r="U147" s="99" t="s">
        <v>14</v>
      </c>
      <c r="V147" s="99" t="s">
        <v>1962</v>
      </c>
      <c r="W147" s="99" t="s">
        <v>1973</v>
      </c>
    </row>
    <row r="148" spans="1:23" ht="18.600000000000001" customHeight="1">
      <c r="A148" s="123" t="str">
        <f>IF(priority(Main[[#This Row],[Comments]])&lt;&gt;0, priority(Main[[#This Row],[Comments]]),"")</f>
        <v/>
      </c>
      <c r="B148" s="127" t="s">
        <v>1788</v>
      </c>
      <c r="C148" s="99" t="s">
        <v>4</v>
      </c>
      <c r="D148" s="100" t="s">
        <v>2422</v>
      </c>
      <c r="E148" s="101"/>
      <c r="F148" s="101"/>
      <c r="G148" s="102" t="str">
        <f>IF(stdProdLT(Main[[#This Row],[Comments]])=0.1,"N/A",IF(stdProdLT(Main[[#This Row],[Comments]])=0,"",stdProdLT(Main[[#This Row],[Comments]])))</f>
        <v/>
      </c>
      <c r="H148" s="103" t="str">
        <f>IF(AND(Main[[#This Row],[In Stock Date]]&lt;&gt;"",Main[[#This Row],[Revised Due Date]]&lt;&gt;""),Main[[#This Row],[In Stock Date]]-Main[[#This Row],[Revised Due Date]],"")</f>
        <v/>
      </c>
      <c r="I148" s="99" t="s">
        <v>131</v>
      </c>
      <c r="J148" s="99" t="s">
        <v>70</v>
      </c>
      <c r="K148" s="99" t="s">
        <v>1971</v>
      </c>
      <c r="L148" s="101"/>
      <c r="M148" s="104" t="str">
        <f>IF(Main[[#This Row],[Tech Start Date]]&lt;1/1/1990,"",IF(Main[[#This Row],[Class]]="C",WORKDAY(Main[[#This Row],[Tech Start Date]],9),IF(Main[[#This Row],[Class]]="B", WORKDAY(Main[[#This Row],[Tech Start Date]],6),IF(Main[[#This Row],[Class]]="A",WORKDAY(Main[[#This Row],[Tech Start Date]],2),""))))</f>
        <v/>
      </c>
      <c r="N148" s="104" t="str">
        <f>IF(Main[[#This Row],[Tech Start Date]]&lt;1/1/1990,"",IF(Main[[#This Row],[Class]]="C",WORKDAY(Main[[#This Row],[Tech Start Date]],19),IF(Main[[#This Row],[Class]]="B", WORKDAY(Main[[#This Row],[Tech Start Date]],12),IF(Main[[#This Row],[Class]]="A",WORKDAY(Main[[#This Row],[Tech Start Date]],4),""))))</f>
        <v/>
      </c>
      <c r="O148" s="104" t="str">
        <f>IF(Main[[#This Row],[Tech Start Date]]&lt;1/1/1990,"",IF(Main[[#This Row],[Class]]="C",WORKDAY(Main[[#This Row],[Tech Start Date]],23),IF(Main[[#This Row],[Class]]="B", WORKDAY(Main[[#This Row],[Tech Start Date]],15),IF(Main[[#This Row],[Class]]="A",WORKDAY(Main[[#This Row],[Tech Start Date]],5),""))))</f>
        <v/>
      </c>
      <c r="P148" s="104" t="str">
        <f>IF(Main[[#This Row],[Tech Start Date]]&lt;1/1/1990,"",IF(Main[[#This Row],[Class]]="C",WORKDAY(Main[[#This Row],[Tech Start Date]],28),IF(Main[[#This Row],[Class]]="B", WORKDAY(Main[[#This Row],[Tech Start Date]],19),IF(Main[[#This Row],[Class]]="A",WORKDAY(Main[[#This Row],[Tech Start Date]],9),""))))</f>
        <v/>
      </c>
      <c r="Q148" s="101">
        <v>40786</v>
      </c>
      <c r="R148" s="101"/>
      <c r="S148" s="99" t="s">
        <v>6</v>
      </c>
      <c r="T148" s="107" t="s">
        <v>4</v>
      </c>
      <c r="U148" s="99" t="s">
        <v>14</v>
      </c>
      <c r="V148" s="99" t="s">
        <v>1965</v>
      </c>
      <c r="W148" s="99" t="s">
        <v>1966</v>
      </c>
    </row>
    <row r="149" spans="1:23" ht="18.600000000000001" customHeight="1">
      <c r="A149" s="123" t="str">
        <f>IF(priority(Main[[#This Row],[Comments]])&lt;&gt;0, priority(Main[[#This Row],[Comments]]),"")</f>
        <v/>
      </c>
      <c r="B149" s="127" t="s">
        <v>1994</v>
      </c>
      <c r="C149" s="99" t="s">
        <v>4</v>
      </c>
      <c r="D149" s="100" t="s">
        <v>2579</v>
      </c>
      <c r="E149" s="101">
        <v>40721.395208333335</v>
      </c>
      <c r="F149" s="101"/>
      <c r="G149" s="102" t="str">
        <f>IF(stdProdLT(Main[[#This Row],[Comments]])=0.1,"N/A",IF(stdProdLT(Main[[#This Row],[Comments]])=0,"",stdProdLT(Main[[#This Row],[Comments]])))</f>
        <v/>
      </c>
      <c r="H149" s="103" t="str">
        <f>IF(AND(Main[[#This Row],[In Stock Date]]&lt;&gt;"",Main[[#This Row],[Revised Due Date]]&lt;&gt;""),Main[[#This Row],[In Stock Date]]-Main[[#This Row],[Revised Due Date]],"")</f>
        <v/>
      </c>
      <c r="I149" s="99" t="s">
        <v>69</v>
      </c>
      <c r="J149" s="99" t="s">
        <v>21</v>
      </c>
      <c r="K149" s="108" t="s">
        <v>1971</v>
      </c>
      <c r="L149" s="101"/>
      <c r="M149" s="104" t="str">
        <f>IF(Main[[#This Row],[Tech Start Date]]&lt;1/1/1990,"",IF(Main[[#This Row],[Class]]="C",WORKDAY(Main[[#This Row],[Tech Start Date]],9),IF(Main[[#This Row],[Class]]="B", WORKDAY(Main[[#This Row],[Tech Start Date]],6),IF(Main[[#This Row],[Class]]="A",WORKDAY(Main[[#This Row],[Tech Start Date]],2),""))))</f>
        <v/>
      </c>
      <c r="N149" s="104" t="str">
        <f>IF(Main[[#This Row],[Tech Start Date]]&lt;1/1/1990,"",IF(Main[[#This Row],[Class]]="C",WORKDAY(Main[[#This Row],[Tech Start Date]],19),IF(Main[[#This Row],[Class]]="B", WORKDAY(Main[[#This Row],[Tech Start Date]],12),IF(Main[[#This Row],[Class]]="A",WORKDAY(Main[[#This Row],[Tech Start Date]],4),""))))</f>
        <v/>
      </c>
      <c r="O149" s="104" t="str">
        <f>IF(Main[[#This Row],[Tech Start Date]]&lt;1/1/1990,"",IF(Main[[#This Row],[Class]]="C",WORKDAY(Main[[#This Row],[Tech Start Date]],23),IF(Main[[#This Row],[Class]]="B", WORKDAY(Main[[#This Row],[Tech Start Date]],15),IF(Main[[#This Row],[Class]]="A",WORKDAY(Main[[#This Row],[Tech Start Date]],5),""))))</f>
        <v/>
      </c>
      <c r="P149" s="104" t="str">
        <f>IF(Main[[#This Row],[Tech Start Date]]&lt;1/1/1990,"",IF(Main[[#This Row],[Class]]="C",WORKDAY(Main[[#This Row],[Tech Start Date]],28),IF(Main[[#This Row],[Class]]="B", WORKDAY(Main[[#This Row],[Tech Start Date]],19),IF(Main[[#This Row],[Class]]="A",WORKDAY(Main[[#This Row],[Tech Start Date]],9),""))))</f>
        <v/>
      </c>
      <c r="Q149" s="101">
        <v>40753</v>
      </c>
      <c r="R149" s="101"/>
      <c r="S149" s="99" t="s">
        <v>6</v>
      </c>
      <c r="T149" s="107" t="s">
        <v>4</v>
      </c>
      <c r="U149" s="99" t="s">
        <v>29</v>
      </c>
      <c r="V149" s="99" t="s">
        <v>1965</v>
      </c>
      <c r="W149" s="99" t="s">
        <v>1966</v>
      </c>
    </row>
    <row r="150" spans="1:23" ht="18.600000000000001" customHeight="1">
      <c r="A150" s="123" t="str">
        <f>IF(priority(Main[[#This Row],[Comments]])&lt;&gt;0, priority(Main[[#This Row],[Comments]]),"")</f>
        <v/>
      </c>
      <c r="B150" s="127" t="s">
        <v>1074</v>
      </c>
      <c r="C150" s="99" t="s">
        <v>53</v>
      </c>
      <c r="D150" s="100" t="s">
        <v>66</v>
      </c>
      <c r="E150" s="101"/>
      <c r="F150" s="101"/>
      <c r="G150" s="102" t="str">
        <f>IF(stdProdLT(Main[[#This Row],[Comments]])=0.1,"N/A",IF(stdProdLT(Main[[#This Row],[Comments]])=0,"",stdProdLT(Main[[#This Row],[Comments]])))</f>
        <v/>
      </c>
      <c r="H150" s="103" t="str">
        <f>IF(AND(Main[[#This Row],[In Stock Date]]&lt;&gt;"",Main[[#This Row],[Revised Due Date]]&lt;&gt;""),Main[[#This Row],[In Stock Date]]-Main[[#This Row],[Revised Due Date]],"")</f>
        <v/>
      </c>
      <c r="I150" s="99" t="s">
        <v>4</v>
      </c>
      <c r="J150" s="99" t="s">
        <v>4</v>
      </c>
      <c r="K150" s="99" t="s">
        <v>4</v>
      </c>
      <c r="L150" s="101"/>
      <c r="M150" s="104" t="str">
        <f>IF(Main[[#This Row],[Tech Start Date]]&lt;1/1/1990,"",IF(Main[[#This Row],[Class]]="C",WORKDAY(Main[[#This Row],[Tech Start Date]],9),IF(Main[[#This Row],[Class]]="B", WORKDAY(Main[[#This Row],[Tech Start Date]],6),IF(Main[[#This Row],[Class]]="A",WORKDAY(Main[[#This Row],[Tech Start Date]],2),""))))</f>
        <v/>
      </c>
      <c r="N150" s="104" t="str">
        <f>IF(Main[[#This Row],[Tech Start Date]]&lt;1/1/1990,"",IF(Main[[#This Row],[Class]]="C",WORKDAY(Main[[#This Row],[Tech Start Date]],19),IF(Main[[#This Row],[Class]]="B", WORKDAY(Main[[#This Row],[Tech Start Date]],12),IF(Main[[#This Row],[Class]]="A",WORKDAY(Main[[#This Row],[Tech Start Date]],4),""))))</f>
        <v/>
      </c>
      <c r="O150" s="104" t="str">
        <f>IF(Main[[#This Row],[Tech Start Date]]&lt;1/1/1990,"",IF(Main[[#This Row],[Class]]="C",WORKDAY(Main[[#This Row],[Tech Start Date]],23),IF(Main[[#This Row],[Class]]="B", WORKDAY(Main[[#This Row],[Tech Start Date]],15),IF(Main[[#This Row],[Class]]="A",WORKDAY(Main[[#This Row],[Tech Start Date]],5),""))))</f>
        <v/>
      </c>
      <c r="P150" s="104" t="str">
        <f>IF(Main[[#This Row],[Tech Start Date]]&lt;1/1/1990,"",IF(Main[[#This Row],[Class]]="C",WORKDAY(Main[[#This Row],[Tech Start Date]],28),IF(Main[[#This Row],[Class]]="B", WORKDAY(Main[[#This Row],[Tech Start Date]],19),IF(Main[[#This Row],[Class]]="A",WORKDAY(Main[[#This Row],[Tech Start Date]],9),""))))</f>
        <v/>
      </c>
      <c r="Q150" s="101">
        <v>40667</v>
      </c>
      <c r="R150" s="101"/>
      <c r="S150" s="99" t="s">
        <v>11</v>
      </c>
      <c r="T150" s="107" t="s">
        <v>4</v>
      </c>
      <c r="U150" s="99" t="s">
        <v>14</v>
      </c>
      <c r="V150" s="99" t="s">
        <v>1963</v>
      </c>
      <c r="W150" s="99" t="s">
        <v>1964</v>
      </c>
    </row>
    <row r="151" spans="1:23" ht="18.600000000000001" customHeight="1">
      <c r="A151" s="123" t="str">
        <f>IF(priority(Main[[#This Row],[Comments]])&lt;&gt;0, priority(Main[[#This Row],[Comments]]),"")</f>
        <v/>
      </c>
      <c r="B151" s="127" t="s">
        <v>2080</v>
      </c>
      <c r="C151" s="99" t="s">
        <v>4</v>
      </c>
      <c r="D151" s="100" t="s">
        <v>2081</v>
      </c>
      <c r="E151" s="101">
        <v>40749.684224537035</v>
      </c>
      <c r="F151" s="101"/>
      <c r="G151" s="102" t="str">
        <f>IF(stdProdLT(Main[[#This Row],[Comments]])=0.1,"N/A",IF(stdProdLT(Main[[#This Row],[Comments]])=0,"",stdProdLT(Main[[#This Row],[Comments]])))</f>
        <v/>
      </c>
      <c r="H151" s="103" t="str">
        <f>IF(AND(Main[[#This Row],[In Stock Date]]&lt;&gt;"",Main[[#This Row],[Revised Due Date]]&lt;&gt;""),Main[[#This Row],[In Stock Date]]-Main[[#This Row],[Revised Due Date]],"")</f>
        <v/>
      </c>
      <c r="I151" s="99" t="s">
        <v>4</v>
      </c>
      <c r="J151" s="99" t="s">
        <v>4</v>
      </c>
      <c r="K151" s="99" t="s">
        <v>4</v>
      </c>
      <c r="L151" s="101"/>
      <c r="M151" s="104" t="str">
        <f>IF(Main[[#This Row],[Tech Start Date]]&lt;1/1/1990,"",IF(Main[[#This Row],[Class]]="C",WORKDAY(Main[[#This Row],[Tech Start Date]],9),IF(Main[[#This Row],[Class]]="B", WORKDAY(Main[[#This Row],[Tech Start Date]],6),IF(Main[[#This Row],[Class]]="A",WORKDAY(Main[[#This Row],[Tech Start Date]],2),""))))</f>
        <v/>
      </c>
      <c r="N151" s="104" t="str">
        <f>IF(Main[[#This Row],[Tech Start Date]]&lt;1/1/1990,"",IF(Main[[#This Row],[Class]]="C",WORKDAY(Main[[#This Row],[Tech Start Date]],19),IF(Main[[#This Row],[Class]]="B", WORKDAY(Main[[#This Row],[Tech Start Date]],12),IF(Main[[#This Row],[Class]]="A",WORKDAY(Main[[#This Row],[Tech Start Date]],4),""))))</f>
        <v/>
      </c>
      <c r="O151" s="104" t="str">
        <f>IF(Main[[#This Row],[Tech Start Date]]&lt;1/1/1990,"",IF(Main[[#This Row],[Class]]="C",WORKDAY(Main[[#This Row],[Tech Start Date]],23),IF(Main[[#This Row],[Class]]="B", WORKDAY(Main[[#This Row],[Tech Start Date]],15),IF(Main[[#This Row],[Class]]="A",WORKDAY(Main[[#This Row],[Tech Start Date]],5),""))))</f>
        <v/>
      </c>
      <c r="P151" s="104" t="str">
        <f>IF(Main[[#This Row],[Tech Start Date]]&lt;1/1/1990,"",IF(Main[[#This Row],[Class]]="C",WORKDAY(Main[[#This Row],[Tech Start Date]],28),IF(Main[[#This Row],[Class]]="B", WORKDAY(Main[[#This Row],[Tech Start Date]],19),IF(Main[[#This Row],[Class]]="A",WORKDAY(Main[[#This Row],[Tech Start Date]],9),""))))</f>
        <v/>
      </c>
      <c r="Q151" s="101">
        <v>40781</v>
      </c>
      <c r="R151" s="101"/>
      <c r="S151" s="99" t="s">
        <v>6</v>
      </c>
      <c r="T151" s="107" t="s">
        <v>4</v>
      </c>
      <c r="U151" s="99" t="s">
        <v>7</v>
      </c>
      <c r="V151" s="99" t="s">
        <v>1962</v>
      </c>
      <c r="W151" s="99" t="s">
        <v>4</v>
      </c>
    </row>
    <row r="152" spans="1:23" ht="18.600000000000001" customHeight="1">
      <c r="A152" s="123" t="str">
        <f>IF(priority(Main[[#This Row],[Comments]])&lt;&gt;0, priority(Main[[#This Row],[Comments]]),"")</f>
        <v/>
      </c>
      <c r="B152" s="127" t="s">
        <v>1085</v>
      </c>
      <c r="C152" s="99" t="s">
        <v>4</v>
      </c>
      <c r="D152" s="100" t="s">
        <v>85</v>
      </c>
      <c r="E152" s="101"/>
      <c r="F152" s="101"/>
      <c r="G152" s="102" t="str">
        <f>IF(stdProdLT(Main[[#This Row],[Comments]])=0.1,"N/A",IF(stdProdLT(Main[[#This Row],[Comments]])=0,"",stdProdLT(Main[[#This Row],[Comments]])))</f>
        <v/>
      </c>
      <c r="H152" s="103" t="str">
        <f>IF(AND(Main[[#This Row],[In Stock Date]]&lt;&gt;"",Main[[#This Row],[Revised Due Date]]&lt;&gt;""),Main[[#This Row],[In Stock Date]]-Main[[#This Row],[Revised Due Date]],"")</f>
        <v/>
      </c>
      <c r="I152" s="99" t="s">
        <v>4</v>
      </c>
      <c r="J152" s="99" t="s">
        <v>4</v>
      </c>
      <c r="K152" s="99" t="s">
        <v>4</v>
      </c>
      <c r="L152" s="101"/>
      <c r="M152" s="104" t="str">
        <f>IF(Main[[#This Row],[Tech Start Date]]&lt;1/1/1990,"",IF(Main[[#This Row],[Class]]="C",WORKDAY(Main[[#This Row],[Tech Start Date]],9),IF(Main[[#This Row],[Class]]="B", WORKDAY(Main[[#This Row],[Tech Start Date]],6),IF(Main[[#This Row],[Class]]="A",WORKDAY(Main[[#This Row],[Tech Start Date]],2),""))))</f>
        <v/>
      </c>
      <c r="N152" s="104" t="str">
        <f>IF(Main[[#This Row],[Tech Start Date]]&lt;1/1/1990,"",IF(Main[[#This Row],[Class]]="C",WORKDAY(Main[[#This Row],[Tech Start Date]],19),IF(Main[[#This Row],[Class]]="B", WORKDAY(Main[[#This Row],[Tech Start Date]],12),IF(Main[[#This Row],[Class]]="A",WORKDAY(Main[[#This Row],[Tech Start Date]],4),""))))</f>
        <v/>
      </c>
      <c r="O152" s="104" t="str">
        <f>IF(Main[[#This Row],[Tech Start Date]]&lt;1/1/1990,"",IF(Main[[#This Row],[Class]]="C",WORKDAY(Main[[#This Row],[Tech Start Date]],23),IF(Main[[#This Row],[Class]]="B", WORKDAY(Main[[#This Row],[Tech Start Date]],15),IF(Main[[#This Row],[Class]]="A",WORKDAY(Main[[#This Row],[Tech Start Date]],5),""))))</f>
        <v/>
      </c>
      <c r="P152" s="104" t="str">
        <f>IF(Main[[#This Row],[Tech Start Date]]&lt;1/1/1990,"",IF(Main[[#This Row],[Class]]="C",WORKDAY(Main[[#This Row],[Tech Start Date]],28),IF(Main[[#This Row],[Class]]="B", WORKDAY(Main[[#This Row],[Tech Start Date]],19),IF(Main[[#This Row],[Class]]="A",WORKDAY(Main[[#This Row],[Tech Start Date]],9),""))))</f>
        <v/>
      </c>
      <c r="Q152" s="101"/>
      <c r="R152" s="101"/>
      <c r="S152" s="99" t="s">
        <v>6</v>
      </c>
      <c r="T152" s="107" t="s">
        <v>4</v>
      </c>
      <c r="U152" s="99" t="s">
        <v>14</v>
      </c>
      <c r="V152" s="99" t="s">
        <v>1963</v>
      </c>
      <c r="W152" s="99" t="s">
        <v>1966</v>
      </c>
    </row>
    <row r="153" spans="1:23" ht="18.600000000000001" customHeight="1">
      <c r="A153" s="123" t="str">
        <f>IF(priority(Main[[#This Row],[Comments]])&lt;&gt;0, priority(Main[[#This Row],[Comments]]),"")</f>
        <v/>
      </c>
      <c r="B153" s="127" t="s">
        <v>1630</v>
      </c>
      <c r="C153" s="99" t="s">
        <v>4</v>
      </c>
      <c r="D153" s="100" t="s">
        <v>2633</v>
      </c>
      <c r="E153" s="101">
        <v>40352.416608796295</v>
      </c>
      <c r="F153" s="101"/>
      <c r="G153" s="102" t="str">
        <f>IF(stdProdLT(Main[[#This Row],[Comments]])=0.1,"N/A",IF(stdProdLT(Main[[#This Row],[Comments]])=0,"",stdProdLT(Main[[#This Row],[Comments]])))</f>
        <v/>
      </c>
      <c r="H153" s="103" t="str">
        <f>IF(AND(Main[[#This Row],[In Stock Date]]&lt;&gt;"",Main[[#This Row],[Revised Due Date]]&lt;&gt;""),Main[[#This Row],[In Stock Date]]-Main[[#This Row],[Revised Due Date]],"")</f>
        <v/>
      </c>
      <c r="I153" s="99" t="s">
        <v>719</v>
      </c>
      <c r="J153" s="99" t="s">
        <v>28</v>
      </c>
      <c r="K153" s="99" t="s">
        <v>1974</v>
      </c>
      <c r="L153" s="101"/>
      <c r="M153" s="104" t="str">
        <f>IF(Main[[#This Row],[Tech Start Date]]&lt;1/1/1990,"",IF(Main[[#This Row],[Class]]="C",WORKDAY(Main[[#This Row],[Tech Start Date]],9),IF(Main[[#This Row],[Class]]="B", WORKDAY(Main[[#This Row],[Tech Start Date]],6),IF(Main[[#This Row],[Class]]="A",WORKDAY(Main[[#This Row],[Tech Start Date]],2),""))))</f>
        <v/>
      </c>
      <c r="N153" s="104" t="str">
        <f>IF(Main[[#This Row],[Tech Start Date]]&lt;1/1/1990,"",IF(Main[[#This Row],[Class]]="C",WORKDAY(Main[[#This Row],[Tech Start Date]],19),IF(Main[[#This Row],[Class]]="B", WORKDAY(Main[[#This Row],[Tech Start Date]],12),IF(Main[[#This Row],[Class]]="A",WORKDAY(Main[[#This Row],[Tech Start Date]],4),""))))</f>
        <v/>
      </c>
      <c r="O153" s="104" t="str">
        <f>IF(Main[[#This Row],[Tech Start Date]]&lt;1/1/1990,"",IF(Main[[#This Row],[Class]]="C",WORKDAY(Main[[#This Row],[Tech Start Date]],23),IF(Main[[#This Row],[Class]]="B", WORKDAY(Main[[#This Row],[Tech Start Date]],15),IF(Main[[#This Row],[Class]]="A",WORKDAY(Main[[#This Row],[Tech Start Date]],5),""))))</f>
        <v/>
      </c>
      <c r="P153" s="104" t="str">
        <f>IF(Main[[#This Row],[Tech Start Date]]&lt;1/1/1990,"",IF(Main[[#This Row],[Class]]="C",WORKDAY(Main[[#This Row],[Tech Start Date]],28),IF(Main[[#This Row],[Class]]="B", WORKDAY(Main[[#This Row],[Tech Start Date]],19),IF(Main[[#This Row],[Class]]="A",WORKDAY(Main[[#This Row],[Tech Start Date]],9),""))))</f>
        <v/>
      </c>
      <c r="Q153" s="101">
        <v>40387</v>
      </c>
      <c r="R153" s="101">
        <v>41011</v>
      </c>
      <c r="S153" s="99" t="s">
        <v>17</v>
      </c>
      <c r="T153" s="107" t="s">
        <v>2634</v>
      </c>
      <c r="U153" s="99" t="s">
        <v>29</v>
      </c>
      <c r="V153" s="99" t="s">
        <v>1962</v>
      </c>
      <c r="W153" s="99" t="s">
        <v>1967</v>
      </c>
    </row>
    <row r="154" spans="1:23" ht="18.600000000000001" customHeight="1">
      <c r="A154" s="123" t="str">
        <f>IF(priority(Main[[#This Row],[Comments]])&lt;&gt;0, priority(Main[[#This Row],[Comments]]),"")</f>
        <v/>
      </c>
      <c r="B154" s="127" t="s">
        <v>1913</v>
      </c>
      <c r="C154" s="99" t="s">
        <v>4</v>
      </c>
      <c r="D154" s="100" t="s">
        <v>2635</v>
      </c>
      <c r="E154" s="101">
        <v>40352.443437499998</v>
      </c>
      <c r="F154" s="101"/>
      <c r="G154" s="102" t="str">
        <f>IF(stdProdLT(Main[[#This Row],[Comments]])=0.1,"N/A",IF(stdProdLT(Main[[#This Row],[Comments]])=0,"",stdProdLT(Main[[#This Row],[Comments]])))</f>
        <v/>
      </c>
      <c r="H154" s="103" t="str">
        <f>IF(AND(Main[[#This Row],[In Stock Date]]&lt;&gt;"",Main[[#This Row],[Revised Due Date]]&lt;&gt;""),Main[[#This Row],[In Stock Date]]-Main[[#This Row],[Revised Due Date]],"")</f>
        <v/>
      </c>
      <c r="I154" s="99" t="s">
        <v>719</v>
      </c>
      <c r="J154" s="99" t="s">
        <v>28</v>
      </c>
      <c r="K154" s="99" t="s">
        <v>1974</v>
      </c>
      <c r="L154" s="101"/>
      <c r="M154" s="104" t="str">
        <f>IF(Main[[#This Row],[Tech Start Date]]&lt;1/1/1990,"",IF(Main[[#This Row],[Class]]="C",WORKDAY(Main[[#This Row],[Tech Start Date]],9),IF(Main[[#This Row],[Class]]="B", WORKDAY(Main[[#This Row],[Tech Start Date]],6),IF(Main[[#This Row],[Class]]="A",WORKDAY(Main[[#This Row],[Tech Start Date]],2),""))))</f>
        <v/>
      </c>
      <c r="N154" s="104" t="str">
        <f>IF(Main[[#This Row],[Tech Start Date]]&lt;1/1/1990,"",IF(Main[[#This Row],[Class]]="C",WORKDAY(Main[[#This Row],[Tech Start Date]],19),IF(Main[[#This Row],[Class]]="B", WORKDAY(Main[[#This Row],[Tech Start Date]],12),IF(Main[[#This Row],[Class]]="A",WORKDAY(Main[[#This Row],[Tech Start Date]],4),""))))</f>
        <v/>
      </c>
      <c r="O154" s="104" t="str">
        <f>IF(Main[[#This Row],[Tech Start Date]]&lt;1/1/1990,"",IF(Main[[#This Row],[Class]]="C",WORKDAY(Main[[#This Row],[Tech Start Date]],23),IF(Main[[#This Row],[Class]]="B", WORKDAY(Main[[#This Row],[Tech Start Date]],15),IF(Main[[#This Row],[Class]]="A",WORKDAY(Main[[#This Row],[Tech Start Date]],5),""))))</f>
        <v/>
      </c>
      <c r="P154" s="104" t="str">
        <f>IF(Main[[#This Row],[Tech Start Date]]&lt;1/1/1990,"",IF(Main[[#This Row],[Class]]="C",WORKDAY(Main[[#This Row],[Tech Start Date]],28),IF(Main[[#This Row],[Class]]="B", WORKDAY(Main[[#This Row],[Tech Start Date]],19),IF(Main[[#This Row],[Class]]="A",WORKDAY(Main[[#This Row],[Tech Start Date]],9),""))))</f>
        <v/>
      </c>
      <c r="Q154" s="101">
        <v>40633</v>
      </c>
      <c r="R154" s="101">
        <v>41060</v>
      </c>
      <c r="S154" s="99" t="s">
        <v>17</v>
      </c>
      <c r="T154" s="107" t="s">
        <v>2636</v>
      </c>
      <c r="U154" s="99" t="s">
        <v>29</v>
      </c>
      <c r="V154" s="99" t="s">
        <v>1962</v>
      </c>
      <c r="W154" s="99" t="s">
        <v>1967</v>
      </c>
    </row>
    <row r="155" spans="1:23" ht="18.600000000000001" customHeight="1">
      <c r="A155" s="123" t="str">
        <f>IF(priority(Main[[#This Row],[Comments]])&lt;&gt;0, priority(Main[[#This Row],[Comments]]),"")</f>
        <v/>
      </c>
      <c r="B155" s="127" t="s">
        <v>2410</v>
      </c>
      <c r="C155" s="99" t="s">
        <v>4</v>
      </c>
      <c r="D155" s="100" t="s">
        <v>2411</v>
      </c>
      <c r="E155" s="101">
        <v>40828.669305555559</v>
      </c>
      <c r="F155" s="101"/>
      <c r="G155" s="102" t="str">
        <f>IF(stdProdLT(Main[[#This Row],[Comments]])=0.1,"N/A",IF(stdProdLT(Main[[#This Row],[Comments]])=0,"",stdProdLT(Main[[#This Row],[Comments]])))</f>
        <v/>
      </c>
      <c r="H155" s="103" t="str">
        <f>IF(AND(Main[[#This Row],[In Stock Date]]&lt;&gt;"",Main[[#This Row],[Revised Due Date]]&lt;&gt;""),Main[[#This Row],[In Stock Date]]-Main[[#This Row],[Revised Due Date]],"")</f>
        <v/>
      </c>
      <c r="I155" s="99" t="s">
        <v>4</v>
      </c>
      <c r="J155" s="99" t="s">
        <v>4</v>
      </c>
      <c r="K155" s="99" t="s">
        <v>4</v>
      </c>
      <c r="L155" s="101"/>
      <c r="M155" s="104" t="str">
        <f>IF(Main[[#This Row],[Tech Start Date]]&lt;1/1/1990,"",IF(Main[[#This Row],[Class]]="C",WORKDAY(Main[[#This Row],[Tech Start Date]],9),IF(Main[[#This Row],[Class]]="B", WORKDAY(Main[[#This Row],[Tech Start Date]],6),IF(Main[[#This Row],[Class]]="A",WORKDAY(Main[[#This Row],[Tech Start Date]],2),""))))</f>
        <v/>
      </c>
      <c r="N155" s="104" t="str">
        <f>IF(Main[[#This Row],[Tech Start Date]]&lt;1/1/1990,"",IF(Main[[#This Row],[Class]]="C",WORKDAY(Main[[#This Row],[Tech Start Date]],19),IF(Main[[#This Row],[Class]]="B", WORKDAY(Main[[#This Row],[Tech Start Date]],12),IF(Main[[#This Row],[Class]]="A",WORKDAY(Main[[#This Row],[Tech Start Date]],4),""))))</f>
        <v/>
      </c>
      <c r="O155" s="104" t="str">
        <f>IF(Main[[#This Row],[Tech Start Date]]&lt;1/1/1990,"",IF(Main[[#This Row],[Class]]="C",WORKDAY(Main[[#This Row],[Tech Start Date]],23),IF(Main[[#This Row],[Class]]="B", WORKDAY(Main[[#This Row],[Tech Start Date]],15),IF(Main[[#This Row],[Class]]="A",WORKDAY(Main[[#This Row],[Tech Start Date]],5),""))))</f>
        <v/>
      </c>
      <c r="P155" s="104" t="str">
        <f>IF(Main[[#This Row],[Tech Start Date]]&lt;1/1/1990,"",IF(Main[[#This Row],[Class]]="C",WORKDAY(Main[[#This Row],[Tech Start Date]],28),IF(Main[[#This Row],[Class]]="B", WORKDAY(Main[[#This Row],[Tech Start Date]],19),IF(Main[[#This Row],[Class]]="A",WORKDAY(Main[[#This Row],[Tech Start Date]],9),""))))</f>
        <v/>
      </c>
      <c r="Q155" s="101"/>
      <c r="R155" s="101"/>
      <c r="S155" s="99" t="s">
        <v>6</v>
      </c>
      <c r="T155" s="107" t="s">
        <v>4</v>
      </c>
      <c r="U155" s="99" t="s">
        <v>29</v>
      </c>
      <c r="V155" s="99" t="s">
        <v>1962</v>
      </c>
      <c r="W155" s="99" t="s">
        <v>1966</v>
      </c>
    </row>
    <row r="156" spans="1:23" ht="18.600000000000001" customHeight="1">
      <c r="A156" s="123" t="str">
        <f>IF(priority(Main[[#This Row],[Comments]])&lt;&gt;0, priority(Main[[#This Row],[Comments]]),"")</f>
        <v/>
      </c>
      <c r="B156" s="127" t="s">
        <v>1046</v>
      </c>
      <c r="C156" s="99" t="s">
        <v>26</v>
      </c>
      <c r="D156" s="100" t="s">
        <v>27</v>
      </c>
      <c r="E156" s="101"/>
      <c r="F156" s="101">
        <v>40563</v>
      </c>
      <c r="G156" s="102" t="str">
        <f>IF(stdProdLT(Main[[#This Row],[Comments]])=0.1,"N/A",IF(stdProdLT(Main[[#This Row],[Comments]])=0,"",stdProdLT(Main[[#This Row],[Comments]])))</f>
        <v/>
      </c>
      <c r="H156" s="103" t="str">
        <f>IF(AND(Main[[#This Row],[In Stock Date]]&lt;&gt;"",Main[[#This Row],[Revised Due Date]]&lt;&gt;""),Main[[#This Row],[In Stock Date]]-Main[[#This Row],[Revised Due Date]],"")</f>
        <v/>
      </c>
      <c r="I156" s="99" t="s">
        <v>4</v>
      </c>
      <c r="J156" s="99" t="s">
        <v>28</v>
      </c>
      <c r="K156" s="108" t="s">
        <v>1969</v>
      </c>
      <c r="L156" s="101"/>
      <c r="M156" s="104" t="str">
        <f>IF(Main[[#This Row],[Tech Start Date]]&lt;1/1/1990,"",IF(Main[[#This Row],[Class]]="C",WORKDAY(Main[[#This Row],[Tech Start Date]],9),IF(Main[[#This Row],[Class]]="B", WORKDAY(Main[[#This Row],[Tech Start Date]],6),IF(Main[[#This Row],[Class]]="A",WORKDAY(Main[[#This Row],[Tech Start Date]],2),""))))</f>
        <v/>
      </c>
      <c r="N156" s="104" t="str">
        <f>IF(Main[[#This Row],[Tech Start Date]]&lt;1/1/1990,"",IF(Main[[#This Row],[Class]]="C",WORKDAY(Main[[#This Row],[Tech Start Date]],19),IF(Main[[#This Row],[Class]]="B", WORKDAY(Main[[#This Row],[Tech Start Date]],12),IF(Main[[#This Row],[Class]]="A",WORKDAY(Main[[#This Row],[Tech Start Date]],4),""))))</f>
        <v/>
      </c>
      <c r="O156" s="104" t="str">
        <f>IF(Main[[#This Row],[Tech Start Date]]&lt;1/1/1990,"",IF(Main[[#This Row],[Class]]="C",WORKDAY(Main[[#This Row],[Tech Start Date]],23),IF(Main[[#This Row],[Class]]="B", WORKDAY(Main[[#This Row],[Tech Start Date]],15),IF(Main[[#This Row],[Class]]="A",WORKDAY(Main[[#This Row],[Tech Start Date]],5),""))))</f>
        <v/>
      </c>
      <c r="P156" s="104" t="str">
        <f>IF(Main[[#This Row],[Tech Start Date]]&lt;1/1/1990,"",IF(Main[[#This Row],[Class]]="C",WORKDAY(Main[[#This Row],[Tech Start Date]],28),IF(Main[[#This Row],[Class]]="B", WORKDAY(Main[[#This Row],[Tech Start Date]],19),IF(Main[[#This Row],[Class]]="A",WORKDAY(Main[[#This Row],[Tech Start Date]],9),""))))</f>
        <v/>
      </c>
      <c r="Q156" s="101">
        <v>40563</v>
      </c>
      <c r="R156" s="101"/>
      <c r="S156" s="99" t="s">
        <v>11</v>
      </c>
      <c r="T156" s="107" t="s">
        <v>4</v>
      </c>
      <c r="U156" s="99" t="s">
        <v>14</v>
      </c>
      <c r="V156" s="99" t="s">
        <v>1963</v>
      </c>
      <c r="W156" s="99" t="s">
        <v>1964</v>
      </c>
    </row>
    <row r="157" spans="1:23" ht="18.600000000000001" customHeight="1">
      <c r="A157" s="123" t="str">
        <f>IF(priority(Main[[#This Row],[Comments]])&lt;&gt;0, priority(Main[[#This Row],[Comments]]),"")</f>
        <v/>
      </c>
      <c r="B157" s="127" t="s">
        <v>1982</v>
      </c>
      <c r="C157" s="99" t="s">
        <v>4</v>
      </c>
      <c r="D157" s="100" t="s">
        <v>1983</v>
      </c>
      <c r="E157" s="101"/>
      <c r="F157" s="101">
        <v>40309</v>
      </c>
      <c r="G157" s="102" t="str">
        <f>IF(stdProdLT(Main[[#This Row],[Comments]])=0.1,"N/A",IF(stdProdLT(Main[[#This Row],[Comments]])=0,"",stdProdLT(Main[[#This Row],[Comments]])))</f>
        <v/>
      </c>
      <c r="H157" s="103" t="str">
        <f>IF(AND(Main[[#This Row],[In Stock Date]]&lt;&gt;"",Main[[#This Row],[Revised Due Date]]&lt;&gt;""),Main[[#This Row],[In Stock Date]]-Main[[#This Row],[Revised Due Date]],"")</f>
        <v/>
      </c>
      <c r="I157" s="99" t="s">
        <v>4</v>
      </c>
      <c r="J157" s="99" t="s">
        <v>4</v>
      </c>
      <c r="K157" s="99" t="s">
        <v>4</v>
      </c>
      <c r="L157" s="101"/>
      <c r="M157" s="104" t="str">
        <f>IF(Main[[#This Row],[Tech Start Date]]&lt;1/1/1990,"",IF(Main[[#This Row],[Class]]="C",WORKDAY(Main[[#This Row],[Tech Start Date]],9),IF(Main[[#This Row],[Class]]="B", WORKDAY(Main[[#This Row],[Tech Start Date]],6),IF(Main[[#This Row],[Class]]="A",WORKDAY(Main[[#This Row],[Tech Start Date]],2),""))))</f>
        <v/>
      </c>
      <c r="N157" s="104" t="str">
        <f>IF(Main[[#This Row],[Tech Start Date]]&lt;1/1/1990,"",IF(Main[[#This Row],[Class]]="C",WORKDAY(Main[[#This Row],[Tech Start Date]],19),IF(Main[[#This Row],[Class]]="B", WORKDAY(Main[[#This Row],[Tech Start Date]],12),IF(Main[[#This Row],[Class]]="A",WORKDAY(Main[[#This Row],[Tech Start Date]],4),""))))</f>
        <v/>
      </c>
      <c r="O157" s="104" t="str">
        <f>IF(Main[[#This Row],[Tech Start Date]]&lt;1/1/1990,"",IF(Main[[#This Row],[Class]]="C",WORKDAY(Main[[#This Row],[Tech Start Date]],23),IF(Main[[#This Row],[Class]]="B", WORKDAY(Main[[#This Row],[Tech Start Date]],15),IF(Main[[#This Row],[Class]]="A",WORKDAY(Main[[#This Row],[Tech Start Date]],5),""))))</f>
        <v/>
      </c>
      <c r="P157" s="104" t="str">
        <f>IF(Main[[#This Row],[Tech Start Date]]&lt;1/1/1990,"",IF(Main[[#This Row],[Class]]="C",WORKDAY(Main[[#This Row],[Tech Start Date]],28),IF(Main[[#This Row],[Class]]="B", WORKDAY(Main[[#This Row],[Tech Start Date]],19),IF(Main[[#This Row],[Class]]="A",WORKDAY(Main[[#This Row],[Tech Start Date]],9),""))))</f>
        <v/>
      </c>
      <c r="Q157" s="101">
        <v>40305</v>
      </c>
      <c r="R157" s="101"/>
      <c r="S157" s="99" t="s">
        <v>6</v>
      </c>
      <c r="T157" s="107" t="s">
        <v>4</v>
      </c>
      <c r="U157" s="99" t="s">
        <v>14</v>
      </c>
      <c r="V157" s="99" t="s">
        <v>1962</v>
      </c>
      <c r="W157" s="99" t="s">
        <v>1970</v>
      </c>
    </row>
    <row r="158" spans="1:23" ht="18.600000000000001" customHeight="1">
      <c r="A158" s="123" t="str">
        <f>IF(priority(Main[[#This Row],[Comments]])&lt;&gt;0, priority(Main[[#This Row],[Comments]]),"")</f>
        <v/>
      </c>
      <c r="B158" s="127" t="s">
        <v>1047</v>
      </c>
      <c r="C158" s="99" t="s">
        <v>4</v>
      </c>
      <c r="D158" s="100" t="s">
        <v>1996</v>
      </c>
      <c r="E158" s="101">
        <v>40130.654374999998</v>
      </c>
      <c r="F158" s="101"/>
      <c r="G158" s="102" t="str">
        <f>IF(stdProdLT(Main[[#This Row],[Comments]])=0.1,"N/A",IF(stdProdLT(Main[[#This Row],[Comments]])=0,"",stdProdLT(Main[[#This Row],[Comments]])))</f>
        <v/>
      </c>
      <c r="H158" s="103" t="str">
        <f>IF(AND(Main[[#This Row],[In Stock Date]]&lt;&gt;"",Main[[#This Row],[Revised Due Date]]&lt;&gt;""),Main[[#This Row],[In Stock Date]]-Main[[#This Row],[Revised Due Date]],"")</f>
        <v/>
      </c>
      <c r="I158" s="99" t="s">
        <v>4</v>
      </c>
      <c r="J158" s="99" t="s">
        <v>4</v>
      </c>
      <c r="K158" s="99" t="s">
        <v>4</v>
      </c>
      <c r="L158" s="101"/>
      <c r="M158" s="104" t="str">
        <f>IF(Main[[#This Row],[Tech Start Date]]&lt;1/1/1990,"",IF(Main[[#This Row],[Class]]="C",WORKDAY(Main[[#This Row],[Tech Start Date]],9),IF(Main[[#This Row],[Class]]="B", WORKDAY(Main[[#This Row],[Tech Start Date]],6),IF(Main[[#This Row],[Class]]="A",WORKDAY(Main[[#This Row],[Tech Start Date]],2),""))))</f>
        <v/>
      </c>
      <c r="N158" s="104" t="str">
        <f>IF(Main[[#This Row],[Tech Start Date]]&lt;1/1/1990,"",IF(Main[[#This Row],[Class]]="C",WORKDAY(Main[[#This Row],[Tech Start Date]],19),IF(Main[[#This Row],[Class]]="B", WORKDAY(Main[[#This Row],[Tech Start Date]],12),IF(Main[[#This Row],[Class]]="A",WORKDAY(Main[[#This Row],[Tech Start Date]],4),""))))</f>
        <v/>
      </c>
      <c r="O158" s="104" t="str">
        <f>IF(Main[[#This Row],[Tech Start Date]]&lt;1/1/1990,"",IF(Main[[#This Row],[Class]]="C",WORKDAY(Main[[#This Row],[Tech Start Date]],23),IF(Main[[#This Row],[Class]]="B", WORKDAY(Main[[#This Row],[Tech Start Date]],15),IF(Main[[#This Row],[Class]]="A",WORKDAY(Main[[#This Row],[Tech Start Date]],5),""))))</f>
        <v/>
      </c>
      <c r="P158" s="104" t="str">
        <f>IF(Main[[#This Row],[Tech Start Date]]&lt;1/1/1990,"",IF(Main[[#This Row],[Class]]="C",WORKDAY(Main[[#This Row],[Tech Start Date]],28),IF(Main[[#This Row],[Class]]="B", WORKDAY(Main[[#This Row],[Tech Start Date]],19),IF(Main[[#This Row],[Class]]="A",WORKDAY(Main[[#This Row],[Tech Start Date]],9),""))))</f>
        <v/>
      </c>
      <c r="Q158" s="101"/>
      <c r="R158" s="101"/>
      <c r="S158" s="99" t="s">
        <v>6</v>
      </c>
      <c r="T158" s="107" t="s">
        <v>4</v>
      </c>
      <c r="U158" s="99" t="s">
        <v>29</v>
      </c>
      <c r="V158" s="99" t="s">
        <v>1962</v>
      </c>
      <c r="W158" s="99" t="s">
        <v>1970</v>
      </c>
    </row>
    <row r="159" spans="1:23" ht="18.600000000000001" customHeight="1">
      <c r="A159" s="123" t="str">
        <f>IF(priority(Main[[#This Row],[Comments]])&lt;&gt;0, priority(Main[[#This Row],[Comments]]),"")</f>
        <v/>
      </c>
      <c r="B159" s="127" t="s">
        <v>1049</v>
      </c>
      <c r="C159" s="99" t="s">
        <v>31</v>
      </c>
      <c r="D159" s="100" t="s">
        <v>32</v>
      </c>
      <c r="E159" s="101"/>
      <c r="F159" s="101">
        <v>40634</v>
      </c>
      <c r="G159" s="102" t="str">
        <f>IF(stdProdLT(Main[[#This Row],[Comments]])=0.1,"N/A",IF(stdProdLT(Main[[#This Row],[Comments]])=0,"",stdProdLT(Main[[#This Row],[Comments]])))</f>
        <v/>
      </c>
      <c r="H159" s="103" t="str">
        <f>IF(AND(Main[[#This Row],[In Stock Date]]&lt;&gt;"",Main[[#This Row],[Revised Due Date]]&lt;&gt;""),Main[[#This Row],[In Stock Date]]-Main[[#This Row],[Revised Due Date]],"")</f>
        <v/>
      </c>
      <c r="I159" s="99" t="s">
        <v>4</v>
      </c>
      <c r="J159" s="99" t="s">
        <v>4</v>
      </c>
      <c r="K159" s="99" t="s">
        <v>4</v>
      </c>
      <c r="L159" s="101"/>
      <c r="M159" s="104" t="str">
        <f>IF(Main[[#This Row],[Tech Start Date]]&lt;1/1/1990,"",IF(Main[[#This Row],[Class]]="C",WORKDAY(Main[[#This Row],[Tech Start Date]],9),IF(Main[[#This Row],[Class]]="B", WORKDAY(Main[[#This Row],[Tech Start Date]],6),IF(Main[[#This Row],[Class]]="A",WORKDAY(Main[[#This Row],[Tech Start Date]],2),""))))</f>
        <v/>
      </c>
      <c r="N159" s="104" t="str">
        <f>IF(Main[[#This Row],[Tech Start Date]]&lt;1/1/1990,"",IF(Main[[#This Row],[Class]]="C",WORKDAY(Main[[#This Row],[Tech Start Date]],19),IF(Main[[#This Row],[Class]]="B", WORKDAY(Main[[#This Row],[Tech Start Date]],12),IF(Main[[#This Row],[Class]]="A",WORKDAY(Main[[#This Row],[Tech Start Date]],4),""))))</f>
        <v/>
      </c>
      <c r="O159" s="104" t="str">
        <f>IF(Main[[#This Row],[Tech Start Date]]&lt;1/1/1990,"",IF(Main[[#This Row],[Class]]="C",WORKDAY(Main[[#This Row],[Tech Start Date]],23),IF(Main[[#This Row],[Class]]="B", WORKDAY(Main[[#This Row],[Tech Start Date]],15),IF(Main[[#This Row],[Class]]="A",WORKDAY(Main[[#This Row],[Tech Start Date]],5),""))))</f>
        <v/>
      </c>
      <c r="P159" s="104" t="str">
        <f>IF(Main[[#This Row],[Tech Start Date]]&lt;1/1/1990,"",IF(Main[[#This Row],[Class]]="C",WORKDAY(Main[[#This Row],[Tech Start Date]],28),IF(Main[[#This Row],[Class]]="B", WORKDAY(Main[[#This Row],[Tech Start Date]],19),IF(Main[[#This Row],[Class]]="A",WORKDAY(Main[[#This Row],[Tech Start Date]],9),""))))</f>
        <v/>
      </c>
      <c r="Q159" s="101"/>
      <c r="R159" s="101"/>
      <c r="S159" s="99" t="s">
        <v>11</v>
      </c>
      <c r="T159" s="107" t="s">
        <v>4</v>
      </c>
      <c r="U159" s="99" t="s">
        <v>14</v>
      </c>
      <c r="V159" s="99" t="s">
        <v>1965</v>
      </c>
      <c r="W159" s="99" t="s">
        <v>1967</v>
      </c>
    </row>
    <row r="160" spans="1:23" ht="18.600000000000001" customHeight="1">
      <c r="A160" s="123" t="str">
        <f>IF(priority(Main[[#This Row],[Comments]])&lt;&gt;0, priority(Main[[#This Row],[Comments]]),"")</f>
        <v/>
      </c>
      <c r="B160" s="127" t="s">
        <v>1050</v>
      </c>
      <c r="C160" s="99" t="s">
        <v>33</v>
      </c>
      <c r="D160" s="100" t="s">
        <v>34</v>
      </c>
      <c r="E160" s="101"/>
      <c r="F160" s="101">
        <v>40764</v>
      </c>
      <c r="G160" s="102" t="str">
        <f>IF(stdProdLT(Main[[#This Row],[Comments]])=0.1,"N/A",IF(stdProdLT(Main[[#This Row],[Comments]])=0,"",stdProdLT(Main[[#This Row],[Comments]])))</f>
        <v/>
      </c>
      <c r="H160" s="103" t="str">
        <f>IF(AND(Main[[#This Row],[In Stock Date]]&lt;&gt;"",Main[[#This Row],[Revised Due Date]]&lt;&gt;""),Main[[#This Row],[In Stock Date]]-Main[[#This Row],[Revised Due Date]],"")</f>
        <v/>
      </c>
      <c r="I160" s="99" t="s">
        <v>4</v>
      </c>
      <c r="J160" s="99" t="s">
        <v>28</v>
      </c>
      <c r="K160" s="99" t="s">
        <v>1969</v>
      </c>
      <c r="L160" s="101"/>
      <c r="M160" s="104" t="str">
        <f>IF(Main[[#This Row],[Tech Start Date]]&lt;1/1/1990,"",IF(Main[[#This Row],[Class]]="C",WORKDAY(Main[[#This Row],[Tech Start Date]],9),IF(Main[[#This Row],[Class]]="B", WORKDAY(Main[[#This Row],[Tech Start Date]],6),IF(Main[[#This Row],[Class]]="A",WORKDAY(Main[[#This Row],[Tech Start Date]],2),""))))</f>
        <v/>
      </c>
      <c r="N160" s="104" t="str">
        <f>IF(Main[[#This Row],[Tech Start Date]]&lt;1/1/1990,"",IF(Main[[#This Row],[Class]]="C",WORKDAY(Main[[#This Row],[Tech Start Date]],19),IF(Main[[#This Row],[Class]]="B", WORKDAY(Main[[#This Row],[Tech Start Date]],12),IF(Main[[#This Row],[Class]]="A",WORKDAY(Main[[#This Row],[Tech Start Date]],4),""))))</f>
        <v/>
      </c>
      <c r="O160" s="104" t="str">
        <f>IF(Main[[#This Row],[Tech Start Date]]&lt;1/1/1990,"",IF(Main[[#This Row],[Class]]="C",WORKDAY(Main[[#This Row],[Tech Start Date]],23),IF(Main[[#This Row],[Class]]="B", WORKDAY(Main[[#This Row],[Tech Start Date]],15),IF(Main[[#This Row],[Class]]="A",WORKDAY(Main[[#This Row],[Tech Start Date]],5),""))))</f>
        <v/>
      </c>
      <c r="P160" s="104" t="str">
        <f>IF(Main[[#This Row],[Tech Start Date]]&lt;1/1/1990,"",IF(Main[[#This Row],[Class]]="C",WORKDAY(Main[[#This Row],[Tech Start Date]],28),IF(Main[[#This Row],[Class]]="B", WORKDAY(Main[[#This Row],[Tech Start Date]],19),IF(Main[[#This Row],[Class]]="A",WORKDAY(Main[[#This Row],[Tech Start Date]],9),""))))</f>
        <v/>
      </c>
      <c r="Q160" s="101">
        <v>40568</v>
      </c>
      <c r="R160" s="101"/>
      <c r="S160" s="99" t="s">
        <v>11</v>
      </c>
      <c r="T160" s="107" t="s">
        <v>4</v>
      </c>
      <c r="U160" s="99" t="s">
        <v>14</v>
      </c>
      <c r="V160" s="99" t="s">
        <v>1962</v>
      </c>
      <c r="W160" s="99" t="s">
        <v>1970</v>
      </c>
    </row>
    <row r="161" spans="1:23" ht="18.600000000000001" customHeight="1">
      <c r="A161" s="123" t="str">
        <f>IF(priority(Main[[#This Row],[Comments]])&lt;&gt;0, priority(Main[[#This Row],[Comments]]),"")</f>
        <v/>
      </c>
      <c r="B161" s="127" t="s">
        <v>1984</v>
      </c>
      <c r="C161" s="99" t="s">
        <v>4</v>
      </c>
      <c r="D161" s="100" t="s">
        <v>35</v>
      </c>
      <c r="E161" s="101"/>
      <c r="F161" s="101"/>
      <c r="G161" s="102" t="str">
        <f>IF(stdProdLT(Main[[#This Row],[Comments]])=0.1,"N/A",IF(stdProdLT(Main[[#This Row],[Comments]])=0,"",stdProdLT(Main[[#This Row],[Comments]])))</f>
        <v/>
      </c>
      <c r="H161" s="103" t="str">
        <f>IF(AND(Main[[#This Row],[In Stock Date]]&lt;&gt;"",Main[[#This Row],[Revised Due Date]]&lt;&gt;""),Main[[#This Row],[In Stock Date]]-Main[[#This Row],[Revised Due Date]],"")</f>
        <v/>
      </c>
      <c r="I161" s="99" t="s">
        <v>4</v>
      </c>
      <c r="J161" s="99" t="s">
        <v>4</v>
      </c>
      <c r="K161" s="99" t="s">
        <v>4</v>
      </c>
      <c r="L161" s="101"/>
      <c r="M161" s="104" t="str">
        <f>IF(Main[[#This Row],[Tech Start Date]]&lt;1/1/1990,"",IF(Main[[#This Row],[Class]]="C",WORKDAY(Main[[#This Row],[Tech Start Date]],9),IF(Main[[#This Row],[Class]]="B", WORKDAY(Main[[#This Row],[Tech Start Date]],6),IF(Main[[#This Row],[Class]]="A",WORKDAY(Main[[#This Row],[Tech Start Date]],2),""))))</f>
        <v/>
      </c>
      <c r="N161" s="104" t="str">
        <f>IF(Main[[#This Row],[Tech Start Date]]&lt;1/1/1990,"",IF(Main[[#This Row],[Class]]="C",WORKDAY(Main[[#This Row],[Tech Start Date]],19),IF(Main[[#This Row],[Class]]="B", WORKDAY(Main[[#This Row],[Tech Start Date]],12),IF(Main[[#This Row],[Class]]="A",WORKDAY(Main[[#This Row],[Tech Start Date]],4),""))))</f>
        <v/>
      </c>
      <c r="O161" s="104" t="str">
        <f>IF(Main[[#This Row],[Tech Start Date]]&lt;1/1/1990,"",IF(Main[[#This Row],[Class]]="C",WORKDAY(Main[[#This Row],[Tech Start Date]],23),IF(Main[[#This Row],[Class]]="B", WORKDAY(Main[[#This Row],[Tech Start Date]],15),IF(Main[[#This Row],[Class]]="A",WORKDAY(Main[[#This Row],[Tech Start Date]],5),""))))</f>
        <v/>
      </c>
      <c r="P161" s="104" t="str">
        <f>IF(Main[[#This Row],[Tech Start Date]]&lt;1/1/1990,"",IF(Main[[#This Row],[Class]]="C",WORKDAY(Main[[#This Row],[Tech Start Date]],28),IF(Main[[#This Row],[Class]]="B", WORKDAY(Main[[#This Row],[Tech Start Date]],19),IF(Main[[#This Row],[Class]]="A",WORKDAY(Main[[#This Row],[Tech Start Date]],9),""))))</f>
        <v/>
      </c>
      <c r="Q161" s="101"/>
      <c r="R161" s="101"/>
      <c r="S161" s="99" t="s">
        <v>23</v>
      </c>
      <c r="T161" s="107" t="s">
        <v>4</v>
      </c>
      <c r="U161" s="99" t="s">
        <v>14</v>
      </c>
      <c r="V161" s="99" t="s">
        <v>1972</v>
      </c>
      <c r="W161" s="99" t="s">
        <v>1966</v>
      </c>
    </row>
    <row r="162" spans="1:23" ht="18.600000000000001" customHeight="1">
      <c r="A162" s="123" t="str">
        <f>IF(priority(Main[[#This Row],[Comments]])&lt;&gt;0, priority(Main[[#This Row],[Comments]]),"")</f>
        <v/>
      </c>
      <c r="B162" s="127" t="s">
        <v>1051</v>
      </c>
      <c r="C162" s="99" t="s">
        <v>4</v>
      </c>
      <c r="D162" s="100" t="s">
        <v>36</v>
      </c>
      <c r="E162" s="101"/>
      <c r="F162" s="101"/>
      <c r="G162" s="102" t="str">
        <f>IF(stdProdLT(Main[[#This Row],[Comments]])=0.1,"N/A",IF(stdProdLT(Main[[#This Row],[Comments]])=0,"",stdProdLT(Main[[#This Row],[Comments]])))</f>
        <v/>
      </c>
      <c r="H162" s="103" t="str">
        <f>IF(AND(Main[[#This Row],[In Stock Date]]&lt;&gt;"",Main[[#This Row],[Revised Due Date]]&lt;&gt;""),Main[[#This Row],[In Stock Date]]-Main[[#This Row],[Revised Due Date]],"")</f>
        <v/>
      </c>
      <c r="I162" s="99" t="s">
        <v>4</v>
      </c>
      <c r="J162" s="99" t="s">
        <v>4</v>
      </c>
      <c r="K162" s="99" t="s">
        <v>4</v>
      </c>
      <c r="L162" s="101"/>
      <c r="M162" s="104" t="str">
        <f>IF(Main[[#This Row],[Tech Start Date]]&lt;1/1/1990,"",IF(Main[[#This Row],[Class]]="C",WORKDAY(Main[[#This Row],[Tech Start Date]],9),IF(Main[[#This Row],[Class]]="B", WORKDAY(Main[[#This Row],[Tech Start Date]],6),IF(Main[[#This Row],[Class]]="A",WORKDAY(Main[[#This Row],[Tech Start Date]],2),""))))</f>
        <v/>
      </c>
      <c r="N162" s="104" t="str">
        <f>IF(Main[[#This Row],[Tech Start Date]]&lt;1/1/1990,"",IF(Main[[#This Row],[Class]]="C",WORKDAY(Main[[#This Row],[Tech Start Date]],19),IF(Main[[#This Row],[Class]]="B", WORKDAY(Main[[#This Row],[Tech Start Date]],12),IF(Main[[#This Row],[Class]]="A",WORKDAY(Main[[#This Row],[Tech Start Date]],4),""))))</f>
        <v/>
      </c>
      <c r="O162" s="104" t="str">
        <f>IF(Main[[#This Row],[Tech Start Date]]&lt;1/1/1990,"",IF(Main[[#This Row],[Class]]="C",WORKDAY(Main[[#This Row],[Tech Start Date]],23),IF(Main[[#This Row],[Class]]="B", WORKDAY(Main[[#This Row],[Tech Start Date]],15),IF(Main[[#This Row],[Class]]="A",WORKDAY(Main[[#This Row],[Tech Start Date]],5),""))))</f>
        <v/>
      </c>
      <c r="P162" s="104" t="str">
        <f>IF(Main[[#This Row],[Tech Start Date]]&lt;1/1/1990,"",IF(Main[[#This Row],[Class]]="C",WORKDAY(Main[[#This Row],[Tech Start Date]],28),IF(Main[[#This Row],[Class]]="B", WORKDAY(Main[[#This Row],[Tech Start Date]],19),IF(Main[[#This Row],[Class]]="A",WORKDAY(Main[[#This Row],[Tech Start Date]],9),""))))</f>
        <v/>
      </c>
      <c r="Q162" s="101">
        <v>40781</v>
      </c>
      <c r="R162" s="101"/>
      <c r="S162" s="99" t="s">
        <v>11</v>
      </c>
      <c r="T162" s="107" t="s">
        <v>4</v>
      </c>
      <c r="U162" s="99" t="s">
        <v>14</v>
      </c>
      <c r="V162" s="99" t="s">
        <v>1962</v>
      </c>
      <c r="W162" s="99" t="s">
        <v>1966</v>
      </c>
    </row>
    <row r="163" spans="1:23" ht="18.600000000000001" customHeight="1">
      <c r="A163" s="123" t="str">
        <f>IF(priority(Main[[#This Row],[Comments]])&lt;&gt;0, priority(Main[[#This Row],[Comments]]),"")</f>
        <v/>
      </c>
      <c r="B163" s="127" t="s">
        <v>1052</v>
      </c>
      <c r="C163" s="99" t="s">
        <v>26</v>
      </c>
      <c r="D163" s="100" t="s">
        <v>38</v>
      </c>
      <c r="E163" s="101"/>
      <c r="F163" s="101">
        <v>40743</v>
      </c>
      <c r="G163" s="102" t="str">
        <f>IF(stdProdLT(Main[[#This Row],[Comments]])=0.1,"N/A",IF(stdProdLT(Main[[#This Row],[Comments]])=0,"",stdProdLT(Main[[#This Row],[Comments]])))</f>
        <v/>
      </c>
      <c r="H163" s="103" t="str">
        <f>IF(AND(Main[[#This Row],[In Stock Date]]&lt;&gt;"",Main[[#This Row],[Revised Due Date]]&lt;&gt;""),Main[[#This Row],[In Stock Date]]-Main[[#This Row],[Revised Due Date]],"")</f>
        <v/>
      </c>
      <c r="I163" s="99" t="s">
        <v>4</v>
      </c>
      <c r="J163" s="99" t="s">
        <v>28</v>
      </c>
      <c r="K163" s="99" t="s">
        <v>4</v>
      </c>
      <c r="L163" s="101"/>
      <c r="M163" s="104" t="str">
        <f>IF(Main[[#This Row],[Tech Start Date]]&lt;1/1/1990,"",IF(Main[[#This Row],[Class]]="C",WORKDAY(Main[[#This Row],[Tech Start Date]],9),IF(Main[[#This Row],[Class]]="B", WORKDAY(Main[[#This Row],[Tech Start Date]],6),IF(Main[[#This Row],[Class]]="A",WORKDAY(Main[[#This Row],[Tech Start Date]],2),""))))</f>
        <v/>
      </c>
      <c r="N163" s="104" t="str">
        <f>IF(Main[[#This Row],[Tech Start Date]]&lt;1/1/1990,"",IF(Main[[#This Row],[Class]]="C",WORKDAY(Main[[#This Row],[Tech Start Date]],19),IF(Main[[#This Row],[Class]]="B", WORKDAY(Main[[#This Row],[Tech Start Date]],12),IF(Main[[#This Row],[Class]]="A",WORKDAY(Main[[#This Row],[Tech Start Date]],4),""))))</f>
        <v/>
      </c>
      <c r="O163" s="104" t="str">
        <f>IF(Main[[#This Row],[Tech Start Date]]&lt;1/1/1990,"",IF(Main[[#This Row],[Class]]="C",WORKDAY(Main[[#This Row],[Tech Start Date]],23),IF(Main[[#This Row],[Class]]="B", WORKDAY(Main[[#This Row],[Tech Start Date]],15),IF(Main[[#This Row],[Class]]="A",WORKDAY(Main[[#This Row],[Tech Start Date]],5),""))))</f>
        <v/>
      </c>
      <c r="P163" s="104" t="str">
        <f>IF(Main[[#This Row],[Tech Start Date]]&lt;1/1/1990,"",IF(Main[[#This Row],[Class]]="C",WORKDAY(Main[[#This Row],[Tech Start Date]],28),IF(Main[[#This Row],[Class]]="B", WORKDAY(Main[[#This Row],[Tech Start Date]],19),IF(Main[[#This Row],[Class]]="A",WORKDAY(Main[[#This Row],[Tech Start Date]],9),""))))</f>
        <v/>
      </c>
      <c r="Q163" s="101">
        <v>40638</v>
      </c>
      <c r="R163" s="101"/>
      <c r="S163" s="99" t="s">
        <v>11</v>
      </c>
      <c r="T163" s="107" t="s">
        <v>4</v>
      </c>
      <c r="U163" s="99" t="s">
        <v>12</v>
      </c>
      <c r="V163" s="99" t="s">
        <v>1962</v>
      </c>
      <c r="W163" s="99" t="s">
        <v>1970</v>
      </c>
    </row>
    <row r="164" spans="1:23" ht="18.600000000000001" customHeight="1">
      <c r="A164" s="123" t="str">
        <f>IF(priority(Main[[#This Row],[Comments]])&lt;&gt;0, priority(Main[[#This Row],[Comments]]),"")</f>
        <v/>
      </c>
      <c r="B164" s="127" t="s">
        <v>1053</v>
      </c>
      <c r="C164" s="99" t="s">
        <v>4</v>
      </c>
      <c r="D164" s="100" t="s">
        <v>39</v>
      </c>
      <c r="E164" s="101"/>
      <c r="F164" s="101"/>
      <c r="G164" s="102" t="str">
        <f>IF(stdProdLT(Main[[#This Row],[Comments]])=0.1,"N/A",IF(stdProdLT(Main[[#This Row],[Comments]])=0,"",stdProdLT(Main[[#This Row],[Comments]])))</f>
        <v/>
      </c>
      <c r="H164" s="103" t="str">
        <f>IF(AND(Main[[#This Row],[In Stock Date]]&lt;&gt;"",Main[[#This Row],[Revised Due Date]]&lt;&gt;""),Main[[#This Row],[In Stock Date]]-Main[[#This Row],[Revised Due Date]],"")</f>
        <v/>
      </c>
      <c r="I164" s="99" t="s">
        <v>4</v>
      </c>
      <c r="J164" s="99" t="s">
        <v>4</v>
      </c>
      <c r="K164" s="99" t="s">
        <v>4</v>
      </c>
      <c r="L164" s="101"/>
      <c r="M164" s="104" t="str">
        <f>IF(Main[[#This Row],[Tech Start Date]]&lt;1/1/1990,"",IF(Main[[#This Row],[Class]]="C",WORKDAY(Main[[#This Row],[Tech Start Date]],9),IF(Main[[#This Row],[Class]]="B", WORKDAY(Main[[#This Row],[Tech Start Date]],6),IF(Main[[#This Row],[Class]]="A",WORKDAY(Main[[#This Row],[Tech Start Date]],2),""))))</f>
        <v/>
      </c>
      <c r="N164" s="104" t="str">
        <f>IF(Main[[#This Row],[Tech Start Date]]&lt;1/1/1990,"",IF(Main[[#This Row],[Class]]="C",WORKDAY(Main[[#This Row],[Tech Start Date]],19),IF(Main[[#This Row],[Class]]="B", WORKDAY(Main[[#This Row],[Tech Start Date]],12),IF(Main[[#This Row],[Class]]="A",WORKDAY(Main[[#This Row],[Tech Start Date]],4),""))))</f>
        <v/>
      </c>
      <c r="O164" s="104" t="str">
        <f>IF(Main[[#This Row],[Tech Start Date]]&lt;1/1/1990,"",IF(Main[[#This Row],[Class]]="C",WORKDAY(Main[[#This Row],[Tech Start Date]],23),IF(Main[[#This Row],[Class]]="B", WORKDAY(Main[[#This Row],[Tech Start Date]],15),IF(Main[[#This Row],[Class]]="A",WORKDAY(Main[[#This Row],[Tech Start Date]],5),""))))</f>
        <v/>
      </c>
      <c r="P164" s="104" t="str">
        <f>IF(Main[[#This Row],[Tech Start Date]]&lt;1/1/1990,"",IF(Main[[#This Row],[Class]]="C",WORKDAY(Main[[#This Row],[Tech Start Date]],28),IF(Main[[#This Row],[Class]]="B", WORKDAY(Main[[#This Row],[Tech Start Date]],19),IF(Main[[#This Row],[Class]]="A",WORKDAY(Main[[#This Row],[Tech Start Date]],9),""))))</f>
        <v/>
      </c>
      <c r="Q164" s="101">
        <v>40669</v>
      </c>
      <c r="R164" s="101"/>
      <c r="S164" s="99" t="s">
        <v>6</v>
      </c>
      <c r="T164" s="107" t="s">
        <v>4</v>
      </c>
      <c r="U164" s="99" t="s">
        <v>14</v>
      </c>
      <c r="V164" s="99" t="s">
        <v>1965</v>
      </c>
      <c r="W164" s="99" t="s">
        <v>4</v>
      </c>
    </row>
    <row r="165" spans="1:23" ht="18.600000000000001" customHeight="1">
      <c r="A165" s="123" t="str">
        <f>IF(priority(Main[[#This Row],[Comments]])&lt;&gt;0, priority(Main[[#This Row],[Comments]]),"")</f>
        <v/>
      </c>
      <c r="B165" s="127" t="s">
        <v>1054</v>
      </c>
      <c r="C165" s="99" t="s">
        <v>4</v>
      </c>
      <c r="D165" s="100" t="s">
        <v>40</v>
      </c>
      <c r="E165" s="101"/>
      <c r="F165" s="101"/>
      <c r="G165" s="102" t="str">
        <f>IF(stdProdLT(Main[[#This Row],[Comments]])=0.1,"N/A",IF(stdProdLT(Main[[#This Row],[Comments]])=0,"",stdProdLT(Main[[#This Row],[Comments]])))</f>
        <v/>
      </c>
      <c r="H165" s="103" t="str">
        <f>IF(AND(Main[[#This Row],[In Stock Date]]&lt;&gt;"",Main[[#This Row],[Revised Due Date]]&lt;&gt;""),Main[[#This Row],[In Stock Date]]-Main[[#This Row],[Revised Due Date]],"")</f>
        <v/>
      </c>
      <c r="I165" s="99" t="s">
        <v>4</v>
      </c>
      <c r="J165" s="99" t="s">
        <v>4</v>
      </c>
      <c r="K165" s="108" t="s">
        <v>4</v>
      </c>
      <c r="L165" s="101"/>
      <c r="M165" s="104" t="str">
        <f>IF(Main[[#This Row],[Tech Start Date]]&lt;1/1/1990,"",IF(Main[[#This Row],[Class]]="C",WORKDAY(Main[[#This Row],[Tech Start Date]],9),IF(Main[[#This Row],[Class]]="B", WORKDAY(Main[[#This Row],[Tech Start Date]],6),IF(Main[[#This Row],[Class]]="A",WORKDAY(Main[[#This Row],[Tech Start Date]],2),""))))</f>
        <v/>
      </c>
      <c r="N165" s="104" t="str">
        <f>IF(Main[[#This Row],[Tech Start Date]]&lt;1/1/1990,"",IF(Main[[#This Row],[Class]]="C",WORKDAY(Main[[#This Row],[Tech Start Date]],19),IF(Main[[#This Row],[Class]]="B", WORKDAY(Main[[#This Row],[Tech Start Date]],12),IF(Main[[#This Row],[Class]]="A",WORKDAY(Main[[#This Row],[Tech Start Date]],4),""))))</f>
        <v/>
      </c>
      <c r="O165" s="104" t="str">
        <f>IF(Main[[#This Row],[Tech Start Date]]&lt;1/1/1990,"",IF(Main[[#This Row],[Class]]="C",WORKDAY(Main[[#This Row],[Tech Start Date]],23),IF(Main[[#This Row],[Class]]="B", WORKDAY(Main[[#This Row],[Tech Start Date]],15),IF(Main[[#This Row],[Class]]="A",WORKDAY(Main[[#This Row],[Tech Start Date]],5),""))))</f>
        <v/>
      </c>
      <c r="P165" s="104" t="str">
        <f>IF(Main[[#This Row],[Tech Start Date]]&lt;1/1/1990,"",IF(Main[[#This Row],[Class]]="C",WORKDAY(Main[[#This Row],[Tech Start Date]],28),IF(Main[[#This Row],[Class]]="B", WORKDAY(Main[[#This Row],[Tech Start Date]],19),IF(Main[[#This Row],[Class]]="A",WORKDAY(Main[[#This Row],[Tech Start Date]],9),""))))</f>
        <v/>
      </c>
      <c r="Q165" s="101">
        <v>40368</v>
      </c>
      <c r="R165" s="101"/>
      <c r="S165" s="99" t="s">
        <v>6</v>
      </c>
      <c r="T165" s="107" t="s">
        <v>4</v>
      </c>
      <c r="U165" s="99" t="s">
        <v>14</v>
      </c>
      <c r="V165" s="99" t="s">
        <v>1972</v>
      </c>
      <c r="W165" s="99" t="s">
        <v>1964</v>
      </c>
    </row>
    <row r="166" spans="1:23" ht="18.600000000000001" customHeight="1">
      <c r="A166" s="123" t="str">
        <f>IF(priority(Main[[#This Row],[Comments]])&lt;&gt;0, priority(Main[[#This Row],[Comments]]),"")</f>
        <v/>
      </c>
      <c r="B166" s="127" t="s">
        <v>1055</v>
      </c>
      <c r="C166" s="99" t="s">
        <v>33</v>
      </c>
      <c r="D166" s="100" t="s">
        <v>41</v>
      </c>
      <c r="E166" s="101"/>
      <c r="F166" s="101"/>
      <c r="G166" s="102" t="str">
        <f>IF(stdProdLT(Main[[#This Row],[Comments]])=0.1,"N/A",IF(stdProdLT(Main[[#This Row],[Comments]])=0,"",stdProdLT(Main[[#This Row],[Comments]])))</f>
        <v/>
      </c>
      <c r="H166" s="103" t="str">
        <f>IF(AND(Main[[#This Row],[In Stock Date]]&lt;&gt;"",Main[[#This Row],[Revised Due Date]]&lt;&gt;""),Main[[#This Row],[In Stock Date]]-Main[[#This Row],[Revised Due Date]],"")</f>
        <v/>
      </c>
      <c r="I166" s="99" t="s">
        <v>4</v>
      </c>
      <c r="J166" s="99" t="s">
        <v>4</v>
      </c>
      <c r="K166" s="99" t="s">
        <v>4</v>
      </c>
      <c r="L166" s="101"/>
      <c r="M166" s="104" t="str">
        <f>IF(Main[[#This Row],[Tech Start Date]]&lt;1/1/1990,"",IF(Main[[#This Row],[Class]]="C",WORKDAY(Main[[#This Row],[Tech Start Date]],9),IF(Main[[#This Row],[Class]]="B", WORKDAY(Main[[#This Row],[Tech Start Date]],6),IF(Main[[#This Row],[Class]]="A",WORKDAY(Main[[#This Row],[Tech Start Date]],2),""))))</f>
        <v/>
      </c>
      <c r="N166" s="104" t="str">
        <f>IF(Main[[#This Row],[Tech Start Date]]&lt;1/1/1990,"",IF(Main[[#This Row],[Class]]="C",WORKDAY(Main[[#This Row],[Tech Start Date]],19),IF(Main[[#This Row],[Class]]="B", WORKDAY(Main[[#This Row],[Tech Start Date]],12),IF(Main[[#This Row],[Class]]="A",WORKDAY(Main[[#This Row],[Tech Start Date]],4),""))))</f>
        <v/>
      </c>
      <c r="O166" s="104" t="str">
        <f>IF(Main[[#This Row],[Tech Start Date]]&lt;1/1/1990,"",IF(Main[[#This Row],[Class]]="C",WORKDAY(Main[[#This Row],[Tech Start Date]],23),IF(Main[[#This Row],[Class]]="B", WORKDAY(Main[[#This Row],[Tech Start Date]],15),IF(Main[[#This Row],[Class]]="A",WORKDAY(Main[[#This Row],[Tech Start Date]],5),""))))</f>
        <v/>
      </c>
      <c r="P166" s="104" t="str">
        <f>IF(Main[[#This Row],[Tech Start Date]]&lt;1/1/1990,"",IF(Main[[#This Row],[Class]]="C",WORKDAY(Main[[#This Row],[Tech Start Date]],28),IF(Main[[#This Row],[Class]]="B", WORKDAY(Main[[#This Row],[Tech Start Date]],19),IF(Main[[#This Row],[Class]]="A",WORKDAY(Main[[#This Row],[Tech Start Date]],9),""))))</f>
        <v/>
      </c>
      <c r="Q166" s="101"/>
      <c r="R166" s="101"/>
      <c r="S166" s="99" t="s">
        <v>11</v>
      </c>
      <c r="T166" s="107" t="s">
        <v>4</v>
      </c>
      <c r="U166" s="99" t="s">
        <v>14</v>
      </c>
      <c r="V166" s="99" t="s">
        <v>1963</v>
      </c>
      <c r="W166" s="99" t="s">
        <v>1970</v>
      </c>
    </row>
    <row r="167" spans="1:23" ht="18.600000000000001" customHeight="1">
      <c r="A167" s="123" t="str">
        <f>IF(priority(Main[[#This Row],[Comments]])&lt;&gt;0, priority(Main[[#This Row],[Comments]]),"")</f>
        <v/>
      </c>
      <c r="B167" s="127" t="s">
        <v>1056</v>
      </c>
      <c r="C167" s="99" t="s">
        <v>4</v>
      </c>
      <c r="D167" s="100" t="s">
        <v>43</v>
      </c>
      <c r="E167" s="101">
        <v>40500.605023148149</v>
      </c>
      <c r="F167" s="101"/>
      <c r="G167" s="102" t="str">
        <f>IF(stdProdLT(Main[[#This Row],[Comments]])=0.1,"N/A",IF(stdProdLT(Main[[#This Row],[Comments]])=0,"",stdProdLT(Main[[#This Row],[Comments]])))</f>
        <v/>
      </c>
      <c r="H167" s="103" t="str">
        <f>IF(AND(Main[[#This Row],[In Stock Date]]&lt;&gt;"",Main[[#This Row],[Revised Due Date]]&lt;&gt;""),Main[[#This Row],[In Stock Date]]-Main[[#This Row],[Revised Due Date]],"")</f>
        <v/>
      </c>
      <c r="I167" s="99" t="s">
        <v>4</v>
      </c>
      <c r="J167" s="99" t="s">
        <v>4</v>
      </c>
      <c r="K167" s="108" t="s">
        <v>4</v>
      </c>
      <c r="L167" s="101"/>
      <c r="M167" s="104" t="str">
        <f>IF(Main[[#This Row],[Tech Start Date]]&lt;1/1/1990,"",IF(Main[[#This Row],[Class]]="C",WORKDAY(Main[[#This Row],[Tech Start Date]],9),IF(Main[[#This Row],[Class]]="B", WORKDAY(Main[[#This Row],[Tech Start Date]],6),IF(Main[[#This Row],[Class]]="A",WORKDAY(Main[[#This Row],[Tech Start Date]],2),""))))</f>
        <v/>
      </c>
      <c r="N167" s="104" t="str">
        <f>IF(Main[[#This Row],[Tech Start Date]]&lt;1/1/1990,"",IF(Main[[#This Row],[Class]]="C",WORKDAY(Main[[#This Row],[Tech Start Date]],19),IF(Main[[#This Row],[Class]]="B", WORKDAY(Main[[#This Row],[Tech Start Date]],12),IF(Main[[#This Row],[Class]]="A",WORKDAY(Main[[#This Row],[Tech Start Date]],4),""))))</f>
        <v/>
      </c>
      <c r="O167" s="104" t="str">
        <f>IF(Main[[#This Row],[Tech Start Date]]&lt;1/1/1990,"",IF(Main[[#This Row],[Class]]="C",WORKDAY(Main[[#This Row],[Tech Start Date]],23),IF(Main[[#This Row],[Class]]="B", WORKDAY(Main[[#This Row],[Tech Start Date]],15),IF(Main[[#This Row],[Class]]="A",WORKDAY(Main[[#This Row],[Tech Start Date]],5),""))))</f>
        <v/>
      </c>
      <c r="P167" s="104" t="str">
        <f>IF(Main[[#This Row],[Tech Start Date]]&lt;1/1/1990,"",IF(Main[[#This Row],[Class]]="C",WORKDAY(Main[[#This Row],[Tech Start Date]],28),IF(Main[[#This Row],[Class]]="B", WORKDAY(Main[[#This Row],[Tech Start Date]],19),IF(Main[[#This Row],[Class]]="A",WORKDAY(Main[[#This Row],[Tech Start Date]],9),""))))</f>
        <v/>
      </c>
      <c r="Q167" s="101">
        <v>40519</v>
      </c>
      <c r="R167" s="101"/>
      <c r="S167" s="99" t="s">
        <v>4</v>
      </c>
      <c r="T167" s="107" t="s">
        <v>4</v>
      </c>
      <c r="U167" s="99" t="s">
        <v>7</v>
      </c>
      <c r="V167" s="99" t="s">
        <v>1962</v>
      </c>
      <c r="W167" s="99" t="s">
        <v>4</v>
      </c>
    </row>
    <row r="168" spans="1:23" ht="18.600000000000001" customHeight="1">
      <c r="A168" s="123" t="str">
        <f>IF(priority(Main[[#This Row],[Comments]])&lt;&gt;0, priority(Main[[#This Row],[Comments]]),"")</f>
        <v/>
      </c>
      <c r="B168" s="127" t="s">
        <v>1058</v>
      </c>
      <c r="C168" s="99" t="s">
        <v>4</v>
      </c>
      <c r="D168" s="100" t="s">
        <v>45</v>
      </c>
      <c r="E168" s="101">
        <v>40486.407523148147</v>
      </c>
      <c r="F168" s="101"/>
      <c r="G168" s="102" t="str">
        <f>IF(stdProdLT(Main[[#This Row],[Comments]])=0.1,"N/A",IF(stdProdLT(Main[[#This Row],[Comments]])=0,"",stdProdLT(Main[[#This Row],[Comments]])))</f>
        <v/>
      </c>
      <c r="H168" s="103" t="str">
        <f>IF(AND(Main[[#This Row],[In Stock Date]]&lt;&gt;"",Main[[#This Row],[Revised Due Date]]&lt;&gt;""),Main[[#This Row],[In Stock Date]]-Main[[#This Row],[Revised Due Date]],"")</f>
        <v/>
      </c>
      <c r="I168" s="99" t="s">
        <v>4</v>
      </c>
      <c r="J168" s="99" t="s">
        <v>4</v>
      </c>
      <c r="K168" s="99" t="s">
        <v>4</v>
      </c>
      <c r="L168" s="101"/>
      <c r="M168" s="104" t="str">
        <f>IF(Main[[#This Row],[Tech Start Date]]&lt;1/1/1990,"",IF(Main[[#This Row],[Class]]="C",WORKDAY(Main[[#This Row],[Tech Start Date]],9),IF(Main[[#This Row],[Class]]="B", WORKDAY(Main[[#This Row],[Tech Start Date]],6),IF(Main[[#This Row],[Class]]="A",WORKDAY(Main[[#This Row],[Tech Start Date]],2),""))))</f>
        <v/>
      </c>
      <c r="N168" s="104" t="str">
        <f>IF(Main[[#This Row],[Tech Start Date]]&lt;1/1/1990,"",IF(Main[[#This Row],[Class]]="C",WORKDAY(Main[[#This Row],[Tech Start Date]],19),IF(Main[[#This Row],[Class]]="B", WORKDAY(Main[[#This Row],[Tech Start Date]],12),IF(Main[[#This Row],[Class]]="A",WORKDAY(Main[[#This Row],[Tech Start Date]],4),""))))</f>
        <v/>
      </c>
      <c r="O168" s="104" t="str">
        <f>IF(Main[[#This Row],[Tech Start Date]]&lt;1/1/1990,"",IF(Main[[#This Row],[Class]]="C",WORKDAY(Main[[#This Row],[Tech Start Date]],23),IF(Main[[#This Row],[Class]]="B", WORKDAY(Main[[#This Row],[Tech Start Date]],15),IF(Main[[#This Row],[Class]]="A",WORKDAY(Main[[#This Row],[Tech Start Date]],5),""))))</f>
        <v/>
      </c>
      <c r="P168" s="104" t="str">
        <f>IF(Main[[#This Row],[Tech Start Date]]&lt;1/1/1990,"",IF(Main[[#This Row],[Class]]="C",WORKDAY(Main[[#This Row],[Tech Start Date]],28),IF(Main[[#This Row],[Class]]="B", WORKDAY(Main[[#This Row],[Tech Start Date]],19),IF(Main[[#This Row],[Class]]="A",WORKDAY(Main[[#This Row],[Tech Start Date]],9),""))))</f>
        <v/>
      </c>
      <c r="Q168" s="101">
        <v>40522</v>
      </c>
      <c r="R168" s="101"/>
      <c r="S168" s="99" t="s">
        <v>6</v>
      </c>
      <c r="T168" s="107" t="s">
        <v>4</v>
      </c>
      <c r="U168" s="99" t="s">
        <v>7</v>
      </c>
      <c r="V168" s="99" t="s">
        <v>1962</v>
      </c>
      <c r="W168" s="99" t="s">
        <v>4</v>
      </c>
    </row>
    <row r="169" spans="1:23" ht="18.600000000000001" customHeight="1">
      <c r="A169" s="123" t="str">
        <f>IF(priority(Main[[#This Row],[Comments]])&lt;&gt;0, priority(Main[[#This Row],[Comments]]),"")</f>
        <v/>
      </c>
      <c r="B169" s="127" t="s">
        <v>1060</v>
      </c>
      <c r="C169" s="99" t="s">
        <v>47</v>
      </c>
      <c r="D169" s="100" t="s">
        <v>48</v>
      </c>
      <c r="E169" s="101"/>
      <c r="F169" s="101"/>
      <c r="G169" s="102" t="str">
        <f>IF(stdProdLT(Main[[#This Row],[Comments]])=0.1,"N/A",IF(stdProdLT(Main[[#This Row],[Comments]])=0,"",stdProdLT(Main[[#This Row],[Comments]])))</f>
        <v/>
      </c>
      <c r="H169" s="103" t="str">
        <f>IF(AND(Main[[#This Row],[In Stock Date]]&lt;&gt;"",Main[[#This Row],[Revised Due Date]]&lt;&gt;""),Main[[#This Row],[In Stock Date]]-Main[[#This Row],[Revised Due Date]],"")</f>
        <v/>
      </c>
      <c r="I169" s="99" t="s">
        <v>4</v>
      </c>
      <c r="J169" s="99" t="s">
        <v>4</v>
      </c>
      <c r="K169" s="108" t="s">
        <v>4</v>
      </c>
      <c r="L169" s="101"/>
      <c r="M169" s="104" t="str">
        <f>IF(Main[[#This Row],[Tech Start Date]]&lt;1/1/1990,"",IF(Main[[#This Row],[Class]]="C",WORKDAY(Main[[#This Row],[Tech Start Date]],9),IF(Main[[#This Row],[Class]]="B", WORKDAY(Main[[#This Row],[Tech Start Date]],6),IF(Main[[#This Row],[Class]]="A",WORKDAY(Main[[#This Row],[Tech Start Date]],2),""))))</f>
        <v/>
      </c>
      <c r="N169" s="104" t="str">
        <f>IF(Main[[#This Row],[Tech Start Date]]&lt;1/1/1990,"",IF(Main[[#This Row],[Class]]="C",WORKDAY(Main[[#This Row],[Tech Start Date]],19),IF(Main[[#This Row],[Class]]="B", WORKDAY(Main[[#This Row],[Tech Start Date]],12),IF(Main[[#This Row],[Class]]="A",WORKDAY(Main[[#This Row],[Tech Start Date]],4),""))))</f>
        <v/>
      </c>
      <c r="O169" s="104" t="str">
        <f>IF(Main[[#This Row],[Tech Start Date]]&lt;1/1/1990,"",IF(Main[[#This Row],[Class]]="C",WORKDAY(Main[[#This Row],[Tech Start Date]],23),IF(Main[[#This Row],[Class]]="B", WORKDAY(Main[[#This Row],[Tech Start Date]],15),IF(Main[[#This Row],[Class]]="A",WORKDAY(Main[[#This Row],[Tech Start Date]],5),""))))</f>
        <v/>
      </c>
      <c r="P169" s="104" t="str">
        <f>IF(Main[[#This Row],[Tech Start Date]]&lt;1/1/1990,"",IF(Main[[#This Row],[Class]]="C",WORKDAY(Main[[#This Row],[Tech Start Date]],28),IF(Main[[#This Row],[Class]]="B", WORKDAY(Main[[#This Row],[Tech Start Date]],19),IF(Main[[#This Row],[Class]]="A",WORKDAY(Main[[#This Row],[Tech Start Date]],9),""))))</f>
        <v/>
      </c>
      <c r="Q169" s="101"/>
      <c r="R169" s="101"/>
      <c r="S169" s="99" t="s">
        <v>49</v>
      </c>
      <c r="T169" s="107" t="s">
        <v>4</v>
      </c>
      <c r="U169" s="99" t="s">
        <v>14</v>
      </c>
      <c r="V169" s="99" t="s">
        <v>1965</v>
      </c>
      <c r="W169" s="99" t="s">
        <v>1966</v>
      </c>
    </row>
    <row r="170" spans="1:23" ht="18.600000000000001" customHeight="1">
      <c r="A170" s="123" t="str">
        <f>IF(priority(Main[[#This Row],[Comments]])&lt;&gt;0, priority(Main[[#This Row],[Comments]]),"")</f>
        <v/>
      </c>
      <c r="B170" s="127" t="s">
        <v>1075</v>
      </c>
      <c r="C170" s="99" t="s">
        <v>67</v>
      </c>
      <c r="D170" s="100" t="s">
        <v>68</v>
      </c>
      <c r="E170" s="101"/>
      <c r="F170" s="101"/>
      <c r="G170" s="102" t="str">
        <f>IF(stdProdLT(Main[[#This Row],[Comments]])=0.1,"N/A",IF(stdProdLT(Main[[#This Row],[Comments]])=0,"",stdProdLT(Main[[#This Row],[Comments]])))</f>
        <v/>
      </c>
      <c r="H170" s="103" t="str">
        <f>IF(AND(Main[[#This Row],[In Stock Date]]&lt;&gt;"",Main[[#This Row],[Revised Due Date]]&lt;&gt;""),Main[[#This Row],[In Stock Date]]-Main[[#This Row],[Revised Due Date]],"")</f>
        <v/>
      </c>
      <c r="I170" s="99" t="s">
        <v>4</v>
      </c>
      <c r="J170" s="99" t="s">
        <v>4</v>
      </c>
      <c r="K170" s="99" t="s">
        <v>4</v>
      </c>
      <c r="L170" s="101"/>
      <c r="M170" s="104" t="str">
        <f>IF(Main[[#This Row],[Tech Start Date]]&lt;1/1/1990,"",IF(Main[[#This Row],[Class]]="C",WORKDAY(Main[[#This Row],[Tech Start Date]],9),IF(Main[[#This Row],[Class]]="B", WORKDAY(Main[[#This Row],[Tech Start Date]],6),IF(Main[[#This Row],[Class]]="A",WORKDAY(Main[[#This Row],[Tech Start Date]],2),""))))</f>
        <v/>
      </c>
      <c r="N170" s="104" t="str">
        <f>IF(Main[[#This Row],[Tech Start Date]]&lt;1/1/1990,"",IF(Main[[#This Row],[Class]]="C",WORKDAY(Main[[#This Row],[Tech Start Date]],19),IF(Main[[#This Row],[Class]]="B", WORKDAY(Main[[#This Row],[Tech Start Date]],12),IF(Main[[#This Row],[Class]]="A",WORKDAY(Main[[#This Row],[Tech Start Date]],4),""))))</f>
        <v/>
      </c>
      <c r="O170" s="104" t="str">
        <f>IF(Main[[#This Row],[Tech Start Date]]&lt;1/1/1990,"",IF(Main[[#This Row],[Class]]="C",WORKDAY(Main[[#This Row],[Tech Start Date]],23),IF(Main[[#This Row],[Class]]="B", WORKDAY(Main[[#This Row],[Tech Start Date]],15),IF(Main[[#This Row],[Class]]="A",WORKDAY(Main[[#This Row],[Tech Start Date]],5),""))))</f>
        <v/>
      </c>
      <c r="P170" s="104" t="str">
        <f>IF(Main[[#This Row],[Tech Start Date]]&lt;1/1/1990,"",IF(Main[[#This Row],[Class]]="C",WORKDAY(Main[[#This Row],[Tech Start Date]],28),IF(Main[[#This Row],[Class]]="B", WORKDAY(Main[[#This Row],[Tech Start Date]],19),IF(Main[[#This Row],[Class]]="A",WORKDAY(Main[[#This Row],[Tech Start Date]],9),""))))</f>
        <v/>
      </c>
      <c r="Q170" s="101">
        <v>40298</v>
      </c>
      <c r="R170" s="101"/>
      <c r="S170" s="99" t="s">
        <v>17</v>
      </c>
      <c r="T170" s="107" t="s">
        <v>4</v>
      </c>
      <c r="U170" s="99" t="s">
        <v>14</v>
      </c>
      <c r="V170" s="99" t="s">
        <v>1965</v>
      </c>
      <c r="W170" s="99" t="s">
        <v>1970</v>
      </c>
    </row>
    <row r="171" spans="1:23" ht="18.600000000000001" customHeight="1">
      <c r="A171" s="123" t="str">
        <f>IF(priority(Main[[#This Row],[Comments]])&lt;&gt;0, priority(Main[[#This Row],[Comments]]),"")</f>
        <v/>
      </c>
      <c r="B171" s="127" t="s">
        <v>1311</v>
      </c>
      <c r="C171" s="99" t="s">
        <v>4</v>
      </c>
      <c r="D171" s="100" t="s">
        <v>2412</v>
      </c>
      <c r="E171" s="101">
        <v>40578.5078587963</v>
      </c>
      <c r="F171" s="101"/>
      <c r="G171" s="102" t="str">
        <f>IF(stdProdLT(Main[[#This Row],[Comments]])=0.1,"N/A",IF(stdProdLT(Main[[#This Row],[Comments]])=0,"",stdProdLT(Main[[#This Row],[Comments]])))</f>
        <v/>
      </c>
      <c r="H171" s="103" t="str">
        <f>IF(AND(Main[[#This Row],[In Stock Date]]&lt;&gt;"",Main[[#This Row],[Revised Due Date]]&lt;&gt;""),Main[[#This Row],[In Stock Date]]-Main[[#This Row],[Revised Due Date]],"")</f>
        <v/>
      </c>
      <c r="I171" s="99" t="s">
        <v>929</v>
      </c>
      <c r="J171" s="99" t="s">
        <v>52</v>
      </c>
      <c r="K171" s="108" t="s">
        <v>4</v>
      </c>
      <c r="L171" s="101"/>
      <c r="M171" s="104" t="str">
        <f>IF(Main[[#This Row],[Tech Start Date]]&lt;1/1/1990,"",IF(Main[[#This Row],[Class]]="C",WORKDAY(Main[[#This Row],[Tech Start Date]],9),IF(Main[[#This Row],[Class]]="B", WORKDAY(Main[[#This Row],[Tech Start Date]],6),IF(Main[[#This Row],[Class]]="A",WORKDAY(Main[[#This Row],[Tech Start Date]],2),""))))</f>
        <v/>
      </c>
      <c r="N171" s="104" t="str">
        <f>IF(Main[[#This Row],[Tech Start Date]]&lt;1/1/1990,"",IF(Main[[#This Row],[Class]]="C",WORKDAY(Main[[#This Row],[Tech Start Date]],19),IF(Main[[#This Row],[Class]]="B", WORKDAY(Main[[#This Row],[Tech Start Date]],12),IF(Main[[#This Row],[Class]]="A",WORKDAY(Main[[#This Row],[Tech Start Date]],4),""))))</f>
        <v/>
      </c>
      <c r="O171" s="104" t="str">
        <f>IF(Main[[#This Row],[Tech Start Date]]&lt;1/1/1990,"",IF(Main[[#This Row],[Class]]="C",WORKDAY(Main[[#This Row],[Tech Start Date]],23),IF(Main[[#This Row],[Class]]="B", WORKDAY(Main[[#This Row],[Tech Start Date]],15),IF(Main[[#This Row],[Class]]="A",WORKDAY(Main[[#This Row],[Tech Start Date]],5),""))))</f>
        <v/>
      </c>
      <c r="P171" s="104" t="str">
        <f>IF(Main[[#This Row],[Tech Start Date]]&lt;1/1/1990,"",IF(Main[[#This Row],[Class]]="C",WORKDAY(Main[[#This Row],[Tech Start Date]],28),IF(Main[[#This Row],[Class]]="B", WORKDAY(Main[[#This Row],[Tech Start Date]],19),IF(Main[[#This Row],[Class]]="A",WORKDAY(Main[[#This Row],[Tech Start Date]],9),""))))</f>
        <v/>
      </c>
      <c r="Q171" s="101">
        <v>40592</v>
      </c>
      <c r="R171" s="101"/>
      <c r="S171" s="99" t="s">
        <v>6</v>
      </c>
      <c r="T171" s="107" t="s">
        <v>4</v>
      </c>
      <c r="U171" s="99" t="s">
        <v>29</v>
      </c>
      <c r="V171" s="99" t="s">
        <v>1962</v>
      </c>
      <c r="W171" s="99" t="s">
        <v>1966</v>
      </c>
    </row>
    <row r="172" spans="1:23" ht="18.600000000000001" customHeight="1">
      <c r="A172" s="123" t="str">
        <f>IF(priority(Main[[#This Row],[Comments]])&lt;&gt;0, priority(Main[[#This Row],[Comments]]),"")</f>
        <v/>
      </c>
      <c r="B172" s="127" t="s">
        <v>1076</v>
      </c>
      <c r="C172" s="99" t="s">
        <v>4</v>
      </c>
      <c r="D172" s="100" t="s">
        <v>71</v>
      </c>
      <c r="E172" s="101"/>
      <c r="F172" s="101"/>
      <c r="G172" s="102" t="str">
        <f>IF(stdProdLT(Main[[#This Row],[Comments]])=0.1,"N/A",IF(stdProdLT(Main[[#This Row],[Comments]])=0,"",stdProdLT(Main[[#This Row],[Comments]])))</f>
        <v/>
      </c>
      <c r="H172" s="103" t="str">
        <f>IF(AND(Main[[#This Row],[In Stock Date]]&lt;&gt;"",Main[[#This Row],[Revised Due Date]]&lt;&gt;""),Main[[#This Row],[In Stock Date]]-Main[[#This Row],[Revised Due Date]],"")</f>
        <v/>
      </c>
      <c r="I172" s="99" t="s">
        <v>4</v>
      </c>
      <c r="J172" s="99" t="s">
        <v>4</v>
      </c>
      <c r="K172" s="99" t="s">
        <v>4</v>
      </c>
      <c r="L172" s="101"/>
      <c r="M172" s="104" t="str">
        <f>IF(Main[[#This Row],[Tech Start Date]]&lt;1/1/1990,"",IF(Main[[#This Row],[Class]]="C",WORKDAY(Main[[#This Row],[Tech Start Date]],9),IF(Main[[#This Row],[Class]]="B", WORKDAY(Main[[#This Row],[Tech Start Date]],6),IF(Main[[#This Row],[Class]]="A",WORKDAY(Main[[#This Row],[Tech Start Date]],2),""))))</f>
        <v/>
      </c>
      <c r="N172" s="104" t="str">
        <f>IF(Main[[#This Row],[Tech Start Date]]&lt;1/1/1990,"",IF(Main[[#This Row],[Class]]="C",WORKDAY(Main[[#This Row],[Tech Start Date]],19),IF(Main[[#This Row],[Class]]="B", WORKDAY(Main[[#This Row],[Tech Start Date]],12),IF(Main[[#This Row],[Class]]="A",WORKDAY(Main[[#This Row],[Tech Start Date]],4),""))))</f>
        <v/>
      </c>
      <c r="O172" s="104" t="str">
        <f>IF(Main[[#This Row],[Tech Start Date]]&lt;1/1/1990,"",IF(Main[[#This Row],[Class]]="C",WORKDAY(Main[[#This Row],[Tech Start Date]],23),IF(Main[[#This Row],[Class]]="B", WORKDAY(Main[[#This Row],[Tech Start Date]],15),IF(Main[[#This Row],[Class]]="A",WORKDAY(Main[[#This Row],[Tech Start Date]],5),""))))</f>
        <v/>
      </c>
      <c r="P172" s="104" t="str">
        <f>IF(Main[[#This Row],[Tech Start Date]]&lt;1/1/1990,"",IF(Main[[#This Row],[Class]]="C",WORKDAY(Main[[#This Row],[Tech Start Date]],28),IF(Main[[#This Row],[Class]]="B", WORKDAY(Main[[#This Row],[Tech Start Date]],19),IF(Main[[#This Row],[Class]]="A",WORKDAY(Main[[#This Row],[Tech Start Date]],9),""))))</f>
        <v/>
      </c>
      <c r="Q172" s="101"/>
      <c r="R172" s="101"/>
      <c r="S172" s="99" t="s">
        <v>23</v>
      </c>
      <c r="T172" s="107" t="s">
        <v>4</v>
      </c>
      <c r="U172" s="99" t="s">
        <v>14</v>
      </c>
      <c r="V172" s="99" t="s">
        <v>1962</v>
      </c>
      <c r="W172" s="99" t="s">
        <v>1966</v>
      </c>
    </row>
    <row r="173" spans="1:23" ht="18.600000000000001" customHeight="1">
      <c r="A173" s="123" t="str">
        <f>IF(priority(Main[[#This Row],[Comments]])&lt;&gt;0, priority(Main[[#This Row],[Comments]]),"")</f>
        <v/>
      </c>
      <c r="B173" s="127" t="s">
        <v>1042</v>
      </c>
      <c r="C173" s="99" t="s">
        <v>15</v>
      </c>
      <c r="D173" s="100" t="s">
        <v>16</v>
      </c>
      <c r="E173" s="101">
        <v>40611.379872685182</v>
      </c>
      <c r="F173" s="101"/>
      <c r="G173" s="102" t="str">
        <f>IF(stdProdLT(Main[[#This Row],[Comments]])=0.1,"N/A",IF(stdProdLT(Main[[#This Row],[Comments]])=0,"",stdProdLT(Main[[#This Row],[Comments]])))</f>
        <v/>
      </c>
      <c r="H173" s="103" t="str">
        <f>IF(AND(Main[[#This Row],[In Stock Date]]&lt;&gt;"",Main[[#This Row],[Revised Due Date]]&lt;&gt;""),Main[[#This Row],[In Stock Date]]-Main[[#This Row],[Revised Due Date]],"")</f>
        <v/>
      </c>
      <c r="I173" s="99" t="s">
        <v>4</v>
      </c>
      <c r="J173" s="99" t="s">
        <v>4</v>
      </c>
      <c r="K173" s="99" t="s">
        <v>4</v>
      </c>
      <c r="L173" s="101"/>
      <c r="M173" s="104" t="str">
        <f>IF(Main[[#This Row],[Tech Start Date]]&lt;1/1/1990,"",IF(Main[[#This Row],[Class]]="C",WORKDAY(Main[[#This Row],[Tech Start Date]],9),IF(Main[[#This Row],[Class]]="B", WORKDAY(Main[[#This Row],[Tech Start Date]],6),IF(Main[[#This Row],[Class]]="A",WORKDAY(Main[[#This Row],[Tech Start Date]],2),""))))</f>
        <v/>
      </c>
      <c r="N173" s="104" t="str">
        <f>IF(Main[[#This Row],[Tech Start Date]]&lt;1/1/1990,"",IF(Main[[#This Row],[Class]]="C",WORKDAY(Main[[#This Row],[Tech Start Date]],19),IF(Main[[#This Row],[Class]]="B", WORKDAY(Main[[#This Row],[Tech Start Date]],12),IF(Main[[#This Row],[Class]]="A",WORKDAY(Main[[#This Row],[Tech Start Date]],4),""))))</f>
        <v/>
      </c>
      <c r="O173" s="104" t="str">
        <f>IF(Main[[#This Row],[Tech Start Date]]&lt;1/1/1990,"",IF(Main[[#This Row],[Class]]="C",WORKDAY(Main[[#This Row],[Tech Start Date]],23),IF(Main[[#This Row],[Class]]="B", WORKDAY(Main[[#This Row],[Tech Start Date]],15),IF(Main[[#This Row],[Class]]="A",WORKDAY(Main[[#This Row],[Tech Start Date]],5),""))))</f>
        <v/>
      </c>
      <c r="P173" s="104" t="str">
        <f>IF(Main[[#This Row],[Tech Start Date]]&lt;1/1/1990,"",IF(Main[[#This Row],[Class]]="C",WORKDAY(Main[[#This Row],[Tech Start Date]],28),IF(Main[[#This Row],[Class]]="B", WORKDAY(Main[[#This Row],[Tech Start Date]],19),IF(Main[[#This Row],[Class]]="A",WORKDAY(Main[[#This Row],[Tech Start Date]],9),""))))</f>
        <v/>
      </c>
      <c r="Q173" s="101">
        <v>40695</v>
      </c>
      <c r="R173" s="101"/>
      <c r="S173" s="99" t="s">
        <v>17</v>
      </c>
      <c r="T173" s="107" t="s">
        <v>4</v>
      </c>
      <c r="U173" s="99" t="s">
        <v>7</v>
      </c>
      <c r="V173" s="99" t="s">
        <v>1965</v>
      </c>
      <c r="W173" s="99" t="s">
        <v>1967</v>
      </c>
    </row>
    <row r="174" spans="1:23" ht="18.600000000000001" customHeight="1">
      <c r="A174" s="123" t="str">
        <f>IF(priority(Main[[#This Row],[Comments]])&lt;&gt;0, priority(Main[[#This Row],[Comments]]),"")</f>
        <v/>
      </c>
      <c r="B174" s="127" t="s">
        <v>1078</v>
      </c>
      <c r="C174" s="99" t="s">
        <v>31</v>
      </c>
      <c r="D174" s="100" t="s">
        <v>77</v>
      </c>
      <c r="E174" s="101"/>
      <c r="F174" s="101">
        <v>40512</v>
      </c>
      <c r="G174" s="102" t="str">
        <f>IF(stdProdLT(Main[[#This Row],[Comments]])=0.1,"N/A",IF(stdProdLT(Main[[#This Row],[Comments]])=0,"",stdProdLT(Main[[#This Row],[Comments]])))</f>
        <v/>
      </c>
      <c r="H174" s="103" t="str">
        <f>IF(AND(Main[[#This Row],[In Stock Date]]&lt;&gt;"",Main[[#This Row],[Revised Due Date]]&lt;&gt;""),Main[[#This Row],[In Stock Date]]-Main[[#This Row],[Revised Due Date]],"")</f>
        <v/>
      </c>
      <c r="I174" s="99" t="s">
        <v>4</v>
      </c>
      <c r="J174" s="99" t="s">
        <v>4</v>
      </c>
      <c r="K174" s="99" t="s">
        <v>4</v>
      </c>
      <c r="L174" s="101"/>
      <c r="M174" s="104" t="str">
        <f>IF(Main[[#This Row],[Tech Start Date]]&lt;1/1/1990,"",IF(Main[[#This Row],[Class]]="C",WORKDAY(Main[[#This Row],[Tech Start Date]],9),IF(Main[[#This Row],[Class]]="B", WORKDAY(Main[[#This Row],[Tech Start Date]],6),IF(Main[[#This Row],[Class]]="A",WORKDAY(Main[[#This Row],[Tech Start Date]],2),""))))</f>
        <v/>
      </c>
      <c r="N174" s="104" t="str">
        <f>IF(Main[[#This Row],[Tech Start Date]]&lt;1/1/1990,"",IF(Main[[#This Row],[Class]]="C",WORKDAY(Main[[#This Row],[Tech Start Date]],19),IF(Main[[#This Row],[Class]]="B", WORKDAY(Main[[#This Row],[Tech Start Date]],12),IF(Main[[#This Row],[Class]]="A",WORKDAY(Main[[#This Row],[Tech Start Date]],4),""))))</f>
        <v/>
      </c>
      <c r="O174" s="104" t="str">
        <f>IF(Main[[#This Row],[Tech Start Date]]&lt;1/1/1990,"",IF(Main[[#This Row],[Class]]="C",WORKDAY(Main[[#This Row],[Tech Start Date]],23),IF(Main[[#This Row],[Class]]="B", WORKDAY(Main[[#This Row],[Tech Start Date]],15),IF(Main[[#This Row],[Class]]="A",WORKDAY(Main[[#This Row],[Tech Start Date]],5),""))))</f>
        <v/>
      </c>
      <c r="P174" s="104" t="str">
        <f>IF(Main[[#This Row],[Tech Start Date]]&lt;1/1/1990,"",IF(Main[[#This Row],[Class]]="C",WORKDAY(Main[[#This Row],[Tech Start Date]],28),IF(Main[[#This Row],[Class]]="B", WORKDAY(Main[[#This Row],[Tech Start Date]],19),IF(Main[[#This Row],[Class]]="A",WORKDAY(Main[[#This Row],[Tech Start Date]],9),""))))</f>
        <v/>
      </c>
      <c r="Q174" s="101">
        <v>40415</v>
      </c>
      <c r="R174" s="101"/>
      <c r="S174" s="99" t="s">
        <v>11</v>
      </c>
      <c r="T174" s="107" t="s">
        <v>4</v>
      </c>
      <c r="U174" s="99" t="s">
        <v>14</v>
      </c>
      <c r="V174" s="99" t="s">
        <v>1965</v>
      </c>
      <c r="W174" s="99" t="s">
        <v>1968</v>
      </c>
    </row>
    <row r="175" spans="1:23" ht="18.600000000000001" customHeight="1">
      <c r="A175" s="123" t="str">
        <f>IF(priority(Main[[#This Row],[Comments]])&lt;&gt;0, priority(Main[[#This Row],[Comments]]),"")</f>
        <v/>
      </c>
      <c r="B175" s="127" t="s">
        <v>1079</v>
      </c>
      <c r="C175" s="99" t="s">
        <v>4</v>
      </c>
      <c r="D175" s="100" t="s">
        <v>78</v>
      </c>
      <c r="E175" s="101"/>
      <c r="F175" s="101"/>
      <c r="G175" s="102" t="str">
        <f>IF(stdProdLT(Main[[#This Row],[Comments]])=0.1,"N/A",IF(stdProdLT(Main[[#This Row],[Comments]])=0,"",stdProdLT(Main[[#This Row],[Comments]])))</f>
        <v/>
      </c>
      <c r="H175" s="103" t="str">
        <f>IF(AND(Main[[#This Row],[In Stock Date]]&lt;&gt;"",Main[[#This Row],[Revised Due Date]]&lt;&gt;""),Main[[#This Row],[In Stock Date]]-Main[[#This Row],[Revised Due Date]],"")</f>
        <v/>
      </c>
      <c r="I175" s="99" t="s">
        <v>4</v>
      </c>
      <c r="J175" s="99" t="s">
        <v>4</v>
      </c>
      <c r="K175" s="99" t="s">
        <v>4</v>
      </c>
      <c r="L175" s="101"/>
      <c r="M175" s="104" t="str">
        <f>IF(Main[[#This Row],[Tech Start Date]]&lt;1/1/1990,"",IF(Main[[#This Row],[Class]]="C",WORKDAY(Main[[#This Row],[Tech Start Date]],9),IF(Main[[#This Row],[Class]]="B", WORKDAY(Main[[#This Row],[Tech Start Date]],6),IF(Main[[#This Row],[Class]]="A",WORKDAY(Main[[#This Row],[Tech Start Date]],2),""))))</f>
        <v/>
      </c>
      <c r="N175" s="104" t="str">
        <f>IF(Main[[#This Row],[Tech Start Date]]&lt;1/1/1990,"",IF(Main[[#This Row],[Class]]="C",WORKDAY(Main[[#This Row],[Tech Start Date]],19),IF(Main[[#This Row],[Class]]="B", WORKDAY(Main[[#This Row],[Tech Start Date]],12),IF(Main[[#This Row],[Class]]="A",WORKDAY(Main[[#This Row],[Tech Start Date]],4),""))))</f>
        <v/>
      </c>
      <c r="O175" s="104" t="str">
        <f>IF(Main[[#This Row],[Tech Start Date]]&lt;1/1/1990,"",IF(Main[[#This Row],[Class]]="C",WORKDAY(Main[[#This Row],[Tech Start Date]],23),IF(Main[[#This Row],[Class]]="B", WORKDAY(Main[[#This Row],[Tech Start Date]],15),IF(Main[[#This Row],[Class]]="A",WORKDAY(Main[[#This Row],[Tech Start Date]],5),""))))</f>
        <v/>
      </c>
      <c r="P175" s="104" t="str">
        <f>IF(Main[[#This Row],[Tech Start Date]]&lt;1/1/1990,"",IF(Main[[#This Row],[Class]]="C",WORKDAY(Main[[#This Row],[Tech Start Date]],28),IF(Main[[#This Row],[Class]]="B", WORKDAY(Main[[#This Row],[Tech Start Date]],19),IF(Main[[#This Row],[Class]]="A",WORKDAY(Main[[#This Row],[Tech Start Date]],9),""))))</f>
        <v/>
      </c>
      <c r="Q175" s="101"/>
      <c r="R175" s="101"/>
      <c r="S175" s="99" t="s">
        <v>49</v>
      </c>
      <c r="T175" s="107" t="s">
        <v>4</v>
      </c>
      <c r="U175" s="99" t="s">
        <v>14</v>
      </c>
      <c r="V175" s="99" t="s">
        <v>1962</v>
      </c>
      <c r="W175" s="99" t="s">
        <v>1966</v>
      </c>
    </row>
    <row r="176" spans="1:23" ht="18.600000000000001" customHeight="1">
      <c r="A176" s="123" t="str">
        <f>IF(priority(Main[[#This Row],[Comments]])&lt;&gt;0, priority(Main[[#This Row],[Comments]]),"")</f>
        <v/>
      </c>
      <c r="B176" s="127" t="s">
        <v>2148</v>
      </c>
      <c r="C176" s="99" t="s">
        <v>2149</v>
      </c>
      <c r="D176" s="100" t="s">
        <v>2150</v>
      </c>
      <c r="E176" s="101"/>
      <c r="F176" s="101">
        <v>40831</v>
      </c>
      <c r="G176" s="102" t="str">
        <f>IF(stdProdLT(Main[[#This Row],[Comments]])=0.1,"N/A",IF(stdProdLT(Main[[#This Row],[Comments]])=0,"",stdProdLT(Main[[#This Row],[Comments]])))</f>
        <v/>
      </c>
      <c r="H176" s="103" t="str">
        <f>IF(AND(Main[[#This Row],[In Stock Date]]&lt;&gt;"",Main[[#This Row],[Revised Due Date]]&lt;&gt;""),Main[[#This Row],[In Stock Date]]-Main[[#This Row],[Revised Due Date]],"")</f>
        <v/>
      </c>
      <c r="I176" s="99" t="s">
        <v>4</v>
      </c>
      <c r="J176" s="99" t="s">
        <v>4</v>
      </c>
      <c r="K176" s="99" t="s">
        <v>4</v>
      </c>
      <c r="L176" s="101"/>
      <c r="M176" s="104" t="str">
        <f>IF(Main[[#This Row],[Tech Start Date]]&lt;1/1/1990,"",IF(Main[[#This Row],[Class]]="C",WORKDAY(Main[[#This Row],[Tech Start Date]],9),IF(Main[[#This Row],[Class]]="B", WORKDAY(Main[[#This Row],[Tech Start Date]],6),IF(Main[[#This Row],[Class]]="A",WORKDAY(Main[[#This Row],[Tech Start Date]],2),""))))</f>
        <v/>
      </c>
      <c r="N176" s="104" t="str">
        <f>IF(Main[[#This Row],[Tech Start Date]]&lt;1/1/1990,"",IF(Main[[#This Row],[Class]]="C",WORKDAY(Main[[#This Row],[Tech Start Date]],19),IF(Main[[#This Row],[Class]]="B", WORKDAY(Main[[#This Row],[Tech Start Date]],12),IF(Main[[#This Row],[Class]]="A",WORKDAY(Main[[#This Row],[Tech Start Date]],4),""))))</f>
        <v/>
      </c>
      <c r="O176" s="104" t="str">
        <f>IF(Main[[#This Row],[Tech Start Date]]&lt;1/1/1990,"",IF(Main[[#This Row],[Class]]="C",WORKDAY(Main[[#This Row],[Tech Start Date]],23),IF(Main[[#This Row],[Class]]="B", WORKDAY(Main[[#This Row],[Tech Start Date]],15),IF(Main[[#This Row],[Class]]="A",WORKDAY(Main[[#This Row],[Tech Start Date]],5),""))))</f>
        <v/>
      </c>
      <c r="P176" s="104" t="str">
        <f>IF(Main[[#This Row],[Tech Start Date]]&lt;1/1/1990,"",IF(Main[[#This Row],[Class]]="C",WORKDAY(Main[[#This Row],[Tech Start Date]],28),IF(Main[[#This Row],[Class]]="B", WORKDAY(Main[[#This Row],[Tech Start Date]],19),IF(Main[[#This Row],[Class]]="A",WORKDAY(Main[[#This Row],[Tech Start Date]],9),""))))</f>
        <v/>
      </c>
      <c r="Q176" s="101">
        <v>40786</v>
      </c>
      <c r="R176" s="101"/>
      <c r="S176" s="99" t="s">
        <v>11</v>
      </c>
      <c r="T176" s="107" t="s">
        <v>4</v>
      </c>
      <c r="U176" s="99" t="s">
        <v>12</v>
      </c>
      <c r="V176" s="99" t="s">
        <v>1965</v>
      </c>
      <c r="W176" s="99" t="s">
        <v>1970</v>
      </c>
    </row>
    <row r="177" spans="1:23" ht="18.600000000000001" customHeight="1">
      <c r="A177" s="123" t="str">
        <f>IF(priority(Main[[#This Row],[Comments]])&lt;&gt;0, priority(Main[[#This Row],[Comments]]),"")</f>
        <v/>
      </c>
      <c r="B177" s="127" t="s">
        <v>2285</v>
      </c>
      <c r="C177" s="99" t="s">
        <v>2286</v>
      </c>
      <c r="D177" s="100" t="s">
        <v>2287</v>
      </c>
      <c r="E177" s="101">
        <v>40798.585381944446</v>
      </c>
      <c r="F177" s="101">
        <v>40848</v>
      </c>
      <c r="G177" s="102" t="str">
        <f>IF(stdProdLT(Main[[#This Row],[Comments]])=0.1,"N/A",IF(stdProdLT(Main[[#This Row],[Comments]])=0,"",stdProdLT(Main[[#This Row],[Comments]])))</f>
        <v/>
      </c>
      <c r="H177" s="103" t="str">
        <f>IF(AND(Main[[#This Row],[In Stock Date]]&lt;&gt;"",Main[[#This Row],[Revised Due Date]]&lt;&gt;""),Main[[#This Row],[In Stock Date]]-Main[[#This Row],[Revised Due Date]],"")</f>
        <v/>
      </c>
      <c r="I177" s="99" t="s">
        <v>4</v>
      </c>
      <c r="J177" s="99" t="s">
        <v>4</v>
      </c>
      <c r="K177" s="108" t="s">
        <v>4</v>
      </c>
      <c r="L177" s="101"/>
      <c r="M177" s="104" t="str">
        <f>IF(Main[[#This Row],[Tech Start Date]]&lt;1/1/1990,"",IF(Main[[#This Row],[Class]]="C",WORKDAY(Main[[#This Row],[Tech Start Date]],9),IF(Main[[#This Row],[Class]]="B", WORKDAY(Main[[#This Row],[Tech Start Date]],6),IF(Main[[#This Row],[Class]]="A",WORKDAY(Main[[#This Row],[Tech Start Date]],2),""))))</f>
        <v/>
      </c>
      <c r="N177" s="104" t="str">
        <f>IF(Main[[#This Row],[Tech Start Date]]&lt;1/1/1990,"",IF(Main[[#This Row],[Class]]="C",WORKDAY(Main[[#This Row],[Tech Start Date]],19),IF(Main[[#This Row],[Class]]="B", WORKDAY(Main[[#This Row],[Tech Start Date]],12),IF(Main[[#This Row],[Class]]="A",WORKDAY(Main[[#This Row],[Tech Start Date]],4),""))))</f>
        <v/>
      </c>
      <c r="O177" s="104" t="str">
        <f>IF(Main[[#This Row],[Tech Start Date]]&lt;1/1/1990,"",IF(Main[[#This Row],[Class]]="C",WORKDAY(Main[[#This Row],[Tech Start Date]],23),IF(Main[[#This Row],[Class]]="B", WORKDAY(Main[[#This Row],[Tech Start Date]],15),IF(Main[[#This Row],[Class]]="A",WORKDAY(Main[[#This Row],[Tech Start Date]],5),""))))</f>
        <v/>
      </c>
      <c r="P177" s="104" t="str">
        <f>IF(Main[[#This Row],[Tech Start Date]]&lt;1/1/1990,"",IF(Main[[#This Row],[Class]]="C",WORKDAY(Main[[#This Row],[Tech Start Date]],28),IF(Main[[#This Row],[Class]]="B", WORKDAY(Main[[#This Row],[Tech Start Date]],19),IF(Main[[#This Row],[Class]]="A",WORKDAY(Main[[#This Row],[Tech Start Date]],9),""))))</f>
        <v/>
      </c>
      <c r="Q177" s="101"/>
      <c r="R177" s="101"/>
      <c r="S177" s="99" t="s">
        <v>49</v>
      </c>
      <c r="T177" s="107" t="s">
        <v>4</v>
      </c>
      <c r="U177" s="99" t="s">
        <v>7</v>
      </c>
      <c r="V177" s="99" t="s">
        <v>1962</v>
      </c>
      <c r="W177" s="99" t="s">
        <v>1967</v>
      </c>
    </row>
    <row r="178" spans="1:23" ht="18.600000000000001" customHeight="1">
      <c r="A178" s="123" t="str">
        <f>IF(priority(Main[[#This Row],[Comments]])&lt;&gt;0, priority(Main[[#This Row],[Comments]]),"")</f>
        <v/>
      </c>
      <c r="B178" s="127" t="s">
        <v>1890</v>
      </c>
      <c r="C178" s="99" t="s">
        <v>95</v>
      </c>
      <c r="D178" s="100" t="s">
        <v>920</v>
      </c>
      <c r="E178" s="101">
        <v>40428.41710648148</v>
      </c>
      <c r="F178" s="101"/>
      <c r="G178" s="102" t="str">
        <f>IF(stdProdLT(Main[[#This Row],[Comments]])=0.1,"N/A",IF(stdProdLT(Main[[#This Row],[Comments]])=0,"",stdProdLT(Main[[#This Row],[Comments]])))</f>
        <v/>
      </c>
      <c r="H178" s="103" t="str">
        <f>IF(AND(Main[[#This Row],[In Stock Date]]&lt;&gt;"",Main[[#This Row],[Revised Due Date]]&lt;&gt;""),Main[[#This Row],[In Stock Date]]-Main[[#This Row],[Revised Due Date]],"")</f>
        <v/>
      </c>
      <c r="I178" s="99" t="s">
        <v>421</v>
      </c>
      <c r="J178" s="99" t="s">
        <v>28</v>
      </c>
      <c r="K178" s="99" t="s">
        <v>1974</v>
      </c>
      <c r="L178" s="101"/>
      <c r="M178" s="104" t="str">
        <f>IF(Main[[#This Row],[Tech Start Date]]&lt;1/1/1990,"",IF(Main[[#This Row],[Class]]="C",WORKDAY(Main[[#This Row],[Tech Start Date]],9),IF(Main[[#This Row],[Class]]="B", WORKDAY(Main[[#This Row],[Tech Start Date]],6),IF(Main[[#This Row],[Class]]="A",WORKDAY(Main[[#This Row],[Tech Start Date]],2),""))))</f>
        <v/>
      </c>
      <c r="N178" s="104" t="str">
        <f>IF(Main[[#This Row],[Tech Start Date]]&lt;1/1/1990,"",IF(Main[[#This Row],[Class]]="C",WORKDAY(Main[[#This Row],[Tech Start Date]],19),IF(Main[[#This Row],[Class]]="B", WORKDAY(Main[[#This Row],[Tech Start Date]],12),IF(Main[[#This Row],[Class]]="A",WORKDAY(Main[[#This Row],[Tech Start Date]],4),""))))</f>
        <v/>
      </c>
      <c r="O178" s="104" t="str">
        <f>IF(Main[[#This Row],[Tech Start Date]]&lt;1/1/1990,"",IF(Main[[#This Row],[Class]]="C",WORKDAY(Main[[#This Row],[Tech Start Date]],23),IF(Main[[#This Row],[Class]]="B", WORKDAY(Main[[#This Row],[Tech Start Date]],15),IF(Main[[#This Row],[Class]]="A",WORKDAY(Main[[#This Row],[Tech Start Date]],5),""))))</f>
        <v/>
      </c>
      <c r="P178" s="104" t="str">
        <f>IF(Main[[#This Row],[Tech Start Date]]&lt;1/1/1990,"",IF(Main[[#This Row],[Class]]="C",WORKDAY(Main[[#This Row],[Tech Start Date]],28),IF(Main[[#This Row],[Class]]="B", WORKDAY(Main[[#This Row],[Tech Start Date]],19),IF(Main[[#This Row],[Class]]="A",WORKDAY(Main[[#This Row],[Tech Start Date]],9),""))))</f>
        <v/>
      </c>
      <c r="Q178" s="101">
        <v>40512</v>
      </c>
      <c r="R178" s="101">
        <v>40918</v>
      </c>
      <c r="S178" s="99" t="s">
        <v>17</v>
      </c>
      <c r="T178" s="107" t="s">
        <v>4</v>
      </c>
      <c r="U178" s="99" t="s">
        <v>29</v>
      </c>
      <c r="V178" s="99" t="s">
        <v>1965</v>
      </c>
      <c r="W178" s="99" t="s">
        <v>1968</v>
      </c>
    </row>
    <row r="179" spans="1:23" ht="18.600000000000001" customHeight="1">
      <c r="A179" s="123" t="str">
        <f>IF(priority(Main[[#This Row],[Comments]])&lt;&gt;0, priority(Main[[#This Row],[Comments]]),"")</f>
        <v/>
      </c>
      <c r="B179" s="127" t="s">
        <v>1082</v>
      </c>
      <c r="C179" s="99" t="s">
        <v>86</v>
      </c>
      <c r="D179" s="100" t="s">
        <v>87</v>
      </c>
      <c r="E179" s="101"/>
      <c r="F179" s="101">
        <v>40555</v>
      </c>
      <c r="G179" s="102" t="str">
        <f>IF(stdProdLT(Main[[#This Row],[Comments]])=0.1,"N/A",IF(stdProdLT(Main[[#This Row],[Comments]])=0,"",stdProdLT(Main[[#This Row],[Comments]])))</f>
        <v/>
      </c>
      <c r="H179" s="103" t="str">
        <f>IF(AND(Main[[#This Row],[In Stock Date]]&lt;&gt;"",Main[[#This Row],[Revised Due Date]]&lt;&gt;""),Main[[#This Row],[In Stock Date]]-Main[[#This Row],[Revised Due Date]],"")</f>
        <v/>
      </c>
      <c r="I179" s="99" t="s">
        <v>4</v>
      </c>
      <c r="J179" s="99" t="s">
        <v>75</v>
      </c>
      <c r="K179" s="99" t="s">
        <v>4</v>
      </c>
      <c r="L179" s="101"/>
      <c r="M179" s="104" t="str">
        <f>IF(Main[[#This Row],[Tech Start Date]]&lt;1/1/1990,"",IF(Main[[#This Row],[Class]]="C",WORKDAY(Main[[#This Row],[Tech Start Date]],9),IF(Main[[#This Row],[Class]]="B", WORKDAY(Main[[#This Row],[Tech Start Date]],6),IF(Main[[#This Row],[Class]]="A",WORKDAY(Main[[#This Row],[Tech Start Date]],2),""))))</f>
        <v/>
      </c>
      <c r="N179" s="104" t="str">
        <f>IF(Main[[#This Row],[Tech Start Date]]&lt;1/1/1990,"",IF(Main[[#This Row],[Class]]="C",WORKDAY(Main[[#This Row],[Tech Start Date]],19),IF(Main[[#This Row],[Class]]="B", WORKDAY(Main[[#This Row],[Tech Start Date]],12),IF(Main[[#This Row],[Class]]="A",WORKDAY(Main[[#This Row],[Tech Start Date]],4),""))))</f>
        <v/>
      </c>
      <c r="O179" s="104" t="str">
        <f>IF(Main[[#This Row],[Tech Start Date]]&lt;1/1/1990,"",IF(Main[[#This Row],[Class]]="C",WORKDAY(Main[[#This Row],[Tech Start Date]],23),IF(Main[[#This Row],[Class]]="B", WORKDAY(Main[[#This Row],[Tech Start Date]],15),IF(Main[[#This Row],[Class]]="A",WORKDAY(Main[[#This Row],[Tech Start Date]],5),""))))</f>
        <v/>
      </c>
      <c r="P179" s="104" t="str">
        <f>IF(Main[[#This Row],[Tech Start Date]]&lt;1/1/1990,"",IF(Main[[#This Row],[Class]]="C",WORKDAY(Main[[#This Row],[Tech Start Date]],28),IF(Main[[#This Row],[Class]]="B", WORKDAY(Main[[#This Row],[Tech Start Date]],19),IF(Main[[#This Row],[Class]]="A",WORKDAY(Main[[#This Row],[Tech Start Date]],9),""))))</f>
        <v/>
      </c>
      <c r="Q179" s="101">
        <v>40446</v>
      </c>
      <c r="R179" s="101"/>
      <c r="S179" s="99" t="s">
        <v>49</v>
      </c>
      <c r="T179" s="107" t="s">
        <v>4</v>
      </c>
      <c r="U179" s="99" t="s">
        <v>14</v>
      </c>
      <c r="V179" s="99" t="s">
        <v>1965</v>
      </c>
      <c r="W179" s="99" t="s">
        <v>1964</v>
      </c>
    </row>
    <row r="180" spans="1:23" ht="18.600000000000001" customHeight="1">
      <c r="A180" s="123" t="str">
        <f>IF(priority(Main[[#This Row],[Comments]])&lt;&gt;0, priority(Main[[#This Row],[Comments]]),"")</f>
        <v/>
      </c>
      <c r="B180" s="127" t="s">
        <v>2751</v>
      </c>
      <c r="C180" s="99" t="s">
        <v>2457</v>
      </c>
      <c r="D180" s="100" t="s">
        <v>2752</v>
      </c>
      <c r="E180" s="101"/>
      <c r="F180" s="101">
        <v>41008</v>
      </c>
      <c r="G180" s="102" t="str">
        <f>IF(stdProdLT(Main[[#This Row],[Comments]])=0.1,"N/A",IF(stdProdLT(Main[[#This Row],[Comments]])=0,"",stdProdLT(Main[[#This Row],[Comments]])))</f>
        <v/>
      </c>
      <c r="H180" s="103" t="str">
        <f>IF(AND(Main[[#This Row],[In Stock Date]]&lt;&gt;"",Main[[#This Row],[Revised Due Date]]&lt;&gt;""),Main[[#This Row],[In Stock Date]]-Main[[#This Row],[Revised Due Date]],"")</f>
        <v/>
      </c>
      <c r="I180" s="99" t="s">
        <v>4</v>
      </c>
      <c r="J180" s="99" t="s">
        <v>4</v>
      </c>
      <c r="K180" s="99" t="s">
        <v>4</v>
      </c>
      <c r="L180" s="101"/>
      <c r="M180" s="104" t="str">
        <f>IF(Main[[#This Row],[Tech Start Date]]&lt;1/1/1990,"",IF(Main[[#This Row],[Class]]="C",WORKDAY(Main[[#This Row],[Tech Start Date]],9),IF(Main[[#This Row],[Class]]="B", WORKDAY(Main[[#This Row],[Tech Start Date]],6),IF(Main[[#This Row],[Class]]="A",WORKDAY(Main[[#This Row],[Tech Start Date]],2),""))))</f>
        <v/>
      </c>
      <c r="N180" s="104" t="str">
        <f>IF(Main[[#This Row],[Tech Start Date]]&lt;1/1/1990,"",IF(Main[[#This Row],[Class]]="C",WORKDAY(Main[[#This Row],[Tech Start Date]],19),IF(Main[[#This Row],[Class]]="B", WORKDAY(Main[[#This Row],[Tech Start Date]],12),IF(Main[[#This Row],[Class]]="A",WORKDAY(Main[[#This Row],[Tech Start Date]],4),""))))</f>
        <v/>
      </c>
      <c r="O180" s="104" t="str">
        <f>IF(Main[[#This Row],[Tech Start Date]]&lt;1/1/1990,"",IF(Main[[#This Row],[Class]]="C",WORKDAY(Main[[#This Row],[Tech Start Date]],23),IF(Main[[#This Row],[Class]]="B", WORKDAY(Main[[#This Row],[Tech Start Date]],15),IF(Main[[#This Row],[Class]]="A",WORKDAY(Main[[#This Row],[Tech Start Date]],5),""))))</f>
        <v/>
      </c>
      <c r="P180" s="104" t="str">
        <f>IF(Main[[#This Row],[Tech Start Date]]&lt;1/1/1990,"",IF(Main[[#This Row],[Class]]="C",WORKDAY(Main[[#This Row],[Tech Start Date]],28),IF(Main[[#This Row],[Class]]="B", WORKDAY(Main[[#This Row],[Tech Start Date]],19),IF(Main[[#This Row],[Class]]="A",WORKDAY(Main[[#This Row],[Tech Start Date]],9),""))))</f>
        <v/>
      </c>
      <c r="Q180" s="101">
        <v>40826</v>
      </c>
      <c r="R180" s="101"/>
      <c r="S180" s="99" t="s">
        <v>11</v>
      </c>
      <c r="T180" s="107" t="s">
        <v>4</v>
      </c>
      <c r="U180" s="99" t="s">
        <v>12</v>
      </c>
      <c r="V180" s="99" t="s">
        <v>1965</v>
      </c>
      <c r="W180" s="99" t="s">
        <v>1968</v>
      </c>
    </row>
    <row r="181" spans="1:23" ht="18.600000000000001" customHeight="1">
      <c r="A181" s="123" t="str">
        <f>IF(priority(Main[[#This Row],[Comments]])&lt;&gt;0, priority(Main[[#This Row],[Comments]]),"")</f>
        <v/>
      </c>
      <c r="B181" s="127" t="s">
        <v>1083</v>
      </c>
      <c r="C181" s="99" t="s">
        <v>88</v>
      </c>
      <c r="D181" s="100" t="s">
        <v>89</v>
      </c>
      <c r="E181" s="101"/>
      <c r="F181" s="101">
        <v>40709</v>
      </c>
      <c r="G181" s="102" t="str">
        <f>IF(stdProdLT(Main[[#This Row],[Comments]])=0.1,"N/A",IF(stdProdLT(Main[[#This Row],[Comments]])=0,"",stdProdLT(Main[[#This Row],[Comments]])))</f>
        <v/>
      </c>
      <c r="H181" s="103" t="str">
        <f>IF(AND(Main[[#This Row],[In Stock Date]]&lt;&gt;"",Main[[#This Row],[Revised Due Date]]&lt;&gt;""),Main[[#This Row],[In Stock Date]]-Main[[#This Row],[Revised Due Date]],"")</f>
        <v/>
      </c>
      <c r="I181" s="99" t="s">
        <v>4</v>
      </c>
      <c r="J181" s="99" t="s">
        <v>28</v>
      </c>
      <c r="K181" s="99" t="s">
        <v>1975</v>
      </c>
      <c r="L181" s="101"/>
      <c r="M181" s="104" t="str">
        <f>IF(Main[[#This Row],[Tech Start Date]]&lt;1/1/1990,"",IF(Main[[#This Row],[Class]]="C",WORKDAY(Main[[#This Row],[Tech Start Date]],9),IF(Main[[#This Row],[Class]]="B", WORKDAY(Main[[#This Row],[Tech Start Date]],6),IF(Main[[#This Row],[Class]]="A",WORKDAY(Main[[#This Row],[Tech Start Date]],2),""))))</f>
        <v/>
      </c>
      <c r="N181" s="104" t="str">
        <f>IF(Main[[#This Row],[Tech Start Date]]&lt;1/1/1990,"",IF(Main[[#This Row],[Class]]="C",WORKDAY(Main[[#This Row],[Tech Start Date]],19),IF(Main[[#This Row],[Class]]="B", WORKDAY(Main[[#This Row],[Tech Start Date]],12),IF(Main[[#This Row],[Class]]="A",WORKDAY(Main[[#This Row],[Tech Start Date]],4),""))))</f>
        <v/>
      </c>
      <c r="O181" s="104" t="str">
        <f>IF(Main[[#This Row],[Tech Start Date]]&lt;1/1/1990,"",IF(Main[[#This Row],[Class]]="C",WORKDAY(Main[[#This Row],[Tech Start Date]],23),IF(Main[[#This Row],[Class]]="B", WORKDAY(Main[[#This Row],[Tech Start Date]],15),IF(Main[[#This Row],[Class]]="A",WORKDAY(Main[[#This Row],[Tech Start Date]],5),""))))</f>
        <v/>
      </c>
      <c r="P181" s="104" t="str">
        <f>IF(Main[[#This Row],[Tech Start Date]]&lt;1/1/1990,"",IF(Main[[#This Row],[Class]]="C",WORKDAY(Main[[#This Row],[Tech Start Date]],28),IF(Main[[#This Row],[Class]]="B", WORKDAY(Main[[#This Row],[Tech Start Date]],19),IF(Main[[#This Row],[Class]]="A",WORKDAY(Main[[#This Row],[Tech Start Date]],9),""))))</f>
        <v/>
      </c>
      <c r="Q181" s="101">
        <v>40612</v>
      </c>
      <c r="R181" s="101"/>
      <c r="S181" s="99" t="s">
        <v>11</v>
      </c>
      <c r="T181" s="107" t="s">
        <v>4</v>
      </c>
      <c r="U181" s="99" t="s">
        <v>14</v>
      </c>
      <c r="V181" s="99" t="s">
        <v>1962</v>
      </c>
      <c r="W181" s="99" t="s">
        <v>1967</v>
      </c>
    </row>
    <row r="182" spans="1:23" ht="18.600000000000001" customHeight="1">
      <c r="A182" s="123" t="str">
        <f>IF(priority(Main[[#This Row],[Comments]])&lt;&gt;0, priority(Main[[#This Row],[Comments]]),"")</f>
        <v/>
      </c>
      <c r="B182" s="127" t="s">
        <v>1084</v>
      </c>
      <c r="C182" s="99" t="s">
        <v>4</v>
      </c>
      <c r="D182" s="100" t="s">
        <v>90</v>
      </c>
      <c r="E182" s="101"/>
      <c r="F182" s="101"/>
      <c r="G182" s="102" t="str">
        <f>IF(stdProdLT(Main[[#This Row],[Comments]])=0.1,"N/A",IF(stdProdLT(Main[[#This Row],[Comments]])=0,"",stdProdLT(Main[[#This Row],[Comments]])))</f>
        <v/>
      </c>
      <c r="H182" s="103" t="str">
        <f>IF(AND(Main[[#This Row],[In Stock Date]]&lt;&gt;"",Main[[#This Row],[Revised Due Date]]&lt;&gt;""),Main[[#This Row],[In Stock Date]]-Main[[#This Row],[Revised Due Date]],"")</f>
        <v/>
      </c>
      <c r="I182" s="99" t="s">
        <v>4</v>
      </c>
      <c r="J182" s="99" t="s">
        <v>4</v>
      </c>
      <c r="K182" s="99" t="s">
        <v>4</v>
      </c>
      <c r="L182" s="101"/>
      <c r="M182" s="104" t="str">
        <f>IF(Main[[#This Row],[Tech Start Date]]&lt;1/1/1990,"",IF(Main[[#This Row],[Class]]="C",WORKDAY(Main[[#This Row],[Tech Start Date]],9),IF(Main[[#This Row],[Class]]="B", WORKDAY(Main[[#This Row],[Tech Start Date]],6),IF(Main[[#This Row],[Class]]="A",WORKDAY(Main[[#This Row],[Tech Start Date]],2),""))))</f>
        <v/>
      </c>
      <c r="N182" s="104" t="str">
        <f>IF(Main[[#This Row],[Tech Start Date]]&lt;1/1/1990,"",IF(Main[[#This Row],[Class]]="C",WORKDAY(Main[[#This Row],[Tech Start Date]],19),IF(Main[[#This Row],[Class]]="B", WORKDAY(Main[[#This Row],[Tech Start Date]],12),IF(Main[[#This Row],[Class]]="A",WORKDAY(Main[[#This Row],[Tech Start Date]],4),""))))</f>
        <v/>
      </c>
      <c r="O182" s="104" t="str">
        <f>IF(Main[[#This Row],[Tech Start Date]]&lt;1/1/1990,"",IF(Main[[#This Row],[Class]]="C",WORKDAY(Main[[#This Row],[Tech Start Date]],23),IF(Main[[#This Row],[Class]]="B", WORKDAY(Main[[#This Row],[Tech Start Date]],15),IF(Main[[#This Row],[Class]]="A",WORKDAY(Main[[#This Row],[Tech Start Date]],5),""))))</f>
        <v/>
      </c>
      <c r="P182" s="104" t="str">
        <f>IF(Main[[#This Row],[Tech Start Date]]&lt;1/1/1990,"",IF(Main[[#This Row],[Class]]="C",WORKDAY(Main[[#This Row],[Tech Start Date]],28),IF(Main[[#This Row],[Class]]="B", WORKDAY(Main[[#This Row],[Tech Start Date]],19),IF(Main[[#This Row],[Class]]="A",WORKDAY(Main[[#This Row],[Tech Start Date]],9),""))))</f>
        <v/>
      </c>
      <c r="Q182" s="101"/>
      <c r="R182" s="101"/>
      <c r="S182" s="99" t="s">
        <v>23</v>
      </c>
      <c r="T182" s="107" t="s">
        <v>4</v>
      </c>
      <c r="U182" s="99" t="s">
        <v>14</v>
      </c>
      <c r="V182" s="99" t="s">
        <v>1962</v>
      </c>
      <c r="W182" s="99" t="s">
        <v>1966</v>
      </c>
    </row>
    <row r="183" spans="1:23" ht="18.600000000000001" customHeight="1">
      <c r="A183" s="123" t="str">
        <f>IF(priority(Main[[#This Row],[Comments]])&lt;&gt;0, priority(Main[[#This Row],[Comments]]),"")</f>
        <v/>
      </c>
      <c r="B183" s="127" t="s">
        <v>1086</v>
      </c>
      <c r="C183" s="99" t="s">
        <v>93</v>
      </c>
      <c r="D183" s="100" t="s">
        <v>94</v>
      </c>
      <c r="E183" s="101"/>
      <c r="F183" s="101">
        <v>40299</v>
      </c>
      <c r="G183" s="102" t="str">
        <f>IF(stdProdLT(Main[[#This Row],[Comments]])=0.1,"N/A",IF(stdProdLT(Main[[#This Row],[Comments]])=0,"",stdProdLT(Main[[#This Row],[Comments]])))</f>
        <v/>
      </c>
      <c r="H183" s="103" t="str">
        <f>IF(AND(Main[[#This Row],[In Stock Date]]&lt;&gt;"",Main[[#This Row],[Revised Due Date]]&lt;&gt;""),Main[[#This Row],[In Stock Date]]-Main[[#This Row],[Revised Due Date]],"")</f>
        <v/>
      </c>
      <c r="I183" s="99" t="s">
        <v>4</v>
      </c>
      <c r="J183" s="99" t="s">
        <v>4</v>
      </c>
      <c r="K183" s="108" t="s">
        <v>4</v>
      </c>
      <c r="L183" s="101"/>
      <c r="M183" s="104" t="str">
        <f>IF(Main[[#This Row],[Tech Start Date]]&lt;1/1/1990,"",IF(Main[[#This Row],[Class]]="C",WORKDAY(Main[[#This Row],[Tech Start Date]],9),IF(Main[[#This Row],[Class]]="B", WORKDAY(Main[[#This Row],[Tech Start Date]],6),IF(Main[[#This Row],[Class]]="A",WORKDAY(Main[[#This Row],[Tech Start Date]],2),""))))</f>
        <v/>
      </c>
      <c r="N183" s="104" t="str">
        <f>IF(Main[[#This Row],[Tech Start Date]]&lt;1/1/1990,"",IF(Main[[#This Row],[Class]]="C",WORKDAY(Main[[#This Row],[Tech Start Date]],19),IF(Main[[#This Row],[Class]]="B", WORKDAY(Main[[#This Row],[Tech Start Date]],12),IF(Main[[#This Row],[Class]]="A",WORKDAY(Main[[#This Row],[Tech Start Date]],4),""))))</f>
        <v/>
      </c>
      <c r="O183" s="104" t="str">
        <f>IF(Main[[#This Row],[Tech Start Date]]&lt;1/1/1990,"",IF(Main[[#This Row],[Class]]="C",WORKDAY(Main[[#This Row],[Tech Start Date]],23),IF(Main[[#This Row],[Class]]="B", WORKDAY(Main[[#This Row],[Tech Start Date]],15),IF(Main[[#This Row],[Class]]="A",WORKDAY(Main[[#This Row],[Tech Start Date]],5),""))))</f>
        <v/>
      </c>
      <c r="P183" s="104" t="str">
        <f>IF(Main[[#This Row],[Tech Start Date]]&lt;1/1/1990,"",IF(Main[[#This Row],[Class]]="C",WORKDAY(Main[[#This Row],[Tech Start Date]],28),IF(Main[[#This Row],[Class]]="B", WORKDAY(Main[[#This Row],[Tech Start Date]],19),IF(Main[[#This Row],[Class]]="A",WORKDAY(Main[[#This Row],[Tech Start Date]],9),""))))</f>
        <v/>
      </c>
      <c r="Q183" s="101">
        <v>40209</v>
      </c>
      <c r="R183" s="101"/>
      <c r="S183" s="99" t="s">
        <v>11</v>
      </c>
      <c r="T183" s="107" t="s">
        <v>4</v>
      </c>
      <c r="U183" s="99" t="s">
        <v>14</v>
      </c>
      <c r="V183" s="99" t="s">
        <v>1962</v>
      </c>
      <c r="W183" s="99" t="s">
        <v>1973</v>
      </c>
    </row>
    <row r="184" spans="1:23" ht="18.600000000000001" customHeight="1">
      <c r="A184" s="123" t="str">
        <f>IF(priority(Main[[#This Row],[Comments]])&lt;&gt;0, priority(Main[[#This Row],[Comments]]),"")</f>
        <v/>
      </c>
      <c r="B184" s="127" t="s">
        <v>1088</v>
      </c>
      <c r="C184" s="99" t="s">
        <v>4</v>
      </c>
      <c r="D184" s="100" t="s">
        <v>39</v>
      </c>
      <c r="E184" s="101"/>
      <c r="F184" s="101"/>
      <c r="G184" s="102" t="str">
        <f>IF(stdProdLT(Main[[#This Row],[Comments]])=0.1,"N/A",IF(stdProdLT(Main[[#This Row],[Comments]])=0,"",stdProdLT(Main[[#This Row],[Comments]])))</f>
        <v/>
      </c>
      <c r="H184" s="103" t="str">
        <f>IF(AND(Main[[#This Row],[In Stock Date]]&lt;&gt;"",Main[[#This Row],[Revised Due Date]]&lt;&gt;""),Main[[#This Row],[In Stock Date]]-Main[[#This Row],[Revised Due Date]],"")</f>
        <v/>
      </c>
      <c r="I184" s="99" t="s">
        <v>4</v>
      </c>
      <c r="J184" s="99" t="s">
        <v>4</v>
      </c>
      <c r="K184" s="108" t="s">
        <v>4</v>
      </c>
      <c r="L184" s="101"/>
      <c r="M184" s="104" t="str">
        <f>IF(Main[[#This Row],[Tech Start Date]]&lt;1/1/1990,"",IF(Main[[#This Row],[Class]]="C",WORKDAY(Main[[#This Row],[Tech Start Date]],9),IF(Main[[#This Row],[Class]]="B", WORKDAY(Main[[#This Row],[Tech Start Date]],6),IF(Main[[#This Row],[Class]]="A",WORKDAY(Main[[#This Row],[Tech Start Date]],2),""))))</f>
        <v/>
      </c>
      <c r="N184" s="104" t="str">
        <f>IF(Main[[#This Row],[Tech Start Date]]&lt;1/1/1990,"",IF(Main[[#This Row],[Class]]="C",WORKDAY(Main[[#This Row],[Tech Start Date]],19),IF(Main[[#This Row],[Class]]="B", WORKDAY(Main[[#This Row],[Tech Start Date]],12),IF(Main[[#This Row],[Class]]="A",WORKDAY(Main[[#This Row],[Tech Start Date]],4),""))))</f>
        <v/>
      </c>
      <c r="O184" s="104" t="str">
        <f>IF(Main[[#This Row],[Tech Start Date]]&lt;1/1/1990,"",IF(Main[[#This Row],[Class]]="C",WORKDAY(Main[[#This Row],[Tech Start Date]],23),IF(Main[[#This Row],[Class]]="B", WORKDAY(Main[[#This Row],[Tech Start Date]],15),IF(Main[[#This Row],[Class]]="A",WORKDAY(Main[[#This Row],[Tech Start Date]],5),""))))</f>
        <v/>
      </c>
      <c r="P184" s="104" t="str">
        <f>IF(Main[[#This Row],[Tech Start Date]]&lt;1/1/1990,"",IF(Main[[#This Row],[Class]]="C",WORKDAY(Main[[#This Row],[Tech Start Date]],28),IF(Main[[#This Row],[Class]]="B", WORKDAY(Main[[#This Row],[Tech Start Date]],19),IF(Main[[#This Row],[Class]]="A",WORKDAY(Main[[#This Row],[Tech Start Date]],9),""))))</f>
        <v/>
      </c>
      <c r="Q184" s="101">
        <v>40669</v>
      </c>
      <c r="R184" s="101"/>
      <c r="S184" s="99" t="s">
        <v>6</v>
      </c>
      <c r="T184" s="107" t="s">
        <v>4</v>
      </c>
      <c r="U184" s="99" t="s">
        <v>14</v>
      </c>
      <c r="V184" s="99" t="s">
        <v>1965</v>
      </c>
      <c r="W184" s="99" t="s">
        <v>4</v>
      </c>
    </row>
    <row r="185" spans="1:23" ht="18.600000000000001" customHeight="1">
      <c r="A185" s="123" t="str">
        <f>IF(priority(Main[[#This Row],[Comments]])&lt;&gt;0, priority(Main[[#This Row],[Comments]]),"")</f>
        <v/>
      </c>
      <c r="B185" s="127" t="s">
        <v>1089</v>
      </c>
      <c r="C185" s="99" t="s">
        <v>47</v>
      </c>
      <c r="D185" s="100" t="s">
        <v>91</v>
      </c>
      <c r="E185" s="101"/>
      <c r="F185" s="101"/>
      <c r="G185" s="102" t="str">
        <f>IF(stdProdLT(Main[[#This Row],[Comments]])=0.1,"N/A",IF(stdProdLT(Main[[#This Row],[Comments]])=0,"",stdProdLT(Main[[#This Row],[Comments]])))</f>
        <v/>
      </c>
      <c r="H185" s="103" t="str">
        <f>IF(AND(Main[[#This Row],[In Stock Date]]&lt;&gt;"",Main[[#This Row],[Revised Due Date]]&lt;&gt;""),Main[[#This Row],[In Stock Date]]-Main[[#This Row],[Revised Due Date]],"")</f>
        <v/>
      </c>
      <c r="I185" s="99" t="s">
        <v>4</v>
      </c>
      <c r="J185" s="99" t="s">
        <v>4</v>
      </c>
      <c r="K185" s="99" t="s">
        <v>4</v>
      </c>
      <c r="L185" s="101"/>
      <c r="M185" s="104" t="str">
        <f>IF(Main[[#This Row],[Tech Start Date]]&lt;1/1/1990,"",IF(Main[[#This Row],[Class]]="C",WORKDAY(Main[[#This Row],[Tech Start Date]],9),IF(Main[[#This Row],[Class]]="B", WORKDAY(Main[[#This Row],[Tech Start Date]],6),IF(Main[[#This Row],[Class]]="A",WORKDAY(Main[[#This Row],[Tech Start Date]],2),""))))</f>
        <v/>
      </c>
      <c r="N185" s="104" t="str">
        <f>IF(Main[[#This Row],[Tech Start Date]]&lt;1/1/1990,"",IF(Main[[#This Row],[Class]]="C",WORKDAY(Main[[#This Row],[Tech Start Date]],19),IF(Main[[#This Row],[Class]]="B", WORKDAY(Main[[#This Row],[Tech Start Date]],12),IF(Main[[#This Row],[Class]]="A",WORKDAY(Main[[#This Row],[Tech Start Date]],4),""))))</f>
        <v/>
      </c>
      <c r="O185" s="104" t="str">
        <f>IF(Main[[#This Row],[Tech Start Date]]&lt;1/1/1990,"",IF(Main[[#This Row],[Class]]="C",WORKDAY(Main[[#This Row],[Tech Start Date]],23),IF(Main[[#This Row],[Class]]="B", WORKDAY(Main[[#This Row],[Tech Start Date]],15),IF(Main[[#This Row],[Class]]="A",WORKDAY(Main[[#This Row],[Tech Start Date]],5),""))))</f>
        <v/>
      </c>
      <c r="P185" s="104" t="str">
        <f>IF(Main[[#This Row],[Tech Start Date]]&lt;1/1/1990,"",IF(Main[[#This Row],[Class]]="C",WORKDAY(Main[[#This Row],[Tech Start Date]],28),IF(Main[[#This Row],[Class]]="B", WORKDAY(Main[[#This Row],[Tech Start Date]],19),IF(Main[[#This Row],[Class]]="A",WORKDAY(Main[[#This Row],[Tech Start Date]],9),""))))</f>
        <v/>
      </c>
      <c r="Q185" s="101"/>
      <c r="R185" s="101"/>
      <c r="S185" s="99" t="s">
        <v>49</v>
      </c>
      <c r="T185" s="107" t="s">
        <v>4</v>
      </c>
      <c r="U185" s="99" t="s">
        <v>14</v>
      </c>
      <c r="V185" s="99" t="s">
        <v>1965</v>
      </c>
      <c r="W185" s="99" t="s">
        <v>1966</v>
      </c>
    </row>
    <row r="186" spans="1:23" ht="18.600000000000001" customHeight="1">
      <c r="A186" s="123" t="str">
        <f>IF(priority(Main[[#This Row],[Comments]])&lt;&gt;0, priority(Main[[#This Row],[Comments]]),"")</f>
        <v/>
      </c>
      <c r="B186" s="127" t="s">
        <v>1090</v>
      </c>
      <c r="C186" s="99" t="s">
        <v>4</v>
      </c>
      <c r="D186" s="100" t="s">
        <v>92</v>
      </c>
      <c r="E186" s="101"/>
      <c r="F186" s="101"/>
      <c r="G186" s="102" t="str">
        <f>IF(stdProdLT(Main[[#This Row],[Comments]])=0.1,"N/A",IF(stdProdLT(Main[[#This Row],[Comments]])=0,"",stdProdLT(Main[[#This Row],[Comments]])))</f>
        <v/>
      </c>
      <c r="H186" s="103" t="str">
        <f>IF(AND(Main[[#This Row],[In Stock Date]]&lt;&gt;"",Main[[#This Row],[Revised Due Date]]&lt;&gt;""),Main[[#This Row],[In Stock Date]]-Main[[#This Row],[Revised Due Date]],"")</f>
        <v/>
      </c>
      <c r="I186" s="99" t="s">
        <v>4</v>
      </c>
      <c r="J186" s="99" t="s">
        <v>4</v>
      </c>
      <c r="K186" s="108" t="s">
        <v>4</v>
      </c>
      <c r="L186" s="101"/>
      <c r="M186" s="104" t="str">
        <f>IF(Main[[#This Row],[Tech Start Date]]&lt;1/1/1990,"",IF(Main[[#This Row],[Class]]="C",WORKDAY(Main[[#This Row],[Tech Start Date]],9),IF(Main[[#This Row],[Class]]="B", WORKDAY(Main[[#This Row],[Tech Start Date]],6),IF(Main[[#This Row],[Class]]="A",WORKDAY(Main[[#This Row],[Tech Start Date]],2),""))))</f>
        <v/>
      </c>
      <c r="N186" s="104" t="str">
        <f>IF(Main[[#This Row],[Tech Start Date]]&lt;1/1/1990,"",IF(Main[[#This Row],[Class]]="C",WORKDAY(Main[[#This Row],[Tech Start Date]],19),IF(Main[[#This Row],[Class]]="B", WORKDAY(Main[[#This Row],[Tech Start Date]],12),IF(Main[[#This Row],[Class]]="A",WORKDAY(Main[[#This Row],[Tech Start Date]],4),""))))</f>
        <v/>
      </c>
      <c r="O186" s="104" t="str">
        <f>IF(Main[[#This Row],[Tech Start Date]]&lt;1/1/1990,"",IF(Main[[#This Row],[Class]]="C",WORKDAY(Main[[#This Row],[Tech Start Date]],23),IF(Main[[#This Row],[Class]]="B", WORKDAY(Main[[#This Row],[Tech Start Date]],15),IF(Main[[#This Row],[Class]]="A",WORKDAY(Main[[#This Row],[Tech Start Date]],5),""))))</f>
        <v/>
      </c>
      <c r="P186" s="104" t="str">
        <f>IF(Main[[#This Row],[Tech Start Date]]&lt;1/1/1990,"",IF(Main[[#This Row],[Class]]="C",WORKDAY(Main[[#This Row],[Tech Start Date]],28),IF(Main[[#This Row],[Class]]="B", WORKDAY(Main[[#This Row],[Tech Start Date]],19),IF(Main[[#This Row],[Class]]="A",WORKDAY(Main[[#This Row],[Tech Start Date]],9),""))))</f>
        <v/>
      </c>
      <c r="Q186" s="101">
        <v>40289</v>
      </c>
      <c r="R186" s="101"/>
      <c r="S186" s="99" t="s">
        <v>11</v>
      </c>
      <c r="T186" s="107" t="s">
        <v>4</v>
      </c>
      <c r="U186" s="99" t="s">
        <v>14</v>
      </c>
      <c r="V186" s="99" t="s">
        <v>1962</v>
      </c>
      <c r="W186" s="99" t="s">
        <v>1964</v>
      </c>
    </row>
    <row r="187" spans="1:23" ht="18.600000000000001" customHeight="1">
      <c r="A187" s="123" t="str">
        <f>IF(priority(Main[[#This Row],[Comments]])&lt;&gt;0, priority(Main[[#This Row],[Comments]]),"")</f>
        <v/>
      </c>
      <c r="B187" s="127" t="s">
        <v>1091</v>
      </c>
      <c r="C187" s="99" t="s">
        <v>95</v>
      </c>
      <c r="D187" s="100" t="s">
        <v>96</v>
      </c>
      <c r="E187" s="101"/>
      <c r="F187" s="101"/>
      <c r="G187" s="102" t="str">
        <f>IF(stdProdLT(Main[[#This Row],[Comments]])=0.1,"N/A",IF(stdProdLT(Main[[#This Row],[Comments]])=0,"",stdProdLT(Main[[#This Row],[Comments]])))</f>
        <v/>
      </c>
      <c r="H187" s="103" t="str">
        <f>IF(AND(Main[[#This Row],[In Stock Date]]&lt;&gt;"",Main[[#This Row],[Revised Due Date]]&lt;&gt;""),Main[[#This Row],[In Stock Date]]-Main[[#This Row],[Revised Due Date]],"")</f>
        <v/>
      </c>
      <c r="I187" s="99" t="s">
        <v>4</v>
      </c>
      <c r="J187" s="99" t="s">
        <v>4</v>
      </c>
      <c r="K187" s="99" t="s">
        <v>4</v>
      </c>
      <c r="L187" s="101"/>
      <c r="M187" s="104" t="str">
        <f>IF(Main[[#This Row],[Tech Start Date]]&lt;1/1/1990,"",IF(Main[[#This Row],[Class]]="C",WORKDAY(Main[[#This Row],[Tech Start Date]],9),IF(Main[[#This Row],[Class]]="B", WORKDAY(Main[[#This Row],[Tech Start Date]],6),IF(Main[[#This Row],[Class]]="A",WORKDAY(Main[[#This Row],[Tech Start Date]],2),""))))</f>
        <v/>
      </c>
      <c r="N187" s="104" t="str">
        <f>IF(Main[[#This Row],[Tech Start Date]]&lt;1/1/1990,"",IF(Main[[#This Row],[Class]]="C",WORKDAY(Main[[#This Row],[Tech Start Date]],19),IF(Main[[#This Row],[Class]]="B", WORKDAY(Main[[#This Row],[Tech Start Date]],12),IF(Main[[#This Row],[Class]]="A",WORKDAY(Main[[#This Row],[Tech Start Date]],4),""))))</f>
        <v/>
      </c>
      <c r="O187" s="104" t="str">
        <f>IF(Main[[#This Row],[Tech Start Date]]&lt;1/1/1990,"",IF(Main[[#This Row],[Class]]="C",WORKDAY(Main[[#This Row],[Tech Start Date]],23),IF(Main[[#This Row],[Class]]="B", WORKDAY(Main[[#This Row],[Tech Start Date]],15),IF(Main[[#This Row],[Class]]="A",WORKDAY(Main[[#This Row],[Tech Start Date]],5),""))))</f>
        <v/>
      </c>
      <c r="P187" s="104" t="str">
        <f>IF(Main[[#This Row],[Tech Start Date]]&lt;1/1/1990,"",IF(Main[[#This Row],[Class]]="C",WORKDAY(Main[[#This Row],[Tech Start Date]],28),IF(Main[[#This Row],[Class]]="B", WORKDAY(Main[[#This Row],[Tech Start Date]],19),IF(Main[[#This Row],[Class]]="A",WORKDAY(Main[[#This Row],[Tech Start Date]],9),""))))</f>
        <v/>
      </c>
      <c r="Q187" s="101">
        <v>40302</v>
      </c>
      <c r="R187" s="101"/>
      <c r="S187" s="99" t="s">
        <v>6</v>
      </c>
      <c r="T187" s="107" t="s">
        <v>4</v>
      </c>
      <c r="U187" s="99" t="s">
        <v>14</v>
      </c>
      <c r="V187" s="99" t="s">
        <v>1962</v>
      </c>
      <c r="W187" s="99" t="s">
        <v>1968</v>
      </c>
    </row>
    <row r="188" spans="1:23" ht="18.600000000000001" customHeight="1">
      <c r="A188" s="123" t="str">
        <f>IF(priority(Main[[#This Row],[Comments]])&lt;&gt;0, priority(Main[[#This Row],[Comments]]),"")</f>
        <v/>
      </c>
      <c r="B188" s="127" t="s">
        <v>1092</v>
      </c>
      <c r="C188" s="99" t="s">
        <v>4</v>
      </c>
      <c r="D188" s="100" t="s">
        <v>105</v>
      </c>
      <c r="E188" s="101"/>
      <c r="F188" s="101"/>
      <c r="G188" s="102" t="str">
        <f>IF(stdProdLT(Main[[#This Row],[Comments]])=0.1,"N/A",IF(stdProdLT(Main[[#This Row],[Comments]])=0,"",stdProdLT(Main[[#This Row],[Comments]])))</f>
        <v/>
      </c>
      <c r="H188" s="103" t="str">
        <f>IF(AND(Main[[#This Row],[In Stock Date]]&lt;&gt;"",Main[[#This Row],[Revised Due Date]]&lt;&gt;""),Main[[#This Row],[In Stock Date]]-Main[[#This Row],[Revised Due Date]],"")</f>
        <v/>
      </c>
      <c r="I188" s="99" t="s">
        <v>44</v>
      </c>
      <c r="J188" s="99" t="s">
        <v>28</v>
      </c>
      <c r="K188" s="108" t="s">
        <v>1971</v>
      </c>
      <c r="L188" s="101"/>
      <c r="M188" s="104" t="str">
        <f>IF(Main[[#This Row],[Tech Start Date]]&lt;1/1/1990,"",IF(Main[[#This Row],[Class]]="C",WORKDAY(Main[[#This Row],[Tech Start Date]],9),IF(Main[[#This Row],[Class]]="B", WORKDAY(Main[[#This Row],[Tech Start Date]],6),IF(Main[[#This Row],[Class]]="A",WORKDAY(Main[[#This Row],[Tech Start Date]],2),""))))</f>
        <v/>
      </c>
      <c r="N188" s="104" t="str">
        <f>IF(Main[[#This Row],[Tech Start Date]]&lt;1/1/1990,"",IF(Main[[#This Row],[Class]]="C",WORKDAY(Main[[#This Row],[Tech Start Date]],19),IF(Main[[#This Row],[Class]]="B", WORKDAY(Main[[#This Row],[Tech Start Date]],12),IF(Main[[#This Row],[Class]]="A",WORKDAY(Main[[#This Row],[Tech Start Date]],4),""))))</f>
        <v/>
      </c>
      <c r="O188" s="104" t="str">
        <f>IF(Main[[#This Row],[Tech Start Date]]&lt;1/1/1990,"",IF(Main[[#This Row],[Class]]="C",WORKDAY(Main[[#This Row],[Tech Start Date]],23),IF(Main[[#This Row],[Class]]="B", WORKDAY(Main[[#This Row],[Tech Start Date]],15),IF(Main[[#This Row],[Class]]="A",WORKDAY(Main[[#This Row],[Tech Start Date]],5),""))))</f>
        <v/>
      </c>
      <c r="P188" s="104" t="str">
        <f>IF(Main[[#This Row],[Tech Start Date]]&lt;1/1/1990,"",IF(Main[[#This Row],[Class]]="C",WORKDAY(Main[[#This Row],[Tech Start Date]],28),IF(Main[[#This Row],[Class]]="B", WORKDAY(Main[[#This Row],[Tech Start Date]],19),IF(Main[[#This Row],[Class]]="A",WORKDAY(Main[[#This Row],[Tech Start Date]],9),""))))</f>
        <v/>
      </c>
      <c r="Q188" s="101">
        <v>40725</v>
      </c>
      <c r="R188" s="101"/>
      <c r="S188" s="99" t="s">
        <v>6</v>
      </c>
      <c r="T188" s="107" t="s">
        <v>4</v>
      </c>
      <c r="U188" s="99" t="s">
        <v>14</v>
      </c>
      <c r="V188" s="99" t="s">
        <v>1965</v>
      </c>
      <c r="W188" s="99" t="s">
        <v>1966</v>
      </c>
    </row>
    <row r="189" spans="1:23" ht="18.600000000000001" customHeight="1">
      <c r="A189" s="123" t="str">
        <f>IF(priority(Main[[#This Row],[Comments]])&lt;&gt;0, priority(Main[[#This Row],[Comments]]),"")</f>
        <v/>
      </c>
      <c r="B189" s="127" t="s">
        <v>1093</v>
      </c>
      <c r="C189" s="99" t="s">
        <v>106</v>
      </c>
      <c r="D189" s="100" t="s">
        <v>107</v>
      </c>
      <c r="E189" s="101"/>
      <c r="F189" s="101"/>
      <c r="G189" s="102" t="str">
        <f>IF(stdProdLT(Main[[#This Row],[Comments]])=0.1,"N/A",IF(stdProdLT(Main[[#This Row],[Comments]])=0,"",stdProdLT(Main[[#This Row],[Comments]])))</f>
        <v/>
      </c>
      <c r="H189" s="103" t="str">
        <f>IF(AND(Main[[#This Row],[In Stock Date]]&lt;&gt;"",Main[[#This Row],[Revised Due Date]]&lt;&gt;""),Main[[#This Row],[In Stock Date]]-Main[[#This Row],[Revised Due Date]],"")</f>
        <v/>
      </c>
      <c r="I189" s="99" t="s">
        <v>108</v>
      </c>
      <c r="J189" s="99" t="s">
        <v>28</v>
      </c>
      <c r="K189" s="99" t="s">
        <v>1975</v>
      </c>
      <c r="L189" s="101"/>
      <c r="M189" s="104" t="str">
        <f>IF(Main[[#This Row],[Tech Start Date]]&lt;1/1/1990,"",IF(Main[[#This Row],[Class]]="C",WORKDAY(Main[[#This Row],[Tech Start Date]],9),IF(Main[[#This Row],[Class]]="B", WORKDAY(Main[[#This Row],[Tech Start Date]],6),IF(Main[[#This Row],[Class]]="A",WORKDAY(Main[[#This Row],[Tech Start Date]],2),""))))</f>
        <v/>
      </c>
      <c r="N189" s="104" t="str">
        <f>IF(Main[[#This Row],[Tech Start Date]]&lt;1/1/1990,"",IF(Main[[#This Row],[Class]]="C",WORKDAY(Main[[#This Row],[Tech Start Date]],19),IF(Main[[#This Row],[Class]]="B", WORKDAY(Main[[#This Row],[Tech Start Date]],12),IF(Main[[#This Row],[Class]]="A",WORKDAY(Main[[#This Row],[Tech Start Date]],4),""))))</f>
        <v/>
      </c>
      <c r="O189" s="104" t="str">
        <f>IF(Main[[#This Row],[Tech Start Date]]&lt;1/1/1990,"",IF(Main[[#This Row],[Class]]="C",WORKDAY(Main[[#This Row],[Tech Start Date]],23),IF(Main[[#This Row],[Class]]="B", WORKDAY(Main[[#This Row],[Tech Start Date]],15),IF(Main[[#This Row],[Class]]="A",WORKDAY(Main[[#This Row],[Tech Start Date]],5),""))))</f>
        <v/>
      </c>
      <c r="P189" s="104" t="str">
        <f>IF(Main[[#This Row],[Tech Start Date]]&lt;1/1/1990,"",IF(Main[[#This Row],[Class]]="C",WORKDAY(Main[[#This Row],[Tech Start Date]],28),IF(Main[[#This Row],[Class]]="B", WORKDAY(Main[[#This Row],[Tech Start Date]],19),IF(Main[[#This Row],[Class]]="A",WORKDAY(Main[[#This Row],[Tech Start Date]],9),""))))</f>
        <v/>
      </c>
      <c r="Q189" s="101">
        <v>40626</v>
      </c>
      <c r="R189" s="101"/>
      <c r="S189" s="99" t="s">
        <v>11</v>
      </c>
      <c r="T189" s="107" t="s">
        <v>4</v>
      </c>
      <c r="U189" s="99" t="s">
        <v>14</v>
      </c>
      <c r="V189" s="99" t="s">
        <v>1963</v>
      </c>
      <c r="W189" s="99" t="s">
        <v>1964</v>
      </c>
    </row>
    <row r="190" spans="1:23" ht="18.600000000000001" customHeight="1">
      <c r="A190" s="123" t="str">
        <f>IF(priority(Main[[#This Row],[Comments]])&lt;&gt;0, priority(Main[[#This Row],[Comments]]),"")</f>
        <v/>
      </c>
      <c r="B190" s="127" t="s">
        <v>1100</v>
      </c>
      <c r="C190" s="99" t="s">
        <v>31</v>
      </c>
      <c r="D190" s="100" t="s">
        <v>109</v>
      </c>
      <c r="E190" s="101"/>
      <c r="F190" s="101"/>
      <c r="G190" s="102" t="str">
        <f>IF(stdProdLT(Main[[#This Row],[Comments]])=0.1,"N/A",IF(stdProdLT(Main[[#This Row],[Comments]])=0,"",stdProdLT(Main[[#This Row],[Comments]])))</f>
        <v/>
      </c>
      <c r="H190" s="103" t="str">
        <f>IF(AND(Main[[#This Row],[In Stock Date]]&lt;&gt;"",Main[[#This Row],[Revised Due Date]]&lt;&gt;""),Main[[#This Row],[In Stock Date]]-Main[[#This Row],[Revised Due Date]],"")</f>
        <v/>
      </c>
      <c r="I190" s="99" t="s">
        <v>4</v>
      </c>
      <c r="J190" s="99" t="s">
        <v>4</v>
      </c>
      <c r="K190" s="99" t="s">
        <v>4</v>
      </c>
      <c r="L190" s="101"/>
      <c r="M190" s="104" t="str">
        <f>IF(Main[[#This Row],[Tech Start Date]]&lt;1/1/1990,"",IF(Main[[#This Row],[Class]]="C",WORKDAY(Main[[#This Row],[Tech Start Date]],9),IF(Main[[#This Row],[Class]]="B", WORKDAY(Main[[#This Row],[Tech Start Date]],6),IF(Main[[#This Row],[Class]]="A",WORKDAY(Main[[#This Row],[Tech Start Date]],2),""))))</f>
        <v/>
      </c>
      <c r="N190" s="104" t="str">
        <f>IF(Main[[#This Row],[Tech Start Date]]&lt;1/1/1990,"",IF(Main[[#This Row],[Class]]="C",WORKDAY(Main[[#This Row],[Tech Start Date]],19),IF(Main[[#This Row],[Class]]="B", WORKDAY(Main[[#This Row],[Tech Start Date]],12),IF(Main[[#This Row],[Class]]="A",WORKDAY(Main[[#This Row],[Tech Start Date]],4),""))))</f>
        <v/>
      </c>
      <c r="O190" s="104" t="str">
        <f>IF(Main[[#This Row],[Tech Start Date]]&lt;1/1/1990,"",IF(Main[[#This Row],[Class]]="C",WORKDAY(Main[[#This Row],[Tech Start Date]],23),IF(Main[[#This Row],[Class]]="B", WORKDAY(Main[[#This Row],[Tech Start Date]],15),IF(Main[[#This Row],[Class]]="A",WORKDAY(Main[[#This Row],[Tech Start Date]],5),""))))</f>
        <v/>
      </c>
      <c r="P190" s="104" t="str">
        <f>IF(Main[[#This Row],[Tech Start Date]]&lt;1/1/1990,"",IF(Main[[#This Row],[Class]]="C",WORKDAY(Main[[#This Row],[Tech Start Date]],28),IF(Main[[#This Row],[Class]]="B", WORKDAY(Main[[#This Row],[Tech Start Date]],19),IF(Main[[#This Row],[Class]]="A",WORKDAY(Main[[#This Row],[Tech Start Date]],9),""))))</f>
        <v/>
      </c>
      <c r="Q190" s="101">
        <v>40318</v>
      </c>
      <c r="R190" s="101"/>
      <c r="S190" s="99" t="s">
        <v>11</v>
      </c>
      <c r="T190" s="107" t="s">
        <v>4</v>
      </c>
      <c r="U190" s="99" t="s">
        <v>14</v>
      </c>
      <c r="V190" s="99" t="s">
        <v>1965</v>
      </c>
      <c r="W190" s="99" t="s">
        <v>1964</v>
      </c>
    </row>
    <row r="191" spans="1:23" ht="18.600000000000001" customHeight="1">
      <c r="A191" s="123" t="str">
        <f>IF(priority(Main[[#This Row],[Comments]])&lt;&gt;0, priority(Main[[#This Row],[Comments]]),"")</f>
        <v/>
      </c>
      <c r="B191" s="127" t="s">
        <v>2098</v>
      </c>
      <c r="C191" s="99" t="s">
        <v>4</v>
      </c>
      <c r="D191" s="100" t="s">
        <v>2097</v>
      </c>
      <c r="E191" s="101"/>
      <c r="F191" s="101"/>
      <c r="G191" s="102" t="str">
        <f>IF(stdProdLT(Main[[#This Row],[Comments]])=0.1,"N/A",IF(stdProdLT(Main[[#This Row],[Comments]])=0,"",stdProdLT(Main[[#This Row],[Comments]])))</f>
        <v/>
      </c>
      <c r="H191" s="103" t="str">
        <f>IF(AND(Main[[#This Row],[In Stock Date]]&lt;&gt;"",Main[[#This Row],[Revised Due Date]]&lt;&gt;""),Main[[#This Row],[In Stock Date]]-Main[[#This Row],[Revised Due Date]],"")</f>
        <v/>
      </c>
      <c r="I191" s="99" t="s">
        <v>4</v>
      </c>
      <c r="J191" s="99" t="s">
        <v>4</v>
      </c>
      <c r="K191" s="99" t="s">
        <v>4</v>
      </c>
      <c r="L191" s="101"/>
      <c r="M191" s="104" t="str">
        <f>IF(Main[[#This Row],[Tech Start Date]]&lt;1/1/1990,"",IF(Main[[#This Row],[Class]]="C",WORKDAY(Main[[#This Row],[Tech Start Date]],9),IF(Main[[#This Row],[Class]]="B", WORKDAY(Main[[#This Row],[Tech Start Date]],6),IF(Main[[#This Row],[Class]]="A",WORKDAY(Main[[#This Row],[Tech Start Date]],2),""))))</f>
        <v/>
      </c>
      <c r="N191" s="104" t="str">
        <f>IF(Main[[#This Row],[Tech Start Date]]&lt;1/1/1990,"",IF(Main[[#This Row],[Class]]="C",WORKDAY(Main[[#This Row],[Tech Start Date]],19),IF(Main[[#This Row],[Class]]="B", WORKDAY(Main[[#This Row],[Tech Start Date]],12),IF(Main[[#This Row],[Class]]="A",WORKDAY(Main[[#This Row],[Tech Start Date]],4),""))))</f>
        <v/>
      </c>
      <c r="O191" s="104" t="str">
        <f>IF(Main[[#This Row],[Tech Start Date]]&lt;1/1/1990,"",IF(Main[[#This Row],[Class]]="C",WORKDAY(Main[[#This Row],[Tech Start Date]],23),IF(Main[[#This Row],[Class]]="B", WORKDAY(Main[[#This Row],[Tech Start Date]],15),IF(Main[[#This Row],[Class]]="A",WORKDAY(Main[[#This Row],[Tech Start Date]],5),""))))</f>
        <v/>
      </c>
      <c r="P191" s="104" t="str">
        <f>IF(Main[[#This Row],[Tech Start Date]]&lt;1/1/1990,"",IF(Main[[#This Row],[Class]]="C",WORKDAY(Main[[#This Row],[Tech Start Date]],28),IF(Main[[#This Row],[Class]]="B", WORKDAY(Main[[#This Row],[Tech Start Date]],19),IF(Main[[#This Row],[Class]]="A",WORKDAY(Main[[#This Row],[Tech Start Date]],9),""))))</f>
        <v/>
      </c>
      <c r="Q191" s="101"/>
      <c r="R191" s="101"/>
      <c r="S191" s="99" t="s">
        <v>6</v>
      </c>
      <c r="T191" s="107" t="s">
        <v>4</v>
      </c>
      <c r="U191" s="99" t="s">
        <v>14</v>
      </c>
      <c r="V191" s="99" t="s">
        <v>1963</v>
      </c>
      <c r="W191" s="99" t="s">
        <v>1966</v>
      </c>
    </row>
    <row r="192" spans="1:23" ht="18.600000000000001" customHeight="1">
      <c r="A192" s="123" t="str">
        <f>IF(priority(Main[[#This Row],[Comments]])&lt;&gt;0, priority(Main[[#This Row],[Comments]]),"")</f>
        <v/>
      </c>
      <c r="B192" s="127" t="s">
        <v>1101</v>
      </c>
      <c r="C192" s="99" t="s">
        <v>19</v>
      </c>
      <c r="D192" s="100" t="s">
        <v>110</v>
      </c>
      <c r="E192" s="101"/>
      <c r="F192" s="101">
        <v>40548</v>
      </c>
      <c r="G192" s="102" t="str">
        <f>IF(stdProdLT(Main[[#This Row],[Comments]])=0.1,"N/A",IF(stdProdLT(Main[[#This Row],[Comments]])=0,"",stdProdLT(Main[[#This Row],[Comments]])))</f>
        <v/>
      </c>
      <c r="H192" s="103" t="str">
        <f>IF(AND(Main[[#This Row],[In Stock Date]]&lt;&gt;"",Main[[#This Row],[Revised Due Date]]&lt;&gt;""),Main[[#This Row],[In Stock Date]]-Main[[#This Row],[Revised Due Date]],"")</f>
        <v/>
      </c>
      <c r="I192" s="99" t="s">
        <v>4</v>
      </c>
      <c r="J192" s="99" t="s">
        <v>4</v>
      </c>
      <c r="K192" s="99" t="s">
        <v>4</v>
      </c>
      <c r="L192" s="101"/>
      <c r="M192" s="104" t="str">
        <f>IF(Main[[#This Row],[Tech Start Date]]&lt;1/1/1990,"",IF(Main[[#This Row],[Class]]="C",WORKDAY(Main[[#This Row],[Tech Start Date]],9),IF(Main[[#This Row],[Class]]="B", WORKDAY(Main[[#This Row],[Tech Start Date]],6),IF(Main[[#This Row],[Class]]="A",WORKDAY(Main[[#This Row],[Tech Start Date]],2),""))))</f>
        <v/>
      </c>
      <c r="N192" s="104" t="str">
        <f>IF(Main[[#This Row],[Tech Start Date]]&lt;1/1/1990,"",IF(Main[[#This Row],[Class]]="C",WORKDAY(Main[[#This Row],[Tech Start Date]],19),IF(Main[[#This Row],[Class]]="B", WORKDAY(Main[[#This Row],[Tech Start Date]],12),IF(Main[[#This Row],[Class]]="A",WORKDAY(Main[[#This Row],[Tech Start Date]],4),""))))</f>
        <v/>
      </c>
      <c r="O192" s="104" t="str">
        <f>IF(Main[[#This Row],[Tech Start Date]]&lt;1/1/1990,"",IF(Main[[#This Row],[Class]]="C",WORKDAY(Main[[#This Row],[Tech Start Date]],23),IF(Main[[#This Row],[Class]]="B", WORKDAY(Main[[#This Row],[Tech Start Date]],15),IF(Main[[#This Row],[Class]]="A",WORKDAY(Main[[#This Row],[Tech Start Date]],5),""))))</f>
        <v/>
      </c>
      <c r="P192" s="104" t="str">
        <f>IF(Main[[#This Row],[Tech Start Date]]&lt;1/1/1990,"",IF(Main[[#This Row],[Class]]="C",WORKDAY(Main[[#This Row],[Tech Start Date]],28),IF(Main[[#This Row],[Class]]="B", WORKDAY(Main[[#This Row],[Tech Start Date]],19),IF(Main[[#This Row],[Class]]="A",WORKDAY(Main[[#This Row],[Tech Start Date]],9),""))))</f>
        <v/>
      </c>
      <c r="Q192" s="101">
        <v>40415</v>
      </c>
      <c r="R192" s="101"/>
      <c r="S192" s="99" t="s">
        <v>17</v>
      </c>
      <c r="T192" s="107" t="s">
        <v>4</v>
      </c>
      <c r="U192" s="99" t="s">
        <v>12</v>
      </c>
      <c r="V192" s="99" t="s">
        <v>1965</v>
      </c>
      <c r="W192" s="99" t="s">
        <v>1970</v>
      </c>
    </row>
    <row r="193" spans="1:23" ht="18.600000000000001" customHeight="1">
      <c r="A193" s="123" t="str">
        <f>IF(priority(Main[[#This Row],[Comments]])&lt;&gt;0, priority(Main[[#This Row],[Comments]]),"")</f>
        <v/>
      </c>
      <c r="B193" s="127" t="s">
        <v>1094</v>
      </c>
      <c r="C193" s="99" t="s">
        <v>4</v>
      </c>
      <c r="D193" s="100" t="s">
        <v>97</v>
      </c>
      <c r="E193" s="101"/>
      <c r="F193" s="101"/>
      <c r="G193" s="102" t="str">
        <f>IF(stdProdLT(Main[[#This Row],[Comments]])=0.1,"N/A",IF(stdProdLT(Main[[#This Row],[Comments]])=0,"",stdProdLT(Main[[#This Row],[Comments]])))</f>
        <v/>
      </c>
      <c r="H193" s="103" t="str">
        <f>IF(AND(Main[[#This Row],[In Stock Date]]&lt;&gt;"",Main[[#This Row],[Revised Due Date]]&lt;&gt;""),Main[[#This Row],[In Stock Date]]-Main[[#This Row],[Revised Due Date]],"")</f>
        <v/>
      </c>
      <c r="I193" s="99" t="s">
        <v>4</v>
      </c>
      <c r="J193" s="99" t="s">
        <v>4</v>
      </c>
      <c r="K193" s="99" t="s">
        <v>4</v>
      </c>
      <c r="L193" s="101"/>
      <c r="M193" s="104" t="str">
        <f>IF(Main[[#This Row],[Tech Start Date]]&lt;1/1/1990,"",IF(Main[[#This Row],[Class]]="C",WORKDAY(Main[[#This Row],[Tech Start Date]],9),IF(Main[[#This Row],[Class]]="B", WORKDAY(Main[[#This Row],[Tech Start Date]],6),IF(Main[[#This Row],[Class]]="A",WORKDAY(Main[[#This Row],[Tech Start Date]],2),""))))</f>
        <v/>
      </c>
      <c r="N193" s="104" t="str">
        <f>IF(Main[[#This Row],[Tech Start Date]]&lt;1/1/1990,"",IF(Main[[#This Row],[Class]]="C",WORKDAY(Main[[#This Row],[Tech Start Date]],19),IF(Main[[#This Row],[Class]]="B", WORKDAY(Main[[#This Row],[Tech Start Date]],12),IF(Main[[#This Row],[Class]]="A",WORKDAY(Main[[#This Row],[Tech Start Date]],4),""))))</f>
        <v/>
      </c>
      <c r="O193" s="104" t="str">
        <f>IF(Main[[#This Row],[Tech Start Date]]&lt;1/1/1990,"",IF(Main[[#This Row],[Class]]="C",WORKDAY(Main[[#This Row],[Tech Start Date]],23),IF(Main[[#This Row],[Class]]="B", WORKDAY(Main[[#This Row],[Tech Start Date]],15),IF(Main[[#This Row],[Class]]="A",WORKDAY(Main[[#This Row],[Tech Start Date]],5),""))))</f>
        <v/>
      </c>
      <c r="P193" s="104" t="str">
        <f>IF(Main[[#This Row],[Tech Start Date]]&lt;1/1/1990,"",IF(Main[[#This Row],[Class]]="C",WORKDAY(Main[[#This Row],[Tech Start Date]],28),IF(Main[[#This Row],[Class]]="B", WORKDAY(Main[[#This Row],[Tech Start Date]],19),IF(Main[[#This Row],[Class]]="A",WORKDAY(Main[[#This Row],[Tech Start Date]],9),""))))</f>
        <v/>
      </c>
      <c r="Q193" s="101">
        <v>40858</v>
      </c>
      <c r="R193" s="101"/>
      <c r="S193" s="99" t="s">
        <v>17</v>
      </c>
      <c r="T193" s="107" t="s">
        <v>4</v>
      </c>
      <c r="U193" s="99" t="s">
        <v>14</v>
      </c>
      <c r="V193" s="99" t="s">
        <v>1962</v>
      </c>
      <c r="W193" s="99" t="s">
        <v>1967</v>
      </c>
    </row>
    <row r="194" spans="1:23" ht="18.600000000000001" customHeight="1">
      <c r="A194" s="123" t="str">
        <f>IF(priority(Main[[#This Row],[Comments]])&lt;&gt;0, priority(Main[[#This Row],[Comments]]),"")</f>
        <v/>
      </c>
      <c r="B194" s="127" t="s">
        <v>1095</v>
      </c>
      <c r="C194" s="99" t="s">
        <v>4</v>
      </c>
      <c r="D194" s="100" t="s">
        <v>98</v>
      </c>
      <c r="E194" s="101">
        <v>40373.607708333337</v>
      </c>
      <c r="F194" s="101"/>
      <c r="G194" s="102" t="str">
        <f>IF(stdProdLT(Main[[#This Row],[Comments]])=0.1,"N/A",IF(stdProdLT(Main[[#This Row],[Comments]])=0,"",stdProdLT(Main[[#This Row],[Comments]])))</f>
        <v/>
      </c>
      <c r="H194" s="103" t="str">
        <f>IF(AND(Main[[#This Row],[In Stock Date]]&lt;&gt;"",Main[[#This Row],[Revised Due Date]]&lt;&gt;""),Main[[#This Row],[In Stock Date]]-Main[[#This Row],[Revised Due Date]],"")</f>
        <v/>
      </c>
      <c r="I194" s="99" t="s">
        <v>4</v>
      </c>
      <c r="J194" s="99" t="s">
        <v>4</v>
      </c>
      <c r="K194" s="99" t="s">
        <v>4</v>
      </c>
      <c r="L194" s="101"/>
      <c r="M194" s="104" t="str">
        <f>IF(Main[[#This Row],[Tech Start Date]]&lt;1/1/1990,"",IF(Main[[#This Row],[Class]]="C",WORKDAY(Main[[#This Row],[Tech Start Date]],9),IF(Main[[#This Row],[Class]]="B", WORKDAY(Main[[#This Row],[Tech Start Date]],6),IF(Main[[#This Row],[Class]]="A",WORKDAY(Main[[#This Row],[Tech Start Date]],2),""))))</f>
        <v/>
      </c>
      <c r="N194" s="104" t="str">
        <f>IF(Main[[#This Row],[Tech Start Date]]&lt;1/1/1990,"",IF(Main[[#This Row],[Class]]="C",WORKDAY(Main[[#This Row],[Tech Start Date]],19),IF(Main[[#This Row],[Class]]="B", WORKDAY(Main[[#This Row],[Tech Start Date]],12),IF(Main[[#This Row],[Class]]="A",WORKDAY(Main[[#This Row],[Tech Start Date]],4),""))))</f>
        <v/>
      </c>
      <c r="O194" s="104" t="str">
        <f>IF(Main[[#This Row],[Tech Start Date]]&lt;1/1/1990,"",IF(Main[[#This Row],[Class]]="C",WORKDAY(Main[[#This Row],[Tech Start Date]],23),IF(Main[[#This Row],[Class]]="B", WORKDAY(Main[[#This Row],[Tech Start Date]],15),IF(Main[[#This Row],[Class]]="A",WORKDAY(Main[[#This Row],[Tech Start Date]],5),""))))</f>
        <v/>
      </c>
      <c r="P194" s="104" t="str">
        <f>IF(Main[[#This Row],[Tech Start Date]]&lt;1/1/1990,"",IF(Main[[#This Row],[Class]]="C",WORKDAY(Main[[#This Row],[Tech Start Date]],28),IF(Main[[#This Row],[Class]]="B", WORKDAY(Main[[#This Row],[Tech Start Date]],19),IF(Main[[#This Row],[Class]]="A",WORKDAY(Main[[#This Row],[Tech Start Date]],9),""))))</f>
        <v/>
      </c>
      <c r="Q194" s="101">
        <v>40382</v>
      </c>
      <c r="R194" s="101"/>
      <c r="S194" s="99" t="s">
        <v>6</v>
      </c>
      <c r="T194" s="107" t="s">
        <v>4</v>
      </c>
      <c r="U194" s="99" t="s">
        <v>7</v>
      </c>
      <c r="V194" s="99" t="s">
        <v>1962</v>
      </c>
      <c r="W194" s="99" t="s">
        <v>1966</v>
      </c>
    </row>
    <row r="195" spans="1:23" ht="18.600000000000001" customHeight="1">
      <c r="A195" s="123" t="str">
        <f>IF(priority(Main[[#This Row],[Comments]])&lt;&gt;0, priority(Main[[#This Row],[Comments]]),"")</f>
        <v/>
      </c>
      <c r="B195" s="127" t="s">
        <v>1096</v>
      </c>
      <c r="C195" s="99" t="s">
        <v>99</v>
      </c>
      <c r="D195" s="100" t="s">
        <v>100</v>
      </c>
      <c r="E195" s="101"/>
      <c r="F195" s="101"/>
      <c r="G195" s="102" t="str">
        <f>IF(stdProdLT(Main[[#This Row],[Comments]])=0.1,"N/A",IF(stdProdLT(Main[[#This Row],[Comments]])=0,"",stdProdLT(Main[[#This Row],[Comments]])))</f>
        <v/>
      </c>
      <c r="H195" s="103" t="str">
        <f>IF(AND(Main[[#This Row],[In Stock Date]]&lt;&gt;"",Main[[#This Row],[Revised Due Date]]&lt;&gt;""),Main[[#This Row],[In Stock Date]]-Main[[#This Row],[Revised Due Date]],"")</f>
        <v/>
      </c>
      <c r="I195" s="99" t="s">
        <v>4</v>
      </c>
      <c r="J195" s="99" t="s">
        <v>4</v>
      </c>
      <c r="K195" s="99" t="s">
        <v>4</v>
      </c>
      <c r="L195" s="101"/>
      <c r="M195" s="104" t="str">
        <f>IF(Main[[#This Row],[Tech Start Date]]&lt;1/1/1990,"",IF(Main[[#This Row],[Class]]="C",WORKDAY(Main[[#This Row],[Tech Start Date]],9),IF(Main[[#This Row],[Class]]="B", WORKDAY(Main[[#This Row],[Tech Start Date]],6),IF(Main[[#This Row],[Class]]="A",WORKDAY(Main[[#This Row],[Tech Start Date]],2),""))))</f>
        <v/>
      </c>
      <c r="N195" s="104" t="str">
        <f>IF(Main[[#This Row],[Tech Start Date]]&lt;1/1/1990,"",IF(Main[[#This Row],[Class]]="C",WORKDAY(Main[[#This Row],[Tech Start Date]],19),IF(Main[[#This Row],[Class]]="B", WORKDAY(Main[[#This Row],[Tech Start Date]],12),IF(Main[[#This Row],[Class]]="A",WORKDAY(Main[[#This Row],[Tech Start Date]],4),""))))</f>
        <v/>
      </c>
      <c r="O195" s="104" t="str">
        <f>IF(Main[[#This Row],[Tech Start Date]]&lt;1/1/1990,"",IF(Main[[#This Row],[Class]]="C",WORKDAY(Main[[#This Row],[Tech Start Date]],23),IF(Main[[#This Row],[Class]]="B", WORKDAY(Main[[#This Row],[Tech Start Date]],15),IF(Main[[#This Row],[Class]]="A",WORKDAY(Main[[#This Row],[Tech Start Date]],5),""))))</f>
        <v/>
      </c>
      <c r="P195" s="104" t="str">
        <f>IF(Main[[#This Row],[Tech Start Date]]&lt;1/1/1990,"",IF(Main[[#This Row],[Class]]="C",WORKDAY(Main[[#This Row],[Tech Start Date]],28),IF(Main[[#This Row],[Class]]="B", WORKDAY(Main[[#This Row],[Tech Start Date]],19),IF(Main[[#This Row],[Class]]="A",WORKDAY(Main[[#This Row],[Tech Start Date]],9),""))))</f>
        <v/>
      </c>
      <c r="Q195" s="101"/>
      <c r="R195" s="101"/>
      <c r="S195" s="99" t="s">
        <v>49</v>
      </c>
      <c r="T195" s="107" t="s">
        <v>4</v>
      </c>
      <c r="U195" s="99" t="s">
        <v>12</v>
      </c>
      <c r="V195" s="99" t="s">
        <v>1963</v>
      </c>
      <c r="W195" s="99" t="s">
        <v>1964</v>
      </c>
    </row>
    <row r="196" spans="1:23" ht="18.600000000000001" customHeight="1">
      <c r="A196" s="123" t="str">
        <f>IF(priority(Main[[#This Row],[Comments]])&lt;&gt;0, priority(Main[[#This Row],[Comments]]),"")</f>
        <v/>
      </c>
      <c r="B196" s="127" t="s">
        <v>1097</v>
      </c>
      <c r="C196" s="99" t="s">
        <v>67</v>
      </c>
      <c r="D196" s="100" t="s">
        <v>101</v>
      </c>
      <c r="E196" s="101"/>
      <c r="F196" s="101">
        <v>40664</v>
      </c>
      <c r="G196" s="102" t="str">
        <f>IF(stdProdLT(Main[[#This Row],[Comments]])=0.1,"N/A",IF(stdProdLT(Main[[#This Row],[Comments]])=0,"",stdProdLT(Main[[#This Row],[Comments]])))</f>
        <v/>
      </c>
      <c r="H196" s="103" t="str">
        <f>IF(AND(Main[[#This Row],[In Stock Date]]&lt;&gt;"",Main[[#This Row],[Revised Due Date]]&lt;&gt;""),Main[[#This Row],[In Stock Date]]-Main[[#This Row],[Revised Due Date]],"")</f>
        <v/>
      </c>
      <c r="I196" s="99" t="s">
        <v>102</v>
      </c>
      <c r="J196" s="99" t="s">
        <v>51</v>
      </c>
      <c r="K196" s="99" t="s">
        <v>1971</v>
      </c>
      <c r="L196" s="101"/>
      <c r="M196" s="104" t="str">
        <f>IF(Main[[#This Row],[Tech Start Date]]&lt;1/1/1990,"",IF(Main[[#This Row],[Class]]="C",WORKDAY(Main[[#This Row],[Tech Start Date]],9),IF(Main[[#This Row],[Class]]="B", WORKDAY(Main[[#This Row],[Tech Start Date]],6),IF(Main[[#This Row],[Class]]="A",WORKDAY(Main[[#This Row],[Tech Start Date]],2),""))))</f>
        <v/>
      </c>
      <c r="N196" s="104" t="str">
        <f>IF(Main[[#This Row],[Tech Start Date]]&lt;1/1/1990,"",IF(Main[[#This Row],[Class]]="C",WORKDAY(Main[[#This Row],[Tech Start Date]],19),IF(Main[[#This Row],[Class]]="B", WORKDAY(Main[[#This Row],[Tech Start Date]],12),IF(Main[[#This Row],[Class]]="A",WORKDAY(Main[[#This Row],[Tech Start Date]],4),""))))</f>
        <v/>
      </c>
      <c r="O196" s="104" t="str">
        <f>IF(Main[[#This Row],[Tech Start Date]]&lt;1/1/1990,"",IF(Main[[#This Row],[Class]]="C",WORKDAY(Main[[#This Row],[Tech Start Date]],23),IF(Main[[#This Row],[Class]]="B", WORKDAY(Main[[#This Row],[Tech Start Date]],15),IF(Main[[#This Row],[Class]]="A",WORKDAY(Main[[#This Row],[Tech Start Date]],5),""))))</f>
        <v/>
      </c>
      <c r="P196" s="104" t="str">
        <f>IF(Main[[#This Row],[Tech Start Date]]&lt;1/1/1990,"",IF(Main[[#This Row],[Class]]="C",WORKDAY(Main[[#This Row],[Tech Start Date]],28),IF(Main[[#This Row],[Class]]="B", WORKDAY(Main[[#This Row],[Tech Start Date]],19),IF(Main[[#This Row],[Class]]="A",WORKDAY(Main[[#This Row],[Tech Start Date]],9),""))))</f>
        <v/>
      </c>
      <c r="Q196" s="101">
        <v>40585</v>
      </c>
      <c r="R196" s="101"/>
      <c r="S196" s="99" t="s">
        <v>11</v>
      </c>
      <c r="T196" s="107" t="s">
        <v>4</v>
      </c>
      <c r="U196" s="99" t="s">
        <v>14</v>
      </c>
      <c r="V196" s="99" t="s">
        <v>1962</v>
      </c>
      <c r="W196" s="99" t="s">
        <v>1968</v>
      </c>
    </row>
    <row r="197" spans="1:23" ht="18.600000000000001" customHeight="1">
      <c r="A197" s="123" t="str">
        <f>IF(priority(Main[[#This Row],[Comments]])&lt;&gt;0, priority(Main[[#This Row],[Comments]]),"")</f>
        <v/>
      </c>
      <c r="B197" s="127" t="s">
        <v>2413</v>
      </c>
      <c r="C197" s="99" t="s">
        <v>4</v>
      </c>
      <c r="D197" s="100" t="s">
        <v>2414</v>
      </c>
      <c r="E197" s="101">
        <v>40876.646504629629</v>
      </c>
      <c r="F197" s="101"/>
      <c r="G197" s="102" t="str">
        <f>IF(stdProdLT(Main[[#This Row],[Comments]])=0.1,"N/A",IF(stdProdLT(Main[[#This Row],[Comments]])=0,"",stdProdLT(Main[[#This Row],[Comments]])))</f>
        <v/>
      </c>
      <c r="H197" s="103" t="str">
        <f>IF(AND(Main[[#This Row],[In Stock Date]]&lt;&gt;"",Main[[#This Row],[Revised Due Date]]&lt;&gt;""),Main[[#This Row],[In Stock Date]]-Main[[#This Row],[Revised Due Date]],"")</f>
        <v/>
      </c>
      <c r="I197" s="99" t="s">
        <v>4</v>
      </c>
      <c r="J197" s="99" t="s">
        <v>4</v>
      </c>
      <c r="K197" s="99" t="s">
        <v>4</v>
      </c>
      <c r="L197" s="101"/>
      <c r="M197" s="104" t="str">
        <f>IF(Main[[#This Row],[Tech Start Date]]&lt;1/1/1990,"",IF(Main[[#This Row],[Class]]="C",WORKDAY(Main[[#This Row],[Tech Start Date]],9),IF(Main[[#This Row],[Class]]="B", WORKDAY(Main[[#This Row],[Tech Start Date]],6),IF(Main[[#This Row],[Class]]="A",WORKDAY(Main[[#This Row],[Tech Start Date]],2),""))))</f>
        <v/>
      </c>
      <c r="N197" s="104" t="str">
        <f>IF(Main[[#This Row],[Tech Start Date]]&lt;1/1/1990,"",IF(Main[[#This Row],[Class]]="C",WORKDAY(Main[[#This Row],[Tech Start Date]],19),IF(Main[[#This Row],[Class]]="B", WORKDAY(Main[[#This Row],[Tech Start Date]],12),IF(Main[[#This Row],[Class]]="A",WORKDAY(Main[[#This Row],[Tech Start Date]],4),""))))</f>
        <v/>
      </c>
      <c r="O197" s="104" t="str">
        <f>IF(Main[[#This Row],[Tech Start Date]]&lt;1/1/1990,"",IF(Main[[#This Row],[Class]]="C",WORKDAY(Main[[#This Row],[Tech Start Date]],23),IF(Main[[#This Row],[Class]]="B", WORKDAY(Main[[#This Row],[Tech Start Date]],15),IF(Main[[#This Row],[Class]]="A",WORKDAY(Main[[#This Row],[Tech Start Date]],5),""))))</f>
        <v/>
      </c>
      <c r="P197" s="104" t="str">
        <f>IF(Main[[#This Row],[Tech Start Date]]&lt;1/1/1990,"",IF(Main[[#This Row],[Class]]="C",WORKDAY(Main[[#This Row],[Tech Start Date]],28),IF(Main[[#This Row],[Class]]="B", WORKDAY(Main[[#This Row],[Tech Start Date]],19),IF(Main[[#This Row],[Class]]="A",WORKDAY(Main[[#This Row],[Tech Start Date]],9),""))))</f>
        <v/>
      </c>
      <c r="Q197" s="101"/>
      <c r="R197" s="101"/>
      <c r="S197" s="99" t="s">
        <v>23</v>
      </c>
      <c r="T197" s="107" t="s">
        <v>4</v>
      </c>
      <c r="U197" s="99" t="s">
        <v>29</v>
      </c>
      <c r="V197" s="99" t="s">
        <v>1965</v>
      </c>
      <c r="W197" s="99" t="s">
        <v>1970</v>
      </c>
    </row>
    <row r="198" spans="1:23" ht="18.600000000000001" customHeight="1">
      <c r="A198" s="123" t="str">
        <f>IF(priority(Main[[#This Row],[Comments]])&lt;&gt;0, priority(Main[[#This Row],[Comments]]),"")</f>
        <v/>
      </c>
      <c r="B198" s="127" t="s">
        <v>1099</v>
      </c>
      <c r="C198" s="99" t="s">
        <v>31</v>
      </c>
      <c r="D198" s="100" t="s">
        <v>104</v>
      </c>
      <c r="E198" s="101"/>
      <c r="F198" s="101"/>
      <c r="G198" s="102" t="str">
        <f>IF(stdProdLT(Main[[#This Row],[Comments]])=0.1,"N/A",IF(stdProdLT(Main[[#This Row],[Comments]])=0,"",stdProdLT(Main[[#This Row],[Comments]])))</f>
        <v/>
      </c>
      <c r="H198" s="103" t="str">
        <f>IF(AND(Main[[#This Row],[In Stock Date]]&lt;&gt;"",Main[[#This Row],[Revised Due Date]]&lt;&gt;""),Main[[#This Row],[In Stock Date]]-Main[[#This Row],[Revised Due Date]],"")</f>
        <v/>
      </c>
      <c r="I198" s="99" t="s">
        <v>4</v>
      </c>
      <c r="J198" s="99" t="s">
        <v>4</v>
      </c>
      <c r="K198" s="99" t="s">
        <v>4</v>
      </c>
      <c r="L198" s="101"/>
      <c r="M198" s="104" t="str">
        <f>IF(Main[[#This Row],[Tech Start Date]]&lt;1/1/1990,"",IF(Main[[#This Row],[Class]]="C",WORKDAY(Main[[#This Row],[Tech Start Date]],9),IF(Main[[#This Row],[Class]]="B", WORKDAY(Main[[#This Row],[Tech Start Date]],6),IF(Main[[#This Row],[Class]]="A",WORKDAY(Main[[#This Row],[Tech Start Date]],2),""))))</f>
        <v/>
      </c>
      <c r="N198" s="104" t="str">
        <f>IF(Main[[#This Row],[Tech Start Date]]&lt;1/1/1990,"",IF(Main[[#This Row],[Class]]="C",WORKDAY(Main[[#This Row],[Tech Start Date]],19),IF(Main[[#This Row],[Class]]="B", WORKDAY(Main[[#This Row],[Tech Start Date]],12),IF(Main[[#This Row],[Class]]="A",WORKDAY(Main[[#This Row],[Tech Start Date]],4),""))))</f>
        <v/>
      </c>
      <c r="O198" s="104" t="str">
        <f>IF(Main[[#This Row],[Tech Start Date]]&lt;1/1/1990,"",IF(Main[[#This Row],[Class]]="C",WORKDAY(Main[[#This Row],[Tech Start Date]],23),IF(Main[[#This Row],[Class]]="B", WORKDAY(Main[[#This Row],[Tech Start Date]],15),IF(Main[[#This Row],[Class]]="A",WORKDAY(Main[[#This Row],[Tech Start Date]],5),""))))</f>
        <v/>
      </c>
      <c r="P198" s="104" t="str">
        <f>IF(Main[[#This Row],[Tech Start Date]]&lt;1/1/1990,"",IF(Main[[#This Row],[Class]]="C",WORKDAY(Main[[#This Row],[Tech Start Date]],28),IF(Main[[#This Row],[Class]]="B", WORKDAY(Main[[#This Row],[Tech Start Date]],19),IF(Main[[#This Row],[Class]]="A",WORKDAY(Main[[#This Row],[Tech Start Date]],9),""))))</f>
        <v/>
      </c>
      <c r="Q198" s="101">
        <v>40318</v>
      </c>
      <c r="R198" s="101"/>
      <c r="S198" s="99" t="s">
        <v>11</v>
      </c>
      <c r="T198" s="107" t="s">
        <v>4</v>
      </c>
      <c r="U198" s="99" t="s">
        <v>14</v>
      </c>
      <c r="V198" s="99" t="s">
        <v>1972</v>
      </c>
      <c r="W198" s="99" t="s">
        <v>1964</v>
      </c>
    </row>
    <row r="199" spans="1:23" ht="18.600000000000001" customHeight="1">
      <c r="A199" s="123" t="str">
        <f>IF(priority(Main[[#This Row],[Comments]])&lt;&gt;0, priority(Main[[#This Row],[Comments]]),"")</f>
        <v/>
      </c>
      <c r="B199" s="127" t="s">
        <v>2415</v>
      </c>
      <c r="C199" s="99" t="s">
        <v>2416</v>
      </c>
      <c r="D199" s="100" t="s">
        <v>2417</v>
      </c>
      <c r="E199" s="101">
        <v>40855.463368055556</v>
      </c>
      <c r="F199" s="101"/>
      <c r="G199" s="102" t="str">
        <f>IF(stdProdLT(Main[[#This Row],[Comments]])=0.1,"N/A",IF(stdProdLT(Main[[#This Row],[Comments]])=0,"",stdProdLT(Main[[#This Row],[Comments]])))</f>
        <v/>
      </c>
      <c r="H199" s="103" t="str">
        <f>IF(AND(Main[[#This Row],[In Stock Date]]&lt;&gt;"",Main[[#This Row],[Revised Due Date]]&lt;&gt;""),Main[[#This Row],[In Stock Date]]-Main[[#This Row],[Revised Due Date]],"")</f>
        <v/>
      </c>
      <c r="I199" s="99" t="s">
        <v>4</v>
      </c>
      <c r="J199" s="99" t="s">
        <v>4</v>
      </c>
      <c r="K199" s="108" t="s">
        <v>4</v>
      </c>
      <c r="L199" s="101"/>
      <c r="M199" s="104" t="str">
        <f>IF(Main[[#This Row],[Tech Start Date]]&lt;1/1/1990,"",IF(Main[[#This Row],[Class]]="C",WORKDAY(Main[[#This Row],[Tech Start Date]],9),IF(Main[[#This Row],[Class]]="B", WORKDAY(Main[[#This Row],[Tech Start Date]],6),IF(Main[[#This Row],[Class]]="A",WORKDAY(Main[[#This Row],[Tech Start Date]],2),""))))</f>
        <v/>
      </c>
      <c r="N199" s="104" t="str">
        <f>IF(Main[[#This Row],[Tech Start Date]]&lt;1/1/1990,"",IF(Main[[#This Row],[Class]]="C",WORKDAY(Main[[#This Row],[Tech Start Date]],19),IF(Main[[#This Row],[Class]]="B", WORKDAY(Main[[#This Row],[Tech Start Date]],12),IF(Main[[#This Row],[Class]]="A",WORKDAY(Main[[#This Row],[Tech Start Date]],4),""))))</f>
        <v/>
      </c>
      <c r="O199" s="104" t="str">
        <f>IF(Main[[#This Row],[Tech Start Date]]&lt;1/1/1990,"",IF(Main[[#This Row],[Class]]="C",WORKDAY(Main[[#This Row],[Tech Start Date]],23),IF(Main[[#This Row],[Class]]="B", WORKDAY(Main[[#This Row],[Tech Start Date]],15),IF(Main[[#This Row],[Class]]="A",WORKDAY(Main[[#This Row],[Tech Start Date]],5),""))))</f>
        <v/>
      </c>
      <c r="P199" s="104" t="str">
        <f>IF(Main[[#This Row],[Tech Start Date]]&lt;1/1/1990,"",IF(Main[[#This Row],[Class]]="C",WORKDAY(Main[[#This Row],[Tech Start Date]],28),IF(Main[[#This Row],[Class]]="B", WORKDAY(Main[[#This Row],[Tech Start Date]],19),IF(Main[[#This Row],[Class]]="A",WORKDAY(Main[[#This Row],[Tech Start Date]],9),""))))</f>
        <v/>
      </c>
      <c r="Q199" s="101"/>
      <c r="R199" s="101"/>
      <c r="S199" s="99" t="s">
        <v>6</v>
      </c>
      <c r="T199" s="107" t="s">
        <v>4</v>
      </c>
      <c r="U199" s="99" t="s">
        <v>7</v>
      </c>
      <c r="V199" s="99" t="s">
        <v>1962</v>
      </c>
      <c r="W199" s="99" t="s">
        <v>1966</v>
      </c>
    </row>
    <row r="200" spans="1:23" ht="18.600000000000001" customHeight="1">
      <c r="A200" s="123" t="str">
        <f>IF(priority(Main[[#This Row],[Comments]])&lt;&gt;0, priority(Main[[#This Row],[Comments]]),"")</f>
        <v/>
      </c>
      <c r="B200" s="127" t="s">
        <v>2125</v>
      </c>
      <c r="C200" s="99" t="s">
        <v>4</v>
      </c>
      <c r="D200" s="100" t="s">
        <v>2126</v>
      </c>
      <c r="E200" s="101"/>
      <c r="F200" s="101"/>
      <c r="G200" s="102" t="str">
        <f>IF(stdProdLT(Main[[#This Row],[Comments]])=0.1,"N/A",IF(stdProdLT(Main[[#This Row],[Comments]])=0,"",stdProdLT(Main[[#This Row],[Comments]])))</f>
        <v/>
      </c>
      <c r="H200" s="103" t="str">
        <f>IF(AND(Main[[#This Row],[In Stock Date]]&lt;&gt;"",Main[[#This Row],[Revised Due Date]]&lt;&gt;""),Main[[#This Row],[In Stock Date]]-Main[[#This Row],[Revised Due Date]],"")</f>
        <v/>
      </c>
      <c r="I200" s="99" t="s">
        <v>4</v>
      </c>
      <c r="J200" s="99" t="s">
        <v>4</v>
      </c>
      <c r="K200" s="99" t="s">
        <v>4</v>
      </c>
      <c r="L200" s="101"/>
      <c r="M200" s="104" t="str">
        <f>IF(Main[[#This Row],[Tech Start Date]]&lt;1/1/1990,"",IF(Main[[#This Row],[Class]]="C",WORKDAY(Main[[#This Row],[Tech Start Date]],9),IF(Main[[#This Row],[Class]]="B", WORKDAY(Main[[#This Row],[Tech Start Date]],6),IF(Main[[#This Row],[Class]]="A",WORKDAY(Main[[#This Row],[Tech Start Date]],2),""))))</f>
        <v/>
      </c>
      <c r="N200" s="104" t="str">
        <f>IF(Main[[#This Row],[Tech Start Date]]&lt;1/1/1990,"",IF(Main[[#This Row],[Class]]="C",WORKDAY(Main[[#This Row],[Tech Start Date]],19),IF(Main[[#This Row],[Class]]="B", WORKDAY(Main[[#This Row],[Tech Start Date]],12),IF(Main[[#This Row],[Class]]="A",WORKDAY(Main[[#This Row],[Tech Start Date]],4),""))))</f>
        <v/>
      </c>
      <c r="O200" s="104" t="str">
        <f>IF(Main[[#This Row],[Tech Start Date]]&lt;1/1/1990,"",IF(Main[[#This Row],[Class]]="C",WORKDAY(Main[[#This Row],[Tech Start Date]],23),IF(Main[[#This Row],[Class]]="B", WORKDAY(Main[[#This Row],[Tech Start Date]],15),IF(Main[[#This Row],[Class]]="A",WORKDAY(Main[[#This Row],[Tech Start Date]],5),""))))</f>
        <v/>
      </c>
      <c r="P200" s="104" t="str">
        <f>IF(Main[[#This Row],[Tech Start Date]]&lt;1/1/1990,"",IF(Main[[#This Row],[Class]]="C",WORKDAY(Main[[#This Row],[Tech Start Date]],28),IF(Main[[#This Row],[Class]]="B", WORKDAY(Main[[#This Row],[Tech Start Date]],19),IF(Main[[#This Row],[Class]]="A",WORKDAY(Main[[#This Row],[Tech Start Date]],9),""))))</f>
        <v/>
      </c>
      <c r="Q200" s="101">
        <v>40798</v>
      </c>
      <c r="R200" s="101"/>
      <c r="S200" s="99" t="s">
        <v>6</v>
      </c>
      <c r="T200" s="107" t="s">
        <v>4</v>
      </c>
      <c r="U200" s="99" t="s">
        <v>12</v>
      </c>
      <c r="V200" s="99" t="s">
        <v>1965</v>
      </c>
      <c r="W200" s="99" t="s">
        <v>4</v>
      </c>
    </row>
    <row r="201" spans="1:23" ht="18.600000000000001" customHeight="1">
      <c r="A201" s="123" t="str">
        <f>IF(priority(Main[[#This Row],[Comments]])&lt;&gt;0, priority(Main[[#This Row],[Comments]]),"")</f>
        <v/>
      </c>
      <c r="B201" s="127" t="s">
        <v>1102</v>
      </c>
      <c r="C201" s="99" t="s">
        <v>4</v>
      </c>
      <c r="D201" s="100" t="s">
        <v>111</v>
      </c>
      <c r="E201" s="101"/>
      <c r="F201" s="101"/>
      <c r="G201" s="102" t="str">
        <f>IF(stdProdLT(Main[[#This Row],[Comments]])=0.1,"N/A",IF(stdProdLT(Main[[#This Row],[Comments]])=0,"",stdProdLT(Main[[#This Row],[Comments]])))</f>
        <v/>
      </c>
      <c r="H201" s="103" t="str">
        <f>IF(AND(Main[[#This Row],[In Stock Date]]&lt;&gt;"",Main[[#This Row],[Revised Due Date]]&lt;&gt;""),Main[[#This Row],[In Stock Date]]-Main[[#This Row],[Revised Due Date]],"")</f>
        <v/>
      </c>
      <c r="I201" s="99" t="s">
        <v>311</v>
      </c>
      <c r="J201" s="99" t="s">
        <v>75</v>
      </c>
      <c r="K201" s="99" t="s">
        <v>1971</v>
      </c>
      <c r="L201" s="101"/>
      <c r="M201" s="104" t="str">
        <f>IF(Main[[#This Row],[Tech Start Date]]&lt;1/1/1990,"",IF(Main[[#This Row],[Class]]="C",WORKDAY(Main[[#This Row],[Tech Start Date]],9),IF(Main[[#This Row],[Class]]="B", WORKDAY(Main[[#This Row],[Tech Start Date]],6),IF(Main[[#This Row],[Class]]="A",WORKDAY(Main[[#This Row],[Tech Start Date]],2),""))))</f>
        <v/>
      </c>
      <c r="N201" s="104" t="str">
        <f>IF(Main[[#This Row],[Tech Start Date]]&lt;1/1/1990,"",IF(Main[[#This Row],[Class]]="C",WORKDAY(Main[[#This Row],[Tech Start Date]],19),IF(Main[[#This Row],[Class]]="B", WORKDAY(Main[[#This Row],[Tech Start Date]],12),IF(Main[[#This Row],[Class]]="A",WORKDAY(Main[[#This Row],[Tech Start Date]],4),""))))</f>
        <v/>
      </c>
      <c r="O201" s="104" t="str">
        <f>IF(Main[[#This Row],[Tech Start Date]]&lt;1/1/1990,"",IF(Main[[#This Row],[Class]]="C",WORKDAY(Main[[#This Row],[Tech Start Date]],23),IF(Main[[#This Row],[Class]]="B", WORKDAY(Main[[#This Row],[Tech Start Date]],15),IF(Main[[#This Row],[Class]]="A",WORKDAY(Main[[#This Row],[Tech Start Date]],5),""))))</f>
        <v/>
      </c>
      <c r="P201" s="104" t="str">
        <f>IF(Main[[#This Row],[Tech Start Date]]&lt;1/1/1990,"",IF(Main[[#This Row],[Class]]="C",WORKDAY(Main[[#This Row],[Tech Start Date]],28),IF(Main[[#This Row],[Class]]="B", WORKDAY(Main[[#This Row],[Tech Start Date]],19),IF(Main[[#This Row],[Class]]="A",WORKDAY(Main[[#This Row],[Tech Start Date]],9),""))))</f>
        <v/>
      </c>
      <c r="Q201" s="101">
        <v>40336</v>
      </c>
      <c r="R201" s="101"/>
      <c r="S201" s="99" t="s">
        <v>6</v>
      </c>
      <c r="T201" s="107" t="s">
        <v>4</v>
      </c>
      <c r="U201" s="99" t="s">
        <v>14</v>
      </c>
      <c r="V201" s="99" t="s">
        <v>1965</v>
      </c>
      <c r="W201" s="99" t="s">
        <v>1964</v>
      </c>
    </row>
    <row r="202" spans="1:23" ht="18.600000000000001" customHeight="1">
      <c r="A202" s="123" t="str">
        <f>IF(priority(Main[[#This Row],[Comments]])&lt;&gt;0, priority(Main[[#This Row],[Comments]]),"")</f>
        <v/>
      </c>
      <c r="B202" s="127" t="s">
        <v>2224</v>
      </c>
      <c r="C202" s="99" t="s">
        <v>2225</v>
      </c>
      <c r="D202" s="100" t="s">
        <v>2226</v>
      </c>
      <c r="E202" s="101"/>
      <c r="F202" s="101">
        <v>40920</v>
      </c>
      <c r="G202" s="102" t="str">
        <f>IF(stdProdLT(Main[[#This Row],[Comments]])=0.1,"N/A",IF(stdProdLT(Main[[#This Row],[Comments]])=0,"",stdProdLT(Main[[#This Row],[Comments]])))</f>
        <v/>
      </c>
      <c r="H202" s="103" t="str">
        <f>IF(AND(Main[[#This Row],[In Stock Date]]&lt;&gt;"",Main[[#This Row],[Revised Due Date]]&lt;&gt;""),Main[[#This Row],[In Stock Date]]-Main[[#This Row],[Revised Due Date]],"")</f>
        <v/>
      </c>
      <c r="I202" s="99" t="s">
        <v>4</v>
      </c>
      <c r="J202" s="99" t="s">
        <v>28</v>
      </c>
      <c r="K202" s="99" t="s">
        <v>1971</v>
      </c>
      <c r="L202" s="101"/>
      <c r="M202" s="104" t="str">
        <f>IF(Main[[#This Row],[Tech Start Date]]&lt;1/1/1990,"",IF(Main[[#This Row],[Class]]="C",WORKDAY(Main[[#This Row],[Tech Start Date]],9),IF(Main[[#This Row],[Class]]="B", WORKDAY(Main[[#This Row],[Tech Start Date]],6),IF(Main[[#This Row],[Class]]="A",WORKDAY(Main[[#This Row],[Tech Start Date]],2),""))))</f>
        <v/>
      </c>
      <c r="N202" s="104" t="str">
        <f>IF(Main[[#This Row],[Tech Start Date]]&lt;1/1/1990,"",IF(Main[[#This Row],[Class]]="C",WORKDAY(Main[[#This Row],[Tech Start Date]],19),IF(Main[[#This Row],[Class]]="B", WORKDAY(Main[[#This Row],[Tech Start Date]],12),IF(Main[[#This Row],[Class]]="A",WORKDAY(Main[[#This Row],[Tech Start Date]],4),""))))</f>
        <v/>
      </c>
      <c r="O202" s="104" t="str">
        <f>IF(Main[[#This Row],[Tech Start Date]]&lt;1/1/1990,"",IF(Main[[#This Row],[Class]]="C",WORKDAY(Main[[#This Row],[Tech Start Date]],23),IF(Main[[#This Row],[Class]]="B", WORKDAY(Main[[#This Row],[Tech Start Date]],15),IF(Main[[#This Row],[Class]]="A",WORKDAY(Main[[#This Row],[Tech Start Date]],5),""))))</f>
        <v/>
      </c>
      <c r="P202" s="104" t="str">
        <f>IF(Main[[#This Row],[Tech Start Date]]&lt;1/1/1990,"",IF(Main[[#This Row],[Class]]="C",WORKDAY(Main[[#This Row],[Tech Start Date]],28),IF(Main[[#This Row],[Class]]="B", WORKDAY(Main[[#This Row],[Tech Start Date]],19),IF(Main[[#This Row],[Class]]="A",WORKDAY(Main[[#This Row],[Tech Start Date]],9),""))))</f>
        <v/>
      </c>
      <c r="Q202" s="101"/>
      <c r="R202" s="101"/>
      <c r="S202" s="99" t="s">
        <v>11</v>
      </c>
      <c r="T202" s="107" t="s">
        <v>4</v>
      </c>
      <c r="U202" s="99" t="s">
        <v>14</v>
      </c>
      <c r="V202" s="99" t="s">
        <v>1965</v>
      </c>
      <c r="W202" s="99" t="s">
        <v>1970</v>
      </c>
    </row>
    <row r="203" spans="1:23" ht="18.600000000000001" customHeight="1">
      <c r="A203" s="123" t="str">
        <f>IF(priority(Main[[#This Row],[Comments]])&lt;&gt;0, priority(Main[[#This Row],[Comments]]),"")</f>
        <v/>
      </c>
      <c r="B203" s="127" t="s">
        <v>1103</v>
      </c>
      <c r="C203" s="99" t="s">
        <v>4</v>
      </c>
      <c r="D203" s="100" t="s">
        <v>112</v>
      </c>
      <c r="E203" s="101"/>
      <c r="F203" s="101"/>
      <c r="G203" s="102" t="str">
        <f>IF(stdProdLT(Main[[#This Row],[Comments]])=0.1,"N/A",IF(stdProdLT(Main[[#This Row],[Comments]])=0,"",stdProdLT(Main[[#This Row],[Comments]])))</f>
        <v/>
      </c>
      <c r="H203" s="103" t="str">
        <f>IF(AND(Main[[#This Row],[In Stock Date]]&lt;&gt;"",Main[[#This Row],[Revised Due Date]]&lt;&gt;""),Main[[#This Row],[In Stock Date]]-Main[[#This Row],[Revised Due Date]],"")</f>
        <v/>
      </c>
      <c r="I203" s="99" t="s">
        <v>4</v>
      </c>
      <c r="J203" s="99" t="s">
        <v>4</v>
      </c>
      <c r="K203" s="99" t="s">
        <v>4</v>
      </c>
      <c r="L203" s="101"/>
      <c r="M203" s="104" t="str">
        <f>IF(Main[[#This Row],[Tech Start Date]]&lt;1/1/1990,"",IF(Main[[#This Row],[Class]]="C",WORKDAY(Main[[#This Row],[Tech Start Date]],9),IF(Main[[#This Row],[Class]]="B", WORKDAY(Main[[#This Row],[Tech Start Date]],6),IF(Main[[#This Row],[Class]]="A",WORKDAY(Main[[#This Row],[Tech Start Date]],2),""))))</f>
        <v/>
      </c>
      <c r="N203" s="104" t="str">
        <f>IF(Main[[#This Row],[Tech Start Date]]&lt;1/1/1990,"",IF(Main[[#This Row],[Class]]="C",WORKDAY(Main[[#This Row],[Tech Start Date]],19),IF(Main[[#This Row],[Class]]="B", WORKDAY(Main[[#This Row],[Tech Start Date]],12),IF(Main[[#This Row],[Class]]="A",WORKDAY(Main[[#This Row],[Tech Start Date]],4),""))))</f>
        <v/>
      </c>
      <c r="O203" s="104" t="str">
        <f>IF(Main[[#This Row],[Tech Start Date]]&lt;1/1/1990,"",IF(Main[[#This Row],[Class]]="C",WORKDAY(Main[[#This Row],[Tech Start Date]],23),IF(Main[[#This Row],[Class]]="B", WORKDAY(Main[[#This Row],[Tech Start Date]],15),IF(Main[[#This Row],[Class]]="A",WORKDAY(Main[[#This Row],[Tech Start Date]],5),""))))</f>
        <v/>
      </c>
      <c r="P203" s="104" t="str">
        <f>IF(Main[[#This Row],[Tech Start Date]]&lt;1/1/1990,"",IF(Main[[#This Row],[Class]]="C",WORKDAY(Main[[#This Row],[Tech Start Date]],28),IF(Main[[#This Row],[Class]]="B", WORKDAY(Main[[#This Row],[Tech Start Date]],19),IF(Main[[#This Row],[Class]]="A",WORKDAY(Main[[#This Row],[Tech Start Date]],9),""))))</f>
        <v/>
      </c>
      <c r="Q203" s="101"/>
      <c r="R203" s="101"/>
      <c r="S203" s="99" t="s">
        <v>23</v>
      </c>
      <c r="T203" s="107" t="s">
        <v>4</v>
      </c>
      <c r="U203" s="99" t="s">
        <v>14</v>
      </c>
      <c r="V203" s="99" t="s">
        <v>1962</v>
      </c>
      <c r="W203" s="99" t="s">
        <v>1970</v>
      </c>
    </row>
    <row r="204" spans="1:23" ht="18.600000000000001" customHeight="1">
      <c r="A204" s="123" t="str">
        <f>IF(priority(Main[[#This Row],[Comments]])&lt;&gt;0, priority(Main[[#This Row],[Comments]]),"")</f>
        <v/>
      </c>
      <c r="B204" s="127" t="s">
        <v>1104</v>
      </c>
      <c r="C204" s="99" t="s">
        <v>113</v>
      </c>
      <c r="D204" s="100" t="s">
        <v>114</v>
      </c>
      <c r="E204" s="101"/>
      <c r="F204" s="101"/>
      <c r="G204" s="102" t="str">
        <f>IF(stdProdLT(Main[[#This Row],[Comments]])=0.1,"N/A",IF(stdProdLT(Main[[#This Row],[Comments]])=0,"",stdProdLT(Main[[#This Row],[Comments]])))</f>
        <v/>
      </c>
      <c r="H204" s="103" t="str">
        <f>IF(AND(Main[[#This Row],[In Stock Date]]&lt;&gt;"",Main[[#This Row],[Revised Due Date]]&lt;&gt;""),Main[[#This Row],[In Stock Date]]-Main[[#This Row],[Revised Due Date]],"")</f>
        <v/>
      </c>
      <c r="I204" s="99" t="s">
        <v>4</v>
      </c>
      <c r="J204" s="99" t="s">
        <v>28</v>
      </c>
      <c r="K204" s="99" t="s">
        <v>4</v>
      </c>
      <c r="L204" s="101"/>
      <c r="M204" s="104" t="str">
        <f>IF(Main[[#This Row],[Tech Start Date]]&lt;1/1/1990,"",IF(Main[[#This Row],[Class]]="C",WORKDAY(Main[[#This Row],[Tech Start Date]],9),IF(Main[[#This Row],[Class]]="B", WORKDAY(Main[[#This Row],[Tech Start Date]],6),IF(Main[[#This Row],[Class]]="A",WORKDAY(Main[[#This Row],[Tech Start Date]],2),""))))</f>
        <v/>
      </c>
      <c r="N204" s="104" t="str">
        <f>IF(Main[[#This Row],[Tech Start Date]]&lt;1/1/1990,"",IF(Main[[#This Row],[Class]]="C",WORKDAY(Main[[#This Row],[Tech Start Date]],19),IF(Main[[#This Row],[Class]]="B", WORKDAY(Main[[#This Row],[Tech Start Date]],12),IF(Main[[#This Row],[Class]]="A",WORKDAY(Main[[#This Row],[Tech Start Date]],4),""))))</f>
        <v/>
      </c>
      <c r="O204" s="104" t="str">
        <f>IF(Main[[#This Row],[Tech Start Date]]&lt;1/1/1990,"",IF(Main[[#This Row],[Class]]="C",WORKDAY(Main[[#This Row],[Tech Start Date]],23),IF(Main[[#This Row],[Class]]="B", WORKDAY(Main[[#This Row],[Tech Start Date]],15),IF(Main[[#This Row],[Class]]="A",WORKDAY(Main[[#This Row],[Tech Start Date]],5),""))))</f>
        <v/>
      </c>
      <c r="P204" s="104" t="str">
        <f>IF(Main[[#This Row],[Tech Start Date]]&lt;1/1/1990,"",IF(Main[[#This Row],[Class]]="C",WORKDAY(Main[[#This Row],[Tech Start Date]],28),IF(Main[[#This Row],[Class]]="B", WORKDAY(Main[[#This Row],[Tech Start Date]],19),IF(Main[[#This Row],[Class]]="A",WORKDAY(Main[[#This Row],[Tech Start Date]],9),""))))</f>
        <v/>
      </c>
      <c r="Q204" s="101">
        <v>40634</v>
      </c>
      <c r="R204" s="101"/>
      <c r="S204" s="99" t="s">
        <v>11</v>
      </c>
      <c r="T204" s="107" t="s">
        <v>4</v>
      </c>
      <c r="U204" s="99" t="s">
        <v>12</v>
      </c>
      <c r="V204" s="99" t="s">
        <v>1962</v>
      </c>
      <c r="W204" s="99" t="s">
        <v>1964</v>
      </c>
    </row>
    <row r="205" spans="1:23" ht="18.600000000000001" customHeight="1">
      <c r="A205" s="123" t="str">
        <f>IF(priority(Main[[#This Row],[Comments]])&lt;&gt;0, priority(Main[[#This Row],[Comments]]),"")</f>
        <v/>
      </c>
      <c r="B205" s="127" t="s">
        <v>2002</v>
      </c>
      <c r="C205" s="99" t="s">
        <v>4</v>
      </c>
      <c r="D205" s="100" t="s">
        <v>2028</v>
      </c>
      <c r="E205" s="101"/>
      <c r="F205" s="101"/>
      <c r="G205" s="102" t="str">
        <f>IF(stdProdLT(Main[[#This Row],[Comments]])=0.1,"N/A",IF(stdProdLT(Main[[#This Row],[Comments]])=0,"",stdProdLT(Main[[#This Row],[Comments]])))</f>
        <v/>
      </c>
      <c r="H205" s="103" t="str">
        <f>IF(AND(Main[[#This Row],[In Stock Date]]&lt;&gt;"",Main[[#This Row],[Revised Due Date]]&lt;&gt;""),Main[[#This Row],[In Stock Date]]-Main[[#This Row],[Revised Due Date]],"")</f>
        <v/>
      </c>
      <c r="I205" s="99" t="s">
        <v>4</v>
      </c>
      <c r="J205" s="99" t="s">
        <v>4</v>
      </c>
      <c r="K205" s="99" t="s">
        <v>4</v>
      </c>
      <c r="L205" s="101"/>
      <c r="M205" s="104" t="str">
        <f>IF(Main[[#This Row],[Tech Start Date]]&lt;1/1/1990,"",IF(Main[[#This Row],[Class]]="C",WORKDAY(Main[[#This Row],[Tech Start Date]],9),IF(Main[[#This Row],[Class]]="B", WORKDAY(Main[[#This Row],[Tech Start Date]],6),IF(Main[[#This Row],[Class]]="A",WORKDAY(Main[[#This Row],[Tech Start Date]],2),""))))</f>
        <v/>
      </c>
      <c r="N205" s="104" t="str">
        <f>IF(Main[[#This Row],[Tech Start Date]]&lt;1/1/1990,"",IF(Main[[#This Row],[Class]]="C",WORKDAY(Main[[#This Row],[Tech Start Date]],19),IF(Main[[#This Row],[Class]]="B", WORKDAY(Main[[#This Row],[Tech Start Date]],12),IF(Main[[#This Row],[Class]]="A",WORKDAY(Main[[#This Row],[Tech Start Date]],4),""))))</f>
        <v/>
      </c>
      <c r="O205" s="104" t="str">
        <f>IF(Main[[#This Row],[Tech Start Date]]&lt;1/1/1990,"",IF(Main[[#This Row],[Class]]="C",WORKDAY(Main[[#This Row],[Tech Start Date]],23),IF(Main[[#This Row],[Class]]="B", WORKDAY(Main[[#This Row],[Tech Start Date]],15),IF(Main[[#This Row],[Class]]="A",WORKDAY(Main[[#This Row],[Tech Start Date]],5),""))))</f>
        <v/>
      </c>
      <c r="P205" s="104" t="str">
        <f>IF(Main[[#This Row],[Tech Start Date]]&lt;1/1/1990,"",IF(Main[[#This Row],[Class]]="C",WORKDAY(Main[[#This Row],[Tech Start Date]],28),IF(Main[[#This Row],[Class]]="B", WORKDAY(Main[[#This Row],[Tech Start Date]],19),IF(Main[[#This Row],[Class]]="A",WORKDAY(Main[[#This Row],[Tech Start Date]],9),""))))</f>
        <v/>
      </c>
      <c r="Q205" s="101">
        <v>40737</v>
      </c>
      <c r="R205" s="101"/>
      <c r="S205" s="99" t="s">
        <v>6</v>
      </c>
      <c r="T205" s="107" t="s">
        <v>4</v>
      </c>
      <c r="U205" s="99" t="s">
        <v>14</v>
      </c>
      <c r="V205" s="99" t="s">
        <v>1965</v>
      </c>
      <c r="W205" s="99" t="s">
        <v>1966</v>
      </c>
    </row>
    <row r="206" spans="1:23" ht="18.600000000000001" customHeight="1">
      <c r="A206" s="123" t="str">
        <f>IF(priority(Main[[#This Row],[Comments]])&lt;&gt;0, priority(Main[[#This Row],[Comments]]),"")</f>
        <v/>
      </c>
      <c r="B206" s="127" t="s">
        <v>1898</v>
      </c>
      <c r="C206" s="99" t="s">
        <v>99</v>
      </c>
      <c r="D206" s="100" t="s">
        <v>928</v>
      </c>
      <c r="E206" s="101"/>
      <c r="F206" s="101">
        <v>40525</v>
      </c>
      <c r="G206" s="102" t="str">
        <f>IF(stdProdLT(Main[[#This Row],[Comments]])=0.1,"N/A",IF(stdProdLT(Main[[#This Row],[Comments]])=0,"",stdProdLT(Main[[#This Row],[Comments]])))</f>
        <v/>
      </c>
      <c r="H206" s="103">
        <f>IF(AND(Main[[#This Row],[In Stock Date]]&lt;&gt;"",Main[[#This Row],[Revised Due Date]]&lt;&gt;""),Main[[#This Row],[In Stock Date]]-Main[[#This Row],[Revised Due Date]],"")</f>
        <v>-46</v>
      </c>
      <c r="I206" s="99" t="s">
        <v>929</v>
      </c>
      <c r="J206" s="99" t="s">
        <v>21</v>
      </c>
      <c r="K206" s="99" t="s">
        <v>1975</v>
      </c>
      <c r="L206" s="101"/>
      <c r="M206" s="104" t="str">
        <f>IF(Main[[#This Row],[Tech Start Date]]&lt;1/1/1990,"",IF(Main[[#This Row],[Class]]="C",WORKDAY(Main[[#This Row],[Tech Start Date]],9),IF(Main[[#This Row],[Class]]="B", WORKDAY(Main[[#This Row],[Tech Start Date]],6),IF(Main[[#This Row],[Class]]="A",WORKDAY(Main[[#This Row],[Tech Start Date]],2),""))))</f>
        <v/>
      </c>
      <c r="N206" s="104" t="str">
        <f>IF(Main[[#This Row],[Tech Start Date]]&lt;1/1/1990,"",IF(Main[[#This Row],[Class]]="C",WORKDAY(Main[[#This Row],[Tech Start Date]],19),IF(Main[[#This Row],[Class]]="B", WORKDAY(Main[[#This Row],[Tech Start Date]],12),IF(Main[[#This Row],[Class]]="A",WORKDAY(Main[[#This Row],[Tech Start Date]],4),""))))</f>
        <v/>
      </c>
      <c r="O206" s="104" t="str">
        <f>IF(Main[[#This Row],[Tech Start Date]]&lt;1/1/1990,"",IF(Main[[#This Row],[Class]]="C",WORKDAY(Main[[#This Row],[Tech Start Date]],23),IF(Main[[#This Row],[Class]]="B", WORKDAY(Main[[#This Row],[Tech Start Date]],15),IF(Main[[#This Row],[Class]]="A",WORKDAY(Main[[#This Row],[Tech Start Date]],5),""))))</f>
        <v/>
      </c>
      <c r="P206" s="104" t="str">
        <f>IF(Main[[#This Row],[Tech Start Date]]&lt;1/1/1990,"",IF(Main[[#This Row],[Class]]="C",WORKDAY(Main[[#This Row],[Tech Start Date]],28),IF(Main[[#This Row],[Class]]="B", WORKDAY(Main[[#This Row],[Tech Start Date]],19),IF(Main[[#This Row],[Class]]="A",WORKDAY(Main[[#This Row],[Tech Start Date]],9),""))))</f>
        <v/>
      </c>
      <c r="Q206" s="101">
        <v>40525</v>
      </c>
      <c r="R206" s="101">
        <v>40571</v>
      </c>
      <c r="S206" s="99" t="s">
        <v>11</v>
      </c>
      <c r="T206" s="107" t="s">
        <v>4</v>
      </c>
      <c r="U206" s="99" t="s">
        <v>14</v>
      </c>
      <c r="V206" s="99" t="s">
        <v>1962</v>
      </c>
      <c r="W206" s="99" t="s">
        <v>1967</v>
      </c>
    </row>
    <row r="207" spans="1:23" ht="18.600000000000001" customHeight="1">
      <c r="A207" s="123" t="str">
        <f>IF(priority(Main[[#This Row],[Comments]])&lt;&gt;0, priority(Main[[#This Row],[Comments]]),"")</f>
        <v/>
      </c>
      <c r="B207" s="127" t="s">
        <v>1901</v>
      </c>
      <c r="C207" s="99" t="s">
        <v>31</v>
      </c>
      <c r="D207" s="100" t="s">
        <v>932</v>
      </c>
      <c r="E207" s="101"/>
      <c r="F207" s="101">
        <v>40664</v>
      </c>
      <c r="G207" s="102" t="str">
        <f>IF(stdProdLT(Main[[#This Row],[Comments]])=0.1,"N/A",IF(stdProdLT(Main[[#This Row],[Comments]])=0,"",stdProdLT(Main[[#This Row],[Comments]])))</f>
        <v/>
      </c>
      <c r="H207" s="103">
        <f>IF(AND(Main[[#This Row],[In Stock Date]]&lt;&gt;"",Main[[#This Row],[Revised Due Date]]&lt;&gt;""),Main[[#This Row],[In Stock Date]]-Main[[#This Row],[Revised Due Date]],"")</f>
        <v>87</v>
      </c>
      <c r="I207" s="99" t="s">
        <v>404</v>
      </c>
      <c r="J207" s="99" t="s">
        <v>75</v>
      </c>
      <c r="K207" s="99" t="s">
        <v>1971</v>
      </c>
      <c r="L207" s="101"/>
      <c r="M207" s="104" t="str">
        <f>IF(Main[[#This Row],[Tech Start Date]]&lt;1/1/1990,"",IF(Main[[#This Row],[Class]]="C",WORKDAY(Main[[#This Row],[Tech Start Date]],9),IF(Main[[#This Row],[Class]]="B", WORKDAY(Main[[#This Row],[Tech Start Date]],6),IF(Main[[#This Row],[Class]]="A",WORKDAY(Main[[#This Row],[Tech Start Date]],2),""))))</f>
        <v/>
      </c>
      <c r="N207" s="104" t="str">
        <f>IF(Main[[#This Row],[Tech Start Date]]&lt;1/1/1990,"",IF(Main[[#This Row],[Class]]="C",WORKDAY(Main[[#This Row],[Tech Start Date]],19),IF(Main[[#This Row],[Class]]="B", WORKDAY(Main[[#This Row],[Tech Start Date]],12),IF(Main[[#This Row],[Class]]="A",WORKDAY(Main[[#This Row],[Tech Start Date]],4),""))))</f>
        <v/>
      </c>
      <c r="O207" s="104" t="str">
        <f>IF(Main[[#This Row],[Tech Start Date]]&lt;1/1/1990,"",IF(Main[[#This Row],[Class]]="C",WORKDAY(Main[[#This Row],[Tech Start Date]],23),IF(Main[[#This Row],[Class]]="B", WORKDAY(Main[[#This Row],[Tech Start Date]],15),IF(Main[[#This Row],[Class]]="A",WORKDAY(Main[[#This Row],[Tech Start Date]],5),""))))</f>
        <v/>
      </c>
      <c r="P207" s="104" t="str">
        <f>IF(Main[[#This Row],[Tech Start Date]]&lt;1/1/1990,"",IF(Main[[#This Row],[Class]]="C",WORKDAY(Main[[#This Row],[Tech Start Date]],28),IF(Main[[#This Row],[Class]]="B", WORKDAY(Main[[#This Row],[Tech Start Date]],19),IF(Main[[#This Row],[Class]]="A",WORKDAY(Main[[#This Row],[Tech Start Date]],9),""))))</f>
        <v/>
      </c>
      <c r="Q207" s="101"/>
      <c r="R207" s="101">
        <v>40577</v>
      </c>
      <c r="S207" s="99" t="s">
        <v>11</v>
      </c>
      <c r="T207" s="107" t="s">
        <v>4</v>
      </c>
      <c r="U207" s="99" t="s">
        <v>14</v>
      </c>
      <c r="V207" s="99" t="s">
        <v>1965</v>
      </c>
      <c r="W207" s="99" t="s">
        <v>1968</v>
      </c>
    </row>
    <row r="208" spans="1:23" ht="18.600000000000001" customHeight="1">
      <c r="A208" s="123" t="str">
        <f>IF(priority(Main[[#This Row],[Comments]])&lt;&gt;0, priority(Main[[#This Row],[Comments]]),"")</f>
        <v/>
      </c>
      <c r="B208" s="127" t="s">
        <v>3038</v>
      </c>
      <c r="C208" s="99" t="s">
        <v>4</v>
      </c>
      <c r="D208" s="100" t="s">
        <v>3073</v>
      </c>
      <c r="E208" s="101">
        <v>40878.38758101852</v>
      </c>
      <c r="F208" s="101"/>
      <c r="G208" s="102">
        <f>IF(stdProdLT(Main[[#This Row],[Comments]])=0.1,"N/A",IF(stdProdLT(Main[[#This Row],[Comments]])=0,"",stdProdLT(Main[[#This Row],[Comments]])))</f>
        <v>112</v>
      </c>
      <c r="H208" s="103" t="str">
        <f>IF(AND(Main[[#This Row],[In Stock Date]]&lt;&gt;"",Main[[#This Row],[Revised Due Date]]&lt;&gt;""),Main[[#This Row],[In Stock Date]]-Main[[#This Row],[Revised Due Date]],"")</f>
        <v/>
      </c>
      <c r="I208" s="99" t="s">
        <v>4</v>
      </c>
      <c r="J208" s="99" t="s">
        <v>4</v>
      </c>
      <c r="K208" s="99" t="s">
        <v>4</v>
      </c>
      <c r="L208" s="101"/>
      <c r="M208" s="104" t="str">
        <f>IF(Main[[#This Row],[Tech Start Date]]&lt;1/1/1990,"",IF(Main[[#This Row],[Class]]="C",WORKDAY(Main[[#This Row],[Tech Start Date]],9),IF(Main[[#This Row],[Class]]="B", WORKDAY(Main[[#This Row],[Tech Start Date]],6),IF(Main[[#This Row],[Class]]="A",WORKDAY(Main[[#This Row],[Tech Start Date]],2),""))))</f>
        <v/>
      </c>
      <c r="N208" s="104" t="str">
        <f>IF(Main[[#This Row],[Tech Start Date]]&lt;1/1/1990,"",IF(Main[[#This Row],[Class]]="C",WORKDAY(Main[[#This Row],[Tech Start Date]],19),IF(Main[[#This Row],[Class]]="B", WORKDAY(Main[[#This Row],[Tech Start Date]],12),IF(Main[[#This Row],[Class]]="A",WORKDAY(Main[[#This Row],[Tech Start Date]],4),""))))</f>
        <v/>
      </c>
      <c r="O208" s="104" t="str">
        <f>IF(Main[[#This Row],[Tech Start Date]]&lt;1/1/1990,"",IF(Main[[#This Row],[Class]]="C",WORKDAY(Main[[#This Row],[Tech Start Date]],23),IF(Main[[#This Row],[Class]]="B", WORKDAY(Main[[#This Row],[Tech Start Date]],15),IF(Main[[#This Row],[Class]]="A",WORKDAY(Main[[#This Row],[Tech Start Date]],5),""))))</f>
        <v/>
      </c>
      <c r="P208" s="104" t="str">
        <f>IF(Main[[#This Row],[Tech Start Date]]&lt;1/1/1990,"",IF(Main[[#This Row],[Class]]="C",WORKDAY(Main[[#This Row],[Tech Start Date]],28),IF(Main[[#This Row],[Class]]="B", WORKDAY(Main[[#This Row],[Tech Start Date]],19),IF(Main[[#This Row],[Class]]="A",WORKDAY(Main[[#This Row],[Tech Start Date]],9),""))))</f>
        <v/>
      </c>
      <c r="Q208" s="101">
        <v>40884</v>
      </c>
      <c r="R208" s="101"/>
      <c r="S208" s="99" t="s">
        <v>11</v>
      </c>
      <c r="T208" s="107" t="s">
        <v>3074</v>
      </c>
      <c r="U208" s="99" t="s">
        <v>704</v>
      </c>
      <c r="V208" s="99" t="s">
        <v>1972</v>
      </c>
      <c r="W208" s="99" t="s">
        <v>1970</v>
      </c>
    </row>
    <row r="209" spans="1:23" ht="18.600000000000001" customHeight="1">
      <c r="A209" s="123" t="str">
        <f>IF(priority(Main[[#This Row],[Comments]])&lt;&gt;0, priority(Main[[#This Row],[Comments]]),"")</f>
        <v/>
      </c>
      <c r="B209" s="127" t="s">
        <v>1113</v>
      </c>
      <c r="C209" s="99" t="s">
        <v>4</v>
      </c>
      <c r="D209" s="100" t="s">
        <v>124</v>
      </c>
      <c r="E209" s="101"/>
      <c r="F209" s="101"/>
      <c r="G209" s="102" t="str">
        <f>IF(stdProdLT(Main[[#This Row],[Comments]])=0.1,"N/A",IF(stdProdLT(Main[[#This Row],[Comments]])=0,"",stdProdLT(Main[[#This Row],[Comments]])))</f>
        <v/>
      </c>
      <c r="H209" s="103" t="str">
        <f>IF(AND(Main[[#This Row],[In Stock Date]]&lt;&gt;"",Main[[#This Row],[Revised Due Date]]&lt;&gt;""),Main[[#This Row],[In Stock Date]]-Main[[#This Row],[Revised Due Date]],"")</f>
        <v/>
      </c>
      <c r="I209" s="99" t="s">
        <v>4</v>
      </c>
      <c r="J209" s="99" t="s">
        <v>4</v>
      </c>
      <c r="K209" s="108" t="s">
        <v>4</v>
      </c>
      <c r="L209" s="101"/>
      <c r="M209" s="104" t="str">
        <f>IF(Main[[#This Row],[Tech Start Date]]&lt;1/1/1990,"",IF(Main[[#This Row],[Class]]="C",WORKDAY(Main[[#This Row],[Tech Start Date]],9),IF(Main[[#This Row],[Class]]="B", WORKDAY(Main[[#This Row],[Tech Start Date]],6),IF(Main[[#This Row],[Class]]="A",WORKDAY(Main[[#This Row],[Tech Start Date]],2),""))))</f>
        <v/>
      </c>
      <c r="N209" s="104" t="str">
        <f>IF(Main[[#This Row],[Tech Start Date]]&lt;1/1/1990,"",IF(Main[[#This Row],[Class]]="C",WORKDAY(Main[[#This Row],[Tech Start Date]],19),IF(Main[[#This Row],[Class]]="B", WORKDAY(Main[[#This Row],[Tech Start Date]],12),IF(Main[[#This Row],[Class]]="A",WORKDAY(Main[[#This Row],[Tech Start Date]],4),""))))</f>
        <v/>
      </c>
      <c r="O209" s="104" t="str">
        <f>IF(Main[[#This Row],[Tech Start Date]]&lt;1/1/1990,"",IF(Main[[#This Row],[Class]]="C",WORKDAY(Main[[#This Row],[Tech Start Date]],23),IF(Main[[#This Row],[Class]]="B", WORKDAY(Main[[#This Row],[Tech Start Date]],15),IF(Main[[#This Row],[Class]]="A",WORKDAY(Main[[#This Row],[Tech Start Date]],5),""))))</f>
        <v/>
      </c>
      <c r="P209" s="104" t="str">
        <f>IF(Main[[#This Row],[Tech Start Date]]&lt;1/1/1990,"",IF(Main[[#This Row],[Class]]="C",WORKDAY(Main[[#This Row],[Tech Start Date]],28),IF(Main[[#This Row],[Class]]="B", WORKDAY(Main[[#This Row],[Tech Start Date]],19),IF(Main[[#This Row],[Class]]="A",WORKDAY(Main[[#This Row],[Tech Start Date]],9),""))))</f>
        <v/>
      </c>
      <c r="Q209" s="101">
        <v>40613</v>
      </c>
      <c r="R209" s="101"/>
      <c r="S209" s="99" t="s">
        <v>6</v>
      </c>
      <c r="T209" s="107" t="s">
        <v>4</v>
      </c>
      <c r="U209" s="99" t="s">
        <v>12</v>
      </c>
      <c r="V209" s="99" t="s">
        <v>1962</v>
      </c>
      <c r="W209" s="99" t="s">
        <v>1976</v>
      </c>
    </row>
    <row r="210" spans="1:23" ht="18.600000000000001" customHeight="1">
      <c r="A210" s="123" t="str">
        <f>IF(priority(Main[[#This Row],[Comments]])&lt;&gt;0, priority(Main[[#This Row],[Comments]]),"")</f>
        <v/>
      </c>
      <c r="B210" s="127" t="s">
        <v>2243</v>
      </c>
      <c r="C210" s="99" t="s">
        <v>2244</v>
      </c>
      <c r="D210" s="100" t="s">
        <v>2245</v>
      </c>
      <c r="E210" s="101"/>
      <c r="F210" s="101">
        <v>40829</v>
      </c>
      <c r="G210" s="102" t="str">
        <f>IF(stdProdLT(Main[[#This Row],[Comments]])=0.1,"N/A",IF(stdProdLT(Main[[#This Row],[Comments]])=0,"",stdProdLT(Main[[#This Row],[Comments]])))</f>
        <v/>
      </c>
      <c r="H210" s="103" t="str">
        <f>IF(AND(Main[[#This Row],[In Stock Date]]&lt;&gt;"",Main[[#This Row],[Revised Due Date]]&lt;&gt;""),Main[[#This Row],[In Stock Date]]-Main[[#This Row],[Revised Due Date]],"")</f>
        <v/>
      </c>
      <c r="I210" s="99" t="s">
        <v>4</v>
      </c>
      <c r="J210" s="99" t="s">
        <v>4</v>
      </c>
      <c r="K210" s="99" t="s">
        <v>4</v>
      </c>
      <c r="L210" s="101"/>
      <c r="M210" s="104" t="str">
        <f>IF(Main[[#This Row],[Tech Start Date]]&lt;1/1/1990,"",IF(Main[[#This Row],[Class]]="C",WORKDAY(Main[[#This Row],[Tech Start Date]],9),IF(Main[[#This Row],[Class]]="B", WORKDAY(Main[[#This Row],[Tech Start Date]],6),IF(Main[[#This Row],[Class]]="A",WORKDAY(Main[[#This Row],[Tech Start Date]],2),""))))</f>
        <v/>
      </c>
      <c r="N210" s="104" t="str">
        <f>IF(Main[[#This Row],[Tech Start Date]]&lt;1/1/1990,"",IF(Main[[#This Row],[Class]]="C",WORKDAY(Main[[#This Row],[Tech Start Date]],19),IF(Main[[#This Row],[Class]]="B", WORKDAY(Main[[#This Row],[Tech Start Date]],12),IF(Main[[#This Row],[Class]]="A",WORKDAY(Main[[#This Row],[Tech Start Date]],4),""))))</f>
        <v/>
      </c>
      <c r="O210" s="104" t="str">
        <f>IF(Main[[#This Row],[Tech Start Date]]&lt;1/1/1990,"",IF(Main[[#This Row],[Class]]="C",WORKDAY(Main[[#This Row],[Tech Start Date]],23),IF(Main[[#This Row],[Class]]="B", WORKDAY(Main[[#This Row],[Tech Start Date]],15),IF(Main[[#This Row],[Class]]="A",WORKDAY(Main[[#This Row],[Tech Start Date]],5),""))))</f>
        <v/>
      </c>
      <c r="P210" s="104" t="str">
        <f>IF(Main[[#This Row],[Tech Start Date]]&lt;1/1/1990,"",IF(Main[[#This Row],[Class]]="C",WORKDAY(Main[[#This Row],[Tech Start Date]],28),IF(Main[[#This Row],[Class]]="B", WORKDAY(Main[[#This Row],[Tech Start Date]],19),IF(Main[[#This Row],[Class]]="A",WORKDAY(Main[[#This Row],[Tech Start Date]],9),""))))</f>
        <v/>
      </c>
      <c r="Q210" s="101">
        <v>40801</v>
      </c>
      <c r="R210" s="101"/>
      <c r="S210" s="99" t="s">
        <v>11</v>
      </c>
      <c r="T210" s="107" t="s">
        <v>4</v>
      </c>
      <c r="U210" s="99" t="s">
        <v>14</v>
      </c>
      <c r="V210" s="99" t="s">
        <v>1963</v>
      </c>
      <c r="W210" s="99" t="s">
        <v>1970</v>
      </c>
    </row>
    <row r="211" spans="1:23" ht="18.600000000000001" customHeight="1">
      <c r="A211" s="123" t="str">
        <f>IF(priority(Main[[#This Row],[Comments]])&lt;&gt;0, priority(Main[[#This Row],[Comments]]),"")</f>
        <v/>
      </c>
      <c r="B211" s="127" t="s">
        <v>1105</v>
      </c>
      <c r="C211" s="99" t="s">
        <v>31</v>
      </c>
      <c r="D211" s="100" t="s">
        <v>115</v>
      </c>
      <c r="E211" s="101"/>
      <c r="F211" s="101"/>
      <c r="G211" s="102" t="str">
        <f>IF(stdProdLT(Main[[#This Row],[Comments]])=0.1,"N/A",IF(stdProdLT(Main[[#This Row],[Comments]])=0,"",stdProdLT(Main[[#This Row],[Comments]])))</f>
        <v/>
      </c>
      <c r="H211" s="103" t="str">
        <f>IF(AND(Main[[#This Row],[In Stock Date]]&lt;&gt;"",Main[[#This Row],[Revised Due Date]]&lt;&gt;""),Main[[#This Row],[In Stock Date]]-Main[[#This Row],[Revised Due Date]],"")</f>
        <v/>
      </c>
      <c r="I211" s="99" t="s">
        <v>4</v>
      </c>
      <c r="J211" s="99" t="s">
        <v>4</v>
      </c>
      <c r="K211" s="99" t="s">
        <v>4</v>
      </c>
      <c r="L211" s="101"/>
      <c r="M211" s="104" t="str">
        <f>IF(Main[[#This Row],[Tech Start Date]]&lt;1/1/1990,"",IF(Main[[#This Row],[Class]]="C",WORKDAY(Main[[#This Row],[Tech Start Date]],9),IF(Main[[#This Row],[Class]]="B", WORKDAY(Main[[#This Row],[Tech Start Date]],6),IF(Main[[#This Row],[Class]]="A",WORKDAY(Main[[#This Row],[Tech Start Date]],2),""))))</f>
        <v/>
      </c>
      <c r="N211" s="104" t="str">
        <f>IF(Main[[#This Row],[Tech Start Date]]&lt;1/1/1990,"",IF(Main[[#This Row],[Class]]="C",WORKDAY(Main[[#This Row],[Tech Start Date]],19),IF(Main[[#This Row],[Class]]="B", WORKDAY(Main[[#This Row],[Tech Start Date]],12),IF(Main[[#This Row],[Class]]="A",WORKDAY(Main[[#This Row],[Tech Start Date]],4),""))))</f>
        <v/>
      </c>
      <c r="O211" s="104" t="str">
        <f>IF(Main[[#This Row],[Tech Start Date]]&lt;1/1/1990,"",IF(Main[[#This Row],[Class]]="C",WORKDAY(Main[[#This Row],[Tech Start Date]],23),IF(Main[[#This Row],[Class]]="B", WORKDAY(Main[[#This Row],[Tech Start Date]],15),IF(Main[[#This Row],[Class]]="A",WORKDAY(Main[[#This Row],[Tech Start Date]],5),""))))</f>
        <v/>
      </c>
      <c r="P211" s="104" t="str">
        <f>IF(Main[[#This Row],[Tech Start Date]]&lt;1/1/1990,"",IF(Main[[#This Row],[Class]]="C",WORKDAY(Main[[#This Row],[Tech Start Date]],28),IF(Main[[#This Row],[Class]]="B", WORKDAY(Main[[#This Row],[Tech Start Date]],19),IF(Main[[#This Row],[Class]]="A",WORKDAY(Main[[#This Row],[Tech Start Date]],9),""))))</f>
        <v/>
      </c>
      <c r="Q211" s="101">
        <v>40318</v>
      </c>
      <c r="R211" s="101"/>
      <c r="S211" s="99" t="s">
        <v>11</v>
      </c>
      <c r="T211" s="107" t="s">
        <v>4</v>
      </c>
      <c r="U211" s="99" t="s">
        <v>14</v>
      </c>
      <c r="V211" s="99" t="s">
        <v>1965</v>
      </c>
      <c r="W211" s="99" t="s">
        <v>1964</v>
      </c>
    </row>
    <row r="212" spans="1:23" ht="18.600000000000001" customHeight="1">
      <c r="A212" s="123" t="str">
        <f>IF(priority(Main[[#This Row],[Comments]])&lt;&gt;0, priority(Main[[#This Row],[Comments]]),"")</f>
        <v/>
      </c>
      <c r="B212" s="127" t="s">
        <v>2419</v>
      </c>
      <c r="C212" s="99" t="s">
        <v>31</v>
      </c>
      <c r="D212" s="100" t="s">
        <v>2420</v>
      </c>
      <c r="E212" s="101"/>
      <c r="F212" s="101">
        <v>41000</v>
      </c>
      <c r="G212" s="102">
        <f>IF(stdProdLT(Main[[#This Row],[Comments]])=0.1,"N/A",IF(stdProdLT(Main[[#This Row],[Comments]])=0,"",stdProdLT(Main[[#This Row],[Comments]])))</f>
        <v>140</v>
      </c>
      <c r="H212" s="103" t="str">
        <f>IF(AND(Main[[#This Row],[In Stock Date]]&lt;&gt;"",Main[[#This Row],[Revised Due Date]]&lt;&gt;""),Main[[#This Row],[In Stock Date]]-Main[[#This Row],[Revised Due Date]],"")</f>
        <v/>
      </c>
      <c r="I212" s="99" t="s">
        <v>4</v>
      </c>
      <c r="J212" s="99" t="s">
        <v>4</v>
      </c>
      <c r="K212" s="108" t="s">
        <v>4</v>
      </c>
      <c r="L212" s="101"/>
      <c r="M212" s="104" t="str">
        <f>IF(Main[[#This Row],[Tech Start Date]]&lt;1/1/1990,"",IF(Main[[#This Row],[Class]]="C",WORKDAY(Main[[#This Row],[Tech Start Date]],9),IF(Main[[#This Row],[Class]]="B", WORKDAY(Main[[#This Row],[Tech Start Date]],6),IF(Main[[#This Row],[Class]]="A",WORKDAY(Main[[#This Row],[Tech Start Date]],2),""))))</f>
        <v/>
      </c>
      <c r="N212" s="104" t="str">
        <f>IF(Main[[#This Row],[Tech Start Date]]&lt;1/1/1990,"",IF(Main[[#This Row],[Class]]="C",WORKDAY(Main[[#This Row],[Tech Start Date]],19),IF(Main[[#This Row],[Class]]="B", WORKDAY(Main[[#This Row],[Tech Start Date]],12),IF(Main[[#This Row],[Class]]="A",WORKDAY(Main[[#This Row],[Tech Start Date]],4),""))))</f>
        <v/>
      </c>
      <c r="O212" s="104" t="str">
        <f>IF(Main[[#This Row],[Tech Start Date]]&lt;1/1/1990,"",IF(Main[[#This Row],[Class]]="C",WORKDAY(Main[[#This Row],[Tech Start Date]],23),IF(Main[[#This Row],[Class]]="B", WORKDAY(Main[[#This Row],[Tech Start Date]],15),IF(Main[[#This Row],[Class]]="A",WORKDAY(Main[[#This Row],[Tech Start Date]],5),""))))</f>
        <v/>
      </c>
      <c r="P212" s="104" t="str">
        <f>IF(Main[[#This Row],[Tech Start Date]]&lt;1/1/1990,"",IF(Main[[#This Row],[Class]]="C",WORKDAY(Main[[#This Row],[Tech Start Date]],28),IF(Main[[#This Row],[Class]]="B", WORKDAY(Main[[#This Row],[Tech Start Date]],19),IF(Main[[#This Row],[Class]]="A",WORKDAY(Main[[#This Row],[Tech Start Date]],9),""))))</f>
        <v/>
      </c>
      <c r="Q212" s="101">
        <v>40916</v>
      </c>
      <c r="R212" s="101"/>
      <c r="S212" s="99" t="s">
        <v>11</v>
      </c>
      <c r="T212" s="107" t="s">
        <v>2421</v>
      </c>
      <c r="U212" s="99" t="s">
        <v>14</v>
      </c>
      <c r="V212" s="99" t="s">
        <v>1972</v>
      </c>
      <c r="W212" s="99" t="s">
        <v>1968</v>
      </c>
    </row>
    <row r="213" spans="1:23" ht="18.600000000000001" customHeight="1">
      <c r="A213" s="123" t="str">
        <f>IF(priority(Main[[#This Row],[Comments]])&lt;&gt;0, priority(Main[[#This Row],[Comments]]),"")</f>
        <v/>
      </c>
      <c r="B213" s="127" t="s">
        <v>2061</v>
      </c>
      <c r="C213" s="99" t="s">
        <v>4</v>
      </c>
      <c r="D213" s="100" t="s">
        <v>2062</v>
      </c>
      <c r="E213" s="101"/>
      <c r="F213" s="101"/>
      <c r="G213" s="102" t="str">
        <f>IF(stdProdLT(Main[[#This Row],[Comments]])=0.1,"N/A",IF(stdProdLT(Main[[#This Row],[Comments]])=0,"",stdProdLT(Main[[#This Row],[Comments]])))</f>
        <v/>
      </c>
      <c r="H213" s="103" t="str">
        <f>IF(AND(Main[[#This Row],[In Stock Date]]&lt;&gt;"",Main[[#This Row],[Revised Due Date]]&lt;&gt;""),Main[[#This Row],[In Stock Date]]-Main[[#This Row],[Revised Due Date]],"")</f>
        <v/>
      </c>
      <c r="I213" s="99" t="s">
        <v>4</v>
      </c>
      <c r="J213" s="99" t="s">
        <v>4</v>
      </c>
      <c r="K213" s="99" t="s">
        <v>4</v>
      </c>
      <c r="L213" s="101"/>
      <c r="M213" s="104" t="str">
        <f>IF(Main[[#This Row],[Tech Start Date]]&lt;1/1/1990,"",IF(Main[[#This Row],[Class]]="C",WORKDAY(Main[[#This Row],[Tech Start Date]],9),IF(Main[[#This Row],[Class]]="B", WORKDAY(Main[[#This Row],[Tech Start Date]],6),IF(Main[[#This Row],[Class]]="A",WORKDAY(Main[[#This Row],[Tech Start Date]],2),""))))</f>
        <v/>
      </c>
      <c r="N213" s="104" t="str">
        <f>IF(Main[[#This Row],[Tech Start Date]]&lt;1/1/1990,"",IF(Main[[#This Row],[Class]]="C",WORKDAY(Main[[#This Row],[Tech Start Date]],19),IF(Main[[#This Row],[Class]]="B", WORKDAY(Main[[#This Row],[Tech Start Date]],12),IF(Main[[#This Row],[Class]]="A",WORKDAY(Main[[#This Row],[Tech Start Date]],4),""))))</f>
        <v/>
      </c>
      <c r="O213" s="104" t="str">
        <f>IF(Main[[#This Row],[Tech Start Date]]&lt;1/1/1990,"",IF(Main[[#This Row],[Class]]="C",WORKDAY(Main[[#This Row],[Tech Start Date]],23),IF(Main[[#This Row],[Class]]="B", WORKDAY(Main[[#This Row],[Tech Start Date]],15),IF(Main[[#This Row],[Class]]="A",WORKDAY(Main[[#This Row],[Tech Start Date]],5),""))))</f>
        <v/>
      </c>
      <c r="P213" s="104" t="str">
        <f>IF(Main[[#This Row],[Tech Start Date]]&lt;1/1/1990,"",IF(Main[[#This Row],[Class]]="C",WORKDAY(Main[[#This Row],[Tech Start Date]],28),IF(Main[[#This Row],[Class]]="B", WORKDAY(Main[[#This Row],[Tech Start Date]],19),IF(Main[[#This Row],[Class]]="A",WORKDAY(Main[[#This Row],[Tech Start Date]],9),""))))</f>
        <v/>
      </c>
      <c r="Q213" s="101"/>
      <c r="R213" s="101"/>
      <c r="S213" s="99" t="s">
        <v>4</v>
      </c>
      <c r="T213" s="107" t="s">
        <v>4</v>
      </c>
      <c r="U213" s="99" t="s">
        <v>14</v>
      </c>
      <c r="V213" s="99" t="s">
        <v>1965</v>
      </c>
      <c r="W213" s="99" t="s">
        <v>1964</v>
      </c>
    </row>
    <row r="214" spans="1:23" ht="18.600000000000001" customHeight="1">
      <c r="A214" s="123" t="str">
        <f>IF(priority(Main[[#This Row],[Comments]])&lt;&gt;0, priority(Main[[#This Row],[Comments]]),"")</f>
        <v/>
      </c>
      <c r="B214" s="127" t="s">
        <v>1107</v>
      </c>
      <c r="C214" s="99" t="s">
        <v>42</v>
      </c>
      <c r="D214" s="100" t="s">
        <v>119</v>
      </c>
      <c r="E214" s="101"/>
      <c r="F214" s="101"/>
      <c r="G214" s="102" t="str">
        <f>IF(stdProdLT(Main[[#This Row],[Comments]])=0.1,"N/A",IF(stdProdLT(Main[[#This Row],[Comments]])=0,"",stdProdLT(Main[[#This Row],[Comments]])))</f>
        <v/>
      </c>
      <c r="H214" s="103" t="str">
        <f>IF(AND(Main[[#This Row],[In Stock Date]]&lt;&gt;"",Main[[#This Row],[Revised Due Date]]&lt;&gt;""),Main[[#This Row],[In Stock Date]]-Main[[#This Row],[Revised Due Date]],"")</f>
        <v/>
      </c>
      <c r="I214" s="99" t="s">
        <v>4</v>
      </c>
      <c r="J214" s="99" t="s">
        <v>4</v>
      </c>
      <c r="K214" s="108" t="s">
        <v>4</v>
      </c>
      <c r="L214" s="101"/>
      <c r="M214" s="104" t="str">
        <f>IF(Main[[#This Row],[Tech Start Date]]&lt;1/1/1990,"",IF(Main[[#This Row],[Class]]="C",WORKDAY(Main[[#This Row],[Tech Start Date]],9),IF(Main[[#This Row],[Class]]="B", WORKDAY(Main[[#This Row],[Tech Start Date]],6),IF(Main[[#This Row],[Class]]="A",WORKDAY(Main[[#This Row],[Tech Start Date]],2),""))))</f>
        <v/>
      </c>
      <c r="N214" s="104" t="str">
        <f>IF(Main[[#This Row],[Tech Start Date]]&lt;1/1/1990,"",IF(Main[[#This Row],[Class]]="C",WORKDAY(Main[[#This Row],[Tech Start Date]],19),IF(Main[[#This Row],[Class]]="B", WORKDAY(Main[[#This Row],[Tech Start Date]],12),IF(Main[[#This Row],[Class]]="A",WORKDAY(Main[[#This Row],[Tech Start Date]],4),""))))</f>
        <v/>
      </c>
      <c r="O214" s="104" t="str">
        <f>IF(Main[[#This Row],[Tech Start Date]]&lt;1/1/1990,"",IF(Main[[#This Row],[Class]]="C",WORKDAY(Main[[#This Row],[Tech Start Date]],23),IF(Main[[#This Row],[Class]]="B", WORKDAY(Main[[#This Row],[Tech Start Date]],15),IF(Main[[#This Row],[Class]]="A",WORKDAY(Main[[#This Row],[Tech Start Date]],5),""))))</f>
        <v/>
      </c>
      <c r="P214" s="104" t="str">
        <f>IF(Main[[#This Row],[Tech Start Date]]&lt;1/1/1990,"",IF(Main[[#This Row],[Class]]="C",WORKDAY(Main[[#This Row],[Tech Start Date]],28),IF(Main[[#This Row],[Class]]="B", WORKDAY(Main[[#This Row],[Tech Start Date]],19),IF(Main[[#This Row],[Class]]="A",WORKDAY(Main[[#This Row],[Tech Start Date]],9),""))))</f>
        <v/>
      </c>
      <c r="Q214" s="101"/>
      <c r="R214" s="101"/>
      <c r="S214" s="99" t="s">
        <v>11</v>
      </c>
      <c r="T214" s="107" t="s">
        <v>4</v>
      </c>
      <c r="U214" s="99" t="s">
        <v>14</v>
      </c>
      <c r="V214" s="99" t="s">
        <v>1963</v>
      </c>
      <c r="W214" s="99" t="s">
        <v>1970</v>
      </c>
    </row>
    <row r="215" spans="1:23" ht="18.600000000000001" customHeight="1">
      <c r="A215" s="123" t="str">
        <f>IF(priority(Main[[#This Row],[Comments]])&lt;&gt;0, priority(Main[[#This Row],[Comments]]),"")</f>
        <v/>
      </c>
      <c r="B215" s="127" t="s">
        <v>1525</v>
      </c>
      <c r="C215" s="99" t="s">
        <v>4</v>
      </c>
      <c r="D215" s="100" t="s">
        <v>578</v>
      </c>
      <c r="E215" s="101">
        <v>40422.460902777777</v>
      </c>
      <c r="F215" s="101"/>
      <c r="G215" s="102" t="str">
        <f>IF(stdProdLT(Main[[#This Row],[Comments]])=0.1,"N/A",IF(stdProdLT(Main[[#This Row],[Comments]])=0,"",stdProdLT(Main[[#This Row],[Comments]])))</f>
        <v/>
      </c>
      <c r="H215" s="103" t="str">
        <f>IF(AND(Main[[#This Row],[In Stock Date]]&lt;&gt;"",Main[[#This Row],[Revised Due Date]]&lt;&gt;""),Main[[#This Row],[In Stock Date]]-Main[[#This Row],[Revised Due Date]],"")</f>
        <v/>
      </c>
      <c r="I215" s="99" t="s">
        <v>4</v>
      </c>
      <c r="J215" s="99" t="s">
        <v>28</v>
      </c>
      <c r="K215" s="108" t="s">
        <v>4</v>
      </c>
      <c r="L215" s="101"/>
      <c r="M215" s="104" t="str">
        <f>IF(Main[[#This Row],[Tech Start Date]]&lt;1/1/1990,"",IF(Main[[#This Row],[Class]]="C",WORKDAY(Main[[#This Row],[Tech Start Date]],9),IF(Main[[#This Row],[Class]]="B", WORKDAY(Main[[#This Row],[Tech Start Date]],6),IF(Main[[#This Row],[Class]]="A",WORKDAY(Main[[#This Row],[Tech Start Date]],2),""))))</f>
        <v/>
      </c>
      <c r="N215" s="104" t="str">
        <f>IF(Main[[#This Row],[Tech Start Date]]&lt;1/1/1990,"",IF(Main[[#This Row],[Class]]="C",WORKDAY(Main[[#This Row],[Tech Start Date]],19),IF(Main[[#This Row],[Class]]="B", WORKDAY(Main[[#This Row],[Tech Start Date]],12),IF(Main[[#This Row],[Class]]="A",WORKDAY(Main[[#This Row],[Tech Start Date]],4),""))))</f>
        <v/>
      </c>
      <c r="O215" s="104" t="str">
        <f>IF(Main[[#This Row],[Tech Start Date]]&lt;1/1/1990,"",IF(Main[[#This Row],[Class]]="C",WORKDAY(Main[[#This Row],[Tech Start Date]],23),IF(Main[[#This Row],[Class]]="B", WORKDAY(Main[[#This Row],[Tech Start Date]],15),IF(Main[[#This Row],[Class]]="A",WORKDAY(Main[[#This Row],[Tech Start Date]],5),""))))</f>
        <v/>
      </c>
      <c r="P215" s="104" t="str">
        <f>IF(Main[[#This Row],[Tech Start Date]]&lt;1/1/1990,"",IF(Main[[#This Row],[Class]]="C",WORKDAY(Main[[#This Row],[Tech Start Date]],28),IF(Main[[#This Row],[Class]]="B", WORKDAY(Main[[#This Row],[Tech Start Date]],19),IF(Main[[#This Row],[Class]]="A",WORKDAY(Main[[#This Row],[Tech Start Date]],9),""))))</f>
        <v/>
      </c>
      <c r="Q215" s="101"/>
      <c r="R215" s="101"/>
      <c r="S215" s="99" t="s">
        <v>6</v>
      </c>
      <c r="T215" s="107" t="s">
        <v>4</v>
      </c>
      <c r="U215" s="99" t="s">
        <v>29</v>
      </c>
      <c r="V215" s="99" t="s">
        <v>1962</v>
      </c>
      <c r="W215" s="99" t="s">
        <v>1970</v>
      </c>
    </row>
    <row r="216" spans="1:23" ht="18.600000000000001" customHeight="1">
      <c r="A216" s="123" t="str">
        <f>IF(priority(Main[[#This Row],[Comments]])&lt;&gt;0, priority(Main[[#This Row],[Comments]]),"")</f>
        <v/>
      </c>
      <c r="B216" s="127" t="s">
        <v>2117</v>
      </c>
      <c r="C216" s="99" t="s">
        <v>4</v>
      </c>
      <c r="D216" s="100" t="s">
        <v>2118</v>
      </c>
      <c r="E216" s="101"/>
      <c r="F216" s="101"/>
      <c r="G216" s="102" t="str">
        <f>IF(stdProdLT(Main[[#This Row],[Comments]])=0.1,"N/A",IF(stdProdLT(Main[[#This Row],[Comments]])=0,"",stdProdLT(Main[[#This Row],[Comments]])))</f>
        <v/>
      </c>
      <c r="H216" s="103" t="str">
        <f>IF(AND(Main[[#This Row],[In Stock Date]]&lt;&gt;"",Main[[#This Row],[Revised Due Date]]&lt;&gt;""),Main[[#This Row],[In Stock Date]]-Main[[#This Row],[Revised Due Date]],"")</f>
        <v/>
      </c>
      <c r="I216" s="99" t="s">
        <v>435</v>
      </c>
      <c r="J216" s="99" t="s">
        <v>70</v>
      </c>
      <c r="K216" s="108" t="s">
        <v>1971</v>
      </c>
      <c r="L216" s="101"/>
      <c r="M216" s="104" t="str">
        <f>IF(Main[[#This Row],[Tech Start Date]]&lt;1/1/1990,"",IF(Main[[#This Row],[Class]]="C",WORKDAY(Main[[#This Row],[Tech Start Date]],9),IF(Main[[#This Row],[Class]]="B", WORKDAY(Main[[#This Row],[Tech Start Date]],6),IF(Main[[#This Row],[Class]]="A",WORKDAY(Main[[#This Row],[Tech Start Date]],2),""))))</f>
        <v/>
      </c>
      <c r="N216" s="104" t="str">
        <f>IF(Main[[#This Row],[Tech Start Date]]&lt;1/1/1990,"",IF(Main[[#This Row],[Class]]="C",WORKDAY(Main[[#This Row],[Tech Start Date]],19),IF(Main[[#This Row],[Class]]="B", WORKDAY(Main[[#This Row],[Tech Start Date]],12),IF(Main[[#This Row],[Class]]="A",WORKDAY(Main[[#This Row],[Tech Start Date]],4),""))))</f>
        <v/>
      </c>
      <c r="O216" s="104" t="str">
        <f>IF(Main[[#This Row],[Tech Start Date]]&lt;1/1/1990,"",IF(Main[[#This Row],[Class]]="C",WORKDAY(Main[[#This Row],[Tech Start Date]],23),IF(Main[[#This Row],[Class]]="B", WORKDAY(Main[[#This Row],[Tech Start Date]],15),IF(Main[[#This Row],[Class]]="A",WORKDAY(Main[[#This Row],[Tech Start Date]],5),""))))</f>
        <v/>
      </c>
      <c r="P216" s="104" t="str">
        <f>IF(Main[[#This Row],[Tech Start Date]]&lt;1/1/1990,"",IF(Main[[#This Row],[Class]]="C",WORKDAY(Main[[#This Row],[Tech Start Date]],28),IF(Main[[#This Row],[Class]]="B", WORKDAY(Main[[#This Row],[Tech Start Date]],19),IF(Main[[#This Row],[Class]]="A",WORKDAY(Main[[#This Row],[Tech Start Date]],9),""))))</f>
        <v/>
      </c>
      <c r="Q216" s="101">
        <v>40786</v>
      </c>
      <c r="R216" s="101"/>
      <c r="S216" s="99" t="s">
        <v>6</v>
      </c>
      <c r="T216" s="107" t="s">
        <v>4</v>
      </c>
      <c r="U216" s="99" t="s">
        <v>14</v>
      </c>
      <c r="V216" s="99" t="s">
        <v>1965</v>
      </c>
      <c r="W216" s="99" t="s">
        <v>1966</v>
      </c>
    </row>
    <row r="217" spans="1:23" ht="18.600000000000001" customHeight="1">
      <c r="A217" s="123" t="str">
        <f>IF(priority(Main[[#This Row],[Comments]])&lt;&gt;0, priority(Main[[#This Row],[Comments]]),"")</f>
        <v/>
      </c>
      <c r="B217" s="127" t="s">
        <v>1483</v>
      </c>
      <c r="C217" s="99" t="s">
        <v>4</v>
      </c>
      <c r="D217" s="100" t="s">
        <v>2380</v>
      </c>
      <c r="E217" s="101"/>
      <c r="F217" s="101"/>
      <c r="G217" s="102" t="str">
        <f>IF(stdProdLT(Main[[#This Row],[Comments]])=0.1,"N/A",IF(stdProdLT(Main[[#This Row],[Comments]])=0,"",stdProdLT(Main[[#This Row],[Comments]])))</f>
        <v/>
      </c>
      <c r="H217" s="103" t="str">
        <f>IF(AND(Main[[#This Row],[In Stock Date]]&lt;&gt;"",Main[[#This Row],[Revised Due Date]]&lt;&gt;""),Main[[#This Row],[In Stock Date]]-Main[[#This Row],[Revised Due Date]],"")</f>
        <v/>
      </c>
      <c r="I217" s="99" t="s">
        <v>30</v>
      </c>
      <c r="J217" s="99" t="s">
        <v>28</v>
      </c>
      <c r="K217" s="99" t="s">
        <v>1971</v>
      </c>
      <c r="L217" s="101"/>
      <c r="M217" s="104" t="str">
        <f>IF(Main[[#This Row],[Tech Start Date]]&lt;1/1/1990,"",IF(Main[[#This Row],[Class]]="C",WORKDAY(Main[[#This Row],[Tech Start Date]],9),IF(Main[[#This Row],[Class]]="B", WORKDAY(Main[[#This Row],[Tech Start Date]],6),IF(Main[[#This Row],[Class]]="A",WORKDAY(Main[[#This Row],[Tech Start Date]],2),""))))</f>
        <v/>
      </c>
      <c r="N217" s="104" t="str">
        <f>IF(Main[[#This Row],[Tech Start Date]]&lt;1/1/1990,"",IF(Main[[#This Row],[Class]]="C",WORKDAY(Main[[#This Row],[Tech Start Date]],19),IF(Main[[#This Row],[Class]]="B", WORKDAY(Main[[#This Row],[Tech Start Date]],12),IF(Main[[#This Row],[Class]]="A",WORKDAY(Main[[#This Row],[Tech Start Date]],4),""))))</f>
        <v/>
      </c>
      <c r="O217" s="104" t="str">
        <f>IF(Main[[#This Row],[Tech Start Date]]&lt;1/1/1990,"",IF(Main[[#This Row],[Class]]="C",WORKDAY(Main[[#This Row],[Tech Start Date]],23),IF(Main[[#This Row],[Class]]="B", WORKDAY(Main[[#This Row],[Tech Start Date]],15),IF(Main[[#This Row],[Class]]="A",WORKDAY(Main[[#This Row],[Tech Start Date]],5),""))))</f>
        <v/>
      </c>
      <c r="P217" s="104" t="str">
        <f>IF(Main[[#This Row],[Tech Start Date]]&lt;1/1/1990,"",IF(Main[[#This Row],[Class]]="C",WORKDAY(Main[[#This Row],[Tech Start Date]],28),IF(Main[[#This Row],[Class]]="B", WORKDAY(Main[[#This Row],[Tech Start Date]],19),IF(Main[[#This Row],[Class]]="A",WORKDAY(Main[[#This Row],[Tech Start Date]],9),""))))</f>
        <v/>
      </c>
      <c r="Q217" s="101">
        <v>40606</v>
      </c>
      <c r="R217" s="101"/>
      <c r="S217" s="99" t="s">
        <v>6</v>
      </c>
      <c r="T217" s="107" t="s">
        <v>4</v>
      </c>
      <c r="U217" s="99" t="s">
        <v>14</v>
      </c>
      <c r="V217" s="99" t="s">
        <v>1965</v>
      </c>
      <c r="W217" s="99" t="s">
        <v>1966</v>
      </c>
    </row>
    <row r="218" spans="1:23" ht="18.600000000000001" customHeight="1">
      <c r="A218" s="123" t="str">
        <f>IF(priority(Main[[#This Row],[Comments]])&lt;&gt;0, priority(Main[[#This Row],[Comments]]),"")</f>
        <v/>
      </c>
      <c r="B218" s="127" t="s">
        <v>1111</v>
      </c>
      <c r="C218" s="99" t="s">
        <v>67</v>
      </c>
      <c r="D218" s="100" t="s">
        <v>121</v>
      </c>
      <c r="E218" s="101">
        <v>40707.647118055553</v>
      </c>
      <c r="F218" s="101"/>
      <c r="G218" s="102" t="str">
        <f>IF(stdProdLT(Main[[#This Row],[Comments]])=0.1,"N/A",IF(stdProdLT(Main[[#This Row],[Comments]])=0,"",stdProdLT(Main[[#This Row],[Comments]])))</f>
        <v/>
      </c>
      <c r="H218" s="103" t="str">
        <f>IF(AND(Main[[#This Row],[In Stock Date]]&lt;&gt;"",Main[[#This Row],[Revised Due Date]]&lt;&gt;""),Main[[#This Row],[In Stock Date]]-Main[[#This Row],[Revised Due Date]],"")</f>
        <v/>
      </c>
      <c r="I218" s="99" t="s">
        <v>4</v>
      </c>
      <c r="J218" s="99" t="s">
        <v>4</v>
      </c>
      <c r="K218" s="108" t="s">
        <v>4</v>
      </c>
      <c r="L218" s="101"/>
      <c r="M218" s="104" t="str">
        <f>IF(Main[[#This Row],[Tech Start Date]]&lt;1/1/1990,"",IF(Main[[#This Row],[Class]]="C",WORKDAY(Main[[#This Row],[Tech Start Date]],9),IF(Main[[#This Row],[Class]]="B", WORKDAY(Main[[#This Row],[Tech Start Date]],6),IF(Main[[#This Row],[Class]]="A",WORKDAY(Main[[#This Row],[Tech Start Date]],2),""))))</f>
        <v/>
      </c>
      <c r="N218" s="104" t="str">
        <f>IF(Main[[#This Row],[Tech Start Date]]&lt;1/1/1990,"",IF(Main[[#This Row],[Class]]="C",WORKDAY(Main[[#This Row],[Tech Start Date]],19),IF(Main[[#This Row],[Class]]="B", WORKDAY(Main[[#This Row],[Tech Start Date]],12),IF(Main[[#This Row],[Class]]="A",WORKDAY(Main[[#This Row],[Tech Start Date]],4),""))))</f>
        <v/>
      </c>
      <c r="O218" s="104" t="str">
        <f>IF(Main[[#This Row],[Tech Start Date]]&lt;1/1/1990,"",IF(Main[[#This Row],[Class]]="C",WORKDAY(Main[[#This Row],[Tech Start Date]],23),IF(Main[[#This Row],[Class]]="B", WORKDAY(Main[[#This Row],[Tech Start Date]],15),IF(Main[[#This Row],[Class]]="A",WORKDAY(Main[[#This Row],[Tech Start Date]],5),""))))</f>
        <v/>
      </c>
      <c r="P218" s="104" t="str">
        <f>IF(Main[[#This Row],[Tech Start Date]]&lt;1/1/1990,"",IF(Main[[#This Row],[Class]]="C",WORKDAY(Main[[#This Row],[Tech Start Date]],28),IF(Main[[#This Row],[Class]]="B", WORKDAY(Main[[#This Row],[Tech Start Date]],19),IF(Main[[#This Row],[Class]]="A",WORKDAY(Main[[#This Row],[Tech Start Date]],9),""))))</f>
        <v/>
      </c>
      <c r="Q218" s="101">
        <v>40755</v>
      </c>
      <c r="R218" s="101"/>
      <c r="S218" s="99" t="s">
        <v>17</v>
      </c>
      <c r="T218" s="107" t="s">
        <v>4</v>
      </c>
      <c r="U218" s="99" t="s">
        <v>7</v>
      </c>
      <c r="V218" s="99" t="s">
        <v>1965</v>
      </c>
      <c r="W218" s="99" t="s">
        <v>1967</v>
      </c>
    </row>
    <row r="219" spans="1:23" ht="18.600000000000001" customHeight="1">
      <c r="A219" s="123" t="str">
        <f>IF(priority(Main[[#This Row],[Comments]])&lt;&gt;0, priority(Main[[#This Row],[Comments]]),"")</f>
        <v/>
      </c>
      <c r="B219" s="127" t="s">
        <v>1109</v>
      </c>
      <c r="C219" s="99" t="s">
        <v>4</v>
      </c>
      <c r="D219" s="100" t="s">
        <v>120</v>
      </c>
      <c r="E219" s="101"/>
      <c r="F219" s="101"/>
      <c r="G219" s="102" t="str">
        <f>IF(stdProdLT(Main[[#This Row],[Comments]])=0.1,"N/A",IF(stdProdLT(Main[[#This Row],[Comments]])=0,"",stdProdLT(Main[[#This Row],[Comments]])))</f>
        <v/>
      </c>
      <c r="H219" s="103" t="str">
        <f>IF(AND(Main[[#This Row],[In Stock Date]]&lt;&gt;"",Main[[#This Row],[Revised Due Date]]&lt;&gt;""),Main[[#This Row],[In Stock Date]]-Main[[#This Row],[Revised Due Date]],"")</f>
        <v/>
      </c>
      <c r="I219" s="99" t="s">
        <v>4</v>
      </c>
      <c r="J219" s="99" t="s">
        <v>4</v>
      </c>
      <c r="K219" s="108" t="s">
        <v>4</v>
      </c>
      <c r="L219" s="101"/>
      <c r="M219" s="104" t="str">
        <f>IF(Main[[#This Row],[Tech Start Date]]&lt;1/1/1990,"",IF(Main[[#This Row],[Class]]="C",WORKDAY(Main[[#This Row],[Tech Start Date]],9),IF(Main[[#This Row],[Class]]="B", WORKDAY(Main[[#This Row],[Tech Start Date]],6),IF(Main[[#This Row],[Class]]="A",WORKDAY(Main[[#This Row],[Tech Start Date]],2),""))))</f>
        <v/>
      </c>
      <c r="N219" s="104" t="str">
        <f>IF(Main[[#This Row],[Tech Start Date]]&lt;1/1/1990,"",IF(Main[[#This Row],[Class]]="C",WORKDAY(Main[[#This Row],[Tech Start Date]],19),IF(Main[[#This Row],[Class]]="B", WORKDAY(Main[[#This Row],[Tech Start Date]],12),IF(Main[[#This Row],[Class]]="A",WORKDAY(Main[[#This Row],[Tech Start Date]],4),""))))</f>
        <v/>
      </c>
      <c r="O219" s="104" t="str">
        <f>IF(Main[[#This Row],[Tech Start Date]]&lt;1/1/1990,"",IF(Main[[#This Row],[Class]]="C",WORKDAY(Main[[#This Row],[Tech Start Date]],23),IF(Main[[#This Row],[Class]]="B", WORKDAY(Main[[#This Row],[Tech Start Date]],15),IF(Main[[#This Row],[Class]]="A",WORKDAY(Main[[#This Row],[Tech Start Date]],5),""))))</f>
        <v/>
      </c>
      <c r="P219" s="104" t="str">
        <f>IF(Main[[#This Row],[Tech Start Date]]&lt;1/1/1990,"",IF(Main[[#This Row],[Class]]="C",WORKDAY(Main[[#This Row],[Tech Start Date]],28),IF(Main[[#This Row],[Class]]="B", WORKDAY(Main[[#This Row],[Tech Start Date]],19),IF(Main[[#This Row],[Class]]="A",WORKDAY(Main[[#This Row],[Tech Start Date]],9),""))))</f>
        <v/>
      </c>
      <c r="Q219" s="101"/>
      <c r="R219" s="101"/>
      <c r="S219" s="99" t="s">
        <v>11</v>
      </c>
      <c r="T219" s="107" t="s">
        <v>4</v>
      </c>
      <c r="U219" s="99" t="s">
        <v>14</v>
      </c>
      <c r="V219" s="99" t="s">
        <v>1965</v>
      </c>
      <c r="W219" s="99" t="s">
        <v>1976</v>
      </c>
    </row>
    <row r="220" spans="1:23" ht="18.600000000000001" customHeight="1">
      <c r="A220" s="123" t="str">
        <f>IF(priority(Main[[#This Row],[Comments]])&lt;&gt;0, priority(Main[[#This Row],[Comments]]),"")</f>
        <v/>
      </c>
      <c r="B220" s="127" t="s">
        <v>1979</v>
      </c>
      <c r="C220" s="99" t="s">
        <v>4</v>
      </c>
      <c r="D220" s="100" t="s">
        <v>5</v>
      </c>
      <c r="E220" s="101">
        <v>40485.386250000003</v>
      </c>
      <c r="F220" s="101"/>
      <c r="G220" s="102" t="str">
        <f>IF(stdProdLT(Main[[#This Row],[Comments]])=0.1,"N/A",IF(stdProdLT(Main[[#This Row],[Comments]])=0,"",stdProdLT(Main[[#This Row],[Comments]])))</f>
        <v/>
      </c>
      <c r="H220" s="103" t="str">
        <f>IF(AND(Main[[#This Row],[In Stock Date]]&lt;&gt;"",Main[[#This Row],[Revised Due Date]]&lt;&gt;""),Main[[#This Row],[In Stock Date]]-Main[[#This Row],[Revised Due Date]],"")</f>
        <v/>
      </c>
      <c r="I220" s="99" t="s">
        <v>4</v>
      </c>
      <c r="J220" s="99" t="s">
        <v>4</v>
      </c>
      <c r="K220" s="108" t="s">
        <v>4</v>
      </c>
      <c r="L220" s="101"/>
      <c r="M220" s="104" t="str">
        <f>IF(Main[[#This Row],[Tech Start Date]]&lt;1/1/1990,"",IF(Main[[#This Row],[Class]]="C",WORKDAY(Main[[#This Row],[Tech Start Date]],9),IF(Main[[#This Row],[Class]]="B", WORKDAY(Main[[#This Row],[Tech Start Date]],6),IF(Main[[#This Row],[Class]]="A",WORKDAY(Main[[#This Row],[Tech Start Date]],2),""))))</f>
        <v/>
      </c>
      <c r="N220" s="104" t="str">
        <f>IF(Main[[#This Row],[Tech Start Date]]&lt;1/1/1990,"",IF(Main[[#This Row],[Class]]="C",WORKDAY(Main[[#This Row],[Tech Start Date]],19),IF(Main[[#This Row],[Class]]="B", WORKDAY(Main[[#This Row],[Tech Start Date]],12),IF(Main[[#This Row],[Class]]="A",WORKDAY(Main[[#This Row],[Tech Start Date]],4),""))))</f>
        <v/>
      </c>
      <c r="O220" s="104" t="str">
        <f>IF(Main[[#This Row],[Tech Start Date]]&lt;1/1/1990,"",IF(Main[[#This Row],[Class]]="C",WORKDAY(Main[[#This Row],[Tech Start Date]],23),IF(Main[[#This Row],[Class]]="B", WORKDAY(Main[[#This Row],[Tech Start Date]],15),IF(Main[[#This Row],[Class]]="A",WORKDAY(Main[[#This Row],[Tech Start Date]],5),""))))</f>
        <v/>
      </c>
      <c r="P220" s="104" t="str">
        <f>IF(Main[[#This Row],[Tech Start Date]]&lt;1/1/1990,"",IF(Main[[#This Row],[Class]]="C",WORKDAY(Main[[#This Row],[Tech Start Date]],28),IF(Main[[#This Row],[Class]]="B", WORKDAY(Main[[#This Row],[Tech Start Date]],19),IF(Main[[#This Row],[Class]]="A",WORKDAY(Main[[#This Row],[Tech Start Date]],9),""))))</f>
        <v/>
      </c>
      <c r="Q220" s="101">
        <v>40508</v>
      </c>
      <c r="R220" s="101"/>
      <c r="S220" s="99" t="s">
        <v>6</v>
      </c>
      <c r="T220" s="107" t="s">
        <v>4</v>
      </c>
      <c r="U220" s="99" t="s">
        <v>7</v>
      </c>
      <c r="V220" s="99" t="s">
        <v>1962</v>
      </c>
      <c r="W220" s="99" t="s">
        <v>4</v>
      </c>
    </row>
    <row r="221" spans="1:23" ht="18.600000000000001" customHeight="1">
      <c r="A221" s="123" t="str">
        <f>IF(priority(Main[[#This Row],[Comments]])&lt;&gt;0, priority(Main[[#This Row],[Comments]]),"")</f>
        <v/>
      </c>
      <c r="B221" s="127" t="s">
        <v>1039</v>
      </c>
      <c r="C221" s="99" t="s">
        <v>4</v>
      </c>
      <c r="D221" s="100" t="s">
        <v>8</v>
      </c>
      <c r="E221" s="101">
        <v>40679.251782407409</v>
      </c>
      <c r="F221" s="101"/>
      <c r="G221" s="102" t="str">
        <f>IF(stdProdLT(Main[[#This Row],[Comments]])=0.1,"N/A",IF(stdProdLT(Main[[#This Row],[Comments]])=0,"",stdProdLT(Main[[#This Row],[Comments]])))</f>
        <v/>
      </c>
      <c r="H221" s="103" t="str">
        <f>IF(AND(Main[[#This Row],[In Stock Date]]&lt;&gt;"",Main[[#This Row],[Revised Due Date]]&lt;&gt;""),Main[[#This Row],[In Stock Date]]-Main[[#This Row],[Revised Due Date]],"")</f>
        <v/>
      </c>
      <c r="I221" s="99" t="s">
        <v>4</v>
      </c>
      <c r="J221" s="99" t="s">
        <v>4</v>
      </c>
      <c r="K221" s="99" t="s">
        <v>4</v>
      </c>
      <c r="L221" s="101"/>
      <c r="M221" s="104" t="str">
        <f>IF(Main[[#This Row],[Tech Start Date]]&lt;1/1/1990,"",IF(Main[[#This Row],[Class]]="C",WORKDAY(Main[[#This Row],[Tech Start Date]],9),IF(Main[[#This Row],[Class]]="B", WORKDAY(Main[[#This Row],[Tech Start Date]],6),IF(Main[[#This Row],[Class]]="A",WORKDAY(Main[[#This Row],[Tech Start Date]],2),""))))</f>
        <v/>
      </c>
      <c r="N221" s="104" t="str">
        <f>IF(Main[[#This Row],[Tech Start Date]]&lt;1/1/1990,"",IF(Main[[#This Row],[Class]]="C",WORKDAY(Main[[#This Row],[Tech Start Date]],19),IF(Main[[#This Row],[Class]]="B", WORKDAY(Main[[#This Row],[Tech Start Date]],12),IF(Main[[#This Row],[Class]]="A",WORKDAY(Main[[#This Row],[Tech Start Date]],4),""))))</f>
        <v/>
      </c>
      <c r="O221" s="104" t="str">
        <f>IF(Main[[#This Row],[Tech Start Date]]&lt;1/1/1990,"",IF(Main[[#This Row],[Class]]="C",WORKDAY(Main[[#This Row],[Tech Start Date]],23),IF(Main[[#This Row],[Class]]="B", WORKDAY(Main[[#This Row],[Tech Start Date]],15),IF(Main[[#This Row],[Class]]="A",WORKDAY(Main[[#This Row],[Tech Start Date]],5),""))))</f>
        <v/>
      </c>
      <c r="P221" s="104" t="str">
        <f>IF(Main[[#This Row],[Tech Start Date]]&lt;1/1/1990,"",IF(Main[[#This Row],[Class]]="C",WORKDAY(Main[[#This Row],[Tech Start Date]],28),IF(Main[[#This Row],[Class]]="B", WORKDAY(Main[[#This Row],[Tech Start Date]],19),IF(Main[[#This Row],[Class]]="A",WORKDAY(Main[[#This Row],[Tech Start Date]],9),""))))</f>
        <v/>
      </c>
      <c r="Q221" s="101"/>
      <c r="R221" s="101"/>
      <c r="S221" s="99" t="s">
        <v>6</v>
      </c>
      <c r="T221" s="107" t="s">
        <v>4</v>
      </c>
      <c r="U221" s="99" t="s">
        <v>7</v>
      </c>
      <c r="V221" s="99" t="s">
        <v>1962</v>
      </c>
      <c r="W221" s="99" t="s">
        <v>4</v>
      </c>
    </row>
    <row r="222" spans="1:23" ht="18.600000000000001" customHeight="1">
      <c r="A222" s="123" t="str">
        <f>IF(priority(Main[[#This Row],[Comments]])&lt;&gt;0, priority(Main[[#This Row],[Comments]]),"")</f>
        <v/>
      </c>
      <c r="B222" s="127" t="s">
        <v>1040</v>
      </c>
      <c r="C222" s="99" t="s">
        <v>9</v>
      </c>
      <c r="D222" s="100" t="s">
        <v>10</v>
      </c>
      <c r="E222" s="101"/>
      <c r="F222" s="101"/>
      <c r="G222" s="102" t="str">
        <f>IF(stdProdLT(Main[[#This Row],[Comments]])=0.1,"N/A",IF(stdProdLT(Main[[#This Row],[Comments]])=0,"",stdProdLT(Main[[#This Row],[Comments]])))</f>
        <v/>
      </c>
      <c r="H222" s="103" t="str">
        <f>IF(AND(Main[[#This Row],[In Stock Date]]&lt;&gt;"",Main[[#This Row],[Revised Due Date]]&lt;&gt;""),Main[[#This Row],[In Stock Date]]-Main[[#This Row],[Revised Due Date]],"")</f>
        <v/>
      </c>
      <c r="I222" s="99" t="s">
        <v>4</v>
      </c>
      <c r="J222" s="99" t="s">
        <v>4</v>
      </c>
      <c r="K222" s="99" t="s">
        <v>4</v>
      </c>
      <c r="L222" s="101"/>
      <c r="M222" s="104" t="str">
        <f>IF(Main[[#This Row],[Tech Start Date]]&lt;1/1/1990,"",IF(Main[[#This Row],[Class]]="C",WORKDAY(Main[[#This Row],[Tech Start Date]],9),IF(Main[[#This Row],[Class]]="B", WORKDAY(Main[[#This Row],[Tech Start Date]],6),IF(Main[[#This Row],[Class]]="A",WORKDAY(Main[[#This Row],[Tech Start Date]],2),""))))</f>
        <v/>
      </c>
      <c r="N222" s="104" t="str">
        <f>IF(Main[[#This Row],[Tech Start Date]]&lt;1/1/1990,"",IF(Main[[#This Row],[Class]]="C",WORKDAY(Main[[#This Row],[Tech Start Date]],19),IF(Main[[#This Row],[Class]]="B", WORKDAY(Main[[#This Row],[Tech Start Date]],12),IF(Main[[#This Row],[Class]]="A",WORKDAY(Main[[#This Row],[Tech Start Date]],4),""))))</f>
        <v/>
      </c>
      <c r="O222" s="104" t="str">
        <f>IF(Main[[#This Row],[Tech Start Date]]&lt;1/1/1990,"",IF(Main[[#This Row],[Class]]="C",WORKDAY(Main[[#This Row],[Tech Start Date]],23),IF(Main[[#This Row],[Class]]="B", WORKDAY(Main[[#This Row],[Tech Start Date]],15),IF(Main[[#This Row],[Class]]="A",WORKDAY(Main[[#This Row],[Tech Start Date]],5),""))))</f>
        <v/>
      </c>
      <c r="P222" s="104" t="str">
        <f>IF(Main[[#This Row],[Tech Start Date]]&lt;1/1/1990,"",IF(Main[[#This Row],[Class]]="C",WORKDAY(Main[[#This Row],[Tech Start Date]],28),IF(Main[[#This Row],[Class]]="B", WORKDAY(Main[[#This Row],[Tech Start Date]],19),IF(Main[[#This Row],[Class]]="A",WORKDAY(Main[[#This Row],[Tech Start Date]],9),""))))</f>
        <v/>
      </c>
      <c r="Q222" s="101">
        <v>40504</v>
      </c>
      <c r="R222" s="101"/>
      <c r="S222" s="99" t="s">
        <v>11</v>
      </c>
      <c r="T222" s="107" t="s">
        <v>4</v>
      </c>
      <c r="U222" s="99" t="s">
        <v>12</v>
      </c>
      <c r="V222" s="99" t="s">
        <v>1963</v>
      </c>
      <c r="W222" s="99" t="s">
        <v>1964</v>
      </c>
    </row>
    <row r="223" spans="1:23" ht="18.600000000000001" customHeight="1">
      <c r="A223" s="123" t="str">
        <f>IF(priority(Main[[#This Row],[Comments]])&lt;&gt;0, priority(Main[[#This Row],[Comments]]),"")</f>
        <v/>
      </c>
      <c r="B223" s="127" t="s">
        <v>1041</v>
      </c>
      <c r="C223" s="99" t="s">
        <v>4</v>
      </c>
      <c r="D223" s="100" t="s">
        <v>13</v>
      </c>
      <c r="E223" s="101"/>
      <c r="F223" s="101"/>
      <c r="G223" s="102" t="str">
        <f>IF(stdProdLT(Main[[#This Row],[Comments]])=0.1,"N/A",IF(stdProdLT(Main[[#This Row],[Comments]])=0,"",stdProdLT(Main[[#This Row],[Comments]])))</f>
        <v/>
      </c>
      <c r="H223" s="103" t="str">
        <f>IF(AND(Main[[#This Row],[In Stock Date]]&lt;&gt;"",Main[[#This Row],[Revised Due Date]]&lt;&gt;""),Main[[#This Row],[In Stock Date]]-Main[[#This Row],[Revised Due Date]],"")</f>
        <v/>
      </c>
      <c r="I223" s="99" t="s">
        <v>4</v>
      </c>
      <c r="J223" s="99" t="s">
        <v>4</v>
      </c>
      <c r="K223" s="99" t="s">
        <v>4</v>
      </c>
      <c r="L223" s="101"/>
      <c r="M223" s="104" t="str">
        <f>IF(Main[[#This Row],[Tech Start Date]]&lt;1/1/1990,"",IF(Main[[#This Row],[Class]]="C",WORKDAY(Main[[#This Row],[Tech Start Date]],9),IF(Main[[#This Row],[Class]]="B", WORKDAY(Main[[#This Row],[Tech Start Date]],6),IF(Main[[#This Row],[Class]]="A",WORKDAY(Main[[#This Row],[Tech Start Date]],2),""))))</f>
        <v/>
      </c>
      <c r="N223" s="104" t="str">
        <f>IF(Main[[#This Row],[Tech Start Date]]&lt;1/1/1990,"",IF(Main[[#This Row],[Class]]="C",WORKDAY(Main[[#This Row],[Tech Start Date]],19),IF(Main[[#This Row],[Class]]="B", WORKDAY(Main[[#This Row],[Tech Start Date]],12),IF(Main[[#This Row],[Class]]="A",WORKDAY(Main[[#This Row],[Tech Start Date]],4),""))))</f>
        <v/>
      </c>
      <c r="O223" s="104" t="str">
        <f>IF(Main[[#This Row],[Tech Start Date]]&lt;1/1/1990,"",IF(Main[[#This Row],[Class]]="C",WORKDAY(Main[[#This Row],[Tech Start Date]],23),IF(Main[[#This Row],[Class]]="B", WORKDAY(Main[[#This Row],[Tech Start Date]],15),IF(Main[[#This Row],[Class]]="A",WORKDAY(Main[[#This Row],[Tech Start Date]],5),""))))</f>
        <v/>
      </c>
      <c r="P223" s="104" t="str">
        <f>IF(Main[[#This Row],[Tech Start Date]]&lt;1/1/1990,"",IF(Main[[#This Row],[Class]]="C",WORKDAY(Main[[#This Row],[Tech Start Date]],28),IF(Main[[#This Row],[Class]]="B", WORKDAY(Main[[#This Row],[Tech Start Date]],19),IF(Main[[#This Row],[Class]]="A",WORKDAY(Main[[#This Row],[Tech Start Date]],9),""))))</f>
        <v/>
      </c>
      <c r="Q223" s="101"/>
      <c r="R223" s="101"/>
      <c r="S223" s="99" t="s">
        <v>6</v>
      </c>
      <c r="T223" s="107" t="s">
        <v>4</v>
      </c>
      <c r="U223" s="99" t="s">
        <v>14</v>
      </c>
      <c r="V223" s="99" t="s">
        <v>1965</v>
      </c>
      <c r="W223" s="99" t="s">
        <v>1966</v>
      </c>
    </row>
    <row r="224" spans="1:23" ht="18.600000000000001" customHeight="1">
      <c r="A224" s="123" t="str">
        <f>IF(priority(Main[[#This Row],[Comments]])&lt;&gt;0, priority(Main[[#This Row],[Comments]]),"")</f>
        <v/>
      </c>
      <c r="B224" s="127" t="s">
        <v>1043</v>
      </c>
      <c r="C224" s="99" t="s">
        <v>4</v>
      </c>
      <c r="D224" s="100" t="s">
        <v>18</v>
      </c>
      <c r="E224" s="101"/>
      <c r="F224" s="101"/>
      <c r="G224" s="102" t="str">
        <f>IF(stdProdLT(Main[[#This Row],[Comments]])=0.1,"N/A",IF(stdProdLT(Main[[#This Row],[Comments]])=0,"",stdProdLT(Main[[#This Row],[Comments]])))</f>
        <v/>
      </c>
      <c r="H224" s="103" t="str">
        <f>IF(AND(Main[[#This Row],[In Stock Date]]&lt;&gt;"",Main[[#This Row],[Revised Due Date]]&lt;&gt;""),Main[[#This Row],[In Stock Date]]-Main[[#This Row],[Revised Due Date]],"")</f>
        <v/>
      </c>
      <c r="I224" s="99" t="s">
        <v>4</v>
      </c>
      <c r="J224" s="99" t="s">
        <v>4</v>
      </c>
      <c r="K224" s="99" t="s">
        <v>4</v>
      </c>
      <c r="L224" s="101"/>
      <c r="M224" s="104" t="str">
        <f>IF(Main[[#This Row],[Tech Start Date]]&lt;1/1/1990,"",IF(Main[[#This Row],[Class]]="C",WORKDAY(Main[[#This Row],[Tech Start Date]],9),IF(Main[[#This Row],[Class]]="B", WORKDAY(Main[[#This Row],[Tech Start Date]],6),IF(Main[[#This Row],[Class]]="A",WORKDAY(Main[[#This Row],[Tech Start Date]],2),""))))</f>
        <v/>
      </c>
      <c r="N224" s="104" t="str">
        <f>IF(Main[[#This Row],[Tech Start Date]]&lt;1/1/1990,"",IF(Main[[#This Row],[Class]]="C",WORKDAY(Main[[#This Row],[Tech Start Date]],19),IF(Main[[#This Row],[Class]]="B", WORKDAY(Main[[#This Row],[Tech Start Date]],12),IF(Main[[#This Row],[Class]]="A",WORKDAY(Main[[#This Row],[Tech Start Date]],4),""))))</f>
        <v/>
      </c>
      <c r="O224" s="104" t="str">
        <f>IF(Main[[#This Row],[Tech Start Date]]&lt;1/1/1990,"",IF(Main[[#This Row],[Class]]="C",WORKDAY(Main[[#This Row],[Tech Start Date]],23),IF(Main[[#This Row],[Class]]="B", WORKDAY(Main[[#This Row],[Tech Start Date]],15),IF(Main[[#This Row],[Class]]="A",WORKDAY(Main[[#This Row],[Tech Start Date]],5),""))))</f>
        <v/>
      </c>
      <c r="P224" s="104" t="str">
        <f>IF(Main[[#This Row],[Tech Start Date]]&lt;1/1/1990,"",IF(Main[[#This Row],[Class]]="C",WORKDAY(Main[[#This Row],[Tech Start Date]],28),IF(Main[[#This Row],[Class]]="B", WORKDAY(Main[[#This Row],[Tech Start Date]],19),IF(Main[[#This Row],[Class]]="A",WORKDAY(Main[[#This Row],[Tech Start Date]],9),""))))</f>
        <v/>
      </c>
      <c r="Q224" s="101">
        <v>40585</v>
      </c>
      <c r="R224" s="101"/>
      <c r="S224" s="99" t="s">
        <v>11</v>
      </c>
      <c r="T224" s="107" t="s">
        <v>4</v>
      </c>
      <c r="U224" s="99" t="s">
        <v>14</v>
      </c>
      <c r="V224" s="99" t="s">
        <v>1962</v>
      </c>
      <c r="W224" s="99" t="s">
        <v>1967</v>
      </c>
    </row>
    <row r="225" spans="1:23" ht="18.600000000000001" customHeight="1">
      <c r="A225" s="123" t="str">
        <f>IF(priority(Main[[#This Row],[Comments]])&lt;&gt;0, priority(Main[[#This Row],[Comments]]),"")</f>
        <v/>
      </c>
      <c r="B225" s="127" t="s">
        <v>1981</v>
      </c>
      <c r="C225" s="99" t="s">
        <v>19</v>
      </c>
      <c r="D225" s="100" t="s">
        <v>20</v>
      </c>
      <c r="E225" s="101"/>
      <c r="F225" s="101">
        <v>40548</v>
      </c>
      <c r="G225" s="102" t="str">
        <f>IF(stdProdLT(Main[[#This Row],[Comments]])=0.1,"N/A",IF(stdProdLT(Main[[#This Row],[Comments]])=0,"",stdProdLT(Main[[#This Row],[Comments]])))</f>
        <v/>
      </c>
      <c r="H225" s="103" t="str">
        <f>IF(AND(Main[[#This Row],[In Stock Date]]&lt;&gt;"",Main[[#This Row],[Revised Due Date]]&lt;&gt;""),Main[[#This Row],[In Stock Date]]-Main[[#This Row],[Revised Due Date]],"")</f>
        <v/>
      </c>
      <c r="I225" s="99" t="s">
        <v>4</v>
      </c>
      <c r="J225" s="99" t="s">
        <v>21</v>
      </c>
      <c r="K225" s="99" t="s">
        <v>4</v>
      </c>
      <c r="L225" s="101"/>
      <c r="M225" s="104" t="str">
        <f>IF(Main[[#This Row],[Tech Start Date]]&lt;1/1/1990,"",IF(Main[[#This Row],[Class]]="C",WORKDAY(Main[[#This Row],[Tech Start Date]],9),IF(Main[[#This Row],[Class]]="B", WORKDAY(Main[[#This Row],[Tech Start Date]],6),IF(Main[[#This Row],[Class]]="A",WORKDAY(Main[[#This Row],[Tech Start Date]],2),""))))</f>
        <v/>
      </c>
      <c r="N225" s="104" t="str">
        <f>IF(Main[[#This Row],[Tech Start Date]]&lt;1/1/1990,"",IF(Main[[#This Row],[Class]]="C",WORKDAY(Main[[#This Row],[Tech Start Date]],19),IF(Main[[#This Row],[Class]]="B", WORKDAY(Main[[#This Row],[Tech Start Date]],12),IF(Main[[#This Row],[Class]]="A",WORKDAY(Main[[#This Row],[Tech Start Date]],4),""))))</f>
        <v/>
      </c>
      <c r="O225" s="104" t="str">
        <f>IF(Main[[#This Row],[Tech Start Date]]&lt;1/1/1990,"",IF(Main[[#This Row],[Class]]="C",WORKDAY(Main[[#This Row],[Tech Start Date]],23),IF(Main[[#This Row],[Class]]="B", WORKDAY(Main[[#This Row],[Tech Start Date]],15),IF(Main[[#This Row],[Class]]="A",WORKDAY(Main[[#This Row],[Tech Start Date]],5),""))))</f>
        <v/>
      </c>
      <c r="P225" s="104" t="str">
        <f>IF(Main[[#This Row],[Tech Start Date]]&lt;1/1/1990,"",IF(Main[[#This Row],[Class]]="C",WORKDAY(Main[[#This Row],[Tech Start Date]],28),IF(Main[[#This Row],[Class]]="B", WORKDAY(Main[[#This Row],[Tech Start Date]],19),IF(Main[[#This Row],[Class]]="A",WORKDAY(Main[[#This Row],[Tech Start Date]],9),""))))</f>
        <v/>
      </c>
      <c r="Q225" s="101">
        <v>40441</v>
      </c>
      <c r="R225" s="101"/>
      <c r="S225" s="99" t="s">
        <v>11</v>
      </c>
      <c r="T225" s="107" t="s">
        <v>4</v>
      </c>
      <c r="U225" s="99" t="s">
        <v>12</v>
      </c>
      <c r="V225" s="99" t="s">
        <v>1965</v>
      </c>
      <c r="W225" s="99" t="s">
        <v>1968</v>
      </c>
    </row>
    <row r="226" spans="1:23" ht="18.600000000000001" customHeight="1">
      <c r="A226" s="123" t="str">
        <f>IF(priority(Main[[#This Row],[Comments]])&lt;&gt;0, priority(Main[[#This Row],[Comments]]),"")</f>
        <v/>
      </c>
      <c r="B226" s="127" t="s">
        <v>1044</v>
      </c>
      <c r="C226" s="99" t="s">
        <v>4</v>
      </c>
      <c r="D226" s="100" t="s">
        <v>22</v>
      </c>
      <c r="E226" s="101"/>
      <c r="F226" s="101"/>
      <c r="G226" s="102" t="str">
        <f>IF(stdProdLT(Main[[#This Row],[Comments]])=0.1,"N/A",IF(stdProdLT(Main[[#This Row],[Comments]])=0,"",stdProdLT(Main[[#This Row],[Comments]])))</f>
        <v/>
      </c>
      <c r="H226" s="103" t="str">
        <f>IF(AND(Main[[#This Row],[In Stock Date]]&lt;&gt;"",Main[[#This Row],[Revised Due Date]]&lt;&gt;""),Main[[#This Row],[In Stock Date]]-Main[[#This Row],[Revised Due Date]],"")</f>
        <v/>
      </c>
      <c r="I226" s="99" t="s">
        <v>4</v>
      </c>
      <c r="J226" s="99" t="s">
        <v>4</v>
      </c>
      <c r="K226" s="99" t="s">
        <v>4</v>
      </c>
      <c r="L226" s="101"/>
      <c r="M226" s="104" t="str">
        <f>IF(Main[[#This Row],[Tech Start Date]]&lt;1/1/1990,"",IF(Main[[#This Row],[Class]]="C",WORKDAY(Main[[#This Row],[Tech Start Date]],9),IF(Main[[#This Row],[Class]]="B", WORKDAY(Main[[#This Row],[Tech Start Date]],6),IF(Main[[#This Row],[Class]]="A",WORKDAY(Main[[#This Row],[Tech Start Date]],2),""))))</f>
        <v/>
      </c>
      <c r="N226" s="104" t="str">
        <f>IF(Main[[#This Row],[Tech Start Date]]&lt;1/1/1990,"",IF(Main[[#This Row],[Class]]="C",WORKDAY(Main[[#This Row],[Tech Start Date]],19),IF(Main[[#This Row],[Class]]="B", WORKDAY(Main[[#This Row],[Tech Start Date]],12),IF(Main[[#This Row],[Class]]="A",WORKDAY(Main[[#This Row],[Tech Start Date]],4),""))))</f>
        <v/>
      </c>
      <c r="O226" s="104" t="str">
        <f>IF(Main[[#This Row],[Tech Start Date]]&lt;1/1/1990,"",IF(Main[[#This Row],[Class]]="C",WORKDAY(Main[[#This Row],[Tech Start Date]],23),IF(Main[[#This Row],[Class]]="B", WORKDAY(Main[[#This Row],[Tech Start Date]],15),IF(Main[[#This Row],[Class]]="A",WORKDAY(Main[[#This Row],[Tech Start Date]],5),""))))</f>
        <v/>
      </c>
      <c r="P226" s="104" t="str">
        <f>IF(Main[[#This Row],[Tech Start Date]]&lt;1/1/1990,"",IF(Main[[#This Row],[Class]]="C",WORKDAY(Main[[#This Row],[Tech Start Date]],28),IF(Main[[#This Row],[Class]]="B", WORKDAY(Main[[#This Row],[Tech Start Date]],19),IF(Main[[#This Row],[Class]]="A",WORKDAY(Main[[#This Row],[Tech Start Date]],9),""))))</f>
        <v/>
      </c>
      <c r="Q226" s="101"/>
      <c r="R226" s="101"/>
      <c r="S226" s="99" t="s">
        <v>23</v>
      </c>
      <c r="T226" s="107" t="s">
        <v>4</v>
      </c>
      <c r="U226" s="99" t="s">
        <v>14</v>
      </c>
      <c r="V226" s="99" t="s">
        <v>1962</v>
      </c>
      <c r="W226" s="99" t="s">
        <v>1964</v>
      </c>
    </row>
    <row r="227" spans="1:23" ht="18.600000000000001" customHeight="1">
      <c r="A227" s="123" t="str">
        <f>IF(priority(Main[[#This Row],[Comments]])&lt;&gt;0, priority(Main[[#This Row],[Comments]]),"")</f>
        <v/>
      </c>
      <c r="B227" s="127" t="s">
        <v>1045</v>
      </c>
      <c r="C227" s="99" t="s">
        <v>24</v>
      </c>
      <c r="D227" s="100" t="s">
        <v>25</v>
      </c>
      <c r="E227" s="101"/>
      <c r="F227" s="101"/>
      <c r="G227" s="102" t="str">
        <f>IF(stdProdLT(Main[[#This Row],[Comments]])=0.1,"N/A",IF(stdProdLT(Main[[#This Row],[Comments]])=0,"",stdProdLT(Main[[#This Row],[Comments]])))</f>
        <v/>
      </c>
      <c r="H227" s="103" t="str">
        <f>IF(AND(Main[[#This Row],[In Stock Date]]&lt;&gt;"",Main[[#This Row],[Revised Due Date]]&lt;&gt;""),Main[[#This Row],[In Stock Date]]-Main[[#This Row],[Revised Due Date]],"")</f>
        <v/>
      </c>
      <c r="I227" s="99" t="s">
        <v>4</v>
      </c>
      <c r="J227" s="99" t="s">
        <v>4</v>
      </c>
      <c r="K227" s="99" t="s">
        <v>4</v>
      </c>
      <c r="L227" s="101"/>
      <c r="M227" s="104" t="str">
        <f>IF(Main[[#This Row],[Tech Start Date]]&lt;1/1/1990,"",IF(Main[[#This Row],[Class]]="C",WORKDAY(Main[[#This Row],[Tech Start Date]],9),IF(Main[[#This Row],[Class]]="B", WORKDAY(Main[[#This Row],[Tech Start Date]],6),IF(Main[[#This Row],[Class]]="A",WORKDAY(Main[[#This Row],[Tech Start Date]],2),""))))</f>
        <v/>
      </c>
      <c r="N227" s="104" t="str">
        <f>IF(Main[[#This Row],[Tech Start Date]]&lt;1/1/1990,"",IF(Main[[#This Row],[Class]]="C",WORKDAY(Main[[#This Row],[Tech Start Date]],19),IF(Main[[#This Row],[Class]]="B", WORKDAY(Main[[#This Row],[Tech Start Date]],12),IF(Main[[#This Row],[Class]]="A",WORKDAY(Main[[#This Row],[Tech Start Date]],4),""))))</f>
        <v/>
      </c>
      <c r="O227" s="104" t="str">
        <f>IF(Main[[#This Row],[Tech Start Date]]&lt;1/1/1990,"",IF(Main[[#This Row],[Class]]="C",WORKDAY(Main[[#This Row],[Tech Start Date]],23),IF(Main[[#This Row],[Class]]="B", WORKDAY(Main[[#This Row],[Tech Start Date]],15),IF(Main[[#This Row],[Class]]="A",WORKDAY(Main[[#This Row],[Tech Start Date]],5),""))))</f>
        <v/>
      </c>
      <c r="P227" s="104" t="str">
        <f>IF(Main[[#This Row],[Tech Start Date]]&lt;1/1/1990,"",IF(Main[[#This Row],[Class]]="C",WORKDAY(Main[[#This Row],[Tech Start Date]],28),IF(Main[[#This Row],[Class]]="B", WORKDAY(Main[[#This Row],[Tech Start Date]],19),IF(Main[[#This Row],[Class]]="A",WORKDAY(Main[[#This Row],[Tech Start Date]],9),""))))</f>
        <v/>
      </c>
      <c r="Q227" s="101"/>
      <c r="R227" s="101"/>
      <c r="S227" s="99" t="s">
        <v>11</v>
      </c>
      <c r="T227" s="107" t="s">
        <v>4</v>
      </c>
      <c r="U227" s="99" t="s">
        <v>14</v>
      </c>
      <c r="V227" s="99" t="s">
        <v>1963</v>
      </c>
      <c r="W227" s="99" t="s">
        <v>1967</v>
      </c>
    </row>
    <row r="228" spans="1:23" ht="18.600000000000001" customHeight="1">
      <c r="A228" s="123" t="str">
        <f>IF(priority(Main[[#This Row],[Comments]])&lt;&gt;0, priority(Main[[#This Row],[Comments]]),"")</f>
        <v/>
      </c>
      <c r="B228" s="127" t="s">
        <v>1506</v>
      </c>
      <c r="C228" s="99" t="s">
        <v>4</v>
      </c>
      <c r="D228" s="100" t="s">
        <v>2423</v>
      </c>
      <c r="E228" s="101">
        <v>40431.641157407408</v>
      </c>
      <c r="F228" s="101"/>
      <c r="G228" s="102" t="str">
        <f>IF(stdProdLT(Main[[#This Row],[Comments]])=0.1,"N/A",IF(stdProdLT(Main[[#This Row],[Comments]])=0,"",stdProdLT(Main[[#This Row],[Comments]])))</f>
        <v/>
      </c>
      <c r="H228" s="103" t="str">
        <f>IF(AND(Main[[#This Row],[In Stock Date]]&lt;&gt;"",Main[[#This Row],[Revised Due Date]]&lt;&gt;""),Main[[#This Row],[In Stock Date]]-Main[[#This Row],[Revised Due Date]],"")</f>
        <v/>
      </c>
      <c r="I228" s="99" t="s">
        <v>929</v>
      </c>
      <c r="J228" s="99" t="s">
        <v>52</v>
      </c>
      <c r="K228" s="99" t="s">
        <v>4</v>
      </c>
      <c r="L228" s="101"/>
      <c r="M228" s="104" t="str">
        <f>IF(Main[[#This Row],[Tech Start Date]]&lt;1/1/1990,"",IF(Main[[#This Row],[Class]]="C",WORKDAY(Main[[#This Row],[Tech Start Date]],9),IF(Main[[#This Row],[Class]]="B", WORKDAY(Main[[#This Row],[Tech Start Date]],6),IF(Main[[#This Row],[Class]]="A",WORKDAY(Main[[#This Row],[Tech Start Date]],2),""))))</f>
        <v/>
      </c>
      <c r="N228" s="104" t="str">
        <f>IF(Main[[#This Row],[Tech Start Date]]&lt;1/1/1990,"",IF(Main[[#This Row],[Class]]="C",WORKDAY(Main[[#This Row],[Tech Start Date]],19),IF(Main[[#This Row],[Class]]="B", WORKDAY(Main[[#This Row],[Tech Start Date]],12),IF(Main[[#This Row],[Class]]="A",WORKDAY(Main[[#This Row],[Tech Start Date]],4),""))))</f>
        <v/>
      </c>
      <c r="O228" s="104" t="str">
        <f>IF(Main[[#This Row],[Tech Start Date]]&lt;1/1/1990,"",IF(Main[[#This Row],[Class]]="C",WORKDAY(Main[[#This Row],[Tech Start Date]],23),IF(Main[[#This Row],[Class]]="B", WORKDAY(Main[[#This Row],[Tech Start Date]],15),IF(Main[[#This Row],[Class]]="A",WORKDAY(Main[[#This Row],[Tech Start Date]],5),""))))</f>
        <v/>
      </c>
      <c r="P228" s="104" t="str">
        <f>IF(Main[[#This Row],[Tech Start Date]]&lt;1/1/1990,"",IF(Main[[#This Row],[Class]]="C",WORKDAY(Main[[#This Row],[Tech Start Date]],28),IF(Main[[#This Row],[Class]]="B", WORKDAY(Main[[#This Row],[Tech Start Date]],19),IF(Main[[#This Row],[Class]]="A",WORKDAY(Main[[#This Row],[Tech Start Date]],9),""))))</f>
        <v/>
      </c>
      <c r="Q228" s="101">
        <v>40466</v>
      </c>
      <c r="R228" s="101"/>
      <c r="S228" s="99" t="s">
        <v>6</v>
      </c>
      <c r="T228" s="107" t="s">
        <v>4</v>
      </c>
      <c r="U228" s="99" t="s">
        <v>29</v>
      </c>
      <c r="V228" s="99" t="s">
        <v>1962</v>
      </c>
      <c r="W228" s="99" t="s">
        <v>1964</v>
      </c>
    </row>
    <row r="229" spans="1:23" ht="18.600000000000001" customHeight="1">
      <c r="A229" s="123" t="str">
        <f>IF(priority(Main[[#This Row],[Comments]])&lt;&gt;0, priority(Main[[#This Row],[Comments]]),"")</f>
        <v/>
      </c>
      <c r="B229" s="127" t="s">
        <v>1080</v>
      </c>
      <c r="C229" s="99" t="s">
        <v>79</v>
      </c>
      <c r="D229" s="100" t="s">
        <v>80</v>
      </c>
      <c r="E229" s="101"/>
      <c r="F229" s="101"/>
      <c r="G229" s="102" t="str">
        <f>IF(stdProdLT(Main[[#This Row],[Comments]])=0.1,"N/A",IF(stdProdLT(Main[[#This Row],[Comments]])=0,"",stdProdLT(Main[[#This Row],[Comments]])))</f>
        <v/>
      </c>
      <c r="H229" s="103" t="str">
        <f>IF(AND(Main[[#This Row],[In Stock Date]]&lt;&gt;"",Main[[#This Row],[Revised Due Date]]&lt;&gt;""),Main[[#This Row],[In Stock Date]]-Main[[#This Row],[Revised Due Date]],"")</f>
        <v/>
      </c>
      <c r="I229" s="99" t="s">
        <v>81</v>
      </c>
      <c r="J229" s="99" t="s">
        <v>4</v>
      </c>
      <c r="K229" s="99" t="s">
        <v>4</v>
      </c>
      <c r="L229" s="101"/>
      <c r="M229" s="104" t="str">
        <f>IF(Main[[#This Row],[Tech Start Date]]&lt;1/1/1990,"",IF(Main[[#This Row],[Class]]="C",WORKDAY(Main[[#This Row],[Tech Start Date]],9),IF(Main[[#This Row],[Class]]="B", WORKDAY(Main[[#This Row],[Tech Start Date]],6),IF(Main[[#This Row],[Class]]="A",WORKDAY(Main[[#This Row],[Tech Start Date]],2),""))))</f>
        <v/>
      </c>
      <c r="N229" s="104" t="str">
        <f>IF(Main[[#This Row],[Tech Start Date]]&lt;1/1/1990,"",IF(Main[[#This Row],[Class]]="C",WORKDAY(Main[[#This Row],[Tech Start Date]],19),IF(Main[[#This Row],[Class]]="B", WORKDAY(Main[[#This Row],[Tech Start Date]],12),IF(Main[[#This Row],[Class]]="A",WORKDAY(Main[[#This Row],[Tech Start Date]],4),""))))</f>
        <v/>
      </c>
      <c r="O229" s="104" t="str">
        <f>IF(Main[[#This Row],[Tech Start Date]]&lt;1/1/1990,"",IF(Main[[#This Row],[Class]]="C",WORKDAY(Main[[#This Row],[Tech Start Date]],23),IF(Main[[#This Row],[Class]]="B", WORKDAY(Main[[#This Row],[Tech Start Date]],15),IF(Main[[#This Row],[Class]]="A",WORKDAY(Main[[#This Row],[Tech Start Date]],5),""))))</f>
        <v/>
      </c>
      <c r="P229" s="104" t="str">
        <f>IF(Main[[#This Row],[Tech Start Date]]&lt;1/1/1990,"",IF(Main[[#This Row],[Class]]="C",WORKDAY(Main[[#This Row],[Tech Start Date]],28),IF(Main[[#This Row],[Class]]="B", WORKDAY(Main[[#This Row],[Tech Start Date]],19),IF(Main[[#This Row],[Class]]="A",WORKDAY(Main[[#This Row],[Tech Start Date]],9),""))))</f>
        <v/>
      </c>
      <c r="Q229" s="101">
        <v>39986</v>
      </c>
      <c r="R229" s="101"/>
      <c r="S229" s="99" t="s">
        <v>11</v>
      </c>
      <c r="T229" s="107" t="s">
        <v>4</v>
      </c>
      <c r="U229" s="99" t="s">
        <v>14</v>
      </c>
      <c r="V229" s="99" t="s">
        <v>1965</v>
      </c>
      <c r="W229" s="99" t="s">
        <v>1973</v>
      </c>
    </row>
    <row r="230" spans="1:23" ht="18.600000000000001" customHeight="1">
      <c r="A230" s="123" t="str">
        <f>IF(priority(Main[[#This Row],[Comments]])&lt;&gt;0, priority(Main[[#This Row],[Comments]]),"")</f>
        <v/>
      </c>
      <c r="B230" s="127" t="s">
        <v>1081</v>
      </c>
      <c r="C230" s="99" t="s">
        <v>4</v>
      </c>
      <c r="D230" s="100" t="s">
        <v>82</v>
      </c>
      <c r="E230" s="101"/>
      <c r="F230" s="101"/>
      <c r="G230" s="102" t="str">
        <f>IF(stdProdLT(Main[[#This Row],[Comments]])=0.1,"N/A",IF(stdProdLT(Main[[#This Row],[Comments]])=0,"",stdProdLT(Main[[#This Row],[Comments]])))</f>
        <v/>
      </c>
      <c r="H230" s="103" t="str">
        <f>IF(AND(Main[[#This Row],[In Stock Date]]&lt;&gt;"",Main[[#This Row],[Revised Due Date]]&lt;&gt;""),Main[[#This Row],[In Stock Date]]-Main[[#This Row],[Revised Due Date]],"")</f>
        <v/>
      </c>
      <c r="I230" s="99" t="s">
        <v>4</v>
      </c>
      <c r="J230" s="99" t="s">
        <v>4</v>
      </c>
      <c r="K230" s="108" t="s">
        <v>4</v>
      </c>
      <c r="L230" s="101"/>
      <c r="M230" s="104" t="str">
        <f>IF(Main[[#This Row],[Tech Start Date]]&lt;1/1/1990,"",IF(Main[[#This Row],[Class]]="C",WORKDAY(Main[[#This Row],[Tech Start Date]],9),IF(Main[[#This Row],[Class]]="B", WORKDAY(Main[[#This Row],[Tech Start Date]],6),IF(Main[[#This Row],[Class]]="A",WORKDAY(Main[[#This Row],[Tech Start Date]],2),""))))</f>
        <v/>
      </c>
      <c r="N230" s="104" t="str">
        <f>IF(Main[[#This Row],[Tech Start Date]]&lt;1/1/1990,"",IF(Main[[#This Row],[Class]]="C",WORKDAY(Main[[#This Row],[Tech Start Date]],19),IF(Main[[#This Row],[Class]]="B", WORKDAY(Main[[#This Row],[Tech Start Date]],12),IF(Main[[#This Row],[Class]]="A",WORKDAY(Main[[#This Row],[Tech Start Date]],4),""))))</f>
        <v/>
      </c>
      <c r="O230" s="104" t="str">
        <f>IF(Main[[#This Row],[Tech Start Date]]&lt;1/1/1990,"",IF(Main[[#This Row],[Class]]="C",WORKDAY(Main[[#This Row],[Tech Start Date]],23),IF(Main[[#This Row],[Class]]="B", WORKDAY(Main[[#This Row],[Tech Start Date]],15),IF(Main[[#This Row],[Class]]="A",WORKDAY(Main[[#This Row],[Tech Start Date]],5),""))))</f>
        <v/>
      </c>
      <c r="P230" s="104" t="str">
        <f>IF(Main[[#This Row],[Tech Start Date]]&lt;1/1/1990,"",IF(Main[[#This Row],[Class]]="C",WORKDAY(Main[[#This Row],[Tech Start Date]],28),IF(Main[[#This Row],[Class]]="B", WORKDAY(Main[[#This Row],[Tech Start Date]],19),IF(Main[[#This Row],[Class]]="A",WORKDAY(Main[[#This Row],[Tech Start Date]],9),""))))</f>
        <v/>
      </c>
      <c r="Q230" s="101">
        <v>40602</v>
      </c>
      <c r="R230" s="101"/>
      <c r="S230" s="99" t="s">
        <v>6</v>
      </c>
      <c r="T230" s="107" t="s">
        <v>4</v>
      </c>
      <c r="U230" s="99" t="s">
        <v>14</v>
      </c>
      <c r="V230" s="99" t="s">
        <v>1972</v>
      </c>
      <c r="W230" s="99" t="s">
        <v>1966</v>
      </c>
    </row>
    <row r="231" spans="1:23" ht="18.600000000000001" customHeight="1">
      <c r="A231" s="123" t="str">
        <f>IF(priority(Main[[#This Row],[Comments]])&lt;&gt;0, priority(Main[[#This Row],[Comments]]),"")</f>
        <v/>
      </c>
      <c r="B231" s="127" t="s">
        <v>1135</v>
      </c>
      <c r="C231" s="99" t="s">
        <v>4</v>
      </c>
      <c r="D231" s="100" t="s">
        <v>125</v>
      </c>
      <c r="E231" s="101"/>
      <c r="F231" s="101"/>
      <c r="G231" s="102" t="str">
        <f>IF(stdProdLT(Main[[#This Row],[Comments]])=0.1,"N/A",IF(stdProdLT(Main[[#This Row],[Comments]])=0,"",stdProdLT(Main[[#This Row],[Comments]])))</f>
        <v/>
      </c>
      <c r="H231" s="103" t="str">
        <f>IF(AND(Main[[#This Row],[In Stock Date]]&lt;&gt;"",Main[[#This Row],[Revised Due Date]]&lt;&gt;""),Main[[#This Row],[In Stock Date]]-Main[[#This Row],[Revised Due Date]],"")</f>
        <v/>
      </c>
      <c r="I231" s="99" t="s">
        <v>126</v>
      </c>
      <c r="J231" s="99" t="s">
        <v>4</v>
      </c>
      <c r="K231" s="99" t="s">
        <v>4</v>
      </c>
      <c r="L231" s="101"/>
      <c r="M231" s="104" t="str">
        <f>IF(Main[[#This Row],[Tech Start Date]]&lt;1/1/1990,"",IF(Main[[#This Row],[Class]]="C",WORKDAY(Main[[#This Row],[Tech Start Date]],9),IF(Main[[#This Row],[Class]]="B", WORKDAY(Main[[#This Row],[Tech Start Date]],6),IF(Main[[#This Row],[Class]]="A",WORKDAY(Main[[#This Row],[Tech Start Date]],2),""))))</f>
        <v/>
      </c>
      <c r="N231" s="104" t="str">
        <f>IF(Main[[#This Row],[Tech Start Date]]&lt;1/1/1990,"",IF(Main[[#This Row],[Class]]="C",WORKDAY(Main[[#This Row],[Tech Start Date]],19),IF(Main[[#This Row],[Class]]="B", WORKDAY(Main[[#This Row],[Tech Start Date]],12),IF(Main[[#This Row],[Class]]="A",WORKDAY(Main[[#This Row],[Tech Start Date]],4),""))))</f>
        <v/>
      </c>
      <c r="O231" s="104" t="str">
        <f>IF(Main[[#This Row],[Tech Start Date]]&lt;1/1/1990,"",IF(Main[[#This Row],[Class]]="C",WORKDAY(Main[[#This Row],[Tech Start Date]],23),IF(Main[[#This Row],[Class]]="B", WORKDAY(Main[[#This Row],[Tech Start Date]],15),IF(Main[[#This Row],[Class]]="A",WORKDAY(Main[[#This Row],[Tech Start Date]],5),""))))</f>
        <v/>
      </c>
      <c r="P231" s="104" t="str">
        <f>IF(Main[[#This Row],[Tech Start Date]]&lt;1/1/1990,"",IF(Main[[#This Row],[Class]]="C",WORKDAY(Main[[#This Row],[Tech Start Date]],28),IF(Main[[#This Row],[Class]]="B", WORKDAY(Main[[#This Row],[Tech Start Date]],19),IF(Main[[#This Row],[Class]]="A",WORKDAY(Main[[#This Row],[Tech Start Date]],9),""))))</f>
        <v/>
      </c>
      <c r="Q231" s="101">
        <v>40025</v>
      </c>
      <c r="R231" s="101"/>
      <c r="S231" s="99" t="s">
        <v>11</v>
      </c>
      <c r="T231" s="107" t="s">
        <v>4</v>
      </c>
      <c r="U231" s="99" t="s">
        <v>14</v>
      </c>
      <c r="V231" s="99" t="s">
        <v>1962</v>
      </c>
      <c r="W231" s="99" t="s">
        <v>1970</v>
      </c>
    </row>
    <row r="232" spans="1:23" ht="18.600000000000001" customHeight="1">
      <c r="A232" s="123" t="str">
        <f>IF(priority(Main[[#This Row],[Comments]])&lt;&gt;0, priority(Main[[#This Row],[Comments]]),"")</f>
        <v/>
      </c>
      <c r="B232" s="127" t="s">
        <v>1136</v>
      </c>
      <c r="C232" s="99" t="s">
        <v>4</v>
      </c>
      <c r="D232" s="100" t="s">
        <v>127</v>
      </c>
      <c r="E232" s="101"/>
      <c r="F232" s="101"/>
      <c r="G232" s="102" t="str">
        <f>IF(stdProdLT(Main[[#This Row],[Comments]])=0.1,"N/A",IF(stdProdLT(Main[[#This Row],[Comments]])=0,"",stdProdLT(Main[[#This Row],[Comments]])))</f>
        <v/>
      </c>
      <c r="H232" s="103" t="str">
        <f>IF(AND(Main[[#This Row],[In Stock Date]]&lt;&gt;"",Main[[#This Row],[Revised Due Date]]&lt;&gt;""),Main[[#This Row],[In Stock Date]]-Main[[#This Row],[Revised Due Date]],"")</f>
        <v/>
      </c>
      <c r="I232" s="99" t="s">
        <v>30</v>
      </c>
      <c r="J232" s="99" t="s">
        <v>21</v>
      </c>
      <c r="K232" s="99" t="s">
        <v>4</v>
      </c>
      <c r="L232" s="101"/>
      <c r="M232" s="104" t="str">
        <f>IF(Main[[#This Row],[Tech Start Date]]&lt;1/1/1990,"",IF(Main[[#This Row],[Class]]="C",WORKDAY(Main[[#This Row],[Tech Start Date]],9),IF(Main[[#This Row],[Class]]="B", WORKDAY(Main[[#This Row],[Tech Start Date]],6),IF(Main[[#This Row],[Class]]="A",WORKDAY(Main[[#This Row],[Tech Start Date]],2),""))))</f>
        <v/>
      </c>
      <c r="N232" s="104" t="str">
        <f>IF(Main[[#This Row],[Tech Start Date]]&lt;1/1/1990,"",IF(Main[[#This Row],[Class]]="C",WORKDAY(Main[[#This Row],[Tech Start Date]],19),IF(Main[[#This Row],[Class]]="B", WORKDAY(Main[[#This Row],[Tech Start Date]],12),IF(Main[[#This Row],[Class]]="A",WORKDAY(Main[[#This Row],[Tech Start Date]],4),""))))</f>
        <v/>
      </c>
      <c r="O232" s="104" t="str">
        <f>IF(Main[[#This Row],[Tech Start Date]]&lt;1/1/1990,"",IF(Main[[#This Row],[Class]]="C",WORKDAY(Main[[#This Row],[Tech Start Date]],23),IF(Main[[#This Row],[Class]]="B", WORKDAY(Main[[#This Row],[Tech Start Date]],15),IF(Main[[#This Row],[Class]]="A",WORKDAY(Main[[#This Row],[Tech Start Date]],5),""))))</f>
        <v/>
      </c>
      <c r="P232" s="104" t="str">
        <f>IF(Main[[#This Row],[Tech Start Date]]&lt;1/1/1990,"",IF(Main[[#This Row],[Class]]="C",WORKDAY(Main[[#This Row],[Tech Start Date]],28),IF(Main[[#This Row],[Class]]="B", WORKDAY(Main[[#This Row],[Tech Start Date]],19),IF(Main[[#This Row],[Class]]="A",WORKDAY(Main[[#This Row],[Tech Start Date]],9),""))))</f>
        <v/>
      </c>
      <c r="Q232" s="101">
        <v>40508</v>
      </c>
      <c r="R232" s="101"/>
      <c r="S232" s="99" t="s">
        <v>6</v>
      </c>
      <c r="T232" s="107" t="s">
        <v>4</v>
      </c>
      <c r="U232" s="99" t="s">
        <v>14</v>
      </c>
      <c r="V232" s="99" t="s">
        <v>1965</v>
      </c>
      <c r="W232" s="99" t="s">
        <v>1964</v>
      </c>
    </row>
    <row r="233" spans="1:23" ht="18.600000000000001" customHeight="1">
      <c r="A233" s="123" t="str">
        <f>IF(priority(Main[[#This Row],[Comments]])&lt;&gt;0, priority(Main[[#This Row],[Comments]]),"")</f>
        <v/>
      </c>
      <c r="B233" s="127" t="s">
        <v>1137</v>
      </c>
      <c r="C233" s="99" t="s">
        <v>4</v>
      </c>
      <c r="D233" s="100" t="s">
        <v>128</v>
      </c>
      <c r="E233" s="101"/>
      <c r="F233" s="101"/>
      <c r="G233" s="102" t="str">
        <f>IF(stdProdLT(Main[[#This Row],[Comments]])=0.1,"N/A",IF(stdProdLT(Main[[#This Row],[Comments]])=0,"",stdProdLT(Main[[#This Row],[Comments]])))</f>
        <v/>
      </c>
      <c r="H233" s="103" t="str">
        <f>IF(AND(Main[[#This Row],[In Stock Date]]&lt;&gt;"",Main[[#This Row],[Revised Due Date]]&lt;&gt;""),Main[[#This Row],[In Stock Date]]-Main[[#This Row],[Revised Due Date]],"")</f>
        <v/>
      </c>
      <c r="I233" s="99" t="s">
        <v>129</v>
      </c>
      <c r="J233" s="99" t="s">
        <v>4</v>
      </c>
      <c r="K233" s="99" t="s">
        <v>4</v>
      </c>
      <c r="L233" s="101"/>
      <c r="M233" s="104" t="str">
        <f>IF(Main[[#This Row],[Tech Start Date]]&lt;1/1/1990,"",IF(Main[[#This Row],[Class]]="C",WORKDAY(Main[[#This Row],[Tech Start Date]],9),IF(Main[[#This Row],[Class]]="B", WORKDAY(Main[[#This Row],[Tech Start Date]],6),IF(Main[[#This Row],[Class]]="A",WORKDAY(Main[[#This Row],[Tech Start Date]],2),""))))</f>
        <v/>
      </c>
      <c r="N233" s="104" t="str">
        <f>IF(Main[[#This Row],[Tech Start Date]]&lt;1/1/1990,"",IF(Main[[#This Row],[Class]]="C",WORKDAY(Main[[#This Row],[Tech Start Date]],19),IF(Main[[#This Row],[Class]]="B", WORKDAY(Main[[#This Row],[Tech Start Date]],12),IF(Main[[#This Row],[Class]]="A",WORKDAY(Main[[#This Row],[Tech Start Date]],4),""))))</f>
        <v/>
      </c>
      <c r="O233" s="104" t="str">
        <f>IF(Main[[#This Row],[Tech Start Date]]&lt;1/1/1990,"",IF(Main[[#This Row],[Class]]="C",WORKDAY(Main[[#This Row],[Tech Start Date]],23),IF(Main[[#This Row],[Class]]="B", WORKDAY(Main[[#This Row],[Tech Start Date]],15),IF(Main[[#This Row],[Class]]="A",WORKDAY(Main[[#This Row],[Tech Start Date]],5),""))))</f>
        <v/>
      </c>
      <c r="P233" s="104" t="str">
        <f>IF(Main[[#This Row],[Tech Start Date]]&lt;1/1/1990,"",IF(Main[[#This Row],[Class]]="C",WORKDAY(Main[[#This Row],[Tech Start Date]],28),IF(Main[[#This Row],[Class]]="B", WORKDAY(Main[[#This Row],[Tech Start Date]],19),IF(Main[[#This Row],[Class]]="A",WORKDAY(Main[[#This Row],[Tech Start Date]],9),""))))</f>
        <v/>
      </c>
      <c r="Q233" s="101"/>
      <c r="R233" s="101"/>
      <c r="S233" s="99" t="s">
        <v>17</v>
      </c>
      <c r="T233" s="107" t="s">
        <v>4</v>
      </c>
      <c r="U233" s="99" t="s">
        <v>14</v>
      </c>
      <c r="V233" s="99" t="s">
        <v>1962</v>
      </c>
      <c r="W233" s="99" t="s">
        <v>1966</v>
      </c>
    </row>
    <row r="234" spans="1:23" ht="18.600000000000001" customHeight="1">
      <c r="A234" s="123" t="str">
        <f>IF(priority(Main[[#This Row],[Comments]])&lt;&gt;0, priority(Main[[#This Row],[Comments]]),"")</f>
        <v/>
      </c>
      <c r="B234" s="127" t="s">
        <v>1125</v>
      </c>
      <c r="C234" s="99" t="s">
        <v>31</v>
      </c>
      <c r="D234" s="100" t="s">
        <v>143</v>
      </c>
      <c r="E234" s="101"/>
      <c r="F234" s="101"/>
      <c r="G234" s="102" t="str">
        <f>IF(stdProdLT(Main[[#This Row],[Comments]])=0.1,"N/A",IF(stdProdLT(Main[[#This Row],[Comments]])=0,"",stdProdLT(Main[[#This Row],[Comments]])))</f>
        <v/>
      </c>
      <c r="H234" s="103" t="str">
        <f>IF(AND(Main[[#This Row],[In Stock Date]]&lt;&gt;"",Main[[#This Row],[Revised Due Date]]&lt;&gt;""),Main[[#This Row],[In Stock Date]]-Main[[#This Row],[Revised Due Date]],"")</f>
        <v/>
      </c>
      <c r="I234" s="99" t="s">
        <v>4</v>
      </c>
      <c r="J234" s="99" t="s">
        <v>4</v>
      </c>
      <c r="K234" s="99" t="s">
        <v>4</v>
      </c>
      <c r="L234" s="101"/>
      <c r="M234" s="104" t="str">
        <f>IF(Main[[#This Row],[Tech Start Date]]&lt;1/1/1990,"",IF(Main[[#This Row],[Class]]="C",WORKDAY(Main[[#This Row],[Tech Start Date]],9),IF(Main[[#This Row],[Class]]="B", WORKDAY(Main[[#This Row],[Tech Start Date]],6),IF(Main[[#This Row],[Class]]="A",WORKDAY(Main[[#This Row],[Tech Start Date]],2),""))))</f>
        <v/>
      </c>
      <c r="N234" s="104" t="str">
        <f>IF(Main[[#This Row],[Tech Start Date]]&lt;1/1/1990,"",IF(Main[[#This Row],[Class]]="C",WORKDAY(Main[[#This Row],[Tech Start Date]],19),IF(Main[[#This Row],[Class]]="B", WORKDAY(Main[[#This Row],[Tech Start Date]],12),IF(Main[[#This Row],[Class]]="A",WORKDAY(Main[[#This Row],[Tech Start Date]],4),""))))</f>
        <v/>
      </c>
      <c r="O234" s="104" t="str">
        <f>IF(Main[[#This Row],[Tech Start Date]]&lt;1/1/1990,"",IF(Main[[#This Row],[Class]]="C",WORKDAY(Main[[#This Row],[Tech Start Date]],23),IF(Main[[#This Row],[Class]]="B", WORKDAY(Main[[#This Row],[Tech Start Date]],15),IF(Main[[#This Row],[Class]]="A",WORKDAY(Main[[#This Row],[Tech Start Date]],5),""))))</f>
        <v/>
      </c>
      <c r="P234" s="104" t="str">
        <f>IF(Main[[#This Row],[Tech Start Date]]&lt;1/1/1990,"",IF(Main[[#This Row],[Class]]="C",WORKDAY(Main[[#This Row],[Tech Start Date]],28),IF(Main[[#This Row],[Class]]="B", WORKDAY(Main[[#This Row],[Tech Start Date]],19),IF(Main[[#This Row],[Class]]="A",WORKDAY(Main[[#This Row],[Tech Start Date]],9),""))))</f>
        <v/>
      </c>
      <c r="Q234" s="101">
        <v>40318</v>
      </c>
      <c r="R234" s="101"/>
      <c r="S234" s="99" t="s">
        <v>11</v>
      </c>
      <c r="T234" s="107" t="s">
        <v>4</v>
      </c>
      <c r="U234" s="99" t="s">
        <v>14</v>
      </c>
      <c r="V234" s="99" t="s">
        <v>1965</v>
      </c>
      <c r="W234" s="99" t="s">
        <v>1964</v>
      </c>
    </row>
    <row r="235" spans="1:23" ht="18.600000000000001" customHeight="1">
      <c r="A235" s="123" t="str">
        <f>IF(priority(Main[[#This Row],[Comments]])&lt;&gt;0, priority(Main[[#This Row],[Comments]]),"")</f>
        <v/>
      </c>
      <c r="B235" s="127" t="s">
        <v>2427</v>
      </c>
      <c r="C235" s="99" t="s">
        <v>352</v>
      </c>
      <c r="D235" s="100" t="s">
        <v>2428</v>
      </c>
      <c r="E235" s="101"/>
      <c r="F235" s="101"/>
      <c r="G235" s="102" t="str">
        <f>IF(stdProdLT(Main[[#This Row],[Comments]])=0.1,"N/A",IF(stdProdLT(Main[[#This Row],[Comments]])=0,"",stdProdLT(Main[[#This Row],[Comments]])))</f>
        <v/>
      </c>
      <c r="H235" s="103" t="str">
        <f>IF(AND(Main[[#This Row],[In Stock Date]]&lt;&gt;"",Main[[#This Row],[Revised Due Date]]&lt;&gt;""),Main[[#This Row],[In Stock Date]]-Main[[#This Row],[Revised Due Date]],"")</f>
        <v/>
      </c>
      <c r="I235" s="99" t="s">
        <v>4</v>
      </c>
      <c r="J235" s="99" t="s">
        <v>4</v>
      </c>
      <c r="K235" s="99" t="s">
        <v>4</v>
      </c>
      <c r="L235" s="101"/>
      <c r="M235" s="104" t="str">
        <f>IF(Main[[#This Row],[Tech Start Date]]&lt;1/1/1990,"",IF(Main[[#This Row],[Class]]="C",WORKDAY(Main[[#This Row],[Tech Start Date]],9),IF(Main[[#This Row],[Class]]="B", WORKDAY(Main[[#This Row],[Tech Start Date]],6),IF(Main[[#This Row],[Class]]="A",WORKDAY(Main[[#This Row],[Tech Start Date]],2),""))))</f>
        <v/>
      </c>
      <c r="N235" s="104" t="str">
        <f>IF(Main[[#This Row],[Tech Start Date]]&lt;1/1/1990,"",IF(Main[[#This Row],[Class]]="C",WORKDAY(Main[[#This Row],[Tech Start Date]],19),IF(Main[[#This Row],[Class]]="B", WORKDAY(Main[[#This Row],[Tech Start Date]],12),IF(Main[[#This Row],[Class]]="A",WORKDAY(Main[[#This Row],[Tech Start Date]],4),""))))</f>
        <v/>
      </c>
      <c r="O235" s="104" t="str">
        <f>IF(Main[[#This Row],[Tech Start Date]]&lt;1/1/1990,"",IF(Main[[#This Row],[Class]]="C",WORKDAY(Main[[#This Row],[Tech Start Date]],23),IF(Main[[#This Row],[Class]]="B", WORKDAY(Main[[#This Row],[Tech Start Date]],15),IF(Main[[#This Row],[Class]]="A",WORKDAY(Main[[#This Row],[Tech Start Date]],5),""))))</f>
        <v/>
      </c>
      <c r="P235" s="104" t="str">
        <f>IF(Main[[#This Row],[Tech Start Date]]&lt;1/1/1990,"",IF(Main[[#This Row],[Class]]="C",WORKDAY(Main[[#This Row],[Tech Start Date]],28),IF(Main[[#This Row],[Class]]="B", WORKDAY(Main[[#This Row],[Tech Start Date]],19),IF(Main[[#This Row],[Class]]="A",WORKDAY(Main[[#This Row],[Tech Start Date]],9),""))))</f>
        <v/>
      </c>
      <c r="Q235" s="101">
        <v>40847</v>
      </c>
      <c r="R235" s="101"/>
      <c r="S235" s="99" t="s">
        <v>4</v>
      </c>
      <c r="T235" s="107" t="s">
        <v>4</v>
      </c>
      <c r="U235" s="99" t="s">
        <v>12</v>
      </c>
      <c r="V235" s="99" t="s">
        <v>1962</v>
      </c>
      <c r="W235" s="99" t="s">
        <v>4</v>
      </c>
    </row>
    <row r="236" spans="1:23" ht="18.600000000000001" customHeight="1">
      <c r="A236" s="123" t="str">
        <f>IF(priority(Main[[#This Row],[Comments]])&lt;&gt;0, priority(Main[[#This Row],[Comments]]),"")</f>
        <v/>
      </c>
      <c r="B236" s="127" t="s">
        <v>2128</v>
      </c>
      <c r="C236" s="99" t="s">
        <v>4</v>
      </c>
      <c r="D236" s="100" t="s">
        <v>2129</v>
      </c>
      <c r="E236" s="101"/>
      <c r="F236" s="101"/>
      <c r="G236" s="102" t="str">
        <f>IF(stdProdLT(Main[[#This Row],[Comments]])=0.1,"N/A",IF(stdProdLT(Main[[#This Row],[Comments]])=0,"",stdProdLT(Main[[#This Row],[Comments]])))</f>
        <v/>
      </c>
      <c r="H236" s="103" t="str">
        <f>IF(AND(Main[[#This Row],[In Stock Date]]&lt;&gt;"",Main[[#This Row],[Revised Due Date]]&lt;&gt;""),Main[[#This Row],[In Stock Date]]-Main[[#This Row],[Revised Due Date]],"")</f>
        <v/>
      </c>
      <c r="I236" s="99" t="s">
        <v>4</v>
      </c>
      <c r="J236" s="99" t="s">
        <v>4</v>
      </c>
      <c r="K236" s="99" t="s">
        <v>4</v>
      </c>
      <c r="L236" s="101"/>
      <c r="M236" s="104" t="str">
        <f>IF(Main[[#This Row],[Tech Start Date]]&lt;1/1/1990,"",IF(Main[[#This Row],[Class]]="C",WORKDAY(Main[[#This Row],[Tech Start Date]],9),IF(Main[[#This Row],[Class]]="B", WORKDAY(Main[[#This Row],[Tech Start Date]],6),IF(Main[[#This Row],[Class]]="A",WORKDAY(Main[[#This Row],[Tech Start Date]],2),""))))</f>
        <v/>
      </c>
      <c r="N236" s="104" t="str">
        <f>IF(Main[[#This Row],[Tech Start Date]]&lt;1/1/1990,"",IF(Main[[#This Row],[Class]]="C",WORKDAY(Main[[#This Row],[Tech Start Date]],19),IF(Main[[#This Row],[Class]]="B", WORKDAY(Main[[#This Row],[Tech Start Date]],12),IF(Main[[#This Row],[Class]]="A",WORKDAY(Main[[#This Row],[Tech Start Date]],4),""))))</f>
        <v/>
      </c>
      <c r="O236" s="104" t="str">
        <f>IF(Main[[#This Row],[Tech Start Date]]&lt;1/1/1990,"",IF(Main[[#This Row],[Class]]="C",WORKDAY(Main[[#This Row],[Tech Start Date]],23),IF(Main[[#This Row],[Class]]="B", WORKDAY(Main[[#This Row],[Tech Start Date]],15),IF(Main[[#This Row],[Class]]="A",WORKDAY(Main[[#This Row],[Tech Start Date]],5),""))))</f>
        <v/>
      </c>
      <c r="P236" s="104" t="str">
        <f>IF(Main[[#This Row],[Tech Start Date]]&lt;1/1/1990,"",IF(Main[[#This Row],[Class]]="C",WORKDAY(Main[[#This Row],[Tech Start Date]],28),IF(Main[[#This Row],[Class]]="B", WORKDAY(Main[[#This Row],[Tech Start Date]],19),IF(Main[[#This Row],[Class]]="A",WORKDAY(Main[[#This Row],[Tech Start Date]],9),""))))</f>
        <v/>
      </c>
      <c r="Q236" s="101"/>
      <c r="R236" s="101"/>
      <c r="S236" s="99" t="s">
        <v>6</v>
      </c>
      <c r="T236" s="107" t="s">
        <v>4</v>
      </c>
      <c r="U236" s="99" t="s">
        <v>14</v>
      </c>
      <c r="V236" s="99" t="s">
        <v>1972</v>
      </c>
      <c r="W236" s="99" t="s">
        <v>1966</v>
      </c>
    </row>
    <row r="237" spans="1:23" ht="18.600000000000001" customHeight="1">
      <c r="A237" s="123" t="str">
        <f>IF(priority(Main[[#This Row],[Comments]])&lt;&gt;0, priority(Main[[#This Row],[Comments]]),"")</f>
        <v/>
      </c>
      <c r="B237" s="127" t="s">
        <v>2429</v>
      </c>
      <c r="C237" s="99" t="s">
        <v>4</v>
      </c>
      <c r="D237" s="100" t="s">
        <v>2430</v>
      </c>
      <c r="E237" s="101">
        <v>40841.293483796297</v>
      </c>
      <c r="F237" s="101"/>
      <c r="G237" s="102" t="str">
        <f>IF(stdProdLT(Main[[#This Row],[Comments]])=0.1,"N/A",IF(stdProdLT(Main[[#This Row],[Comments]])=0,"",stdProdLT(Main[[#This Row],[Comments]])))</f>
        <v/>
      </c>
      <c r="H237" s="103" t="str">
        <f>IF(AND(Main[[#This Row],[In Stock Date]]&lt;&gt;"",Main[[#This Row],[Revised Due Date]]&lt;&gt;""),Main[[#This Row],[In Stock Date]]-Main[[#This Row],[Revised Due Date]],"")</f>
        <v/>
      </c>
      <c r="I237" s="99" t="s">
        <v>929</v>
      </c>
      <c r="J237" s="99" t="s">
        <v>52</v>
      </c>
      <c r="K237" s="108" t="s">
        <v>4</v>
      </c>
      <c r="L237" s="101"/>
      <c r="M237" s="104" t="str">
        <f>IF(Main[[#This Row],[Tech Start Date]]&lt;1/1/1990,"",IF(Main[[#This Row],[Class]]="C",WORKDAY(Main[[#This Row],[Tech Start Date]],9),IF(Main[[#This Row],[Class]]="B", WORKDAY(Main[[#This Row],[Tech Start Date]],6),IF(Main[[#This Row],[Class]]="A",WORKDAY(Main[[#This Row],[Tech Start Date]],2),""))))</f>
        <v/>
      </c>
      <c r="N237" s="104" t="str">
        <f>IF(Main[[#This Row],[Tech Start Date]]&lt;1/1/1990,"",IF(Main[[#This Row],[Class]]="C",WORKDAY(Main[[#This Row],[Tech Start Date]],19),IF(Main[[#This Row],[Class]]="B", WORKDAY(Main[[#This Row],[Tech Start Date]],12),IF(Main[[#This Row],[Class]]="A",WORKDAY(Main[[#This Row],[Tech Start Date]],4),""))))</f>
        <v/>
      </c>
      <c r="O237" s="104" t="str">
        <f>IF(Main[[#This Row],[Tech Start Date]]&lt;1/1/1990,"",IF(Main[[#This Row],[Class]]="C",WORKDAY(Main[[#This Row],[Tech Start Date]],23),IF(Main[[#This Row],[Class]]="B", WORKDAY(Main[[#This Row],[Tech Start Date]],15),IF(Main[[#This Row],[Class]]="A",WORKDAY(Main[[#This Row],[Tech Start Date]],5),""))))</f>
        <v/>
      </c>
      <c r="P237" s="104" t="str">
        <f>IF(Main[[#This Row],[Tech Start Date]]&lt;1/1/1990,"",IF(Main[[#This Row],[Class]]="C",WORKDAY(Main[[#This Row],[Tech Start Date]],28),IF(Main[[#This Row],[Class]]="B", WORKDAY(Main[[#This Row],[Tech Start Date]],19),IF(Main[[#This Row],[Class]]="A",WORKDAY(Main[[#This Row],[Tech Start Date]],9),""))))</f>
        <v/>
      </c>
      <c r="Q237" s="101"/>
      <c r="R237" s="101"/>
      <c r="S237" s="99" t="s">
        <v>6</v>
      </c>
      <c r="T237" s="107" t="s">
        <v>4</v>
      </c>
      <c r="U237" s="99" t="s">
        <v>29</v>
      </c>
      <c r="V237" s="99" t="s">
        <v>1962</v>
      </c>
      <c r="W237" s="99" t="s">
        <v>1966</v>
      </c>
    </row>
    <row r="238" spans="1:23" ht="18.600000000000001" customHeight="1">
      <c r="A238" s="123" t="str">
        <f>IF(priority(Main[[#This Row],[Comments]])&lt;&gt;0, priority(Main[[#This Row],[Comments]]),"")</f>
        <v/>
      </c>
      <c r="B238" s="127" t="s">
        <v>1126</v>
      </c>
      <c r="C238" s="99" t="s">
        <v>33</v>
      </c>
      <c r="D238" s="100" t="s">
        <v>144</v>
      </c>
      <c r="E238" s="101"/>
      <c r="F238" s="101">
        <v>40422</v>
      </c>
      <c r="G238" s="102" t="str">
        <f>IF(stdProdLT(Main[[#This Row],[Comments]])=0.1,"N/A",IF(stdProdLT(Main[[#This Row],[Comments]])=0,"",stdProdLT(Main[[#This Row],[Comments]])))</f>
        <v/>
      </c>
      <c r="H238" s="103" t="str">
        <f>IF(AND(Main[[#This Row],[In Stock Date]]&lt;&gt;"",Main[[#This Row],[Revised Due Date]]&lt;&gt;""),Main[[#This Row],[In Stock Date]]-Main[[#This Row],[Revised Due Date]],"")</f>
        <v/>
      </c>
      <c r="I238" s="99" t="s">
        <v>4</v>
      </c>
      <c r="J238" s="99" t="s">
        <v>4</v>
      </c>
      <c r="K238" s="99" t="s">
        <v>4</v>
      </c>
      <c r="L238" s="101"/>
      <c r="M238" s="104" t="str">
        <f>IF(Main[[#This Row],[Tech Start Date]]&lt;1/1/1990,"",IF(Main[[#This Row],[Class]]="C",WORKDAY(Main[[#This Row],[Tech Start Date]],9),IF(Main[[#This Row],[Class]]="B", WORKDAY(Main[[#This Row],[Tech Start Date]],6),IF(Main[[#This Row],[Class]]="A",WORKDAY(Main[[#This Row],[Tech Start Date]],2),""))))</f>
        <v/>
      </c>
      <c r="N238" s="104" t="str">
        <f>IF(Main[[#This Row],[Tech Start Date]]&lt;1/1/1990,"",IF(Main[[#This Row],[Class]]="C",WORKDAY(Main[[#This Row],[Tech Start Date]],19),IF(Main[[#This Row],[Class]]="B", WORKDAY(Main[[#This Row],[Tech Start Date]],12),IF(Main[[#This Row],[Class]]="A",WORKDAY(Main[[#This Row],[Tech Start Date]],4),""))))</f>
        <v/>
      </c>
      <c r="O238" s="104" t="str">
        <f>IF(Main[[#This Row],[Tech Start Date]]&lt;1/1/1990,"",IF(Main[[#This Row],[Class]]="C",WORKDAY(Main[[#This Row],[Tech Start Date]],23),IF(Main[[#This Row],[Class]]="B", WORKDAY(Main[[#This Row],[Tech Start Date]],15),IF(Main[[#This Row],[Class]]="A",WORKDAY(Main[[#This Row],[Tech Start Date]],5),""))))</f>
        <v/>
      </c>
      <c r="P238" s="104" t="str">
        <f>IF(Main[[#This Row],[Tech Start Date]]&lt;1/1/1990,"",IF(Main[[#This Row],[Class]]="C",WORKDAY(Main[[#This Row],[Tech Start Date]],28),IF(Main[[#This Row],[Class]]="B", WORKDAY(Main[[#This Row],[Tech Start Date]],19),IF(Main[[#This Row],[Class]]="A",WORKDAY(Main[[#This Row],[Tech Start Date]],9),""))))</f>
        <v/>
      </c>
      <c r="Q238" s="101">
        <v>40282</v>
      </c>
      <c r="R238" s="101"/>
      <c r="S238" s="99" t="s">
        <v>11</v>
      </c>
      <c r="T238" s="107" t="s">
        <v>4</v>
      </c>
      <c r="U238" s="99" t="s">
        <v>14</v>
      </c>
      <c r="V238" s="99" t="s">
        <v>1965</v>
      </c>
      <c r="W238" s="99" t="s">
        <v>1967</v>
      </c>
    </row>
    <row r="239" spans="1:23" ht="18.600000000000001" customHeight="1">
      <c r="A239" s="123" t="str">
        <f>IF(priority(Main[[#This Row],[Comments]])&lt;&gt;0, priority(Main[[#This Row],[Comments]]),"")</f>
        <v/>
      </c>
      <c r="B239" s="127" t="s">
        <v>1127</v>
      </c>
      <c r="C239" s="99" t="s">
        <v>4</v>
      </c>
      <c r="D239" s="100" t="s">
        <v>145</v>
      </c>
      <c r="E239" s="101">
        <v>40395.405358796299</v>
      </c>
      <c r="F239" s="101">
        <v>40574</v>
      </c>
      <c r="G239" s="102" t="str">
        <f>IF(stdProdLT(Main[[#This Row],[Comments]])=0.1,"N/A",IF(stdProdLT(Main[[#This Row],[Comments]])=0,"",stdProdLT(Main[[#This Row],[Comments]])))</f>
        <v/>
      </c>
      <c r="H239" s="103" t="str">
        <f>IF(AND(Main[[#This Row],[In Stock Date]]&lt;&gt;"",Main[[#This Row],[Revised Due Date]]&lt;&gt;""),Main[[#This Row],[In Stock Date]]-Main[[#This Row],[Revised Due Date]],"")</f>
        <v/>
      </c>
      <c r="I239" s="99" t="s">
        <v>4</v>
      </c>
      <c r="J239" s="99" t="s">
        <v>28</v>
      </c>
      <c r="K239" s="108" t="s">
        <v>4</v>
      </c>
      <c r="L239" s="101"/>
      <c r="M239" s="104" t="str">
        <f>IF(Main[[#This Row],[Tech Start Date]]&lt;1/1/1990,"",IF(Main[[#This Row],[Class]]="C",WORKDAY(Main[[#This Row],[Tech Start Date]],9),IF(Main[[#This Row],[Class]]="B", WORKDAY(Main[[#This Row],[Tech Start Date]],6),IF(Main[[#This Row],[Class]]="A",WORKDAY(Main[[#This Row],[Tech Start Date]],2),""))))</f>
        <v/>
      </c>
      <c r="N239" s="104" t="str">
        <f>IF(Main[[#This Row],[Tech Start Date]]&lt;1/1/1990,"",IF(Main[[#This Row],[Class]]="C",WORKDAY(Main[[#This Row],[Tech Start Date]],19),IF(Main[[#This Row],[Class]]="B", WORKDAY(Main[[#This Row],[Tech Start Date]],12),IF(Main[[#This Row],[Class]]="A",WORKDAY(Main[[#This Row],[Tech Start Date]],4),""))))</f>
        <v/>
      </c>
      <c r="O239" s="104" t="str">
        <f>IF(Main[[#This Row],[Tech Start Date]]&lt;1/1/1990,"",IF(Main[[#This Row],[Class]]="C",WORKDAY(Main[[#This Row],[Tech Start Date]],23),IF(Main[[#This Row],[Class]]="B", WORKDAY(Main[[#This Row],[Tech Start Date]],15),IF(Main[[#This Row],[Class]]="A",WORKDAY(Main[[#This Row],[Tech Start Date]],5),""))))</f>
        <v/>
      </c>
      <c r="P239" s="104" t="str">
        <f>IF(Main[[#This Row],[Tech Start Date]]&lt;1/1/1990,"",IF(Main[[#This Row],[Class]]="C",WORKDAY(Main[[#This Row],[Tech Start Date]],28),IF(Main[[#This Row],[Class]]="B", WORKDAY(Main[[#This Row],[Tech Start Date]],19),IF(Main[[#This Row],[Class]]="A",WORKDAY(Main[[#This Row],[Tech Start Date]],9),""))))</f>
        <v/>
      </c>
      <c r="Q239" s="101"/>
      <c r="R239" s="101"/>
      <c r="S239" s="99" t="s">
        <v>17</v>
      </c>
      <c r="T239" s="107" t="s">
        <v>4</v>
      </c>
      <c r="U239" s="99" t="s">
        <v>7</v>
      </c>
      <c r="V239" s="99" t="s">
        <v>1963</v>
      </c>
      <c r="W239" s="99" t="s">
        <v>1967</v>
      </c>
    </row>
    <row r="240" spans="1:23" ht="18.600000000000001" customHeight="1">
      <c r="A240" s="123" t="str">
        <f>IF(priority(Main[[#This Row],[Comments]])&lt;&gt;0, priority(Main[[#This Row],[Comments]]),"")</f>
        <v/>
      </c>
      <c r="B240" s="127" t="s">
        <v>1115</v>
      </c>
      <c r="C240" s="99" t="s">
        <v>4</v>
      </c>
      <c r="D240" s="100" t="s">
        <v>134</v>
      </c>
      <c r="E240" s="101"/>
      <c r="F240" s="101"/>
      <c r="G240" s="102" t="str">
        <f>IF(stdProdLT(Main[[#This Row],[Comments]])=0.1,"N/A",IF(stdProdLT(Main[[#This Row],[Comments]])=0,"",stdProdLT(Main[[#This Row],[Comments]])))</f>
        <v/>
      </c>
      <c r="H240" s="103" t="str">
        <f>IF(AND(Main[[#This Row],[In Stock Date]]&lt;&gt;"",Main[[#This Row],[Revised Due Date]]&lt;&gt;""),Main[[#This Row],[In Stock Date]]-Main[[#This Row],[Revised Due Date]],"")</f>
        <v/>
      </c>
      <c r="I240" s="99" t="s">
        <v>69</v>
      </c>
      <c r="J240" s="99" t="s">
        <v>70</v>
      </c>
      <c r="K240" s="99" t="s">
        <v>1971</v>
      </c>
      <c r="L240" s="101"/>
      <c r="M240" s="104" t="str">
        <f>IF(Main[[#This Row],[Tech Start Date]]&lt;1/1/1990,"",IF(Main[[#This Row],[Class]]="C",WORKDAY(Main[[#This Row],[Tech Start Date]],9),IF(Main[[#This Row],[Class]]="B", WORKDAY(Main[[#This Row],[Tech Start Date]],6),IF(Main[[#This Row],[Class]]="A",WORKDAY(Main[[#This Row],[Tech Start Date]],2),""))))</f>
        <v/>
      </c>
      <c r="N240" s="104" t="str">
        <f>IF(Main[[#This Row],[Tech Start Date]]&lt;1/1/1990,"",IF(Main[[#This Row],[Class]]="C",WORKDAY(Main[[#This Row],[Tech Start Date]],19),IF(Main[[#This Row],[Class]]="B", WORKDAY(Main[[#This Row],[Tech Start Date]],12),IF(Main[[#This Row],[Class]]="A",WORKDAY(Main[[#This Row],[Tech Start Date]],4),""))))</f>
        <v/>
      </c>
      <c r="O240" s="104" t="str">
        <f>IF(Main[[#This Row],[Tech Start Date]]&lt;1/1/1990,"",IF(Main[[#This Row],[Class]]="C",WORKDAY(Main[[#This Row],[Tech Start Date]],23),IF(Main[[#This Row],[Class]]="B", WORKDAY(Main[[#This Row],[Tech Start Date]],15),IF(Main[[#This Row],[Class]]="A",WORKDAY(Main[[#This Row],[Tech Start Date]],5),""))))</f>
        <v/>
      </c>
      <c r="P240" s="104" t="str">
        <f>IF(Main[[#This Row],[Tech Start Date]]&lt;1/1/1990,"",IF(Main[[#This Row],[Class]]="C",WORKDAY(Main[[#This Row],[Tech Start Date]],28),IF(Main[[#This Row],[Class]]="B", WORKDAY(Main[[#This Row],[Tech Start Date]],19),IF(Main[[#This Row],[Class]]="A",WORKDAY(Main[[#This Row],[Tech Start Date]],9),""))))</f>
        <v/>
      </c>
      <c r="Q240" s="101">
        <v>40633</v>
      </c>
      <c r="R240" s="101"/>
      <c r="S240" s="99" t="s">
        <v>6</v>
      </c>
      <c r="T240" s="107" t="s">
        <v>4</v>
      </c>
      <c r="U240" s="99" t="s">
        <v>14</v>
      </c>
      <c r="V240" s="99" t="s">
        <v>1965</v>
      </c>
      <c r="W240" s="99" t="s">
        <v>1966</v>
      </c>
    </row>
    <row r="241" spans="1:23" ht="18.600000000000001" customHeight="1">
      <c r="A241" s="123" t="str">
        <f>IF(priority(Main[[#This Row],[Comments]])&lt;&gt;0, priority(Main[[#This Row],[Comments]]),"")</f>
        <v/>
      </c>
      <c r="B241" s="127" t="s">
        <v>1129</v>
      </c>
      <c r="C241" s="99" t="s">
        <v>47</v>
      </c>
      <c r="D241" s="100" t="s">
        <v>147</v>
      </c>
      <c r="E241" s="101"/>
      <c r="F241" s="101"/>
      <c r="G241" s="102" t="str">
        <f>IF(stdProdLT(Main[[#This Row],[Comments]])=0.1,"N/A",IF(stdProdLT(Main[[#This Row],[Comments]])=0,"",stdProdLT(Main[[#This Row],[Comments]])))</f>
        <v/>
      </c>
      <c r="H241" s="103" t="str">
        <f>IF(AND(Main[[#This Row],[In Stock Date]]&lt;&gt;"",Main[[#This Row],[Revised Due Date]]&lt;&gt;""),Main[[#This Row],[In Stock Date]]-Main[[#This Row],[Revised Due Date]],"")</f>
        <v/>
      </c>
      <c r="I241" s="99" t="s">
        <v>4</v>
      </c>
      <c r="J241" s="99" t="s">
        <v>4</v>
      </c>
      <c r="K241" s="108" t="s">
        <v>4</v>
      </c>
      <c r="L241" s="101"/>
      <c r="M241" s="104" t="str">
        <f>IF(Main[[#This Row],[Tech Start Date]]&lt;1/1/1990,"",IF(Main[[#This Row],[Class]]="C",WORKDAY(Main[[#This Row],[Tech Start Date]],9),IF(Main[[#This Row],[Class]]="B", WORKDAY(Main[[#This Row],[Tech Start Date]],6),IF(Main[[#This Row],[Class]]="A",WORKDAY(Main[[#This Row],[Tech Start Date]],2),""))))</f>
        <v/>
      </c>
      <c r="N241" s="104" t="str">
        <f>IF(Main[[#This Row],[Tech Start Date]]&lt;1/1/1990,"",IF(Main[[#This Row],[Class]]="C",WORKDAY(Main[[#This Row],[Tech Start Date]],19),IF(Main[[#This Row],[Class]]="B", WORKDAY(Main[[#This Row],[Tech Start Date]],12),IF(Main[[#This Row],[Class]]="A",WORKDAY(Main[[#This Row],[Tech Start Date]],4),""))))</f>
        <v/>
      </c>
      <c r="O241" s="104" t="str">
        <f>IF(Main[[#This Row],[Tech Start Date]]&lt;1/1/1990,"",IF(Main[[#This Row],[Class]]="C",WORKDAY(Main[[#This Row],[Tech Start Date]],23),IF(Main[[#This Row],[Class]]="B", WORKDAY(Main[[#This Row],[Tech Start Date]],15),IF(Main[[#This Row],[Class]]="A",WORKDAY(Main[[#This Row],[Tech Start Date]],5),""))))</f>
        <v/>
      </c>
      <c r="P241" s="104" t="str">
        <f>IF(Main[[#This Row],[Tech Start Date]]&lt;1/1/1990,"",IF(Main[[#This Row],[Class]]="C",WORKDAY(Main[[#This Row],[Tech Start Date]],28),IF(Main[[#This Row],[Class]]="B", WORKDAY(Main[[#This Row],[Tech Start Date]],19),IF(Main[[#This Row],[Class]]="A",WORKDAY(Main[[#This Row],[Tech Start Date]],9),""))))</f>
        <v/>
      </c>
      <c r="Q241" s="101"/>
      <c r="R241" s="101"/>
      <c r="S241" s="99" t="s">
        <v>11</v>
      </c>
      <c r="T241" s="107" t="s">
        <v>4</v>
      </c>
      <c r="U241" s="99" t="s">
        <v>14</v>
      </c>
      <c r="V241" s="99" t="s">
        <v>1963</v>
      </c>
      <c r="W241" s="99" t="s">
        <v>1966</v>
      </c>
    </row>
    <row r="242" spans="1:23" ht="18.600000000000001" customHeight="1">
      <c r="A242" s="123" t="str">
        <f>IF(priority(Main[[#This Row],[Comments]])&lt;&gt;0, priority(Main[[#This Row],[Comments]]),"")</f>
        <v/>
      </c>
      <c r="B242" s="127" t="s">
        <v>1130</v>
      </c>
      <c r="C242" s="99" t="s">
        <v>4</v>
      </c>
      <c r="D242" s="100" t="s">
        <v>148</v>
      </c>
      <c r="E242" s="101">
        <v>40666.180879629632</v>
      </c>
      <c r="F242" s="101"/>
      <c r="G242" s="102" t="str">
        <f>IF(stdProdLT(Main[[#This Row],[Comments]])=0.1,"N/A",IF(stdProdLT(Main[[#This Row],[Comments]])=0,"",stdProdLT(Main[[#This Row],[Comments]])))</f>
        <v/>
      </c>
      <c r="H242" s="103" t="str">
        <f>IF(AND(Main[[#This Row],[In Stock Date]]&lt;&gt;"",Main[[#This Row],[Revised Due Date]]&lt;&gt;""),Main[[#This Row],[In Stock Date]]-Main[[#This Row],[Revised Due Date]],"")</f>
        <v/>
      </c>
      <c r="I242" s="99" t="s">
        <v>4</v>
      </c>
      <c r="J242" s="99" t="s">
        <v>4</v>
      </c>
      <c r="K242" s="99" t="s">
        <v>4</v>
      </c>
      <c r="L242" s="101"/>
      <c r="M242" s="104" t="str">
        <f>IF(Main[[#This Row],[Tech Start Date]]&lt;1/1/1990,"",IF(Main[[#This Row],[Class]]="C",WORKDAY(Main[[#This Row],[Tech Start Date]],9),IF(Main[[#This Row],[Class]]="B", WORKDAY(Main[[#This Row],[Tech Start Date]],6),IF(Main[[#This Row],[Class]]="A",WORKDAY(Main[[#This Row],[Tech Start Date]],2),""))))</f>
        <v/>
      </c>
      <c r="N242" s="104" t="str">
        <f>IF(Main[[#This Row],[Tech Start Date]]&lt;1/1/1990,"",IF(Main[[#This Row],[Class]]="C",WORKDAY(Main[[#This Row],[Tech Start Date]],19),IF(Main[[#This Row],[Class]]="B", WORKDAY(Main[[#This Row],[Tech Start Date]],12),IF(Main[[#This Row],[Class]]="A",WORKDAY(Main[[#This Row],[Tech Start Date]],4),""))))</f>
        <v/>
      </c>
      <c r="O242" s="104" t="str">
        <f>IF(Main[[#This Row],[Tech Start Date]]&lt;1/1/1990,"",IF(Main[[#This Row],[Class]]="C",WORKDAY(Main[[#This Row],[Tech Start Date]],23),IF(Main[[#This Row],[Class]]="B", WORKDAY(Main[[#This Row],[Tech Start Date]],15),IF(Main[[#This Row],[Class]]="A",WORKDAY(Main[[#This Row],[Tech Start Date]],5),""))))</f>
        <v/>
      </c>
      <c r="P242" s="104" t="str">
        <f>IF(Main[[#This Row],[Tech Start Date]]&lt;1/1/1990,"",IF(Main[[#This Row],[Class]]="C",WORKDAY(Main[[#This Row],[Tech Start Date]],28),IF(Main[[#This Row],[Class]]="B", WORKDAY(Main[[#This Row],[Tech Start Date]],19),IF(Main[[#This Row],[Class]]="A",WORKDAY(Main[[#This Row],[Tech Start Date]],9),""))))</f>
        <v/>
      </c>
      <c r="Q242" s="101">
        <v>40687</v>
      </c>
      <c r="R242" s="101"/>
      <c r="S242" s="99" t="s">
        <v>6</v>
      </c>
      <c r="T242" s="107" t="s">
        <v>4</v>
      </c>
      <c r="U242" s="99" t="s">
        <v>7</v>
      </c>
      <c r="V242" s="99" t="s">
        <v>1962</v>
      </c>
      <c r="W242" s="99" t="s">
        <v>4</v>
      </c>
    </row>
    <row r="243" spans="1:23" ht="18.600000000000001" customHeight="1">
      <c r="A243" s="123" t="str">
        <f>IF(priority(Main[[#This Row],[Comments]])&lt;&gt;0, priority(Main[[#This Row],[Comments]]),"")</f>
        <v/>
      </c>
      <c r="B243" s="127" t="s">
        <v>1131</v>
      </c>
      <c r="C243" s="99" t="s">
        <v>149</v>
      </c>
      <c r="D243" s="100" t="s">
        <v>150</v>
      </c>
      <c r="E243" s="101"/>
      <c r="F243" s="101"/>
      <c r="G243" s="102" t="str">
        <f>IF(stdProdLT(Main[[#This Row],[Comments]])=0.1,"N/A",IF(stdProdLT(Main[[#This Row],[Comments]])=0,"",stdProdLT(Main[[#This Row],[Comments]])))</f>
        <v/>
      </c>
      <c r="H243" s="103" t="str">
        <f>IF(AND(Main[[#This Row],[In Stock Date]]&lt;&gt;"",Main[[#This Row],[Revised Due Date]]&lt;&gt;""),Main[[#This Row],[In Stock Date]]-Main[[#This Row],[Revised Due Date]],"")</f>
        <v/>
      </c>
      <c r="I243" s="99" t="s">
        <v>4</v>
      </c>
      <c r="J243" s="99" t="s">
        <v>28</v>
      </c>
      <c r="K243" s="108" t="s">
        <v>4</v>
      </c>
      <c r="L243" s="101"/>
      <c r="M243" s="104" t="str">
        <f>IF(Main[[#This Row],[Tech Start Date]]&lt;1/1/1990,"",IF(Main[[#This Row],[Class]]="C",WORKDAY(Main[[#This Row],[Tech Start Date]],9),IF(Main[[#This Row],[Class]]="B", WORKDAY(Main[[#This Row],[Tech Start Date]],6),IF(Main[[#This Row],[Class]]="A",WORKDAY(Main[[#This Row],[Tech Start Date]],2),""))))</f>
        <v/>
      </c>
      <c r="N243" s="104" t="str">
        <f>IF(Main[[#This Row],[Tech Start Date]]&lt;1/1/1990,"",IF(Main[[#This Row],[Class]]="C",WORKDAY(Main[[#This Row],[Tech Start Date]],19),IF(Main[[#This Row],[Class]]="B", WORKDAY(Main[[#This Row],[Tech Start Date]],12),IF(Main[[#This Row],[Class]]="A",WORKDAY(Main[[#This Row],[Tech Start Date]],4),""))))</f>
        <v/>
      </c>
      <c r="O243" s="104" t="str">
        <f>IF(Main[[#This Row],[Tech Start Date]]&lt;1/1/1990,"",IF(Main[[#This Row],[Class]]="C",WORKDAY(Main[[#This Row],[Tech Start Date]],23),IF(Main[[#This Row],[Class]]="B", WORKDAY(Main[[#This Row],[Tech Start Date]],15),IF(Main[[#This Row],[Class]]="A",WORKDAY(Main[[#This Row],[Tech Start Date]],5),""))))</f>
        <v/>
      </c>
      <c r="P243" s="104" t="str">
        <f>IF(Main[[#This Row],[Tech Start Date]]&lt;1/1/1990,"",IF(Main[[#This Row],[Class]]="C",WORKDAY(Main[[#This Row],[Tech Start Date]],28),IF(Main[[#This Row],[Class]]="B", WORKDAY(Main[[#This Row],[Tech Start Date]],19),IF(Main[[#This Row],[Class]]="A",WORKDAY(Main[[#This Row],[Tech Start Date]],9),""))))</f>
        <v/>
      </c>
      <c r="Q243" s="101">
        <v>40511</v>
      </c>
      <c r="R243" s="101"/>
      <c r="S243" s="99" t="s">
        <v>11</v>
      </c>
      <c r="T243" s="107" t="s">
        <v>4</v>
      </c>
      <c r="U243" s="99" t="s">
        <v>14</v>
      </c>
      <c r="V243" s="99" t="s">
        <v>1965</v>
      </c>
      <c r="W243" s="99" t="s">
        <v>1964</v>
      </c>
    </row>
    <row r="244" spans="1:23" ht="18.600000000000001" customHeight="1">
      <c r="A244" s="123" t="str">
        <f>IF(priority(Main[[#This Row],[Comments]])&lt;&gt;0, priority(Main[[#This Row],[Comments]]),"")</f>
        <v/>
      </c>
      <c r="B244" s="127" t="s">
        <v>1132</v>
      </c>
      <c r="C244" s="99" t="s">
        <v>93</v>
      </c>
      <c r="D244" s="100" t="s">
        <v>151</v>
      </c>
      <c r="E244" s="101"/>
      <c r="F244" s="101"/>
      <c r="G244" s="102" t="str">
        <f>IF(stdProdLT(Main[[#This Row],[Comments]])=0.1,"N/A",IF(stdProdLT(Main[[#This Row],[Comments]])=0,"",stdProdLT(Main[[#This Row],[Comments]])))</f>
        <v/>
      </c>
      <c r="H244" s="103" t="str">
        <f>IF(AND(Main[[#This Row],[In Stock Date]]&lt;&gt;"",Main[[#This Row],[Revised Due Date]]&lt;&gt;""),Main[[#This Row],[In Stock Date]]-Main[[#This Row],[Revised Due Date]],"")</f>
        <v/>
      </c>
      <c r="I244" s="99" t="s">
        <v>4</v>
      </c>
      <c r="J244" s="99" t="s">
        <v>4</v>
      </c>
      <c r="K244" s="99" t="s">
        <v>4</v>
      </c>
      <c r="L244" s="101"/>
      <c r="M244" s="104" t="str">
        <f>IF(Main[[#This Row],[Tech Start Date]]&lt;1/1/1990,"",IF(Main[[#This Row],[Class]]="C",WORKDAY(Main[[#This Row],[Tech Start Date]],9),IF(Main[[#This Row],[Class]]="B", WORKDAY(Main[[#This Row],[Tech Start Date]],6),IF(Main[[#This Row],[Class]]="A",WORKDAY(Main[[#This Row],[Tech Start Date]],2),""))))</f>
        <v/>
      </c>
      <c r="N244" s="104" t="str">
        <f>IF(Main[[#This Row],[Tech Start Date]]&lt;1/1/1990,"",IF(Main[[#This Row],[Class]]="C",WORKDAY(Main[[#This Row],[Tech Start Date]],19),IF(Main[[#This Row],[Class]]="B", WORKDAY(Main[[#This Row],[Tech Start Date]],12),IF(Main[[#This Row],[Class]]="A",WORKDAY(Main[[#This Row],[Tech Start Date]],4),""))))</f>
        <v/>
      </c>
      <c r="O244" s="104" t="str">
        <f>IF(Main[[#This Row],[Tech Start Date]]&lt;1/1/1990,"",IF(Main[[#This Row],[Class]]="C",WORKDAY(Main[[#This Row],[Tech Start Date]],23),IF(Main[[#This Row],[Class]]="B", WORKDAY(Main[[#This Row],[Tech Start Date]],15),IF(Main[[#This Row],[Class]]="A",WORKDAY(Main[[#This Row],[Tech Start Date]],5),""))))</f>
        <v/>
      </c>
      <c r="P244" s="104" t="str">
        <f>IF(Main[[#This Row],[Tech Start Date]]&lt;1/1/1990,"",IF(Main[[#This Row],[Class]]="C",WORKDAY(Main[[#This Row],[Tech Start Date]],28),IF(Main[[#This Row],[Class]]="B", WORKDAY(Main[[#This Row],[Tech Start Date]],19),IF(Main[[#This Row],[Class]]="A",WORKDAY(Main[[#This Row],[Tech Start Date]],9),""))))</f>
        <v/>
      </c>
      <c r="Q244" s="101"/>
      <c r="R244" s="101"/>
      <c r="S244" s="99" t="s">
        <v>11</v>
      </c>
      <c r="T244" s="107" t="s">
        <v>4</v>
      </c>
      <c r="U244" s="99" t="s">
        <v>14</v>
      </c>
      <c r="V244" s="99" t="s">
        <v>1965</v>
      </c>
      <c r="W244" s="99" t="s">
        <v>1968</v>
      </c>
    </row>
    <row r="245" spans="1:23" ht="18.600000000000001" customHeight="1">
      <c r="A245" s="123" t="str">
        <f>IF(priority(Main[[#This Row],[Comments]])&lt;&gt;0, priority(Main[[#This Row],[Comments]]),"")</f>
        <v/>
      </c>
      <c r="B245" s="127" t="s">
        <v>1133</v>
      </c>
      <c r="C245" s="99" t="s">
        <v>26</v>
      </c>
      <c r="D245" s="100" t="s">
        <v>152</v>
      </c>
      <c r="E245" s="101"/>
      <c r="F245" s="101">
        <v>40613</v>
      </c>
      <c r="G245" s="102" t="str">
        <f>IF(stdProdLT(Main[[#This Row],[Comments]])=0.1,"N/A",IF(stdProdLT(Main[[#This Row],[Comments]])=0,"",stdProdLT(Main[[#This Row],[Comments]])))</f>
        <v/>
      </c>
      <c r="H245" s="103" t="str">
        <f>IF(AND(Main[[#This Row],[In Stock Date]]&lt;&gt;"",Main[[#This Row],[Revised Due Date]]&lt;&gt;""),Main[[#This Row],[In Stock Date]]-Main[[#This Row],[Revised Due Date]],"")</f>
        <v/>
      </c>
      <c r="I245" s="99" t="s">
        <v>4</v>
      </c>
      <c r="J245" s="99" t="s">
        <v>28</v>
      </c>
      <c r="K245" s="99" t="s">
        <v>4</v>
      </c>
      <c r="L245" s="101"/>
      <c r="M245" s="104" t="str">
        <f>IF(Main[[#This Row],[Tech Start Date]]&lt;1/1/1990,"",IF(Main[[#This Row],[Class]]="C",WORKDAY(Main[[#This Row],[Tech Start Date]],9),IF(Main[[#This Row],[Class]]="B", WORKDAY(Main[[#This Row],[Tech Start Date]],6),IF(Main[[#This Row],[Class]]="A",WORKDAY(Main[[#This Row],[Tech Start Date]],2),""))))</f>
        <v/>
      </c>
      <c r="N245" s="104" t="str">
        <f>IF(Main[[#This Row],[Tech Start Date]]&lt;1/1/1990,"",IF(Main[[#This Row],[Class]]="C",WORKDAY(Main[[#This Row],[Tech Start Date]],19),IF(Main[[#This Row],[Class]]="B", WORKDAY(Main[[#This Row],[Tech Start Date]],12),IF(Main[[#This Row],[Class]]="A",WORKDAY(Main[[#This Row],[Tech Start Date]],4),""))))</f>
        <v/>
      </c>
      <c r="O245" s="104" t="str">
        <f>IF(Main[[#This Row],[Tech Start Date]]&lt;1/1/1990,"",IF(Main[[#This Row],[Class]]="C",WORKDAY(Main[[#This Row],[Tech Start Date]],23),IF(Main[[#This Row],[Class]]="B", WORKDAY(Main[[#This Row],[Tech Start Date]],15),IF(Main[[#This Row],[Class]]="A",WORKDAY(Main[[#This Row],[Tech Start Date]],5),""))))</f>
        <v/>
      </c>
      <c r="P245" s="104" t="str">
        <f>IF(Main[[#This Row],[Tech Start Date]]&lt;1/1/1990,"",IF(Main[[#This Row],[Class]]="C",WORKDAY(Main[[#This Row],[Tech Start Date]],28),IF(Main[[#This Row],[Class]]="B", WORKDAY(Main[[#This Row],[Tech Start Date]],19),IF(Main[[#This Row],[Class]]="A",WORKDAY(Main[[#This Row],[Tech Start Date]],9),""))))</f>
        <v/>
      </c>
      <c r="Q245" s="101"/>
      <c r="R245" s="101"/>
      <c r="S245" s="99" t="s">
        <v>11</v>
      </c>
      <c r="T245" s="107" t="s">
        <v>4</v>
      </c>
      <c r="U245" s="99" t="s">
        <v>14</v>
      </c>
      <c r="V245" s="99" t="s">
        <v>1962</v>
      </c>
      <c r="W245" s="99" t="s">
        <v>1970</v>
      </c>
    </row>
    <row r="246" spans="1:23" ht="18.600000000000001" customHeight="1">
      <c r="A246" s="123" t="str">
        <f>IF(priority(Main[[#This Row],[Comments]])&lt;&gt;0, priority(Main[[#This Row],[Comments]]),"")</f>
        <v/>
      </c>
      <c r="B246" s="127" t="s">
        <v>1139</v>
      </c>
      <c r="C246" s="99" t="s">
        <v>4</v>
      </c>
      <c r="D246" s="100" t="s">
        <v>153</v>
      </c>
      <c r="E246" s="101">
        <v>40584.587800925925</v>
      </c>
      <c r="F246" s="101"/>
      <c r="G246" s="102" t="str">
        <f>IF(stdProdLT(Main[[#This Row],[Comments]])=0.1,"N/A",IF(stdProdLT(Main[[#This Row],[Comments]])=0,"",stdProdLT(Main[[#This Row],[Comments]])))</f>
        <v/>
      </c>
      <c r="H246" s="103" t="str">
        <f>IF(AND(Main[[#This Row],[In Stock Date]]&lt;&gt;"",Main[[#This Row],[Revised Due Date]]&lt;&gt;""),Main[[#This Row],[In Stock Date]]-Main[[#This Row],[Revised Due Date]],"")</f>
        <v/>
      </c>
      <c r="I246" s="99" t="s">
        <v>4</v>
      </c>
      <c r="J246" s="99" t="s">
        <v>4</v>
      </c>
      <c r="K246" s="99" t="s">
        <v>4</v>
      </c>
      <c r="L246" s="101"/>
      <c r="M246" s="104" t="str">
        <f>IF(Main[[#This Row],[Tech Start Date]]&lt;1/1/1990,"",IF(Main[[#This Row],[Class]]="C",WORKDAY(Main[[#This Row],[Tech Start Date]],9),IF(Main[[#This Row],[Class]]="B", WORKDAY(Main[[#This Row],[Tech Start Date]],6),IF(Main[[#This Row],[Class]]="A",WORKDAY(Main[[#This Row],[Tech Start Date]],2),""))))</f>
        <v/>
      </c>
      <c r="N246" s="104" t="str">
        <f>IF(Main[[#This Row],[Tech Start Date]]&lt;1/1/1990,"",IF(Main[[#This Row],[Class]]="C",WORKDAY(Main[[#This Row],[Tech Start Date]],19),IF(Main[[#This Row],[Class]]="B", WORKDAY(Main[[#This Row],[Tech Start Date]],12),IF(Main[[#This Row],[Class]]="A",WORKDAY(Main[[#This Row],[Tech Start Date]],4),""))))</f>
        <v/>
      </c>
      <c r="O246" s="104" t="str">
        <f>IF(Main[[#This Row],[Tech Start Date]]&lt;1/1/1990,"",IF(Main[[#This Row],[Class]]="C",WORKDAY(Main[[#This Row],[Tech Start Date]],23),IF(Main[[#This Row],[Class]]="B", WORKDAY(Main[[#This Row],[Tech Start Date]],15),IF(Main[[#This Row],[Class]]="A",WORKDAY(Main[[#This Row],[Tech Start Date]],5),""))))</f>
        <v/>
      </c>
      <c r="P246" s="104" t="str">
        <f>IF(Main[[#This Row],[Tech Start Date]]&lt;1/1/1990,"",IF(Main[[#This Row],[Class]]="C",WORKDAY(Main[[#This Row],[Tech Start Date]],28),IF(Main[[#This Row],[Class]]="B", WORKDAY(Main[[#This Row],[Tech Start Date]],19),IF(Main[[#This Row],[Class]]="A",WORKDAY(Main[[#This Row],[Tech Start Date]],9),""))))</f>
        <v/>
      </c>
      <c r="Q246" s="101"/>
      <c r="R246" s="101"/>
      <c r="S246" s="99" t="s">
        <v>4</v>
      </c>
      <c r="T246" s="107" t="s">
        <v>4</v>
      </c>
      <c r="U246" s="99" t="s">
        <v>29</v>
      </c>
      <c r="V246" s="99" t="s">
        <v>1963</v>
      </c>
      <c r="W246" s="99" t="s">
        <v>4</v>
      </c>
    </row>
    <row r="247" spans="1:23" ht="18.600000000000001" customHeight="1">
      <c r="A247" s="123" t="str">
        <f>IF(priority(Main[[#This Row],[Comments]])&lt;&gt;0, priority(Main[[#This Row],[Comments]]),"")</f>
        <v/>
      </c>
      <c r="B247" s="127" t="s">
        <v>1140</v>
      </c>
      <c r="C247" s="99" t="s">
        <v>4</v>
      </c>
      <c r="D247" s="100" t="s">
        <v>154</v>
      </c>
      <c r="E247" s="101"/>
      <c r="F247" s="101"/>
      <c r="G247" s="102" t="str">
        <f>IF(stdProdLT(Main[[#This Row],[Comments]])=0.1,"N/A",IF(stdProdLT(Main[[#This Row],[Comments]])=0,"",stdProdLT(Main[[#This Row],[Comments]])))</f>
        <v/>
      </c>
      <c r="H247" s="103" t="str">
        <f>IF(AND(Main[[#This Row],[In Stock Date]]&lt;&gt;"",Main[[#This Row],[Revised Due Date]]&lt;&gt;""),Main[[#This Row],[In Stock Date]]-Main[[#This Row],[Revised Due Date]],"")</f>
        <v/>
      </c>
      <c r="I247" s="99" t="s">
        <v>30</v>
      </c>
      <c r="J247" s="99" t="s">
        <v>52</v>
      </c>
      <c r="K247" s="99" t="s">
        <v>4</v>
      </c>
      <c r="L247" s="101"/>
      <c r="M247" s="104" t="str">
        <f>IF(Main[[#This Row],[Tech Start Date]]&lt;1/1/1990,"",IF(Main[[#This Row],[Class]]="C",WORKDAY(Main[[#This Row],[Tech Start Date]],9),IF(Main[[#This Row],[Class]]="B", WORKDAY(Main[[#This Row],[Tech Start Date]],6),IF(Main[[#This Row],[Class]]="A",WORKDAY(Main[[#This Row],[Tech Start Date]],2),""))))</f>
        <v/>
      </c>
      <c r="N247" s="104" t="str">
        <f>IF(Main[[#This Row],[Tech Start Date]]&lt;1/1/1990,"",IF(Main[[#This Row],[Class]]="C",WORKDAY(Main[[#This Row],[Tech Start Date]],19),IF(Main[[#This Row],[Class]]="B", WORKDAY(Main[[#This Row],[Tech Start Date]],12),IF(Main[[#This Row],[Class]]="A",WORKDAY(Main[[#This Row],[Tech Start Date]],4),""))))</f>
        <v/>
      </c>
      <c r="O247" s="104" t="str">
        <f>IF(Main[[#This Row],[Tech Start Date]]&lt;1/1/1990,"",IF(Main[[#This Row],[Class]]="C",WORKDAY(Main[[#This Row],[Tech Start Date]],23),IF(Main[[#This Row],[Class]]="B", WORKDAY(Main[[#This Row],[Tech Start Date]],15),IF(Main[[#This Row],[Class]]="A",WORKDAY(Main[[#This Row],[Tech Start Date]],5),""))))</f>
        <v/>
      </c>
      <c r="P247" s="104" t="str">
        <f>IF(Main[[#This Row],[Tech Start Date]]&lt;1/1/1990,"",IF(Main[[#This Row],[Class]]="C",WORKDAY(Main[[#This Row],[Tech Start Date]],28),IF(Main[[#This Row],[Class]]="B", WORKDAY(Main[[#This Row],[Tech Start Date]],19),IF(Main[[#This Row],[Class]]="A",WORKDAY(Main[[#This Row],[Tech Start Date]],9),""))))</f>
        <v/>
      </c>
      <c r="Q247" s="101">
        <v>40448</v>
      </c>
      <c r="R247" s="101"/>
      <c r="S247" s="99" t="s">
        <v>6</v>
      </c>
      <c r="T247" s="107" t="s">
        <v>4</v>
      </c>
      <c r="U247" s="99" t="s">
        <v>14</v>
      </c>
      <c r="V247" s="99" t="s">
        <v>1965</v>
      </c>
      <c r="W247" s="99" t="s">
        <v>4</v>
      </c>
    </row>
    <row r="248" spans="1:23" ht="18.600000000000001" customHeight="1">
      <c r="A248" s="123" t="str">
        <f>IF(priority(Main[[#This Row],[Comments]])&lt;&gt;0, priority(Main[[#This Row],[Comments]]),"")</f>
        <v/>
      </c>
      <c r="B248" s="127" t="s">
        <v>1442</v>
      </c>
      <c r="C248" s="99" t="s">
        <v>72</v>
      </c>
      <c r="D248" s="100" t="s">
        <v>1999</v>
      </c>
      <c r="E248" s="101">
        <v>40671.832905092589</v>
      </c>
      <c r="F248" s="101"/>
      <c r="G248" s="102" t="str">
        <f>IF(stdProdLT(Main[[#This Row],[Comments]])=0.1,"N/A",IF(stdProdLT(Main[[#This Row],[Comments]])=0,"",stdProdLT(Main[[#This Row],[Comments]])))</f>
        <v/>
      </c>
      <c r="H248" s="103" t="str">
        <f>IF(AND(Main[[#This Row],[In Stock Date]]&lt;&gt;"",Main[[#This Row],[Revised Due Date]]&lt;&gt;""),Main[[#This Row],[In Stock Date]]-Main[[#This Row],[Revised Due Date]],"")</f>
        <v/>
      </c>
      <c r="I248" s="99" t="s">
        <v>2066</v>
      </c>
      <c r="J248" s="99" t="s">
        <v>28</v>
      </c>
      <c r="K248" s="108" t="s">
        <v>4</v>
      </c>
      <c r="L248" s="101"/>
      <c r="M248" s="104" t="str">
        <f>IF(Main[[#This Row],[Tech Start Date]]&lt;1/1/1990,"",IF(Main[[#This Row],[Class]]="C",WORKDAY(Main[[#This Row],[Tech Start Date]],9),IF(Main[[#This Row],[Class]]="B", WORKDAY(Main[[#This Row],[Tech Start Date]],6),IF(Main[[#This Row],[Class]]="A",WORKDAY(Main[[#This Row],[Tech Start Date]],2),""))))</f>
        <v/>
      </c>
      <c r="N248" s="104" t="str">
        <f>IF(Main[[#This Row],[Tech Start Date]]&lt;1/1/1990,"",IF(Main[[#This Row],[Class]]="C",WORKDAY(Main[[#This Row],[Tech Start Date]],19),IF(Main[[#This Row],[Class]]="B", WORKDAY(Main[[#This Row],[Tech Start Date]],12),IF(Main[[#This Row],[Class]]="A",WORKDAY(Main[[#This Row],[Tech Start Date]],4),""))))</f>
        <v/>
      </c>
      <c r="O248" s="104" t="str">
        <f>IF(Main[[#This Row],[Tech Start Date]]&lt;1/1/1990,"",IF(Main[[#This Row],[Class]]="C",WORKDAY(Main[[#This Row],[Tech Start Date]],23),IF(Main[[#This Row],[Class]]="B", WORKDAY(Main[[#This Row],[Tech Start Date]],15),IF(Main[[#This Row],[Class]]="A",WORKDAY(Main[[#This Row],[Tech Start Date]],5),""))))</f>
        <v/>
      </c>
      <c r="P248" s="104" t="str">
        <f>IF(Main[[#This Row],[Tech Start Date]]&lt;1/1/1990,"",IF(Main[[#This Row],[Class]]="C",WORKDAY(Main[[#This Row],[Tech Start Date]],28),IF(Main[[#This Row],[Class]]="B", WORKDAY(Main[[#This Row],[Tech Start Date]],19),IF(Main[[#This Row],[Class]]="A",WORKDAY(Main[[#This Row],[Tech Start Date]],9),""))))</f>
        <v/>
      </c>
      <c r="Q248" s="101"/>
      <c r="R248" s="101">
        <v>40786</v>
      </c>
      <c r="S248" s="99" t="s">
        <v>11</v>
      </c>
      <c r="T248" s="107" t="s">
        <v>2424</v>
      </c>
      <c r="U248" s="99" t="s">
        <v>7</v>
      </c>
      <c r="V248" s="99" t="s">
        <v>1977</v>
      </c>
      <c r="W248" s="99" t="s">
        <v>1966</v>
      </c>
    </row>
    <row r="249" spans="1:23" ht="18.600000000000001" customHeight="1">
      <c r="A249" s="123" t="str">
        <f>IF(priority(Main[[#This Row],[Comments]])&lt;&gt;0, priority(Main[[#This Row],[Comments]]),"")</f>
        <v/>
      </c>
      <c r="B249" s="127" t="s">
        <v>1114</v>
      </c>
      <c r="C249" s="99" t="s">
        <v>4</v>
      </c>
      <c r="D249" s="100" t="s">
        <v>133</v>
      </c>
      <c r="E249" s="101"/>
      <c r="F249" s="101">
        <v>40598</v>
      </c>
      <c r="G249" s="102" t="str">
        <f>IF(stdProdLT(Main[[#This Row],[Comments]])=0.1,"N/A",IF(stdProdLT(Main[[#This Row],[Comments]])=0,"",stdProdLT(Main[[#This Row],[Comments]])))</f>
        <v/>
      </c>
      <c r="H249" s="103" t="str">
        <f>IF(AND(Main[[#This Row],[In Stock Date]]&lt;&gt;"",Main[[#This Row],[Revised Due Date]]&lt;&gt;""),Main[[#This Row],[In Stock Date]]-Main[[#This Row],[Revised Due Date]],"")</f>
        <v/>
      </c>
      <c r="I249" s="99" t="s">
        <v>4</v>
      </c>
      <c r="J249" s="99" t="s">
        <v>4</v>
      </c>
      <c r="K249" s="108" t="s">
        <v>4</v>
      </c>
      <c r="L249" s="101"/>
      <c r="M249" s="104" t="str">
        <f>IF(Main[[#This Row],[Tech Start Date]]&lt;1/1/1990,"",IF(Main[[#This Row],[Class]]="C",WORKDAY(Main[[#This Row],[Tech Start Date]],9),IF(Main[[#This Row],[Class]]="B", WORKDAY(Main[[#This Row],[Tech Start Date]],6),IF(Main[[#This Row],[Class]]="A",WORKDAY(Main[[#This Row],[Tech Start Date]],2),""))))</f>
        <v/>
      </c>
      <c r="N249" s="104" t="str">
        <f>IF(Main[[#This Row],[Tech Start Date]]&lt;1/1/1990,"",IF(Main[[#This Row],[Class]]="C",WORKDAY(Main[[#This Row],[Tech Start Date]],19),IF(Main[[#This Row],[Class]]="B", WORKDAY(Main[[#This Row],[Tech Start Date]],12),IF(Main[[#This Row],[Class]]="A",WORKDAY(Main[[#This Row],[Tech Start Date]],4),""))))</f>
        <v/>
      </c>
      <c r="O249" s="104" t="str">
        <f>IF(Main[[#This Row],[Tech Start Date]]&lt;1/1/1990,"",IF(Main[[#This Row],[Class]]="C",WORKDAY(Main[[#This Row],[Tech Start Date]],23),IF(Main[[#This Row],[Class]]="B", WORKDAY(Main[[#This Row],[Tech Start Date]],15),IF(Main[[#This Row],[Class]]="A",WORKDAY(Main[[#This Row],[Tech Start Date]],5),""))))</f>
        <v/>
      </c>
      <c r="P249" s="104" t="str">
        <f>IF(Main[[#This Row],[Tech Start Date]]&lt;1/1/1990,"",IF(Main[[#This Row],[Class]]="C",WORKDAY(Main[[#This Row],[Tech Start Date]],28),IF(Main[[#This Row],[Class]]="B", WORKDAY(Main[[#This Row],[Tech Start Date]],19),IF(Main[[#This Row],[Class]]="A",WORKDAY(Main[[#This Row],[Tech Start Date]],9),""))))</f>
        <v/>
      </c>
      <c r="Q249" s="101">
        <v>40598</v>
      </c>
      <c r="R249" s="101"/>
      <c r="S249" s="99" t="s">
        <v>11</v>
      </c>
      <c r="T249" s="107" t="s">
        <v>4</v>
      </c>
      <c r="U249" s="99" t="s">
        <v>14</v>
      </c>
      <c r="V249" s="99" t="s">
        <v>1972</v>
      </c>
      <c r="W249" s="99" t="s">
        <v>1968</v>
      </c>
    </row>
    <row r="250" spans="1:23" ht="18.600000000000001" customHeight="1">
      <c r="A250" s="123" t="str">
        <f>IF(priority(Main[[#This Row],[Comments]])&lt;&gt;0, priority(Main[[#This Row],[Comments]]),"")</f>
        <v/>
      </c>
      <c r="B250" s="127" t="s">
        <v>1116</v>
      </c>
      <c r="C250" s="99" t="s">
        <v>4</v>
      </c>
      <c r="D250" s="100" t="s">
        <v>135</v>
      </c>
      <c r="E250" s="101">
        <v>40683.594340277778</v>
      </c>
      <c r="F250" s="101"/>
      <c r="G250" s="102" t="str">
        <f>IF(stdProdLT(Main[[#This Row],[Comments]])=0.1,"N/A",IF(stdProdLT(Main[[#This Row],[Comments]])=0,"",stdProdLT(Main[[#This Row],[Comments]])))</f>
        <v/>
      </c>
      <c r="H250" s="103" t="str">
        <f>IF(AND(Main[[#This Row],[In Stock Date]]&lt;&gt;"",Main[[#This Row],[Revised Due Date]]&lt;&gt;""),Main[[#This Row],[In Stock Date]]-Main[[#This Row],[Revised Due Date]],"")</f>
        <v/>
      </c>
      <c r="I250" s="99" t="s">
        <v>4</v>
      </c>
      <c r="J250" s="99" t="s">
        <v>4</v>
      </c>
      <c r="K250" s="99" t="s">
        <v>4</v>
      </c>
      <c r="L250" s="101"/>
      <c r="M250" s="104" t="str">
        <f>IF(Main[[#This Row],[Tech Start Date]]&lt;1/1/1990,"",IF(Main[[#This Row],[Class]]="C",WORKDAY(Main[[#This Row],[Tech Start Date]],9),IF(Main[[#This Row],[Class]]="B", WORKDAY(Main[[#This Row],[Tech Start Date]],6),IF(Main[[#This Row],[Class]]="A",WORKDAY(Main[[#This Row],[Tech Start Date]],2),""))))</f>
        <v/>
      </c>
      <c r="N250" s="104" t="str">
        <f>IF(Main[[#This Row],[Tech Start Date]]&lt;1/1/1990,"",IF(Main[[#This Row],[Class]]="C",WORKDAY(Main[[#This Row],[Tech Start Date]],19),IF(Main[[#This Row],[Class]]="B", WORKDAY(Main[[#This Row],[Tech Start Date]],12),IF(Main[[#This Row],[Class]]="A",WORKDAY(Main[[#This Row],[Tech Start Date]],4),""))))</f>
        <v/>
      </c>
      <c r="O250" s="104" t="str">
        <f>IF(Main[[#This Row],[Tech Start Date]]&lt;1/1/1990,"",IF(Main[[#This Row],[Class]]="C",WORKDAY(Main[[#This Row],[Tech Start Date]],23),IF(Main[[#This Row],[Class]]="B", WORKDAY(Main[[#This Row],[Tech Start Date]],15),IF(Main[[#This Row],[Class]]="A",WORKDAY(Main[[#This Row],[Tech Start Date]],5),""))))</f>
        <v/>
      </c>
      <c r="P250" s="104" t="str">
        <f>IF(Main[[#This Row],[Tech Start Date]]&lt;1/1/1990,"",IF(Main[[#This Row],[Class]]="C",WORKDAY(Main[[#This Row],[Tech Start Date]],28),IF(Main[[#This Row],[Class]]="B", WORKDAY(Main[[#This Row],[Tech Start Date]],19),IF(Main[[#This Row],[Class]]="A",WORKDAY(Main[[#This Row],[Tech Start Date]],9),""))))</f>
        <v/>
      </c>
      <c r="Q250" s="101">
        <v>40718</v>
      </c>
      <c r="R250" s="101"/>
      <c r="S250" s="99" t="s">
        <v>6</v>
      </c>
      <c r="T250" s="107" t="s">
        <v>4</v>
      </c>
      <c r="U250" s="99" t="s">
        <v>7</v>
      </c>
      <c r="V250" s="99" t="s">
        <v>1962</v>
      </c>
      <c r="W250" s="99" t="s">
        <v>1970</v>
      </c>
    </row>
    <row r="251" spans="1:23" ht="18.600000000000001" customHeight="1">
      <c r="A251" s="123" t="str">
        <f>IF(priority(Main[[#This Row],[Comments]])&lt;&gt;0, priority(Main[[#This Row],[Comments]]),"")</f>
        <v/>
      </c>
      <c r="B251" s="127" t="s">
        <v>1117</v>
      </c>
      <c r="C251" s="99" t="s">
        <v>4</v>
      </c>
      <c r="D251" s="100" t="s">
        <v>136</v>
      </c>
      <c r="E251" s="101">
        <v>40312.634143518517</v>
      </c>
      <c r="F251" s="101"/>
      <c r="G251" s="102" t="str">
        <f>IF(stdProdLT(Main[[#This Row],[Comments]])=0.1,"N/A",IF(stdProdLT(Main[[#This Row],[Comments]])=0,"",stdProdLT(Main[[#This Row],[Comments]])))</f>
        <v/>
      </c>
      <c r="H251" s="103" t="str">
        <f>IF(AND(Main[[#This Row],[In Stock Date]]&lt;&gt;"",Main[[#This Row],[Revised Due Date]]&lt;&gt;""),Main[[#This Row],[In Stock Date]]-Main[[#This Row],[Revised Due Date]],"")</f>
        <v/>
      </c>
      <c r="I251" s="99" t="s">
        <v>129</v>
      </c>
      <c r="J251" s="99" t="s">
        <v>4</v>
      </c>
      <c r="K251" s="99" t="s">
        <v>4</v>
      </c>
      <c r="L251" s="101"/>
      <c r="M251" s="104" t="str">
        <f>IF(Main[[#This Row],[Tech Start Date]]&lt;1/1/1990,"",IF(Main[[#This Row],[Class]]="C",WORKDAY(Main[[#This Row],[Tech Start Date]],9),IF(Main[[#This Row],[Class]]="B", WORKDAY(Main[[#This Row],[Tech Start Date]],6),IF(Main[[#This Row],[Class]]="A",WORKDAY(Main[[#This Row],[Tech Start Date]],2),""))))</f>
        <v/>
      </c>
      <c r="N251" s="104" t="str">
        <f>IF(Main[[#This Row],[Tech Start Date]]&lt;1/1/1990,"",IF(Main[[#This Row],[Class]]="C",WORKDAY(Main[[#This Row],[Tech Start Date]],19),IF(Main[[#This Row],[Class]]="B", WORKDAY(Main[[#This Row],[Tech Start Date]],12),IF(Main[[#This Row],[Class]]="A",WORKDAY(Main[[#This Row],[Tech Start Date]],4),""))))</f>
        <v/>
      </c>
      <c r="O251" s="104" t="str">
        <f>IF(Main[[#This Row],[Tech Start Date]]&lt;1/1/1990,"",IF(Main[[#This Row],[Class]]="C",WORKDAY(Main[[#This Row],[Tech Start Date]],23),IF(Main[[#This Row],[Class]]="B", WORKDAY(Main[[#This Row],[Tech Start Date]],15),IF(Main[[#This Row],[Class]]="A",WORKDAY(Main[[#This Row],[Tech Start Date]],5),""))))</f>
        <v/>
      </c>
      <c r="P251" s="104" t="str">
        <f>IF(Main[[#This Row],[Tech Start Date]]&lt;1/1/1990,"",IF(Main[[#This Row],[Class]]="C",WORKDAY(Main[[#This Row],[Tech Start Date]],28),IF(Main[[#This Row],[Class]]="B", WORKDAY(Main[[#This Row],[Tech Start Date]],19),IF(Main[[#This Row],[Class]]="A",WORKDAY(Main[[#This Row],[Tech Start Date]],9),""))))</f>
        <v/>
      </c>
      <c r="Q251" s="101">
        <v>40329</v>
      </c>
      <c r="R251" s="101"/>
      <c r="S251" s="99" t="s">
        <v>6</v>
      </c>
      <c r="T251" s="107" t="s">
        <v>4</v>
      </c>
      <c r="U251" s="99" t="s">
        <v>7</v>
      </c>
      <c r="V251" s="99" t="s">
        <v>1962</v>
      </c>
      <c r="W251" s="99" t="s">
        <v>1964</v>
      </c>
    </row>
    <row r="252" spans="1:23" ht="18.600000000000001" customHeight="1">
      <c r="A252" s="123" t="str">
        <f>IF(priority(Main[[#This Row],[Comments]])&lt;&gt;0, priority(Main[[#This Row],[Comments]]),"")</f>
        <v/>
      </c>
      <c r="B252" s="127" t="s">
        <v>1118</v>
      </c>
      <c r="C252" s="99" t="s">
        <v>4</v>
      </c>
      <c r="D252" s="100" t="s">
        <v>97</v>
      </c>
      <c r="E252" s="101"/>
      <c r="F252" s="101"/>
      <c r="G252" s="102" t="str">
        <f>IF(stdProdLT(Main[[#This Row],[Comments]])=0.1,"N/A",IF(stdProdLT(Main[[#This Row],[Comments]])=0,"",stdProdLT(Main[[#This Row],[Comments]])))</f>
        <v/>
      </c>
      <c r="H252" s="103" t="str">
        <f>IF(AND(Main[[#This Row],[In Stock Date]]&lt;&gt;"",Main[[#This Row],[Revised Due Date]]&lt;&gt;""),Main[[#This Row],[In Stock Date]]-Main[[#This Row],[Revised Due Date]],"")</f>
        <v/>
      </c>
      <c r="I252" s="99" t="s">
        <v>4</v>
      </c>
      <c r="J252" s="99" t="s">
        <v>4</v>
      </c>
      <c r="K252" s="108" t="s">
        <v>4</v>
      </c>
      <c r="L252" s="101"/>
      <c r="M252" s="104" t="str">
        <f>IF(Main[[#This Row],[Tech Start Date]]&lt;1/1/1990,"",IF(Main[[#This Row],[Class]]="C",WORKDAY(Main[[#This Row],[Tech Start Date]],9),IF(Main[[#This Row],[Class]]="B", WORKDAY(Main[[#This Row],[Tech Start Date]],6),IF(Main[[#This Row],[Class]]="A",WORKDAY(Main[[#This Row],[Tech Start Date]],2),""))))</f>
        <v/>
      </c>
      <c r="N252" s="104" t="str">
        <f>IF(Main[[#This Row],[Tech Start Date]]&lt;1/1/1990,"",IF(Main[[#This Row],[Class]]="C",WORKDAY(Main[[#This Row],[Tech Start Date]],19),IF(Main[[#This Row],[Class]]="B", WORKDAY(Main[[#This Row],[Tech Start Date]],12),IF(Main[[#This Row],[Class]]="A",WORKDAY(Main[[#This Row],[Tech Start Date]],4),""))))</f>
        <v/>
      </c>
      <c r="O252" s="104" t="str">
        <f>IF(Main[[#This Row],[Tech Start Date]]&lt;1/1/1990,"",IF(Main[[#This Row],[Class]]="C",WORKDAY(Main[[#This Row],[Tech Start Date]],23),IF(Main[[#This Row],[Class]]="B", WORKDAY(Main[[#This Row],[Tech Start Date]],15),IF(Main[[#This Row],[Class]]="A",WORKDAY(Main[[#This Row],[Tech Start Date]],5),""))))</f>
        <v/>
      </c>
      <c r="P252" s="104" t="str">
        <f>IF(Main[[#This Row],[Tech Start Date]]&lt;1/1/1990,"",IF(Main[[#This Row],[Class]]="C",WORKDAY(Main[[#This Row],[Tech Start Date]],28),IF(Main[[#This Row],[Class]]="B", WORKDAY(Main[[#This Row],[Tech Start Date]],19),IF(Main[[#This Row],[Class]]="A",WORKDAY(Main[[#This Row],[Tech Start Date]],9),""))))</f>
        <v/>
      </c>
      <c r="Q252" s="101">
        <v>40858</v>
      </c>
      <c r="R252" s="101"/>
      <c r="S252" s="99" t="s">
        <v>17</v>
      </c>
      <c r="T252" s="107" t="s">
        <v>4</v>
      </c>
      <c r="U252" s="99" t="s">
        <v>14</v>
      </c>
      <c r="V252" s="99" t="s">
        <v>1962</v>
      </c>
      <c r="W252" s="99" t="s">
        <v>1967</v>
      </c>
    </row>
    <row r="253" spans="1:23" ht="18.600000000000001" customHeight="1">
      <c r="A253" s="123" t="str">
        <f>IF(priority(Main[[#This Row],[Comments]])&lt;&gt;0, priority(Main[[#This Row],[Comments]]),"")</f>
        <v/>
      </c>
      <c r="B253" s="127" t="s">
        <v>1709</v>
      </c>
      <c r="C253" s="99" t="s">
        <v>4</v>
      </c>
      <c r="D253" s="100" t="s">
        <v>742</v>
      </c>
      <c r="E253" s="101"/>
      <c r="F253" s="101"/>
      <c r="G253" s="102" t="str">
        <f>IF(stdProdLT(Main[[#This Row],[Comments]])=0.1,"N/A",IF(stdProdLT(Main[[#This Row],[Comments]])=0,"",stdProdLT(Main[[#This Row],[Comments]])))</f>
        <v/>
      </c>
      <c r="H253" s="103" t="str">
        <f>IF(AND(Main[[#This Row],[In Stock Date]]&lt;&gt;"",Main[[#This Row],[Revised Due Date]]&lt;&gt;""),Main[[#This Row],[In Stock Date]]-Main[[#This Row],[Revised Due Date]],"")</f>
        <v/>
      </c>
      <c r="I253" s="99" t="s">
        <v>4</v>
      </c>
      <c r="J253" s="99" t="s">
        <v>4</v>
      </c>
      <c r="K253" s="108" t="s">
        <v>4</v>
      </c>
      <c r="L253" s="101"/>
      <c r="M253" s="104" t="str">
        <f>IF(Main[[#This Row],[Tech Start Date]]&lt;1/1/1990,"",IF(Main[[#This Row],[Class]]="C",WORKDAY(Main[[#This Row],[Tech Start Date]],9),IF(Main[[#This Row],[Class]]="B", WORKDAY(Main[[#This Row],[Tech Start Date]],6),IF(Main[[#This Row],[Class]]="A",WORKDAY(Main[[#This Row],[Tech Start Date]],2),""))))</f>
        <v/>
      </c>
      <c r="N253" s="104" t="str">
        <f>IF(Main[[#This Row],[Tech Start Date]]&lt;1/1/1990,"",IF(Main[[#This Row],[Class]]="C",WORKDAY(Main[[#This Row],[Tech Start Date]],19),IF(Main[[#This Row],[Class]]="B", WORKDAY(Main[[#This Row],[Tech Start Date]],12),IF(Main[[#This Row],[Class]]="A",WORKDAY(Main[[#This Row],[Tech Start Date]],4),""))))</f>
        <v/>
      </c>
      <c r="O253" s="104" t="str">
        <f>IF(Main[[#This Row],[Tech Start Date]]&lt;1/1/1990,"",IF(Main[[#This Row],[Class]]="C",WORKDAY(Main[[#This Row],[Tech Start Date]],23),IF(Main[[#This Row],[Class]]="B", WORKDAY(Main[[#This Row],[Tech Start Date]],15),IF(Main[[#This Row],[Class]]="A",WORKDAY(Main[[#This Row],[Tech Start Date]],5),""))))</f>
        <v/>
      </c>
      <c r="P253" s="104" t="str">
        <f>IF(Main[[#This Row],[Tech Start Date]]&lt;1/1/1990,"",IF(Main[[#This Row],[Class]]="C",WORKDAY(Main[[#This Row],[Tech Start Date]],28),IF(Main[[#This Row],[Class]]="B", WORKDAY(Main[[#This Row],[Tech Start Date]],19),IF(Main[[#This Row],[Class]]="A",WORKDAY(Main[[#This Row],[Tech Start Date]],9),""))))</f>
        <v/>
      </c>
      <c r="Q253" s="101"/>
      <c r="R253" s="101"/>
      <c r="S253" s="99" t="s">
        <v>23</v>
      </c>
      <c r="T253" s="107" t="s">
        <v>4</v>
      </c>
      <c r="U253" s="99" t="s">
        <v>14</v>
      </c>
      <c r="V253" s="99" t="s">
        <v>1962</v>
      </c>
      <c r="W253" s="99" t="s">
        <v>1966</v>
      </c>
    </row>
    <row r="254" spans="1:23" ht="18.600000000000001" customHeight="1">
      <c r="A254" s="123" t="str">
        <f>IF(priority(Main[[#This Row],[Comments]])&lt;&gt;0, priority(Main[[#This Row],[Comments]]),"")</f>
        <v/>
      </c>
      <c r="B254" s="127" t="s">
        <v>1119</v>
      </c>
      <c r="C254" s="99" t="s">
        <v>113</v>
      </c>
      <c r="D254" s="100" t="s">
        <v>137</v>
      </c>
      <c r="E254" s="101"/>
      <c r="F254" s="101"/>
      <c r="G254" s="102" t="str">
        <f>IF(stdProdLT(Main[[#This Row],[Comments]])=0.1,"N/A",IF(stdProdLT(Main[[#This Row],[Comments]])=0,"",stdProdLT(Main[[#This Row],[Comments]])))</f>
        <v/>
      </c>
      <c r="H254" s="103" t="str">
        <f>IF(AND(Main[[#This Row],[In Stock Date]]&lt;&gt;"",Main[[#This Row],[Revised Due Date]]&lt;&gt;""),Main[[#This Row],[In Stock Date]]-Main[[#This Row],[Revised Due Date]],"")</f>
        <v/>
      </c>
      <c r="I254" s="99" t="s">
        <v>4</v>
      </c>
      <c r="J254" s="99" t="s">
        <v>4</v>
      </c>
      <c r="K254" s="99" t="s">
        <v>4</v>
      </c>
      <c r="L254" s="101"/>
      <c r="M254" s="104" t="str">
        <f>IF(Main[[#This Row],[Tech Start Date]]&lt;1/1/1990,"",IF(Main[[#This Row],[Class]]="C",WORKDAY(Main[[#This Row],[Tech Start Date]],9),IF(Main[[#This Row],[Class]]="B", WORKDAY(Main[[#This Row],[Tech Start Date]],6),IF(Main[[#This Row],[Class]]="A",WORKDAY(Main[[#This Row],[Tech Start Date]],2),""))))</f>
        <v/>
      </c>
      <c r="N254" s="104" t="str">
        <f>IF(Main[[#This Row],[Tech Start Date]]&lt;1/1/1990,"",IF(Main[[#This Row],[Class]]="C",WORKDAY(Main[[#This Row],[Tech Start Date]],19),IF(Main[[#This Row],[Class]]="B", WORKDAY(Main[[#This Row],[Tech Start Date]],12),IF(Main[[#This Row],[Class]]="A",WORKDAY(Main[[#This Row],[Tech Start Date]],4),""))))</f>
        <v/>
      </c>
      <c r="O254" s="104" t="str">
        <f>IF(Main[[#This Row],[Tech Start Date]]&lt;1/1/1990,"",IF(Main[[#This Row],[Class]]="C",WORKDAY(Main[[#This Row],[Tech Start Date]],23),IF(Main[[#This Row],[Class]]="B", WORKDAY(Main[[#This Row],[Tech Start Date]],15),IF(Main[[#This Row],[Class]]="A",WORKDAY(Main[[#This Row],[Tech Start Date]],5),""))))</f>
        <v/>
      </c>
      <c r="P254" s="104" t="str">
        <f>IF(Main[[#This Row],[Tech Start Date]]&lt;1/1/1990,"",IF(Main[[#This Row],[Class]]="C",WORKDAY(Main[[#This Row],[Tech Start Date]],28),IF(Main[[#This Row],[Class]]="B", WORKDAY(Main[[#This Row],[Tech Start Date]],19),IF(Main[[#This Row],[Class]]="A",WORKDAY(Main[[#This Row],[Tech Start Date]],9),""))))</f>
        <v/>
      </c>
      <c r="Q254" s="101">
        <v>40641</v>
      </c>
      <c r="R254" s="101"/>
      <c r="S254" s="99" t="s">
        <v>11</v>
      </c>
      <c r="T254" s="107" t="s">
        <v>4</v>
      </c>
      <c r="U254" s="99" t="s">
        <v>14</v>
      </c>
      <c r="V254" s="99" t="s">
        <v>1962</v>
      </c>
      <c r="W254" s="99" t="s">
        <v>1970</v>
      </c>
    </row>
    <row r="255" spans="1:23" ht="18.600000000000001" customHeight="1">
      <c r="A255" s="123" t="str">
        <f>IF(priority(Main[[#This Row],[Comments]])&lt;&gt;0, priority(Main[[#This Row],[Comments]]),"")</f>
        <v/>
      </c>
      <c r="B255" s="127" t="s">
        <v>1120</v>
      </c>
      <c r="C255" s="99" t="s">
        <v>138</v>
      </c>
      <c r="D255" s="100" t="s">
        <v>139</v>
      </c>
      <c r="E255" s="101"/>
      <c r="F255" s="101"/>
      <c r="G255" s="102" t="str">
        <f>IF(stdProdLT(Main[[#This Row],[Comments]])=0.1,"N/A",IF(stdProdLT(Main[[#This Row],[Comments]])=0,"",stdProdLT(Main[[#This Row],[Comments]])))</f>
        <v/>
      </c>
      <c r="H255" s="103" t="str">
        <f>IF(AND(Main[[#This Row],[In Stock Date]]&lt;&gt;"",Main[[#This Row],[Revised Due Date]]&lt;&gt;""),Main[[#This Row],[In Stock Date]]-Main[[#This Row],[Revised Due Date]],"")</f>
        <v/>
      </c>
      <c r="I255" s="99" t="s">
        <v>4</v>
      </c>
      <c r="J255" s="99" t="s">
        <v>4</v>
      </c>
      <c r="K255" s="99" t="s">
        <v>4</v>
      </c>
      <c r="L255" s="101"/>
      <c r="M255" s="104" t="str">
        <f>IF(Main[[#This Row],[Tech Start Date]]&lt;1/1/1990,"",IF(Main[[#This Row],[Class]]="C",WORKDAY(Main[[#This Row],[Tech Start Date]],9),IF(Main[[#This Row],[Class]]="B", WORKDAY(Main[[#This Row],[Tech Start Date]],6),IF(Main[[#This Row],[Class]]="A",WORKDAY(Main[[#This Row],[Tech Start Date]],2),""))))</f>
        <v/>
      </c>
      <c r="N255" s="104" t="str">
        <f>IF(Main[[#This Row],[Tech Start Date]]&lt;1/1/1990,"",IF(Main[[#This Row],[Class]]="C",WORKDAY(Main[[#This Row],[Tech Start Date]],19),IF(Main[[#This Row],[Class]]="B", WORKDAY(Main[[#This Row],[Tech Start Date]],12),IF(Main[[#This Row],[Class]]="A",WORKDAY(Main[[#This Row],[Tech Start Date]],4),""))))</f>
        <v/>
      </c>
      <c r="O255" s="104" t="str">
        <f>IF(Main[[#This Row],[Tech Start Date]]&lt;1/1/1990,"",IF(Main[[#This Row],[Class]]="C",WORKDAY(Main[[#This Row],[Tech Start Date]],23),IF(Main[[#This Row],[Class]]="B", WORKDAY(Main[[#This Row],[Tech Start Date]],15),IF(Main[[#This Row],[Class]]="A",WORKDAY(Main[[#This Row],[Tech Start Date]],5),""))))</f>
        <v/>
      </c>
      <c r="P255" s="104" t="str">
        <f>IF(Main[[#This Row],[Tech Start Date]]&lt;1/1/1990,"",IF(Main[[#This Row],[Class]]="C",WORKDAY(Main[[#This Row],[Tech Start Date]],28),IF(Main[[#This Row],[Class]]="B", WORKDAY(Main[[#This Row],[Tech Start Date]],19),IF(Main[[#This Row],[Class]]="A",WORKDAY(Main[[#This Row],[Tech Start Date]],9),""))))</f>
        <v/>
      </c>
      <c r="Q255" s="101">
        <v>40641</v>
      </c>
      <c r="R255" s="101"/>
      <c r="S255" s="99" t="s">
        <v>11</v>
      </c>
      <c r="T255" s="107" t="s">
        <v>4</v>
      </c>
      <c r="U255" s="99" t="s">
        <v>14</v>
      </c>
      <c r="V255" s="99" t="s">
        <v>1962</v>
      </c>
      <c r="W255" s="99" t="s">
        <v>1970</v>
      </c>
    </row>
    <row r="256" spans="1:23" ht="18.600000000000001" customHeight="1">
      <c r="A256" s="123" t="str">
        <f>IF(priority(Main[[#This Row],[Comments]])&lt;&gt;0, priority(Main[[#This Row],[Comments]]),"")</f>
        <v/>
      </c>
      <c r="B256" s="127" t="s">
        <v>1122</v>
      </c>
      <c r="C256" s="99" t="s">
        <v>33</v>
      </c>
      <c r="D256" s="100" t="s">
        <v>140</v>
      </c>
      <c r="E256" s="101"/>
      <c r="F256" s="101"/>
      <c r="G256" s="102" t="str">
        <f>IF(stdProdLT(Main[[#This Row],[Comments]])=0.1,"N/A",IF(stdProdLT(Main[[#This Row],[Comments]])=0,"",stdProdLT(Main[[#This Row],[Comments]])))</f>
        <v/>
      </c>
      <c r="H256" s="103" t="str">
        <f>IF(AND(Main[[#This Row],[In Stock Date]]&lt;&gt;"",Main[[#This Row],[Revised Due Date]]&lt;&gt;""),Main[[#This Row],[In Stock Date]]-Main[[#This Row],[Revised Due Date]],"")</f>
        <v/>
      </c>
      <c r="I256" s="99" t="s">
        <v>4</v>
      </c>
      <c r="J256" s="99" t="s">
        <v>4</v>
      </c>
      <c r="K256" s="108" t="s">
        <v>4</v>
      </c>
      <c r="L256" s="101"/>
      <c r="M256" s="104" t="str">
        <f>IF(Main[[#This Row],[Tech Start Date]]&lt;1/1/1990,"",IF(Main[[#This Row],[Class]]="C",WORKDAY(Main[[#This Row],[Tech Start Date]],9),IF(Main[[#This Row],[Class]]="B", WORKDAY(Main[[#This Row],[Tech Start Date]],6),IF(Main[[#This Row],[Class]]="A",WORKDAY(Main[[#This Row],[Tech Start Date]],2),""))))</f>
        <v/>
      </c>
      <c r="N256" s="104" t="str">
        <f>IF(Main[[#This Row],[Tech Start Date]]&lt;1/1/1990,"",IF(Main[[#This Row],[Class]]="C",WORKDAY(Main[[#This Row],[Tech Start Date]],19),IF(Main[[#This Row],[Class]]="B", WORKDAY(Main[[#This Row],[Tech Start Date]],12),IF(Main[[#This Row],[Class]]="A",WORKDAY(Main[[#This Row],[Tech Start Date]],4),""))))</f>
        <v/>
      </c>
      <c r="O256" s="104" t="str">
        <f>IF(Main[[#This Row],[Tech Start Date]]&lt;1/1/1990,"",IF(Main[[#This Row],[Class]]="C",WORKDAY(Main[[#This Row],[Tech Start Date]],23),IF(Main[[#This Row],[Class]]="B", WORKDAY(Main[[#This Row],[Tech Start Date]],15),IF(Main[[#This Row],[Class]]="A",WORKDAY(Main[[#This Row],[Tech Start Date]],5),""))))</f>
        <v/>
      </c>
      <c r="P256" s="104" t="str">
        <f>IF(Main[[#This Row],[Tech Start Date]]&lt;1/1/1990,"",IF(Main[[#This Row],[Class]]="C",WORKDAY(Main[[#This Row],[Tech Start Date]],28),IF(Main[[#This Row],[Class]]="B", WORKDAY(Main[[#This Row],[Tech Start Date]],19),IF(Main[[#This Row],[Class]]="A",WORKDAY(Main[[#This Row],[Tech Start Date]],9),""))))</f>
        <v/>
      </c>
      <c r="Q256" s="101"/>
      <c r="R256" s="101"/>
      <c r="S256" s="99" t="s">
        <v>11</v>
      </c>
      <c r="T256" s="107" t="s">
        <v>4</v>
      </c>
      <c r="U256" s="99" t="s">
        <v>14</v>
      </c>
      <c r="V256" s="99" t="s">
        <v>1963</v>
      </c>
      <c r="W256" s="99" t="s">
        <v>1970</v>
      </c>
    </row>
    <row r="257" spans="1:23" ht="18.600000000000001" customHeight="1">
      <c r="A257" s="123" t="str">
        <f>IF(priority(Main[[#This Row],[Comments]])&lt;&gt;0, priority(Main[[#This Row],[Comments]]),"")</f>
        <v/>
      </c>
      <c r="B257" s="127" t="s">
        <v>1123</v>
      </c>
      <c r="C257" s="99" t="s">
        <v>4</v>
      </c>
      <c r="D257" s="100" t="s">
        <v>141</v>
      </c>
      <c r="E257" s="101">
        <v>40436.663981481484</v>
      </c>
      <c r="F257" s="101"/>
      <c r="G257" s="102" t="str">
        <f>IF(stdProdLT(Main[[#This Row],[Comments]])=0.1,"N/A",IF(stdProdLT(Main[[#This Row],[Comments]])=0,"",stdProdLT(Main[[#This Row],[Comments]])))</f>
        <v/>
      </c>
      <c r="H257" s="103" t="str">
        <f>IF(AND(Main[[#This Row],[In Stock Date]]&lt;&gt;"",Main[[#This Row],[Revised Due Date]]&lt;&gt;""),Main[[#This Row],[In Stock Date]]-Main[[#This Row],[Revised Due Date]],"")</f>
        <v/>
      </c>
      <c r="I257" s="99" t="s">
        <v>4</v>
      </c>
      <c r="J257" s="99" t="s">
        <v>4</v>
      </c>
      <c r="K257" s="108" t="s">
        <v>4</v>
      </c>
      <c r="L257" s="101"/>
      <c r="M257" s="104" t="str">
        <f>IF(Main[[#This Row],[Tech Start Date]]&lt;1/1/1990,"",IF(Main[[#This Row],[Class]]="C",WORKDAY(Main[[#This Row],[Tech Start Date]],9),IF(Main[[#This Row],[Class]]="B", WORKDAY(Main[[#This Row],[Tech Start Date]],6),IF(Main[[#This Row],[Class]]="A",WORKDAY(Main[[#This Row],[Tech Start Date]],2),""))))</f>
        <v/>
      </c>
      <c r="N257" s="104" t="str">
        <f>IF(Main[[#This Row],[Tech Start Date]]&lt;1/1/1990,"",IF(Main[[#This Row],[Class]]="C",WORKDAY(Main[[#This Row],[Tech Start Date]],19),IF(Main[[#This Row],[Class]]="B", WORKDAY(Main[[#This Row],[Tech Start Date]],12),IF(Main[[#This Row],[Class]]="A",WORKDAY(Main[[#This Row],[Tech Start Date]],4),""))))</f>
        <v/>
      </c>
      <c r="O257" s="104" t="str">
        <f>IF(Main[[#This Row],[Tech Start Date]]&lt;1/1/1990,"",IF(Main[[#This Row],[Class]]="C",WORKDAY(Main[[#This Row],[Tech Start Date]],23),IF(Main[[#This Row],[Class]]="B", WORKDAY(Main[[#This Row],[Tech Start Date]],15),IF(Main[[#This Row],[Class]]="A",WORKDAY(Main[[#This Row],[Tech Start Date]],5),""))))</f>
        <v/>
      </c>
      <c r="P257" s="104" t="str">
        <f>IF(Main[[#This Row],[Tech Start Date]]&lt;1/1/1990,"",IF(Main[[#This Row],[Class]]="C",WORKDAY(Main[[#This Row],[Tech Start Date]],28),IF(Main[[#This Row],[Class]]="B", WORKDAY(Main[[#This Row],[Tech Start Date]],19),IF(Main[[#This Row],[Class]]="A",WORKDAY(Main[[#This Row],[Tech Start Date]],9),""))))</f>
        <v/>
      </c>
      <c r="Q257" s="101"/>
      <c r="R257" s="101"/>
      <c r="S257" s="99" t="s">
        <v>17</v>
      </c>
      <c r="T257" s="107" t="s">
        <v>142</v>
      </c>
      <c r="U257" s="99" t="s">
        <v>7</v>
      </c>
      <c r="V257" s="99" t="s">
        <v>1963</v>
      </c>
      <c r="W257" s="99" t="s">
        <v>1970</v>
      </c>
    </row>
    <row r="258" spans="1:23" ht="18.600000000000001" customHeight="1">
      <c r="A258" s="123" t="str">
        <f>IF(priority(Main[[#This Row],[Comments]])&lt;&gt;0, priority(Main[[#This Row],[Comments]]),"")</f>
        <v/>
      </c>
      <c r="B258" s="127" t="s">
        <v>1141</v>
      </c>
      <c r="C258" s="99" t="s">
        <v>4</v>
      </c>
      <c r="D258" s="100" t="s">
        <v>155</v>
      </c>
      <c r="E258" s="101"/>
      <c r="F258" s="101"/>
      <c r="G258" s="102" t="str">
        <f>IF(stdProdLT(Main[[#This Row],[Comments]])=0.1,"N/A",IF(stdProdLT(Main[[#This Row],[Comments]])=0,"",stdProdLT(Main[[#This Row],[Comments]])))</f>
        <v/>
      </c>
      <c r="H258" s="103" t="str">
        <f>IF(AND(Main[[#This Row],[In Stock Date]]&lt;&gt;"",Main[[#This Row],[Revised Due Date]]&lt;&gt;""),Main[[#This Row],[In Stock Date]]-Main[[#This Row],[Revised Due Date]],"")</f>
        <v/>
      </c>
      <c r="I258" s="99" t="s">
        <v>4</v>
      </c>
      <c r="J258" s="99" t="s">
        <v>4</v>
      </c>
      <c r="K258" s="99" t="s">
        <v>4</v>
      </c>
      <c r="L258" s="101"/>
      <c r="M258" s="104" t="str">
        <f>IF(Main[[#This Row],[Tech Start Date]]&lt;1/1/1990,"",IF(Main[[#This Row],[Class]]="C",WORKDAY(Main[[#This Row],[Tech Start Date]],9),IF(Main[[#This Row],[Class]]="B", WORKDAY(Main[[#This Row],[Tech Start Date]],6),IF(Main[[#This Row],[Class]]="A",WORKDAY(Main[[#This Row],[Tech Start Date]],2),""))))</f>
        <v/>
      </c>
      <c r="N258" s="104" t="str">
        <f>IF(Main[[#This Row],[Tech Start Date]]&lt;1/1/1990,"",IF(Main[[#This Row],[Class]]="C",WORKDAY(Main[[#This Row],[Tech Start Date]],19),IF(Main[[#This Row],[Class]]="B", WORKDAY(Main[[#This Row],[Tech Start Date]],12),IF(Main[[#This Row],[Class]]="A",WORKDAY(Main[[#This Row],[Tech Start Date]],4),""))))</f>
        <v/>
      </c>
      <c r="O258" s="104" t="str">
        <f>IF(Main[[#This Row],[Tech Start Date]]&lt;1/1/1990,"",IF(Main[[#This Row],[Class]]="C",WORKDAY(Main[[#This Row],[Tech Start Date]],23),IF(Main[[#This Row],[Class]]="B", WORKDAY(Main[[#This Row],[Tech Start Date]],15),IF(Main[[#This Row],[Class]]="A",WORKDAY(Main[[#This Row],[Tech Start Date]],5),""))))</f>
        <v/>
      </c>
      <c r="P258" s="104" t="str">
        <f>IF(Main[[#This Row],[Tech Start Date]]&lt;1/1/1990,"",IF(Main[[#This Row],[Class]]="C",WORKDAY(Main[[#This Row],[Tech Start Date]],28),IF(Main[[#This Row],[Class]]="B", WORKDAY(Main[[#This Row],[Tech Start Date]],19),IF(Main[[#This Row],[Class]]="A",WORKDAY(Main[[#This Row],[Tech Start Date]],9),""))))</f>
        <v/>
      </c>
      <c r="Q258" s="101">
        <v>40619</v>
      </c>
      <c r="R258" s="101"/>
      <c r="S258" s="99" t="s">
        <v>49</v>
      </c>
      <c r="T258" s="107" t="s">
        <v>4</v>
      </c>
      <c r="U258" s="99" t="s">
        <v>12</v>
      </c>
      <c r="V258" s="99" t="s">
        <v>1965</v>
      </c>
      <c r="W258" s="99" t="s">
        <v>1970</v>
      </c>
    </row>
    <row r="259" spans="1:23" ht="18.600000000000001" customHeight="1">
      <c r="A259" s="123" t="str">
        <f>IF(priority(Main[[#This Row],[Comments]])&lt;&gt;0, priority(Main[[#This Row],[Comments]]),"")</f>
        <v/>
      </c>
      <c r="B259" s="127" t="s">
        <v>1534</v>
      </c>
      <c r="C259" s="99" t="s">
        <v>93</v>
      </c>
      <c r="D259" s="100" t="s">
        <v>606</v>
      </c>
      <c r="E259" s="101">
        <v>40016.655266203707</v>
      </c>
      <c r="F259" s="101"/>
      <c r="G259" s="102" t="str">
        <f>IF(stdProdLT(Main[[#This Row],[Comments]])=0.1,"N/A",IF(stdProdLT(Main[[#This Row],[Comments]])=0,"",stdProdLT(Main[[#This Row],[Comments]])))</f>
        <v/>
      </c>
      <c r="H259" s="103" t="str">
        <f>IF(AND(Main[[#This Row],[In Stock Date]]&lt;&gt;"",Main[[#This Row],[Revised Due Date]]&lt;&gt;""),Main[[#This Row],[In Stock Date]]-Main[[#This Row],[Revised Due Date]],"")</f>
        <v/>
      </c>
      <c r="I259" s="99" t="s">
        <v>4</v>
      </c>
      <c r="J259" s="99" t="s">
        <v>4</v>
      </c>
      <c r="K259" s="99" t="s">
        <v>4</v>
      </c>
      <c r="L259" s="101"/>
      <c r="M259" s="104" t="str">
        <f>IF(Main[[#This Row],[Tech Start Date]]&lt;1/1/1990,"",IF(Main[[#This Row],[Class]]="C",WORKDAY(Main[[#This Row],[Tech Start Date]],9),IF(Main[[#This Row],[Class]]="B", WORKDAY(Main[[#This Row],[Tech Start Date]],6),IF(Main[[#This Row],[Class]]="A",WORKDAY(Main[[#This Row],[Tech Start Date]],2),""))))</f>
        <v/>
      </c>
      <c r="N259" s="104" t="str">
        <f>IF(Main[[#This Row],[Tech Start Date]]&lt;1/1/1990,"",IF(Main[[#This Row],[Class]]="C",WORKDAY(Main[[#This Row],[Tech Start Date]],19),IF(Main[[#This Row],[Class]]="B", WORKDAY(Main[[#This Row],[Tech Start Date]],12),IF(Main[[#This Row],[Class]]="A",WORKDAY(Main[[#This Row],[Tech Start Date]],4),""))))</f>
        <v/>
      </c>
      <c r="O259" s="104" t="str">
        <f>IF(Main[[#This Row],[Tech Start Date]]&lt;1/1/1990,"",IF(Main[[#This Row],[Class]]="C",WORKDAY(Main[[#This Row],[Tech Start Date]],23),IF(Main[[#This Row],[Class]]="B", WORKDAY(Main[[#This Row],[Tech Start Date]],15),IF(Main[[#This Row],[Class]]="A",WORKDAY(Main[[#This Row],[Tech Start Date]],5),""))))</f>
        <v/>
      </c>
      <c r="P259" s="104" t="str">
        <f>IF(Main[[#This Row],[Tech Start Date]]&lt;1/1/1990,"",IF(Main[[#This Row],[Class]]="C",WORKDAY(Main[[#This Row],[Tech Start Date]],28),IF(Main[[#This Row],[Class]]="B", WORKDAY(Main[[#This Row],[Tech Start Date]],19),IF(Main[[#This Row],[Class]]="A",WORKDAY(Main[[#This Row],[Tech Start Date]],9),""))))</f>
        <v/>
      </c>
      <c r="Q259" s="101"/>
      <c r="R259" s="101"/>
      <c r="S259" s="99" t="s">
        <v>17</v>
      </c>
      <c r="T259" s="107" t="s">
        <v>4</v>
      </c>
      <c r="U259" s="99" t="s">
        <v>29</v>
      </c>
      <c r="V259" s="99" t="s">
        <v>1965</v>
      </c>
      <c r="W259" s="99" t="s">
        <v>1968</v>
      </c>
    </row>
    <row r="260" spans="1:23" ht="18.600000000000001" customHeight="1">
      <c r="A260" s="123" t="str">
        <f>IF(priority(Main[[#This Row],[Comments]])&lt;&gt;0, priority(Main[[#This Row],[Comments]]),"")</f>
        <v/>
      </c>
      <c r="B260" s="127" t="s">
        <v>1715</v>
      </c>
      <c r="C260" s="99" t="s">
        <v>4</v>
      </c>
      <c r="D260" s="100" t="s">
        <v>746</v>
      </c>
      <c r="E260" s="101">
        <v>40618.366238425922</v>
      </c>
      <c r="F260" s="101"/>
      <c r="G260" s="102" t="str">
        <f>IF(stdProdLT(Main[[#This Row],[Comments]])=0.1,"N/A",IF(stdProdLT(Main[[#This Row],[Comments]])=0,"",stdProdLT(Main[[#This Row],[Comments]])))</f>
        <v/>
      </c>
      <c r="H260" s="103" t="str">
        <f>IF(AND(Main[[#This Row],[In Stock Date]]&lt;&gt;"",Main[[#This Row],[Revised Due Date]]&lt;&gt;""),Main[[#This Row],[In Stock Date]]-Main[[#This Row],[Revised Due Date]],"")</f>
        <v/>
      </c>
      <c r="I260" s="99" t="s">
        <v>30</v>
      </c>
      <c r="J260" s="99" t="s">
        <v>28</v>
      </c>
      <c r="K260" s="108" t="s">
        <v>1971</v>
      </c>
      <c r="L260" s="101"/>
      <c r="M260" s="104" t="str">
        <f>IF(Main[[#This Row],[Tech Start Date]]&lt;1/1/1990,"",IF(Main[[#This Row],[Class]]="C",WORKDAY(Main[[#This Row],[Tech Start Date]],9),IF(Main[[#This Row],[Class]]="B", WORKDAY(Main[[#This Row],[Tech Start Date]],6),IF(Main[[#This Row],[Class]]="A",WORKDAY(Main[[#This Row],[Tech Start Date]],2),""))))</f>
        <v/>
      </c>
      <c r="N260" s="104" t="str">
        <f>IF(Main[[#This Row],[Tech Start Date]]&lt;1/1/1990,"",IF(Main[[#This Row],[Class]]="C",WORKDAY(Main[[#This Row],[Tech Start Date]],19),IF(Main[[#This Row],[Class]]="B", WORKDAY(Main[[#This Row],[Tech Start Date]],12),IF(Main[[#This Row],[Class]]="A",WORKDAY(Main[[#This Row],[Tech Start Date]],4),""))))</f>
        <v/>
      </c>
      <c r="O260" s="104" t="str">
        <f>IF(Main[[#This Row],[Tech Start Date]]&lt;1/1/1990,"",IF(Main[[#This Row],[Class]]="C",WORKDAY(Main[[#This Row],[Tech Start Date]],23),IF(Main[[#This Row],[Class]]="B", WORKDAY(Main[[#This Row],[Tech Start Date]],15),IF(Main[[#This Row],[Class]]="A",WORKDAY(Main[[#This Row],[Tech Start Date]],5),""))))</f>
        <v/>
      </c>
      <c r="P260" s="104" t="str">
        <f>IF(Main[[#This Row],[Tech Start Date]]&lt;1/1/1990,"",IF(Main[[#This Row],[Class]]="C",WORKDAY(Main[[#This Row],[Tech Start Date]],28),IF(Main[[#This Row],[Class]]="B", WORKDAY(Main[[#This Row],[Tech Start Date]],19),IF(Main[[#This Row],[Class]]="A",WORKDAY(Main[[#This Row],[Tech Start Date]],9),""))))</f>
        <v/>
      </c>
      <c r="Q260" s="101"/>
      <c r="R260" s="101"/>
      <c r="S260" s="99" t="s">
        <v>6</v>
      </c>
      <c r="T260" s="107" t="s">
        <v>4</v>
      </c>
      <c r="U260" s="99" t="s">
        <v>29</v>
      </c>
      <c r="V260" s="99" t="s">
        <v>1965</v>
      </c>
      <c r="W260" s="99" t="s">
        <v>1964</v>
      </c>
    </row>
    <row r="261" spans="1:23" ht="18.600000000000001" customHeight="1">
      <c r="A261" s="123" t="str">
        <f>IF(priority(Main[[#This Row],[Comments]])&lt;&gt;0, priority(Main[[#This Row],[Comments]]),"")</f>
        <v/>
      </c>
      <c r="B261" s="127" t="s">
        <v>2130</v>
      </c>
      <c r="C261" s="99" t="s">
        <v>4</v>
      </c>
      <c r="D261" s="100" t="s">
        <v>2131</v>
      </c>
      <c r="E261" s="101"/>
      <c r="F261" s="101"/>
      <c r="G261" s="102" t="str">
        <f>IF(stdProdLT(Main[[#This Row],[Comments]])=0.1,"N/A",IF(stdProdLT(Main[[#This Row],[Comments]])=0,"",stdProdLT(Main[[#This Row],[Comments]])))</f>
        <v/>
      </c>
      <c r="H261" s="103" t="str">
        <f>IF(AND(Main[[#This Row],[In Stock Date]]&lt;&gt;"",Main[[#This Row],[Revised Due Date]]&lt;&gt;""),Main[[#This Row],[In Stock Date]]-Main[[#This Row],[Revised Due Date]],"")</f>
        <v/>
      </c>
      <c r="I261" s="99" t="s">
        <v>4</v>
      </c>
      <c r="J261" s="99" t="s">
        <v>4</v>
      </c>
      <c r="K261" s="99" t="s">
        <v>4</v>
      </c>
      <c r="L261" s="101"/>
      <c r="M261" s="104" t="str">
        <f>IF(Main[[#This Row],[Tech Start Date]]&lt;1/1/1990,"",IF(Main[[#This Row],[Class]]="C",WORKDAY(Main[[#This Row],[Tech Start Date]],9),IF(Main[[#This Row],[Class]]="B", WORKDAY(Main[[#This Row],[Tech Start Date]],6),IF(Main[[#This Row],[Class]]="A",WORKDAY(Main[[#This Row],[Tech Start Date]],2),""))))</f>
        <v/>
      </c>
      <c r="N261" s="104" t="str">
        <f>IF(Main[[#This Row],[Tech Start Date]]&lt;1/1/1990,"",IF(Main[[#This Row],[Class]]="C",WORKDAY(Main[[#This Row],[Tech Start Date]],19),IF(Main[[#This Row],[Class]]="B", WORKDAY(Main[[#This Row],[Tech Start Date]],12),IF(Main[[#This Row],[Class]]="A",WORKDAY(Main[[#This Row],[Tech Start Date]],4),""))))</f>
        <v/>
      </c>
      <c r="O261" s="104" t="str">
        <f>IF(Main[[#This Row],[Tech Start Date]]&lt;1/1/1990,"",IF(Main[[#This Row],[Class]]="C",WORKDAY(Main[[#This Row],[Tech Start Date]],23),IF(Main[[#This Row],[Class]]="B", WORKDAY(Main[[#This Row],[Tech Start Date]],15),IF(Main[[#This Row],[Class]]="A",WORKDAY(Main[[#This Row],[Tech Start Date]],5),""))))</f>
        <v/>
      </c>
      <c r="P261" s="104" t="str">
        <f>IF(Main[[#This Row],[Tech Start Date]]&lt;1/1/1990,"",IF(Main[[#This Row],[Class]]="C",WORKDAY(Main[[#This Row],[Tech Start Date]],28),IF(Main[[#This Row],[Class]]="B", WORKDAY(Main[[#This Row],[Tech Start Date]],19),IF(Main[[#This Row],[Class]]="A",WORKDAY(Main[[#This Row],[Tech Start Date]],9),""))))</f>
        <v/>
      </c>
      <c r="Q261" s="101"/>
      <c r="R261" s="101"/>
      <c r="S261" s="99" t="s">
        <v>6</v>
      </c>
      <c r="T261" s="107" t="s">
        <v>4</v>
      </c>
      <c r="U261" s="99" t="s">
        <v>14</v>
      </c>
      <c r="V261" s="99" t="s">
        <v>1962</v>
      </c>
      <c r="W261" s="99" t="s">
        <v>1966</v>
      </c>
    </row>
    <row r="262" spans="1:23" ht="18.600000000000001" customHeight="1">
      <c r="A262" s="123" t="str">
        <f>IF(priority(Main[[#This Row],[Comments]])&lt;&gt;0, priority(Main[[#This Row],[Comments]]),"")</f>
        <v/>
      </c>
      <c r="B262" s="127" t="s">
        <v>1190</v>
      </c>
      <c r="C262" s="99" t="s">
        <v>4</v>
      </c>
      <c r="D262" s="100" t="s">
        <v>2431</v>
      </c>
      <c r="E262" s="101">
        <v>40274.393113425926</v>
      </c>
      <c r="F262" s="101"/>
      <c r="G262" s="102" t="str">
        <f>IF(stdProdLT(Main[[#This Row],[Comments]])=0.1,"N/A",IF(stdProdLT(Main[[#This Row],[Comments]])=0,"",stdProdLT(Main[[#This Row],[Comments]])))</f>
        <v/>
      </c>
      <c r="H262" s="103" t="str">
        <f>IF(AND(Main[[#This Row],[In Stock Date]]&lt;&gt;"",Main[[#This Row],[Revised Due Date]]&lt;&gt;""),Main[[#This Row],[In Stock Date]]-Main[[#This Row],[Revised Due Date]],"")</f>
        <v/>
      </c>
      <c r="I262" s="99" t="s">
        <v>4</v>
      </c>
      <c r="J262" s="99" t="s">
        <v>4</v>
      </c>
      <c r="K262" s="99" t="s">
        <v>4</v>
      </c>
      <c r="L262" s="101"/>
      <c r="M262" s="104" t="str">
        <f>IF(Main[[#This Row],[Tech Start Date]]&lt;1/1/1990,"",IF(Main[[#This Row],[Class]]="C",WORKDAY(Main[[#This Row],[Tech Start Date]],9),IF(Main[[#This Row],[Class]]="B", WORKDAY(Main[[#This Row],[Tech Start Date]],6),IF(Main[[#This Row],[Class]]="A",WORKDAY(Main[[#This Row],[Tech Start Date]],2),""))))</f>
        <v/>
      </c>
      <c r="N262" s="104" t="str">
        <f>IF(Main[[#This Row],[Tech Start Date]]&lt;1/1/1990,"",IF(Main[[#This Row],[Class]]="C",WORKDAY(Main[[#This Row],[Tech Start Date]],19),IF(Main[[#This Row],[Class]]="B", WORKDAY(Main[[#This Row],[Tech Start Date]],12),IF(Main[[#This Row],[Class]]="A",WORKDAY(Main[[#This Row],[Tech Start Date]],4),""))))</f>
        <v/>
      </c>
      <c r="O262" s="104" t="str">
        <f>IF(Main[[#This Row],[Tech Start Date]]&lt;1/1/1990,"",IF(Main[[#This Row],[Class]]="C",WORKDAY(Main[[#This Row],[Tech Start Date]],23),IF(Main[[#This Row],[Class]]="B", WORKDAY(Main[[#This Row],[Tech Start Date]],15),IF(Main[[#This Row],[Class]]="A",WORKDAY(Main[[#This Row],[Tech Start Date]],5),""))))</f>
        <v/>
      </c>
      <c r="P262" s="104" t="str">
        <f>IF(Main[[#This Row],[Tech Start Date]]&lt;1/1/1990,"",IF(Main[[#This Row],[Class]]="C",WORKDAY(Main[[#This Row],[Tech Start Date]],28),IF(Main[[#This Row],[Class]]="B", WORKDAY(Main[[#This Row],[Tech Start Date]],19),IF(Main[[#This Row],[Class]]="A",WORKDAY(Main[[#This Row],[Tech Start Date]],9),""))))</f>
        <v/>
      </c>
      <c r="Q262" s="101">
        <v>40302</v>
      </c>
      <c r="R262" s="101"/>
      <c r="S262" s="99" t="s">
        <v>6</v>
      </c>
      <c r="T262" s="107" t="s">
        <v>4</v>
      </c>
      <c r="U262" s="99" t="s">
        <v>7</v>
      </c>
      <c r="V262" s="99" t="s">
        <v>1962</v>
      </c>
      <c r="W262" s="99" t="s">
        <v>1964</v>
      </c>
    </row>
    <row r="263" spans="1:23" ht="18.600000000000001" customHeight="1">
      <c r="A263" s="123" t="str">
        <f>IF(priority(Main[[#This Row],[Comments]])&lt;&gt;0, priority(Main[[#This Row],[Comments]]),"")</f>
        <v/>
      </c>
      <c r="B263" s="127" t="s">
        <v>1425</v>
      </c>
      <c r="C263" s="99" t="s">
        <v>4</v>
      </c>
      <c r="D263" s="100" t="s">
        <v>2432</v>
      </c>
      <c r="E263" s="101">
        <v>40644.246631944443</v>
      </c>
      <c r="F263" s="101"/>
      <c r="G263" s="102" t="str">
        <f>IF(stdProdLT(Main[[#This Row],[Comments]])=0.1,"N/A",IF(stdProdLT(Main[[#This Row],[Comments]])=0,"",stdProdLT(Main[[#This Row],[Comments]])))</f>
        <v/>
      </c>
      <c r="H263" s="103" t="str">
        <f>IF(AND(Main[[#This Row],[In Stock Date]]&lt;&gt;"",Main[[#This Row],[Revised Due Date]]&lt;&gt;""),Main[[#This Row],[In Stock Date]]-Main[[#This Row],[Revised Due Date]],"")</f>
        <v/>
      </c>
      <c r="I263" s="99" t="s">
        <v>929</v>
      </c>
      <c r="J263" s="99" t="s">
        <v>52</v>
      </c>
      <c r="K263" s="99" t="s">
        <v>4</v>
      </c>
      <c r="L263" s="101"/>
      <c r="M263" s="104" t="str">
        <f>IF(Main[[#This Row],[Tech Start Date]]&lt;1/1/1990,"",IF(Main[[#This Row],[Class]]="C",WORKDAY(Main[[#This Row],[Tech Start Date]],9),IF(Main[[#This Row],[Class]]="B", WORKDAY(Main[[#This Row],[Tech Start Date]],6),IF(Main[[#This Row],[Class]]="A",WORKDAY(Main[[#This Row],[Tech Start Date]],2),""))))</f>
        <v/>
      </c>
      <c r="N263" s="104" t="str">
        <f>IF(Main[[#This Row],[Tech Start Date]]&lt;1/1/1990,"",IF(Main[[#This Row],[Class]]="C",WORKDAY(Main[[#This Row],[Tech Start Date]],19),IF(Main[[#This Row],[Class]]="B", WORKDAY(Main[[#This Row],[Tech Start Date]],12),IF(Main[[#This Row],[Class]]="A",WORKDAY(Main[[#This Row],[Tech Start Date]],4),""))))</f>
        <v/>
      </c>
      <c r="O263" s="104" t="str">
        <f>IF(Main[[#This Row],[Tech Start Date]]&lt;1/1/1990,"",IF(Main[[#This Row],[Class]]="C",WORKDAY(Main[[#This Row],[Tech Start Date]],23),IF(Main[[#This Row],[Class]]="B", WORKDAY(Main[[#This Row],[Tech Start Date]],15),IF(Main[[#This Row],[Class]]="A",WORKDAY(Main[[#This Row],[Tech Start Date]],5),""))))</f>
        <v/>
      </c>
      <c r="P263" s="104" t="str">
        <f>IF(Main[[#This Row],[Tech Start Date]]&lt;1/1/1990,"",IF(Main[[#This Row],[Class]]="C",WORKDAY(Main[[#This Row],[Tech Start Date]],28),IF(Main[[#This Row],[Class]]="B", WORKDAY(Main[[#This Row],[Tech Start Date]],19),IF(Main[[#This Row],[Class]]="A",WORKDAY(Main[[#This Row],[Tech Start Date]],9),""))))</f>
        <v/>
      </c>
      <c r="Q263" s="101">
        <v>40659</v>
      </c>
      <c r="R263" s="101"/>
      <c r="S263" s="99" t="s">
        <v>6</v>
      </c>
      <c r="T263" s="107" t="s">
        <v>4</v>
      </c>
      <c r="U263" s="99" t="s">
        <v>29</v>
      </c>
      <c r="V263" s="99" t="s">
        <v>1962</v>
      </c>
      <c r="W263" s="99" t="s">
        <v>1970</v>
      </c>
    </row>
    <row r="264" spans="1:23" ht="18.600000000000001" customHeight="1">
      <c r="A264" s="123" t="str">
        <f>IF(priority(Main[[#This Row],[Comments]])&lt;&gt;0, priority(Main[[#This Row],[Comments]]),"")</f>
        <v/>
      </c>
      <c r="B264" s="127" t="s">
        <v>1158</v>
      </c>
      <c r="C264" s="99" t="s">
        <v>4</v>
      </c>
      <c r="D264" s="100" t="s">
        <v>178</v>
      </c>
      <c r="E264" s="101">
        <v>40655.521435185183</v>
      </c>
      <c r="F264" s="101"/>
      <c r="G264" s="102" t="str">
        <f>IF(stdProdLT(Main[[#This Row],[Comments]])=0.1,"N/A",IF(stdProdLT(Main[[#This Row],[Comments]])=0,"",stdProdLT(Main[[#This Row],[Comments]])))</f>
        <v/>
      </c>
      <c r="H264" s="103" t="str">
        <f>IF(AND(Main[[#This Row],[In Stock Date]]&lt;&gt;"",Main[[#This Row],[Revised Due Date]]&lt;&gt;""),Main[[#This Row],[In Stock Date]]-Main[[#This Row],[Revised Due Date]],"")</f>
        <v/>
      </c>
      <c r="I264" s="99" t="s">
        <v>4</v>
      </c>
      <c r="J264" s="99" t="s">
        <v>4</v>
      </c>
      <c r="K264" s="99" t="s">
        <v>4</v>
      </c>
      <c r="L264" s="101"/>
      <c r="M264" s="104" t="str">
        <f>IF(Main[[#This Row],[Tech Start Date]]&lt;1/1/1990,"",IF(Main[[#This Row],[Class]]="C",WORKDAY(Main[[#This Row],[Tech Start Date]],9),IF(Main[[#This Row],[Class]]="B", WORKDAY(Main[[#This Row],[Tech Start Date]],6),IF(Main[[#This Row],[Class]]="A",WORKDAY(Main[[#This Row],[Tech Start Date]],2),""))))</f>
        <v/>
      </c>
      <c r="N264" s="104" t="str">
        <f>IF(Main[[#This Row],[Tech Start Date]]&lt;1/1/1990,"",IF(Main[[#This Row],[Class]]="C",WORKDAY(Main[[#This Row],[Tech Start Date]],19),IF(Main[[#This Row],[Class]]="B", WORKDAY(Main[[#This Row],[Tech Start Date]],12),IF(Main[[#This Row],[Class]]="A",WORKDAY(Main[[#This Row],[Tech Start Date]],4),""))))</f>
        <v/>
      </c>
      <c r="O264" s="104" t="str">
        <f>IF(Main[[#This Row],[Tech Start Date]]&lt;1/1/1990,"",IF(Main[[#This Row],[Class]]="C",WORKDAY(Main[[#This Row],[Tech Start Date]],23),IF(Main[[#This Row],[Class]]="B", WORKDAY(Main[[#This Row],[Tech Start Date]],15),IF(Main[[#This Row],[Class]]="A",WORKDAY(Main[[#This Row],[Tech Start Date]],5),""))))</f>
        <v/>
      </c>
      <c r="P264" s="104" t="str">
        <f>IF(Main[[#This Row],[Tech Start Date]]&lt;1/1/1990,"",IF(Main[[#This Row],[Class]]="C",WORKDAY(Main[[#This Row],[Tech Start Date]],28),IF(Main[[#This Row],[Class]]="B", WORKDAY(Main[[#This Row],[Tech Start Date]],19),IF(Main[[#This Row],[Class]]="A",WORKDAY(Main[[#This Row],[Tech Start Date]],9),""))))</f>
        <v/>
      </c>
      <c r="Q264" s="101">
        <v>40655</v>
      </c>
      <c r="R264" s="101"/>
      <c r="S264" s="99" t="s">
        <v>6</v>
      </c>
      <c r="T264" s="107" t="s">
        <v>4</v>
      </c>
      <c r="U264" s="99" t="s">
        <v>7</v>
      </c>
      <c r="V264" s="99" t="s">
        <v>1962</v>
      </c>
      <c r="W264" s="99" t="s">
        <v>1964</v>
      </c>
    </row>
    <row r="265" spans="1:23" ht="18.600000000000001" customHeight="1">
      <c r="A265" s="123" t="str">
        <f>IF(priority(Main[[#This Row],[Comments]])&lt;&gt;0, priority(Main[[#This Row],[Comments]]),"")</f>
        <v/>
      </c>
      <c r="B265" s="127" t="s">
        <v>1159</v>
      </c>
      <c r="C265" s="99" t="s">
        <v>4</v>
      </c>
      <c r="D265" s="100" t="s">
        <v>179</v>
      </c>
      <c r="E265" s="101"/>
      <c r="F265" s="101">
        <v>40598</v>
      </c>
      <c r="G265" s="102" t="str">
        <f>IF(stdProdLT(Main[[#This Row],[Comments]])=0.1,"N/A",IF(stdProdLT(Main[[#This Row],[Comments]])=0,"",stdProdLT(Main[[#This Row],[Comments]])))</f>
        <v/>
      </c>
      <c r="H265" s="103" t="str">
        <f>IF(AND(Main[[#This Row],[In Stock Date]]&lt;&gt;"",Main[[#This Row],[Revised Due Date]]&lt;&gt;""),Main[[#This Row],[In Stock Date]]-Main[[#This Row],[Revised Due Date]],"")</f>
        <v/>
      </c>
      <c r="I265" s="99" t="s">
        <v>4</v>
      </c>
      <c r="J265" s="99" t="s">
        <v>4</v>
      </c>
      <c r="K265" s="108" t="s">
        <v>4</v>
      </c>
      <c r="L265" s="101"/>
      <c r="M265" s="104" t="str">
        <f>IF(Main[[#This Row],[Tech Start Date]]&lt;1/1/1990,"",IF(Main[[#This Row],[Class]]="C",WORKDAY(Main[[#This Row],[Tech Start Date]],9),IF(Main[[#This Row],[Class]]="B", WORKDAY(Main[[#This Row],[Tech Start Date]],6),IF(Main[[#This Row],[Class]]="A",WORKDAY(Main[[#This Row],[Tech Start Date]],2),""))))</f>
        <v/>
      </c>
      <c r="N265" s="104" t="str">
        <f>IF(Main[[#This Row],[Tech Start Date]]&lt;1/1/1990,"",IF(Main[[#This Row],[Class]]="C",WORKDAY(Main[[#This Row],[Tech Start Date]],19),IF(Main[[#This Row],[Class]]="B", WORKDAY(Main[[#This Row],[Tech Start Date]],12),IF(Main[[#This Row],[Class]]="A",WORKDAY(Main[[#This Row],[Tech Start Date]],4),""))))</f>
        <v/>
      </c>
      <c r="O265" s="104" t="str">
        <f>IF(Main[[#This Row],[Tech Start Date]]&lt;1/1/1990,"",IF(Main[[#This Row],[Class]]="C",WORKDAY(Main[[#This Row],[Tech Start Date]],23),IF(Main[[#This Row],[Class]]="B", WORKDAY(Main[[#This Row],[Tech Start Date]],15),IF(Main[[#This Row],[Class]]="A",WORKDAY(Main[[#This Row],[Tech Start Date]],5),""))))</f>
        <v/>
      </c>
      <c r="P265" s="104" t="str">
        <f>IF(Main[[#This Row],[Tech Start Date]]&lt;1/1/1990,"",IF(Main[[#This Row],[Class]]="C",WORKDAY(Main[[#This Row],[Tech Start Date]],28),IF(Main[[#This Row],[Class]]="B", WORKDAY(Main[[#This Row],[Tech Start Date]],19),IF(Main[[#This Row],[Class]]="A",WORKDAY(Main[[#This Row],[Tech Start Date]],9),""))))</f>
        <v/>
      </c>
      <c r="Q265" s="101">
        <v>40598</v>
      </c>
      <c r="R265" s="101"/>
      <c r="S265" s="99" t="s">
        <v>11</v>
      </c>
      <c r="T265" s="107" t="s">
        <v>4</v>
      </c>
      <c r="U265" s="99" t="s">
        <v>14</v>
      </c>
      <c r="V265" s="99" t="s">
        <v>1972</v>
      </c>
      <c r="W265" s="99" t="s">
        <v>1968</v>
      </c>
    </row>
    <row r="266" spans="1:23" ht="18.600000000000001" customHeight="1">
      <c r="A266" s="123" t="str">
        <f>IF(priority(Main[[#This Row],[Comments]])&lt;&gt;0, priority(Main[[#This Row],[Comments]]),"")</f>
        <v/>
      </c>
      <c r="B266" s="127" t="s">
        <v>2439</v>
      </c>
      <c r="C266" s="99" t="s">
        <v>2440</v>
      </c>
      <c r="D266" s="100" t="s">
        <v>2441</v>
      </c>
      <c r="E266" s="101"/>
      <c r="F266" s="101"/>
      <c r="G266" s="102" t="str">
        <f>IF(stdProdLT(Main[[#This Row],[Comments]])=0.1,"N/A",IF(stdProdLT(Main[[#This Row],[Comments]])=0,"",stdProdLT(Main[[#This Row],[Comments]])))</f>
        <v/>
      </c>
      <c r="H266" s="103" t="str">
        <f>IF(AND(Main[[#This Row],[In Stock Date]]&lt;&gt;"",Main[[#This Row],[Revised Due Date]]&lt;&gt;""),Main[[#This Row],[In Stock Date]]-Main[[#This Row],[Revised Due Date]],"")</f>
        <v/>
      </c>
      <c r="I266" s="99" t="s">
        <v>4</v>
      </c>
      <c r="J266" s="99" t="s">
        <v>4</v>
      </c>
      <c r="K266" s="108" t="s">
        <v>4</v>
      </c>
      <c r="L266" s="101"/>
      <c r="M266" s="104" t="str">
        <f>IF(Main[[#This Row],[Tech Start Date]]&lt;1/1/1990,"",IF(Main[[#This Row],[Class]]="C",WORKDAY(Main[[#This Row],[Tech Start Date]],9),IF(Main[[#This Row],[Class]]="B", WORKDAY(Main[[#This Row],[Tech Start Date]],6),IF(Main[[#This Row],[Class]]="A",WORKDAY(Main[[#This Row],[Tech Start Date]],2),""))))</f>
        <v/>
      </c>
      <c r="N266" s="104" t="str">
        <f>IF(Main[[#This Row],[Tech Start Date]]&lt;1/1/1990,"",IF(Main[[#This Row],[Class]]="C",WORKDAY(Main[[#This Row],[Tech Start Date]],19),IF(Main[[#This Row],[Class]]="B", WORKDAY(Main[[#This Row],[Tech Start Date]],12),IF(Main[[#This Row],[Class]]="A",WORKDAY(Main[[#This Row],[Tech Start Date]],4),""))))</f>
        <v/>
      </c>
      <c r="O266" s="104" t="str">
        <f>IF(Main[[#This Row],[Tech Start Date]]&lt;1/1/1990,"",IF(Main[[#This Row],[Class]]="C",WORKDAY(Main[[#This Row],[Tech Start Date]],23),IF(Main[[#This Row],[Class]]="B", WORKDAY(Main[[#This Row],[Tech Start Date]],15),IF(Main[[#This Row],[Class]]="A",WORKDAY(Main[[#This Row],[Tech Start Date]],5),""))))</f>
        <v/>
      </c>
      <c r="P266" s="104" t="str">
        <f>IF(Main[[#This Row],[Tech Start Date]]&lt;1/1/1990,"",IF(Main[[#This Row],[Class]]="C",WORKDAY(Main[[#This Row],[Tech Start Date]],28),IF(Main[[#This Row],[Class]]="B", WORKDAY(Main[[#This Row],[Tech Start Date]],19),IF(Main[[#This Row],[Class]]="A",WORKDAY(Main[[#This Row],[Tech Start Date]],9),""))))</f>
        <v/>
      </c>
      <c r="Q266" s="101">
        <v>40840</v>
      </c>
      <c r="R266" s="101"/>
      <c r="S266" s="99" t="s">
        <v>11</v>
      </c>
      <c r="T266" s="107" t="s">
        <v>4</v>
      </c>
      <c r="U266" s="99" t="s">
        <v>12</v>
      </c>
      <c r="V266" s="99" t="s">
        <v>1962</v>
      </c>
      <c r="W266" s="99" t="s">
        <v>1964</v>
      </c>
    </row>
    <row r="267" spans="1:23" ht="18.600000000000001" customHeight="1">
      <c r="A267" s="123" t="str">
        <f>IF(priority(Main[[#This Row],[Comments]])&lt;&gt;0, priority(Main[[#This Row],[Comments]]),"")</f>
        <v/>
      </c>
      <c r="B267" s="127" t="s">
        <v>1161</v>
      </c>
      <c r="C267" s="99" t="s">
        <v>4</v>
      </c>
      <c r="D267" s="100" t="s">
        <v>181</v>
      </c>
      <c r="E267" s="101">
        <v>40688.403611111113</v>
      </c>
      <c r="F267" s="101"/>
      <c r="G267" s="102" t="str">
        <f>IF(stdProdLT(Main[[#This Row],[Comments]])=0.1,"N/A",IF(stdProdLT(Main[[#This Row],[Comments]])=0,"",stdProdLT(Main[[#This Row],[Comments]])))</f>
        <v/>
      </c>
      <c r="H267" s="103" t="str">
        <f>IF(AND(Main[[#This Row],[In Stock Date]]&lt;&gt;"",Main[[#This Row],[Revised Due Date]]&lt;&gt;""),Main[[#This Row],[In Stock Date]]-Main[[#This Row],[Revised Due Date]],"")</f>
        <v/>
      </c>
      <c r="I267" s="99" t="s">
        <v>4</v>
      </c>
      <c r="J267" s="99" t="s">
        <v>4</v>
      </c>
      <c r="K267" s="99" t="s">
        <v>4</v>
      </c>
      <c r="L267" s="101"/>
      <c r="M267" s="104" t="str">
        <f>IF(Main[[#This Row],[Tech Start Date]]&lt;1/1/1990,"",IF(Main[[#This Row],[Class]]="C",WORKDAY(Main[[#This Row],[Tech Start Date]],9),IF(Main[[#This Row],[Class]]="B", WORKDAY(Main[[#This Row],[Tech Start Date]],6),IF(Main[[#This Row],[Class]]="A",WORKDAY(Main[[#This Row],[Tech Start Date]],2),""))))</f>
        <v/>
      </c>
      <c r="N267" s="104" t="str">
        <f>IF(Main[[#This Row],[Tech Start Date]]&lt;1/1/1990,"",IF(Main[[#This Row],[Class]]="C",WORKDAY(Main[[#This Row],[Tech Start Date]],19),IF(Main[[#This Row],[Class]]="B", WORKDAY(Main[[#This Row],[Tech Start Date]],12),IF(Main[[#This Row],[Class]]="A",WORKDAY(Main[[#This Row],[Tech Start Date]],4),""))))</f>
        <v/>
      </c>
      <c r="O267" s="104" t="str">
        <f>IF(Main[[#This Row],[Tech Start Date]]&lt;1/1/1990,"",IF(Main[[#This Row],[Class]]="C",WORKDAY(Main[[#This Row],[Tech Start Date]],23),IF(Main[[#This Row],[Class]]="B", WORKDAY(Main[[#This Row],[Tech Start Date]],15),IF(Main[[#This Row],[Class]]="A",WORKDAY(Main[[#This Row],[Tech Start Date]],5),""))))</f>
        <v/>
      </c>
      <c r="P267" s="104" t="str">
        <f>IF(Main[[#This Row],[Tech Start Date]]&lt;1/1/1990,"",IF(Main[[#This Row],[Class]]="C",WORKDAY(Main[[#This Row],[Tech Start Date]],28),IF(Main[[#This Row],[Class]]="B", WORKDAY(Main[[#This Row],[Tech Start Date]],19),IF(Main[[#This Row],[Class]]="A",WORKDAY(Main[[#This Row],[Tech Start Date]],9),""))))</f>
        <v/>
      </c>
      <c r="Q267" s="101">
        <v>40725</v>
      </c>
      <c r="R267" s="101"/>
      <c r="S267" s="99" t="s">
        <v>6</v>
      </c>
      <c r="T267" s="107" t="s">
        <v>4</v>
      </c>
      <c r="U267" s="99" t="s">
        <v>7</v>
      </c>
      <c r="V267" s="99" t="s">
        <v>1962</v>
      </c>
      <c r="W267" s="99" t="s">
        <v>4</v>
      </c>
    </row>
    <row r="268" spans="1:23" ht="18.600000000000001" customHeight="1">
      <c r="A268" s="123" t="str">
        <f>IF(priority(Main[[#This Row],[Comments]])&lt;&gt;0, priority(Main[[#This Row],[Comments]]),"")</f>
        <v/>
      </c>
      <c r="B268" s="127" t="s">
        <v>1162</v>
      </c>
      <c r="C268" s="99" t="s">
        <v>4</v>
      </c>
      <c r="D268" s="100" t="s">
        <v>182</v>
      </c>
      <c r="E268" s="101">
        <v>40644.277719907404</v>
      </c>
      <c r="F268" s="101"/>
      <c r="G268" s="102" t="str">
        <f>IF(stdProdLT(Main[[#This Row],[Comments]])=0.1,"N/A",IF(stdProdLT(Main[[#This Row],[Comments]])=0,"",stdProdLT(Main[[#This Row],[Comments]])))</f>
        <v/>
      </c>
      <c r="H268" s="103" t="str">
        <f>IF(AND(Main[[#This Row],[In Stock Date]]&lt;&gt;"",Main[[#This Row],[Revised Due Date]]&lt;&gt;""),Main[[#This Row],[In Stock Date]]-Main[[#This Row],[Revised Due Date]],"")</f>
        <v/>
      </c>
      <c r="I268" s="99" t="s">
        <v>4</v>
      </c>
      <c r="J268" s="99" t="s">
        <v>4</v>
      </c>
      <c r="K268" s="99" t="s">
        <v>4</v>
      </c>
      <c r="L268" s="101"/>
      <c r="M268" s="104" t="str">
        <f>IF(Main[[#This Row],[Tech Start Date]]&lt;1/1/1990,"",IF(Main[[#This Row],[Class]]="C",WORKDAY(Main[[#This Row],[Tech Start Date]],9),IF(Main[[#This Row],[Class]]="B", WORKDAY(Main[[#This Row],[Tech Start Date]],6),IF(Main[[#This Row],[Class]]="A",WORKDAY(Main[[#This Row],[Tech Start Date]],2),""))))</f>
        <v/>
      </c>
      <c r="N268" s="104" t="str">
        <f>IF(Main[[#This Row],[Tech Start Date]]&lt;1/1/1990,"",IF(Main[[#This Row],[Class]]="C",WORKDAY(Main[[#This Row],[Tech Start Date]],19),IF(Main[[#This Row],[Class]]="B", WORKDAY(Main[[#This Row],[Tech Start Date]],12),IF(Main[[#This Row],[Class]]="A",WORKDAY(Main[[#This Row],[Tech Start Date]],4),""))))</f>
        <v/>
      </c>
      <c r="O268" s="104" t="str">
        <f>IF(Main[[#This Row],[Tech Start Date]]&lt;1/1/1990,"",IF(Main[[#This Row],[Class]]="C",WORKDAY(Main[[#This Row],[Tech Start Date]],23),IF(Main[[#This Row],[Class]]="B", WORKDAY(Main[[#This Row],[Tech Start Date]],15),IF(Main[[#This Row],[Class]]="A",WORKDAY(Main[[#This Row],[Tech Start Date]],5),""))))</f>
        <v/>
      </c>
      <c r="P268" s="104" t="str">
        <f>IF(Main[[#This Row],[Tech Start Date]]&lt;1/1/1990,"",IF(Main[[#This Row],[Class]]="C",WORKDAY(Main[[#This Row],[Tech Start Date]],28),IF(Main[[#This Row],[Class]]="B", WORKDAY(Main[[#This Row],[Tech Start Date]],19),IF(Main[[#This Row],[Class]]="A",WORKDAY(Main[[#This Row],[Tech Start Date]],9),""))))</f>
        <v/>
      </c>
      <c r="Q268" s="101">
        <v>40673</v>
      </c>
      <c r="R268" s="101"/>
      <c r="S268" s="99" t="s">
        <v>6</v>
      </c>
      <c r="T268" s="107" t="s">
        <v>4</v>
      </c>
      <c r="U268" s="99" t="s">
        <v>7</v>
      </c>
      <c r="V268" s="99" t="s">
        <v>1962</v>
      </c>
      <c r="W268" s="99" t="s">
        <v>1970</v>
      </c>
    </row>
    <row r="269" spans="1:23" ht="18.600000000000001" customHeight="1">
      <c r="A269" s="123" t="str">
        <f>IF(priority(Main[[#This Row],[Comments]])&lt;&gt;0, priority(Main[[#This Row],[Comments]]),"")</f>
        <v/>
      </c>
      <c r="B269" s="127" t="s">
        <v>1164</v>
      </c>
      <c r="C269" s="99" t="s">
        <v>183</v>
      </c>
      <c r="D269" s="100" t="s">
        <v>184</v>
      </c>
      <c r="E269" s="101"/>
      <c r="F269" s="101">
        <v>40536</v>
      </c>
      <c r="G269" s="102" t="str">
        <f>IF(stdProdLT(Main[[#This Row],[Comments]])=0.1,"N/A",IF(stdProdLT(Main[[#This Row],[Comments]])=0,"",stdProdLT(Main[[#This Row],[Comments]])))</f>
        <v/>
      </c>
      <c r="H269" s="103" t="str">
        <f>IF(AND(Main[[#This Row],[In Stock Date]]&lt;&gt;"",Main[[#This Row],[Revised Due Date]]&lt;&gt;""),Main[[#This Row],[In Stock Date]]-Main[[#This Row],[Revised Due Date]],"")</f>
        <v/>
      </c>
      <c r="I269" s="99" t="s">
        <v>4</v>
      </c>
      <c r="J269" s="99" t="s">
        <v>28</v>
      </c>
      <c r="K269" s="99" t="s">
        <v>1971</v>
      </c>
      <c r="L269" s="101"/>
      <c r="M269" s="104" t="str">
        <f>IF(Main[[#This Row],[Tech Start Date]]&lt;1/1/1990,"",IF(Main[[#This Row],[Class]]="C",WORKDAY(Main[[#This Row],[Tech Start Date]],9),IF(Main[[#This Row],[Class]]="B", WORKDAY(Main[[#This Row],[Tech Start Date]],6),IF(Main[[#This Row],[Class]]="A",WORKDAY(Main[[#This Row],[Tech Start Date]],2),""))))</f>
        <v/>
      </c>
      <c r="N269" s="104" t="str">
        <f>IF(Main[[#This Row],[Tech Start Date]]&lt;1/1/1990,"",IF(Main[[#This Row],[Class]]="C",WORKDAY(Main[[#This Row],[Tech Start Date]],19),IF(Main[[#This Row],[Class]]="B", WORKDAY(Main[[#This Row],[Tech Start Date]],12),IF(Main[[#This Row],[Class]]="A",WORKDAY(Main[[#This Row],[Tech Start Date]],4),""))))</f>
        <v/>
      </c>
      <c r="O269" s="104" t="str">
        <f>IF(Main[[#This Row],[Tech Start Date]]&lt;1/1/1990,"",IF(Main[[#This Row],[Class]]="C",WORKDAY(Main[[#This Row],[Tech Start Date]],23),IF(Main[[#This Row],[Class]]="B", WORKDAY(Main[[#This Row],[Tech Start Date]],15),IF(Main[[#This Row],[Class]]="A",WORKDAY(Main[[#This Row],[Tech Start Date]],5),""))))</f>
        <v/>
      </c>
      <c r="P269" s="104" t="str">
        <f>IF(Main[[#This Row],[Tech Start Date]]&lt;1/1/1990,"",IF(Main[[#This Row],[Class]]="C",WORKDAY(Main[[#This Row],[Tech Start Date]],28),IF(Main[[#This Row],[Class]]="B", WORKDAY(Main[[#This Row],[Tech Start Date]],19),IF(Main[[#This Row],[Class]]="A",WORKDAY(Main[[#This Row],[Tech Start Date]],9),""))))</f>
        <v/>
      </c>
      <c r="Q269" s="101">
        <v>40466</v>
      </c>
      <c r="R269" s="101"/>
      <c r="S269" s="99" t="s">
        <v>11</v>
      </c>
      <c r="T269" s="107" t="s">
        <v>4</v>
      </c>
      <c r="U269" s="99" t="s">
        <v>14</v>
      </c>
      <c r="V269" s="99" t="s">
        <v>1965</v>
      </c>
      <c r="W269" s="99" t="s">
        <v>1968</v>
      </c>
    </row>
    <row r="270" spans="1:23" ht="18.600000000000001" customHeight="1">
      <c r="A270" s="123" t="str">
        <f>IF(priority(Main[[#This Row],[Comments]])&lt;&gt;0, priority(Main[[#This Row],[Comments]]),"")</f>
        <v/>
      </c>
      <c r="B270" s="127" t="s">
        <v>1165</v>
      </c>
      <c r="C270" s="99" t="s">
        <v>185</v>
      </c>
      <c r="D270" s="100" t="s">
        <v>186</v>
      </c>
      <c r="E270" s="101"/>
      <c r="F270" s="101">
        <v>40571</v>
      </c>
      <c r="G270" s="102" t="str">
        <f>IF(stdProdLT(Main[[#This Row],[Comments]])=0.1,"N/A",IF(stdProdLT(Main[[#This Row],[Comments]])=0,"",stdProdLT(Main[[#This Row],[Comments]])))</f>
        <v/>
      </c>
      <c r="H270" s="103" t="str">
        <f>IF(AND(Main[[#This Row],[In Stock Date]]&lt;&gt;"",Main[[#This Row],[Revised Due Date]]&lt;&gt;""),Main[[#This Row],[In Stock Date]]-Main[[#This Row],[Revised Due Date]],"")</f>
        <v/>
      </c>
      <c r="I270" s="99" t="s">
        <v>4</v>
      </c>
      <c r="J270" s="99" t="s">
        <v>28</v>
      </c>
      <c r="K270" s="99" t="s">
        <v>4</v>
      </c>
      <c r="L270" s="101"/>
      <c r="M270" s="104" t="str">
        <f>IF(Main[[#This Row],[Tech Start Date]]&lt;1/1/1990,"",IF(Main[[#This Row],[Class]]="C",WORKDAY(Main[[#This Row],[Tech Start Date]],9),IF(Main[[#This Row],[Class]]="B", WORKDAY(Main[[#This Row],[Tech Start Date]],6),IF(Main[[#This Row],[Class]]="A",WORKDAY(Main[[#This Row],[Tech Start Date]],2),""))))</f>
        <v/>
      </c>
      <c r="N270" s="104" t="str">
        <f>IF(Main[[#This Row],[Tech Start Date]]&lt;1/1/1990,"",IF(Main[[#This Row],[Class]]="C",WORKDAY(Main[[#This Row],[Tech Start Date]],19),IF(Main[[#This Row],[Class]]="B", WORKDAY(Main[[#This Row],[Tech Start Date]],12),IF(Main[[#This Row],[Class]]="A",WORKDAY(Main[[#This Row],[Tech Start Date]],4),""))))</f>
        <v/>
      </c>
      <c r="O270" s="104" t="str">
        <f>IF(Main[[#This Row],[Tech Start Date]]&lt;1/1/1990,"",IF(Main[[#This Row],[Class]]="C",WORKDAY(Main[[#This Row],[Tech Start Date]],23),IF(Main[[#This Row],[Class]]="B", WORKDAY(Main[[#This Row],[Tech Start Date]],15),IF(Main[[#This Row],[Class]]="A",WORKDAY(Main[[#This Row],[Tech Start Date]],5),""))))</f>
        <v/>
      </c>
      <c r="P270" s="104" t="str">
        <f>IF(Main[[#This Row],[Tech Start Date]]&lt;1/1/1990,"",IF(Main[[#This Row],[Class]]="C",WORKDAY(Main[[#This Row],[Tech Start Date]],28),IF(Main[[#This Row],[Class]]="B", WORKDAY(Main[[#This Row],[Tech Start Date]],19),IF(Main[[#This Row],[Class]]="A",WORKDAY(Main[[#This Row],[Tech Start Date]],9),""))))</f>
        <v/>
      </c>
      <c r="Q270" s="101"/>
      <c r="R270" s="101"/>
      <c r="S270" s="99" t="s">
        <v>11</v>
      </c>
      <c r="T270" s="107" t="s">
        <v>4</v>
      </c>
      <c r="U270" s="99" t="s">
        <v>14</v>
      </c>
      <c r="V270" s="99" t="s">
        <v>1962</v>
      </c>
      <c r="W270" s="99" t="s">
        <v>1968</v>
      </c>
    </row>
    <row r="271" spans="1:23" ht="18.600000000000001" customHeight="1">
      <c r="A271" s="123" t="str">
        <f>IF(priority(Main[[#This Row],[Comments]])&lt;&gt;0, priority(Main[[#This Row],[Comments]]),"")</f>
        <v/>
      </c>
      <c r="B271" s="127" t="s">
        <v>1166</v>
      </c>
      <c r="C271" s="99" t="s">
        <v>187</v>
      </c>
      <c r="D271" s="100" t="s">
        <v>188</v>
      </c>
      <c r="E271" s="101"/>
      <c r="F271" s="101"/>
      <c r="G271" s="102" t="str">
        <f>IF(stdProdLT(Main[[#This Row],[Comments]])=0.1,"N/A",IF(stdProdLT(Main[[#This Row],[Comments]])=0,"",stdProdLT(Main[[#This Row],[Comments]])))</f>
        <v/>
      </c>
      <c r="H271" s="103" t="str">
        <f>IF(AND(Main[[#This Row],[In Stock Date]]&lt;&gt;"",Main[[#This Row],[Revised Due Date]]&lt;&gt;""),Main[[#This Row],[In Stock Date]]-Main[[#This Row],[Revised Due Date]],"")</f>
        <v/>
      </c>
      <c r="I271" s="99" t="s">
        <v>4</v>
      </c>
      <c r="J271" s="99" t="s">
        <v>4</v>
      </c>
      <c r="K271" s="99" t="s">
        <v>4</v>
      </c>
      <c r="L271" s="101"/>
      <c r="M271" s="104" t="str">
        <f>IF(Main[[#This Row],[Tech Start Date]]&lt;1/1/1990,"",IF(Main[[#This Row],[Class]]="C",WORKDAY(Main[[#This Row],[Tech Start Date]],9),IF(Main[[#This Row],[Class]]="B", WORKDAY(Main[[#This Row],[Tech Start Date]],6),IF(Main[[#This Row],[Class]]="A",WORKDAY(Main[[#This Row],[Tech Start Date]],2),""))))</f>
        <v/>
      </c>
      <c r="N271" s="104" t="str">
        <f>IF(Main[[#This Row],[Tech Start Date]]&lt;1/1/1990,"",IF(Main[[#This Row],[Class]]="C",WORKDAY(Main[[#This Row],[Tech Start Date]],19),IF(Main[[#This Row],[Class]]="B", WORKDAY(Main[[#This Row],[Tech Start Date]],12),IF(Main[[#This Row],[Class]]="A",WORKDAY(Main[[#This Row],[Tech Start Date]],4),""))))</f>
        <v/>
      </c>
      <c r="O271" s="104" t="str">
        <f>IF(Main[[#This Row],[Tech Start Date]]&lt;1/1/1990,"",IF(Main[[#This Row],[Class]]="C",WORKDAY(Main[[#This Row],[Tech Start Date]],23),IF(Main[[#This Row],[Class]]="B", WORKDAY(Main[[#This Row],[Tech Start Date]],15),IF(Main[[#This Row],[Class]]="A",WORKDAY(Main[[#This Row],[Tech Start Date]],5),""))))</f>
        <v/>
      </c>
      <c r="P271" s="104" t="str">
        <f>IF(Main[[#This Row],[Tech Start Date]]&lt;1/1/1990,"",IF(Main[[#This Row],[Class]]="C",WORKDAY(Main[[#This Row],[Tech Start Date]],28),IF(Main[[#This Row],[Class]]="B", WORKDAY(Main[[#This Row],[Tech Start Date]],19),IF(Main[[#This Row],[Class]]="A",WORKDAY(Main[[#This Row],[Tech Start Date]],9),""))))</f>
        <v/>
      </c>
      <c r="Q271" s="101">
        <v>40116</v>
      </c>
      <c r="R271" s="101"/>
      <c r="S271" s="99" t="s">
        <v>11</v>
      </c>
      <c r="T271" s="107" t="s">
        <v>4</v>
      </c>
      <c r="U271" s="99" t="s">
        <v>14</v>
      </c>
      <c r="V271" s="99" t="s">
        <v>1965</v>
      </c>
      <c r="W271" s="99" t="s">
        <v>1964</v>
      </c>
    </row>
    <row r="272" spans="1:23" ht="18.600000000000001" customHeight="1">
      <c r="A272" s="123" t="str">
        <f>IF(priority(Main[[#This Row],[Comments]])&lt;&gt;0, priority(Main[[#This Row],[Comments]]),"")</f>
        <v/>
      </c>
      <c r="B272" s="127" t="s">
        <v>1168</v>
      </c>
      <c r="C272" s="99" t="s">
        <v>190</v>
      </c>
      <c r="D272" s="100" t="s">
        <v>191</v>
      </c>
      <c r="E272" s="101"/>
      <c r="F272" s="101">
        <v>40263</v>
      </c>
      <c r="G272" s="102" t="str">
        <f>IF(stdProdLT(Main[[#This Row],[Comments]])=0.1,"N/A",IF(stdProdLT(Main[[#This Row],[Comments]])=0,"",stdProdLT(Main[[#This Row],[Comments]])))</f>
        <v/>
      </c>
      <c r="H272" s="103" t="str">
        <f>IF(AND(Main[[#This Row],[In Stock Date]]&lt;&gt;"",Main[[#This Row],[Revised Due Date]]&lt;&gt;""),Main[[#This Row],[In Stock Date]]-Main[[#This Row],[Revised Due Date]],"")</f>
        <v/>
      </c>
      <c r="I272" s="99" t="s">
        <v>4</v>
      </c>
      <c r="J272" s="99" t="s">
        <v>4</v>
      </c>
      <c r="K272" s="99" t="s">
        <v>4</v>
      </c>
      <c r="L272" s="101"/>
      <c r="M272" s="104" t="str">
        <f>IF(Main[[#This Row],[Tech Start Date]]&lt;1/1/1990,"",IF(Main[[#This Row],[Class]]="C",WORKDAY(Main[[#This Row],[Tech Start Date]],9),IF(Main[[#This Row],[Class]]="B", WORKDAY(Main[[#This Row],[Tech Start Date]],6),IF(Main[[#This Row],[Class]]="A",WORKDAY(Main[[#This Row],[Tech Start Date]],2),""))))</f>
        <v/>
      </c>
      <c r="N272" s="104" t="str">
        <f>IF(Main[[#This Row],[Tech Start Date]]&lt;1/1/1990,"",IF(Main[[#This Row],[Class]]="C",WORKDAY(Main[[#This Row],[Tech Start Date]],19),IF(Main[[#This Row],[Class]]="B", WORKDAY(Main[[#This Row],[Tech Start Date]],12),IF(Main[[#This Row],[Class]]="A",WORKDAY(Main[[#This Row],[Tech Start Date]],4),""))))</f>
        <v/>
      </c>
      <c r="O272" s="104" t="str">
        <f>IF(Main[[#This Row],[Tech Start Date]]&lt;1/1/1990,"",IF(Main[[#This Row],[Class]]="C",WORKDAY(Main[[#This Row],[Tech Start Date]],23),IF(Main[[#This Row],[Class]]="B", WORKDAY(Main[[#This Row],[Tech Start Date]],15),IF(Main[[#This Row],[Class]]="A",WORKDAY(Main[[#This Row],[Tech Start Date]],5),""))))</f>
        <v/>
      </c>
      <c r="P272" s="104" t="str">
        <f>IF(Main[[#This Row],[Tech Start Date]]&lt;1/1/1990,"",IF(Main[[#This Row],[Class]]="C",WORKDAY(Main[[#This Row],[Tech Start Date]],28),IF(Main[[#This Row],[Class]]="B", WORKDAY(Main[[#This Row],[Tech Start Date]],19),IF(Main[[#This Row],[Class]]="A",WORKDAY(Main[[#This Row],[Tech Start Date]],9),""))))</f>
        <v/>
      </c>
      <c r="Q272" s="101">
        <v>40295</v>
      </c>
      <c r="R272" s="101"/>
      <c r="S272" s="99" t="s">
        <v>11</v>
      </c>
      <c r="T272" s="107" t="s">
        <v>4</v>
      </c>
      <c r="U272" s="99" t="s">
        <v>14</v>
      </c>
      <c r="V272" s="99" t="s">
        <v>1965</v>
      </c>
      <c r="W272" s="99" t="s">
        <v>1968</v>
      </c>
    </row>
    <row r="273" spans="1:23" ht="18.600000000000001" customHeight="1">
      <c r="A273" s="123" t="str">
        <f>IF(priority(Main[[#This Row],[Comments]])&lt;&gt;0, priority(Main[[#This Row],[Comments]]),"")</f>
        <v/>
      </c>
      <c r="B273" s="127" t="s">
        <v>1169</v>
      </c>
      <c r="C273" s="99" t="s">
        <v>4</v>
      </c>
      <c r="D273" s="100" t="s">
        <v>192</v>
      </c>
      <c r="E273" s="101"/>
      <c r="F273" s="101"/>
      <c r="G273" s="102" t="str">
        <f>IF(stdProdLT(Main[[#This Row],[Comments]])=0.1,"N/A",IF(stdProdLT(Main[[#This Row],[Comments]])=0,"",stdProdLT(Main[[#This Row],[Comments]])))</f>
        <v/>
      </c>
      <c r="H273" s="103" t="str">
        <f>IF(AND(Main[[#This Row],[In Stock Date]]&lt;&gt;"",Main[[#This Row],[Revised Due Date]]&lt;&gt;""),Main[[#This Row],[In Stock Date]]-Main[[#This Row],[Revised Due Date]],"")</f>
        <v/>
      </c>
      <c r="I273" s="99" t="s">
        <v>4</v>
      </c>
      <c r="J273" s="99" t="s">
        <v>4</v>
      </c>
      <c r="K273" s="99" t="s">
        <v>4</v>
      </c>
      <c r="L273" s="101"/>
      <c r="M273" s="104" t="str">
        <f>IF(Main[[#This Row],[Tech Start Date]]&lt;1/1/1990,"",IF(Main[[#This Row],[Class]]="C",WORKDAY(Main[[#This Row],[Tech Start Date]],9),IF(Main[[#This Row],[Class]]="B", WORKDAY(Main[[#This Row],[Tech Start Date]],6),IF(Main[[#This Row],[Class]]="A",WORKDAY(Main[[#This Row],[Tech Start Date]],2),""))))</f>
        <v/>
      </c>
      <c r="N273" s="104" t="str">
        <f>IF(Main[[#This Row],[Tech Start Date]]&lt;1/1/1990,"",IF(Main[[#This Row],[Class]]="C",WORKDAY(Main[[#This Row],[Tech Start Date]],19),IF(Main[[#This Row],[Class]]="B", WORKDAY(Main[[#This Row],[Tech Start Date]],12),IF(Main[[#This Row],[Class]]="A",WORKDAY(Main[[#This Row],[Tech Start Date]],4),""))))</f>
        <v/>
      </c>
      <c r="O273" s="104" t="str">
        <f>IF(Main[[#This Row],[Tech Start Date]]&lt;1/1/1990,"",IF(Main[[#This Row],[Class]]="C",WORKDAY(Main[[#This Row],[Tech Start Date]],23),IF(Main[[#This Row],[Class]]="B", WORKDAY(Main[[#This Row],[Tech Start Date]],15),IF(Main[[#This Row],[Class]]="A",WORKDAY(Main[[#This Row],[Tech Start Date]],5),""))))</f>
        <v/>
      </c>
      <c r="P273" s="104" t="str">
        <f>IF(Main[[#This Row],[Tech Start Date]]&lt;1/1/1990,"",IF(Main[[#This Row],[Class]]="C",WORKDAY(Main[[#This Row],[Tech Start Date]],28),IF(Main[[#This Row],[Class]]="B", WORKDAY(Main[[#This Row],[Tech Start Date]],19),IF(Main[[#This Row],[Class]]="A",WORKDAY(Main[[#This Row],[Tech Start Date]],9),""))))</f>
        <v/>
      </c>
      <c r="Q273" s="101"/>
      <c r="R273" s="101"/>
      <c r="S273" s="99" t="s">
        <v>4</v>
      </c>
      <c r="T273" s="107" t="s">
        <v>4</v>
      </c>
      <c r="U273" s="99" t="s">
        <v>14</v>
      </c>
      <c r="V273" s="99" t="s">
        <v>1965</v>
      </c>
      <c r="W273" s="99" t="s">
        <v>4</v>
      </c>
    </row>
    <row r="274" spans="1:23" ht="18.600000000000001" customHeight="1">
      <c r="A274" s="123" t="str">
        <f>IF(priority(Main[[#This Row],[Comments]])&lt;&gt;0, priority(Main[[#This Row],[Comments]]),"")</f>
        <v/>
      </c>
      <c r="B274" s="127" t="s">
        <v>1170</v>
      </c>
      <c r="C274" s="99" t="s">
        <v>93</v>
      </c>
      <c r="D274" s="100" t="s">
        <v>193</v>
      </c>
      <c r="E274" s="101"/>
      <c r="F274" s="101">
        <v>40132</v>
      </c>
      <c r="G274" s="102" t="str">
        <f>IF(stdProdLT(Main[[#This Row],[Comments]])=0.1,"N/A",IF(stdProdLT(Main[[#This Row],[Comments]])=0,"",stdProdLT(Main[[#This Row],[Comments]])))</f>
        <v/>
      </c>
      <c r="H274" s="103" t="str">
        <f>IF(AND(Main[[#This Row],[In Stock Date]]&lt;&gt;"",Main[[#This Row],[Revised Due Date]]&lt;&gt;""),Main[[#This Row],[In Stock Date]]-Main[[#This Row],[Revised Due Date]],"")</f>
        <v/>
      </c>
      <c r="I274" s="99" t="s">
        <v>4</v>
      </c>
      <c r="J274" s="99" t="s">
        <v>4</v>
      </c>
      <c r="K274" s="99" t="s">
        <v>4</v>
      </c>
      <c r="L274" s="101"/>
      <c r="M274" s="104" t="str">
        <f>IF(Main[[#This Row],[Tech Start Date]]&lt;1/1/1990,"",IF(Main[[#This Row],[Class]]="C",WORKDAY(Main[[#This Row],[Tech Start Date]],9),IF(Main[[#This Row],[Class]]="B", WORKDAY(Main[[#This Row],[Tech Start Date]],6),IF(Main[[#This Row],[Class]]="A",WORKDAY(Main[[#This Row],[Tech Start Date]],2),""))))</f>
        <v/>
      </c>
      <c r="N274" s="104" t="str">
        <f>IF(Main[[#This Row],[Tech Start Date]]&lt;1/1/1990,"",IF(Main[[#This Row],[Class]]="C",WORKDAY(Main[[#This Row],[Tech Start Date]],19),IF(Main[[#This Row],[Class]]="B", WORKDAY(Main[[#This Row],[Tech Start Date]],12),IF(Main[[#This Row],[Class]]="A",WORKDAY(Main[[#This Row],[Tech Start Date]],4),""))))</f>
        <v/>
      </c>
      <c r="O274" s="104" t="str">
        <f>IF(Main[[#This Row],[Tech Start Date]]&lt;1/1/1990,"",IF(Main[[#This Row],[Class]]="C",WORKDAY(Main[[#This Row],[Tech Start Date]],23),IF(Main[[#This Row],[Class]]="B", WORKDAY(Main[[#This Row],[Tech Start Date]],15),IF(Main[[#This Row],[Class]]="A",WORKDAY(Main[[#This Row],[Tech Start Date]],5),""))))</f>
        <v/>
      </c>
      <c r="P274" s="104" t="str">
        <f>IF(Main[[#This Row],[Tech Start Date]]&lt;1/1/1990,"",IF(Main[[#This Row],[Class]]="C",WORKDAY(Main[[#This Row],[Tech Start Date]],28),IF(Main[[#This Row],[Class]]="B", WORKDAY(Main[[#This Row],[Tech Start Date]],19),IF(Main[[#This Row],[Class]]="A",WORKDAY(Main[[#This Row],[Tech Start Date]],9),""))))</f>
        <v/>
      </c>
      <c r="Q274" s="101">
        <v>40132</v>
      </c>
      <c r="R274" s="101"/>
      <c r="S274" s="99" t="s">
        <v>11</v>
      </c>
      <c r="T274" s="107" t="s">
        <v>4</v>
      </c>
      <c r="U274" s="99" t="s">
        <v>14</v>
      </c>
      <c r="V274" s="99" t="s">
        <v>1965</v>
      </c>
      <c r="W274" s="99" t="s">
        <v>1973</v>
      </c>
    </row>
    <row r="275" spans="1:23" ht="18.600000000000001" customHeight="1">
      <c r="A275" s="123" t="str">
        <f>IF(priority(Main[[#This Row],[Comments]])&lt;&gt;0, priority(Main[[#This Row],[Comments]]),"")</f>
        <v/>
      </c>
      <c r="B275" s="127" t="s">
        <v>1171</v>
      </c>
      <c r="C275" s="99" t="s">
        <v>93</v>
      </c>
      <c r="D275" s="100" t="s">
        <v>194</v>
      </c>
      <c r="E275" s="101"/>
      <c r="F275" s="101">
        <v>40132</v>
      </c>
      <c r="G275" s="102" t="str">
        <f>IF(stdProdLT(Main[[#This Row],[Comments]])=0.1,"N/A",IF(stdProdLT(Main[[#This Row],[Comments]])=0,"",stdProdLT(Main[[#This Row],[Comments]])))</f>
        <v/>
      </c>
      <c r="H275" s="103" t="str">
        <f>IF(AND(Main[[#This Row],[In Stock Date]]&lt;&gt;"",Main[[#This Row],[Revised Due Date]]&lt;&gt;""),Main[[#This Row],[In Stock Date]]-Main[[#This Row],[Revised Due Date]],"")</f>
        <v/>
      </c>
      <c r="I275" s="99" t="s">
        <v>4</v>
      </c>
      <c r="J275" s="99" t="s">
        <v>4</v>
      </c>
      <c r="K275" s="99" t="s">
        <v>4</v>
      </c>
      <c r="L275" s="101"/>
      <c r="M275" s="104" t="str">
        <f>IF(Main[[#This Row],[Tech Start Date]]&lt;1/1/1990,"",IF(Main[[#This Row],[Class]]="C",WORKDAY(Main[[#This Row],[Tech Start Date]],9),IF(Main[[#This Row],[Class]]="B", WORKDAY(Main[[#This Row],[Tech Start Date]],6),IF(Main[[#This Row],[Class]]="A",WORKDAY(Main[[#This Row],[Tech Start Date]],2),""))))</f>
        <v/>
      </c>
      <c r="N275" s="104" t="str">
        <f>IF(Main[[#This Row],[Tech Start Date]]&lt;1/1/1990,"",IF(Main[[#This Row],[Class]]="C",WORKDAY(Main[[#This Row],[Tech Start Date]],19),IF(Main[[#This Row],[Class]]="B", WORKDAY(Main[[#This Row],[Tech Start Date]],12),IF(Main[[#This Row],[Class]]="A",WORKDAY(Main[[#This Row],[Tech Start Date]],4),""))))</f>
        <v/>
      </c>
      <c r="O275" s="104" t="str">
        <f>IF(Main[[#This Row],[Tech Start Date]]&lt;1/1/1990,"",IF(Main[[#This Row],[Class]]="C",WORKDAY(Main[[#This Row],[Tech Start Date]],23),IF(Main[[#This Row],[Class]]="B", WORKDAY(Main[[#This Row],[Tech Start Date]],15),IF(Main[[#This Row],[Class]]="A",WORKDAY(Main[[#This Row],[Tech Start Date]],5),""))))</f>
        <v/>
      </c>
      <c r="P275" s="104" t="str">
        <f>IF(Main[[#This Row],[Tech Start Date]]&lt;1/1/1990,"",IF(Main[[#This Row],[Class]]="C",WORKDAY(Main[[#This Row],[Tech Start Date]],28),IF(Main[[#This Row],[Class]]="B", WORKDAY(Main[[#This Row],[Tech Start Date]],19),IF(Main[[#This Row],[Class]]="A",WORKDAY(Main[[#This Row],[Tech Start Date]],9),""))))</f>
        <v/>
      </c>
      <c r="Q275" s="101">
        <v>40132</v>
      </c>
      <c r="R275" s="101"/>
      <c r="S275" s="99" t="s">
        <v>11</v>
      </c>
      <c r="T275" s="107" t="s">
        <v>4</v>
      </c>
      <c r="U275" s="99" t="s">
        <v>14</v>
      </c>
      <c r="V275" s="99" t="s">
        <v>1965</v>
      </c>
      <c r="W275" s="99" t="s">
        <v>1973</v>
      </c>
    </row>
    <row r="276" spans="1:23" ht="18.600000000000001" customHeight="1">
      <c r="A276" s="123" t="str">
        <f>IF(priority(Main[[#This Row],[Comments]])&lt;&gt;0, priority(Main[[#This Row],[Comments]]),"")</f>
        <v/>
      </c>
      <c r="B276" s="127" t="s">
        <v>1172</v>
      </c>
      <c r="C276" s="99" t="s">
        <v>4</v>
      </c>
      <c r="D276" s="100" t="s">
        <v>195</v>
      </c>
      <c r="E276" s="101">
        <v>40371.395115740743</v>
      </c>
      <c r="F276" s="101"/>
      <c r="G276" s="102" t="str">
        <f>IF(stdProdLT(Main[[#This Row],[Comments]])=0.1,"N/A",IF(stdProdLT(Main[[#This Row],[Comments]])=0,"",stdProdLT(Main[[#This Row],[Comments]])))</f>
        <v/>
      </c>
      <c r="H276" s="103" t="str">
        <f>IF(AND(Main[[#This Row],[In Stock Date]]&lt;&gt;"",Main[[#This Row],[Revised Due Date]]&lt;&gt;""),Main[[#This Row],[In Stock Date]]-Main[[#This Row],[Revised Due Date]],"")</f>
        <v/>
      </c>
      <c r="I276" s="99" t="s">
        <v>4</v>
      </c>
      <c r="J276" s="99" t="s">
        <v>4</v>
      </c>
      <c r="K276" s="99" t="s">
        <v>4</v>
      </c>
      <c r="L276" s="101"/>
      <c r="M276" s="104" t="str">
        <f>IF(Main[[#This Row],[Tech Start Date]]&lt;1/1/1990,"",IF(Main[[#This Row],[Class]]="C",WORKDAY(Main[[#This Row],[Tech Start Date]],9),IF(Main[[#This Row],[Class]]="B", WORKDAY(Main[[#This Row],[Tech Start Date]],6),IF(Main[[#This Row],[Class]]="A",WORKDAY(Main[[#This Row],[Tech Start Date]],2),""))))</f>
        <v/>
      </c>
      <c r="N276" s="104" t="str">
        <f>IF(Main[[#This Row],[Tech Start Date]]&lt;1/1/1990,"",IF(Main[[#This Row],[Class]]="C",WORKDAY(Main[[#This Row],[Tech Start Date]],19),IF(Main[[#This Row],[Class]]="B", WORKDAY(Main[[#This Row],[Tech Start Date]],12),IF(Main[[#This Row],[Class]]="A",WORKDAY(Main[[#This Row],[Tech Start Date]],4),""))))</f>
        <v/>
      </c>
      <c r="O276" s="104" t="str">
        <f>IF(Main[[#This Row],[Tech Start Date]]&lt;1/1/1990,"",IF(Main[[#This Row],[Class]]="C",WORKDAY(Main[[#This Row],[Tech Start Date]],23),IF(Main[[#This Row],[Class]]="B", WORKDAY(Main[[#This Row],[Tech Start Date]],15),IF(Main[[#This Row],[Class]]="A",WORKDAY(Main[[#This Row],[Tech Start Date]],5),""))))</f>
        <v/>
      </c>
      <c r="P276" s="104" t="str">
        <f>IF(Main[[#This Row],[Tech Start Date]]&lt;1/1/1990,"",IF(Main[[#This Row],[Class]]="C",WORKDAY(Main[[#This Row],[Tech Start Date]],28),IF(Main[[#This Row],[Class]]="B", WORKDAY(Main[[#This Row],[Tech Start Date]],19),IF(Main[[#This Row],[Class]]="A",WORKDAY(Main[[#This Row],[Tech Start Date]],9),""))))</f>
        <v/>
      </c>
      <c r="Q276" s="101">
        <v>40385</v>
      </c>
      <c r="R276" s="101"/>
      <c r="S276" s="99" t="s">
        <v>6</v>
      </c>
      <c r="T276" s="107" t="s">
        <v>4</v>
      </c>
      <c r="U276" s="99" t="s">
        <v>7</v>
      </c>
      <c r="V276" s="99" t="s">
        <v>1962</v>
      </c>
      <c r="W276" s="99" t="s">
        <v>1964</v>
      </c>
    </row>
    <row r="277" spans="1:23" ht="18.600000000000001" customHeight="1">
      <c r="A277" s="123" t="str">
        <f>IF(priority(Main[[#This Row],[Comments]])&lt;&gt;0, priority(Main[[#This Row],[Comments]]),"")</f>
        <v/>
      </c>
      <c r="B277" s="127" t="s">
        <v>1173</v>
      </c>
      <c r="C277" s="99" t="s">
        <v>53</v>
      </c>
      <c r="D277" s="100" t="s">
        <v>196</v>
      </c>
      <c r="E277" s="101"/>
      <c r="F277" s="101"/>
      <c r="G277" s="102" t="str">
        <f>IF(stdProdLT(Main[[#This Row],[Comments]])=0.1,"N/A",IF(stdProdLT(Main[[#This Row],[Comments]])=0,"",stdProdLT(Main[[#This Row],[Comments]])))</f>
        <v/>
      </c>
      <c r="H277" s="103" t="str">
        <f>IF(AND(Main[[#This Row],[In Stock Date]]&lt;&gt;"",Main[[#This Row],[Revised Due Date]]&lt;&gt;""),Main[[#This Row],[In Stock Date]]-Main[[#This Row],[Revised Due Date]],"")</f>
        <v/>
      </c>
      <c r="I277" s="99" t="s">
        <v>4</v>
      </c>
      <c r="J277" s="99" t="s">
        <v>28</v>
      </c>
      <c r="K277" s="99" t="s">
        <v>1969</v>
      </c>
      <c r="L277" s="101"/>
      <c r="M277" s="104" t="str">
        <f>IF(Main[[#This Row],[Tech Start Date]]&lt;1/1/1990,"",IF(Main[[#This Row],[Class]]="C",WORKDAY(Main[[#This Row],[Tech Start Date]],9),IF(Main[[#This Row],[Class]]="B", WORKDAY(Main[[#This Row],[Tech Start Date]],6),IF(Main[[#This Row],[Class]]="A",WORKDAY(Main[[#This Row],[Tech Start Date]],2),""))))</f>
        <v/>
      </c>
      <c r="N277" s="104" t="str">
        <f>IF(Main[[#This Row],[Tech Start Date]]&lt;1/1/1990,"",IF(Main[[#This Row],[Class]]="C",WORKDAY(Main[[#This Row],[Tech Start Date]],19),IF(Main[[#This Row],[Class]]="B", WORKDAY(Main[[#This Row],[Tech Start Date]],12),IF(Main[[#This Row],[Class]]="A",WORKDAY(Main[[#This Row],[Tech Start Date]],4),""))))</f>
        <v/>
      </c>
      <c r="O277" s="104" t="str">
        <f>IF(Main[[#This Row],[Tech Start Date]]&lt;1/1/1990,"",IF(Main[[#This Row],[Class]]="C",WORKDAY(Main[[#This Row],[Tech Start Date]],23),IF(Main[[#This Row],[Class]]="B", WORKDAY(Main[[#This Row],[Tech Start Date]],15),IF(Main[[#This Row],[Class]]="A",WORKDAY(Main[[#This Row],[Tech Start Date]],5),""))))</f>
        <v/>
      </c>
      <c r="P277" s="104" t="str">
        <f>IF(Main[[#This Row],[Tech Start Date]]&lt;1/1/1990,"",IF(Main[[#This Row],[Class]]="C",WORKDAY(Main[[#This Row],[Tech Start Date]],28),IF(Main[[#This Row],[Class]]="B", WORKDAY(Main[[#This Row],[Tech Start Date]],19),IF(Main[[#This Row],[Class]]="A",WORKDAY(Main[[#This Row],[Tech Start Date]],9),""))))</f>
        <v/>
      </c>
      <c r="Q277" s="101">
        <v>40581</v>
      </c>
      <c r="R277" s="101"/>
      <c r="S277" s="99" t="s">
        <v>11</v>
      </c>
      <c r="T277" s="107" t="s">
        <v>4</v>
      </c>
      <c r="U277" s="99" t="s">
        <v>14</v>
      </c>
      <c r="V277" s="99" t="s">
        <v>1963</v>
      </c>
      <c r="W277" s="99" t="s">
        <v>1964</v>
      </c>
    </row>
    <row r="278" spans="1:23" ht="18.600000000000001" customHeight="1">
      <c r="A278" s="123" t="str">
        <f>IF(priority(Main[[#This Row],[Comments]])&lt;&gt;0, priority(Main[[#This Row],[Comments]]),"")</f>
        <v/>
      </c>
      <c r="B278" s="127" t="s">
        <v>1885</v>
      </c>
      <c r="C278" s="99" t="s">
        <v>4</v>
      </c>
      <c r="D278" s="100" t="s">
        <v>916</v>
      </c>
      <c r="E278" s="101"/>
      <c r="F278" s="101"/>
      <c r="G278" s="102" t="str">
        <f>IF(stdProdLT(Main[[#This Row],[Comments]])=0.1,"N/A",IF(stdProdLT(Main[[#This Row],[Comments]])=0,"",stdProdLT(Main[[#This Row],[Comments]])))</f>
        <v/>
      </c>
      <c r="H278" s="103" t="str">
        <f>IF(AND(Main[[#This Row],[In Stock Date]]&lt;&gt;"",Main[[#This Row],[Revised Due Date]]&lt;&gt;""),Main[[#This Row],[In Stock Date]]-Main[[#This Row],[Revised Due Date]],"")</f>
        <v/>
      </c>
      <c r="I278" s="99" t="s">
        <v>102</v>
      </c>
      <c r="J278" s="99" t="s">
        <v>52</v>
      </c>
      <c r="K278" s="99" t="s">
        <v>1971</v>
      </c>
      <c r="L278" s="101"/>
      <c r="M278" s="104" t="str">
        <f>IF(Main[[#This Row],[Tech Start Date]]&lt;1/1/1990,"",IF(Main[[#This Row],[Class]]="C",WORKDAY(Main[[#This Row],[Tech Start Date]],9),IF(Main[[#This Row],[Class]]="B", WORKDAY(Main[[#This Row],[Tech Start Date]],6),IF(Main[[#This Row],[Class]]="A",WORKDAY(Main[[#This Row],[Tech Start Date]],2),""))))</f>
        <v/>
      </c>
      <c r="N278" s="104" t="str">
        <f>IF(Main[[#This Row],[Tech Start Date]]&lt;1/1/1990,"",IF(Main[[#This Row],[Class]]="C",WORKDAY(Main[[#This Row],[Tech Start Date]],19),IF(Main[[#This Row],[Class]]="B", WORKDAY(Main[[#This Row],[Tech Start Date]],12),IF(Main[[#This Row],[Class]]="A",WORKDAY(Main[[#This Row],[Tech Start Date]],4),""))))</f>
        <v/>
      </c>
      <c r="O278" s="104" t="str">
        <f>IF(Main[[#This Row],[Tech Start Date]]&lt;1/1/1990,"",IF(Main[[#This Row],[Class]]="C",WORKDAY(Main[[#This Row],[Tech Start Date]],23),IF(Main[[#This Row],[Class]]="B", WORKDAY(Main[[#This Row],[Tech Start Date]],15),IF(Main[[#This Row],[Class]]="A",WORKDAY(Main[[#This Row],[Tech Start Date]],5),""))))</f>
        <v/>
      </c>
      <c r="P278" s="104" t="str">
        <f>IF(Main[[#This Row],[Tech Start Date]]&lt;1/1/1990,"",IF(Main[[#This Row],[Class]]="C",WORKDAY(Main[[#This Row],[Tech Start Date]],28),IF(Main[[#This Row],[Class]]="B", WORKDAY(Main[[#This Row],[Tech Start Date]],19),IF(Main[[#This Row],[Class]]="A",WORKDAY(Main[[#This Row],[Tech Start Date]],9),""))))</f>
        <v/>
      </c>
      <c r="Q278" s="101"/>
      <c r="R278" s="101">
        <v>40494</v>
      </c>
      <c r="S278" s="99" t="s">
        <v>6</v>
      </c>
      <c r="T278" s="107" t="s">
        <v>4</v>
      </c>
      <c r="U278" s="99" t="s">
        <v>14</v>
      </c>
      <c r="V278" s="99" t="s">
        <v>1962</v>
      </c>
      <c r="W278" s="99" t="s">
        <v>1976</v>
      </c>
    </row>
    <row r="279" spans="1:23" ht="18.600000000000001" customHeight="1">
      <c r="A279" s="123" t="str">
        <f>IF(priority(Main[[#This Row],[Comments]])&lt;&gt;0, priority(Main[[#This Row],[Comments]]),"")</f>
        <v/>
      </c>
      <c r="B279" s="127" t="s">
        <v>1192</v>
      </c>
      <c r="C279" s="99" t="s">
        <v>4</v>
      </c>
      <c r="D279" s="100" t="s">
        <v>2442</v>
      </c>
      <c r="E279" s="101">
        <v>40436.507916666669</v>
      </c>
      <c r="F279" s="101"/>
      <c r="G279" s="102" t="str">
        <f>IF(stdProdLT(Main[[#This Row],[Comments]])=0.1,"N/A",IF(stdProdLT(Main[[#This Row],[Comments]])=0,"",stdProdLT(Main[[#This Row],[Comments]])))</f>
        <v/>
      </c>
      <c r="H279" s="103" t="str">
        <f>IF(AND(Main[[#This Row],[In Stock Date]]&lt;&gt;"",Main[[#This Row],[Revised Due Date]]&lt;&gt;""),Main[[#This Row],[In Stock Date]]-Main[[#This Row],[Revised Due Date]],"")</f>
        <v/>
      </c>
      <c r="I279" s="99" t="s">
        <v>929</v>
      </c>
      <c r="J279" s="99" t="s">
        <v>52</v>
      </c>
      <c r="K279" s="99" t="s">
        <v>4</v>
      </c>
      <c r="L279" s="101"/>
      <c r="M279" s="104" t="str">
        <f>IF(Main[[#This Row],[Tech Start Date]]&lt;1/1/1990,"",IF(Main[[#This Row],[Class]]="C",WORKDAY(Main[[#This Row],[Tech Start Date]],9),IF(Main[[#This Row],[Class]]="B", WORKDAY(Main[[#This Row],[Tech Start Date]],6),IF(Main[[#This Row],[Class]]="A",WORKDAY(Main[[#This Row],[Tech Start Date]],2),""))))</f>
        <v/>
      </c>
      <c r="N279" s="104" t="str">
        <f>IF(Main[[#This Row],[Tech Start Date]]&lt;1/1/1990,"",IF(Main[[#This Row],[Class]]="C",WORKDAY(Main[[#This Row],[Tech Start Date]],19),IF(Main[[#This Row],[Class]]="B", WORKDAY(Main[[#This Row],[Tech Start Date]],12),IF(Main[[#This Row],[Class]]="A",WORKDAY(Main[[#This Row],[Tech Start Date]],4),""))))</f>
        <v/>
      </c>
      <c r="O279" s="104" t="str">
        <f>IF(Main[[#This Row],[Tech Start Date]]&lt;1/1/1990,"",IF(Main[[#This Row],[Class]]="C",WORKDAY(Main[[#This Row],[Tech Start Date]],23),IF(Main[[#This Row],[Class]]="B", WORKDAY(Main[[#This Row],[Tech Start Date]],15),IF(Main[[#This Row],[Class]]="A",WORKDAY(Main[[#This Row],[Tech Start Date]],5),""))))</f>
        <v/>
      </c>
      <c r="P279" s="104" t="str">
        <f>IF(Main[[#This Row],[Tech Start Date]]&lt;1/1/1990,"",IF(Main[[#This Row],[Class]]="C",WORKDAY(Main[[#This Row],[Tech Start Date]],28),IF(Main[[#This Row],[Class]]="B", WORKDAY(Main[[#This Row],[Tech Start Date]],19),IF(Main[[#This Row],[Class]]="A",WORKDAY(Main[[#This Row],[Tech Start Date]],9),""))))</f>
        <v/>
      </c>
      <c r="Q279" s="101">
        <v>40451</v>
      </c>
      <c r="R279" s="101"/>
      <c r="S279" s="99" t="s">
        <v>6</v>
      </c>
      <c r="T279" s="107" t="s">
        <v>4</v>
      </c>
      <c r="U279" s="99" t="s">
        <v>29</v>
      </c>
      <c r="V279" s="99" t="s">
        <v>1962</v>
      </c>
      <c r="W279" s="99" t="s">
        <v>1964</v>
      </c>
    </row>
    <row r="280" spans="1:23" ht="18.600000000000001" customHeight="1">
      <c r="A280" s="123" t="str">
        <f>IF(priority(Main[[#This Row],[Comments]])&lt;&gt;0, priority(Main[[#This Row],[Comments]]),"")</f>
        <v/>
      </c>
      <c r="B280" s="127" t="s">
        <v>2443</v>
      </c>
      <c r="C280" s="99" t="s">
        <v>4</v>
      </c>
      <c r="D280" s="100" t="s">
        <v>2444</v>
      </c>
      <c r="E280" s="101">
        <v>40833.619305555556</v>
      </c>
      <c r="F280" s="101"/>
      <c r="G280" s="102" t="str">
        <f>IF(stdProdLT(Main[[#This Row],[Comments]])=0.1,"N/A",IF(stdProdLT(Main[[#This Row],[Comments]])=0,"",stdProdLT(Main[[#This Row],[Comments]])))</f>
        <v/>
      </c>
      <c r="H280" s="103" t="str">
        <f>IF(AND(Main[[#This Row],[In Stock Date]]&lt;&gt;"",Main[[#This Row],[Revised Due Date]]&lt;&gt;""),Main[[#This Row],[In Stock Date]]-Main[[#This Row],[Revised Due Date]],"")</f>
        <v/>
      </c>
      <c r="I280" s="99" t="s">
        <v>536</v>
      </c>
      <c r="J280" s="99" t="s">
        <v>28</v>
      </c>
      <c r="K280" s="99" t="s">
        <v>1971</v>
      </c>
      <c r="L280" s="101"/>
      <c r="M280" s="104" t="str">
        <f>IF(Main[[#This Row],[Tech Start Date]]&lt;1/1/1990,"",IF(Main[[#This Row],[Class]]="C",WORKDAY(Main[[#This Row],[Tech Start Date]],9),IF(Main[[#This Row],[Class]]="B", WORKDAY(Main[[#This Row],[Tech Start Date]],6),IF(Main[[#This Row],[Class]]="A",WORKDAY(Main[[#This Row],[Tech Start Date]],2),""))))</f>
        <v/>
      </c>
      <c r="N280" s="104" t="str">
        <f>IF(Main[[#This Row],[Tech Start Date]]&lt;1/1/1990,"",IF(Main[[#This Row],[Class]]="C",WORKDAY(Main[[#This Row],[Tech Start Date]],19),IF(Main[[#This Row],[Class]]="B", WORKDAY(Main[[#This Row],[Tech Start Date]],12),IF(Main[[#This Row],[Class]]="A",WORKDAY(Main[[#This Row],[Tech Start Date]],4),""))))</f>
        <v/>
      </c>
      <c r="O280" s="104" t="str">
        <f>IF(Main[[#This Row],[Tech Start Date]]&lt;1/1/1990,"",IF(Main[[#This Row],[Class]]="C",WORKDAY(Main[[#This Row],[Tech Start Date]],23),IF(Main[[#This Row],[Class]]="B", WORKDAY(Main[[#This Row],[Tech Start Date]],15),IF(Main[[#This Row],[Class]]="A",WORKDAY(Main[[#This Row],[Tech Start Date]],5),""))))</f>
        <v/>
      </c>
      <c r="P280" s="104" t="str">
        <f>IF(Main[[#This Row],[Tech Start Date]]&lt;1/1/1990,"",IF(Main[[#This Row],[Class]]="C",WORKDAY(Main[[#This Row],[Tech Start Date]],28),IF(Main[[#This Row],[Class]]="B", WORKDAY(Main[[#This Row],[Tech Start Date]],19),IF(Main[[#This Row],[Class]]="A",WORKDAY(Main[[#This Row],[Tech Start Date]],9),""))))</f>
        <v/>
      </c>
      <c r="Q280" s="101">
        <v>40923</v>
      </c>
      <c r="R280" s="101"/>
      <c r="S280" s="99" t="s">
        <v>6</v>
      </c>
      <c r="T280" s="107" t="s">
        <v>4</v>
      </c>
      <c r="U280" s="99" t="s">
        <v>29</v>
      </c>
      <c r="V280" s="99" t="s">
        <v>1965</v>
      </c>
      <c r="W280" s="99" t="s">
        <v>1966</v>
      </c>
    </row>
    <row r="281" spans="1:23" ht="18.600000000000001" customHeight="1">
      <c r="A281" s="123" t="str">
        <f>IF(priority(Main[[#This Row],[Comments]])&lt;&gt;0, priority(Main[[#This Row],[Comments]]),"")</f>
        <v/>
      </c>
      <c r="B281" s="127" t="s">
        <v>1340</v>
      </c>
      <c r="C281" s="99" t="s">
        <v>47</v>
      </c>
      <c r="D281" s="100" t="s">
        <v>2064</v>
      </c>
      <c r="E281" s="101">
        <v>39952.315729166665</v>
      </c>
      <c r="F281" s="101"/>
      <c r="G281" s="102" t="str">
        <f>IF(stdProdLT(Main[[#This Row],[Comments]])=0.1,"N/A",IF(stdProdLT(Main[[#This Row],[Comments]])=0,"",stdProdLT(Main[[#This Row],[Comments]])))</f>
        <v/>
      </c>
      <c r="H281" s="103" t="str">
        <f>IF(AND(Main[[#This Row],[In Stock Date]]&lt;&gt;"",Main[[#This Row],[Revised Due Date]]&lt;&gt;""),Main[[#This Row],[In Stock Date]]-Main[[#This Row],[Revised Due Date]],"")</f>
        <v/>
      </c>
      <c r="I281" s="99" t="s">
        <v>2065</v>
      </c>
      <c r="J281" s="99" t="s">
        <v>28</v>
      </c>
      <c r="K281" s="99" t="s">
        <v>4</v>
      </c>
      <c r="L281" s="101"/>
      <c r="M281" s="104" t="str">
        <f>IF(Main[[#This Row],[Tech Start Date]]&lt;1/1/1990,"",IF(Main[[#This Row],[Class]]="C",WORKDAY(Main[[#This Row],[Tech Start Date]],9),IF(Main[[#This Row],[Class]]="B", WORKDAY(Main[[#This Row],[Tech Start Date]],6),IF(Main[[#This Row],[Class]]="A",WORKDAY(Main[[#This Row],[Tech Start Date]],2),""))))</f>
        <v/>
      </c>
      <c r="N281" s="104" t="str">
        <f>IF(Main[[#This Row],[Tech Start Date]]&lt;1/1/1990,"",IF(Main[[#This Row],[Class]]="C",WORKDAY(Main[[#This Row],[Tech Start Date]],19),IF(Main[[#This Row],[Class]]="B", WORKDAY(Main[[#This Row],[Tech Start Date]],12),IF(Main[[#This Row],[Class]]="A",WORKDAY(Main[[#This Row],[Tech Start Date]],4),""))))</f>
        <v/>
      </c>
      <c r="O281" s="104" t="str">
        <f>IF(Main[[#This Row],[Tech Start Date]]&lt;1/1/1990,"",IF(Main[[#This Row],[Class]]="C",WORKDAY(Main[[#This Row],[Tech Start Date]],23),IF(Main[[#This Row],[Class]]="B", WORKDAY(Main[[#This Row],[Tech Start Date]],15),IF(Main[[#This Row],[Class]]="A",WORKDAY(Main[[#This Row],[Tech Start Date]],5),""))))</f>
        <v/>
      </c>
      <c r="P281" s="104" t="str">
        <f>IF(Main[[#This Row],[Tech Start Date]]&lt;1/1/1990,"",IF(Main[[#This Row],[Class]]="C",WORKDAY(Main[[#This Row],[Tech Start Date]],28),IF(Main[[#This Row],[Class]]="B", WORKDAY(Main[[#This Row],[Tech Start Date]],19),IF(Main[[#This Row],[Class]]="A",WORKDAY(Main[[#This Row],[Tech Start Date]],9),""))))</f>
        <v/>
      </c>
      <c r="Q281" s="101"/>
      <c r="R281" s="101"/>
      <c r="S281" s="99" t="s">
        <v>17</v>
      </c>
      <c r="T281" s="107" t="s">
        <v>4</v>
      </c>
      <c r="U281" s="99" t="s">
        <v>7</v>
      </c>
      <c r="V281" s="99" t="s">
        <v>1977</v>
      </c>
      <c r="W281" s="99" t="s">
        <v>1967</v>
      </c>
    </row>
    <row r="282" spans="1:23" ht="18.600000000000001" customHeight="1">
      <c r="A282" s="123" t="str">
        <f>IF(priority(Main[[#This Row],[Comments]])&lt;&gt;0, priority(Main[[#This Row],[Comments]]),"")</f>
        <v/>
      </c>
      <c r="B282" s="127" t="s">
        <v>1187</v>
      </c>
      <c r="C282" s="99" t="s">
        <v>4</v>
      </c>
      <c r="D282" s="100" t="s">
        <v>212</v>
      </c>
      <c r="E282" s="101"/>
      <c r="F282" s="101"/>
      <c r="G282" s="102" t="str">
        <f>IF(stdProdLT(Main[[#This Row],[Comments]])=0.1,"N/A",IF(stdProdLT(Main[[#This Row],[Comments]])=0,"",stdProdLT(Main[[#This Row],[Comments]])))</f>
        <v/>
      </c>
      <c r="H282" s="103" t="str">
        <f>IF(AND(Main[[#This Row],[In Stock Date]]&lt;&gt;"",Main[[#This Row],[Revised Due Date]]&lt;&gt;""),Main[[#This Row],[In Stock Date]]-Main[[#This Row],[Revised Due Date]],"")</f>
        <v/>
      </c>
      <c r="I282" s="99" t="s">
        <v>4</v>
      </c>
      <c r="J282" s="99" t="s">
        <v>4</v>
      </c>
      <c r="K282" s="99" t="s">
        <v>4</v>
      </c>
      <c r="L282" s="101"/>
      <c r="M282" s="104" t="str">
        <f>IF(Main[[#This Row],[Tech Start Date]]&lt;1/1/1990,"",IF(Main[[#This Row],[Class]]="C",WORKDAY(Main[[#This Row],[Tech Start Date]],9),IF(Main[[#This Row],[Class]]="B", WORKDAY(Main[[#This Row],[Tech Start Date]],6),IF(Main[[#This Row],[Class]]="A",WORKDAY(Main[[#This Row],[Tech Start Date]],2),""))))</f>
        <v/>
      </c>
      <c r="N282" s="104" t="str">
        <f>IF(Main[[#This Row],[Tech Start Date]]&lt;1/1/1990,"",IF(Main[[#This Row],[Class]]="C",WORKDAY(Main[[#This Row],[Tech Start Date]],19),IF(Main[[#This Row],[Class]]="B", WORKDAY(Main[[#This Row],[Tech Start Date]],12),IF(Main[[#This Row],[Class]]="A",WORKDAY(Main[[#This Row],[Tech Start Date]],4),""))))</f>
        <v/>
      </c>
      <c r="O282" s="104" t="str">
        <f>IF(Main[[#This Row],[Tech Start Date]]&lt;1/1/1990,"",IF(Main[[#This Row],[Class]]="C",WORKDAY(Main[[#This Row],[Tech Start Date]],23),IF(Main[[#This Row],[Class]]="B", WORKDAY(Main[[#This Row],[Tech Start Date]],15),IF(Main[[#This Row],[Class]]="A",WORKDAY(Main[[#This Row],[Tech Start Date]],5),""))))</f>
        <v/>
      </c>
      <c r="P282" s="104" t="str">
        <f>IF(Main[[#This Row],[Tech Start Date]]&lt;1/1/1990,"",IF(Main[[#This Row],[Class]]="C",WORKDAY(Main[[#This Row],[Tech Start Date]],28),IF(Main[[#This Row],[Class]]="B", WORKDAY(Main[[#This Row],[Tech Start Date]],19),IF(Main[[#This Row],[Class]]="A",WORKDAY(Main[[#This Row],[Tech Start Date]],9),""))))</f>
        <v/>
      </c>
      <c r="Q282" s="101"/>
      <c r="R282" s="101"/>
      <c r="S282" s="99" t="s">
        <v>23</v>
      </c>
      <c r="T282" s="107" t="s">
        <v>4</v>
      </c>
      <c r="U282" s="99" t="s">
        <v>14</v>
      </c>
      <c r="V282" s="99" t="s">
        <v>1965</v>
      </c>
      <c r="W282" s="99" t="s">
        <v>1966</v>
      </c>
    </row>
    <row r="283" spans="1:23" ht="18.600000000000001" customHeight="1">
      <c r="A283" s="123" t="str">
        <f>IF(priority(Main[[#This Row],[Comments]])&lt;&gt;0, priority(Main[[#This Row],[Comments]]),"")</f>
        <v/>
      </c>
      <c r="B283" s="127" t="s">
        <v>1188</v>
      </c>
      <c r="C283" s="99" t="s">
        <v>4</v>
      </c>
      <c r="D283" s="100" t="s">
        <v>213</v>
      </c>
      <c r="E283" s="101"/>
      <c r="F283" s="101"/>
      <c r="G283" s="102" t="str">
        <f>IF(stdProdLT(Main[[#This Row],[Comments]])=0.1,"N/A",IF(stdProdLT(Main[[#This Row],[Comments]])=0,"",stdProdLT(Main[[#This Row],[Comments]])))</f>
        <v/>
      </c>
      <c r="H283" s="103" t="str">
        <f>IF(AND(Main[[#This Row],[In Stock Date]]&lt;&gt;"",Main[[#This Row],[Revised Due Date]]&lt;&gt;""),Main[[#This Row],[In Stock Date]]-Main[[#This Row],[Revised Due Date]],"")</f>
        <v/>
      </c>
      <c r="I283" s="99" t="s">
        <v>4</v>
      </c>
      <c r="J283" s="99" t="s">
        <v>4</v>
      </c>
      <c r="K283" s="108" t="s">
        <v>4</v>
      </c>
      <c r="L283" s="101"/>
      <c r="M283" s="104" t="str">
        <f>IF(Main[[#This Row],[Tech Start Date]]&lt;1/1/1990,"",IF(Main[[#This Row],[Class]]="C",WORKDAY(Main[[#This Row],[Tech Start Date]],9),IF(Main[[#This Row],[Class]]="B", WORKDAY(Main[[#This Row],[Tech Start Date]],6),IF(Main[[#This Row],[Class]]="A",WORKDAY(Main[[#This Row],[Tech Start Date]],2),""))))</f>
        <v/>
      </c>
      <c r="N283" s="104" t="str">
        <f>IF(Main[[#This Row],[Tech Start Date]]&lt;1/1/1990,"",IF(Main[[#This Row],[Class]]="C",WORKDAY(Main[[#This Row],[Tech Start Date]],19),IF(Main[[#This Row],[Class]]="B", WORKDAY(Main[[#This Row],[Tech Start Date]],12),IF(Main[[#This Row],[Class]]="A",WORKDAY(Main[[#This Row],[Tech Start Date]],4),""))))</f>
        <v/>
      </c>
      <c r="O283" s="104" t="str">
        <f>IF(Main[[#This Row],[Tech Start Date]]&lt;1/1/1990,"",IF(Main[[#This Row],[Class]]="C",WORKDAY(Main[[#This Row],[Tech Start Date]],23),IF(Main[[#This Row],[Class]]="B", WORKDAY(Main[[#This Row],[Tech Start Date]],15),IF(Main[[#This Row],[Class]]="A",WORKDAY(Main[[#This Row],[Tech Start Date]],5),""))))</f>
        <v/>
      </c>
      <c r="P283" s="104" t="str">
        <f>IF(Main[[#This Row],[Tech Start Date]]&lt;1/1/1990,"",IF(Main[[#This Row],[Class]]="C",WORKDAY(Main[[#This Row],[Tech Start Date]],28),IF(Main[[#This Row],[Class]]="B", WORKDAY(Main[[#This Row],[Tech Start Date]],19),IF(Main[[#This Row],[Class]]="A",WORKDAY(Main[[#This Row],[Tech Start Date]],9),""))))</f>
        <v/>
      </c>
      <c r="Q283" s="101"/>
      <c r="R283" s="101"/>
      <c r="S283" s="99" t="s">
        <v>23</v>
      </c>
      <c r="T283" s="107" t="s">
        <v>4</v>
      </c>
      <c r="U283" s="99" t="s">
        <v>14</v>
      </c>
      <c r="V283" s="99" t="s">
        <v>1965</v>
      </c>
      <c r="W283" s="99" t="s">
        <v>1966</v>
      </c>
    </row>
    <row r="284" spans="1:23" ht="18.600000000000001" customHeight="1">
      <c r="A284" s="123" t="str">
        <f>IF(priority(Main[[#This Row],[Comments]])&lt;&gt;0, priority(Main[[#This Row],[Comments]]),"")</f>
        <v/>
      </c>
      <c r="B284" s="127" t="s">
        <v>1253</v>
      </c>
      <c r="C284" s="99" t="s">
        <v>282</v>
      </c>
      <c r="D284" s="100" t="s">
        <v>283</v>
      </c>
      <c r="E284" s="101"/>
      <c r="F284" s="101">
        <v>40680</v>
      </c>
      <c r="G284" s="102" t="str">
        <f>IF(stdProdLT(Main[[#This Row],[Comments]])=0.1,"N/A",IF(stdProdLT(Main[[#This Row],[Comments]])=0,"",stdProdLT(Main[[#This Row],[Comments]])))</f>
        <v/>
      </c>
      <c r="H284" s="103" t="str">
        <f>IF(AND(Main[[#This Row],[In Stock Date]]&lt;&gt;"",Main[[#This Row],[Revised Due Date]]&lt;&gt;""),Main[[#This Row],[In Stock Date]]-Main[[#This Row],[Revised Due Date]],"")</f>
        <v/>
      </c>
      <c r="I284" s="99" t="s">
        <v>4</v>
      </c>
      <c r="J284" s="99" t="s">
        <v>28</v>
      </c>
      <c r="K284" s="99" t="s">
        <v>4</v>
      </c>
      <c r="L284" s="101"/>
      <c r="M284" s="104" t="str">
        <f>IF(Main[[#This Row],[Tech Start Date]]&lt;1/1/1990,"",IF(Main[[#This Row],[Class]]="C",WORKDAY(Main[[#This Row],[Tech Start Date]],9),IF(Main[[#This Row],[Class]]="B", WORKDAY(Main[[#This Row],[Tech Start Date]],6),IF(Main[[#This Row],[Class]]="A",WORKDAY(Main[[#This Row],[Tech Start Date]],2),""))))</f>
        <v/>
      </c>
      <c r="N284" s="104" t="str">
        <f>IF(Main[[#This Row],[Tech Start Date]]&lt;1/1/1990,"",IF(Main[[#This Row],[Class]]="C",WORKDAY(Main[[#This Row],[Tech Start Date]],19),IF(Main[[#This Row],[Class]]="B", WORKDAY(Main[[#This Row],[Tech Start Date]],12),IF(Main[[#This Row],[Class]]="A",WORKDAY(Main[[#This Row],[Tech Start Date]],4),""))))</f>
        <v/>
      </c>
      <c r="O284" s="104" t="str">
        <f>IF(Main[[#This Row],[Tech Start Date]]&lt;1/1/1990,"",IF(Main[[#This Row],[Class]]="C",WORKDAY(Main[[#This Row],[Tech Start Date]],23),IF(Main[[#This Row],[Class]]="B", WORKDAY(Main[[#This Row],[Tech Start Date]],15),IF(Main[[#This Row],[Class]]="A",WORKDAY(Main[[#This Row],[Tech Start Date]],5),""))))</f>
        <v/>
      </c>
      <c r="P284" s="104" t="str">
        <f>IF(Main[[#This Row],[Tech Start Date]]&lt;1/1/1990,"",IF(Main[[#This Row],[Class]]="C",WORKDAY(Main[[#This Row],[Tech Start Date]],28),IF(Main[[#This Row],[Class]]="B", WORKDAY(Main[[#This Row],[Tech Start Date]],19),IF(Main[[#This Row],[Class]]="A",WORKDAY(Main[[#This Row],[Tech Start Date]],9),""))))</f>
        <v/>
      </c>
      <c r="Q284" s="101">
        <v>40540</v>
      </c>
      <c r="R284" s="101"/>
      <c r="S284" s="99" t="s">
        <v>11</v>
      </c>
      <c r="T284" s="107" t="s">
        <v>4</v>
      </c>
      <c r="U284" s="99" t="s">
        <v>14</v>
      </c>
      <c r="V284" s="99" t="s">
        <v>1963</v>
      </c>
      <c r="W284" s="99" t="s">
        <v>1967</v>
      </c>
    </row>
    <row r="285" spans="1:23" ht="18.600000000000001" customHeight="1">
      <c r="A285" s="123" t="str">
        <f>IF(priority(Main[[#This Row],[Comments]])&lt;&gt;0, priority(Main[[#This Row],[Comments]]),"")</f>
        <v/>
      </c>
      <c r="B285" s="127" t="s">
        <v>2248</v>
      </c>
      <c r="C285" s="99" t="s">
        <v>4</v>
      </c>
      <c r="D285" s="100" t="s">
        <v>2249</v>
      </c>
      <c r="E285" s="101"/>
      <c r="F285" s="101"/>
      <c r="G285" s="102" t="str">
        <f>IF(stdProdLT(Main[[#This Row],[Comments]])=0.1,"N/A",IF(stdProdLT(Main[[#This Row],[Comments]])=0,"",stdProdLT(Main[[#This Row],[Comments]])))</f>
        <v/>
      </c>
      <c r="H285" s="103" t="str">
        <f>IF(AND(Main[[#This Row],[In Stock Date]]&lt;&gt;"",Main[[#This Row],[Revised Due Date]]&lt;&gt;""),Main[[#This Row],[In Stock Date]]-Main[[#This Row],[Revised Due Date]],"")</f>
        <v/>
      </c>
      <c r="I285" s="99" t="s">
        <v>4</v>
      </c>
      <c r="J285" s="99" t="s">
        <v>4</v>
      </c>
      <c r="K285" s="99" t="s">
        <v>4</v>
      </c>
      <c r="L285" s="101"/>
      <c r="M285" s="104" t="str">
        <f>IF(Main[[#This Row],[Tech Start Date]]&lt;1/1/1990,"",IF(Main[[#This Row],[Class]]="C",WORKDAY(Main[[#This Row],[Tech Start Date]],9),IF(Main[[#This Row],[Class]]="B", WORKDAY(Main[[#This Row],[Tech Start Date]],6),IF(Main[[#This Row],[Class]]="A",WORKDAY(Main[[#This Row],[Tech Start Date]],2),""))))</f>
        <v/>
      </c>
      <c r="N285" s="104" t="str">
        <f>IF(Main[[#This Row],[Tech Start Date]]&lt;1/1/1990,"",IF(Main[[#This Row],[Class]]="C",WORKDAY(Main[[#This Row],[Tech Start Date]],19),IF(Main[[#This Row],[Class]]="B", WORKDAY(Main[[#This Row],[Tech Start Date]],12),IF(Main[[#This Row],[Class]]="A",WORKDAY(Main[[#This Row],[Tech Start Date]],4),""))))</f>
        <v/>
      </c>
      <c r="O285" s="104" t="str">
        <f>IF(Main[[#This Row],[Tech Start Date]]&lt;1/1/1990,"",IF(Main[[#This Row],[Class]]="C",WORKDAY(Main[[#This Row],[Tech Start Date]],23),IF(Main[[#This Row],[Class]]="B", WORKDAY(Main[[#This Row],[Tech Start Date]],15),IF(Main[[#This Row],[Class]]="A",WORKDAY(Main[[#This Row],[Tech Start Date]],5),""))))</f>
        <v/>
      </c>
      <c r="P285" s="104" t="str">
        <f>IF(Main[[#This Row],[Tech Start Date]]&lt;1/1/1990,"",IF(Main[[#This Row],[Class]]="C",WORKDAY(Main[[#This Row],[Tech Start Date]],28),IF(Main[[#This Row],[Class]]="B", WORKDAY(Main[[#This Row],[Tech Start Date]],19),IF(Main[[#This Row],[Class]]="A",WORKDAY(Main[[#This Row],[Tech Start Date]],9),""))))</f>
        <v/>
      </c>
      <c r="Q285" s="101"/>
      <c r="R285" s="101"/>
      <c r="S285" s="99" t="s">
        <v>6</v>
      </c>
      <c r="T285" s="107" t="s">
        <v>4</v>
      </c>
      <c r="U285" s="99" t="s">
        <v>14</v>
      </c>
      <c r="V285" s="99" t="s">
        <v>1962</v>
      </c>
      <c r="W285" s="99" t="s">
        <v>1964</v>
      </c>
    </row>
    <row r="286" spans="1:23" ht="18.600000000000001" customHeight="1">
      <c r="A286" s="123" t="str">
        <f>IF(priority(Main[[#This Row],[Comments]])&lt;&gt;0, priority(Main[[#This Row],[Comments]]),"")</f>
        <v/>
      </c>
      <c r="B286" s="127" t="s">
        <v>1174</v>
      </c>
      <c r="C286" s="99" t="s">
        <v>93</v>
      </c>
      <c r="D286" s="100" t="s">
        <v>197</v>
      </c>
      <c r="E286" s="101"/>
      <c r="F286" s="101">
        <v>40203</v>
      </c>
      <c r="G286" s="102" t="str">
        <f>IF(stdProdLT(Main[[#This Row],[Comments]])=0.1,"N/A",IF(stdProdLT(Main[[#This Row],[Comments]])=0,"",stdProdLT(Main[[#This Row],[Comments]])))</f>
        <v/>
      </c>
      <c r="H286" s="103" t="str">
        <f>IF(AND(Main[[#This Row],[In Stock Date]]&lt;&gt;"",Main[[#This Row],[Revised Due Date]]&lt;&gt;""),Main[[#This Row],[In Stock Date]]-Main[[#This Row],[Revised Due Date]],"")</f>
        <v/>
      </c>
      <c r="I286" s="99" t="s">
        <v>4</v>
      </c>
      <c r="J286" s="99" t="s">
        <v>4</v>
      </c>
      <c r="K286" s="99" t="s">
        <v>4</v>
      </c>
      <c r="L286" s="101"/>
      <c r="M286" s="104" t="str">
        <f>IF(Main[[#This Row],[Tech Start Date]]&lt;1/1/1990,"",IF(Main[[#This Row],[Class]]="C",WORKDAY(Main[[#This Row],[Tech Start Date]],9),IF(Main[[#This Row],[Class]]="B", WORKDAY(Main[[#This Row],[Tech Start Date]],6),IF(Main[[#This Row],[Class]]="A",WORKDAY(Main[[#This Row],[Tech Start Date]],2),""))))</f>
        <v/>
      </c>
      <c r="N286" s="104" t="str">
        <f>IF(Main[[#This Row],[Tech Start Date]]&lt;1/1/1990,"",IF(Main[[#This Row],[Class]]="C",WORKDAY(Main[[#This Row],[Tech Start Date]],19),IF(Main[[#This Row],[Class]]="B", WORKDAY(Main[[#This Row],[Tech Start Date]],12),IF(Main[[#This Row],[Class]]="A",WORKDAY(Main[[#This Row],[Tech Start Date]],4),""))))</f>
        <v/>
      </c>
      <c r="O286" s="104" t="str">
        <f>IF(Main[[#This Row],[Tech Start Date]]&lt;1/1/1990,"",IF(Main[[#This Row],[Class]]="C",WORKDAY(Main[[#This Row],[Tech Start Date]],23),IF(Main[[#This Row],[Class]]="B", WORKDAY(Main[[#This Row],[Tech Start Date]],15),IF(Main[[#This Row],[Class]]="A",WORKDAY(Main[[#This Row],[Tech Start Date]],5),""))))</f>
        <v/>
      </c>
      <c r="P286" s="104" t="str">
        <f>IF(Main[[#This Row],[Tech Start Date]]&lt;1/1/1990,"",IF(Main[[#This Row],[Class]]="C",WORKDAY(Main[[#This Row],[Tech Start Date]],28),IF(Main[[#This Row],[Class]]="B", WORKDAY(Main[[#This Row],[Tech Start Date]],19),IF(Main[[#This Row],[Class]]="A",WORKDAY(Main[[#This Row],[Tech Start Date]],9),""))))</f>
        <v/>
      </c>
      <c r="Q286" s="101">
        <v>40046</v>
      </c>
      <c r="R286" s="101"/>
      <c r="S286" s="99" t="s">
        <v>11</v>
      </c>
      <c r="T286" s="107" t="s">
        <v>4</v>
      </c>
      <c r="U286" s="99" t="s">
        <v>14</v>
      </c>
      <c r="V286" s="99" t="s">
        <v>1962</v>
      </c>
      <c r="W286" s="99" t="s">
        <v>1968</v>
      </c>
    </row>
    <row r="287" spans="1:23" ht="18.600000000000001" customHeight="1">
      <c r="A287" s="123" t="str">
        <f>IF(priority(Main[[#This Row],[Comments]])&lt;&gt;0, priority(Main[[#This Row],[Comments]]),"")</f>
        <v/>
      </c>
      <c r="B287" s="127" t="s">
        <v>1175</v>
      </c>
      <c r="C287" s="99" t="s">
        <v>4</v>
      </c>
      <c r="D287" s="100" t="s">
        <v>198</v>
      </c>
      <c r="E287" s="101"/>
      <c r="F287" s="101"/>
      <c r="G287" s="102" t="str">
        <f>IF(stdProdLT(Main[[#This Row],[Comments]])=0.1,"N/A",IF(stdProdLT(Main[[#This Row],[Comments]])=0,"",stdProdLT(Main[[#This Row],[Comments]])))</f>
        <v/>
      </c>
      <c r="H287" s="103" t="str">
        <f>IF(AND(Main[[#This Row],[In Stock Date]]&lt;&gt;"",Main[[#This Row],[Revised Due Date]]&lt;&gt;""),Main[[#This Row],[In Stock Date]]-Main[[#This Row],[Revised Due Date]],"")</f>
        <v/>
      </c>
      <c r="I287" s="99" t="s">
        <v>4</v>
      </c>
      <c r="J287" s="99" t="s">
        <v>4</v>
      </c>
      <c r="K287" s="99" t="s">
        <v>4</v>
      </c>
      <c r="L287" s="101"/>
      <c r="M287" s="104" t="str">
        <f>IF(Main[[#This Row],[Tech Start Date]]&lt;1/1/1990,"",IF(Main[[#This Row],[Class]]="C",WORKDAY(Main[[#This Row],[Tech Start Date]],9),IF(Main[[#This Row],[Class]]="B", WORKDAY(Main[[#This Row],[Tech Start Date]],6),IF(Main[[#This Row],[Class]]="A",WORKDAY(Main[[#This Row],[Tech Start Date]],2),""))))</f>
        <v/>
      </c>
      <c r="N287" s="104" t="str">
        <f>IF(Main[[#This Row],[Tech Start Date]]&lt;1/1/1990,"",IF(Main[[#This Row],[Class]]="C",WORKDAY(Main[[#This Row],[Tech Start Date]],19),IF(Main[[#This Row],[Class]]="B", WORKDAY(Main[[#This Row],[Tech Start Date]],12),IF(Main[[#This Row],[Class]]="A",WORKDAY(Main[[#This Row],[Tech Start Date]],4),""))))</f>
        <v/>
      </c>
      <c r="O287" s="104" t="str">
        <f>IF(Main[[#This Row],[Tech Start Date]]&lt;1/1/1990,"",IF(Main[[#This Row],[Class]]="C",WORKDAY(Main[[#This Row],[Tech Start Date]],23),IF(Main[[#This Row],[Class]]="B", WORKDAY(Main[[#This Row],[Tech Start Date]],15),IF(Main[[#This Row],[Class]]="A",WORKDAY(Main[[#This Row],[Tech Start Date]],5),""))))</f>
        <v/>
      </c>
      <c r="P287" s="104" t="str">
        <f>IF(Main[[#This Row],[Tech Start Date]]&lt;1/1/1990,"",IF(Main[[#This Row],[Class]]="C",WORKDAY(Main[[#This Row],[Tech Start Date]],28),IF(Main[[#This Row],[Class]]="B", WORKDAY(Main[[#This Row],[Tech Start Date]],19),IF(Main[[#This Row],[Class]]="A",WORKDAY(Main[[#This Row],[Tech Start Date]],9),""))))</f>
        <v/>
      </c>
      <c r="Q287" s="101">
        <v>40543</v>
      </c>
      <c r="R287" s="101"/>
      <c r="S287" s="99" t="s">
        <v>11</v>
      </c>
      <c r="T287" s="107" t="s">
        <v>4</v>
      </c>
      <c r="U287" s="99" t="s">
        <v>14</v>
      </c>
      <c r="V287" s="99" t="s">
        <v>1962</v>
      </c>
      <c r="W287" s="99" t="s">
        <v>1973</v>
      </c>
    </row>
    <row r="288" spans="1:23" ht="18.600000000000001" customHeight="1">
      <c r="A288" s="123" t="str">
        <f>IF(priority(Main[[#This Row],[Comments]])&lt;&gt;0, priority(Main[[#This Row],[Comments]]),"")</f>
        <v/>
      </c>
      <c r="B288" s="127" t="s">
        <v>1176</v>
      </c>
      <c r="C288" s="99" t="s">
        <v>4</v>
      </c>
      <c r="D288" s="100" t="s">
        <v>199</v>
      </c>
      <c r="E288" s="101"/>
      <c r="F288" s="101"/>
      <c r="G288" s="102" t="str">
        <f>IF(stdProdLT(Main[[#This Row],[Comments]])=0.1,"N/A",IF(stdProdLT(Main[[#This Row],[Comments]])=0,"",stdProdLT(Main[[#This Row],[Comments]])))</f>
        <v/>
      </c>
      <c r="H288" s="103" t="str">
        <f>IF(AND(Main[[#This Row],[In Stock Date]]&lt;&gt;"",Main[[#This Row],[Revised Due Date]]&lt;&gt;""),Main[[#This Row],[In Stock Date]]-Main[[#This Row],[Revised Due Date]],"")</f>
        <v/>
      </c>
      <c r="I288" s="99" t="s">
        <v>4</v>
      </c>
      <c r="J288" s="99" t="s">
        <v>4</v>
      </c>
      <c r="K288" s="99" t="s">
        <v>4</v>
      </c>
      <c r="L288" s="101"/>
      <c r="M288" s="104" t="str">
        <f>IF(Main[[#This Row],[Tech Start Date]]&lt;1/1/1990,"",IF(Main[[#This Row],[Class]]="C",WORKDAY(Main[[#This Row],[Tech Start Date]],9),IF(Main[[#This Row],[Class]]="B", WORKDAY(Main[[#This Row],[Tech Start Date]],6),IF(Main[[#This Row],[Class]]="A",WORKDAY(Main[[#This Row],[Tech Start Date]],2),""))))</f>
        <v/>
      </c>
      <c r="N288" s="104" t="str">
        <f>IF(Main[[#This Row],[Tech Start Date]]&lt;1/1/1990,"",IF(Main[[#This Row],[Class]]="C",WORKDAY(Main[[#This Row],[Tech Start Date]],19),IF(Main[[#This Row],[Class]]="B", WORKDAY(Main[[#This Row],[Tech Start Date]],12),IF(Main[[#This Row],[Class]]="A",WORKDAY(Main[[#This Row],[Tech Start Date]],4),""))))</f>
        <v/>
      </c>
      <c r="O288" s="104" t="str">
        <f>IF(Main[[#This Row],[Tech Start Date]]&lt;1/1/1990,"",IF(Main[[#This Row],[Class]]="C",WORKDAY(Main[[#This Row],[Tech Start Date]],23),IF(Main[[#This Row],[Class]]="B", WORKDAY(Main[[#This Row],[Tech Start Date]],15),IF(Main[[#This Row],[Class]]="A",WORKDAY(Main[[#This Row],[Tech Start Date]],5),""))))</f>
        <v/>
      </c>
      <c r="P288" s="104" t="str">
        <f>IF(Main[[#This Row],[Tech Start Date]]&lt;1/1/1990,"",IF(Main[[#This Row],[Class]]="C",WORKDAY(Main[[#This Row],[Tech Start Date]],28),IF(Main[[#This Row],[Class]]="B", WORKDAY(Main[[#This Row],[Tech Start Date]],19),IF(Main[[#This Row],[Class]]="A",WORKDAY(Main[[#This Row],[Tech Start Date]],9),""))))</f>
        <v/>
      </c>
      <c r="Q288" s="101"/>
      <c r="R288" s="101"/>
      <c r="S288" s="99" t="s">
        <v>17</v>
      </c>
      <c r="T288" s="107" t="s">
        <v>4</v>
      </c>
      <c r="U288" s="99" t="s">
        <v>14</v>
      </c>
      <c r="V288" s="99" t="s">
        <v>1965</v>
      </c>
      <c r="W288" s="99" t="s">
        <v>1967</v>
      </c>
    </row>
    <row r="289" spans="1:23" ht="18.600000000000001" customHeight="1">
      <c r="A289" s="123" t="str">
        <f>IF(priority(Main[[#This Row],[Comments]])&lt;&gt;0, priority(Main[[#This Row],[Comments]]),"")</f>
        <v/>
      </c>
      <c r="B289" s="127" t="s">
        <v>1177</v>
      </c>
      <c r="C289" s="99" t="s">
        <v>200</v>
      </c>
      <c r="D289" s="100" t="s">
        <v>201</v>
      </c>
      <c r="E289" s="101"/>
      <c r="F289" s="101"/>
      <c r="G289" s="102" t="str">
        <f>IF(stdProdLT(Main[[#This Row],[Comments]])=0.1,"N/A",IF(stdProdLT(Main[[#This Row],[Comments]])=0,"",stdProdLT(Main[[#This Row],[Comments]])))</f>
        <v/>
      </c>
      <c r="H289" s="103" t="str">
        <f>IF(AND(Main[[#This Row],[In Stock Date]]&lt;&gt;"",Main[[#This Row],[Revised Due Date]]&lt;&gt;""),Main[[#This Row],[In Stock Date]]-Main[[#This Row],[Revised Due Date]],"")</f>
        <v/>
      </c>
      <c r="I289" s="99" t="s">
        <v>4</v>
      </c>
      <c r="J289" s="99" t="s">
        <v>4</v>
      </c>
      <c r="K289" s="108" t="s">
        <v>4</v>
      </c>
      <c r="L289" s="101"/>
      <c r="M289" s="104" t="str">
        <f>IF(Main[[#This Row],[Tech Start Date]]&lt;1/1/1990,"",IF(Main[[#This Row],[Class]]="C",WORKDAY(Main[[#This Row],[Tech Start Date]],9),IF(Main[[#This Row],[Class]]="B", WORKDAY(Main[[#This Row],[Tech Start Date]],6),IF(Main[[#This Row],[Class]]="A",WORKDAY(Main[[#This Row],[Tech Start Date]],2),""))))</f>
        <v/>
      </c>
      <c r="N289" s="104" t="str">
        <f>IF(Main[[#This Row],[Tech Start Date]]&lt;1/1/1990,"",IF(Main[[#This Row],[Class]]="C",WORKDAY(Main[[#This Row],[Tech Start Date]],19),IF(Main[[#This Row],[Class]]="B", WORKDAY(Main[[#This Row],[Tech Start Date]],12),IF(Main[[#This Row],[Class]]="A",WORKDAY(Main[[#This Row],[Tech Start Date]],4),""))))</f>
        <v/>
      </c>
      <c r="O289" s="104" t="str">
        <f>IF(Main[[#This Row],[Tech Start Date]]&lt;1/1/1990,"",IF(Main[[#This Row],[Class]]="C",WORKDAY(Main[[#This Row],[Tech Start Date]],23),IF(Main[[#This Row],[Class]]="B", WORKDAY(Main[[#This Row],[Tech Start Date]],15),IF(Main[[#This Row],[Class]]="A",WORKDAY(Main[[#This Row],[Tech Start Date]],5),""))))</f>
        <v/>
      </c>
      <c r="P289" s="104" t="str">
        <f>IF(Main[[#This Row],[Tech Start Date]]&lt;1/1/1990,"",IF(Main[[#This Row],[Class]]="C",WORKDAY(Main[[#This Row],[Tech Start Date]],28),IF(Main[[#This Row],[Class]]="B", WORKDAY(Main[[#This Row],[Tech Start Date]],19),IF(Main[[#This Row],[Class]]="A",WORKDAY(Main[[#This Row],[Tech Start Date]],9),""))))</f>
        <v/>
      </c>
      <c r="Q289" s="101">
        <v>40165</v>
      </c>
      <c r="R289" s="101"/>
      <c r="S289" s="99" t="s">
        <v>11</v>
      </c>
      <c r="T289" s="107" t="s">
        <v>4</v>
      </c>
      <c r="U289" s="99" t="s">
        <v>14</v>
      </c>
      <c r="V289" s="99" t="s">
        <v>1972</v>
      </c>
      <c r="W289" s="99" t="s">
        <v>1968</v>
      </c>
    </row>
    <row r="290" spans="1:23" ht="18.600000000000001" customHeight="1">
      <c r="A290" s="123" t="str">
        <f>IF(priority(Main[[#This Row],[Comments]])&lt;&gt;0, priority(Main[[#This Row],[Comments]]),"")</f>
        <v/>
      </c>
      <c r="B290" s="127" t="s">
        <v>1758</v>
      </c>
      <c r="C290" s="99" t="s">
        <v>4</v>
      </c>
      <c r="D290" s="100" t="s">
        <v>785</v>
      </c>
      <c r="E290" s="101"/>
      <c r="F290" s="101"/>
      <c r="G290" s="102" t="str">
        <f>IF(stdProdLT(Main[[#This Row],[Comments]])=0.1,"N/A",IF(stdProdLT(Main[[#This Row],[Comments]])=0,"",stdProdLT(Main[[#This Row],[Comments]])))</f>
        <v/>
      </c>
      <c r="H290" s="103" t="str">
        <f>IF(AND(Main[[#This Row],[In Stock Date]]&lt;&gt;"",Main[[#This Row],[Revised Due Date]]&lt;&gt;""),Main[[#This Row],[In Stock Date]]-Main[[#This Row],[Revised Due Date]],"")</f>
        <v/>
      </c>
      <c r="I290" s="99" t="s">
        <v>4</v>
      </c>
      <c r="J290" s="99" t="s">
        <v>28</v>
      </c>
      <c r="K290" s="99" t="s">
        <v>1974</v>
      </c>
      <c r="L290" s="101"/>
      <c r="M290" s="104" t="str">
        <f>IF(Main[[#This Row],[Tech Start Date]]&lt;1/1/1990,"",IF(Main[[#This Row],[Class]]="C",WORKDAY(Main[[#This Row],[Tech Start Date]],9),IF(Main[[#This Row],[Class]]="B", WORKDAY(Main[[#This Row],[Tech Start Date]],6),IF(Main[[#This Row],[Class]]="A",WORKDAY(Main[[#This Row],[Tech Start Date]],2),""))))</f>
        <v/>
      </c>
      <c r="N290" s="104" t="str">
        <f>IF(Main[[#This Row],[Tech Start Date]]&lt;1/1/1990,"",IF(Main[[#This Row],[Class]]="C",WORKDAY(Main[[#This Row],[Tech Start Date]],19),IF(Main[[#This Row],[Class]]="B", WORKDAY(Main[[#This Row],[Tech Start Date]],12),IF(Main[[#This Row],[Class]]="A",WORKDAY(Main[[#This Row],[Tech Start Date]],4),""))))</f>
        <v/>
      </c>
      <c r="O290" s="104" t="str">
        <f>IF(Main[[#This Row],[Tech Start Date]]&lt;1/1/1990,"",IF(Main[[#This Row],[Class]]="C",WORKDAY(Main[[#This Row],[Tech Start Date]],23),IF(Main[[#This Row],[Class]]="B", WORKDAY(Main[[#This Row],[Tech Start Date]],15),IF(Main[[#This Row],[Class]]="A",WORKDAY(Main[[#This Row],[Tech Start Date]],5),""))))</f>
        <v/>
      </c>
      <c r="P290" s="104" t="str">
        <f>IF(Main[[#This Row],[Tech Start Date]]&lt;1/1/1990,"",IF(Main[[#This Row],[Class]]="C",WORKDAY(Main[[#This Row],[Tech Start Date]],28),IF(Main[[#This Row],[Class]]="B", WORKDAY(Main[[#This Row],[Tech Start Date]],19),IF(Main[[#This Row],[Class]]="A",WORKDAY(Main[[#This Row],[Tech Start Date]],9),""))))</f>
        <v/>
      </c>
      <c r="Q290" s="101">
        <v>40633</v>
      </c>
      <c r="R290" s="101"/>
      <c r="S290" s="99" t="s">
        <v>17</v>
      </c>
      <c r="T290" s="107" t="s">
        <v>4</v>
      </c>
      <c r="U290" s="99" t="s">
        <v>14</v>
      </c>
      <c r="V290" s="99" t="s">
        <v>1962</v>
      </c>
      <c r="W290" s="99" t="s">
        <v>1967</v>
      </c>
    </row>
    <row r="291" spans="1:23" ht="18.600000000000001" customHeight="1">
      <c r="A291" s="123" t="str">
        <f>IF(priority(Main[[#This Row],[Comments]])&lt;&gt;0, priority(Main[[#This Row],[Comments]]),"")</f>
        <v/>
      </c>
      <c r="B291" s="127" t="s">
        <v>1179</v>
      </c>
      <c r="C291" s="99" t="s">
        <v>93</v>
      </c>
      <c r="D291" s="100" t="s">
        <v>203</v>
      </c>
      <c r="E291" s="101"/>
      <c r="F291" s="101"/>
      <c r="G291" s="102" t="str">
        <f>IF(stdProdLT(Main[[#This Row],[Comments]])=0.1,"N/A",IF(stdProdLT(Main[[#This Row],[Comments]])=0,"",stdProdLT(Main[[#This Row],[Comments]])))</f>
        <v/>
      </c>
      <c r="H291" s="103" t="str">
        <f>IF(AND(Main[[#This Row],[In Stock Date]]&lt;&gt;"",Main[[#This Row],[Revised Due Date]]&lt;&gt;""),Main[[#This Row],[In Stock Date]]-Main[[#This Row],[Revised Due Date]],"")</f>
        <v/>
      </c>
      <c r="I291" s="99" t="s">
        <v>4</v>
      </c>
      <c r="J291" s="99" t="s">
        <v>4</v>
      </c>
      <c r="K291" s="99" t="s">
        <v>4</v>
      </c>
      <c r="L291" s="101"/>
      <c r="M291" s="104" t="str">
        <f>IF(Main[[#This Row],[Tech Start Date]]&lt;1/1/1990,"",IF(Main[[#This Row],[Class]]="C",WORKDAY(Main[[#This Row],[Tech Start Date]],9),IF(Main[[#This Row],[Class]]="B", WORKDAY(Main[[#This Row],[Tech Start Date]],6),IF(Main[[#This Row],[Class]]="A",WORKDAY(Main[[#This Row],[Tech Start Date]],2),""))))</f>
        <v/>
      </c>
      <c r="N291" s="104" t="str">
        <f>IF(Main[[#This Row],[Tech Start Date]]&lt;1/1/1990,"",IF(Main[[#This Row],[Class]]="C",WORKDAY(Main[[#This Row],[Tech Start Date]],19),IF(Main[[#This Row],[Class]]="B", WORKDAY(Main[[#This Row],[Tech Start Date]],12),IF(Main[[#This Row],[Class]]="A",WORKDAY(Main[[#This Row],[Tech Start Date]],4),""))))</f>
        <v/>
      </c>
      <c r="O291" s="104" t="str">
        <f>IF(Main[[#This Row],[Tech Start Date]]&lt;1/1/1990,"",IF(Main[[#This Row],[Class]]="C",WORKDAY(Main[[#This Row],[Tech Start Date]],23),IF(Main[[#This Row],[Class]]="B", WORKDAY(Main[[#This Row],[Tech Start Date]],15),IF(Main[[#This Row],[Class]]="A",WORKDAY(Main[[#This Row],[Tech Start Date]],5),""))))</f>
        <v/>
      </c>
      <c r="P291" s="104" t="str">
        <f>IF(Main[[#This Row],[Tech Start Date]]&lt;1/1/1990,"",IF(Main[[#This Row],[Class]]="C",WORKDAY(Main[[#This Row],[Tech Start Date]],28),IF(Main[[#This Row],[Class]]="B", WORKDAY(Main[[#This Row],[Tech Start Date]],19),IF(Main[[#This Row],[Class]]="A",WORKDAY(Main[[#This Row],[Tech Start Date]],9),""))))</f>
        <v/>
      </c>
      <c r="Q291" s="101"/>
      <c r="R291" s="101"/>
      <c r="S291" s="99" t="s">
        <v>11</v>
      </c>
      <c r="T291" s="107" t="s">
        <v>4</v>
      </c>
      <c r="U291" s="99" t="s">
        <v>14</v>
      </c>
      <c r="V291" s="99" t="s">
        <v>1972</v>
      </c>
      <c r="W291" s="99" t="s">
        <v>1968</v>
      </c>
    </row>
    <row r="292" spans="1:23" ht="18.600000000000001" customHeight="1">
      <c r="A292" s="123" t="str">
        <f>IF(priority(Main[[#This Row],[Comments]])&lt;&gt;0, priority(Main[[#This Row],[Comments]]),"")</f>
        <v/>
      </c>
      <c r="B292" s="127" t="s">
        <v>1180</v>
      </c>
      <c r="C292" s="99" t="s">
        <v>42</v>
      </c>
      <c r="D292" s="100" t="s">
        <v>204</v>
      </c>
      <c r="E292" s="101">
        <v>39952.329340277778</v>
      </c>
      <c r="F292" s="101"/>
      <c r="G292" s="102" t="str">
        <f>IF(stdProdLT(Main[[#This Row],[Comments]])=0.1,"N/A",IF(stdProdLT(Main[[#This Row],[Comments]])=0,"",stdProdLT(Main[[#This Row],[Comments]])))</f>
        <v/>
      </c>
      <c r="H292" s="103" t="str">
        <f>IF(AND(Main[[#This Row],[In Stock Date]]&lt;&gt;"",Main[[#This Row],[Revised Due Date]]&lt;&gt;""),Main[[#This Row],[In Stock Date]]-Main[[#This Row],[Revised Due Date]],"")</f>
        <v/>
      </c>
      <c r="I292" s="99" t="s">
        <v>4</v>
      </c>
      <c r="J292" s="99" t="s">
        <v>4</v>
      </c>
      <c r="K292" s="99" t="s">
        <v>4</v>
      </c>
      <c r="L292" s="101"/>
      <c r="M292" s="104" t="str">
        <f>IF(Main[[#This Row],[Tech Start Date]]&lt;1/1/1990,"",IF(Main[[#This Row],[Class]]="C",WORKDAY(Main[[#This Row],[Tech Start Date]],9),IF(Main[[#This Row],[Class]]="B", WORKDAY(Main[[#This Row],[Tech Start Date]],6),IF(Main[[#This Row],[Class]]="A",WORKDAY(Main[[#This Row],[Tech Start Date]],2),""))))</f>
        <v/>
      </c>
      <c r="N292" s="104" t="str">
        <f>IF(Main[[#This Row],[Tech Start Date]]&lt;1/1/1990,"",IF(Main[[#This Row],[Class]]="C",WORKDAY(Main[[#This Row],[Tech Start Date]],19),IF(Main[[#This Row],[Class]]="B", WORKDAY(Main[[#This Row],[Tech Start Date]],12),IF(Main[[#This Row],[Class]]="A",WORKDAY(Main[[#This Row],[Tech Start Date]],4),""))))</f>
        <v/>
      </c>
      <c r="O292" s="104" t="str">
        <f>IF(Main[[#This Row],[Tech Start Date]]&lt;1/1/1990,"",IF(Main[[#This Row],[Class]]="C",WORKDAY(Main[[#This Row],[Tech Start Date]],23),IF(Main[[#This Row],[Class]]="B", WORKDAY(Main[[#This Row],[Tech Start Date]],15),IF(Main[[#This Row],[Class]]="A",WORKDAY(Main[[#This Row],[Tech Start Date]],5),""))))</f>
        <v/>
      </c>
      <c r="P292" s="104" t="str">
        <f>IF(Main[[#This Row],[Tech Start Date]]&lt;1/1/1990,"",IF(Main[[#This Row],[Class]]="C",WORKDAY(Main[[#This Row],[Tech Start Date]],28),IF(Main[[#This Row],[Class]]="B", WORKDAY(Main[[#This Row],[Tech Start Date]],19),IF(Main[[#This Row],[Class]]="A",WORKDAY(Main[[#This Row],[Tech Start Date]],9),""))))</f>
        <v/>
      </c>
      <c r="Q292" s="101"/>
      <c r="R292" s="101"/>
      <c r="S292" s="99" t="s">
        <v>17</v>
      </c>
      <c r="T292" s="107" t="s">
        <v>4</v>
      </c>
      <c r="U292" s="99" t="s">
        <v>7</v>
      </c>
      <c r="V292" s="99" t="s">
        <v>1965</v>
      </c>
      <c r="W292" s="99" t="s">
        <v>4</v>
      </c>
    </row>
    <row r="293" spans="1:23" ht="18.600000000000001" customHeight="1">
      <c r="A293" s="123" t="str">
        <f>IF(priority(Main[[#This Row],[Comments]])&lt;&gt;0, priority(Main[[#This Row],[Comments]]),"")</f>
        <v/>
      </c>
      <c r="B293" s="127" t="s">
        <v>1181</v>
      </c>
      <c r="C293" s="99" t="s">
        <v>58</v>
      </c>
      <c r="D293" s="100" t="s">
        <v>205</v>
      </c>
      <c r="E293" s="101"/>
      <c r="F293" s="101">
        <v>40697</v>
      </c>
      <c r="G293" s="102" t="str">
        <f>IF(stdProdLT(Main[[#This Row],[Comments]])=0.1,"N/A",IF(stdProdLT(Main[[#This Row],[Comments]])=0,"",stdProdLT(Main[[#This Row],[Comments]])))</f>
        <v/>
      </c>
      <c r="H293" s="103" t="str">
        <f>IF(AND(Main[[#This Row],[In Stock Date]]&lt;&gt;"",Main[[#This Row],[Revised Due Date]]&lt;&gt;""),Main[[#This Row],[In Stock Date]]-Main[[#This Row],[Revised Due Date]],"")</f>
        <v/>
      </c>
      <c r="I293" s="99" t="s">
        <v>4</v>
      </c>
      <c r="J293" s="99" t="s">
        <v>4</v>
      </c>
      <c r="K293" s="99" t="s">
        <v>4</v>
      </c>
      <c r="L293" s="101"/>
      <c r="M293" s="104" t="str">
        <f>IF(Main[[#This Row],[Tech Start Date]]&lt;1/1/1990,"",IF(Main[[#This Row],[Class]]="C",WORKDAY(Main[[#This Row],[Tech Start Date]],9),IF(Main[[#This Row],[Class]]="B", WORKDAY(Main[[#This Row],[Tech Start Date]],6),IF(Main[[#This Row],[Class]]="A",WORKDAY(Main[[#This Row],[Tech Start Date]],2),""))))</f>
        <v/>
      </c>
      <c r="N293" s="104" t="str">
        <f>IF(Main[[#This Row],[Tech Start Date]]&lt;1/1/1990,"",IF(Main[[#This Row],[Class]]="C",WORKDAY(Main[[#This Row],[Tech Start Date]],19),IF(Main[[#This Row],[Class]]="B", WORKDAY(Main[[#This Row],[Tech Start Date]],12),IF(Main[[#This Row],[Class]]="A",WORKDAY(Main[[#This Row],[Tech Start Date]],4),""))))</f>
        <v/>
      </c>
      <c r="O293" s="104" t="str">
        <f>IF(Main[[#This Row],[Tech Start Date]]&lt;1/1/1990,"",IF(Main[[#This Row],[Class]]="C",WORKDAY(Main[[#This Row],[Tech Start Date]],23),IF(Main[[#This Row],[Class]]="B", WORKDAY(Main[[#This Row],[Tech Start Date]],15),IF(Main[[#This Row],[Class]]="A",WORKDAY(Main[[#This Row],[Tech Start Date]],5),""))))</f>
        <v/>
      </c>
      <c r="P293" s="104" t="str">
        <f>IF(Main[[#This Row],[Tech Start Date]]&lt;1/1/1990,"",IF(Main[[#This Row],[Class]]="C",WORKDAY(Main[[#This Row],[Tech Start Date]],28),IF(Main[[#This Row],[Class]]="B", WORKDAY(Main[[#This Row],[Tech Start Date]],19),IF(Main[[#This Row],[Class]]="A",WORKDAY(Main[[#This Row],[Tech Start Date]],9),""))))</f>
        <v/>
      </c>
      <c r="Q293" s="101">
        <v>40539</v>
      </c>
      <c r="R293" s="101"/>
      <c r="S293" s="99" t="s">
        <v>11</v>
      </c>
      <c r="T293" s="107" t="s">
        <v>4</v>
      </c>
      <c r="U293" s="99" t="s">
        <v>14</v>
      </c>
      <c r="V293" s="99" t="s">
        <v>1962</v>
      </c>
      <c r="W293" s="99" t="s">
        <v>1968</v>
      </c>
    </row>
    <row r="294" spans="1:23" ht="18.600000000000001" customHeight="1">
      <c r="A294" s="123" t="str">
        <f>IF(priority(Main[[#This Row],[Comments]])&lt;&gt;0, priority(Main[[#This Row],[Comments]]),"")</f>
        <v/>
      </c>
      <c r="B294" s="127" t="s">
        <v>1182</v>
      </c>
      <c r="C294" s="99" t="s">
        <v>206</v>
      </c>
      <c r="D294" s="100" t="s">
        <v>207</v>
      </c>
      <c r="E294" s="101"/>
      <c r="F294" s="101"/>
      <c r="G294" s="102" t="str">
        <f>IF(stdProdLT(Main[[#This Row],[Comments]])=0.1,"N/A",IF(stdProdLT(Main[[#This Row],[Comments]])=0,"",stdProdLT(Main[[#This Row],[Comments]])))</f>
        <v/>
      </c>
      <c r="H294" s="103" t="str">
        <f>IF(AND(Main[[#This Row],[In Stock Date]]&lt;&gt;"",Main[[#This Row],[Revised Due Date]]&lt;&gt;""),Main[[#This Row],[In Stock Date]]-Main[[#This Row],[Revised Due Date]],"")</f>
        <v/>
      </c>
      <c r="I294" s="99" t="s">
        <v>4</v>
      </c>
      <c r="J294" s="99" t="s">
        <v>4</v>
      </c>
      <c r="K294" s="99" t="s">
        <v>4</v>
      </c>
      <c r="L294" s="101"/>
      <c r="M294" s="104" t="str">
        <f>IF(Main[[#This Row],[Tech Start Date]]&lt;1/1/1990,"",IF(Main[[#This Row],[Class]]="C",WORKDAY(Main[[#This Row],[Tech Start Date]],9),IF(Main[[#This Row],[Class]]="B", WORKDAY(Main[[#This Row],[Tech Start Date]],6),IF(Main[[#This Row],[Class]]="A",WORKDAY(Main[[#This Row],[Tech Start Date]],2),""))))</f>
        <v/>
      </c>
      <c r="N294" s="104" t="str">
        <f>IF(Main[[#This Row],[Tech Start Date]]&lt;1/1/1990,"",IF(Main[[#This Row],[Class]]="C",WORKDAY(Main[[#This Row],[Tech Start Date]],19),IF(Main[[#This Row],[Class]]="B", WORKDAY(Main[[#This Row],[Tech Start Date]],12),IF(Main[[#This Row],[Class]]="A",WORKDAY(Main[[#This Row],[Tech Start Date]],4),""))))</f>
        <v/>
      </c>
      <c r="O294" s="104" t="str">
        <f>IF(Main[[#This Row],[Tech Start Date]]&lt;1/1/1990,"",IF(Main[[#This Row],[Class]]="C",WORKDAY(Main[[#This Row],[Tech Start Date]],23),IF(Main[[#This Row],[Class]]="B", WORKDAY(Main[[#This Row],[Tech Start Date]],15),IF(Main[[#This Row],[Class]]="A",WORKDAY(Main[[#This Row],[Tech Start Date]],5),""))))</f>
        <v/>
      </c>
      <c r="P294" s="104" t="str">
        <f>IF(Main[[#This Row],[Tech Start Date]]&lt;1/1/1990,"",IF(Main[[#This Row],[Class]]="C",WORKDAY(Main[[#This Row],[Tech Start Date]],28),IF(Main[[#This Row],[Class]]="B", WORKDAY(Main[[#This Row],[Tech Start Date]],19),IF(Main[[#This Row],[Class]]="A",WORKDAY(Main[[#This Row],[Tech Start Date]],9),""))))</f>
        <v/>
      </c>
      <c r="Q294" s="101">
        <v>40302</v>
      </c>
      <c r="R294" s="101"/>
      <c r="S294" s="99" t="s">
        <v>11</v>
      </c>
      <c r="T294" s="107" t="s">
        <v>4</v>
      </c>
      <c r="U294" s="99" t="s">
        <v>14</v>
      </c>
      <c r="V294" s="99" t="s">
        <v>1962</v>
      </c>
      <c r="W294" s="99" t="s">
        <v>1964</v>
      </c>
    </row>
    <row r="295" spans="1:23" ht="18.600000000000001" customHeight="1">
      <c r="A295" s="123" t="str">
        <f>IF(priority(Main[[#This Row],[Comments]])&lt;&gt;0, priority(Main[[#This Row],[Comments]]),"")</f>
        <v/>
      </c>
      <c r="B295" s="127" t="s">
        <v>2254</v>
      </c>
      <c r="C295" s="99" t="s">
        <v>4</v>
      </c>
      <c r="D295" s="100" t="s">
        <v>2255</v>
      </c>
      <c r="E295" s="101">
        <v>40792.385717592595</v>
      </c>
      <c r="F295" s="101"/>
      <c r="G295" s="102" t="str">
        <f>IF(stdProdLT(Main[[#This Row],[Comments]])=0.1,"N/A",IF(stdProdLT(Main[[#This Row],[Comments]])=0,"",stdProdLT(Main[[#This Row],[Comments]])))</f>
        <v/>
      </c>
      <c r="H295" s="103" t="str">
        <f>IF(AND(Main[[#This Row],[In Stock Date]]&lt;&gt;"",Main[[#This Row],[Revised Due Date]]&lt;&gt;""),Main[[#This Row],[In Stock Date]]-Main[[#This Row],[Revised Due Date]],"")</f>
        <v/>
      </c>
      <c r="I295" s="99" t="s">
        <v>69</v>
      </c>
      <c r="J295" s="99" t="s">
        <v>70</v>
      </c>
      <c r="K295" s="99" t="s">
        <v>1971</v>
      </c>
      <c r="L295" s="101"/>
      <c r="M295" s="104" t="str">
        <f>IF(Main[[#This Row],[Tech Start Date]]&lt;1/1/1990,"",IF(Main[[#This Row],[Class]]="C",WORKDAY(Main[[#This Row],[Tech Start Date]],9),IF(Main[[#This Row],[Class]]="B", WORKDAY(Main[[#This Row],[Tech Start Date]],6),IF(Main[[#This Row],[Class]]="A",WORKDAY(Main[[#This Row],[Tech Start Date]],2),""))))</f>
        <v/>
      </c>
      <c r="N295" s="104" t="str">
        <f>IF(Main[[#This Row],[Tech Start Date]]&lt;1/1/1990,"",IF(Main[[#This Row],[Class]]="C",WORKDAY(Main[[#This Row],[Tech Start Date]],19),IF(Main[[#This Row],[Class]]="B", WORKDAY(Main[[#This Row],[Tech Start Date]],12),IF(Main[[#This Row],[Class]]="A",WORKDAY(Main[[#This Row],[Tech Start Date]],4),""))))</f>
        <v/>
      </c>
      <c r="O295" s="104" t="str">
        <f>IF(Main[[#This Row],[Tech Start Date]]&lt;1/1/1990,"",IF(Main[[#This Row],[Class]]="C",WORKDAY(Main[[#This Row],[Tech Start Date]],23),IF(Main[[#This Row],[Class]]="B", WORKDAY(Main[[#This Row],[Tech Start Date]],15),IF(Main[[#This Row],[Class]]="A",WORKDAY(Main[[#This Row],[Tech Start Date]],5),""))))</f>
        <v/>
      </c>
      <c r="P295" s="104" t="str">
        <f>IF(Main[[#This Row],[Tech Start Date]]&lt;1/1/1990,"",IF(Main[[#This Row],[Class]]="C",WORKDAY(Main[[#This Row],[Tech Start Date]],28),IF(Main[[#This Row],[Class]]="B", WORKDAY(Main[[#This Row],[Tech Start Date]],19),IF(Main[[#This Row],[Class]]="A",WORKDAY(Main[[#This Row],[Tech Start Date]],9),""))))</f>
        <v/>
      </c>
      <c r="Q295" s="101">
        <v>40823</v>
      </c>
      <c r="R295" s="101"/>
      <c r="S295" s="99" t="s">
        <v>6</v>
      </c>
      <c r="T295" s="107" t="s">
        <v>4</v>
      </c>
      <c r="U295" s="99" t="s">
        <v>29</v>
      </c>
      <c r="V295" s="99" t="s">
        <v>1965</v>
      </c>
      <c r="W295" s="99" t="s">
        <v>1966</v>
      </c>
    </row>
    <row r="296" spans="1:23" ht="18.600000000000001" customHeight="1">
      <c r="A296" s="123" t="str">
        <f>IF(priority(Main[[#This Row],[Comments]])&lt;&gt;0, priority(Main[[#This Row],[Comments]]),"")</f>
        <v/>
      </c>
      <c r="B296" s="127" t="s">
        <v>2445</v>
      </c>
      <c r="C296" s="99" t="s">
        <v>4</v>
      </c>
      <c r="D296" s="100" t="s">
        <v>2446</v>
      </c>
      <c r="E296" s="101">
        <v>40849.308981481481</v>
      </c>
      <c r="F296" s="101"/>
      <c r="G296" s="102" t="str">
        <f>IF(stdProdLT(Main[[#This Row],[Comments]])=0.1,"N/A",IF(stdProdLT(Main[[#This Row],[Comments]])=0,"",stdProdLT(Main[[#This Row],[Comments]])))</f>
        <v/>
      </c>
      <c r="H296" s="103" t="str">
        <f>IF(AND(Main[[#This Row],[In Stock Date]]&lt;&gt;"",Main[[#This Row],[Revised Due Date]]&lt;&gt;""),Main[[#This Row],[In Stock Date]]-Main[[#This Row],[Revised Due Date]],"")</f>
        <v/>
      </c>
      <c r="I296" s="99" t="s">
        <v>929</v>
      </c>
      <c r="J296" s="99" t="s">
        <v>52</v>
      </c>
      <c r="K296" s="108" t="s">
        <v>4</v>
      </c>
      <c r="L296" s="101"/>
      <c r="M296" s="104" t="str">
        <f>IF(Main[[#This Row],[Tech Start Date]]&lt;1/1/1990,"",IF(Main[[#This Row],[Class]]="C",WORKDAY(Main[[#This Row],[Tech Start Date]],9),IF(Main[[#This Row],[Class]]="B", WORKDAY(Main[[#This Row],[Tech Start Date]],6),IF(Main[[#This Row],[Class]]="A",WORKDAY(Main[[#This Row],[Tech Start Date]],2),""))))</f>
        <v/>
      </c>
      <c r="N296" s="104" t="str">
        <f>IF(Main[[#This Row],[Tech Start Date]]&lt;1/1/1990,"",IF(Main[[#This Row],[Class]]="C",WORKDAY(Main[[#This Row],[Tech Start Date]],19),IF(Main[[#This Row],[Class]]="B", WORKDAY(Main[[#This Row],[Tech Start Date]],12),IF(Main[[#This Row],[Class]]="A",WORKDAY(Main[[#This Row],[Tech Start Date]],4),""))))</f>
        <v/>
      </c>
      <c r="O296" s="104" t="str">
        <f>IF(Main[[#This Row],[Tech Start Date]]&lt;1/1/1990,"",IF(Main[[#This Row],[Class]]="C",WORKDAY(Main[[#This Row],[Tech Start Date]],23),IF(Main[[#This Row],[Class]]="B", WORKDAY(Main[[#This Row],[Tech Start Date]],15),IF(Main[[#This Row],[Class]]="A",WORKDAY(Main[[#This Row],[Tech Start Date]],5),""))))</f>
        <v/>
      </c>
      <c r="P296" s="104" t="str">
        <f>IF(Main[[#This Row],[Tech Start Date]]&lt;1/1/1990,"",IF(Main[[#This Row],[Class]]="C",WORKDAY(Main[[#This Row],[Tech Start Date]],28),IF(Main[[#This Row],[Class]]="B", WORKDAY(Main[[#This Row],[Tech Start Date]],19),IF(Main[[#This Row],[Class]]="A",WORKDAY(Main[[#This Row],[Tech Start Date]],9),""))))</f>
        <v/>
      </c>
      <c r="Q296" s="101"/>
      <c r="R296" s="101"/>
      <c r="S296" s="99" t="s">
        <v>6</v>
      </c>
      <c r="T296" s="107" t="s">
        <v>4</v>
      </c>
      <c r="U296" s="99" t="s">
        <v>29</v>
      </c>
      <c r="V296" s="99" t="s">
        <v>1962</v>
      </c>
      <c r="W296" s="99" t="s">
        <v>1966</v>
      </c>
    </row>
    <row r="297" spans="1:23" ht="18.600000000000001" customHeight="1">
      <c r="A297" s="123" t="str">
        <f>IF(priority(Main[[#This Row],[Comments]])&lt;&gt;0, priority(Main[[#This Row],[Comments]]),"")</f>
        <v/>
      </c>
      <c r="B297" s="127" t="s">
        <v>2568</v>
      </c>
      <c r="C297" s="99" t="s">
        <v>4</v>
      </c>
      <c r="D297" s="100" t="s">
        <v>3031</v>
      </c>
      <c r="E297" s="101">
        <v>40842.390289351853</v>
      </c>
      <c r="F297" s="101"/>
      <c r="G297" s="102" t="str">
        <f>IF(stdProdLT(Main[[#This Row],[Comments]])=0.1,"N/A",IF(stdProdLT(Main[[#This Row],[Comments]])=0,"",stdProdLT(Main[[#This Row],[Comments]])))</f>
        <v/>
      </c>
      <c r="H297" s="103" t="str">
        <f>IF(AND(Main[[#This Row],[In Stock Date]]&lt;&gt;"",Main[[#This Row],[Revised Due Date]]&lt;&gt;""),Main[[#This Row],[In Stock Date]]-Main[[#This Row],[Revised Due Date]],"")</f>
        <v/>
      </c>
      <c r="I297" s="99" t="s">
        <v>4</v>
      </c>
      <c r="J297" s="99" t="s">
        <v>4</v>
      </c>
      <c r="K297" s="99" t="s">
        <v>4</v>
      </c>
      <c r="L297" s="101"/>
      <c r="M297" s="104" t="str">
        <f>IF(Main[[#This Row],[Tech Start Date]]&lt;1/1/1990,"",IF(Main[[#This Row],[Class]]="C",WORKDAY(Main[[#This Row],[Tech Start Date]],9),IF(Main[[#This Row],[Class]]="B", WORKDAY(Main[[#This Row],[Tech Start Date]],6),IF(Main[[#This Row],[Class]]="A",WORKDAY(Main[[#This Row],[Tech Start Date]],2),""))))</f>
        <v/>
      </c>
      <c r="N297" s="104" t="str">
        <f>IF(Main[[#This Row],[Tech Start Date]]&lt;1/1/1990,"",IF(Main[[#This Row],[Class]]="C",WORKDAY(Main[[#This Row],[Tech Start Date]],19),IF(Main[[#This Row],[Class]]="B", WORKDAY(Main[[#This Row],[Tech Start Date]],12),IF(Main[[#This Row],[Class]]="A",WORKDAY(Main[[#This Row],[Tech Start Date]],4),""))))</f>
        <v/>
      </c>
      <c r="O297" s="104" t="str">
        <f>IF(Main[[#This Row],[Tech Start Date]]&lt;1/1/1990,"",IF(Main[[#This Row],[Class]]="C",WORKDAY(Main[[#This Row],[Tech Start Date]],23),IF(Main[[#This Row],[Class]]="B", WORKDAY(Main[[#This Row],[Tech Start Date]],15),IF(Main[[#This Row],[Class]]="A",WORKDAY(Main[[#This Row],[Tech Start Date]],5),""))))</f>
        <v/>
      </c>
      <c r="P297" s="104" t="str">
        <f>IF(Main[[#This Row],[Tech Start Date]]&lt;1/1/1990,"",IF(Main[[#This Row],[Class]]="C",WORKDAY(Main[[#This Row],[Tech Start Date]],28),IF(Main[[#This Row],[Class]]="B", WORKDAY(Main[[#This Row],[Tech Start Date]],19),IF(Main[[#This Row],[Class]]="A",WORKDAY(Main[[#This Row],[Tech Start Date]],9),""))))</f>
        <v/>
      </c>
      <c r="Q297" s="101"/>
      <c r="R297" s="101"/>
      <c r="S297" s="99" t="s">
        <v>17</v>
      </c>
      <c r="T297" s="107" t="s">
        <v>4</v>
      </c>
      <c r="U297" s="99" t="s">
        <v>29</v>
      </c>
      <c r="V297" s="99" t="s">
        <v>1963</v>
      </c>
      <c r="W297" s="99" t="s">
        <v>1970</v>
      </c>
    </row>
    <row r="298" spans="1:23" ht="18.600000000000001" customHeight="1">
      <c r="A298" s="123" t="str">
        <f>IF(priority(Main[[#This Row],[Comments]])&lt;&gt;0, priority(Main[[#This Row],[Comments]]),"")</f>
        <v/>
      </c>
      <c r="B298" s="127" t="s">
        <v>1069</v>
      </c>
      <c r="C298" s="99" t="s">
        <v>33</v>
      </c>
      <c r="D298" s="100" t="s">
        <v>2447</v>
      </c>
      <c r="E298" s="101">
        <v>40345.428090277775</v>
      </c>
      <c r="F298" s="101"/>
      <c r="G298" s="102" t="str">
        <f>IF(stdProdLT(Main[[#This Row],[Comments]])=0.1,"N/A",IF(stdProdLT(Main[[#This Row],[Comments]])=0,"",stdProdLT(Main[[#This Row],[Comments]])))</f>
        <v/>
      </c>
      <c r="H298" s="103" t="str">
        <f>IF(AND(Main[[#This Row],[In Stock Date]]&lt;&gt;"",Main[[#This Row],[Revised Due Date]]&lt;&gt;""),Main[[#This Row],[In Stock Date]]-Main[[#This Row],[Revised Due Date]],"")</f>
        <v/>
      </c>
      <c r="I298" s="99" t="s">
        <v>992</v>
      </c>
      <c r="J298" s="99" t="s">
        <v>28</v>
      </c>
      <c r="K298" s="99" t="s">
        <v>4</v>
      </c>
      <c r="L298" s="101"/>
      <c r="M298" s="104" t="str">
        <f>IF(Main[[#This Row],[Tech Start Date]]&lt;1/1/1990,"",IF(Main[[#This Row],[Class]]="C",WORKDAY(Main[[#This Row],[Tech Start Date]],9),IF(Main[[#This Row],[Class]]="B", WORKDAY(Main[[#This Row],[Tech Start Date]],6),IF(Main[[#This Row],[Class]]="A",WORKDAY(Main[[#This Row],[Tech Start Date]],2),""))))</f>
        <v/>
      </c>
      <c r="N298" s="104" t="str">
        <f>IF(Main[[#This Row],[Tech Start Date]]&lt;1/1/1990,"",IF(Main[[#This Row],[Class]]="C",WORKDAY(Main[[#This Row],[Tech Start Date]],19),IF(Main[[#This Row],[Class]]="B", WORKDAY(Main[[#This Row],[Tech Start Date]],12),IF(Main[[#This Row],[Class]]="A",WORKDAY(Main[[#This Row],[Tech Start Date]],4),""))))</f>
        <v/>
      </c>
      <c r="O298" s="104" t="str">
        <f>IF(Main[[#This Row],[Tech Start Date]]&lt;1/1/1990,"",IF(Main[[#This Row],[Class]]="C",WORKDAY(Main[[#This Row],[Tech Start Date]],23),IF(Main[[#This Row],[Class]]="B", WORKDAY(Main[[#This Row],[Tech Start Date]],15),IF(Main[[#This Row],[Class]]="A",WORKDAY(Main[[#This Row],[Tech Start Date]],5),""))))</f>
        <v/>
      </c>
      <c r="P298" s="104" t="str">
        <f>IF(Main[[#This Row],[Tech Start Date]]&lt;1/1/1990,"",IF(Main[[#This Row],[Class]]="C",WORKDAY(Main[[#This Row],[Tech Start Date]],28),IF(Main[[#This Row],[Class]]="B", WORKDAY(Main[[#This Row],[Tech Start Date]],19),IF(Main[[#This Row],[Class]]="A",WORKDAY(Main[[#This Row],[Tech Start Date]],9),""))))</f>
        <v/>
      </c>
      <c r="Q298" s="101">
        <v>40384</v>
      </c>
      <c r="R298" s="101">
        <v>41029</v>
      </c>
      <c r="S298" s="99" t="s">
        <v>17</v>
      </c>
      <c r="T298" s="107" t="s">
        <v>2405</v>
      </c>
      <c r="U298" s="99" t="s">
        <v>29</v>
      </c>
      <c r="V298" s="99" t="s">
        <v>1962</v>
      </c>
      <c r="W298" s="99" t="s">
        <v>1967</v>
      </c>
    </row>
    <row r="299" spans="1:23" ht="18.600000000000001" customHeight="1">
      <c r="A299" s="123" t="str">
        <f>IF(priority(Main[[#This Row],[Comments]])&lt;&gt;0, priority(Main[[#This Row],[Comments]]),"")</f>
        <v/>
      </c>
      <c r="B299" s="127" t="s">
        <v>1183</v>
      </c>
      <c r="C299" s="99" t="s">
        <v>208</v>
      </c>
      <c r="D299" s="100" t="s">
        <v>209</v>
      </c>
      <c r="E299" s="101"/>
      <c r="F299" s="101"/>
      <c r="G299" s="102" t="str">
        <f>IF(stdProdLT(Main[[#This Row],[Comments]])=0.1,"N/A",IF(stdProdLT(Main[[#This Row],[Comments]])=0,"",stdProdLT(Main[[#This Row],[Comments]])))</f>
        <v/>
      </c>
      <c r="H299" s="103" t="str">
        <f>IF(AND(Main[[#This Row],[In Stock Date]]&lt;&gt;"",Main[[#This Row],[Revised Due Date]]&lt;&gt;""),Main[[#This Row],[In Stock Date]]-Main[[#This Row],[Revised Due Date]],"")</f>
        <v/>
      </c>
      <c r="I299" s="99" t="s">
        <v>4</v>
      </c>
      <c r="J299" s="99" t="s">
        <v>4</v>
      </c>
      <c r="K299" s="99" t="s">
        <v>4</v>
      </c>
      <c r="L299" s="101"/>
      <c r="M299" s="104" t="str">
        <f>IF(Main[[#This Row],[Tech Start Date]]&lt;1/1/1990,"",IF(Main[[#This Row],[Class]]="C",WORKDAY(Main[[#This Row],[Tech Start Date]],9),IF(Main[[#This Row],[Class]]="B", WORKDAY(Main[[#This Row],[Tech Start Date]],6),IF(Main[[#This Row],[Class]]="A",WORKDAY(Main[[#This Row],[Tech Start Date]],2),""))))</f>
        <v/>
      </c>
      <c r="N299" s="104" t="str">
        <f>IF(Main[[#This Row],[Tech Start Date]]&lt;1/1/1990,"",IF(Main[[#This Row],[Class]]="C",WORKDAY(Main[[#This Row],[Tech Start Date]],19),IF(Main[[#This Row],[Class]]="B", WORKDAY(Main[[#This Row],[Tech Start Date]],12),IF(Main[[#This Row],[Class]]="A",WORKDAY(Main[[#This Row],[Tech Start Date]],4),""))))</f>
        <v/>
      </c>
      <c r="O299" s="104" t="str">
        <f>IF(Main[[#This Row],[Tech Start Date]]&lt;1/1/1990,"",IF(Main[[#This Row],[Class]]="C",WORKDAY(Main[[#This Row],[Tech Start Date]],23),IF(Main[[#This Row],[Class]]="B", WORKDAY(Main[[#This Row],[Tech Start Date]],15),IF(Main[[#This Row],[Class]]="A",WORKDAY(Main[[#This Row],[Tech Start Date]],5),""))))</f>
        <v/>
      </c>
      <c r="P299" s="104" t="str">
        <f>IF(Main[[#This Row],[Tech Start Date]]&lt;1/1/1990,"",IF(Main[[#This Row],[Class]]="C",WORKDAY(Main[[#This Row],[Tech Start Date]],28),IF(Main[[#This Row],[Class]]="B", WORKDAY(Main[[#This Row],[Tech Start Date]],19),IF(Main[[#This Row],[Class]]="A",WORKDAY(Main[[#This Row],[Tech Start Date]],9),""))))</f>
        <v/>
      </c>
      <c r="Q299" s="101">
        <v>40116</v>
      </c>
      <c r="R299" s="101"/>
      <c r="S299" s="99" t="s">
        <v>11</v>
      </c>
      <c r="T299" s="107" t="s">
        <v>4</v>
      </c>
      <c r="U299" s="99" t="s">
        <v>14</v>
      </c>
      <c r="V299" s="99" t="s">
        <v>1965</v>
      </c>
      <c r="W299" s="99" t="s">
        <v>1964</v>
      </c>
    </row>
    <row r="300" spans="1:23" ht="18.600000000000001" customHeight="1">
      <c r="A300" s="123" t="str">
        <f>IF(priority(Main[[#This Row],[Comments]])&lt;&gt;0, priority(Main[[#This Row],[Comments]]),"")</f>
        <v/>
      </c>
      <c r="B300" s="127" t="s">
        <v>1184</v>
      </c>
      <c r="C300" s="99" t="s">
        <v>208</v>
      </c>
      <c r="D300" s="100" t="s">
        <v>210</v>
      </c>
      <c r="E300" s="101"/>
      <c r="F300" s="101"/>
      <c r="G300" s="102" t="str">
        <f>IF(stdProdLT(Main[[#This Row],[Comments]])=0.1,"N/A",IF(stdProdLT(Main[[#This Row],[Comments]])=0,"",stdProdLT(Main[[#This Row],[Comments]])))</f>
        <v/>
      </c>
      <c r="H300" s="103" t="str">
        <f>IF(AND(Main[[#This Row],[In Stock Date]]&lt;&gt;"",Main[[#This Row],[Revised Due Date]]&lt;&gt;""),Main[[#This Row],[In Stock Date]]-Main[[#This Row],[Revised Due Date]],"")</f>
        <v/>
      </c>
      <c r="I300" s="99" t="s">
        <v>4</v>
      </c>
      <c r="J300" s="99" t="s">
        <v>4</v>
      </c>
      <c r="K300" s="99" t="s">
        <v>4</v>
      </c>
      <c r="L300" s="101"/>
      <c r="M300" s="104" t="str">
        <f>IF(Main[[#This Row],[Tech Start Date]]&lt;1/1/1990,"",IF(Main[[#This Row],[Class]]="C",WORKDAY(Main[[#This Row],[Tech Start Date]],9),IF(Main[[#This Row],[Class]]="B", WORKDAY(Main[[#This Row],[Tech Start Date]],6),IF(Main[[#This Row],[Class]]="A",WORKDAY(Main[[#This Row],[Tech Start Date]],2),""))))</f>
        <v/>
      </c>
      <c r="N300" s="104" t="str">
        <f>IF(Main[[#This Row],[Tech Start Date]]&lt;1/1/1990,"",IF(Main[[#This Row],[Class]]="C",WORKDAY(Main[[#This Row],[Tech Start Date]],19),IF(Main[[#This Row],[Class]]="B", WORKDAY(Main[[#This Row],[Tech Start Date]],12),IF(Main[[#This Row],[Class]]="A",WORKDAY(Main[[#This Row],[Tech Start Date]],4),""))))</f>
        <v/>
      </c>
      <c r="O300" s="104" t="str">
        <f>IF(Main[[#This Row],[Tech Start Date]]&lt;1/1/1990,"",IF(Main[[#This Row],[Class]]="C",WORKDAY(Main[[#This Row],[Tech Start Date]],23),IF(Main[[#This Row],[Class]]="B", WORKDAY(Main[[#This Row],[Tech Start Date]],15),IF(Main[[#This Row],[Class]]="A",WORKDAY(Main[[#This Row],[Tech Start Date]],5),""))))</f>
        <v/>
      </c>
      <c r="P300" s="104" t="str">
        <f>IF(Main[[#This Row],[Tech Start Date]]&lt;1/1/1990,"",IF(Main[[#This Row],[Class]]="C",WORKDAY(Main[[#This Row],[Tech Start Date]],28),IF(Main[[#This Row],[Class]]="B", WORKDAY(Main[[#This Row],[Tech Start Date]],19),IF(Main[[#This Row],[Class]]="A",WORKDAY(Main[[#This Row],[Tech Start Date]],9),""))))</f>
        <v/>
      </c>
      <c r="Q300" s="101">
        <v>40116</v>
      </c>
      <c r="R300" s="101"/>
      <c r="S300" s="99" t="s">
        <v>11</v>
      </c>
      <c r="T300" s="107" t="s">
        <v>4</v>
      </c>
      <c r="U300" s="99" t="s">
        <v>14</v>
      </c>
      <c r="V300" s="99" t="s">
        <v>1965</v>
      </c>
      <c r="W300" s="99" t="s">
        <v>1964</v>
      </c>
    </row>
    <row r="301" spans="1:23" ht="18.600000000000001" customHeight="1">
      <c r="A301" s="123" t="str">
        <f>IF(priority(Main[[#This Row],[Comments]])&lt;&gt;0, priority(Main[[#This Row],[Comments]]),"")</f>
        <v/>
      </c>
      <c r="B301" s="127" t="s">
        <v>1185</v>
      </c>
      <c r="C301" s="99" t="s">
        <v>4</v>
      </c>
      <c r="D301" s="100" t="s">
        <v>211</v>
      </c>
      <c r="E301" s="101"/>
      <c r="F301" s="101"/>
      <c r="G301" s="102" t="str">
        <f>IF(stdProdLT(Main[[#This Row],[Comments]])=0.1,"N/A",IF(stdProdLT(Main[[#This Row],[Comments]])=0,"",stdProdLT(Main[[#This Row],[Comments]])))</f>
        <v/>
      </c>
      <c r="H301" s="103" t="str">
        <f>IF(AND(Main[[#This Row],[In Stock Date]]&lt;&gt;"",Main[[#This Row],[Revised Due Date]]&lt;&gt;""),Main[[#This Row],[In Stock Date]]-Main[[#This Row],[Revised Due Date]],"")</f>
        <v/>
      </c>
      <c r="I301" s="99" t="s">
        <v>4</v>
      </c>
      <c r="J301" s="99" t="s">
        <v>28</v>
      </c>
      <c r="K301" s="99" t="s">
        <v>4</v>
      </c>
      <c r="L301" s="101"/>
      <c r="M301" s="104" t="str">
        <f>IF(Main[[#This Row],[Tech Start Date]]&lt;1/1/1990,"",IF(Main[[#This Row],[Class]]="C",WORKDAY(Main[[#This Row],[Tech Start Date]],9),IF(Main[[#This Row],[Class]]="B", WORKDAY(Main[[#This Row],[Tech Start Date]],6),IF(Main[[#This Row],[Class]]="A",WORKDAY(Main[[#This Row],[Tech Start Date]],2),""))))</f>
        <v/>
      </c>
      <c r="N301" s="104" t="str">
        <f>IF(Main[[#This Row],[Tech Start Date]]&lt;1/1/1990,"",IF(Main[[#This Row],[Class]]="C",WORKDAY(Main[[#This Row],[Tech Start Date]],19),IF(Main[[#This Row],[Class]]="B", WORKDAY(Main[[#This Row],[Tech Start Date]],12),IF(Main[[#This Row],[Class]]="A",WORKDAY(Main[[#This Row],[Tech Start Date]],4),""))))</f>
        <v/>
      </c>
      <c r="O301" s="104" t="str">
        <f>IF(Main[[#This Row],[Tech Start Date]]&lt;1/1/1990,"",IF(Main[[#This Row],[Class]]="C",WORKDAY(Main[[#This Row],[Tech Start Date]],23),IF(Main[[#This Row],[Class]]="B", WORKDAY(Main[[#This Row],[Tech Start Date]],15),IF(Main[[#This Row],[Class]]="A",WORKDAY(Main[[#This Row],[Tech Start Date]],5),""))))</f>
        <v/>
      </c>
      <c r="P301" s="104" t="str">
        <f>IF(Main[[#This Row],[Tech Start Date]]&lt;1/1/1990,"",IF(Main[[#This Row],[Class]]="C",WORKDAY(Main[[#This Row],[Tech Start Date]],28),IF(Main[[#This Row],[Class]]="B", WORKDAY(Main[[#This Row],[Tech Start Date]],19),IF(Main[[#This Row],[Class]]="A",WORKDAY(Main[[#This Row],[Tech Start Date]],9),""))))</f>
        <v/>
      </c>
      <c r="Q301" s="101"/>
      <c r="R301" s="101"/>
      <c r="S301" s="99" t="s">
        <v>6</v>
      </c>
      <c r="T301" s="107" t="s">
        <v>4</v>
      </c>
      <c r="U301" s="99" t="s">
        <v>12</v>
      </c>
      <c r="V301" s="99" t="s">
        <v>1972</v>
      </c>
      <c r="W301" s="99" t="s">
        <v>1968</v>
      </c>
    </row>
    <row r="302" spans="1:23" ht="18.600000000000001" customHeight="1">
      <c r="A302" s="123" t="str">
        <f>IF(priority(Main[[#This Row],[Comments]])&lt;&gt;0, priority(Main[[#This Row],[Comments]]),"")</f>
        <v/>
      </c>
      <c r="B302" s="127" t="s">
        <v>1902</v>
      </c>
      <c r="C302" s="99" t="s">
        <v>31</v>
      </c>
      <c r="D302" s="100" t="s">
        <v>933</v>
      </c>
      <c r="E302" s="101"/>
      <c r="F302" s="101">
        <v>40664</v>
      </c>
      <c r="G302" s="102" t="str">
        <f>IF(stdProdLT(Main[[#This Row],[Comments]])=0.1,"N/A",IF(stdProdLT(Main[[#This Row],[Comments]])=0,"",stdProdLT(Main[[#This Row],[Comments]])))</f>
        <v/>
      </c>
      <c r="H302" s="103">
        <f>IF(AND(Main[[#This Row],[In Stock Date]]&lt;&gt;"",Main[[#This Row],[Revised Due Date]]&lt;&gt;""),Main[[#This Row],[In Stock Date]]-Main[[#This Row],[Revised Due Date]],"")</f>
        <v>87</v>
      </c>
      <c r="I302" s="99" t="s">
        <v>423</v>
      </c>
      <c r="J302" s="99" t="s">
        <v>75</v>
      </c>
      <c r="K302" s="99" t="s">
        <v>1971</v>
      </c>
      <c r="L302" s="101"/>
      <c r="M302" s="104" t="str">
        <f>IF(Main[[#This Row],[Tech Start Date]]&lt;1/1/1990,"",IF(Main[[#This Row],[Class]]="C",WORKDAY(Main[[#This Row],[Tech Start Date]],9),IF(Main[[#This Row],[Class]]="B", WORKDAY(Main[[#This Row],[Tech Start Date]],6),IF(Main[[#This Row],[Class]]="A",WORKDAY(Main[[#This Row],[Tech Start Date]],2),""))))</f>
        <v/>
      </c>
      <c r="N302" s="104" t="str">
        <f>IF(Main[[#This Row],[Tech Start Date]]&lt;1/1/1990,"",IF(Main[[#This Row],[Class]]="C",WORKDAY(Main[[#This Row],[Tech Start Date]],19),IF(Main[[#This Row],[Class]]="B", WORKDAY(Main[[#This Row],[Tech Start Date]],12),IF(Main[[#This Row],[Class]]="A",WORKDAY(Main[[#This Row],[Tech Start Date]],4),""))))</f>
        <v/>
      </c>
      <c r="O302" s="104" t="str">
        <f>IF(Main[[#This Row],[Tech Start Date]]&lt;1/1/1990,"",IF(Main[[#This Row],[Class]]="C",WORKDAY(Main[[#This Row],[Tech Start Date]],23),IF(Main[[#This Row],[Class]]="B", WORKDAY(Main[[#This Row],[Tech Start Date]],15),IF(Main[[#This Row],[Class]]="A",WORKDAY(Main[[#This Row],[Tech Start Date]],5),""))))</f>
        <v/>
      </c>
      <c r="P302" s="104" t="str">
        <f>IF(Main[[#This Row],[Tech Start Date]]&lt;1/1/1990,"",IF(Main[[#This Row],[Class]]="C",WORKDAY(Main[[#This Row],[Tech Start Date]],28),IF(Main[[#This Row],[Class]]="B", WORKDAY(Main[[#This Row],[Tech Start Date]],19),IF(Main[[#This Row],[Class]]="A",WORKDAY(Main[[#This Row],[Tech Start Date]],9),""))))</f>
        <v/>
      </c>
      <c r="Q302" s="101">
        <v>40589</v>
      </c>
      <c r="R302" s="101">
        <v>40577</v>
      </c>
      <c r="S302" s="99" t="s">
        <v>11</v>
      </c>
      <c r="T302" s="107" t="s">
        <v>4</v>
      </c>
      <c r="U302" s="99" t="s">
        <v>14</v>
      </c>
      <c r="V302" s="99" t="s">
        <v>1965</v>
      </c>
      <c r="W302" s="99" t="s">
        <v>1968</v>
      </c>
    </row>
    <row r="303" spans="1:23" ht="18.600000000000001" customHeight="1">
      <c r="A303" s="123" t="str">
        <f>IF(priority(Main[[#This Row],[Comments]])&lt;&gt;0, priority(Main[[#This Row],[Comments]]),"")</f>
        <v/>
      </c>
      <c r="B303" s="127" t="s">
        <v>1191</v>
      </c>
      <c r="C303" s="99" t="s">
        <v>214</v>
      </c>
      <c r="D303" s="100" t="s">
        <v>215</v>
      </c>
      <c r="E303" s="101"/>
      <c r="F303" s="101">
        <v>40391</v>
      </c>
      <c r="G303" s="102" t="str">
        <f>IF(stdProdLT(Main[[#This Row],[Comments]])=0.1,"N/A",IF(stdProdLT(Main[[#This Row],[Comments]])=0,"",stdProdLT(Main[[#This Row],[Comments]])))</f>
        <v/>
      </c>
      <c r="H303" s="103" t="str">
        <f>IF(AND(Main[[#This Row],[In Stock Date]]&lt;&gt;"",Main[[#This Row],[Revised Due Date]]&lt;&gt;""),Main[[#This Row],[In Stock Date]]-Main[[#This Row],[Revised Due Date]],"")</f>
        <v/>
      </c>
      <c r="I303" s="99" t="s">
        <v>4</v>
      </c>
      <c r="J303" s="99" t="s">
        <v>4</v>
      </c>
      <c r="K303" s="99" t="s">
        <v>4</v>
      </c>
      <c r="L303" s="101"/>
      <c r="M303" s="104" t="str">
        <f>IF(Main[[#This Row],[Tech Start Date]]&lt;1/1/1990,"",IF(Main[[#This Row],[Class]]="C",WORKDAY(Main[[#This Row],[Tech Start Date]],9),IF(Main[[#This Row],[Class]]="B", WORKDAY(Main[[#This Row],[Tech Start Date]],6),IF(Main[[#This Row],[Class]]="A",WORKDAY(Main[[#This Row],[Tech Start Date]],2),""))))</f>
        <v/>
      </c>
      <c r="N303" s="104" t="str">
        <f>IF(Main[[#This Row],[Tech Start Date]]&lt;1/1/1990,"",IF(Main[[#This Row],[Class]]="C",WORKDAY(Main[[#This Row],[Tech Start Date]],19),IF(Main[[#This Row],[Class]]="B", WORKDAY(Main[[#This Row],[Tech Start Date]],12),IF(Main[[#This Row],[Class]]="A",WORKDAY(Main[[#This Row],[Tech Start Date]],4),""))))</f>
        <v/>
      </c>
      <c r="O303" s="104" t="str">
        <f>IF(Main[[#This Row],[Tech Start Date]]&lt;1/1/1990,"",IF(Main[[#This Row],[Class]]="C",WORKDAY(Main[[#This Row],[Tech Start Date]],23),IF(Main[[#This Row],[Class]]="B", WORKDAY(Main[[#This Row],[Tech Start Date]],15),IF(Main[[#This Row],[Class]]="A",WORKDAY(Main[[#This Row],[Tech Start Date]],5),""))))</f>
        <v/>
      </c>
      <c r="P303" s="104" t="str">
        <f>IF(Main[[#This Row],[Tech Start Date]]&lt;1/1/1990,"",IF(Main[[#This Row],[Class]]="C",WORKDAY(Main[[#This Row],[Tech Start Date]],28),IF(Main[[#This Row],[Class]]="B", WORKDAY(Main[[#This Row],[Tech Start Date]],19),IF(Main[[#This Row],[Class]]="A",WORKDAY(Main[[#This Row],[Tech Start Date]],9),""))))</f>
        <v/>
      </c>
      <c r="Q303" s="101">
        <v>40296</v>
      </c>
      <c r="R303" s="101"/>
      <c r="S303" s="99" t="s">
        <v>11</v>
      </c>
      <c r="T303" s="107" t="s">
        <v>4</v>
      </c>
      <c r="U303" s="99" t="s">
        <v>12</v>
      </c>
      <c r="V303" s="99" t="s">
        <v>1962</v>
      </c>
      <c r="W303" s="99" t="s">
        <v>1970</v>
      </c>
    </row>
    <row r="304" spans="1:23" ht="18.600000000000001" customHeight="1">
      <c r="A304" s="123" t="str">
        <f>IF(priority(Main[[#This Row],[Comments]])&lt;&gt;0, priority(Main[[#This Row],[Comments]]),"")</f>
        <v/>
      </c>
      <c r="B304" s="127" t="s">
        <v>1193</v>
      </c>
      <c r="C304" s="99" t="s">
        <v>216</v>
      </c>
      <c r="D304" s="100" t="s">
        <v>217</v>
      </c>
      <c r="E304" s="101">
        <v>40395.391388888886</v>
      </c>
      <c r="F304" s="101">
        <v>40574</v>
      </c>
      <c r="G304" s="102" t="str">
        <f>IF(stdProdLT(Main[[#This Row],[Comments]])=0.1,"N/A",IF(stdProdLT(Main[[#This Row],[Comments]])=0,"",stdProdLT(Main[[#This Row],[Comments]])))</f>
        <v/>
      </c>
      <c r="H304" s="103" t="str">
        <f>IF(AND(Main[[#This Row],[In Stock Date]]&lt;&gt;"",Main[[#This Row],[Revised Due Date]]&lt;&gt;""),Main[[#This Row],[In Stock Date]]-Main[[#This Row],[Revised Due Date]],"")</f>
        <v/>
      </c>
      <c r="I304" s="99" t="s">
        <v>4</v>
      </c>
      <c r="J304" s="99" t="s">
        <v>28</v>
      </c>
      <c r="K304" s="99" t="s">
        <v>4</v>
      </c>
      <c r="L304" s="101"/>
      <c r="M304" s="104" t="str">
        <f>IF(Main[[#This Row],[Tech Start Date]]&lt;1/1/1990,"",IF(Main[[#This Row],[Class]]="C",WORKDAY(Main[[#This Row],[Tech Start Date]],9),IF(Main[[#This Row],[Class]]="B", WORKDAY(Main[[#This Row],[Tech Start Date]],6),IF(Main[[#This Row],[Class]]="A",WORKDAY(Main[[#This Row],[Tech Start Date]],2),""))))</f>
        <v/>
      </c>
      <c r="N304" s="104" t="str">
        <f>IF(Main[[#This Row],[Tech Start Date]]&lt;1/1/1990,"",IF(Main[[#This Row],[Class]]="C",WORKDAY(Main[[#This Row],[Tech Start Date]],19),IF(Main[[#This Row],[Class]]="B", WORKDAY(Main[[#This Row],[Tech Start Date]],12),IF(Main[[#This Row],[Class]]="A",WORKDAY(Main[[#This Row],[Tech Start Date]],4),""))))</f>
        <v/>
      </c>
      <c r="O304" s="104" t="str">
        <f>IF(Main[[#This Row],[Tech Start Date]]&lt;1/1/1990,"",IF(Main[[#This Row],[Class]]="C",WORKDAY(Main[[#This Row],[Tech Start Date]],23),IF(Main[[#This Row],[Class]]="B", WORKDAY(Main[[#This Row],[Tech Start Date]],15),IF(Main[[#This Row],[Class]]="A",WORKDAY(Main[[#This Row],[Tech Start Date]],5),""))))</f>
        <v/>
      </c>
      <c r="P304" s="104" t="str">
        <f>IF(Main[[#This Row],[Tech Start Date]]&lt;1/1/1990,"",IF(Main[[#This Row],[Class]]="C",WORKDAY(Main[[#This Row],[Tech Start Date]],28),IF(Main[[#This Row],[Class]]="B", WORKDAY(Main[[#This Row],[Tech Start Date]],19),IF(Main[[#This Row],[Class]]="A",WORKDAY(Main[[#This Row],[Tech Start Date]],9),""))))</f>
        <v/>
      </c>
      <c r="Q304" s="101"/>
      <c r="R304" s="101"/>
      <c r="S304" s="99" t="s">
        <v>17</v>
      </c>
      <c r="T304" s="107" t="s">
        <v>4</v>
      </c>
      <c r="U304" s="99" t="s">
        <v>7</v>
      </c>
      <c r="V304" s="99" t="s">
        <v>1962</v>
      </c>
      <c r="W304" s="99" t="s">
        <v>1967</v>
      </c>
    </row>
    <row r="305" spans="1:23" ht="18.600000000000001" customHeight="1">
      <c r="A305" s="123" t="str">
        <f>IF(priority(Main[[#This Row],[Comments]])&lt;&gt;0, priority(Main[[#This Row],[Comments]]),"")</f>
        <v/>
      </c>
      <c r="B305" s="127" t="s">
        <v>1194</v>
      </c>
      <c r="C305" s="99" t="s">
        <v>171</v>
      </c>
      <c r="D305" s="100" t="s">
        <v>218</v>
      </c>
      <c r="E305" s="101"/>
      <c r="F305" s="101">
        <v>40237</v>
      </c>
      <c r="G305" s="102" t="str">
        <f>IF(stdProdLT(Main[[#This Row],[Comments]])=0.1,"N/A",IF(stdProdLT(Main[[#This Row],[Comments]])=0,"",stdProdLT(Main[[#This Row],[Comments]])))</f>
        <v/>
      </c>
      <c r="H305" s="103" t="str">
        <f>IF(AND(Main[[#This Row],[In Stock Date]]&lt;&gt;"",Main[[#This Row],[Revised Due Date]]&lt;&gt;""),Main[[#This Row],[In Stock Date]]-Main[[#This Row],[Revised Due Date]],"")</f>
        <v/>
      </c>
      <c r="I305" s="99" t="s">
        <v>4</v>
      </c>
      <c r="J305" s="99" t="s">
        <v>4</v>
      </c>
      <c r="K305" s="108" t="s">
        <v>4</v>
      </c>
      <c r="L305" s="101"/>
      <c r="M305" s="104" t="str">
        <f>IF(Main[[#This Row],[Tech Start Date]]&lt;1/1/1990,"",IF(Main[[#This Row],[Class]]="C",WORKDAY(Main[[#This Row],[Tech Start Date]],9),IF(Main[[#This Row],[Class]]="B", WORKDAY(Main[[#This Row],[Tech Start Date]],6),IF(Main[[#This Row],[Class]]="A",WORKDAY(Main[[#This Row],[Tech Start Date]],2),""))))</f>
        <v/>
      </c>
      <c r="N305" s="104" t="str">
        <f>IF(Main[[#This Row],[Tech Start Date]]&lt;1/1/1990,"",IF(Main[[#This Row],[Class]]="C",WORKDAY(Main[[#This Row],[Tech Start Date]],19),IF(Main[[#This Row],[Class]]="B", WORKDAY(Main[[#This Row],[Tech Start Date]],12),IF(Main[[#This Row],[Class]]="A",WORKDAY(Main[[#This Row],[Tech Start Date]],4),""))))</f>
        <v/>
      </c>
      <c r="O305" s="104" t="str">
        <f>IF(Main[[#This Row],[Tech Start Date]]&lt;1/1/1990,"",IF(Main[[#This Row],[Class]]="C",WORKDAY(Main[[#This Row],[Tech Start Date]],23),IF(Main[[#This Row],[Class]]="B", WORKDAY(Main[[#This Row],[Tech Start Date]],15),IF(Main[[#This Row],[Class]]="A",WORKDAY(Main[[#This Row],[Tech Start Date]],5),""))))</f>
        <v/>
      </c>
      <c r="P305" s="104" t="str">
        <f>IF(Main[[#This Row],[Tech Start Date]]&lt;1/1/1990,"",IF(Main[[#This Row],[Class]]="C",WORKDAY(Main[[#This Row],[Tech Start Date]],28),IF(Main[[#This Row],[Class]]="B", WORKDAY(Main[[#This Row],[Tech Start Date]],19),IF(Main[[#This Row],[Class]]="A",WORKDAY(Main[[#This Row],[Tech Start Date]],9),""))))</f>
        <v/>
      </c>
      <c r="Q305" s="101">
        <v>40132</v>
      </c>
      <c r="R305" s="101"/>
      <c r="S305" s="99" t="s">
        <v>11</v>
      </c>
      <c r="T305" s="107" t="s">
        <v>4</v>
      </c>
      <c r="U305" s="99" t="s">
        <v>14</v>
      </c>
      <c r="V305" s="99" t="s">
        <v>1962</v>
      </c>
      <c r="W305" s="99" t="s">
        <v>1967</v>
      </c>
    </row>
    <row r="306" spans="1:23" ht="18.600000000000001" customHeight="1">
      <c r="A306" s="123" t="str">
        <f>IF(priority(Main[[#This Row],[Comments]])&lt;&gt;0, priority(Main[[#This Row],[Comments]]),"")</f>
        <v/>
      </c>
      <c r="B306" s="127" t="s">
        <v>1195</v>
      </c>
      <c r="C306" s="99" t="s">
        <v>4</v>
      </c>
      <c r="D306" s="100" t="s">
        <v>219</v>
      </c>
      <c r="E306" s="101"/>
      <c r="F306" s="101"/>
      <c r="G306" s="102" t="str">
        <f>IF(stdProdLT(Main[[#This Row],[Comments]])=0.1,"N/A",IF(stdProdLT(Main[[#This Row],[Comments]])=0,"",stdProdLT(Main[[#This Row],[Comments]])))</f>
        <v/>
      </c>
      <c r="H306" s="103" t="str">
        <f>IF(AND(Main[[#This Row],[In Stock Date]]&lt;&gt;"",Main[[#This Row],[Revised Due Date]]&lt;&gt;""),Main[[#This Row],[In Stock Date]]-Main[[#This Row],[Revised Due Date]],"")</f>
        <v/>
      </c>
      <c r="I306" s="99" t="s">
        <v>4</v>
      </c>
      <c r="J306" s="99" t="s">
        <v>4</v>
      </c>
      <c r="K306" s="99" t="s">
        <v>4</v>
      </c>
      <c r="L306" s="101"/>
      <c r="M306" s="104" t="str">
        <f>IF(Main[[#This Row],[Tech Start Date]]&lt;1/1/1990,"",IF(Main[[#This Row],[Class]]="C",WORKDAY(Main[[#This Row],[Tech Start Date]],9),IF(Main[[#This Row],[Class]]="B", WORKDAY(Main[[#This Row],[Tech Start Date]],6),IF(Main[[#This Row],[Class]]="A",WORKDAY(Main[[#This Row],[Tech Start Date]],2),""))))</f>
        <v/>
      </c>
      <c r="N306" s="104" t="str">
        <f>IF(Main[[#This Row],[Tech Start Date]]&lt;1/1/1990,"",IF(Main[[#This Row],[Class]]="C",WORKDAY(Main[[#This Row],[Tech Start Date]],19),IF(Main[[#This Row],[Class]]="B", WORKDAY(Main[[#This Row],[Tech Start Date]],12),IF(Main[[#This Row],[Class]]="A",WORKDAY(Main[[#This Row],[Tech Start Date]],4),""))))</f>
        <v/>
      </c>
      <c r="O306" s="104" t="str">
        <f>IF(Main[[#This Row],[Tech Start Date]]&lt;1/1/1990,"",IF(Main[[#This Row],[Class]]="C",WORKDAY(Main[[#This Row],[Tech Start Date]],23),IF(Main[[#This Row],[Class]]="B", WORKDAY(Main[[#This Row],[Tech Start Date]],15),IF(Main[[#This Row],[Class]]="A",WORKDAY(Main[[#This Row],[Tech Start Date]],5),""))))</f>
        <v/>
      </c>
      <c r="P306" s="104" t="str">
        <f>IF(Main[[#This Row],[Tech Start Date]]&lt;1/1/1990,"",IF(Main[[#This Row],[Class]]="C",WORKDAY(Main[[#This Row],[Tech Start Date]],28),IF(Main[[#This Row],[Class]]="B", WORKDAY(Main[[#This Row],[Tech Start Date]],19),IF(Main[[#This Row],[Class]]="A",WORKDAY(Main[[#This Row],[Tech Start Date]],9),""))))</f>
        <v/>
      </c>
      <c r="Q306" s="101"/>
      <c r="R306" s="101"/>
      <c r="S306" s="99" t="s">
        <v>17</v>
      </c>
      <c r="T306" s="107" t="s">
        <v>4</v>
      </c>
      <c r="U306" s="99" t="s">
        <v>12</v>
      </c>
      <c r="V306" s="99" t="s">
        <v>1962</v>
      </c>
      <c r="W306" s="99" t="s">
        <v>1966</v>
      </c>
    </row>
    <row r="307" spans="1:23" ht="18.600000000000001" customHeight="1">
      <c r="A307" s="123" t="str">
        <f>IF(priority(Main[[#This Row],[Comments]])&lt;&gt;0, priority(Main[[#This Row],[Comments]]),"")</f>
        <v/>
      </c>
      <c r="B307" s="127" t="s">
        <v>1197</v>
      </c>
      <c r="C307" s="99" t="s">
        <v>93</v>
      </c>
      <c r="D307" s="100" t="s">
        <v>221</v>
      </c>
      <c r="E307" s="101"/>
      <c r="F307" s="101">
        <v>40299</v>
      </c>
      <c r="G307" s="102" t="str">
        <f>IF(stdProdLT(Main[[#This Row],[Comments]])=0.1,"N/A",IF(stdProdLT(Main[[#This Row],[Comments]])=0,"",stdProdLT(Main[[#This Row],[Comments]])))</f>
        <v/>
      </c>
      <c r="H307" s="103" t="str">
        <f>IF(AND(Main[[#This Row],[In Stock Date]]&lt;&gt;"",Main[[#This Row],[Revised Due Date]]&lt;&gt;""),Main[[#This Row],[In Stock Date]]-Main[[#This Row],[Revised Due Date]],"")</f>
        <v/>
      </c>
      <c r="I307" s="99" t="s">
        <v>4</v>
      </c>
      <c r="J307" s="99" t="s">
        <v>4</v>
      </c>
      <c r="K307" s="99" t="s">
        <v>4</v>
      </c>
      <c r="L307" s="101"/>
      <c r="M307" s="104" t="str">
        <f>IF(Main[[#This Row],[Tech Start Date]]&lt;1/1/1990,"",IF(Main[[#This Row],[Class]]="C",WORKDAY(Main[[#This Row],[Tech Start Date]],9),IF(Main[[#This Row],[Class]]="B", WORKDAY(Main[[#This Row],[Tech Start Date]],6),IF(Main[[#This Row],[Class]]="A",WORKDAY(Main[[#This Row],[Tech Start Date]],2),""))))</f>
        <v/>
      </c>
      <c r="N307" s="104" t="str">
        <f>IF(Main[[#This Row],[Tech Start Date]]&lt;1/1/1990,"",IF(Main[[#This Row],[Class]]="C",WORKDAY(Main[[#This Row],[Tech Start Date]],19),IF(Main[[#This Row],[Class]]="B", WORKDAY(Main[[#This Row],[Tech Start Date]],12),IF(Main[[#This Row],[Class]]="A",WORKDAY(Main[[#This Row],[Tech Start Date]],4),""))))</f>
        <v/>
      </c>
      <c r="O307" s="104" t="str">
        <f>IF(Main[[#This Row],[Tech Start Date]]&lt;1/1/1990,"",IF(Main[[#This Row],[Class]]="C",WORKDAY(Main[[#This Row],[Tech Start Date]],23),IF(Main[[#This Row],[Class]]="B", WORKDAY(Main[[#This Row],[Tech Start Date]],15),IF(Main[[#This Row],[Class]]="A",WORKDAY(Main[[#This Row],[Tech Start Date]],5),""))))</f>
        <v/>
      </c>
      <c r="P307" s="104" t="str">
        <f>IF(Main[[#This Row],[Tech Start Date]]&lt;1/1/1990,"",IF(Main[[#This Row],[Class]]="C",WORKDAY(Main[[#This Row],[Tech Start Date]],28),IF(Main[[#This Row],[Class]]="B", WORKDAY(Main[[#This Row],[Tech Start Date]],19),IF(Main[[#This Row],[Class]]="A",WORKDAY(Main[[#This Row],[Tech Start Date]],9),""))))</f>
        <v/>
      </c>
      <c r="Q307" s="101">
        <v>40214</v>
      </c>
      <c r="R307" s="101"/>
      <c r="S307" s="99" t="s">
        <v>11</v>
      </c>
      <c r="T307" s="107" t="s">
        <v>4</v>
      </c>
      <c r="U307" s="99" t="s">
        <v>12</v>
      </c>
      <c r="V307" s="99" t="s">
        <v>1962</v>
      </c>
      <c r="W307" s="99" t="s">
        <v>1968</v>
      </c>
    </row>
    <row r="308" spans="1:23" ht="18.600000000000001" customHeight="1">
      <c r="A308" s="123" t="str">
        <f>IF(priority(Main[[#This Row],[Comments]])&lt;&gt;0, priority(Main[[#This Row],[Comments]]),"")</f>
        <v/>
      </c>
      <c r="B308" s="127" t="s">
        <v>1198</v>
      </c>
      <c r="C308" s="99" t="s">
        <v>113</v>
      </c>
      <c r="D308" s="100" t="s">
        <v>222</v>
      </c>
      <c r="E308" s="101"/>
      <c r="F308" s="101">
        <v>40193</v>
      </c>
      <c r="G308" s="102" t="str">
        <f>IF(stdProdLT(Main[[#This Row],[Comments]])=0.1,"N/A",IF(stdProdLT(Main[[#This Row],[Comments]])=0,"",stdProdLT(Main[[#This Row],[Comments]])))</f>
        <v/>
      </c>
      <c r="H308" s="103" t="str">
        <f>IF(AND(Main[[#This Row],[In Stock Date]]&lt;&gt;"",Main[[#This Row],[Revised Due Date]]&lt;&gt;""),Main[[#This Row],[In Stock Date]]-Main[[#This Row],[Revised Due Date]],"")</f>
        <v/>
      </c>
      <c r="I308" s="99" t="s">
        <v>4</v>
      </c>
      <c r="J308" s="99" t="s">
        <v>4</v>
      </c>
      <c r="K308" s="99" t="s">
        <v>4</v>
      </c>
      <c r="L308" s="101"/>
      <c r="M308" s="104" t="str">
        <f>IF(Main[[#This Row],[Tech Start Date]]&lt;1/1/1990,"",IF(Main[[#This Row],[Class]]="C",WORKDAY(Main[[#This Row],[Tech Start Date]],9),IF(Main[[#This Row],[Class]]="B", WORKDAY(Main[[#This Row],[Tech Start Date]],6),IF(Main[[#This Row],[Class]]="A",WORKDAY(Main[[#This Row],[Tech Start Date]],2),""))))</f>
        <v/>
      </c>
      <c r="N308" s="104" t="str">
        <f>IF(Main[[#This Row],[Tech Start Date]]&lt;1/1/1990,"",IF(Main[[#This Row],[Class]]="C",WORKDAY(Main[[#This Row],[Tech Start Date]],19),IF(Main[[#This Row],[Class]]="B", WORKDAY(Main[[#This Row],[Tech Start Date]],12),IF(Main[[#This Row],[Class]]="A",WORKDAY(Main[[#This Row],[Tech Start Date]],4),""))))</f>
        <v/>
      </c>
      <c r="O308" s="104" t="str">
        <f>IF(Main[[#This Row],[Tech Start Date]]&lt;1/1/1990,"",IF(Main[[#This Row],[Class]]="C",WORKDAY(Main[[#This Row],[Tech Start Date]],23),IF(Main[[#This Row],[Class]]="B", WORKDAY(Main[[#This Row],[Tech Start Date]],15),IF(Main[[#This Row],[Class]]="A",WORKDAY(Main[[#This Row],[Tech Start Date]],5),""))))</f>
        <v/>
      </c>
      <c r="P308" s="104" t="str">
        <f>IF(Main[[#This Row],[Tech Start Date]]&lt;1/1/1990,"",IF(Main[[#This Row],[Class]]="C",WORKDAY(Main[[#This Row],[Tech Start Date]],28),IF(Main[[#This Row],[Class]]="B", WORKDAY(Main[[#This Row],[Tech Start Date]],19),IF(Main[[#This Row],[Class]]="A",WORKDAY(Main[[#This Row],[Tech Start Date]],9),""))))</f>
        <v/>
      </c>
      <c r="Q308" s="101">
        <v>40448</v>
      </c>
      <c r="R308" s="101"/>
      <c r="S308" s="99" t="s">
        <v>11</v>
      </c>
      <c r="T308" s="107" t="s">
        <v>4</v>
      </c>
      <c r="U308" s="99" t="s">
        <v>14</v>
      </c>
      <c r="V308" s="99" t="s">
        <v>1972</v>
      </c>
      <c r="W308" s="99" t="s">
        <v>1968</v>
      </c>
    </row>
    <row r="309" spans="1:23" ht="18.600000000000001" customHeight="1">
      <c r="A309" s="123" t="str">
        <f>IF(priority(Main[[#This Row],[Comments]])&lt;&gt;0, priority(Main[[#This Row],[Comments]]),"")</f>
        <v/>
      </c>
      <c r="B309" s="127" t="s">
        <v>1199</v>
      </c>
      <c r="C309" s="99" t="s">
        <v>4</v>
      </c>
      <c r="D309" s="100" t="s">
        <v>223</v>
      </c>
      <c r="E309" s="101"/>
      <c r="F309" s="101">
        <v>40031</v>
      </c>
      <c r="G309" s="102" t="str">
        <f>IF(stdProdLT(Main[[#This Row],[Comments]])=0.1,"N/A",IF(stdProdLT(Main[[#This Row],[Comments]])=0,"",stdProdLT(Main[[#This Row],[Comments]])))</f>
        <v/>
      </c>
      <c r="H309" s="103" t="str">
        <f>IF(AND(Main[[#This Row],[In Stock Date]]&lt;&gt;"",Main[[#This Row],[Revised Due Date]]&lt;&gt;""),Main[[#This Row],[In Stock Date]]-Main[[#This Row],[Revised Due Date]],"")</f>
        <v/>
      </c>
      <c r="I309" s="99" t="s">
        <v>4</v>
      </c>
      <c r="J309" s="99" t="s">
        <v>4</v>
      </c>
      <c r="K309" s="108" t="s">
        <v>4</v>
      </c>
      <c r="L309" s="101"/>
      <c r="M309" s="104" t="str">
        <f>IF(Main[[#This Row],[Tech Start Date]]&lt;1/1/1990,"",IF(Main[[#This Row],[Class]]="C",WORKDAY(Main[[#This Row],[Tech Start Date]],9),IF(Main[[#This Row],[Class]]="B", WORKDAY(Main[[#This Row],[Tech Start Date]],6),IF(Main[[#This Row],[Class]]="A",WORKDAY(Main[[#This Row],[Tech Start Date]],2),""))))</f>
        <v/>
      </c>
      <c r="N309" s="104" t="str">
        <f>IF(Main[[#This Row],[Tech Start Date]]&lt;1/1/1990,"",IF(Main[[#This Row],[Class]]="C",WORKDAY(Main[[#This Row],[Tech Start Date]],19),IF(Main[[#This Row],[Class]]="B", WORKDAY(Main[[#This Row],[Tech Start Date]],12),IF(Main[[#This Row],[Class]]="A",WORKDAY(Main[[#This Row],[Tech Start Date]],4),""))))</f>
        <v/>
      </c>
      <c r="O309" s="104" t="str">
        <f>IF(Main[[#This Row],[Tech Start Date]]&lt;1/1/1990,"",IF(Main[[#This Row],[Class]]="C",WORKDAY(Main[[#This Row],[Tech Start Date]],23),IF(Main[[#This Row],[Class]]="B", WORKDAY(Main[[#This Row],[Tech Start Date]],15),IF(Main[[#This Row],[Class]]="A",WORKDAY(Main[[#This Row],[Tech Start Date]],5),""))))</f>
        <v/>
      </c>
      <c r="P309" s="104" t="str">
        <f>IF(Main[[#This Row],[Tech Start Date]]&lt;1/1/1990,"",IF(Main[[#This Row],[Class]]="C",WORKDAY(Main[[#This Row],[Tech Start Date]],28),IF(Main[[#This Row],[Class]]="B", WORKDAY(Main[[#This Row],[Tech Start Date]],19),IF(Main[[#This Row],[Class]]="A",WORKDAY(Main[[#This Row],[Tech Start Date]],9),""))))</f>
        <v/>
      </c>
      <c r="Q309" s="101">
        <v>39976</v>
      </c>
      <c r="R309" s="101"/>
      <c r="S309" s="99" t="s">
        <v>11</v>
      </c>
      <c r="T309" s="107" t="s">
        <v>4</v>
      </c>
      <c r="U309" s="99" t="s">
        <v>14</v>
      </c>
      <c r="V309" s="99" t="s">
        <v>1963</v>
      </c>
      <c r="W309" s="99" t="s">
        <v>1970</v>
      </c>
    </row>
    <row r="310" spans="1:23" ht="18.600000000000001" customHeight="1">
      <c r="A310" s="123" t="str">
        <f>IF(priority(Main[[#This Row],[Comments]])&lt;&gt;0, priority(Main[[#This Row],[Comments]]),"")</f>
        <v/>
      </c>
      <c r="B310" s="127" t="s">
        <v>1200</v>
      </c>
      <c r="C310" s="99" t="s">
        <v>4</v>
      </c>
      <c r="D310" s="100" t="s">
        <v>224</v>
      </c>
      <c r="E310" s="101"/>
      <c r="F310" s="101">
        <v>40309</v>
      </c>
      <c r="G310" s="102" t="str">
        <f>IF(stdProdLT(Main[[#This Row],[Comments]])=0.1,"N/A",IF(stdProdLT(Main[[#This Row],[Comments]])=0,"",stdProdLT(Main[[#This Row],[Comments]])))</f>
        <v/>
      </c>
      <c r="H310" s="103" t="str">
        <f>IF(AND(Main[[#This Row],[In Stock Date]]&lt;&gt;"",Main[[#This Row],[Revised Due Date]]&lt;&gt;""),Main[[#This Row],[In Stock Date]]-Main[[#This Row],[Revised Due Date]],"")</f>
        <v/>
      </c>
      <c r="I310" s="99" t="s">
        <v>4</v>
      </c>
      <c r="J310" s="99" t="s">
        <v>4</v>
      </c>
      <c r="K310" s="108" t="s">
        <v>4</v>
      </c>
      <c r="L310" s="101"/>
      <c r="M310" s="104" t="str">
        <f>IF(Main[[#This Row],[Tech Start Date]]&lt;1/1/1990,"",IF(Main[[#This Row],[Class]]="C",WORKDAY(Main[[#This Row],[Tech Start Date]],9),IF(Main[[#This Row],[Class]]="B", WORKDAY(Main[[#This Row],[Tech Start Date]],6),IF(Main[[#This Row],[Class]]="A",WORKDAY(Main[[#This Row],[Tech Start Date]],2),""))))</f>
        <v/>
      </c>
      <c r="N310" s="104" t="str">
        <f>IF(Main[[#This Row],[Tech Start Date]]&lt;1/1/1990,"",IF(Main[[#This Row],[Class]]="C",WORKDAY(Main[[#This Row],[Tech Start Date]],19),IF(Main[[#This Row],[Class]]="B", WORKDAY(Main[[#This Row],[Tech Start Date]],12),IF(Main[[#This Row],[Class]]="A",WORKDAY(Main[[#This Row],[Tech Start Date]],4),""))))</f>
        <v/>
      </c>
      <c r="O310" s="104" t="str">
        <f>IF(Main[[#This Row],[Tech Start Date]]&lt;1/1/1990,"",IF(Main[[#This Row],[Class]]="C",WORKDAY(Main[[#This Row],[Tech Start Date]],23),IF(Main[[#This Row],[Class]]="B", WORKDAY(Main[[#This Row],[Tech Start Date]],15),IF(Main[[#This Row],[Class]]="A",WORKDAY(Main[[#This Row],[Tech Start Date]],5),""))))</f>
        <v/>
      </c>
      <c r="P310" s="104" t="str">
        <f>IF(Main[[#This Row],[Tech Start Date]]&lt;1/1/1990,"",IF(Main[[#This Row],[Class]]="C",WORKDAY(Main[[#This Row],[Tech Start Date]],28),IF(Main[[#This Row],[Class]]="B", WORKDAY(Main[[#This Row],[Tech Start Date]],19),IF(Main[[#This Row],[Class]]="A",WORKDAY(Main[[#This Row],[Tech Start Date]],9),""))))</f>
        <v/>
      </c>
      <c r="Q310" s="101">
        <v>40305</v>
      </c>
      <c r="R310" s="101"/>
      <c r="S310" s="99" t="s">
        <v>6</v>
      </c>
      <c r="T310" s="107" t="s">
        <v>4</v>
      </c>
      <c r="U310" s="99" t="s">
        <v>12</v>
      </c>
      <c r="V310" s="99" t="s">
        <v>1962</v>
      </c>
      <c r="W310" s="99" t="s">
        <v>1970</v>
      </c>
    </row>
    <row r="311" spans="1:23" ht="18.600000000000001" customHeight="1">
      <c r="A311" s="123" t="str">
        <f>IF(priority(Main[[#This Row],[Comments]])&lt;&gt;0, priority(Main[[#This Row],[Comments]]),"")</f>
        <v/>
      </c>
      <c r="B311" s="127" t="s">
        <v>1201</v>
      </c>
      <c r="C311" s="99" t="s">
        <v>31</v>
      </c>
      <c r="D311" s="100" t="s">
        <v>225</v>
      </c>
      <c r="E311" s="101"/>
      <c r="F311" s="101">
        <v>40169</v>
      </c>
      <c r="G311" s="102" t="str">
        <f>IF(stdProdLT(Main[[#This Row],[Comments]])=0.1,"N/A",IF(stdProdLT(Main[[#This Row],[Comments]])=0,"",stdProdLT(Main[[#This Row],[Comments]])))</f>
        <v/>
      </c>
      <c r="H311" s="103" t="str">
        <f>IF(AND(Main[[#This Row],[In Stock Date]]&lt;&gt;"",Main[[#This Row],[Revised Due Date]]&lt;&gt;""),Main[[#This Row],[In Stock Date]]-Main[[#This Row],[Revised Due Date]],"")</f>
        <v/>
      </c>
      <c r="I311" s="99" t="s">
        <v>4</v>
      </c>
      <c r="J311" s="99" t="s">
        <v>4</v>
      </c>
      <c r="K311" s="99" t="s">
        <v>4</v>
      </c>
      <c r="L311" s="101"/>
      <c r="M311" s="104" t="str">
        <f>IF(Main[[#This Row],[Tech Start Date]]&lt;1/1/1990,"",IF(Main[[#This Row],[Class]]="C",WORKDAY(Main[[#This Row],[Tech Start Date]],9),IF(Main[[#This Row],[Class]]="B", WORKDAY(Main[[#This Row],[Tech Start Date]],6),IF(Main[[#This Row],[Class]]="A",WORKDAY(Main[[#This Row],[Tech Start Date]],2),""))))</f>
        <v/>
      </c>
      <c r="N311" s="104" t="str">
        <f>IF(Main[[#This Row],[Tech Start Date]]&lt;1/1/1990,"",IF(Main[[#This Row],[Class]]="C",WORKDAY(Main[[#This Row],[Tech Start Date]],19),IF(Main[[#This Row],[Class]]="B", WORKDAY(Main[[#This Row],[Tech Start Date]],12),IF(Main[[#This Row],[Class]]="A",WORKDAY(Main[[#This Row],[Tech Start Date]],4),""))))</f>
        <v/>
      </c>
      <c r="O311" s="104" t="str">
        <f>IF(Main[[#This Row],[Tech Start Date]]&lt;1/1/1990,"",IF(Main[[#This Row],[Class]]="C",WORKDAY(Main[[#This Row],[Tech Start Date]],23),IF(Main[[#This Row],[Class]]="B", WORKDAY(Main[[#This Row],[Tech Start Date]],15),IF(Main[[#This Row],[Class]]="A",WORKDAY(Main[[#This Row],[Tech Start Date]],5),""))))</f>
        <v/>
      </c>
      <c r="P311" s="104" t="str">
        <f>IF(Main[[#This Row],[Tech Start Date]]&lt;1/1/1990,"",IF(Main[[#This Row],[Class]]="C",WORKDAY(Main[[#This Row],[Tech Start Date]],28),IF(Main[[#This Row],[Class]]="B", WORKDAY(Main[[#This Row],[Tech Start Date]],19),IF(Main[[#This Row],[Class]]="A",WORKDAY(Main[[#This Row],[Tech Start Date]],9),""))))</f>
        <v/>
      </c>
      <c r="Q311" s="101">
        <v>40169</v>
      </c>
      <c r="R311" s="101"/>
      <c r="S311" s="99" t="s">
        <v>11</v>
      </c>
      <c r="T311" s="107" t="s">
        <v>4</v>
      </c>
      <c r="U311" s="99" t="s">
        <v>14</v>
      </c>
      <c r="V311" s="99" t="s">
        <v>1963</v>
      </c>
      <c r="W311" s="99" t="s">
        <v>1970</v>
      </c>
    </row>
    <row r="312" spans="1:23" ht="18.600000000000001" customHeight="1">
      <c r="A312" s="123" t="str">
        <f>IF(priority(Main[[#This Row],[Comments]])&lt;&gt;0, priority(Main[[#This Row],[Comments]]),"")</f>
        <v/>
      </c>
      <c r="B312" s="127" t="s">
        <v>1202</v>
      </c>
      <c r="C312" s="99" t="s">
        <v>72</v>
      </c>
      <c r="D312" s="100" t="s">
        <v>226</v>
      </c>
      <c r="E312" s="101"/>
      <c r="F312" s="101">
        <v>40391</v>
      </c>
      <c r="G312" s="102" t="str">
        <f>IF(stdProdLT(Main[[#This Row],[Comments]])=0.1,"N/A",IF(stdProdLT(Main[[#This Row],[Comments]])=0,"",stdProdLT(Main[[#This Row],[Comments]])))</f>
        <v/>
      </c>
      <c r="H312" s="103" t="str">
        <f>IF(AND(Main[[#This Row],[In Stock Date]]&lt;&gt;"",Main[[#This Row],[Revised Due Date]]&lt;&gt;""),Main[[#This Row],[In Stock Date]]-Main[[#This Row],[Revised Due Date]],"")</f>
        <v/>
      </c>
      <c r="I312" s="99" t="s">
        <v>4</v>
      </c>
      <c r="J312" s="99" t="s">
        <v>4</v>
      </c>
      <c r="K312" s="99" t="s">
        <v>4</v>
      </c>
      <c r="L312" s="101"/>
      <c r="M312" s="104" t="str">
        <f>IF(Main[[#This Row],[Tech Start Date]]&lt;1/1/1990,"",IF(Main[[#This Row],[Class]]="C",WORKDAY(Main[[#This Row],[Tech Start Date]],9),IF(Main[[#This Row],[Class]]="B", WORKDAY(Main[[#This Row],[Tech Start Date]],6),IF(Main[[#This Row],[Class]]="A",WORKDAY(Main[[#This Row],[Tech Start Date]],2),""))))</f>
        <v/>
      </c>
      <c r="N312" s="104" t="str">
        <f>IF(Main[[#This Row],[Tech Start Date]]&lt;1/1/1990,"",IF(Main[[#This Row],[Class]]="C",WORKDAY(Main[[#This Row],[Tech Start Date]],19),IF(Main[[#This Row],[Class]]="B", WORKDAY(Main[[#This Row],[Tech Start Date]],12),IF(Main[[#This Row],[Class]]="A",WORKDAY(Main[[#This Row],[Tech Start Date]],4),""))))</f>
        <v/>
      </c>
      <c r="O312" s="104" t="str">
        <f>IF(Main[[#This Row],[Tech Start Date]]&lt;1/1/1990,"",IF(Main[[#This Row],[Class]]="C",WORKDAY(Main[[#This Row],[Tech Start Date]],23),IF(Main[[#This Row],[Class]]="B", WORKDAY(Main[[#This Row],[Tech Start Date]],15),IF(Main[[#This Row],[Class]]="A",WORKDAY(Main[[#This Row],[Tech Start Date]],5),""))))</f>
        <v/>
      </c>
      <c r="P312" s="104" t="str">
        <f>IF(Main[[#This Row],[Tech Start Date]]&lt;1/1/1990,"",IF(Main[[#This Row],[Class]]="C",WORKDAY(Main[[#This Row],[Tech Start Date]],28),IF(Main[[#This Row],[Class]]="B", WORKDAY(Main[[#This Row],[Tech Start Date]],19),IF(Main[[#This Row],[Class]]="A",WORKDAY(Main[[#This Row],[Tech Start Date]],9),""))))</f>
        <v/>
      </c>
      <c r="Q312" s="101">
        <v>40291</v>
      </c>
      <c r="R312" s="101"/>
      <c r="S312" s="99" t="s">
        <v>11</v>
      </c>
      <c r="T312" s="107" t="s">
        <v>4</v>
      </c>
      <c r="U312" s="99" t="s">
        <v>12</v>
      </c>
      <c r="V312" s="99" t="s">
        <v>1963</v>
      </c>
      <c r="W312" s="99" t="s">
        <v>1967</v>
      </c>
    </row>
    <row r="313" spans="1:23" ht="18.600000000000001" customHeight="1">
      <c r="A313" s="123" t="str">
        <f>IF(priority(Main[[#This Row],[Comments]])&lt;&gt;0, priority(Main[[#This Row],[Comments]]),"")</f>
        <v/>
      </c>
      <c r="B313" s="127" t="s">
        <v>1204</v>
      </c>
      <c r="C313" s="99" t="s">
        <v>4</v>
      </c>
      <c r="D313" s="100" t="s">
        <v>229</v>
      </c>
      <c r="E313" s="101"/>
      <c r="F313" s="101">
        <v>40574</v>
      </c>
      <c r="G313" s="102" t="str">
        <f>IF(stdProdLT(Main[[#This Row],[Comments]])=0.1,"N/A",IF(stdProdLT(Main[[#This Row],[Comments]])=0,"",stdProdLT(Main[[#This Row],[Comments]])))</f>
        <v/>
      </c>
      <c r="H313" s="103" t="str">
        <f>IF(AND(Main[[#This Row],[In Stock Date]]&lt;&gt;"",Main[[#This Row],[Revised Due Date]]&lt;&gt;""),Main[[#This Row],[In Stock Date]]-Main[[#This Row],[Revised Due Date]],"")</f>
        <v/>
      </c>
      <c r="I313" s="99" t="s">
        <v>4</v>
      </c>
      <c r="J313" s="99" t="s">
        <v>28</v>
      </c>
      <c r="K313" s="99" t="s">
        <v>1971</v>
      </c>
      <c r="L313" s="101"/>
      <c r="M313" s="104" t="str">
        <f>IF(Main[[#This Row],[Tech Start Date]]&lt;1/1/1990,"",IF(Main[[#This Row],[Class]]="C",WORKDAY(Main[[#This Row],[Tech Start Date]],9),IF(Main[[#This Row],[Class]]="B", WORKDAY(Main[[#This Row],[Tech Start Date]],6),IF(Main[[#This Row],[Class]]="A",WORKDAY(Main[[#This Row],[Tech Start Date]],2),""))))</f>
        <v/>
      </c>
      <c r="N313" s="104" t="str">
        <f>IF(Main[[#This Row],[Tech Start Date]]&lt;1/1/1990,"",IF(Main[[#This Row],[Class]]="C",WORKDAY(Main[[#This Row],[Tech Start Date]],19),IF(Main[[#This Row],[Class]]="B", WORKDAY(Main[[#This Row],[Tech Start Date]],12),IF(Main[[#This Row],[Class]]="A",WORKDAY(Main[[#This Row],[Tech Start Date]],4),""))))</f>
        <v/>
      </c>
      <c r="O313" s="104" t="str">
        <f>IF(Main[[#This Row],[Tech Start Date]]&lt;1/1/1990,"",IF(Main[[#This Row],[Class]]="C",WORKDAY(Main[[#This Row],[Tech Start Date]],23),IF(Main[[#This Row],[Class]]="B", WORKDAY(Main[[#This Row],[Tech Start Date]],15),IF(Main[[#This Row],[Class]]="A",WORKDAY(Main[[#This Row],[Tech Start Date]],5),""))))</f>
        <v/>
      </c>
      <c r="P313" s="104" t="str">
        <f>IF(Main[[#This Row],[Tech Start Date]]&lt;1/1/1990,"",IF(Main[[#This Row],[Class]]="C",WORKDAY(Main[[#This Row],[Tech Start Date]],28),IF(Main[[#This Row],[Class]]="B", WORKDAY(Main[[#This Row],[Tech Start Date]],19),IF(Main[[#This Row],[Class]]="A",WORKDAY(Main[[#This Row],[Tech Start Date]],9),""))))</f>
        <v/>
      </c>
      <c r="Q313" s="101">
        <v>40574</v>
      </c>
      <c r="R313" s="101"/>
      <c r="S313" s="99" t="s">
        <v>6</v>
      </c>
      <c r="T313" s="107" t="s">
        <v>4</v>
      </c>
      <c r="U313" s="99" t="s">
        <v>14</v>
      </c>
      <c r="V313" s="99" t="s">
        <v>1965</v>
      </c>
      <c r="W313" s="99" t="s">
        <v>1966</v>
      </c>
    </row>
    <row r="314" spans="1:23" ht="18.600000000000001" customHeight="1">
      <c r="A314" s="123" t="str">
        <f>IF(priority(Main[[#This Row],[Comments]])&lt;&gt;0, priority(Main[[#This Row],[Comments]]),"")</f>
        <v/>
      </c>
      <c r="B314" s="127" t="s">
        <v>1207</v>
      </c>
      <c r="C314" s="99" t="s">
        <v>4</v>
      </c>
      <c r="D314" s="100" t="s">
        <v>231</v>
      </c>
      <c r="E314" s="101"/>
      <c r="F314" s="101"/>
      <c r="G314" s="102" t="str">
        <f>IF(stdProdLT(Main[[#This Row],[Comments]])=0.1,"N/A",IF(stdProdLT(Main[[#This Row],[Comments]])=0,"",stdProdLT(Main[[#This Row],[Comments]])))</f>
        <v/>
      </c>
      <c r="H314" s="103" t="str">
        <f>IF(AND(Main[[#This Row],[In Stock Date]]&lt;&gt;"",Main[[#This Row],[Revised Due Date]]&lt;&gt;""),Main[[#This Row],[In Stock Date]]-Main[[#This Row],[Revised Due Date]],"")</f>
        <v/>
      </c>
      <c r="I314" s="99" t="s">
        <v>4</v>
      </c>
      <c r="J314" s="99" t="s">
        <v>4</v>
      </c>
      <c r="K314" s="99" t="s">
        <v>4</v>
      </c>
      <c r="L314" s="101"/>
      <c r="M314" s="104" t="str">
        <f>IF(Main[[#This Row],[Tech Start Date]]&lt;1/1/1990,"",IF(Main[[#This Row],[Class]]="C",WORKDAY(Main[[#This Row],[Tech Start Date]],9),IF(Main[[#This Row],[Class]]="B", WORKDAY(Main[[#This Row],[Tech Start Date]],6),IF(Main[[#This Row],[Class]]="A",WORKDAY(Main[[#This Row],[Tech Start Date]],2),""))))</f>
        <v/>
      </c>
      <c r="N314" s="104" t="str">
        <f>IF(Main[[#This Row],[Tech Start Date]]&lt;1/1/1990,"",IF(Main[[#This Row],[Class]]="C",WORKDAY(Main[[#This Row],[Tech Start Date]],19),IF(Main[[#This Row],[Class]]="B", WORKDAY(Main[[#This Row],[Tech Start Date]],12),IF(Main[[#This Row],[Class]]="A",WORKDAY(Main[[#This Row],[Tech Start Date]],4),""))))</f>
        <v/>
      </c>
      <c r="O314" s="104" t="str">
        <f>IF(Main[[#This Row],[Tech Start Date]]&lt;1/1/1990,"",IF(Main[[#This Row],[Class]]="C",WORKDAY(Main[[#This Row],[Tech Start Date]],23),IF(Main[[#This Row],[Class]]="B", WORKDAY(Main[[#This Row],[Tech Start Date]],15),IF(Main[[#This Row],[Class]]="A",WORKDAY(Main[[#This Row],[Tech Start Date]],5),""))))</f>
        <v/>
      </c>
      <c r="P314" s="104" t="str">
        <f>IF(Main[[#This Row],[Tech Start Date]]&lt;1/1/1990,"",IF(Main[[#This Row],[Class]]="C",WORKDAY(Main[[#This Row],[Tech Start Date]],28),IF(Main[[#This Row],[Class]]="B", WORKDAY(Main[[#This Row],[Tech Start Date]],19),IF(Main[[#This Row],[Class]]="A",WORKDAY(Main[[#This Row],[Tech Start Date]],9),""))))</f>
        <v/>
      </c>
      <c r="Q314" s="101">
        <v>40724</v>
      </c>
      <c r="R314" s="101"/>
      <c r="S314" s="99" t="s">
        <v>6</v>
      </c>
      <c r="T314" s="107" t="s">
        <v>4</v>
      </c>
      <c r="U314" s="99" t="s">
        <v>12</v>
      </c>
      <c r="V314" s="99" t="s">
        <v>1962</v>
      </c>
      <c r="W314" s="99" t="s">
        <v>1966</v>
      </c>
    </row>
    <row r="315" spans="1:23" ht="18.600000000000001" customHeight="1">
      <c r="A315" s="123" t="str">
        <f>IF(priority(Main[[#This Row],[Comments]])&lt;&gt;0, priority(Main[[#This Row],[Comments]]),"")</f>
        <v/>
      </c>
      <c r="B315" s="127" t="s">
        <v>2448</v>
      </c>
      <c r="C315" s="99" t="s">
        <v>53</v>
      </c>
      <c r="D315" s="100" t="s">
        <v>2449</v>
      </c>
      <c r="E315" s="101"/>
      <c r="F315" s="101">
        <v>40845</v>
      </c>
      <c r="G315" s="102" t="str">
        <f>IF(stdProdLT(Main[[#This Row],[Comments]])=0.1,"N/A",IF(stdProdLT(Main[[#This Row],[Comments]])=0,"",stdProdLT(Main[[#This Row],[Comments]])))</f>
        <v/>
      </c>
      <c r="H315" s="103" t="str">
        <f>IF(AND(Main[[#This Row],[In Stock Date]]&lt;&gt;"",Main[[#This Row],[Revised Due Date]]&lt;&gt;""),Main[[#This Row],[In Stock Date]]-Main[[#This Row],[Revised Due Date]],"")</f>
        <v/>
      </c>
      <c r="I315" s="99" t="s">
        <v>4</v>
      </c>
      <c r="J315" s="99" t="s">
        <v>28</v>
      </c>
      <c r="K315" s="99" t="s">
        <v>4</v>
      </c>
      <c r="L315" s="101"/>
      <c r="M315" s="104" t="str">
        <f>IF(Main[[#This Row],[Tech Start Date]]&lt;1/1/1990,"",IF(Main[[#This Row],[Class]]="C",WORKDAY(Main[[#This Row],[Tech Start Date]],9),IF(Main[[#This Row],[Class]]="B", WORKDAY(Main[[#This Row],[Tech Start Date]],6),IF(Main[[#This Row],[Class]]="A",WORKDAY(Main[[#This Row],[Tech Start Date]],2),""))))</f>
        <v/>
      </c>
      <c r="N315" s="104" t="str">
        <f>IF(Main[[#This Row],[Tech Start Date]]&lt;1/1/1990,"",IF(Main[[#This Row],[Class]]="C",WORKDAY(Main[[#This Row],[Tech Start Date]],19),IF(Main[[#This Row],[Class]]="B", WORKDAY(Main[[#This Row],[Tech Start Date]],12),IF(Main[[#This Row],[Class]]="A",WORKDAY(Main[[#This Row],[Tech Start Date]],4),""))))</f>
        <v/>
      </c>
      <c r="O315" s="104" t="str">
        <f>IF(Main[[#This Row],[Tech Start Date]]&lt;1/1/1990,"",IF(Main[[#This Row],[Class]]="C",WORKDAY(Main[[#This Row],[Tech Start Date]],23),IF(Main[[#This Row],[Class]]="B", WORKDAY(Main[[#This Row],[Tech Start Date]],15),IF(Main[[#This Row],[Class]]="A",WORKDAY(Main[[#This Row],[Tech Start Date]],5),""))))</f>
        <v/>
      </c>
      <c r="P315" s="104" t="str">
        <f>IF(Main[[#This Row],[Tech Start Date]]&lt;1/1/1990,"",IF(Main[[#This Row],[Class]]="C",WORKDAY(Main[[#This Row],[Tech Start Date]],28),IF(Main[[#This Row],[Class]]="B", WORKDAY(Main[[#This Row],[Tech Start Date]],19),IF(Main[[#This Row],[Class]]="A",WORKDAY(Main[[#This Row],[Tech Start Date]],9),""))))</f>
        <v/>
      </c>
      <c r="Q315" s="101">
        <v>40840</v>
      </c>
      <c r="R315" s="101"/>
      <c r="S315" s="99" t="s">
        <v>11</v>
      </c>
      <c r="T315" s="107" t="s">
        <v>2450</v>
      </c>
      <c r="U315" s="99" t="s">
        <v>12</v>
      </c>
      <c r="V315" s="99" t="s">
        <v>1963</v>
      </c>
      <c r="W315" s="99" t="s">
        <v>1964</v>
      </c>
    </row>
    <row r="316" spans="1:23" ht="18.600000000000001" customHeight="1">
      <c r="A316" s="123" t="str">
        <f>IF(priority(Main[[#This Row],[Comments]])&lt;&gt;0, priority(Main[[#This Row],[Comments]]),"")</f>
        <v/>
      </c>
      <c r="B316" s="127" t="s">
        <v>1210</v>
      </c>
      <c r="C316" s="99" t="s">
        <v>67</v>
      </c>
      <c r="D316" s="100" t="s">
        <v>234</v>
      </c>
      <c r="E316" s="101"/>
      <c r="F316" s="101"/>
      <c r="G316" s="102" t="str">
        <f>IF(stdProdLT(Main[[#This Row],[Comments]])=0.1,"N/A",IF(stdProdLT(Main[[#This Row],[Comments]])=0,"",stdProdLT(Main[[#This Row],[Comments]])))</f>
        <v/>
      </c>
      <c r="H316" s="103" t="str">
        <f>IF(AND(Main[[#This Row],[In Stock Date]]&lt;&gt;"",Main[[#This Row],[Revised Due Date]]&lt;&gt;""),Main[[#This Row],[In Stock Date]]-Main[[#This Row],[Revised Due Date]],"")</f>
        <v/>
      </c>
      <c r="I316" s="99" t="s">
        <v>4</v>
      </c>
      <c r="J316" s="99" t="s">
        <v>4</v>
      </c>
      <c r="K316" s="99" t="s">
        <v>4</v>
      </c>
      <c r="L316" s="101"/>
      <c r="M316" s="104" t="str">
        <f>IF(Main[[#This Row],[Tech Start Date]]&lt;1/1/1990,"",IF(Main[[#This Row],[Class]]="C",WORKDAY(Main[[#This Row],[Tech Start Date]],9),IF(Main[[#This Row],[Class]]="B", WORKDAY(Main[[#This Row],[Tech Start Date]],6),IF(Main[[#This Row],[Class]]="A",WORKDAY(Main[[#This Row],[Tech Start Date]],2),""))))</f>
        <v/>
      </c>
      <c r="N316" s="104" t="str">
        <f>IF(Main[[#This Row],[Tech Start Date]]&lt;1/1/1990,"",IF(Main[[#This Row],[Class]]="C",WORKDAY(Main[[#This Row],[Tech Start Date]],19),IF(Main[[#This Row],[Class]]="B", WORKDAY(Main[[#This Row],[Tech Start Date]],12),IF(Main[[#This Row],[Class]]="A",WORKDAY(Main[[#This Row],[Tech Start Date]],4),""))))</f>
        <v/>
      </c>
      <c r="O316" s="104" t="str">
        <f>IF(Main[[#This Row],[Tech Start Date]]&lt;1/1/1990,"",IF(Main[[#This Row],[Class]]="C",WORKDAY(Main[[#This Row],[Tech Start Date]],23),IF(Main[[#This Row],[Class]]="B", WORKDAY(Main[[#This Row],[Tech Start Date]],15),IF(Main[[#This Row],[Class]]="A",WORKDAY(Main[[#This Row],[Tech Start Date]],5),""))))</f>
        <v/>
      </c>
      <c r="P316" s="104" t="str">
        <f>IF(Main[[#This Row],[Tech Start Date]]&lt;1/1/1990,"",IF(Main[[#This Row],[Class]]="C",WORKDAY(Main[[#This Row],[Tech Start Date]],28),IF(Main[[#This Row],[Class]]="B", WORKDAY(Main[[#This Row],[Tech Start Date]],19),IF(Main[[#This Row],[Class]]="A",WORKDAY(Main[[#This Row],[Tech Start Date]],9),""))))</f>
        <v/>
      </c>
      <c r="Q316" s="101">
        <v>40466</v>
      </c>
      <c r="R316" s="101"/>
      <c r="S316" s="99" t="s">
        <v>17</v>
      </c>
      <c r="T316" s="107" t="s">
        <v>4</v>
      </c>
      <c r="U316" s="99" t="s">
        <v>14</v>
      </c>
      <c r="V316" s="99" t="s">
        <v>1965</v>
      </c>
      <c r="W316" s="99" t="s">
        <v>1970</v>
      </c>
    </row>
    <row r="317" spans="1:23" ht="18.600000000000001" customHeight="1">
      <c r="A317" s="123" t="str">
        <f>IF(priority(Main[[#This Row],[Comments]])&lt;&gt;0, priority(Main[[#This Row],[Comments]]),"")</f>
        <v/>
      </c>
      <c r="B317" s="127" t="s">
        <v>1211</v>
      </c>
      <c r="C317" s="99" t="s">
        <v>72</v>
      </c>
      <c r="D317" s="100" t="s">
        <v>226</v>
      </c>
      <c r="E317" s="101"/>
      <c r="F317" s="101">
        <v>40391</v>
      </c>
      <c r="G317" s="102" t="str">
        <f>IF(stdProdLT(Main[[#This Row],[Comments]])=0.1,"N/A",IF(stdProdLT(Main[[#This Row],[Comments]])=0,"",stdProdLT(Main[[#This Row],[Comments]])))</f>
        <v/>
      </c>
      <c r="H317" s="103" t="str">
        <f>IF(AND(Main[[#This Row],[In Stock Date]]&lt;&gt;"",Main[[#This Row],[Revised Due Date]]&lt;&gt;""),Main[[#This Row],[In Stock Date]]-Main[[#This Row],[Revised Due Date]],"")</f>
        <v/>
      </c>
      <c r="I317" s="99" t="s">
        <v>4</v>
      </c>
      <c r="J317" s="99" t="s">
        <v>4</v>
      </c>
      <c r="K317" s="99" t="s">
        <v>4</v>
      </c>
      <c r="L317" s="101"/>
      <c r="M317" s="104" t="str">
        <f>IF(Main[[#This Row],[Tech Start Date]]&lt;1/1/1990,"",IF(Main[[#This Row],[Class]]="C",WORKDAY(Main[[#This Row],[Tech Start Date]],9),IF(Main[[#This Row],[Class]]="B", WORKDAY(Main[[#This Row],[Tech Start Date]],6),IF(Main[[#This Row],[Class]]="A",WORKDAY(Main[[#This Row],[Tech Start Date]],2),""))))</f>
        <v/>
      </c>
      <c r="N317" s="104" t="str">
        <f>IF(Main[[#This Row],[Tech Start Date]]&lt;1/1/1990,"",IF(Main[[#This Row],[Class]]="C",WORKDAY(Main[[#This Row],[Tech Start Date]],19),IF(Main[[#This Row],[Class]]="B", WORKDAY(Main[[#This Row],[Tech Start Date]],12),IF(Main[[#This Row],[Class]]="A",WORKDAY(Main[[#This Row],[Tech Start Date]],4),""))))</f>
        <v/>
      </c>
      <c r="O317" s="104" t="str">
        <f>IF(Main[[#This Row],[Tech Start Date]]&lt;1/1/1990,"",IF(Main[[#This Row],[Class]]="C",WORKDAY(Main[[#This Row],[Tech Start Date]],23),IF(Main[[#This Row],[Class]]="B", WORKDAY(Main[[#This Row],[Tech Start Date]],15),IF(Main[[#This Row],[Class]]="A",WORKDAY(Main[[#This Row],[Tech Start Date]],5),""))))</f>
        <v/>
      </c>
      <c r="P317" s="104" t="str">
        <f>IF(Main[[#This Row],[Tech Start Date]]&lt;1/1/1990,"",IF(Main[[#This Row],[Class]]="C",WORKDAY(Main[[#This Row],[Tech Start Date]],28),IF(Main[[#This Row],[Class]]="B", WORKDAY(Main[[#This Row],[Tech Start Date]],19),IF(Main[[#This Row],[Class]]="A",WORKDAY(Main[[#This Row],[Tech Start Date]],9),""))))</f>
        <v/>
      </c>
      <c r="Q317" s="101">
        <v>40291</v>
      </c>
      <c r="R317" s="101"/>
      <c r="S317" s="99" t="s">
        <v>11</v>
      </c>
      <c r="T317" s="107" t="s">
        <v>4</v>
      </c>
      <c r="U317" s="99" t="s">
        <v>12</v>
      </c>
      <c r="V317" s="99" t="s">
        <v>1963</v>
      </c>
      <c r="W317" s="99" t="s">
        <v>1967</v>
      </c>
    </row>
    <row r="318" spans="1:23" ht="18.600000000000001" customHeight="1">
      <c r="A318" s="123" t="str">
        <f>IF(priority(Main[[#This Row],[Comments]])&lt;&gt;0, priority(Main[[#This Row],[Comments]]),"")</f>
        <v/>
      </c>
      <c r="B318" s="127" t="s">
        <v>1254</v>
      </c>
      <c r="C318" s="99" t="s">
        <v>4</v>
      </c>
      <c r="D318" s="100" t="s">
        <v>284</v>
      </c>
      <c r="E318" s="101"/>
      <c r="F318" s="101"/>
      <c r="G318" s="102" t="str">
        <f>IF(stdProdLT(Main[[#This Row],[Comments]])=0.1,"N/A",IF(stdProdLT(Main[[#This Row],[Comments]])=0,"",stdProdLT(Main[[#This Row],[Comments]])))</f>
        <v/>
      </c>
      <c r="H318" s="103" t="str">
        <f>IF(AND(Main[[#This Row],[In Stock Date]]&lt;&gt;"",Main[[#This Row],[Revised Due Date]]&lt;&gt;""),Main[[#This Row],[In Stock Date]]-Main[[#This Row],[Revised Due Date]],"")</f>
        <v/>
      </c>
      <c r="I318" s="99" t="s">
        <v>4</v>
      </c>
      <c r="J318" s="99" t="s">
        <v>4</v>
      </c>
      <c r="K318" s="99" t="s">
        <v>4</v>
      </c>
      <c r="L318" s="101"/>
      <c r="M318" s="104" t="str">
        <f>IF(Main[[#This Row],[Tech Start Date]]&lt;1/1/1990,"",IF(Main[[#This Row],[Class]]="C",WORKDAY(Main[[#This Row],[Tech Start Date]],9),IF(Main[[#This Row],[Class]]="B", WORKDAY(Main[[#This Row],[Tech Start Date]],6),IF(Main[[#This Row],[Class]]="A",WORKDAY(Main[[#This Row],[Tech Start Date]],2),""))))</f>
        <v/>
      </c>
      <c r="N318" s="104" t="str">
        <f>IF(Main[[#This Row],[Tech Start Date]]&lt;1/1/1990,"",IF(Main[[#This Row],[Class]]="C",WORKDAY(Main[[#This Row],[Tech Start Date]],19),IF(Main[[#This Row],[Class]]="B", WORKDAY(Main[[#This Row],[Tech Start Date]],12),IF(Main[[#This Row],[Class]]="A",WORKDAY(Main[[#This Row],[Tech Start Date]],4),""))))</f>
        <v/>
      </c>
      <c r="O318" s="104" t="str">
        <f>IF(Main[[#This Row],[Tech Start Date]]&lt;1/1/1990,"",IF(Main[[#This Row],[Class]]="C",WORKDAY(Main[[#This Row],[Tech Start Date]],23),IF(Main[[#This Row],[Class]]="B", WORKDAY(Main[[#This Row],[Tech Start Date]],15),IF(Main[[#This Row],[Class]]="A",WORKDAY(Main[[#This Row],[Tech Start Date]],5),""))))</f>
        <v/>
      </c>
      <c r="P318" s="104" t="str">
        <f>IF(Main[[#This Row],[Tech Start Date]]&lt;1/1/1990,"",IF(Main[[#This Row],[Class]]="C",WORKDAY(Main[[#This Row],[Tech Start Date]],28),IF(Main[[#This Row],[Class]]="B", WORKDAY(Main[[#This Row],[Tech Start Date]],19),IF(Main[[#This Row],[Class]]="A",WORKDAY(Main[[#This Row],[Tech Start Date]],9),""))))</f>
        <v/>
      </c>
      <c r="Q318" s="101"/>
      <c r="R318" s="101"/>
      <c r="S318" s="99" t="s">
        <v>23</v>
      </c>
      <c r="T318" s="107" t="s">
        <v>4</v>
      </c>
      <c r="U318" s="99" t="s">
        <v>12</v>
      </c>
      <c r="V318" s="99" t="s">
        <v>1962</v>
      </c>
      <c r="W318" s="99" t="s">
        <v>1966</v>
      </c>
    </row>
    <row r="319" spans="1:23" ht="18.600000000000001" customHeight="1">
      <c r="A319" s="123" t="str">
        <f>IF(priority(Main[[#This Row],[Comments]])&lt;&gt;0, priority(Main[[#This Row],[Comments]]),"")</f>
        <v/>
      </c>
      <c r="B319" s="127" t="s">
        <v>1255</v>
      </c>
      <c r="C319" s="99" t="s">
        <v>31</v>
      </c>
      <c r="D319" s="100" t="s">
        <v>285</v>
      </c>
      <c r="E319" s="101"/>
      <c r="F319" s="101"/>
      <c r="G319" s="102" t="str">
        <f>IF(stdProdLT(Main[[#This Row],[Comments]])=0.1,"N/A",IF(stdProdLT(Main[[#This Row],[Comments]])=0,"",stdProdLT(Main[[#This Row],[Comments]])))</f>
        <v/>
      </c>
      <c r="H319" s="103" t="str">
        <f>IF(AND(Main[[#This Row],[In Stock Date]]&lt;&gt;"",Main[[#This Row],[Revised Due Date]]&lt;&gt;""),Main[[#This Row],[In Stock Date]]-Main[[#This Row],[Revised Due Date]],"")</f>
        <v/>
      </c>
      <c r="I319" s="99" t="s">
        <v>4</v>
      </c>
      <c r="J319" s="99" t="s">
        <v>4</v>
      </c>
      <c r="K319" s="108" t="s">
        <v>4</v>
      </c>
      <c r="L319" s="101"/>
      <c r="M319" s="104" t="str">
        <f>IF(Main[[#This Row],[Tech Start Date]]&lt;1/1/1990,"",IF(Main[[#This Row],[Class]]="C",WORKDAY(Main[[#This Row],[Tech Start Date]],9),IF(Main[[#This Row],[Class]]="B", WORKDAY(Main[[#This Row],[Tech Start Date]],6),IF(Main[[#This Row],[Class]]="A",WORKDAY(Main[[#This Row],[Tech Start Date]],2),""))))</f>
        <v/>
      </c>
      <c r="N319" s="104" t="str">
        <f>IF(Main[[#This Row],[Tech Start Date]]&lt;1/1/1990,"",IF(Main[[#This Row],[Class]]="C",WORKDAY(Main[[#This Row],[Tech Start Date]],19),IF(Main[[#This Row],[Class]]="B", WORKDAY(Main[[#This Row],[Tech Start Date]],12),IF(Main[[#This Row],[Class]]="A",WORKDAY(Main[[#This Row],[Tech Start Date]],4),""))))</f>
        <v/>
      </c>
      <c r="O319" s="104" t="str">
        <f>IF(Main[[#This Row],[Tech Start Date]]&lt;1/1/1990,"",IF(Main[[#This Row],[Class]]="C",WORKDAY(Main[[#This Row],[Tech Start Date]],23),IF(Main[[#This Row],[Class]]="B", WORKDAY(Main[[#This Row],[Tech Start Date]],15),IF(Main[[#This Row],[Class]]="A",WORKDAY(Main[[#This Row],[Tech Start Date]],5),""))))</f>
        <v/>
      </c>
      <c r="P319" s="104" t="str">
        <f>IF(Main[[#This Row],[Tech Start Date]]&lt;1/1/1990,"",IF(Main[[#This Row],[Class]]="C",WORKDAY(Main[[#This Row],[Tech Start Date]],28),IF(Main[[#This Row],[Class]]="B", WORKDAY(Main[[#This Row],[Tech Start Date]],19),IF(Main[[#This Row],[Class]]="A",WORKDAY(Main[[#This Row],[Tech Start Date]],9),""))))</f>
        <v/>
      </c>
      <c r="Q319" s="101">
        <v>40318</v>
      </c>
      <c r="R319" s="101"/>
      <c r="S319" s="99" t="s">
        <v>11</v>
      </c>
      <c r="T319" s="107" t="s">
        <v>4</v>
      </c>
      <c r="U319" s="99" t="s">
        <v>14</v>
      </c>
      <c r="V319" s="99" t="s">
        <v>1972</v>
      </c>
      <c r="W319" s="99" t="s">
        <v>1964</v>
      </c>
    </row>
    <row r="320" spans="1:23" ht="18.600000000000001" customHeight="1">
      <c r="A320" s="123" t="str">
        <f>IF(priority(Main[[#This Row],[Comments]])&lt;&gt;0, priority(Main[[#This Row],[Comments]]),"")</f>
        <v/>
      </c>
      <c r="B320" s="127" t="s">
        <v>1883</v>
      </c>
      <c r="C320" s="99" t="s">
        <v>4</v>
      </c>
      <c r="D320" s="100" t="s">
        <v>913</v>
      </c>
      <c r="E320" s="101">
        <v>40241.453090277777</v>
      </c>
      <c r="F320" s="101"/>
      <c r="G320" s="102" t="str">
        <f>IF(stdProdLT(Main[[#This Row],[Comments]])=0.1,"N/A",IF(stdProdLT(Main[[#This Row],[Comments]])=0,"",stdProdLT(Main[[#This Row],[Comments]])))</f>
        <v/>
      </c>
      <c r="H320" s="103" t="str">
        <f>IF(AND(Main[[#This Row],[In Stock Date]]&lt;&gt;"",Main[[#This Row],[Revised Due Date]]&lt;&gt;""),Main[[#This Row],[In Stock Date]]-Main[[#This Row],[Revised Due Date]],"")</f>
        <v/>
      </c>
      <c r="I320" s="99" t="s">
        <v>74</v>
      </c>
      <c r="J320" s="99" t="s">
        <v>4</v>
      </c>
      <c r="K320" s="108" t="s">
        <v>1974</v>
      </c>
      <c r="L320" s="101"/>
      <c r="M320" s="104" t="str">
        <f>IF(Main[[#This Row],[Tech Start Date]]&lt;1/1/1990,"",IF(Main[[#This Row],[Class]]="C",WORKDAY(Main[[#This Row],[Tech Start Date]],9),IF(Main[[#This Row],[Class]]="B", WORKDAY(Main[[#This Row],[Tech Start Date]],6),IF(Main[[#This Row],[Class]]="A",WORKDAY(Main[[#This Row],[Tech Start Date]],2),""))))</f>
        <v/>
      </c>
      <c r="N320" s="104" t="str">
        <f>IF(Main[[#This Row],[Tech Start Date]]&lt;1/1/1990,"",IF(Main[[#This Row],[Class]]="C",WORKDAY(Main[[#This Row],[Tech Start Date]],19),IF(Main[[#This Row],[Class]]="B", WORKDAY(Main[[#This Row],[Tech Start Date]],12),IF(Main[[#This Row],[Class]]="A",WORKDAY(Main[[#This Row],[Tech Start Date]],4),""))))</f>
        <v/>
      </c>
      <c r="O320" s="104" t="str">
        <f>IF(Main[[#This Row],[Tech Start Date]]&lt;1/1/1990,"",IF(Main[[#This Row],[Class]]="C",WORKDAY(Main[[#This Row],[Tech Start Date]],23),IF(Main[[#This Row],[Class]]="B", WORKDAY(Main[[#This Row],[Tech Start Date]],15),IF(Main[[#This Row],[Class]]="A",WORKDAY(Main[[#This Row],[Tech Start Date]],5),""))))</f>
        <v/>
      </c>
      <c r="P320" s="104" t="str">
        <f>IF(Main[[#This Row],[Tech Start Date]]&lt;1/1/1990,"",IF(Main[[#This Row],[Class]]="C",WORKDAY(Main[[#This Row],[Tech Start Date]],28),IF(Main[[#This Row],[Class]]="B", WORKDAY(Main[[#This Row],[Tech Start Date]],19),IF(Main[[#This Row],[Class]]="A",WORKDAY(Main[[#This Row],[Tech Start Date]],9),""))))</f>
        <v/>
      </c>
      <c r="Q320" s="101"/>
      <c r="R320" s="101">
        <v>40967</v>
      </c>
      <c r="S320" s="99" t="s">
        <v>17</v>
      </c>
      <c r="T320" s="107" t="s">
        <v>4</v>
      </c>
      <c r="U320" s="99" t="s">
        <v>29</v>
      </c>
      <c r="V320" s="99" t="s">
        <v>1965</v>
      </c>
      <c r="W320" s="99" t="s">
        <v>4</v>
      </c>
    </row>
    <row r="321" spans="1:23" ht="18.600000000000001" customHeight="1">
      <c r="A321" s="123" t="str">
        <f>IF(priority(Main[[#This Row],[Comments]])&lt;&gt;0, priority(Main[[#This Row],[Comments]]),"")</f>
        <v/>
      </c>
      <c r="B321" s="127" t="s">
        <v>1865</v>
      </c>
      <c r="C321" s="99" t="s">
        <v>79</v>
      </c>
      <c r="D321" s="100" t="s">
        <v>890</v>
      </c>
      <c r="E321" s="101">
        <v>40072.658055555556</v>
      </c>
      <c r="F321" s="101">
        <v>40157</v>
      </c>
      <c r="G321" s="102" t="str">
        <f>IF(stdProdLT(Main[[#This Row],[Comments]])=0.1,"N/A",IF(stdProdLT(Main[[#This Row],[Comments]])=0,"",stdProdLT(Main[[#This Row],[Comments]])))</f>
        <v/>
      </c>
      <c r="H321" s="103">
        <f>IF(AND(Main[[#This Row],[In Stock Date]]&lt;&gt;"",Main[[#This Row],[Revised Due Date]]&lt;&gt;""),Main[[#This Row],[In Stock Date]]-Main[[#This Row],[Revised Due Date]],"")</f>
        <v>-171</v>
      </c>
      <c r="I321" s="99" t="s">
        <v>4</v>
      </c>
      <c r="J321" s="99" t="s">
        <v>4</v>
      </c>
      <c r="K321" s="99" t="s">
        <v>1974</v>
      </c>
      <c r="L321" s="101"/>
      <c r="M321" s="104" t="str">
        <f>IF(Main[[#This Row],[Tech Start Date]]&lt;1/1/1990,"",IF(Main[[#This Row],[Class]]="C",WORKDAY(Main[[#This Row],[Tech Start Date]],9),IF(Main[[#This Row],[Class]]="B", WORKDAY(Main[[#This Row],[Tech Start Date]],6),IF(Main[[#This Row],[Class]]="A",WORKDAY(Main[[#This Row],[Tech Start Date]],2),""))))</f>
        <v/>
      </c>
      <c r="N321" s="104" t="str">
        <f>IF(Main[[#This Row],[Tech Start Date]]&lt;1/1/1990,"",IF(Main[[#This Row],[Class]]="C",WORKDAY(Main[[#This Row],[Tech Start Date]],19),IF(Main[[#This Row],[Class]]="B", WORKDAY(Main[[#This Row],[Tech Start Date]],12),IF(Main[[#This Row],[Class]]="A",WORKDAY(Main[[#This Row],[Tech Start Date]],4),""))))</f>
        <v/>
      </c>
      <c r="O321" s="104" t="str">
        <f>IF(Main[[#This Row],[Tech Start Date]]&lt;1/1/1990,"",IF(Main[[#This Row],[Class]]="C",WORKDAY(Main[[#This Row],[Tech Start Date]],23),IF(Main[[#This Row],[Class]]="B", WORKDAY(Main[[#This Row],[Tech Start Date]],15),IF(Main[[#This Row],[Class]]="A",WORKDAY(Main[[#This Row],[Tech Start Date]],5),""))))</f>
        <v/>
      </c>
      <c r="P321" s="104" t="str">
        <f>IF(Main[[#This Row],[Tech Start Date]]&lt;1/1/1990,"",IF(Main[[#This Row],[Class]]="C",WORKDAY(Main[[#This Row],[Tech Start Date]],28),IF(Main[[#This Row],[Class]]="B", WORKDAY(Main[[#This Row],[Tech Start Date]],19),IF(Main[[#This Row],[Class]]="A",WORKDAY(Main[[#This Row],[Tech Start Date]],9),""))))</f>
        <v/>
      </c>
      <c r="Q321" s="101">
        <v>40117</v>
      </c>
      <c r="R321" s="101">
        <v>40328</v>
      </c>
      <c r="S321" s="99" t="s">
        <v>17</v>
      </c>
      <c r="T321" s="107" t="s">
        <v>4</v>
      </c>
      <c r="U321" s="99" t="s">
        <v>29</v>
      </c>
      <c r="V321" s="99" t="s">
        <v>1963</v>
      </c>
      <c r="W321" s="99" t="s">
        <v>1967</v>
      </c>
    </row>
    <row r="322" spans="1:23" ht="18.600000000000001" customHeight="1">
      <c r="A322" s="123" t="str">
        <f>IF(priority(Main[[#This Row],[Comments]])&lt;&gt;0, priority(Main[[#This Row],[Comments]]),"")</f>
        <v/>
      </c>
      <c r="B322" s="127" t="s">
        <v>1258</v>
      </c>
      <c r="C322" s="99" t="s">
        <v>171</v>
      </c>
      <c r="D322" s="100" t="s">
        <v>235</v>
      </c>
      <c r="E322" s="101"/>
      <c r="F322" s="101">
        <v>40237</v>
      </c>
      <c r="G322" s="102" t="str">
        <f>IF(stdProdLT(Main[[#This Row],[Comments]])=0.1,"N/A",IF(stdProdLT(Main[[#This Row],[Comments]])=0,"",stdProdLT(Main[[#This Row],[Comments]])))</f>
        <v/>
      </c>
      <c r="H322" s="103" t="str">
        <f>IF(AND(Main[[#This Row],[In Stock Date]]&lt;&gt;"",Main[[#This Row],[Revised Due Date]]&lt;&gt;""),Main[[#This Row],[In Stock Date]]-Main[[#This Row],[Revised Due Date]],"")</f>
        <v/>
      </c>
      <c r="I322" s="99" t="s">
        <v>4</v>
      </c>
      <c r="J322" s="99" t="s">
        <v>4</v>
      </c>
      <c r="K322" s="99" t="s">
        <v>4</v>
      </c>
      <c r="L322" s="101"/>
      <c r="M322" s="104" t="str">
        <f>IF(Main[[#This Row],[Tech Start Date]]&lt;1/1/1990,"",IF(Main[[#This Row],[Class]]="C",WORKDAY(Main[[#This Row],[Tech Start Date]],9),IF(Main[[#This Row],[Class]]="B", WORKDAY(Main[[#This Row],[Tech Start Date]],6),IF(Main[[#This Row],[Class]]="A",WORKDAY(Main[[#This Row],[Tech Start Date]],2),""))))</f>
        <v/>
      </c>
      <c r="N322" s="104" t="str">
        <f>IF(Main[[#This Row],[Tech Start Date]]&lt;1/1/1990,"",IF(Main[[#This Row],[Class]]="C",WORKDAY(Main[[#This Row],[Tech Start Date]],19),IF(Main[[#This Row],[Class]]="B", WORKDAY(Main[[#This Row],[Tech Start Date]],12),IF(Main[[#This Row],[Class]]="A",WORKDAY(Main[[#This Row],[Tech Start Date]],4),""))))</f>
        <v/>
      </c>
      <c r="O322" s="104" t="str">
        <f>IF(Main[[#This Row],[Tech Start Date]]&lt;1/1/1990,"",IF(Main[[#This Row],[Class]]="C",WORKDAY(Main[[#This Row],[Tech Start Date]],23),IF(Main[[#This Row],[Class]]="B", WORKDAY(Main[[#This Row],[Tech Start Date]],15),IF(Main[[#This Row],[Class]]="A",WORKDAY(Main[[#This Row],[Tech Start Date]],5),""))))</f>
        <v/>
      </c>
      <c r="P322" s="104" t="str">
        <f>IF(Main[[#This Row],[Tech Start Date]]&lt;1/1/1990,"",IF(Main[[#This Row],[Class]]="C",WORKDAY(Main[[#This Row],[Tech Start Date]],28),IF(Main[[#This Row],[Class]]="B", WORKDAY(Main[[#This Row],[Tech Start Date]],19),IF(Main[[#This Row],[Class]]="A",WORKDAY(Main[[#This Row],[Tech Start Date]],9),""))))</f>
        <v/>
      </c>
      <c r="Q322" s="101">
        <v>40132</v>
      </c>
      <c r="R322" s="101"/>
      <c r="S322" s="99" t="s">
        <v>11</v>
      </c>
      <c r="T322" s="107" t="s">
        <v>4</v>
      </c>
      <c r="U322" s="99" t="s">
        <v>14</v>
      </c>
      <c r="V322" s="99" t="s">
        <v>1962</v>
      </c>
      <c r="W322" s="99" t="s">
        <v>1967</v>
      </c>
    </row>
    <row r="323" spans="1:23" ht="18.600000000000001" customHeight="1">
      <c r="A323" s="123" t="str">
        <f>IF(priority(Main[[#This Row],[Comments]])&lt;&gt;0, priority(Main[[#This Row],[Comments]]),"")</f>
        <v/>
      </c>
      <c r="B323" s="127" t="s">
        <v>1259</v>
      </c>
      <c r="C323" s="99" t="s">
        <v>4</v>
      </c>
      <c r="D323" s="100" t="s">
        <v>236</v>
      </c>
      <c r="E323" s="101">
        <v>40403.488668981481</v>
      </c>
      <c r="F323" s="101"/>
      <c r="G323" s="102" t="str">
        <f>IF(stdProdLT(Main[[#This Row],[Comments]])=0.1,"N/A",IF(stdProdLT(Main[[#This Row],[Comments]])=0,"",stdProdLT(Main[[#This Row],[Comments]])))</f>
        <v/>
      </c>
      <c r="H323" s="103" t="str">
        <f>IF(AND(Main[[#This Row],[In Stock Date]]&lt;&gt;"",Main[[#This Row],[Revised Due Date]]&lt;&gt;""),Main[[#This Row],[In Stock Date]]-Main[[#This Row],[Revised Due Date]],"")</f>
        <v/>
      </c>
      <c r="I323" s="99" t="s">
        <v>129</v>
      </c>
      <c r="J323" s="99" t="s">
        <v>28</v>
      </c>
      <c r="K323" s="99" t="s">
        <v>4</v>
      </c>
      <c r="L323" s="101"/>
      <c r="M323" s="104" t="str">
        <f>IF(Main[[#This Row],[Tech Start Date]]&lt;1/1/1990,"",IF(Main[[#This Row],[Class]]="C",WORKDAY(Main[[#This Row],[Tech Start Date]],9),IF(Main[[#This Row],[Class]]="B", WORKDAY(Main[[#This Row],[Tech Start Date]],6),IF(Main[[#This Row],[Class]]="A",WORKDAY(Main[[#This Row],[Tech Start Date]],2),""))))</f>
        <v/>
      </c>
      <c r="N323" s="104" t="str">
        <f>IF(Main[[#This Row],[Tech Start Date]]&lt;1/1/1990,"",IF(Main[[#This Row],[Class]]="C",WORKDAY(Main[[#This Row],[Tech Start Date]],19),IF(Main[[#This Row],[Class]]="B", WORKDAY(Main[[#This Row],[Tech Start Date]],12),IF(Main[[#This Row],[Class]]="A",WORKDAY(Main[[#This Row],[Tech Start Date]],4),""))))</f>
        <v/>
      </c>
      <c r="O323" s="104" t="str">
        <f>IF(Main[[#This Row],[Tech Start Date]]&lt;1/1/1990,"",IF(Main[[#This Row],[Class]]="C",WORKDAY(Main[[#This Row],[Tech Start Date]],23),IF(Main[[#This Row],[Class]]="B", WORKDAY(Main[[#This Row],[Tech Start Date]],15),IF(Main[[#This Row],[Class]]="A",WORKDAY(Main[[#This Row],[Tech Start Date]],5),""))))</f>
        <v/>
      </c>
      <c r="P323" s="104" t="str">
        <f>IF(Main[[#This Row],[Tech Start Date]]&lt;1/1/1990,"",IF(Main[[#This Row],[Class]]="C",WORKDAY(Main[[#This Row],[Tech Start Date]],28),IF(Main[[#This Row],[Class]]="B", WORKDAY(Main[[#This Row],[Tech Start Date]],19),IF(Main[[#This Row],[Class]]="A",WORKDAY(Main[[#This Row],[Tech Start Date]],9),""))))</f>
        <v/>
      </c>
      <c r="Q323" s="101">
        <v>40438</v>
      </c>
      <c r="R323" s="101"/>
      <c r="S323" s="99" t="s">
        <v>6</v>
      </c>
      <c r="T323" s="107" t="s">
        <v>4</v>
      </c>
      <c r="U323" s="99" t="s">
        <v>7</v>
      </c>
      <c r="V323" s="99" t="s">
        <v>1962</v>
      </c>
      <c r="W323" s="99" t="s">
        <v>1966</v>
      </c>
    </row>
    <row r="324" spans="1:23" ht="18.600000000000001" customHeight="1">
      <c r="A324" s="123" t="str">
        <f>IF(priority(Main[[#This Row],[Comments]])&lt;&gt;0, priority(Main[[#This Row],[Comments]]),"")</f>
        <v/>
      </c>
      <c r="B324" s="127" t="s">
        <v>1212</v>
      </c>
      <c r="C324" s="99" t="s">
        <v>237</v>
      </c>
      <c r="D324" s="100" t="s">
        <v>238</v>
      </c>
      <c r="E324" s="101"/>
      <c r="F324" s="101"/>
      <c r="G324" s="102" t="str">
        <f>IF(stdProdLT(Main[[#This Row],[Comments]])=0.1,"N/A",IF(stdProdLT(Main[[#This Row],[Comments]])=0,"",stdProdLT(Main[[#This Row],[Comments]])))</f>
        <v/>
      </c>
      <c r="H324" s="103" t="str">
        <f>IF(AND(Main[[#This Row],[In Stock Date]]&lt;&gt;"",Main[[#This Row],[Revised Due Date]]&lt;&gt;""),Main[[#This Row],[In Stock Date]]-Main[[#This Row],[Revised Due Date]],"")</f>
        <v/>
      </c>
      <c r="I324" s="99" t="s">
        <v>4</v>
      </c>
      <c r="J324" s="99" t="s">
        <v>4</v>
      </c>
      <c r="K324" s="99" t="s">
        <v>4</v>
      </c>
      <c r="L324" s="101"/>
      <c r="M324" s="104" t="str">
        <f>IF(Main[[#This Row],[Tech Start Date]]&lt;1/1/1990,"",IF(Main[[#This Row],[Class]]="C",WORKDAY(Main[[#This Row],[Tech Start Date]],9),IF(Main[[#This Row],[Class]]="B", WORKDAY(Main[[#This Row],[Tech Start Date]],6),IF(Main[[#This Row],[Class]]="A",WORKDAY(Main[[#This Row],[Tech Start Date]],2),""))))</f>
        <v/>
      </c>
      <c r="N324" s="104" t="str">
        <f>IF(Main[[#This Row],[Tech Start Date]]&lt;1/1/1990,"",IF(Main[[#This Row],[Class]]="C",WORKDAY(Main[[#This Row],[Tech Start Date]],19),IF(Main[[#This Row],[Class]]="B", WORKDAY(Main[[#This Row],[Tech Start Date]],12),IF(Main[[#This Row],[Class]]="A",WORKDAY(Main[[#This Row],[Tech Start Date]],4),""))))</f>
        <v/>
      </c>
      <c r="O324" s="104" t="str">
        <f>IF(Main[[#This Row],[Tech Start Date]]&lt;1/1/1990,"",IF(Main[[#This Row],[Class]]="C",WORKDAY(Main[[#This Row],[Tech Start Date]],23),IF(Main[[#This Row],[Class]]="B", WORKDAY(Main[[#This Row],[Tech Start Date]],15),IF(Main[[#This Row],[Class]]="A",WORKDAY(Main[[#This Row],[Tech Start Date]],5),""))))</f>
        <v/>
      </c>
      <c r="P324" s="104" t="str">
        <f>IF(Main[[#This Row],[Tech Start Date]]&lt;1/1/1990,"",IF(Main[[#This Row],[Class]]="C",WORKDAY(Main[[#This Row],[Tech Start Date]],28),IF(Main[[#This Row],[Class]]="B", WORKDAY(Main[[#This Row],[Tech Start Date]],19),IF(Main[[#This Row],[Class]]="A",WORKDAY(Main[[#This Row],[Tech Start Date]],9),""))))</f>
        <v/>
      </c>
      <c r="Q324" s="101">
        <v>40204</v>
      </c>
      <c r="R324" s="101"/>
      <c r="S324" s="99" t="s">
        <v>11</v>
      </c>
      <c r="T324" s="107" t="s">
        <v>4</v>
      </c>
      <c r="U324" s="99" t="s">
        <v>14</v>
      </c>
      <c r="V324" s="99" t="s">
        <v>1965</v>
      </c>
      <c r="W324" s="99" t="s">
        <v>1964</v>
      </c>
    </row>
    <row r="325" spans="1:23" ht="18.600000000000001" customHeight="1">
      <c r="A325" s="123" t="str">
        <f>IF(priority(Main[[#This Row],[Comments]])&lt;&gt;0, priority(Main[[#This Row],[Comments]]),"")</f>
        <v/>
      </c>
      <c r="B325" s="127" t="s">
        <v>1213</v>
      </c>
      <c r="C325" s="99" t="s">
        <v>4</v>
      </c>
      <c r="D325" s="100" t="s">
        <v>239</v>
      </c>
      <c r="E325" s="101">
        <v>40317.337557870371</v>
      </c>
      <c r="F325" s="101"/>
      <c r="G325" s="102" t="str">
        <f>IF(stdProdLT(Main[[#This Row],[Comments]])=0.1,"N/A",IF(stdProdLT(Main[[#This Row],[Comments]])=0,"",stdProdLT(Main[[#This Row],[Comments]])))</f>
        <v/>
      </c>
      <c r="H325" s="103" t="str">
        <f>IF(AND(Main[[#This Row],[In Stock Date]]&lt;&gt;"",Main[[#This Row],[Revised Due Date]]&lt;&gt;""),Main[[#This Row],[In Stock Date]]-Main[[#This Row],[Revised Due Date]],"")</f>
        <v/>
      </c>
      <c r="I325" s="99" t="s">
        <v>4</v>
      </c>
      <c r="J325" s="99" t="s">
        <v>4</v>
      </c>
      <c r="K325" s="99" t="s">
        <v>4</v>
      </c>
      <c r="L325" s="101"/>
      <c r="M325" s="104" t="str">
        <f>IF(Main[[#This Row],[Tech Start Date]]&lt;1/1/1990,"",IF(Main[[#This Row],[Class]]="C",WORKDAY(Main[[#This Row],[Tech Start Date]],9),IF(Main[[#This Row],[Class]]="B", WORKDAY(Main[[#This Row],[Tech Start Date]],6),IF(Main[[#This Row],[Class]]="A",WORKDAY(Main[[#This Row],[Tech Start Date]],2),""))))</f>
        <v/>
      </c>
      <c r="N325" s="104" t="str">
        <f>IF(Main[[#This Row],[Tech Start Date]]&lt;1/1/1990,"",IF(Main[[#This Row],[Class]]="C",WORKDAY(Main[[#This Row],[Tech Start Date]],19),IF(Main[[#This Row],[Class]]="B", WORKDAY(Main[[#This Row],[Tech Start Date]],12),IF(Main[[#This Row],[Class]]="A",WORKDAY(Main[[#This Row],[Tech Start Date]],4),""))))</f>
        <v/>
      </c>
      <c r="O325" s="104" t="str">
        <f>IF(Main[[#This Row],[Tech Start Date]]&lt;1/1/1990,"",IF(Main[[#This Row],[Class]]="C",WORKDAY(Main[[#This Row],[Tech Start Date]],23),IF(Main[[#This Row],[Class]]="B", WORKDAY(Main[[#This Row],[Tech Start Date]],15),IF(Main[[#This Row],[Class]]="A",WORKDAY(Main[[#This Row],[Tech Start Date]],5),""))))</f>
        <v/>
      </c>
      <c r="P325" s="104" t="str">
        <f>IF(Main[[#This Row],[Tech Start Date]]&lt;1/1/1990,"",IF(Main[[#This Row],[Class]]="C",WORKDAY(Main[[#This Row],[Tech Start Date]],28),IF(Main[[#This Row],[Class]]="B", WORKDAY(Main[[#This Row],[Tech Start Date]],19),IF(Main[[#This Row],[Class]]="A",WORKDAY(Main[[#This Row],[Tech Start Date]],9),""))))</f>
        <v/>
      </c>
      <c r="Q325" s="101">
        <v>40330</v>
      </c>
      <c r="R325" s="101"/>
      <c r="S325" s="99" t="s">
        <v>6</v>
      </c>
      <c r="T325" s="107" t="s">
        <v>4</v>
      </c>
      <c r="U325" s="99" t="s">
        <v>7</v>
      </c>
      <c r="V325" s="99" t="s">
        <v>1962</v>
      </c>
      <c r="W325" s="99" t="s">
        <v>1964</v>
      </c>
    </row>
    <row r="326" spans="1:23" ht="18.600000000000001" customHeight="1">
      <c r="A326" s="123" t="str">
        <f>IF(priority(Main[[#This Row],[Comments]])&lt;&gt;0, priority(Main[[#This Row],[Comments]]),"")</f>
        <v/>
      </c>
      <c r="B326" s="127" t="s">
        <v>1214</v>
      </c>
      <c r="C326" s="99" t="s">
        <v>4</v>
      </c>
      <c r="D326" s="100" t="s">
        <v>240</v>
      </c>
      <c r="E326" s="101"/>
      <c r="F326" s="101"/>
      <c r="G326" s="102" t="str">
        <f>IF(stdProdLT(Main[[#This Row],[Comments]])=0.1,"N/A",IF(stdProdLT(Main[[#This Row],[Comments]])=0,"",stdProdLT(Main[[#This Row],[Comments]])))</f>
        <v/>
      </c>
      <c r="H326" s="103" t="str">
        <f>IF(AND(Main[[#This Row],[In Stock Date]]&lt;&gt;"",Main[[#This Row],[Revised Due Date]]&lt;&gt;""),Main[[#This Row],[In Stock Date]]-Main[[#This Row],[Revised Due Date]],"")</f>
        <v/>
      </c>
      <c r="I326" s="99" t="s">
        <v>4</v>
      </c>
      <c r="J326" s="99" t="s">
        <v>4</v>
      </c>
      <c r="K326" s="99" t="s">
        <v>4</v>
      </c>
      <c r="L326" s="101"/>
      <c r="M326" s="104" t="str">
        <f>IF(Main[[#This Row],[Tech Start Date]]&lt;1/1/1990,"",IF(Main[[#This Row],[Class]]="C",WORKDAY(Main[[#This Row],[Tech Start Date]],9),IF(Main[[#This Row],[Class]]="B", WORKDAY(Main[[#This Row],[Tech Start Date]],6),IF(Main[[#This Row],[Class]]="A",WORKDAY(Main[[#This Row],[Tech Start Date]],2),""))))</f>
        <v/>
      </c>
      <c r="N326" s="104" t="str">
        <f>IF(Main[[#This Row],[Tech Start Date]]&lt;1/1/1990,"",IF(Main[[#This Row],[Class]]="C",WORKDAY(Main[[#This Row],[Tech Start Date]],19),IF(Main[[#This Row],[Class]]="B", WORKDAY(Main[[#This Row],[Tech Start Date]],12),IF(Main[[#This Row],[Class]]="A",WORKDAY(Main[[#This Row],[Tech Start Date]],4),""))))</f>
        <v/>
      </c>
      <c r="O326" s="104" t="str">
        <f>IF(Main[[#This Row],[Tech Start Date]]&lt;1/1/1990,"",IF(Main[[#This Row],[Class]]="C",WORKDAY(Main[[#This Row],[Tech Start Date]],23),IF(Main[[#This Row],[Class]]="B", WORKDAY(Main[[#This Row],[Tech Start Date]],15),IF(Main[[#This Row],[Class]]="A",WORKDAY(Main[[#This Row],[Tech Start Date]],5),""))))</f>
        <v/>
      </c>
      <c r="P326" s="104" t="str">
        <f>IF(Main[[#This Row],[Tech Start Date]]&lt;1/1/1990,"",IF(Main[[#This Row],[Class]]="C",WORKDAY(Main[[#This Row],[Tech Start Date]],28),IF(Main[[#This Row],[Class]]="B", WORKDAY(Main[[#This Row],[Tech Start Date]],19),IF(Main[[#This Row],[Class]]="A",WORKDAY(Main[[#This Row],[Tech Start Date]],9),""))))</f>
        <v/>
      </c>
      <c r="Q326" s="101"/>
      <c r="R326" s="101"/>
      <c r="S326" s="99" t="s">
        <v>11</v>
      </c>
      <c r="T326" s="107" t="s">
        <v>4</v>
      </c>
      <c r="U326" s="99" t="s">
        <v>14</v>
      </c>
      <c r="V326" s="99" t="s">
        <v>1962</v>
      </c>
      <c r="W326" s="99" t="s">
        <v>1966</v>
      </c>
    </row>
    <row r="327" spans="1:23" ht="18.600000000000001" customHeight="1">
      <c r="A327" s="123" t="str">
        <f>IF(priority(Main[[#This Row],[Comments]])&lt;&gt;0, priority(Main[[#This Row],[Comments]]),"")</f>
        <v/>
      </c>
      <c r="B327" s="127" t="s">
        <v>1262</v>
      </c>
      <c r="C327" s="99" t="s">
        <v>33</v>
      </c>
      <c r="D327" s="100" t="s">
        <v>2451</v>
      </c>
      <c r="E327" s="101">
        <v>40603.336435185185</v>
      </c>
      <c r="F327" s="101">
        <v>40632</v>
      </c>
      <c r="G327" s="102" t="str">
        <f>IF(stdProdLT(Main[[#This Row],[Comments]])=0.1,"N/A",IF(stdProdLT(Main[[#This Row],[Comments]])=0,"",stdProdLT(Main[[#This Row],[Comments]])))</f>
        <v/>
      </c>
      <c r="H327" s="103" t="str">
        <f>IF(AND(Main[[#This Row],[In Stock Date]]&lt;&gt;"",Main[[#This Row],[Revised Due Date]]&lt;&gt;""),Main[[#This Row],[In Stock Date]]-Main[[#This Row],[Revised Due Date]],"")</f>
        <v/>
      </c>
      <c r="I327" s="99" t="s">
        <v>4</v>
      </c>
      <c r="J327" s="99" t="s">
        <v>4</v>
      </c>
      <c r="K327" s="108" t="s">
        <v>4</v>
      </c>
      <c r="L327" s="101"/>
      <c r="M327" s="104" t="str">
        <f>IF(Main[[#This Row],[Tech Start Date]]&lt;1/1/1990,"",IF(Main[[#This Row],[Class]]="C",WORKDAY(Main[[#This Row],[Tech Start Date]],9),IF(Main[[#This Row],[Class]]="B", WORKDAY(Main[[#This Row],[Tech Start Date]],6),IF(Main[[#This Row],[Class]]="A",WORKDAY(Main[[#This Row],[Tech Start Date]],2),""))))</f>
        <v/>
      </c>
      <c r="N327" s="104" t="str">
        <f>IF(Main[[#This Row],[Tech Start Date]]&lt;1/1/1990,"",IF(Main[[#This Row],[Class]]="C",WORKDAY(Main[[#This Row],[Tech Start Date]],19),IF(Main[[#This Row],[Class]]="B", WORKDAY(Main[[#This Row],[Tech Start Date]],12),IF(Main[[#This Row],[Class]]="A",WORKDAY(Main[[#This Row],[Tech Start Date]],4),""))))</f>
        <v/>
      </c>
      <c r="O327" s="104" t="str">
        <f>IF(Main[[#This Row],[Tech Start Date]]&lt;1/1/1990,"",IF(Main[[#This Row],[Class]]="C",WORKDAY(Main[[#This Row],[Tech Start Date]],23),IF(Main[[#This Row],[Class]]="B", WORKDAY(Main[[#This Row],[Tech Start Date]],15),IF(Main[[#This Row],[Class]]="A",WORKDAY(Main[[#This Row],[Tech Start Date]],5),""))))</f>
        <v/>
      </c>
      <c r="P327" s="104" t="str">
        <f>IF(Main[[#This Row],[Tech Start Date]]&lt;1/1/1990,"",IF(Main[[#This Row],[Class]]="C",WORKDAY(Main[[#This Row],[Tech Start Date]],28),IF(Main[[#This Row],[Class]]="B", WORKDAY(Main[[#This Row],[Tech Start Date]],19),IF(Main[[#This Row],[Class]]="A",WORKDAY(Main[[#This Row],[Tech Start Date]],9),""))))</f>
        <v/>
      </c>
      <c r="Q327" s="101">
        <v>40612</v>
      </c>
      <c r="R327" s="101"/>
      <c r="S327" s="99" t="s">
        <v>17</v>
      </c>
      <c r="T327" s="107" t="s">
        <v>4</v>
      </c>
      <c r="U327" s="99" t="s">
        <v>7</v>
      </c>
      <c r="V327" s="99" t="s">
        <v>1962</v>
      </c>
      <c r="W327" s="99" t="s">
        <v>1967</v>
      </c>
    </row>
    <row r="328" spans="1:23" ht="18.600000000000001" customHeight="1">
      <c r="A328" s="123" t="str">
        <f>IF(priority(Main[[#This Row],[Comments]])&lt;&gt;0, priority(Main[[#This Row],[Comments]]),"")</f>
        <v/>
      </c>
      <c r="B328" s="127" t="s">
        <v>1142</v>
      </c>
      <c r="C328" s="99" t="s">
        <v>156</v>
      </c>
      <c r="D328" s="100" t="s">
        <v>157</v>
      </c>
      <c r="E328" s="101"/>
      <c r="F328" s="101"/>
      <c r="G328" s="102" t="str">
        <f>IF(stdProdLT(Main[[#This Row],[Comments]])=0.1,"N/A",IF(stdProdLT(Main[[#This Row],[Comments]])=0,"",stdProdLT(Main[[#This Row],[Comments]])))</f>
        <v/>
      </c>
      <c r="H328" s="103" t="str">
        <f>IF(AND(Main[[#This Row],[In Stock Date]]&lt;&gt;"",Main[[#This Row],[Revised Due Date]]&lt;&gt;""),Main[[#This Row],[In Stock Date]]-Main[[#This Row],[Revised Due Date]],"")</f>
        <v/>
      </c>
      <c r="I328" s="99" t="s">
        <v>4</v>
      </c>
      <c r="J328" s="99" t="s">
        <v>4</v>
      </c>
      <c r="K328" s="99" t="s">
        <v>4</v>
      </c>
      <c r="L328" s="101"/>
      <c r="M328" s="104" t="str">
        <f>IF(Main[[#This Row],[Tech Start Date]]&lt;1/1/1990,"",IF(Main[[#This Row],[Class]]="C",WORKDAY(Main[[#This Row],[Tech Start Date]],9),IF(Main[[#This Row],[Class]]="B", WORKDAY(Main[[#This Row],[Tech Start Date]],6),IF(Main[[#This Row],[Class]]="A",WORKDAY(Main[[#This Row],[Tech Start Date]],2),""))))</f>
        <v/>
      </c>
      <c r="N328" s="104" t="str">
        <f>IF(Main[[#This Row],[Tech Start Date]]&lt;1/1/1990,"",IF(Main[[#This Row],[Class]]="C",WORKDAY(Main[[#This Row],[Tech Start Date]],19),IF(Main[[#This Row],[Class]]="B", WORKDAY(Main[[#This Row],[Tech Start Date]],12),IF(Main[[#This Row],[Class]]="A",WORKDAY(Main[[#This Row],[Tech Start Date]],4),""))))</f>
        <v/>
      </c>
      <c r="O328" s="104" t="str">
        <f>IF(Main[[#This Row],[Tech Start Date]]&lt;1/1/1990,"",IF(Main[[#This Row],[Class]]="C",WORKDAY(Main[[#This Row],[Tech Start Date]],23),IF(Main[[#This Row],[Class]]="B", WORKDAY(Main[[#This Row],[Tech Start Date]],15),IF(Main[[#This Row],[Class]]="A",WORKDAY(Main[[#This Row],[Tech Start Date]],5),""))))</f>
        <v/>
      </c>
      <c r="P328" s="104" t="str">
        <f>IF(Main[[#This Row],[Tech Start Date]]&lt;1/1/1990,"",IF(Main[[#This Row],[Class]]="C",WORKDAY(Main[[#This Row],[Tech Start Date]],28),IF(Main[[#This Row],[Class]]="B", WORKDAY(Main[[#This Row],[Tech Start Date]],19),IF(Main[[#This Row],[Class]]="A",WORKDAY(Main[[#This Row],[Tech Start Date]],9),""))))</f>
        <v/>
      </c>
      <c r="Q328" s="101">
        <v>40144</v>
      </c>
      <c r="R328" s="101"/>
      <c r="S328" s="99" t="s">
        <v>11</v>
      </c>
      <c r="T328" s="107" t="s">
        <v>4</v>
      </c>
      <c r="U328" s="99" t="s">
        <v>14</v>
      </c>
      <c r="V328" s="99" t="s">
        <v>1962</v>
      </c>
      <c r="W328" s="99" t="s">
        <v>1964</v>
      </c>
    </row>
    <row r="329" spans="1:23" ht="18.600000000000001" customHeight="1">
      <c r="A329" s="123" t="str">
        <f>IF(priority(Main[[#This Row],[Comments]])&lt;&gt;0, priority(Main[[#This Row],[Comments]]),"")</f>
        <v/>
      </c>
      <c r="B329" s="127" t="s">
        <v>1143</v>
      </c>
      <c r="C329" s="99" t="s">
        <v>158</v>
      </c>
      <c r="D329" s="100" t="s">
        <v>159</v>
      </c>
      <c r="E329" s="101"/>
      <c r="F329" s="101"/>
      <c r="G329" s="102" t="str">
        <f>IF(stdProdLT(Main[[#This Row],[Comments]])=0.1,"N/A",IF(stdProdLT(Main[[#This Row],[Comments]])=0,"",stdProdLT(Main[[#This Row],[Comments]])))</f>
        <v/>
      </c>
      <c r="H329" s="103" t="str">
        <f>IF(AND(Main[[#This Row],[In Stock Date]]&lt;&gt;"",Main[[#This Row],[Revised Due Date]]&lt;&gt;""),Main[[#This Row],[In Stock Date]]-Main[[#This Row],[Revised Due Date]],"")</f>
        <v/>
      </c>
      <c r="I329" s="99" t="s">
        <v>4</v>
      </c>
      <c r="J329" s="99" t="s">
        <v>4</v>
      </c>
      <c r="K329" s="99" t="s">
        <v>4</v>
      </c>
      <c r="L329" s="101"/>
      <c r="M329" s="104" t="str">
        <f>IF(Main[[#This Row],[Tech Start Date]]&lt;1/1/1990,"",IF(Main[[#This Row],[Class]]="C",WORKDAY(Main[[#This Row],[Tech Start Date]],9),IF(Main[[#This Row],[Class]]="B", WORKDAY(Main[[#This Row],[Tech Start Date]],6),IF(Main[[#This Row],[Class]]="A",WORKDAY(Main[[#This Row],[Tech Start Date]],2),""))))</f>
        <v/>
      </c>
      <c r="N329" s="104" t="str">
        <f>IF(Main[[#This Row],[Tech Start Date]]&lt;1/1/1990,"",IF(Main[[#This Row],[Class]]="C",WORKDAY(Main[[#This Row],[Tech Start Date]],19),IF(Main[[#This Row],[Class]]="B", WORKDAY(Main[[#This Row],[Tech Start Date]],12),IF(Main[[#This Row],[Class]]="A",WORKDAY(Main[[#This Row],[Tech Start Date]],4),""))))</f>
        <v/>
      </c>
      <c r="O329" s="104" t="str">
        <f>IF(Main[[#This Row],[Tech Start Date]]&lt;1/1/1990,"",IF(Main[[#This Row],[Class]]="C",WORKDAY(Main[[#This Row],[Tech Start Date]],23),IF(Main[[#This Row],[Class]]="B", WORKDAY(Main[[#This Row],[Tech Start Date]],15),IF(Main[[#This Row],[Class]]="A",WORKDAY(Main[[#This Row],[Tech Start Date]],5),""))))</f>
        <v/>
      </c>
      <c r="P329" s="104" t="str">
        <f>IF(Main[[#This Row],[Tech Start Date]]&lt;1/1/1990,"",IF(Main[[#This Row],[Class]]="C",WORKDAY(Main[[#This Row],[Tech Start Date]],28),IF(Main[[#This Row],[Class]]="B", WORKDAY(Main[[#This Row],[Tech Start Date]],19),IF(Main[[#This Row],[Class]]="A",WORKDAY(Main[[#This Row],[Tech Start Date]],9),""))))</f>
        <v/>
      </c>
      <c r="Q329" s="101"/>
      <c r="R329" s="101"/>
      <c r="S329" s="99" t="s">
        <v>11</v>
      </c>
      <c r="T329" s="107" t="s">
        <v>4</v>
      </c>
      <c r="U329" s="99" t="s">
        <v>14</v>
      </c>
      <c r="V329" s="99" t="s">
        <v>1963</v>
      </c>
      <c r="W329" s="99" t="s">
        <v>1964</v>
      </c>
    </row>
    <row r="330" spans="1:23" ht="18.600000000000001" customHeight="1">
      <c r="A330" s="123" t="str">
        <f>IF(priority(Main[[#This Row],[Comments]])&lt;&gt;0, priority(Main[[#This Row],[Comments]]),"")</f>
        <v/>
      </c>
      <c r="B330" s="127" t="s">
        <v>1144</v>
      </c>
      <c r="C330" s="99" t="s">
        <v>160</v>
      </c>
      <c r="D330" s="100" t="s">
        <v>161</v>
      </c>
      <c r="E330" s="101"/>
      <c r="F330" s="101">
        <v>40513</v>
      </c>
      <c r="G330" s="102" t="str">
        <f>IF(stdProdLT(Main[[#This Row],[Comments]])=0.1,"N/A",IF(stdProdLT(Main[[#This Row],[Comments]])=0,"",stdProdLT(Main[[#This Row],[Comments]])))</f>
        <v/>
      </c>
      <c r="H330" s="103" t="str">
        <f>IF(AND(Main[[#This Row],[In Stock Date]]&lt;&gt;"",Main[[#This Row],[Revised Due Date]]&lt;&gt;""),Main[[#This Row],[In Stock Date]]-Main[[#This Row],[Revised Due Date]],"")</f>
        <v/>
      </c>
      <c r="I330" s="99" t="s">
        <v>4</v>
      </c>
      <c r="J330" s="99" t="s">
        <v>28</v>
      </c>
      <c r="K330" s="99" t="s">
        <v>4</v>
      </c>
      <c r="L330" s="101"/>
      <c r="M330" s="104" t="str">
        <f>IF(Main[[#This Row],[Tech Start Date]]&lt;1/1/1990,"",IF(Main[[#This Row],[Class]]="C",WORKDAY(Main[[#This Row],[Tech Start Date]],9),IF(Main[[#This Row],[Class]]="B", WORKDAY(Main[[#This Row],[Tech Start Date]],6),IF(Main[[#This Row],[Class]]="A",WORKDAY(Main[[#This Row],[Tech Start Date]],2),""))))</f>
        <v/>
      </c>
      <c r="N330" s="104" t="str">
        <f>IF(Main[[#This Row],[Tech Start Date]]&lt;1/1/1990,"",IF(Main[[#This Row],[Class]]="C",WORKDAY(Main[[#This Row],[Tech Start Date]],19),IF(Main[[#This Row],[Class]]="B", WORKDAY(Main[[#This Row],[Tech Start Date]],12),IF(Main[[#This Row],[Class]]="A",WORKDAY(Main[[#This Row],[Tech Start Date]],4),""))))</f>
        <v/>
      </c>
      <c r="O330" s="104" t="str">
        <f>IF(Main[[#This Row],[Tech Start Date]]&lt;1/1/1990,"",IF(Main[[#This Row],[Class]]="C",WORKDAY(Main[[#This Row],[Tech Start Date]],23),IF(Main[[#This Row],[Class]]="B", WORKDAY(Main[[#This Row],[Tech Start Date]],15),IF(Main[[#This Row],[Class]]="A",WORKDAY(Main[[#This Row],[Tech Start Date]],5),""))))</f>
        <v/>
      </c>
      <c r="P330" s="104" t="str">
        <f>IF(Main[[#This Row],[Tech Start Date]]&lt;1/1/1990,"",IF(Main[[#This Row],[Class]]="C",WORKDAY(Main[[#This Row],[Tech Start Date]],28),IF(Main[[#This Row],[Class]]="B", WORKDAY(Main[[#This Row],[Tech Start Date]],19),IF(Main[[#This Row],[Class]]="A",WORKDAY(Main[[#This Row],[Tech Start Date]],9),""))))</f>
        <v/>
      </c>
      <c r="Q330" s="101">
        <v>40382</v>
      </c>
      <c r="R330" s="101"/>
      <c r="S330" s="99" t="s">
        <v>11</v>
      </c>
      <c r="T330" s="107" t="s">
        <v>4</v>
      </c>
      <c r="U330" s="99" t="s">
        <v>14</v>
      </c>
      <c r="V330" s="99" t="s">
        <v>1962</v>
      </c>
      <c r="W330" s="99" t="s">
        <v>1970</v>
      </c>
    </row>
    <row r="331" spans="1:23" ht="18.600000000000001" customHeight="1">
      <c r="A331" s="123" t="str">
        <f>IF(priority(Main[[#This Row],[Comments]])&lt;&gt;0, priority(Main[[#This Row],[Comments]]),"")</f>
        <v/>
      </c>
      <c r="B331" s="127" t="s">
        <v>2237</v>
      </c>
      <c r="C331" s="99" t="s">
        <v>4</v>
      </c>
      <c r="D331" s="100" t="s">
        <v>2238</v>
      </c>
      <c r="E331" s="101">
        <v>40781.644953703704</v>
      </c>
      <c r="F331" s="101"/>
      <c r="G331" s="102" t="str">
        <f>IF(stdProdLT(Main[[#This Row],[Comments]])=0.1,"N/A",IF(stdProdLT(Main[[#This Row],[Comments]])=0,"",stdProdLT(Main[[#This Row],[Comments]])))</f>
        <v/>
      </c>
      <c r="H331" s="103" t="str">
        <f>IF(AND(Main[[#This Row],[In Stock Date]]&lt;&gt;"",Main[[#This Row],[Revised Due Date]]&lt;&gt;""),Main[[#This Row],[In Stock Date]]-Main[[#This Row],[Revised Due Date]],"")</f>
        <v/>
      </c>
      <c r="I331" s="99" t="s">
        <v>4</v>
      </c>
      <c r="J331" s="99" t="s">
        <v>4</v>
      </c>
      <c r="K331" s="99" t="s">
        <v>4</v>
      </c>
      <c r="L331" s="101"/>
      <c r="M331" s="104" t="str">
        <f>IF(Main[[#This Row],[Tech Start Date]]&lt;1/1/1990,"",IF(Main[[#This Row],[Class]]="C",WORKDAY(Main[[#This Row],[Tech Start Date]],9),IF(Main[[#This Row],[Class]]="B", WORKDAY(Main[[#This Row],[Tech Start Date]],6),IF(Main[[#This Row],[Class]]="A",WORKDAY(Main[[#This Row],[Tech Start Date]],2),""))))</f>
        <v/>
      </c>
      <c r="N331" s="104" t="str">
        <f>IF(Main[[#This Row],[Tech Start Date]]&lt;1/1/1990,"",IF(Main[[#This Row],[Class]]="C",WORKDAY(Main[[#This Row],[Tech Start Date]],19),IF(Main[[#This Row],[Class]]="B", WORKDAY(Main[[#This Row],[Tech Start Date]],12),IF(Main[[#This Row],[Class]]="A",WORKDAY(Main[[#This Row],[Tech Start Date]],4),""))))</f>
        <v/>
      </c>
      <c r="O331" s="104" t="str">
        <f>IF(Main[[#This Row],[Tech Start Date]]&lt;1/1/1990,"",IF(Main[[#This Row],[Class]]="C",WORKDAY(Main[[#This Row],[Tech Start Date]],23),IF(Main[[#This Row],[Class]]="B", WORKDAY(Main[[#This Row],[Tech Start Date]],15),IF(Main[[#This Row],[Class]]="A",WORKDAY(Main[[#This Row],[Tech Start Date]],5),""))))</f>
        <v/>
      </c>
      <c r="P331" s="104" t="str">
        <f>IF(Main[[#This Row],[Tech Start Date]]&lt;1/1/1990,"",IF(Main[[#This Row],[Class]]="C",WORKDAY(Main[[#This Row],[Tech Start Date]],28),IF(Main[[#This Row],[Class]]="B", WORKDAY(Main[[#This Row],[Tech Start Date]],19),IF(Main[[#This Row],[Class]]="A",WORKDAY(Main[[#This Row],[Tech Start Date]],9),""))))</f>
        <v/>
      </c>
      <c r="Q331" s="101">
        <v>40809</v>
      </c>
      <c r="R331" s="101"/>
      <c r="S331" s="99" t="s">
        <v>6</v>
      </c>
      <c r="T331" s="107" t="s">
        <v>4</v>
      </c>
      <c r="U331" s="99" t="s">
        <v>7</v>
      </c>
      <c r="V331" s="99" t="s">
        <v>1962</v>
      </c>
      <c r="W331" s="99" t="s">
        <v>4</v>
      </c>
    </row>
    <row r="332" spans="1:23" ht="18.600000000000001" customHeight="1">
      <c r="A332" s="123" t="str">
        <f>IF(priority(Main[[#This Row],[Comments]])&lt;&gt;0, priority(Main[[#This Row],[Comments]]),"")</f>
        <v/>
      </c>
      <c r="B332" s="127" t="s">
        <v>2436</v>
      </c>
      <c r="C332" s="99" t="s">
        <v>4</v>
      </c>
      <c r="D332" s="100" t="s">
        <v>2437</v>
      </c>
      <c r="E332" s="101">
        <v>40876.410104166665</v>
      </c>
      <c r="F332" s="101"/>
      <c r="G332" s="102" t="str">
        <f>IF(stdProdLT(Main[[#This Row],[Comments]])=0.1,"N/A",IF(stdProdLT(Main[[#This Row],[Comments]])=0,"",stdProdLT(Main[[#This Row],[Comments]])))</f>
        <v/>
      </c>
      <c r="H332" s="103" t="str">
        <f>IF(AND(Main[[#This Row],[In Stock Date]]&lt;&gt;"",Main[[#This Row],[Revised Due Date]]&lt;&gt;""),Main[[#This Row],[In Stock Date]]-Main[[#This Row],[Revised Due Date]],"")</f>
        <v/>
      </c>
      <c r="I332" s="99" t="s">
        <v>4</v>
      </c>
      <c r="J332" s="99" t="s">
        <v>4</v>
      </c>
      <c r="K332" s="99" t="s">
        <v>4</v>
      </c>
      <c r="L332" s="101"/>
      <c r="M332" s="104" t="str">
        <f>IF(Main[[#This Row],[Tech Start Date]]&lt;1/1/1990,"",IF(Main[[#This Row],[Class]]="C",WORKDAY(Main[[#This Row],[Tech Start Date]],9),IF(Main[[#This Row],[Class]]="B", WORKDAY(Main[[#This Row],[Tech Start Date]],6),IF(Main[[#This Row],[Class]]="A",WORKDAY(Main[[#This Row],[Tech Start Date]],2),""))))</f>
        <v/>
      </c>
      <c r="N332" s="104" t="str">
        <f>IF(Main[[#This Row],[Tech Start Date]]&lt;1/1/1990,"",IF(Main[[#This Row],[Class]]="C",WORKDAY(Main[[#This Row],[Tech Start Date]],19),IF(Main[[#This Row],[Class]]="B", WORKDAY(Main[[#This Row],[Tech Start Date]],12),IF(Main[[#This Row],[Class]]="A",WORKDAY(Main[[#This Row],[Tech Start Date]],4),""))))</f>
        <v/>
      </c>
      <c r="O332" s="104" t="str">
        <f>IF(Main[[#This Row],[Tech Start Date]]&lt;1/1/1990,"",IF(Main[[#This Row],[Class]]="C",WORKDAY(Main[[#This Row],[Tech Start Date]],23),IF(Main[[#This Row],[Class]]="B", WORKDAY(Main[[#This Row],[Tech Start Date]],15),IF(Main[[#This Row],[Class]]="A",WORKDAY(Main[[#This Row],[Tech Start Date]],5),""))))</f>
        <v/>
      </c>
      <c r="P332" s="104" t="str">
        <f>IF(Main[[#This Row],[Tech Start Date]]&lt;1/1/1990,"",IF(Main[[#This Row],[Class]]="C",WORKDAY(Main[[#This Row],[Tech Start Date]],28),IF(Main[[#This Row],[Class]]="B", WORKDAY(Main[[#This Row],[Tech Start Date]],19),IF(Main[[#This Row],[Class]]="A",WORKDAY(Main[[#This Row],[Tech Start Date]],9),""))))</f>
        <v/>
      </c>
      <c r="Q332" s="101">
        <v>40879</v>
      </c>
      <c r="R332" s="101"/>
      <c r="S332" s="99" t="s">
        <v>6</v>
      </c>
      <c r="T332" s="107" t="s">
        <v>4</v>
      </c>
      <c r="U332" s="99" t="s">
        <v>29</v>
      </c>
      <c r="V332" s="99" t="s">
        <v>1963</v>
      </c>
      <c r="W332" s="99" t="s">
        <v>1966</v>
      </c>
    </row>
    <row r="333" spans="1:23" ht="18.600000000000001" customHeight="1">
      <c r="A333" s="123" t="str">
        <f>IF(priority(Main[[#This Row],[Comments]])&lt;&gt;0, priority(Main[[#This Row],[Comments]]),"")</f>
        <v/>
      </c>
      <c r="B333" s="127" t="s">
        <v>2031</v>
      </c>
      <c r="C333" s="99" t="s">
        <v>2026</v>
      </c>
      <c r="D333" s="100" t="s">
        <v>2032</v>
      </c>
      <c r="E333" s="101"/>
      <c r="F333" s="101"/>
      <c r="G333" s="102" t="str">
        <f>IF(stdProdLT(Main[[#This Row],[Comments]])=0.1,"N/A",IF(stdProdLT(Main[[#This Row],[Comments]])=0,"",stdProdLT(Main[[#This Row],[Comments]])))</f>
        <v/>
      </c>
      <c r="H333" s="103" t="str">
        <f>IF(AND(Main[[#This Row],[In Stock Date]]&lt;&gt;"",Main[[#This Row],[Revised Due Date]]&lt;&gt;""),Main[[#This Row],[In Stock Date]]-Main[[#This Row],[Revised Due Date]],"")</f>
        <v/>
      </c>
      <c r="I333" s="99" t="s">
        <v>4</v>
      </c>
      <c r="J333" s="99" t="s">
        <v>4</v>
      </c>
      <c r="K333" s="99" t="s">
        <v>4</v>
      </c>
      <c r="L333" s="101"/>
      <c r="M333" s="104" t="str">
        <f>IF(Main[[#This Row],[Tech Start Date]]&lt;1/1/1990,"",IF(Main[[#This Row],[Class]]="C",WORKDAY(Main[[#This Row],[Tech Start Date]],9),IF(Main[[#This Row],[Class]]="B", WORKDAY(Main[[#This Row],[Tech Start Date]],6),IF(Main[[#This Row],[Class]]="A",WORKDAY(Main[[#This Row],[Tech Start Date]],2),""))))</f>
        <v/>
      </c>
      <c r="N333" s="104" t="str">
        <f>IF(Main[[#This Row],[Tech Start Date]]&lt;1/1/1990,"",IF(Main[[#This Row],[Class]]="C",WORKDAY(Main[[#This Row],[Tech Start Date]],19),IF(Main[[#This Row],[Class]]="B", WORKDAY(Main[[#This Row],[Tech Start Date]],12),IF(Main[[#This Row],[Class]]="A",WORKDAY(Main[[#This Row],[Tech Start Date]],4),""))))</f>
        <v/>
      </c>
      <c r="O333" s="104" t="str">
        <f>IF(Main[[#This Row],[Tech Start Date]]&lt;1/1/1990,"",IF(Main[[#This Row],[Class]]="C",WORKDAY(Main[[#This Row],[Tech Start Date]],23),IF(Main[[#This Row],[Class]]="B", WORKDAY(Main[[#This Row],[Tech Start Date]],15),IF(Main[[#This Row],[Class]]="A",WORKDAY(Main[[#This Row],[Tech Start Date]],5),""))))</f>
        <v/>
      </c>
      <c r="P333" s="104" t="str">
        <f>IF(Main[[#This Row],[Tech Start Date]]&lt;1/1/1990,"",IF(Main[[#This Row],[Class]]="C",WORKDAY(Main[[#This Row],[Tech Start Date]],28),IF(Main[[#This Row],[Class]]="B", WORKDAY(Main[[#This Row],[Tech Start Date]],19),IF(Main[[#This Row],[Class]]="A",WORKDAY(Main[[#This Row],[Tech Start Date]],9),""))))</f>
        <v/>
      </c>
      <c r="Q333" s="101">
        <v>40745</v>
      </c>
      <c r="R333" s="101"/>
      <c r="S333" s="99" t="s">
        <v>11</v>
      </c>
      <c r="T333" s="107" t="s">
        <v>4</v>
      </c>
      <c r="U333" s="99" t="s">
        <v>14</v>
      </c>
      <c r="V333" s="99" t="s">
        <v>1963</v>
      </c>
      <c r="W333" s="99" t="s">
        <v>1964</v>
      </c>
    </row>
    <row r="334" spans="1:23" ht="18.600000000000001" customHeight="1">
      <c r="A334" s="123" t="str">
        <f>IF(priority(Main[[#This Row],[Comments]])&lt;&gt;0, priority(Main[[#This Row],[Comments]]),"")</f>
        <v/>
      </c>
      <c r="B334" s="127" t="s">
        <v>1145</v>
      </c>
      <c r="C334" s="99" t="s">
        <v>162</v>
      </c>
      <c r="D334" s="100" t="s">
        <v>163</v>
      </c>
      <c r="E334" s="101"/>
      <c r="F334" s="101">
        <v>40238</v>
      </c>
      <c r="G334" s="102" t="str">
        <f>IF(stdProdLT(Main[[#This Row],[Comments]])=0.1,"N/A",IF(stdProdLT(Main[[#This Row],[Comments]])=0,"",stdProdLT(Main[[#This Row],[Comments]])))</f>
        <v/>
      </c>
      <c r="H334" s="103" t="str">
        <f>IF(AND(Main[[#This Row],[In Stock Date]]&lt;&gt;"",Main[[#This Row],[Revised Due Date]]&lt;&gt;""),Main[[#This Row],[In Stock Date]]-Main[[#This Row],[Revised Due Date]],"")</f>
        <v/>
      </c>
      <c r="I334" s="99" t="s">
        <v>4</v>
      </c>
      <c r="J334" s="99" t="s">
        <v>4</v>
      </c>
      <c r="K334" s="99" t="s">
        <v>4</v>
      </c>
      <c r="L334" s="101"/>
      <c r="M334" s="104" t="str">
        <f>IF(Main[[#This Row],[Tech Start Date]]&lt;1/1/1990,"",IF(Main[[#This Row],[Class]]="C",WORKDAY(Main[[#This Row],[Tech Start Date]],9),IF(Main[[#This Row],[Class]]="B", WORKDAY(Main[[#This Row],[Tech Start Date]],6),IF(Main[[#This Row],[Class]]="A",WORKDAY(Main[[#This Row],[Tech Start Date]],2),""))))</f>
        <v/>
      </c>
      <c r="N334" s="104" t="str">
        <f>IF(Main[[#This Row],[Tech Start Date]]&lt;1/1/1990,"",IF(Main[[#This Row],[Class]]="C",WORKDAY(Main[[#This Row],[Tech Start Date]],19),IF(Main[[#This Row],[Class]]="B", WORKDAY(Main[[#This Row],[Tech Start Date]],12),IF(Main[[#This Row],[Class]]="A",WORKDAY(Main[[#This Row],[Tech Start Date]],4),""))))</f>
        <v/>
      </c>
      <c r="O334" s="104" t="str">
        <f>IF(Main[[#This Row],[Tech Start Date]]&lt;1/1/1990,"",IF(Main[[#This Row],[Class]]="C",WORKDAY(Main[[#This Row],[Tech Start Date]],23),IF(Main[[#This Row],[Class]]="B", WORKDAY(Main[[#This Row],[Tech Start Date]],15),IF(Main[[#This Row],[Class]]="A",WORKDAY(Main[[#This Row],[Tech Start Date]],5),""))))</f>
        <v/>
      </c>
      <c r="P334" s="104" t="str">
        <f>IF(Main[[#This Row],[Tech Start Date]]&lt;1/1/1990,"",IF(Main[[#This Row],[Class]]="C",WORKDAY(Main[[#This Row],[Tech Start Date]],28),IF(Main[[#This Row],[Class]]="B", WORKDAY(Main[[#This Row],[Tech Start Date]],19),IF(Main[[#This Row],[Class]]="A",WORKDAY(Main[[#This Row],[Tech Start Date]],9),""))))</f>
        <v/>
      </c>
      <c r="Q334" s="101">
        <v>40167</v>
      </c>
      <c r="R334" s="101"/>
      <c r="S334" s="99" t="s">
        <v>17</v>
      </c>
      <c r="T334" s="107" t="s">
        <v>4</v>
      </c>
      <c r="U334" s="99" t="s">
        <v>12</v>
      </c>
      <c r="V334" s="99" t="s">
        <v>1965</v>
      </c>
      <c r="W334" s="99" t="s">
        <v>1970</v>
      </c>
    </row>
    <row r="335" spans="1:23" ht="18.600000000000001" customHeight="1">
      <c r="A335" s="123" t="str">
        <f>IF(priority(Main[[#This Row],[Comments]])&lt;&gt;0, priority(Main[[#This Row],[Comments]]),"")</f>
        <v/>
      </c>
      <c r="B335" s="127" t="s">
        <v>1147</v>
      </c>
      <c r="C335" s="99" t="s">
        <v>4</v>
      </c>
      <c r="D335" s="100" t="s">
        <v>164</v>
      </c>
      <c r="E335" s="101">
        <v>40585.667395833334</v>
      </c>
      <c r="F335" s="101">
        <v>40602</v>
      </c>
      <c r="G335" s="102" t="str">
        <f>IF(stdProdLT(Main[[#This Row],[Comments]])=0.1,"N/A",IF(stdProdLT(Main[[#This Row],[Comments]])=0,"",stdProdLT(Main[[#This Row],[Comments]])))</f>
        <v/>
      </c>
      <c r="H335" s="103" t="str">
        <f>IF(AND(Main[[#This Row],[In Stock Date]]&lt;&gt;"",Main[[#This Row],[Revised Due Date]]&lt;&gt;""),Main[[#This Row],[In Stock Date]]-Main[[#This Row],[Revised Due Date]],"")</f>
        <v/>
      </c>
      <c r="I335" s="99" t="s">
        <v>165</v>
      </c>
      <c r="J335" s="99" t="s">
        <v>52</v>
      </c>
      <c r="K335" s="99" t="s">
        <v>1971</v>
      </c>
      <c r="L335" s="101"/>
      <c r="M335" s="104" t="str">
        <f>IF(Main[[#This Row],[Tech Start Date]]&lt;1/1/1990,"",IF(Main[[#This Row],[Class]]="C",WORKDAY(Main[[#This Row],[Tech Start Date]],9),IF(Main[[#This Row],[Class]]="B", WORKDAY(Main[[#This Row],[Tech Start Date]],6),IF(Main[[#This Row],[Class]]="A",WORKDAY(Main[[#This Row],[Tech Start Date]],2),""))))</f>
        <v/>
      </c>
      <c r="N335" s="104" t="str">
        <f>IF(Main[[#This Row],[Tech Start Date]]&lt;1/1/1990,"",IF(Main[[#This Row],[Class]]="C",WORKDAY(Main[[#This Row],[Tech Start Date]],19),IF(Main[[#This Row],[Class]]="B", WORKDAY(Main[[#This Row],[Tech Start Date]],12),IF(Main[[#This Row],[Class]]="A",WORKDAY(Main[[#This Row],[Tech Start Date]],4),""))))</f>
        <v/>
      </c>
      <c r="O335" s="104" t="str">
        <f>IF(Main[[#This Row],[Tech Start Date]]&lt;1/1/1990,"",IF(Main[[#This Row],[Class]]="C",WORKDAY(Main[[#This Row],[Tech Start Date]],23),IF(Main[[#This Row],[Class]]="B", WORKDAY(Main[[#This Row],[Tech Start Date]],15),IF(Main[[#This Row],[Class]]="A",WORKDAY(Main[[#This Row],[Tech Start Date]],5),""))))</f>
        <v/>
      </c>
      <c r="P335" s="104" t="str">
        <f>IF(Main[[#This Row],[Tech Start Date]]&lt;1/1/1990,"",IF(Main[[#This Row],[Class]]="C",WORKDAY(Main[[#This Row],[Tech Start Date]],28),IF(Main[[#This Row],[Class]]="B", WORKDAY(Main[[#This Row],[Tech Start Date]],19),IF(Main[[#This Row],[Class]]="A",WORKDAY(Main[[#This Row],[Tech Start Date]],9),""))))</f>
        <v/>
      </c>
      <c r="Q335" s="101">
        <v>40602</v>
      </c>
      <c r="R335" s="101"/>
      <c r="S335" s="99" t="s">
        <v>6</v>
      </c>
      <c r="T335" s="107" t="s">
        <v>4</v>
      </c>
      <c r="U335" s="99" t="s">
        <v>29</v>
      </c>
      <c r="V335" s="99" t="s">
        <v>1965</v>
      </c>
      <c r="W335" s="99" t="s">
        <v>1964</v>
      </c>
    </row>
    <row r="336" spans="1:23" ht="18.600000000000001" customHeight="1">
      <c r="A336" s="123" t="str">
        <f>IF(priority(Main[[#This Row],[Comments]])&lt;&gt;0, priority(Main[[#This Row],[Comments]]),"")</f>
        <v/>
      </c>
      <c r="B336" s="127" t="s">
        <v>1148</v>
      </c>
      <c r="C336" s="99" t="s">
        <v>4</v>
      </c>
      <c r="D336" s="100" t="s">
        <v>166</v>
      </c>
      <c r="E336" s="101">
        <v>40315.288738425923</v>
      </c>
      <c r="F336" s="101"/>
      <c r="G336" s="102" t="str">
        <f>IF(stdProdLT(Main[[#This Row],[Comments]])=0.1,"N/A",IF(stdProdLT(Main[[#This Row],[Comments]])=0,"",stdProdLT(Main[[#This Row],[Comments]])))</f>
        <v/>
      </c>
      <c r="H336" s="103" t="str">
        <f>IF(AND(Main[[#This Row],[In Stock Date]]&lt;&gt;"",Main[[#This Row],[Revised Due Date]]&lt;&gt;""),Main[[#This Row],[In Stock Date]]-Main[[#This Row],[Revised Due Date]],"")</f>
        <v/>
      </c>
      <c r="I336" s="99" t="s">
        <v>129</v>
      </c>
      <c r="J336" s="99" t="s">
        <v>4</v>
      </c>
      <c r="K336" s="108" t="s">
        <v>4</v>
      </c>
      <c r="L336" s="101"/>
      <c r="M336" s="104" t="str">
        <f>IF(Main[[#This Row],[Tech Start Date]]&lt;1/1/1990,"",IF(Main[[#This Row],[Class]]="C",WORKDAY(Main[[#This Row],[Tech Start Date]],9),IF(Main[[#This Row],[Class]]="B", WORKDAY(Main[[#This Row],[Tech Start Date]],6),IF(Main[[#This Row],[Class]]="A",WORKDAY(Main[[#This Row],[Tech Start Date]],2),""))))</f>
        <v/>
      </c>
      <c r="N336" s="104" t="str">
        <f>IF(Main[[#This Row],[Tech Start Date]]&lt;1/1/1990,"",IF(Main[[#This Row],[Class]]="C",WORKDAY(Main[[#This Row],[Tech Start Date]],19),IF(Main[[#This Row],[Class]]="B", WORKDAY(Main[[#This Row],[Tech Start Date]],12),IF(Main[[#This Row],[Class]]="A",WORKDAY(Main[[#This Row],[Tech Start Date]],4),""))))</f>
        <v/>
      </c>
      <c r="O336" s="104" t="str">
        <f>IF(Main[[#This Row],[Tech Start Date]]&lt;1/1/1990,"",IF(Main[[#This Row],[Class]]="C",WORKDAY(Main[[#This Row],[Tech Start Date]],23),IF(Main[[#This Row],[Class]]="B", WORKDAY(Main[[#This Row],[Tech Start Date]],15),IF(Main[[#This Row],[Class]]="A",WORKDAY(Main[[#This Row],[Tech Start Date]],5),""))))</f>
        <v/>
      </c>
      <c r="P336" s="104" t="str">
        <f>IF(Main[[#This Row],[Tech Start Date]]&lt;1/1/1990,"",IF(Main[[#This Row],[Class]]="C",WORKDAY(Main[[#This Row],[Tech Start Date]],28),IF(Main[[#This Row],[Class]]="B", WORKDAY(Main[[#This Row],[Tech Start Date]],19),IF(Main[[#This Row],[Class]]="A",WORKDAY(Main[[#This Row],[Tech Start Date]],9),""))))</f>
        <v/>
      </c>
      <c r="Q336" s="101">
        <v>40359</v>
      </c>
      <c r="R336" s="101"/>
      <c r="S336" s="99" t="s">
        <v>6</v>
      </c>
      <c r="T336" s="107" t="s">
        <v>4</v>
      </c>
      <c r="U336" s="99" t="s">
        <v>7</v>
      </c>
      <c r="V336" s="99" t="s">
        <v>1962</v>
      </c>
      <c r="W336" s="99" t="s">
        <v>4</v>
      </c>
    </row>
    <row r="337" spans="1:23" ht="18.600000000000001" customHeight="1">
      <c r="A337" s="123" t="str">
        <f>IF(priority(Main[[#This Row],[Comments]])&lt;&gt;0, priority(Main[[#This Row],[Comments]]),"")</f>
        <v/>
      </c>
      <c r="B337" s="127" t="s">
        <v>1149</v>
      </c>
      <c r="C337" s="99" t="s">
        <v>31</v>
      </c>
      <c r="D337" s="100" t="s">
        <v>167</v>
      </c>
      <c r="E337" s="101">
        <v>40490.313692129632</v>
      </c>
      <c r="F337" s="101">
        <v>40546</v>
      </c>
      <c r="G337" s="102" t="str">
        <f>IF(stdProdLT(Main[[#This Row],[Comments]])=0.1,"N/A",IF(stdProdLT(Main[[#This Row],[Comments]])=0,"",stdProdLT(Main[[#This Row],[Comments]])))</f>
        <v/>
      </c>
      <c r="H337" s="103" t="str">
        <f>IF(AND(Main[[#This Row],[In Stock Date]]&lt;&gt;"",Main[[#This Row],[Revised Due Date]]&lt;&gt;""),Main[[#This Row],[In Stock Date]]-Main[[#This Row],[Revised Due Date]],"")</f>
        <v/>
      </c>
      <c r="I337" s="99" t="s">
        <v>4</v>
      </c>
      <c r="J337" s="99" t="s">
        <v>4</v>
      </c>
      <c r="K337" s="108" t="s">
        <v>4</v>
      </c>
      <c r="L337" s="101"/>
      <c r="M337" s="104" t="str">
        <f>IF(Main[[#This Row],[Tech Start Date]]&lt;1/1/1990,"",IF(Main[[#This Row],[Class]]="C",WORKDAY(Main[[#This Row],[Tech Start Date]],9),IF(Main[[#This Row],[Class]]="B", WORKDAY(Main[[#This Row],[Tech Start Date]],6),IF(Main[[#This Row],[Class]]="A",WORKDAY(Main[[#This Row],[Tech Start Date]],2),""))))</f>
        <v/>
      </c>
      <c r="N337" s="104" t="str">
        <f>IF(Main[[#This Row],[Tech Start Date]]&lt;1/1/1990,"",IF(Main[[#This Row],[Class]]="C",WORKDAY(Main[[#This Row],[Tech Start Date]],19),IF(Main[[#This Row],[Class]]="B", WORKDAY(Main[[#This Row],[Tech Start Date]],12),IF(Main[[#This Row],[Class]]="A",WORKDAY(Main[[#This Row],[Tech Start Date]],4),""))))</f>
        <v/>
      </c>
      <c r="O337" s="104" t="str">
        <f>IF(Main[[#This Row],[Tech Start Date]]&lt;1/1/1990,"",IF(Main[[#This Row],[Class]]="C",WORKDAY(Main[[#This Row],[Tech Start Date]],23),IF(Main[[#This Row],[Class]]="B", WORKDAY(Main[[#This Row],[Tech Start Date]],15),IF(Main[[#This Row],[Class]]="A",WORKDAY(Main[[#This Row],[Tech Start Date]],5),""))))</f>
        <v/>
      </c>
      <c r="P337" s="104" t="str">
        <f>IF(Main[[#This Row],[Tech Start Date]]&lt;1/1/1990,"",IF(Main[[#This Row],[Class]]="C",WORKDAY(Main[[#This Row],[Tech Start Date]],28),IF(Main[[#This Row],[Class]]="B", WORKDAY(Main[[#This Row],[Tech Start Date]],19),IF(Main[[#This Row],[Class]]="A",WORKDAY(Main[[#This Row],[Tech Start Date]],9),""))))</f>
        <v/>
      </c>
      <c r="Q337" s="101">
        <v>40543</v>
      </c>
      <c r="R337" s="101"/>
      <c r="S337" s="99" t="s">
        <v>17</v>
      </c>
      <c r="T337" s="107" t="s">
        <v>4</v>
      </c>
      <c r="U337" s="99" t="s">
        <v>7</v>
      </c>
      <c r="V337" s="99" t="s">
        <v>1965</v>
      </c>
      <c r="W337" s="99" t="s">
        <v>4</v>
      </c>
    </row>
    <row r="338" spans="1:23" ht="18.600000000000001" customHeight="1">
      <c r="A338" s="123" t="str">
        <f>IF(priority(Main[[#This Row],[Comments]])&lt;&gt;0, priority(Main[[#This Row],[Comments]]),"")</f>
        <v/>
      </c>
      <c r="B338" s="127" t="s">
        <v>1150</v>
      </c>
      <c r="C338" s="99" t="s">
        <v>4</v>
      </c>
      <c r="D338" s="100" t="s">
        <v>168</v>
      </c>
      <c r="E338" s="101">
        <v>40455.90861111111</v>
      </c>
      <c r="F338" s="101"/>
      <c r="G338" s="102" t="str">
        <f>IF(stdProdLT(Main[[#This Row],[Comments]])=0.1,"N/A",IF(stdProdLT(Main[[#This Row],[Comments]])=0,"",stdProdLT(Main[[#This Row],[Comments]])))</f>
        <v/>
      </c>
      <c r="H338" s="103" t="str">
        <f>IF(AND(Main[[#This Row],[In Stock Date]]&lt;&gt;"",Main[[#This Row],[Revised Due Date]]&lt;&gt;""),Main[[#This Row],[In Stock Date]]-Main[[#This Row],[Revised Due Date]],"")</f>
        <v/>
      </c>
      <c r="I338" s="99" t="s">
        <v>4</v>
      </c>
      <c r="J338" s="99" t="s">
        <v>28</v>
      </c>
      <c r="K338" s="99" t="s">
        <v>1974</v>
      </c>
      <c r="L338" s="101"/>
      <c r="M338" s="104" t="str">
        <f>IF(Main[[#This Row],[Tech Start Date]]&lt;1/1/1990,"",IF(Main[[#This Row],[Class]]="C",WORKDAY(Main[[#This Row],[Tech Start Date]],9),IF(Main[[#This Row],[Class]]="B", WORKDAY(Main[[#This Row],[Tech Start Date]],6),IF(Main[[#This Row],[Class]]="A",WORKDAY(Main[[#This Row],[Tech Start Date]],2),""))))</f>
        <v/>
      </c>
      <c r="N338" s="104" t="str">
        <f>IF(Main[[#This Row],[Tech Start Date]]&lt;1/1/1990,"",IF(Main[[#This Row],[Class]]="C",WORKDAY(Main[[#This Row],[Tech Start Date]],19),IF(Main[[#This Row],[Class]]="B", WORKDAY(Main[[#This Row],[Tech Start Date]],12),IF(Main[[#This Row],[Class]]="A",WORKDAY(Main[[#This Row],[Tech Start Date]],4),""))))</f>
        <v/>
      </c>
      <c r="O338" s="104" t="str">
        <f>IF(Main[[#This Row],[Tech Start Date]]&lt;1/1/1990,"",IF(Main[[#This Row],[Class]]="C",WORKDAY(Main[[#This Row],[Tech Start Date]],23),IF(Main[[#This Row],[Class]]="B", WORKDAY(Main[[#This Row],[Tech Start Date]],15),IF(Main[[#This Row],[Class]]="A",WORKDAY(Main[[#This Row],[Tech Start Date]],5),""))))</f>
        <v/>
      </c>
      <c r="P338" s="104" t="str">
        <f>IF(Main[[#This Row],[Tech Start Date]]&lt;1/1/1990,"",IF(Main[[#This Row],[Class]]="C",WORKDAY(Main[[#This Row],[Tech Start Date]],28),IF(Main[[#This Row],[Class]]="B", WORKDAY(Main[[#This Row],[Tech Start Date]],19),IF(Main[[#This Row],[Class]]="A",WORKDAY(Main[[#This Row],[Tech Start Date]],9),""))))</f>
        <v/>
      </c>
      <c r="Q338" s="101">
        <v>40512</v>
      </c>
      <c r="R338" s="101"/>
      <c r="S338" s="99" t="s">
        <v>17</v>
      </c>
      <c r="T338" s="107" t="s">
        <v>4</v>
      </c>
      <c r="U338" s="99" t="s">
        <v>7</v>
      </c>
      <c r="V338" s="99" t="s">
        <v>1962</v>
      </c>
      <c r="W338" s="99" t="s">
        <v>1967</v>
      </c>
    </row>
    <row r="339" spans="1:23" ht="18.600000000000001" customHeight="1">
      <c r="A339" s="123" t="str">
        <f>IF(priority(Main[[#This Row],[Comments]])&lt;&gt;0, priority(Main[[#This Row],[Comments]]),"")</f>
        <v/>
      </c>
      <c r="B339" s="127" t="s">
        <v>1151</v>
      </c>
      <c r="C339" s="99" t="s">
        <v>4</v>
      </c>
      <c r="D339" s="100" t="s">
        <v>169</v>
      </c>
      <c r="E339" s="101"/>
      <c r="F339" s="101"/>
      <c r="G339" s="102" t="str">
        <f>IF(stdProdLT(Main[[#This Row],[Comments]])=0.1,"N/A",IF(stdProdLT(Main[[#This Row],[Comments]])=0,"",stdProdLT(Main[[#This Row],[Comments]])))</f>
        <v/>
      </c>
      <c r="H339" s="103" t="str">
        <f>IF(AND(Main[[#This Row],[In Stock Date]]&lt;&gt;"",Main[[#This Row],[Revised Due Date]]&lt;&gt;""),Main[[#This Row],[In Stock Date]]-Main[[#This Row],[Revised Due Date]],"")</f>
        <v/>
      </c>
      <c r="I339" s="99" t="s">
        <v>4</v>
      </c>
      <c r="J339" s="99" t="s">
        <v>28</v>
      </c>
      <c r="K339" s="99" t="s">
        <v>1974</v>
      </c>
      <c r="L339" s="101"/>
      <c r="M339" s="104" t="str">
        <f>IF(Main[[#This Row],[Tech Start Date]]&lt;1/1/1990,"",IF(Main[[#This Row],[Class]]="C",WORKDAY(Main[[#This Row],[Tech Start Date]],9),IF(Main[[#This Row],[Class]]="B", WORKDAY(Main[[#This Row],[Tech Start Date]],6),IF(Main[[#This Row],[Class]]="A",WORKDAY(Main[[#This Row],[Tech Start Date]],2),""))))</f>
        <v/>
      </c>
      <c r="N339" s="104" t="str">
        <f>IF(Main[[#This Row],[Tech Start Date]]&lt;1/1/1990,"",IF(Main[[#This Row],[Class]]="C",WORKDAY(Main[[#This Row],[Tech Start Date]],19),IF(Main[[#This Row],[Class]]="B", WORKDAY(Main[[#This Row],[Tech Start Date]],12),IF(Main[[#This Row],[Class]]="A",WORKDAY(Main[[#This Row],[Tech Start Date]],4),""))))</f>
        <v/>
      </c>
      <c r="O339" s="104" t="str">
        <f>IF(Main[[#This Row],[Tech Start Date]]&lt;1/1/1990,"",IF(Main[[#This Row],[Class]]="C",WORKDAY(Main[[#This Row],[Tech Start Date]],23),IF(Main[[#This Row],[Class]]="B", WORKDAY(Main[[#This Row],[Tech Start Date]],15),IF(Main[[#This Row],[Class]]="A",WORKDAY(Main[[#This Row],[Tech Start Date]],5),""))))</f>
        <v/>
      </c>
      <c r="P339" s="104" t="str">
        <f>IF(Main[[#This Row],[Tech Start Date]]&lt;1/1/1990,"",IF(Main[[#This Row],[Class]]="C",WORKDAY(Main[[#This Row],[Tech Start Date]],28),IF(Main[[#This Row],[Class]]="B", WORKDAY(Main[[#This Row],[Tech Start Date]],19),IF(Main[[#This Row],[Class]]="A",WORKDAY(Main[[#This Row],[Tech Start Date]],9),""))))</f>
        <v/>
      </c>
      <c r="Q339" s="101"/>
      <c r="R339" s="101"/>
      <c r="S339" s="99" t="s">
        <v>17</v>
      </c>
      <c r="T339" s="107" t="s">
        <v>4</v>
      </c>
      <c r="U339" s="99" t="s">
        <v>14</v>
      </c>
      <c r="V339" s="99" t="s">
        <v>1965</v>
      </c>
      <c r="W339" s="99" t="s">
        <v>1967</v>
      </c>
    </row>
    <row r="340" spans="1:23" ht="18.600000000000001" customHeight="1">
      <c r="A340" s="123" t="str">
        <f>IF(priority(Main[[#This Row],[Comments]])&lt;&gt;0, priority(Main[[#This Row],[Comments]]),"")</f>
        <v/>
      </c>
      <c r="B340" s="127" t="s">
        <v>1218</v>
      </c>
      <c r="C340" s="99" t="s">
        <v>246</v>
      </c>
      <c r="D340" s="100" t="s">
        <v>247</v>
      </c>
      <c r="E340" s="101"/>
      <c r="F340" s="101">
        <v>40299</v>
      </c>
      <c r="G340" s="102" t="str">
        <f>IF(stdProdLT(Main[[#This Row],[Comments]])=0.1,"N/A",IF(stdProdLT(Main[[#This Row],[Comments]])=0,"",stdProdLT(Main[[#This Row],[Comments]])))</f>
        <v/>
      </c>
      <c r="H340" s="103" t="str">
        <f>IF(AND(Main[[#This Row],[In Stock Date]]&lt;&gt;"",Main[[#This Row],[Revised Due Date]]&lt;&gt;""),Main[[#This Row],[In Stock Date]]-Main[[#This Row],[Revised Due Date]],"")</f>
        <v/>
      </c>
      <c r="I340" s="99" t="s">
        <v>4</v>
      </c>
      <c r="J340" s="99" t="s">
        <v>4</v>
      </c>
      <c r="K340" s="108" t="s">
        <v>4</v>
      </c>
      <c r="L340" s="101"/>
      <c r="M340" s="104" t="str">
        <f>IF(Main[[#This Row],[Tech Start Date]]&lt;1/1/1990,"",IF(Main[[#This Row],[Class]]="C",WORKDAY(Main[[#This Row],[Tech Start Date]],9),IF(Main[[#This Row],[Class]]="B", WORKDAY(Main[[#This Row],[Tech Start Date]],6),IF(Main[[#This Row],[Class]]="A",WORKDAY(Main[[#This Row],[Tech Start Date]],2),""))))</f>
        <v/>
      </c>
      <c r="N340" s="104" t="str">
        <f>IF(Main[[#This Row],[Tech Start Date]]&lt;1/1/1990,"",IF(Main[[#This Row],[Class]]="C",WORKDAY(Main[[#This Row],[Tech Start Date]],19),IF(Main[[#This Row],[Class]]="B", WORKDAY(Main[[#This Row],[Tech Start Date]],12),IF(Main[[#This Row],[Class]]="A",WORKDAY(Main[[#This Row],[Tech Start Date]],4),""))))</f>
        <v/>
      </c>
      <c r="O340" s="104" t="str">
        <f>IF(Main[[#This Row],[Tech Start Date]]&lt;1/1/1990,"",IF(Main[[#This Row],[Class]]="C",WORKDAY(Main[[#This Row],[Tech Start Date]],23),IF(Main[[#This Row],[Class]]="B", WORKDAY(Main[[#This Row],[Tech Start Date]],15),IF(Main[[#This Row],[Class]]="A",WORKDAY(Main[[#This Row],[Tech Start Date]],5),""))))</f>
        <v/>
      </c>
      <c r="P340" s="104" t="str">
        <f>IF(Main[[#This Row],[Tech Start Date]]&lt;1/1/1990,"",IF(Main[[#This Row],[Class]]="C",WORKDAY(Main[[#This Row],[Tech Start Date]],28),IF(Main[[#This Row],[Class]]="B", WORKDAY(Main[[#This Row],[Tech Start Date]],19),IF(Main[[#This Row],[Class]]="A",WORKDAY(Main[[#This Row],[Tech Start Date]],9),""))))</f>
        <v/>
      </c>
      <c r="Q340" s="101">
        <v>40241</v>
      </c>
      <c r="R340" s="101"/>
      <c r="S340" s="99" t="s">
        <v>11</v>
      </c>
      <c r="T340" s="107" t="s">
        <v>4</v>
      </c>
      <c r="U340" s="99" t="s">
        <v>14</v>
      </c>
      <c r="V340" s="99" t="s">
        <v>1972</v>
      </c>
      <c r="W340" s="99" t="s">
        <v>1970</v>
      </c>
    </row>
    <row r="341" spans="1:23" ht="18.600000000000001" customHeight="1">
      <c r="A341" s="123" t="str">
        <f>IF(priority(Main[[#This Row],[Comments]])&lt;&gt;0, priority(Main[[#This Row],[Comments]]),"")</f>
        <v/>
      </c>
      <c r="B341" s="127" t="s">
        <v>1219</v>
      </c>
      <c r="C341" s="99" t="s">
        <v>4</v>
      </c>
      <c r="D341" s="100" t="s">
        <v>39</v>
      </c>
      <c r="E341" s="101"/>
      <c r="F341" s="101"/>
      <c r="G341" s="102" t="str">
        <f>IF(stdProdLT(Main[[#This Row],[Comments]])=0.1,"N/A",IF(stdProdLT(Main[[#This Row],[Comments]])=0,"",stdProdLT(Main[[#This Row],[Comments]])))</f>
        <v/>
      </c>
      <c r="H341" s="103" t="str">
        <f>IF(AND(Main[[#This Row],[In Stock Date]]&lt;&gt;"",Main[[#This Row],[Revised Due Date]]&lt;&gt;""),Main[[#This Row],[In Stock Date]]-Main[[#This Row],[Revised Due Date]],"")</f>
        <v/>
      </c>
      <c r="I341" s="99" t="s">
        <v>4</v>
      </c>
      <c r="J341" s="99" t="s">
        <v>4</v>
      </c>
      <c r="K341" s="108" t="s">
        <v>4</v>
      </c>
      <c r="L341" s="101"/>
      <c r="M341" s="104" t="str">
        <f>IF(Main[[#This Row],[Tech Start Date]]&lt;1/1/1990,"",IF(Main[[#This Row],[Class]]="C",WORKDAY(Main[[#This Row],[Tech Start Date]],9),IF(Main[[#This Row],[Class]]="B", WORKDAY(Main[[#This Row],[Tech Start Date]],6),IF(Main[[#This Row],[Class]]="A",WORKDAY(Main[[#This Row],[Tech Start Date]],2),""))))</f>
        <v/>
      </c>
      <c r="N341" s="104" t="str">
        <f>IF(Main[[#This Row],[Tech Start Date]]&lt;1/1/1990,"",IF(Main[[#This Row],[Class]]="C",WORKDAY(Main[[#This Row],[Tech Start Date]],19),IF(Main[[#This Row],[Class]]="B", WORKDAY(Main[[#This Row],[Tech Start Date]],12),IF(Main[[#This Row],[Class]]="A",WORKDAY(Main[[#This Row],[Tech Start Date]],4),""))))</f>
        <v/>
      </c>
      <c r="O341" s="104" t="str">
        <f>IF(Main[[#This Row],[Tech Start Date]]&lt;1/1/1990,"",IF(Main[[#This Row],[Class]]="C",WORKDAY(Main[[#This Row],[Tech Start Date]],23),IF(Main[[#This Row],[Class]]="B", WORKDAY(Main[[#This Row],[Tech Start Date]],15),IF(Main[[#This Row],[Class]]="A",WORKDAY(Main[[#This Row],[Tech Start Date]],5),""))))</f>
        <v/>
      </c>
      <c r="P341" s="104" t="str">
        <f>IF(Main[[#This Row],[Tech Start Date]]&lt;1/1/1990,"",IF(Main[[#This Row],[Class]]="C",WORKDAY(Main[[#This Row],[Tech Start Date]],28),IF(Main[[#This Row],[Class]]="B", WORKDAY(Main[[#This Row],[Tech Start Date]],19),IF(Main[[#This Row],[Class]]="A",WORKDAY(Main[[#This Row],[Tech Start Date]],9),""))))</f>
        <v/>
      </c>
      <c r="Q341" s="101">
        <v>40669</v>
      </c>
      <c r="R341" s="101"/>
      <c r="S341" s="99" t="s">
        <v>6</v>
      </c>
      <c r="T341" s="107" t="s">
        <v>4</v>
      </c>
      <c r="U341" s="99" t="s">
        <v>14</v>
      </c>
      <c r="V341" s="99" t="s">
        <v>1965</v>
      </c>
      <c r="W341" s="99" t="s">
        <v>4</v>
      </c>
    </row>
    <row r="342" spans="1:23" ht="18.600000000000001" customHeight="1">
      <c r="A342" s="123" t="str">
        <f>IF(priority(Main[[#This Row],[Comments]])&lt;&gt;0, priority(Main[[#This Row],[Comments]]),"")</f>
        <v/>
      </c>
      <c r="B342" s="127" t="s">
        <v>2132</v>
      </c>
      <c r="C342" s="99" t="s">
        <v>4</v>
      </c>
      <c r="D342" s="100" t="s">
        <v>2133</v>
      </c>
      <c r="E342" s="101">
        <v>40774.330196759256</v>
      </c>
      <c r="F342" s="101"/>
      <c r="G342" s="102" t="str">
        <f>IF(stdProdLT(Main[[#This Row],[Comments]])=0.1,"N/A",IF(stdProdLT(Main[[#This Row],[Comments]])=0,"",stdProdLT(Main[[#This Row],[Comments]])))</f>
        <v/>
      </c>
      <c r="H342" s="103" t="str">
        <f>IF(AND(Main[[#This Row],[In Stock Date]]&lt;&gt;"",Main[[#This Row],[Revised Due Date]]&lt;&gt;""),Main[[#This Row],[In Stock Date]]-Main[[#This Row],[Revised Due Date]],"")</f>
        <v/>
      </c>
      <c r="I342" s="99" t="s">
        <v>4</v>
      </c>
      <c r="J342" s="99" t="s">
        <v>4</v>
      </c>
      <c r="K342" s="99" t="s">
        <v>4</v>
      </c>
      <c r="L342" s="101"/>
      <c r="M342" s="104" t="str">
        <f>IF(Main[[#This Row],[Tech Start Date]]&lt;1/1/1990,"",IF(Main[[#This Row],[Class]]="C",WORKDAY(Main[[#This Row],[Tech Start Date]],9),IF(Main[[#This Row],[Class]]="B", WORKDAY(Main[[#This Row],[Tech Start Date]],6),IF(Main[[#This Row],[Class]]="A",WORKDAY(Main[[#This Row],[Tech Start Date]],2),""))))</f>
        <v/>
      </c>
      <c r="N342" s="104" t="str">
        <f>IF(Main[[#This Row],[Tech Start Date]]&lt;1/1/1990,"",IF(Main[[#This Row],[Class]]="C",WORKDAY(Main[[#This Row],[Tech Start Date]],19),IF(Main[[#This Row],[Class]]="B", WORKDAY(Main[[#This Row],[Tech Start Date]],12),IF(Main[[#This Row],[Class]]="A",WORKDAY(Main[[#This Row],[Tech Start Date]],4),""))))</f>
        <v/>
      </c>
      <c r="O342" s="104" t="str">
        <f>IF(Main[[#This Row],[Tech Start Date]]&lt;1/1/1990,"",IF(Main[[#This Row],[Class]]="C",WORKDAY(Main[[#This Row],[Tech Start Date]],23),IF(Main[[#This Row],[Class]]="B", WORKDAY(Main[[#This Row],[Tech Start Date]],15),IF(Main[[#This Row],[Class]]="A",WORKDAY(Main[[#This Row],[Tech Start Date]],5),""))))</f>
        <v/>
      </c>
      <c r="P342" s="104" t="str">
        <f>IF(Main[[#This Row],[Tech Start Date]]&lt;1/1/1990,"",IF(Main[[#This Row],[Class]]="C",WORKDAY(Main[[#This Row],[Tech Start Date]],28),IF(Main[[#This Row],[Class]]="B", WORKDAY(Main[[#This Row],[Tech Start Date]],19),IF(Main[[#This Row],[Class]]="A",WORKDAY(Main[[#This Row],[Tech Start Date]],9),""))))</f>
        <v/>
      </c>
      <c r="Q342" s="101">
        <v>40788</v>
      </c>
      <c r="R342" s="101"/>
      <c r="S342" s="99" t="s">
        <v>6</v>
      </c>
      <c r="T342" s="107" t="s">
        <v>4</v>
      </c>
      <c r="U342" s="99" t="s">
        <v>7</v>
      </c>
      <c r="V342" s="99" t="s">
        <v>1962</v>
      </c>
      <c r="W342" s="99" t="s">
        <v>4</v>
      </c>
    </row>
    <row r="343" spans="1:23" ht="18.600000000000001" customHeight="1">
      <c r="A343" s="123" t="str">
        <f>IF(priority(Main[[#This Row],[Comments]])&lt;&gt;0, priority(Main[[#This Row],[Comments]]),"")</f>
        <v/>
      </c>
      <c r="B343" s="127" t="s">
        <v>1220</v>
      </c>
      <c r="C343" s="99" t="s">
        <v>248</v>
      </c>
      <c r="D343" s="100" t="s">
        <v>249</v>
      </c>
      <c r="E343" s="101"/>
      <c r="F343" s="101"/>
      <c r="G343" s="102" t="str">
        <f>IF(stdProdLT(Main[[#This Row],[Comments]])=0.1,"N/A",IF(stdProdLT(Main[[#This Row],[Comments]])=0,"",stdProdLT(Main[[#This Row],[Comments]])))</f>
        <v/>
      </c>
      <c r="H343" s="103" t="str">
        <f>IF(AND(Main[[#This Row],[In Stock Date]]&lt;&gt;"",Main[[#This Row],[Revised Due Date]]&lt;&gt;""),Main[[#This Row],[In Stock Date]]-Main[[#This Row],[Revised Due Date]],"")</f>
        <v/>
      </c>
      <c r="I343" s="99" t="s">
        <v>4</v>
      </c>
      <c r="J343" s="99" t="s">
        <v>4</v>
      </c>
      <c r="K343" s="99" t="s">
        <v>4</v>
      </c>
      <c r="L343" s="101"/>
      <c r="M343" s="104" t="str">
        <f>IF(Main[[#This Row],[Tech Start Date]]&lt;1/1/1990,"",IF(Main[[#This Row],[Class]]="C",WORKDAY(Main[[#This Row],[Tech Start Date]],9),IF(Main[[#This Row],[Class]]="B", WORKDAY(Main[[#This Row],[Tech Start Date]],6),IF(Main[[#This Row],[Class]]="A",WORKDAY(Main[[#This Row],[Tech Start Date]],2),""))))</f>
        <v/>
      </c>
      <c r="N343" s="104" t="str">
        <f>IF(Main[[#This Row],[Tech Start Date]]&lt;1/1/1990,"",IF(Main[[#This Row],[Class]]="C",WORKDAY(Main[[#This Row],[Tech Start Date]],19),IF(Main[[#This Row],[Class]]="B", WORKDAY(Main[[#This Row],[Tech Start Date]],12),IF(Main[[#This Row],[Class]]="A",WORKDAY(Main[[#This Row],[Tech Start Date]],4),""))))</f>
        <v/>
      </c>
      <c r="O343" s="104" t="str">
        <f>IF(Main[[#This Row],[Tech Start Date]]&lt;1/1/1990,"",IF(Main[[#This Row],[Class]]="C",WORKDAY(Main[[#This Row],[Tech Start Date]],23),IF(Main[[#This Row],[Class]]="B", WORKDAY(Main[[#This Row],[Tech Start Date]],15),IF(Main[[#This Row],[Class]]="A",WORKDAY(Main[[#This Row],[Tech Start Date]],5),""))))</f>
        <v/>
      </c>
      <c r="P343" s="104" t="str">
        <f>IF(Main[[#This Row],[Tech Start Date]]&lt;1/1/1990,"",IF(Main[[#This Row],[Class]]="C",WORKDAY(Main[[#This Row],[Tech Start Date]],28),IF(Main[[#This Row],[Class]]="B", WORKDAY(Main[[#This Row],[Tech Start Date]],19),IF(Main[[#This Row],[Class]]="A",WORKDAY(Main[[#This Row],[Tech Start Date]],9),""))))</f>
        <v/>
      </c>
      <c r="Q343" s="101">
        <v>40325</v>
      </c>
      <c r="R343" s="101"/>
      <c r="S343" s="99" t="s">
        <v>11</v>
      </c>
      <c r="T343" s="107" t="s">
        <v>4</v>
      </c>
      <c r="U343" s="99" t="s">
        <v>12</v>
      </c>
      <c r="V343" s="99" t="s">
        <v>1963</v>
      </c>
      <c r="W343" s="99" t="s">
        <v>1968</v>
      </c>
    </row>
    <row r="344" spans="1:23" ht="18.600000000000001" customHeight="1">
      <c r="A344" s="123" t="str">
        <f>IF(priority(Main[[#This Row],[Comments]])&lt;&gt;0, priority(Main[[#This Row],[Comments]]),"")</f>
        <v/>
      </c>
      <c r="B344" s="127" t="s">
        <v>1725</v>
      </c>
      <c r="C344" s="99" t="s">
        <v>79</v>
      </c>
      <c r="D344" s="100" t="s">
        <v>752</v>
      </c>
      <c r="E344" s="101">
        <v>40458.641226851854</v>
      </c>
      <c r="F344" s="101"/>
      <c r="G344" s="102" t="str">
        <f>IF(stdProdLT(Main[[#This Row],[Comments]])=0.1,"N/A",IF(stdProdLT(Main[[#This Row],[Comments]])=0,"",stdProdLT(Main[[#This Row],[Comments]])))</f>
        <v/>
      </c>
      <c r="H344" s="103" t="str">
        <f>IF(AND(Main[[#This Row],[In Stock Date]]&lt;&gt;"",Main[[#This Row],[Revised Due Date]]&lt;&gt;""),Main[[#This Row],[In Stock Date]]-Main[[#This Row],[Revised Due Date]],"")</f>
        <v/>
      </c>
      <c r="I344" s="99" t="s">
        <v>4</v>
      </c>
      <c r="J344" s="99" t="s">
        <v>28</v>
      </c>
      <c r="K344" s="108" t="s">
        <v>1974</v>
      </c>
      <c r="L344" s="101"/>
      <c r="M344" s="104" t="str">
        <f>IF(Main[[#This Row],[Tech Start Date]]&lt;1/1/1990,"",IF(Main[[#This Row],[Class]]="C",WORKDAY(Main[[#This Row],[Tech Start Date]],9),IF(Main[[#This Row],[Class]]="B", WORKDAY(Main[[#This Row],[Tech Start Date]],6),IF(Main[[#This Row],[Class]]="A",WORKDAY(Main[[#This Row],[Tech Start Date]],2),""))))</f>
        <v/>
      </c>
      <c r="N344" s="104" t="str">
        <f>IF(Main[[#This Row],[Tech Start Date]]&lt;1/1/1990,"",IF(Main[[#This Row],[Class]]="C",WORKDAY(Main[[#This Row],[Tech Start Date]],19),IF(Main[[#This Row],[Class]]="B", WORKDAY(Main[[#This Row],[Tech Start Date]],12),IF(Main[[#This Row],[Class]]="A",WORKDAY(Main[[#This Row],[Tech Start Date]],4),""))))</f>
        <v/>
      </c>
      <c r="O344" s="104" t="str">
        <f>IF(Main[[#This Row],[Tech Start Date]]&lt;1/1/1990,"",IF(Main[[#This Row],[Class]]="C",WORKDAY(Main[[#This Row],[Tech Start Date]],23),IF(Main[[#This Row],[Class]]="B", WORKDAY(Main[[#This Row],[Tech Start Date]],15),IF(Main[[#This Row],[Class]]="A",WORKDAY(Main[[#This Row],[Tech Start Date]],5),""))))</f>
        <v/>
      </c>
      <c r="P344" s="104" t="str">
        <f>IF(Main[[#This Row],[Tech Start Date]]&lt;1/1/1990,"",IF(Main[[#This Row],[Class]]="C",WORKDAY(Main[[#This Row],[Tech Start Date]],28),IF(Main[[#This Row],[Class]]="B", WORKDAY(Main[[#This Row],[Tech Start Date]],19),IF(Main[[#This Row],[Class]]="A",WORKDAY(Main[[#This Row],[Tech Start Date]],9),""))))</f>
        <v/>
      </c>
      <c r="Q344" s="101">
        <v>40486</v>
      </c>
      <c r="R344" s="101"/>
      <c r="S344" s="99" t="s">
        <v>17</v>
      </c>
      <c r="T344" s="107" t="s">
        <v>4</v>
      </c>
      <c r="U344" s="99" t="s">
        <v>7</v>
      </c>
      <c r="V344" s="99" t="s">
        <v>1962</v>
      </c>
      <c r="W344" s="99" t="s">
        <v>1967</v>
      </c>
    </row>
    <row r="345" spans="1:23" ht="18.600000000000001" customHeight="1">
      <c r="A345" s="123" t="str">
        <f>IF(priority(Main[[#This Row],[Comments]])&lt;&gt;0, priority(Main[[#This Row],[Comments]]),"")</f>
        <v/>
      </c>
      <c r="B345" s="127" t="s">
        <v>2096</v>
      </c>
      <c r="C345" s="99" t="s">
        <v>4</v>
      </c>
      <c r="D345" s="100" t="s">
        <v>2097</v>
      </c>
      <c r="E345" s="101"/>
      <c r="F345" s="101"/>
      <c r="G345" s="102" t="str">
        <f>IF(stdProdLT(Main[[#This Row],[Comments]])=0.1,"N/A",IF(stdProdLT(Main[[#This Row],[Comments]])=0,"",stdProdLT(Main[[#This Row],[Comments]])))</f>
        <v/>
      </c>
      <c r="H345" s="103" t="str">
        <f>IF(AND(Main[[#This Row],[In Stock Date]]&lt;&gt;"",Main[[#This Row],[Revised Due Date]]&lt;&gt;""),Main[[#This Row],[In Stock Date]]-Main[[#This Row],[Revised Due Date]],"")</f>
        <v/>
      </c>
      <c r="I345" s="99" t="s">
        <v>4</v>
      </c>
      <c r="J345" s="99" t="s">
        <v>4</v>
      </c>
      <c r="K345" s="99" t="s">
        <v>4</v>
      </c>
      <c r="L345" s="101"/>
      <c r="M345" s="104" t="str">
        <f>IF(Main[[#This Row],[Tech Start Date]]&lt;1/1/1990,"",IF(Main[[#This Row],[Class]]="C",WORKDAY(Main[[#This Row],[Tech Start Date]],9),IF(Main[[#This Row],[Class]]="B", WORKDAY(Main[[#This Row],[Tech Start Date]],6),IF(Main[[#This Row],[Class]]="A",WORKDAY(Main[[#This Row],[Tech Start Date]],2),""))))</f>
        <v/>
      </c>
      <c r="N345" s="104" t="str">
        <f>IF(Main[[#This Row],[Tech Start Date]]&lt;1/1/1990,"",IF(Main[[#This Row],[Class]]="C",WORKDAY(Main[[#This Row],[Tech Start Date]],19),IF(Main[[#This Row],[Class]]="B", WORKDAY(Main[[#This Row],[Tech Start Date]],12),IF(Main[[#This Row],[Class]]="A",WORKDAY(Main[[#This Row],[Tech Start Date]],4),""))))</f>
        <v/>
      </c>
      <c r="O345" s="104" t="str">
        <f>IF(Main[[#This Row],[Tech Start Date]]&lt;1/1/1990,"",IF(Main[[#This Row],[Class]]="C",WORKDAY(Main[[#This Row],[Tech Start Date]],23),IF(Main[[#This Row],[Class]]="B", WORKDAY(Main[[#This Row],[Tech Start Date]],15),IF(Main[[#This Row],[Class]]="A",WORKDAY(Main[[#This Row],[Tech Start Date]],5),""))))</f>
        <v/>
      </c>
      <c r="P345" s="104" t="str">
        <f>IF(Main[[#This Row],[Tech Start Date]]&lt;1/1/1990,"",IF(Main[[#This Row],[Class]]="C",WORKDAY(Main[[#This Row],[Tech Start Date]],28),IF(Main[[#This Row],[Class]]="B", WORKDAY(Main[[#This Row],[Tech Start Date]],19),IF(Main[[#This Row],[Class]]="A",WORKDAY(Main[[#This Row],[Tech Start Date]],9),""))))</f>
        <v/>
      </c>
      <c r="Q345" s="101"/>
      <c r="R345" s="101"/>
      <c r="S345" s="99" t="s">
        <v>6</v>
      </c>
      <c r="T345" s="107" t="s">
        <v>4</v>
      </c>
      <c r="U345" s="99" t="s">
        <v>14</v>
      </c>
      <c r="V345" s="99" t="s">
        <v>1965</v>
      </c>
      <c r="W345" s="99" t="s">
        <v>1966</v>
      </c>
    </row>
    <row r="346" spans="1:23" ht="18.600000000000001" customHeight="1">
      <c r="A346" s="123" t="str">
        <f>IF(priority(Main[[#This Row],[Comments]])&lt;&gt;0, priority(Main[[#This Row],[Comments]]),"")</f>
        <v/>
      </c>
      <c r="B346" s="127" t="s">
        <v>1222</v>
      </c>
      <c r="C346" s="99" t="s">
        <v>33</v>
      </c>
      <c r="D346" s="100" t="s">
        <v>251</v>
      </c>
      <c r="E346" s="101"/>
      <c r="F346" s="101"/>
      <c r="G346" s="102" t="str">
        <f>IF(stdProdLT(Main[[#This Row],[Comments]])=0.1,"N/A",IF(stdProdLT(Main[[#This Row],[Comments]])=0,"",stdProdLT(Main[[#This Row],[Comments]])))</f>
        <v/>
      </c>
      <c r="H346" s="103" t="str">
        <f>IF(AND(Main[[#This Row],[In Stock Date]]&lt;&gt;"",Main[[#This Row],[Revised Due Date]]&lt;&gt;""),Main[[#This Row],[In Stock Date]]-Main[[#This Row],[Revised Due Date]],"")</f>
        <v/>
      </c>
      <c r="I346" s="99" t="s">
        <v>4</v>
      </c>
      <c r="J346" s="99" t="s">
        <v>4</v>
      </c>
      <c r="K346" s="99" t="s">
        <v>4</v>
      </c>
      <c r="L346" s="101"/>
      <c r="M346" s="104" t="str">
        <f>IF(Main[[#This Row],[Tech Start Date]]&lt;1/1/1990,"",IF(Main[[#This Row],[Class]]="C",WORKDAY(Main[[#This Row],[Tech Start Date]],9),IF(Main[[#This Row],[Class]]="B", WORKDAY(Main[[#This Row],[Tech Start Date]],6),IF(Main[[#This Row],[Class]]="A",WORKDAY(Main[[#This Row],[Tech Start Date]],2),""))))</f>
        <v/>
      </c>
      <c r="N346" s="104" t="str">
        <f>IF(Main[[#This Row],[Tech Start Date]]&lt;1/1/1990,"",IF(Main[[#This Row],[Class]]="C",WORKDAY(Main[[#This Row],[Tech Start Date]],19),IF(Main[[#This Row],[Class]]="B", WORKDAY(Main[[#This Row],[Tech Start Date]],12),IF(Main[[#This Row],[Class]]="A",WORKDAY(Main[[#This Row],[Tech Start Date]],4),""))))</f>
        <v/>
      </c>
      <c r="O346" s="104" t="str">
        <f>IF(Main[[#This Row],[Tech Start Date]]&lt;1/1/1990,"",IF(Main[[#This Row],[Class]]="C",WORKDAY(Main[[#This Row],[Tech Start Date]],23),IF(Main[[#This Row],[Class]]="B", WORKDAY(Main[[#This Row],[Tech Start Date]],15),IF(Main[[#This Row],[Class]]="A",WORKDAY(Main[[#This Row],[Tech Start Date]],5),""))))</f>
        <v/>
      </c>
      <c r="P346" s="104" t="str">
        <f>IF(Main[[#This Row],[Tech Start Date]]&lt;1/1/1990,"",IF(Main[[#This Row],[Class]]="C",WORKDAY(Main[[#This Row],[Tech Start Date]],28),IF(Main[[#This Row],[Class]]="B", WORKDAY(Main[[#This Row],[Tech Start Date]],19),IF(Main[[#This Row],[Class]]="A",WORKDAY(Main[[#This Row],[Tech Start Date]],9),""))))</f>
        <v/>
      </c>
      <c r="Q346" s="101">
        <v>40269</v>
      </c>
      <c r="R346" s="101"/>
      <c r="S346" s="99" t="s">
        <v>11</v>
      </c>
      <c r="T346" s="107" t="s">
        <v>4</v>
      </c>
      <c r="U346" s="99" t="s">
        <v>14</v>
      </c>
      <c r="V346" s="99" t="s">
        <v>1965</v>
      </c>
      <c r="W346" s="99" t="s">
        <v>1964</v>
      </c>
    </row>
    <row r="347" spans="1:23" ht="18.600000000000001" customHeight="1">
      <c r="A347" s="123" t="str">
        <f>IF(priority(Main[[#This Row],[Comments]])&lt;&gt;0, priority(Main[[#This Row],[Comments]]),"")</f>
        <v/>
      </c>
      <c r="B347" s="127" t="s">
        <v>1223</v>
      </c>
      <c r="C347" s="99" t="s">
        <v>252</v>
      </c>
      <c r="D347" s="100" t="s">
        <v>253</v>
      </c>
      <c r="E347" s="101"/>
      <c r="F347" s="101"/>
      <c r="G347" s="102" t="str">
        <f>IF(stdProdLT(Main[[#This Row],[Comments]])=0.1,"N/A",IF(stdProdLT(Main[[#This Row],[Comments]])=0,"",stdProdLT(Main[[#This Row],[Comments]])))</f>
        <v/>
      </c>
      <c r="H347" s="103" t="str">
        <f>IF(AND(Main[[#This Row],[In Stock Date]]&lt;&gt;"",Main[[#This Row],[Revised Due Date]]&lt;&gt;""),Main[[#This Row],[In Stock Date]]-Main[[#This Row],[Revised Due Date]],"")</f>
        <v/>
      </c>
      <c r="I347" s="99" t="s">
        <v>4</v>
      </c>
      <c r="J347" s="99" t="s">
        <v>28</v>
      </c>
      <c r="K347" s="99" t="s">
        <v>4</v>
      </c>
      <c r="L347" s="101"/>
      <c r="M347" s="104" t="str">
        <f>IF(Main[[#This Row],[Tech Start Date]]&lt;1/1/1990,"",IF(Main[[#This Row],[Class]]="C",WORKDAY(Main[[#This Row],[Tech Start Date]],9),IF(Main[[#This Row],[Class]]="B", WORKDAY(Main[[#This Row],[Tech Start Date]],6),IF(Main[[#This Row],[Class]]="A",WORKDAY(Main[[#This Row],[Tech Start Date]],2),""))))</f>
        <v/>
      </c>
      <c r="N347" s="104" t="str">
        <f>IF(Main[[#This Row],[Tech Start Date]]&lt;1/1/1990,"",IF(Main[[#This Row],[Class]]="C",WORKDAY(Main[[#This Row],[Tech Start Date]],19),IF(Main[[#This Row],[Class]]="B", WORKDAY(Main[[#This Row],[Tech Start Date]],12),IF(Main[[#This Row],[Class]]="A",WORKDAY(Main[[#This Row],[Tech Start Date]],4),""))))</f>
        <v/>
      </c>
      <c r="O347" s="104" t="str">
        <f>IF(Main[[#This Row],[Tech Start Date]]&lt;1/1/1990,"",IF(Main[[#This Row],[Class]]="C",WORKDAY(Main[[#This Row],[Tech Start Date]],23),IF(Main[[#This Row],[Class]]="B", WORKDAY(Main[[#This Row],[Tech Start Date]],15),IF(Main[[#This Row],[Class]]="A",WORKDAY(Main[[#This Row],[Tech Start Date]],5),""))))</f>
        <v/>
      </c>
      <c r="P347" s="104" t="str">
        <f>IF(Main[[#This Row],[Tech Start Date]]&lt;1/1/1990,"",IF(Main[[#This Row],[Class]]="C",WORKDAY(Main[[#This Row],[Tech Start Date]],28),IF(Main[[#This Row],[Class]]="B", WORKDAY(Main[[#This Row],[Tech Start Date]],19),IF(Main[[#This Row],[Class]]="A",WORKDAY(Main[[#This Row],[Tech Start Date]],9),""))))</f>
        <v/>
      </c>
      <c r="Q347" s="101"/>
      <c r="R347" s="101"/>
      <c r="S347" s="99" t="s">
        <v>6</v>
      </c>
      <c r="T347" s="107" t="s">
        <v>4</v>
      </c>
      <c r="U347" s="99" t="s">
        <v>14</v>
      </c>
      <c r="V347" s="99" t="s">
        <v>1962</v>
      </c>
      <c r="W347" s="99" t="s">
        <v>1970</v>
      </c>
    </row>
    <row r="348" spans="1:23" ht="18.600000000000001" customHeight="1">
      <c r="A348" s="123" t="str">
        <f>IF(priority(Main[[#This Row],[Comments]])&lt;&gt;0, priority(Main[[#This Row],[Comments]]),"")</f>
        <v/>
      </c>
      <c r="B348" s="127" t="s">
        <v>1224</v>
      </c>
      <c r="C348" s="99" t="s">
        <v>4</v>
      </c>
      <c r="D348" s="100" t="s">
        <v>254</v>
      </c>
      <c r="E348" s="101"/>
      <c r="F348" s="101"/>
      <c r="G348" s="102" t="str">
        <f>IF(stdProdLT(Main[[#This Row],[Comments]])=0.1,"N/A",IF(stdProdLT(Main[[#This Row],[Comments]])=0,"",stdProdLT(Main[[#This Row],[Comments]])))</f>
        <v/>
      </c>
      <c r="H348" s="103" t="str">
        <f>IF(AND(Main[[#This Row],[In Stock Date]]&lt;&gt;"",Main[[#This Row],[Revised Due Date]]&lt;&gt;""),Main[[#This Row],[In Stock Date]]-Main[[#This Row],[Revised Due Date]],"")</f>
        <v/>
      </c>
      <c r="I348" s="99" t="s">
        <v>4</v>
      </c>
      <c r="J348" s="99" t="s">
        <v>4</v>
      </c>
      <c r="K348" s="108" t="s">
        <v>4</v>
      </c>
      <c r="L348" s="101"/>
      <c r="M348" s="104" t="str">
        <f>IF(Main[[#This Row],[Tech Start Date]]&lt;1/1/1990,"",IF(Main[[#This Row],[Class]]="C",WORKDAY(Main[[#This Row],[Tech Start Date]],9),IF(Main[[#This Row],[Class]]="B", WORKDAY(Main[[#This Row],[Tech Start Date]],6),IF(Main[[#This Row],[Class]]="A",WORKDAY(Main[[#This Row],[Tech Start Date]],2),""))))</f>
        <v/>
      </c>
      <c r="N348" s="104" t="str">
        <f>IF(Main[[#This Row],[Tech Start Date]]&lt;1/1/1990,"",IF(Main[[#This Row],[Class]]="C",WORKDAY(Main[[#This Row],[Tech Start Date]],19),IF(Main[[#This Row],[Class]]="B", WORKDAY(Main[[#This Row],[Tech Start Date]],12),IF(Main[[#This Row],[Class]]="A",WORKDAY(Main[[#This Row],[Tech Start Date]],4),""))))</f>
        <v/>
      </c>
      <c r="O348" s="104" t="str">
        <f>IF(Main[[#This Row],[Tech Start Date]]&lt;1/1/1990,"",IF(Main[[#This Row],[Class]]="C",WORKDAY(Main[[#This Row],[Tech Start Date]],23),IF(Main[[#This Row],[Class]]="B", WORKDAY(Main[[#This Row],[Tech Start Date]],15),IF(Main[[#This Row],[Class]]="A",WORKDAY(Main[[#This Row],[Tech Start Date]],5),""))))</f>
        <v/>
      </c>
      <c r="P348" s="104" t="str">
        <f>IF(Main[[#This Row],[Tech Start Date]]&lt;1/1/1990,"",IF(Main[[#This Row],[Class]]="C",WORKDAY(Main[[#This Row],[Tech Start Date]],28),IF(Main[[#This Row],[Class]]="B", WORKDAY(Main[[#This Row],[Tech Start Date]],19),IF(Main[[#This Row],[Class]]="A",WORKDAY(Main[[#This Row],[Tech Start Date]],9),""))))</f>
        <v/>
      </c>
      <c r="Q348" s="101"/>
      <c r="R348" s="101"/>
      <c r="S348" s="99" t="s">
        <v>6</v>
      </c>
      <c r="T348" s="107" t="s">
        <v>4</v>
      </c>
      <c r="U348" s="99" t="s">
        <v>14</v>
      </c>
      <c r="V348" s="99" t="s">
        <v>1965</v>
      </c>
      <c r="W348" s="99" t="s">
        <v>1966</v>
      </c>
    </row>
    <row r="349" spans="1:23" ht="18.600000000000001" customHeight="1">
      <c r="A349" s="123" t="str">
        <f>IF(priority(Main[[#This Row],[Comments]])&lt;&gt;0, priority(Main[[#This Row],[Comments]]),"")</f>
        <v/>
      </c>
      <c r="B349" s="127" t="s">
        <v>1225</v>
      </c>
      <c r="C349" s="99" t="s">
        <v>113</v>
      </c>
      <c r="D349" s="100" t="s">
        <v>137</v>
      </c>
      <c r="E349" s="101"/>
      <c r="F349" s="101"/>
      <c r="G349" s="102" t="str">
        <f>IF(stdProdLT(Main[[#This Row],[Comments]])=0.1,"N/A",IF(stdProdLT(Main[[#This Row],[Comments]])=0,"",stdProdLT(Main[[#This Row],[Comments]])))</f>
        <v/>
      </c>
      <c r="H349" s="103" t="str">
        <f>IF(AND(Main[[#This Row],[In Stock Date]]&lt;&gt;"",Main[[#This Row],[Revised Due Date]]&lt;&gt;""),Main[[#This Row],[In Stock Date]]-Main[[#This Row],[Revised Due Date]],"")</f>
        <v/>
      </c>
      <c r="I349" s="99" t="s">
        <v>4</v>
      </c>
      <c r="J349" s="99" t="s">
        <v>4</v>
      </c>
      <c r="K349" s="99" t="s">
        <v>4</v>
      </c>
      <c r="L349" s="101"/>
      <c r="M349" s="104" t="str">
        <f>IF(Main[[#This Row],[Tech Start Date]]&lt;1/1/1990,"",IF(Main[[#This Row],[Class]]="C",WORKDAY(Main[[#This Row],[Tech Start Date]],9),IF(Main[[#This Row],[Class]]="B", WORKDAY(Main[[#This Row],[Tech Start Date]],6),IF(Main[[#This Row],[Class]]="A",WORKDAY(Main[[#This Row],[Tech Start Date]],2),""))))</f>
        <v/>
      </c>
      <c r="N349" s="104" t="str">
        <f>IF(Main[[#This Row],[Tech Start Date]]&lt;1/1/1990,"",IF(Main[[#This Row],[Class]]="C",WORKDAY(Main[[#This Row],[Tech Start Date]],19),IF(Main[[#This Row],[Class]]="B", WORKDAY(Main[[#This Row],[Tech Start Date]],12),IF(Main[[#This Row],[Class]]="A",WORKDAY(Main[[#This Row],[Tech Start Date]],4),""))))</f>
        <v/>
      </c>
      <c r="O349" s="104" t="str">
        <f>IF(Main[[#This Row],[Tech Start Date]]&lt;1/1/1990,"",IF(Main[[#This Row],[Class]]="C",WORKDAY(Main[[#This Row],[Tech Start Date]],23),IF(Main[[#This Row],[Class]]="B", WORKDAY(Main[[#This Row],[Tech Start Date]],15),IF(Main[[#This Row],[Class]]="A",WORKDAY(Main[[#This Row],[Tech Start Date]],5),""))))</f>
        <v/>
      </c>
      <c r="P349" s="104" t="str">
        <f>IF(Main[[#This Row],[Tech Start Date]]&lt;1/1/1990,"",IF(Main[[#This Row],[Class]]="C",WORKDAY(Main[[#This Row],[Tech Start Date]],28),IF(Main[[#This Row],[Class]]="B", WORKDAY(Main[[#This Row],[Tech Start Date]],19),IF(Main[[#This Row],[Class]]="A",WORKDAY(Main[[#This Row],[Tech Start Date]],9),""))))</f>
        <v/>
      </c>
      <c r="Q349" s="101">
        <v>40641</v>
      </c>
      <c r="R349" s="101"/>
      <c r="S349" s="99" t="s">
        <v>11</v>
      </c>
      <c r="T349" s="107" t="s">
        <v>4</v>
      </c>
      <c r="U349" s="99" t="s">
        <v>14</v>
      </c>
      <c r="V349" s="99" t="s">
        <v>1962</v>
      </c>
      <c r="W349" s="99" t="s">
        <v>1970</v>
      </c>
    </row>
    <row r="350" spans="1:23" ht="18.600000000000001" customHeight="1">
      <c r="A350" s="123" t="str">
        <f>IF(priority(Main[[#This Row],[Comments]])&lt;&gt;0, priority(Main[[#This Row],[Comments]]),"")</f>
        <v/>
      </c>
      <c r="B350" s="127" t="s">
        <v>1167</v>
      </c>
      <c r="C350" s="99" t="s">
        <v>4</v>
      </c>
      <c r="D350" s="100" t="s">
        <v>189</v>
      </c>
      <c r="E350" s="101">
        <v>40585.675416666665</v>
      </c>
      <c r="F350" s="101">
        <v>40606</v>
      </c>
      <c r="G350" s="102" t="str">
        <f>IF(stdProdLT(Main[[#This Row],[Comments]])=0.1,"N/A",IF(stdProdLT(Main[[#This Row],[Comments]])=0,"",stdProdLT(Main[[#This Row],[Comments]])))</f>
        <v/>
      </c>
      <c r="H350" s="103" t="str">
        <f>IF(AND(Main[[#This Row],[In Stock Date]]&lt;&gt;"",Main[[#This Row],[Revised Due Date]]&lt;&gt;""),Main[[#This Row],[In Stock Date]]-Main[[#This Row],[Revised Due Date]],"")</f>
        <v/>
      </c>
      <c r="I350" s="99" t="s">
        <v>4</v>
      </c>
      <c r="J350" s="99" t="s">
        <v>28</v>
      </c>
      <c r="K350" s="99" t="s">
        <v>1974</v>
      </c>
      <c r="L350" s="101"/>
      <c r="M350" s="104" t="str">
        <f>IF(Main[[#This Row],[Tech Start Date]]&lt;1/1/1990,"",IF(Main[[#This Row],[Class]]="C",WORKDAY(Main[[#This Row],[Tech Start Date]],9),IF(Main[[#This Row],[Class]]="B", WORKDAY(Main[[#This Row],[Tech Start Date]],6),IF(Main[[#This Row],[Class]]="A",WORKDAY(Main[[#This Row],[Tech Start Date]],2),""))))</f>
        <v/>
      </c>
      <c r="N350" s="104" t="str">
        <f>IF(Main[[#This Row],[Tech Start Date]]&lt;1/1/1990,"",IF(Main[[#This Row],[Class]]="C",WORKDAY(Main[[#This Row],[Tech Start Date]],19),IF(Main[[#This Row],[Class]]="B", WORKDAY(Main[[#This Row],[Tech Start Date]],12),IF(Main[[#This Row],[Class]]="A",WORKDAY(Main[[#This Row],[Tech Start Date]],4),""))))</f>
        <v/>
      </c>
      <c r="O350" s="104" t="str">
        <f>IF(Main[[#This Row],[Tech Start Date]]&lt;1/1/1990,"",IF(Main[[#This Row],[Class]]="C",WORKDAY(Main[[#This Row],[Tech Start Date]],23),IF(Main[[#This Row],[Class]]="B", WORKDAY(Main[[#This Row],[Tech Start Date]],15),IF(Main[[#This Row],[Class]]="A",WORKDAY(Main[[#This Row],[Tech Start Date]],5),""))))</f>
        <v/>
      </c>
      <c r="P350" s="104" t="str">
        <f>IF(Main[[#This Row],[Tech Start Date]]&lt;1/1/1990,"",IF(Main[[#This Row],[Class]]="C",WORKDAY(Main[[#This Row],[Tech Start Date]],28),IF(Main[[#This Row],[Class]]="B", WORKDAY(Main[[#This Row],[Tech Start Date]],19),IF(Main[[#This Row],[Class]]="A",WORKDAY(Main[[#This Row],[Tech Start Date]],9),""))))</f>
        <v/>
      </c>
      <c r="Q350" s="101">
        <v>40606</v>
      </c>
      <c r="R350" s="101"/>
      <c r="S350" s="99" t="s">
        <v>17</v>
      </c>
      <c r="T350" s="107" t="s">
        <v>4</v>
      </c>
      <c r="U350" s="99" t="s">
        <v>7</v>
      </c>
      <c r="V350" s="99" t="s">
        <v>1962</v>
      </c>
      <c r="W350" s="99" t="s">
        <v>1970</v>
      </c>
    </row>
    <row r="351" spans="1:23" ht="18.600000000000001" customHeight="1">
      <c r="A351" s="123" t="str">
        <f>IF(priority(Main[[#This Row],[Comments]])&lt;&gt;0, priority(Main[[#This Row],[Comments]]),"")</f>
        <v/>
      </c>
      <c r="B351" s="127" t="s">
        <v>1226</v>
      </c>
      <c r="C351" s="99" t="s">
        <v>4</v>
      </c>
      <c r="D351" s="100" t="s">
        <v>2459</v>
      </c>
      <c r="E351" s="101">
        <v>40620.555636574078</v>
      </c>
      <c r="F351" s="101"/>
      <c r="G351" s="102" t="str">
        <f>IF(stdProdLT(Main[[#This Row],[Comments]])=0.1,"N/A",IF(stdProdLT(Main[[#This Row],[Comments]])=0,"",stdProdLT(Main[[#This Row],[Comments]])))</f>
        <v/>
      </c>
      <c r="H351" s="103" t="str">
        <f>IF(AND(Main[[#This Row],[In Stock Date]]&lt;&gt;"",Main[[#This Row],[Revised Due Date]]&lt;&gt;""),Main[[#This Row],[In Stock Date]]-Main[[#This Row],[Revised Due Date]],"")</f>
        <v/>
      </c>
      <c r="I351" s="99" t="s">
        <v>30</v>
      </c>
      <c r="J351" s="99" t="s">
        <v>75</v>
      </c>
      <c r="K351" s="99" t="s">
        <v>1971</v>
      </c>
      <c r="L351" s="101"/>
      <c r="M351" s="104" t="str">
        <f>IF(Main[[#This Row],[Tech Start Date]]&lt;1/1/1990,"",IF(Main[[#This Row],[Class]]="C",WORKDAY(Main[[#This Row],[Tech Start Date]],9),IF(Main[[#This Row],[Class]]="B", WORKDAY(Main[[#This Row],[Tech Start Date]],6),IF(Main[[#This Row],[Class]]="A",WORKDAY(Main[[#This Row],[Tech Start Date]],2),""))))</f>
        <v/>
      </c>
      <c r="N351" s="104" t="str">
        <f>IF(Main[[#This Row],[Tech Start Date]]&lt;1/1/1990,"",IF(Main[[#This Row],[Class]]="C",WORKDAY(Main[[#This Row],[Tech Start Date]],19),IF(Main[[#This Row],[Class]]="B", WORKDAY(Main[[#This Row],[Tech Start Date]],12),IF(Main[[#This Row],[Class]]="A",WORKDAY(Main[[#This Row],[Tech Start Date]],4),""))))</f>
        <v/>
      </c>
      <c r="O351" s="104" t="str">
        <f>IF(Main[[#This Row],[Tech Start Date]]&lt;1/1/1990,"",IF(Main[[#This Row],[Class]]="C",WORKDAY(Main[[#This Row],[Tech Start Date]],23),IF(Main[[#This Row],[Class]]="B", WORKDAY(Main[[#This Row],[Tech Start Date]],15),IF(Main[[#This Row],[Class]]="A",WORKDAY(Main[[#This Row],[Tech Start Date]],5),""))))</f>
        <v/>
      </c>
      <c r="P351" s="104" t="str">
        <f>IF(Main[[#This Row],[Tech Start Date]]&lt;1/1/1990,"",IF(Main[[#This Row],[Class]]="C",WORKDAY(Main[[#This Row],[Tech Start Date]],28),IF(Main[[#This Row],[Class]]="B", WORKDAY(Main[[#This Row],[Tech Start Date]],19),IF(Main[[#This Row],[Class]]="A",WORKDAY(Main[[#This Row],[Tech Start Date]],9),""))))</f>
        <v/>
      </c>
      <c r="Q351" s="101">
        <v>40662</v>
      </c>
      <c r="R351" s="101"/>
      <c r="S351" s="99" t="s">
        <v>6</v>
      </c>
      <c r="T351" s="107" t="s">
        <v>4</v>
      </c>
      <c r="U351" s="99" t="s">
        <v>29</v>
      </c>
      <c r="V351" s="99" t="s">
        <v>1965</v>
      </c>
      <c r="W351" s="99" t="s">
        <v>1966</v>
      </c>
    </row>
    <row r="352" spans="1:23" ht="18.600000000000001" customHeight="1">
      <c r="A352" s="123" t="str">
        <f>IF(priority(Main[[#This Row],[Comments]])&lt;&gt;0, priority(Main[[#This Row],[Comments]]),"")</f>
        <v/>
      </c>
      <c r="B352" s="127" t="s">
        <v>1238</v>
      </c>
      <c r="C352" s="99" t="s">
        <v>4</v>
      </c>
      <c r="D352" s="100" t="s">
        <v>266</v>
      </c>
      <c r="E352" s="101"/>
      <c r="F352" s="101"/>
      <c r="G352" s="102" t="str">
        <f>IF(stdProdLT(Main[[#This Row],[Comments]])=0.1,"N/A",IF(stdProdLT(Main[[#This Row],[Comments]])=0,"",stdProdLT(Main[[#This Row],[Comments]])))</f>
        <v/>
      </c>
      <c r="H352" s="103" t="str">
        <f>IF(AND(Main[[#This Row],[In Stock Date]]&lt;&gt;"",Main[[#This Row],[Revised Due Date]]&lt;&gt;""),Main[[#This Row],[In Stock Date]]-Main[[#This Row],[Revised Due Date]],"")</f>
        <v/>
      </c>
      <c r="I352" s="99" t="s">
        <v>4</v>
      </c>
      <c r="J352" s="99" t="s">
        <v>4</v>
      </c>
      <c r="K352" s="99" t="s">
        <v>4</v>
      </c>
      <c r="L352" s="101"/>
      <c r="M352" s="104" t="str">
        <f>IF(Main[[#This Row],[Tech Start Date]]&lt;1/1/1990,"",IF(Main[[#This Row],[Class]]="C",WORKDAY(Main[[#This Row],[Tech Start Date]],9),IF(Main[[#This Row],[Class]]="B", WORKDAY(Main[[#This Row],[Tech Start Date]],6),IF(Main[[#This Row],[Class]]="A",WORKDAY(Main[[#This Row],[Tech Start Date]],2),""))))</f>
        <v/>
      </c>
      <c r="N352" s="104" t="str">
        <f>IF(Main[[#This Row],[Tech Start Date]]&lt;1/1/1990,"",IF(Main[[#This Row],[Class]]="C",WORKDAY(Main[[#This Row],[Tech Start Date]],19),IF(Main[[#This Row],[Class]]="B", WORKDAY(Main[[#This Row],[Tech Start Date]],12),IF(Main[[#This Row],[Class]]="A",WORKDAY(Main[[#This Row],[Tech Start Date]],4),""))))</f>
        <v/>
      </c>
      <c r="O352" s="104" t="str">
        <f>IF(Main[[#This Row],[Tech Start Date]]&lt;1/1/1990,"",IF(Main[[#This Row],[Class]]="C",WORKDAY(Main[[#This Row],[Tech Start Date]],23),IF(Main[[#This Row],[Class]]="B", WORKDAY(Main[[#This Row],[Tech Start Date]],15),IF(Main[[#This Row],[Class]]="A",WORKDAY(Main[[#This Row],[Tech Start Date]],5),""))))</f>
        <v/>
      </c>
      <c r="P352" s="104" t="str">
        <f>IF(Main[[#This Row],[Tech Start Date]]&lt;1/1/1990,"",IF(Main[[#This Row],[Class]]="C",WORKDAY(Main[[#This Row],[Tech Start Date]],28),IF(Main[[#This Row],[Class]]="B", WORKDAY(Main[[#This Row],[Tech Start Date]],19),IF(Main[[#This Row],[Class]]="A",WORKDAY(Main[[#This Row],[Tech Start Date]],9),""))))</f>
        <v/>
      </c>
      <c r="Q352" s="101">
        <v>40313</v>
      </c>
      <c r="R352" s="101"/>
      <c r="S352" s="99" t="s">
        <v>11</v>
      </c>
      <c r="T352" s="107" t="s">
        <v>4</v>
      </c>
      <c r="U352" s="99" t="s">
        <v>14</v>
      </c>
      <c r="V352" s="99" t="s">
        <v>1962</v>
      </c>
      <c r="W352" s="99" t="s">
        <v>1970</v>
      </c>
    </row>
    <row r="353" spans="1:23" ht="18.600000000000001" customHeight="1">
      <c r="A353" s="123" t="str">
        <f>IF(priority(Main[[#This Row],[Comments]])&lt;&gt;0, priority(Main[[#This Row],[Comments]]),"")</f>
        <v/>
      </c>
      <c r="B353" s="127" t="s">
        <v>1239</v>
      </c>
      <c r="C353" s="99" t="s">
        <v>4</v>
      </c>
      <c r="D353" s="100" t="s">
        <v>267</v>
      </c>
      <c r="E353" s="101"/>
      <c r="F353" s="101"/>
      <c r="G353" s="102" t="str">
        <f>IF(stdProdLT(Main[[#This Row],[Comments]])=0.1,"N/A",IF(stdProdLT(Main[[#This Row],[Comments]])=0,"",stdProdLT(Main[[#This Row],[Comments]])))</f>
        <v/>
      </c>
      <c r="H353" s="103" t="str">
        <f>IF(AND(Main[[#This Row],[In Stock Date]]&lt;&gt;"",Main[[#This Row],[Revised Due Date]]&lt;&gt;""),Main[[#This Row],[In Stock Date]]-Main[[#This Row],[Revised Due Date]],"")</f>
        <v/>
      </c>
      <c r="I353" s="99" t="s">
        <v>4</v>
      </c>
      <c r="J353" s="99" t="s">
        <v>4</v>
      </c>
      <c r="K353" s="108" t="s">
        <v>4</v>
      </c>
      <c r="L353" s="101"/>
      <c r="M353" s="104" t="str">
        <f>IF(Main[[#This Row],[Tech Start Date]]&lt;1/1/1990,"",IF(Main[[#This Row],[Class]]="C",WORKDAY(Main[[#This Row],[Tech Start Date]],9),IF(Main[[#This Row],[Class]]="B", WORKDAY(Main[[#This Row],[Tech Start Date]],6),IF(Main[[#This Row],[Class]]="A",WORKDAY(Main[[#This Row],[Tech Start Date]],2),""))))</f>
        <v/>
      </c>
      <c r="N353" s="104" t="str">
        <f>IF(Main[[#This Row],[Tech Start Date]]&lt;1/1/1990,"",IF(Main[[#This Row],[Class]]="C",WORKDAY(Main[[#This Row],[Tech Start Date]],19),IF(Main[[#This Row],[Class]]="B", WORKDAY(Main[[#This Row],[Tech Start Date]],12),IF(Main[[#This Row],[Class]]="A",WORKDAY(Main[[#This Row],[Tech Start Date]],4),""))))</f>
        <v/>
      </c>
      <c r="O353" s="104" t="str">
        <f>IF(Main[[#This Row],[Tech Start Date]]&lt;1/1/1990,"",IF(Main[[#This Row],[Class]]="C",WORKDAY(Main[[#This Row],[Tech Start Date]],23),IF(Main[[#This Row],[Class]]="B", WORKDAY(Main[[#This Row],[Tech Start Date]],15),IF(Main[[#This Row],[Class]]="A",WORKDAY(Main[[#This Row],[Tech Start Date]],5),""))))</f>
        <v/>
      </c>
      <c r="P353" s="104" t="str">
        <f>IF(Main[[#This Row],[Tech Start Date]]&lt;1/1/1990,"",IF(Main[[#This Row],[Class]]="C",WORKDAY(Main[[#This Row],[Tech Start Date]],28),IF(Main[[#This Row],[Class]]="B", WORKDAY(Main[[#This Row],[Tech Start Date]],19),IF(Main[[#This Row],[Class]]="A",WORKDAY(Main[[#This Row],[Tech Start Date]],9),""))))</f>
        <v/>
      </c>
      <c r="Q353" s="101"/>
      <c r="R353" s="101"/>
      <c r="S353" s="99" t="s">
        <v>11</v>
      </c>
      <c r="T353" s="107" t="s">
        <v>4</v>
      </c>
      <c r="U353" s="99" t="s">
        <v>12</v>
      </c>
      <c r="V353" s="99" t="s">
        <v>1963</v>
      </c>
      <c r="W353" s="99" t="s">
        <v>1966</v>
      </c>
    </row>
    <row r="354" spans="1:23" ht="18.600000000000001" customHeight="1">
      <c r="A354" s="123" t="str">
        <f>IF(priority(Main[[#This Row],[Comments]])&lt;&gt;0, priority(Main[[#This Row],[Comments]]),"")</f>
        <v/>
      </c>
      <c r="B354" s="127" t="s">
        <v>2024</v>
      </c>
      <c r="C354" s="99" t="s">
        <v>4</v>
      </c>
      <c r="D354" s="100" t="s">
        <v>2025</v>
      </c>
      <c r="E354" s="101">
        <v>40732.708599537036</v>
      </c>
      <c r="F354" s="101"/>
      <c r="G354" s="102" t="str">
        <f>IF(stdProdLT(Main[[#This Row],[Comments]])=0.1,"N/A",IF(stdProdLT(Main[[#This Row],[Comments]])=0,"",stdProdLT(Main[[#This Row],[Comments]])))</f>
        <v/>
      </c>
      <c r="H354" s="103" t="str">
        <f>IF(AND(Main[[#This Row],[In Stock Date]]&lt;&gt;"",Main[[#This Row],[Revised Due Date]]&lt;&gt;""),Main[[#This Row],[In Stock Date]]-Main[[#This Row],[Revised Due Date]],"")</f>
        <v/>
      </c>
      <c r="I354" s="99" t="s">
        <v>4</v>
      </c>
      <c r="J354" s="99" t="s">
        <v>4</v>
      </c>
      <c r="K354" s="99" t="s">
        <v>4</v>
      </c>
      <c r="L354" s="101"/>
      <c r="M354" s="104" t="str">
        <f>IF(Main[[#This Row],[Tech Start Date]]&lt;1/1/1990,"",IF(Main[[#This Row],[Class]]="C",WORKDAY(Main[[#This Row],[Tech Start Date]],9),IF(Main[[#This Row],[Class]]="B", WORKDAY(Main[[#This Row],[Tech Start Date]],6),IF(Main[[#This Row],[Class]]="A",WORKDAY(Main[[#This Row],[Tech Start Date]],2),""))))</f>
        <v/>
      </c>
      <c r="N354" s="104" t="str">
        <f>IF(Main[[#This Row],[Tech Start Date]]&lt;1/1/1990,"",IF(Main[[#This Row],[Class]]="C",WORKDAY(Main[[#This Row],[Tech Start Date]],19),IF(Main[[#This Row],[Class]]="B", WORKDAY(Main[[#This Row],[Tech Start Date]],12),IF(Main[[#This Row],[Class]]="A",WORKDAY(Main[[#This Row],[Tech Start Date]],4),""))))</f>
        <v/>
      </c>
      <c r="O354" s="104" t="str">
        <f>IF(Main[[#This Row],[Tech Start Date]]&lt;1/1/1990,"",IF(Main[[#This Row],[Class]]="C",WORKDAY(Main[[#This Row],[Tech Start Date]],23),IF(Main[[#This Row],[Class]]="B", WORKDAY(Main[[#This Row],[Tech Start Date]],15),IF(Main[[#This Row],[Class]]="A",WORKDAY(Main[[#This Row],[Tech Start Date]],5),""))))</f>
        <v/>
      </c>
      <c r="P354" s="104" t="str">
        <f>IF(Main[[#This Row],[Tech Start Date]]&lt;1/1/1990,"",IF(Main[[#This Row],[Class]]="C",WORKDAY(Main[[#This Row],[Tech Start Date]],28),IF(Main[[#This Row],[Class]]="B", WORKDAY(Main[[#This Row],[Tech Start Date]],19),IF(Main[[#This Row],[Class]]="A",WORKDAY(Main[[#This Row],[Tech Start Date]],9),""))))</f>
        <v/>
      </c>
      <c r="Q354" s="101">
        <v>40908</v>
      </c>
      <c r="R354" s="101"/>
      <c r="S354" s="99" t="s">
        <v>17</v>
      </c>
      <c r="T354" s="107" t="s">
        <v>4</v>
      </c>
      <c r="U354" s="99" t="s">
        <v>7</v>
      </c>
      <c r="V354" s="99" t="s">
        <v>1965</v>
      </c>
      <c r="W354" s="99" t="s">
        <v>1976</v>
      </c>
    </row>
    <row r="355" spans="1:23" ht="18.600000000000001" customHeight="1">
      <c r="A355" s="123" t="str">
        <f>IF(priority(Main[[#This Row],[Comments]])&lt;&gt;0, priority(Main[[#This Row],[Comments]]),"")</f>
        <v/>
      </c>
      <c r="B355" s="127" t="s">
        <v>1241</v>
      </c>
      <c r="C355" s="99" t="s">
        <v>4</v>
      </c>
      <c r="D355" s="100" t="s">
        <v>269</v>
      </c>
      <c r="E355" s="101">
        <v>40609.588946759257</v>
      </c>
      <c r="F355" s="101"/>
      <c r="G355" s="102" t="str">
        <f>IF(stdProdLT(Main[[#This Row],[Comments]])=0.1,"N/A",IF(stdProdLT(Main[[#This Row],[Comments]])=0,"",stdProdLT(Main[[#This Row],[Comments]])))</f>
        <v/>
      </c>
      <c r="H355" s="103" t="str">
        <f>IF(AND(Main[[#This Row],[In Stock Date]]&lt;&gt;"",Main[[#This Row],[Revised Due Date]]&lt;&gt;""),Main[[#This Row],[In Stock Date]]-Main[[#This Row],[Revised Due Date]],"")</f>
        <v/>
      </c>
      <c r="I355" s="99" t="s">
        <v>4</v>
      </c>
      <c r="J355" s="99" t="s">
        <v>28</v>
      </c>
      <c r="K355" s="99" t="s">
        <v>1971</v>
      </c>
      <c r="L355" s="101"/>
      <c r="M355" s="104" t="str">
        <f>IF(Main[[#This Row],[Tech Start Date]]&lt;1/1/1990,"",IF(Main[[#This Row],[Class]]="C",WORKDAY(Main[[#This Row],[Tech Start Date]],9),IF(Main[[#This Row],[Class]]="B", WORKDAY(Main[[#This Row],[Tech Start Date]],6),IF(Main[[#This Row],[Class]]="A",WORKDAY(Main[[#This Row],[Tech Start Date]],2),""))))</f>
        <v/>
      </c>
      <c r="N355" s="104" t="str">
        <f>IF(Main[[#This Row],[Tech Start Date]]&lt;1/1/1990,"",IF(Main[[#This Row],[Class]]="C",WORKDAY(Main[[#This Row],[Tech Start Date]],19),IF(Main[[#This Row],[Class]]="B", WORKDAY(Main[[#This Row],[Tech Start Date]],12),IF(Main[[#This Row],[Class]]="A",WORKDAY(Main[[#This Row],[Tech Start Date]],4),""))))</f>
        <v/>
      </c>
      <c r="O355" s="104" t="str">
        <f>IF(Main[[#This Row],[Tech Start Date]]&lt;1/1/1990,"",IF(Main[[#This Row],[Class]]="C",WORKDAY(Main[[#This Row],[Tech Start Date]],23),IF(Main[[#This Row],[Class]]="B", WORKDAY(Main[[#This Row],[Tech Start Date]],15),IF(Main[[#This Row],[Class]]="A",WORKDAY(Main[[#This Row],[Tech Start Date]],5),""))))</f>
        <v/>
      </c>
      <c r="P355" s="104" t="str">
        <f>IF(Main[[#This Row],[Tech Start Date]]&lt;1/1/1990,"",IF(Main[[#This Row],[Class]]="C",WORKDAY(Main[[#This Row],[Tech Start Date]],28),IF(Main[[#This Row],[Class]]="B", WORKDAY(Main[[#This Row],[Tech Start Date]],19),IF(Main[[#This Row],[Class]]="A",WORKDAY(Main[[#This Row],[Tech Start Date]],9),""))))</f>
        <v/>
      </c>
      <c r="Q355" s="101">
        <v>40640</v>
      </c>
      <c r="R355" s="101"/>
      <c r="S355" s="99" t="s">
        <v>6</v>
      </c>
      <c r="T355" s="107" t="s">
        <v>4</v>
      </c>
      <c r="U355" s="99" t="s">
        <v>7</v>
      </c>
      <c r="V355" s="99" t="s">
        <v>1962</v>
      </c>
      <c r="W355" s="99" t="s">
        <v>1964</v>
      </c>
    </row>
    <row r="356" spans="1:23" ht="18.600000000000001" customHeight="1">
      <c r="A356" s="123" t="str">
        <f>IF(priority(Main[[#This Row],[Comments]])&lt;&gt;0, priority(Main[[#This Row],[Comments]]),"")</f>
        <v/>
      </c>
      <c r="B356" s="127" t="s">
        <v>1242</v>
      </c>
      <c r="C356" s="99" t="s">
        <v>270</v>
      </c>
      <c r="D356" s="100" t="s">
        <v>271</v>
      </c>
      <c r="E356" s="101"/>
      <c r="F356" s="101"/>
      <c r="G356" s="102" t="str">
        <f>IF(stdProdLT(Main[[#This Row],[Comments]])=0.1,"N/A",IF(stdProdLT(Main[[#This Row],[Comments]])=0,"",stdProdLT(Main[[#This Row],[Comments]])))</f>
        <v/>
      </c>
      <c r="H356" s="103" t="str">
        <f>IF(AND(Main[[#This Row],[In Stock Date]]&lt;&gt;"",Main[[#This Row],[Revised Due Date]]&lt;&gt;""),Main[[#This Row],[In Stock Date]]-Main[[#This Row],[Revised Due Date]],"")</f>
        <v/>
      </c>
      <c r="I356" s="99" t="s">
        <v>4</v>
      </c>
      <c r="J356" s="99" t="s">
        <v>4</v>
      </c>
      <c r="K356" s="99" t="s">
        <v>4</v>
      </c>
      <c r="L356" s="101"/>
      <c r="M356" s="104" t="str">
        <f>IF(Main[[#This Row],[Tech Start Date]]&lt;1/1/1990,"",IF(Main[[#This Row],[Class]]="C",WORKDAY(Main[[#This Row],[Tech Start Date]],9),IF(Main[[#This Row],[Class]]="B", WORKDAY(Main[[#This Row],[Tech Start Date]],6),IF(Main[[#This Row],[Class]]="A",WORKDAY(Main[[#This Row],[Tech Start Date]],2),""))))</f>
        <v/>
      </c>
      <c r="N356" s="104" t="str">
        <f>IF(Main[[#This Row],[Tech Start Date]]&lt;1/1/1990,"",IF(Main[[#This Row],[Class]]="C",WORKDAY(Main[[#This Row],[Tech Start Date]],19),IF(Main[[#This Row],[Class]]="B", WORKDAY(Main[[#This Row],[Tech Start Date]],12),IF(Main[[#This Row],[Class]]="A",WORKDAY(Main[[#This Row],[Tech Start Date]],4),""))))</f>
        <v/>
      </c>
      <c r="O356" s="104" t="str">
        <f>IF(Main[[#This Row],[Tech Start Date]]&lt;1/1/1990,"",IF(Main[[#This Row],[Class]]="C",WORKDAY(Main[[#This Row],[Tech Start Date]],23),IF(Main[[#This Row],[Class]]="B", WORKDAY(Main[[#This Row],[Tech Start Date]],15),IF(Main[[#This Row],[Class]]="A",WORKDAY(Main[[#This Row],[Tech Start Date]],5),""))))</f>
        <v/>
      </c>
      <c r="P356" s="104" t="str">
        <f>IF(Main[[#This Row],[Tech Start Date]]&lt;1/1/1990,"",IF(Main[[#This Row],[Class]]="C",WORKDAY(Main[[#This Row],[Tech Start Date]],28),IF(Main[[#This Row],[Class]]="B", WORKDAY(Main[[#This Row],[Tech Start Date]],19),IF(Main[[#This Row],[Class]]="A",WORKDAY(Main[[#This Row],[Tech Start Date]],9),""))))</f>
        <v/>
      </c>
      <c r="Q356" s="101">
        <v>40497</v>
      </c>
      <c r="R356" s="101"/>
      <c r="S356" s="99" t="s">
        <v>11</v>
      </c>
      <c r="T356" s="107" t="s">
        <v>4</v>
      </c>
      <c r="U356" s="99" t="s">
        <v>12</v>
      </c>
      <c r="V356" s="99" t="s">
        <v>1962</v>
      </c>
      <c r="W356" s="99" t="s">
        <v>1964</v>
      </c>
    </row>
    <row r="357" spans="1:23" ht="18.600000000000001" customHeight="1">
      <c r="A357" s="123" t="str">
        <f>IF(priority(Main[[#This Row],[Comments]])&lt;&gt;0, priority(Main[[#This Row],[Comments]]),"")</f>
        <v/>
      </c>
      <c r="B357" s="127" t="s">
        <v>1244</v>
      </c>
      <c r="C357" s="99" t="s">
        <v>273</v>
      </c>
      <c r="D357" s="100" t="s">
        <v>274</v>
      </c>
      <c r="E357" s="101"/>
      <c r="F357" s="101">
        <v>40399</v>
      </c>
      <c r="G357" s="102" t="str">
        <f>IF(stdProdLT(Main[[#This Row],[Comments]])=0.1,"N/A",IF(stdProdLT(Main[[#This Row],[Comments]])=0,"",stdProdLT(Main[[#This Row],[Comments]])))</f>
        <v/>
      </c>
      <c r="H357" s="103" t="str">
        <f>IF(AND(Main[[#This Row],[In Stock Date]]&lt;&gt;"",Main[[#This Row],[Revised Due Date]]&lt;&gt;""),Main[[#This Row],[In Stock Date]]-Main[[#This Row],[Revised Due Date]],"")</f>
        <v/>
      </c>
      <c r="I357" s="99" t="s">
        <v>129</v>
      </c>
      <c r="J357" s="99" t="s">
        <v>4</v>
      </c>
      <c r="K357" s="99" t="s">
        <v>4</v>
      </c>
      <c r="L357" s="101"/>
      <c r="M357" s="104" t="str">
        <f>IF(Main[[#This Row],[Tech Start Date]]&lt;1/1/1990,"",IF(Main[[#This Row],[Class]]="C",WORKDAY(Main[[#This Row],[Tech Start Date]],9),IF(Main[[#This Row],[Class]]="B", WORKDAY(Main[[#This Row],[Tech Start Date]],6),IF(Main[[#This Row],[Class]]="A",WORKDAY(Main[[#This Row],[Tech Start Date]],2),""))))</f>
        <v/>
      </c>
      <c r="N357" s="104" t="str">
        <f>IF(Main[[#This Row],[Tech Start Date]]&lt;1/1/1990,"",IF(Main[[#This Row],[Class]]="C",WORKDAY(Main[[#This Row],[Tech Start Date]],19),IF(Main[[#This Row],[Class]]="B", WORKDAY(Main[[#This Row],[Tech Start Date]],12),IF(Main[[#This Row],[Class]]="A",WORKDAY(Main[[#This Row],[Tech Start Date]],4),""))))</f>
        <v/>
      </c>
      <c r="O357" s="104" t="str">
        <f>IF(Main[[#This Row],[Tech Start Date]]&lt;1/1/1990,"",IF(Main[[#This Row],[Class]]="C",WORKDAY(Main[[#This Row],[Tech Start Date]],23),IF(Main[[#This Row],[Class]]="B", WORKDAY(Main[[#This Row],[Tech Start Date]],15),IF(Main[[#This Row],[Class]]="A",WORKDAY(Main[[#This Row],[Tech Start Date]],5),""))))</f>
        <v/>
      </c>
      <c r="P357" s="104" t="str">
        <f>IF(Main[[#This Row],[Tech Start Date]]&lt;1/1/1990,"",IF(Main[[#This Row],[Class]]="C",WORKDAY(Main[[#This Row],[Tech Start Date]],28),IF(Main[[#This Row],[Class]]="B", WORKDAY(Main[[#This Row],[Tech Start Date]],19),IF(Main[[#This Row],[Class]]="A",WORKDAY(Main[[#This Row],[Tech Start Date]],9),""))))</f>
        <v/>
      </c>
      <c r="Q357" s="101">
        <v>40344</v>
      </c>
      <c r="R357" s="101"/>
      <c r="S357" s="99" t="s">
        <v>11</v>
      </c>
      <c r="T357" s="107" t="s">
        <v>4</v>
      </c>
      <c r="U357" s="99" t="s">
        <v>14</v>
      </c>
      <c r="V357" s="99" t="s">
        <v>1962</v>
      </c>
      <c r="W357" s="99" t="s">
        <v>1967</v>
      </c>
    </row>
    <row r="358" spans="1:23" ht="18.600000000000001" customHeight="1">
      <c r="A358" s="123" t="str">
        <f>IF(priority(Main[[#This Row],[Comments]])&lt;&gt;0, priority(Main[[#This Row],[Comments]]),"")</f>
        <v/>
      </c>
      <c r="B358" s="127" t="s">
        <v>1421</v>
      </c>
      <c r="C358" s="99" t="s">
        <v>4</v>
      </c>
      <c r="D358" s="100" t="s">
        <v>2462</v>
      </c>
      <c r="E358" s="101">
        <v>40407.653564814813</v>
      </c>
      <c r="F358" s="101"/>
      <c r="G358" s="102" t="str">
        <f>IF(stdProdLT(Main[[#This Row],[Comments]])=0.1,"N/A",IF(stdProdLT(Main[[#This Row],[Comments]])=0,"",stdProdLT(Main[[#This Row],[Comments]])))</f>
        <v/>
      </c>
      <c r="H358" s="103" t="str">
        <f>IF(AND(Main[[#This Row],[In Stock Date]]&lt;&gt;"",Main[[#This Row],[Revised Due Date]]&lt;&gt;""),Main[[#This Row],[In Stock Date]]-Main[[#This Row],[Revised Due Date]],"")</f>
        <v/>
      </c>
      <c r="I358" s="99" t="s">
        <v>4</v>
      </c>
      <c r="J358" s="99" t="s">
        <v>28</v>
      </c>
      <c r="K358" s="99" t="s">
        <v>4</v>
      </c>
      <c r="L358" s="101"/>
      <c r="M358" s="104" t="str">
        <f>IF(Main[[#This Row],[Tech Start Date]]&lt;1/1/1990,"",IF(Main[[#This Row],[Class]]="C",WORKDAY(Main[[#This Row],[Tech Start Date]],9),IF(Main[[#This Row],[Class]]="B", WORKDAY(Main[[#This Row],[Tech Start Date]],6),IF(Main[[#This Row],[Class]]="A",WORKDAY(Main[[#This Row],[Tech Start Date]],2),""))))</f>
        <v/>
      </c>
      <c r="N358" s="104" t="str">
        <f>IF(Main[[#This Row],[Tech Start Date]]&lt;1/1/1990,"",IF(Main[[#This Row],[Class]]="C",WORKDAY(Main[[#This Row],[Tech Start Date]],19),IF(Main[[#This Row],[Class]]="B", WORKDAY(Main[[#This Row],[Tech Start Date]],12),IF(Main[[#This Row],[Class]]="A",WORKDAY(Main[[#This Row],[Tech Start Date]],4),""))))</f>
        <v/>
      </c>
      <c r="O358" s="104" t="str">
        <f>IF(Main[[#This Row],[Tech Start Date]]&lt;1/1/1990,"",IF(Main[[#This Row],[Class]]="C",WORKDAY(Main[[#This Row],[Tech Start Date]],23),IF(Main[[#This Row],[Class]]="B", WORKDAY(Main[[#This Row],[Tech Start Date]],15),IF(Main[[#This Row],[Class]]="A",WORKDAY(Main[[#This Row],[Tech Start Date]],5),""))))</f>
        <v/>
      </c>
      <c r="P358" s="104" t="str">
        <f>IF(Main[[#This Row],[Tech Start Date]]&lt;1/1/1990,"",IF(Main[[#This Row],[Class]]="C",WORKDAY(Main[[#This Row],[Tech Start Date]],28),IF(Main[[#This Row],[Class]]="B", WORKDAY(Main[[#This Row],[Tech Start Date]],19),IF(Main[[#This Row],[Class]]="A",WORKDAY(Main[[#This Row],[Tech Start Date]],9),""))))</f>
        <v/>
      </c>
      <c r="Q358" s="101"/>
      <c r="R358" s="101"/>
      <c r="S358" s="99" t="s">
        <v>6</v>
      </c>
      <c r="T358" s="107" t="s">
        <v>4</v>
      </c>
      <c r="U358" s="99" t="s">
        <v>7</v>
      </c>
      <c r="V358" s="99" t="s">
        <v>1962</v>
      </c>
      <c r="W358" s="99" t="s">
        <v>1964</v>
      </c>
    </row>
    <row r="359" spans="1:23" ht="18.600000000000001" customHeight="1">
      <c r="A359" s="123" t="str">
        <f>IF(priority(Main[[#This Row],[Comments]])&lt;&gt;0, priority(Main[[#This Row],[Comments]]),"")</f>
        <v/>
      </c>
      <c r="B359" s="127" t="s">
        <v>1245</v>
      </c>
      <c r="C359" s="99" t="s">
        <v>183</v>
      </c>
      <c r="D359" s="100" t="s">
        <v>275</v>
      </c>
      <c r="E359" s="101"/>
      <c r="F359" s="101">
        <v>40389</v>
      </c>
      <c r="G359" s="102" t="str">
        <f>IF(stdProdLT(Main[[#This Row],[Comments]])=0.1,"N/A",IF(stdProdLT(Main[[#This Row],[Comments]])=0,"",stdProdLT(Main[[#This Row],[Comments]])))</f>
        <v/>
      </c>
      <c r="H359" s="103" t="str">
        <f>IF(AND(Main[[#This Row],[In Stock Date]]&lt;&gt;"",Main[[#This Row],[Revised Due Date]]&lt;&gt;""),Main[[#This Row],[In Stock Date]]-Main[[#This Row],[Revised Due Date]],"")</f>
        <v/>
      </c>
      <c r="I359" s="99" t="s">
        <v>4</v>
      </c>
      <c r="J359" s="99" t="s">
        <v>4</v>
      </c>
      <c r="K359" s="99" t="s">
        <v>4</v>
      </c>
      <c r="L359" s="101"/>
      <c r="M359" s="104" t="str">
        <f>IF(Main[[#This Row],[Tech Start Date]]&lt;1/1/1990,"",IF(Main[[#This Row],[Class]]="C",WORKDAY(Main[[#This Row],[Tech Start Date]],9),IF(Main[[#This Row],[Class]]="B", WORKDAY(Main[[#This Row],[Tech Start Date]],6),IF(Main[[#This Row],[Class]]="A",WORKDAY(Main[[#This Row],[Tech Start Date]],2),""))))</f>
        <v/>
      </c>
      <c r="N359" s="104" t="str">
        <f>IF(Main[[#This Row],[Tech Start Date]]&lt;1/1/1990,"",IF(Main[[#This Row],[Class]]="C",WORKDAY(Main[[#This Row],[Tech Start Date]],19),IF(Main[[#This Row],[Class]]="B", WORKDAY(Main[[#This Row],[Tech Start Date]],12),IF(Main[[#This Row],[Class]]="A",WORKDAY(Main[[#This Row],[Tech Start Date]],4),""))))</f>
        <v/>
      </c>
      <c r="O359" s="104" t="str">
        <f>IF(Main[[#This Row],[Tech Start Date]]&lt;1/1/1990,"",IF(Main[[#This Row],[Class]]="C",WORKDAY(Main[[#This Row],[Tech Start Date]],23),IF(Main[[#This Row],[Class]]="B", WORKDAY(Main[[#This Row],[Tech Start Date]],15),IF(Main[[#This Row],[Class]]="A",WORKDAY(Main[[#This Row],[Tech Start Date]],5),""))))</f>
        <v/>
      </c>
      <c r="P359" s="104" t="str">
        <f>IF(Main[[#This Row],[Tech Start Date]]&lt;1/1/1990,"",IF(Main[[#This Row],[Class]]="C",WORKDAY(Main[[#This Row],[Tech Start Date]],28),IF(Main[[#This Row],[Class]]="B", WORKDAY(Main[[#This Row],[Tech Start Date]],19),IF(Main[[#This Row],[Class]]="A",WORKDAY(Main[[#This Row],[Tech Start Date]],9),""))))</f>
        <v/>
      </c>
      <c r="Q359" s="101">
        <v>40298</v>
      </c>
      <c r="R359" s="101"/>
      <c r="S359" s="99" t="s">
        <v>11</v>
      </c>
      <c r="T359" s="107" t="s">
        <v>4</v>
      </c>
      <c r="U359" s="99" t="s">
        <v>14</v>
      </c>
      <c r="V359" s="99" t="s">
        <v>1962</v>
      </c>
      <c r="W359" s="99" t="s">
        <v>1968</v>
      </c>
    </row>
    <row r="360" spans="1:23" ht="18.600000000000001" customHeight="1">
      <c r="A360" s="123" t="str">
        <f>IF(priority(Main[[#This Row],[Comments]])&lt;&gt;0, priority(Main[[#This Row],[Comments]]),"")</f>
        <v/>
      </c>
      <c r="B360" s="127" t="s">
        <v>1247</v>
      </c>
      <c r="C360" s="99" t="s">
        <v>278</v>
      </c>
      <c r="D360" s="100" t="s">
        <v>279</v>
      </c>
      <c r="E360" s="101"/>
      <c r="F360" s="101">
        <v>40262</v>
      </c>
      <c r="G360" s="102" t="str">
        <f>IF(stdProdLT(Main[[#This Row],[Comments]])=0.1,"N/A",IF(stdProdLT(Main[[#This Row],[Comments]])=0,"",stdProdLT(Main[[#This Row],[Comments]])))</f>
        <v/>
      </c>
      <c r="H360" s="103" t="str">
        <f>IF(AND(Main[[#This Row],[In Stock Date]]&lt;&gt;"",Main[[#This Row],[Revised Due Date]]&lt;&gt;""),Main[[#This Row],[In Stock Date]]-Main[[#This Row],[Revised Due Date]],"")</f>
        <v/>
      </c>
      <c r="I360" s="99" t="s">
        <v>4</v>
      </c>
      <c r="J360" s="99" t="s">
        <v>4</v>
      </c>
      <c r="K360" s="99" t="s">
        <v>4</v>
      </c>
      <c r="L360" s="101"/>
      <c r="M360" s="104" t="str">
        <f>IF(Main[[#This Row],[Tech Start Date]]&lt;1/1/1990,"",IF(Main[[#This Row],[Class]]="C",WORKDAY(Main[[#This Row],[Tech Start Date]],9),IF(Main[[#This Row],[Class]]="B", WORKDAY(Main[[#This Row],[Tech Start Date]],6),IF(Main[[#This Row],[Class]]="A",WORKDAY(Main[[#This Row],[Tech Start Date]],2),""))))</f>
        <v/>
      </c>
      <c r="N360" s="104" t="str">
        <f>IF(Main[[#This Row],[Tech Start Date]]&lt;1/1/1990,"",IF(Main[[#This Row],[Class]]="C",WORKDAY(Main[[#This Row],[Tech Start Date]],19),IF(Main[[#This Row],[Class]]="B", WORKDAY(Main[[#This Row],[Tech Start Date]],12),IF(Main[[#This Row],[Class]]="A",WORKDAY(Main[[#This Row],[Tech Start Date]],4),""))))</f>
        <v/>
      </c>
      <c r="O360" s="104" t="str">
        <f>IF(Main[[#This Row],[Tech Start Date]]&lt;1/1/1990,"",IF(Main[[#This Row],[Class]]="C",WORKDAY(Main[[#This Row],[Tech Start Date]],23),IF(Main[[#This Row],[Class]]="B", WORKDAY(Main[[#This Row],[Tech Start Date]],15),IF(Main[[#This Row],[Class]]="A",WORKDAY(Main[[#This Row],[Tech Start Date]],5),""))))</f>
        <v/>
      </c>
      <c r="P360" s="104" t="str">
        <f>IF(Main[[#This Row],[Tech Start Date]]&lt;1/1/1990,"",IF(Main[[#This Row],[Class]]="C",WORKDAY(Main[[#This Row],[Tech Start Date]],28),IF(Main[[#This Row],[Class]]="B", WORKDAY(Main[[#This Row],[Tech Start Date]],19),IF(Main[[#This Row],[Class]]="A",WORKDAY(Main[[#This Row],[Tech Start Date]],9),""))))</f>
        <v/>
      </c>
      <c r="Q360" s="101">
        <v>40242</v>
      </c>
      <c r="R360" s="101"/>
      <c r="S360" s="99" t="s">
        <v>11</v>
      </c>
      <c r="T360" s="107" t="s">
        <v>4</v>
      </c>
      <c r="U360" s="99" t="s">
        <v>14</v>
      </c>
      <c r="V360" s="99" t="s">
        <v>1972</v>
      </c>
      <c r="W360" s="99" t="s">
        <v>1966</v>
      </c>
    </row>
    <row r="361" spans="1:23" ht="18.600000000000001" customHeight="1">
      <c r="A361" s="123" t="str">
        <f>IF(priority(Main[[#This Row],[Comments]])&lt;&gt;0, priority(Main[[#This Row],[Comments]]),"")</f>
        <v/>
      </c>
      <c r="B361" s="127" t="s">
        <v>1248</v>
      </c>
      <c r="C361" s="99" t="s">
        <v>280</v>
      </c>
      <c r="D361" s="100" t="s">
        <v>281</v>
      </c>
      <c r="E361" s="101"/>
      <c r="F361" s="101">
        <v>40186</v>
      </c>
      <c r="G361" s="102" t="str">
        <f>IF(stdProdLT(Main[[#This Row],[Comments]])=0.1,"N/A",IF(stdProdLT(Main[[#This Row],[Comments]])=0,"",stdProdLT(Main[[#This Row],[Comments]])))</f>
        <v/>
      </c>
      <c r="H361" s="103" t="str">
        <f>IF(AND(Main[[#This Row],[In Stock Date]]&lt;&gt;"",Main[[#This Row],[Revised Due Date]]&lt;&gt;""),Main[[#This Row],[In Stock Date]]-Main[[#This Row],[Revised Due Date]],"")</f>
        <v/>
      </c>
      <c r="I361" s="99" t="s">
        <v>4</v>
      </c>
      <c r="J361" s="99" t="s">
        <v>4</v>
      </c>
      <c r="K361" s="99" t="s">
        <v>4</v>
      </c>
      <c r="L361" s="101"/>
      <c r="M361" s="104" t="str">
        <f>IF(Main[[#This Row],[Tech Start Date]]&lt;1/1/1990,"",IF(Main[[#This Row],[Class]]="C",WORKDAY(Main[[#This Row],[Tech Start Date]],9),IF(Main[[#This Row],[Class]]="B", WORKDAY(Main[[#This Row],[Tech Start Date]],6),IF(Main[[#This Row],[Class]]="A",WORKDAY(Main[[#This Row],[Tech Start Date]],2),""))))</f>
        <v/>
      </c>
      <c r="N361" s="104" t="str">
        <f>IF(Main[[#This Row],[Tech Start Date]]&lt;1/1/1990,"",IF(Main[[#This Row],[Class]]="C",WORKDAY(Main[[#This Row],[Tech Start Date]],19),IF(Main[[#This Row],[Class]]="B", WORKDAY(Main[[#This Row],[Tech Start Date]],12),IF(Main[[#This Row],[Class]]="A",WORKDAY(Main[[#This Row],[Tech Start Date]],4),""))))</f>
        <v/>
      </c>
      <c r="O361" s="104" t="str">
        <f>IF(Main[[#This Row],[Tech Start Date]]&lt;1/1/1990,"",IF(Main[[#This Row],[Class]]="C",WORKDAY(Main[[#This Row],[Tech Start Date]],23),IF(Main[[#This Row],[Class]]="B", WORKDAY(Main[[#This Row],[Tech Start Date]],15),IF(Main[[#This Row],[Class]]="A",WORKDAY(Main[[#This Row],[Tech Start Date]],5),""))))</f>
        <v/>
      </c>
      <c r="P361" s="104" t="str">
        <f>IF(Main[[#This Row],[Tech Start Date]]&lt;1/1/1990,"",IF(Main[[#This Row],[Class]]="C",WORKDAY(Main[[#This Row],[Tech Start Date]],28),IF(Main[[#This Row],[Class]]="B", WORKDAY(Main[[#This Row],[Tech Start Date]],19),IF(Main[[#This Row],[Class]]="A",WORKDAY(Main[[#This Row],[Tech Start Date]],9),""))))</f>
        <v/>
      </c>
      <c r="Q361" s="101">
        <v>40196</v>
      </c>
      <c r="R361" s="101"/>
      <c r="S361" s="99" t="s">
        <v>11</v>
      </c>
      <c r="T361" s="107" t="s">
        <v>4</v>
      </c>
      <c r="U361" s="99" t="s">
        <v>14</v>
      </c>
      <c r="V361" s="99" t="s">
        <v>1965</v>
      </c>
      <c r="W361" s="99" t="s">
        <v>1970</v>
      </c>
    </row>
    <row r="362" spans="1:23" ht="18.600000000000001" customHeight="1">
      <c r="A362" s="123" t="str">
        <f>IF(priority(Main[[#This Row],[Comments]])&lt;&gt;0, priority(Main[[#This Row],[Comments]]),"")</f>
        <v/>
      </c>
      <c r="B362" s="127" t="s">
        <v>2295</v>
      </c>
      <c r="C362" s="99" t="s">
        <v>4</v>
      </c>
      <c r="D362" s="100" t="s">
        <v>2296</v>
      </c>
      <c r="E362" s="101"/>
      <c r="F362" s="101"/>
      <c r="G362" s="102" t="str">
        <f>IF(stdProdLT(Main[[#This Row],[Comments]])=0.1,"N/A",IF(stdProdLT(Main[[#This Row],[Comments]])=0,"",stdProdLT(Main[[#This Row],[Comments]])))</f>
        <v/>
      </c>
      <c r="H362" s="103" t="str">
        <f>IF(AND(Main[[#This Row],[In Stock Date]]&lt;&gt;"",Main[[#This Row],[Revised Due Date]]&lt;&gt;""),Main[[#This Row],[In Stock Date]]-Main[[#This Row],[Revised Due Date]],"")</f>
        <v/>
      </c>
      <c r="I362" s="99" t="s">
        <v>4</v>
      </c>
      <c r="J362" s="99" t="s">
        <v>4</v>
      </c>
      <c r="K362" s="99" t="s">
        <v>4</v>
      </c>
      <c r="L362" s="101"/>
      <c r="M362" s="104" t="str">
        <f>IF(Main[[#This Row],[Tech Start Date]]&lt;1/1/1990,"",IF(Main[[#This Row],[Class]]="C",WORKDAY(Main[[#This Row],[Tech Start Date]],9),IF(Main[[#This Row],[Class]]="B", WORKDAY(Main[[#This Row],[Tech Start Date]],6),IF(Main[[#This Row],[Class]]="A",WORKDAY(Main[[#This Row],[Tech Start Date]],2),""))))</f>
        <v/>
      </c>
      <c r="N362" s="104" t="str">
        <f>IF(Main[[#This Row],[Tech Start Date]]&lt;1/1/1990,"",IF(Main[[#This Row],[Class]]="C",WORKDAY(Main[[#This Row],[Tech Start Date]],19),IF(Main[[#This Row],[Class]]="B", WORKDAY(Main[[#This Row],[Tech Start Date]],12),IF(Main[[#This Row],[Class]]="A",WORKDAY(Main[[#This Row],[Tech Start Date]],4),""))))</f>
        <v/>
      </c>
      <c r="O362" s="104" t="str">
        <f>IF(Main[[#This Row],[Tech Start Date]]&lt;1/1/1990,"",IF(Main[[#This Row],[Class]]="C",WORKDAY(Main[[#This Row],[Tech Start Date]],23),IF(Main[[#This Row],[Class]]="B", WORKDAY(Main[[#This Row],[Tech Start Date]],15),IF(Main[[#This Row],[Class]]="A",WORKDAY(Main[[#This Row],[Tech Start Date]],5),""))))</f>
        <v/>
      </c>
      <c r="P362" s="104" t="str">
        <f>IF(Main[[#This Row],[Tech Start Date]]&lt;1/1/1990,"",IF(Main[[#This Row],[Class]]="C",WORKDAY(Main[[#This Row],[Tech Start Date]],28),IF(Main[[#This Row],[Class]]="B", WORKDAY(Main[[#This Row],[Tech Start Date]],19),IF(Main[[#This Row],[Class]]="A",WORKDAY(Main[[#This Row],[Tech Start Date]],9),""))))</f>
        <v/>
      </c>
      <c r="Q362" s="101">
        <v>40837</v>
      </c>
      <c r="R362" s="101"/>
      <c r="S362" s="99" t="s">
        <v>6</v>
      </c>
      <c r="T362" s="107" t="s">
        <v>4</v>
      </c>
      <c r="U362" s="99" t="s">
        <v>14</v>
      </c>
      <c r="V362" s="99" t="s">
        <v>1965</v>
      </c>
      <c r="W362" s="99" t="s">
        <v>4</v>
      </c>
    </row>
    <row r="363" spans="1:23" ht="18.600000000000001" customHeight="1">
      <c r="A363" s="123" t="str">
        <f>IF(priority(Main[[#This Row],[Comments]])&lt;&gt;0, priority(Main[[#This Row],[Comments]]),"")</f>
        <v/>
      </c>
      <c r="B363" s="127" t="s">
        <v>1441</v>
      </c>
      <c r="C363" s="99" t="s">
        <v>4</v>
      </c>
      <c r="D363" s="100" t="s">
        <v>493</v>
      </c>
      <c r="E363" s="101">
        <v>40704.65116898148</v>
      </c>
      <c r="F363" s="101"/>
      <c r="G363" s="102" t="str">
        <f>IF(stdProdLT(Main[[#This Row],[Comments]])=0.1,"N/A",IF(stdProdLT(Main[[#This Row],[Comments]])=0,"",stdProdLT(Main[[#This Row],[Comments]])))</f>
        <v/>
      </c>
      <c r="H363" s="103" t="str">
        <f>IF(AND(Main[[#This Row],[In Stock Date]]&lt;&gt;"",Main[[#This Row],[Revised Due Date]]&lt;&gt;""),Main[[#This Row],[In Stock Date]]-Main[[#This Row],[Revised Due Date]],"")</f>
        <v/>
      </c>
      <c r="I363" s="99" t="s">
        <v>4</v>
      </c>
      <c r="J363" s="99" t="s">
        <v>4</v>
      </c>
      <c r="K363" s="99" t="s">
        <v>4</v>
      </c>
      <c r="L363" s="101"/>
      <c r="M363" s="104" t="str">
        <f>IF(Main[[#This Row],[Tech Start Date]]&lt;1/1/1990,"",IF(Main[[#This Row],[Class]]="C",WORKDAY(Main[[#This Row],[Tech Start Date]],9),IF(Main[[#This Row],[Class]]="B", WORKDAY(Main[[#This Row],[Tech Start Date]],6),IF(Main[[#This Row],[Class]]="A",WORKDAY(Main[[#This Row],[Tech Start Date]],2),""))))</f>
        <v/>
      </c>
      <c r="N363" s="104" t="str">
        <f>IF(Main[[#This Row],[Tech Start Date]]&lt;1/1/1990,"",IF(Main[[#This Row],[Class]]="C",WORKDAY(Main[[#This Row],[Tech Start Date]],19),IF(Main[[#This Row],[Class]]="B", WORKDAY(Main[[#This Row],[Tech Start Date]],12),IF(Main[[#This Row],[Class]]="A",WORKDAY(Main[[#This Row],[Tech Start Date]],4),""))))</f>
        <v/>
      </c>
      <c r="O363" s="104" t="str">
        <f>IF(Main[[#This Row],[Tech Start Date]]&lt;1/1/1990,"",IF(Main[[#This Row],[Class]]="C",WORKDAY(Main[[#This Row],[Tech Start Date]],23),IF(Main[[#This Row],[Class]]="B", WORKDAY(Main[[#This Row],[Tech Start Date]],15),IF(Main[[#This Row],[Class]]="A",WORKDAY(Main[[#This Row],[Tech Start Date]],5),""))))</f>
        <v/>
      </c>
      <c r="P363" s="104" t="str">
        <f>IF(Main[[#This Row],[Tech Start Date]]&lt;1/1/1990,"",IF(Main[[#This Row],[Class]]="C",WORKDAY(Main[[#This Row],[Tech Start Date]],28),IF(Main[[#This Row],[Class]]="B", WORKDAY(Main[[#This Row],[Tech Start Date]],19),IF(Main[[#This Row],[Class]]="A",WORKDAY(Main[[#This Row],[Tech Start Date]],9),""))))</f>
        <v/>
      </c>
      <c r="Q363" s="101"/>
      <c r="R363" s="101"/>
      <c r="S363" s="99" t="s">
        <v>6</v>
      </c>
      <c r="T363" s="107" t="s">
        <v>4</v>
      </c>
      <c r="U363" s="99" t="s">
        <v>29</v>
      </c>
      <c r="V363" s="99" t="s">
        <v>1962</v>
      </c>
      <c r="W363" s="99" t="s">
        <v>1966</v>
      </c>
    </row>
    <row r="364" spans="1:23" ht="18.600000000000001" customHeight="1">
      <c r="A364" s="123" t="str">
        <f>IF(priority(Main[[#This Row],[Comments]])&lt;&gt;0, priority(Main[[#This Row],[Comments]]),"")</f>
        <v/>
      </c>
      <c r="B364" s="127" t="s">
        <v>1249</v>
      </c>
      <c r="C364" s="99" t="s">
        <v>4</v>
      </c>
      <c r="D364" s="100" t="s">
        <v>286</v>
      </c>
      <c r="E364" s="101">
        <v>40297.413148148145</v>
      </c>
      <c r="F364" s="101"/>
      <c r="G364" s="102" t="str">
        <f>IF(stdProdLT(Main[[#This Row],[Comments]])=0.1,"N/A",IF(stdProdLT(Main[[#This Row],[Comments]])=0,"",stdProdLT(Main[[#This Row],[Comments]])))</f>
        <v/>
      </c>
      <c r="H364" s="103" t="str">
        <f>IF(AND(Main[[#This Row],[In Stock Date]]&lt;&gt;"",Main[[#This Row],[Revised Due Date]]&lt;&gt;""),Main[[#This Row],[In Stock Date]]-Main[[#This Row],[Revised Due Date]],"")</f>
        <v/>
      </c>
      <c r="I364" s="99" t="s">
        <v>4</v>
      </c>
      <c r="J364" s="99" t="s">
        <v>4</v>
      </c>
      <c r="K364" s="108" t="s">
        <v>4</v>
      </c>
      <c r="L364" s="101"/>
      <c r="M364" s="104" t="str">
        <f>IF(Main[[#This Row],[Tech Start Date]]&lt;1/1/1990,"",IF(Main[[#This Row],[Class]]="C",WORKDAY(Main[[#This Row],[Tech Start Date]],9),IF(Main[[#This Row],[Class]]="B", WORKDAY(Main[[#This Row],[Tech Start Date]],6),IF(Main[[#This Row],[Class]]="A",WORKDAY(Main[[#This Row],[Tech Start Date]],2),""))))</f>
        <v/>
      </c>
      <c r="N364" s="104" t="str">
        <f>IF(Main[[#This Row],[Tech Start Date]]&lt;1/1/1990,"",IF(Main[[#This Row],[Class]]="C",WORKDAY(Main[[#This Row],[Tech Start Date]],19),IF(Main[[#This Row],[Class]]="B", WORKDAY(Main[[#This Row],[Tech Start Date]],12),IF(Main[[#This Row],[Class]]="A",WORKDAY(Main[[#This Row],[Tech Start Date]],4),""))))</f>
        <v/>
      </c>
      <c r="O364" s="104" t="str">
        <f>IF(Main[[#This Row],[Tech Start Date]]&lt;1/1/1990,"",IF(Main[[#This Row],[Class]]="C",WORKDAY(Main[[#This Row],[Tech Start Date]],23),IF(Main[[#This Row],[Class]]="B", WORKDAY(Main[[#This Row],[Tech Start Date]],15),IF(Main[[#This Row],[Class]]="A",WORKDAY(Main[[#This Row],[Tech Start Date]],5),""))))</f>
        <v/>
      </c>
      <c r="P364" s="104" t="str">
        <f>IF(Main[[#This Row],[Tech Start Date]]&lt;1/1/1990,"",IF(Main[[#This Row],[Class]]="C",WORKDAY(Main[[#This Row],[Tech Start Date]],28),IF(Main[[#This Row],[Class]]="B", WORKDAY(Main[[#This Row],[Tech Start Date]],19),IF(Main[[#This Row],[Class]]="A",WORKDAY(Main[[#This Row],[Tech Start Date]],9),""))))</f>
        <v/>
      </c>
      <c r="Q364" s="101">
        <v>40319</v>
      </c>
      <c r="R364" s="101"/>
      <c r="S364" s="99" t="s">
        <v>17</v>
      </c>
      <c r="T364" s="107" t="s">
        <v>4</v>
      </c>
      <c r="U364" s="99" t="s">
        <v>29</v>
      </c>
      <c r="V364" s="99" t="s">
        <v>1963</v>
      </c>
      <c r="W364" s="99" t="s">
        <v>1966</v>
      </c>
    </row>
    <row r="365" spans="1:23" ht="18.600000000000001" customHeight="1">
      <c r="A365" s="123" t="str">
        <f>IF(priority(Main[[#This Row],[Comments]])&lt;&gt;0, priority(Main[[#This Row],[Comments]]),"")</f>
        <v/>
      </c>
      <c r="B365" s="127" t="s">
        <v>1250</v>
      </c>
      <c r="C365" s="99" t="s">
        <v>287</v>
      </c>
      <c r="D365" s="100" t="s">
        <v>288</v>
      </c>
      <c r="E365" s="101"/>
      <c r="F365" s="101">
        <v>40391</v>
      </c>
      <c r="G365" s="102" t="str">
        <f>IF(stdProdLT(Main[[#This Row],[Comments]])=0.1,"N/A",IF(stdProdLT(Main[[#This Row],[Comments]])=0,"",stdProdLT(Main[[#This Row],[Comments]])))</f>
        <v/>
      </c>
      <c r="H365" s="103" t="str">
        <f>IF(AND(Main[[#This Row],[In Stock Date]]&lt;&gt;"",Main[[#This Row],[Revised Due Date]]&lt;&gt;""),Main[[#This Row],[In Stock Date]]-Main[[#This Row],[Revised Due Date]],"")</f>
        <v/>
      </c>
      <c r="I365" s="99" t="s">
        <v>4</v>
      </c>
      <c r="J365" s="99" t="s">
        <v>4</v>
      </c>
      <c r="K365" s="99" t="s">
        <v>4</v>
      </c>
      <c r="L365" s="101"/>
      <c r="M365" s="104" t="str">
        <f>IF(Main[[#This Row],[Tech Start Date]]&lt;1/1/1990,"",IF(Main[[#This Row],[Class]]="C",WORKDAY(Main[[#This Row],[Tech Start Date]],9),IF(Main[[#This Row],[Class]]="B", WORKDAY(Main[[#This Row],[Tech Start Date]],6),IF(Main[[#This Row],[Class]]="A",WORKDAY(Main[[#This Row],[Tech Start Date]],2),""))))</f>
        <v/>
      </c>
      <c r="N365" s="104" t="str">
        <f>IF(Main[[#This Row],[Tech Start Date]]&lt;1/1/1990,"",IF(Main[[#This Row],[Class]]="C",WORKDAY(Main[[#This Row],[Tech Start Date]],19),IF(Main[[#This Row],[Class]]="B", WORKDAY(Main[[#This Row],[Tech Start Date]],12),IF(Main[[#This Row],[Class]]="A",WORKDAY(Main[[#This Row],[Tech Start Date]],4),""))))</f>
        <v/>
      </c>
      <c r="O365" s="104" t="str">
        <f>IF(Main[[#This Row],[Tech Start Date]]&lt;1/1/1990,"",IF(Main[[#This Row],[Class]]="C",WORKDAY(Main[[#This Row],[Tech Start Date]],23),IF(Main[[#This Row],[Class]]="B", WORKDAY(Main[[#This Row],[Tech Start Date]],15),IF(Main[[#This Row],[Class]]="A",WORKDAY(Main[[#This Row],[Tech Start Date]],5),""))))</f>
        <v/>
      </c>
      <c r="P365" s="104" t="str">
        <f>IF(Main[[#This Row],[Tech Start Date]]&lt;1/1/1990,"",IF(Main[[#This Row],[Class]]="C",WORKDAY(Main[[#This Row],[Tech Start Date]],28),IF(Main[[#This Row],[Class]]="B", WORKDAY(Main[[#This Row],[Tech Start Date]],19),IF(Main[[#This Row],[Class]]="A",WORKDAY(Main[[#This Row],[Tech Start Date]],9),""))))</f>
        <v/>
      </c>
      <c r="Q365" s="101">
        <v>40314</v>
      </c>
      <c r="R365" s="101"/>
      <c r="S365" s="99" t="s">
        <v>11</v>
      </c>
      <c r="T365" s="107" t="s">
        <v>4</v>
      </c>
      <c r="U365" s="99" t="s">
        <v>14</v>
      </c>
      <c r="V365" s="99" t="s">
        <v>1965</v>
      </c>
      <c r="W365" s="99" t="s">
        <v>1968</v>
      </c>
    </row>
    <row r="366" spans="1:23" ht="18.600000000000001" customHeight="1">
      <c r="A366" s="123" t="str">
        <f>IF(priority(Main[[#This Row],[Comments]])&lt;&gt;0, priority(Main[[#This Row],[Comments]]),"")</f>
        <v/>
      </c>
      <c r="B366" s="127" t="s">
        <v>1251</v>
      </c>
      <c r="C366" s="99" t="s">
        <v>289</v>
      </c>
      <c r="D366" s="100" t="s">
        <v>290</v>
      </c>
      <c r="E366" s="101"/>
      <c r="F366" s="101"/>
      <c r="G366" s="102" t="str">
        <f>IF(stdProdLT(Main[[#This Row],[Comments]])=0.1,"N/A",IF(stdProdLT(Main[[#This Row],[Comments]])=0,"",stdProdLT(Main[[#This Row],[Comments]])))</f>
        <v/>
      </c>
      <c r="H366" s="103" t="str">
        <f>IF(AND(Main[[#This Row],[In Stock Date]]&lt;&gt;"",Main[[#This Row],[Revised Due Date]]&lt;&gt;""),Main[[#This Row],[In Stock Date]]-Main[[#This Row],[Revised Due Date]],"")</f>
        <v/>
      </c>
      <c r="I366" s="99" t="s">
        <v>4</v>
      </c>
      <c r="J366" s="99" t="s">
        <v>4</v>
      </c>
      <c r="K366" s="99" t="s">
        <v>4</v>
      </c>
      <c r="L366" s="101"/>
      <c r="M366" s="104" t="str">
        <f>IF(Main[[#This Row],[Tech Start Date]]&lt;1/1/1990,"",IF(Main[[#This Row],[Class]]="C",WORKDAY(Main[[#This Row],[Tech Start Date]],9),IF(Main[[#This Row],[Class]]="B", WORKDAY(Main[[#This Row],[Tech Start Date]],6),IF(Main[[#This Row],[Class]]="A",WORKDAY(Main[[#This Row],[Tech Start Date]],2),""))))</f>
        <v/>
      </c>
      <c r="N366" s="104" t="str">
        <f>IF(Main[[#This Row],[Tech Start Date]]&lt;1/1/1990,"",IF(Main[[#This Row],[Class]]="C",WORKDAY(Main[[#This Row],[Tech Start Date]],19),IF(Main[[#This Row],[Class]]="B", WORKDAY(Main[[#This Row],[Tech Start Date]],12),IF(Main[[#This Row],[Class]]="A",WORKDAY(Main[[#This Row],[Tech Start Date]],4),""))))</f>
        <v/>
      </c>
      <c r="O366" s="104" t="str">
        <f>IF(Main[[#This Row],[Tech Start Date]]&lt;1/1/1990,"",IF(Main[[#This Row],[Class]]="C",WORKDAY(Main[[#This Row],[Tech Start Date]],23),IF(Main[[#This Row],[Class]]="B", WORKDAY(Main[[#This Row],[Tech Start Date]],15),IF(Main[[#This Row],[Class]]="A",WORKDAY(Main[[#This Row],[Tech Start Date]],5),""))))</f>
        <v/>
      </c>
      <c r="P366" s="104" t="str">
        <f>IF(Main[[#This Row],[Tech Start Date]]&lt;1/1/1990,"",IF(Main[[#This Row],[Class]]="C",WORKDAY(Main[[#This Row],[Tech Start Date]],28),IF(Main[[#This Row],[Class]]="B", WORKDAY(Main[[#This Row],[Tech Start Date]],19),IF(Main[[#This Row],[Class]]="A",WORKDAY(Main[[#This Row],[Tech Start Date]],9),""))))</f>
        <v/>
      </c>
      <c r="Q366" s="101">
        <v>40147</v>
      </c>
      <c r="R366" s="101"/>
      <c r="S366" s="99" t="s">
        <v>11</v>
      </c>
      <c r="T366" s="107" t="s">
        <v>4</v>
      </c>
      <c r="U366" s="99" t="s">
        <v>14</v>
      </c>
      <c r="V366" s="99" t="s">
        <v>1972</v>
      </c>
      <c r="W366" s="99" t="s">
        <v>1970</v>
      </c>
    </row>
    <row r="367" spans="1:23" ht="18.600000000000001" customHeight="1">
      <c r="A367" s="123" t="str">
        <f>IF(priority(Main[[#This Row],[Comments]])&lt;&gt;0, priority(Main[[#This Row],[Comments]]),"")</f>
        <v/>
      </c>
      <c r="B367" s="127" t="s">
        <v>1640</v>
      </c>
      <c r="C367" s="99" t="s">
        <v>280</v>
      </c>
      <c r="D367" s="100" t="s">
        <v>685</v>
      </c>
      <c r="E367" s="101">
        <v>40500.611724537041</v>
      </c>
      <c r="F367" s="101">
        <v>40444</v>
      </c>
      <c r="G367" s="102" t="str">
        <f>IF(stdProdLT(Main[[#This Row],[Comments]])=0.1,"N/A",IF(stdProdLT(Main[[#This Row],[Comments]])=0,"",stdProdLT(Main[[#This Row],[Comments]])))</f>
        <v/>
      </c>
      <c r="H367" s="103">
        <f>IF(AND(Main[[#This Row],[In Stock Date]]&lt;&gt;"",Main[[#This Row],[Revised Due Date]]&lt;&gt;""),Main[[#This Row],[In Stock Date]]-Main[[#This Row],[Revised Due Date]],"")</f>
        <v>-349</v>
      </c>
      <c r="I367" s="99" t="s">
        <v>4</v>
      </c>
      <c r="J367" s="99" t="s">
        <v>4</v>
      </c>
      <c r="K367" s="99" t="s">
        <v>4</v>
      </c>
      <c r="L367" s="101"/>
      <c r="M367" s="104" t="str">
        <f>IF(Main[[#This Row],[Tech Start Date]]&lt;1/1/1990,"",IF(Main[[#This Row],[Class]]="C",WORKDAY(Main[[#This Row],[Tech Start Date]],9),IF(Main[[#This Row],[Class]]="B", WORKDAY(Main[[#This Row],[Tech Start Date]],6),IF(Main[[#This Row],[Class]]="A",WORKDAY(Main[[#This Row],[Tech Start Date]],2),""))))</f>
        <v/>
      </c>
      <c r="N367" s="104" t="str">
        <f>IF(Main[[#This Row],[Tech Start Date]]&lt;1/1/1990,"",IF(Main[[#This Row],[Class]]="C",WORKDAY(Main[[#This Row],[Tech Start Date]],19),IF(Main[[#This Row],[Class]]="B", WORKDAY(Main[[#This Row],[Tech Start Date]],12),IF(Main[[#This Row],[Class]]="A",WORKDAY(Main[[#This Row],[Tech Start Date]],4),""))))</f>
        <v/>
      </c>
      <c r="O367" s="104" t="str">
        <f>IF(Main[[#This Row],[Tech Start Date]]&lt;1/1/1990,"",IF(Main[[#This Row],[Class]]="C",WORKDAY(Main[[#This Row],[Tech Start Date]],23),IF(Main[[#This Row],[Class]]="B", WORKDAY(Main[[#This Row],[Tech Start Date]],15),IF(Main[[#This Row],[Class]]="A",WORKDAY(Main[[#This Row],[Tech Start Date]],5),""))))</f>
        <v/>
      </c>
      <c r="P367" s="104" t="str">
        <f>IF(Main[[#This Row],[Tech Start Date]]&lt;1/1/1990,"",IF(Main[[#This Row],[Class]]="C",WORKDAY(Main[[#This Row],[Tech Start Date]],28),IF(Main[[#This Row],[Class]]="B", WORKDAY(Main[[#This Row],[Tech Start Date]],19),IF(Main[[#This Row],[Class]]="A",WORKDAY(Main[[#This Row],[Tech Start Date]],9),""))))</f>
        <v/>
      </c>
      <c r="Q367" s="101">
        <v>40262</v>
      </c>
      <c r="R367" s="101">
        <v>40793</v>
      </c>
      <c r="S367" s="99" t="s">
        <v>17</v>
      </c>
      <c r="T367" s="107" t="s">
        <v>4</v>
      </c>
      <c r="U367" s="99" t="s">
        <v>29</v>
      </c>
      <c r="V367" s="99" t="s">
        <v>1965</v>
      </c>
      <c r="W367" s="99" t="s">
        <v>1967</v>
      </c>
    </row>
    <row r="368" spans="1:23" ht="18.600000000000001" customHeight="1">
      <c r="A368" s="123" t="str">
        <f>IF(priority(Main[[#This Row],[Comments]])&lt;&gt;0, priority(Main[[#This Row],[Comments]]),"")</f>
        <v/>
      </c>
      <c r="B368" s="127" t="s">
        <v>2136</v>
      </c>
      <c r="C368" s="99" t="s">
        <v>4</v>
      </c>
      <c r="D368" s="100" t="s">
        <v>2126</v>
      </c>
      <c r="E368" s="101"/>
      <c r="F368" s="101"/>
      <c r="G368" s="102" t="str">
        <f>IF(stdProdLT(Main[[#This Row],[Comments]])=0.1,"N/A",IF(stdProdLT(Main[[#This Row],[Comments]])=0,"",stdProdLT(Main[[#This Row],[Comments]])))</f>
        <v/>
      </c>
      <c r="H368" s="103" t="str">
        <f>IF(AND(Main[[#This Row],[In Stock Date]]&lt;&gt;"",Main[[#This Row],[Revised Due Date]]&lt;&gt;""),Main[[#This Row],[In Stock Date]]-Main[[#This Row],[Revised Due Date]],"")</f>
        <v/>
      </c>
      <c r="I368" s="99" t="s">
        <v>4</v>
      </c>
      <c r="J368" s="99" t="s">
        <v>4</v>
      </c>
      <c r="K368" s="99" t="s">
        <v>4</v>
      </c>
      <c r="L368" s="101"/>
      <c r="M368" s="104" t="str">
        <f>IF(Main[[#This Row],[Tech Start Date]]&lt;1/1/1990,"",IF(Main[[#This Row],[Class]]="C",WORKDAY(Main[[#This Row],[Tech Start Date]],9),IF(Main[[#This Row],[Class]]="B", WORKDAY(Main[[#This Row],[Tech Start Date]],6),IF(Main[[#This Row],[Class]]="A",WORKDAY(Main[[#This Row],[Tech Start Date]],2),""))))</f>
        <v/>
      </c>
      <c r="N368" s="104" t="str">
        <f>IF(Main[[#This Row],[Tech Start Date]]&lt;1/1/1990,"",IF(Main[[#This Row],[Class]]="C",WORKDAY(Main[[#This Row],[Tech Start Date]],19),IF(Main[[#This Row],[Class]]="B", WORKDAY(Main[[#This Row],[Tech Start Date]],12),IF(Main[[#This Row],[Class]]="A",WORKDAY(Main[[#This Row],[Tech Start Date]],4),""))))</f>
        <v/>
      </c>
      <c r="O368" s="104" t="str">
        <f>IF(Main[[#This Row],[Tech Start Date]]&lt;1/1/1990,"",IF(Main[[#This Row],[Class]]="C",WORKDAY(Main[[#This Row],[Tech Start Date]],23),IF(Main[[#This Row],[Class]]="B", WORKDAY(Main[[#This Row],[Tech Start Date]],15),IF(Main[[#This Row],[Class]]="A",WORKDAY(Main[[#This Row],[Tech Start Date]],5),""))))</f>
        <v/>
      </c>
      <c r="P368" s="104" t="str">
        <f>IF(Main[[#This Row],[Tech Start Date]]&lt;1/1/1990,"",IF(Main[[#This Row],[Class]]="C",WORKDAY(Main[[#This Row],[Tech Start Date]],28),IF(Main[[#This Row],[Class]]="B", WORKDAY(Main[[#This Row],[Tech Start Date]],19),IF(Main[[#This Row],[Class]]="A",WORKDAY(Main[[#This Row],[Tech Start Date]],9),""))))</f>
        <v/>
      </c>
      <c r="Q368" s="101">
        <v>40798</v>
      </c>
      <c r="R368" s="101"/>
      <c r="S368" s="99" t="s">
        <v>6</v>
      </c>
      <c r="T368" s="107" t="s">
        <v>4</v>
      </c>
      <c r="U368" s="99" t="s">
        <v>12</v>
      </c>
      <c r="V368" s="99" t="s">
        <v>1965</v>
      </c>
      <c r="W368" s="99" t="s">
        <v>4</v>
      </c>
    </row>
    <row r="369" spans="1:23" ht="18.600000000000001" customHeight="1">
      <c r="A369" s="123" t="str">
        <f>IF(priority(Main[[#This Row],[Comments]])&lt;&gt;0, priority(Main[[#This Row],[Comments]]),"")</f>
        <v/>
      </c>
      <c r="B369" s="127" t="s">
        <v>1252</v>
      </c>
      <c r="C369" s="99" t="s">
        <v>291</v>
      </c>
      <c r="D369" s="100" t="s">
        <v>292</v>
      </c>
      <c r="E369" s="101"/>
      <c r="F369" s="101">
        <v>40421</v>
      </c>
      <c r="G369" s="102" t="str">
        <f>IF(stdProdLT(Main[[#This Row],[Comments]])=0.1,"N/A",IF(stdProdLT(Main[[#This Row],[Comments]])=0,"",stdProdLT(Main[[#This Row],[Comments]])))</f>
        <v/>
      </c>
      <c r="H369" s="103" t="str">
        <f>IF(AND(Main[[#This Row],[In Stock Date]]&lt;&gt;"",Main[[#This Row],[Revised Due Date]]&lt;&gt;""),Main[[#This Row],[In Stock Date]]-Main[[#This Row],[Revised Due Date]],"")</f>
        <v/>
      </c>
      <c r="I369" s="99" t="s">
        <v>4</v>
      </c>
      <c r="J369" s="99" t="s">
        <v>4</v>
      </c>
      <c r="K369" s="99" t="s">
        <v>4</v>
      </c>
      <c r="L369" s="101"/>
      <c r="M369" s="104" t="str">
        <f>IF(Main[[#This Row],[Tech Start Date]]&lt;1/1/1990,"",IF(Main[[#This Row],[Class]]="C",WORKDAY(Main[[#This Row],[Tech Start Date]],9),IF(Main[[#This Row],[Class]]="B", WORKDAY(Main[[#This Row],[Tech Start Date]],6),IF(Main[[#This Row],[Class]]="A",WORKDAY(Main[[#This Row],[Tech Start Date]],2),""))))</f>
        <v/>
      </c>
      <c r="N369" s="104" t="str">
        <f>IF(Main[[#This Row],[Tech Start Date]]&lt;1/1/1990,"",IF(Main[[#This Row],[Class]]="C",WORKDAY(Main[[#This Row],[Tech Start Date]],19),IF(Main[[#This Row],[Class]]="B", WORKDAY(Main[[#This Row],[Tech Start Date]],12),IF(Main[[#This Row],[Class]]="A",WORKDAY(Main[[#This Row],[Tech Start Date]],4),""))))</f>
        <v/>
      </c>
      <c r="O369" s="104" t="str">
        <f>IF(Main[[#This Row],[Tech Start Date]]&lt;1/1/1990,"",IF(Main[[#This Row],[Class]]="C",WORKDAY(Main[[#This Row],[Tech Start Date]],23),IF(Main[[#This Row],[Class]]="B", WORKDAY(Main[[#This Row],[Tech Start Date]],15),IF(Main[[#This Row],[Class]]="A",WORKDAY(Main[[#This Row],[Tech Start Date]],5),""))))</f>
        <v/>
      </c>
      <c r="P369" s="104" t="str">
        <f>IF(Main[[#This Row],[Tech Start Date]]&lt;1/1/1990,"",IF(Main[[#This Row],[Class]]="C",WORKDAY(Main[[#This Row],[Tech Start Date]],28),IF(Main[[#This Row],[Class]]="B", WORKDAY(Main[[#This Row],[Tech Start Date]],19),IF(Main[[#This Row],[Class]]="A",WORKDAY(Main[[#This Row],[Tech Start Date]],9),""))))</f>
        <v/>
      </c>
      <c r="Q369" s="101">
        <v>40360</v>
      </c>
      <c r="R369" s="101"/>
      <c r="S369" s="99" t="s">
        <v>11</v>
      </c>
      <c r="T369" s="107" t="s">
        <v>4</v>
      </c>
      <c r="U369" s="99" t="s">
        <v>12</v>
      </c>
      <c r="V369" s="99" t="s">
        <v>1963</v>
      </c>
      <c r="W369" s="99" t="s">
        <v>1967</v>
      </c>
    </row>
    <row r="370" spans="1:23" ht="18.600000000000001" customHeight="1">
      <c r="A370" s="123" t="str">
        <f>IF(priority(Main[[#This Row],[Comments]])&lt;&gt;0, priority(Main[[#This Row],[Comments]]),"")</f>
        <v/>
      </c>
      <c r="B370" s="127" t="s">
        <v>1461</v>
      </c>
      <c r="C370" s="99" t="s">
        <v>4</v>
      </c>
      <c r="D370" s="100" t="s">
        <v>2001</v>
      </c>
      <c r="E370" s="101"/>
      <c r="F370" s="101"/>
      <c r="G370" s="102" t="str">
        <f>IF(stdProdLT(Main[[#This Row],[Comments]])=0.1,"N/A",IF(stdProdLT(Main[[#This Row],[Comments]])=0,"",stdProdLT(Main[[#This Row],[Comments]])))</f>
        <v/>
      </c>
      <c r="H370" s="103" t="str">
        <f>IF(AND(Main[[#This Row],[In Stock Date]]&lt;&gt;"",Main[[#This Row],[Revised Due Date]]&lt;&gt;""),Main[[#This Row],[In Stock Date]]-Main[[#This Row],[Revised Due Date]],"")</f>
        <v/>
      </c>
      <c r="I370" s="99" t="s">
        <v>4</v>
      </c>
      <c r="J370" s="99" t="s">
        <v>4</v>
      </c>
      <c r="K370" s="99" t="s">
        <v>4</v>
      </c>
      <c r="L370" s="101"/>
      <c r="M370" s="104" t="str">
        <f>IF(Main[[#This Row],[Tech Start Date]]&lt;1/1/1990,"",IF(Main[[#This Row],[Class]]="C",WORKDAY(Main[[#This Row],[Tech Start Date]],9),IF(Main[[#This Row],[Class]]="B", WORKDAY(Main[[#This Row],[Tech Start Date]],6),IF(Main[[#This Row],[Class]]="A",WORKDAY(Main[[#This Row],[Tech Start Date]],2),""))))</f>
        <v/>
      </c>
      <c r="N370" s="104" t="str">
        <f>IF(Main[[#This Row],[Tech Start Date]]&lt;1/1/1990,"",IF(Main[[#This Row],[Class]]="C",WORKDAY(Main[[#This Row],[Tech Start Date]],19),IF(Main[[#This Row],[Class]]="B", WORKDAY(Main[[#This Row],[Tech Start Date]],12),IF(Main[[#This Row],[Class]]="A",WORKDAY(Main[[#This Row],[Tech Start Date]],4),""))))</f>
        <v/>
      </c>
      <c r="O370" s="104" t="str">
        <f>IF(Main[[#This Row],[Tech Start Date]]&lt;1/1/1990,"",IF(Main[[#This Row],[Class]]="C",WORKDAY(Main[[#This Row],[Tech Start Date]],23),IF(Main[[#This Row],[Class]]="B", WORKDAY(Main[[#This Row],[Tech Start Date]],15),IF(Main[[#This Row],[Class]]="A",WORKDAY(Main[[#This Row],[Tech Start Date]],5),""))))</f>
        <v/>
      </c>
      <c r="P370" s="104" t="str">
        <f>IF(Main[[#This Row],[Tech Start Date]]&lt;1/1/1990,"",IF(Main[[#This Row],[Class]]="C",WORKDAY(Main[[#This Row],[Tech Start Date]],28),IF(Main[[#This Row],[Class]]="B", WORKDAY(Main[[#This Row],[Tech Start Date]],19),IF(Main[[#This Row],[Class]]="A",WORKDAY(Main[[#This Row],[Tech Start Date]],9),""))))</f>
        <v/>
      </c>
      <c r="Q370" s="101"/>
      <c r="R370" s="101"/>
      <c r="S370" s="99" t="s">
        <v>6</v>
      </c>
      <c r="T370" s="107" t="s">
        <v>4</v>
      </c>
      <c r="U370" s="99" t="s">
        <v>14</v>
      </c>
      <c r="V370" s="99" t="s">
        <v>1963</v>
      </c>
      <c r="W370" s="99" t="s">
        <v>1964</v>
      </c>
    </row>
    <row r="371" spans="1:23" ht="18.600000000000001" customHeight="1">
      <c r="A371" s="123" t="str">
        <f>IF(priority(Main[[#This Row],[Comments]])&lt;&gt;0, priority(Main[[#This Row],[Comments]]),"")</f>
        <v/>
      </c>
      <c r="B371" s="127" t="s">
        <v>1163</v>
      </c>
      <c r="C371" s="99" t="s">
        <v>4</v>
      </c>
      <c r="D371" s="100" t="s">
        <v>2463</v>
      </c>
      <c r="E371" s="101">
        <v>40574.415509259263</v>
      </c>
      <c r="F371" s="101">
        <v>40613</v>
      </c>
      <c r="G371" s="102" t="str">
        <f>IF(stdProdLT(Main[[#This Row],[Comments]])=0.1,"N/A",IF(stdProdLT(Main[[#This Row],[Comments]])=0,"",stdProdLT(Main[[#This Row],[Comments]])))</f>
        <v/>
      </c>
      <c r="H371" s="103" t="str">
        <f>IF(AND(Main[[#This Row],[In Stock Date]]&lt;&gt;"",Main[[#This Row],[Revised Due Date]]&lt;&gt;""),Main[[#This Row],[In Stock Date]]-Main[[#This Row],[Revised Due Date]],"")</f>
        <v/>
      </c>
      <c r="I371" s="99" t="s">
        <v>929</v>
      </c>
      <c r="J371" s="99" t="s">
        <v>52</v>
      </c>
      <c r="K371" s="99" t="s">
        <v>1971</v>
      </c>
      <c r="L371" s="101"/>
      <c r="M371" s="104" t="str">
        <f>IF(Main[[#This Row],[Tech Start Date]]&lt;1/1/1990,"",IF(Main[[#This Row],[Class]]="C",WORKDAY(Main[[#This Row],[Tech Start Date]],9),IF(Main[[#This Row],[Class]]="B", WORKDAY(Main[[#This Row],[Tech Start Date]],6),IF(Main[[#This Row],[Class]]="A",WORKDAY(Main[[#This Row],[Tech Start Date]],2),""))))</f>
        <v/>
      </c>
      <c r="N371" s="104" t="str">
        <f>IF(Main[[#This Row],[Tech Start Date]]&lt;1/1/1990,"",IF(Main[[#This Row],[Class]]="C",WORKDAY(Main[[#This Row],[Tech Start Date]],19),IF(Main[[#This Row],[Class]]="B", WORKDAY(Main[[#This Row],[Tech Start Date]],12),IF(Main[[#This Row],[Class]]="A",WORKDAY(Main[[#This Row],[Tech Start Date]],4),""))))</f>
        <v/>
      </c>
      <c r="O371" s="104" t="str">
        <f>IF(Main[[#This Row],[Tech Start Date]]&lt;1/1/1990,"",IF(Main[[#This Row],[Class]]="C",WORKDAY(Main[[#This Row],[Tech Start Date]],23),IF(Main[[#This Row],[Class]]="B", WORKDAY(Main[[#This Row],[Tech Start Date]],15),IF(Main[[#This Row],[Class]]="A",WORKDAY(Main[[#This Row],[Tech Start Date]],5),""))))</f>
        <v/>
      </c>
      <c r="P371" s="104" t="str">
        <f>IF(Main[[#This Row],[Tech Start Date]]&lt;1/1/1990,"",IF(Main[[#This Row],[Class]]="C",WORKDAY(Main[[#This Row],[Tech Start Date]],28),IF(Main[[#This Row],[Class]]="B", WORKDAY(Main[[#This Row],[Tech Start Date]],19),IF(Main[[#This Row],[Class]]="A",WORKDAY(Main[[#This Row],[Tech Start Date]],9),""))))</f>
        <v/>
      </c>
      <c r="Q371" s="101">
        <v>40613</v>
      </c>
      <c r="R371" s="101"/>
      <c r="S371" s="99" t="s">
        <v>6</v>
      </c>
      <c r="T371" s="107" t="s">
        <v>4</v>
      </c>
      <c r="U371" s="99" t="s">
        <v>29</v>
      </c>
      <c r="V371" s="99" t="s">
        <v>1962</v>
      </c>
      <c r="W371" s="99" t="s">
        <v>1964</v>
      </c>
    </row>
    <row r="372" spans="1:23" ht="18.600000000000001" customHeight="1">
      <c r="A372" s="123" t="str">
        <f>IF(priority(Main[[#This Row],[Comments]])&lt;&gt;0, priority(Main[[#This Row],[Comments]]),"")</f>
        <v/>
      </c>
      <c r="B372" s="127" t="s">
        <v>1263</v>
      </c>
      <c r="C372" s="99" t="s">
        <v>4</v>
      </c>
      <c r="D372" s="100" t="s">
        <v>294</v>
      </c>
      <c r="E372" s="101">
        <v>40379.350532407407</v>
      </c>
      <c r="F372" s="101"/>
      <c r="G372" s="102" t="str">
        <f>IF(stdProdLT(Main[[#This Row],[Comments]])=0.1,"N/A",IF(stdProdLT(Main[[#This Row],[Comments]])=0,"",stdProdLT(Main[[#This Row],[Comments]])))</f>
        <v/>
      </c>
      <c r="H372" s="103" t="str">
        <f>IF(AND(Main[[#This Row],[In Stock Date]]&lt;&gt;"",Main[[#This Row],[Revised Due Date]]&lt;&gt;""),Main[[#This Row],[In Stock Date]]-Main[[#This Row],[Revised Due Date]],"")</f>
        <v/>
      </c>
      <c r="I372" s="99" t="s">
        <v>4</v>
      </c>
      <c r="J372" s="99" t="s">
        <v>28</v>
      </c>
      <c r="K372" s="99" t="s">
        <v>4</v>
      </c>
      <c r="L372" s="101"/>
      <c r="M372" s="104" t="str">
        <f>IF(Main[[#This Row],[Tech Start Date]]&lt;1/1/1990,"",IF(Main[[#This Row],[Class]]="C",WORKDAY(Main[[#This Row],[Tech Start Date]],9),IF(Main[[#This Row],[Class]]="B", WORKDAY(Main[[#This Row],[Tech Start Date]],6),IF(Main[[#This Row],[Class]]="A",WORKDAY(Main[[#This Row],[Tech Start Date]],2),""))))</f>
        <v/>
      </c>
      <c r="N372" s="104" t="str">
        <f>IF(Main[[#This Row],[Tech Start Date]]&lt;1/1/1990,"",IF(Main[[#This Row],[Class]]="C",WORKDAY(Main[[#This Row],[Tech Start Date]],19),IF(Main[[#This Row],[Class]]="B", WORKDAY(Main[[#This Row],[Tech Start Date]],12),IF(Main[[#This Row],[Class]]="A",WORKDAY(Main[[#This Row],[Tech Start Date]],4),""))))</f>
        <v/>
      </c>
      <c r="O372" s="104" t="str">
        <f>IF(Main[[#This Row],[Tech Start Date]]&lt;1/1/1990,"",IF(Main[[#This Row],[Class]]="C",WORKDAY(Main[[#This Row],[Tech Start Date]],23),IF(Main[[#This Row],[Class]]="B", WORKDAY(Main[[#This Row],[Tech Start Date]],15),IF(Main[[#This Row],[Class]]="A",WORKDAY(Main[[#This Row],[Tech Start Date]],5),""))))</f>
        <v/>
      </c>
      <c r="P372" s="104" t="str">
        <f>IF(Main[[#This Row],[Tech Start Date]]&lt;1/1/1990,"",IF(Main[[#This Row],[Class]]="C",WORKDAY(Main[[#This Row],[Tech Start Date]],28),IF(Main[[#This Row],[Class]]="B", WORKDAY(Main[[#This Row],[Tech Start Date]],19),IF(Main[[#This Row],[Class]]="A",WORKDAY(Main[[#This Row],[Tech Start Date]],9),""))))</f>
        <v/>
      </c>
      <c r="Q372" s="101">
        <v>40413</v>
      </c>
      <c r="R372" s="101"/>
      <c r="S372" s="99" t="s">
        <v>6</v>
      </c>
      <c r="T372" s="107" t="s">
        <v>4</v>
      </c>
      <c r="U372" s="99" t="s">
        <v>7</v>
      </c>
      <c r="V372" s="99" t="s">
        <v>1962</v>
      </c>
      <c r="W372" s="99" t="s">
        <v>1964</v>
      </c>
    </row>
    <row r="373" spans="1:23" ht="18.600000000000001" customHeight="1">
      <c r="A373" s="123" t="str">
        <f>IF(priority(Main[[#This Row],[Comments]])&lt;&gt;0, priority(Main[[#This Row],[Comments]]),"")</f>
        <v/>
      </c>
      <c r="B373" s="127" t="s">
        <v>1264</v>
      </c>
      <c r="C373" s="99" t="s">
        <v>295</v>
      </c>
      <c r="D373" s="100" t="s">
        <v>296</v>
      </c>
      <c r="E373" s="101"/>
      <c r="F373" s="101"/>
      <c r="G373" s="102" t="str">
        <f>IF(stdProdLT(Main[[#This Row],[Comments]])=0.1,"N/A",IF(stdProdLT(Main[[#This Row],[Comments]])=0,"",stdProdLT(Main[[#This Row],[Comments]])))</f>
        <v/>
      </c>
      <c r="H373" s="103" t="str">
        <f>IF(AND(Main[[#This Row],[In Stock Date]]&lt;&gt;"",Main[[#This Row],[Revised Due Date]]&lt;&gt;""),Main[[#This Row],[In Stock Date]]-Main[[#This Row],[Revised Due Date]],"")</f>
        <v/>
      </c>
      <c r="I373" s="99" t="s">
        <v>4</v>
      </c>
      <c r="J373" s="99" t="s">
        <v>4</v>
      </c>
      <c r="K373" s="99" t="s">
        <v>4</v>
      </c>
      <c r="L373" s="101"/>
      <c r="M373" s="104" t="str">
        <f>IF(Main[[#This Row],[Tech Start Date]]&lt;1/1/1990,"",IF(Main[[#This Row],[Class]]="C",WORKDAY(Main[[#This Row],[Tech Start Date]],9),IF(Main[[#This Row],[Class]]="B", WORKDAY(Main[[#This Row],[Tech Start Date]],6),IF(Main[[#This Row],[Class]]="A",WORKDAY(Main[[#This Row],[Tech Start Date]],2),""))))</f>
        <v/>
      </c>
      <c r="N373" s="104" t="str">
        <f>IF(Main[[#This Row],[Tech Start Date]]&lt;1/1/1990,"",IF(Main[[#This Row],[Class]]="C",WORKDAY(Main[[#This Row],[Tech Start Date]],19),IF(Main[[#This Row],[Class]]="B", WORKDAY(Main[[#This Row],[Tech Start Date]],12),IF(Main[[#This Row],[Class]]="A",WORKDAY(Main[[#This Row],[Tech Start Date]],4),""))))</f>
        <v/>
      </c>
      <c r="O373" s="104" t="str">
        <f>IF(Main[[#This Row],[Tech Start Date]]&lt;1/1/1990,"",IF(Main[[#This Row],[Class]]="C",WORKDAY(Main[[#This Row],[Tech Start Date]],23),IF(Main[[#This Row],[Class]]="B", WORKDAY(Main[[#This Row],[Tech Start Date]],15),IF(Main[[#This Row],[Class]]="A",WORKDAY(Main[[#This Row],[Tech Start Date]],5),""))))</f>
        <v/>
      </c>
      <c r="P373" s="104" t="str">
        <f>IF(Main[[#This Row],[Tech Start Date]]&lt;1/1/1990,"",IF(Main[[#This Row],[Class]]="C",WORKDAY(Main[[#This Row],[Tech Start Date]],28),IF(Main[[#This Row],[Class]]="B", WORKDAY(Main[[#This Row],[Tech Start Date]],19),IF(Main[[#This Row],[Class]]="A",WORKDAY(Main[[#This Row],[Tech Start Date]],9),""))))</f>
        <v/>
      </c>
      <c r="Q373" s="101">
        <v>40052</v>
      </c>
      <c r="R373" s="101"/>
      <c r="S373" s="99" t="s">
        <v>11</v>
      </c>
      <c r="T373" s="107" t="s">
        <v>4</v>
      </c>
      <c r="U373" s="99" t="s">
        <v>14</v>
      </c>
      <c r="V373" s="99" t="s">
        <v>1965</v>
      </c>
      <c r="W373" s="99" t="s">
        <v>1964</v>
      </c>
    </row>
    <row r="374" spans="1:23" ht="18.600000000000001" customHeight="1">
      <c r="A374" s="123" t="str">
        <f>IF(priority(Main[[#This Row],[Comments]])&lt;&gt;0, priority(Main[[#This Row],[Comments]]),"")</f>
        <v/>
      </c>
      <c r="B374" s="127" t="s">
        <v>2466</v>
      </c>
      <c r="C374" s="99" t="s">
        <v>4</v>
      </c>
      <c r="D374" s="100" t="s">
        <v>2467</v>
      </c>
      <c r="E374" s="101"/>
      <c r="F374" s="101"/>
      <c r="G374" s="102" t="str">
        <f>IF(stdProdLT(Main[[#This Row],[Comments]])=0.1,"N/A",IF(stdProdLT(Main[[#This Row],[Comments]])=0,"",stdProdLT(Main[[#This Row],[Comments]])))</f>
        <v/>
      </c>
      <c r="H374" s="103" t="str">
        <f>IF(AND(Main[[#This Row],[In Stock Date]]&lt;&gt;"",Main[[#This Row],[Revised Due Date]]&lt;&gt;""),Main[[#This Row],[In Stock Date]]-Main[[#This Row],[Revised Due Date]],"")</f>
        <v/>
      </c>
      <c r="I374" s="99" t="s">
        <v>4</v>
      </c>
      <c r="J374" s="99" t="s">
        <v>4</v>
      </c>
      <c r="K374" s="99" t="s">
        <v>4</v>
      </c>
      <c r="L374" s="101"/>
      <c r="M374" s="104" t="str">
        <f>IF(Main[[#This Row],[Tech Start Date]]&lt;1/1/1990,"",IF(Main[[#This Row],[Class]]="C",WORKDAY(Main[[#This Row],[Tech Start Date]],9),IF(Main[[#This Row],[Class]]="B", WORKDAY(Main[[#This Row],[Tech Start Date]],6),IF(Main[[#This Row],[Class]]="A",WORKDAY(Main[[#This Row],[Tech Start Date]],2),""))))</f>
        <v/>
      </c>
      <c r="N374" s="104" t="str">
        <f>IF(Main[[#This Row],[Tech Start Date]]&lt;1/1/1990,"",IF(Main[[#This Row],[Class]]="C",WORKDAY(Main[[#This Row],[Tech Start Date]],19),IF(Main[[#This Row],[Class]]="B", WORKDAY(Main[[#This Row],[Tech Start Date]],12),IF(Main[[#This Row],[Class]]="A",WORKDAY(Main[[#This Row],[Tech Start Date]],4),""))))</f>
        <v/>
      </c>
      <c r="O374" s="104" t="str">
        <f>IF(Main[[#This Row],[Tech Start Date]]&lt;1/1/1990,"",IF(Main[[#This Row],[Class]]="C",WORKDAY(Main[[#This Row],[Tech Start Date]],23),IF(Main[[#This Row],[Class]]="B", WORKDAY(Main[[#This Row],[Tech Start Date]],15),IF(Main[[#This Row],[Class]]="A",WORKDAY(Main[[#This Row],[Tech Start Date]],5),""))))</f>
        <v/>
      </c>
      <c r="P374" s="104" t="str">
        <f>IF(Main[[#This Row],[Tech Start Date]]&lt;1/1/1990,"",IF(Main[[#This Row],[Class]]="C",WORKDAY(Main[[#This Row],[Tech Start Date]],28),IF(Main[[#This Row],[Class]]="B", WORKDAY(Main[[#This Row],[Tech Start Date]],19),IF(Main[[#This Row],[Class]]="A",WORKDAY(Main[[#This Row],[Tech Start Date]],9),""))))</f>
        <v/>
      </c>
      <c r="Q374" s="101"/>
      <c r="R374" s="101"/>
      <c r="S374" s="99" t="s">
        <v>11</v>
      </c>
      <c r="T374" s="107" t="s">
        <v>4</v>
      </c>
      <c r="U374" s="99" t="s">
        <v>14</v>
      </c>
      <c r="V374" s="99" t="s">
        <v>1963</v>
      </c>
      <c r="W374" s="99" t="s">
        <v>4</v>
      </c>
    </row>
    <row r="375" spans="1:23" ht="18.600000000000001" customHeight="1">
      <c r="A375" s="123" t="str">
        <f>IF(priority(Main[[#This Row],[Comments]])&lt;&gt;0, priority(Main[[#This Row],[Comments]]),"")</f>
        <v/>
      </c>
      <c r="B375" s="127" t="s">
        <v>1878</v>
      </c>
      <c r="C375" s="99" t="s">
        <v>907</v>
      </c>
      <c r="D375" s="100" t="s">
        <v>908</v>
      </c>
      <c r="E375" s="101"/>
      <c r="F375" s="101"/>
      <c r="G375" s="102" t="str">
        <f>IF(stdProdLT(Main[[#This Row],[Comments]])=0.1,"N/A",IF(stdProdLT(Main[[#This Row],[Comments]])=0,"",stdProdLT(Main[[#This Row],[Comments]])))</f>
        <v/>
      </c>
      <c r="H375" s="103" t="str">
        <f>IF(AND(Main[[#This Row],[In Stock Date]]&lt;&gt;"",Main[[#This Row],[Revised Due Date]]&lt;&gt;""),Main[[#This Row],[In Stock Date]]-Main[[#This Row],[Revised Due Date]],"")</f>
        <v/>
      </c>
      <c r="I375" s="99" t="s">
        <v>4</v>
      </c>
      <c r="J375" s="99" t="s">
        <v>4</v>
      </c>
      <c r="K375" s="99" t="s">
        <v>1975</v>
      </c>
      <c r="L375" s="101"/>
      <c r="M375" s="104" t="str">
        <f>IF(Main[[#This Row],[Tech Start Date]]&lt;1/1/1990,"",IF(Main[[#This Row],[Class]]="C",WORKDAY(Main[[#This Row],[Tech Start Date]],9),IF(Main[[#This Row],[Class]]="B", WORKDAY(Main[[#This Row],[Tech Start Date]],6),IF(Main[[#This Row],[Class]]="A",WORKDAY(Main[[#This Row],[Tech Start Date]],2),""))))</f>
        <v/>
      </c>
      <c r="N375" s="104" t="str">
        <f>IF(Main[[#This Row],[Tech Start Date]]&lt;1/1/1990,"",IF(Main[[#This Row],[Class]]="C",WORKDAY(Main[[#This Row],[Tech Start Date]],19),IF(Main[[#This Row],[Class]]="B", WORKDAY(Main[[#This Row],[Tech Start Date]],12),IF(Main[[#This Row],[Class]]="A",WORKDAY(Main[[#This Row],[Tech Start Date]],4),""))))</f>
        <v/>
      </c>
      <c r="O375" s="104" t="str">
        <f>IF(Main[[#This Row],[Tech Start Date]]&lt;1/1/1990,"",IF(Main[[#This Row],[Class]]="C",WORKDAY(Main[[#This Row],[Tech Start Date]],23),IF(Main[[#This Row],[Class]]="B", WORKDAY(Main[[#This Row],[Tech Start Date]],15),IF(Main[[#This Row],[Class]]="A",WORKDAY(Main[[#This Row],[Tech Start Date]],5),""))))</f>
        <v/>
      </c>
      <c r="P375" s="104" t="str">
        <f>IF(Main[[#This Row],[Tech Start Date]]&lt;1/1/1990,"",IF(Main[[#This Row],[Class]]="C",WORKDAY(Main[[#This Row],[Tech Start Date]],28),IF(Main[[#This Row],[Class]]="B", WORKDAY(Main[[#This Row],[Tech Start Date]],19),IF(Main[[#This Row],[Class]]="A",WORKDAY(Main[[#This Row],[Tech Start Date]],9),""))))</f>
        <v/>
      </c>
      <c r="Q375" s="101">
        <v>40436</v>
      </c>
      <c r="R375" s="101">
        <v>40436</v>
      </c>
      <c r="S375" s="99" t="s">
        <v>11</v>
      </c>
      <c r="T375" s="107" t="s">
        <v>4</v>
      </c>
      <c r="U375" s="99" t="s">
        <v>14</v>
      </c>
      <c r="V375" s="99" t="s">
        <v>1963</v>
      </c>
      <c r="W375" s="99" t="s">
        <v>1964</v>
      </c>
    </row>
    <row r="376" spans="1:23" ht="18.600000000000001" customHeight="1">
      <c r="A376" s="123" t="str">
        <f>IF(priority(Main[[#This Row],[Comments]])&lt;&gt;0, priority(Main[[#This Row],[Comments]]),"")</f>
        <v/>
      </c>
      <c r="B376" s="127" t="s">
        <v>1265</v>
      </c>
      <c r="C376" s="99" t="s">
        <v>113</v>
      </c>
      <c r="D376" s="100" t="s">
        <v>297</v>
      </c>
      <c r="E376" s="101"/>
      <c r="F376" s="101">
        <v>40193</v>
      </c>
      <c r="G376" s="102" t="str">
        <f>IF(stdProdLT(Main[[#This Row],[Comments]])=0.1,"N/A",IF(stdProdLT(Main[[#This Row],[Comments]])=0,"",stdProdLT(Main[[#This Row],[Comments]])))</f>
        <v/>
      </c>
      <c r="H376" s="103" t="str">
        <f>IF(AND(Main[[#This Row],[In Stock Date]]&lt;&gt;"",Main[[#This Row],[Revised Due Date]]&lt;&gt;""),Main[[#This Row],[In Stock Date]]-Main[[#This Row],[Revised Due Date]],"")</f>
        <v/>
      </c>
      <c r="I376" s="99" t="s">
        <v>4</v>
      </c>
      <c r="J376" s="99" t="s">
        <v>4</v>
      </c>
      <c r="K376" s="99" t="s">
        <v>4</v>
      </c>
      <c r="L376" s="101"/>
      <c r="M376" s="104" t="str">
        <f>IF(Main[[#This Row],[Tech Start Date]]&lt;1/1/1990,"",IF(Main[[#This Row],[Class]]="C",WORKDAY(Main[[#This Row],[Tech Start Date]],9),IF(Main[[#This Row],[Class]]="B", WORKDAY(Main[[#This Row],[Tech Start Date]],6),IF(Main[[#This Row],[Class]]="A",WORKDAY(Main[[#This Row],[Tech Start Date]],2),""))))</f>
        <v/>
      </c>
      <c r="N376" s="104" t="str">
        <f>IF(Main[[#This Row],[Tech Start Date]]&lt;1/1/1990,"",IF(Main[[#This Row],[Class]]="C",WORKDAY(Main[[#This Row],[Tech Start Date]],19),IF(Main[[#This Row],[Class]]="B", WORKDAY(Main[[#This Row],[Tech Start Date]],12),IF(Main[[#This Row],[Class]]="A",WORKDAY(Main[[#This Row],[Tech Start Date]],4),""))))</f>
        <v/>
      </c>
      <c r="O376" s="104" t="str">
        <f>IF(Main[[#This Row],[Tech Start Date]]&lt;1/1/1990,"",IF(Main[[#This Row],[Class]]="C",WORKDAY(Main[[#This Row],[Tech Start Date]],23),IF(Main[[#This Row],[Class]]="B", WORKDAY(Main[[#This Row],[Tech Start Date]],15),IF(Main[[#This Row],[Class]]="A",WORKDAY(Main[[#This Row],[Tech Start Date]],5),""))))</f>
        <v/>
      </c>
      <c r="P376" s="104" t="str">
        <f>IF(Main[[#This Row],[Tech Start Date]]&lt;1/1/1990,"",IF(Main[[#This Row],[Class]]="C",WORKDAY(Main[[#This Row],[Tech Start Date]],28),IF(Main[[#This Row],[Class]]="B", WORKDAY(Main[[#This Row],[Tech Start Date]],19),IF(Main[[#This Row],[Class]]="A",WORKDAY(Main[[#This Row],[Tech Start Date]],9),""))))</f>
        <v/>
      </c>
      <c r="Q376" s="101"/>
      <c r="R376" s="101"/>
      <c r="S376" s="99" t="s">
        <v>11</v>
      </c>
      <c r="T376" s="107" t="s">
        <v>4</v>
      </c>
      <c r="U376" s="99" t="s">
        <v>14</v>
      </c>
      <c r="V376" s="99" t="s">
        <v>1972</v>
      </c>
      <c r="W376" s="99" t="s">
        <v>1968</v>
      </c>
    </row>
    <row r="377" spans="1:23" ht="18.600000000000001" customHeight="1">
      <c r="A377" s="123" t="str">
        <f>IF(priority(Main[[#This Row],[Comments]])&lt;&gt;0, priority(Main[[#This Row],[Comments]]),"")</f>
        <v/>
      </c>
      <c r="B377" s="127" t="s">
        <v>1266</v>
      </c>
      <c r="C377" s="99" t="s">
        <v>4</v>
      </c>
      <c r="D377" s="100" t="s">
        <v>298</v>
      </c>
      <c r="E377" s="101"/>
      <c r="F377" s="101"/>
      <c r="G377" s="102" t="str">
        <f>IF(stdProdLT(Main[[#This Row],[Comments]])=0.1,"N/A",IF(stdProdLT(Main[[#This Row],[Comments]])=0,"",stdProdLT(Main[[#This Row],[Comments]])))</f>
        <v/>
      </c>
      <c r="H377" s="103" t="str">
        <f>IF(AND(Main[[#This Row],[In Stock Date]]&lt;&gt;"",Main[[#This Row],[Revised Due Date]]&lt;&gt;""),Main[[#This Row],[In Stock Date]]-Main[[#This Row],[Revised Due Date]],"")</f>
        <v/>
      </c>
      <c r="I377" s="99" t="s">
        <v>4</v>
      </c>
      <c r="J377" s="99" t="s">
        <v>28</v>
      </c>
      <c r="K377" s="99" t="s">
        <v>4</v>
      </c>
      <c r="L377" s="101"/>
      <c r="M377" s="104" t="str">
        <f>IF(Main[[#This Row],[Tech Start Date]]&lt;1/1/1990,"",IF(Main[[#This Row],[Class]]="C",WORKDAY(Main[[#This Row],[Tech Start Date]],9),IF(Main[[#This Row],[Class]]="B", WORKDAY(Main[[#This Row],[Tech Start Date]],6),IF(Main[[#This Row],[Class]]="A",WORKDAY(Main[[#This Row],[Tech Start Date]],2),""))))</f>
        <v/>
      </c>
      <c r="N377" s="104" t="str">
        <f>IF(Main[[#This Row],[Tech Start Date]]&lt;1/1/1990,"",IF(Main[[#This Row],[Class]]="C",WORKDAY(Main[[#This Row],[Tech Start Date]],19),IF(Main[[#This Row],[Class]]="B", WORKDAY(Main[[#This Row],[Tech Start Date]],12),IF(Main[[#This Row],[Class]]="A",WORKDAY(Main[[#This Row],[Tech Start Date]],4),""))))</f>
        <v/>
      </c>
      <c r="O377" s="104" t="str">
        <f>IF(Main[[#This Row],[Tech Start Date]]&lt;1/1/1990,"",IF(Main[[#This Row],[Class]]="C",WORKDAY(Main[[#This Row],[Tech Start Date]],23),IF(Main[[#This Row],[Class]]="B", WORKDAY(Main[[#This Row],[Tech Start Date]],15),IF(Main[[#This Row],[Class]]="A",WORKDAY(Main[[#This Row],[Tech Start Date]],5),""))))</f>
        <v/>
      </c>
      <c r="P377" s="104" t="str">
        <f>IF(Main[[#This Row],[Tech Start Date]]&lt;1/1/1990,"",IF(Main[[#This Row],[Class]]="C",WORKDAY(Main[[#This Row],[Tech Start Date]],28),IF(Main[[#This Row],[Class]]="B", WORKDAY(Main[[#This Row],[Tech Start Date]],19),IF(Main[[#This Row],[Class]]="A",WORKDAY(Main[[#This Row],[Tech Start Date]],9),""))))</f>
        <v/>
      </c>
      <c r="Q377" s="101">
        <v>40471</v>
      </c>
      <c r="R377" s="101"/>
      <c r="S377" s="99" t="s">
        <v>6</v>
      </c>
      <c r="T377" s="107" t="s">
        <v>4</v>
      </c>
      <c r="U377" s="99" t="s">
        <v>14</v>
      </c>
      <c r="V377" s="99" t="s">
        <v>1972</v>
      </c>
      <c r="W377" s="99" t="s">
        <v>1964</v>
      </c>
    </row>
    <row r="378" spans="1:23" ht="18.600000000000001" customHeight="1">
      <c r="A378" s="123" t="str">
        <f>IF(priority(Main[[#This Row],[Comments]])&lt;&gt;0, priority(Main[[#This Row],[Comments]]),"")</f>
        <v/>
      </c>
      <c r="B378" s="127" t="s">
        <v>1267</v>
      </c>
      <c r="C378" s="99" t="s">
        <v>4</v>
      </c>
      <c r="D378" s="100" t="s">
        <v>97</v>
      </c>
      <c r="E378" s="101"/>
      <c r="F378" s="101"/>
      <c r="G378" s="102" t="str">
        <f>IF(stdProdLT(Main[[#This Row],[Comments]])=0.1,"N/A",IF(stdProdLT(Main[[#This Row],[Comments]])=0,"",stdProdLT(Main[[#This Row],[Comments]])))</f>
        <v/>
      </c>
      <c r="H378" s="103" t="str">
        <f>IF(AND(Main[[#This Row],[In Stock Date]]&lt;&gt;"",Main[[#This Row],[Revised Due Date]]&lt;&gt;""),Main[[#This Row],[In Stock Date]]-Main[[#This Row],[Revised Due Date]],"")</f>
        <v/>
      </c>
      <c r="I378" s="99" t="s">
        <v>4</v>
      </c>
      <c r="J378" s="99" t="s">
        <v>4</v>
      </c>
      <c r="K378" s="99" t="s">
        <v>4</v>
      </c>
      <c r="L378" s="101"/>
      <c r="M378" s="104" t="str">
        <f>IF(Main[[#This Row],[Tech Start Date]]&lt;1/1/1990,"",IF(Main[[#This Row],[Class]]="C",WORKDAY(Main[[#This Row],[Tech Start Date]],9),IF(Main[[#This Row],[Class]]="B", WORKDAY(Main[[#This Row],[Tech Start Date]],6),IF(Main[[#This Row],[Class]]="A",WORKDAY(Main[[#This Row],[Tech Start Date]],2),""))))</f>
        <v/>
      </c>
      <c r="N378" s="104" t="str">
        <f>IF(Main[[#This Row],[Tech Start Date]]&lt;1/1/1990,"",IF(Main[[#This Row],[Class]]="C",WORKDAY(Main[[#This Row],[Tech Start Date]],19),IF(Main[[#This Row],[Class]]="B", WORKDAY(Main[[#This Row],[Tech Start Date]],12),IF(Main[[#This Row],[Class]]="A",WORKDAY(Main[[#This Row],[Tech Start Date]],4),""))))</f>
        <v/>
      </c>
      <c r="O378" s="104" t="str">
        <f>IF(Main[[#This Row],[Tech Start Date]]&lt;1/1/1990,"",IF(Main[[#This Row],[Class]]="C",WORKDAY(Main[[#This Row],[Tech Start Date]],23),IF(Main[[#This Row],[Class]]="B", WORKDAY(Main[[#This Row],[Tech Start Date]],15),IF(Main[[#This Row],[Class]]="A",WORKDAY(Main[[#This Row],[Tech Start Date]],5),""))))</f>
        <v/>
      </c>
      <c r="P378" s="104" t="str">
        <f>IF(Main[[#This Row],[Tech Start Date]]&lt;1/1/1990,"",IF(Main[[#This Row],[Class]]="C",WORKDAY(Main[[#This Row],[Tech Start Date]],28),IF(Main[[#This Row],[Class]]="B", WORKDAY(Main[[#This Row],[Tech Start Date]],19),IF(Main[[#This Row],[Class]]="A",WORKDAY(Main[[#This Row],[Tech Start Date]],9),""))))</f>
        <v/>
      </c>
      <c r="Q378" s="101">
        <v>40858</v>
      </c>
      <c r="R378" s="101"/>
      <c r="S378" s="99" t="s">
        <v>17</v>
      </c>
      <c r="T378" s="107" t="s">
        <v>4</v>
      </c>
      <c r="U378" s="99" t="s">
        <v>14</v>
      </c>
      <c r="V378" s="99" t="s">
        <v>1962</v>
      </c>
      <c r="W378" s="99" t="s">
        <v>1967</v>
      </c>
    </row>
    <row r="379" spans="1:23" ht="18.600000000000001" customHeight="1">
      <c r="A379" s="123" t="str">
        <f>IF(priority(Main[[#This Row],[Comments]])&lt;&gt;0, priority(Main[[#This Row],[Comments]]),"")</f>
        <v/>
      </c>
      <c r="B379" s="127" t="s">
        <v>1269</v>
      </c>
      <c r="C379" s="99" t="s">
        <v>4</v>
      </c>
      <c r="D379" s="100" t="s">
        <v>300</v>
      </c>
      <c r="E379" s="101"/>
      <c r="F379" s="101"/>
      <c r="G379" s="102" t="str">
        <f>IF(stdProdLT(Main[[#This Row],[Comments]])=0.1,"N/A",IF(stdProdLT(Main[[#This Row],[Comments]])=0,"",stdProdLT(Main[[#This Row],[Comments]])))</f>
        <v/>
      </c>
      <c r="H379" s="103" t="str">
        <f>IF(AND(Main[[#This Row],[In Stock Date]]&lt;&gt;"",Main[[#This Row],[Revised Due Date]]&lt;&gt;""),Main[[#This Row],[In Stock Date]]-Main[[#This Row],[Revised Due Date]],"")</f>
        <v/>
      </c>
      <c r="I379" s="99" t="s">
        <v>4</v>
      </c>
      <c r="J379" s="99" t="s">
        <v>28</v>
      </c>
      <c r="K379" s="99" t="s">
        <v>4</v>
      </c>
      <c r="L379" s="101"/>
      <c r="M379" s="104" t="str">
        <f>IF(Main[[#This Row],[Tech Start Date]]&lt;1/1/1990,"",IF(Main[[#This Row],[Class]]="C",WORKDAY(Main[[#This Row],[Tech Start Date]],9),IF(Main[[#This Row],[Class]]="B", WORKDAY(Main[[#This Row],[Tech Start Date]],6),IF(Main[[#This Row],[Class]]="A",WORKDAY(Main[[#This Row],[Tech Start Date]],2),""))))</f>
        <v/>
      </c>
      <c r="N379" s="104" t="str">
        <f>IF(Main[[#This Row],[Tech Start Date]]&lt;1/1/1990,"",IF(Main[[#This Row],[Class]]="C",WORKDAY(Main[[#This Row],[Tech Start Date]],19),IF(Main[[#This Row],[Class]]="B", WORKDAY(Main[[#This Row],[Tech Start Date]],12),IF(Main[[#This Row],[Class]]="A",WORKDAY(Main[[#This Row],[Tech Start Date]],4),""))))</f>
        <v/>
      </c>
      <c r="O379" s="104" t="str">
        <f>IF(Main[[#This Row],[Tech Start Date]]&lt;1/1/1990,"",IF(Main[[#This Row],[Class]]="C",WORKDAY(Main[[#This Row],[Tech Start Date]],23),IF(Main[[#This Row],[Class]]="B", WORKDAY(Main[[#This Row],[Tech Start Date]],15),IF(Main[[#This Row],[Class]]="A",WORKDAY(Main[[#This Row],[Tech Start Date]],5),""))))</f>
        <v/>
      </c>
      <c r="P379" s="104" t="str">
        <f>IF(Main[[#This Row],[Tech Start Date]]&lt;1/1/1990,"",IF(Main[[#This Row],[Class]]="C",WORKDAY(Main[[#This Row],[Tech Start Date]],28),IF(Main[[#This Row],[Class]]="B", WORKDAY(Main[[#This Row],[Tech Start Date]],19),IF(Main[[#This Row],[Class]]="A",WORKDAY(Main[[#This Row],[Tech Start Date]],9),""))))</f>
        <v/>
      </c>
      <c r="Q379" s="101">
        <v>40471</v>
      </c>
      <c r="R379" s="101"/>
      <c r="S379" s="99" t="s">
        <v>301</v>
      </c>
      <c r="T379" s="107" t="s">
        <v>4</v>
      </c>
      <c r="U379" s="99" t="s">
        <v>14</v>
      </c>
      <c r="V379" s="99" t="s">
        <v>1972</v>
      </c>
      <c r="W379" s="99" t="s">
        <v>1964</v>
      </c>
    </row>
    <row r="380" spans="1:23" ht="18.600000000000001" customHeight="1">
      <c r="A380" s="123" t="str">
        <f>IF(priority(Main[[#This Row],[Comments]])&lt;&gt;0, priority(Main[[#This Row],[Comments]]),"")</f>
        <v/>
      </c>
      <c r="B380" s="127" t="s">
        <v>1270</v>
      </c>
      <c r="C380" s="99" t="s">
        <v>93</v>
      </c>
      <c r="D380" s="100" t="s">
        <v>302</v>
      </c>
      <c r="E380" s="101"/>
      <c r="F380" s="101">
        <v>40210</v>
      </c>
      <c r="G380" s="102" t="str">
        <f>IF(stdProdLT(Main[[#This Row],[Comments]])=0.1,"N/A",IF(stdProdLT(Main[[#This Row],[Comments]])=0,"",stdProdLT(Main[[#This Row],[Comments]])))</f>
        <v/>
      </c>
      <c r="H380" s="103" t="str">
        <f>IF(AND(Main[[#This Row],[In Stock Date]]&lt;&gt;"",Main[[#This Row],[Revised Due Date]]&lt;&gt;""),Main[[#This Row],[In Stock Date]]-Main[[#This Row],[Revised Due Date]],"")</f>
        <v/>
      </c>
      <c r="I380" s="99" t="s">
        <v>4</v>
      </c>
      <c r="J380" s="99" t="s">
        <v>4</v>
      </c>
      <c r="K380" s="108" t="s">
        <v>4</v>
      </c>
      <c r="L380" s="101"/>
      <c r="M380" s="104" t="str">
        <f>IF(Main[[#This Row],[Tech Start Date]]&lt;1/1/1990,"",IF(Main[[#This Row],[Class]]="C",WORKDAY(Main[[#This Row],[Tech Start Date]],9),IF(Main[[#This Row],[Class]]="B", WORKDAY(Main[[#This Row],[Tech Start Date]],6),IF(Main[[#This Row],[Class]]="A",WORKDAY(Main[[#This Row],[Tech Start Date]],2),""))))</f>
        <v/>
      </c>
      <c r="N380" s="104" t="str">
        <f>IF(Main[[#This Row],[Tech Start Date]]&lt;1/1/1990,"",IF(Main[[#This Row],[Class]]="C",WORKDAY(Main[[#This Row],[Tech Start Date]],19),IF(Main[[#This Row],[Class]]="B", WORKDAY(Main[[#This Row],[Tech Start Date]],12),IF(Main[[#This Row],[Class]]="A",WORKDAY(Main[[#This Row],[Tech Start Date]],4),""))))</f>
        <v/>
      </c>
      <c r="O380" s="104" t="str">
        <f>IF(Main[[#This Row],[Tech Start Date]]&lt;1/1/1990,"",IF(Main[[#This Row],[Class]]="C",WORKDAY(Main[[#This Row],[Tech Start Date]],23),IF(Main[[#This Row],[Class]]="B", WORKDAY(Main[[#This Row],[Tech Start Date]],15),IF(Main[[#This Row],[Class]]="A",WORKDAY(Main[[#This Row],[Tech Start Date]],5),""))))</f>
        <v/>
      </c>
      <c r="P380" s="104" t="str">
        <f>IF(Main[[#This Row],[Tech Start Date]]&lt;1/1/1990,"",IF(Main[[#This Row],[Class]]="C",WORKDAY(Main[[#This Row],[Tech Start Date]],28),IF(Main[[#This Row],[Class]]="B", WORKDAY(Main[[#This Row],[Tech Start Date]],19),IF(Main[[#This Row],[Class]]="A",WORKDAY(Main[[#This Row],[Tech Start Date]],9),""))))</f>
        <v/>
      </c>
      <c r="Q380" s="101">
        <v>40145</v>
      </c>
      <c r="R380" s="101"/>
      <c r="S380" s="99" t="s">
        <v>11</v>
      </c>
      <c r="T380" s="107" t="s">
        <v>4</v>
      </c>
      <c r="U380" s="99" t="s">
        <v>14</v>
      </c>
      <c r="V380" s="99" t="s">
        <v>1962</v>
      </c>
      <c r="W380" s="99" t="s">
        <v>1968</v>
      </c>
    </row>
    <row r="381" spans="1:23" ht="18.600000000000001" customHeight="1">
      <c r="A381" s="123" t="str">
        <f>IF(priority(Main[[#This Row],[Comments]])&lt;&gt;0, priority(Main[[#This Row],[Comments]]),"")</f>
        <v/>
      </c>
      <c r="B381" s="127" t="s">
        <v>1271</v>
      </c>
      <c r="C381" s="99" t="s">
        <v>63</v>
      </c>
      <c r="D381" s="100" t="s">
        <v>303</v>
      </c>
      <c r="E381" s="101"/>
      <c r="F381" s="101">
        <v>40513</v>
      </c>
      <c r="G381" s="102" t="str">
        <f>IF(stdProdLT(Main[[#This Row],[Comments]])=0.1,"N/A",IF(stdProdLT(Main[[#This Row],[Comments]])=0,"",stdProdLT(Main[[#This Row],[Comments]])))</f>
        <v/>
      </c>
      <c r="H381" s="103" t="str">
        <f>IF(AND(Main[[#This Row],[In Stock Date]]&lt;&gt;"",Main[[#This Row],[Revised Due Date]]&lt;&gt;""),Main[[#This Row],[In Stock Date]]-Main[[#This Row],[Revised Due Date]],"")</f>
        <v/>
      </c>
      <c r="I381" s="99" t="s">
        <v>65</v>
      </c>
      <c r="J381" s="99" t="s">
        <v>28</v>
      </c>
      <c r="K381" s="99" t="s">
        <v>4</v>
      </c>
      <c r="L381" s="101"/>
      <c r="M381" s="104" t="str">
        <f>IF(Main[[#This Row],[Tech Start Date]]&lt;1/1/1990,"",IF(Main[[#This Row],[Class]]="C",WORKDAY(Main[[#This Row],[Tech Start Date]],9),IF(Main[[#This Row],[Class]]="B", WORKDAY(Main[[#This Row],[Tech Start Date]],6),IF(Main[[#This Row],[Class]]="A",WORKDAY(Main[[#This Row],[Tech Start Date]],2),""))))</f>
        <v/>
      </c>
      <c r="N381" s="104" t="str">
        <f>IF(Main[[#This Row],[Tech Start Date]]&lt;1/1/1990,"",IF(Main[[#This Row],[Class]]="C",WORKDAY(Main[[#This Row],[Tech Start Date]],19),IF(Main[[#This Row],[Class]]="B", WORKDAY(Main[[#This Row],[Tech Start Date]],12),IF(Main[[#This Row],[Class]]="A",WORKDAY(Main[[#This Row],[Tech Start Date]],4),""))))</f>
        <v/>
      </c>
      <c r="O381" s="104" t="str">
        <f>IF(Main[[#This Row],[Tech Start Date]]&lt;1/1/1990,"",IF(Main[[#This Row],[Class]]="C",WORKDAY(Main[[#This Row],[Tech Start Date]],23),IF(Main[[#This Row],[Class]]="B", WORKDAY(Main[[#This Row],[Tech Start Date]],15),IF(Main[[#This Row],[Class]]="A",WORKDAY(Main[[#This Row],[Tech Start Date]],5),""))))</f>
        <v/>
      </c>
      <c r="P381" s="104" t="str">
        <f>IF(Main[[#This Row],[Tech Start Date]]&lt;1/1/1990,"",IF(Main[[#This Row],[Class]]="C",WORKDAY(Main[[#This Row],[Tech Start Date]],28),IF(Main[[#This Row],[Class]]="B", WORKDAY(Main[[#This Row],[Tech Start Date]],19),IF(Main[[#This Row],[Class]]="A",WORKDAY(Main[[#This Row],[Tech Start Date]],9),""))))</f>
        <v/>
      </c>
      <c r="Q381" s="101">
        <v>40513</v>
      </c>
      <c r="R381" s="101"/>
      <c r="S381" s="99" t="s">
        <v>11</v>
      </c>
      <c r="T381" s="107" t="s">
        <v>4</v>
      </c>
      <c r="U381" s="99" t="s">
        <v>14</v>
      </c>
      <c r="V381" s="99" t="s">
        <v>1965</v>
      </c>
      <c r="W381" s="99" t="s">
        <v>1970</v>
      </c>
    </row>
    <row r="382" spans="1:23" ht="18.600000000000001" customHeight="1">
      <c r="A382" s="123" t="str">
        <f>IF(priority(Main[[#This Row],[Comments]])&lt;&gt;0, priority(Main[[#This Row],[Comments]]),"")</f>
        <v/>
      </c>
      <c r="B382" s="127" t="s">
        <v>1272</v>
      </c>
      <c r="C382" s="99" t="s">
        <v>4</v>
      </c>
      <c r="D382" s="100" t="s">
        <v>305</v>
      </c>
      <c r="E382" s="101"/>
      <c r="F382" s="101"/>
      <c r="G382" s="102" t="str">
        <f>IF(stdProdLT(Main[[#This Row],[Comments]])=0.1,"N/A",IF(stdProdLT(Main[[#This Row],[Comments]])=0,"",stdProdLT(Main[[#This Row],[Comments]])))</f>
        <v/>
      </c>
      <c r="H382" s="103" t="str">
        <f>IF(AND(Main[[#This Row],[In Stock Date]]&lt;&gt;"",Main[[#This Row],[Revised Due Date]]&lt;&gt;""),Main[[#This Row],[In Stock Date]]-Main[[#This Row],[Revised Due Date]],"")</f>
        <v/>
      </c>
      <c r="I382" s="99" t="s">
        <v>4</v>
      </c>
      <c r="J382" s="99" t="s">
        <v>28</v>
      </c>
      <c r="K382" s="99" t="s">
        <v>1971</v>
      </c>
      <c r="L382" s="101"/>
      <c r="M382" s="104" t="str">
        <f>IF(Main[[#This Row],[Tech Start Date]]&lt;1/1/1990,"",IF(Main[[#This Row],[Class]]="C",WORKDAY(Main[[#This Row],[Tech Start Date]],9),IF(Main[[#This Row],[Class]]="B", WORKDAY(Main[[#This Row],[Tech Start Date]],6),IF(Main[[#This Row],[Class]]="A",WORKDAY(Main[[#This Row],[Tech Start Date]],2),""))))</f>
        <v/>
      </c>
      <c r="N382" s="104" t="str">
        <f>IF(Main[[#This Row],[Tech Start Date]]&lt;1/1/1990,"",IF(Main[[#This Row],[Class]]="C",WORKDAY(Main[[#This Row],[Tech Start Date]],19),IF(Main[[#This Row],[Class]]="B", WORKDAY(Main[[#This Row],[Tech Start Date]],12),IF(Main[[#This Row],[Class]]="A",WORKDAY(Main[[#This Row],[Tech Start Date]],4),""))))</f>
        <v/>
      </c>
      <c r="O382" s="104" t="str">
        <f>IF(Main[[#This Row],[Tech Start Date]]&lt;1/1/1990,"",IF(Main[[#This Row],[Class]]="C",WORKDAY(Main[[#This Row],[Tech Start Date]],23),IF(Main[[#This Row],[Class]]="B", WORKDAY(Main[[#This Row],[Tech Start Date]],15),IF(Main[[#This Row],[Class]]="A",WORKDAY(Main[[#This Row],[Tech Start Date]],5),""))))</f>
        <v/>
      </c>
      <c r="P382" s="104" t="str">
        <f>IF(Main[[#This Row],[Tech Start Date]]&lt;1/1/1990,"",IF(Main[[#This Row],[Class]]="C",WORKDAY(Main[[#This Row],[Tech Start Date]],28),IF(Main[[#This Row],[Class]]="B", WORKDAY(Main[[#This Row],[Tech Start Date]],19),IF(Main[[#This Row],[Class]]="A",WORKDAY(Main[[#This Row],[Tech Start Date]],9),""))))</f>
        <v/>
      </c>
      <c r="Q382" s="101">
        <v>40661</v>
      </c>
      <c r="R382" s="101"/>
      <c r="S382" s="99" t="s">
        <v>6</v>
      </c>
      <c r="T382" s="107" t="s">
        <v>4</v>
      </c>
      <c r="U382" s="99" t="s">
        <v>14</v>
      </c>
      <c r="V382" s="99" t="s">
        <v>1965</v>
      </c>
      <c r="W382" s="99" t="s">
        <v>1966</v>
      </c>
    </row>
    <row r="383" spans="1:23" ht="18.600000000000001" customHeight="1">
      <c r="A383" s="123" t="str">
        <f>IF(priority(Main[[#This Row],[Comments]])&lt;&gt;0, priority(Main[[#This Row],[Comments]]),"")</f>
        <v/>
      </c>
      <c r="B383" s="127" t="s">
        <v>1273</v>
      </c>
      <c r="C383" s="99" t="s">
        <v>4</v>
      </c>
      <c r="D383" s="100" t="s">
        <v>306</v>
      </c>
      <c r="E383" s="101"/>
      <c r="F383" s="101"/>
      <c r="G383" s="102" t="str">
        <f>IF(stdProdLT(Main[[#This Row],[Comments]])=0.1,"N/A",IF(stdProdLT(Main[[#This Row],[Comments]])=0,"",stdProdLT(Main[[#This Row],[Comments]])))</f>
        <v/>
      </c>
      <c r="H383" s="103" t="str">
        <f>IF(AND(Main[[#This Row],[In Stock Date]]&lt;&gt;"",Main[[#This Row],[Revised Due Date]]&lt;&gt;""),Main[[#This Row],[In Stock Date]]-Main[[#This Row],[Revised Due Date]],"")</f>
        <v/>
      </c>
      <c r="I383" s="99" t="s">
        <v>4</v>
      </c>
      <c r="J383" s="99" t="s">
        <v>4</v>
      </c>
      <c r="K383" s="99" t="s">
        <v>4</v>
      </c>
      <c r="L383" s="101"/>
      <c r="M383" s="104" t="str">
        <f>IF(Main[[#This Row],[Tech Start Date]]&lt;1/1/1990,"",IF(Main[[#This Row],[Class]]="C",WORKDAY(Main[[#This Row],[Tech Start Date]],9),IF(Main[[#This Row],[Class]]="B", WORKDAY(Main[[#This Row],[Tech Start Date]],6),IF(Main[[#This Row],[Class]]="A",WORKDAY(Main[[#This Row],[Tech Start Date]],2),""))))</f>
        <v/>
      </c>
      <c r="N383" s="104" t="str">
        <f>IF(Main[[#This Row],[Tech Start Date]]&lt;1/1/1990,"",IF(Main[[#This Row],[Class]]="C",WORKDAY(Main[[#This Row],[Tech Start Date]],19),IF(Main[[#This Row],[Class]]="B", WORKDAY(Main[[#This Row],[Tech Start Date]],12),IF(Main[[#This Row],[Class]]="A",WORKDAY(Main[[#This Row],[Tech Start Date]],4),""))))</f>
        <v/>
      </c>
      <c r="O383" s="104" t="str">
        <f>IF(Main[[#This Row],[Tech Start Date]]&lt;1/1/1990,"",IF(Main[[#This Row],[Class]]="C",WORKDAY(Main[[#This Row],[Tech Start Date]],23),IF(Main[[#This Row],[Class]]="B", WORKDAY(Main[[#This Row],[Tech Start Date]],15),IF(Main[[#This Row],[Class]]="A",WORKDAY(Main[[#This Row],[Tech Start Date]],5),""))))</f>
        <v/>
      </c>
      <c r="P383" s="104" t="str">
        <f>IF(Main[[#This Row],[Tech Start Date]]&lt;1/1/1990,"",IF(Main[[#This Row],[Class]]="C",WORKDAY(Main[[#This Row],[Tech Start Date]],28),IF(Main[[#This Row],[Class]]="B", WORKDAY(Main[[#This Row],[Tech Start Date]],19),IF(Main[[#This Row],[Class]]="A",WORKDAY(Main[[#This Row],[Tech Start Date]],9),""))))</f>
        <v/>
      </c>
      <c r="Q383" s="101">
        <v>40287</v>
      </c>
      <c r="R383" s="101"/>
      <c r="S383" s="99" t="s">
        <v>11</v>
      </c>
      <c r="T383" s="107" t="s">
        <v>4</v>
      </c>
      <c r="U383" s="99" t="s">
        <v>14</v>
      </c>
      <c r="V383" s="99" t="s">
        <v>1962</v>
      </c>
      <c r="W383" s="99" t="s">
        <v>1968</v>
      </c>
    </row>
    <row r="384" spans="1:23" ht="18.600000000000001" customHeight="1">
      <c r="A384" s="123" t="str">
        <f>IF(priority(Main[[#This Row],[Comments]])&lt;&gt;0, priority(Main[[#This Row],[Comments]]),"")</f>
        <v/>
      </c>
      <c r="B384" s="127" t="s">
        <v>1274</v>
      </c>
      <c r="C384" s="99" t="s">
        <v>93</v>
      </c>
      <c r="D384" s="100" t="s">
        <v>307</v>
      </c>
      <c r="E384" s="101"/>
      <c r="F384" s="101">
        <v>40210</v>
      </c>
      <c r="G384" s="102" t="str">
        <f>IF(stdProdLT(Main[[#This Row],[Comments]])=0.1,"N/A",IF(stdProdLT(Main[[#This Row],[Comments]])=0,"",stdProdLT(Main[[#This Row],[Comments]])))</f>
        <v/>
      </c>
      <c r="H384" s="103" t="str">
        <f>IF(AND(Main[[#This Row],[In Stock Date]]&lt;&gt;"",Main[[#This Row],[Revised Due Date]]&lt;&gt;""),Main[[#This Row],[In Stock Date]]-Main[[#This Row],[Revised Due Date]],"")</f>
        <v/>
      </c>
      <c r="I384" s="99" t="s">
        <v>4</v>
      </c>
      <c r="J384" s="99" t="s">
        <v>4</v>
      </c>
      <c r="K384" s="99" t="s">
        <v>4</v>
      </c>
      <c r="L384" s="101"/>
      <c r="M384" s="104" t="str">
        <f>IF(Main[[#This Row],[Tech Start Date]]&lt;1/1/1990,"",IF(Main[[#This Row],[Class]]="C",WORKDAY(Main[[#This Row],[Tech Start Date]],9),IF(Main[[#This Row],[Class]]="B", WORKDAY(Main[[#This Row],[Tech Start Date]],6),IF(Main[[#This Row],[Class]]="A",WORKDAY(Main[[#This Row],[Tech Start Date]],2),""))))</f>
        <v/>
      </c>
      <c r="N384" s="104" t="str">
        <f>IF(Main[[#This Row],[Tech Start Date]]&lt;1/1/1990,"",IF(Main[[#This Row],[Class]]="C",WORKDAY(Main[[#This Row],[Tech Start Date]],19),IF(Main[[#This Row],[Class]]="B", WORKDAY(Main[[#This Row],[Tech Start Date]],12),IF(Main[[#This Row],[Class]]="A",WORKDAY(Main[[#This Row],[Tech Start Date]],4),""))))</f>
        <v/>
      </c>
      <c r="O384" s="104" t="str">
        <f>IF(Main[[#This Row],[Tech Start Date]]&lt;1/1/1990,"",IF(Main[[#This Row],[Class]]="C",WORKDAY(Main[[#This Row],[Tech Start Date]],23),IF(Main[[#This Row],[Class]]="B", WORKDAY(Main[[#This Row],[Tech Start Date]],15),IF(Main[[#This Row],[Class]]="A",WORKDAY(Main[[#This Row],[Tech Start Date]],5),""))))</f>
        <v/>
      </c>
      <c r="P384" s="104" t="str">
        <f>IF(Main[[#This Row],[Tech Start Date]]&lt;1/1/1990,"",IF(Main[[#This Row],[Class]]="C",WORKDAY(Main[[#This Row],[Tech Start Date]],28),IF(Main[[#This Row],[Class]]="B", WORKDAY(Main[[#This Row],[Tech Start Date]],19),IF(Main[[#This Row],[Class]]="A",WORKDAY(Main[[#This Row],[Tech Start Date]],9),""))))</f>
        <v/>
      </c>
      <c r="Q384" s="101">
        <v>40210</v>
      </c>
      <c r="R384" s="101"/>
      <c r="S384" s="99" t="s">
        <v>11</v>
      </c>
      <c r="T384" s="107" t="s">
        <v>4</v>
      </c>
      <c r="U384" s="99" t="s">
        <v>12</v>
      </c>
      <c r="V384" s="99" t="s">
        <v>1972</v>
      </c>
      <c r="W384" s="99" t="s">
        <v>1973</v>
      </c>
    </row>
    <row r="385" spans="1:23" ht="18.600000000000001" customHeight="1">
      <c r="A385" s="123" t="str">
        <f>IF(priority(Main[[#This Row],[Comments]])&lt;&gt;0, priority(Main[[#This Row],[Comments]]),"")</f>
        <v/>
      </c>
      <c r="B385" s="127" t="s">
        <v>1275</v>
      </c>
      <c r="C385" s="99" t="s">
        <v>31</v>
      </c>
      <c r="D385" s="100" t="s">
        <v>308</v>
      </c>
      <c r="E385" s="101"/>
      <c r="F385" s="101">
        <v>40269</v>
      </c>
      <c r="G385" s="102" t="str">
        <f>IF(stdProdLT(Main[[#This Row],[Comments]])=0.1,"N/A",IF(stdProdLT(Main[[#This Row],[Comments]])=0,"",stdProdLT(Main[[#This Row],[Comments]])))</f>
        <v/>
      </c>
      <c r="H385" s="103" t="str">
        <f>IF(AND(Main[[#This Row],[In Stock Date]]&lt;&gt;"",Main[[#This Row],[Revised Due Date]]&lt;&gt;""),Main[[#This Row],[In Stock Date]]-Main[[#This Row],[Revised Due Date]],"")</f>
        <v/>
      </c>
      <c r="I385" s="99" t="s">
        <v>4</v>
      </c>
      <c r="J385" s="99" t="s">
        <v>4</v>
      </c>
      <c r="K385" s="108" t="s">
        <v>4</v>
      </c>
      <c r="L385" s="101"/>
      <c r="M385" s="104" t="str">
        <f>IF(Main[[#This Row],[Tech Start Date]]&lt;1/1/1990,"",IF(Main[[#This Row],[Class]]="C",WORKDAY(Main[[#This Row],[Tech Start Date]],9),IF(Main[[#This Row],[Class]]="B", WORKDAY(Main[[#This Row],[Tech Start Date]],6),IF(Main[[#This Row],[Class]]="A",WORKDAY(Main[[#This Row],[Tech Start Date]],2),""))))</f>
        <v/>
      </c>
      <c r="N385" s="104" t="str">
        <f>IF(Main[[#This Row],[Tech Start Date]]&lt;1/1/1990,"",IF(Main[[#This Row],[Class]]="C",WORKDAY(Main[[#This Row],[Tech Start Date]],19),IF(Main[[#This Row],[Class]]="B", WORKDAY(Main[[#This Row],[Tech Start Date]],12),IF(Main[[#This Row],[Class]]="A",WORKDAY(Main[[#This Row],[Tech Start Date]],4),""))))</f>
        <v/>
      </c>
      <c r="O385" s="104" t="str">
        <f>IF(Main[[#This Row],[Tech Start Date]]&lt;1/1/1990,"",IF(Main[[#This Row],[Class]]="C",WORKDAY(Main[[#This Row],[Tech Start Date]],23),IF(Main[[#This Row],[Class]]="B", WORKDAY(Main[[#This Row],[Tech Start Date]],15),IF(Main[[#This Row],[Class]]="A",WORKDAY(Main[[#This Row],[Tech Start Date]],5),""))))</f>
        <v/>
      </c>
      <c r="P385" s="104" t="str">
        <f>IF(Main[[#This Row],[Tech Start Date]]&lt;1/1/1990,"",IF(Main[[#This Row],[Class]]="C",WORKDAY(Main[[#This Row],[Tech Start Date]],28),IF(Main[[#This Row],[Class]]="B", WORKDAY(Main[[#This Row],[Tech Start Date]],19),IF(Main[[#This Row],[Class]]="A",WORKDAY(Main[[#This Row],[Tech Start Date]],9),""))))</f>
        <v/>
      </c>
      <c r="Q385" s="101">
        <v>40274</v>
      </c>
      <c r="R385" s="101"/>
      <c r="S385" s="99" t="s">
        <v>11</v>
      </c>
      <c r="T385" s="107" t="s">
        <v>4</v>
      </c>
      <c r="U385" s="99" t="s">
        <v>14</v>
      </c>
      <c r="V385" s="99" t="s">
        <v>1962</v>
      </c>
      <c r="W385" s="99" t="s">
        <v>1968</v>
      </c>
    </row>
    <row r="386" spans="1:23" ht="18.600000000000001" customHeight="1">
      <c r="A386" s="123" t="str">
        <f>IF(priority(Main[[#This Row],[Comments]])&lt;&gt;0, priority(Main[[#This Row],[Comments]]),"")</f>
        <v/>
      </c>
      <c r="B386" s="127" t="s">
        <v>1276</v>
      </c>
      <c r="C386" s="99" t="s">
        <v>4</v>
      </c>
      <c r="D386" s="100" t="s">
        <v>309</v>
      </c>
      <c r="E386" s="101"/>
      <c r="F386" s="101">
        <v>40390</v>
      </c>
      <c r="G386" s="102" t="str">
        <f>IF(stdProdLT(Main[[#This Row],[Comments]])=0.1,"N/A",IF(stdProdLT(Main[[#This Row],[Comments]])=0,"",stdProdLT(Main[[#This Row],[Comments]])))</f>
        <v/>
      </c>
      <c r="H386" s="103" t="str">
        <f>IF(AND(Main[[#This Row],[In Stock Date]]&lt;&gt;"",Main[[#This Row],[Revised Due Date]]&lt;&gt;""),Main[[#This Row],[In Stock Date]]-Main[[#This Row],[Revised Due Date]],"")</f>
        <v/>
      </c>
      <c r="I386" s="99" t="s">
        <v>4</v>
      </c>
      <c r="J386" s="99" t="s">
        <v>4</v>
      </c>
      <c r="K386" s="108" t="s">
        <v>4</v>
      </c>
      <c r="L386" s="101"/>
      <c r="M386" s="104" t="str">
        <f>IF(Main[[#This Row],[Tech Start Date]]&lt;1/1/1990,"",IF(Main[[#This Row],[Class]]="C",WORKDAY(Main[[#This Row],[Tech Start Date]],9),IF(Main[[#This Row],[Class]]="B", WORKDAY(Main[[#This Row],[Tech Start Date]],6),IF(Main[[#This Row],[Class]]="A",WORKDAY(Main[[#This Row],[Tech Start Date]],2),""))))</f>
        <v/>
      </c>
      <c r="N386" s="104" t="str">
        <f>IF(Main[[#This Row],[Tech Start Date]]&lt;1/1/1990,"",IF(Main[[#This Row],[Class]]="C",WORKDAY(Main[[#This Row],[Tech Start Date]],19),IF(Main[[#This Row],[Class]]="B", WORKDAY(Main[[#This Row],[Tech Start Date]],12),IF(Main[[#This Row],[Class]]="A",WORKDAY(Main[[#This Row],[Tech Start Date]],4),""))))</f>
        <v/>
      </c>
      <c r="O386" s="104" t="str">
        <f>IF(Main[[#This Row],[Tech Start Date]]&lt;1/1/1990,"",IF(Main[[#This Row],[Class]]="C",WORKDAY(Main[[#This Row],[Tech Start Date]],23),IF(Main[[#This Row],[Class]]="B", WORKDAY(Main[[#This Row],[Tech Start Date]],15),IF(Main[[#This Row],[Class]]="A",WORKDAY(Main[[#This Row],[Tech Start Date]],5),""))))</f>
        <v/>
      </c>
      <c r="P386" s="104" t="str">
        <f>IF(Main[[#This Row],[Tech Start Date]]&lt;1/1/1990,"",IF(Main[[#This Row],[Class]]="C",WORKDAY(Main[[#This Row],[Tech Start Date]],28),IF(Main[[#This Row],[Class]]="B", WORKDAY(Main[[#This Row],[Tech Start Date]],19),IF(Main[[#This Row],[Class]]="A",WORKDAY(Main[[#This Row],[Tech Start Date]],9),""))))</f>
        <v/>
      </c>
      <c r="Q386" s="101">
        <v>40329</v>
      </c>
      <c r="R386" s="101"/>
      <c r="S386" s="99" t="s">
        <v>11</v>
      </c>
      <c r="T386" s="107" t="s">
        <v>4</v>
      </c>
      <c r="U386" s="99" t="s">
        <v>12</v>
      </c>
      <c r="V386" s="99" t="s">
        <v>1972</v>
      </c>
      <c r="W386" s="99" t="s">
        <v>1968</v>
      </c>
    </row>
    <row r="387" spans="1:23" ht="18.600000000000001" customHeight="1">
      <c r="A387" s="123" t="str">
        <f>IF(priority(Main[[#This Row],[Comments]])&lt;&gt;0, priority(Main[[#This Row],[Comments]]),"")</f>
        <v/>
      </c>
      <c r="B387" s="127" t="s">
        <v>1277</v>
      </c>
      <c r="C387" s="99" t="s">
        <v>4</v>
      </c>
      <c r="D387" s="100" t="s">
        <v>310</v>
      </c>
      <c r="E387" s="101"/>
      <c r="F387" s="101">
        <v>40574</v>
      </c>
      <c r="G387" s="102" t="str">
        <f>IF(stdProdLT(Main[[#This Row],[Comments]])=0.1,"N/A",IF(stdProdLT(Main[[#This Row],[Comments]])=0,"",stdProdLT(Main[[#This Row],[Comments]])))</f>
        <v/>
      </c>
      <c r="H387" s="103" t="str">
        <f>IF(AND(Main[[#This Row],[In Stock Date]]&lt;&gt;"",Main[[#This Row],[Revised Due Date]]&lt;&gt;""),Main[[#This Row],[In Stock Date]]-Main[[#This Row],[Revised Due Date]],"")</f>
        <v/>
      </c>
      <c r="I387" s="99" t="s">
        <v>311</v>
      </c>
      <c r="J387" s="99" t="s">
        <v>75</v>
      </c>
      <c r="K387" s="108" t="s">
        <v>1971</v>
      </c>
      <c r="L387" s="101"/>
      <c r="M387" s="104" t="str">
        <f>IF(Main[[#This Row],[Tech Start Date]]&lt;1/1/1990,"",IF(Main[[#This Row],[Class]]="C",WORKDAY(Main[[#This Row],[Tech Start Date]],9),IF(Main[[#This Row],[Class]]="B", WORKDAY(Main[[#This Row],[Tech Start Date]],6),IF(Main[[#This Row],[Class]]="A",WORKDAY(Main[[#This Row],[Tech Start Date]],2),""))))</f>
        <v/>
      </c>
      <c r="N387" s="104" t="str">
        <f>IF(Main[[#This Row],[Tech Start Date]]&lt;1/1/1990,"",IF(Main[[#This Row],[Class]]="C",WORKDAY(Main[[#This Row],[Tech Start Date]],19),IF(Main[[#This Row],[Class]]="B", WORKDAY(Main[[#This Row],[Tech Start Date]],12),IF(Main[[#This Row],[Class]]="A",WORKDAY(Main[[#This Row],[Tech Start Date]],4),""))))</f>
        <v/>
      </c>
      <c r="O387" s="104" t="str">
        <f>IF(Main[[#This Row],[Tech Start Date]]&lt;1/1/1990,"",IF(Main[[#This Row],[Class]]="C",WORKDAY(Main[[#This Row],[Tech Start Date]],23),IF(Main[[#This Row],[Class]]="B", WORKDAY(Main[[#This Row],[Tech Start Date]],15),IF(Main[[#This Row],[Class]]="A",WORKDAY(Main[[#This Row],[Tech Start Date]],5),""))))</f>
        <v/>
      </c>
      <c r="P387" s="104" t="str">
        <f>IF(Main[[#This Row],[Tech Start Date]]&lt;1/1/1990,"",IF(Main[[#This Row],[Class]]="C",WORKDAY(Main[[#This Row],[Tech Start Date]],28),IF(Main[[#This Row],[Class]]="B", WORKDAY(Main[[#This Row],[Tech Start Date]],19),IF(Main[[#This Row],[Class]]="A",WORKDAY(Main[[#This Row],[Tech Start Date]],9),""))))</f>
        <v/>
      </c>
      <c r="Q387" s="101">
        <v>40574</v>
      </c>
      <c r="R387" s="101"/>
      <c r="S387" s="99" t="s">
        <v>6</v>
      </c>
      <c r="T387" s="107" t="s">
        <v>4</v>
      </c>
      <c r="U387" s="99" t="s">
        <v>14</v>
      </c>
      <c r="V387" s="99" t="s">
        <v>1972</v>
      </c>
      <c r="W387" s="99" t="s">
        <v>1964</v>
      </c>
    </row>
    <row r="388" spans="1:23" ht="18.600000000000001" customHeight="1">
      <c r="A388" s="123" t="str">
        <f>IF(priority(Main[[#This Row],[Comments]])&lt;&gt;0, priority(Main[[#This Row],[Comments]]),"")</f>
        <v/>
      </c>
      <c r="B388" s="127" t="s">
        <v>1278</v>
      </c>
      <c r="C388" s="99" t="s">
        <v>171</v>
      </c>
      <c r="D388" s="100" t="s">
        <v>312</v>
      </c>
      <c r="E388" s="101"/>
      <c r="F388" s="101">
        <v>40237</v>
      </c>
      <c r="G388" s="102" t="str">
        <f>IF(stdProdLT(Main[[#This Row],[Comments]])=0.1,"N/A",IF(stdProdLT(Main[[#This Row],[Comments]])=0,"",stdProdLT(Main[[#This Row],[Comments]])))</f>
        <v/>
      </c>
      <c r="H388" s="103" t="str">
        <f>IF(AND(Main[[#This Row],[In Stock Date]]&lt;&gt;"",Main[[#This Row],[Revised Due Date]]&lt;&gt;""),Main[[#This Row],[In Stock Date]]-Main[[#This Row],[Revised Due Date]],"")</f>
        <v/>
      </c>
      <c r="I388" s="99" t="s">
        <v>4</v>
      </c>
      <c r="J388" s="99" t="s">
        <v>4</v>
      </c>
      <c r="K388" s="99" t="s">
        <v>4</v>
      </c>
      <c r="L388" s="101"/>
      <c r="M388" s="104" t="str">
        <f>IF(Main[[#This Row],[Tech Start Date]]&lt;1/1/1990,"",IF(Main[[#This Row],[Class]]="C",WORKDAY(Main[[#This Row],[Tech Start Date]],9),IF(Main[[#This Row],[Class]]="B", WORKDAY(Main[[#This Row],[Tech Start Date]],6),IF(Main[[#This Row],[Class]]="A",WORKDAY(Main[[#This Row],[Tech Start Date]],2),""))))</f>
        <v/>
      </c>
      <c r="N388" s="104" t="str">
        <f>IF(Main[[#This Row],[Tech Start Date]]&lt;1/1/1990,"",IF(Main[[#This Row],[Class]]="C",WORKDAY(Main[[#This Row],[Tech Start Date]],19),IF(Main[[#This Row],[Class]]="B", WORKDAY(Main[[#This Row],[Tech Start Date]],12),IF(Main[[#This Row],[Class]]="A",WORKDAY(Main[[#This Row],[Tech Start Date]],4),""))))</f>
        <v/>
      </c>
      <c r="O388" s="104" t="str">
        <f>IF(Main[[#This Row],[Tech Start Date]]&lt;1/1/1990,"",IF(Main[[#This Row],[Class]]="C",WORKDAY(Main[[#This Row],[Tech Start Date]],23),IF(Main[[#This Row],[Class]]="B", WORKDAY(Main[[#This Row],[Tech Start Date]],15),IF(Main[[#This Row],[Class]]="A",WORKDAY(Main[[#This Row],[Tech Start Date]],5),""))))</f>
        <v/>
      </c>
      <c r="P388" s="104" t="str">
        <f>IF(Main[[#This Row],[Tech Start Date]]&lt;1/1/1990,"",IF(Main[[#This Row],[Class]]="C",WORKDAY(Main[[#This Row],[Tech Start Date]],28),IF(Main[[#This Row],[Class]]="B", WORKDAY(Main[[#This Row],[Tech Start Date]],19),IF(Main[[#This Row],[Class]]="A",WORKDAY(Main[[#This Row],[Tech Start Date]],9),""))))</f>
        <v/>
      </c>
      <c r="Q388" s="101">
        <v>40132</v>
      </c>
      <c r="R388" s="101"/>
      <c r="S388" s="99" t="s">
        <v>11</v>
      </c>
      <c r="T388" s="107" t="s">
        <v>4</v>
      </c>
      <c r="U388" s="99" t="s">
        <v>14</v>
      </c>
      <c r="V388" s="99" t="s">
        <v>1962</v>
      </c>
      <c r="W388" s="99" t="s">
        <v>1967</v>
      </c>
    </row>
    <row r="389" spans="1:23" ht="18.600000000000001" customHeight="1">
      <c r="A389" s="123" t="str">
        <f>IF(priority(Main[[#This Row],[Comments]])&lt;&gt;0, priority(Main[[#This Row],[Comments]]),"")</f>
        <v/>
      </c>
      <c r="B389" s="127" t="s">
        <v>1279</v>
      </c>
      <c r="C389" s="99" t="s">
        <v>4</v>
      </c>
      <c r="D389" s="100" t="s">
        <v>313</v>
      </c>
      <c r="E389" s="101"/>
      <c r="F389" s="101"/>
      <c r="G389" s="102" t="str">
        <f>IF(stdProdLT(Main[[#This Row],[Comments]])=0.1,"N/A",IF(stdProdLT(Main[[#This Row],[Comments]])=0,"",stdProdLT(Main[[#This Row],[Comments]])))</f>
        <v/>
      </c>
      <c r="H389" s="103" t="str">
        <f>IF(AND(Main[[#This Row],[In Stock Date]]&lt;&gt;"",Main[[#This Row],[Revised Due Date]]&lt;&gt;""),Main[[#This Row],[In Stock Date]]-Main[[#This Row],[Revised Due Date]],"")</f>
        <v/>
      </c>
      <c r="I389" s="99" t="s">
        <v>4</v>
      </c>
      <c r="J389" s="99" t="s">
        <v>4</v>
      </c>
      <c r="K389" s="99" t="s">
        <v>4</v>
      </c>
      <c r="L389" s="101"/>
      <c r="M389" s="104" t="str">
        <f>IF(Main[[#This Row],[Tech Start Date]]&lt;1/1/1990,"",IF(Main[[#This Row],[Class]]="C",WORKDAY(Main[[#This Row],[Tech Start Date]],9),IF(Main[[#This Row],[Class]]="B", WORKDAY(Main[[#This Row],[Tech Start Date]],6),IF(Main[[#This Row],[Class]]="A",WORKDAY(Main[[#This Row],[Tech Start Date]],2),""))))</f>
        <v/>
      </c>
      <c r="N389" s="104" t="str">
        <f>IF(Main[[#This Row],[Tech Start Date]]&lt;1/1/1990,"",IF(Main[[#This Row],[Class]]="C",WORKDAY(Main[[#This Row],[Tech Start Date]],19),IF(Main[[#This Row],[Class]]="B", WORKDAY(Main[[#This Row],[Tech Start Date]],12),IF(Main[[#This Row],[Class]]="A",WORKDAY(Main[[#This Row],[Tech Start Date]],4),""))))</f>
        <v/>
      </c>
      <c r="O389" s="104" t="str">
        <f>IF(Main[[#This Row],[Tech Start Date]]&lt;1/1/1990,"",IF(Main[[#This Row],[Class]]="C",WORKDAY(Main[[#This Row],[Tech Start Date]],23),IF(Main[[#This Row],[Class]]="B", WORKDAY(Main[[#This Row],[Tech Start Date]],15),IF(Main[[#This Row],[Class]]="A",WORKDAY(Main[[#This Row],[Tech Start Date]],5),""))))</f>
        <v/>
      </c>
      <c r="P389" s="104" t="str">
        <f>IF(Main[[#This Row],[Tech Start Date]]&lt;1/1/1990,"",IF(Main[[#This Row],[Class]]="C",WORKDAY(Main[[#This Row],[Tech Start Date]],28),IF(Main[[#This Row],[Class]]="B", WORKDAY(Main[[#This Row],[Tech Start Date]],19),IF(Main[[#This Row],[Class]]="A",WORKDAY(Main[[#This Row],[Tech Start Date]],9),""))))</f>
        <v/>
      </c>
      <c r="Q389" s="101">
        <v>40390</v>
      </c>
      <c r="R389" s="101"/>
      <c r="S389" s="99" t="s">
        <v>6</v>
      </c>
      <c r="T389" s="107" t="s">
        <v>4</v>
      </c>
      <c r="U389" s="99" t="s">
        <v>14</v>
      </c>
      <c r="V389" s="99" t="s">
        <v>1965</v>
      </c>
      <c r="W389" s="99" t="s">
        <v>4</v>
      </c>
    </row>
    <row r="390" spans="1:23" ht="18.600000000000001" customHeight="1">
      <c r="A390" s="123" t="str">
        <f>IF(priority(Main[[#This Row],[Comments]])&lt;&gt;0, priority(Main[[#This Row],[Comments]]),"")</f>
        <v/>
      </c>
      <c r="B390" s="127" t="s">
        <v>1281</v>
      </c>
      <c r="C390" s="99" t="s">
        <v>315</v>
      </c>
      <c r="D390" s="100" t="s">
        <v>316</v>
      </c>
      <c r="E390" s="101"/>
      <c r="F390" s="101">
        <v>40179</v>
      </c>
      <c r="G390" s="102" t="str">
        <f>IF(stdProdLT(Main[[#This Row],[Comments]])=0.1,"N/A",IF(stdProdLT(Main[[#This Row],[Comments]])=0,"",stdProdLT(Main[[#This Row],[Comments]])))</f>
        <v/>
      </c>
      <c r="H390" s="103" t="str">
        <f>IF(AND(Main[[#This Row],[In Stock Date]]&lt;&gt;"",Main[[#This Row],[Revised Due Date]]&lt;&gt;""),Main[[#This Row],[In Stock Date]]-Main[[#This Row],[Revised Due Date]],"")</f>
        <v/>
      </c>
      <c r="I390" s="99" t="s">
        <v>4</v>
      </c>
      <c r="J390" s="99" t="s">
        <v>4</v>
      </c>
      <c r="K390" s="108" t="s">
        <v>4</v>
      </c>
      <c r="L390" s="101"/>
      <c r="M390" s="104" t="str">
        <f>IF(Main[[#This Row],[Tech Start Date]]&lt;1/1/1990,"",IF(Main[[#This Row],[Class]]="C",WORKDAY(Main[[#This Row],[Tech Start Date]],9),IF(Main[[#This Row],[Class]]="B", WORKDAY(Main[[#This Row],[Tech Start Date]],6),IF(Main[[#This Row],[Class]]="A",WORKDAY(Main[[#This Row],[Tech Start Date]],2),""))))</f>
        <v/>
      </c>
      <c r="N390" s="104" t="str">
        <f>IF(Main[[#This Row],[Tech Start Date]]&lt;1/1/1990,"",IF(Main[[#This Row],[Class]]="C",WORKDAY(Main[[#This Row],[Tech Start Date]],19),IF(Main[[#This Row],[Class]]="B", WORKDAY(Main[[#This Row],[Tech Start Date]],12),IF(Main[[#This Row],[Class]]="A",WORKDAY(Main[[#This Row],[Tech Start Date]],4),""))))</f>
        <v/>
      </c>
      <c r="O390" s="104" t="str">
        <f>IF(Main[[#This Row],[Tech Start Date]]&lt;1/1/1990,"",IF(Main[[#This Row],[Class]]="C",WORKDAY(Main[[#This Row],[Tech Start Date]],23),IF(Main[[#This Row],[Class]]="B", WORKDAY(Main[[#This Row],[Tech Start Date]],15),IF(Main[[#This Row],[Class]]="A",WORKDAY(Main[[#This Row],[Tech Start Date]],5),""))))</f>
        <v/>
      </c>
      <c r="P390" s="104" t="str">
        <f>IF(Main[[#This Row],[Tech Start Date]]&lt;1/1/1990,"",IF(Main[[#This Row],[Class]]="C",WORKDAY(Main[[#This Row],[Tech Start Date]],28),IF(Main[[#This Row],[Class]]="B", WORKDAY(Main[[#This Row],[Tech Start Date]],19),IF(Main[[#This Row],[Class]]="A",WORKDAY(Main[[#This Row],[Tech Start Date]],9),""))))</f>
        <v/>
      </c>
      <c r="Q390" s="101">
        <v>40174</v>
      </c>
      <c r="R390" s="101"/>
      <c r="S390" s="99" t="s">
        <v>11</v>
      </c>
      <c r="T390" s="107" t="s">
        <v>4</v>
      </c>
      <c r="U390" s="99" t="s">
        <v>12</v>
      </c>
      <c r="V390" s="99" t="s">
        <v>1962</v>
      </c>
      <c r="W390" s="99" t="s">
        <v>1970</v>
      </c>
    </row>
    <row r="391" spans="1:23" ht="18.600000000000001" customHeight="1">
      <c r="A391" s="123" t="str">
        <f>IF(priority(Main[[#This Row],[Comments]])&lt;&gt;0, priority(Main[[#This Row],[Comments]]),"")</f>
        <v/>
      </c>
      <c r="B391" s="127" t="s">
        <v>1282</v>
      </c>
      <c r="C391" s="99" t="s">
        <v>4</v>
      </c>
      <c r="D391" s="100" t="s">
        <v>317</v>
      </c>
      <c r="E391" s="101">
        <v>40701.550486111111</v>
      </c>
      <c r="F391" s="101"/>
      <c r="G391" s="102" t="str">
        <f>IF(stdProdLT(Main[[#This Row],[Comments]])=0.1,"N/A",IF(stdProdLT(Main[[#This Row],[Comments]])=0,"",stdProdLT(Main[[#This Row],[Comments]])))</f>
        <v/>
      </c>
      <c r="H391" s="103" t="str">
        <f>IF(AND(Main[[#This Row],[In Stock Date]]&lt;&gt;"",Main[[#This Row],[Revised Due Date]]&lt;&gt;""),Main[[#This Row],[In Stock Date]]-Main[[#This Row],[Revised Due Date]],"")</f>
        <v/>
      </c>
      <c r="I391" s="99" t="s">
        <v>4</v>
      </c>
      <c r="J391" s="99" t="s">
        <v>4</v>
      </c>
      <c r="K391" s="108" t="s">
        <v>4</v>
      </c>
      <c r="L391" s="101"/>
      <c r="M391" s="104" t="str">
        <f>IF(Main[[#This Row],[Tech Start Date]]&lt;1/1/1990,"",IF(Main[[#This Row],[Class]]="C",WORKDAY(Main[[#This Row],[Tech Start Date]],9),IF(Main[[#This Row],[Class]]="B", WORKDAY(Main[[#This Row],[Tech Start Date]],6),IF(Main[[#This Row],[Class]]="A",WORKDAY(Main[[#This Row],[Tech Start Date]],2),""))))</f>
        <v/>
      </c>
      <c r="N391" s="104" t="str">
        <f>IF(Main[[#This Row],[Tech Start Date]]&lt;1/1/1990,"",IF(Main[[#This Row],[Class]]="C",WORKDAY(Main[[#This Row],[Tech Start Date]],19),IF(Main[[#This Row],[Class]]="B", WORKDAY(Main[[#This Row],[Tech Start Date]],12),IF(Main[[#This Row],[Class]]="A",WORKDAY(Main[[#This Row],[Tech Start Date]],4),""))))</f>
        <v/>
      </c>
      <c r="O391" s="104" t="str">
        <f>IF(Main[[#This Row],[Tech Start Date]]&lt;1/1/1990,"",IF(Main[[#This Row],[Class]]="C",WORKDAY(Main[[#This Row],[Tech Start Date]],23),IF(Main[[#This Row],[Class]]="B", WORKDAY(Main[[#This Row],[Tech Start Date]],15),IF(Main[[#This Row],[Class]]="A",WORKDAY(Main[[#This Row],[Tech Start Date]],5),""))))</f>
        <v/>
      </c>
      <c r="P391" s="104" t="str">
        <f>IF(Main[[#This Row],[Tech Start Date]]&lt;1/1/1990,"",IF(Main[[#This Row],[Class]]="C",WORKDAY(Main[[#This Row],[Tech Start Date]],28),IF(Main[[#This Row],[Class]]="B", WORKDAY(Main[[#This Row],[Tech Start Date]],19),IF(Main[[#This Row],[Class]]="A",WORKDAY(Main[[#This Row],[Tech Start Date]],9),""))))</f>
        <v/>
      </c>
      <c r="Q391" s="101"/>
      <c r="R391" s="101"/>
      <c r="S391" s="99" t="s">
        <v>6</v>
      </c>
      <c r="T391" s="107" t="s">
        <v>4</v>
      </c>
      <c r="U391" s="99" t="s">
        <v>7</v>
      </c>
      <c r="V391" s="99" t="s">
        <v>1962</v>
      </c>
      <c r="W391" s="99" t="s">
        <v>4</v>
      </c>
    </row>
    <row r="392" spans="1:23" ht="18.600000000000001" customHeight="1">
      <c r="A392" s="123" t="str">
        <f>IF(priority(Main[[#This Row],[Comments]])&lt;&gt;0, priority(Main[[#This Row],[Comments]]),"")</f>
        <v/>
      </c>
      <c r="B392" s="127" t="s">
        <v>1283</v>
      </c>
      <c r="C392" s="99" t="s">
        <v>4</v>
      </c>
      <c r="D392" s="100" t="s">
        <v>318</v>
      </c>
      <c r="E392" s="101"/>
      <c r="F392" s="101"/>
      <c r="G392" s="102" t="str">
        <f>IF(stdProdLT(Main[[#This Row],[Comments]])=0.1,"N/A",IF(stdProdLT(Main[[#This Row],[Comments]])=0,"",stdProdLT(Main[[#This Row],[Comments]])))</f>
        <v/>
      </c>
      <c r="H392" s="103" t="str">
        <f>IF(AND(Main[[#This Row],[In Stock Date]]&lt;&gt;"",Main[[#This Row],[Revised Due Date]]&lt;&gt;""),Main[[#This Row],[In Stock Date]]-Main[[#This Row],[Revised Due Date]],"")</f>
        <v/>
      </c>
      <c r="I392" s="99" t="s">
        <v>4</v>
      </c>
      <c r="J392" s="99" t="s">
        <v>4</v>
      </c>
      <c r="K392" s="99" t="s">
        <v>4</v>
      </c>
      <c r="L392" s="101"/>
      <c r="M392" s="104" t="str">
        <f>IF(Main[[#This Row],[Tech Start Date]]&lt;1/1/1990,"",IF(Main[[#This Row],[Class]]="C",WORKDAY(Main[[#This Row],[Tech Start Date]],9),IF(Main[[#This Row],[Class]]="B", WORKDAY(Main[[#This Row],[Tech Start Date]],6),IF(Main[[#This Row],[Class]]="A",WORKDAY(Main[[#This Row],[Tech Start Date]],2),""))))</f>
        <v/>
      </c>
      <c r="N392" s="104" t="str">
        <f>IF(Main[[#This Row],[Tech Start Date]]&lt;1/1/1990,"",IF(Main[[#This Row],[Class]]="C",WORKDAY(Main[[#This Row],[Tech Start Date]],19),IF(Main[[#This Row],[Class]]="B", WORKDAY(Main[[#This Row],[Tech Start Date]],12),IF(Main[[#This Row],[Class]]="A",WORKDAY(Main[[#This Row],[Tech Start Date]],4),""))))</f>
        <v/>
      </c>
      <c r="O392" s="104" t="str">
        <f>IF(Main[[#This Row],[Tech Start Date]]&lt;1/1/1990,"",IF(Main[[#This Row],[Class]]="C",WORKDAY(Main[[#This Row],[Tech Start Date]],23),IF(Main[[#This Row],[Class]]="B", WORKDAY(Main[[#This Row],[Tech Start Date]],15),IF(Main[[#This Row],[Class]]="A",WORKDAY(Main[[#This Row],[Tech Start Date]],5),""))))</f>
        <v/>
      </c>
      <c r="P392" s="104" t="str">
        <f>IF(Main[[#This Row],[Tech Start Date]]&lt;1/1/1990,"",IF(Main[[#This Row],[Class]]="C",WORKDAY(Main[[#This Row],[Tech Start Date]],28),IF(Main[[#This Row],[Class]]="B", WORKDAY(Main[[#This Row],[Tech Start Date]],19),IF(Main[[#This Row],[Class]]="A",WORKDAY(Main[[#This Row],[Tech Start Date]],9),""))))</f>
        <v/>
      </c>
      <c r="Q392" s="101">
        <v>40374</v>
      </c>
      <c r="R392" s="101"/>
      <c r="S392" s="99" t="s">
        <v>11</v>
      </c>
      <c r="T392" s="107" t="s">
        <v>4</v>
      </c>
      <c r="U392" s="99" t="s">
        <v>12</v>
      </c>
      <c r="V392" s="99" t="s">
        <v>1963</v>
      </c>
      <c r="W392" s="99" t="s">
        <v>1964</v>
      </c>
    </row>
    <row r="393" spans="1:23" ht="18.600000000000001" customHeight="1">
      <c r="A393" s="123" t="str">
        <f>IF(priority(Main[[#This Row],[Comments]])&lt;&gt;0, priority(Main[[#This Row],[Comments]]),"")</f>
        <v/>
      </c>
      <c r="B393" s="127" t="s">
        <v>1284</v>
      </c>
      <c r="C393" s="99" t="s">
        <v>4</v>
      </c>
      <c r="D393" s="100" t="s">
        <v>319</v>
      </c>
      <c r="E393" s="101"/>
      <c r="F393" s="101"/>
      <c r="G393" s="102" t="str">
        <f>IF(stdProdLT(Main[[#This Row],[Comments]])=0.1,"N/A",IF(stdProdLT(Main[[#This Row],[Comments]])=0,"",stdProdLT(Main[[#This Row],[Comments]])))</f>
        <v/>
      </c>
      <c r="H393" s="103" t="str">
        <f>IF(AND(Main[[#This Row],[In Stock Date]]&lt;&gt;"",Main[[#This Row],[Revised Due Date]]&lt;&gt;""),Main[[#This Row],[In Stock Date]]-Main[[#This Row],[Revised Due Date]],"")</f>
        <v/>
      </c>
      <c r="I393" s="99" t="s">
        <v>4</v>
      </c>
      <c r="J393" s="99" t="s">
        <v>4</v>
      </c>
      <c r="K393" s="99" t="s">
        <v>4</v>
      </c>
      <c r="L393" s="101"/>
      <c r="M393" s="104" t="str">
        <f>IF(Main[[#This Row],[Tech Start Date]]&lt;1/1/1990,"",IF(Main[[#This Row],[Class]]="C",WORKDAY(Main[[#This Row],[Tech Start Date]],9),IF(Main[[#This Row],[Class]]="B", WORKDAY(Main[[#This Row],[Tech Start Date]],6),IF(Main[[#This Row],[Class]]="A",WORKDAY(Main[[#This Row],[Tech Start Date]],2),""))))</f>
        <v/>
      </c>
      <c r="N393" s="104" t="str">
        <f>IF(Main[[#This Row],[Tech Start Date]]&lt;1/1/1990,"",IF(Main[[#This Row],[Class]]="C",WORKDAY(Main[[#This Row],[Tech Start Date]],19),IF(Main[[#This Row],[Class]]="B", WORKDAY(Main[[#This Row],[Tech Start Date]],12),IF(Main[[#This Row],[Class]]="A",WORKDAY(Main[[#This Row],[Tech Start Date]],4),""))))</f>
        <v/>
      </c>
      <c r="O393" s="104" t="str">
        <f>IF(Main[[#This Row],[Tech Start Date]]&lt;1/1/1990,"",IF(Main[[#This Row],[Class]]="C",WORKDAY(Main[[#This Row],[Tech Start Date]],23),IF(Main[[#This Row],[Class]]="B", WORKDAY(Main[[#This Row],[Tech Start Date]],15),IF(Main[[#This Row],[Class]]="A",WORKDAY(Main[[#This Row],[Tech Start Date]],5),""))))</f>
        <v/>
      </c>
      <c r="P393" s="104" t="str">
        <f>IF(Main[[#This Row],[Tech Start Date]]&lt;1/1/1990,"",IF(Main[[#This Row],[Class]]="C",WORKDAY(Main[[#This Row],[Tech Start Date]],28),IF(Main[[#This Row],[Class]]="B", WORKDAY(Main[[#This Row],[Tech Start Date]],19),IF(Main[[#This Row],[Class]]="A",WORKDAY(Main[[#This Row],[Tech Start Date]],9),""))))</f>
        <v/>
      </c>
      <c r="Q393" s="101"/>
      <c r="R393" s="101"/>
      <c r="S393" s="99" t="s">
        <v>6</v>
      </c>
      <c r="T393" s="107" t="s">
        <v>4</v>
      </c>
      <c r="U393" s="99" t="s">
        <v>14</v>
      </c>
      <c r="V393" s="99" t="s">
        <v>1963</v>
      </c>
      <c r="W393" s="99" t="s">
        <v>1964</v>
      </c>
    </row>
    <row r="394" spans="1:23" ht="18.600000000000001" customHeight="1">
      <c r="A394" s="123" t="str">
        <f>IF(priority(Main[[#This Row],[Comments]])&lt;&gt;0, priority(Main[[#This Row],[Comments]]),"")</f>
        <v/>
      </c>
      <c r="B394" s="127" t="s">
        <v>1285</v>
      </c>
      <c r="C394" s="99" t="s">
        <v>200</v>
      </c>
      <c r="D394" s="100" t="s">
        <v>320</v>
      </c>
      <c r="E394" s="101"/>
      <c r="F394" s="101"/>
      <c r="G394" s="102" t="str">
        <f>IF(stdProdLT(Main[[#This Row],[Comments]])=0.1,"N/A",IF(stdProdLT(Main[[#This Row],[Comments]])=0,"",stdProdLT(Main[[#This Row],[Comments]])))</f>
        <v/>
      </c>
      <c r="H394" s="103" t="str">
        <f>IF(AND(Main[[#This Row],[In Stock Date]]&lt;&gt;"",Main[[#This Row],[Revised Due Date]]&lt;&gt;""),Main[[#This Row],[In Stock Date]]-Main[[#This Row],[Revised Due Date]],"")</f>
        <v/>
      </c>
      <c r="I394" s="99" t="s">
        <v>4</v>
      </c>
      <c r="J394" s="99" t="s">
        <v>4</v>
      </c>
      <c r="K394" s="108" t="s">
        <v>4</v>
      </c>
      <c r="L394" s="101"/>
      <c r="M394" s="104" t="str">
        <f>IF(Main[[#This Row],[Tech Start Date]]&lt;1/1/1990,"",IF(Main[[#This Row],[Class]]="C",WORKDAY(Main[[#This Row],[Tech Start Date]],9),IF(Main[[#This Row],[Class]]="B", WORKDAY(Main[[#This Row],[Tech Start Date]],6),IF(Main[[#This Row],[Class]]="A",WORKDAY(Main[[#This Row],[Tech Start Date]],2),""))))</f>
        <v/>
      </c>
      <c r="N394" s="104" t="str">
        <f>IF(Main[[#This Row],[Tech Start Date]]&lt;1/1/1990,"",IF(Main[[#This Row],[Class]]="C",WORKDAY(Main[[#This Row],[Tech Start Date]],19),IF(Main[[#This Row],[Class]]="B", WORKDAY(Main[[#This Row],[Tech Start Date]],12),IF(Main[[#This Row],[Class]]="A",WORKDAY(Main[[#This Row],[Tech Start Date]],4),""))))</f>
        <v/>
      </c>
      <c r="O394" s="104" t="str">
        <f>IF(Main[[#This Row],[Tech Start Date]]&lt;1/1/1990,"",IF(Main[[#This Row],[Class]]="C",WORKDAY(Main[[#This Row],[Tech Start Date]],23),IF(Main[[#This Row],[Class]]="B", WORKDAY(Main[[#This Row],[Tech Start Date]],15),IF(Main[[#This Row],[Class]]="A",WORKDAY(Main[[#This Row],[Tech Start Date]],5),""))))</f>
        <v/>
      </c>
      <c r="P394" s="104" t="str">
        <f>IF(Main[[#This Row],[Tech Start Date]]&lt;1/1/1990,"",IF(Main[[#This Row],[Class]]="C",WORKDAY(Main[[#This Row],[Tech Start Date]],28),IF(Main[[#This Row],[Class]]="B", WORKDAY(Main[[#This Row],[Tech Start Date]],19),IF(Main[[#This Row],[Class]]="A",WORKDAY(Main[[#This Row],[Tech Start Date]],9),""))))</f>
        <v/>
      </c>
      <c r="Q394" s="101">
        <v>40165</v>
      </c>
      <c r="R394" s="101"/>
      <c r="S394" s="99" t="s">
        <v>11</v>
      </c>
      <c r="T394" s="107" t="s">
        <v>4</v>
      </c>
      <c r="U394" s="99" t="s">
        <v>14</v>
      </c>
      <c r="V394" s="99" t="s">
        <v>1972</v>
      </c>
      <c r="W394" s="99" t="s">
        <v>1968</v>
      </c>
    </row>
    <row r="395" spans="1:23" ht="18.600000000000001" customHeight="1">
      <c r="A395" s="123" t="str">
        <f>IF(priority(Main[[#This Row],[Comments]])&lt;&gt;0, priority(Main[[#This Row],[Comments]]),"")</f>
        <v/>
      </c>
      <c r="B395" s="127" t="s">
        <v>1287</v>
      </c>
      <c r="C395" s="99" t="s">
        <v>4</v>
      </c>
      <c r="D395" s="100" t="s">
        <v>322</v>
      </c>
      <c r="E395" s="101">
        <v>40275.49355324074</v>
      </c>
      <c r="F395" s="101"/>
      <c r="G395" s="102" t="str">
        <f>IF(stdProdLT(Main[[#This Row],[Comments]])=0.1,"N/A",IF(stdProdLT(Main[[#This Row],[Comments]])=0,"",stdProdLT(Main[[#This Row],[Comments]])))</f>
        <v/>
      </c>
      <c r="H395" s="103" t="str">
        <f>IF(AND(Main[[#This Row],[In Stock Date]]&lt;&gt;"",Main[[#This Row],[Revised Due Date]]&lt;&gt;""),Main[[#This Row],[In Stock Date]]-Main[[#This Row],[Revised Due Date]],"")</f>
        <v/>
      </c>
      <c r="I395" s="99" t="s">
        <v>4</v>
      </c>
      <c r="J395" s="99" t="s">
        <v>4</v>
      </c>
      <c r="K395" s="108" t="s">
        <v>4</v>
      </c>
      <c r="L395" s="101"/>
      <c r="M395" s="104" t="str">
        <f>IF(Main[[#This Row],[Tech Start Date]]&lt;1/1/1990,"",IF(Main[[#This Row],[Class]]="C",WORKDAY(Main[[#This Row],[Tech Start Date]],9),IF(Main[[#This Row],[Class]]="B", WORKDAY(Main[[#This Row],[Tech Start Date]],6),IF(Main[[#This Row],[Class]]="A",WORKDAY(Main[[#This Row],[Tech Start Date]],2),""))))</f>
        <v/>
      </c>
      <c r="N395" s="104" t="str">
        <f>IF(Main[[#This Row],[Tech Start Date]]&lt;1/1/1990,"",IF(Main[[#This Row],[Class]]="C",WORKDAY(Main[[#This Row],[Tech Start Date]],19),IF(Main[[#This Row],[Class]]="B", WORKDAY(Main[[#This Row],[Tech Start Date]],12),IF(Main[[#This Row],[Class]]="A",WORKDAY(Main[[#This Row],[Tech Start Date]],4),""))))</f>
        <v/>
      </c>
      <c r="O395" s="104" t="str">
        <f>IF(Main[[#This Row],[Tech Start Date]]&lt;1/1/1990,"",IF(Main[[#This Row],[Class]]="C",WORKDAY(Main[[#This Row],[Tech Start Date]],23),IF(Main[[#This Row],[Class]]="B", WORKDAY(Main[[#This Row],[Tech Start Date]],15),IF(Main[[#This Row],[Class]]="A",WORKDAY(Main[[#This Row],[Tech Start Date]],5),""))))</f>
        <v/>
      </c>
      <c r="P395" s="104" t="str">
        <f>IF(Main[[#This Row],[Tech Start Date]]&lt;1/1/1990,"",IF(Main[[#This Row],[Class]]="C",WORKDAY(Main[[#This Row],[Tech Start Date]],28),IF(Main[[#This Row],[Class]]="B", WORKDAY(Main[[#This Row],[Tech Start Date]],19),IF(Main[[#This Row],[Class]]="A",WORKDAY(Main[[#This Row],[Tech Start Date]],9),""))))</f>
        <v/>
      </c>
      <c r="Q395" s="101">
        <v>40289</v>
      </c>
      <c r="R395" s="101"/>
      <c r="S395" s="99" t="s">
        <v>323</v>
      </c>
      <c r="T395" s="107" t="s">
        <v>4</v>
      </c>
      <c r="U395" s="99" t="s">
        <v>7</v>
      </c>
      <c r="V395" s="99" t="s">
        <v>1962</v>
      </c>
      <c r="W395" s="99" t="s">
        <v>1964</v>
      </c>
    </row>
    <row r="396" spans="1:23" ht="18.600000000000001" customHeight="1">
      <c r="A396" s="123" t="str">
        <f>IF(priority(Main[[#This Row],[Comments]])&lt;&gt;0, priority(Main[[#This Row],[Comments]]),"")</f>
        <v/>
      </c>
      <c r="B396" s="127" t="s">
        <v>1289</v>
      </c>
      <c r="C396" s="99" t="s">
        <v>4</v>
      </c>
      <c r="D396" s="100" t="s">
        <v>325</v>
      </c>
      <c r="E396" s="101"/>
      <c r="F396" s="101"/>
      <c r="G396" s="102" t="str">
        <f>IF(stdProdLT(Main[[#This Row],[Comments]])=0.1,"N/A",IF(stdProdLT(Main[[#This Row],[Comments]])=0,"",stdProdLT(Main[[#This Row],[Comments]])))</f>
        <v/>
      </c>
      <c r="H396" s="103" t="str">
        <f>IF(AND(Main[[#This Row],[In Stock Date]]&lt;&gt;"",Main[[#This Row],[Revised Due Date]]&lt;&gt;""),Main[[#This Row],[In Stock Date]]-Main[[#This Row],[Revised Due Date]],"")</f>
        <v/>
      </c>
      <c r="I396" s="99" t="s">
        <v>4</v>
      </c>
      <c r="J396" s="99" t="s">
        <v>28</v>
      </c>
      <c r="K396" s="99" t="s">
        <v>4</v>
      </c>
      <c r="L396" s="101"/>
      <c r="M396" s="104" t="str">
        <f>IF(Main[[#This Row],[Tech Start Date]]&lt;1/1/1990,"",IF(Main[[#This Row],[Class]]="C",WORKDAY(Main[[#This Row],[Tech Start Date]],9),IF(Main[[#This Row],[Class]]="B", WORKDAY(Main[[#This Row],[Tech Start Date]],6),IF(Main[[#This Row],[Class]]="A",WORKDAY(Main[[#This Row],[Tech Start Date]],2),""))))</f>
        <v/>
      </c>
      <c r="N396" s="104" t="str">
        <f>IF(Main[[#This Row],[Tech Start Date]]&lt;1/1/1990,"",IF(Main[[#This Row],[Class]]="C",WORKDAY(Main[[#This Row],[Tech Start Date]],19),IF(Main[[#This Row],[Class]]="B", WORKDAY(Main[[#This Row],[Tech Start Date]],12),IF(Main[[#This Row],[Class]]="A",WORKDAY(Main[[#This Row],[Tech Start Date]],4),""))))</f>
        <v/>
      </c>
      <c r="O396" s="104" t="str">
        <f>IF(Main[[#This Row],[Tech Start Date]]&lt;1/1/1990,"",IF(Main[[#This Row],[Class]]="C",WORKDAY(Main[[#This Row],[Tech Start Date]],23),IF(Main[[#This Row],[Class]]="B", WORKDAY(Main[[#This Row],[Tech Start Date]],15),IF(Main[[#This Row],[Class]]="A",WORKDAY(Main[[#This Row],[Tech Start Date]],5),""))))</f>
        <v/>
      </c>
      <c r="P396" s="104" t="str">
        <f>IF(Main[[#This Row],[Tech Start Date]]&lt;1/1/1990,"",IF(Main[[#This Row],[Class]]="C",WORKDAY(Main[[#This Row],[Tech Start Date]],28),IF(Main[[#This Row],[Class]]="B", WORKDAY(Main[[#This Row],[Tech Start Date]],19),IF(Main[[#This Row],[Class]]="A",WORKDAY(Main[[#This Row],[Tech Start Date]],9),""))))</f>
        <v/>
      </c>
      <c r="Q396" s="101"/>
      <c r="R396" s="101"/>
      <c r="S396" s="99" t="s">
        <v>17</v>
      </c>
      <c r="T396" s="107" t="s">
        <v>4</v>
      </c>
      <c r="U396" s="99" t="s">
        <v>14</v>
      </c>
      <c r="V396" s="99" t="s">
        <v>1962</v>
      </c>
      <c r="W396" s="99" t="s">
        <v>1966</v>
      </c>
    </row>
    <row r="397" spans="1:23" ht="18.600000000000001" customHeight="1">
      <c r="A397" s="123" t="str">
        <f>IF(priority(Main[[#This Row],[Comments]])&lt;&gt;0, priority(Main[[#This Row],[Comments]]),"")</f>
        <v/>
      </c>
      <c r="B397" s="127" t="s">
        <v>1290</v>
      </c>
      <c r="C397" s="99" t="s">
        <v>4</v>
      </c>
      <c r="D397" s="100" t="s">
        <v>326</v>
      </c>
      <c r="E397" s="101"/>
      <c r="F397" s="101"/>
      <c r="G397" s="102" t="str">
        <f>IF(stdProdLT(Main[[#This Row],[Comments]])=0.1,"N/A",IF(stdProdLT(Main[[#This Row],[Comments]])=0,"",stdProdLT(Main[[#This Row],[Comments]])))</f>
        <v/>
      </c>
      <c r="H397" s="103" t="str">
        <f>IF(AND(Main[[#This Row],[In Stock Date]]&lt;&gt;"",Main[[#This Row],[Revised Due Date]]&lt;&gt;""),Main[[#This Row],[In Stock Date]]-Main[[#This Row],[Revised Due Date]],"")</f>
        <v/>
      </c>
      <c r="I397" s="99" t="s">
        <v>4</v>
      </c>
      <c r="J397" s="99" t="s">
        <v>4</v>
      </c>
      <c r="K397" s="99" t="s">
        <v>4</v>
      </c>
      <c r="L397" s="101"/>
      <c r="M397" s="104" t="str">
        <f>IF(Main[[#This Row],[Tech Start Date]]&lt;1/1/1990,"",IF(Main[[#This Row],[Class]]="C",WORKDAY(Main[[#This Row],[Tech Start Date]],9),IF(Main[[#This Row],[Class]]="B", WORKDAY(Main[[#This Row],[Tech Start Date]],6),IF(Main[[#This Row],[Class]]="A",WORKDAY(Main[[#This Row],[Tech Start Date]],2),""))))</f>
        <v/>
      </c>
      <c r="N397" s="104" t="str">
        <f>IF(Main[[#This Row],[Tech Start Date]]&lt;1/1/1990,"",IF(Main[[#This Row],[Class]]="C",WORKDAY(Main[[#This Row],[Tech Start Date]],19),IF(Main[[#This Row],[Class]]="B", WORKDAY(Main[[#This Row],[Tech Start Date]],12),IF(Main[[#This Row],[Class]]="A",WORKDAY(Main[[#This Row],[Tech Start Date]],4),""))))</f>
        <v/>
      </c>
      <c r="O397" s="104" t="str">
        <f>IF(Main[[#This Row],[Tech Start Date]]&lt;1/1/1990,"",IF(Main[[#This Row],[Class]]="C",WORKDAY(Main[[#This Row],[Tech Start Date]],23),IF(Main[[#This Row],[Class]]="B", WORKDAY(Main[[#This Row],[Tech Start Date]],15),IF(Main[[#This Row],[Class]]="A",WORKDAY(Main[[#This Row],[Tech Start Date]],5),""))))</f>
        <v/>
      </c>
      <c r="P397" s="104" t="str">
        <f>IF(Main[[#This Row],[Tech Start Date]]&lt;1/1/1990,"",IF(Main[[#This Row],[Class]]="C",WORKDAY(Main[[#This Row],[Tech Start Date]],28),IF(Main[[#This Row],[Class]]="B", WORKDAY(Main[[#This Row],[Tech Start Date]],19),IF(Main[[#This Row],[Class]]="A",WORKDAY(Main[[#This Row],[Tech Start Date]],9),""))))</f>
        <v/>
      </c>
      <c r="Q397" s="101">
        <v>40725</v>
      </c>
      <c r="R397" s="101"/>
      <c r="S397" s="99" t="s">
        <v>17</v>
      </c>
      <c r="T397" s="107" t="s">
        <v>4</v>
      </c>
      <c r="U397" s="99" t="s">
        <v>14</v>
      </c>
      <c r="V397" s="99" t="s">
        <v>1962</v>
      </c>
      <c r="W397" s="99" t="s">
        <v>1964</v>
      </c>
    </row>
    <row r="398" spans="1:23" ht="18.600000000000001" customHeight="1">
      <c r="A398" s="123" t="str">
        <f>IF(priority(Main[[#This Row],[Comments]])&lt;&gt;0, priority(Main[[#This Row],[Comments]]),"")</f>
        <v/>
      </c>
      <c r="B398" s="127" t="s">
        <v>1291</v>
      </c>
      <c r="C398" s="99" t="s">
        <v>93</v>
      </c>
      <c r="D398" s="100" t="s">
        <v>327</v>
      </c>
      <c r="E398" s="101"/>
      <c r="F398" s="101">
        <v>40168</v>
      </c>
      <c r="G398" s="102" t="str">
        <f>IF(stdProdLT(Main[[#This Row],[Comments]])=0.1,"N/A",IF(stdProdLT(Main[[#This Row],[Comments]])=0,"",stdProdLT(Main[[#This Row],[Comments]])))</f>
        <v/>
      </c>
      <c r="H398" s="103" t="str">
        <f>IF(AND(Main[[#This Row],[In Stock Date]]&lt;&gt;"",Main[[#This Row],[Revised Due Date]]&lt;&gt;""),Main[[#This Row],[In Stock Date]]-Main[[#This Row],[Revised Due Date]],"")</f>
        <v/>
      </c>
      <c r="I398" s="99" t="s">
        <v>4</v>
      </c>
      <c r="J398" s="99" t="s">
        <v>4</v>
      </c>
      <c r="K398" s="99" t="s">
        <v>4</v>
      </c>
      <c r="L398" s="101"/>
      <c r="M398" s="104" t="str">
        <f>IF(Main[[#This Row],[Tech Start Date]]&lt;1/1/1990,"",IF(Main[[#This Row],[Class]]="C",WORKDAY(Main[[#This Row],[Tech Start Date]],9),IF(Main[[#This Row],[Class]]="B", WORKDAY(Main[[#This Row],[Tech Start Date]],6),IF(Main[[#This Row],[Class]]="A",WORKDAY(Main[[#This Row],[Tech Start Date]],2),""))))</f>
        <v/>
      </c>
      <c r="N398" s="104" t="str">
        <f>IF(Main[[#This Row],[Tech Start Date]]&lt;1/1/1990,"",IF(Main[[#This Row],[Class]]="C",WORKDAY(Main[[#This Row],[Tech Start Date]],19),IF(Main[[#This Row],[Class]]="B", WORKDAY(Main[[#This Row],[Tech Start Date]],12),IF(Main[[#This Row],[Class]]="A",WORKDAY(Main[[#This Row],[Tech Start Date]],4),""))))</f>
        <v/>
      </c>
      <c r="O398" s="104" t="str">
        <f>IF(Main[[#This Row],[Tech Start Date]]&lt;1/1/1990,"",IF(Main[[#This Row],[Class]]="C",WORKDAY(Main[[#This Row],[Tech Start Date]],23),IF(Main[[#This Row],[Class]]="B", WORKDAY(Main[[#This Row],[Tech Start Date]],15),IF(Main[[#This Row],[Class]]="A",WORKDAY(Main[[#This Row],[Tech Start Date]],5),""))))</f>
        <v/>
      </c>
      <c r="P398" s="104" t="str">
        <f>IF(Main[[#This Row],[Tech Start Date]]&lt;1/1/1990,"",IF(Main[[#This Row],[Class]]="C",WORKDAY(Main[[#This Row],[Tech Start Date]],28),IF(Main[[#This Row],[Class]]="B", WORKDAY(Main[[#This Row],[Tech Start Date]],19),IF(Main[[#This Row],[Class]]="A",WORKDAY(Main[[#This Row],[Tech Start Date]],9),""))))</f>
        <v/>
      </c>
      <c r="Q398" s="101">
        <v>39993</v>
      </c>
      <c r="R398" s="101"/>
      <c r="S398" s="99" t="s">
        <v>11</v>
      </c>
      <c r="T398" s="107" t="s">
        <v>4</v>
      </c>
      <c r="U398" s="99" t="s">
        <v>14</v>
      </c>
      <c r="V398" s="99" t="s">
        <v>1963</v>
      </c>
      <c r="W398" s="99" t="s">
        <v>1970</v>
      </c>
    </row>
    <row r="399" spans="1:23" ht="18.600000000000001" customHeight="1">
      <c r="A399" s="123" t="str">
        <f>IF(priority(Main[[#This Row],[Comments]])&lt;&gt;0, priority(Main[[#This Row],[Comments]]),"")</f>
        <v/>
      </c>
      <c r="B399" s="127" t="s">
        <v>1292</v>
      </c>
      <c r="C399" s="99" t="s">
        <v>93</v>
      </c>
      <c r="D399" s="100" t="s">
        <v>328</v>
      </c>
      <c r="E399" s="101"/>
      <c r="F399" s="101">
        <v>40299</v>
      </c>
      <c r="G399" s="102" t="str">
        <f>IF(stdProdLT(Main[[#This Row],[Comments]])=0.1,"N/A",IF(stdProdLT(Main[[#This Row],[Comments]])=0,"",stdProdLT(Main[[#This Row],[Comments]])))</f>
        <v/>
      </c>
      <c r="H399" s="103" t="str">
        <f>IF(AND(Main[[#This Row],[In Stock Date]]&lt;&gt;"",Main[[#This Row],[Revised Due Date]]&lt;&gt;""),Main[[#This Row],[In Stock Date]]-Main[[#This Row],[Revised Due Date]],"")</f>
        <v/>
      </c>
      <c r="I399" s="99" t="s">
        <v>4</v>
      </c>
      <c r="J399" s="99" t="s">
        <v>4</v>
      </c>
      <c r="K399" s="99" t="s">
        <v>4</v>
      </c>
      <c r="L399" s="101"/>
      <c r="M399" s="104" t="str">
        <f>IF(Main[[#This Row],[Tech Start Date]]&lt;1/1/1990,"",IF(Main[[#This Row],[Class]]="C",WORKDAY(Main[[#This Row],[Tech Start Date]],9),IF(Main[[#This Row],[Class]]="B", WORKDAY(Main[[#This Row],[Tech Start Date]],6),IF(Main[[#This Row],[Class]]="A",WORKDAY(Main[[#This Row],[Tech Start Date]],2),""))))</f>
        <v/>
      </c>
      <c r="N399" s="104" t="str">
        <f>IF(Main[[#This Row],[Tech Start Date]]&lt;1/1/1990,"",IF(Main[[#This Row],[Class]]="C",WORKDAY(Main[[#This Row],[Tech Start Date]],19),IF(Main[[#This Row],[Class]]="B", WORKDAY(Main[[#This Row],[Tech Start Date]],12),IF(Main[[#This Row],[Class]]="A",WORKDAY(Main[[#This Row],[Tech Start Date]],4),""))))</f>
        <v/>
      </c>
      <c r="O399" s="104" t="str">
        <f>IF(Main[[#This Row],[Tech Start Date]]&lt;1/1/1990,"",IF(Main[[#This Row],[Class]]="C",WORKDAY(Main[[#This Row],[Tech Start Date]],23),IF(Main[[#This Row],[Class]]="B", WORKDAY(Main[[#This Row],[Tech Start Date]],15),IF(Main[[#This Row],[Class]]="A",WORKDAY(Main[[#This Row],[Tech Start Date]],5),""))))</f>
        <v/>
      </c>
      <c r="P399" s="104" t="str">
        <f>IF(Main[[#This Row],[Tech Start Date]]&lt;1/1/1990,"",IF(Main[[#This Row],[Class]]="C",WORKDAY(Main[[#This Row],[Tech Start Date]],28),IF(Main[[#This Row],[Class]]="B", WORKDAY(Main[[#This Row],[Tech Start Date]],19),IF(Main[[#This Row],[Class]]="A",WORKDAY(Main[[#This Row],[Tech Start Date]],9),""))))</f>
        <v/>
      </c>
      <c r="Q399" s="101">
        <v>40214</v>
      </c>
      <c r="R399" s="101"/>
      <c r="S399" s="99" t="s">
        <v>11</v>
      </c>
      <c r="T399" s="107" t="s">
        <v>4</v>
      </c>
      <c r="U399" s="99" t="s">
        <v>12</v>
      </c>
      <c r="V399" s="99" t="s">
        <v>1962</v>
      </c>
      <c r="W399" s="99" t="s">
        <v>1968</v>
      </c>
    </row>
    <row r="400" spans="1:23" ht="18.600000000000001" customHeight="1">
      <c r="A400" s="123" t="str">
        <f>IF(priority(Main[[#This Row],[Comments]])&lt;&gt;0, priority(Main[[#This Row],[Comments]]),"")</f>
        <v/>
      </c>
      <c r="B400" s="127" t="s">
        <v>1293</v>
      </c>
      <c r="C400" s="99" t="s">
        <v>4</v>
      </c>
      <c r="D400" s="100" t="s">
        <v>333</v>
      </c>
      <c r="E400" s="101"/>
      <c r="F400" s="101"/>
      <c r="G400" s="102" t="str">
        <f>IF(stdProdLT(Main[[#This Row],[Comments]])=0.1,"N/A",IF(stdProdLT(Main[[#This Row],[Comments]])=0,"",stdProdLT(Main[[#This Row],[Comments]])))</f>
        <v/>
      </c>
      <c r="H400" s="103" t="str">
        <f>IF(AND(Main[[#This Row],[In Stock Date]]&lt;&gt;"",Main[[#This Row],[Revised Due Date]]&lt;&gt;""),Main[[#This Row],[In Stock Date]]-Main[[#This Row],[Revised Due Date]],"")</f>
        <v/>
      </c>
      <c r="I400" s="99" t="s">
        <v>4</v>
      </c>
      <c r="J400" s="99" t="s">
        <v>4</v>
      </c>
      <c r="K400" s="99" t="s">
        <v>4</v>
      </c>
      <c r="L400" s="101"/>
      <c r="M400" s="104" t="str">
        <f>IF(Main[[#This Row],[Tech Start Date]]&lt;1/1/1990,"",IF(Main[[#This Row],[Class]]="C",WORKDAY(Main[[#This Row],[Tech Start Date]],9),IF(Main[[#This Row],[Class]]="B", WORKDAY(Main[[#This Row],[Tech Start Date]],6),IF(Main[[#This Row],[Class]]="A",WORKDAY(Main[[#This Row],[Tech Start Date]],2),""))))</f>
        <v/>
      </c>
      <c r="N400" s="104" t="str">
        <f>IF(Main[[#This Row],[Tech Start Date]]&lt;1/1/1990,"",IF(Main[[#This Row],[Class]]="C",WORKDAY(Main[[#This Row],[Tech Start Date]],19),IF(Main[[#This Row],[Class]]="B", WORKDAY(Main[[#This Row],[Tech Start Date]],12),IF(Main[[#This Row],[Class]]="A",WORKDAY(Main[[#This Row],[Tech Start Date]],4),""))))</f>
        <v/>
      </c>
      <c r="O400" s="104" t="str">
        <f>IF(Main[[#This Row],[Tech Start Date]]&lt;1/1/1990,"",IF(Main[[#This Row],[Class]]="C",WORKDAY(Main[[#This Row],[Tech Start Date]],23),IF(Main[[#This Row],[Class]]="B", WORKDAY(Main[[#This Row],[Tech Start Date]],15),IF(Main[[#This Row],[Class]]="A",WORKDAY(Main[[#This Row],[Tech Start Date]],5),""))))</f>
        <v/>
      </c>
      <c r="P400" s="104" t="str">
        <f>IF(Main[[#This Row],[Tech Start Date]]&lt;1/1/1990,"",IF(Main[[#This Row],[Class]]="C",WORKDAY(Main[[#This Row],[Tech Start Date]],28),IF(Main[[#This Row],[Class]]="B", WORKDAY(Main[[#This Row],[Tech Start Date]],19),IF(Main[[#This Row],[Class]]="A",WORKDAY(Main[[#This Row],[Tech Start Date]],9),""))))</f>
        <v/>
      </c>
      <c r="Q400" s="101"/>
      <c r="R400" s="101"/>
      <c r="S400" s="99" t="s">
        <v>17</v>
      </c>
      <c r="T400" s="107" t="s">
        <v>4</v>
      </c>
      <c r="U400" s="99" t="s">
        <v>14</v>
      </c>
      <c r="V400" s="99" t="s">
        <v>1962</v>
      </c>
      <c r="W400" s="99" t="s">
        <v>1964</v>
      </c>
    </row>
    <row r="401" spans="1:23" ht="18.600000000000001" customHeight="1">
      <c r="A401" s="123" t="str">
        <f>IF(priority(Main[[#This Row],[Comments]])&lt;&gt;0, priority(Main[[#This Row],[Comments]]),"")</f>
        <v/>
      </c>
      <c r="B401" s="127" t="s">
        <v>1294</v>
      </c>
      <c r="C401" s="99" t="s">
        <v>4</v>
      </c>
      <c r="D401" s="100" t="s">
        <v>334</v>
      </c>
      <c r="E401" s="101">
        <v>40519.3518287037</v>
      </c>
      <c r="F401" s="101"/>
      <c r="G401" s="102" t="str">
        <f>IF(stdProdLT(Main[[#This Row],[Comments]])=0.1,"N/A",IF(stdProdLT(Main[[#This Row],[Comments]])=0,"",stdProdLT(Main[[#This Row],[Comments]])))</f>
        <v/>
      </c>
      <c r="H401" s="103" t="str">
        <f>IF(AND(Main[[#This Row],[In Stock Date]]&lt;&gt;"",Main[[#This Row],[Revised Due Date]]&lt;&gt;""),Main[[#This Row],[In Stock Date]]-Main[[#This Row],[Revised Due Date]],"")</f>
        <v/>
      </c>
      <c r="I401" s="99" t="s">
        <v>4</v>
      </c>
      <c r="J401" s="99" t="s">
        <v>4</v>
      </c>
      <c r="K401" s="108" t="s">
        <v>4</v>
      </c>
      <c r="L401" s="101"/>
      <c r="M401" s="104" t="str">
        <f>IF(Main[[#This Row],[Tech Start Date]]&lt;1/1/1990,"",IF(Main[[#This Row],[Class]]="C",WORKDAY(Main[[#This Row],[Tech Start Date]],9),IF(Main[[#This Row],[Class]]="B", WORKDAY(Main[[#This Row],[Tech Start Date]],6),IF(Main[[#This Row],[Class]]="A",WORKDAY(Main[[#This Row],[Tech Start Date]],2),""))))</f>
        <v/>
      </c>
      <c r="N401" s="104" t="str">
        <f>IF(Main[[#This Row],[Tech Start Date]]&lt;1/1/1990,"",IF(Main[[#This Row],[Class]]="C",WORKDAY(Main[[#This Row],[Tech Start Date]],19),IF(Main[[#This Row],[Class]]="B", WORKDAY(Main[[#This Row],[Tech Start Date]],12),IF(Main[[#This Row],[Class]]="A",WORKDAY(Main[[#This Row],[Tech Start Date]],4),""))))</f>
        <v/>
      </c>
      <c r="O401" s="104" t="str">
        <f>IF(Main[[#This Row],[Tech Start Date]]&lt;1/1/1990,"",IF(Main[[#This Row],[Class]]="C",WORKDAY(Main[[#This Row],[Tech Start Date]],23),IF(Main[[#This Row],[Class]]="B", WORKDAY(Main[[#This Row],[Tech Start Date]],15),IF(Main[[#This Row],[Class]]="A",WORKDAY(Main[[#This Row],[Tech Start Date]],5),""))))</f>
        <v/>
      </c>
      <c r="P401" s="104" t="str">
        <f>IF(Main[[#This Row],[Tech Start Date]]&lt;1/1/1990,"",IF(Main[[#This Row],[Class]]="C",WORKDAY(Main[[#This Row],[Tech Start Date]],28),IF(Main[[#This Row],[Class]]="B", WORKDAY(Main[[#This Row],[Tech Start Date]],19),IF(Main[[#This Row],[Class]]="A",WORKDAY(Main[[#This Row],[Tech Start Date]],9),""))))</f>
        <v/>
      </c>
      <c r="Q401" s="101">
        <v>40536</v>
      </c>
      <c r="R401" s="101"/>
      <c r="S401" s="99" t="s">
        <v>4</v>
      </c>
      <c r="T401" s="107" t="s">
        <v>4</v>
      </c>
      <c r="U401" s="99" t="s">
        <v>7</v>
      </c>
      <c r="V401" s="99" t="s">
        <v>1962</v>
      </c>
      <c r="W401" s="99" t="s">
        <v>4</v>
      </c>
    </row>
    <row r="402" spans="1:23" ht="18.600000000000001" customHeight="1">
      <c r="A402" s="123" t="str">
        <f>IF(priority(Main[[#This Row],[Comments]])&lt;&gt;0, priority(Main[[#This Row],[Comments]]),"")</f>
        <v/>
      </c>
      <c r="B402" s="127" t="s">
        <v>1295</v>
      </c>
      <c r="C402" s="99" t="s">
        <v>72</v>
      </c>
      <c r="D402" s="100" t="s">
        <v>335</v>
      </c>
      <c r="E402" s="101"/>
      <c r="F402" s="101">
        <v>40313</v>
      </c>
      <c r="G402" s="102" t="str">
        <f>IF(stdProdLT(Main[[#This Row],[Comments]])=0.1,"N/A",IF(stdProdLT(Main[[#This Row],[Comments]])=0,"",stdProdLT(Main[[#This Row],[Comments]])))</f>
        <v/>
      </c>
      <c r="H402" s="103" t="str">
        <f>IF(AND(Main[[#This Row],[In Stock Date]]&lt;&gt;"",Main[[#This Row],[Revised Due Date]]&lt;&gt;""),Main[[#This Row],[In Stock Date]]-Main[[#This Row],[Revised Due Date]],"")</f>
        <v/>
      </c>
      <c r="I402" s="99" t="s">
        <v>4</v>
      </c>
      <c r="J402" s="99" t="s">
        <v>4</v>
      </c>
      <c r="K402" s="99" t="s">
        <v>4</v>
      </c>
      <c r="L402" s="101"/>
      <c r="M402" s="104" t="str">
        <f>IF(Main[[#This Row],[Tech Start Date]]&lt;1/1/1990,"",IF(Main[[#This Row],[Class]]="C",WORKDAY(Main[[#This Row],[Tech Start Date]],9),IF(Main[[#This Row],[Class]]="B", WORKDAY(Main[[#This Row],[Tech Start Date]],6),IF(Main[[#This Row],[Class]]="A",WORKDAY(Main[[#This Row],[Tech Start Date]],2),""))))</f>
        <v/>
      </c>
      <c r="N402" s="104" t="str">
        <f>IF(Main[[#This Row],[Tech Start Date]]&lt;1/1/1990,"",IF(Main[[#This Row],[Class]]="C",WORKDAY(Main[[#This Row],[Tech Start Date]],19),IF(Main[[#This Row],[Class]]="B", WORKDAY(Main[[#This Row],[Tech Start Date]],12),IF(Main[[#This Row],[Class]]="A",WORKDAY(Main[[#This Row],[Tech Start Date]],4),""))))</f>
        <v/>
      </c>
      <c r="O402" s="104" t="str">
        <f>IF(Main[[#This Row],[Tech Start Date]]&lt;1/1/1990,"",IF(Main[[#This Row],[Class]]="C",WORKDAY(Main[[#This Row],[Tech Start Date]],23),IF(Main[[#This Row],[Class]]="B", WORKDAY(Main[[#This Row],[Tech Start Date]],15),IF(Main[[#This Row],[Class]]="A",WORKDAY(Main[[#This Row],[Tech Start Date]],5),""))))</f>
        <v/>
      </c>
      <c r="P402" s="104" t="str">
        <f>IF(Main[[#This Row],[Tech Start Date]]&lt;1/1/1990,"",IF(Main[[#This Row],[Class]]="C",WORKDAY(Main[[#This Row],[Tech Start Date]],28),IF(Main[[#This Row],[Class]]="B", WORKDAY(Main[[#This Row],[Tech Start Date]],19),IF(Main[[#This Row],[Class]]="A",WORKDAY(Main[[#This Row],[Tech Start Date]],9),""))))</f>
        <v/>
      </c>
      <c r="Q402" s="101">
        <v>40233</v>
      </c>
      <c r="R402" s="101"/>
      <c r="S402" s="99" t="s">
        <v>11</v>
      </c>
      <c r="T402" s="107" t="s">
        <v>4</v>
      </c>
      <c r="U402" s="99" t="s">
        <v>14</v>
      </c>
      <c r="V402" s="99" t="s">
        <v>1965</v>
      </c>
      <c r="W402" s="99" t="s">
        <v>1970</v>
      </c>
    </row>
    <row r="403" spans="1:23" ht="18.600000000000001" customHeight="1">
      <c r="A403" s="123" t="str">
        <f>IF(priority(Main[[#This Row],[Comments]])&lt;&gt;0, priority(Main[[#This Row],[Comments]]),"")</f>
        <v/>
      </c>
      <c r="B403" s="127" t="s">
        <v>1296</v>
      </c>
      <c r="C403" s="99" t="s">
        <v>4</v>
      </c>
      <c r="D403" s="100" t="s">
        <v>336</v>
      </c>
      <c r="E403" s="101"/>
      <c r="F403" s="101"/>
      <c r="G403" s="102" t="str">
        <f>IF(stdProdLT(Main[[#This Row],[Comments]])=0.1,"N/A",IF(stdProdLT(Main[[#This Row],[Comments]])=0,"",stdProdLT(Main[[#This Row],[Comments]])))</f>
        <v/>
      </c>
      <c r="H403" s="103" t="str">
        <f>IF(AND(Main[[#This Row],[In Stock Date]]&lt;&gt;"",Main[[#This Row],[Revised Due Date]]&lt;&gt;""),Main[[#This Row],[In Stock Date]]-Main[[#This Row],[Revised Due Date]],"")</f>
        <v/>
      </c>
      <c r="I403" s="99" t="s">
        <v>4</v>
      </c>
      <c r="J403" s="99" t="s">
        <v>4</v>
      </c>
      <c r="K403" s="99" t="s">
        <v>4</v>
      </c>
      <c r="L403" s="101"/>
      <c r="M403" s="104" t="str">
        <f>IF(Main[[#This Row],[Tech Start Date]]&lt;1/1/1990,"",IF(Main[[#This Row],[Class]]="C",WORKDAY(Main[[#This Row],[Tech Start Date]],9),IF(Main[[#This Row],[Class]]="B", WORKDAY(Main[[#This Row],[Tech Start Date]],6),IF(Main[[#This Row],[Class]]="A",WORKDAY(Main[[#This Row],[Tech Start Date]],2),""))))</f>
        <v/>
      </c>
      <c r="N403" s="104" t="str">
        <f>IF(Main[[#This Row],[Tech Start Date]]&lt;1/1/1990,"",IF(Main[[#This Row],[Class]]="C",WORKDAY(Main[[#This Row],[Tech Start Date]],19),IF(Main[[#This Row],[Class]]="B", WORKDAY(Main[[#This Row],[Tech Start Date]],12),IF(Main[[#This Row],[Class]]="A",WORKDAY(Main[[#This Row],[Tech Start Date]],4),""))))</f>
        <v/>
      </c>
      <c r="O403" s="104" t="str">
        <f>IF(Main[[#This Row],[Tech Start Date]]&lt;1/1/1990,"",IF(Main[[#This Row],[Class]]="C",WORKDAY(Main[[#This Row],[Tech Start Date]],23),IF(Main[[#This Row],[Class]]="B", WORKDAY(Main[[#This Row],[Tech Start Date]],15),IF(Main[[#This Row],[Class]]="A",WORKDAY(Main[[#This Row],[Tech Start Date]],5),""))))</f>
        <v/>
      </c>
      <c r="P403" s="104" t="str">
        <f>IF(Main[[#This Row],[Tech Start Date]]&lt;1/1/1990,"",IF(Main[[#This Row],[Class]]="C",WORKDAY(Main[[#This Row],[Tech Start Date]],28),IF(Main[[#This Row],[Class]]="B", WORKDAY(Main[[#This Row],[Tech Start Date]],19),IF(Main[[#This Row],[Class]]="A",WORKDAY(Main[[#This Row],[Tech Start Date]],9),""))))</f>
        <v/>
      </c>
      <c r="Q403" s="101"/>
      <c r="R403" s="101"/>
      <c r="S403" s="99" t="s">
        <v>11</v>
      </c>
      <c r="T403" s="107" t="s">
        <v>4</v>
      </c>
      <c r="U403" s="99" t="s">
        <v>12</v>
      </c>
      <c r="V403" s="99" t="s">
        <v>1962</v>
      </c>
      <c r="W403" s="99" t="s">
        <v>1976</v>
      </c>
    </row>
    <row r="404" spans="1:23" ht="18.600000000000001" customHeight="1">
      <c r="A404" s="123" t="str">
        <f>IF(priority(Main[[#This Row],[Comments]])&lt;&gt;0, priority(Main[[#This Row],[Comments]]),"")</f>
        <v/>
      </c>
      <c r="B404" s="127" t="s">
        <v>1297</v>
      </c>
      <c r="C404" s="99" t="s">
        <v>4</v>
      </c>
      <c r="D404" s="100" t="s">
        <v>337</v>
      </c>
      <c r="E404" s="101">
        <v>40322.153738425928</v>
      </c>
      <c r="F404" s="101"/>
      <c r="G404" s="102" t="str">
        <f>IF(stdProdLT(Main[[#This Row],[Comments]])=0.1,"N/A",IF(stdProdLT(Main[[#This Row],[Comments]])=0,"",stdProdLT(Main[[#This Row],[Comments]])))</f>
        <v/>
      </c>
      <c r="H404" s="103" t="str">
        <f>IF(AND(Main[[#This Row],[In Stock Date]]&lt;&gt;"",Main[[#This Row],[Revised Due Date]]&lt;&gt;""),Main[[#This Row],[In Stock Date]]-Main[[#This Row],[Revised Due Date]],"")</f>
        <v/>
      </c>
      <c r="I404" s="99" t="s">
        <v>129</v>
      </c>
      <c r="J404" s="99" t="s">
        <v>4</v>
      </c>
      <c r="K404" s="99" t="s">
        <v>4</v>
      </c>
      <c r="L404" s="101"/>
      <c r="M404" s="104" t="str">
        <f>IF(Main[[#This Row],[Tech Start Date]]&lt;1/1/1990,"",IF(Main[[#This Row],[Class]]="C",WORKDAY(Main[[#This Row],[Tech Start Date]],9),IF(Main[[#This Row],[Class]]="B", WORKDAY(Main[[#This Row],[Tech Start Date]],6),IF(Main[[#This Row],[Class]]="A",WORKDAY(Main[[#This Row],[Tech Start Date]],2),""))))</f>
        <v/>
      </c>
      <c r="N404" s="104" t="str">
        <f>IF(Main[[#This Row],[Tech Start Date]]&lt;1/1/1990,"",IF(Main[[#This Row],[Class]]="C",WORKDAY(Main[[#This Row],[Tech Start Date]],19),IF(Main[[#This Row],[Class]]="B", WORKDAY(Main[[#This Row],[Tech Start Date]],12),IF(Main[[#This Row],[Class]]="A",WORKDAY(Main[[#This Row],[Tech Start Date]],4),""))))</f>
        <v/>
      </c>
      <c r="O404" s="104" t="str">
        <f>IF(Main[[#This Row],[Tech Start Date]]&lt;1/1/1990,"",IF(Main[[#This Row],[Class]]="C",WORKDAY(Main[[#This Row],[Tech Start Date]],23),IF(Main[[#This Row],[Class]]="B", WORKDAY(Main[[#This Row],[Tech Start Date]],15),IF(Main[[#This Row],[Class]]="A",WORKDAY(Main[[#This Row],[Tech Start Date]],5),""))))</f>
        <v/>
      </c>
      <c r="P404" s="104" t="str">
        <f>IF(Main[[#This Row],[Tech Start Date]]&lt;1/1/1990,"",IF(Main[[#This Row],[Class]]="C",WORKDAY(Main[[#This Row],[Tech Start Date]],28),IF(Main[[#This Row],[Class]]="B", WORKDAY(Main[[#This Row],[Tech Start Date]],19),IF(Main[[#This Row],[Class]]="A",WORKDAY(Main[[#This Row],[Tech Start Date]],9),""))))</f>
        <v/>
      </c>
      <c r="Q404" s="101">
        <v>40353</v>
      </c>
      <c r="R404" s="101"/>
      <c r="S404" s="99" t="s">
        <v>6</v>
      </c>
      <c r="T404" s="107" t="s">
        <v>4</v>
      </c>
      <c r="U404" s="99" t="s">
        <v>7</v>
      </c>
      <c r="V404" s="99" t="s">
        <v>1962</v>
      </c>
      <c r="W404" s="99" t="s">
        <v>1964</v>
      </c>
    </row>
    <row r="405" spans="1:23" ht="18.600000000000001" customHeight="1">
      <c r="A405" s="123" t="str">
        <f>IF(priority(Main[[#This Row],[Comments]])&lt;&gt;0, priority(Main[[#This Row],[Comments]]),"")</f>
        <v/>
      </c>
      <c r="B405" s="127" t="s">
        <v>1298</v>
      </c>
      <c r="C405" s="99" t="s">
        <v>171</v>
      </c>
      <c r="D405" s="100" t="s">
        <v>338</v>
      </c>
      <c r="E405" s="101"/>
      <c r="F405" s="101">
        <v>40237</v>
      </c>
      <c r="G405" s="102" t="str">
        <f>IF(stdProdLT(Main[[#This Row],[Comments]])=0.1,"N/A",IF(stdProdLT(Main[[#This Row],[Comments]])=0,"",stdProdLT(Main[[#This Row],[Comments]])))</f>
        <v/>
      </c>
      <c r="H405" s="103" t="str">
        <f>IF(AND(Main[[#This Row],[In Stock Date]]&lt;&gt;"",Main[[#This Row],[Revised Due Date]]&lt;&gt;""),Main[[#This Row],[In Stock Date]]-Main[[#This Row],[Revised Due Date]],"")</f>
        <v/>
      </c>
      <c r="I405" s="99" t="s">
        <v>4</v>
      </c>
      <c r="J405" s="99" t="s">
        <v>4</v>
      </c>
      <c r="K405" s="99" t="s">
        <v>4</v>
      </c>
      <c r="L405" s="101"/>
      <c r="M405" s="104" t="str">
        <f>IF(Main[[#This Row],[Tech Start Date]]&lt;1/1/1990,"",IF(Main[[#This Row],[Class]]="C",WORKDAY(Main[[#This Row],[Tech Start Date]],9),IF(Main[[#This Row],[Class]]="B", WORKDAY(Main[[#This Row],[Tech Start Date]],6),IF(Main[[#This Row],[Class]]="A",WORKDAY(Main[[#This Row],[Tech Start Date]],2),""))))</f>
        <v/>
      </c>
      <c r="N405" s="104" t="str">
        <f>IF(Main[[#This Row],[Tech Start Date]]&lt;1/1/1990,"",IF(Main[[#This Row],[Class]]="C",WORKDAY(Main[[#This Row],[Tech Start Date]],19),IF(Main[[#This Row],[Class]]="B", WORKDAY(Main[[#This Row],[Tech Start Date]],12),IF(Main[[#This Row],[Class]]="A",WORKDAY(Main[[#This Row],[Tech Start Date]],4),""))))</f>
        <v/>
      </c>
      <c r="O405" s="104" t="str">
        <f>IF(Main[[#This Row],[Tech Start Date]]&lt;1/1/1990,"",IF(Main[[#This Row],[Class]]="C",WORKDAY(Main[[#This Row],[Tech Start Date]],23),IF(Main[[#This Row],[Class]]="B", WORKDAY(Main[[#This Row],[Tech Start Date]],15),IF(Main[[#This Row],[Class]]="A",WORKDAY(Main[[#This Row],[Tech Start Date]],5),""))))</f>
        <v/>
      </c>
      <c r="P405" s="104" t="str">
        <f>IF(Main[[#This Row],[Tech Start Date]]&lt;1/1/1990,"",IF(Main[[#This Row],[Class]]="C",WORKDAY(Main[[#This Row],[Tech Start Date]],28),IF(Main[[#This Row],[Class]]="B", WORKDAY(Main[[#This Row],[Tech Start Date]],19),IF(Main[[#This Row],[Class]]="A",WORKDAY(Main[[#This Row],[Tech Start Date]],9),""))))</f>
        <v/>
      </c>
      <c r="Q405" s="101">
        <v>40132</v>
      </c>
      <c r="R405" s="101"/>
      <c r="S405" s="99" t="s">
        <v>11</v>
      </c>
      <c r="T405" s="107" t="s">
        <v>4</v>
      </c>
      <c r="U405" s="99" t="s">
        <v>14</v>
      </c>
      <c r="V405" s="99" t="s">
        <v>1962</v>
      </c>
      <c r="W405" s="99" t="s">
        <v>1967</v>
      </c>
    </row>
    <row r="406" spans="1:23" ht="18.600000000000001" customHeight="1">
      <c r="A406" s="123" t="str">
        <f>IF(priority(Main[[#This Row],[Comments]])&lt;&gt;0, priority(Main[[#This Row],[Comments]]),"")</f>
        <v/>
      </c>
      <c r="B406" s="127" t="s">
        <v>1299</v>
      </c>
      <c r="C406" s="99" t="s">
        <v>4</v>
      </c>
      <c r="D406" s="100" t="s">
        <v>346</v>
      </c>
      <c r="E406" s="101"/>
      <c r="F406" s="101"/>
      <c r="G406" s="102" t="str">
        <f>IF(stdProdLT(Main[[#This Row],[Comments]])=0.1,"N/A",IF(stdProdLT(Main[[#This Row],[Comments]])=0,"",stdProdLT(Main[[#This Row],[Comments]])))</f>
        <v/>
      </c>
      <c r="H406" s="103" t="str">
        <f>IF(AND(Main[[#This Row],[In Stock Date]]&lt;&gt;"",Main[[#This Row],[Revised Due Date]]&lt;&gt;""),Main[[#This Row],[In Stock Date]]-Main[[#This Row],[Revised Due Date]],"")</f>
        <v/>
      </c>
      <c r="I406" s="99" t="s">
        <v>4</v>
      </c>
      <c r="J406" s="99" t="s">
        <v>4</v>
      </c>
      <c r="K406" s="99" t="s">
        <v>4</v>
      </c>
      <c r="L406" s="101"/>
      <c r="M406" s="104" t="str">
        <f>IF(Main[[#This Row],[Tech Start Date]]&lt;1/1/1990,"",IF(Main[[#This Row],[Class]]="C",WORKDAY(Main[[#This Row],[Tech Start Date]],9),IF(Main[[#This Row],[Class]]="B", WORKDAY(Main[[#This Row],[Tech Start Date]],6),IF(Main[[#This Row],[Class]]="A",WORKDAY(Main[[#This Row],[Tech Start Date]],2),""))))</f>
        <v/>
      </c>
      <c r="N406" s="104" t="str">
        <f>IF(Main[[#This Row],[Tech Start Date]]&lt;1/1/1990,"",IF(Main[[#This Row],[Class]]="C",WORKDAY(Main[[#This Row],[Tech Start Date]],19),IF(Main[[#This Row],[Class]]="B", WORKDAY(Main[[#This Row],[Tech Start Date]],12),IF(Main[[#This Row],[Class]]="A",WORKDAY(Main[[#This Row],[Tech Start Date]],4),""))))</f>
        <v/>
      </c>
      <c r="O406" s="104" t="str">
        <f>IF(Main[[#This Row],[Tech Start Date]]&lt;1/1/1990,"",IF(Main[[#This Row],[Class]]="C",WORKDAY(Main[[#This Row],[Tech Start Date]],23),IF(Main[[#This Row],[Class]]="B", WORKDAY(Main[[#This Row],[Tech Start Date]],15),IF(Main[[#This Row],[Class]]="A",WORKDAY(Main[[#This Row],[Tech Start Date]],5),""))))</f>
        <v/>
      </c>
      <c r="P406" s="104" t="str">
        <f>IF(Main[[#This Row],[Tech Start Date]]&lt;1/1/1990,"",IF(Main[[#This Row],[Class]]="C",WORKDAY(Main[[#This Row],[Tech Start Date]],28),IF(Main[[#This Row],[Class]]="B", WORKDAY(Main[[#This Row],[Tech Start Date]],19),IF(Main[[#This Row],[Class]]="A",WORKDAY(Main[[#This Row],[Tech Start Date]],9),""))))</f>
        <v/>
      </c>
      <c r="Q406" s="101"/>
      <c r="R406" s="101"/>
      <c r="S406" s="99" t="s">
        <v>11</v>
      </c>
      <c r="T406" s="107" t="s">
        <v>4</v>
      </c>
      <c r="U406" s="99" t="s">
        <v>14</v>
      </c>
      <c r="V406" s="99" t="s">
        <v>1963</v>
      </c>
      <c r="W406" s="99" t="s">
        <v>1970</v>
      </c>
    </row>
    <row r="407" spans="1:23" ht="18.600000000000001" customHeight="1">
      <c r="A407" s="123" t="str">
        <f>IF(priority(Main[[#This Row],[Comments]])&lt;&gt;0, priority(Main[[#This Row],[Comments]]),"")</f>
        <v/>
      </c>
      <c r="B407" s="127" t="s">
        <v>1153</v>
      </c>
      <c r="C407" s="99" t="s">
        <v>171</v>
      </c>
      <c r="D407" s="100" t="s">
        <v>172</v>
      </c>
      <c r="E407" s="101"/>
      <c r="F407" s="101">
        <v>40237</v>
      </c>
      <c r="G407" s="102" t="str">
        <f>IF(stdProdLT(Main[[#This Row],[Comments]])=0.1,"N/A",IF(stdProdLT(Main[[#This Row],[Comments]])=0,"",stdProdLT(Main[[#This Row],[Comments]])))</f>
        <v/>
      </c>
      <c r="H407" s="103" t="str">
        <f>IF(AND(Main[[#This Row],[In Stock Date]]&lt;&gt;"",Main[[#This Row],[Revised Due Date]]&lt;&gt;""),Main[[#This Row],[In Stock Date]]-Main[[#This Row],[Revised Due Date]],"")</f>
        <v/>
      </c>
      <c r="I407" s="99" t="s">
        <v>4</v>
      </c>
      <c r="J407" s="99" t="s">
        <v>4</v>
      </c>
      <c r="K407" s="99" t="s">
        <v>4</v>
      </c>
      <c r="L407" s="101"/>
      <c r="M407" s="104" t="str">
        <f>IF(Main[[#This Row],[Tech Start Date]]&lt;1/1/1990,"",IF(Main[[#This Row],[Class]]="C",WORKDAY(Main[[#This Row],[Tech Start Date]],9),IF(Main[[#This Row],[Class]]="B", WORKDAY(Main[[#This Row],[Tech Start Date]],6),IF(Main[[#This Row],[Class]]="A",WORKDAY(Main[[#This Row],[Tech Start Date]],2),""))))</f>
        <v/>
      </c>
      <c r="N407" s="104" t="str">
        <f>IF(Main[[#This Row],[Tech Start Date]]&lt;1/1/1990,"",IF(Main[[#This Row],[Class]]="C",WORKDAY(Main[[#This Row],[Tech Start Date]],19),IF(Main[[#This Row],[Class]]="B", WORKDAY(Main[[#This Row],[Tech Start Date]],12),IF(Main[[#This Row],[Class]]="A",WORKDAY(Main[[#This Row],[Tech Start Date]],4),""))))</f>
        <v/>
      </c>
      <c r="O407" s="104" t="str">
        <f>IF(Main[[#This Row],[Tech Start Date]]&lt;1/1/1990,"",IF(Main[[#This Row],[Class]]="C",WORKDAY(Main[[#This Row],[Tech Start Date]],23),IF(Main[[#This Row],[Class]]="B", WORKDAY(Main[[#This Row],[Tech Start Date]],15),IF(Main[[#This Row],[Class]]="A",WORKDAY(Main[[#This Row],[Tech Start Date]],5),""))))</f>
        <v/>
      </c>
      <c r="P407" s="104" t="str">
        <f>IF(Main[[#This Row],[Tech Start Date]]&lt;1/1/1990,"",IF(Main[[#This Row],[Class]]="C",WORKDAY(Main[[#This Row],[Tech Start Date]],28),IF(Main[[#This Row],[Class]]="B", WORKDAY(Main[[#This Row],[Tech Start Date]],19),IF(Main[[#This Row],[Class]]="A",WORKDAY(Main[[#This Row],[Tech Start Date]],9),""))))</f>
        <v/>
      </c>
      <c r="Q407" s="101">
        <v>40132</v>
      </c>
      <c r="R407" s="101"/>
      <c r="S407" s="99" t="s">
        <v>11</v>
      </c>
      <c r="T407" s="107" t="s">
        <v>4</v>
      </c>
      <c r="U407" s="99" t="s">
        <v>14</v>
      </c>
      <c r="V407" s="99" t="s">
        <v>1962</v>
      </c>
      <c r="W407" s="99" t="s">
        <v>1967</v>
      </c>
    </row>
    <row r="408" spans="1:23" ht="18.600000000000001" customHeight="1">
      <c r="A408" s="123" t="str">
        <f>IF(priority(Main[[#This Row],[Comments]])&lt;&gt;0, priority(Main[[#This Row],[Comments]]),"")</f>
        <v/>
      </c>
      <c r="B408" s="127" t="s">
        <v>2460</v>
      </c>
      <c r="C408" s="99" t="s">
        <v>4</v>
      </c>
      <c r="D408" s="100" t="s">
        <v>2461</v>
      </c>
      <c r="E408" s="101">
        <v>40826.383356481485</v>
      </c>
      <c r="F408" s="101"/>
      <c r="G408" s="102" t="str">
        <f>IF(stdProdLT(Main[[#This Row],[Comments]])=0.1,"N/A",IF(stdProdLT(Main[[#This Row],[Comments]])=0,"",stdProdLT(Main[[#This Row],[Comments]])))</f>
        <v/>
      </c>
      <c r="H408" s="103" t="str">
        <f>IF(AND(Main[[#This Row],[In Stock Date]]&lt;&gt;"",Main[[#This Row],[Revised Due Date]]&lt;&gt;""),Main[[#This Row],[In Stock Date]]-Main[[#This Row],[Revised Due Date]],"")</f>
        <v/>
      </c>
      <c r="I408" s="99" t="s">
        <v>30</v>
      </c>
      <c r="J408" s="99" t="s">
        <v>2284</v>
      </c>
      <c r="K408" s="99" t="s">
        <v>4</v>
      </c>
      <c r="L408" s="101"/>
      <c r="M408" s="104" t="str">
        <f>IF(Main[[#This Row],[Tech Start Date]]&lt;1/1/1990,"",IF(Main[[#This Row],[Class]]="C",WORKDAY(Main[[#This Row],[Tech Start Date]],9),IF(Main[[#This Row],[Class]]="B", WORKDAY(Main[[#This Row],[Tech Start Date]],6),IF(Main[[#This Row],[Class]]="A",WORKDAY(Main[[#This Row],[Tech Start Date]],2),""))))</f>
        <v/>
      </c>
      <c r="N408" s="104" t="str">
        <f>IF(Main[[#This Row],[Tech Start Date]]&lt;1/1/1990,"",IF(Main[[#This Row],[Class]]="C",WORKDAY(Main[[#This Row],[Tech Start Date]],19),IF(Main[[#This Row],[Class]]="B", WORKDAY(Main[[#This Row],[Tech Start Date]],12),IF(Main[[#This Row],[Class]]="A",WORKDAY(Main[[#This Row],[Tech Start Date]],4),""))))</f>
        <v/>
      </c>
      <c r="O408" s="104" t="str">
        <f>IF(Main[[#This Row],[Tech Start Date]]&lt;1/1/1990,"",IF(Main[[#This Row],[Class]]="C",WORKDAY(Main[[#This Row],[Tech Start Date]],23),IF(Main[[#This Row],[Class]]="B", WORKDAY(Main[[#This Row],[Tech Start Date]],15),IF(Main[[#This Row],[Class]]="A",WORKDAY(Main[[#This Row],[Tech Start Date]],5),""))))</f>
        <v/>
      </c>
      <c r="P408" s="104" t="str">
        <f>IF(Main[[#This Row],[Tech Start Date]]&lt;1/1/1990,"",IF(Main[[#This Row],[Class]]="C",WORKDAY(Main[[#This Row],[Tech Start Date]],28),IF(Main[[#This Row],[Class]]="B", WORKDAY(Main[[#This Row],[Tech Start Date]],19),IF(Main[[#This Row],[Class]]="A",WORKDAY(Main[[#This Row],[Tech Start Date]],9),""))))</f>
        <v/>
      </c>
      <c r="Q408" s="101"/>
      <c r="R408" s="101"/>
      <c r="S408" s="99" t="s">
        <v>6</v>
      </c>
      <c r="T408" s="107" t="s">
        <v>4</v>
      </c>
      <c r="U408" s="99" t="s">
        <v>29</v>
      </c>
      <c r="V408" s="99" t="s">
        <v>1965</v>
      </c>
      <c r="W408" s="99" t="s">
        <v>1964</v>
      </c>
    </row>
    <row r="409" spans="1:23" ht="18.600000000000001" customHeight="1">
      <c r="A409" s="123" t="str">
        <f>IF(priority(Main[[#This Row],[Comments]])&lt;&gt;0, priority(Main[[#This Row],[Comments]]),"")</f>
        <v/>
      </c>
      <c r="B409" s="127" t="s">
        <v>1154</v>
      </c>
      <c r="C409" s="99" t="s">
        <v>174</v>
      </c>
      <c r="D409" s="100" t="s">
        <v>175</v>
      </c>
      <c r="E409" s="101"/>
      <c r="F409" s="101">
        <v>40848</v>
      </c>
      <c r="G409" s="102" t="str">
        <f>IF(stdProdLT(Main[[#This Row],[Comments]])=0.1,"N/A",IF(stdProdLT(Main[[#This Row],[Comments]])=0,"",stdProdLT(Main[[#This Row],[Comments]])))</f>
        <v/>
      </c>
      <c r="H409" s="103" t="str">
        <f>IF(AND(Main[[#This Row],[In Stock Date]]&lt;&gt;"",Main[[#This Row],[Revised Due Date]]&lt;&gt;""),Main[[#This Row],[In Stock Date]]-Main[[#This Row],[Revised Due Date]],"")</f>
        <v/>
      </c>
      <c r="I409" s="99" t="s">
        <v>4</v>
      </c>
      <c r="J409" s="99" t="s">
        <v>51</v>
      </c>
      <c r="K409" s="99" t="s">
        <v>4</v>
      </c>
      <c r="L409" s="101"/>
      <c r="M409" s="104" t="str">
        <f>IF(Main[[#This Row],[Tech Start Date]]&lt;1/1/1990,"",IF(Main[[#This Row],[Class]]="C",WORKDAY(Main[[#This Row],[Tech Start Date]],9),IF(Main[[#This Row],[Class]]="B", WORKDAY(Main[[#This Row],[Tech Start Date]],6),IF(Main[[#This Row],[Class]]="A",WORKDAY(Main[[#This Row],[Tech Start Date]],2),""))))</f>
        <v/>
      </c>
      <c r="N409" s="104" t="str">
        <f>IF(Main[[#This Row],[Tech Start Date]]&lt;1/1/1990,"",IF(Main[[#This Row],[Class]]="C",WORKDAY(Main[[#This Row],[Tech Start Date]],19),IF(Main[[#This Row],[Class]]="B", WORKDAY(Main[[#This Row],[Tech Start Date]],12),IF(Main[[#This Row],[Class]]="A",WORKDAY(Main[[#This Row],[Tech Start Date]],4),""))))</f>
        <v/>
      </c>
      <c r="O409" s="104" t="str">
        <f>IF(Main[[#This Row],[Tech Start Date]]&lt;1/1/1990,"",IF(Main[[#This Row],[Class]]="C",WORKDAY(Main[[#This Row],[Tech Start Date]],23),IF(Main[[#This Row],[Class]]="B", WORKDAY(Main[[#This Row],[Tech Start Date]],15),IF(Main[[#This Row],[Class]]="A",WORKDAY(Main[[#This Row],[Tech Start Date]],5),""))))</f>
        <v/>
      </c>
      <c r="P409" s="104" t="str">
        <f>IF(Main[[#This Row],[Tech Start Date]]&lt;1/1/1990,"",IF(Main[[#This Row],[Class]]="C",WORKDAY(Main[[#This Row],[Tech Start Date]],28),IF(Main[[#This Row],[Class]]="B", WORKDAY(Main[[#This Row],[Tech Start Date]],19),IF(Main[[#This Row],[Class]]="A",WORKDAY(Main[[#This Row],[Tech Start Date]],9),""))))</f>
        <v/>
      </c>
      <c r="Q409" s="101">
        <v>40648</v>
      </c>
      <c r="R409" s="101"/>
      <c r="S409" s="99" t="s">
        <v>11</v>
      </c>
      <c r="T409" s="107" t="s">
        <v>4</v>
      </c>
      <c r="U409" s="99" t="s">
        <v>12</v>
      </c>
      <c r="V409" s="99" t="s">
        <v>1962</v>
      </c>
      <c r="W409" s="99" t="s">
        <v>1968</v>
      </c>
    </row>
    <row r="410" spans="1:23" ht="18.600000000000001" customHeight="1">
      <c r="A410" s="123" t="str">
        <f>IF(priority(Main[[#This Row],[Comments]])&lt;&gt;0, priority(Main[[#This Row],[Comments]]),"")</f>
        <v/>
      </c>
      <c r="B410" s="127" t="s">
        <v>1155</v>
      </c>
      <c r="C410" s="99" t="s">
        <v>4</v>
      </c>
      <c r="D410" s="100" t="s">
        <v>176</v>
      </c>
      <c r="E410" s="101">
        <v>40681.639328703706</v>
      </c>
      <c r="F410" s="101"/>
      <c r="G410" s="102" t="str">
        <f>IF(stdProdLT(Main[[#This Row],[Comments]])=0.1,"N/A",IF(stdProdLT(Main[[#This Row],[Comments]])=0,"",stdProdLT(Main[[#This Row],[Comments]])))</f>
        <v/>
      </c>
      <c r="H410" s="103" t="str">
        <f>IF(AND(Main[[#This Row],[In Stock Date]]&lt;&gt;"",Main[[#This Row],[Revised Due Date]]&lt;&gt;""),Main[[#This Row],[In Stock Date]]-Main[[#This Row],[Revised Due Date]],"")</f>
        <v/>
      </c>
      <c r="I410" s="99" t="s">
        <v>4</v>
      </c>
      <c r="J410" s="99" t="s">
        <v>4</v>
      </c>
      <c r="K410" s="99" t="s">
        <v>4</v>
      </c>
      <c r="L410" s="101"/>
      <c r="M410" s="104" t="str">
        <f>IF(Main[[#This Row],[Tech Start Date]]&lt;1/1/1990,"",IF(Main[[#This Row],[Class]]="C",WORKDAY(Main[[#This Row],[Tech Start Date]],9),IF(Main[[#This Row],[Class]]="B", WORKDAY(Main[[#This Row],[Tech Start Date]],6),IF(Main[[#This Row],[Class]]="A",WORKDAY(Main[[#This Row],[Tech Start Date]],2),""))))</f>
        <v/>
      </c>
      <c r="N410" s="104" t="str">
        <f>IF(Main[[#This Row],[Tech Start Date]]&lt;1/1/1990,"",IF(Main[[#This Row],[Class]]="C",WORKDAY(Main[[#This Row],[Tech Start Date]],19),IF(Main[[#This Row],[Class]]="B", WORKDAY(Main[[#This Row],[Tech Start Date]],12),IF(Main[[#This Row],[Class]]="A",WORKDAY(Main[[#This Row],[Tech Start Date]],4),""))))</f>
        <v/>
      </c>
      <c r="O410" s="104" t="str">
        <f>IF(Main[[#This Row],[Tech Start Date]]&lt;1/1/1990,"",IF(Main[[#This Row],[Class]]="C",WORKDAY(Main[[#This Row],[Tech Start Date]],23),IF(Main[[#This Row],[Class]]="B", WORKDAY(Main[[#This Row],[Tech Start Date]],15),IF(Main[[#This Row],[Class]]="A",WORKDAY(Main[[#This Row],[Tech Start Date]],5),""))))</f>
        <v/>
      </c>
      <c r="P410" s="104" t="str">
        <f>IF(Main[[#This Row],[Tech Start Date]]&lt;1/1/1990,"",IF(Main[[#This Row],[Class]]="C",WORKDAY(Main[[#This Row],[Tech Start Date]],28),IF(Main[[#This Row],[Class]]="B", WORKDAY(Main[[#This Row],[Tech Start Date]],19),IF(Main[[#This Row],[Class]]="A",WORKDAY(Main[[#This Row],[Tech Start Date]],9),""))))</f>
        <v/>
      </c>
      <c r="Q410" s="101">
        <v>40702</v>
      </c>
      <c r="R410" s="101"/>
      <c r="S410" s="99" t="s">
        <v>6</v>
      </c>
      <c r="T410" s="107" t="s">
        <v>4</v>
      </c>
      <c r="U410" s="99" t="s">
        <v>7</v>
      </c>
      <c r="V410" s="99" t="s">
        <v>1962</v>
      </c>
      <c r="W410" s="99" t="s">
        <v>1970</v>
      </c>
    </row>
    <row r="411" spans="1:23" ht="18.600000000000001" customHeight="1">
      <c r="A411" s="123" t="str">
        <f>IF(priority(Main[[#This Row],[Comments]])&lt;&gt;0, priority(Main[[#This Row],[Comments]]),"")</f>
        <v/>
      </c>
      <c r="B411" s="127" t="s">
        <v>1229</v>
      </c>
      <c r="C411" s="99" t="s">
        <v>4</v>
      </c>
      <c r="D411" s="100" t="s">
        <v>257</v>
      </c>
      <c r="E411" s="101">
        <v>40703.393472222226</v>
      </c>
      <c r="F411" s="101"/>
      <c r="G411" s="102" t="str">
        <f>IF(stdProdLT(Main[[#This Row],[Comments]])=0.1,"N/A",IF(stdProdLT(Main[[#This Row],[Comments]])=0,"",stdProdLT(Main[[#This Row],[Comments]])))</f>
        <v/>
      </c>
      <c r="H411" s="103" t="str">
        <f>IF(AND(Main[[#This Row],[In Stock Date]]&lt;&gt;"",Main[[#This Row],[Revised Due Date]]&lt;&gt;""),Main[[#This Row],[In Stock Date]]-Main[[#This Row],[Revised Due Date]],"")</f>
        <v/>
      </c>
      <c r="I411" s="99" t="s">
        <v>4</v>
      </c>
      <c r="J411" s="99" t="s">
        <v>4</v>
      </c>
      <c r="K411" s="99" t="s">
        <v>4</v>
      </c>
      <c r="L411" s="101"/>
      <c r="M411" s="104" t="str">
        <f>IF(Main[[#This Row],[Tech Start Date]]&lt;1/1/1990,"",IF(Main[[#This Row],[Class]]="C",WORKDAY(Main[[#This Row],[Tech Start Date]],9),IF(Main[[#This Row],[Class]]="B", WORKDAY(Main[[#This Row],[Tech Start Date]],6),IF(Main[[#This Row],[Class]]="A",WORKDAY(Main[[#This Row],[Tech Start Date]],2),""))))</f>
        <v/>
      </c>
      <c r="N411" s="104" t="str">
        <f>IF(Main[[#This Row],[Tech Start Date]]&lt;1/1/1990,"",IF(Main[[#This Row],[Class]]="C",WORKDAY(Main[[#This Row],[Tech Start Date]],19),IF(Main[[#This Row],[Class]]="B", WORKDAY(Main[[#This Row],[Tech Start Date]],12),IF(Main[[#This Row],[Class]]="A",WORKDAY(Main[[#This Row],[Tech Start Date]],4),""))))</f>
        <v/>
      </c>
      <c r="O411" s="104" t="str">
        <f>IF(Main[[#This Row],[Tech Start Date]]&lt;1/1/1990,"",IF(Main[[#This Row],[Class]]="C",WORKDAY(Main[[#This Row],[Tech Start Date]],23),IF(Main[[#This Row],[Class]]="B", WORKDAY(Main[[#This Row],[Tech Start Date]],15),IF(Main[[#This Row],[Class]]="A",WORKDAY(Main[[#This Row],[Tech Start Date]],5),""))))</f>
        <v/>
      </c>
      <c r="P411" s="104" t="str">
        <f>IF(Main[[#This Row],[Tech Start Date]]&lt;1/1/1990,"",IF(Main[[#This Row],[Class]]="C",WORKDAY(Main[[#This Row],[Tech Start Date]],28),IF(Main[[#This Row],[Class]]="B", WORKDAY(Main[[#This Row],[Tech Start Date]],19),IF(Main[[#This Row],[Class]]="A",WORKDAY(Main[[#This Row],[Tech Start Date]],9),""))))</f>
        <v/>
      </c>
      <c r="Q411" s="101">
        <v>40724</v>
      </c>
      <c r="R411" s="101"/>
      <c r="S411" s="99" t="s">
        <v>6</v>
      </c>
      <c r="T411" s="107" t="s">
        <v>4</v>
      </c>
      <c r="U411" s="99" t="s">
        <v>7</v>
      </c>
      <c r="V411" s="99" t="s">
        <v>1962</v>
      </c>
      <c r="W411" s="99" t="s">
        <v>1966</v>
      </c>
    </row>
    <row r="412" spans="1:23" ht="18.600000000000001" customHeight="1">
      <c r="A412" s="123" t="str">
        <f>IF(priority(Main[[#This Row],[Comments]])&lt;&gt;0, priority(Main[[#This Row],[Comments]]),"")</f>
        <v/>
      </c>
      <c r="B412" s="127" t="s">
        <v>1230</v>
      </c>
      <c r="C412" s="99" t="s">
        <v>33</v>
      </c>
      <c r="D412" s="100" t="s">
        <v>258</v>
      </c>
      <c r="E412" s="101"/>
      <c r="F412" s="101"/>
      <c r="G412" s="102" t="str">
        <f>IF(stdProdLT(Main[[#This Row],[Comments]])=0.1,"N/A",IF(stdProdLT(Main[[#This Row],[Comments]])=0,"",stdProdLT(Main[[#This Row],[Comments]])))</f>
        <v/>
      </c>
      <c r="H412" s="103" t="str">
        <f>IF(AND(Main[[#This Row],[In Stock Date]]&lt;&gt;"",Main[[#This Row],[Revised Due Date]]&lt;&gt;""),Main[[#This Row],[In Stock Date]]-Main[[#This Row],[Revised Due Date]],"")</f>
        <v/>
      </c>
      <c r="I412" s="99" t="s">
        <v>4</v>
      </c>
      <c r="J412" s="99" t="s">
        <v>28</v>
      </c>
      <c r="K412" s="99" t="s">
        <v>1975</v>
      </c>
      <c r="L412" s="101"/>
      <c r="M412" s="104" t="str">
        <f>IF(Main[[#This Row],[Tech Start Date]]&lt;1/1/1990,"",IF(Main[[#This Row],[Class]]="C",WORKDAY(Main[[#This Row],[Tech Start Date]],9),IF(Main[[#This Row],[Class]]="B", WORKDAY(Main[[#This Row],[Tech Start Date]],6),IF(Main[[#This Row],[Class]]="A",WORKDAY(Main[[#This Row],[Tech Start Date]],2),""))))</f>
        <v/>
      </c>
      <c r="N412" s="104" t="str">
        <f>IF(Main[[#This Row],[Tech Start Date]]&lt;1/1/1990,"",IF(Main[[#This Row],[Class]]="C",WORKDAY(Main[[#This Row],[Tech Start Date]],19),IF(Main[[#This Row],[Class]]="B", WORKDAY(Main[[#This Row],[Tech Start Date]],12),IF(Main[[#This Row],[Class]]="A",WORKDAY(Main[[#This Row],[Tech Start Date]],4),""))))</f>
        <v/>
      </c>
      <c r="O412" s="104" t="str">
        <f>IF(Main[[#This Row],[Tech Start Date]]&lt;1/1/1990,"",IF(Main[[#This Row],[Class]]="C",WORKDAY(Main[[#This Row],[Tech Start Date]],23),IF(Main[[#This Row],[Class]]="B", WORKDAY(Main[[#This Row],[Tech Start Date]],15),IF(Main[[#This Row],[Class]]="A",WORKDAY(Main[[#This Row],[Tech Start Date]],5),""))))</f>
        <v/>
      </c>
      <c r="P412" s="104" t="str">
        <f>IF(Main[[#This Row],[Tech Start Date]]&lt;1/1/1990,"",IF(Main[[#This Row],[Class]]="C",WORKDAY(Main[[#This Row],[Tech Start Date]],28),IF(Main[[#This Row],[Class]]="B", WORKDAY(Main[[#This Row],[Tech Start Date]],19),IF(Main[[#This Row],[Class]]="A",WORKDAY(Main[[#This Row],[Tech Start Date]],9),""))))</f>
        <v/>
      </c>
      <c r="Q412" s="101">
        <v>40364</v>
      </c>
      <c r="R412" s="101"/>
      <c r="S412" s="99" t="s">
        <v>17</v>
      </c>
      <c r="T412" s="107" t="s">
        <v>4</v>
      </c>
      <c r="U412" s="99" t="s">
        <v>14</v>
      </c>
      <c r="V412" s="99" t="s">
        <v>1963</v>
      </c>
      <c r="W412" s="99" t="s">
        <v>1967</v>
      </c>
    </row>
    <row r="413" spans="1:23" ht="18.600000000000001" customHeight="1">
      <c r="A413" s="123" t="str">
        <f>IF(priority(Main[[#This Row],[Comments]])&lt;&gt;0, priority(Main[[#This Row],[Comments]]),"")</f>
        <v/>
      </c>
      <c r="B413" s="127" t="s">
        <v>1231</v>
      </c>
      <c r="C413" s="99" t="s">
        <v>31</v>
      </c>
      <c r="D413" s="100" t="s">
        <v>259</v>
      </c>
      <c r="E413" s="101"/>
      <c r="F413" s="101"/>
      <c r="G413" s="102" t="str">
        <f>IF(stdProdLT(Main[[#This Row],[Comments]])=0.1,"N/A",IF(stdProdLT(Main[[#This Row],[Comments]])=0,"",stdProdLT(Main[[#This Row],[Comments]])))</f>
        <v/>
      </c>
      <c r="H413" s="103" t="str">
        <f>IF(AND(Main[[#This Row],[In Stock Date]]&lt;&gt;"",Main[[#This Row],[Revised Due Date]]&lt;&gt;""),Main[[#This Row],[In Stock Date]]-Main[[#This Row],[Revised Due Date]],"")</f>
        <v/>
      </c>
      <c r="I413" s="99" t="s">
        <v>4</v>
      </c>
      <c r="J413" s="99" t="s">
        <v>4</v>
      </c>
      <c r="K413" s="108" t="s">
        <v>4</v>
      </c>
      <c r="L413" s="101"/>
      <c r="M413" s="104" t="str">
        <f>IF(Main[[#This Row],[Tech Start Date]]&lt;1/1/1990,"",IF(Main[[#This Row],[Class]]="C",WORKDAY(Main[[#This Row],[Tech Start Date]],9),IF(Main[[#This Row],[Class]]="B", WORKDAY(Main[[#This Row],[Tech Start Date]],6),IF(Main[[#This Row],[Class]]="A",WORKDAY(Main[[#This Row],[Tech Start Date]],2),""))))</f>
        <v/>
      </c>
      <c r="N413" s="104" t="str">
        <f>IF(Main[[#This Row],[Tech Start Date]]&lt;1/1/1990,"",IF(Main[[#This Row],[Class]]="C",WORKDAY(Main[[#This Row],[Tech Start Date]],19),IF(Main[[#This Row],[Class]]="B", WORKDAY(Main[[#This Row],[Tech Start Date]],12),IF(Main[[#This Row],[Class]]="A",WORKDAY(Main[[#This Row],[Tech Start Date]],4),""))))</f>
        <v/>
      </c>
      <c r="O413" s="104" t="str">
        <f>IF(Main[[#This Row],[Tech Start Date]]&lt;1/1/1990,"",IF(Main[[#This Row],[Class]]="C",WORKDAY(Main[[#This Row],[Tech Start Date]],23),IF(Main[[#This Row],[Class]]="B", WORKDAY(Main[[#This Row],[Tech Start Date]],15),IF(Main[[#This Row],[Class]]="A",WORKDAY(Main[[#This Row],[Tech Start Date]],5),""))))</f>
        <v/>
      </c>
      <c r="P413" s="104" t="str">
        <f>IF(Main[[#This Row],[Tech Start Date]]&lt;1/1/1990,"",IF(Main[[#This Row],[Class]]="C",WORKDAY(Main[[#This Row],[Tech Start Date]],28),IF(Main[[#This Row],[Class]]="B", WORKDAY(Main[[#This Row],[Tech Start Date]],19),IF(Main[[#This Row],[Class]]="A",WORKDAY(Main[[#This Row],[Tech Start Date]],9),""))))</f>
        <v/>
      </c>
      <c r="Q413" s="101">
        <v>40318</v>
      </c>
      <c r="R413" s="101"/>
      <c r="S413" s="99" t="s">
        <v>11</v>
      </c>
      <c r="T413" s="107" t="s">
        <v>4</v>
      </c>
      <c r="U413" s="99" t="s">
        <v>14</v>
      </c>
      <c r="V413" s="99" t="s">
        <v>1965</v>
      </c>
      <c r="W413" s="99" t="s">
        <v>1964</v>
      </c>
    </row>
    <row r="414" spans="1:23" ht="18.600000000000001" customHeight="1">
      <c r="A414" s="123" t="str">
        <f>IF(priority(Main[[#This Row],[Comments]])&lt;&gt;0, priority(Main[[#This Row],[Comments]]),"")</f>
        <v/>
      </c>
      <c r="B414" s="127" t="s">
        <v>1232</v>
      </c>
      <c r="C414" s="99" t="s">
        <v>4</v>
      </c>
      <c r="D414" s="100" t="s">
        <v>260</v>
      </c>
      <c r="E414" s="101"/>
      <c r="F414" s="101"/>
      <c r="G414" s="102" t="str">
        <f>IF(stdProdLT(Main[[#This Row],[Comments]])=0.1,"N/A",IF(stdProdLT(Main[[#This Row],[Comments]])=0,"",stdProdLT(Main[[#This Row],[Comments]])))</f>
        <v/>
      </c>
      <c r="H414" s="103" t="str">
        <f>IF(AND(Main[[#This Row],[In Stock Date]]&lt;&gt;"",Main[[#This Row],[Revised Due Date]]&lt;&gt;""),Main[[#This Row],[In Stock Date]]-Main[[#This Row],[Revised Due Date]],"")</f>
        <v/>
      </c>
      <c r="I414" s="99" t="s">
        <v>4</v>
      </c>
      <c r="J414" s="99" t="s">
        <v>4</v>
      </c>
      <c r="K414" s="99" t="s">
        <v>4</v>
      </c>
      <c r="L414" s="101"/>
      <c r="M414" s="104" t="str">
        <f>IF(Main[[#This Row],[Tech Start Date]]&lt;1/1/1990,"",IF(Main[[#This Row],[Class]]="C",WORKDAY(Main[[#This Row],[Tech Start Date]],9),IF(Main[[#This Row],[Class]]="B", WORKDAY(Main[[#This Row],[Tech Start Date]],6),IF(Main[[#This Row],[Class]]="A",WORKDAY(Main[[#This Row],[Tech Start Date]],2),""))))</f>
        <v/>
      </c>
      <c r="N414" s="104" t="str">
        <f>IF(Main[[#This Row],[Tech Start Date]]&lt;1/1/1990,"",IF(Main[[#This Row],[Class]]="C",WORKDAY(Main[[#This Row],[Tech Start Date]],19),IF(Main[[#This Row],[Class]]="B", WORKDAY(Main[[#This Row],[Tech Start Date]],12),IF(Main[[#This Row],[Class]]="A",WORKDAY(Main[[#This Row],[Tech Start Date]],4),""))))</f>
        <v/>
      </c>
      <c r="O414" s="104" t="str">
        <f>IF(Main[[#This Row],[Tech Start Date]]&lt;1/1/1990,"",IF(Main[[#This Row],[Class]]="C",WORKDAY(Main[[#This Row],[Tech Start Date]],23),IF(Main[[#This Row],[Class]]="B", WORKDAY(Main[[#This Row],[Tech Start Date]],15),IF(Main[[#This Row],[Class]]="A",WORKDAY(Main[[#This Row],[Tech Start Date]],5),""))))</f>
        <v/>
      </c>
      <c r="P414" s="104" t="str">
        <f>IF(Main[[#This Row],[Tech Start Date]]&lt;1/1/1990,"",IF(Main[[#This Row],[Class]]="C",WORKDAY(Main[[#This Row],[Tech Start Date]],28),IF(Main[[#This Row],[Class]]="B", WORKDAY(Main[[#This Row],[Tech Start Date]],19),IF(Main[[#This Row],[Class]]="A",WORKDAY(Main[[#This Row],[Tech Start Date]],9),""))))</f>
        <v/>
      </c>
      <c r="Q414" s="101">
        <v>40390</v>
      </c>
      <c r="R414" s="101"/>
      <c r="S414" s="99" t="s">
        <v>6</v>
      </c>
      <c r="T414" s="107" t="s">
        <v>4</v>
      </c>
      <c r="U414" s="99" t="s">
        <v>14</v>
      </c>
      <c r="V414" s="99" t="s">
        <v>1965</v>
      </c>
      <c r="W414" s="99" t="s">
        <v>4</v>
      </c>
    </row>
    <row r="415" spans="1:23" ht="18.600000000000001" customHeight="1">
      <c r="A415" s="123" t="str">
        <f>IF(priority(Main[[#This Row],[Comments]])&lt;&gt;0, priority(Main[[#This Row],[Comments]]),"")</f>
        <v/>
      </c>
      <c r="B415" s="127" t="s">
        <v>1233</v>
      </c>
      <c r="C415" s="99" t="s">
        <v>214</v>
      </c>
      <c r="D415" s="100" t="s">
        <v>261</v>
      </c>
      <c r="E415" s="101"/>
      <c r="F415" s="101">
        <v>40452</v>
      </c>
      <c r="G415" s="102" t="str">
        <f>IF(stdProdLT(Main[[#This Row],[Comments]])=0.1,"N/A",IF(stdProdLT(Main[[#This Row],[Comments]])=0,"",stdProdLT(Main[[#This Row],[Comments]])))</f>
        <v/>
      </c>
      <c r="H415" s="103" t="str">
        <f>IF(AND(Main[[#This Row],[In Stock Date]]&lt;&gt;"",Main[[#This Row],[Revised Due Date]]&lt;&gt;""),Main[[#This Row],[In Stock Date]]-Main[[#This Row],[Revised Due Date]],"")</f>
        <v/>
      </c>
      <c r="I415" s="99" t="s">
        <v>4</v>
      </c>
      <c r="J415" s="99" t="s">
        <v>4</v>
      </c>
      <c r="K415" s="108" t="s">
        <v>4</v>
      </c>
      <c r="L415" s="101"/>
      <c r="M415" s="104" t="str">
        <f>IF(Main[[#This Row],[Tech Start Date]]&lt;1/1/1990,"",IF(Main[[#This Row],[Class]]="C",WORKDAY(Main[[#This Row],[Tech Start Date]],9),IF(Main[[#This Row],[Class]]="B", WORKDAY(Main[[#This Row],[Tech Start Date]],6),IF(Main[[#This Row],[Class]]="A",WORKDAY(Main[[#This Row],[Tech Start Date]],2),""))))</f>
        <v/>
      </c>
      <c r="N415" s="104" t="str">
        <f>IF(Main[[#This Row],[Tech Start Date]]&lt;1/1/1990,"",IF(Main[[#This Row],[Class]]="C",WORKDAY(Main[[#This Row],[Tech Start Date]],19),IF(Main[[#This Row],[Class]]="B", WORKDAY(Main[[#This Row],[Tech Start Date]],12),IF(Main[[#This Row],[Class]]="A",WORKDAY(Main[[#This Row],[Tech Start Date]],4),""))))</f>
        <v/>
      </c>
      <c r="O415" s="104" t="str">
        <f>IF(Main[[#This Row],[Tech Start Date]]&lt;1/1/1990,"",IF(Main[[#This Row],[Class]]="C",WORKDAY(Main[[#This Row],[Tech Start Date]],23),IF(Main[[#This Row],[Class]]="B", WORKDAY(Main[[#This Row],[Tech Start Date]],15),IF(Main[[#This Row],[Class]]="A",WORKDAY(Main[[#This Row],[Tech Start Date]],5),""))))</f>
        <v/>
      </c>
      <c r="P415" s="104" t="str">
        <f>IF(Main[[#This Row],[Tech Start Date]]&lt;1/1/1990,"",IF(Main[[#This Row],[Class]]="C",WORKDAY(Main[[#This Row],[Tech Start Date]],28),IF(Main[[#This Row],[Class]]="B", WORKDAY(Main[[#This Row],[Tech Start Date]],19),IF(Main[[#This Row],[Class]]="A",WORKDAY(Main[[#This Row],[Tech Start Date]],9),""))))</f>
        <v/>
      </c>
      <c r="Q415" s="101">
        <v>40357</v>
      </c>
      <c r="R415" s="101"/>
      <c r="S415" s="99" t="s">
        <v>11</v>
      </c>
      <c r="T415" s="107" t="s">
        <v>4</v>
      </c>
      <c r="U415" s="99" t="s">
        <v>12</v>
      </c>
      <c r="V415" s="99" t="s">
        <v>1962</v>
      </c>
      <c r="W415" s="99" t="s">
        <v>1970</v>
      </c>
    </row>
    <row r="416" spans="1:23" ht="18.600000000000001" customHeight="1">
      <c r="A416" s="123" t="str">
        <f>IF(priority(Main[[#This Row],[Comments]])&lt;&gt;0, priority(Main[[#This Row],[Comments]]),"")</f>
        <v/>
      </c>
      <c r="B416" s="127" t="s">
        <v>1234</v>
      </c>
      <c r="C416" s="99" t="s">
        <v>214</v>
      </c>
      <c r="D416" s="100" t="s">
        <v>262</v>
      </c>
      <c r="E416" s="101"/>
      <c r="F416" s="101">
        <v>40452</v>
      </c>
      <c r="G416" s="102" t="str">
        <f>IF(stdProdLT(Main[[#This Row],[Comments]])=0.1,"N/A",IF(stdProdLT(Main[[#This Row],[Comments]])=0,"",stdProdLT(Main[[#This Row],[Comments]])))</f>
        <v/>
      </c>
      <c r="H416" s="103" t="str">
        <f>IF(AND(Main[[#This Row],[In Stock Date]]&lt;&gt;"",Main[[#This Row],[Revised Due Date]]&lt;&gt;""),Main[[#This Row],[In Stock Date]]-Main[[#This Row],[Revised Due Date]],"")</f>
        <v/>
      </c>
      <c r="I416" s="99" t="s">
        <v>4</v>
      </c>
      <c r="J416" s="99" t="s">
        <v>4</v>
      </c>
      <c r="K416" s="99" t="s">
        <v>4</v>
      </c>
      <c r="L416" s="101"/>
      <c r="M416" s="104" t="str">
        <f>IF(Main[[#This Row],[Tech Start Date]]&lt;1/1/1990,"",IF(Main[[#This Row],[Class]]="C",WORKDAY(Main[[#This Row],[Tech Start Date]],9),IF(Main[[#This Row],[Class]]="B", WORKDAY(Main[[#This Row],[Tech Start Date]],6),IF(Main[[#This Row],[Class]]="A",WORKDAY(Main[[#This Row],[Tech Start Date]],2),""))))</f>
        <v/>
      </c>
      <c r="N416" s="104" t="str">
        <f>IF(Main[[#This Row],[Tech Start Date]]&lt;1/1/1990,"",IF(Main[[#This Row],[Class]]="C",WORKDAY(Main[[#This Row],[Tech Start Date]],19),IF(Main[[#This Row],[Class]]="B", WORKDAY(Main[[#This Row],[Tech Start Date]],12),IF(Main[[#This Row],[Class]]="A",WORKDAY(Main[[#This Row],[Tech Start Date]],4),""))))</f>
        <v/>
      </c>
      <c r="O416" s="104" t="str">
        <f>IF(Main[[#This Row],[Tech Start Date]]&lt;1/1/1990,"",IF(Main[[#This Row],[Class]]="C",WORKDAY(Main[[#This Row],[Tech Start Date]],23),IF(Main[[#This Row],[Class]]="B", WORKDAY(Main[[#This Row],[Tech Start Date]],15),IF(Main[[#This Row],[Class]]="A",WORKDAY(Main[[#This Row],[Tech Start Date]],5),""))))</f>
        <v/>
      </c>
      <c r="P416" s="104" t="str">
        <f>IF(Main[[#This Row],[Tech Start Date]]&lt;1/1/1990,"",IF(Main[[#This Row],[Class]]="C",WORKDAY(Main[[#This Row],[Tech Start Date]],28),IF(Main[[#This Row],[Class]]="B", WORKDAY(Main[[#This Row],[Tech Start Date]],19),IF(Main[[#This Row],[Class]]="A",WORKDAY(Main[[#This Row],[Tech Start Date]],9),""))))</f>
        <v/>
      </c>
      <c r="Q416" s="101">
        <v>40357</v>
      </c>
      <c r="R416" s="101"/>
      <c r="S416" s="99" t="s">
        <v>11</v>
      </c>
      <c r="T416" s="107" t="s">
        <v>4</v>
      </c>
      <c r="U416" s="99" t="s">
        <v>12</v>
      </c>
      <c r="V416" s="99" t="s">
        <v>1962</v>
      </c>
      <c r="W416" s="99" t="s">
        <v>1970</v>
      </c>
    </row>
    <row r="417" spans="1:23" ht="18.600000000000001" customHeight="1">
      <c r="A417" s="123" t="str">
        <f>IF(priority(Main[[#This Row],[Comments]])&lt;&gt;0, priority(Main[[#This Row],[Comments]]),"")</f>
        <v/>
      </c>
      <c r="B417" s="127" t="s">
        <v>1235</v>
      </c>
      <c r="C417" s="99" t="s">
        <v>4</v>
      </c>
      <c r="D417" s="100" t="s">
        <v>263</v>
      </c>
      <c r="E417" s="101"/>
      <c r="F417" s="101"/>
      <c r="G417" s="102" t="str">
        <f>IF(stdProdLT(Main[[#This Row],[Comments]])=0.1,"N/A",IF(stdProdLT(Main[[#This Row],[Comments]])=0,"",stdProdLT(Main[[#This Row],[Comments]])))</f>
        <v/>
      </c>
      <c r="H417" s="103" t="str">
        <f>IF(AND(Main[[#This Row],[In Stock Date]]&lt;&gt;"",Main[[#This Row],[Revised Due Date]]&lt;&gt;""),Main[[#This Row],[In Stock Date]]-Main[[#This Row],[Revised Due Date]],"")</f>
        <v/>
      </c>
      <c r="I417" s="99" t="s">
        <v>4</v>
      </c>
      <c r="J417" s="99" t="s">
        <v>4</v>
      </c>
      <c r="K417" s="99" t="s">
        <v>4</v>
      </c>
      <c r="L417" s="101"/>
      <c r="M417" s="104" t="str">
        <f>IF(Main[[#This Row],[Tech Start Date]]&lt;1/1/1990,"",IF(Main[[#This Row],[Class]]="C",WORKDAY(Main[[#This Row],[Tech Start Date]],9),IF(Main[[#This Row],[Class]]="B", WORKDAY(Main[[#This Row],[Tech Start Date]],6),IF(Main[[#This Row],[Class]]="A",WORKDAY(Main[[#This Row],[Tech Start Date]],2),""))))</f>
        <v/>
      </c>
      <c r="N417" s="104" t="str">
        <f>IF(Main[[#This Row],[Tech Start Date]]&lt;1/1/1990,"",IF(Main[[#This Row],[Class]]="C",WORKDAY(Main[[#This Row],[Tech Start Date]],19),IF(Main[[#This Row],[Class]]="B", WORKDAY(Main[[#This Row],[Tech Start Date]],12),IF(Main[[#This Row],[Class]]="A",WORKDAY(Main[[#This Row],[Tech Start Date]],4),""))))</f>
        <v/>
      </c>
      <c r="O417" s="104" t="str">
        <f>IF(Main[[#This Row],[Tech Start Date]]&lt;1/1/1990,"",IF(Main[[#This Row],[Class]]="C",WORKDAY(Main[[#This Row],[Tech Start Date]],23),IF(Main[[#This Row],[Class]]="B", WORKDAY(Main[[#This Row],[Tech Start Date]],15),IF(Main[[#This Row],[Class]]="A",WORKDAY(Main[[#This Row],[Tech Start Date]],5),""))))</f>
        <v/>
      </c>
      <c r="P417" s="104" t="str">
        <f>IF(Main[[#This Row],[Tech Start Date]]&lt;1/1/1990,"",IF(Main[[#This Row],[Class]]="C",WORKDAY(Main[[#This Row],[Tech Start Date]],28),IF(Main[[#This Row],[Class]]="B", WORKDAY(Main[[#This Row],[Tech Start Date]],19),IF(Main[[#This Row],[Class]]="A",WORKDAY(Main[[#This Row],[Tech Start Date]],9),""))))</f>
        <v/>
      </c>
      <c r="Q417" s="101"/>
      <c r="R417" s="101"/>
      <c r="S417" s="99" t="s">
        <v>6</v>
      </c>
      <c r="T417" s="107" t="s">
        <v>4</v>
      </c>
      <c r="U417" s="99" t="s">
        <v>12</v>
      </c>
      <c r="V417" s="99" t="s">
        <v>1965</v>
      </c>
      <c r="W417" s="99" t="s">
        <v>4</v>
      </c>
    </row>
    <row r="418" spans="1:23" ht="18.600000000000001" customHeight="1">
      <c r="A418" s="123" t="str">
        <f>IF(priority(Main[[#This Row],[Comments]])&lt;&gt;0, priority(Main[[#This Row],[Comments]]),"")</f>
        <v/>
      </c>
      <c r="B418" s="127" t="s">
        <v>1656</v>
      </c>
      <c r="C418" s="99" t="s">
        <v>702</v>
      </c>
      <c r="D418" s="100" t="s">
        <v>703</v>
      </c>
      <c r="E418" s="101"/>
      <c r="F418" s="101"/>
      <c r="G418" s="102" t="str">
        <f>IF(stdProdLT(Main[[#This Row],[Comments]])=0.1,"N/A",IF(stdProdLT(Main[[#This Row],[Comments]])=0,"",stdProdLT(Main[[#This Row],[Comments]])))</f>
        <v/>
      </c>
      <c r="H418" s="103" t="str">
        <f>IF(AND(Main[[#This Row],[In Stock Date]]&lt;&gt;"",Main[[#This Row],[Revised Due Date]]&lt;&gt;""),Main[[#This Row],[In Stock Date]]-Main[[#This Row],[Revised Due Date]],"")</f>
        <v/>
      </c>
      <c r="I418" s="99" t="s">
        <v>4</v>
      </c>
      <c r="J418" s="99" t="s">
        <v>4</v>
      </c>
      <c r="K418" s="99" t="s">
        <v>4</v>
      </c>
      <c r="L418" s="101"/>
      <c r="M418" s="104" t="str">
        <f>IF(Main[[#This Row],[Tech Start Date]]&lt;1/1/1990,"",IF(Main[[#This Row],[Class]]="C",WORKDAY(Main[[#This Row],[Tech Start Date]],9),IF(Main[[#This Row],[Class]]="B", WORKDAY(Main[[#This Row],[Tech Start Date]],6),IF(Main[[#This Row],[Class]]="A",WORKDAY(Main[[#This Row],[Tech Start Date]],2),""))))</f>
        <v/>
      </c>
      <c r="N418" s="104" t="str">
        <f>IF(Main[[#This Row],[Tech Start Date]]&lt;1/1/1990,"",IF(Main[[#This Row],[Class]]="C",WORKDAY(Main[[#This Row],[Tech Start Date]],19),IF(Main[[#This Row],[Class]]="B", WORKDAY(Main[[#This Row],[Tech Start Date]],12),IF(Main[[#This Row],[Class]]="A",WORKDAY(Main[[#This Row],[Tech Start Date]],4),""))))</f>
        <v/>
      </c>
      <c r="O418" s="104" t="str">
        <f>IF(Main[[#This Row],[Tech Start Date]]&lt;1/1/1990,"",IF(Main[[#This Row],[Class]]="C",WORKDAY(Main[[#This Row],[Tech Start Date]],23),IF(Main[[#This Row],[Class]]="B", WORKDAY(Main[[#This Row],[Tech Start Date]],15),IF(Main[[#This Row],[Class]]="A",WORKDAY(Main[[#This Row],[Tech Start Date]],5),""))))</f>
        <v/>
      </c>
      <c r="P418" s="104" t="str">
        <f>IF(Main[[#This Row],[Tech Start Date]]&lt;1/1/1990,"",IF(Main[[#This Row],[Class]]="C",WORKDAY(Main[[#This Row],[Tech Start Date]],28),IF(Main[[#This Row],[Class]]="B", WORKDAY(Main[[#This Row],[Tech Start Date]],19),IF(Main[[#This Row],[Class]]="A",WORKDAY(Main[[#This Row],[Tech Start Date]],9),""))))</f>
        <v/>
      </c>
      <c r="Q418" s="101">
        <v>40672</v>
      </c>
      <c r="R418" s="101"/>
      <c r="S418" s="99" t="s">
        <v>11</v>
      </c>
      <c r="T418" s="107" t="s">
        <v>4</v>
      </c>
      <c r="U418" s="99" t="s">
        <v>14</v>
      </c>
      <c r="V418" s="99" t="s">
        <v>1962</v>
      </c>
      <c r="W418" s="99" t="s">
        <v>1964</v>
      </c>
    </row>
    <row r="419" spans="1:23" ht="18.600000000000001" customHeight="1">
      <c r="A419" s="123" t="str">
        <f>IF(priority(Main[[#This Row],[Comments]])&lt;&gt;0, priority(Main[[#This Row],[Comments]]),"")</f>
        <v/>
      </c>
      <c r="B419" s="127" t="s">
        <v>1237</v>
      </c>
      <c r="C419" s="99" t="s">
        <v>171</v>
      </c>
      <c r="D419" s="100" t="s">
        <v>265</v>
      </c>
      <c r="E419" s="101"/>
      <c r="F419" s="101">
        <v>40237</v>
      </c>
      <c r="G419" s="102" t="str">
        <f>IF(stdProdLT(Main[[#This Row],[Comments]])=0.1,"N/A",IF(stdProdLT(Main[[#This Row],[Comments]])=0,"",stdProdLT(Main[[#This Row],[Comments]])))</f>
        <v/>
      </c>
      <c r="H419" s="103" t="str">
        <f>IF(AND(Main[[#This Row],[In Stock Date]]&lt;&gt;"",Main[[#This Row],[Revised Due Date]]&lt;&gt;""),Main[[#This Row],[In Stock Date]]-Main[[#This Row],[Revised Due Date]],"")</f>
        <v/>
      </c>
      <c r="I419" s="99" t="s">
        <v>4</v>
      </c>
      <c r="J419" s="99" t="s">
        <v>4</v>
      </c>
      <c r="K419" s="99" t="s">
        <v>4</v>
      </c>
      <c r="L419" s="101"/>
      <c r="M419" s="104" t="str">
        <f>IF(Main[[#This Row],[Tech Start Date]]&lt;1/1/1990,"",IF(Main[[#This Row],[Class]]="C",WORKDAY(Main[[#This Row],[Tech Start Date]],9),IF(Main[[#This Row],[Class]]="B", WORKDAY(Main[[#This Row],[Tech Start Date]],6),IF(Main[[#This Row],[Class]]="A",WORKDAY(Main[[#This Row],[Tech Start Date]],2),""))))</f>
        <v/>
      </c>
      <c r="N419" s="104" t="str">
        <f>IF(Main[[#This Row],[Tech Start Date]]&lt;1/1/1990,"",IF(Main[[#This Row],[Class]]="C",WORKDAY(Main[[#This Row],[Tech Start Date]],19),IF(Main[[#This Row],[Class]]="B", WORKDAY(Main[[#This Row],[Tech Start Date]],12),IF(Main[[#This Row],[Class]]="A",WORKDAY(Main[[#This Row],[Tech Start Date]],4),""))))</f>
        <v/>
      </c>
      <c r="O419" s="104" t="str">
        <f>IF(Main[[#This Row],[Tech Start Date]]&lt;1/1/1990,"",IF(Main[[#This Row],[Class]]="C",WORKDAY(Main[[#This Row],[Tech Start Date]],23),IF(Main[[#This Row],[Class]]="B", WORKDAY(Main[[#This Row],[Tech Start Date]],15),IF(Main[[#This Row],[Class]]="A",WORKDAY(Main[[#This Row],[Tech Start Date]],5),""))))</f>
        <v/>
      </c>
      <c r="P419" s="104" t="str">
        <f>IF(Main[[#This Row],[Tech Start Date]]&lt;1/1/1990,"",IF(Main[[#This Row],[Class]]="C",WORKDAY(Main[[#This Row],[Tech Start Date]],28),IF(Main[[#This Row],[Class]]="B", WORKDAY(Main[[#This Row],[Tech Start Date]],19),IF(Main[[#This Row],[Class]]="A",WORKDAY(Main[[#This Row],[Tech Start Date]],9),""))))</f>
        <v/>
      </c>
      <c r="Q419" s="101">
        <v>40132</v>
      </c>
      <c r="R419" s="101"/>
      <c r="S419" s="99" t="s">
        <v>11</v>
      </c>
      <c r="T419" s="107" t="s">
        <v>4</v>
      </c>
      <c r="U419" s="99" t="s">
        <v>14</v>
      </c>
      <c r="V419" s="99" t="s">
        <v>1963</v>
      </c>
      <c r="W419" s="99" t="s">
        <v>1967</v>
      </c>
    </row>
    <row r="420" spans="1:23" ht="18.600000000000001" customHeight="1">
      <c r="A420" s="123" t="str">
        <f>IF(priority(Main[[#This Row],[Comments]])&lt;&gt;0, priority(Main[[#This Row],[Comments]]),"")</f>
        <v/>
      </c>
      <c r="B420" s="127" t="s">
        <v>1227</v>
      </c>
      <c r="C420" s="99" t="s">
        <v>4</v>
      </c>
      <c r="D420" s="100" t="s">
        <v>255</v>
      </c>
      <c r="E420" s="101"/>
      <c r="F420" s="101"/>
      <c r="G420" s="102" t="str">
        <f>IF(stdProdLT(Main[[#This Row],[Comments]])=0.1,"N/A",IF(stdProdLT(Main[[#This Row],[Comments]])=0,"",stdProdLT(Main[[#This Row],[Comments]])))</f>
        <v/>
      </c>
      <c r="H420" s="103" t="str">
        <f>IF(AND(Main[[#This Row],[In Stock Date]]&lt;&gt;"",Main[[#This Row],[Revised Due Date]]&lt;&gt;""),Main[[#This Row],[In Stock Date]]-Main[[#This Row],[Revised Due Date]],"")</f>
        <v/>
      </c>
      <c r="I420" s="99" t="s">
        <v>4</v>
      </c>
      <c r="J420" s="99" t="s">
        <v>4</v>
      </c>
      <c r="K420" s="99" t="s">
        <v>4</v>
      </c>
      <c r="L420" s="101"/>
      <c r="M420" s="104" t="str">
        <f>IF(Main[[#This Row],[Tech Start Date]]&lt;1/1/1990,"",IF(Main[[#This Row],[Class]]="C",WORKDAY(Main[[#This Row],[Tech Start Date]],9),IF(Main[[#This Row],[Class]]="B", WORKDAY(Main[[#This Row],[Tech Start Date]],6),IF(Main[[#This Row],[Class]]="A",WORKDAY(Main[[#This Row],[Tech Start Date]],2),""))))</f>
        <v/>
      </c>
      <c r="N420" s="104" t="str">
        <f>IF(Main[[#This Row],[Tech Start Date]]&lt;1/1/1990,"",IF(Main[[#This Row],[Class]]="C",WORKDAY(Main[[#This Row],[Tech Start Date]],19),IF(Main[[#This Row],[Class]]="B", WORKDAY(Main[[#This Row],[Tech Start Date]],12),IF(Main[[#This Row],[Class]]="A",WORKDAY(Main[[#This Row],[Tech Start Date]],4),""))))</f>
        <v/>
      </c>
      <c r="O420" s="104" t="str">
        <f>IF(Main[[#This Row],[Tech Start Date]]&lt;1/1/1990,"",IF(Main[[#This Row],[Class]]="C",WORKDAY(Main[[#This Row],[Tech Start Date]],23),IF(Main[[#This Row],[Class]]="B", WORKDAY(Main[[#This Row],[Tech Start Date]],15),IF(Main[[#This Row],[Class]]="A",WORKDAY(Main[[#This Row],[Tech Start Date]],5),""))))</f>
        <v/>
      </c>
      <c r="P420" s="104" t="str">
        <f>IF(Main[[#This Row],[Tech Start Date]]&lt;1/1/1990,"",IF(Main[[#This Row],[Class]]="C",WORKDAY(Main[[#This Row],[Tech Start Date]],28),IF(Main[[#This Row],[Class]]="B", WORKDAY(Main[[#This Row],[Tech Start Date]],19),IF(Main[[#This Row],[Class]]="A",WORKDAY(Main[[#This Row],[Tech Start Date]],9),""))))</f>
        <v/>
      </c>
      <c r="Q420" s="101"/>
      <c r="R420" s="101"/>
      <c r="S420" s="99" t="s">
        <v>11</v>
      </c>
      <c r="T420" s="107" t="s">
        <v>4</v>
      </c>
      <c r="U420" s="99" t="s">
        <v>12</v>
      </c>
      <c r="V420" s="99" t="s">
        <v>1962</v>
      </c>
      <c r="W420" s="99" t="s">
        <v>1966</v>
      </c>
    </row>
    <row r="421" spans="1:23" ht="18.600000000000001" customHeight="1">
      <c r="A421" s="123" t="str">
        <f>IF(priority(Main[[#This Row],[Comments]])&lt;&gt;0, priority(Main[[#This Row],[Comments]]),"")</f>
        <v/>
      </c>
      <c r="B421" s="127" t="s">
        <v>1228</v>
      </c>
      <c r="C421" s="99" t="s">
        <v>156</v>
      </c>
      <c r="D421" s="100" t="s">
        <v>256</v>
      </c>
      <c r="E421" s="101"/>
      <c r="F421" s="101"/>
      <c r="G421" s="102" t="str">
        <f>IF(stdProdLT(Main[[#This Row],[Comments]])=0.1,"N/A",IF(stdProdLT(Main[[#This Row],[Comments]])=0,"",stdProdLT(Main[[#This Row],[Comments]])))</f>
        <v/>
      </c>
      <c r="H421" s="103" t="str">
        <f>IF(AND(Main[[#This Row],[In Stock Date]]&lt;&gt;"",Main[[#This Row],[Revised Due Date]]&lt;&gt;""),Main[[#This Row],[In Stock Date]]-Main[[#This Row],[Revised Due Date]],"")</f>
        <v/>
      </c>
      <c r="I421" s="99" t="s">
        <v>4</v>
      </c>
      <c r="J421" s="99" t="s">
        <v>4</v>
      </c>
      <c r="K421" s="99" t="s">
        <v>4</v>
      </c>
      <c r="L421" s="101"/>
      <c r="M421" s="104" t="str">
        <f>IF(Main[[#This Row],[Tech Start Date]]&lt;1/1/1990,"",IF(Main[[#This Row],[Class]]="C",WORKDAY(Main[[#This Row],[Tech Start Date]],9),IF(Main[[#This Row],[Class]]="B", WORKDAY(Main[[#This Row],[Tech Start Date]],6),IF(Main[[#This Row],[Class]]="A",WORKDAY(Main[[#This Row],[Tech Start Date]],2),""))))</f>
        <v/>
      </c>
      <c r="N421" s="104" t="str">
        <f>IF(Main[[#This Row],[Tech Start Date]]&lt;1/1/1990,"",IF(Main[[#This Row],[Class]]="C",WORKDAY(Main[[#This Row],[Tech Start Date]],19),IF(Main[[#This Row],[Class]]="B", WORKDAY(Main[[#This Row],[Tech Start Date]],12),IF(Main[[#This Row],[Class]]="A",WORKDAY(Main[[#This Row],[Tech Start Date]],4),""))))</f>
        <v/>
      </c>
      <c r="O421" s="104" t="str">
        <f>IF(Main[[#This Row],[Tech Start Date]]&lt;1/1/1990,"",IF(Main[[#This Row],[Class]]="C",WORKDAY(Main[[#This Row],[Tech Start Date]],23),IF(Main[[#This Row],[Class]]="B", WORKDAY(Main[[#This Row],[Tech Start Date]],15),IF(Main[[#This Row],[Class]]="A",WORKDAY(Main[[#This Row],[Tech Start Date]],5),""))))</f>
        <v/>
      </c>
      <c r="P421" s="104" t="str">
        <f>IF(Main[[#This Row],[Tech Start Date]]&lt;1/1/1990,"",IF(Main[[#This Row],[Class]]="C",WORKDAY(Main[[#This Row],[Tech Start Date]],28),IF(Main[[#This Row],[Class]]="B", WORKDAY(Main[[#This Row],[Tech Start Date]],19),IF(Main[[#This Row],[Class]]="A",WORKDAY(Main[[#This Row],[Tech Start Date]],9),""))))</f>
        <v/>
      </c>
      <c r="Q421" s="101">
        <v>40144</v>
      </c>
      <c r="R421" s="101"/>
      <c r="S421" s="99" t="s">
        <v>11</v>
      </c>
      <c r="T421" s="107" t="s">
        <v>4</v>
      </c>
      <c r="U421" s="99" t="s">
        <v>14</v>
      </c>
      <c r="V421" s="99" t="s">
        <v>1962</v>
      </c>
      <c r="W421" s="99" t="s">
        <v>1964</v>
      </c>
    </row>
    <row r="422" spans="1:23" ht="18.600000000000001" customHeight="1">
      <c r="A422" s="123" t="str">
        <f>IF(priority(Main[[#This Row],[Comments]])&lt;&gt;0, priority(Main[[#This Row],[Comments]]),"")</f>
        <v/>
      </c>
      <c r="B422" s="127" t="s">
        <v>1260</v>
      </c>
      <c r="C422" s="99" t="s">
        <v>33</v>
      </c>
      <c r="D422" s="100" t="s">
        <v>293</v>
      </c>
      <c r="E422" s="101"/>
      <c r="F422" s="101"/>
      <c r="G422" s="102" t="str">
        <f>IF(stdProdLT(Main[[#This Row],[Comments]])=0.1,"N/A",IF(stdProdLT(Main[[#This Row],[Comments]])=0,"",stdProdLT(Main[[#This Row],[Comments]])))</f>
        <v/>
      </c>
      <c r="H422" s="103" t="str">
        <f>IF(AND(Main[[#This Row],[In Stock Date]]&lt;&gt;"",Main[[#This Row],[Revised Due Date]]&lt;&gt;""),Main[[#This Row],[In Stock Date]]-Main[[#This Row],[Revised Due Date]],"")</f>
        <v/>
      </c>
      <c r="I422" s="99" t="s">
        <v>4</v>
      </c>
      <c r="J422" s="99" t="s">
        <v>4</v>
      </c>
      <c r="K422" s="99" t="s">
        <v>4</v>
      </c>
      <c r="L422" s="101"/>
      <c r="M422" s="104" t="str">
        <f>IF(Main[[#This Row],[Tech Start Date]]&lt;1/1/1990,"",IF(Main[[#This Row],[Class]]="C",WORKDAY(Main[[#This Row],[Tech Start Date]],9),IF(Main[[#This Row],[Class]]="B", WORKDAY(Main[[#This Row],[Tech Start Date]],6),IF(Main[[#This Row],[Class]]="A",WORKDAY(Main[[#This Row],[Tech Start Date]],2),""))))</f>
        <v/>
      </c>
      <c r="N422" s="104" t="str">
        <f>IF(Main[[#This Row],[Tech Start Date]]&lt;1/1/1990,"",IF(Main[[#This Row],[Class]]="C",WORKDAY(Main[[#This Row],[Tech Start Date]],19),IF(Main[[#This Row],[Class]]="B", WORKDAY(Main[[#This Row],[Tech Start Date]],12),IF(Main[[#This Row],[Class]]="A",WORKDAY(Main[[#This Row],[Tech Start Date]],4),""))))</f>
        <v/>
      </c>
      <c r="O422" s="104" t="str">
        <f>IF(Main[[#This Row],[Tech Start Date]]&lt;1/1/1990,"",IF(Main[[#This Row],[Class]]="C",WORKDAY(Main[[#This Row],[Tech Start Date]],23),IF(Main[[#This Row],[Class]]="B", WORKDAY(Main[[#This Row],[Tech Start Date]],15),IF(Main[[#This Row],[Class]]="A",WORKDAY(Main[[#This Row],[Tech Start Date]],5),""))))</f>
        <v/>
      </c>
      <c r="P422" s="104" t="str">
        <f>IF(Main[[#This Row],[Tech Start Date]]&lt;1/1/1990,"",IF(Main[[#This Row],[Class]]="C",WORKDAY(Main[[#This Row],[Tech Start Date]],28),IF(Main[[#This Row],[Class]]="B", WORKDAY(Main[[#This Row],[Tech Start Date]],19),IF(Main[[#This Row],[Class]]="A",WORKDAY(Main[[#This Row],[Tech Start Date]],9),""))))</f>
        <v/>
      </c>
      <c r="Q422" s="101"/>
      <c r="R422" s="101"/>
      <c r="S422" s="99" t="s">
        <v>11</v>
      </c>
      <c r="T422" s="107" t="s">
        <v>4</v>
      </c>
      <c r="U422" s="99" t="s">
        <v>14</v>
      </c>
      <c r="V422" s="99" t="s">
        <v>1963</v>
      </c>
      <c r="W422" s="99" t="s">
        <v>1970</v>
      </c>
    </row>
    <row r="423" spans="1:23" ht="18.600000000000001" customHeight="1">
      <c r="A423" s="123" t="str">
        <f>IF(priority(Main[[#This Row],[Comments]])&lt;&gt;0, priority(Main[[#This Row],[Comments]]),"")</f>
        <v/>
      </c>
      <c r="B423" s="127" t="s">
        <v>2368</v>
      </c>
      <c r="C423" s="99" t="s">
        <v>4</v>
      </c>
      <c r="D423" s="100" t="s">
        <v>2469</v>
      </c>
      <c r="E423" s="101">
        <v>40813.664259259262</v>
      </c>
      <c r="F423" s="101"/>
      <c r="G423" s="102" t="str">
        <f>IF(stdProdLT(Main[[#This Row],[Comments]])=0.1,"N/A",IF(stdProdLT(Main[[#This Row],[Comments]])=0,"",stdProdLT(Main[[#This Row],[Comments]])))</f>
        <v/>
      </c>
      <c r="H423" s="103" t="str">
        <f>IF(AND(Main[[#This Row],[In Stock Date]]&lt;&gt;"",Main[[#This Row],[Revised Due Date]]&lt;&gt;""),Main[[#This Row],[In Stock Date]]-Main[[#This Row],[Revised Due Date]],"")</f>
        <v/>
      </c>
      <c r="I423" s="99" t="s">
        <v>955</v>
      </c>
      <c r="J423" s="99" t="s">
        <v>4</v>
      </c>
      <c r="K423" s="99" t="s">
        <v>4</v>
      </c>
      <c r="L423" s="101"/>
      <c r="M423" s="104" t="str">
        <f>IF(Main[[#This Row],[Tech Start Date]]&lt;1/1/1990,"",IF(Main[[#This Row],[Class]]="C",WORKDAY(Main[[#This Row],[Tech Start Date]],9),IF(Main[[#This Row],[Class]]="B", WORKDAY(Main[[#This Row],[Tech Start Date]],6),IF(Main[[#This Row],[Class]]="A",WORKDAY(Main[[#This Row],[Tech Start Date]],2),""))))</f>
        <v/>
      </c>
      <c r="N423" s="104" t="str">
        <f>IF(Main[[#This Row],[Tech Start Date]]&lt;1/1/1990,"",IF(Main[[#This Row],[Class]]="C",WORKDAY(Main[[#This Row],[Tech Start Date]],19),IF(Main[[#This Row],[Class]]="B", WORKDAY(Main[[#This Row],[Tech Start Date]],12),IF(Main[[#This Row],[Class]]="A",WORKDAY(Main[[#This Row],[Tech Start Date]],4),""))))</f>
        <v/>
      </c>
      <c r="O423" s="104" t="str">
        <f>IF(Main[[#This Row],[Tech Start Date]]&lt;1/1/1990,"",IF(Main[[#This Row],[Class]]="C",WORKDAY(Main[[#This Row],[Tech Start Date]],23),IF(Main[[#This Row],[Class]]="B", WORKDAY(Main[[#This Row],[Tech Start Date]],15),IF(Main[[#This Row],[Class]]="A",WORKDAY(Main[[#This Row],[Tech Start Date]],5),""))))</f>
        <v/>
      </c>
      <c r="P423" s="104" t="str">
        <f>IF(Main[[#This Row],[Tech Start Date]]&lt;1/1/1990,"",IF(Main[[#This Row],[Class]]="C",WORKDAY(Main[[#This Row],[Tech Start Date]],28),IF(Main[[#This Row],[Class]]="B", WORKDAY(Main[[#This Row],[Tech Start Date]],19),IF(Main[[#This Row],[Class]]="A",WORKDAY(Main[[#This Row],[Tech Start Date]],9),""))))</f>
        <v/>
      </c>
      <c r="Q423" s="101"/>
      <c r="R423" s="101">
        <v>40840</v>
      </c>
      <c r="S423" s="99" t="s">
        <v>6</v>
      </c>
      <c r="T423" s="107" t="s">
        <v>4</v>
      </c>
      <c r="U423" s="99" t="s">
        <v>7</v>
      </c>
      <c r="V423" s="99" t="s">
        <v>1962</v>
      </c>
      <c r="W423" s="99" t="s">
        <v>1966</v>
      </c>
    </row>
    <row r="424" spans="1:23" ht="18.600000000000001" customHeight="1">
      <c r="A424" s="123" t="str">
        <f>IF(priority(Main[[#This Row],[Comments]])&lt;&gt;0, priority(Main[[#This Row],[Comments]]),"")</f>
        <v/>
      </c>
      <c r="B424" s="127" t="s">
        <v>1300</v>
      </c>
      <c r="C424" s="99" t="s">
        <v>4</v>
      </c>
      <c r="D424" s="100" t="s">
        <v>339</v>
      </c>
      <c r="E424" s="101"/>
      <c r="F424" s="101"/>
      <c r="G424" s="102" t="str">
        <f>IF(stdProdLT(Main[[#This Row],[Comments]])=0.1,"N/A",IF(stdProdLT(Main[[#This Row],[Comments]])=0,"",stdProdLT(Main[[#This Row],[Comments]])))</f>
        <v/>
      </c>
      <c r="H424" s="103" t="str">
        <f>IF(AND(Main[[#This Row],[In Stock Date]]&lt;&gt;"",Main[[#This Row],[Revised Due Date]]&lt;&gt;""),Main[[#This Row],[In Stock Date]]-Main[[#This Row],[Revised Due Date]],"")</f>
        <v/>
      </c>
      <c r="I424" s="99" t="s">
        <v>4</v>
      </c>
      <c r="J424" s="99" t="s">
        <v>4</v>
      </c>
      <c r="K424" s="99" t="s">
        <v>4</v>
      </c>
      <c r="L424" s="101"/>
      <c r="M424" s="104" t="str">
        <f>IF(Main[[#This Row],[Tech Start Date]]&lt;1/1/1990,"",IF(Main[[#This Row],[Class]]="C",WORKDAY(Main[[#This Row],[Tech Start Date]],9),IF(Main[[#This Row],[Class]]="B", WORKDAY(Main[[#This Row],[Tech Start Date]],6),IF(Main[[#This Row],[Class]]="A",WORKDAY(Main[[#This Row],[Tech Start Date]],2),""))))</f>
        <v/>
      </c>
      <c r="N424" s="104" t="str">
        <f>IF(Main[[#This Row],[Tech Start Date]]&lt;1/1/1990,"",IF(Main[[#This Row],[Class]]="C",WORKDAY(Main[[#This Row],[Tech Start Date]],19),IF(Main[[#This Row],[Class]]="B", WORKDAY(Main[[#This Row],[Tech Start Date]],12),IF(Main[[#This Row],[Class]]="A",WORKDAY(Main[[#This Row],[Tech Start Date]],4),""))))</f>
        <v/>
      </c>
      <c r="O424" s="104" t="str">
        <f>IF(Main[[#This Row],[Tech Start Date]]&lt;1/1/1990,"",IF(Main[[#This Row],[Class]]="C",WORKDAY(Main[[#This Row],[Tech Start Date]],23),IF(Main[[#This Row],[Class]]="B", WORKDAY(Main[[#This Row],[Tech Start Date]],15),IF(Main[[#This Row],[Class]]="A",WORKDAY(Main[[#This Row],[Tech Start Date]],5),""))))</f>
        <v/>
      </c>
      <c r="P424" s="104" t="str">
        <f>IF(Main[[#This Row],[Tech Start Date]]&lt;1/1/1990,"",IF(Main[[#This Row],[Class]]="C",WORKDAY(Main[[#This Row],[Tech Start Date]],28),IF(Main[[#This Row],[Class]]="B", WORKDAY(Main[[#This Row],[Tech Start Date]],19),IF(Main[[#This Row],[Class]]="A",WORKDAY(Main[[#This Row],[Tech Start Date]],9),""))))</f>
        <v/>
      </c>
      <c r="Q424" s="101"/>
      <c r="R424" s="101"/>
      <c r="S424" s="99" t="s">
        <v>23</v>
      </c>
      <c r="T424" s="107" t="s">
        <v>4</v>
      </c>
      <c r="U424" s="99" t="s">
        <v>14</v>
      </c>
      <c r="V424" s="99" t="s">
        <v>1965</v>
      </c>
      <c r="W424" s="99" t="s">
        <v>1966</v>
      </c>
    </row>
    <row r="425" spans="1:23" ht="18.600000000000001" customHeight="1">
      <c r="A425" s="123" t="str">
        <f>IF(priority(Main[[#This Row],[Comments]])&lt;&gt;0, priority(Main[[#This Row],[Comments]]),"")</f>
        <v/>
      </c>
      <c r="B425" s="127" t="s">
        <v>2470</v>
      </c>
      <c r="C425" s="99" t="s">
        <v>4</v>
      </c>
      <c r="D425" s="100" t="s">
        <v>2471</v>
      </c>
      <c r="E425" s="101">
        <v>40842.639374999999</v>
      </c>
      <c r="F425" s="101"/>
      <c r="G425" s="102" t="str">
        <f>IF(stdProdLT(Main[[#This Row],[Comments]])=0.1,"N/A",IF(stdProdLT(Main[[#This Row],[Comments]])=0,"",stdProdLT(Main[[#This Row],[Comments]])))</f>
        <v/>
      </c>
      <c r="H425" s="103" t="str">
        <f>IF(AND(Main[[#This Row],[In Stock Date]]&lt;&gt;"",Main[[#This Row],[Revised Due Date]]&lt;&gt;""),Main[[#This Row],[In Stock Date]]-Main[[#This Row],[Revised Due Date]],"")</f>
        <v/>
      </c>
      <c r="I425" s="99" t="s">
        <v>4</v>
      </c>
      <c r="J425" s="99" t="s">
        <v>4</v>
      </c>
      <c r="K425" s="108" t="s">
        <v>4</v>
      </c>
      <c r="L425" s="101"/>
      <c r="M425" s="104" t="str">
        <f>IF(Main[[#This Row],[Tech Start Date]]&lt;1/1/1990,"",IF(Main[[#This Row],[Class]]="C",WORKDAY(Main[[#This Row],[Tech Start Date]],9),IF(Main[[#This Row],[Class]]="B", WORKDAY(Main[[#This Row],[Tech Start Date]],6),IF(Main[[#This Row],[Class]]="A",WORKDAY(Main[[#This Row],[Tech Start Date]],2),""))))</f>
        <v/>
      </c>
      <c r="N425" s="104" t="str">
        <f>IF(Main[[#This Row],[Tech Start Date]]&lt;1/1/1990,"",IF(Main[[#This Row],[Class]]="C",WORKDAY(Main[[#This Row],[Tech Start Date]],19),IF(Main[[#This Row],[Class]]="B", WORKDAY(Main[[#This Row],[Tech Start Date]],12),IF(Main[[#This Row],[Class]]="A",WORKDAY(Main[[#This Row],[Tech Start Date]],4),""))))</f>
        <v/>
      </c>
      <c r="O425" s="104" t="str">
        <f>IF(Main[[#This Row],[Tech Start Date]]&lt;1/1/1990,"",IF(Main[[#This Row],[Class]]="C",WORKDAY(Main[[#This Row],[Tech Start Date]],23),IF(Main[[#This Row],[Class]]="B", WORKDAY(Main[[#This Row],[Tech Start Date]],15),IF(Main[[#This Row],[Class]]="A",WORKDAY(Main[[#This Row],[Tech Start Date]],5),""))))</f>
        <v/>
      </c>
      <c r="P425" s="104" t="str">
        <f>IF(Main[[#This Row],[Tech Start Date]]&lt;1/1/1990,"",IF(Main[[#This Row],[Class]]="C",WORKDAY(Main[[#This Row],[Tech Start Date]],28),IF(Main[[#This Row],[Class]]="B", WORKDAY(Main[[#This Row],[Tech Start Date]],19),IF(Main[[#This Row],[Class]]="A",WORKDAY(Main[[#This Row],[Tech Start Date]],9),""))))</f>
        <v/>
      </c>
      <c r="Q425" s="101">
        <v>40872</v>
      </c>
      <c r="R425" s="101"/>
      <c r="S425" s="99" t="s">
        <v>6</v>
      </c>
      <c r="T425" s="107" t="s">
        <v>4</v>
      </c>
      <c r="U425" s="99" t="s">
        <v>7</v>
      </c>
      <c r="V425" s="99" t="s">
        <v>1965</v>
      </c>
      <c r="W425" s="99" t="s">
        <v>4</v>
      </c>
    </row>
    <row r="426" spans="1:23" ht="18.600000000000001" customHeight="1">
      <c r="A426" s="123" t="str">
        <f>IF(priority(Main[[#This Row],[Comments]])&lt;&gt;0, priority(Main[[#This Row],[Comments]]),"")</f>
        <v/>
      </c>
      <c r="B426" s="127" t="s">
        <v>1301</v>
      </c>
      <c r="C426" s="99" t="s">
        <v>31</v>
      </c>
      <c r="D426" s="100" t="s">
        <v>340</v>
      </c>
      <c r="E426" s="101"/>
      <c r="F426" s="101"/>
      <c r="G426" s="102" t="str">
        <f>IF(stdProdLT(Main[[#This Row],[Comments]])=0.1,"N/A",IF(stdProdLT(Main[[#This Row],[Comments]])=0,"",stdProdLT(Main[[#This Row],[Comments]])))</f>
        <v/>
      </c>
      <c r="H426" s="103" t="str">
        <f>IF(AND(Main[[#This Row],[In Stock Date]]&lt;&gt;"",Main[[#This Row],[Revised Due Date]]&lt;&gt;""),Main[[#This Row],[In Stock Date]]-Main[[#This Row],[Revised Due Date]],"")</f>
        <v/>
      </c>
      <c r="I426" s="99" t="s">
        <v>4</v>
      </c>
      <c r="J426" s="99" t="s">
        <v>4</v>
      </c>
      <c r="K426" s="99" t="s">
        <v>4</v>
      </c>
      <c r="L426" s="101"/>
      <c r="M426" s="104" t="str">
        <f>IF(Main[[#This Row],[Tech Start Date]]&lt;1/1/1990,"",IF(Main[[#This Row],[Class]]="C",WORKDAY(Main[[#This Row],[Tech Start Date]],9),IF(Main[[#This Row],[Class]]="B", WORKDAY(Main[[#This Row],[Tech Start Date]],6),IF(Main[[#This Row],[Class]]="A",WORKDAY(Main[[#This Row],[Tech Start Date]],2),""))))</f>
        <v/>
      </c>
      <c r="N426" s="104" t="str">
        <f>IF(Main[[#This Row],[Tech Start Date]]&lt;1/1/1990,"",IF(Main[[#This Row],[Class]]="C",WORKDAY(Main[[#This Row],[Tech Start Date]],19),IF(Main[[#This Row],[Class]]="B", WORKDAY(Main[[#This Row],[Tech Start Date]],12),IF(Main[[#This Row],[Class]]="A",WORKDAY(Main[[#This Row],[Tech Start Date]],4),""))))</f>
        <v/>
      </c>
      <c r="O426" s="104" t="str">
        <f>IF(Main[[#This Row],[Tech Start Date]]&lt;1/1/1990,"",IF(Main[[#This Row],[Class]]="C",WORKDAY(Main[[#This Row],[Tech Start Date]],23),IF(Main[[#This Row],[Class]]="B", WORKDAY(Main[[#This Row],[Tech Start Date]],15),IF(Main[[#This Row],[Class]]="A",WORKDAY(Main[[#This Row],[Tech Start Date]],5),""))))</f>
        <v/>
      </c>
      <c r="P426" s="104" t="str">
        <f>IF(Main[[#This Row],[Tech Start Date]]&lt;1/1/1990,"",IF(Main[[#This Row],[Class]]="C",WORKDAY(Main[[#This Row],[Tech Start Date]],28),IF(Main[[#This Row],[Class]]="B", WORKDAY(Main[[#This Row],[Tech Start Date]],19),IF(Main[[#This Row],[Class]]="A",WORKDAY(Main[[#This Row],[Tech Start Date]],9),""))))</f>
        <v/>
      </c>
      <c r="Q426" s="101">
        <v>40318</v>
      </c>
      <c r="R426" s="101"/>
      <c r="S426" s="99" t="s">
        <v>11</v>
      </c>
      <c r="T426" s="107" t="s">
        <v>4</v>
      </c>
      <c r="U426" s="99" t="s">
        <v>14</v>
      </c>
      <c r="V426" s="99" t="s">
        <v>1965</v>
      </c>
      <c r="W426" s="99" t="s">
        <v>1964</v>
      </c>
    </row>
    <row r="427" spans="1:23" ht="18.600000000000001" customHeight="1">
      <c r="A427" s="123" t="str">
        <f>IF(priority(Main[[#This Row],[Comments]])&lt;&gt;0, priority(Main[[#This Row],[Comments]]),"")</f>
        <v/>
      </c>
      <c r="B427" s="127" t="s">
        <v>1302</v>
      </c>
      <c r="C427" s="99" t="s">
        <v>4</v>
      </c>
      <c r="D427" s="100" t="s">
        <v>341</v>
      </c>
      <c r="E427" s="101">
        <v>40542.302245370367</v>
      </c>
      <c r="F427" s="101"/>
      <c r="G427" s="102" t="str">
        <f>IF(stdProdLT(Main[[#This Row],[Comments]])=0.1,"N/A",IF(stdProdLT(Main[[#This Row],[Comments]])=0,"",stdProdLT(Main[[#This Row],[Comments]])))</f>
        <v/>
      </c>
      <c r="H427" s="103" t="str">
        <f>IF(AND(Main[[#This Row],[In Stock Date]]&lt;&gt;"",Main[[#This Row],[Revised Due Date]]&lt;&gt;""),Main[[#This Row],[In Stock Date]]-Main[[#This Row],[Revised Due Date]],"")</f>
        <v/>
      </c>
      <c r="I427" s="99" t="s">
        <v>4</v>
      </c>
      <c r="J427" s="99" t="s">
        <v>4</v>
      </c>
      <c r="K427" s="108" t="s">
        <v>1971</v>
      </c>
      <c r="L427" s="101"/>
      <c r="M427" s="104" t="str">
        <f>IF(Main[[#This Row],[Tech Start Date]]&lt;1/1/1990,"",IF(Main[[#This Row],[Class]]="C",WORKDAY(Main[[#This Row],[Tech Start Date]],9),IF(Main[[#This Row],[Class]]="B", WORKDAY(Main[[#This Row],[Tech Start Date]],6),IF(Main[[#This Row],[Class]]="A",WORKDAY(Main[[#This Row],[Tech Start Date]],2),""))))</f>
        <v/>
      </c>
      <c r="N427" s="104" t="str">
        <f>IF(Main[[#This Row],[Tech Start Date]]&lt;1/1/1990,"",IF(Main[[#This Row],[Class]]="C",WORKDAY(Main[[#This Row],[Tech Start Date]],19),IF(Main[[#This Row],[Class]]="B", WORKDAY(Main[[#This Row],[Tech Start Date]],12),IF(Main[[#This Row],[Class]]="A",WORKDAY(Main[[#This Row],[Tech Start Date]],4),""))))</f>
        <v/>
      </c>
      <c r="O427" s="104" t="str">
        <f>IF(Main[[#This Row],[Tech Start Date]]&lt;1/1/1990,"",IF(Main[[#This Row],[Class]]="C",WORKDAY(Main[[#This Row],[Tech Start Date]],23),IF(Main[[#This Row],[Class]]="B", WORKDAY(Main[[#This Row],[Tech Start Date]],15),IF(Main[[#This Row],[Class]]="A",WORKDAY(Main[[#This Row],[Tech Start Date]],5),""))))</f>
        <v/>
      </c>
      <c r="P427" s="104" t="str">
        <f>IF(Main[[#This Row],[Tech Start Date]]&lt;1/1/1990,"",IF(Main[[#This Row],[Class]]="C",WORKDAY(Main[[#This Row],[Tech Start Date]],28),IF(Main[[#This Row],[Class]]="B", WORKDAY(Main[[#This Row],[Tech Start Date]],19),IF(Main[[#This Row],[Class]]="A",WORKDAY(Main[[#This Row],[Tech Start Date]],9),""))))</f>
        <v/>
      </c>
      <c r="Q427" s="101"/>
      <c r="R427" s="101"/>
      <c r="S427" s="99" t="s">
        <v>6</v>
      </c>
      <c r="T427" s="107" t="s">
        <v>4</v>
      </c>
      <c r="U427" s="99" t="s">
        <v>29</v>
      </c>
      <c r="V427" s="99" t="s">
        <v>1962</v>
      </c>
      <c r="W427" s="99" t="s">
        <v>1966</v>
      </c>
    </row>
    <row r="428" spans="1:23" ht="18.600000000000001" customHeight="1">
      <c r="A428" s="123" t="str">
        <f>IF(priority(Main[[#This Row],[Comments]])&lt;&gt;0, priority(Main[[#This Row],[Comments]]),"")</f>
        <v/>
      </c>
      <c r="B428" s="127" t="s">
        <v>1303</v>
      </c>
      <c r="C428" s="99" t="s">
        <v>93</v>
      </c>
      <c r="D428" s="100" t="s">
        <v>342</v>
      </c>
      <c r="E428" s="101"/>
      <c r="F428" s="101">
        <v>40132</v>
      </c>
      <c r="G428" s="102" t="str">
        <f>IF(stdProdLT(Main[[#This Row],[Comments]])=0.1,"N/A",IF(stdProdLT(Main[[#This Row],[Comments]])=0,"",stdProdLT(Main[[#This Row],[Comments]])))</f>
        <v/>
      </c>
      <c r="H428" s="103" t="str">
        <f>IF(AND(Main[[#This Row],[In Stock Date]]&lt;&gt;"",Main[[#This Row],[Revised Due Date]]&lt;&gt;""),Main[[#This Row],[In Stock Date]]-Main[[#This Row],[Revised Due Date]],"")</f>
        <v/>
      </c>
      <c r="I428" s="99" t="s">
        <v>4</v>
      </c>
      <c r="J428" s="99" t="s">
        <v>4</v>
      </c>
      <c r="K428" s="99" t="s">
        <v>4</v>
      </c>
      <c r="L428" s="101"/>
      <c r="M428" s="104" t="str">
        <f>IF(Main[[#This Row],[Tech Start Date]]&lt;1/1/1990,"",IF(Main[[#This Row],[Class]]="C",WORKDAY(Main[[#This Row],[Tech Start Date]],9),IF(Main[[#This Row],[Class]]="B", WORKDAY(Main[[#This Row],[Tech Start Date]],6),IF(Main[[#This Row],[Class]]="A",WORKDAY(Main[[#This Row],[Tech Start Date]],2),""))))</f>
        <v/>
      </c>
      <c r="N428" s="104" t="str">
        <f>IF(Main[[#This Row],[Tech Start Date]]&lt;1/1/1990,"",IF(Main[[#This Row],[Class]]="C",WORKDAY(Main[[#This Row],[Tech Start Date]],19),IF(Main[[#This Row],[Class]]="B", WORKDAY(Main[[#This Row],[Tech Start Date]],12),IF(Main[[#This Row],[Class]]="A",WORKDAY(Main[[#This Row],[Tech Start Date]],4),""))))</f>
        <v/>
      </c>
      <c r="O428" s="104" t="str">
        <f>IF(Main[[#This Row],[Tech Start Date]]&lt;1/1/1990,"",IF(Main[[#This Row],[Class]]="C",WORKDAY(Main[[#This Row],[Tech Start Date]],23),IF(Main[[#This Row],[Class]]="B", WORKDAY(Main[[#This Row],[Tech Start Date]],15),IF(Main[[#This Row],[Class]]="A",WORKDAY(Main[[#This Row],[Tech Start Date]],5),""))))</f>
        <v/>
      </c>
      <c r="P428" s="104" t="str">
        <f>IF(Main[[#This Row],[Tech Start Date]]&lt;1/1/1990,"",IF(Main[[#This Row],[Class]]="C",WORKDAY(Main[[#This Row],[Tech Start Date]],28),IF(Main[[#This Row],[Class]]="B", WORKDAY(Main[[#This Row],[Tech Start Date]],19),IF(Main[[#This Row],[Class]]="A",WORKDAY(Main[[#This Row],[Tech Start Date]],9),""))))</f>
        <v/>
      </c>
      <c r="Q428" s="101">
        <v>40132</v>
      </c>
      <c r="R428" s="101"/>
      <c r="S428" s="99" t="s">
        <v>11</v>
      </c>
      <c r="T428" s="107" t="s">
        <v>4</v>
      </c>
      <c r="U428" s="99" t="s">
        <v>14</v>
      </c>
      <c r="V428" s="99" t="s">
        <v>1972</v>
      </c>
      <c r="W428" s="99" t="s">
        <v>1968</v>
      </c>
    </row>
    <row r="429" spans="1:23" ht="18.600000000000001" customHeight="1">
      <c r="A429" s="123" t="str">
        <f>IF(priority(Main[[#This Row],[Comments]])&lt;&gt;0, priority(Main[[#This Row],[Comments]]),"")</f>
        <v/>
      </c>
      <c r="B429" s="127" t="s">
        <v>1304</v>
      </c>
      <c r="C429" s="99" t="s">
        <v>4</v>
      </c>
      <c r="D429" s="100" t="s">
        <v>343</v>
      </c>
      <c r="E429" s="101"/>
      <c r="F429" s="101"/>
      <c r="G429" s="102" t="str">
        <f>IF(stdProdLT(Main[[#This Row],[Comments]])=0.1,"N/A",IF(stdProdLT(Main[[#This Row],[Comments]])=0,"",stdProdLT(Main[[#This Row],[Comments]])))</f>
        <v/>
      </c>
      <c r="H429" s="103" t="str">
        <f>IF(AND(Main[[#This Row],[In Stock Date]]&lt;&gt;"",Main[[#This Row],[Revised Due Date]]&lt;&gt;""),Main[[#This Row],[In Stock Date]]-Main[[#This Row],[Revised Due Date]],"")</f>
        <v/>
      </c>
      <c r="I429" s="99" t="s">
        <v>4</v>
      </c>
      <c r="J429" s="99" t="s">
        <v>4</v>
      </c>
      <c r="K429" s="99" t="s">
        <v>4</v>
      </c>
      <c r="L429" s="101"/>
      <c r="M429" s="104" t="str">
        <f>IF(Main[[#This Row],[Tech Start Date]]&lt;1/1/1990,"",IF(Main[[#This Row],[Class]]="C",WORKDAY(Main[[#This Row],[Tech Start Date]],9),IF(Main[[#This Row],[Class]]="B", WORKDAY(Main[[#This Row],[Tech Start Date]],6),IF(Main[[#This Row],[Class]]="A",WORKDAY(Main[[#This Row],[Tech Start Date]],2),""))))</f>
        <v/>
      </c>
      <c r="N429" s="104" t="str">
        <f>IF(Main[[#This Row],[Tech Start Date]]&lt;1/1/1990,"",IF(Main[[#This Row],[Class]]="C",WORKDAY(Main[[#This Row],[Tech Start Date]],19),IF(Main[[#This Row],[Class]]="B", WORKDAY(Main[[#This Row],[Tech Start Date]],12),IF(Main[[#This Row],[Class]]="A",WORKDAY(Main[[#This Row],[Tech Start Date]],4),""))))</f>
        <v/>
      </c>
      <c r="O429" s="104" t="str">
        <f>IF(Main[[#This Row],[Tech Start Date]]&lt;1/1/1990,"",IF(Main[[#This Row],[Class]]="C",WORKDAY(Main[[#This Row],[Tech Start Date]],23),IF(Main[[#This Row],[Class]]="B", WORKDAY(Main[[#This Row],[Tech Start Date]],15),IF(Main[[#This Row],[Class]]="A",WORKDAY(Main[[#This Row],[Tech Start Date]],5),""))))</f>
        <v/>
      </c>
      <c r="P429" s="104" t="str">
        <f>IF(Main[[#This Row],[Tech Start Date]]&lt;1/1/1990,"",IF(Main[[#This Row],[Class]]="C",WORKDAY(Main[[#This Row],[Tech Start Date]],28),IF(Main[[#This Row],[Class]]="B", WORKDAY(Main[[#This Row],[Tech Start Date]],19),IF(Main[[#This Row],[Class]]="A",WORKDAY(Main[[#This Row],[Tech Start Date]],9),""))))</f>
        <v/>
      </c>
      <c r="Q429" s="101"/>
      <c r="R429" s="101"/>
      <c r="S429" s="99" t="s">
        <v>23</v>
      </c>
      <c r="T429" s="107" t="s">
        <v>4</v>
      </c>
      <c r="U429" s="99" t="s">
        <v>14</v>
      </c>
      <c r="V429" s="99" t="s">
        <v>1962</v>
      </c>
      <c r="W429" s="99" t="s">
        <v>1964</v>
      </c>
    </row>
    <row r="430" spans="1:23" ht="18.600000000000001" customHeight="1">
      <c r="A430" s="123" t="str">
        <f>IF(priority(Main[[#This Row],[Comments]])&lt;&gt;0, priority(Main[[#This Row],[Comments]]),"")</f>
        <v/>
      </c>
      <c r="B430" s="127" t="s">
        <v>1305</v>
      </c>
      <c r="C430" s="99" t="s">
        <v>47</v>
      </c>
      <c r="D430" s="100" t="s">
        <v>344</v>
      </c>
      <c r="E430" s="101">
        <v>39937.597743055558</v>
      </c>
      <c r="F430" s="101"/>
      <c r="G430" s="102" t="str">
        <f>IF(stdProdLT(Main[[#This Row],[Comments]])=0.1,"N/A",IF(stdProdLT(Main[[#This Row],[Comments]])=0,"",stdProdLT(Main[[#This Row],[Comments]])))</f>
        <v/>
      </c>
      <c r="H430" s="103" t="str">
        <f>IF(AND(Main[[#This Row],[In Stock Date]]&lt;&gt;"",Main[[#This Row],[Revised Due Date]]&lt;&gt;""),Main[[#This Row],[In Stock Date]]-Main[[#This Row],[Revised Due Date]],"")</f>
        <v/>
      </c>
      <c r="I430" s="99" t="s">
        <v>4</v>
      </c>
      <c r="J430" s="99" t="s">
        <v>4</v>
      </c>
      <c r="K430" s="108" t="s">
        <v>4</v>
      </c>
      <c r="L430" s="101"/>
      <c r="M430" s="104" t="str">
        <f>IF(Main[[#This Row],[Tech Start Date]]&lt;1/1/1990,"",IF(Main[[#This Row],[Class]]="C",WORKDAY(Main[[#This Row],[Tech Start Date]],9),IF(Main[[#This Row],[Class]]="B", WORKDAY(Main[[#This Row],[Tech Start Date]],6),IF(Main[[#This Row],[Class]]="A",WORKDAY(Main[[#This Row],[Tech Start Date]],2),""))))</f>
        <v/>
      </c>
      <c r="N430" s="104" t="str">
        <f>IF(Main[[#This Row],[Tech Start Date]]&lt;1/1/1990,"",IF(Main[[#This Row],[Class]]="C",WORKDAY(Main[[#This Row],[Tech Start Date]],19),IF(Main[[#This Row],[Class]]="B", WORKDAY(Main[[#This Row],[Tech Start Date]],12),IF(Main[[#This Row],[Class]]="A",WORKDAY(Main[[#This Row],[Tech Start Date]],4),""))))</f>
        <v/>
      </c>
      <c r="O430" s="104" t="str">
        <f>IF(Main[[#This Row],[Tech Start Date]]&lt;1/1/1990,"",IF(Main[[#This Row],[Class]]="C",WORKDAY(Main[[#This Row],[Tech Start Date]],23),IF(Main[[#This Row],[Class]]="B", WORKDAY(Main[[#This Row],[Tech Start Date]],15),IF(Main[[#This Row],[Class]]="A",WORKDAY(Main[[#This Row],[Tech Start Date]],5),""))))</f>
        <v/>
      </c>
      <c r="P430" s="104" t="str">
        <f>IF(Main[[#This Row],[Tech Start Date]]&lt;1/1/1990,"",IF(Main[[#This Row],[Class]]="C",WORKDAY(Main[[#This Row],[Tech Start Date]],28),IF(Main[[#This Row],[Class]]="B", WORKDAY(Main[[#This Row],[Tech Start Date]],19),IF(Main[[#This Row],[Class]]="A",WORKDAY(Main[[#This Row],[Tech Start Date]],9),""))))</f>
        <v/>
      </c>
      <c r="Q430" s="101"/>
      <c r="R430" s="101"/>
      <c r="S430" s="99" t="s">
        <v>17</v>
      </c>
      <c r="T430" s="107" t="s">
        <v>4</v>
      </c>
      <c r="U430" s="99" t="s">
        <v>7</v>
      </c>
      <c r="V430" s="99" t="s">
        <v>1965</v>
      </c>
      <c r="W430" s="99" t="s">
        <v>4</v>
      </c>
    </row>
    <row r="431" spans="1:23" ht="18.600000000000001" customHeight="1">
      <c r="A431" s="123" t="str">
        <f>IF(priority(Main[[#This Row],[Comments]])&lt;&gt;0, priority(Main[[#This Row],[Comments]]),"")</f>
        <v/>
      </c>
      <c r="B431" s="127" t="s">
        <v>1306</v>
      </c>
      <c r="C431" s="99" t="s">
        <v>95</v>
      </c>
      <c r="D431" s="100" t="s">
        <v>345</v>
      </c>
      <c r="E431" s="101"/>
      <c r="F431" s="101">
        <v>40195</v>
      </c>
      <c r="G431" s="102" t="str">
        <f>IF(stdProdLT(Main[[#This Row],[Comments]])=0.1,"N/A",IF(stdProdLT(Main[[#This Row],[Comments]])=0,"",stdProdLT(Main[[#This Row],[Comments]])))</f>
        <v/>
      </c>
      <c r="H431" s="103" t="str">
        <f>IF(AND(Main[[#This Row],[In Stock Date]]&lt;&gt;"",Main[[#This Row],[Revised Due Date]]&lt;&gt;""),Main[[#This Row],[In Stock Date]]-Main[[#This Row],[Revised Due Date]],"")</f>
        <v/>
      </c>
      <c r="I431" s="99" t="s">
        <v>4</v>
      </c>
      <c r="J431" s="99" t="s">
        <v>4</v>
      </c>
      <c r="K431" s="99" t="s">
        <v>4</v>
      </c>
      <c r="L431" s="101"/>
      <c r="M431" s="104" t="str">
        <f>IF(Main[[#This Row],[Tech Start Date]]&lt;1/1/1990,"",IF(Main[[#This Row],[Class]]="C",WORKDAY(Main[[#This Row],[Tech Start Date]],9),IF(Main[[#This Row],[Class]]="B", WORKDAY(Main[[#This Row],[Tech Start Date]],6),IF(Main[[#This Row],[Class]]="A",WORKDAY(Main[[#This Row],[Tech Start Date]],2),""))))</f>
        <v/>
      </c>
      <c r="N431" s="104" t="str">
        <f>IF(Main[[#This Row],[Tech Start Date]]&lt;1/1/1990,"",IF(Main[[#This Row],[Class]]="C",WORKDAY(Main[[#This Row],[Tech Start Date]],19),IF(Main[[#This Row],[Class]]="B", WORKDAY(Main[[#This Row],[Tech Start Date]],12),IF(Main[[#This Row],[Class]]="A",WORKDAY(Main[[#This Row],[Tech Start Date]],4),""))))</f>
        <v/>
      </c>
      <c r="O431" s="104" t="str">
        <f>IF(Main[[#This Row],[Tech Start Date]]&lt;1/1/1990,"",IF(Main[[#This Row],[Class]]="C",WORKDAY(Main[[#This Row],[Tech Start Date]],23),IF(Main[[#This Row],[Class]]="B", WORKDAY(Main[[#This Row],[Tech Start Date]],15),IF(Main[[#This Row],[Class]]="A",WORKDAY(Main[[#This Row],[Tech Start Date]],5),""))))</f>
        <v/>
      </c>
      <c r="P431" s="104" t="str">
        <f>IF(Main[[#This Row],[Tech Start Date]]&lt;1/1/1990,"",IF(Main[[#This Row],[Class]]="C",WORKDAY(Main[[#This Row],[Tech Start Date]],28),IF(Main[[#This Row],[Class]]="B", WORKDAY(Main[[#This Row],[Tech Start Date]],19),IF(Main[[#This Row],[Class]]="A",WORKDAY(Main[[#This Row],[Tech Start Date]],9),""))))</f>
        <v/>
      </c>
      <c r="Q431" s="101">
        <v>40070</v>
      </c>
      <c r="R431" s="101"/>
      <c r="S431" s="99" t="s">
        <v>11</v>
      </c>
      <c r="T431" s="107" t="s">
        <v>4</v>
      </c>
      <c r="U431" s="99" t="s">
        <v>14</v>
      </c>
      <c r="V431" s="99" t="s">
        <v>1965</v>
      </c>
      <c r="W431" s="99" t="s">
        <v>1968</v>
      </c>
    </row>
    <row r="432" spans="1:23" ht="18.600000000000001" customHeight="1">
      <c r="A432" s="123" t="str">
        <f>IF(priority(Main[[#This Row],[Comments]])&lt;&gt;0, priority(Main[[#This Row],[Comments]]),"")</f>
        <v/>
      </c>
      <c r="B432" s="127" t="s">
        <v>1326</v>
      </c>
      <c r="C432" s="99" t="s">
        <v>4</v>
      </c>
      <c r="D432" s="100" t="s">
        <v>347</v>
      </c>
      <c r="E432" s="101">
        <v>40704.346435185187</v>
      </c>
      <c r="F432" s="101"/>
      <c r="G432" s="102" t="str">
        <f>IF(stdProdLT(Main[[#This Row],[Comments]])=0.1,"N/A",IF(stdProdLT(Main[[#This Row],[Comments]])=0,"",stdProdLT(Main[[#This Row],[Comments]])))</f>
        <v/>
      </c>
      <c r="H432" s="103" t="str">
        <f>IF(AND(Main[[#This Row],[In Stock Date]]&lt;&gt;"",Main[[#This Row],[Revised Due Date]]&lt;&gt;""),Main[[#This Row],[In Stock Date]]-Main[[#This Row],[Revised Due Date]],"")</f>
        <v/>
      </c>
      <c r="I432" s="99" t="s">
        <v>939</v>
      </c>
      <c r="J432" s="99" t="s">
        <v>28</v>
      </c>
      <c r="K432" s="99" t="s">
        <v>4</v>
      </c>
      <c r="L432" s="101"/>
      <c r="M432" s="104" t="str">
        <f>IF(Main[[#This Row],[Tech Start Date]]&lt;1/1/1990,"",IF(Main[[#This Row],[Class]]="C",WORKDAY(Main[[#This Row],[Tech Start Date]],9),IF(Main[[#This Row],[Class]]="B", WORKDAY(Main[[#This Row],[Tech Start Date]],6),IF(Main[[#This Row],[Class]]="A",WORKDAY(Main[[#This Row],[Tech Start Date]],2),""))))</f>
        <v/>
      </c>
      <c r="N432" s="104" t="str">
        <f>IF(Main[[#This Row],[Tech Start Date]]&lt;1/1/1990,"",IF(Main[[#This Row],[Class]]="C",WORKDAY(Main[[#This Row],[Tech Start Date]],19),IF(Main[[#This Row],[Class]]="B", WORKDAY(Main[[#This Row],[Tech Start Date]],12),IF(Main[[#This Row],[Class]]="A",WORKDAY(Main[[#This Row],[Tech Start Date]],4),""))))</f>
        <v/>
      </c>
      <c r="O432" s="104" t="str">
        <f>IF(Main[[#This Row],[Tech Start Date]]&lt;1/1/1990,"",IF(Main[[#This Row],[Class]]="C",WORKDAY(Main[[#This Row],[Tech Start Date]],23),IF(Main[[#This Row],[Class]]="B", WORKDAY(Main[[#This Row],[Tech Start Date]],15),IF(Main[[#This Row],[Class]]="A",WORKDAY(Main[[#This Row],[Tech Start Date]],5),""))))</f>
        <v/>
      </c>
      <c r="P432" s="104" t="str">
        <f>IF(Main[[#This Row],[Tech Start Date]]&lt;1/1/1990,"",IF(Main[[#This Row],[Class]]="C",WORKDAY(Main[[#This Row],[Tech Start Date]],28),IF(Main[[#This Row],[Class]]="B", WORKDAY(Main[[#This Row],[Tech Start Date]],19),IF(Main[[#This Row],[Class]]="A",WORKDAY(Main[[#This Row],[Tech Start Date]],9),""))))</f>
        <v/>
      </c>
      <c r="Q432" s="101"/>
      <c r="R432" s="101">
        <v>40908</v>
      </c>
      <c r="S432" s="99" t="s">
        <v>49</v>
      </c>
      <c r="T432" s="107" t="s">
        <v>4</v>
      </c>
      <c r="U432" s="99" t="s">
        <v>7</v>
      </c>
      <c r="V432" s="99" t="s">
        <v>1977</v>
      </c>
      <c r="W432" s="99" t="s">
        <v>1964</v>
      </c>
    </row>
    <row r="433" spans="1:23" ht="18.600000000000001" customHeight="1">
      <c r="A433" s="123" t="str">
        <f>IF(priority(Main[[#This Row],[Comments]])&lt;&gt;0, priority(Main[[#This Row],[Comments]]),"")</f>
        <v/>
      </c>
      <c r="B433" s="127" t="s">
        <v>1327</v>
      </c>
      <c r="C433" s="99" t="s">
        <v>72</v>
      </c>
      <c r="D433" s="100" t="s">
        <v>348</v>
      </c>
      <c r="E433" s="101"/>
      <c r="F433" s="101">
        <v>40106</v>
      </c>
      <c r="G433" s="102" t="str">
        <f>IF(stdProdLT(Main[[#This Row],[Comments]])=0.1,"N/A",IF(stdProdLT(Main[[#This Row],[Comments]])=0,"",stdProdLT(Main[[#This Row],[Comments]])))</f>
        <v/>
      </c>
      <c r="H433" s="103" t="str">
        <f>IF(AND(Main[[#This Row],[In Stock Date]]&lt;&gt;"",Main[[#This Row],[Revised Due Date]]&lt;&gt;""),Main[[#This Row],[In Stock Date]]-Main[[#This Row],[Revised Due Date]],"")</f>
        <v/>
      </c>
      <c r="I433" s="99" t="s">
        <v>4</v>
      </c>
      <c r="J433" s="99" t="s">
        <v>4</v>
      </c>
      <c r="K433" s="99" t="s">
        <v>4</v>
      </c>
      <c r="L433" s="101"/>
      <c r="M433" s="104" t="str">
        <f>IF(Main[[#This Row],[Tech Start Date]]&lt;1/1/1990,"",IF(Main[[#This Row],[Class]]="C",WORKDAY(Main[[#This Row],[Tech Start Date]],9),IF(Main[[#This Row],[Class]]="B", WORKDAY(Main[[#This Row],[Tech Start Date]],6),IF(Main[[#This Row],[Class]]="A",WORKDAY(Main[[#This Row],[Tech Start Date]],2),""))))</f>
        <v/>
      </c>
      <c r="N433" s="104" t="str">
        <f>IF(Main[[#This Row],[Tech Start Date]]&lt;1/1/1990,"",IF(Main[[#This Row],[Class]]="C",WORKDAY(Main[[#This Row],[Tech Start Date]],19),IF(Main[[#This Row],[Class]]="B", WORKDAY(Main[[#This Row],[Tech Start Date]],12),IF(Main[[#This Row],[Class]]="A",WORKDAY(Main[[#This Row],[Tech Start Date]],4),""))))</f>
        <v/>
      </c>
      <c r="O433" s="104" t="str">
        <f>IF(Main[[#This Row],[Tech Start Date]]&lt;1/1/1990,"",IF(Main[[#This Row],[Class]]="C",WORKDAY(Main[[#This Row],[Tech Start Date]],23),IF(Main[[#This Row],[Class]]="B", WORKDAY(Main[[#This Row],[Tech Start Date]],15),IF(Main[[#This Row],[Class]]="A",WORKDAY(Main[[#This Row],[Tech Start Date]],5),""))))</f>
        <v/>
      </c>
      <c r="P433" s="104" t="str">
        <f>IF(Main[[#This Row],[Tech Start Date]]&lt;1/1/1990,"",IF(Main[[#This Row],[Class]]="C",WORKDAY(Main[[#This Row],[Tech Start Date]],28),IF(Main[[#This Row],[Class]]="B", WORKDAY(Main[[#This Row],[Tech Start Date]],19),IF(Main[[#This Row],[Class]]="A",WORKDAY(Main[[#This Row],[Tech Start Date]],9),""))))</f>
        <v/>
      </c>
      <c r="Q433" s="101">
        <v>39986</v>
      </c>
      <c r="R433" s="101"/>
      <c r="S433" s="99" t="s">
        <v>11</v>
      </c>
      <c r="T433" s="107" t="s">
        <v>4</v>
      </c>
      <c r="U433" s="99" t="s">
        <v>14</v>
      </c>
      <c r="V433" s="99" t="s">
        <v>1963</v>
      </c>
      <c r="W433" s="99" t="s">
        <v>1967</v>
      </c>
    </row>
    <row r="434" spans="1:23" ht="18.600000000000001" customHeight="1">
      <c r="A434" s="123" t="str">
        <f>IF(priority(Main[[#This Row],[Comments]])&lt;&gt;0, priority(Main[[#This Row],[Comments]]),"")</f>
        <v/>
      </c>
      <c r="B434" s="127" t="s">
        <v>1328</v>
      </c>
      <c r="C434" s="99" t="s">
        <v>4</v>
      </c>
      <c r="D434" s="100" t="s">
        <v>349</v>
      </c>
      <c r="E434" s="101"/>
      <c r="F434" s="101"/>
      <c r="G434" s="102" t="str">
        <f>IF(stdProdLT(Main[[#This Row],[Comments]])=0.1,"N/A",IF(stdProdLT(Main[[#This Row],[Comments]])=0,"",stdProdLT(Main[[#This Row],[Comments]])))</f>
        <v/>
      </c>
      <c r="H434" s="103" t="str">
        <f>IF(AND(Main[[#This Row],[In Stock Date]]&lt;&gt;"",Main[[#This Row],[Revised Due Date]]&lt;&gt;""),Main[[#This Row],[In Stock Date]]-Main[[#This Row],[Revised Due Date]],"")</f>
        <v/>
      </c>
      <c r="I434" s="99" t="s">
        <v>4</v>
      </c>
      <c r="J434" s="99" t="s">
        <v>4</v>
      </c>
      <c r="K434" s="99" t="s">
        <v>4</v>
      </c>
      <c r="L434" s="101"/>
      <c r="M434" s="104" t="str">
        <f>IF(Main[[#This Row],[Tech Start Date]]&lt;1/1/1990,"",IF(Main[[#This Row],[Class]]="C",WORKDAY(Main[[#This Row],[Tech Start Date]],9),IF(Main[[#This Row],[Class]]="B", WORKDAY(Main[[#This Row],[Tech Start Date]],6),IF(Main[[#This Row],[Class]]="A",WORKDAY(Main[[#This Row],[Tech Start Date]],2),""))))</f>
        <v/>
      </c>
      <c r="N434" s="104" t="str">
        <f>IF(Main[[#This Row],[Tech Start Date]]&lt;1/1/1990,"",IF(Main[[#This Row],[Class]]="C",WORKDAY(Main[[#This Row],[Tech Start Date]],19),IF(Main[[#This Row],[Class]]="B", WORKDAY(Main[[#This Row],[Tech Start Date]],12),IF(Main[[#This Row],[Class]]="A",WORKDAY(Main[[#This Row],[Tech Start Date]],4),""))))</f>
        <v/>
      </c>
      <c r="O434" s="104" t="str">
        <f>IF(Main[[#This Row],[Tech Start Date]]&lt;1/1/1990,"",IF(Main[[#This Row],[Class]]="C",WORKDAY(Main[[#This Row],[Tech Start Date]],23),IF(Main[[#This Row],[Class]]="B", WORKDAY(Main[[#This Row],[Tech Start Date]],15),IF(Main[[#This Row],[Class]]="A",WORKDAY(Main[[#This Row],[Tech Start Date]],5),""))))</f>
        <v/>
      </c>
      <c r="P434" s="104" t="str">
        <f>IF(Main[[#This Row],[Tech Start Date]]&lt;1/1/1990,"",IF(Main[[#This Row],[Class]]="C",WORKDAY(Main[[#This Row],[Tech Start Date]],28),IF(Main[[#This Row],[Class]]="B", WORKDAY(Main[[#This Row],[Tech Start Date]],19),IF(Main[[#This Row],[Class]]="A",WORKDAY(Main[[#This Row],[Tech Start Date]],9),""))))</f>
        <v/>
      </c>
      <c r="Q434" s="101"/>
      <c r="R434" s="101"/>
      <c r="S434" s="99" t="s">
        <v>6</v>
      </c>
      <c r="T434" s="107" t="s">
        <v>4</v>
      </c>
      <c r="U434" s="99" t="s">
        <v>12</v>
      </c>
      <c r="V434" s="99" t="s">
        <v>1962</v>
      </c>
      <c r="W434" s="99" t="s">
        <v>1966</v>
      </c>
    </row>
    <row r="435" spans="1:23" ht="18.600000000000001" customHeight="1">
      <c r="A435" s="123" t="str">
        <f>IF(priority(Main[[#This Row],[Comments]])&lt;&gt;0, priority(Main[[#This Row],[Comments]]),"")</f>
        <v/>
      </c>
      <c r="B435" s="127" t="s">
        <v>1307</v>
      </c>
      <c r="C435" s="99" t="s">
        <v>79</v>
      </c>
      <c r="D435" s="100" t="s">
        <v>350</v>
      </c>
      <c r="E435" s="101">
        <v>40072.642395833333</v>
      </c>
      <c r="F435" s="101">
        <v>40116</v>
      </c>
      <c r="G435" s="102" t="str">
        <f>IF(stdProdLT(Main[[#This Row],[Comments]])=0.1,"N/A",IF(stdProdLT(Main[[#This Row],[Comments]])=0,"",stdProdLT(Main[[#This Row],[Comments]])))</f>
        <v/>
      </c>
      <c r="H435" s="103" t="str">
        <f>IF(AND(Main[[#This Row],[In Stock Date]]&lt;&gt;"",Main[[#This Row],[Revised Due Date]]&lt;&gt;""),Main[[#This Row],[In Stock Date]]-Main[[#This Row],[Revised Due Date]],"")</f>
        <v/>
      </c>
      <c r="I435" s="99" t="s">
        <v>4</v>
      </c>
      <c r="J435" s="99" t="s">
        <v>4</v>
      </c>
      <c r="K435" s="99" t="s">
        <v>4</v>
      </c>
      <c r="L435" s="101"/>
      <c r="M435" s="104" t="str">
        <f>IF(Main[[#This Row],[Tech Start Date]]&lt;1/1/1990,"",IF(Main[[#This Row],[Class]]="C",WORKDAY(Main[[#This Row],[Tech Start Date]],9),IF(Main[[#This Row],[Class]]="B", WORKDAY(Main[[#This Row],[Tech Start Date]],6),IF(Main[[#This Row],[Class]]="A",WORKDAY(Main[[#This Row],[Tech Start Date]],2),""))))</f>
        <v/>
      </c>
      <c r="N435" s="104" t="str">
        <f>IF(Main[[#This Row],[Tech Start Date]]&lt;1/1/1990,"",IF(Main[[#This Row],[Class]]="C",WORKDAY(Main[[#This Row],[Tech Start Date]],19),IF(Main[[#This Row],[Class]]="B", WORKDAY(Main[[#This Row],[Tech Start Date]],12),IF(Main[[#This Row],[Class]]="A",WORKDAY(Main[[#This Row],[Tech Start Date]],4),""))))</f>
        <v/>
      </c>
      <c r="O435" s="104" t="str">
        <f>IF(Main[[#This Row],[Tech Start Date]]&lt;1/1/1990,"",IF(Main[[#This Row],[Class]]="C",WORKDAY(Main[[#This Row],[Tech Start Date]],23),IF(Main[[#This Row],[Class]]="B", WORKDAY(Main[[#This Row],[Tech Start Date]],15),IF(Main[[#This Row],[Class]]="A",WORKDAY(Main[[#This Row],[Tech Start Date]],5),""))))</f>
        <v/>
      </c>
      <c r="P435" s="104" t="str">
        <f>IF(Main[[#This Row],[Tech Start Date]]&lt;1/1/1990,"",IF(Main[[#This Row],[Class]]="C",WORKDAY(Main[[#This Row],[Tech Start Date]],28),IF(Main[[#This Row],[Class]]="B", WORKDAY(Main[[#This Row],[Tech Start Date]],19),IF(Main[[#This Row],[Class]]="A",WORKDAY(Main[[#This Row],[Tech Start Date]],9),""))))</f>
        <v/>
      </c>
      <c r="Q435" s="101"/>
      <c r="R435" s="101"/>
      <c r="S435" s="99" t="s">
        <v>17</v>
      </c>
      <c r="T435" s="107" t="s">
        <v>4</v>
      </c>
      <c r="U435" s="99" t="s">
        <v>7</v>
      </c>
      <c r="V435" s="99" t="s">
        <v>1962</v>
      </c>
      <c r="W435" s="99" t="s">
        <v>1966</v>
      </c>
    </row>
    <row r="436" spans="1:23" ht="18.600000000000001" customHeight="1">
      <c r="A436" s="123" t="str">
        <f>IF(priority(Main[[#This Row],[Comments]])&lt;&gt;0, priority(Main[[#This Row],[Comments]]),"")</f>
        <v/>
      </c>
      <c r="B436" s="127" t="s">
        <v>1308</v>
      </c>
      <c r="C436" s="99" t="s">
        <v>4</v>
      </c>
      <c r="D436" s="100" t="s">
        <v>351</v>
      </c>
      <c r="E436" s="101">
        <v>40422.66909722222</v>
      </c>
      <c r="F436" s="101"/>
      <c r="G436" s="102" t="str">
        <f>IF(stdProdLT(Main[[#This Row],[Comments]])=0.1,"N/A",IF(stdProdLT(Main[[#This Row],[Comments]])=0,"",stdProdLT(Main[[#This Row],[Comments]])))</f>
        <v/>
      </c>
      <c r="H436" s="103" t="str">
        <f>IF(AND(Main[[#This Row],[In Stock Date]]&lt;&gt;"",Main[[#This Row],[Revised Due Date]]&lt;&gt;""),Main[[#This Row],[In Stock Date]]-Main[[#This Row],[Revised Due Date]],"")</f>
        <v/>
      </c>
      <c r="I436" s="99" t="s">
        <v>4</v>
      </c>
      <c r="J436" s="99" t="s">
        <v>28</v>
      </c>
      <c r="K436" s="99" t="s">
        <v>4</v>
      </c>
      <c r="L436" s="101"/>
      <c r="M436" s="104" t="str">
        <f>IF(Main[[#This Row],[Tech Start Date]]&lt;1/1/1990,"",IF(Main[[#This Row],[Class]]="C",WORKDAY(Main[[#This Row],[Tech Start Date]],9),IF(Main[[#This Row],[Class]]="B", WORKDAY(Main[[#This Row],[Tech Start Date]],6),IF(Main[[#This Row],[Class]]="A",WORKDAY(Main[[#This Row],[Tech Start Date]],2),""))))</f>
        <v/>
      </c>
      <c r="N436" s="104" t="str">
        <f>IF(Main[[#This Row],[Tech Start Date]]&lt;1/1/1990,"",IF(Main[[#This Row],[Class]]="C",WORKDAY(Main[[#This Row],[Tech Start Date]],19),IF(Main[[#This Row],[Class]]="B", WORKDAY(Main[[#This Row],[Tech Start Date]],12),IF(Main[[#This Row],[Class]]="A",WORKDAY(Main[[#This Row],[Tech Start Date]],4),""))))</f>
        <v/>
      </c>
      <c r="O436" s="104" t="str">
        <f>IF(Main[[#This Row],[Tech Start Date]]&lt;1/1/1990,"",IF(Main[[#This Row],[Class]]="C",WORKDAY(Main[[#This Row],[Tech Start Date]],23),IF(Main[[#This Row],[Class]]="B", WORKDAY(Main[[#This Row],[Tech Start Date]],15),IF(Main[[#This Row],[Class]]="A",WORKDAY(Main[[#This Row],[Tech Start Date]],5),""))))</f>
        <v/>
      </c>
      <c r="P436" s="104" t="str">
        <f>IF(Main[[#This Row],[Tech Start Date]]&lt;1/1/1990,"",IF(Main[[#This Row],[Class]]="C",WORKDAY(Main[[#This Row],[Tech Start Date]],28),IF(Main[[#This Row],[Class]]="B", WORKDAY(Main[[#This Row],[Tech Start Date]],19),IF(Main[[#This Row],[Class]]="A",WORKDAY(Main[[#This Row],[Tech Start Date]],9),""))))</f>
        <v/>
      </c>
      <c r="Q436" s="101"/>
      <c r="R436" s="101"/>
      <c r="S436" s="99" t="s">
        <v>6</v>
      </c>
      <c r="T436" s="107" t="s">
        <v>4</v>
      </c>
      <c r="U436" s="99" t="s">
        <v>29</v>
      </c>
      <c r="V436" s="99" t="s">
        <v>1962</v>
      </c>
      <c r="W436" s="99" t="s">
        <v>1966</v>
      </c>
    </row>
    <row r="437" spans="1:23" ht="18.600000000000001" customHeight="1">
      <c r="A437" s="123" t="str">
        <f>IF(priority(Main[[#This Row],[Comments]])&lt;&gt;0, priority(Main[[#This Row],[Comments]]),"")</f>
        <v/>
      </c>
      <c r="B437" s="127" t="s">
        <v>1309</v>
      </c>
      <c r="C437" s="99" t="s">
        <v>352</v>
      </c>
      <c r="D437" s="100" t="s">
        <v>353</v>
      </c>
      <c r="E437" s="101"/>
      <c r="F437" s="101"/>
      <c r="G437" s="102" t="str">
        <f>IF(stdProdLT(Main[[#This Row],[Comments]])=0.1,"N/A",IF(stdProdLT(Main[[#This Row],[Comments]])=0,"",stdProdLT(Main[[#This Row],[Comments]])))</f>
        <v/>
      </c>
      <c r="H437" s="103" t="str">
        <f>IF(AND(Main[[#This Row],[In Stock Date]]&lt;&gt;"",Main[[#This Row],[Revised Due Date]]&lt;&gt;""),Main[[#This Row],[In Stock Date]]-Main[[#This Row],[Revised Due Date]],"")</f>
        <v/>
      </c>
      <c r="I437" s="99" t="s">
        <v>4</v>
      </c>
      <c r="J437" s="99" t="s">
        <v>4</v>
      </c>
      <c r="K437" s="99" t="s">
        <v>4</v>
      </c>
      <c r="L437" s="101"/>
      <c r="M437" s="104" t="str">
        <f>IF(Main[[#This Row],[Tech Start Date]]&lt;1/1/1990,"",IF(Main[[#This Row],[Class]]="C",WORKDAY(Main[[#This Row],[Tech Start Date]],9),IF(Main[[#This Row],[Class]]="B", WORKDAY(Main[[#This Row],[Tech Start Date]],6),IF(Main[[#This Row],[Class]]="A",WORKDAY(Main[[#This Row],[Tech Start Date]],2),""))))</f>
        <v/>
      </c>
      <c r="N437" s="104" t="str">
        <f>IF(Main[[#This Row],[Tech Start Date]]&lt;1/1/1990,"",IF(Main[[#This Row],[Class]]="C",WORKDAY(Main[[#This Row],[Tech Start Date]],19),IF(Main[[#This Row],[Class]]="B", WORKDAY(Main[[#This Row],[Tech Start Date]],12),IF(Main[[#This Row],[Class]]="A",WORKDAY(Main[[#This Row],[Tech Start Date]],4),""))))</f>
        <v/>
      </c>
      <c r="O437" s="104" t="str">
        <f>IF(Main[[#This Row],[Tech Start Date]]&lt;1/1/1990,"",IF(Main[[#This Row],[Class]]="C",WORKDAY(Main[[#This Row],[Tech Start Date]],23),IF(Main[[#This Row],[Class]]="B", WORKDAY(Main[[#This Row],[Tech Start Date]],15),IF(Main[[#This Row],[Class]]="A",WORKDAY(Main[[#This Row],[Tech Start Date]],5),""))))</f>
        <v/>
      </c>
      <c r="P437" s="104" t="str">
        <f>IF(Main[[#This Row],[Tech Start Date]]&lt;1/1/1990,"",IF(Main[[#This Row],[Class]]="C",WORKDAY(Main[[#This Row],[Tech Start Date]],28),IF(Main[[#This Row],[Class]]="B", WORKDAY(Main[[#This Row],[Tech Start Date]],19),IF(Main[[#This Row],[Class]]="A",WORKDAY(Main[[#This Row],[Tech Start Date]],9),""))))</f>
        <v/>
      </c>
      <c r="Q437" s="101"/>
      <c r="R437" s="101"/>
      <c r="S437" s="99" t="s">
        <v>11</v>
      </c>
      <c r="T437" s="107" t="s">
        <v>4</v>
      </c>
      <c r="U437" s="99" t="s">
        <v>14</v>
      </c>
      <c r="V437" s="99" t="s">
        <v>1963</v>
      </c>
      <c r="W437" s="99" t="s">
        <v>1967</v>
      </c>
    </row>
    <row r="438" spans="1:23" ht="18.600000000000001" customHeight="1">
      <c r="A438" s="123" t="str">
        <f>IF(priority(Main[[#This Row],[Comments]])&lt;&gt;0, priority(Main[[#This Row],[Comments]]),"")</f>
        <v/>
      </c>
      <c r="B438" s="127" t="s">
        <v>1310</v>
      </c>
      <c r="C438" s="99" t="s">
        <v>93</v>
      </c>
      <c r="D438" s="100" t="s">
        <v>354</v>
      </c>
      <c r="E438" s="101"/>
      <c r="F438" s="101"/>
      <c r="G438" s="102" t="str">
        <f>IF(stdProdLT(Main[[#This Row],[Comments]])=0.1,"N/A",IF(stdProdLT(Main[[#This Row],[Comments]])=0,"",stdProdLT(Main[[#This Row],[Comments]])))</f>
        <v/>
      </c>
      <c r="H438" s="103" t="str">
        <f>IF(AND(Main[[#This Row],[In Stock Date]]&lt;&gt;"",Main[[#This Row],[Revised Due Date]]&lt;&gt;""),Main[[#This Row],[In Stock Date]]-Main[[#This Row],[Revised Due Date]],"")</f>
        <v/>
      </c>
      <c r="I438" s="99" t="s">
        <v>4</v>
      </c>
      <c r="J438" s="99" t="s">
        <v>4</v>
      </c>
      <c r="K438" s="108" t="s">
        <v>4</v>
      </c>
      <c r="L438" s="101"/>
      <c r="M438" s="104" t="str">
        <f>IF(Main[[#This Row],[Tech Start Date]]&lt;1/1/1990,"",IF(Main[[#This Row],[Class]]="C",WORKDAY(Main[[#This Row],[Tech Start Date]],9),IF(Main[[#This Row],[Class]]="B", WORKDAY(Main[[#This Row],[Tech Start Date]],6),IF(Main[[#This Row],[Class]]="A",WORKDAY(Main[[#This Row],[Tech Start Date]],2),""))))</f>
        <v/>
      </c>
      <c r="N438" s="104" t="str">
        <f>IF(Main[[#This Row],[Tech Start Date]]&lt;1/1/1990,"",IF(Main[[#This Row],[Class]]="C",WORKDAY(Main[[#This Row],[Tech Start Date]],19),IF(Main[[#This Row],[Class]]="B", WORKDAY(Main[[#This Row],[Tech Start Date]],12),IF(Main[[#This Row],[Class]]="A",WORKDAY(Main[[#This Row],[Tech Start Date]],4),""))))</f>
        <v/>
      </c>
      <c r="O438" s="104" t="str">
        <f>IF(Main[[#This Row],[Tech Start Date]]&lt;1/1/1990,"",IF(Main[[#This Row],[Class]]="C",WORKDAY(Main[[#This Row],[Tech Start Date]],23),IF(Main[[#This Row],[Class]]="B", WORKDAY(Main[[#This Row],[Tech Start Date]],15),IF(Main[[#This Row],[Class]]="A",WORKDAY(Main[[#This Row],[Tech Start Date]],5),""))))</f>
        <v/>
      </c>
      <c r="P438" s="104" t="str">
        <f>IF(Main[[#This Row],[Tech Start Date]]&lt;1/1/1990,"",IF(Main[[#This Row],[Class]]="C",WORKDAY(Main[[#This Row],[Tech Start Date]],28),IF(Main[[#This Row],[Class]]="B", WORKDAY(Main[[#This Row],[Tech Start Date]],19),IF(Main[[#This Row],[Class]]="A",WORKDAY(Main[[#This Row],[Tech Start Date]],9),""))))</f>
        <v/>
      </c>
      <c r="Q438" s="101"/>
      <c r="R438" s="101"/>
      <c r="S438" s="99" t="s">
        <v>11</v>
      </c>
      <c r="T438" s="107" t="s">
        <v>4</v>
      </c>
      <c r="U438" s="99" t="s">
        <v>14</v>
      </c>
      <c r="V438" s="99" t="s">
        <v>1965</v>
      </c>
      <c r="W438" s="99" t="s">
        <v>1968</v>
      </c>
    </row>
    <row r="439" spans="1:23" ht="18.600000000000001" customHeight="1">
      <c r="A439" s="123" t="str">
        <f>IF(priority(Main[[#This Row],[Comments]])&lt;&gt;0, priority(Main[[#This Row],[Comments]]),"")</f>
        <v/>
      </c>
      <c r="B439" s="127" t="s">
        <v>1312</v>
      </c>
      <c r="C439" s="99" t="s">
        <v>4</v>
      </c>
      <c r="D439" s="100" t="s">
        <v>355</v>
      </c>
      <c r="E439" s="101"/>
      <c r="F439" s="101"/>
      <c r="G439" s="102" t="str">
        <f>IF(stdProdLT(Main[[#This Row],[Comments]])=0.1,"N/A",IF(stdProdLT(Main[[#This Row],[Comments]])=0,"",stdProdLT(Main[[#This Row],[Comments]])))</f>
        <v/>
      </c>
      <c r="H439" s="103" t="str">
        <f>IF(AND(Main[[#This Row],[In Stock Date]]&lt;&gt;"",Main[[#This Row],[Revised Due Date]]&lt;&gt;""),Main[[#This Row],[In Stock Date]]-Main[[#This Row],[Revised Due Date]],"")</f>
        <v/>
      </c>
      <c r="I439" s="99" t="s">
        <v>4</v>
      </c>
      <c r="J439" s="99" t="s">
        <v>4</v>
      </c>
      <c r="K439" s="99" t="s">
        <v>4</v>
      </c>
      <c r="L439" s="101"/>
      <c r="M439" s="104" t="str">
        <f>IF(Main[[#This Row],[Tech Start Date]]&lt;1/1/1990,"",IF(Main[[#This Row],[Class]]="C",WORKDAY(Main[[#This Row],[Tech Start Date]],9),IF(Main[[#This Row],[Class]]="B", WORKDAY(Main[[#This Row],[Tech Start Date]],6),IF(Main[[#This Row],[Class]]="A",WORKDAY(Main[[#This Row],[Tech Start Date]],2),""))))</f>
        <v/>
      </c>
      <c r="N439" s="104" t="str">
        <f>IF(Main[[#This Row],[Tech Start Date]]&lt;1/1/1990,"",IF(Main[[#This Row],[Class]]="C",WORKDAY(Main[[#This Row],[Tech Start Date]],19),IF(Main[[#This Row],[Class]]="B", WORKDAY(Main[[#This Row],[Tech Start Date]],12),IF(Main[[#This Row],[Class]]="A",WORKDAY(Main[[#This Row],[Tech Start Date]],4),""))))</f>
        <v/>
      </c>
      <c r="O439" s="104" t="str">
        <f>IF(Main[[#This Row],[Tech Start Date]]&lt;1/1/1990,"",IF(Main[[#This Row],[Class]]="C",WORKDAY(Main[[#This Row],[Tech Start Date]],23),IF(Main[[#This Row],[Class]]="B", WORKDAY(Main[[#This Row],[Tech Start Date]],15),IF(Main[[#This Row],[Class]]="A",WORKDAY(Main[[#This Row],[Tech Start Date]],5),""))))</f>
        <v/>
      </c>
      <c r="P439" s="104" t="str">
        <f>IF(Main[[#This Row],[Tech Start Date]]&lt;1/1/1990,"",IF(Main[[#This Row],[Class]]="C",WORKDAY(Main[[#This Row],[Tech Start Date]],28),IF(Main[[#This Row],[Class]]="B", WORKDAY(Main[[#This Row],[Tech Start Date]],19),IF(Main[[#This Row],[Class]]="A",WORKDAY(Main[[#This Row],[Tech Start Date]],9),""))))</f>
        <v/>
      </c>
      <c r="Q439" s="101"/>
      <c r="R439" s="101"/>
      <c r="S439" s="99" t="s">
        <v>11</v>
      </c>
      <c r="T439" s="107" t="s">
        <v>4</v>
      </c>
      <c r="U439" s="99" t="s">
        <v>14</v>
      </c>
      <c r="V439" s="99" t="s">
        <v>1965</v>
      </c>
      <c r="W439" s="99" t="s">
        <v>1964</v>
      </c>
    </row>
    <row r="440" spans="1:23" ht="18.600000000000001" customHeight="1">
      <c r="A440" s="123" t="str">
        <f>IF(priority(Main[[#This Row],[Comments]])&lt;&gt;0, priority(Main[[#This Row],[Comments]]),"")</f>
        <v/>
      </c>
      <c r="B440" s="127" t="s">
        <v>1313</v>
      </c>
      <c r="C440" s="99" t="s">
        <v>356</v>
      </c>
      <c r="D440" s="100" t="s">
        <v>357</v>
      </c>
      <c r="E440" s="101"/>
      <c r="F440" s="101">
        <v>40452</v>
      </c>
      <c r="G440" s="102" t="str">
        <f>IF(stdProdLT(Main[[#This Row],[Comments]])=0.1,"N/A",IF(stdProdLT(Main[[#This Row],[Comments]])=0,"",stdProdLT(Main[[#This Row],[Comments]])))</f>
        <v/>
      </c>
      <c r="H440" s="103" t="str">
        <f>IF(AND(Main[[#This Row],[In Stock Date]]&lt;&gt;"",Main[[#This Row],[Revised Due Date]]&lt;&gt;""),Main[[#This Row],[In Stock Date]]-Main[[#This Row],[Revised Due Date]],"")</f>
        <v/>
      </c>
      <c r="I440" s="99" t="s">
        <v>4</v>
      </c>
      <c r="J440" s="99" t="s">
        <v>4</v>
      </c>
      <c r="K440" s="108" t="s">
        <v>4</v>
      </c>
      <c r="L440" s="101"/>
      <c r="M440" s="104" t="str">
        <f>IF(Main[[#This Row],[Tech Start Date]]&lt;1/1/1990,"",IF(Main[[#This Row],[Class]]="C",WORKDAY(Main[[#This Row],[Tech Start Date]],9),IF(Main[[#This Row],[Class]]="B", WORKDAY(Main[[#This Row],[Tech Start Date]],6),IF(Main[[#This Row],[Class]]="A",WORKDAY(Main[[#This Row],[Tech Start Date]],2),""))))</f>
        <v/>
      </c>
      <c r="N440" s="104" t="str">
        <f>IF(Main[[#This Row],[Tech Start Date]]&lt;1/1/1990,"",IF(Main[[#This Row],[Class]]="C",WORKDAY(Main[[#This Row],[Tech Start Date]],19),IF(Main[[#This Row],[Class]]="B", WORKDAY(Main[[#This Row],[Tech Start Date]],12),IF(Main[[#This Row],[Class]]="A",WORKDAY(Main[[#This Row],[Tech Start Date]],4),""))))</f>
        <v/>
      </c>
      <c r="O440" s="104" t="str">
        <f>IF(Main[[#This Row],[Tech Start Date]]&lt;1/1/1990,"",IF(Main[[#This Row],[Class]]="C",WORKDAY(Main[[#This Row],[Tech Start Date]],23),IF(Main[[#This Row],[Class]]="B", WORKDAY(Main[[#This Row],[Tech Start Date]],15),IF(Main[[#This Row],[Class]]="A",WORKDAY(Main[[#This Row],[Tech Start Date]],5),""))))</f>
        <v/>
      </c>
      <c r="P440" s="104" t="str">
        <f>IF(Main[[#This Row],[Tech Start Date]]&lt;1/1/1990,"",IF(Main[[#This Row],[Class]]="C",WORKDAY(Main[[#This Row],[Tech Start Date]],28),IF(Main[[#This Row],[Class]]="B", WORKDAY(Main[[#This Row],[Tech Start Date]],19),IF(Main[[#This Row],[Class]]="A",WORKDAY(Main[[#This Row],[Tech Start Date]],9),""))))</f>
        <v/>
      </c>
      <c r="Q440" s="101">
        <v>40344</v>
      </c>
      <c r="R440" s="101"/>
      <c r="S440" s="99" t="s">
        <v>11</v>
      </c>
      <c r="T440" s="107" t="s">
        <v>4</v>
      </c>
      <c r="U440" s="99" t="s">
        <v>14</v>
      </c>
      <c r="V440" s="99" t="s">
        <v>1965</v>
      </c>
      <c r="W440" s="99" t="s">
        <v>1968</v>
      </c>
    </row>
    <row r="441" spans="1:23" ht="18.600000000000001" customHeight="1">
      <c r="A441" s="123" t="str">
        <f>IF(priority(Main[[#This Row],[Comments]])&lt;&gt;0, priority(Main[[#This Row],[Comments]]),"")</f>
        <v/>
      </c>
      <c r="B441" s="127" t="s">
        <v>1314</v>
      </c>
      <c r="C441" s="99" t="s">
        <v>4</v>
      </c>
      <c r="D441" s="100" t="s">
        <v>358</v>
      </c>
      <c r="E441" s="101"/>
      <c r="F441" s="101"/>
      <c r="G441" s="102" t="str">
        <f>IF(stdProdLT(Main[[#This Row],[Comments]])=0.1,"N/A",IF(stdProdLT(Main[[#This Row],[Comments]])=0,"",stdProdLT(Main[[#This Row],[Comments]])))</f>
        <v/>
      </c>
      <c r="H441" s="103" t="str">
        <f>IF(AND(Main[[#This Row],[In Stock Date]]&lt;&gt;"",Main[[#This Row],[Revised Due Date]]&lt;&gt;""),Main[[#This Row],[In Stock Date]]-Main[[#This Row],[Revised Due Date]],"")</f>
        <v/>
      </c>
      <c r="I441" s="99" t="s">
        <v>4</v>
      </c>
      <c r="J441" s="99" t="s">
        <v>4</v>
      </c>
      <c r="K441" s="99" t="s">
        <v>4</v>
      </c>
      <c r="L441" s="101"/>
      <c r="M441" s="104" t="str">
        <f>IF(Main[[#This Row],[Tech Start Date]]&lt;1/1/1990,"",IF(Main[[#This Row],[Class]]="C",WORKDAY(Main[[#This Row],[Tech Start Date]],9),IF(Main[[#This Row],[Class]]="B", WORKDAY(Main[[#This Row],[Tech Start Date]],6),IF(Main[[#This Row],[Class]]="A",WORKDAY(Main[[#This Row],[Tech Start Date]],2),""))))</f>
        <v/>
      </c>
      <c r="N441" s="104" t="str">
        <f>IF(Main[[#This Row],[Tech Start Date]]&lt;1/1/1990,"",IF(Main[[#This Row],[Class]]="C",WORKDAY(Main[[#This Row],[Tech Start Date]],19),IF(Main[[#This Row],[Class]]="B", WORKDAY(Main[[#This Row],[Tech Start Date]],12),IF(Main[[#This Row],[Class]]="A",WORKDAY(Main[[#This Row],[Tech Start Date]],4),""))))</f>
        <v/>
      </c>
      <c r="O441" s="104" t="str">
        <f>IF(Main[[#This Row],[Tech Start Date]]&lt;1/1/1990,"",IF(Main[[#This Row],[Class]]="C",WORKDAY(Main[[#This Row],[Tech Start Date]],23),IF(Main[[#This Row],[Class]]="B", WORKDAY(Main[[#This Row],[Tech Start Date]],15),IF(Main[[#This Row],[Class]]="A",WORKDAY(Main[[#This Row],[Tech Start Date]],5),""))))</f>
        <v/>
      </c>
      <c r="P441" s="104" t="str">
        <f>IF(Main[[#This Row],[Tech Start Date]]&lt;1/1/1990,"",IF(Main[[#This Row],[Class]]="C",WORKDAY(Main[[#This Row],[Tech Start Date]],28),IF(Main[[#This Row],[Class]]="B", WORKDAY(Main[[#This Row],[Tech Start Date]],19),IF(Main[[#This Row],[Class]]="A",WORKDAY(Main[[#This Row],[Tech Start Date]],9),""))))</f>
        <v/>
      </c>
      <c r="Q441" s="101"/>
      <c r="R441" s="101"/>
      <c r="S441" s="99" t="s">
        <v>4</v>
      </c>
      <c r="T441" s="107" t="s">
        <v>4</v>
      </c>
      <c r="U441" s="99" t="s">
        <v>14</v>
      </c>
      <c r="V441" s="99" t="s">
        <v>1962</v>
      </c>
      <c r="W441" s="99" t="s">
        <v>4</v>
      </c>
    </row>
    <row r="442" spans="1:23" ht="18.600000000000001" customHeight="1">
      <c r="A442" s="123" t="str">
        <f>IF(priority(Main[[#This Row],[Comments]])&lt;&gt;0, priority(Main[[#This Row],[Comments]]),"")</f>
        <v/>
      </c>
      <c r="B442" s="127" t="s">
        <v>1315</v>
      </c>
      <c r="C442" s="99" t="s">
        <v>33</v>
      </c>
      <c r="D442" s="100" t="s">
        <v>359</v>
      </c>
      <c r="E442" s="101"/>
      <c r="F442" s="101"/>
      <c r="G442" s="102" t="str">
        <f>IF(stdProdLT(Main[[#This Row],[Comments]])=0.1,"N/A",IF(stdProdLT(Main[[#This Row],[Comments]])=0,"",stdProdLT(Main[[#This Row],[Comments]])))</f>
        <v/>
      </c>
      <c r="H442" s="103" t="str">
        <f>IF(AND(Main[[#This Row],[In Stock Date]]&lt;&gt;"",Main[[#This Row],[Revised Due Date]]&lt;&gt;""),Main[[#This Row],[In Stock Date]]-Main[[#This Row],[Revised Due Date]],"")</f>
        <v/>
      </c>
      <c r="I442" s="99" t="s">
        <v>4</v>
      </c>
      <c r="J442" s="99" t="s">
        <v>4</v>
      </c>
      <c r="K442" s="99" t="s">
        <v>4</v>
      </c>
      <c r="L442" s="101"/>
      <c r="M442" s="104" t="str">
        <f>IF(Main[[#This Row],[Tech Start Date]]&lt;1/1/1990,"",IF(Main[[#This Row],[Class]]="C",WORKDAY(Main[[#This Row],[Tech Start Date]],9),IF(Main[[#This Row],[Class]]="B", WORKDAY(Main[[#This Row],[Tech Start Date]],6),IF(Main[[#This Row],[Class]]="A",WORKDAY(Main[[#This Row],[Tech Start Date]],2),""))))</f>
        <v/>
      </c>
      <c r="N442" s="104" t="str">
        <f>IF(Main[[#This Row],[Tech Start Date]]&lt;1/1/1990,"",IF(Main[[#This Row],[Class]]="C",WORKDAY(Main[[#This Row],[Tech Start Date]],19),IF(Main[[#This Row],[Class]]="B", WORKDAY(Main[[#This Row],[Tech Start Date]],12),IF(Main[[#This Row],[Class]]="A",WORKDAY(Main[[#This Row],[Tech Start Date]],4),""))))</f>
        <v/>
      </c>
      <c r="O442" s="104" t="str">
        <f>IF(Main[[#This Row],[Tech Start Date]]&lt;1/1/1990,"",IF(Main[[#This Row],[Class]]="C",WORKDAY(Main[[#This Row],[Tech Start Date]],23),IF(Main[[#This Row],[Class]]="B", WORKDAY(Main[[#This Row],[Tech Start Date]],15),IF(Main[[#This Row],[Class]]="A",WORKDAY(Main[[#This Row],[Tech Start Date]],5),""))))</f>
        <v/>
      </c>
      <c r="P442" s="104" t="str">
        <f>IF(Main[[#This Row],[Tech Start Date]]&lt;1/1/1990,"",IF(Main[[#This Row],[Class]]="C",WORKDAY(Main[[#This Row],[Tech Start Date]],28),IF(Main[[#This Row],[Class]]="B", WORKDAY(Main[[#This Row],[Tech Start Date]],19),IF(Main[[#This Row],[Class]]="A",WORKDAY(Main[[#This Row],[Tech Start Date]],9),""))))</f>
        <v/>
      </c>
      <c r="Q442" s="101"/>
      <c r="R442" s="101"/>
      <c r="S442" s="99" t="s">
        <v>11</v>
      </c>
      <c r="T442" s="107" t="s">
        <v>4</v>
      </c>
      <c r="U442" s="99" t="s">
        <v>14</v>
      </c>
      <c r="V442" s="99" t="s">
        <v>1963</v>
      </c>
      <c r="W442" s="99" t="s">
        <v>1970</v>
      </c>
    </row>
    <row r="443" spans="1:23" ht="18.600000000000001" customHeight="1">
      <c r="A443" s="123" t="str">
        <f>IF(priority(Main[[#This Row],[Comments]])&lt;&gt;0, priority(Main[[#This Row],[Comments]]),"")</f>
        <v/>
      </c>
      <c r="B443" s="127" t="s">
        <v>1317</v>
      </c>
      <c r="C443" s="99" t="s">
        <v>214</v>
      </c>
      <c r="D443" s="100" t="s">
        <v>361</v>
      </c>
      <c r="E443" s="101"/>
      <c r="F443" s="101">
        <v>40087</v>
      </c>
      <c r="G443" s="102" t="str">
        <f>IF(stdProdLT(Main[[#This Row],[Comments]])=0.1,"N/A",IF(stdProdLT(Main[[#This Row],[Comments]])=0,"",stdProdLT(Main[[#This Row],[Comments]])))</f>
        <v/>
      </c>
      <c r="H443" s="103" t="str">
        <f>IF(AND(Main[[#This Row],[In Stock Date]]&lt;&gt;"",Main[[#This Row],[Revised Due Date]]&lt;&gt;""),Main[[#This Row],[In Stock Date]]-Main[[#This Row],[Revised Due Date]],"")</f>
        <v/>
      </c>
      <c r="I443" s="99" t="s">
        <v>4</v>
      </c>
      <c r="J443" s="99" t="s">
        <v>4</v>
      </c>
      <c r="K443" s="99" t="s">
        <v>4</v>
      </c>
      <c r="L443" s="101"/>
      <c r="M443" s="104" t="str">
        <f>IF(Main[[#This Row],[Tech Start Date]]&lt;1/1/1990,"",IF(Main[[#This Row],[Class]]="C",WORKDAY(Main[[#This Row],[Tech Start Date]],9),IF(Main[[#This Row],[Class]]="B", WORKDAY(Main[[#This Row],[Tech Start Date]],6),IF(Main[[#This Row],[Class]]="A",WORKDAY(Main[[#This Row],[Tech Start Date]],2),""))))</f>
        <v/>
      </c>
      <c r="N443" s="104" t="str">
        <f>IF(Main[[#This Row],[Tech Start Date]]&lt;1/1/1990,"",IF(Main[[#This Row],[Class]]="C",WORKDAY(Main[[#This Row],[Tech Start Date]],19),IF(Main[[#This Row],[Class]]="B", WORKDAY(Main[[#This Row],[Tech Start Date]],12),IF(Main[[#This Row],[Class]]="A",WORKDAY(Main[[#This Row],[Tech Start Date]],4),""))))</f>
        <v/>
      </c>
      <c r="O443" s="104" t="str">
        <f>IF(Main[[#This Row],[Tech Start Date]]&lt;1/1/1990,"",IF(Main[[#This Row],[Class]]="C",WORKDAY(Main[[#This Row],[Tech Start Date]],23),IF(Main[[#This Row],[Class]]="B", WORKDAY(Main[[#This Row],[Tech Start Date]],15),IF(Main[[#This Row],[Class]]="A",WORKDAY(Main[[#This Row],[Tech Start Date]],5),""))))</f>
        <v/>
      </c>
      <c r="P443" s="104" t="str">
        <f>IF(Main[[#This Row],[Tech Start Date]]&lt;1/1/1990,"",IF(Main[[#This Row],[Class]]="C",WORKDAY(Main[[#This Row],[Tech Start Date]],28),IF(Main[[#This Row],[Class]]="B", WORKDAY(Main[[#This Row],[Tech Start Date]],19),IF(Main[[#This Row],[Class]]="A",WORKDAY(Main[[#This Row],[Tech Start Date]],9),""))))</f>
        <v/>
      </c>
      <c r="Q443" s="101">
        <v>39891</v>
      </c>
      <c r="R443" s="101"/>
      <c r="S443" s="99" t="s">
        <v>11</v>
      </c>
      <c r="T443" s="107" t="s">
        <v>4</v>
      </c>
      <c r="U443" s="99" t="s">
        <v>12</v>
      </c>
      <c r="V443" s="99" t="s">
        <v>1962</v>
      </c>
      <c r="W443" s="99" t="s">
        <v>1967</v>
      </c>
    </row>
    <row r="444" spans="1:23" ht="18.600000000000001" customHeight="1">
      <c r="A444" s="123" t="str">
        <f>IF(priority(Main[[#This Row],[Comments]])&lt;&gt;0, priority(Main[[#This Row],[Comments]]),"")</f>
        <v/>
      </c>
      <c r="B444" s="127" t="s">
        <v>1319</v>
      </c>
      <c r="C444" s="99" t="s">
        <v>214</v>
      </c>
      <c r="D444" s="100" t="s">
        <v>362</v>
      </c>
      <c r="E444" s="101"/>
      <c r="F444" s="101">
        <v>40087</v>
      </c>
      <c r="G444" s="102" t="str">
        <f>IF(stdProdLT(Main[[#This Row],[Comments]])=0.1,"N/A",IF(stdProdLT(Main[[#This Row],[Comments]])=0,"",stdProdLT(Main[[#This Row],[Comments]])))</f>
        <v/>
      </c>
      <c r="H444" s="103" t="str">
        <f>IF(AND(Main[[#This Row],[In Stock Date]]&lt;&gt;"",Main[[#This Row],[Revised Due Date]]&lt;&gt;""),Main[[#This Row],[In Stock Date]]-Main[[#This Row],[Revised Due Date]],"")</f>
        <v/>
      </c>
      <c r="I444" s="99" t="s">
        <v>4</v>
      </c>
      <c r="J444" s="99" t="s">
        <v>4</v>
      </c>
      <c r="K444" s="99" t="s">
        <v>4</v>
      </c>
      <c r="L444" s="101"/>
      <c r="M444" s="104" t="str">
        <f>IF(Main[[#This Row],[Tech Start Date]]&lt;1/1/1990,"",IF(Main[[#This Row],[Class]]="C",WORKDAY(Main[[#This Row],[Tech Start Date]],9),IF(Main[[#This Row],[Class]]="B", WORKDAY(Main[[#This Row],[Tech Start Date]],6),IF(Main[[#This Row],[Class]]="A",WORKDAY(Main[[#This Row],[Tech Start Date]],2),""))))</f>
        <v/>
      </c>
      <c r="N444" s="104" t="str">
        <f>IF(Main[[#This Row],[Tech Start Date]]&lt;1/1/1990,"",IF(Main[[#This Row],[Class]]="C",WORKDAY(Main[[#This Row],[Tech Start Date]],19),IF(Main[[#This Row],[Class]]="B", WORKDAY(Main[[#This Row],[Tech Start Date]],12),IF(Main[[#This Row],[Class]]="A",WORKDAY(Main[[#This Row],[Tech Start Date]],4),""))))</f>
        <v/>
      </c>
      <c r="O444" s="104" t="str">
        <f>IF(Main[[#This Row],[Tech Start Date]]&lt;1/1/1990,"",IF(Main[[#This Row],[Class]]="C",WORKDAY(Main[[#This Row],[Tech Start Date]],23),IF(Main[[#This Row],[Class]]="B", WORKDAY(Main[[#This Row],[Tech Start Date]],15),IF(Main[[#This Row],[Class]]="A",WORKDAY(Main[[#This Row],[Tech Start Date]],5),""))))</f>
        <v/>
      </c>
      <c r="P444" s="104" t="str">
        <f>IF(Main[[#This Row],[Tech Start Date]]&lt;1/1/1990,"",IF(Main[[#This Row],[Class]]="C",WORKDAY(Main[[#This Row],[Tech Start Date]],28),IF(Main[[#This Row],[Class]]="B", WORKDAY(Main[[#This Row],[Tech Start Date]],19),IF(Main[[#This Row],[Class]]="A",WORKDAY(Main[[#This Row],[Tech Start Date]],9),""))))</f>
        <v/>
      </c>
      <c r="Q444" s="101">
        <v>39891</v>
      </c>
      <c r="R444" s="101"/>
      <c r="S444" s="99" t="s">
        <v>11</v>
      </c>
      <c r="T444" s="107" t="s">
        <v>4</v>
      </c>
      <c r="U444" s="99" t="s">
        <v>12</v>
      </c>
      <c r="V444" s="99" t="s">
        <v>1962</v>
      </c>
      <c r="W444" s="99" t="s">
        <v>1967</v>
      </c>
    </row>
    <row r="445" spans="1:23" ht="18.600000000000001" customHeight="1">
      <c r="A445" s="123" t="str">
        <f>IF(priority(Main[[#This Row],[Comments]])&lt;&gt;0, priority(Main[[#This Row],[Comments]]),"")</f>
        <v/>
      </c>
      <c r="B445" s="127" t="s">
        <v>1320</v>
      </c>
      <c r="C445" s="99" t="s">
        <v>33</v>
      </c>
      <c r="D445" s="100" t="s">
        <v>364</v>
      </c>
      <c r="E445" s="101"/>
      <c r="F445" s="101"/>
      <c r="G445" s="102" t="str">
        <f>IF(stdProdLT(Main[[#This Row],[Comments]])=0.1,"N/A",IF(stdProdLT(Main[[#This Row],[Comments]])=0,"",stdProdLT(Main[[#This Row],[Comments]])))</f>
        <v/>
      </c>
      <c r="H445" s="103" t="str">
        <f>IF(AND(Main[[#This Row],[In Stock Date]]&lt;&gt;"",Main[[#This Row],[Revised Due Date]]&lt;&gt;""),Main[[#This Row],[In Stock Date]]-Main[[#This Row],[Revised Due Date]],"")</f>
        <v/>
      </c>
      <c r="I445" s="99" t="s">
        <v>4</v>
      </c>
      <c r="J445" s="99" t="s">
        <v>4</v>
      </c>
      <c r="K445" s="99" t="s">
        <v>4</v>
      </c>
      <c r="L445" s="101"/>
      <c r="M445" s="104" t="str">
        <f>IF(Main[[#This Row],[Tech Start Date]]&lt;1/1/1990,"",IF(Main[[#This Row],[Class]]="C",WORKDAY(Main[[#This Row],[Tech Start Date]],9),IF(Main[[#This Row],[Class]]="B", WORKDAY(Main[[#This Row],[Tech Start Date]],6),IF(Main[[#This Row],[Class]]="A",WORKDAY(Main[[#This Row],[Tech Start Date]],2),""))))</f>
        <v/>
      </c>
      <c r="N445" s="104" t="str">
        <f>IF(Main[[#This Row],[Tech Start Date]]&lt;1/1/1990,"",IF(Main[[#This Row],[Class]]="C",WORKDAY(Main[[#This Row],[Tech Start Date]],19),IF(Main[[#This Row],[Class]]="B", WORKDAY(Main[[#This Row],[Tech Start Date]],12),IF(Main[[#This Row],[Class]]="A",WORKDAY(Main[[#This Row],[Tech Start Date]],4),""))))</f>
        <v/>
      </c>
      <c r="O445" s="104" t="str">
        <f>IF(Main[[#This Row],[Tech Start Date]]&lt;1/1/1990,"",IF(Main[[#This Row],[Class]]="C",WORKDAY(Main[[#This Row],[Tech Start Date]],23),IF(Main[[#This Row],[Class]]="B", WORKDAY(Main[[#This Row],[Tech Start Date]],15),IF(Main[[#This Row],[Class]]="A",WORKDAY(Main[[#This Row],[Tech Start Date]],5),""))))</f>
        <v/>
      </c>
      <c r="P445" s="104" t="str">
        <f>IF(Main[[#This Row],[Tech Start Date]]&lt;1/1/1990,"",IF(Main[[#This Row],[Class]]="C",WORKDAY(Main[[#This Row],[Tech Start Date]],28),IF(Main[[#This Row],[Class]]="B", WORKDAY(Main[[#This Row],[Tech Start Date]],19),IF(Main[[#This Row],[Class]]="A",WORKDAY(Main[[#This Row],[Tech Start Date]],9),""))))</f>
        <v/>
      </c>
      <c r="Q445" s="101"/>
      <c r="R445" s="101"/>
      <c r="S445" s="99" t="s">
        <v>11</v>
      </c>
      <c r="T445" s="107" t="s">
        <v>4</v>
      </c>
      <c r="U445" s="99" t="s">
        <v>14</v>
      </c>
      <c r="V445" s="99" t="s">
        <v>1963</v>
      </c>
      <c r="W445" s="99" t="s">
        <v>1970</v>
      </c>
    </row>
    <row r="446" spans="1:23" ht="18.600000000000001" customHeight="1">
      <c r="A446" s="123" t="str">
        <f>IF(priority(Main[[#This Row],[Comments]])&lt;&gt;0, priority(Main[[#This Row],[Comments]]),"")</f>
        <v/>
      </c>
      <c r="B446" s="127" t="s">
        <v>1321</v>
      </c>
      <c r="C446" s="99" t="s">
        <v>33</v>
      </c>
      <c r="D446" s="100" t="s">
        <v>365</v>
      </c>
      <c r="E446" s="101"/>
      <c r="F446" s="101"/>
      <c r="G446" s="102" t="str">
        <f>IF(stdProdLT(Main[[#This Row],[Comments]])=0.1,"N/A",IF(stdProdLT(Main[[#This Row],[Comments]])=0,"",stdProdLT(Main[[#This Row],[Comments]])))</f>
        <v/>
      </c>
      <c r="H446" s="103" t="str">
        <f>IF(AND(Main[[#This Row],[In Stock Date]]&lt;&gt;"",Main[[#This Row],[Revised Due Date]]&lt;&gt;""),Main[[#This Row],[In Stock Date]]-Main[[#This Row],[Revised Due Date]],"")</f>
        <v/>
      </c>
      <c r="I446" s="99" t="s">
        <v>4</v>
      </c>
      <c r="J446" s="99" t="s">
        <v>4</v>
      </c>
      <c r="K446" s="99" t="s">
        <v>4</v>
      </c>
      <c r="L446" s="101"/>
      <c r="M446" s="104" t="str">
        <f>IF(Main[[#This Row],[Tech Start Date]]&lt;1/1/1990,"",IF(Main[[#This Row],[Class]]="C",WORKDAY(Main[[#This Row],[Tech Start Date]],9),IF(Main[[#This Row],[Class]]="B", WORKDAY(Main[[#This Row],[Tech Start Date]],6),IF(Main[[#This Row],[Class]]="A",WORKDAY(Main[[#This Row],[Tech Start Date]],2),""))))</f>
        <v/>
      </c>
      <c r="N446" s="104" t="str">
        <f>IF(Main[[#This Row],[Tech Start Date]]&lt;1/1/1990,"",IF(Main[[#This Row],[Class]]="C",WORKDAY(Main[[#This Row],[Tech Start Date]],19),IF(Main[[#This Row],[Class]]="B", WORKDAY(Main[[#This Row],[Tech Start Date]],12),IF(Main[[#This Row],[Class]]="A",WORKDAY(Main[[#This Row],[Tech Start Date]],4),""))))</f>
        <v/>
      </c>
      <c r="O446" s="104" t="str">
        <f>IF(Main[[#This Row],[Tech Start Date]]&lt;1/1/1990,"",IF(Main[[#This Row],[Class]]="C",WORKDAY(Main[[#This Row],[Tech Start Date]],23),IF(Main[[#This Row],[Class]]="B", WORKDAY(Main[[#This Row],[Tech Start Date]],15),IF(Main[[#This Row],[Class]]="A",WORKDAY(Main[[#This Row],[Tech Start Date]],5),""))))</f>
        <v/>
      </c>
      <c r="P446" s="104" t="str">
        <f>IF(Main[[#This Row],[Tech Start Date]]&lt;1/1/1990,"",IF(Main[[#This Row],[Class]]="C",WORKDAY(Main[[#This Row],[Tech Start Date]],28),IF(Main[[#This Row],[Class]]="B", WORKDAY(Main[[#This Row],[Tech Start Date]],19),IF(Main[[#This Row],[Class]]="A",WORKDAY(Main[[#This Row],[Tech Start Date]],9),""))))</f>
        <v/>
      </c>
      <c r="Q446" s="101"/>
      <c r="R446" s="101"/>
      <c r="S446" s="99" t="s">
        <v>11</v>
      </c>
      <c r="T446" s="107" t="s">
        <v>4</v>
      </c>
      <c r="U446" s="99" t="s">
        <v>14</v>
      </c>
      <c r="V446" s="99" t="s">
        <v>1963</v>
      </c>
      <c r="W446" s="99" t="s">
        <v>1970</v>
      </c>
    </row>
    <row r="447" spans="1:23" ht="18.600000000000001" customHeight="1">
      <c r="A447" s="123" t="str">
        <f>IF(priority(Main[[#This Row],[Comments]])&lt;&gt;0, priority(Main[[#This Row],[Comments]]),"")</f>
        <v/>
      </c>
      <c r="B447" s="127" t="s">
        <v>1322</v>
      </c>
      <c r="C447" s="99" t="s">
        <v>366</v>
      </c>
      <c r="D447" s="100" t="s">
        <v>367</v>
      </c>
      <c r="E447" s="101"/>
      <c r="F447" s="101"/>
      <c r="G447" s="102" t="str">
        <f>IF(stdProdLT(Main[[#This Row],[Comments]])=0.1,"N/A",IF(stdProdLT(Main[[#This Row],[Comments]])=0,"",stdProdLT(Main[[#This Row],[Comments]])))</f>
        <v/>
      </c>
      <c r="H447" s="103" t="str">
        <f>IF(AND(Main[[#This Row],[In Stock Date]]&lt;&gt;"",Main[[#This Row],[Revised Due Date]]&lt;&gt;""),Main[[#This Row],[In Stock Date]]-Main[[#This Row],[Revised Due Date]],"")</f>
        <v/>
      </c>
      <c r="I447" s="99" t="s">
        <v>4</v>
      </c>
      <c r="J447" s="99" t="s">
        <v>4</v>
      </c>
      <c r="K447" s="99" t="s">
        <v>4</v>
      </c>
      <c r="L447" s="101"/>
      <c r="M447" s="104" t="str">
        <f>IF(Main[[#This Row],[Tech Start Date]]&lt;1/1/1990,"",IF(Main[[#This Row],[Class]]="C",WORKDAY(Main[[#This Row],[Tech Start Date]],9),IF(Main[[#This Row],[Class]]="B", WORKDAY(Main[[#This Row],[Tech Start Date]],6),IF(Main[[#This Row],[Class]]="A",WORKDAY(Main[[#This Row],[Tech Start Date]],2),""))))</f>
        <v/>
      </c>
      <c r="N447" s="104" t="str">
        <f>IF(Main[[#This Row],[Tech Start Date]]&lt;1/1/1990,"",IF(Main[[#This Row],[Class]]="C",WORKDAY(Main[[#This Row],[Tech Start Date]],19),IF(Main[[#This Row],[Class]]="B", WORKDAY(Main[[#This Row],[Tech Start Date]],12),IF(Main[[#This Row],[Class]]="A",WORKDAY(Main[[#This Row],[Tech Start Date]],4),""))))</f>
        <v/>
      </c>
      <c r="O447" s="104" t="str">
        <f>IF(Main[[#This Row],[Tech Start Date]]&lt;1/1/1990,"",IF(Main[[#This Row],[Class]]="C",WORKDAY(Main[[#This Row],[Tech Start Date]],23),IF(Main[[#This Row],[Class]]="B", WORKDAY(Main[[#This Row],[Tech Start Date]],15),IF(Main[[#This Row],[Class]]="A",WORKDAY(Main[[#This Row],[Tech Start Date]],5),""))))</f>
        <v/>
      </c>
      <c r="P447" s="104" t="str">
        <f>IF(Main[[#This Row],[Tech Start Date]]&lt;1/1/1990,"",IF(Main[[#This Row],[Class]]="C",WORKDAY(Main[[#This Row],[Tech Start Date]],28),IF(Main[[#This Row],[Class]]="B", WORKDAY(Main[[#This Row],[Tech Start Date]],19),IF(Main[[#This Row],[Class]]="A",WORKDAY(Main[[#This Row],[Tech Start Date]],9),""))))</f>
        <v/>
      </c>
      <c r="Q447" s="101"/>
      <c r="R447" s="101"/>
      <c r="S447" s="99" t="s">
        <v>11</v>
      </c>
      <c r="T447" s="107" t="s">
        <v>4</v>
      </c>
      <c r="U447" s="99" t="s">
        <v>14</v>
      </c>
      <c r="V447" s="99" t="s">
        <v>1963</v>
      </c>
      <c r="W447" s="99" t="s">
        <v>1970</v>
      </c>
    </row>
    <row r="448" spans="1:23" ht="18.600000000000001" customHeight="1">
      <c r="A448" s="123" t="str">
        <f>IF(priority(Main[[#This Row],[Comments]])&lt;&gt;0, priority(Main[[#This Row],[Comments]]),"")</f>
        <v/>
      </c>
      <c r="B448" s="127" t="s">
        <v>1323</v>
      </c>
      <c r="C448" s="99" t="s">
        <v>368</v>
      </c>
      <c r="D448" s="100" t="s">
        <v>369</v>
      </c>
      <c r="E448" s="101"/>
      <c r="F448" s="101"/>
      <c r="G448" s="102" t="str">
        <f>IF(stdProdLT(Main[[#This Row],[Comments]])=0.1,"N/A",IF(stdProdLT(Main[[#This Row],[Comments]])=0,"",stdProdLT(Main[[#This Row],[Comments]])))</f>
        <v/>
      </c>
      <c r="H448" s="103" t="str">
        <f>IF(AND(Main[[#This Row],[In Stock Date]]&lt;&gt;"",Main[[#This Row],[Revised Due Date]]&lt;&gt;""),Main[[#This Row],[In Stock Date]]-Main[[#This Row],[Revised Due Date]],"")</f>
        <v/>
      </c>
      <c r="I448" s="99" t="s">
        <v>4</v>
      </c>
      <c r="J448" s="99" t="s">
        <v>4</v>
      </c>
      <c r="K448" s="99" t="s">
        <v>4</v>
      </c>
      <c r="L448" s="101"/>
      <c r="M448" s="104" t="str">
        <f>IF(Main[[#This Row],[Tech Start Date]]&lt;1/1/1990,"",IF(Main[[#This Row],[Class]]="C",WORKDAY(Main[[#This Row],[Tech Start Date]],9),IF(Main[[#This Row],[Class]]="B", WORKDAY(Main[[#This Row],[Tech Start Date]],6),IF(Main[[#This Row],[Class]]="A",WORKDAY(Main[[#This Row],[Tech Start Date]],2),""))))</f>
        <v/>
      </c>
      <c r="N448" s="104" t="str">
        <f>IF(Main[[#This Row],[Tech Start Date]]&lt;1/1/1990,"",IF(Main[[#This Row],[Class]]="C",WORKDAY(Main[[#This Row],[Tech Start Date]],19),IF(Main[[#This Row],[Class]]="B", WORKDAY(Main[[#This Row],[Tech Start Date]],12),IF(Main[[#This Row],[Class]]="A",WORKDAY(Main[[#This Row],[Tech Start Date]],4),""))))</f>
        <v/>
      </c>
      <c r="O448" s="104" t="str">
        <f>IF(Main[[#This Row],[Tech Start Date]]&lt;1/1/1990,"",IF(Main[[#This Row],[Class]]="C",WORKDAY(Main[[#This Row],[Tech Start Date]],23),IF(Main[[#This Row],[Class]]="B", WORKDAY(Main[[#This Row],[Tech Start Date]],15),IF(Main[[#This Row],[Class]]="A",WORKDAY(Main[[#This Row],[Tech Start Date]],5),""))))</f>
        <v/>
      </c>
      <c r="P448" s="104" t="str">
        <f>IF(Main[[#This Row],[Tech Start Date]]&lt;1/1/1990,"",IF(Main[[#This Row],[Class]]="C",WORKDAY(Main[[#This Row],[Tech Start Date]],28),IF(Main[[#This Row],[Class]]="B", WORKDAY(Main[[#This Row],[Tech Start Date]],19),IF(Main[[#This Row],[Class]]="A",WORKDAY(Main[[#This Row],[Tech Start Date]],9),""))))</f>
        <v/>
      </c>
      <c r="Q448" s="101"/>
      <c r="R448" s="101"/>
      <c r="S448" s="99" t="s">
        <v>11</v>
      </c>
      <c r="T448" s="107" t="s">
        <v>4</v>
      </c>
      <c r="U448" s="99" t="s">
        <v>14</v>
      </c>
      <c r="V448" s="99" t="s">
        <v>1963</v>
      </c>
      <c r="W448" s="99" t="s">
        <v>1970</v>
      </c>
    </row>
    <row r="449" spans="1:23" ht="18.600000000000001" customHeight="1">
      <c r="A449" s="123" t="str">
        <f>IF(priority(Main[[#This Row],[Comments]])&lt;&gt;0, priority(Main[[#This Row],[Comments]]),"")</f>
        <v/>
      </c>
      <c r="B449" s="127" t="s">
        <v>1324</v>
      </c>
      <c r="C449" s="99" t="s">
        <v>370</v>
      </c>
      <c r="D449" s="100" t="s">
        <v>371</v>
      </c>
      <c r="E449" s="101"/>
      <c r="F449" s="101"/>
      <c r="G449" s="102" t="str">
        <f>IF(stdProdLT(Main[[#This Row],[Comments]])=0.1,"N/A",IF(stdProdLT(Main[[#This Row],[Comments]])=0,"",stdProdLT(Main[[#This Row],[Comments]])))</f>
        <v/>
      </c>
      <c r="H449" s="103" t="str">
        <f>IF(AND(Main[[#This Row],[In Stock Date]]&lt;&gt;"",Main[[#This Row],[Revised Due Date]]&lt;&gt;""),Main[[#This Row],[In Stock Date]]-Main[[#This Row],[Revised Due Date]],"")</f>
        <v/>
      </c>
      <c r="I449" s="99" t="s">
        <v>4</v>
      </c>
      <c r="J449" s="99" t="s">
        <v>4</v>
      </c>
      <c r="K449" s="99" t="s">
        <v>4</v>
      </c>
      <c r="L449" s="101"/>
      <c r="M449" s="104" t="str">
        <f>IF(Main[[#This Row],[Tech Start Date]]&lt;1/1/1990,"",IF(Main[[#This Row],[Class]]="C",WORKDAY(Main[[#This Row],[Tech Start Date]],9),IF(Main[[#This Row],[Class]]="B", WORKDAY(Main[[#This Row],[Tech Start Date]],6),IF(Main[[#This Row],[Class]]="A",WORKDAY(Main[[#This Row],[Tech Start Date]],2),""))))</f>
        <v/>
      </c>
      <c r="N449" s="104" t="str">
        <f>IF(Main[[#This Row],[Tech Start Date]]&lt;1/1/1990,"",IF(Main[[#This Row],[Class]]="C",WORKDAY(Main[[#This Row],[Tech Start Date]],19),IF(Main[[#This Row],[Class]]="B", WORKDAY(Main[[#This Row],[Tech Start Date]],12),IF(Main[[#This Row],[Class]]="A",WORKDAY(Main[[#This Row],[Tech Start Date]],4),""))))</f>
        <v/>
      </c>
      <c r="O449" s="104" t="str">
        <f>IF(Main[[#This Row],[Tech Start Date]]&lt;1/1/1990,"",IF(Main[[#This Row],[Class]]="C",WORKDAY(Main[[#This Row],[Tech Start Date]],23),IF(Main[[#This Row],[Class]]="B", WORKDAY(Main[[#This Row],[Tech Start Date]],15),IF(Main[[#This Row],[Class]]="A",WORKDAY(Main[[#This Row],[Tech Start Date]],5),""))))</f>
        <v/>
      </c>
      <c r="P449" s="104" t="str">
        <f>IF(Main[[#This Row],[Tech Start Date]]&lt;1/1/1990,"",IF(Main[[#This Row],[Class]]="C",WORKDAY(Main[[#This Row],[Tech Start Date]],28),IF(Main[[#This Row],[Class]]="B", WORKDAY(Main[[#This Row],[Tech Start Date]],19),IF(Main[[#This Row],[Class]]="A",WORKDAY(Main[[#This Row],[Tech Start Date]],9),""))))</f>
        <v/>
      </c>
      <c r="Q449" s="101"/>
      <c r="R449" s="101"/>
      <c r="S449" s="99" t="s">
        <v>11</v>
      </c>
      <c r="T449" s="107" t="s">
        <v>4</v>
      </c>
      <c r="U449" s="99" t="s">
        <v>14</v>
      </c>
      <c r="V449" s="99" t="s">
        <v>1963</v>
      </c>
      <c r="W449" s="99" t="s">
        <v>1970</v>
      </c>
    </row>
    <row r="450" spans="1:23" ht="18.600000000000001" customHeight="1">
      <c r="A450" s="123" t="str">
        <f>IF(priority(Main[[#This Row],[Comments]])&lt;&gt;0, priority(Main[[#This Row],[Comments]]),"")</f>
        <v/>
      </c>
      <c r="B450" s="127" t="s">
        <v>1325</v>
      </c>
      <c r="C450" s="99" t="s">
        <v>372</v>
      </c>
      <c r="D450" s="100" t="s">
        <v>373</v>
      </c>
      <c r="E450" s="101">
        <v>40210.419814814813</v>
      </c>
      <c r="F450" s="101">
        <v>40405</v>
      </c>
      <c r="G450" s="102" t="str">
        <f>IF(stdProdLT(Main[[#This Row],[Comments]])=0.1,"N/A",IF(stdProdLT(Main[[#This Row],[Comments]])=0,"",stdProdLT(Main[[#This Row],[Comments]])))</f>
        <v/>
      </c>
      <c r="H450" s="103" t="str">
        <f>IF(AND(Main[[#This Row],[In Stock Date]]&lt;&gt;"",Main[[#This Row],[Revised Due Date]]&lt;&gt;""),Main[[#This Row],[In Stock Date]]-Main[[#This Row],[Revised Due Date]],"")</f>
        <v/>
      </c>
      <c r="I450" s="99" t="s">
        <v>165</v>
      </c>
      <c r="J450" s="99" t="s">
        <v>4</v>
      </c>
      <c r="K450" s="99" t="s">
        <v>1974</v>
      </c>
      <c r="L450" s="101"/>
      <c r="M450" s="104" t="str">
        <f>IF(Main[[#This Row],[Tech Start Date]]&lt;1/1/1990,"",IF(Main[[#This Row],[Class]]="C",WORKDAY(Main[[#This Row],[Tech Start Date]],9),IF(Main[[#This Row],[Class]]="B", WORKDAY(Main[[#This Row],[Tech Start Date]],6),IF(Main[[#This Row],[Class]]="A",WORKDAY(Main[[#This Row],[Tech Start Date]],2),""))))</f>
        <v/>
      </c>
      <c r="N450" s="104" t="str">
        <f>IF(Main[[#This Row],[Tech Start Date]]&lt;1/1/1990,"",IF(Main[[#This Row],[Class]]="C",WORKDAY(Main[[#This Row],[Tech Start Date]],19),IF(Main[[#This Row],[Class]]="B", WORKDAY(Main[[#This Row],[Tech Start Date]],12),IF(Main[[#This Row],[Class]]="A",WORKDAY(Main[[#This Row],[Tech Start Date]],4),""))))</f>
        <v/>
      </c>
      <c r="O450" s="104" t="str">
        <f>IF(Main[[#This Row],[Tech Start Date]]&lt;1/1/1990,"",IF(Main[[#This Row],[Class]]="C",WORKDAY(Main[[#This Row],[Tech Start Date]],23),IF(Main[[#This Row],[Class]]="B", WORKDAY(Main[[#This Row],[Tech Start Date]],15),IF(Main[[#This Row],[Class]]="A",WORKDAY(Main[[#This Row],[Tech Start Date]],5),""))))</f>
        <v/>
      </c>
      <c r="P450" s="104" t="str">
        <f>IF(Main[[#This Row],[Tech Start Date]]&lt;1/1/1990,"",IF(Main[[#This Row],[Class]]="C",WORKDAY(Main[[#This Row],[Tech Start Date]],28),IF(Main[[#This Row],[Class]]="B", WORKDAY(Main[[#This Row],[Tech Start Date]],19),IF(Main[[#This Row],[Class]]="A",WORKDAY(Main[[#This Row],[Tech Start Date]],9),""))))</f>
        <v/>
      </c>
      <c r="Q450" s="101">
        <v>40223</v>
      </c>
      <c r="R450" s="101"/>
      <c r="S450" s="99" t="s">
        <v>17</v>
      </c>
      <c r="T450" s="107" t="s">
        <v>4</v>
      </c>
      <c r="U450" s="99" t="s">
        <v>29</v>
      </c>
      <c r="V450" s="99" t="s">
        <v>1965</v>
      </c>
      <c r="W450" s="99" t="s">
        <v>1967</v>
      </c>
    </row>
    <row r="451" spans="1:23" ht="18.600000000000001" customHeight="1">
      <c r="A451" s="123" t="str">
        <f>IF(priority(Main[[#This Row],[Comments]])&lt;&gt;0, priority(Main[[#This Row],[Comments]]),"")</f>
        <v/>
      </c>
      <c r="B451" s="127" t="s">
        <v>1329</v>
      </c>
      <c r="C451" s="99" t="s">
        <v>4</v>
      </c>
      <c r="D451" s="100" t="s">
        <v>418</v>
      </c>
      <c r="E451" s="101"/>
      <c r="F451" s="101"/>
      <c r="G451" s="102" t="str">
        <f>IF(stdProdLT(Main[[#This Row],[Comments]])=0.1,"N/A",IF(stdProdLT(Main[[#This Row],[Comments]])=0,"",stdProdLT(Main[[#This Row],[Comments]])))</f>
        <v/>
      </c>
      <c r="H451" s="103" t="str">
        <f>IF(AND(Main[[#This Row],[In Stock Date]]&lt;&gt;"",Main[[#This Row],[Revised Due Date]]&lt;&gt;""),Main[[#This Row],[In Stock Date]]-Main[[#This Row],[Revised Due Date]],"")</f>
        <v/>
      </c>
      <c r="I451" s="99" t="s">
        <v>311</v>
      </c>
      <c r="J451" s="99" t="s">
        <v>75</v>
      </c>
      <c r="K451" s="99" t="s">
        <v>1971</v>
      </c>
      <c r="L451" s="101"/>
      <c r="M451" s="104" t="str">
        <f>IF(Main[[#This Row],[Tech Start Date]]&lt;1/1/1990,"",IF(Main[[#This Row],[Class]]="C",WORKDAY(Main[[#This Row],[Tech Start Date]],9),IF(Main[[#This Row],[Class]]="B", WORKDAY(Main[[#This Row],[Tech Start Date]],6),IF(Main[[#This Row],[Class]]="A",WORKDAY(Main[[#This Row],[Tech Start Date]],2),""))))</f>
        <v/>
      </c>
      <c r="N451" s="104" t="str">
        <f>IF(Main[[#This Row],[Tech Start Date]]&lt;1/1/1990,"",IF(Main[[#This Row],[Class]]="C",WORKDAY(Main[[#This Row],[Tech Start Date]],19),IF(Main[[#This Row],[Class]]="B", WORKDAY(Main[[#This Row],[Tech Start Date]],12),IF(Main[[#This Row],[Class]]="A",WORKDAY(Main[[#This Row],[Tech Start Date]],4),""))))</f>
        <v/>
      </c>
      <c r="O451" s="104" t="str">
        <f>IF(Main[[#This Row],[Tech Start Date]]&lt;1/1/1990,"",IF(Main[[#This Row],[Class]]="C",WORKDAY(Main[[#This Row],[Tech Start Date]],23),IF(Main[[#This Row],[Class]]="B", WORKDAY(Main[[#This Row],[Tech Start Date]],15),IF(Main[[#This Row],[Class]]="A",WORKDAY(Main[[#This Row],[Tech Start Date]],5),""))))</f>
        <v/>
      </c>
      <c r="P451" s="104" t="str">
        <f>IF(Main[[#This Row],[Tech Start Date]]&lt;1/1/1990,"",IF(Main[[#This Row],[Class]]="C",WORKDAY(Main[[#This Row],[Tech Start Date]],28),IF(Main[[#This Row],[Class]]="B", WORKDAY(Main[[#This Row],[Tech Start Date]],19),IF(Main[[#This Row],[Class]]="A",WORKDAY(Main[[#This Row],[Tech Start Date]],9),""))))</f>
        <v/>
      </c>
      <c r="Q451" s="101">
        <v>40655</v>
      </c>
      <c r="R451" s="101"/>
      <c r="S451" s="99" t="s">
        <v>6</v>
      </c>
      <c r="T451" s="107" t="s">
        <v>4</v>
      </c>
      <c r="U451" s="99" t="s">
        <v>14</v>
      </c>
      <c r="V451" s="99" t="s">
        <v>1965</v>
      </c>
      <c r="W451" s="99" t="s">
        <v>1964</v>
      </c>
    </row>
    <row r="452" spans="1:23" ht="18.600000000000001" customHeight="1">
      <c r="A452" s="123" t="str">
        <f>IF(priority(Main[[#This Row],[Comments]])&lt;&gt;0, priority(Main[[#This Row],[Comments]]),"")</f>
        <v/>
      </c>
      <c r="B452" s="127" t="s">
        <v>1330</v>
      </c>
      <c r="C452" s="99" t="s">
        <v>214</v>
      </c>
      <c r="D452" s="100" t="s">
        <v>419</v>
      </c>
      <c r="E452" s="101"/>
      <c r="F452" s="101">
        <v>40452</v>
      </c>
      <c r="G452" s="102" t="str">
        <f>IF(stdProdLT(Main[[#This Row],[Comments]])=0.1,"N/A",IF(stdProdLT(Main[[#This Row],[Comments]])=0,"",stdProdLT(Main[[#This Row],[Comments]])))</f>
        <v/>
      </c>
      <c r="H452" s="103" t="str">
        <f>IF(AND(Main[[#This Row],[In Stock Date]]&lt;&gt;"",Main[[#This Row],[Revised Due Date]]&lt;&gt;""),Main[[#This Row],[In Stock Date]]-Main[[#This Row],[Revised Due Date]],"")</f>
        <v/>
      </c>
      <c r="I452" s="99" t="s">
        <v>4</v>
      </c>
      <c r="J452" s="99" t="s">
        <v>4</v>
      </c>
      <c r="K452" s="99" t="s">
        <v>4</v>
      </c>
      <c r="L452" s="101"/>
      <c r="M452" s="104" t="str">
        <f>IF(Main[[#This Row],[Tech Start Date]]&lt;1/1/1990,"",IF(Main[[#This Row],[Class]]="C",WORKDAY(Main[[#This Row],[Tech Start Date]],9),IF(Main[[#This Row],[Class]]="B", WORKDAY(Main[[#This Row],[Tech Start Date]],6),IF(Main[[#This Row],[Class]]="A",WORKDAY(Main[[#This Row],[Tech Start Date]],2),""))))</f>
        <v/>
      </c>
      <c r="N452" s="104" t="str">
        <f>IF(Main[[#This Row],[Tech Start Date]]&lt;1/1/1990,"",IF(Main[[#This Row],[Class]]="C",WORKDAY(Main[[#This Row],[Tech Start Date]],19),IF(Main[[#This Row],[Class]]="B", WORKDAY(Main[[#This Row],[Tech Start Date]],12),IF(Main[[#This Row],[Class]]="A",WORKDAY(Main[[#This Row],[Tech Start Date]],4),""))))</f>
        <v/>
      </c>
      <c r="O452" s="104" t="str">
        <f>IF(Main[[#This Row],[Tech Start Date]]&lt;1/1/1990,"",IF(Main[[#This Row],[Class]]="C",WORKDAY(Main[[#This Row],[Tech Start Date]],23),IF(Main[[#This Row],[Class]]="B", WORKDAY(Main[[#This Row],[Tech Start Date]],15),IF(Main[[#This Row],[Class]]="A",WORKDAY(Main[[#This Row],[Tech Start Date]],5),""))))</f>
        <v/>
      </c>
      <c r="P452" s="104" t="str">
        <f>IF(Main[[#This Row],[Tech Start Date]]&lt;1/1/1990,"",IF(Main[[#This Row],[Class]]="C",WORKDAY(Main[[#This Row],[Tech Start Date]],28),IF(Main[[#This Row],[Class]]="B", WORKDAY(Main[[#This Row],[Tech Start Date]],19),IF(Main[[#This Row],[Class]]="A",WORKDAY(Main[[#This Row],[Tech Start Date]],9),""))))</f>
        <v/>
      </c>
      <c r="Q452" s="101">
        <v>40357</v>
      </c>
      <c r="R452" s="101"/>
      <c r="S452" s="99" t="s">
        <v>11</v>
      </c>
      <c r="T452" s="107" t="s">
        <v>4</v>
      </c>
      <c r="U452" s="99" t="s">
        <v>12</v>
      </c>
      <c r="V452" s="99" t="s">
        <v>1962</v>
      </c>
      <c r="W452" s="99" t="s">
        <v>1970</v>
      </c>
    </row>
    <row r="453" spans="1:23" ht="18.600000000000001" customHeight="1">
      <c r="A453" s="123" t="str">
        <f>IF(priority(Main[[#This Row],[Comments]])&lt;&gt;0, priority(Main[[#This Row],[Comments]]),"")</f>
        <v/>
      </c>
      <c r="B453" s="127" t="s">
        <v>1369</v>
      </c>
      <c r="C453" s="99" t="s">
        <v>4</v>
      </c>
      <c r="D453" s="100" t="s">
        <v>420</v>
      </c>
      <c r="E453" s="101"/>
      <c r="F453" s="101">
        <v>40633</v>
      </c>
      <c r="G453" s="102" t="str">
        <f>IF(stdProdLT(Main[[#This Row],[Comments]])=0.1,"N/A",IF(stdProdLT(Main[[#This Row],[Comments]])=0,"",stdProdLT(Main[[#This Row],[Comments]])))</f>
        <v/>
      </c>
      <c r="H453" s="103" t="str">
        <f>IF(AND(Main[[#This Row],[In Stock Date]]&lt;&gt;"",Main[[#This Row],[Revised Due Date]]&lt;&gt;""),Main[[#This Row],[In Stock Date]]-Main[[#This Row],[Revised Due Date]],"")</f>
        <v/>
      </c>
      <c r="I453" s="99" t="s">
        <v>421</v>
      </c>
      <c r="J453" s="99" t="s">
        <v>28</v>
      </c>
      <c r="K453" s="99" t="s">
        <v>1971</v>
      </c>
      <c r="L453" s="101"/>
      <c r="M453" s="104" t="str">
        <f>IF(Main[[#This Row],[Tech Start Date]]&lt;1/1/1990,"",IF(Main[[#This Row],[Class]]="C",WORKDAY(Main[[#This Row],[Tech Start Date]],9),IF(Main[[#This Row],[Class]]="B", WORKDAY(Main[[#This Row],[Tech Start Date]],6),IF(Main[[#This Row],[Class]]="A",WORKDAY(Main[[#This Row],[Tech Start Date]],2),""))))</f>
        <v/>
      </c>
      <c r="N453" s="104" t="str">
        <f>IF(Main[[#This Row],[Tech Start Date]]&lt;1/1/1990,"",IF(Main[[#This Row],[Class]]="C",WORKDAY(Main[[#This Row],[Tech Start Date]],19),IF(Main[[#This Row],[Class]]="B", WORKDAY(Main[[#This Row],[Tech Start Date]],12),IF(Main[[#This Row],[Class]]="A",WORKDAY(Main[[#This Row],[Tech Start Date]],4),""))))</f>
        <v/>
      </c>
      <c r="O453" s="104" t="str">
        <f>IF(Main[[#This Row],[Tech Start Date]]&lt;1/1/1990,"",IF(Main[[#This Row],[Class]]="C",WORKDAY(Main[[#This Row],[Tech Start Date]],23),IF(Main[[#This Row],[Class]]="B", WORKDAY(Main[[#This Row],[Tech Start Date]],15),IF(Main[[#This Row],[Class]]="A",WORKDAY(Main[[#This Row],[Tech Start Date]],5),""))))</f>
        <v/>
      </c>
      <c r="P453" s="104" t="str">
        <f>IF(Main[[#This Row],[Tech Start Date]]&lt;1/1/1990,"",IF(Main[[#This Row],[Class]]="C",WORKDAY(Main[[#This Row],[Tech Start Date]],28),IF(Main[[#This Row],[Class]]="B", WORKDAY(Main[[#This Row],[Tech Start Date]],19),IF(Main[[#This Row],[Class]]="A",WORKDAY(Main[[#This Row],[Tech Start Date]],9),""))))</f>
        <v/>
      </c>
      <c r="Q453" s="101">
        <v>40633</v>
      </c>
      <c r="R453" s="101"/>
      <c r="S453" s="99" t="s">
        <v>6</v>
      </c>
      <c r="T453" s="107" t="s">
        <v>4</v>
      </c>
      <c r="U453" s="99" t="s">
        <v>14</v>
      </c>
      <c r="V453" s="99" t="s">
        <v>1965</v>
      </c>
      <c r="W453" s="99" t="s">
        <v>1964</v>
      </c>
    </row>
    <row r="454" spans="1:23" ht="18.600000000000001" customHeight="1">
      <c r="A454" s="123" t="str">
        <f>IF(priority(Main[[#This Row],[Comments]])&lt;&gt;0, priority(Main[[#This Row],[Comments]]),"")</f>
        <v/>
      </c>
      <c r="B454" s="127" t="s">
        <v>1876</v>
      </c>
      <c r="C454" s="99" t="s">
        <v>4</v>
      </c>
      <c r="D454" s="100" t="s">
        <v>904</v>
      </c>
      <c r="E454" s="101">
        <v>40365.442546296297</v>
      </c>
      <c r="F454" s="101"/>
      <c r="G454" s="102" t="str">
        <f>IF(stdProdLT(Main[[#This Row],[Comments]])=0.1,"N/A",IF(stdProdLT(Main[[#This Row],[Comments]])=0,"",stdProdLT(Main[[#This Row],[Comments]])))</f>
        <v/>
      </c>
      <c r="H454" s="103" t="str">
        <f>IF(AND(Main[[#This Row],[In Stock Date]]&lt;&gt;"",Main[[#This Row],[Revised Due Date]]&lt;&gt;""),Main[[#This Row],[In Stock Date]]-Main[[#This Row],[Revised Due Date]],"")</f>
        <v/>
      </c>
      <c r="I454" s="99" t="s">
        <v>905</v>
      </c>
      <c r="J454" s="99" t="s">
        <v>28</v>
      </c>
      <c r="K454" s="108" t="s">
        <v>1974</v>
      </c>
      <c r="L454" s="101"/>
      <c r="M454" s="104" t="str">
        <f>IF(Main[[#This Row],[Tech Start Date]]&lt;1/1/1990,"",IF(Main[[#This Row],[Class]]="C",WORKDAY(Main[[#This Row],[Tech Start Date]],9),IF(Main[[#This Row],[Class]]="B", WORKDAY(Main[[#This Row],[Tech Start Date]],6),IF(Main[[#This Row],[Class]]="A",WORKDAY(Main[[#This Row],[Tech Start Date]],2),""))))</f>
        <v/>
      </c>
      <c r="N454" s="104" t="str">
        <f>IF(Main[[#This Row],[Tech Start Date]]&lt;1/1/1990,"",IF(Main[[#This Row],[Class]]="C",WORKDAY(Main[[#This Row],[Tech Start Date]],19),IF(Main[[#This Row],[Class]]="B", WORKDAY(Main[[#This Row],[Tech Start Date]],12),IF(Main[[#This Row],[Class]]="A",WORKDAY(Main[[#This Row],[Tech Start Date]],4),""))))</f>
        <v/>
      </c>
      <c r="O454" s="104" t="str">
        <f>IF(Main[[#This Row],[Tech Start Date]]&lt;1/1/1990,"",IF(Main[[#This Row],[Class]]="C",WORKDAY(Main[[#This Row],[Tech Start Date]],23),IF(Main[[#This Row],[Class]]="B", WORKDAY(Main[[#This Row],[Tech Start Date]],15),IF(Main[[#This Row],[Class]]="A",WORKDAY(Main[[#This Row],[Tech Start Date]],5),""))))</f>
        <v/>
      </c>
      <c r="P454" s="104" t="str">
        <f>IF(Main[[#This Row],[Tech Start Date]]&lt;1/1/1990,"",IF(Main[[#This Row],[Class]]="C",WORKDAY(Main[[#This Row],[Tech Start Date]],28),IF(Main[[#This Row],[Class]]="B", WORKDAY(Main[[#This Row],[Tech Start Date]],19),IF(Main[[#This Row],[Class]]="A",WORKDAY(Main[[#This Row],[Tech Start Date]],9),""))))</f>
        <v/>
      </c>
      <c r="Q454" s="101">
        <v>40420</v>
      </c>
      <c r="R454" s="101">
        <v>40420</v>
      </c>
      <c r="S454" s="99" t="s">
        <v>323</v>
      </c>
      <c r="T454" s="107" t="s">
        <v>4</v>
      </c>
      <c r="U454" s="99" t="s">
        <v>29</v>
      </c>
      <c r="V454" s="99" t="s">
        <v>1962</v>
      </c>
      <c r="W454" s="99" t="s">
        <v>1966</v>
      </c>
    </row>
    <row r="455" spans="1:23" ht="18.600000000000001" customHeight="1">
      <c r="A455" s="123" t="str">
        <f>IF(priority(Main[[#This Row],[Comments]])&lt;&gt;0, priority(Main[[#This Row],[Comments]]),"")</f>
        <v/>
      </c>
      <c r="B455" s="127" t="s">
        <v>1370</v>
      </c>
      <c r="C455" s="99" t="s">
        <v>31</v>
      </c>
      <c r="D455" s="100" t="s">
        <v>422</v>
      </c>
      <c r="E455" s="101"/>
      <c r="F455" s="101">
        <v>40330</v>
      </c>
      <c r="G455" s="102" t="str">
        <f>IF(stdProdLT(Main[[#This Row],[Comments]])=0.1,"N/A",IF(stdProdLT(Main[[#This Row],[Comments]])=0,"",stdProdLT(Main[[#This Row],[Comments]])))</f>
        <v/>
      </c>
      <c r="H455" s="103" t="str">
        <f>IF(AND(Main[[#This Row],[In Stock Date]]&lt;&gt;"",Main[[#This Row],[Revised Due Date]]&lt;&gt;""),Main[[#This Row],[In Stock Date]]-Main[[#This Row],[Revised Due Date]],"")</f>
        <v/>
      </c>
      <c r="I455" s="99" t="s">
        <v>423</v>
      </c>
      <c r="J455" s="99" t="s">
        <v>4</v>
      </c>
      <c r="K455" s="99" t="s">
        <v>4</v>
      </c>
      <c r="L455" s="101"/>
      <c r="M455" s="104" t="str">
        <f>IF(Main[[#This Row],[Tech Start Date]]&lt;1/1/1990,"",IF(Main[[#This Row],[Class]]="C",WORKDAY(Main[[#This Row],[Tech Start Date]],9),IF(Main[[#This Row],[Class]]="B", WORKDAY(Main[[#This Row],[Tech Start Date]],6),IF(Main[[#This Row],[Class]]="A",WORKDAY(Main[[#This Row],[Tech Start Date]],2),""))))</f>
        <v/>
      </c>
      <c r="N455" s="104" t="str">
        <f>IF(Main[[#This Row],[Tech Start Date]]&lt;1/1/1990,"",IF(Main[[#This Row],[Class]]="C",WORKDAY(Main[[#This Row],[Tech Start Date]],19),IF(Main[[#This Row],[Class]]="B", WORKDAY(Main[[#This Row],[Tech Start Date]],12),IF(Main[[#This Row],[Class]]="A",WORKDAY(Main[[#This Row],[Tech Start Date]],4),""))))</f>
        <v/>
      </c>
      <c r="O455" s="104" t="str">
        <f>IF(Main[[#This Row],[Tech Start Date]]&lt;1/1/1990,"",IF(Main[[#This Row],[Class]]="C",WORKDAY(Main[[#This Row],[Tech Start Date]],23),IF(Main[[#This Row],[Class]]="B", WORKDAY(Main[[#This Row],[Tech Start Date]],15),IF(Main[[#This Row],[Class]]="A",WORKDAY(Main[[#This Row],[Tech Start Date]],5),""))))</f>
        <v/>
      </c>
      <c r="P455" s="104" t="str">
        <f>IF(Main[[#This Row],[Tech Start Date]]&lt;1/1/1990,"",IF(Main[[#This Row],[Class]]="C",WORKDAY(Main[[#This Row],[Tech Start Date]],28),IF(Main[[#This Row],[Class]]="B", WORKDAY(Main[[#This Row],[Tech Start Date]],19),IF(Main[[#This Row],[Class]]="A",WORKDAY(Main[[#This Row],[Tech Start Date]],9),""))))</f>
        <v/>
      </c>
      <c r="Q455" s="101">
        <v>40210</v>
      </c>
      <c r="R455" s="101"/>
      <c r="S455" s="99" t="s">
        <v>11</v>
      </c>
      <c r="T455" s="107" t="s">
        <v>4</v>
      </c>
      <c r="U455" s="99" t="s">
        <v>14</v>
      </c>
      <c r="V455" s="99" t="s">
        <v>1965</v>
      </c>
      <c r="W455" s="99" t="s">
        <v>1968</v>
      </c>
    </row>
    <row r="456" spans="1:23" ht="18.600000000000001" customHeight="1">
      <c r="A456" s="123" t="str">
        <f>IF(priority(Main[[#This Row],[Comments]])&lt;&gt;0, priority(Main[[#This Row],[Comments]]),"")</f>
        <v/>
      </c>
      <c r="B456" s="127" t="s">
        <v>1371</v>
      </c>
      <c r="C456" s="99" t="s">
        <v>4</v>
      </c>
      <c r="D456" s="100" t="s">
        <v>424</v>
      </c>
      <c r="E456" s="101">
        <v>40305.512083333335</v>
      </c>
      <c r="F456" s="101"/>
      <c r="G456" s="102" t="str">
        <f>IF(stdProdLT(Main[[#This Row],[Comments]])=0.1,"N/A",IF(stdProdLT(Main[[#This Row],[Comments]])=0,"",stdProdLT(Main[[#This Row],[Comments]])))</f>
        <v/>
      </c>
      <c r="H456" s="103" t="str">
        <f>IF(AND(Main[[#This Row],[In Stock Date]]&lt;&gt;"",Main[[#This Row],[Revised Due Date]]&lt;&gt;""),Main[[#This Row],[In Stock Date]]-Main[[#This Row],[Revised Due Date]],"")</f>
        <v/>
      </c>
      <c r="I456" s="99" t="s">
        <v>4</v>
      </c>
      <c r="J456" s="99" t="s">
        <v>4</v>
      </c>
      <c r="K456" s="99" t="s">
        <v>4</v>
      </c>
      <c r="L456" s="101"/>
      <c r="M456" s="104" t="str">
        <f>IF(Main[[#This Row],[Tech Start Date]]&lt;1/1/1990,"",IF(Main[[#This Row],[Class]]="C",WORKDAY(Main[[#This Row],[Tech Start Date]],9),IF(Main[[#This Row],[Class]]="B", WORKDAY(Main[[#This Row],[Tech Start Date]],6),IF(Main[[#This Row],[Class]]="A",WORKDAY(Main[[#This Row],[Tech Start Date]],2),""))))</f>
        <v/>
      </c>
      <c r="N456" s="104" t="str">
        <f>IF(Main[[#This Row],[Tech Start Date]]&lt;1/1/1990,"",IF(Main[[#This Row],[Class]]="C",WORKDAY(Main[[#This Row],[Tech Start Date]],19),IF(Main[[#This Row],[Class]]="B", WORKDAY(Main[[#This Row],[Tech Start Date]],12),IF(Main[[#This Row],[Class]]="A",WORKDAY(Main[[#This Row],[Tech Start Date]],4),""))))</f>
        <v/>
      </c>
      <c r="O456" s="104" t="str">
        <f>IF(Main[[#This Row],[Tech Start Date]]&lt;1/1/1990,"",IF(Main[[#This Row],[Class]]="C",WORKDAY(Main[[#This Row],[Tech Start Date]],23),IF(Main[[#This Row],[Class]]="B", WORKDAY(Main[[#This Row],[Tech Start Date]],15),IF(Main[[#This Row],[Class]]="A",WORKDAY(Main[[#This Row],[Tech Start Date]],5),""))))</f>
        <v/>
      </c>
      <c r="P456" s="104" t="str">
        <f>IF(Main[[#This Row],[Tech Start Date]]&lt;1/1/1990,"",IF(Main[[#This Row],[Class]]="C",WORKDAY(Main[[#This Row],[Tech Start Date]],28),IF(Main[[#This Row],[Class]]="B", WORKDAY(Main[[#This Row],[Tech Start Date]],19),IF(Main[[#This Row],[Class]]="A",WORKDAY(Main[[#This Row],[Tech Start Date]],9),""))))</f>
        <v/>
      </c>
      <c r="Q456" s="101">
        <v>40312</v>
      </c>
      <c r="R456" s="101"/>
      <c r="S456" s="99" t="s">
        <v>6</v>
      </c>
      <c r="T456" s="107" t="s">
        <v>4</v>
      </c>
      <c r="U456" s="99" t="s">
        <v>7</v>
      </c>
      <c r="V456" s="99" t="s">
        <v>1962</v>
      </c>
      <c r="W456" s="99" t="s">
        <v>4</v>
      </c>
    </row>
    <row r="457" spans="1:23" ht="18.600000000000001" customHeight="1">
      <c r="A457" s="123" t="str">
        <f>IF(priority(Main[[#This Row],[Comments]])&lt;&gt;0, priority(Main[[#This Row],[Comments]]),"")</f>
        <v/>
      </c>
      <c r="B457" s="127" t="s">
        <v>1332</v>
      </c>
      <c r="C457" s="99" t="s">
        <v>31</v>
      </c>
      <c r="D457" s="100" t="s">
        <v>376</v>
      </c>
      <c r="E457" s="101"/>
      <c r="F457" s="101"/>
      <c r="G457" s="102" t="str">
        <f>IF(stdProdLT(Main[[#This Row],[Comments]])=0.1,"N/A",IF(stdProdLT(Main[[#This Row],[Comments]])=0,"",stdProdLT(Main[[#This Row],[Comments]])))</f>
        <v/>
      </c>
      <c r="H457" s="103" t="str">
        <f>IF(AND(Main[[#This Row],[In Stock Date]]&lt;&gt;"",Main[[#This Row],[Revised Due Date]]&lt;&gt;""),Main[[#This Row],[In Stock Date]]-Main[[#This Row],[Revised Due Date]],"")</f>
        <v/>
      </c>
      <c r="I457" s="99" t="s">
        <v>4</v>
      </c>
      <c r="J457" s="99" t="s">
        <v>4</v>
      </c>
      <c r="K457" s="99" t="s">
        <v>4</v>
      </c>
      <c r="L457" s="101"/>
      <c r="M457" s="104" t="str">
        <f>IF(Main[[#This Row],[Tech Start Date]]&lt;1/1/1990,"",IF(Main[[#This Row],[Class]]="C",WORKDAY(Main[[#This Row],[Tech Start Date]],9),IF(Main[[#This Row],[Class]]="B", WORKDAY(Main[[#This Row],[Tech Start Date]],6),IF(Main[[#This Row],[Class]]="A",WORKDAY(Main[[#This Row],[Tech Start Date]],2),""))))</f>
        <v/>
      </c>
      <c r="N457" s="104" t="str">
        <f>IF(Main[[#This Row],[Tech Start Date]]&lt;1/1/1990,"",IF(Main[[#This Row],[Class]]="C",WORKDAY(Main[[#This Row],[Tech Start Date]],19),IF(Main[[#This Row],[Class]]="B", WORKDAY(Main[[#This Row],[Tech Start Date]],12),IF(Main[[#This Row],[Class]]="A",WORKDAY(Main[[#This Row],[Tech Start Date]],4),""))))</f>
        <v/>
      </c>
      <c r="O457" s="104" t="str">
        <f>IF(Main[[#This Row],[Tech Start Date]]&lt;1/1/1990,"",IF(Main[[#This Row],[Class]]="C",WORKDAY(Main[[#This Row],[Tech Start Date]],23),IF(Main[[#This Row],[Class]]="B", WORKDAY(Main[[#This Row],[Tech Start Date]],15),IF(Main[[#This Row],[Class]]="A",WORKDAY(Main[[#This Row],[Tech Start Date]],5),""))))</f>
        <v/>
      </c>
      <c r="P457" s="104" t="str">
        <f>IF(Main[[#This Row],[Tech Start Date]]&lt;1/1/1990,"",IF(Main[[#This Row],[Class]]="C",WORKDAY(Main[[#This Row],[Tech Start Date]],28),IF(Main[[#This Row],[Class]]="B", WORKDAY(Main[[#This Row],[Tech Start Date]],19),IF(Main[[#This Row],[Class]]="A",WORKDAY(Main[[#This Row],[Tech Start Date]],9),""))))</f>
        <v/>
      </c>
      <c r="Q457" s="101">
        <v>40318</v>
      </c>
      <c r="R457" s="101"/>
      <c r="S457" s="99" t="s">
        <v>11</v>
      </c>
      <c r="T457" s="107" t="s">
        <v>4</v>
      </c>
      <c r="U457" s="99" t="s">
        <v>14</v>
      </c>
      <c r="V457" s="99" t="s">
        <v>1965</v>
      </c>
      <c r="W457" s="99" t="s">
        <v>1964</v>
      </c>
    </row>
    <row r="458" spans="1:23" ht="18.600000000000001" customHeight="1">
      <c r="A458" s="123" t="str">
        <f>IF(priority(Main[[#This Row],[Comments]])&lt;&gt;0, priority(Main[[#This Row],[Comments]]),"")</f>
        <v/>
      </c>
      <c r="B458" s="127" t="s">
        <v>1333</v>
      </c>
      <c r="C458" s="99" t="s">
        <v>4</v>
      </c>
      <c r="D458" s="100" t="s">
        <v>377</v>
      </c>
      <c r="E458" s="101">
        <v>40679.255486111113</v>
      </c>
      <c r="F458" s="101"/>
      <c r="G458" s="102" t="str">
        <f>IF(stdProdLT(Main[[#This Row],[Comments]])=0.1,"N/A",IF(stdProdLT(Main[[#This Row],[Comments]])=0,"",stdProdLT(Main[[#This Row],[Comments]])))</f>
        <v/>
      </c>
      <c r="H458" s="103" t="str">
        <f>IF(AND(Main[[#This Row],[In Stock Date]]&lt;&gt;"",Main[[#This Row],[Revised Due Date]]&lt;&gt;""),Main[[#This Row],[In Stock Date]]-Main[[#This Row],[Revised Due Date]],"")</f>
        <v/>
      </c>
      <c r="I458" s="99" t="s">
        <v>4</v>
      </c>
      <c r="J458" s="99" t="s">
        <v>4</v>
      </c>
      <c r="K458" s="108" t="s">
        <v>4</v>
      </c>
      <c r="L458" s="101"/>
      <c r="M458" s="104" t="str">
        <f>IF(Main[[#This Row],[Tech Start Date]]&lt;1/1/1990,"",IF(Main[[#This Row],[Class]]="C",WORKDAY(Main[[#This Row],[Tech Start Date]],9),IF(Main[[#This Row],[Class]]="B", WORKDAY(Main[[#This Row],[Tech Start Date]],6),IF(Main[[#This Row],[Class]]="A",WORKDAY(Main[[#This Row],[Tech Start Date]],2),""))))</f>
        <v/>
      </c>
      <c r="N458" s="104" t="str">
        <f>IF(Main[[#This Row],[Tech Start Date]]&lt;1/1/1990,"",IF(Main[[#This Row],[Class]]="C",WORKDAY(Main[[#This Row],[Tech Start Date]],19),IF(Main[[#This Row],[Class]]="B", WORKDAY(Main[[#This Row],[Tech Start Date]],12),IF(Main[[#This Row],[Class]]="A",WORKDAY(Main[[#This Row],[Tech Start Date]],4),""))))</f>
        <v/>
      </c>
      <c r="O458" s="104" t="str">
        <f>IF(Main[[#This Row],[Tech Start Date]]&lt;1/1/1990,"",IF(Main[[#This Row],[Class]]="C",WORKDAY(Main[[#This Row],[Tech Start Date]],23),IF(Main[[#This Row],[Class]]="B", WORKDAY(Main[[#This Row],[Tech Start Date]],15),IF(Main[[#This Row],[Class]]="A",WORKDAY(Main[[#This Row],[Tech Start Date]],5),""))))</f>
        <v/>
      </c>
      <c r="P458" s="104" t="str">
        <f>IF(Main[[#This Row],[Tech Start Date]]&lt;1/1/1990,"",IF(Main[[#This Row],[Class]]="C",WORKDAY(Main[[#This Row],[Tech Start Date]],28),IF(Main[[#This Row],[Class]]="B", WORKDAY(Main[[#This Row],[Tech Start Date]],19),IF(Main[[#This Row],[Class]]="A",WORKDAY(Main[[#This Row],[Tech Start Date]],9),""))))</f>
        <v/>
      </c>
      <c r="Q458" s="101">
        <v>40724</v>
      </c>
      <c r="R458" s="101"/>
      <c r="S458" s="99" t="s">
        <v>6</v>
      </c>
      <c r="T458" s="107" t="s">
        <v>4</v>
      </c>
      <c r="U458" s="99" t="s">
        <v>7</v>
      </c>
      <c r="V458" s="99" t="s">
        <v>1962</v>
      </c>
      <c r="W458" s="99" t="s">
        <v>4</v>
      </c>
    </row>
    <row r="459" spans="1:23" ht="18.600000000000001" customHeight="1">
      <c r="A459" s="123" t="str">
        <f>IF(priority(Main[[#This Row],[Comments]])&lt;&gt;0, priority(Main[[#This Row],[Comments]]),"")</f>
        <v/>
      </c>
      <c r="B459" s="127" t="s">
        <v>1334</v>
      </c>
      <c r="C459" s="99" t="s">
        <v>4</v>
      </c>
      <c r="D459" s="100" t="s">
        <v>378</v>
      </c>
      <c r="E459" s="101"/>
      <c r="F459" s="101"/>
      <c r="G459" s="102" t="str">
        <f>IF(stdProdLT(Main[[#This Row],[Comments]])=0.1,"N/A",IF(stdProdLT(Main[[#This Row],[Comments]])=0,"",stdProdLT(Main[[#This Row],[Comments]])))</f>
        <v/>
      </c>
      <c r="H459" s="103" t="str">
        <f>IF(AND(Main[[#This Row],[In Stock Date]]&lt;&gt;"",Main[[#This Row],[Revised Due Date]]&lt;&gt;""),Main[[#This Row],[In Stock Date]]-Main[[#This Row],[Revised Due Date]],"")</f>
        <v/>
      </c>
      <c r="I459" s="99" t="s">
        <v>4</v>
      </c>
      <c r="J459" s="99" t="s">
        <v>4</v>
      </c>
      <c r="K459" s="108" t="s">
        <v>4</v>
      </c>
      <c r="L459" s="101"/>
      <c r="M459" s="104" t="str">
        <f>IF(Main[[#This Row],[Tech Start Date]]&lt;1/1/1990,"",IF(Main[[#This Row],[Class]]="C",WORKDAY(Main[[#This Row],[Tech Start Date]],9),IF(Main[[#This Row],[Class]]="B", WORKDAY(Main[[#This Row],[Tech Start Date]],6),IF(Main[[#This Row],[Class]]="A",WORKDAY(Main[[#This Row],[Tech Start Date]],2),""))))</f>
        <v/>
      </c>
      <c r="N459" s="104" t="str">
        <f>IF(Main[[#This Row],[Tech Start Date]]&lt;1/1/1990,"",IF(Main[[#This Row],[Class]]="C",WORKDAY(Main[[#This Row],[Tech Start Date]],19),IF(Main[[#This Row],[Class]]="B", WORKDAY(Main[[#This Row],[Tech Start Date]],12),IF(Main[[#This Row],[Class]]="A",WORKDAY(Main[[#This Row],[Tech Start Date]],4),""))))</f>
        <v/>
      </c>
      <c r="O459" s="104" t="str">
        <f>IF(Main[[#This Row],[Tech Start Date]]&lt;1/1/1990,"",IF(Main[[#This Row],[Class]]="C",WORKDAY(Main[[#This Row],[Tech Start Date]],23),IF(Main[[#This Row],[Class]]="B", WORKDAY(Main[[#This Row],[Tech Start Date]],15),IF(Main[[#This Row],[Class]]="A",WORKDAY(Main[[#This Row],[Tech Start Date]],5),""))))</f>
        <v/>
      </c>
      <c r="P459" s="104" t="str">
        <f>IF(Main[[#This Row],[Tech Start Date]]&lt;1/1/1990,"",IF(Main[[#This Row],[Class]]="C",WORKDAY(Main[[#This Row],[Tech Start Date]],28),IF(Main[[#This Row],[Class]]="B", WORKDAY(Main[[#This Row],[Tech Start Date]],19),IF(Main[[#This Row],[Class]]="A",WORKDAY(Main[[#This Row],[Tech Start Date]],9),""))))</f>
        <v/>
      </c>
      <c r="Q459" s="101"/>
      <c r="R459" s="101"/>
      <c r="S459" s="99" t="s">
        <v>11</v>
      </c>
      <c r="T459" s="107" t="s">
        <v>4</v>
      </c>
      <c r="U459" s="99" t="s">
        <v>14</v>
      </c>
      <c r="V459" s="99" t="s">
        <v>1965</v>
      </c>
      <c r="W459" s="99" t="s">
        <v>1973</v>
      </c>
    </row>
    <row r="460" spans="1:23" ht="18.600000000000001" customHeight="1">
      <c r="A460" s="123" t="str">
        <f>IF(priority(Main[[#This Row],[Comments]])&lt;&gt;0, priority(Main[[#This Row],[Comments]]),"")</f>
        <v/>
      </c>
      <c r="B460" s="127" t="s">
        <v>1337</v>
      </c>
      <c r="C460" s="99" t="s">
        <v>95</v>
      </c>
      <c r="D460" s="100" t="s">
        <v>380</v>
      </c>
      <c r="E460" s="101"/>
      <c r="F460" s="101">
        <v>40195</v>
      </c>
      <c r="G460" s="102" t="str">
        <f>IF(stdProdLT(Main[[#This Row],[Comments]])=0.1,"N/A",IF(stdProdLT(Main[[#This Row],[Comments]])=0,"",stdProdLT(Main[[#This Row],[Comments]])))</f>
        <v/>
      </c>
      <c r="H460" s="103" t="str">
        <f>IF(AND(Main[[#This Row],[In Stock Date]]&lt;&gt;"",Main[[#This Row],[Revised Due Date]]&lt;&gt;""),Main[[#This Row],[In Stock Date]]-Main[[#This Row],[Revised Due Date]],"")</f>
        <v/>
      </c>
      <c r="I460" s="99" t="s">
        <v>4</v>
      </c>
      <c r="J460" s="99" t="s">
        <v>4</v>
      </c>
      <c r="K460" s="99" t="s">
        <v>4</v>
      </c>
      <c r="L460" s="101"/>
      <c r="M460" s="104" t="str">
        <f>IF(Main[[#This Row],[Tech Start Date]]&lt;1/1/1990,"",IF(Main[[#This Row],[Class]]="C",WORKDAY(Main[[#This Row],[Tech Start Date]],9),IF(Main[[#This Row],[Class]]="B", WORKDAY(Main[[#This Row],[Tech Start Date]],6),IF(Main[[#This Row],[Class]]="A",WORKDAY(Main[[#This Row],[Tech Start Date]],2),""))))</f>
        <v/>
      </c>
      <c r="N460" s="104" t="str">
        <f>IF(Main[[#This Row],[Tech Start Date]]&lt;1/1/1990,"",IF(Main[[#This Row],[Class]]="C",WORKDAY(Main[[#This Row],[Tech Start Date]],19),IF(Main[[#This Row],[Class]]="B", WORKDAY(Main[[#This Row],[Tech Start Date]],12),IF(Main[[#This Row],[Class]]="A",WORKDAY(Main[[#This Row],[Tech Start Date]],4),""))))</f>
        <v/>
      </c>
      <c r="O460" s="104" t="str">
        <f>IF(Main[[#This Row],[Tech Start Date]]&lt;1/1/1990,"",IF(Main[[#This Row],[Class]]="C",WORKDAY(Main[[#This Row],[Tech Start Date]],23),IF(Main[[#This Row],[Class]]="B", WORKDAY(Main[[#This Row],[Tech Start Date]],15),IF(Main[[#This Row],[Class]]="A",WORKDAY(Main[[#This Row],[Tech Start Date]],5),""))))</f>
        <v/>
      </c>
      <c r="P460" s="104" t="str">
        <f>IF(Main[[#This Row],[Tech Start Date]]&lt;1/1/1990,"",IF(Main[[#This Row],[Class]]="C",WORKDAY(Main[[#This Row],[Tech Start Date]],28),IF(Main[[#This Row],[Class]]="B", WORKDAY(Main[[#This Row],[Tech Start Date]],19),IF(Main[[#This Row],[Class]]="A",WORKDAY(Main[[#This Row],[Tech Start Date]],9),""))))</f>
        <v/>
      </c>
      <c r="Q460" s="101">
        <v>40070</v>
      </c>
      <c r="R460" s="101"/>
      <c r="S460" s="99" t="s">
        <v>11</v>
      </c>
      <c r="T460" s="107" t="s">
        <v>4</v>
      </c>
      <c r="U460" s="99" t="s">
        <v>14</v>
      </c>
      <c r="V460" s="99" t="s">
        <v>1965</v>
      </c>
      <c r="W460" s="99" t="s">
        <v>1968</v>
      </c>
    </row>
    <row r="461" spans="1:23" ht="18.600000000000001" customHeight="1">
      <c r="A461" s="123" t="str">
        <f>IF(priority(Main[[#This Row],[Comments]])&lt;&gt;0, priority(Main[[#This Row],[Comments]]),"")</f>
        <v/>
      </c>
      <c r="B461" s="127" t="s">
        <v>1868</v>
      </c>
      <c r="C461" s="99" t="s">
        <v>4</v>
      </c>
      <c r="D461" s="100" t="s">
        <v>894</v>
      </c>
      <c r="E461" s="101">
        <v>40122.528101851851</v>
      </c>
      <c r="F461" s="101"/>
      <c r="G461" s="102" t="str">
        <f>IF(stdProdLT(Main[[#This Row],[Comments]])=0.1,"N/A",IF(stdProdLT(Main[[#This Row],[Comments]])=0,"",stdProdLT(Main[[#This Row],[Comments]])))</f>
        <v/>
      </c>
      <c r="H461" s="103" t="str">
        <f>IF(AND(Main[[#This Row],[In Stock Date]]&lt;&gt;"",Main[[#This Row],[Revised Due Date]]&lt;&gt;""),Main[[#This Row],[In Stock Date]]-Main[[#This Row],[Revised Due Date]],"")</f>
        <v/>
      </c>
      <c r="I461" s="99" t="s">
        <v>4</v>
      </c>
      <c r="J461" s="99" t="s">
        <v>4</v>
      </c>
      <c r="K461" s="99" t="s">
        <v>4</v>
      </c>
      <c r="L461" s="101"/>
      <c r="M461" s="104" t="str">
        <f>IF(Main[[#This Row],[Tech Start Date]]&lt;1/1/1990,"",IF(Main[[#This Row],[Class]]="C",WORKDAY(Main[[#This Row],[Tech Start Date]],9),IF(Main[[#This Row],[Class]]="B", WORKDAY(Main[[#This Row],[Tech Start Date]],6),IF(Main[[#This Row],[Class]]="A",WORKDAY(Main[[#This Row],[Tech Start Date]],2),""))))</f>
        <v/>
      </c>
      <c r="N461" s="104" t="str">
        <f>IF(Main[[#This Row],[Tech Start Date]]&lt;1/1/1990,"",IF(Main[[#This Row],[Class]]="C",WORKDAY(Main[[#This Row],[Tech Start Date]],19),IF(Main[[#This Row],[Class]]="B", WORKDAY(Main[[#This Row],[Tech Start Date]],12),IF(Main[[#This Row],[Class]]="A",WORKDAY(Main[[#This Row],[Tech Start Date]],4),""))))</f>
        <v/>
      </c>
      <c r="O461" s="104" t="str">
        <f>IF(Main[[#This Row],[Tech Start Date]]&lt;1/1/1990,"",IF(Main[[#This Row],[Class]]="C",WORKDAY(Main[[#This Row],[Tech Start Date]],23),IF(Main[[#This Row],[Class]]="B", WORKDAY(Main[[#This Row],[Tech Start Date]],15),IF(Main[[#This Row],[Class]]="A",WORKDAY(Main[[#This Row],[Tech Start Date]],5),""))))</f>
        <v/>
      </c>
      <c r="P461" s="104" t="str">
        <f>IF(Main[[#This Row],[Tech Start Date]]&lt;1/1/1990,"",IF(Main[[#This Row],[Class]]="C",WORKDAY(Main[[#This Row],[Tech Start Date]],28),IF(Main[[#This Row],[Class]]="B", WORKDAY(Main[[#This Row],[Tech Start Date]],19),IF(Main[[#This Row],[Class]]="A",WORKDAY(Main[[#This Row],[Tech Start Date]],9),""))))</f>
        <v/>
      </c>
      <c r="Q461" s="101"/>
      <c r="R461" s="101">
        <v>40368</v>
      </c>
      <c r="S461" s="99" t="s">
        <v>17</v>
      </c>
      <c r="T461" s="107" t="s">
        <v>4</v>
      </c>
      <c r="U461" s="99" t="s">
        <v>29</v>
      </c>
      <c r="V461" s="99" t="s">
        <v>1963</v>
      </c>
      <c r="W461" s="99" t="s">
        <v>1967</v>
      </c>
    </row>
    <row r="462" spans="1:23" ht="18.600000000000001" customHeight="1">
      <c r="A462" s="123" t="str">
        <f>IF(priority(Main[[#This Row],[Comments]])&lt;&gt;0, priority(Main[[#This Row],[Comments]]),"")</f>
        <v/>
      </c>
      <c r="B462" s="127" t="s">
        <v>1895</v>
      </c>
      <c r="C462" s="99" t="s">
        <v>67</v>
      </c>
      <c r="D462" s="100" t="s">
        <v>925</v>
      </c>
      <c r="E462" s="101">
        <v>39981.49927083333</v>
      </c>
      <c r="F462" s="101"/>
      <c r="G462" s="102" t="str">
        <f>IF(stdProdLT(Main[[#This Row],[Comments]])=0.1,"N/A",IF(stdProdLT(Main[[#This Row],[Comments]])=0,"",stdProdLT(Main[[#This Row],[Comments]])))</f>
        <v/>
      </c>
      <c r="H462" s="103" t="str">
        <f>IF(AND(Main[[#This Row],[In Stock Date]]&lt;&gt;"",Main[[#This Row],[Revised Due Date]]&lt;&gt;""),Main[[#This Row],[In Stock Date]]-Main[[#This Row],[Revised Due Date]],"")</f>
        <v/>
      </c>
      <c r="I462" s="99" t="s">
        <v>997</v>
      </c>
      <c r="J462" s="99" t="s">
        <v>4</v>
      </c>
      <c r="K462" s="99" t="s">
        <v>1974</v>
      </c>
      <c r="L462" s="101"/>
      <c r="M462" s="104" t="str">
        <f>IF(Main[[#This Row],[Tech Start Date]]&lt;1/1/1990,"",IF(Main[[#This Row],[Class]]="C",WORKDAY(Main[[#This Row],[Tech Start Date]],9),IF(Main[[#This Row],[Class]]="B", WORKDAY(Main[[#This Row],[Tech Start Date]],6),IF(Main[[#This Row],[Class]]="A",WORKDAY(Main[[#This Row],[Tech Start Date]],2),""))))</f>
        <v/>
      </c>
      <c r="N462" s="104" t="str">
        <f>IF(Main[[#This Row],[Tech Start Date]]&lt;1/1/1990,"",IF(Main[[#This Row],[Class]]="C",WORKDAY(Main[[#This Row],[Tech Start Date]],19),IF(Main[[#This Row],[Class]]="B", WORKDAY(Main[[#This Row],[Tech Start Date]],12),IF(Main[[#This Row],[Class]]="A",WORKDAY(Main[[#This Row],[Tech Start Date]],4),""))))</f>
        <v/>
      </c>
      <c r="O462" s="104" t="str">
        <f>IF(Main[[#This Row],[Tech Start Date]]&lt;1/1/1990,"",IF(Main[[#This Row],[Class]]="C",WORKDAY(Main[[#This Row],[Tech Start Date]],23),IF(Main[[#This Row],[Class]]="B", WORKDAY(Main[[#This Row],[Tech Start Date]],15),IF(Main[[#This Row],[Class]]="A",WORKDAY(Main[[#This Row],[Tech Start Date]],5),""))))</f>
        <v/>
      </c>
      <c r="P462" s="104" t="str">
        <f>IF(Main[[#This Row],[Tech Start Date]]&lt;1/1/1990,"",IF(Main[[#This Row],[Class]]="C",WORKDAY(Main[[#This Row],[Tech Start Date]],28),IF(Main[[#This Row],[Class]]="B", WORKDAY(Main[[#This Row],[Tech Start Date]],19),IF(Main[[#This Row],[Class]]="A",WORKDAY(Main[[#This Row],[Tech Start Date]],9),""))))</f>
        <v/>
      </c>
      <c r="Q462" s="101">
        <v>40057</v>
      </c>
      <c r="R462" s="101">
        <v>40908</v>
      </c>
      <c r="S462" s="99" t="s">
        <v>17</v>
      </c>
      <c r="T462" s="107" t="s">
        <v>4</v>
      </c>
      <c r="U462" s="99" t="s">
        <v>29</v>
      </c>
      <c r="V462" s="99" t="s">
        <v>1965</v>
      </c>
      <c r="W462" s="99" t="s">
        <v>1967</v>
      </c>
    </row>
    <row r="463" spans="1:23" ht="18.600000000000001" customHeight="1">
      <c r="A463" s="123" t="str">
        <f>IF(priority(Main[[#This Row],[Comments]])&lt;&gt;0, priority(Main[[#This Row],[Comments]]),"")</f>
        <v/>
      </c>
      <c r="B463" s="127" t="s">
        <v>2140</v>
      </c>
      <c r="C463" s="99" t="s">
        <v>974</v>
      </c>
      <c r="D463" s="100" t="s">
        <v>2141</v>
      </c>
      <c r="E463" s="101"/>
      <c r="F463" s="101">
        <v>40871</v>
      </c>
      <c r="G463" s="102" t="str">
        <f>IF(stdProdLT(Main[[#This Row],[Comments]])=0.1,"N/A",IF(stdProdLT(Main[[#This Row],[Comments]])=0,"",stdProdLT(Main[[#This Row],[Comments]])))</f>
        <v/>
      </c>
      <c r="H463" s="103" t="str">
        <f>IF(AND(Main[[#This Row],[In Stock Date]]&lt;&gt;"",Main[[#This Row],[Revised Due Date]]&lt;&gt;""),Main[[#This Row],[In Stock Date]]-Main[[#This Row],[Revised Due Date]],"")</f>
        <v/>
      </c>
      <c r="I463" s="99" t="s">
        <v>4</v>
      </c>
      <c r="J463" s="99" t="s">
        <v>4</v>
      </c>
      <c r="K463" s="99" t="s">
        <v>4</v>
      </c>
      <c r="L463" s="101"/>
      <c r="M463" s="104" t="str">
        <f>IF(Main[[#This Row],[Tech Start Date]]&lt;1/1/1990,"",IF(Main[[#This Row],[Class]]="C",WORKDAY(Main[[#This Row],[Tech Start Date]],9),IF(Main[[#This Row],[Class]]="B", WORKDAY(Main[[#This Row],[Tech Start Date]],6),IF(Main[[#This Row],[Class]]="A",WORKDAY(Main[[#This Row],[Tech Start Date]],2),""))))</f>
        <v/>
      </c>
      <c r="N463" s="104" t="str">
        <f>IF(Main[[#This Row],[Tech Start Date]]&lt;1/1/1990,"",IF(Main[[#This Row],[Class]]="C",WORKDAY(Main[[#This Row],[Tech Start Date]],19),IF(Main[[#This Row],[Class]]="B", WORKDAY(Main[[#This Row],[Tech Start Date]],12),IF(Main[[#This Row],[Class]]="A",WORKDAY(Main[[#This Row],[Tech Start Date]],4),""))))</f>
        <v/>
      </c>
      <c r="O463" s="104" t="str">
        <f>IF(Main[[#This Row],[Tech Start Date]]&lt;1/1/1990,"",IF(Main[[#This Row],[Class]]="C",WORKDAY(Main[[#This Row],[Tech Start Date]],23),IF(Main[[#This Row],[Class]]="B", WORKDAY(Main[[#This Row],[Tech Start Date]],15),IF(Main[[#This Row],[Class]]="A",WORKDAY(Main[[#This Row],[Tech Start Date]],5),""))))</f>
        <v/>
      </c>
      <c r="P463" s="104" t="str">
        <f>IF(Main[[#This Row],[Tech Start Date]]&lt;1/1/1990,"",IF(Main[[#This Row],[Class]]="C",WORKDAY(Main[[#This Row],[Tech Start Date]],28),IF(Main[[#This Row],[Class]]="B", WORKDAY(Main[[#This Row],[Tech Start Date]],19),IF(Main[[#This Row],[Class]]="A",WORKDAY(Main[[#This Row],[Tech Start Date]],9),""))))</f>
        <v/>
      </c>
      <c r="Q463" s="101"/>
      <c r="R463" s="101"/>
      <c r="S463" s="99" t="s">
        <v>11</v>
      </c>
      <c r="T463" s="107" t="s">
        <v>4</v>
      </c>
      <c r="U463" s="99" t="s">
        <v>14</v>
      </c>
      <c r="V463" s="99" t="s">
        <v>1965</v>
      </c>
      <c r="W463" s="99" t="s">
        <v>1970</v>
      </c>
    </row>
    <row r="464" spans="1:23" ht="18.600000000000001" customHeight="1">
      <c r="A464" s="123" t="str">
        <f>IF(priority(Main[[#This Row],[Comments]])&lt;&gt;0, priority(Main[[#This Row],[Comments]]),"")</f>
        <v/>
      </c>
      <c r="B464" s="127" t="s">
        <v>1338</v>
      </c>
      <c r="C464" s="99" t="s">
        <v>381</v>
      </c>
      <c r="D464" s="100" t="s">
        <v>382</v>
      </c>
      <c r="E464" s="101">
        <v>39952.325474537036</v>
      </c>
      <c r="F464" s="101"/>
      <c r="G464" s="102" t="str">
        <f>IF(stdProdLT(Main[[#This Row],[Comments]])=0.1,"N/A",IF(stdProdLT(Main[[#This Row],[Comments]])=0,"",stdProdLT(Main[[#This Row],[Comments]])))</f>
        <v/>
      </c>
      <c r="H464" s="103" t="str">
        <f>IF(AND(Main[[#This Row],[In Stock Date]]&lt;&gt;"",Main[[#This Row],[Revised Due Date]]&lt;&gt;""),Main[[#This Row],[In Stock Date]]-Main[[#This Row],[Revised Due Date]],"")</f>
        <v/>
      </c>
      <c r="I464" s="99" t="s">
        <v>4</v>
      </c>
      <c r="J464" s="99" t="s">
        <v>4</v>
      </c>
      <c r="K464" s="99" t="s">
        <v>4</v>
      </c>
      <c r="L464" s="101"/>
      <c r="M464" s="104" t="str">
        <f>IF(Main[[#This Row],[Tech Start Date]]&lt;1/1/1990,"",IF(Main[[#This Row],[Class]]="C",WORKDAY(Main[[#This Row],[Tech Start Date]],9),IF(Main[[#This Row],[Class]]="B", WORKDAY(Main[[#This Row],[Tech Start Date]],6),IF(Main[[#This Row],[Class]]="A",WORKDAY(Main[[#This Row],[Tech Start Date]],2),""))))</f>
        <v/>
      </c>
      <c r="N464" s="104" t="str">
        <f>IF(Main[[#This Row],[Tech Start Date]]&lt;1/1/1990,"",IF(Main[[#This Row],[Class]]="C",WORKDAY(Main[[#This Row],[Tech Start Date]],19),IF(Main[[#This Row],[Class]]="B", WORKDAY(Main[[#This Row],[Tech Start Date]],12),IF(Main[[#This Row],[Class]]="A",WORKDAY(Main[[#This Row],[Tech Start Date]],4),""))))</f>
        <v/>
      </c>
      <c r="O464" s="104" t="str">
        <f>IF(Main[[#This Row],[Tech Start Date]]&lt;1/1/1990,"",IF(Main[[#This Row],[Class]]="C",WORKDAY(Main[[#This Row],[Tech Start Date]],23),IF(Main[[#This Row],[Class]]="B", WORKDAY(Main[[#This Row],[Tech Start Date]],15),IF(Main[[#This Row],[Class]]="A",WORKDAY(Main[[#This Row],[Tech Start Date]],5),""))))</f>
        <v/>
      </c>
      <c r="P464" s="104" t="str">
        <f>IF(Main[[#This Row],[Tech Start Date]]&lt;1/1/1990,"",IF(Main[[#This Row],[Class]]="C",WORKDAY(Main[[#This Row],[Tech Start Date]],28),IF(Main[[#This Row],[Class]]="B", WORKDAY(Main[[#This Row],[Tech Start Date]],19),IF(Main[[#This Row],[Class]]="A",WORKDAY(Main[[#This Row],[Tech Start Date]],9),""))))</f>
        <v/>
      </c>
      <c r="Q464" s="101"/>
      <c r="R464" s="101"/>
      <c r="S464" s="99" t="s">
        <v>17</v>
      </c>
      <c r="T464" s="107" t="s">
        <v>4</v>
      </c>
      <c r="U464" s="99" t="s">
        <v>7</v>
      </c>
      <c r="V464" s="99" t="s">
        <v>1965</v>
      </c>
      <c r="W464" s="99" t="s">
        <v>4</v>
      </c>
    </row>
    <row r="465" spans="1:23" ht="18.600000000000001" customHeight="1">
      <c r="A465" s="123" t="str">
        <f>IF(priority(Main[[#This Row],[Comments]])&lt;&gt;0, priority(Main[[#This Row],[Comments]]),"")</f>
        <v/>
      </c>
      <c r="B465" s="127" t="s">
        <v>1339</v>
      </c>
      <c r="C465" s="99" t="s">
        <v>383</v>
      </c>
      <c r="D465" s="100" t="s">
        <v>384</v>
      </c>
      <c r="E465" s="101"/>
      <c r="F465" s="101">
        <v>40228</v>
      </c>
      <c r="G465" s="102" t="str">
        <f>IF(stdProdLT(Main[[#This Row],[Comments]])=0.1,"N/A",IF(stdProdLT(Main[[#This Row],[Comments]])=0,"",stdProdLT(Main[[#This Row],[Comments]])))</f>
        <v/>
      </c>
      <c r="H465" s="103" t="str">
        <f>IF(AND(Main[[#This Row],[In Stock Date]]&lt;&gt;"",Main[[#This Row],[Revised Due Date]]&lt;&gt;""),Main[[#This Row],[In Stock Date]]-Main[[#This Row],[Revised Due Date]],"")</f>
        <v/>
      </c>
      <c r="I465" s="99" t="s">
        <v>4</v>
      </c>
      <c r="J465" s="99" t="s">
        <v>4</v>
      </c>
      <c r="K465" s="99" t="s">
        <v>4</v>
      </c>
      <c r="L465" s="101"/>
      <c r="M465" s="104" t="str">
        <f>IF(Main[[#This Row],[Tech Start Date]]&lt;1/1/1990,"",IF(Main[[#This Row],[Class]]="C",WORKDAY(Main[[#This Row],[Tech Start Date]],9),IF(Main[[#This Row],[Class]]="B", WORKDAY(Main[[#This Row],[Tech Start Date]],6),IF(Main[[#This Row],[Class]]="A",WORKDAY(Main[[#This Row],[Tech Start Date]],2),""))))</f>
        <v/>
      </c>
      <c r="N465" s="104" t="str">
        <f>IF(Main[[#This Row],[Tech Start Date]]&lt;1/1/1990,"",IF(Main[[#This Row],[Class]]="C",WORKDAY(Main[[#This Row],[Tech Start Date]],19),IF(Main[[#This Row],[Class]]="B", WORKDAY(Main[[#This Row],[Tech Start Date]],12),IF(Main[[#This Row],[Class]]="A",WORKDAY(Main[[#This Row],[Tech Start Date]],4),""))))</f>
        <v/>
      </c>
      <c r="O465" s="104" t="str">
        <f>IF(Main[[#This Row],[Tech Start Date]]&lt;1/1/1990,"",IF(Main[[#This Row],[Class]]="C",WORKDAY(Main[[#This Row],[Tech Start Date]],23),IF(Main[[#This Row],[Class]]="B", WORKDAY(Main[[#This Row],[Tech Start Date]],15),IF(Main[[#This Row],[Class]]="A",WORKDAY(Main[[#This Row],[Tech Start Date]],5),""))))</f>
        <v/>
      </c>
      <c r="P465" s="104" t="str">
        <f>IF(Main[[#This Row],[Tech Start Date]]&lt;1/1/1990,"",IF(Main[[#This Row],[Class]]="C",WORKDAY(Main[[#This Row],[Tech Start Date]],28),IF(Main[[#This Row],[Class]]="B", WORKDAY(Main[[#This Row],[Tech Start Date]],19),IF(Main[[#This Row],[Class]]="A",WORKDAY(Main[[#This Row],[Tech Start Date]],9),""))))</f>
        <v/>
      </c>
      <c r="Q465" s="101">
        <v>40153</v>
      </c>
      <c r="R465" s="101"/>
      <c r="S465" s="99" t="s">
        <v>11</v>
      </c>
      <c r="T465" s="107" t="s">
        <v>4</v>
      </c>
      <c r="U465" s="99" t="s">
        <v>14</v>
      </c>
      <c r="V465" s="99" t="s">
        <v>1965</v>
      </c>
      <c r="W465" s="99" t="s">
        <v>1970</v>
      </c>
    </row>
    <row r="466" spans="1:23" ht="18.600000000000001" customHeight="1">
      <c r="A466" s="123" t="str">
        <f>IF(priority(Main[[#This Row],[Comments]])&lt;&gt;0, priority(Main[[#This Row],[Comments]]),"")</f>
        <v/>
      </c>
      <c r="B466" s="127" t="s">
        <v>1341</v>
      </c>
      <c r="C466" s="99" t="s">
        <v>385</v>
      </c>
      <c r="D466" s="100" t="s">
        <v>386</v>
      </c>
      <c r="E466" s="101"/>
      <c r="F466" s="101"/>
      <c r="G466" s="102" t="str">
        <f>IF(stdProdLT(Main[[#This Row],[Comments]])=0.1,"N/A",IF(stdProdLT(Main[[#This Row],[Comments]])=0,"",stdProdLT(Main[[#This Row],[Comments]])))</f>
        <v/>
      </c>
      <c r="H466" s="103" t="str">
        <f>IF(AND(Main[[#This Row],[In Stock Date]]&lt;&gt;"",Main[[#This Row],[Revised Due Date]]&lt;&gt;""),Main[[#This Row],[In Stock Date]]-Main[[#This Row],[Revised Due Date]],"")</f>
        <v/>
      </c>
      <c r="I466" s="99" t="s">
        <v>4</v>
      </c>
      <c r="J466" s="99" t="s">
        <v>4</v>
      </c>
      <c r="K466" s="99" t="s">
        <v>4</v>
      </c>
      <c r="L466" s="101"/>
      <c r="M466" s="104" t="str">
        <f>IF(Main[[#This Row],[Tech Start Date]]&lt;1/1/1990,"",IF(Main[[#This Row],[Class]]="C",WORKDAY(Main[[#This Row],[Tech Start Date]],9),IF(Main[[#This Row],[Class]]="B", WORKDAY(Main[[#This Row],[Tech Start Date]],6),IF(Main[[#This Row],[Class]]="A",WORKDAY(Main[[#This Row],[Tech Start Date]],2),""))))</f>
        <v/>
      </c>
      <c r="N466" s="104" t="str">
        <f>IF(Main[[#This Row],[Tech Start Date]]&lt;1/1/1990,"",IF(Main[[#This Row],[Class]]="C",WORKDAY(Main[[#This Row],[Tech Start Date]],19),IF(Main[[#This Row],[Class]]="B", WORKDAY(Main[[#This Row],[Tech Start Date]],12),IF(Main[[#This Row],[Class]]="A",WORKDAY(Main[[#This Row],[Tech Start Date]],4),""))))</f>
        <v/>
      </c>
      <c r="O466" s="104" t="str">
        <f>IF(Main[[#This Row],[Tech Start Date]]&lt;1/1/1990,"",IF(Main[[#This Row],[Class]]="C",WORKDAY(Main[[#This Row],[Tech Start Date]],23),IF(Main[[#This Row],[Class]]="B", WORKDAY(Main[[#This Row],[Tech Start Date]],15),IF(Main[[#This Row],[Class]]="A",WORKDAY(Main[[#This Row],[Tech Start Date]],5),""))))</f>
        <v/>
      </c>
      <c r="P466" s="104" t="str">
        <f>IF(Main[[#This Row],[Tech Start Date]]&lt;1/1/1990,"",IF(Main[[#This Row],[Class]]="C",WORKDAY(Main[[#This Row],[Tech Start Date]],28),IF(Main[[#This Row],[Class]]="B", WORKDAY(Main[[#This Row],[Tech Start Date]],19),IF(Main[[#This Row],[Class]]="A",WORKDAY(Main[[#This Row],[Tech Start Date]],9),""))))</f>
        <v/>
      </c>
      <c r="Q466" s="101"/>
      <c r="R466" s="101"/>
      <c r="S466" s="99" t="s">
        <v>11</v>
      </c>
      <c r="T466" s="107" t="s">
        <v>4</v>
      </c>
      <c r="U466" s="99" t="s">
        <v>14</v>
      </c>
      <c r="V466" s="99" t="s">
        <v>1963</v>
      </c>
      <c r="W466" s="99" t="s">
        <v>1970</v>
      </c>
    </row>
    <row r="467" spans="1:23" ht="18.600000000000001" customHeight="1">
      <c r="A467" s="123" t="str">
        <f>IF(priority(Main[[#This Row],[Comments]])&lt;&gt;0, priority(Main[[#This Row],[Comments]]),"")</f>
        <v/>
      </c>
      <c r="B467" s="127" t="s">
        <v>1342</v>
      </c>
      <c r="C467" s="99" t="s">
        <v>387</v>
      </c>
      <c r="D467" s="100" t="s">
        <v>388</v>
      </c>
      <c r="E467" s="101"/>
      <c r="F467" s="101"/>
      <c r="G467" s="102" t="str">
        <f>IF(stdProdLT(Main[[#This Row],[Comments]])=0.1,"N/A",IF(stdProdLT(Main[[#This Row],[Comments]])=0,"",stdProdLT(Main[[#This Row],[Comments]])))</f>
        <v/>
      </c>
      <c r="H467" s="103" t="str">
        <f>IF(AND(Main[[#This Row],[In Stock Date]]&lt;&gt;"",Main[[#This Row],[Revised Due Date]]&lt;&gt;""),Main[[#This Row],[In Stock Date]]-Main[[#This Row],[Revised Due Date]],"")</f>
        <v/>
      </c>
      <c r="I467" s="99" t="s">
        <v>4</v>
      </c>
      <c r="J467" s="99" t="s">
        <v>4</v>
      </c>
      <c r="K467" s="99" t="s">
        <v>4</v>
      </c>
      <c r="L467" s="101"/>
      <c r="M467" s="104" t="str">
        <f>IF(Main[[#This Row],[Tech Start Date]]&lt;1/1/1990,"",IF(Main[[#This Row],[Class]]="C",WORKDAY(Main[[#This Row],[Tech Start Date]],9),IF(Main[[#This Row],[Class]]="B", WORKDAY(Main[[#This Row],[Tech Start Date]],6),IF(Main[[#This Row],[Class]]="A",WORKDAY(Main[[#This Row],[Tech Start Date]],2),""))))</f>
        <v/>
      </c>
      <c r="N467" s="104" t="str">
        <f>IF(Main[[#This Row],[Tech Start Date]]&lt;1/1/1990,"",IF(Main[[#This Row],[Class]]="C",WORKDAY(Main[[#This Row],[Tech Start Date]],19),IF(Main[[#This Row],[Class]]="B", WORKDAY(Main[[#This Row],[Tech Start Date]],12),IF(Main[[#This Row],[Class]]="A",WORKDAY(Main[[#This Row],[Tech Start Date]],4),""))))</f>
        <v/>
      </c>
      <c r="O467" s="104" t="str">
        <f>IF(Main[[#This Row],[Tech Start Date]]&lt;1/1/1990,"",IF(Main[[#This Row],[Class]]="C",WORKDAY(Main[[#This Row],[Tech Start Date]],23),IF(Main[[#This Row],[Class]]="B", WORKDAY(Main[[#This Row],[Tech Start Date]],15),IF(Main[[#This Row],[Class]]="A",WORKDAY(Main[[#This Row],[Tech Start Date]],5),""))))</f>
        <v/>
      </c>
      <c r="P467" s="104" t="str">
        <f>IF(Main[[#This Row],[Tech Start Date]]&lt;1/1/1990,"",IF(Main[[#This Row],[Class]]="C",WORKDAY(Main[[#This Row],[Tech Start Date]],28),IF(Main[[#This Row],[Class]]="B", WORKDAY(Main[[#This Row],[Tech Start Date]],19),IF(Main[[#This Row],[Class]]="A",WORKDAY(Main[[#This Row],[Tech Start Date]],9),""))))</f>
        <v/>
      </c>
      <c r="Q467" s="101"/>
      <c r="R467" s="101"/>
      <c r="S467" s="99" t="s">
        <v>11</v>
      </c>
      <c r="T467" s="107" t="s">
        <v>4</v>
      </c>
      <c r="U467" s="99" t="s">
        <v>14</v>
      </c>
      <c r="V467" s="99" t="s">
        <v>1963</v>
      </c>
      <c r="W467" s="99" t="s">
        <v>1970</v>
      </c>
    </row>
    <row r="468" spans="1:23" ht="18.600000000000001" customHeight="1">
      <c r="A468" s="123" t="str">
        <f>IF(priority(Main[[#This Row],[Comments]])&lt;&gt;0, priority(Main[[#This Row],[Comments]]),"")</f>
        <v/>
      </c>
      <c r="B468" s="127" t="s">
        <v>1953</v>
      </c>
      <c r="C468" s="99" t="s">
        <v>31</v>
      </c>
      <c r="D468" s="100" t="s">
        <v>978</v>
      </c>
      <c r="E468" s="101">
        <v>40528.412233796298</v>
      </c>
      <c r="F468" s="101">
        <v>40634</v>
      </c>
      <c r="G468" s="102" t="str">
        <f>IF(stdProdLT(Main[[#This Row],[Comments]])=0.1,"N/A",IF(stdProdLT(Main[[#This Row],[Comments]])=0,"",stdProdLT(Main[[#This Row],[Comments]])))</f>
        <v/>
      </c>
      <c r="H468" s="103">
        <f>IF(AND(Main[[#This Row],[In Stock Date]]&lt;&gt;"",Main[[#This Row],[Revised Due Date]]&lt;&gt;""),Main[[#This Row],[In Stock Date]]-Main[[#This Row],[Revised Due Date]],"")</f>
        <v>-255</v>
      </c>
      <c r="I468" s="99" t="s">
        <v>437</v>
      </c>
      <c r="J468" s="99" t="s">
        <v>28</v>
      </c>
      <c r="K468" s="99" t="s">
        <v>1974</v>
      </c>
      <c r="L468" s="101"/>
      <c r="M468" s="104" t="str">
        <f>IF(Main[[#This Row],[Tech Start Date]]&lt;1/1/1990,"",IF(Main[[#This Row],[Class]]="C",WORKDAY(Main[[#This Row],[Tech Start Date]],9),IF(Main[[#This Row],[Class]]="B", WORKDAY(Main[[#This Row],[Tech Start Date]],6),IF(Main[[#This Row],[Class]]="A",WORKDAY(Main[[#This Row],[Tech Start Date]],2),""))))</f>
        <v/>
      </c>
      <c r="N468" s="104" t="str">
        <f>IF(Main[[#This Row],[Tech Start Date]]&lt;1/1/1990,"",IF(Main[[#This Row],[Class]]="C",WORKDAY(Main[[#This Row],[Tech Start Date]],19),IF(Main[[#This Row],[Class]]="B", WORKDAY(Main[[#This Row],[Tech Start Date]],12),IF(Main[[#This Row],[Class]]="A",WORKDAY(Main[[#This Row],[Tech Start Date]],4),""))))</f>
        <v/>
      </c>
      <c r="O468" s="104" t="str">
        <f>IF(Main[[#This Row],[Tech Start Date]]&lt;1/1/1990,"",IF(Main[[#This Row],[Class]]="C",WORKDAY(Main[[#This Row],[Tech Start Date]],23),IF(Main[[#This Row],[Class]]="B", WORKDAY(Main[[#This Row],[Tech Start Date]],15),IF(Main[[#This Row],[Class]]="A",WORKDAY(Main[[#This Row],[Tech Start Date]],5),""))))</f>
        <v/>
      </c>
      <c r="P468" s="104" t="str">
        <f>IF(Main[[#This Row],[Tech Start Date]]&lt;1/1/1990,"",IF(Main[[#This Row],[Class]]="C",WORKDAY(Main[[#This Row],[Tech Start Date]],28),IF(Main[[#This Row],[Class]]="B", WORKDAY(Main[[#This Row],[Tech Start Date]],19),IF(Main[[#This Row],[Class]]="A",WORKDAY(Main[[#This Row],[Tech Start Date]],9),""))))</f>
        <v/>
      </c>
      <c r="Q468" s="101">
        <v>40634</v>
      </c>
      <c r="R468" s="101">
        <v>40889</v>
      </c>
      <c r="S468" s="99" t="s">
        <v>17</v>
      </c>
      <c r="T468" s="107" t="s">
        <v>4</v>
      </c>
      <c r="U468" s="99" t="s">
        <v>29</v>
      </c>
      <c r="V468" s="99" t="s">
        <v>1965</v>
      </c>
      <c r="W468" s="99" t="s">
        <v>1973</v>
      </c>
    </row>
    <row r="469" spans="1:23" ht="18.600000000000001" customHeight="1">
      <c r="A469" s="123" t="str">
        <f>IF(priority(Main[[#This Row],[Comments]])&lt;&gt;0, priority(Main[[#This Row],[Comments]]),"")</f>
        <v/>
      </c>
      <c r="B469" s="127" t="s">
        <v>1364</v>
      </c>
      <c r="C469" s="99" t="s">
        <v>93</v>
      </c>
      <c r="D469" s="100" t="s">
        <v>389</v>
      </c>
      <c r="E469" s="101"/>
      <c r="F469" s="101">
        <v>40299</v>
      </c>
      <c r="G469" s="102" t="str">
        <f>IF(stdProdLT(Main[[#This Row],[Comments]])=0.1,"N/A",IF(stdProdLT(Main[[#This Row],[Comments]])=0,"",stdProdLT(Main[[#This Row],[Comments]])))</f>
        <v/>
      </c>
      <c r="H469" s="103" t="str">
        <f>IF(AND(Main[[#This Row],[In Stock Date]]&lt;&gt;"",Main[[#This Row],[Revised Due Date]]&lt;&gt;""),Main[[#This Row],[In Stock Date]]-Main[[#This Row],[Revised Due Date]],"")</f>
        <v/>
      </c>
      <c r="I469" s="99" t="s">
        <v>4</v>
      </c>
      <c r="J469" s="99" t="s">
        <v>4</v>
      </c>
      <c r="K469" s="99" t="s">
        <v>4</v>
      </c>
      <c r="L469" s="101"/>
      <c r="M469" s="104" t="str">
        <f>IF(Main[[#This Row],[Tech Start Date]]&lt;1/1/1990,"",IF(Main[[#This Row],[Class]]="C",WORKDAY(Main[[#This Row],[Tech Start Date]],9),IF(Main[[#This Row],[Class]]="B", WORKDAY(Main[[#This Row],[Tech Start Date]],6),IF(Main[[#This Row],[Class]]="A",WORKDAY(Main[[#This Row],[Tech Start Date]],2),""))))</f>
        <v/>
      </c>
      <c r="N469" s="104" t="str">
        <f>IF(Main[[#This Row],[Tech Start Date]]&lt;1/1/1990,"",IF(Main[[#This Row],[Class]]="C",WORKDAY(Main[[#This Row],[Tech Start Date]],19),IF(Main[[#This Row],[Class]]="B", WORKDAY(Main[[#This Row],[Tech Start Date]],12),IF(Main[[#This Row],[Class]]="A",WORKDAY(Main[[#This Row],[Tech Start Date]],4),""))))</f>
        <v/>
      </c>
      <c r="O469" s="104" t="str">
        <f>IF(Main[[#This Row],[Tech Start Date]]&lt;1/1/1990,"",IF(Main[[#This Row],[Class]]="C",WORKDAY(Main[[#This Row],[Tech Start Date]],23),IF(Main[[#This Row],[Class]]="B", WORKDAY(Main[[#This Row],[Tech Start Date]],15),IF(Main[[#This Row],[Class]]="A",WORKDAY(Main[[#This Row],[Tech Start Date]],5),""))))</f>
        <v/>
      </c>
      <c r="P469" s="104" t="str">
        <f>IF(Main[[#This Row],[Tech Start Date]]&lt;1/1/1990,"",IF(Main[[#This Row],[Class]]="C",WORKDAY(Main[[#This Row],[Tech Start Date]],28),IF(Main[[#This Row],[Class]]="B", WORKDAY(Main[[#This Row],[Tech Start Date]],19),IF(Main[[#This Row],[Class]]="A",WORKDAY(Main[[#This Row],[Tech Start Date]],9),""))))</f>
        <v/>
      </c>
      <c r="Q469" s="101">
        <v>40209</v>
      </c>
      <c r="R469" s="101"/>
      <c r="S469" s="99" t="s">
        <v>11</v>
      </c>
      <c r="T469" s="107" t="s">
        <v>4</v>
      </c>
      <c r="U469" s="99" t="s">
        <v>14</v>
      </c>
      <c r="V469" s="99" t="s">
        <v>1962</v>
      </c>
      <c r="W469" s="99" t="s">
        <v>1973</v>
      </c>
    </row>
    <row r="470" spans="1:23" ht="18.600000000000001" customHeight="1">
      <c r="A470" s="123" t="str">
        <f>IF(priority(Main[[#This Row],[Comments]])&lt;&gt;0, priority(Main[[#This Row],[Comments]]),"")</f>
        <v/>
      </c>
      <c r="B470" s="127" t="s">
        <v>2144</v>
      </c>
      <c r="C470" s="99" t="s">
        <v>4</v>
      </c>
      <c r="D470" s="100" t="s">
        <v>2145</v>
      </c>
      <c r="E470" s="101">
        <v>40763.356041666666</v>
      </c>
      <c r="F470" s="101"/>
      <c r="G470" s="102" t="str">
        <f>IF(stdProdLT(Main[[#This Row],[Comments]])=0.1,"N/A",IF(stdProdLT(Main[[#This Row],[Comments]])=0,"",stdProdLT(Main[[#This Row],[Comments]])))</f>
        <v/>
      </c>
      <c r="H470" s="103" t="str">
        <f>IF(AND(Main[[#This Row],[In Stock Date]]&lt;&gt;"",Main[[#This Row],[Revised Due Date]]&lt;&gt;""),Main[[#This Row],[In Stock Date]]-Main[[#This Row],[Revised Due Date]],"")</f>
        <v/>
      </c>
      <c r="I470" s="99" t="s">
        <v>929</v>
      </c>
      <c r="J470" s="99" t="s">
        <v>52</v>
      </c>
      <c r="K470" s="99" t="s">
        <v>4</v>
      </c>
      <c r="L470" s="101"/>
      <c r="M470" s="104" t="str">
        <f>IF(Main[[#This Row],[Tech Start Date]]&lt;1/1/1990,"",IF(Main[[#This Row],[Class]]="C",WORKDAY(Main[[#This Row],[Tech Start Date]],9),IF(Main[[#This Row],[Class]]="B", WORKDAY(Main[[#This Row],[Tech Start Date]],6),IF(Main[[#This Row],[Class]]="A",WORKDAY(Main[[#This Row],[Tech Start Date]],2),""))))</f>
        <v/>
      </c>
      <c r="N470" s="104" t="str">
        <f>IF(Main[[#This Row],[Tech Start Date]]&lt;1/1/1990,"",IF(Main[[#This Row],[Class]]="C",WORKDAY(Main[[#This Row],[Tech Start Date]],19),IF(Main[[#This Row],[Class]]="B", WORKDAY(Main[[#This Row],[Tech Start Date]],12),IF(Main[[#This Row],[Class]]="A",WORKDAY(Main[[#This Row],[Tech Start Date]],4),""))))</f>
        <v/>
      </c>
      <c r="O470" s="104" t="str">
        <f>IF(Main[[#This Row],[Tech Start Date]]&lt;1/1/1990,"",IF(Main[[#This Row],[Class]]="C",WORKDAY(Main[[#This Row],[Tech Start Date]],23),IF(Main[[#This Row],[Class]]="B", WORKDAY(Main[[#This Row],[Tech Start Date]],15),IF(Main[[#This Row],[Class]]="A",WORKDAY(Main[[#This Row],[Tech Start Date]],5),""))))</f>
        <v/>
      </c>
      <c r="P470" s="104" t="str">
        <f>IF(Main[[#This Row],[Tech Start Date]]&lt;1/1/1990,"",IF(Main[[#This Row],[Class]]="C",WORKDAY(Main[[#This Row],[Tech Start Date]],28),IF(Main[[#This Row],[Class]]="B", WORKDAY(Main[[#This Row],[Tech Start Date]],19),IF(Main[[#This Row],[Class]]="A",WORKDAY(Main[[#This Row],[Tech Start Date]],9),""))))</f>
        <v/>
      </c>
      <c r="Q470" s="101">
        <v>40787</v>
      </c>
      <c r="R470" s="101"/>
      <c r="S470" s="99" t="s">
        <v>6</v>
      </c>
      <c r="T470" s="107" t="s">
        <v>4</v>
      </c>
      <c r="U470" s="99" t="s">
        <v>29</v>
      </c>
      <c r="V470" s="99" t="s">
        <v>1962</v>
      </c>
      <c r="W470" s="99" t="s">
        <v>4</v>
      </c>
    </row>
    <row r="471" spans="1:23" ht="18.600000000000001" customHeight="1">
      <c r="A471" s="123" t="str">
        <f>IF(priority(Main[[#This Row],[Comments]])&lt;&gt;0, priority(Main[[#This Row],[Comments]]),"")</f>
        <v/>
      </c>
      <c r="B471" s="127" t="s">
        <v>1702</v>
      </c>
      <c r="C471" s="99" t="s">
        <v>4</v>
      </c>
      <c r="D471" s="100" t="s">
        <v>737</v>
      </c>
      <c r="E471" s="101"/>
      <c r="F471" s="101"/>
      <c r="G471" s="102" t="str">
        <f>IF(stdProdLT(Main[[#This Row],[Comments]])=0.1,"N/A",IF(stdProdLT(Main[[#This Row],[Comments]])=0,"",stdProdLT(Main[[#This Row],[Comments]])))</f>
        <v/>
      </c>
      <c r="H471" s="103" t="str">
        <f>IF(AND(Main[[#This Row],[In Stock Date]]&lt;&gt;"",Main[[#This Row],[Revised Due Date]]&lt;&gt;""),Main[[#This Row],[In Stock Date]]-Main[[#This Row],[Revised Due Date]],"")</f>
        <v/>
      </c>
      <c r="I471" s="99" t="s">
        <v>911</v>
      </c>
      <c r="J471" s="99" t="s">
        <v>52</v>
      </c>
      <c r="K471" s="108" t="s">
        <v>1971</v>
      </c>
      <c r="L471" s="101"/>
      <c r="M471" s="104" t="str">
        <f>IF(Main[[#This Row],[Tech Start Date]]&lt;1/1/1990,"",IF(Main[[#This Row],[Class]]="C",WORKDAY(Main[[#This Row],[Tech Start Date]],9),IF(Main[[#This Row],[Class]]="B", WORKDAY(Main[[#This Row],[Tech Start Date]],6),IF(Main[[#This Row],[Class]]="A",WORKDAY(Main[[#This Row],[Tech Start Date]],2),""))))</f>
        <v/>
      </c>
      <c r="N471" s="104" t="str">
        <f>IF(Main[[#This Row],[Tech Start Date]]&lt;1/1/1990,"",IF(Main[[#This Row],[Class]]="C",WORKDAY(Main[[#This Row],[Tech Start Date]],19),IF(Main[[#This Row],[Class]]="B", WORKDAY(Main[[#This Row],[Tech Start Date]],12),IF(Main[[#This Row],[Class]]="A",WORKDAY(Main[[#This Row],[Tech Start Date]],4),""))))</f>
        <v/>
      </c>
      <c r="O471" s="104" t="str">
        <f>IF(Main[[#This Row],[Tech Start Date]]&lt;1/1/1990,"",IF(Main[[#This Row],[Class]]="C",WORKDAY(Main[[#This Row],[Tech Start Date]],23),IF(Main[[#This Row],[Class]]="B", WORKDAY(Main[[#This Row],[Tech Start Date]],15),IF(Main[[#This Row],[Class]]="A",WORKDAY(Main[[#This Row],[Tech Start Date]],5),""))))</f>
        <v/>
      </c>
      <c r="P471" s="104" t="str">
        <f>IF(Main[[#This Row],[Tech Start Date]]&lt;1/1/1990,"",IF(Main[[#This Row],[Class]]="C",WORKDAY(Main[[#This Row],[Tech Start Date]],28),IF(Main[[#This Row],[Class]]="B", WORKDAY(Main[[#This Row],[Tech Start Date]],19),IF(Main[[#This Row],[Class]]="A",WORKDAY(Main[[#This Row],[Tech Start Date]],9),""))))</f>
        <v/>
      </c>
      <c r="Q471" s="101">
        <v>40581</v>
      </c>
      <c r="R471" s="101"/>
      <c r="S471" s="99" t="s">
        <v>6</v>
      </c>
      <c r="T471" s="107" t="s">
        <v>4</v>
      </c>
      <c r="U471" s="99" t="s">
        <v>14</v>
      </c>
      <c r="V471" s="99" t="s">
        <v>1965</v>
      </c>
      <c r="W471" s="99" t="s">
        <v>1966</v>
      </c>
    </row>
    <row r="472" spans="1:23" ht="18.600000000000001" customHeight="1">
      <c r="A472" s="123" t="str">
        <f>IF(priority(Main[[#This Row],[Comments]])&lt;&gt;0, priority(Main[[#This Row],[Comments]]),"")</f>
        <v/>
      </c>
      <c r="B472" s="127" t="s">
        <v>1365</v>
      </c>
      <c r="C472" s="99" t="s">
        <v>31</v>
      </c>
      <c r="D472" s="100" t="s">
        <v>390</v>
      </c>
      <c r="E472" s="101"/>
      <c r="F472" s="101"/>
      <c r="G472" s="102" t="str">
        <f>IF(stdProdLT(Main[[#This Row],[Comments]])=0.1,"N/A",IF(stdProdLT(Main[[#This Row],[Comments]])=0,"",stdProdLT(Main[[#This Row],[Comments]])))</f>
        <v/>
      </c>
      <c r="H472" s="103" t="str">
        <f>IF(AND(Main[[#This Row],[In Stock Date]]&lt;&gt;"",Main[[#This Row],[Revised Due Date]]&lt;&gt;""),Main[[#This Row],[In Stock Date]]-Main[[#This Row],[Revised Due Date]],"")</f>
        <v/>
      </c>
      <c r="I472" s="99" t="s">
        <v>4</v>
      </c>
      <c r="J472" s="99" t="s">
        <v>4</v>
      </c>
      <c r="K472" s="99" t="s">
        <v>4</v>
      </c>
      <c r="L472" s="101"/>
      <c r="M472" s="104" t="str">
        <f>IF(Main[[#This Row],[Tech Start Date]]&lt;1/1/1990,"",IF(Main[[#This Row],[Class]]="C",WORKDAY(Main[[#This Row],[Tech Start Date]],9),IF(Main[[#This Row],[Class]]="B", WORKDAY(Main[[#This Row],[Tech Start Date]],6),IF(Main[[#This Row],[Class]]="A",WORKDAY(Main[[#This Row],[Tech Start Date]],2),""))))</f>
        <v/>
      </c>
      <c r="N472" s="104" t="str">
        <f>IF(Main[[#This Row],[Tech Start Date]]&lt;1/1/1990,"",IF(Main[[#This Row],[Class]]="C",WORKDAY(Main[[#This Row],[Tech Start Date]],19),IF(Main[[#This Row],[Class]]="B", WORKDAY(Main[[#This Row],[Tech Start Date]],12),IF(Main[[#This Row],[Class]]="A",WORKDAY(Main[[#This Row],[Tech Start Date]],4),""))))</f>
        <v/>
      </c>
      <c r="O472" s="104" t="str">
        <f>IF(Main[[#This Row],[Tech Start Date]]&lt;1/1/1990,"",IF(Main[[#This Row],[Class]]="C",WORKDAY(Main[[#This Row],[Tech Start Date]],23),IF(Main[[#This Row],[Class]]="B", WORKDAY(Main[[#This Row],[Tech Start Date]],15),IF(Main[[#This Row],[Class]]="A",WORKDAY(Main[[#This Row],[Tech Start Date]],5),""))))</f>
        <v/>
      </c>
      <c r="P472" s="104" t="str">
        <f>IF(Main[[#This Row],[Tech Start Date]]&lt;1/1/1990,"",IF(Main[[#This Row],[Class]]="C",WORKDAY(Main[[#This Row],[Tech Start Date]],28),IF(Main[[#This Row],[Class]]="B", WORKDAY(Main[[#This Row],[Tech Start Date]],19),IF(Main[[#This Row],[Class]]="A",WORKDAY(Main[[#This Row],[Tech Start Date]],9),""))))</f>
        <v/>
      </c>
      <c r="Q472" s="101">
        <v>40318</v>
      </c>
      <c r="R472" s="101"/>
      <c r="S472" s="99" t="s">
        <v>11</v>
      </c>
      <c r="T472" s="107" t="s">
        <v>4</v>
      </c>
      <c r="U472" s="99" t="s">
        <v>14</v>
      </c>
      <c r="V472" s="99" t="s">
        <v>1965</v>
      </c>
      <c r="W472" s="99" t="s">
        <v>1964</v>
      </c>
    </row>
    <row r="473" spans="1:23" ht="18.600000000000001" customHeight="1">
      <c r="A473" s="123" t="str">
        <f>IF(priority(Main[[#This Row],[Comments]])&lt;&gt;0, priority(Main[[#This Row],[Comments]]),"")</f>
        <v/>
      </c>
      <c r="B473" s="127" t="s">
        <v>1366</v>
      </c>
      <c r="C473" s="99" t="s">
        <v>31</v>
      </c>
      <c r="D473" s="100" t="s">
        <v>391</v>
      </c>
      <c r="E473" s="101"/>
      <c r="F473" s="101"/>
      <c r="G473" s="102" t="str">
        <f>IF(stdProdLT(Main[[#This Row],[Comments]])=0.1,"N/A",IF(stdProdLT(Main[[#This Row],[Comments]])=0,"",stdProdLT(Main[[#This Row],[Comments]])))</f>
        <v/>
      </c>
      <c r="H473" s="103" t="str">
        <f>IF(AND(Main[[#This Row],[In Stock Date]]&lt;&gt;"",Main[[#This Row],[Revised Due Date]]&lt;&gt;""),Main[[#This Row],[In Stock Date]]-Main[[#This Row],[Revised Due Date]],"")</f>
        <v/>
      </c>
      <c r="I473" s="99" t="s">
        <v>4</v>
      </c>
      <c r="J473" s="99" t="s">
        <v>4</v>
      </c>
      <c r="K473" s="99" t="s">
        <v>4</v>
      </c>
      <c r="L473" s="101"/>
      <c r="M473" s="104" t="str">
        <f>IF(Main[[#This Row],[Tech Start Date]]&lt;1/1/1990,"",IF(Main[[#This Row],[Class]]="C",WORKDAY(Main[[#This Row],[Tech Start Date]],9),IF(Main[[#This Row],[Class]]="B", WORKDAY(Main[[#This Row],[Tech Start Date]],6),IF(Main[[#This Row],[Class]]="A",WORKDAY(Main[[#This Row],[Tech Start Date]],2),""))))</f>
        <v/>
      </c>
      <c r="N473" s="104" t="str">
        <f>IF(Main[[#This Row],[Tech Start Date]]&lt;1/1/1990,"",IF(Main[[#This Row],[Class]]="C",WORKDAY(Main[[#This Row],[Tech Start Date]],19),IF(Main[[#This Row],[Class]]="B", WORKDAY(Main[[#This Row],[Tech Start Date]],12),IF(Main[[#This Row],[Class]]="A",WORKDAY(Main[[#This Row],[Tech Start Date]],4),""))))</f>
        <v/>
      </c>
      <c r="O473" s="104" t="str">
        <f>IF(Main[[#This Row],[Tech Start Date]]&lt;1/1/1990,"",IF(Main[[#This Row],[Class]]="C",WORKDAY(Main[[#This Row],[Tech Start Date]],23),IF(Main[[#This Row],[Class]]="B", WORKDAY(Main[[#This Row],[Tech Start Date]],15),IF(Main[[#This Row],[Class]]="A",WORKDAY(Main[[#This Row],[Tech Start Date]],5),""))))</f>
        <v/>
      </c>
      <c r="P473" s="104" t="str">
        <f>IF(Main[[#This Row],[Tech Start Date]]&lt;1/1/1990,"",IF(Main[[#This Row],[Class]]="C",WORKDAY(Main[[#This Row],[Tech Start Date]],28),IF(Main[[#This Row],[Class]]="B", WORKDAY(Main[[#This Row],[Tech Start Date]],19),IF(Main[[#This Row],[Class]]="A",WORKDAY(Main[[#This Row],[Tech Start Date]],9),""))))</f>
        <v/>
      </c>
      <c r="Q473" s="101">
        <v>40318</v>
      </c>
      <c r="R473" s="101"/>
      <c r="S473" s="99" t="s">
        <v>11</v>
      </c>
      <c r="T473" s="107" t="s">
        <v>4</v>
      </c>
      <c r="U473" s="99" t="s">
        <v>14</v>
      </c>
      <c r="V473" s="99" t="s">
        <v>1972</v>
      </c>
      <c r="W473" s="99" t="s">
        <v>1973</v>
      </c>
    </row>
    <row r="474" spans="1:23" ht="18.600000000000001" customHeight="1">
      <c r="A474" s="123" t="str">
        <f>IF(priority(Main[[#This Row],[Comments]])&lt;&gt;0, priority(Main[[#This Row],[Comments]]),"")</f>
        <v/>
      </c>
      <c r="B474" s="127" t="s">
        <v>2474</v>
      </c>
      <c r="C474" s="99" t="s">
        <v>4</v>
      </c>
      <c r="D474" s="100" t="s">
        <v>2475</v>
      </c>
      <c r="E474" s="101"/>
      <c r="F474" s="101"/>
      <c r="G474" s="102" t="str">
        <f>IF(stdProdLT(Main[[#This Row],[Comments]])=0.1,"N/A",IF(stdProdLT(Main[[#This Row],[Comments]])=0,"",stdProdLT(Main[[#This Row],[Comments]])))</f>
        <v/>
      </c>
      <c r="H474" s="103" t="str">
        <f>IF(AND(Main[[#This Row],[In Stock Date]]&lt;&gt;"",Main[[#This Row],[Revised Due Date]]&lt;&gt;""),Main[[#This Row],[In Stock Date]]-Main[[#This Row],[Revised Due Date]],"")</f>
        <v/>
      </c>
      <c r="I474" s="99" t="s">
        <v>4</v>
      </c>
      <c r="J474" s="99" t="s">
        <v>4</v>
      </c>
      <c r="K474" s="99" t="s">
        <v>4</v>
      </c>
      <c r="L474" s="101"/>
      <c r="M474" s="104" t="str">
        <f>IF(Main[[#This Row],[Tech Start Date]]&lt;1/1/1990,"",IF(Main[[#This Row],[Class]]="C",WORKDAY(Main[[#This Row],[Tech Start Date]],9),IF(Main[[#This Row],[Class]]="B", WORKDAY(Main[[#This Row],[Tech Start Date]],6),IF(Main[[#This Row],[Class]]="A",WORKDAY(Main[[#This Row],[Tech Start Date]],2),""))))</f>
        <v/>
      </c>
      <c r="N474" s="104" t="str">
        <f>IF(Main[[#This Row],[Tech Start Date]]&lt;1/1/1990,"",IF(Main[[#This Row],[Class]]="C",WORKDAY(Main[[#This Row],[Tech Start Date]],19),IF(Main[[#This Row],[Class]]="B", WORKDAY(Main[[#This Row],[Tech Start Date]],12),IF(Main[[#This Row],[Class]]="A",WORKDAY(Main[[#This Row],[Tech Start Date]],4),""))))</f>
        <v/>
      </c>
      <c r="O474" s="104" t="str">
        <f>IF(Main[[#This Row],[Tech Start Date]]&lt;1/1/1990,"",IF(Main[[#This Row],[Class]]="C",WORKDAY(Main[[#This Row],[Tech Start Date]],23),IF(Main[[#This Row],[Class]]="B", WORKDAY(Main[[#This Row],[Tech Start Date]],15),IF(Main[[#This Row],[Class]]="A",WORKDAY(Main[[#This Row],[Tech Start Date]],5),""))))</f>
        <v/>
      </c>
      <c r="P474" s="104" t="str">
        <f>IF(Main[[#This Row],[Tech Start Date]]&lt;1/1/1990,"",IF(Main[[#This Row],[Class]]="C",WORKDAY(Main[[#This Row],[Tech Start Date]],28),IF(Main[[#This Row],[Class]]="B", WORKDAY(Main[[#This Row],[Tech Start Date]],19),IF(Main[[#This Row],[Class]]="A",WORKDAY(Main[[#This Row],[Tech Start Date]],9),""))))</f>
        <v/>
      </c>
      <c r="Q474" s="101"/>
      <c r="R474" s="101"/>
      <c r="S474" s="99" t="s">
        <v>11</v>
      </c>
      <c r="T474" s="107" t="s">
        <v>4</v>
      </c>
      <c r="U474" s="99" t="s">
        <v>14</v>
      </c>
      <c r="V474" s="99" t="s">
        <v>1963</v>
      </c>
      <c r="W474" s="99" t="s">
        <v>4</v>
      </c>
    </row>
    <row r="475" spans="1:23" ht="18.600000000000001" customHeight="1">
      <c r="A475" s="123" t="str">
        <f>IF(priority(Main[[#This Row],[Comments]])&lt;&gt;0, priority(Main[[#This Row],[Comments]]),"")</f>
        <v/>
      </c>
      <c r="B475" s="127" t="s">
        <v>1367</v>
      </c>
      <c r="C475" s="99" t="s">
        <v>31</v>
      </c>
      <c r="D475" s="100" t="s">
        <v>392</v>
      </c>
      <c r="E475" s="101"/>
      <c r="F475" s="101"/>
      <c r="G475" s="102" t="str">
        <f>IF(stdProdLT(Main[[#This Row],[Comments]])=0.1,"N/A",IF(stdProdLT(Main[[#This Row],[Comments]])=0,"",stdProdLT(Main[[#This Row],[Comments]])))</f>
        <v/>
      </c>
      <c r="H475" s="103" t="str">
        <f>IF(AND(Main[[#This Row],[In Stock Date]]&lt;&gt;"",Main[[#This Row],[Revised Due Date]]&lt;&gt;""),Main[[#This Row],[In Stock Date]]-Main[[#This Row],[Revised Due Date]],"")</f>
        <v/>
      </c>
      <c r="I475" s="99" t="s">
        <v>4</v>
      </c>
      <c r="J475" s="99" t="s">
        <v>4</v>
      </c>
      <c r="K475" s="99" t="s">
        <v>4</v>
      </c>
      <c r="L475" s="101"/>
      <c r="M475" s="104" t="str">
        <f>IF(Main[[#This Row],[Tech Start Date]]&lt;1/1/1990,"",IF(Main[[#This Row],[Class]]="C",WORKDAY(Main[[#This Row],[Tech Start Date]],9),IF(Main[[#This Row],[Class]]="B", WORKDAY(Main[[#This Row],[Tech Start Date]],6),IF(Main[[#This Row],[Class]]="A",WORKDAY(Main[[#This Row],[Tech Start Date]],2),""))))</f>
        <v/>
      </c>
      <c r="N475" s="104" t="str">
        <f>IF(Main[[#This Row],[Tech Start Date]]&lt;1/1/1990,"",IF(Main[[#This Row],[Class]]="C",WORKDAY(Main[[#This Row],[Tech Start Date]],19),IF(Main[[#This Row],[Class]]="B", WORKDAY(Main[[#This Row],[Tech Start Date]],12),IF(Main[[#This Row],[Class]]="A",WORKDAY(Main[[#This Row],[Tech Start Date]],4),""))))</f>
        <v/>
      </c>
      <c r="O475" s="104" t="str">
        <f>IF(Main[[#This Row],[Tech Start Date]]&lt;1/1/1990,"",IF(Main[[#This Row],[Class]]="C",WORKDAY(Main[[#This Row],[Tech Start Date]],23),IF(Main[[#This Row],[Class]]="B", WORKDAY(Main[[#This Row],[Tech Start Date]],15),IF(Main[[#This Row],[Class]]="A",WORKDAY(Main[[#This Row],[Tech Start Date]],5),""))))</f>
        <v/>
      </c>
      <c r="P475" s="104" t="str">
        <f>IF(Main[[#This Row],[Tech Start Date]]&lt;1/1/1990,"",IF(Main[[#This Row],[Class]]="C",WORKDAY(Main[[#This Row],[Tech Start Date]],28),IF(Main[[#This Row],[Class]]="B", WORKDAY(Main[[#This Row],[Tech Start Date]],19),IF(Main[[#This Row],[Class]]="A",WORKDAY(Main[[#This Row],[Tech Start Date]],9),""))))</f>
        <v/>
      </c>
      <c r="Q475" s="101">
        <v>40318</v>
      </c>
      <c r="R475" s="101"/>
      <c r="S475" s="99" t="s">
        <v>11</v>
      </c>
      <c r="T475" s="107" t="s">
        <v>4</v>
      </c>
      <c r="U475" s="99" t="s">
        <v>14</v>
      </c>
      <c r="V475" s="99" t="s">
        <v>1972</v>
      </c>
      <c r="W475" s="99" t="s">
        <v>1964</v>
      </c>
    </row>
    <row r="476" spans="1:23" ht="18.600000000000001" customHeight="1">
      <c r="A476" s="123" t="str">
        <f>IF(priority(Main[[#This Row],[Comments]])&lt;&gt;0, priority(Main[[#This Row],[Comments]]),"")</f>
        <v/>
      </c>
      <c r="B476" s="127" t="s">
        <v>1368</v>
      </c>
      <c r="C476" s="99" t="s">
        <v>31</v>
      </c>
      <c r="D476" s="100" t="s">
        <v>393</v>
      </c>
      <c r="E476" s="101"/>
      <c r="F476" s="101">
        <v>40288</v>
      </c>
      <c r="G476" s="102" t="str">
        <f>IF(stdProdLT(Main[[#This Row],[Comments]])=0.1,"N/A",IF(stdProdLT(Main[[#This Row],[Comments]])=0,"",stdProdLT(Main[[#This Row],[Comments]])))</f>
        <v/>
      </c>
      <c r="H476" s="103" t="str">
        <f>IF(AND(Main[[#This Row],[In Stock Date]]&lt;&gt;"",Main[[#This Row],[Revised Due Date]]&lt;&gt;""),Main[[#This Row],[In Stock Date]]-Main[[#This Row],[Revised Due Date]],"")</f>
        <v/>
      </c>
      <c r="I476" s="99" t="s">
        <v>4</v>
      </c>
      <c r="J476" s="99" t="s">
        <v>4</v>
      </c>
      <c r="K476" s="99" t="s">
        <v>4</v>
      </c>
      <c r="L476" s="101"/>
      <c r="M476" s="104" t="str">
        <f>IF(Main[[#This Row],[Tech Start Date]]&lt;1/1/1990,"",IF(Main[[#This Row],[Class]]="C",WORKDAY(Main[[#This Row],[Tech Start Date]],9),IF(Main[[#This Row],[Class]]="B", WORKDAY(Main[[#This Row],[Tech Start Date]],6),IF(Main[[#This Row],[Class]]="A",WORKDAY(Main[[#This Row],[Tech Start Date]],2),""))))</f>
        <v/>
      </c>
      <c r="N476" s="104" t="str">
        <f>IF(Main[[#This Row],[Tech Start Date]]&lt;1/1/1990,"",IF(Main[[#This Row],[Class]]="C",WORKDAY(Main[[#This Row],[Tech Start Date]],19),IF(Main[[#This Row],[Class]]="B", WORKDAY(Main[[#This Row],[Tech Start Date]],12),IF(Main[[#This Row],[Class]]="A",WORKDAY(Main[[#This Row],[Tech Start Date]],4),""))))</f>
        <v/>
      </c>
      <c r="O476" s="104" t="str">
        <f>IF(Main[[#This Row],[Tech Start Date]]&lt;1/1/1990,"",IF(Main[[#This Row],[Class]]="C",WORKDAY(Main[[#This Row],[Tech Start Date]],23),IF(Main[[#This Row],[Class]]="B", WORKDAY(Main[[#This Row],[Tech Start Date]],15),IF(Main[[#This Row],[Class]]="A",WORKDAY(Main[[#This Row],[Tech Start Date]],5),""))))</f>
        <v/>
      </c>
      <c r="P476" s="104" t="str">
        <f>IF(Main[[#This Row],[Tech Start Date]]&lt;1/1/1990,"",IF(Main[[#This Row],[Class]]="C",WORKDAY(Main[[#This Row],[Tech Start Date]],28),IF(Main[[#This Row],[Class]]="B", WORKDAY(Main[[#This Row],[Tech Start Date]],19),IF(Main[[#This Row],[Class]]="A",WORKDAY(Main[[#This Row],[Tech Start Date]],9),""))))</f>
        <v/>
      </c>
      <c r="Q476" s="101">
        <v>40106</v>
      </c>
      <c r="R476" s="101"/>
      <c r="S476" s="99" t="s">
        <v>11</v>
      </c>
      <c r="T476" s="107" t="s">
        <v>4</v>
      </c>
      <c r="U476" s="99" t="s">
        <v>14</v>
      </c>
      <c r="V476" s="99" t="s">
        <v>1965</v>
      </c>
      <c r="W476" s="99" t="s">
        <v>1973</v>
      </c>
    </row>
    <row r="477" spans="1:23" ht="18.600000000000001" customHeight="1">
      <c r="A477" s="123" t="str">
        <f>IF(priority(Main[[#This Row],[Comments]])&lt;&gt;0, priority(Main[[#This Row],[Comments]]),"")</f>
        <v/>
      </c>
      <c r="B477" s="127" t="s">
        <v>1950</v>
      </c>
      <c r="C477" s="99" t="s">
        <v>282</v>
      </c>
      <c r="D477" s="100" t="s">
        <v>976</v>
      </c>
      <c r="E477" s="101"/>
      <c r="F477" s="101">
        <v>40543</v>
      </c>
      <c r="G477" s="102" t="str">
        <f>IF(stdProdLT(Main[[#This Row],[Comments]])=0.1,"N/A",IF(stdProdLT(Main[[#This Row],[Comments]])=0,"",stdProdLT(Main[[#This Row],[Comments]])))</f>
        <v/>
      </c>
      <c r="H477" s="103">
        <f>IF(AND(Main[[#This Row],[In Stock Date]]&lt;&gt;"",Main[[#This Row],[Revised Due Date]]&lt;&gt;""),Main[[#This Row],[In Stock Date]]-Main[[#This Row],[Revised Due Date]],"")</f>
        <v>-200</v>
      </c>
      <c r="I477" s="99" t="s">
        <v>165</v>
      </c>
      <c r="J477" s="99" t="s">
        <v>4</v>
      </c>
      <c r="K477" s="99" t="s">
        <v>1974</v>
      </c>
      <c r="L477" s="101"/>
      <c r="M477" s="104" t="str">
        <f>IF(Main[[#This Row],[Tech Start Date]]&lt;1/1/1990,"",IF(Main[[#This Row],[Class]]="C",WORKDAY(Main[[#This Row],[Tech Start Date]],9),IF(Main[[#This Row],[Class]]="B", WORKDAY(Main[[#This Row],[Tech Start Date]],6),IF(Main[[#This Row],[Class]]="A",WORKDAY(Main[[#This Row],[Tech Start Date]],2),""))))</f>
        <v/>
      </c>
      <c r="N477" s="104" t="str">
        <f>IF(Main[[#This Row],[Tech Start Date]]&lt;1/1/1990,"",IF(Main[[#This Row],[Class]]="C",WORKDAY(Main[[#This Row],[Tech Start Date]],19),IF(Main[[#This Row],[Class]]="B", WORKDAY(Main[[#This Row],[Tech Start Date]],12),IF(Main[[#This Row],[Class]]="A",WORKDAY(Main[[#This Row],[Tech Start Date]],4),""))))</f>
        <v/>
      </c>
      <c r="O477" s="104" t="str">
        <f>IF(Main[[#This Row],[Tech Start Date]]&lt;1/1/1990,"",IF(Main[[#This Row],[Class]]="C",WORKDAY(Main[[#This Row],[Tech Start Date]],23),IF(Main[[#This Row],[Class]]="B", WORKDAY(Main[[#This Row],[Tech Start Date]],15),IF(Main[[#This Row],[Class]]="A",WORKDAY(Main[[#This Row],[Tech Start Date]],5),""))))</f>
        <v/>
      </c>
      <c r="P477" s="104" t="str">
        <f>IF(Main[[#This Row],[Tech Start Date]]&lt;1/1/1990,"",IF(Main[[#This Row],[Class]]="C",WORKDAY(Main[[#This Row],[Tech Start Date]],28),IF(Main[[#This Row],[Class]]="B", WORKDAY(Main[[#This Row],[Tech Start Date]],19),IF(Main[[#This Row],[Class]]="A",WORKDAY(Main[[#This Row],[Tech Start Date]],9),""))))</f>
        <v/>
      </c>
      <c r="Q477" s="101">
        <v>40543</v>
      </c>
      <c r="R477" s="101">
        <v>40743</v>
      </c>
      <c r="S477" s="99" t="s">
        <v>17</v>
      </c>
      <c r="T477" s="107" t="s">
        <v>4</v>
      </c>
      <c r="U477" s="99" t="s">
        <v>14</v>
      </c>
      <c r="V477" s="99" t="s">
        <v>1965</v>
      </c>
      <c r="W477" s="99" t="s">
        <v>1964</v>
      </c>
    </row>
    <row r="478" spans="1:23" ht="18.600000000000001" customHeight="1">
      <c r="A478" s="123" t="str">
        <f>IF(priority(Main[[#This Row],[Comments]])&lt;&gt;0, priority(Main[[#This Row],[Comments]]),"")</f>
        <v/>
      </c>
      <c r="B478" s="127" t="s">
        <v>1343</v>
      </c>
      <c r="C478" s="99" t="s">
        <v>4</v>
      </c>
      <c r="D478" s="100" t="s">
        <v>394</v>
      </c>
      <c r="E478" s="101"/>
      <c r="F478" s="101"/>
      <c r="G478" s="102" t="str">
        <f>IF(stdProdLT(Main[[#This Row],[Comments]])=0.1,"N/A",IF(stdProdLT(Main[[#This Row],[Comments]])=0,"",stdProdLT(Main[[#This Row],[Comments]])))</f>
        <v/>
      </c>
      <c r="H478" s="103" t="str">
        <f>IF(AND(Main[[#This Row],[In Stock Date]]&lt;&gt;"",Main[[#This Row],[Revised Due Date]]&lt;&gt;""),Main[[#This Row],[In Stock Date]]-Main[[#This Row],[Revised Due Date]],"")</f>
        <v/>
      </c>
      <c r="I478" s="99" t="s">
        <v>4</v>
      </c>
      <c r="J478" s="99" t="s">
        <v>4</v>
      </c>
      <c r="K478" s="99" t="s">
        <v>4</v>
      </c>
      <c r="L478" s="101"/>
      <c r="M478" s="104" t="str">
        <f>IF(Main[[#This Row],[Tech Start Date]]&lt;1/1/1990,"",IF(Main[[#This Row],[Class]]="C",WORKDAY(Main[[#This Row],[Tech Start Date]],9),IF(Main[[#This Row],[Class]]="B", WORKDAY(Main[[#This Row],[Tech Start Date]],6),IF(Main[[#This Row],[Class]]="A",WORKDAY(Main[[#This Row],[Tech Start Date]],2),""))))</f>
        <v/>
      </c>
      <c r="N478" s="104" t="str">
        <f>IF(Main[[#This Row],[Tech Start Date]]&lt;1/1/1990,"",IF(Main[[#This Row],[Class]]="C",WORKDAY(Main[[#This Row],[Tech Start Date]],19),IF(Main[[#This Row],[Class]]="B", WORKDAY(Main[[#This Row],[Tech Start Date]],12),IF(Main[[#This Row],[Class]]="A",WORKDAY(Main[[#This Row],[Tech Start Date]],4),""))))</f>
        <v/>
      </c>
      <c r="O478" s="104" t="str">
        <f>IF(Main[[#This Row],[Tech Start Date]]&lt;1/1/1990,"",IF(Main[[#This Row],[Class]]="C",WORKDAY(Main[[#This Row],[Tech Start Date]],23),IF(Main[[#This Row],[Class]]="B", WORKDAY(Main[[#This Row],[Tech Start Date]],15),IF(Main[[#This Row],[Class]]="A",WORKDAY(Main[[#This Row],[Tech Start Date]],5),""))))</f>
        <v/>
      </c>
      <c r="P478" s="104" t="str">
        <f>IF(Main[[#This Row],[Tech Start Date]]&lt;1/1/1990,"",IF(Main[[#This Row],[Class]]="C",WORKDAY(Main[[#This Row],[Tech Start Date]],28),IF(Main[[#This Row],[Class]]="B", WORKDAY(Main[[#This Row],[Tech Start Date]],19),IF(Main[[#This Row],[Class]]="A",WORKDAY(Main[[#This Row],[Tech Start Date]],9),""))))</f>
        <v/>
      </c>
      <c r="Q478" s="101"/>
      <c r="R478" s="101"/>
      <c r="S478" s="99" t="s">
        <v>4</v>
      </c>
      <c r="T478" s="107" t="s">
        <v>4</v>
      </c>
      <c r="U478" s="99" t="s">
        <v>14</v>
      </c>
      <c r="V478" s="99" t="s">
        <v>1963</v>
      </c>
      <c r="W478" s="99" t="s">
        <v>4</v>
      </c>
    </row>
    <row r="479" spans="1:23" ht="18.600000000000001" customHeight="1">
      <c r="A479" s="123" t="str">
        <f>IF(priority(Main[[#This Row],[Comments]])&lt;&gt;0, priority(Main[[#This Row],[Comments]]),"")</f>
        <v/>
      </c>
      <c r="B479" s="127" t="s">
        <v>1429</v>
      </c>
      <c r="C479" s="99" t="s">
        <v>93</v>
      </c>
      <c r="D479" s="100" t="s">
        <v>426</v>
      </c>
      <c r="E479" s="101"/>
      <c r="F479" s="101">
        <v>40269</v>
      </c>
      <c r="G479" s="102" t="str">
        <f>IF(stdProdLT(Main[[#This Row],[Comments]])=0.1,"N/A",IF(stdProdLT(Main[[#This Row],[Comments]])=0,"",stdProdLT(Main[[#This Row],[Comments]])))</f>
        <v/>
      </c>
      <c r="H479" s="103" t="str">
        <f>IF(AND(Main[[#This Row],[In Stock Date]]&lt;&gt;"",Main[[#This Row],[Revised Due Date]]&lt;&gt;""),Main[[#This Row],[In Stock Date]]-Main[[#This Row],[Revised Due Date]],"")</f>
        <v/>
      </c>
      <c r="I479" s="99" t="s">
        <v>4</v>
      </c>
      <c r="J479" s="99" t="s">
        <v>4</v>
      </c>
      <c r="K479" s="99" t="s">
        <v>4</v>
      </c>
      <c r="L479" s="101"/>
      <c r="M479" s="104" t="str">
        <f>IF(Main[[#This Row],[Tech Start Date]]&lt;1/1/1990,"",IF(Main[[#This Row],[Class]]="C",WORKDAY(Main[[#This Row],[Tech Start Date]],9),IF(Main[[#This Row],[Class]]="B", WORKDAY(Main[[#This Row],[Tech Start Date]],6),IF(Main[[#This Row],[Class]]="A",WORKDAY(Main[[#This Row],[Tech Start Date]],2),""))))</f>
        <v/>
      </c>
      <c r="N479" s="104" t="str">
        <f>IF(Main[[#This Row],[Tech Start Date]]&lt;1/1/1990,"",IF(Main[[#This Row],[Class]]="C",WORKDAY(Main[[#This Row],[Tech Start Date]],19),IF(Main[[#This Row],[Class]]="B", WORKDAY(Main[[#This Row],[Tech Start Date]],12),IF(Main[[#This Row],[Class]]="A",WORKDAY(Main[[#This Row],[Tech Start Date]],4),""))))</f>
        <v/>
      </c>
      <c r="O479" s="104" t="str">
        <f>IF(Main[[#This Row],[Tech Start Date]]&lt;1/1/1990,"",IF(Main[[#This Row],[Class]]="C",WORKDAY(Main[[#This Row],[Tech Start Date]],23),IF(Main[[#This Row],[Class]]="B", WORKDAY(Main[[#This Row],[Tech Start Date]],15),IF(Main[[#This Row],[Class]]="A",WORKDAY(Main[[#This Row],[Tech Start Date]],5),""))))</f>
        <v/>
      </c>
      <c r="P479" s="104" t="str">
        <f>IF(Main[[#This Row],[Tech Start Date]]&lt;1/1/1990,"",IF(Main[[#This Row],[Class]]="C",WORKDAY(Main[[#This Row],[Tech Start Date]],28),IF(Main[[#This Row],[Class]]="B", WORKDAY(Main[[#This Row],[Tech Start Date]],19),IF(Main[[#This Row],[Class]]="A",WORKDAY(Main[[#This Row],[Tech Start Date]],9),""))))</f>
        <v/>
      </c>
      <c r="Q479" s="101">
        <v>40185</v>
      </c>
      <c r="R479" s="101"/>
      <c r="S479" s="99" t="s">
        <v>11</v>
      </c>
      <c r="T479" s="107" t="s">
        <v>4</v>
      </c>
      <c r="U479" s="99" t="s">
        <v>12</v>
      </c>
      <c r="V479" s="99" t="s">
        <v>1972</v>
      </c>
      <c r="W479" s="99" t="s">
        <v>1973</v>
      </c>
    </row>
    <row r="480" spans="1:23" ht="18.600000000000001" customHeight="1">
      <c r="A480" s="123" t="str">
        <f>IF(priority(Main[[#This Row],[Comments]])&lt;&gt;0, priority(Main[[#This Row],[Comments]]),"")</f>
        <v/>
      </c>
      <c r="B480" s="127" t="s">
        <v>1430</v>
      </c>
      <c r="C480" s="99" t="s">
        <v>171</v>
      </c>
      <c r="D480" s="100" t="s">
        <v>427</v>
      </c>
      <c r="E480" s="101"/>
      <c r="F480" s="101">
        <v>40237</v>
      </c>
      <c r="G480" s="102" t="str">
        <f>IF(stdProdLT(Main[[#This Row],[Comments]])=0.1,"N/A",IF(stdProdLT(Main[[#This Row],[Comments]])=0,"",stdProdLT(Main[[#This Row],[Comments]])))</f>
        <v/>
      </c>
      <c r="H480" s="103" t="str">
        <f>IF(AND(Main[[#This Row],[In Stock Date]]&lt;&gt;"",Main[[#This Row],[Revised Due Date]]&lt;&gt;""),Main[[#This Row],[In Stock Date]]-Main[[#This Row],[Revised Due Date]],"")</f>
        <v/>
      </c>
      <c r="I480" s="99" t="s">
        <v>4</v>
      </c>
      <c r="J480" s="99" t="s">
        <v>4</v>
      </c>
      <c r="K480" s="108" t="s">
        <v>4</v>
      </c>
      <c r="L480" s="101"/>
      <c r="M480" s="104" t="str">
        <f>IF(Main[[#This Row],[Tech Start Date]]&lt;1/1/1990,"",IF(Main[[#This Row],[Class]]="C",WORKDAY(Main[[#This Row],[Tech Start Date]],9),IF(Main[[#This Row],[Class]]="B", WORKDAY(Main[[#This Row],[Tech Start Date]],6),IF(Main[[#This Row],[Class]]="A",WORKDAY(Main[[#This Row],[Tech Start Date]],2),""))))</f>
        <v/>
      </c>
      <c r="N480" s="104" t="str">
        <f>IF(Main[[#This Row],[Tech Start Date]]&lt;1/1/1990,"",IF(Main[[#This Row],[Class]]="C",WORKDAY(Main[[#This Row],[Tech Start Date]],19),IF(Main[[#This Row],[Class]]="B", WORKDAY(Main[[#This Row],[Tech Start Date]],12),IF(Main[[#This Row],[Class]]="A",WORKDAY(Main[[#This Row],[Tech Start Date]],4),""))))</f>
        <v/>
      </c>
      <c r="O480" s="104" t="str">
        <f>IF(Main[[#This Row],[Tech Start Date]]&lt;1/1/1990,"",IF(Main[[#This Row],[Class]]="C",WORKDAY(Main[[#This Row],[Tech Start Date]],23),IF(Main[[#This Row],[Class]]="B", WORKDAY(Main[[#This Row],[Tech Start Date]],15),IF(Main[[#This Row],[Class]]="A",WORKDAY(Main[[#This Row],[Tech Start Date]],5),""))))</f>
        <v/>
      </c>
      <c r="P480" s="104" t="str">
        <f>IF(Main[[#This Row],[Tech Start Date]]&lt;1/1/1990,"",IF(Main[[#This Row],[Class]]="C",WORKDAY(Main[[#This Row],[Tech Start Date]],28),IF(Main[[#This Row],[Class]]="B", WORKDAY(Main[[#This Row],[Tech Start Date]],19),IF(Main[[#This Row],[Class]]="A",WORKDAY(Main[[#This Row],[Tech Start Date]],9),""))))</f>
        <v/>
      </c>
      <c r="Q480" s="101">
        <v>40132</v>
      </c>
      <c r="R480" s="101"/>
      <c r="S480" s="99" t="s">
        <v>11</v>
      </c>
      <c r="T480" s="107" t="s">
        <v>4</v>
      </c>
      <c r="U480" s="99" t="s">
        <v>14</v>
      </c>
      <c r="V480" s="99" t="s">
        <v>1962</v>
      </c>
      <c r="W480" s="99" t="s">
        <v>1967</v>
      </c>
    </row>
    <row r="481" spans="1:23" ht="18.600000000000001" customHeight="1">
      <c r="A481" s="123" t="str">
        <f>IF(priority(Main[[#This Row],[Comments]])&lt;&gt;0, priority(Main[[#This Row],[Comments]]),"")</f>
        <v/>
      </c>
      <c r="B481" s="127" t="s">
        <v>1431</v>
      </c>
      <c r="C481" s="99" t="s">
        <v>93</v>
      </c>
      <c r="D481" s="100" t="s">
        <v>428</v>
      </c>
      <c r="E481" s="101"/>
      <c r="F481" s="101">
        <v>40144</v>
      </c>
      <c r="G481" s="102" t="str">
        <f>IF(stdProdLT(Main[[#This Row],[Comments]])=0.1,"N/A",IF(stdProdLT(Main[[#This Row],[Comments]])=0,"",stdProdLT(Main[[#This Row],[Comments]])))</f>
        <v/>
      </c>
      <c r="H481" s="103" t="str">
        <f>IF(AND(Main[[#This Row],[In Stock Date]]&lt;&gt;"",Main[[#This Row],[Revised Due Date]]&lt;&gt;""),Main[[#This Row],[In Stock Date]]-Main[[#This Row],[Revised Due Date]],"")</f>
        <v/>
      </c>
      <c r="I481" s="99" t="s">
        <v>4</v>
      </c>
      <c r="J481" s="99" t="s">
        <v>4</v>
      </c>
      <c r="K481" s="99" t="s">
        <v>4</v>
      </c>
      <c r="L481" s="101"/>
      <c r="M481" s="104" t="str">
        <f>IF(Main[[#This Row],[Tech Start Date]]&lt;1/1/1990,"",IF(Main[[#This Row],[Class]]="C",WORKDAY(Main[[#This Row],[Tech Start Date]],9),IF(Main[[#This Row],[Class]]="B", WORKDAY(Main[[#This Row],[Tech Start Date]],6),IF(Main[[#This Row],[Class]]="A",WORKDAY(Main[[#This Row],[Tech Start Date]],2),""))))</f>
        <v/>
      </c>
      <c r="N481" s="104" t="str">
        <f>IF(Main[[#This Row],[Tech Start Date]]&lt;1/1/1990,"",IF(Main[[#This Row],[Class]]="C",WORKDAY(Main[[#This Row],[Tech Start Date]],19),IF(Main[[#This Row],[Class]]="B", WORKDAY(Main[[#This Row],[Tech Start Date]],12),IF(Main[[#This Row],[Class]]="A",WORKDAY(Main[[#This Row],[Tech Start Date]],4),""))))</f>
        <v/>
      </c>
      <c r="O481" s="104" t="str">
        <f>IF(Main[[#This Row],[Tech Start Date]]&lt;1/1/1990,"",IF(Main[[#This Row],[Class]]="C",WORKDAY(Main[[#This Row],[Tech Start Date]],23),IF(Main[[#This Row],[Class]]="B", WORKDAY(Main[[#This Row],[Tech Start Date]],15),IF(Main[[#This Row],[Class]]="A",WORKDAY(Main[[#This Row],[Tech Start Date]],5),""))))</f>
        <v/>
      </c>
      <c r="P481" s="104" t="str">
        <f>IF(Main[[#This Row],[Tech Start Date]]&lt;1/1/1990,"",IF(Main[[#This Row],[Class]]="C",WORKDAY(Main[[#This Row],[Tech Start Date]],28),IF(Main[[#This Row],[Class]]="B", WORKDAY(Main[[#This Row],[Tech Start Date]],19),IF(Main[[#This Row],[Class]]="A",WORKDAY(Main[[#This Row],[Tech Start Date]],9),""))))</f>
        <v/>
      </c>
      <c r="Q481" s="101">
        <v>40144</v>
      </c>
      <c r="R481" s="101"/>
      <c r="S481" s="99" t="s">
        <v>11</v>
      </c>
      <c r="T481" s="107" t="s">
        <v>4</v>
      </c>
      <c r="U481" s="99" t="s">
        <v>14</v>
      </c>
      <c r="V481" s="99" t="s">
        <v>1965</v>
      </c>
      <c r="W481" s="99" t="s">
        <v>1973</v>
      </c>
    </row>
    <row r="482" spans="1:23" ht="18.600000000000001" customHeight="1">
      <c r="A482" s="123" t="str">
        <f>IF(priority(Main[[#This Row],[Comments]])&lt;&gt;0, priority(Main[[#This Row],[Comments]]),"")</f>
        <v/>
      </c>
      <c r="B482" s="127" t="s">
        <v>1373</v>
      </c>
      <c r="C482" s="99" t="s">
        <v>93</v>
      </c>
      <c r="D482" s="100" t="s">
        <v>429</v>
      </c>
      <c r="E482" s="101"/>
      <c r="F482" s="101">
        <v>40162</v>
      </c>
      <c r="G482" s="102" t="str">
        <f>IF(stdProdLT(Main[[#This Row],[Comments]])=0.1,"N/A",IF(stdProdLT(Main[[#This Row],[Comments]])=0,"",stdProdLT(Main[[#This Row],[Comments]])))</f>
        <v/>
      </c>
      <c r="H482" s="103" t="str">
        <f>IF(AND(Main[[#This Row],[In Stock Date]]&lt;&gt;"",Main[[#This Row],[Revised Due Date]]&lt;&gt;""),Main[[#This Row],[In Stock Date]]-Main[[#This Row],[Revised Due Date]],"")</f>
        <v/>
      </c>
      <c r="I482" s="99" t="s">
        <v>4</v>
      </c>
      <c r="J482" s="99" t="s">
        <v>4</v>
      </c>
      <c r="K482" s="99" t="s">
        <v>4</v>
      </c>
      <c r="L482" s="101"/>
      <c r="M482" s="104" t="str">
        <f>IF(Main[[#This Row],[Tech Start Date]]&lt;1/1/1990,"",IF(Main[[#This Row],[Class]]="C",WORKDAY(Main[[#This Row],[Tech Start Date]],9),IF(Main[[#This Row],[Class]]="B", WORKDAY(Main[[#This Row],[Tech Start Date]],6),IF(Main[[#This Row],[Class]]="A",WORKDAY(Main[[#This Row],[Tech Start Date]],2),""))))</f>
        <v/>
      </c>
      <c r="N482" s="104" t="str">
        <f>IF(Main[[#This Row],[Tech Start Date]]&lt;1/1/1990,"",IF(Main[[#This Row],[Class]]="C",WORKDAY(Main[[#This Row],[Tech Start Date]],19),IF(Main[[#This Row],[Class]]="B", WORKDAY(Main[[#This Row],[Tech Start Date]],12),IF(Main[[#This Row],[Class]]="A",WORKDAY(Main[[#This Row],[Tech Start Date]],4),""))))</f>
        <v/>
      </c>
      <c r="O482" s="104" t="str">
        <f>IF(Main[[#This Row],[Tech Start Date]]&lt;1/1/1990,"",IF(Main[[#This Row],[Class]]="C",WORKDAY(Main[[#This Row],[Tech Start Date]],23),IF(Main[[#This Row],[Class]]="B", WORKDAY(Main[[#This Row],[Tech Start Date]],15),IF(Main[[#This Row],[Class]]="A",WORKDAY(Main[[#This Row],[Tech Start Date]],5),""))))</f>
        <v/>
      </c>
      <c r="P482" s="104" t="str">
        <f>IF(Main[[#This Row],[Tech Start Date]]&lt;1/1/1990,"",IF(Main[[#This Row],[Class]]="C",WORKDAY(Main[[#This Row],[Tech Start Date]],28),IF(Main[[#This Row],[Class]]="B", WORKDAY(Main[[#This Row],[Tech Start Date]],19),IF(Main[[#This Row],[Class]]="A",WORKDAY(Main[[#This Row],[Tech Start Date]],9),""))))</f>
        <v/>
      </c>
      <c r="Q482" s="101">
        <v>40127</v>
      </c>
      <c r="R482" s="101"/>
      <c r="S482" s="99" t="s">
        <v>11</v>
      </c>
      <c r="T482" s="107" t="s">
        <v>4</v>
      </c>
      <c r="U482" s="99" t="s">
        <v>14</v>
      </c>
      <c r="V482" s="99" t="s">
        <v>1972</v>
      </c>
      <c r="W482" s="99" t="s">
        <v>1973</v>
      </c>
    </row>
    <row r="483" spans="1:23" ht="18.600000000000001" customHeight="1">
      <c r="A483" s="123" t="str">
        <f>IF(priority(Main[[#This Row],[Comments]])&lt;&gt;0, priority(Main[[#This Row],[Comments]]),"")</f>
        <v/>
      </c>
      <c r="B483" s="127" t="s">
        <v>1374</v>
      </c>
      <c r="C483" s="99" t="s">
        <v>430</v>
      </c>
      <c r="D483" s="100" t="s">
        <v>431</v>
      </c>
      <c r="E483" s="101"/>
      <c r="F483" s="101">
        <v>40179</v>
      </c>
      <c r="G483" s="102" t="str">
        <f>IF(stdProdLT(Main[[#This Row],[Comments]])=0.1,"N/A",IF(stdProdLT(Main[[#This Row],[Comments]])=0,"",stdProdLT(Main[[#This Row],[Comments]])))</f>
        <v/>
      </c>
      <c r="H483" s="103" t="str">
        <f>IF(AND(Main[[#This Row],[In Stock Date]]&lt;&gt;"",Main[[#This Row],[Revised Due Date]]&lt;&gt;""),Main[[#This Row],[In Stock Date]]-Main[[#This Row],[Revised Due Date]],"")</f>
        <v/>
      </c>
      <c r="I483" s="99" t="s">
        <v>4</v>
      </c>
      <c r="J483" s="99" t="s">
        <v>4</v>
      </c>
      <c r="K483" s="99" t="s">
        <v>4</v>
      </c>
      <c r="L483" s="101"/>
      <c r="M483" s="104" t="str">
        <f>IF(Main[[#This Row],[Tech Start Date]]&lt;1/1/1990,"",IF(Main[[#This Row],[Class]]="C",WORKDAY(Main[[#This Row],[Tech Start Date]],9),IF(Main[[#This Row],[Class]]="B", WORKDAY(Main[[#This Row],[Tech Start Date]],6),IF(Main[[#This Row],[Class]]="A",WORKDAY(Main[[#This Row],[Tech Start Date]],2),""))))</f>
        <v/>
      </c>
      <c r="N483" s="104" t="str">
        <f>IF(Main[[#This Row],[Tech Start Date]]&lt;1/1/1990,"",IF(Main[[#This Row],[Class]]="C",WORKDAY(Main[[#This Row],[Tech Start Date]],19),IF(Main[[#This Row],[Class]]="B", WORKDAY(Main[[#This Row],[Tech Start Date]],12),IF(Main[[#This Row],[Class]]="A",WORKDAY(Main[[#This Row],[Tech Start Date]],4),""))))</f>
        <v/>
      </c>
      <c r="O483" s="104" t="str">
        <f>IF(Main[[#This Row],[Tech Start Date]]&lt;1/1/1990,"",IF(Main[[#This Row],[Class]]="C",WORKDAY(Main[[#This Row],[Tech Start Date]],23),IF(Main[[#This Row],[Class]]="B", WORKDAY(Main[[#This Row],[Tech Start Date]],15),IF(Main[[#This Row],[Class]]="A",WORKDAY(Main[[#This Row],[Tech Start Date]],5),""))))</f>
        <v/>
      </c>
      <c r="P483" s="104" t="str">
        <f>IF(Main[[#This Row],[Tech Start Date]]&lt;1/1/1990,"",IF(Main[[#This Row],[Class]]="C",WORKDAY(Main[[#This Row],[Tech Start Date]],28),IF(Main[[#This Row],[Class]]="B", WORKDAY(Main[[#This Row],[Tech Start Date]],19),IF(Main[[#This Row],[Class]]="A",WORKDAY(Main[[#This Row],[Tech Start Date]],9),""))))</f>
        <v/>
      </c>
      <c r="Q483" s="101">
        <v>40179</v>
      </c>
      <c r="R483" s="101"/>
      <c r="S483" s="99" t="s">
        <v>11</v>
      </c>
      <c r="T483" s="107" t="s">
        <v>4</v>
      </c>
      <c r="U483" s="99" t="s">
        <v>14</v>
      </c>
      <c r="V483" s="99" t="s">
        <v>1962</v>
      </c>
      <c r="W483" s="99" t="s">
        <v>1967</v>
      </c>
    </row>
    <row r="484" spans="1:23" ht="18.600000000000001" customHeight="1">
      <c r="A484" s="123" t="str">
        <f>IF(priority(Main[[#This Row],[Comments]])&lt;&gt;0, priority(Main[[#This Row],[Comments]]),"")</f>
        <v/>
      </c>
      <c r="B484" s="127" t="s">
        <v>1375</v>
      </c>
      <c r="C484" s="99" t="s">
        <v>200</v>
      </c>
      <c r="D484" s="100" t="s">
        <v>432</v>
      </c>
      <c r="E484" s="101"/>
      <c r="F484" s="101"/>
      <c r="G484" s="102" t="str">
        <f>IF(stdProdLT(Main[[#This Row],[Comments]])=0.1,"N/A",IF(stdProdLT(Main[[#This Row],[Comments]])=0,"",stdProdLT(Main[[#This Row],[Comments]])))</f>
        <v/>
      </c>
      <c r="H484" s="103" t="str">
        <f>IF(AND(Main[[#This Row],[In Stock Date]]&lt;&gt;"",Main[[#This Row],[Revised Due Date]]&lt;&gt;""),Main[[#This Row],[In Stock Date]]-Main[[#This Row],[Revised Due Date]],"")</f>
        <v/>
      </c>
      <c r="I484" s="99" t="s">
        <v>4</v>
      </c>
      <c r="J484" s="99" t="s">
        <v>4</v>
      </c>
      <c r="K484" s="99" t="s">
        <v>4</v>
      </c>
      <c r="L484" s="101"/>
      <c r="M484" s="104" t="str">
        <f>IF(Main[[#This Row],[Tech Start Date]]&lt;1/1/1990,"",IF(Main[[#This Row],[Class]]="C",WORKDAY(Main[[#This Row],[Tech Start Date]],9),IF(Main[[#This Row],[Class]]="B", WORKDAY(Main[[#This Row],[Tech Start Date]],6),IF(Main[[#This Row],[Class]]="A",WORKDAY(Main[[#This Row],[Tech Start Date]],2),""))))</f>
        <v/>
      </c>
      <c r="N484" s="104" t="str">
        <f>IF(Main[[#This Row],[Tech Start Date]]&lt;1/1/1990,"",IF(Main[[#This Row],[Class]]="C",WORKDAY(Main[[#This Row],[Tech Start Date]],19),IF(Main[[#This Row],[Class]]="B", WORKDAY(Main[[#This Row],[Tech Start Date]],12),IF(Main[[#This Row],[Class]]="A",WORKDAY(Main[[#This Row],[Tech Start Date]],4),""))))</f>
        <v/>
      </c>
      <c r="O484" s="104" t="str">
        <f>IF(Main[[#This Row],[Tech Start Date]]&lt;1/1/1990,"",IF(Main[[#This Row],[Class]]="C",WORKDAY(Main[[#This Row],[Tech Start Date]],23),IF(Main[[#This Row],[Class]]="B", WORKDAY(Main[[#This Row],[Tech Start Date]],15),IF(Main[[#This Row],[Class]]="A",WORKDAY(Main[[#This Row],[Tech Start Date]],5),""))))</f>
        <v/>
      </c>
      <c r="P484" s="104" t="str">
        <f>IF(Main[[#This Row],[Tech Start Date]]&lt;1/1/1990,"",IF(Main[[#This Row],[Class]]="C",WORKDAY(Main[[#This Row],[Tech Start Date]],28),IF(Main[[#This Row],[Class]]="B", WORKDAY(Main[[#This Row],[Tech Start Date]],19),IF(Main[[#This Row],[Class]]="A",WORKDAY(Main[[#This Row],[Tech Start Date]],9),""))))</f>
        <v/>
      </c>
      <c r="Q484" s="101">
        <v>40165</v>
      </c>
      <c r="R484" s="101"/>
      <c r="S484" s="99" t="s">
        <v>11</v>
      </c>
      <c r="T484" s="107" t="s">
        <v>4</v>
      </c>
      <c r="U484" s="99" t="s">
        <v>14</v>
      </c>
      <c r="V484" s="99" t="s">
        <v>1972</v>
      </c>
      <c r="W484" s="99" t="s">
        <v>1968</v>
      </c>
    </row>
    <row r="485" spans="1:23" ht="18.600000000000001" customHeight="1">
      <c r="A485" s="123" t="str">
        <f>IF(priority(Main[[#This Row],[Comments]])&lt;&gt;0, priority(Main[[#This Row],[Comments]]),"")</f>
        <v/>
      </c>
      <c r="B485" s="127" t="s">
        <v>1377</v>
      </c>
      <c r="C485" s="99" t="s">
        <v>4</v>
      </c>
      <c r="D485" s="100" t="s">
        <v>433</v>
      </c>
      <c r="E485" s="101"/>
      <c r="F485" s="101"/>
      <c r="G485" s="102" t="str">
        <f>IF(stdProdLT(Main[[#This Row],[Comments]])=0.1,"N/A",IF(stdProdLT(Main[[#This Row],[Comments]])=0,"",stdProdLT(Main[[#This Row],[Comments]])))</f>
        <v/>
      </c>
      <c r="H485" s="103" t="str">
        <f>IF(AND(Main[[#This Row],[In Stock Date]]&lt;&gt;"",Main[[#This Row],[Revised Due Date]]&lt;&gt;""),Main[[#This Row],[In Stock Date]]-Main[[#This Row],[Revised Due Date]],"")</f>
        <v/>
      </c>
      <c r="I485" s="99" t="s">
        <v>4</v>
      </c>
      <c r="J485" s="99" t="s">
        <v>4</v>
      </c>
      <c r="K485" s="99" t="s">
        <v>4</v>
      </c>
      <c r="L485" s="101"/>
      <c r="M485" s="104" t="str">
        <f>IF(Main[[#This Row],[Tech Start Date]]&lt;1/1/1990,"",IF(Main[[#This Row],[Class]]="C",WORKDAY(Main[[#This Row],[Tech Start Date]],9),IF(Main[[#This Row],[Class]]="B", WORKDAY(Main[[#This Row],[Tech Start Date]],6),IF(Main[[#This Row],[Class]]="A",WORKDAY(Main[[#This Row],[Tech Start Date]],2),""))))</f>
        <v/>
      </c>
      <c r="N485" s="104" t="str">
        <f>IF(Main[[#This Row],[Tech Start Date]]&lt;1/1/1990,"",IF(Main[[#This Row],[Class]]="C",WORKDAY(Main[[#This Row],[Tech Start Date]],19),IF(Main[[#This Row],[Class]]="B", WORKDAY(Main[[#This Row],[Tech Start Date]],12),IF(Main[[#This Row],[Class]]="A",WORKDAY(Main[[#This Row],[Tech Start Date]],4),""))))</f>
        <v/>
      </c>
      <c r="O485" s="104" t="str">
        <f>IF(Main[[#This Row],[Tech Start Date]]&lt;1/1/1990,"",IF(Main[[#This Row],[Class]]="C",WORKDAY(Main[[#This Row],[Tech Start Date]],23),IF(Main[[#This Row],[Class]]="B", WORKDAY(Main[[#This Row],[Tech Start Date]],15),IF(Main[[#This Row],[Class]]="A",WORKDAY(Main[[#This Row],[Tech Start Date]],5),""))))</f>
        <v/>
      </c>
      <c r="P485" s="104" t="str">
        <f>IF(Main[[#This Row],[Tech Start Date]]&lt;1/1/1990,"",IF(Main[[#This Row],[Class]]="C",WORKDAY(Main[[#This Row],[Tech Start Date]],28),IF(Main[[#This Row],[Class]]="B", WORKDAY(Main[[#This Row],[Tech Start Date]],19),IF(Main[[#This Row],[Class]]="A",WORKDAY(Main[[#This Row],[Tech Start Date]],9),""))))</f>
        <v/>
      </c>
      <c r="Q485" s="101"/>
      <c r="R485" s="101"/>
      <c r="S485" s="99" t="s">
        <v>6</v>
      </c>
      <c r="T485" s="107" t="s">
        <v>4</v>
      </c>
      <c r="U485" s="99" t="s">
        <v>12</v>
      </c>
      <c r="V485" s="99" t="s">
        <v>1962</v>
      </c>
      <c r="W485" s="99" t="s">
        <v>4</v>
      </c>
    </row>
    <row r="486" spans="1:23" ht="18.600000000000001" customHeight="1">
      <c r="A486" s="123" t="str">
        <f>IF(priority(Main[[#This Row],[Comments]])&lt;&gt;0, priority(Main[[#This Row],[Comments]]),"")</f>
        <v/>
      </c>
      <c r="B486" s="127" t="s">
        <v>1378</v>
      </c>
      <c r="C486" s="99" t="s">
        <v>4</v>
      </c>
      <c r="D486" s="100" t="s">
        <v>434</v>
      </c>
      <c r="E486" s="101">
        <v>40367.39403935185</v>
      </c>
      <c r="F486" s="101"/>
      <c r="G486" s="102" t="str">
        <f>IF(stdProdLT(Main[[#This Row],[Comments]])=0.1,"N/A",IF(stdProdLT(Main[[#This Row],[Comments]])=0,"",stdProdLT(Main[[#This Row],[Comments]])))</f>
        <v/>
      </c>
      <c r="H486" s="103" t="str">
        <f>IF(AND(Main[[#This Row],[In Stock Date]]&lt;&gt;"",Main[[#This Row],[Revised Due Date]]&lt;&gt;""),Main[[#This Row],[In Stock Date]]-Main[[#This Row],[Revised Due Date]],"")</f>
        <v/>
      </c>
      <c r="I486" s="99" t="s">
        <v>126</v>
      </c>
      <c r="J486" s="99" t="s">
        <v>28</v>
      </c>
      <c r="K486" s="108" t="s">
        <v>1971</v>
      </c>
      <c r="L486" s="101"/>
      <c r="M486" s="104" t="str">
        <f>IF(Main[[#This Row],[Tech Start Date]]&lt;1/1/1990,"",IF(Main[[#This Row],[Class]]="C",WORKDAY(Main[[#This Row],[Tech Start Date]],9),IF(Main[[#This Row],[Class]]="B", WORKDAY(Main[[#This Row],[Tech Start Date]],6),IF(Main[[#This Row],[Class]]="A",WORKDAY(Main[[#This Row],[Tech Start Date]],2),""))))</f>
        <v/>
      </c>
      <c r="N486" s="104" t="str">
        <f>IF(Main[[#This Row],[Tech Start Date]]&lt;1/1/1990,"",IF(Main[[#This Row],[Class]]="C",WORKDAY(Main[[#This Row],[Tech Start Date]],19),IF(Main[[#This Row],[Class]]="B", WORKDAY(Main[[#This Row],[Tech Start Date]],12),IF(Main[[#This Row],[Class]]="A",WORKDAY(Main[[#This Row],[Tech Start Date]],4),""))))</f>
        <v/>
      </c>
      <c r="O486" s="104" t="str">
        <f>IF(Main[[#This Row],[Tech Start Date]]&lt;1/1/1990,"",IF(Main[[#This Row],[Class]]="C",WORKDAY(Main[[#This Row],[Tech Start Date]],23),IF(Main[[#This Row],[Class]]="B", WORKDAY(Main[[#This Row],[Tech Start Date]],15),IF(Main[[#This Row],[Class]]="A",WORKDAY(Main[[#This Row],[Tech Start Date]],5),""))))</f>
        <v/>
      </c>
      <c r="P486" s="104" t="str">
        <f>IF(Main[[#This Row],[Tech Start Date]]&lt;1/1/1990,"",IF(Main[[#This Row],[Class]]="C",WORKDAY(Main[[#This Row],[Tech Start Date]],28),IF(Main[[#This Row],[Class]]="B", WORKDAY(Main[[#This Row],[Tech Start Date]],19),IF(Main[[#This Row],[Class]]="A",WORKDAY(Main[[#This Row],[Tech Start Date]],9),""))))</f>
        <v/>
      </c>
      <c r="Q486" s="101">
        <v>40405</v>
      </c>
      <c r="R486" s="101"/>
      <c r="S486" s="99" t="s">
        <v>6</v>
      </c>
      <c r="T486" s="107" t="s">
        <v>4</v>
      </c>
      <c r="U486" s="99" t="s">
        <v>29</v>
      </c>
      <c r="V486" s="99" t="s">
        <v>1962</v>
      </c>
      <c r="W486" s="99" t="s">
        <v>1970</v>
      </c>
    </row>
    <row r="487" spans="1:23" ht="18.600000000000001" customHeight="1">
      <c r="A487" s="123" t="str">
        <f>IF(priority(Main[[#This Row],[Comments]])&lt;&gt;0, priority(Main[[#This Row],[Comments]]),"")</f>
        <v/>
      </c>
      <c r="B487" s="127" t="s">
        <v>1855</v>
      </c>
      <c r="C487" s="99" t="s">
        <v>95</v>
      </c>
      <c r="D487" s="100" t="s">
        <v>880</v>
      </c>
      <c r="E487" s="101"/>
      <c r="F487" s="101"/>
      <c r="G487" s="102" t="str">
        <f>IF(stdProdLT(Main[[#This Row],[Comments]])=0.1,"N/A",IF(stdProdLT(Main[[#This Row],[Comments]])=0,"",stdProdLT(Main[[#This Row],[Comments]])))</f>
        <v/>
      </c>
      <c r="H487" s="103" t="str">
        <f>IF(AND(Main[[#This Row],[In Stock Date]]&lt;&gt;"",Main[[#This Row],[Revised Due Date]]&lt;&gt;""),Main[[#This Row],[In Stock Date]]-Main[[#This Row],[Revised Due Date]],"")</f>
        <v/>
      </c>
      <c r="I487" s="99" t="s">
        <v>4</v>
      </c>
      <c r="J487" s="99" t="s">
        <v>4</v>
      </c>
      <c r="K487" s="108" t="s">
        <v>4</v>
      </c>
      <c r="L487" s="101"/>
      <c r="M487" s="104" t="str">
        <f>IF(Main[[#This Row],[Tech Start Date]]&lt;1/1/1990,"",IF(Main[[#This Row],[Class]]="C",WORKDAY(Main[[#This Row],[Tech Start Date]],9),IF(Main[[#This Row],[Class]]="B", WORKDAY(Main[[#This Row],[Tech Start Date]],6),IF(Main[[#This Row],[Class]]="A",WORKDAY(Main[[#This Row],[Tech Start Date]],2),""))))</f>
        <v/>
      </c>
      <c r="N487" s="104" t="str">
        <f>IF(Main[[#This Row],[Tech Start Date]]&lt;1/1/1990,"",IF(Main[[#This Row],[Class]]="C",WORKDAY(Main[[#This Row],[Tech Start Date]],19),IF(Main[[#This Row],[Class]]="B", WORKDAY(Main[[#This Row],[Tech Start Date]],12),IF(Main[[#This Row],[Class]]="A",WORKDAY(Main[[#This Row],[Tech Start Date]],4),""))))</f>
        <v/>
      </c>
      <c r="O487" s="104" t="str">
        <f>IF(Main[[#This Row],[Tech Start Date]]&lt;1/1/1990,"",IF(Main[[#This Row],[Class]]="C",WORKDAY(Main[[#This Row],[Tech Start Date]],23),IF(Main[[#This Row],[Class]]="B", WORKDAY(Main[[#This Row],[Tech Start Date]],15),IF(Main[[#This Row],[Class]]="A",WORKDAY(Main[[#This Row],[Tech Start Date]],5),""))))</f>
        <v/>
      </c>
      <c r="P487" s="104" t="str">
        <f>IF(Main[[#This Row],[Tech Start Date]]&lt;1/1/1990,"",IF(Main[[#This Row],[Class]]="C",WORKDAY(Main[[#This Row],[Tech Start Date]],28),IF(Main[[#This Row],[Class]]="B", WORKDAY(Main[[#This Row],[Tech Start Date]],19),IF(Main[[#This Row],[Class]]="A",WORKDAY(Main[[#This Row],[Tech Start Date]],9),""))))</f>
        <v/>
      </c>
      <c r="Q487" s="101">
        <v>40206</v>
      </c>
      <c r="R487" s="101">
        <v>40284</v>
      </c>
      <c r="S487" s="99" t="s">
        <v>11</v>
      </c>
      <c r="T487" s="107" t="s">
        <v>4</v>
      </c>
      <c r="U487" s="99" t="s">
        <v>14</v>
      </c>
      <c r="V487" s="99" t="s">
        <v>1963</v>
      </c>
      <c r="W487" s="99" t="s">
        <v>1964</v>
      </c>
    </row>
    <row r="488" spans="1:23" ht="18.600000000000001" customHeight="1">
      <c r="A488" s="123" t="str">
        <f>IF(priority(Main[[#This Row],[Comments]])&lt;&gt;0, priority(Main[[#This Row],[Comments]]),"")</f>
        <v/>
      </c>
      <c r="B488" s="127" t="s">
        <v>1643</v>
      </c>
      <c r="C488" s="99" t="s">
        <v>4</v>
      </c>
      <c r="D488" s="100" t="s">
        <v>687</v>
      </c>
      <c r="E488" s="101">
        <v>40619.658206018517</v>
      </c>
      <c r="F488" s="101"/>
      <c r="G488" s="102" t="str">
        <f>IF(stdProdLT(Main[[#This Row],[Comments]])=0.1,"N/A",IF(stdProdLT(Main[[#This Row],[Comments]])=0,"",stdProdLT(Main[[#This Row],[Comments]])))</f>
        <v/>
      </c>
      <c r="H488" s="103" t="str">
        <f>IF(AND(Main[[#This Row],[In Stock Date]]&lt;&gt;"",Main[[#This Row],[Revised Due Date]]&lt;&gt;""),Main[[#This Row],[In Stock Date]]-Main[[#This Row],[Revised Due Date]],"")</f>
        <v/>
      </c>
      <c r="I488" s="99" t="s">
        <v>939</v>
      </c>
      <c r="J488" s="99" t="s">
        <v>28</v>
      </c>
      <c r="K488" s="99" t="s">
        <v>1971</v>
      </c>
      <c r="L488" s="101"/>
      <c r="M488" s="104" t="str">
        <f>IF(Main[[#This Row],[Tech Start Date]]&lt;1/1/1990,"",IF(Main[[#This Row],[Class]]="C",WORKDAY(Main[[#This Row],[Tech Start Date]],9),IF(Main[[#This Row],[Class]]="B", WORKDAY(Main[[#This Row],[Tech Start Date]],6),IF(Main[[#This Row],[Class]]="A",WORKDAY(Main[[#This Row],[Tech Start Date]],2),""))))</f>
        <v/>
      </c>
      <c r="N488" s="104" t="str">
        <f>IF(Main[[#This Row],[Tech Start Date]]&lt;1/1/1990,"",IF(Main[[#This Row],[Class]]="C",WORKDAY(Main[[#This Row],[Tech Start Date]],19),IF(Main[[#This Row],[Class]]="B", WORKDAY(Main[[#This Row],[Tech Start Date]],12),IF(Main[[#This Row],[Class]]="A",WORKDAY(Main[[#This Row],[Tech Start Date]],4),""))))</f>
        <v/>
      </c>
      <c r="O488" s="104" t="str">
        <f>IF(Main[[#This Row],[Tech Start Date]]&lt;1/1/1990,"",IF(Main[[#This Row],[Class]]="C",WORKDAY(Main[[#This Row],[Tech Start Date]],23),IF(Main[[#This Row],[Class]]="B", WORKDAY(Main[[#This Row],[Tech Start Date]],15),IF(Main[[#This Row],[Class]]="A",WORKDAY(Main[[#This Row],[Tech Start Date]],5),""))))</f>
        <v/>
      </c>
      <c r="P488" s="104" t="str">
        <f>IF(Main[[#This Row],[Tech Start Date]]&lt;1/1/1990,"",IF(Main[[#This Row],[Class]]="C",WORKDAY(Main[[#This Row],[Tech Start Date]],28),IF(Main[[#This Row],[Class]]="B", WORKDAY(Main[[#This Row],[Tech Start Date]],19),IF(Main[[#This Row],[Class]]="A",WORKDAY(Main[[#This Row],[Tech Start Date]],9),""))))</f>
        <v/>
      </c>
      <c r="Q488" s="101"/>
      <c r="R488" s="101"/>
      <c r="S488" s="99" t="s">
        <v>6</v>
      </c>
      <c r="T488" s="107" t="s">
        <v>4</v>
      </c>
      <c r="U488" s="99" t="s">
        <v>29</v>
      </c>
      <c r="V488" s="99" t="s">
        <v>1977</v>
      </c>
      <c r="W488" s="99" t="s">
        <v>1964</v>
      </c>
    </row>
    <row r="489" spans="1:23" ht="18.600000000000001" customHeight="1">
      <c r="A489" s="123" t="str">
        <f>IF(priority(Main[[#This Row],[Comments]])&lt;&gt;0, priority(Main[[#This Row],[Comments]]),"")</f>
        <v/>
      </c>
      <c r="B489" s="127" t="s">
        <v>1380</v>
      </c>
      <c r="C489" s="99" t="s">
        <v>4</v>
      </c>
      <c r="D489" s="100" t="s">
        <v>436</v>
      </c>
      <c r="E489" s="101">
        <v>40585.693101851852</v>
      </c>
      <c r="F489" s="101"/>
      <c r="G489" s="102" t="str">
        <f>IF(stdProdLT(Main[[#This Row],[Comments]])=0.1,"N/A",IF(stdProdLT(Main[[#This Row],[Comments]])=0,"",stdProdLT(Main[[#This Row],[Comments]])))</f>
        <v/>
      </c>
      <c r="H489" s="103" t="str">
        <f>IF(AND(Main[[#This Row],[In Stock Date]]&lt;&gt;"",Main[[#This Row],[Revised Due Date]]&lt;&gt;""),Main[[#This Row],[In Stock Date]]-Main[[#This Row],[Revised Due Date]],"")</f>
        <v/>
      </c>
      <c r="I489" s="99" t="s">
        <v>437</v>
      </c>
      <c r="J489" s="99" t="s">
        <v>21</v>
      </c>
      <c r="K489" s="99" t="s">
        <v>4</v>
      </c>
      <c r="L489" s="101"/>
      <c r="M489" s="104" t="str">
        <f>IF(Main[[#This Row],[Tech Start Date]]&lt;1/1/1990,"",IF(Main[[#This Row],[Class]]="C",WORKDAY(Main[[#This Row],[Tech Start Date]],9),IF(Main[[#This Row],[Class]]="B", WORKDAY(Main[[#This Row],[Tech Start Date]],6),IF(Main[[#This Row],[Class]]="A",WORKDAY(Main[[#This Row],[Tech Start Date]],2),""))))</f>
        <v/>
      </c>
      <c r="N489" s="104" t="str">
        <f>IF(Main[[#This Row],[Tech Start Date]]&lt;1/1/1990,"",IF(Main[[#This Row],[Class]]="C",WORKDAY(Main[[#This Row],[Tech Start Date]],19),IF(Main[[#This Row],[Class]]="B", WORKDAY(Main[[#This Row],[Tech Start Date]],12),IF(Main[[#This Row],[Class]]="A",WORKDAY(Main[[#This Row],[Tech Start Date]],4),""))))</f>
        <v/>
      </c>
      <c r="O489" s="104" t="str">
        <f>IF(Main[[#This Row],[Tech Start Date]]&lt;1/1/1990,"",IF(Main[[#This Row],[Class]]="C",WORKDAY(Main[[#This Row],[Tech Start Date]],23),IF(Main[[#This Row],[Class]]="B", WORKDAY(Main[[#This Row],[Tech Start Date]],15),IF(Main[[#This Row],[Class]]="A",WORKDAY(Main[[#This Row],[Tech Start Date]],5),""))))</f>
        <v/>
      </c>
      <c r="P489" s="104" t="str">
        <f>IF(Main[[#This Row],[Tech Start Date]]&lt;1/1/1990,"",IF(Main[[#This Row],[Class]]="C",WORKDAY(Main[[#This Row],[Tech Start Date]],28),IF(Main[[#This Row],[Class]]="B", WORKDAY(Main[[#This Row],[Tech Start Date]],19),IF(Main[[#This Row],[Class]]="A",WORKDAY(Main[[#This Row],[Tech Start Date]],9),""))))</f>
        <v/>
      </c>
      <c r="Q489" s="101">
        <v>40602</v>
      </c>
      <c r="R489" s="101"/>
      <c r="S489" s="99" t="s">
        <v>6</v>
      </c>
      <c r="T489" s="107" t="s">
        <v>4</v>
      </c>
      <c r="U489" s="99" t="s">
        <v>29</v>
      </c>
      <c r="V489" s="99" t="s">
        <v>1965</v>
      </c>
      <c r="W489" s="99" t="s">
        <v>1966</v>
      </c>
    </row>
    <row r="490" spans="1:23" ht="18.600000000000001" customHeight="1">
      <c r="A490" s="123" t="str">
        <f>IF(priority(Main[[#This Row],[Comments]])&lt;&gt;0, priority(Main[[#This Row],[Comments]]),"")</f>
        <v/>
      </c>
      <c r="B490" s="127" t="s">
        <v>1381</v>
      </c>
      <c r="C490" s="99" t="s">
        <v>4</v>
      </c>
      <c r="D490" s="100" t="s">
        <v>438</v>
      </c>
      <c r="E490" s="101"/>
      <c r="F490" s="101"/>
      <c r="G490" s="102" t="str">
        <f>IF(stdProdLT(Main[[#This Row],[Comments]])=0.1,"N/A",IF(stdProdLT(Main[[#This Row],[Comments]])=0,"",stdProdLT(Main[[#This Row],[Comments]])))</f>
        <v/>
      </c>
      <c r="H490" s="103" t="str">
        <f>IF(AND(Main[[#This Row],[In Stock Date]]&lt;&gt;"",Main[[#This Row],[Revised Due Date]]&lt;&gt;""),Main[[#This Row],[In Stock Date]]-Main[[#This Row],[Revised Due Date]],"")</f>
        <v/>
      </c>
      <c r="I490" s="99" t="s">
        <v>4</v>
      </c>
      <c r="J490" s="99" t="s">
        <v>4</v>
      </c>
      <c r="K490" s="99" t="s">
        <v>4</v>
      </c>
      <c r="L490" s="101"/>
      <c r="M490" s="104" t="str">
        <f>IF(Main[[#This Row],[Tech Start Date]]&lt;1/1/1990,"",IF(Main[[#This Row],[Class]]="C",WORKDAY(Main[[#This Row],[Tech Start Date]],9),IF(Main[[#This Row],[Class]]="B", WORKDAY(Main[[#This Row],[Tech Start Date]],6),IF(Main[[#This Row],[Class]]="A",WORKDAY(Main[[#This Row],[Tech Start Date]],2),""))))</f>
        <v/>
      </c>
      <c r="N490" s="104" t="str">
        <f>IF(Main[[#This Row],[Tech Start Date]]&lt;1/1/1990,"",IF(Main[[#This Row],[Class]]="C",WORKDAY(Main[[#This Row],[Tech Start Date]],19),IF(Main[[#This Row],[Class]]="B", WORKDAY(Main[[#This Row],[Tech Start Date]],12),IF(Main[[#This Row],[Class]]="A",WORKDAY(Main[[#This Row],[Tech Start Date]],4),""))))</f>
        <v/>
      </c>
      <c r="O490" s="104" t="str">
        <f>IF(Main[[#This Row],[Tech Start Date]]&lt;1/1/1990,"",IF(Main[[#This Row],[Class]]="C",WORKDAY(Main[[#This Row],[Tech Start Date]],23),IF(Main[[#This Row],[Class]]="B", WORKDAY(Main[[#This Row],[Tech Start Date]],15),IF(Main[[#This Row],[Class]]="A",WORKDAY(Main[[#This Row],[Tech Start Date]],5),""))))</f>
        <v/>
      </c>
      <c r="P490" s="104" t="str">
        <f>IF(Main[[#This Row],[Tech Start Date]]&lt;1/1/1990,"",IF(Main[[#This Row],[Class]]="C",WORKDAY(Main[[#This Row],[Tech Start Date]],28),IF(Main[[#This Row],[Class]]="B", WORKDAY(Main[[#This Row],[Tech Start Date]],19),IF(Main[[#This Row],[Class]]="A",WORKDAY(Main[[#This Row],[Tech Start Date]],9),""))))</f>
        <v/>
      </c>
      <c r="Q490" s="101"/>
      <c r="R490" s="101"/>
      <c r="S490" s="99" t="s">
        <v>4</v>
      </c>
      <c r="T490" s="107" t="s">
        <v>4</v>
      </c>
      <c r="U490" s="99" t="s">
        <v>14</v>
      </c>
      <c r="V490" s="99" t="s">
        <v>1962</v>
      </c>
      <c r="W490" s="99" t="s">
        <v>1976</v>
      </c>
    </row>
    <row r="491" spans="1:23" ht="18.600000000000001" customHeight="1">
      <c r="A491" s="123" t="str">
        <f>IF(priority(Main[[#This Row],[Comments]])&lt;&gt;0, priority(Main[[#This Row],[Comments]]),"")</f>
        <v/>
      </c>
      <c r="B491" s="127" t="s">
        <v>1383</v>
      </c>
      <c r="C491" s="99" t="s">
        <v>31</v>
      </c>
      <c r="D491" s="100" t="s">
        <v>441</v>
      </c>
      <c r="E491" s="101"/>
      <c r="F491" s="101"/>
      <c r="G491" s="102" t="str">
        <f>IF(stdProdLT(Main[[#This Row],[Comments]])=0.1,"N/A",IF(stdProdLT(Main[[#This Row],[Comments]])=0,"",stdProdLT(Main[[#This Row],[Comments]])))</f>
        <v/>
      </c>
      <c r="H491" s="103" t="str">
        <f>IF(AND(Main[[#This Row],[In Stock Date]]&lt;&gt;"",Main[[#This Row],[Revised Due Date]]&lt;&gt;""),Main[[#This Row],[In Stock Date]]-Main[[#This Row],[Revised Due Date]],"")</f>
        <v/>
      </c>
      <c r="I491" s="99" t="s">
        <v>4</v>
      </c>
      <c r="J491" s="99" t="s">
        <v>4</v>
      </c>
      <c r="K491" s="99" t="s">
        <v>4</v>
      </c>
      <c r="L491" s="101"/>
      <c r="M491" s="104" t="str">
        <f>IF(Main[[#This Row],[Tech Start Date]]&lt;1/1/1990,"",IF(Main[[#This Row],[Class]]="C",WORKDAY(Main[[#This Row],[Tech Start Date]],9),IF(Main[[#This Row],[Class]]="B", WORKDAY(Main[[#This Row],[Tech Start Date]],6),IF(Main[[#This Row],[Class]]="A",WORKDAY(Main[[#This Row],[Tech Start Date]],2),""))))</f>
        <v/>
      </c>
      <c r="N491" s="104" t="str">
        <f>IF(Main[[#This Row],[Tech Start Date]]&lt;1/1/1990,"",IF(Main[[#This Row],[Class]]="C",WORKDAY(Main[[#This Row],[Tech Start Date]],19),IF(Main[[#This Row],[Class]]="B", WORKDAY(Main[[#This Row],[Tech Start Date]],12),IF(Main[[#This Row],[Class]]="A",WORKDAY(Main[[#This Row],[Tech Start Date]],4),""))))</f>
        <v/>
      </c>
      <c r="O491" s="104" t="str">
        <f>IF(Main[[#This Row],[Tech Start Date]]&lt;1/1/1990,"",IF(Main[[#This Row],[Class]]="C",WORKDAY(Main[[#This Row],[Tech Start Date]],23),IF(Main[[#This Row],[Class]]="B", WORKDAY(Main[[#This Row],[Tech Start Date]],15),IF(Main[[#This Row],[Class]]="A",WORKDAY(Main[[#This Row],[Tech Start Date]],5),""))))</f>
        <v/>
      </c>
      <c r="P491" s="104" t="str">
        <f>IF(Main[[#This Row],[Tech Start Date]]&lt;1/1/1990,"",IF(Main[[#This Row],[Class]]="C",WORKDAY(Main[[#This Row],[Tech Start Date]],28),IF(Main[[#This Row],[Class]]="B", WORKDAY(Main[[#This Row],[Tech Start Date]],19),IF(Main[[#This Row],[Class]]="A",WORKDAY(Main[[#This Row],[Tech Start Date]],9),""))))</f>
        <v/>
      </c>
      <c r="Q491" s="101">
        <v>40318</v>
      </c>
      <c r="R491" s="101"/>
      <c r="S491" s="99" t="s">
        <v>11</v>
      </c>
      <c r="T491" s="107" t="s">
        <v>4</v>
      </c>
      <c r="U491" s="99" t="s">
        <v>14</v>
      </c>
      <c r="V491" s="99" t="s">
        <v>1965</v>
      </c>
      <c r="W491" s="99" t="s">
        <v>1964</v>
      </c>
    </row>
    <row r="492" spans="1:23" ht="18.600000000000001" customHeight="1">
      <c r="A492" s="123" t="str">
        <f>IF(priority(Main[[#This Row],[Comments]])&lt;&gt;0, priority(Main[[#This Row],[Comments]]),"")</f>
        <v/>
      </c>
      <c r="B492" s="127" t="s">
        <v>1384</v>
      </c>
      <c r="C492" s="99" t="s">
        <v>442</v>
      </c>
      <c r="D492" s="100" t="s">
        <v>443</v>
      </c>
      <c r="E492" s="101"/>
      <c r="F492" s="101">
        <v>40056</v>
      </c>
      <c r="G492" s="102" t="str">
        <f>IF(stdProdLT(Main[[#This Row],[Comments]])=0.1,"N/A",IF(stdProdLT(Main[[#This Row],[Comments]])=0,"",stdProdLT(Main[[#This Row],[Comments]])))</f>
        <v/>
      </c>
      <c r="H492" s="103" t="str">
        <f>IF(AND(Main[[#This Row],[In Stock Date]]&lt;&gt;"",Main[[#This Row],[Revised Due Date]]&lt;&gt;""),Main[[#This Row],[In Stock Date]]-Main[[#This Row],[Revised Due Date]],"")</f>
        <v/>
      </c>
      <c r="I492" s="99" t="s">
        <v>4</v>
      </c>
      <c r="J492" s="99" t="s">
        <v>4</v>
      </c>
      <c r="K492" s="99" t="s">
        <v>4</v>
      </c>
      <c r="L492" s="101"/>
      <c r="M492" s="104" t="str">
        <f>IF(Main[[#This Row],[Tech Start Date]]&lt;1/1/1990,"",IF(Main[[#This Row],[Class]]="C",WORKDAY(Main[[#This Row],[Tech Start Date]],9),IF(Main[[#This Row],[Class]]="B", WORKDAY(Main[[#This Row],[Tech Start Date]],6),IF(Main[[#This Row],[Class]]="A",WORKDAY(Main[[#This Row],[Tech Start Date]],2),""))))</f>
        <v/>
      </c>
      <c r="N492" s="104" t="str">
        <f>IF(Main[[#This Row],[Tech Start Date]]&lt;1/1/1990,"",IF(Main[[#This Row],[Class]]="C",WORKDAY(Main[[#This Row],[Tech Start Date]],19),IF(Main[[#This Row],[Class]]="B", WORKDAY(Main[[#This Row],[Tech Start Date]],12),IF(Main[[#This Row],[Class]]="A",WORKDAY(Main[[#This Row],[Tech Start Date]],4),""))))</f>
        <v/>
      </c>
      <c r="O492" s="104" t="str">
        <f>IF(Main[[#This Row],[Tech Start Date]]&lt;1/1/1990,"",IF(Main[[#This Row],[Class]]="C",WORKDAY(Main[[#This Row],[Tech Start Date]],23),IF(Main[[#This Row],[Class]]="B", WORKDAY(Main[[#This Row],[Tech Start Date]],15),IF(Main[[#This Row],[Class]]="A",WORKDAY(Main[[#This Row],[Tech Start Date]],5),""))))</f>
        <v/>
      </c>
      <c r="P492" s="104" t="str">
        <f>IF(Main[[#This Row],[Tech Start Date]]&lt;1/1/1990,"",IF(Main[[#This Row],[Class]]="C",WORKDAY(Main[[#This Row],[Tech Start Date]],28),IF(Main[[#This Row],[Class]]="B", WORKDAY(Main[[#This Row],[Tech Start Date]],19),IF(Main[[#This Row],[Class]]="A",WORKDAY(Main[[#This Row],[Tech Start Date]],9),""))))</f>
        <v/>
      </c>
      <c r="Q492" s="101"/>
      <c r="R492" s="101"/>
      <c r="S492" s="99" t="s">
        <v>11</v>
      </c>
      <c r="T492" s="107" t="s">
        <v>4</v>
      </c>
      <c r="U492" s="99" t="s">
        <v>14</v>
      </c>
      <c r="V492" s="99" t="s">
        <v>1962</v>
      </c>
      <c r="W492" s="99" t="s">
        <v>1970</v>
      </c>
    </row>
    <row r="493" spans="1:23" ht="18.600000000000001" customHeight="1">
      <c r="A493" s="123" t="str">
        <f>IF(priority(Main[[#This Row],[Comments]])&lt;&gt;0, priority(Main[[#This Row],[Comments]]),"")</f>
        <v/>
      </c>
      <c r="B493" s="127" t="s">
        <v>1385</v>
      </c>
      <c r="C493" s="99" t="s">
        <v>31</v>
      </c>
      <c r="D493" s="100" t="s">
        <v>444</v>
      </c>
      <c r="E493" s="101"/>
      <c r="F493" s="101"/>
      <c r="G493" s="102" t="str">
        <f>IF(stdProdLT(Main[[#This Row],[Comments]])=0.1,"N/A",IF(stdProdLT(Main[[#This Row],[Comments]])=0,"",stdProdLT(Main[[#This Row],[Comments]])))</f>
        <v/>
      </c>
      <c r="H493" s="103" t="str">
        <f>IF(AND(Main[[#This Row],[In Stock Date]]&lt;&gt;"",Main[[#This Row],[Revised Due Date]]&lt;&gt;""),Main[[#This Row],[In Stock Date]]-Main[[#This Row],[Revised Due Date]],"")</f>
        <v/>
      </c>
      <c r="I493" s="99" t="s">
        <v>4</v>
      </c>
      <c r="J493" s="99" t="s">
        <v>4</v>
      </c>
      <c r="K493" s="99" t="s">
        <v>4</v>
      </c>
      <c r="L493" s="101"/>
      <c r="M493" s="104" t="str">
        <f>IF(Main[[#This Row],[Tech Start Date]]&lt;1/1/1990,"",IF(Main[[#This Row],[Class]]="C",WORKDAY(Main[[#This Row],[Tech Start Date]],9),IF(Main[[#This Row],[Class]]="B", WORKDAY(Main[[#This Row],[Tech Start Date]],6),IF(Main[[#This Row],[Class]]="A",WORKDAY(Main[[#This Row],[Tech Start Date]],2),""))))</f>
        <v/>
      </c>
      <c r="N493" s="104" t="str">
        <f>IF(Main[[#This Row],[Tech Start Date]]&lt;1/1/1990,"",IF(Main[[#This Row],[Class]]="C",WORKDAY(Main[[#This Row],[Tech Start Date]],19),IF(Main[[#This Row],[Class]]="B", WORKDAY(Main[[#This Row],[Tech Start Date]],12),IF(Main[[#This Row],[Class]]="A",WORKDAY(Main[[#This Row],[Tech Start Date]],4),""))))</f>
        <v/>
      </c>
      <c r="O493" s="104" t="str">
        <f>IF(Main[[#This Row],[Tech Start Date]]&lt;1/1/1990,"",IF(Main[[#This Row],[Class]]="C",WORKDAY(Main[[#This Row],[Tech Start Date]],23),IF(Main[[#This Row],[Class]]="B", WORKDAY(Main[[#This Row],[Tech Start Date]],15),IF(Main[[#This Row],[Class]]="A",WORKDAY(Main[[#This Row],[Tech Start Date]],5),""))))</f>
        <v/>
      </c>
      <c r="P493" s="104" t="str">
        <f>IF(Main[[#This Row],[Tech Start Date]]&lt;1/1/1990,"",IF(Main[[#This Row],[Class]]="C",WORKDAY(Main[[#This Row],[Tech Start Date]],28),IF(Main[[#This Row],[Class]]="B", WORKDAY(Main[[#This Row],[Tech Start Date]],19),IF(Main[[#This Row],[Class]]="A",WORKDAY(Main[[#This Row],[Tech Start Date]],9),""))))</f>
        <v/>
      </c>
      <c r="Q493" s="101">
        <v>40318</v>
      </c>
      <c r="R493" s="101"/>
      <c r="S493" s="99" t="s">
        <v>11</v>
      </c>
      <c r="T493" s="107" t="s">
        <v>4</v>
      </c>
      <c r="U493" s="99" t="s">
        <v>14</v>
      </c>
      <c r="V493" s="99" t="s">
        <v>1965</v>
      </c>
      <c r="W493" s="99" t="s">
        <v>1973</v>
      </c>
    </row>
    <row r="494" spans="1:23" ht="18.600000000000001" customHeight="1">
      <c r="A494" s="123" t="str">
        <f>IF(priority(Main[[#This Row],[Comments]])&lt;&gt;0, priority(Main[[#This Row],[Comments]]),"")</f>
        <v/>
      </c>
      <c r="B494" s="127" t="s">
        <v>1386</v>
      </c>
      <c r="C494" s="99" t="s">
        <v>31</v>
      </c>
      <c r="D494" s="100" t="s">
        <v>445</v>
      </c>
      <c r="E494" s="101"/>
      <c r="F494" s="101"/>
      <c r="G494" s="102" t="str">
        <f>IF(stdProdLT(Main[[#This Row],[Comments]])=0.1,"N/A",IF(stdProdLT(Main[[#This Row],[Comments]])=0,"",stdProdLT(Main[[#This Row],[Comments]])))</f>
        <v/>
      </c>
      <c r="H494" s="103" t="str">
        <f>IF(AND(Main[[#This Row],[In Stock Date]]&lt;&gt;"",Main[[#This Row],[Revised Due Date]]&lt;&gt;""),Main[[#This Row],[In Stock Date]]-Main[[#This Row],[Revised Due Date]],"")</f>
        <v/>
      </c>
      <c r="I494" s="99" t="s">
        <v>4</v>
      </c>
      <c r="J494" s="99" t="s">
        <v>4</v>
      </c>
      <c r="K494" s="99" t="s">
        <v>4</v>
      </c>
      <c r="L494" s="101"/>
      <c r="M494" s="104" t="str">
        <f>IF(Main[[#This Row],[Tech Start Date]]&lt;1/1/1990,"",IF(Main[[#This Row],[Class]]="C",WORKDAY(Main[[#This Row],[Tech Start Date]],9),IF(Main[[#This Row],[Class]]="B", WORKDAY(Main[[#This Row],[Tech Start Date]],6),IF(Main[[#This Row],[Class]]="A",WORKDAY(Main[[#This Row],[Tech Start Date]],2),""))))</f>
        <v/>
      </c>
      <c r="N494" s="104" t="str">
        <f>IF(Main[[#This Row],[Tech Start Date]]&lt;1/1/1990,"",IF(Main[[#This Row],[Class]]="C",WORKDAY(Main[[#This Row],[Tech Start Date]],19),IF(Main[[#This Row],[Class]]="B", WORKDAY(Main[[#This Row],[Tech Start Date]],12),IF(Main[[#This Row],[Class]]="A",WORKDAY(Main[[#This Row],[Tech Start Date]],4),""))))</f>
        <v/>
      </c>
      <c r="O494" s="104" t="str">
        <f>IF(Main[[#This Row],[Tech Start Date]]&lt;1/1/1990,"",IF(Main[[#This Row],[Class]]="C",WORKDAY(Main[[#This Row],[Tech Start Date]],23),IF(Main[[#This Row],[Class]]="B", WORKDAY(Main[[#This Row],[Tech Start Date]],15),IF(Main[[#This Row],[Class]]="A",WORKDAY(Main[[#This Row],[Tech Start Date]],5),""))))</f>
        <v/>
      </c>
      <c r="P494" s="104" t="str">
        <f>IF(Main[[#This Row],[Tech Start Date]]&lt;1/1/1990,"",IF(Main[[#This Row],[Class]]="C",WORKDAY(Main[[#This Row],[Tech Start Date]],28),IF(Main[[#This Row],[Class]]="B", WORKDAY(Main[[#This Row],[Tech Start Date]],19),IF(Main[[#This Row],[Class]]="A",WORKDAY(Main[[#This Row],[Tech Start Date]],9),""))))</f>
        <v/>
      </c>
      <c r="Q494" s="101">
        <v>40318</v>
      </c>
      <c r="R494" s="101"/>
      <c r="S494" s="99" t="s">
        <v>11</v>
      </c>
      <c r="T494" s="107" t="s">
        <v>4</v>
      </c>
      <c r="U494" s="99" t="s">
        <v>14</v>
      </c>
      <c r="V494" s="99" t="s">
        <v>1965</v>
      </c>
      <c r="W494" s="99" t="s">
        <v>1964</v>
      </c>
    </row>
    <row r="495" spans="1:23" ht="18.600000000000001" customHeight="1">
      <c r="A495" s="123" t="str">
        <f>IF(priority(Main[[#This Row],[Comments]])&lt;&gt;0, priority(Main[[#This Row],[Comments]]),"")</f>
        <v/>
      </c>
      <c r="B495" s="127" t="s">
        <v>1388</v>
      </c>
      <c r="C495" s="99" t="s">
        <v>4</v>
      </c>
      <c r="D495" s="100" t="s">
        <v>447</v>
      </c>
      <c r="E495" s="101">
        <v>40371.342870370368</v>
      </c>
      <c r="F495" s="101"/>
      <c r="G495" s="102" t="str">
        <f>IF(stdProdLT(Main[[#This Row],[Comments]])=0.1,"N/A",IF(stdProdLT(Main[[#This Row],[Comments]])=0,"",stdProdLT(Main[[#This Row],[Comments]])))</f>
        <v/>
      </c>
      <c r="H495" s="103" t="str">
        <f>IF(AND(Main[[#This Row],[In Stock Date]]&lt;&gt;"",Main[[#This Row],[Revised Due Date]]&lt;&gt;""),Main[[#This Row],[In Stock Date]]-Main[[#This Row],[Revised Due Date]],"")</f>
        <v/>
      </c>
      <c r="I495" s="99" t="s">
        <v>4</v>
      </c>
      <c r="J495" s="99" t="s">
        <v>4</v>
      </c>
      <c r="K495" s="99" t="s">
        <v>4</v>
      </c>
      <c r="L495" s="101"/>
      <c r="M495" s="104" t="str">
        <f>IF(Main[[#This Row],[Tech Start Date]]&lt;1/1/1990,"",IF(Main[[#This Row],[Class]]="C",WORKDAY(Main[[#This Row],[Tech Start Date]],9),IF(Main[[#This Row],[Class]]="B", WORKDAY(Main[[#This Row],[Tech Start Date]],6),IF(Main[[#This Row],[Class]]="A",WORKDAY(Main[[#This Row],[Tech Start Date]],2),""))))</f>
        <v/>
      </c>
      <c r="N495" s="104" t="str">
        <f>IF(Main[[#This Row],[Tech Start Date]]&lt;1/1/1990,"",IF(Main[[#This Row],[Class]]="C",WORKDAY(Main[[#This Row],[Tech Start Date]],19),IF(Main[[#This Row],[Class]]="B", WORKDAY(Main[[#This Row],[Tech Start Date]],12),IF(Main[[#This Row],[Class]]="A",WORKDAY(Main[[#This Row],[Tech Start Date]],4),""))))</f>
        <v/>
      </c>
      <c r="O495" s="104" t="str">
        <f>IF(Main[[#This Row],[Tech Start Date]]&lt;1/1/1990,"",IF(Main[[#This Row],[Class]]="C",WORKDAY(Main[[#This Row],[Tech Start Date]],23),IF(Main[[#This Row],[Class]]="B", WORKDAY(Main[[#This Row],[Tech Start Date]],15),IF(Main[[#This Row],[Class]]="A",WORKDAY(Main[[#This Row],[Tech Start Date]],5),""))))</f>
        <v/>
      </c>
      <c r="P495" s="104" t="str">
        <f>IF(Main[[#This Row],[Tech Start Date]]&lt;1/1/1990,"",IF(Main[[#This Row],[Class]]="C",WORKDAY(Main[[#This Row],[Tech Start Date]],28),IF(Main[[#This Row],[Class]]="B", WORKDAY(Main[[#This Row],[Tech Start Date]],19),IF(Main[[#This Row],[Class]]="A",WORKDAY(Main[[#This Row],[Tech Start Date]],9),""))))</f>
        <v/>
      </c>
      <c r="Q495" s="101">
        <v>40385</v>
      </c>
      <c r="R495" s="101"/>
      <c r="S495" s="99" t="s">
        <v>6</v>
      </c>
      <c r="T495" s="107" t="s">
        <v>4</v>
      </c>
      <c r="U495" s="99" t="s">
        <v>7</v>
      </c>
      <c r="V495" s="99" t="s">
        <v>1962</v>
      </c>
      <c r="W495" s="99" t="s">
        <v>1964</v>
      </c>
    </row>
    <row r="496" spans="1:23" ht="18.600000000000001" customHeight="1">
      <c r="A496" s="123" t="str">
        <f>IF(priority(Main[[#This Row],[Comments]])&lt;&gt;0, priority(Main[[#This Row],[Comments]]),"")</f>
        <v/>
      </c>
      <c r="B496" s="127" t="s">
        <v>1389</v>
      </c>
      <c r="C496" s="99" t="s">
        <v>4</v>
      </c>
      <c r="D496" s="100" t="s">
        <v>448</v>
      </c>
      <c r="E496" s="101">
        <v>40679.250891203701</v>
      </c>
      <c r="F496" s="101"/>
      <c r="G496" s="102" t="str">
        <f>IF(stdProdLT(Main[[#This Row],[Comments]])=0.1,"N/A",IF(stdProdLT(Main[[#This Row],[Comments]])=0,"",stdProdLT(Main[[#This Row],[Comments]])))</f>
        <v/>
      </c>
      <c r="H496" s="103" t="str">
        <f>IF(AND(Main[[#This Row],[In Stock Date]]&lt;&gt;"",Main[[#This Row],[Revised Due Date]]&lt;&gt;""),Main[[#This Row],[In Stock Date]]-Main[[#This Row],[Revised Due Date]],"")</f>
        <v/>
      </c>
      <c r="I496" s="99" t="s">
        <v>4</v>
      </c>
      <c r="J496" s="99" t="s">
        <v>4</v>
      </c>
      <c r="K496" s="108" t="s">
        <v>4</v>
      </c>
      <c r="L496" s="101"/>
      <c r="M496" s="104" t="str">
        <f>IF(Main[[#This Row],[Tech Start Date]]&lt;1/1/1990,"",IF(Main[[#This Row],[Class]]="C",WORKDAY(Main[[#This Row],[Tech Start Date]],9),IF(Main[[#This Row],[Class]]="B", WORKDAY(Main[[#This Row],[Tech Start Date]],6),IF(Main[[#This Row],[Class]]="A",WORKDAY(Main[[#This Row],[Tech Start Date]],2),""))))</f>
        <v/>
      </c>
      <c r="N496" s="104" t="str">
        <f>IF(Main[[#This Row],[Tech Start Date]]&lt;1/1/1990,"",IF(Main[[#This Row],[Class]]="C",WORKDAY(Main[[#This Row],[Tech Start Date]],19),IF(Main[[#This Row],[Class]]="B", WORKDAY(Main[[#This Row],[Tech Start Date]],12),IF(Main[[#This Row],[Class]]="A",WORKDAY(Main[[#This Row],[Tech Start Date]],4),""))))</f>
        <v/>
      </c>
      <c r="O496" s="104" t="str">
        <f>IF(Main[[#This Row],[Tech Start Date]]&lt;1/1/1990,"",IF(Main[[#This Row],[Class]]="C",WORKDAY(Main[[#This Row],[Tech Start Date]],23),IF(Main[[#This Row],[Class]]="B", WORKDAY(Main[[#This Row],[Tech Start Date]],15),IF(Main[[#This Row],[Class]]="A",WORKDAY(Main[[#This Row],[Tech Start Date]],5),""))))</f>
        <v/>
      </c>
      <c r="P496" s="104" t="str">
        <f>IF(Main[[#This Row],[Tech Start Date]]&lt;1/1/1990,"",IF(Main[[#This Row],[Class]]="C",WORKDAY(Main[[#This Row],[Tech Start Date]],28),IF(Main[[#This Row],[Class]]="B", WORKDAY(Main[[#This Row],[Tech Start Date]],19),IF(Main[[#This Row],[Class]]="A",WORKDAY(Main[[#This Row],[Tech Start Date]],9),""))))</f>
        <v/>
      </c>
      <c r="Q496" s="101">
        <v>40724</v>
      </c>
      <c r="R496" s="101"/>
      <c r="S496" s="99" t="s">
        <v>6</v>
      </c>
      <c r="T496" s="107" t="s">
        <v>4</v>
      </c>
      <c r="U496" s="99" t="s">
        <v>7</v>
      </c>
      <c r="V496" s="99" t="s">
        <v>1962</v>
      </c>
      <c r="W496" s="99" t="s">
        <v>4</v>
      </c>
    </row>
    <row r="497" spans="1:23" ht="18.600000000000001" customHeight="1">
      <c r="A497" s="123" t="str">
        <f>IF(priority(Main[[#This Row],[Comments]])&lt;&gt;0, priority(Main[[#This Row],[Comments]]),"")</f>
        <v/>
      </c>
      <c r="B497" s="127" t="s">
        <v>1390</v>
      </c>
      <c r="C497" s="99" t="s">
        <v>4</v>
      </c>
      <c r="D497" s="100" t="s">
        <v>449</v>
      </c>
      <c r="E497" s="101"/>
      <c r="F497" s="101"/>
      <c r="G497" s="102" t="str">
        <f>IF(stdProdLT(Main[[#This Row],[Comments]])=0.1,"N/A",IF(stdProdLT(Main[[#This Row],[Comments]])=0,"",stdProdLT(Main[[#This Row],[Comments]])))</f>
        <v/>
      </c>
      <c r="H497" s="103" t="str">
        <f>IF(AND(Main[[#This Row],[In Stock Date]]&lt;&gt;"",Main[[#This Row],[Revised Due Date]]&lt;&gt;""),Main[[#This Row],[In Stock Date]]-Main[[#This Row],[Revised Due Date]],"")</f>
        <v/>
      </c>
      <c r="I497" s="99" t="s">
        <v>4</v>
      </c>
      <c r="J497" s="99" t="s">
        <v>4</v>
      </c>
      <c r="K497" s="99" t="s">
        <v>4</v>
      </c>
      <c r="L497" s="101"/>
      <c r="M497" s="104" t="str">
        <f>IF(Main[[#This Row],[Tech Start Date]]&lt;1/1/1990,"",IF(Main[[#This Row],[Class]]="C",WORKDAY(Main[[#This Row],[Tech Start Date]],9),IF(Main[[#This Row],[Class]]="B", WORKDAY(Main[[#This Row],[Tech Start Date]],6),IF(Main[[#This Row],[Class]]="A",WORKDAY(Main[[#This Row],[Tech Start Date]],2),""))))</f>
        <v/>
      </c>
      <c r="N497" s="104" t="str">
        <f>IF(Main[[#This Row],[Tech Start Date]]&lt;1/1/1990,"",IF(Main[[#This Row],[Class]]="C",WORKDAY(Main[[#This Row],[Tech Start Date]],19),IF(Main[[#This Row],[Class]]="B", WORKDAY(Main[[#This Row],[Tech Start Date]],12),IF(Main[[#This Row],[Class]]="A",WORKDAY(Main[[#This Row],[Tech Start Date]],4),""))))</f>
        <v/>
      </c>
      <c r="O497" s="104" t="str">
        <f>IF(Main[[#This Row],[Tech Start Date]]&lt;1/1/1990,"",IF(Main[[#This Row],[Class]]="C",WORKDAY(Main[[#This Row],[Tech Start Date]],23),IF(Main[[#This Row],[Class]]="B", WORKDAY(Main[[#This Row],[Tech Start Date]],15),IF(Main[[#This Row],[Class]]="A",WORKDAY(Main[[#This Row],[Tech Start Date]],5),""))))</f>
        <v/>
      </c>
      <c r="P497" s="104" t="str">
        <f>IF(Main[[#This Row],[Tech Start Date]]&lt;1/1/1990,"",IF(Main[[#This Row],[Class]]="C",WORKDAY(Main[[#This Row],[Tech Start Date]],28),IF(Main[[#This Row],[Class]]="B", WORKDAY(Main[[#This Row],[Tech Start Date]],19),IF(Main[[#This Row],[Class]]="A",WORKDAY(Main[[#This Row],[Tech Start Date]],9),""))))</f>
        <v/>
      </c>
      <c r="Q497" s="101"/>
      <c r="R497" s="101"/>
      <c r="S497" s="99" t="s">
        <v>11</v>
      </c>
      <c r="T497" s="107" t="s">
        <v>4</v>
      </c>
      <c r="U497" s="99" t="s">
        <v>14</v>
      </c>
      <c r="V497" s="99" t="s">
        <v>1972</v>
      </c>
      <c r="W497" s="99" t="s">
        <v>1968</v>
      </c>
    </row>
    <row r="498" spans="1:23" ht="18.600000000000001" customHeight="1">
      <c r="A498" s="123" t="str">
        <f>IF(priority(Main[[#This Row],[Comments]])&lt;&gt;0, priority(Main[[#This Row],[Comments]]),"")</f>
        <v/>
      </c>
      <c r="B498" s="127" t="s">
        <v>1391</v>
      </c>
      <c r="C498" s="99" t="s">
        <v>442</v>
      </c>
      <c r="D498" s="100" t="s">
        <v>450</v>
      </c>
      <c r="E498" s="101"/>
      <c r="F498" s="101"/>
      <c r="G498" s="102" t="str">
        <f>IF(stdProdLT(Main[[#This Row],[Comments]])=0.1,"N/A",IF(stdProdLT(Main[[#This Row],[Comments]])=0,"",stdProdLT(Main[[#This Row],[Comments]])))</f>
        <v/>
      </c>
      <c r="H498" s="103" t="str">
        <f>IF(AND(Main[[#This Row],[In Stock Date]]&lt;&gt;"",Main[[#This Row],[Revised Due Date]]&lt;&gt;""),Main[[#This Row],[In Stock Date]]-Main[[#This Row],[Revised Due Date]],"")</f>
        <v/>
      </c>
      <c r="I498" s="99" t="s">
        <v>4</v>
      </c>
      <c r="J498" s="99" t="s">
        <v>4</v>
      </c>
      <c r="K498" s="99" t="s">
        <v>4</v>
      </c>
      <c r="L498" s="101"/>
      <c r="M498" s="104" t="str">
        <f>IF(Main[[#This Row],[Tech Start Date]]&lt;1/1/1990,"",IF(Main[[#This Row],[Class]]="C",WORKDAY(Main[[#This Row],[Tech Start Date]],9),IF(Main[[#This Row],[Class]]="B", WORKDAY(Main[[#This Row],[Tech Start Date]],6),IF(Main[[#This Row],[Class]]="A",WORKDAY(Main[[#This Row],[Tech Start Date]],2),""))))</f>
        <v/>
      </c>
      <c r="N498" s="104" t="str">
        <f>IF(Main[[#This Row],[Tech Start Date]]&lt;1/1/1990,"",IF(Main[[#This Row],[Class]]="C",WORKDAY(Main[[#This Row],[Tech Start Date]],19),IF(Main[[#This Row],[Class]]="B", WORKDAY(Main[[#This Row],[Tech Start Date]],12),IF(Main[[#This Row],[Class]]="A",WORKDAY(Main[[#This Row],[Tech Start Date]],4),""))))</f>
        <v/>
      </c>
      <c r="O498" s="104" t="str">
        <f>IF(Main[[#This Row],[Tech Start Date]]&lt;1/1/1990,"",IF(Main[[#This Row],[Class]]="C",WORKDAY(Main[[#This Row],[Tech Start Date]],23),IF(Main[[#This Row],[Class]]="B", WORKDAY(Main[[#This Row],[Tech Start Date]],15),IF(Main[[#This Row],[Class]]="A",WORKDAY(Main[[#This Row],[Tech Start Date]],5),""))))</f>
        <v/>
      </c>
      <c r="P498" s="104" t="str">
        <f>IF(Main[[#This Row],[Tech Start Date]]&lt;1/1/1990,"",IF(Main[[#This Row],[Class]]="C",WORKDAY(Main[[#This Row],[Tech Start Date]],28),IF(Main[[#This Row],[Class]]="B", WORKDAY(Main[[#This Row],[Tech Start Date]],19),IF(Main[[#This Row],[Class]]="A",WORKDAY(Main[[#This Row],[Tech Start Date]],9),""))))</f>
        <v/>
      </c>
      <c r="Q498" s="101"/>
      <c r="R498" s="101"/>
      <c r="S498" s="99" t="s">
        <v>11</v>
      </c>
      <c r="T498" s="107" t="s">
        <v>4</v>
      </c>
      <c r="U498" s="99" t="s">
        <v>14</v>
      </c>
      <c r="V498" s="99" t="s">
        <v>1963</v>
      </c>
      <c r="W498" s="99" t="s">
        <v>1970</v>
      </c>
    </row>
    <row r="499" spans="1:23" ht="18.600000000000001" customHeight="1">
      <c r="A499" s="123" t="str">
        <f>IF(priority(Main[[#This Row],[Comments]])&lt;&gt;0, priority(Main[[#This Row],[Comments]]),"")</f>
        <v/>
      </c>
      <c r="B499" s="127" t="s">
        <v>1392</v>
      </c>
      <c r="C499" s="99" t="s">
        <v>47</v>
      </c>
      <c r="D499" s="100" t="s">
        <v>451</v>
      </c>
      <c r="E499" s="101"/>
      <c r="F499" s="101"/>
      <c r="G499" s="102" t="str">
        <f>IF(stdProdLT(Main[[#This Row],[Comments]])=0.1,"N/A",IF(stdProdLT(Main[[#This Row],[Comments]])=0,"",stdProdLT(Main[[#This Row],[Comments]])))</f>
        <v/>
      </c>
      <c r="H499" s="103" t="str">
        <f>IF(AND(Main[[#This Row],[In Stock Date]]&lt;&gt;"",Main[[#This Row],[Revised Due Date]]&lt;&gt;""),Main[[#This Row],[In Stock Date]]-Main[[#This Row],[Revised Due Date]],"")</f>
        <v/>
      </c>
      <c r="I499" s="99" t="s">
        <v>4</v>
      </c>
      <c r="J499" s="99" t="s">
        <v>4</v>
      </c>
      <c r="K499" s="99" t="s">
        <v>4</v>
      </c>
      <c r="L499" s="101"/>
      <c r="M499" s="104" t="str">
        <f>IF(Main[[#This Row],[Tech Start Date]]&lt;1/1/1990,"",IF(Main[[#This Row],[Class]]="C",WORKDAY(Main[[#This Row],[Tech Start Date]],9),IF(Main[[#This Row],[Class]]="B", WORKDAY(Main[[#This Row],[Tech Start Date]],6),IF(Main[[#This Row],[Class]]="A",WORKDAY(Main[[#This Row],[Tech Start Date]],2),""))))</f>
        <v/>
      </c>
      <c r="N499" s="104" t="str">
        <f>IF(Main[[#This Row],[Tech Start Date]]&lt;1/1/1990,"",IF(Main[[#This Row],[Class]]="C",WORKDAY(Main[[#This Row],[Tech Start Date]],19),IF(Main[[#This Row],[Class]]="B", WORKDAY(Main[[#This Row],[Tech Start Date]],12),IF(Main[[#This Row],[Class]]="A",WORKDAY(Main[[#This Row],[Tech Start Date]],4),""))))</f>
        <v/>
      </c>
      <c r="O499" s="104" t="str">
        <f>IF(Main[[#This Row],[Tech Start Date]]&lt;1/1/1990,"",IF(Main[[#This Row],[Class]]="C",WORKDAY(Main[[#This Row],[Tech Start Date]],23),IF(Main[[#This Row],[Class]]="B", WORKDAY(Main[[#This Row],[Tech Start Date]],15),IF(Main[[#This Row],[Class]]="A",WORKDAY(Main[[#This Row],[Tech Start Date]],5),""))))</f>
        <v/>
      </c>
      <c r="P499" s="104" t="str">
        <f>IF(Main[[#This Row],[Tech Start Date]]&lt;1/1/1990,"",IF(Main[[#This Row],[Class]]="C",WORKDAY(Main[[#This Row],[Tech Start Date]],28),IF(Main[[#This Row],[Class]]="B", WORKDAY(Main[[#This Row],[Tech Start Date]],19),IF(Main[[#This Row],[Class]]="A",WORKDAY(Main[[#This Row],[Tech Start Date]],9),""))))</f>
        <v/>
      </c>
      <c r="Q499" s="101"/>
      <c r="R499" s="101"/>
      <c r="S499" s="99" t="s">
        <v>49</v>
      </c>
      <c r="T499" s="107" t="s">
        <v>4</v>
      </c>
      <c r="U499" s="99" t="s">
        <v>14</v>
      </c>
      <c r="V499" s="99" t="s">
        <v>1965</v>
      </c>
      <c r="W499" s="99" t="s">
        <v>1966</v>
      </c>
    </row>
    <row r="500" spans="1:23" ht="18.600000000000001" customHeight="1">
      <c r="A500" s="123" t="str">
        <f>IF(priority(Main[[#This Row],[Comments]])&lt;&gt;0, priority(Main[[#This Row],[Comments]]),"")</f>
        <v/>
      </c>
      <c r="B500" s="127" t="s">
        <v>1393</v>
      </c>
      <c r="C500" s="99" t="s">
        <v>47</v>
      </c>
      <c r="D500" s="100" t="s">
        <v>452</v>
      </c>
      <c r="E500" s="101">
        <v>40323.347812499997</v>
      </c>
      <c r="F500" s="101"/>
      <c r="G500" s="102" t="str">
        <f>IF(stdProdLT(Main[[#This Row],[Comments]])=0.1,"N/A",IF(stdProdLT(Main[[#This Row],[Comments]])=0,"",stdProdLT(Main[[#This Row],[Comments]])))</f>
        <v/>
      </c>
      <c r="H500" s="103" t="str">
        <f>IF(AND(Main[[#This Row],[In Stock Date]]&lt;&gt;"",Main[[#This Row],[Revised Due Date]]&lt;&gt;""),Main[[#This Row],[In Stock Date]]-Main[[#This Row],[Revised Due Date]],"")</f>
        <v/>
      </c>
      <c r="I500" s="99" t="s">
        <v>129</v>
      </c>
      <c r="J500" s="99" t="s">
        <v>4</v>
      </c>
      <c r="K500" s="99" t="s">
        <v>4</v>
      </c>
      <c r="L500" s="101"/>
      <c r="M500" s="104" t="str">
        <f>IF(Main[[#This Row],[Tech Start Date]]&lt;1/1/1990,"",IF(Main[[#This Row],[Class]]="C",WORKDAY(Main[[#This Row],[Tech Start Date]],9),IF(Main[[#This Row],[Class]]="B", WORKDAY(Main[[#This Row],[Tech Start Date]],6),IF(Main[[#This Row],[Class]]="A",WORKDAY(Main[[#This Row],[Tech Start Date]],2),""))))</f>
        <v/>
      </c>
      <c r="N500" s="104" t="str">
        <f>IF(Main[[#This Row],[Tech Start Date]]&lt;1/1/1990,"",IF(Main[[#This Row],[Class]]="C",WORKDAY(Main[[#This Row],[Tech Start Date]],19),IF(Main[[#This Row],[Class]]="B", WORKDAY(Main[[#This Row],[Tech Start Date]],12),IF(Main[[#This Row],[Class]]="A",WORKDAY(Main[[#This Row],[Tech Start Date]],4),""))))</f>
        <v/>
      </c>
      <c r="O500" s="104" t="str">
        <f>IF(Main[[#This Row],[Tech Start Date]]&lt;1/1/1990,"",IF(Main[[#This Row],[Class]]="C",WORKDAY(Main[[#This Row],[Tech Start Date]],23),IF(Main[[#This Row],[Class]]="B", WORKDAY(Main[[#This Row],[Tech Start Date]],15),IF(Main[[#This Row],[Class]]="A",WORKDAY(Main[[#This Row],[Tech Start Date]],5),""))))</f>
        <v/>
      </c>
      <c r="P500" s="104" t="str">
        <f>IF(Main[[#This Row],[Tech Start Date]]&lt;1/1/1990,"",IF(Main[[#This Row],[Class]]="C",WORKDAY(Main[[#This Row],[Tech Start Date]],28),IF(Main[[#This Row],[Class]]="B", WORKDAY(Main[[#This Row],[Tech Start Date]],19),IF(Main[[#This Row],[Class]]="A",WORKDAY(Main[[#This Row],[Tech Start Date]],9),""))))</f>
        <v/>
      </c>
      <c r="Q500" s="101">
        <v>40340</v>
      </c>
      <c r="R500" s="101"/>
      <c r="S500" s="99" t="s">
        <v>6</v>
      </c>
      <c r="T500" s="107" t="s">
        <v>4</v>
      </c>
      <c r="U500" s="99" t="s">
        <v>29</v>
      </c>
      <c r="V500" s="99" t="s">
        <v>1962</v>
      </c>
      <c r="W500" s="99" t="s">
        <v>1966</v>
      </c>
    </row>
    <row r="501" spans="1:23" ht="18.600000000000001" customHeight="1">
      <c r="A501" s="123" t="str">
        <f>IF(priority(Main[[#This Row],[Comments]])&lt;&gt;0, priority(Main[[#This Row],[Comments]]),"")</f>
        <v/>
      </c>
      <c r="B501" s="127" t="s">
        <v>1394</v>
      </c>
      <c r="C501" s="99" t="s">
        <v>31</v>
      </c>
      <c r="D501" s="100" t="s">
        <v>453</v>
      </c>
      <c r="E501" s="101"/>
      <c r="F501" s="101"/>
      <c r="G501" s="102" t="str">
        <f>IF(stdProdLT(Main[[#This Row],[Comments]])=0.1,"N/A",IF(stdProdLT(Main[[#This Row],[Comments]])=0,"",stdProdLT(Main[[#This Row],[Comments]])))</f>
        <v/>
      </c>
      <c r="H501" s="103" t="str">
        <f>IF(AND(Main[[#This Row],[In Stock Date]]&lt;&gt;"",Main[[#This Row],[Revised Due Date]]&lt;&gt;""),Main[[#This Row],[In Stock Date]]-Main[[#This Row],[Revised Due Date]],"")</f>
        <v/>
      </c>
      <c r="I501" s="99" t="s">
        <v>4</v>
      </c>
      <c r="J501" s="99" t="s">
        <v>4</v>
      </c>
      <c r="K501" s="99" t="s">
        <v>4</v>
      </c>
      <c r="L501" s="101"/>
      <c r="M501" s="104" t="str">
        <f>IF(Main[[#This Row],[Tech Start Date]]&lt;1/1/1990,"",IF(Main[[#This Row],[Class]]="C",WORKDAY(Main[[#This Row],[Tech Start Date]],9),IF(Main[[#This Row],[Class]]="B", WORKDAY(Main[[#This Row],[Tech Start Date]],6),IF(Main[[#This Row],[Class]]="A",WORKDAY(Main[[#This Row],[Tech Start Date]],2),""))))</f>
        <v/>
      </c>
      <c r="N501" s="104" t="str">
        <f>IF(Main[[#This Row],[Tech Start Date]]&lt;1/1/1990,"",IF(Main[[#This Row],[Class]]="C",WORKDAY(Main[[#This Row],[Tech Start Date]],19),IF(Main[[#This Row],[Class]]="B", WORKDAY(Main[[#This Row],[Tech Start Date]],12),IF(Main[[#This Row],[Class]]="A",WORKDAY(Main[[#This Row],[Tech Start Date]],4),""))))</f>
        <v/>
      </c>
      <c r="O501" s="104" t="str">
        <f>IF(Main[[#This Row],[Tech Start Date]]&lt;1/1/1990,"",IF(Main[[#This Row],[Class]]="C",WORKDAY(Main[[#This Row],[Tech Start Date]],23),IF(Main[[#This Row],[Class]]="B", WORKDAY(Main[[#This Row],[Tech Start Date]],15),IF(Main[[#This Row],[Class]]="A",WORKDAY(Main[[#This Row],[Tech Start Date]],5),""))))</f>
        <v/>
      </c>
      <c r="P501" s="104" t="str">
        <f>IF(Main[[#This Row],[Tech Start Date]]&lt;1/1/1990,"",IF(Main[[#This Row],[Class]]="C",WORKDAY(Main[[#This Row],[Tech Start Date]],28),IF(Main[[#This Row],[Class]]="B", WORKDAY(Main[[#This Row],[Tech Start Date]],19),IF(Main[[#This Row],[Class]]="A",WORKDAY(Main[[#This Row],[Tech Start Date]],9),""))))</f>
        <v/>
      </c>
      <c r="Q501" s="101">
        <v>40318</v>
      </c>
      <c r="R501" s="101"/>
      <c r="S501" s="99" t="s">
        <v>11</v>
      </c>
      <c r="T501" s="107" t="s">
        <v>4</v>
      </c>
      <c r="U501" s="99" t="s">
        <v>14</v>
      </c>
      <c r="V501" s="99" t="s">
        <v>1965</v>
      </c>
      <c r="W501" s="99" t="s">
        <v>1973</v>
      </c>
    </row>
    <row r="502" spans="1:23" ht="18.600000000000001" customHeight="1">
      <c r="A502" s="123" t="str">
        <f>IF(priority(Main[[#This Row],[Comments]])&lt;&gt;0, priority(Main[[#This Row],[Comments]]),"")</f>
        <v/>
      </c>
      <c r="B502" s="127" t="s">
        <v>1395</v>
      </c>
      <c r="C502" s="99" t="s">
        <v>31</v>
      </c>
      <c r="D502" s="100" t="s">
        <v>454</v>
      </c>
      <c r="E502" s="101"/>
      <c r="F502" s="101"/>
      <c r="G502" s="102" t="str">
        <f>IF(stdProdLT(Main[[#This Row],[Comments]])=0.1,"N/A",IF(stdProdLT(Main[[#This Row],[Comments]])=0,"",stdProdLT(Main[[#This Row],[Comments]])))</f>
        <v/>
      </c>
      <c r="H502" s="103" t="str">
        <f>IF(AND(Main[[#This Row],[In Stock Date]]&lt;&gt;"",Main[[#This Row],[Revised Due Date]]&lt;&gt;""),Main[[#This Row],[In Stock Date]]-Main[[#This Row],[Revised Due Date]],"")</f>
        <v/>
      </c>
      <c r="I502" s="99" t="s">
        <v>4</v>
      </c>
      <c r="J502" s="99" t="s">
        <v>4</v>
      </c>
      <c r="K502" s="99" t="s">
        <v>4</v>
      </c>
      <c r="L502" s="101"/>
      <c r="M502" s="104" t="str">
        <f>IF(Main[[#This Row],[Tech Start Date]]&lt;1/1/1990,"",IF(Main[[#This Row],[Class]]="C",WORKDAY(Main[[#This Row],[Tech Start Date]],9),IF(Main[[#This Row],[Class]]="B", WORKDAY(Main[[#This Row],[Tech Start Date]],6),IF(Main[[#This Row],[Class]]="A",WORKDAY(Main[[#This Row],[Tech Start Date]],2),""))))</f>
        <v/>
      </c>
      <c r="N502" s="104" t="str">
        <f>IF(Main[[#This Row],[Tech Start Date]]&lt;1/1/1990,"",IF(Main[[#This Row],[Class]]="C",WORKDAY(Main[[#This Row],[Tech Start Date]],19),IF(Main[[#This Row],[Class]]="B", WORKDAY(Main[[#This Row],[Tech Start Date]],12),IF(Main[[#This Row],[Class]]="A",WORKDAY(Main[[#This Row],[Tech Start Date]],4),""))))</f>
        <v/>
      </c>
      <c r="O502" s="104" t="str">
        <f>IF(Main[[#This Row],[Tech Start Date]]&lt;1/1/1990,"",IF(Main[[#This Row],[Class]]="C",WORKDAY(Main[[#This Row],[Tech Start Date]],23),IF(Main[[#This Row],[Class]]="B", WORKDAY(Main[[#This Row],[Tech Start Date]],15),IF(Main[[#This Row],[Class]]="A",WORKDAY(Main[[#This Row],[Tech Start Date]],5),""))))</f>
        <v/>
      </c>
      <c r="P502" s="104" t="str">
        <f>IF(Main[[#This Row],[Tech Start Date]]&lt;1/1/1990,"",IF(Main[[#This Row],[Class]]="C",WORKDAY(Main[[#This Row],[Tech Start Date]],28),IF(Main[[#This Row],[Class]]="B", WORKDAY(Main[[#This Row],[Tech Start Date]],19),IF(Main[[#This Row],[Class]]="A",WORKDAY(Main[[#This Row],[Tech Start Date]],9),""))))</f>
        <v/>
      </c>
      <c r="Q502" s="101">
        <v>40318</v>
      </c>
      <c r="R502" s="101"/>
      <c r="S502" s="99" t="s">
        <v>11</v>
      </c>
      <c r="T502" s="107" t="s">
        <v>4</v>
      </c>
      <c r="U502" s="99" t="s">
        <v>14</v>
      </c>
      <c r="V502" s="99" t="s">
        <v>1965</v>
      </c>
      <c r="W502" s="99" t="s">
        <v>1973</v>
      </c>
    </row>
    <row r="503" spans="1:23" ht="18.600000000000001" customHeight="1">
      <c r="A503" s="123" t="str">
        <f>IF(priority(Main[[#This Row],[Comments]])&lt;&gt;0, priority(Main[[#This Row],[Comments]]),"")</f>
        <v/>
      </c>
      <c r="B503" s="127" t="s">
        <v>1396</v>
      </c>
      <c r="C503" s="99" t="s">
        <v>280</v>
      </c>
      <c r="D503" s="100" t="s">
        <v>455</v>
      </c>
      <c r="E503" s="101"/>
      <c r="F503" s="101">
        <v>40444</v>
      </c>
      <c r="G503" s="102" t="str">
        <f>IF(stdProdLT(Main[[#This Row],[Comments]])=0.1,"N/A",IF(stdProdLT(Main[[#This Row],[Comments]])=0,"",stdProdLT(Main[[#This Row],[Comments]])))</f>
        <v/>
      </c>
      <c r="H503" s="103" t="str">
        <f>IF(AND(Main[[#This Row],[In Stock Date]]&lt;&gt;"",Main[[#This Row],[Revised Due Date]]&lt;&gt;""),Main[[#This Row],[In Stock Date]]-Main[[#This Row],[Revised Due Date]],"")</f>
        <v/>
      </c>
      <c r="I503" s="99" t="s">
        <v>4</v>
      </c>
      <c r="J503" s="99" t="s">
        <v>4</v>
      </c>
      <c r="K503" s="99" t="s">
        <v>4</v>
      </c>
      <c r="L503" s="101"/>
      <c r="M503" s="104" t="str">
        <f>IF(Main[[#This Row],[Tech Start Date]]&lt;1/1/1990,"",IF(Main[[#This Row],[Class]]="C",WORKDAY(Main[[#This Row],[Tech Start Date]],9),IF(Main[[#This Row],[Class]]="B", WORKDAY(Main[[#This Row],[Tech Start Date]],6),IF(Main[[#This Row],[Class]]="A",WORKDAY(Main[[#This Row],[Tech Start Date]],2),""))))</f>
        <v/>
      </c>
      <c r="N503" s="104" t="str">
        <f>IF(Main[[#This Row],[Tech Start Date]]&lt;1/1/1990,"",IF(Main[[#This Row],[Class]]="C",WORKDAY(Main[[#This Row],[Tech Start Date]],19),IF(Main[[#This Row],[Class]]="B", WORKDAY(Main[[#This Row],[Tech Start Date]],12),IF(Main[[#This Row],[Class]]="A",WORKDAY(Main[[#This Row],[Tech Start Date]],4),""))))</f>
        <v/>
      </c>
      <c r="O503" s="104" t="str">
        <f>IF(Main[[#This Row],[Tech Start Date]]&lt;1/1/1990,"",IF(Main[[#This Row],[Class]]="C",WORKDAY(Main[[#This Row],[Tech Start Date]],23),IF(Main[[#This Row],[Class]]="B", WORKDAY(Main[[#This Row],[Tech Start Date]],15),IF(Main[[#This Row],[Class]]="A",WORKDAY(Main[[#This Row],[Tech Start Date]],5),""))))</f>
        <v/>
      </c>
      <c r="P503" s="104" t="str">
        <f>IF(Main[[#This Row],[Tech Start Date]]&lt;1/1/1990,"",IF(Main[[#This Row],[Class]]="C",WORKDAY(Main[[#This Row],[Tech Start Date]],28),IF(Main[[#This Row],[Class]]="B", WORKDAY(Main[[#This Row],[Tech Start Date]],19),IF(Main[[#This Row],[Class]]="A",WORKDAY(Main[[#This Row],[Tech Start Date]],9),""))))</f>
        <v/>
      </c>
      <c r="Q503" s="101">
        <v>40262</v>
      </c>
      <c r="R503" s="101"/>
      <c r="S503" s="99" t="s">
        <v>17</v>
      </c>
      <c r="T503" s="107" t="s">
        <v>4</v>
      </c>
      <c r="U503" s="99" t="s">
        <v>14</v>
      </c>
      <c r="V503" s="99" t="s">
        <v>1965</v>
      </c>
      <c r="W503" s="99" t="s">
        <v>1967</v>
      </c>
    </row>
    <row r="504" spans="1:23" ht="18.600000000000001" customHeight="1">
      <c r="A504" s="123" t="str">
        <f>IF(priority(Main[[#This Row],[Comments]])&lt;&gt;0, priority(Main[[#This Row],[Comments]]),"")</f>
        <v/>
      </c>
      <c r="B504" s="127" t="s">
        <v>1397</v>
      </c>
      <c r="C504" s="99" t="s">
        <v>67</v>
      </c>
      <c r="D504" s="100" t="s">
        <v>456</v>
      </c>
      <c r="E504" s="101"/>
      <c r="F504" s="101"/>
      <c r="G504" s="102" t="str">
        <f>IF(stdProdLT(Main[[#This Row],[Comments]])=0.1,"N/A",IF(stdProdLT(Main[[#This Row],[Comments]])=0,"",stdProdLT(Main[[#This Row],[Comments]])))</f>
        <v/>
      </c>
      <c r="H504" s="103" t="str">
        <f>IF(AND(Main[[#This Row],[In Stock Date]]&lt;&gt;"",Main[[#This Row],[Revised Due Date]]&lt;&gt;""),Main[[#This Row],[In Stock Date]]-Main[[#This Row],[Revised Due Date]],"")</f>
        <v/>
      </c>
      <c r="I504" s="99" t="s">
        <v>4</v>
      </c>
      <c r="J504" s="99" t="s">
        <v>4</v>
      </c>
      <c r="K504" s="99" t="s">
        <v>4</v>
      </c>
      <c r="L504" s="101"/>
      <c r="M504" s="104" t="str">
        <f>IF(Main[[#This Row],[Tech Start Date]]&lt;1/1/1990,"",IF(Main[[#This Row],[Class]]="C",WORKDAY(Main[[#This Row],[Tech Start Date]],9),IF(Main[[#This Row],[Class]]="B", WORKDAY(Main[[#This Row],[Tech Start Date]],6),IF(Main[[#This Row],[Class]]="A",WORKDAY(Main[[#This Row],[Tech Start Date]],2),""))))</f>
        <v/>
      </c>
      <c r="N504" s="104" t="str">
        <f>IF(Main[[#This Row],[Tech Start Date]]&lt;1/1/1990,"",IF(Main[[#This Row],[Class]]="C",WORKDAY(Main[[#This Row],[Tech Start Date]],19),IF(Main[[#This Row],[Class]]="B", WORKDAY(Main[[#This Row],[Tech Start Date]],12),IF(Main[[#This Row],[Class]]="A",WORKDAY(Main[[#This Row],[Tech Start Date]],4),""))))</f>
        <v/>
      </c>
      <c r="O504" s="104" t="str">
        <f>IF(Main[[#This Row],[Tech Start Date]]&lt;1/1/1990,"",IF(Main[[#This Row],[Class]]="C",WORKDAY(Main[[#This Row],[Tech Start Date]],23),IF(Main[[#This Row],[Class]]="B", WORKDAY(Main[[#This Row],[Tech Start Date]],15),IF(Main[[#This Row],[Class]]="A",WORKDAY(Main[[#This Row],[Tech Start Date]],5),""))))</f>
        <v/>
      </c>
      <c r="P504" s="104" t="str">
        <f>IF(Main[[#This Row],[Tech Start Date]]&lt;1/1/1990,"",IF(Main[[#This Row],[Class]]="C",WORKDAY(Main[[#This Row],[Tech Start Date]],28),IF(Main[[#This Row],[Class]]="B", WORKDAY(Main[[#This Row],[Tech Start Date]],19),IF(Main[[#This Row],[Class]]="A",WORKDAY(Main[[#This Row],[Tech Start Date]],9),""))))</f>
        <v/>
      </c>
      <c r="Q504" s="101"/>
      <c r="R504" s="101"/>
      <c r="S504" s="99" t="s">
        <v>11</v>
      </c>
      <c r="T504" s="107" t="s">
        <v>4</v>
      </c>
      <c r="U504" s="99" t="s">
        <v>12</v>
      </c>
      <c r="V504" s="99" t="s">
        <v>1963</v>
      </c>
      <c r="W504" s="99" t="s">
        <v>1970</v>
      </c>
    </row>
    <row r="505" spans="1:23" ht="18.600000000000001" customHeight="1">
      <c r="A505" s="123" t="str">
        <f>IF(priority(Main[[#This Row],[Comments]])&lt;&gt;0, priority(Main[[#This Row],[Comments]]),"")</f>
        <v/>
      </c>
      <c r="B505" s="127" t="s">
        <v>1398</v>
      </c>
      <c r="C505" s="99" t="s">
        <v>83</v>
      </c>
      <c r="D505" s="100" t="s">
        <v>457</v>
      </c>
      <c r="E505" s="101"/>
      <c r="F505" s="101"/>
      <c r="G505" s="102" t="str">
        <f>IF(stdProdLT(Main[[#This Row],[Comments]])=0.1,"N/A",IF(stdProdLT(Main[[#This Row],[Comments]])=0,"",stdProdLT(Main[[#This Row],[Comments]])))</f>
        <v/>
      </c>
      <c r="H505" s="103" t="str">
        <f>IF(AND(Main[[#This Row],[In Stock Date]]&lt;&gt;"",Main[[#This Row],[Revised Due Date]]&lt;&gt;""),Main[[#This Row],[In Stock Date]]-Main[[#This Row],[Revised Due Date]],"")</f>
        <v/>
      </c>
      <c r="I505" s="99" t="s">
        <v>4</v>
      </c>
      <c r="J505" s="99" t="s">
        <v>4</v>
      </c>
      <c r="K505" s="99" t="s">
        <v>4</v>
      </c>
      <c r="L505" s="101"/>
      <c r="M505" s="104" t="str">
        <f>IF(Main[[#This Row],[Tech Start Date]]&lt;1/1/1990,"",IF(Main[[#This Row],[Class]]="C",WORKDAY(Main[[#This Row],[Tech Start Date]],9),IF(Main[[#This Row],[Class]]="B", WORKDAY(Main[[#This Row],[Tech Start Date]],6),IF(Main[[#This Row],[Class]]="A",WORKDAY(Main[[#This Row],[Tech Start Date]],2),""))))</f>
        <v/>
      </c>
      <c r="N505" s="104" t="str">
        <f>IF(Main[[#This Row],[Tech Start Date]]&lt;1/1/1990,"",IF(Main[[#This Row],[Class]]="C",WORKDAY(Main[[#This Row],[Tech Start Date]],19),IF(Main[[#This Row],[Class]]="B", WORKDAY(Main[[#This Row],[Tech Start Date]],12),IF(Main[[#This Row],[Class]]="A",WORKDAY(Main[[#This Row],[Tech Start Date]],4),""))))</f>
        <v/>
      </c>
      <c r="O505" s="104" t="str">
        <f>IF(Main[[#This Row],[Tech Start Date]]&lt;1/1/1990,"",IF(Main[[#This Row],[Class]]="C",WORKDAY(Main[[#This Row],[Tech Start Date]],23),IF(Main[[#This Row],[Class]]="B", WORKDAY(Main[[#This Row],[Tech Start Date]],15),IF(Main[[#This Row],[Class]]="A",WORKDAY(Main[[#This Row],[Tech Start Date]],5),""))))</f>
        <v/>
      </c>
      <c r="P505" s="104" t="str">
        <f>IF(Main[[#This Row],[Tech Start Date]]&lt;1/1/1990,"",IF(Main[[#This Row],[Class]]="C",WORKDAY(Main[[#This Row],[Tech Start Date]],28),IF(Main[[#This Row],[Class]]="B", WORKDAY(Main[[#This Row],[Tech Start Date]],19),IF(Main[[#This Row],[Class]]="A",WORKDAY(Main[[#This Row],[Tech Start Date]],9),""))))</f>
        <v/>
      </c>
      <c r="Q505" s="101">
        <v>40252</v>
      </c>
      <c r="R505" s="101"/>
      <c r="S505" s="99" t="s">
        <v>11</v>
      </c>
      <c r="T505" s="107" t="s">
        <v>4</v>
      </c>
      <c r="U505" s="99" t="s">
        <v>14</v>
      </c>
      <c r="V505" s="99" t="s">
        <v>1962</v>
      </c>
      <c r="W505" s="99" t="s">
        <v>1973</v>
      </c>
    </row>
    <row r="506" spans="1:23" ht="18.600000000000001" customHeight="1">
      <c r="A506" s="123" t="str">
        <f>IF(priority(Main[[#This Row],[Comments]])&lt;&gt;0, priority(Main[[#This Row],[Comments]]),"")</f>
        <v/>
      </c>
      <c r="B506" s="127" t="s">
        <v>1399</v>
      </c>
      <c r="C506" s="99" t="s">
        <v>42</v>
      </c>
      <c r="D506" s="100" t="s">
        <v>458</v>
      </c>
      <c r="E506" s="101">
        <v>39932.393530092595</v>
      </c>
      <c r="F506" s="101"/>
      <c r="G506" s="102" t="str">
        <f>IF(stdProdLT(Main[[#This Row],[Comments]])=0.1,"N/A",IF(stdProdLT(Main[[#This Row],[Comments]])=0,"",stdProdLT(Main[[#This Row],[Comments]])))</f>
        <v/>
      </c>
      <c r="H506" s="103" t="str">
        <f>IF(AND(Main[[#This Row],[In Stock Date]]&lt;&gt;"",Main[[#This Row],[Revised Due Date]]&lt;&gt;""),Main[[#This Row],[In Stock Date]]-Main[[#This Row],[Revised Due Date]],"")</f>
        <v/>
      </c>
      <c r="I506" s="99" t="s">
        <v>4</v>
      </c>
      <c r="J506" s="99" t="s">
        <v>4</v>
      </c>
      <c r="K506" s="99" t="s">
        <v>4</v>
      </c>
      <c r="L506" s="101"/>
      <c r="M506" s="104" t="str">
        <f>IF(Main[[#This Row],[Tech Start Date]]&lt;1/1/1990,"",IF(Main[[#This Row],[Class]]="C",WORKDAY(Main[[#This Row],[Tech Start Date]],9),IF(Main[[#This Row],[Class]]="B", WORKDAY(Main[[#This Row],[Tech Start Date]],6),IF(Main[[#This Row],[Class]]="A",WORKDAY(Main[[#This Row],[Tech Start Date]],2),""))))</f>
        <v/>
      </c>
      <c r="N506" s="104" t="str">
        <f>IF(Main[[#This Row],[Tech Start Date]]&lt;1/1/1990,"",IF(Main[[#This Row],[Class]]="C",WORKDAY(Main[[#This Row],[Tech Start Date]],19),IF(Main[[#This Row],[Class]]="B", WORKDAY(Main[[#This Row],[Tech Start Date]],12),IF(Main[[#This Row],[Class]]="A",WORKDAY(Main[[#This Row],[Tech Start Date]],4),""))))</f>
        <v/>
      </c>
      <c r="O506" s="104" t="str">
        <f>IF(Main[[#This Row],[Tech Start Date]]&lt;1/1/1990,"",IF(Main[[#This Row],[Class]]="C",WORKDAY(Main[[#This Row],[Tech Start Date]],23),IF(Main[[#This Row],[Class]]="B", WORKDAY(Main[[#This Row],[Tech Start Date]],15),IF(Main[[#This Row],[Class]]="A",WORKDAY(Main[[#This Row],[Tech Start Date]],5),""))))</f>
        <v/>
      </c>
      <c r="P506" s="104" t="str">
        <f>IF(Main[[#This Row],[Tech Start Date]]&lt;1/1/1990,"",IF(Main[[#This Row],[Class]]="C",WORKDAY(Main[[#This Row],[Tech Start Date]],28),IF(Main[[#This Row],[Class]]="B", WORKDAY(Main[[#This Row],[Tech Start Date]],19),IF(Main[[#This Row],[Class]]="A",WORKDAY(Main[[#This Row],[Tech Start Date]],9),""))))</f>
        <v/>
      </c>
      <c r="Q506" s="101"/>
      <c r="R506" s="101"/>
      <c r="S506" s="99" t="s">
        <v>17</v>
      </c>
      <c r="T506" s="107" t="s">
        <v>4</v>
      </c>
      <c r="U506" s="99" t="s">
        <v>7</v>
      </c>
      <c r="V506" s="99" t="s">
        <v>1965</v>
      </c>
      <c r="W506" s="99" t="s">
        <v>4</v>
      </c>
    </row>
    <row r="507" spans="1:23" ht="18.600000000000001" customHeight="1">
      <c r="A507" s="123" t="str">
        <f>IF(priority(Main[[#This Row],[Comments]])&lt;&gt;0, priority(Main[[#This Row],[Comments]]),"")</f>
        <v/>
      </c>
      <c r="B507" s="127" t="s">
        <v>1400</v>
      </c>
      <c r="C507" s="99" t="s">
        <v>459</v>
      </c>
      <c r="D507" s="100" t="s">
        <v>460</v>
      </c>
      <c r="E507" s="101"/>
      <c r="F507" s="101"/>
      <c r="G507" s="102" t="str">
        <f>IF(stdProdLT(Main[[#This Row],[Comments]])=0.1,"N/A",IF(stdProdLT(Main[[#This Row],[Comments]])=0,"",stdProdLT(Main[[#This Row],[Comments]])))</f>
        <v/>
      </c>
      <c r="H507" s="103" t="str">
        <f>IF(AND(Main[[#This Row],[In Stock Date]]&lt;&gt;"",Main[[#This Row],[Revised Due Date]]&lt;&gt;""),Main[[#This Row],[In Stock Date]]-Main[[#This Row],[Revised Due Date]],"")</f>
        <v/>
      </c>
      <c r="I507" s="99" t="s">
        <v>4</v>
      </c>
      <c r="J507" s="99" t="s">
        <v>4</v>
      </c>
      <c r="K507" s="99" t="s">
        <v>4</v>
      </c>
      <c r="L507" s="101"/>
      <c r="M507" s="104" t="str">
        <f>IF(Main[[#This Row],[Tech Start Date]]&lt;1/1/1990,"",IF(Main[[#This Row],[Class]]="C",WORKDAY(Main[[#This Row],[Tech Start Date]],9),IF(Main[[#This Row],[Class]]="B", WORKDAY(Main[[#This Row],[Tech Start Date]],6),IF(Main[[#This Row],[Class]]="A",WORKDAY(Main[[#This Row],[Tech Start Date]],2),""))))</f>
        <v/>
      </c>
      <c r="N507" s="104" t="str">
        <f>IF(Main[[#This Row],[Tech Start Date]]&lt;1/1/1990,"",IF(Main[[#This Row],[Class]]="C",WORKDAY(Main[[#This Row],[Tech Start Date]],19),IF(Main[[#This Row],[Class]]="B", WORKDAY(Main[[#This Row],[Tech Start Date]],12),IF(Main[[#This Row],[Class]]="A",WORKDAY(Main[[#This Row],[Tech Start Date]],4),""))))</f>
        <v/>
      </c>
      <c r="O507" s="104" t="str">
        <f>IF(Main[[#This Row],[Tech Start Date]]&lt;1/1/1990,"",IF(Main[[#This Row],[Class]]="C",WORKDAY(Main[[#This Row],[Tech Start Date]],23),IF(Main[[#This Row],[Class]]="B", WORKDAY(Main[[#This Row],[Tech Start Date]],15),IF(Main[[#This Row],[Class]]="A",WORKDAY(Main[[#This Row],[Tech Start Date]],5),""))))</f>
        <v/>
      </c>
      <c r="P507" s="104" t="str">
        <f>IF(Main[[#This Row],[Tech Start Date]]&lt;1/1/1990,"",IF(Main[[#This Row],[Class]]="C",WORKDAY(Main[[#This Row],[Tech Start Date]],28),IF(Main[[#This Row],[Class]]="B", WORKDAY(Main[[#This Row],[Tech Start Date]],19),IF(Main[[#This Row],[Class]]="A",WORKDAY(Main[[#This Row],[Tech Start Date]],9),""))))</f>
        <v/>
      </c>
      <c r="Q507" s="101"/>
      <c r="R507" s="101"/>
      <c r="S507" s="99" t="s">
        <v>11</v>
      </c>
      <c r="T507" s="107" t="s">
        <v>4</v>
      </c>
      <c r="U507" s="99" t="s">
        <v>14</v>
      </c>
      <c r="V507" s="99" t="s">
        <v>1963</v>
      </c>
      <c r="W507" s="99" t="s">
        <v>1970</v>
      </c>
    </row>
    <row r="508" spans="1:23" ht="18.600000000000001" customHeight="1">
      <c r="A508" s="123" t="str">
        <f>IF(priority(Main[[#This Row],[Comments]])&lt;&gt;0, priority(Main[[#This Row],[Comments]]),"")</f>
        <v/>
      </c>
      <c r="B508" s="127" t="s">
        <v>1401</v>
      </c>
      <c r="C508" s="99" t="s">
        <v>461</v>
      </c>
      <c r="D508" s="100" t="s">
        <v>462</v>
      </c>
      <c r="E508" s="101"/>
      <c r="F508" s="101"/>
      <c r="G508" s="102" t="str">
        <f>IF(stdProdLT(Main[[#This Row],[Comments]])=0.1,"N/A",IF(stdProdLT(Main[[#This Row],[Comments]])=0,"",stdProdLT(Main[[#This Row],[Comments]])))</f>
        <v/>
      </c>
      <c r="H508" s="103" t="str">
        <f>IF(AND(Main[[#This Row],[In Stock Date]]&lt;&gt;"",Main[[#This Row],[Revised Due Date]]&lt;&gt;""),Main[[#This Row],[In Stock Date]]-Main[[#This Row],[Revised Due Date]],"")</f>
        <v/>
      </c>
      <c r="I508" s="99" t="s">
        <v>4</v>
      </c>
      <c r="J508" s="99" t="s">
        <v>4</v>
      </c>
      <c r="K508" s="99" t="s">
        <v>4</v>
      </c>
      <c r="L508" s="101"/>
      <c r="M508" s="104" t="str">
        <f>IF(Main[[#This Row],[Tech Start Date]]&lt;1/1/1990,"",IF(Main[[#This Row],[Class]]="C",WORKDAY(Main[[#This Row],[Tech Start Date]],9),IF(Main[[#This Row],[Class]]="B", WORKDAY(Main[[#This Row],[Tech Start Date]],6),IF(Main[[#This Row],[Class]]="A",WORKDAY(Main[[#This Row],[Tech Start Date]],2),""))))</f>
        <v/>
      </c>
      <c r="N508" s="104" t="str">
        <f>IF(Main[[#This Row],[Tech Start Date]]&lt;1/1/1990,"",IF(Main[[#This Row],[Class]]="C",WORKDAY(Main[[#This Row],[Tech Start Date]],19),IF(Main[[#This Row],[Class]]="B", WORKDAY(Main[[#This Row],[Tech Start Date]],12),IF(Main[[#This Row],[Class]]="A",WORKDAY(Main[[#This Row],[Tech Start Date]],4),""))))</f>
        <v/>
      </c>
      <c r="O508" s="104" t="str">
        <f>IF(Main[[#This Row],[Tech Start Date]]&lt;1/1/1990,"",IF(Main[[#This Row],[Class]]="C",WORKDAY(Main[[#This Row],[Tech Start Date]],23),IF(Main[[#This Row],[Class]]="B", WORKDAY(Main[[#This Row],[Tech Start Date]],15),IF(Main[[#This Row],[Class]]="A",WORKDAY(Main[[#This Row],[Tech Start Date]],5),""))))</f>
        <v/>
      </c>
      <c r="P508" s="104" t="str">
        <f>IF(Main[[#This Row],[Tech Start Date]]&lt;1/1/1990,"",IF(Main[[#This Row],[Class]]="C",WORKDAY(Main[[#This Row],[Tech Start Date]],28),IF(Main[[#This Row],[Class]]="B", WORKDAY(Main[[#This Row],[Tech Start Date]],19),IF(Main[[#This Row],[Class]]="A",WORKDAY(Main[[#This Row],[Tech Start Date]],9),""))))</f>
        <v/>
      </c>
      <c r="Q508" s="101"/>
      <c r="R508" s="101"/>
      <c r="S508" s="99" t="s">
        <v>11</v>
      </c>
      <c r="T508" s="107" t="s">
        <v>4</v>
      </c>
      <c r="U508" s="99" t="s">
        <v>14</v>
      </c>
      <c r="V508" s="99" t="s">
        <v>1963</v>
      </c>
      <c r="W508" s="99" t="s">
        <v>1970</v>
      </c>
    </row>
    <row r="509" spans="1:23" ht="18.600000000000001" customHeight="1">
      <c r="A509" s="123" t="str">
        <f>IF(priority(Main[[#This Row],[Comments]])&lt;&gt;0, priority(Main[[#This Row],[Comments]]),"")</f>
        <v/>
      </c>
      <c r="B509" s="127" t="s">
        <v>1402</v>
      </c>
      <c r="C509" s="99" t="s">
        <v>463</v>
      </c>
      <c r="D509" s="100" t="s">
        <v>464</v>
      </c>
      <c r="E509" s="101"/>
      <c r="F509" s="101">
        <v>40214</v>
      </c>
      <c r="G509" s="102" t="str">
        <f>IF(stdProdLT(Main[[#This Row],[Comments]])=0.1,"N/A",IF(stdProdLT(Main[[#This Row],[Comments]])=0,"",stdProdLT(Main[[#This Row],[Comments]])))</f>
        <v/>
      </c>
      <c r="H509" s="103" t="str">
        <f>IF(AND(Main[[#This Row],[In Stock Date]]&lt;&gt;"",Main[[#This Row],[Revised Due Date]]&lt;&gt;""),Main[[#This Row],[In Stock Date]]-Main[[#This Row],[Revised Due Date]],"")</f>
        <v/>
      </c>
      <c r="I509" s="99" t="s">
        <v>4</v>
      </c>
      <c r="J509" s="99" t="s">
        <v>4</v>
      </c>
      <c r="K509" s="108" t="s">
        <v>4</v>
      </c>
      <c r="L509" s="101"/>
      <c r="M509" s="104" t="str">
        <f>IF(Main[[#This Row],[Tech Start Date]]&lt;1/1/1990,"",IF(Main[[#This Row],[Class]]="C",WORKDAY(Main[[#This Row],[Tech Start Date]],9),IF(Main[[#This Row],[Class]]="B", WORKDAY(Main[[#This Row],[Tech Start Date]],6),IF(Main[[#This Row],[Class]]="A",WORKDAY(Main[[#This Row],[Tech Start Date]],2),""))))</f>
        <v/>
      </c>
      <c r="N509" s="104" t="str">
        <f>IF(Main[[#This Row],[Tech Start Date]]&lt;1/1/1990,"",IF(Main[[#This Row],[Class]]="C",WORKDAY(Main[[#This Row],[Tech Start Date]],19),IF(Main[[#This Row],[Class]]="B", WORKDAY(Main[[#This Row],[Tech Start Date]],12),IF(Main[[#This Row],[Class]]="A",WORKDAY(Main[[#This Row],[Tech Start Date]],4),""))))</f>
        <v/>
      </c>
      <c r="O509" s="104" t="str">
        <f>IF(Main[[#This Row],[Tech Start Date]]&lt;1/1/1990,"",IF(Main[[#This Row],[Class]]="C",WORKDAY(Main[[#This Row],[Tech Start Date]],23),IF(Main[[#This Row],[Class]]="B", WORKDAY(Main[[#This Row],[Tech Start Date]],15),IF(Main[[#This Row],[Class]]="A",WORKDAY(Main[[#This Row],[Tech Start Date]],5),""))))</f>
        <v/>
      </c>
      <c r="P509" s="104" t="str">
        <f>IF(Main[[#This Row],[Tech Start Date]]&lt;1/1/1990,"",IF(Main[[#This Row],[Class]]="C",WORKDAY(Main[[#This Row],[Tech Start Date]],28),IF(Main[[#This Row],[Class]]="B", WORKDAY(Main[[#This Row],[Tech Start Date]],19),IF(Main[[#This Row],[Class]]="A",WORKDAY(Main[[#This Row],[Tech Start Date]],9),""))))</f>
        <v/>
      </c>
      <c r="Q509" s="101">
        <v>40149</v>
      </c>
      <c r="R509" s="101"/>
      <c r="S509" s="99" t="s">
        <v>11</v>
      </c>
      <c r="T509" s="107" t="s">
        <v>4</v>
      </c>
      <c r="U509" s="99" t="s">
        <v>14</v>
      </c>
      <c r="V509" s="99" t="s">
        <v>1965</v>
      </c>
      <c r="W509" s="99" t="s">
        <v>1968</v>
      </c>
    </row>
    <row r="510" spans="1:23" ht="18.600000000000001" customHeight="1">
      <c r="A510" s="123" t="str">
        <f>IF(priority(Main[[#This Row],[Comments]])&lt;&gt;0, priority(Main[[#This Row],[Comments]]),"")</f>
        <v/>
      </c>
      <c r="B510" s="127" t="s">
        <v>1403</v>
      </c>
      <c r="C510" s="99" t="s">
        <v>93</v>
      </c>
      <c r="D510" s="100" t="s">
        <v>465</v>
      </c>
      <c r="E510" s="101"/>
      <c r="F510" s="101">
        <v>40210</v>
      </c>
      <c r="G510" s="102" t="str">
        <f>IF(stdProdLT(Main[[#This Row],[Comments]])=0.1,"N/A",IF(stdProdLT(Main[[#This Row],[Comments]])=0,"",stdProdLT(Main[[#This Row],[Comments]])))</f>
        <v/>
      </c>
      <c r="H510" s="103" t="str">
        <f>IF(AND(Main[[#This Row],[In Stock Date]]&lt;&gt;"",Main[[#This Row],[Revised Due Date]]&lt;&gt;""),Main[[#This Row],[In Stock Date]]-Main[[#This Row],[Revised Due Date]],"")</f>
        <v/>
      </c>
      <c r="I510" s="99" t="s">
        <v>4</v>
      </c>
      <c r="J510" s="99" t="s">
        <v>4</v>
      </c>
      <c r="K510" s="99" t="s">
        <v>4</v>
      </c>
      <c r="L510" s="101"/>
      <c r="M510" s="104" t="str">
        <f>IF(Main[[#This Row],[Tech Start Date]]&lt;1/1/1990,"",IF(Main[[#This Row],[Class]]="C",WORKDAY(Main[[#This Row],[Tech Start Date]],9),IF(Main[[#This Row],[Class]]="B", WORKDAY(Main[[#This Row],[Tech Start Date]],6),IF(Main[[#This Row],[Class]]="A",WORKDAY(Main[[#This Row],[Tech Start Date]],2),""))))</f>
        <v/>
      </c>
      <c r="N510" s="104" t="str">
        <f>IF(Main[[#This Row],[Tech Start Date]]&lt;1/1/1990,"",IF(Main[[#This Row],[Class]]="C",WORKDAY(Main[[#This Row],[Tech Start Date]],19),IF(Main[[#This Row],[Class]]="B", WORKDAY(Main[[#This Row],[Tech Start Date]],12),IF(Main[[#This Row],[Class]]="A",WORKDAY(Main[[#This Row],[Tech Start Date]],4),""))))</f>
        <v/>
      </c>
      <c r="O510" s="104" t="str">
        <f>IF(Main[[#This Row],[Tech Start Date]]&lt;1/1/1990,"",IF(Main[[#This Row],[Class]]="C",WORKDAY(Main[[#This Row],[Tech Start Date]],23),IF(Main[[#This Row],[Class]]="B", WORKDAY(Main[[#This Row],[Tech Start Date]],15),IF(Main[[#This Row],[Class]]="A",WORKDAY(Main[[#This Row],[Tech Start Date]],5),""))))</f>
        <v/>
      </c>
      <c r="P510" s="104" t="str">
        <f>IF(Main[[#This Row],[Tech Start Date]]&lt;1/1/1990,"",IF(Main[[#This Row],[Class]]="C",WORKDAY(Main[[#This Row],[Tech Start Date]],28),IF(Main[[#This Row],[Class]]="B", WORKDAY(Main[[#This Row],[Tech Start Date]],19),IF(Main[[#This Row],[Class]]="A",WORKDAY(Main[[#This Row],[Tech Start Date]],9),""))))</f>
        <v/>
      </c>
      <c r="Q510" s="101">
        <v>40195</v>
      </c>
      <c r="R510" s="101"/>
      <c r="S510" s="99" t="s">
        <v>11</v>
      </c>
      <c r="T510" s="107" t="s">
        <v>4</v>
      </c>
      <c r="U510" s="99" t="s">
        <v>12</v>
      </c>
      <c r="V510" s="99" t="s">
        <v>1972</v>
      </c>
      <c r="W510" s="99" t="s">
        <v>1973</v>
      </c>
    </row>
    <row r="511" spans="1:23" ht="18.600000000000001" customHeight="1">
      <c r="A511" s="123" t="str">
        <f>IF(priority(Main[[#This Row],[Comments]])&lt;&gt;0, priority(Main[[#This Row],[Comments]]),"")</f>
        <v/>
      </c>
      <c r="B511" s="127" t="s">
        <v>1404</v>
      </c>
      <c r="C511" s="99" t="s">
        <v>463</v>
      </c>
      <c r="D511" s="100" t="s">
        <v>466</v>
      </c>
      <c r="E511" s="101"/>
      <c r="F511" s="101">
        <v>40214</v>
      </c>
      <c r="G511" s="102" t="str">
        <f>IF(stdProdLT(Main[[#This Row],[Comments]])=0.1,"N/A",IF(stdProdLT(Main[[#This Row],[Comments]])=0,"",stdProdLT(Main[[#This Row],[Comments]])))</f>
        <v/>
      </c>
      <c r="H511" s="103" t="str">
        <f>IF(AND(Main[[#This Row],[In Stock Date]]&lt;&gt;"",Main[[#This Row],[Revised Due Date]]&lt;&gt;""),Main[[#This Row],[In Stock Date]]-Main[[#This Row],[Revised Due Date]],"")</f>
        <v/>
      </c>
      <c r="I511" s="99" t="s">
        <v>4</v>
      </c>
      <c r="J511" s="99" t="s">
        <v>4</v>
      </c>
      <c r="K511" s="99" t="s">
        <v>4</v>
      </c>
      <c r="L511" s="101"/>
      <c r="M511" s="104" t="str">
        <f>IF(Main[[#This Row],[Tech Start Date]]&lt;1/1/1990,"",IF(Main[[#This Row],[Class]]="C",WORKDAY(Main[[#This Row],[Tech Start Date]],9),IF(Main[[#This Row],[Class]]="B", WORKDAY(Main[[#This Row],[Tech Start Date]],6),IF(Main[[#This Row],[Class]]="A",WORKDAY(Main[[#This Row],[Tech Start Date]],2),""))))</f>
        <v/>
      </c>
      <c r="N511" s="104" t="str">
        <f>IF(Main[[#This Row],[Tech Start Date]]&lt;1/1/1990,"",IF(Main[[#This Row],[Class]]="C",WORKDAY(Main[[#This Row],[Tech Start Date]],19),IF(Main[[#This Row],[Class]]="B", WORKDAY(Main[[#This Row],[Tech Start Date]],12),IF(Main[[#This Row],[Class]]="A",WORKDAY(Main[[#This Row],[Tech Start Date]],4),""))))</f>
        <v/>
      </c>
      <c r="O511" s="104" t="str">
        <f>IF(Main[[#This Row],[Tech Start Date]]&lt;1/1/1990,"",IF(Main[[#This Row],[Class]]="C",WORKDAY(Main[[#This Row],[Tech Start Date]],23),IF(Main[[#This Row],[Class]]="B", WORKDAY(Main[[#This Row],[Tech Start Date]],15),IF(Main[[#This Row],[Class]]="A",WORKDAY(Main[[#This Row],[Tech Start Date]],5),""))))</f>
        <v/>
      </c>
      <c r="P511" s="104" t="str">
        <f>IF(Main[[#This Row],[Tech Start Date]]&lt;1/1/1990,"",IF(Main[[#This Row],[Class]]="C",WORKDAY(Main[[#This Row],[Tech Start Date]],28),IF(Main[[#This Row],[Class]]="B", WORKDAY(Main[[#This Row],[Tech Start Date]],19),IF(Main[[#This Row],[Class]]="A",WORKDAY(Main[[#This Row],[Tech Start Date]],9),""))))</f>
        <v/>
      </c>
      <c r="Q511" s="101">
        <v>40149</v>
      </c>
      <c r="R511" s="101"/>
      <c r="S511" s="99" t="s">
        <v>11</v>
      </c>
      <c r="T511" s="107" t="s">
        <v>4</v>
      </c>
      <c r="U511" s="99" t="s">
        <v>14</v>
      </c>
      <c r="V511" s="99" t="s">
        <v>1965</v>
      </c>
      <c r="W511" s="99" t="s">
        <v>1968</v>
      </c>
    </row>
    <row r="512" spans="1:23" ht="18.600000000000001" customHeight="1">
      <c r="A512" s="123" t="str">
        <f>IF(priority(Main[[#This Row],[Comments]])&lt;&gt;0, priority(Main[[#This Row],[Comments]]),"")</f>
        <v/>
      </c>
      <c r="B512" s="127" t="s">
        <v>1405</v>
      </c>
      <c r="C512" s="99" t="s">
        <v>31</v>
      </c>
      <c r="D512" s="100" t="s">
        <v>467</v>
      </c>
      <c r="E512" s="101"/>
      <c r="F512" s="101"/>
      <c r="G512" s="102" t="str">
        <f>IF(stdProdLT(Main[[#This Row],[Comments]])=0.1,"N/A",IF(stdProdLT(Main[[#This Row],[Comments]])=0,"",stdProdLT(Main[[#This Row],[Comments]])))</f>
        <v/>
      </c>
      <c r="H512" s="103" t="str">
        <f>IF(AND(Main[[#This Row],[In Stock Date]]&lt;&gt;"",Main[[#This Row],[Revised Due Date]]&lt;&gt;""),Main[[#This Row],[In Stock Date]]-Main[[#This Row],[Revised Due Date]],"")</f>
        <v/>
      </c>
      <c r="I512" s="99" t="s">
        <v>4</v>
      </c>
      <c r="J512" s="99" t="s">
        <v>4</v>
      </c>
      <c r="K512" s="99" t="s">
        <v>4</v>
      </c>
      <c r="L512" s="101"/>
      <c r="M512" s="104" t="str">
        <f>IF(Main[[#This Row],[Tech Start Date]]&lt;1/1/1990,"",IF(Main[[#This Row],[Class]]="C",WORKDAY(Main[[#This Row],[Tech Start Date]],9),IF(Main[[#This Row],[Class]]="B", WORKDAY(Main[[#This Row],[Tech Start Date]],6),IF(Main[[#This Row],[Class]]="A",WORKDAY(Main[[#This Row],[Tech Start Date]],2),""))))</f>
        <v/>
      </c>
      <c r="N512" s="104" t="str">
        <f>IF(Main[[#This Row],[Tech Start Date]]&lt;1/1/1990,"",IF(Main[[#This Row],[Class]]="C",WORKDAY(Main[[#This Row],[Tech Start Date]],19),IF(Main[[#This Row],[Class]]="B", WORKDAY(Main[[#This Row],[Tech Start Date]],12),IF(Main[[#This Row],[Class]]="A",WORKDAY(Main[[#This Row],[Tech Start Date]],4),""))))</f>
        <v/>
      </c>
      <c r="O512" s="104" t="str">
        <f>IF(Main[[#This Row],[Tech Start Date]]&lt;1/1/1990,"",IF(Main[[#This Row],[Class]]="C",WORKDAY(Main[[#This Row],[Tech Start Date]],23),IF(Main[[#This Row],[Class]]="B", WORKDAY(Main[[#This Row],[Tech Start Date]],15),IF(Main[[#This Row],[Class]]="A",WORKDAY(Main[[#This Row],[Tech Start Date]],5),""))))</f>
        <v/>
      </c>
      <c r="P512" s="104" t="str">
        <f>IF(Main[[#This Row],[Tech Start Date]]&lt;1/1/1990,"",IF(Main[[#This Row],[Class]]="C",WORKDAY(Main[[#This Row],[Tech Start Date]],28),IF(Main[[#This Row],[Class]]="B", WORKDAY(Main[[#This Row],[Tech Start Date]],19),IF(Main[[#This Row],[Class]]="A",WORKDAY(Main[[#This Row],[Tech Start Date]],9),""))))</f>
        <v/>
      </c>
      <c r="Q512" s="101">
        <v>40318</v>
      </c>
      <c r="R512" s="101"/>
      <c r="S512" s="99" t="s">
        <v>11</v>
      </c>
      <c r="T512" s="107" t="s">
        <v>4</v>
      </c>
      <c r="U512" s="99" t="s">
        <v>14</v>
      </c>
      <c r="V512" s="99" t="s">
        <v>1965</v>
      </c>
      <c r="W512" s="99" t="s">
        <v>1964</v>
      </c>
    </row>
    <row r="513" spans="1:23" ht="18.600000000000001" customHeight="1">
      <c r="A513" s="123" t="str">
        <f>IF(priority(Main[[#This Row],[Comments]])&lt;&gt;0, priority(Main[[#This Row],[Comments]]),"")</f>
        <v/>
      </c>
      <c r="B513" s="127" t="s">
        <v>1406</v>
      </c>
      <c r="C513" s="99" t="s">
        <v>31</v>
      </c>
      <c r="D513" s="100" t="s">
        <v>468</v>
      </c>
      <c r="E513" s="101">
        <v>40494.184537037036</v>
      </c>
      <c r="F513" s="101">
        <v>40546</v>
      </c>
      <c r="G513" s="102" t="str">
        <f>IF(stdProdLT(Main[[#This Row],[Comments]])=0.1,"N/A",IF(stdProdLT(Main[[#This Row],[Comments]])=0,"",stdProdLT(Main[[#This Row],[Comments]])))</f>
        <v/>
      </c>
      <c r="H513" s="103" t="str">
        <f>IF(AND(Main[[#This Row],[In Stock Date]]&lt;&gt;"",Main[[#This Row],[Revised Due Date]]&lt;&gt;""),Main[[#This Row],[In Stock Date]]-Main[[#This Row],[Revised Due Date]],"")</f>
        <v/>
      </c>
      <c r="I513" s="99" t="s">
        <v>4</v>
      </c>
      <c r="J513" s="99" t="s">
        <v>4</v>
      </c>
      <c r="K513" s="99" t="s">
        <v>4</v>
      </c>
      <c r="L513" s="101"/>
      <c r="M513" s="104" t="str">
        <f>IF(Main[[#This Row],[Tech Start Date]]&lt;1/1/1990,"",IF(Main[[#This Row],[Class]]="C",WORKDAY(Main[[#This Row],[Tech Start Date]],9),IF(Main[[#This Row],[Class]]="B", WORKDAY(Main[[#This Row],[Tech Start Date]],6),IF(Main[[#This Row],[Class]]="A",WORKDAY(Main[[#This Row],[Tech Start Date]],2),""))))</f>
        <v/>
      </c>
      <c r="N513" s="104" t="str">
        <f>IF(Main[[#This Row],[Tech Start Date]]&lt;1/1/1990,"",IF(Main[[#This Row],[Class]]="C",WORKDAY(Main[[#This Row],[Tech Start Date]],19),IF(Main[[#This Row],[Class]]="B", WORKDAY(Main[[#This Row],[Tech Start Date]],12),IF(Main[[#This Row],[Class]]="A",WORKDAY(Main[[#This Row],[Tech Start Date]],4),""))))</f>
        <v/>
      </c>
      <c r="O513" s="104" t="str">
        <f>IF(Main[[#This Row],[Tech Start Date]]&lt;1/1/1990,"",IF(Main[[#This Row],[Class]]="C",WORKDAY(Main[[#This Row],[Tech Start Date]],23),IF(Main[[#This Row],[Class]]="B", WORKDAY(Main[[#This Row],[Tech Start Date]],15),IF(Main[[#This Row],[Class]]="A",WORKDAY(Main[[#This Row],[Tech Start Date]],5),""))))</f>
        <v/>
      </c>
      <c r="P513" s="104" t="str">
        <f>IF(Main[[#This Row],[Tech Start Date]]&lt;1/1/1990,"",IF(Main[[#This Row],[Class]]="C",WORKDAY(Main[[#This Row],[Tech Start Date]],28),IF(Main[[#This Row],[Class]]="B", WORKDAY(Main[[#This Row],[Tech Start Date]],19),IF(Main[[#This Row],[Class]]="A",WORKDAY(Main[[#This Row],[Tech Start Date]],9),""))))</f>
        <v/>
      </c>
      <c r="Q513" s="101">
        <v>40527</v>
      </c>
      <c r="R513" s="101"/>
      <c r="S513" s="99" t="s">
        <v>17</v>
      </c>
      <c r="T513" s="107" t="s">
        <v>4</v>
      </c>
      <c r="U513" s="99" t="s">
        <v>7</v>
      </c>
      <c r="V513" s="99" t="s">
        <v>1965</v>
      </c>
      <c r="W513" s="99" t="s">
        <v>4</v>
      </c>
    </row>
    <row r="514" spans="1:23" ht="18.600000000000001" customHeight="1">
      <c r="A514" s="123" t="str">
        <f>IF(priority(Main[[#This Row],[Comments]])&lt;&gt;0, priority(Main[[#This Row],[Comments]]),"")</f>
        <v/>
      </c>
      <c r="B514" s="127" t="s">
        <v>1407</v>
      </c>
      <c r="C514" s="99" t="s">
        <v>4</v>
      </c>
      <c r="D514" s="100" t="s">
        <v>469</v>
      </c>
      <c r="E514" s="101"/>
      <c r="F514" s="101">
        <v>40374</v>
      </c>
      <c r="G514" s="102" t="str">
        <f>IF(stdProdLT(Main[[#This Row],[Comments]])=0.1,"N/A",IF(stdProdLT(Main[[#This Row],[Comments]])=0,"",stdProdLT(Main[[#This Row],[Comments]])))</f>
        <v/>
      </c>
      <c r="H514" s="103" t="str">
        <f>IF(AND(Main[[#This Row],[In Stock Date]]&lt;&gt;"",Main[[#This Row],[Revised Due Date]]&lt;&gt;""),Main[[#This Row],[In Stock Date]]-Main[[#This Row],[Revised Due Date]],"")</f>
        <v/>
      </c>
      <c r="I514" s="99" t="s">
        <v>4</v>
      </c>
      <c r="J514" s="99" t="s">
        <v>4</v>
      </c>
      <c r="K514" s="99" t="s">
        <v>4</v>
      </c>
      <c r="L514" s="101"/>
      <c r="M514" s="104" t="str">
        <f>IF(Main[[#This Row],[Tech Start Date]]&lt;1/1/1990,"",IF(Main[[#This Row],[Class]]="C",WORKDAY(Main[[#This Row],[Tech Start Date]],9),IF(Main[[#This Row],[Class]]="B", WORKDAY(Main[[#This Row],[Tech Start Date]],6),IF(Main[[#This Row],[Class]]="A",WORKDAY(Main[[#This Row],[Tech Start Date]],2),""))))</f>
        <v/>
      </c>
      <c r="N514" s="104" t="str">
        <f>IF(Main[[#This Row],[Tech Start Date]]&lt;1/1/1990,"",IF(Main[[#This Row],[Class]]="C",WORKDAY(Main[[#This Row],[Tech Start Date]],19),IF(Main[[#This Row],[Class]]="B", WORKDAY(Main[[#This Row],[Tech Start Date]],12),IF(Main[[#This Row],[Class]]="A",WORKDAY(Main[[#This Row],[Tech Start Date]],4),""))))</f>
        <v/>
      </c>
      <c r="O514" s="104" t="str">
        <f>IF(Main[[#This Row],[Tech Start Date]]&lt;1/1/1990,"",IF(Main[[#This Row],[Class]]="C",WORKDAY(Main[[#This Row],[Tech Start Date]],23),IF(Main[[#This Row],[Class]]="B", WORKDAY(Main[[#This Row],[Tech Start Date]],15),IF(Main[[#This Row],[Class]]="A",WORKDAY(Main[[#This Row],[Tech Start Date]],5),""))))</f>
        <v/>
      </c>
      <c r="P514" s="104" t="str">
        <f>IF(Main[[#This Row],[Tech Start Date]]&lt;1/1/1990,"",IF(Main[[#This Row],[Class]]="C",WORKDAY(Main[[#This Row],[Tech Start Date]],28),IF(Main[[#This Row],[Class]]="B", WORKDAY(Main[[#This Row],[Tech Start Date]],19),IF(Main[[#This Row],[Class]]="A",WORKDAY(Main[[#This Row],[Tech Start Date]],9),""))))</f>
        <v/>
      </c>
      <c r="Q514" s="101">
        <v>40297</v>
      </c>
      <c r="R514" s="101"/>
      <c r="S514" s="99" t="s">
        <v>11</v>
      </c>
      <c r="T514" s="107" t="s">
        <v>4</v>
      </c>
      <c r="U514" s="99" t="s">
        <v>12</v>
      </c>
      <c r="V514" s="99" t="s">
        <v>1962</v>
      </c>
      <c r="W514" s="99" t="s">
        <v>1970</v>
      </c>
    </row>
    <row r="515" spans="1:23" ht="18.600000000000001" customHeight="1">
      <c r="A515" s="123" t="str">
        <f>IF(priority(Main[[#This Row],[Comments]])&lt;&gt;0, priority(Main[[#This Row],[Comments]]),"")</f>
        <v/>
      </c>
      <c r="B515" s="127" t="s">
        <v>1408</v>
      </c>
      <c r="C515" s="99" t="s">
        <v>31</v>
      </c>
      <c r="D515" s="100" t="s">
        <v>470</v>
      </c>
      <c r="E515" s="101"/>
      <c r="F515" s="101">
        <v>40568</v>
      </c>
      <c r="G515" s="102" t="str">
        <f>IF(stdProdLT(Main[[#This Row],[Comments]])=0.1,"N/A",IF(stdProdLT(Main[[#This Row],[Comments]])=0,"",stdProdLT(Main[[#This Row],[Comments]])))</f>
        <v/>
      </c>
      <c r="H515" s="103" t="str">
        <f>IF(AND(Main[[#This Row],[In Stock Date]]&lt;&gt;"",Main[[#This Row],[Revised Due Date]]&lt;&gt;""),Main[[#This Row],[In Stock Date]]-Main[[#This Row],[Revised Due Date]],"")</f>
        <v/>
      </c>
      <c r="I515" s="99" t="s">
        <v>4</v>
      </c>
      <c r="J515" s="99" t="s">
        <v>51</v>
      </c>
      <c r="K515" s="99" t="s">
        <v>4</v>
      </c>
      <c r="L515" s="101"/>
      <c r="M515" s="104" t="str">
        <f>IF(Main[[#This Row],[Tech Start Date]]&lt;1/1/1990,"",IF(Main[[#This Row],[Class]]="C",WORKDAY(Main[[#This Row],[Tech Start Date]],9),IF(Main[[#This Row],[Class]]="B", WORKDAY(Main[[#This Row],[Tech Start Date]],6),IF(Main[[#This Row],[Class]]="A",WORKDAY(Main[[#This Row],[Tech Start Date]],2),""))))</f>
        <v/>
      </c>
      <c r="N515" s="104" t="str">
        <f>IF(Main[[#This Row],[Tech Start Date]]&lt;1/1/1990,"",IF(Main[[#This Row],[Class]]="C",WORKDAY(Main[[#This Row],[Tech Start Date]],19),IF(Main[[#This Row],[Class]]="B", WORKDAY(Main[[#This Row],[Tech Start Date]],12),IF(Main[[#This Row],[Class]]="A",WORKDAY(Main[[#This Row],[Tech Start Date]],4),""))))</f>
        <v/>
      </c>
      <c r="O515" s="104" t="str">
        <f>IF(Main[[#This Row],[Tech Start Date]]&lt;1/1/1990,"",IF(Main[[#This Row],[Class]]="C",WORKDAY(Main[[#This Row],[Tech Start Date]],23),IF(Main[[#This Row],[Class]]="B", WORKDAY(Main[[#This Row],[Tech Start Date]],15),IF(Main[[#This Row],[Class]]="A",WORKDAY(Main[[#This Row],[Tech Start Date]],5),""))))</f>
        <v/>
      </c>
      <c r="P515" s="104" t="str">
        <f>IF(Main[[#This Row],[Tech Start Date]]&lt;1/1/1990,"",IF(Main[[#This Row],[Class]]="C",WORKDAY(Main[[#This Row],[Tech Start Date]],28),IF(Main[[#This Row],[Class]]="B", WORKDAY(Main[[#This Row],[Tech Start Date]],19),IF(Main[[#This Row],[Class]]="A",WORKDAY(Main[[#This Row],[Tech Start Date]],9),""))))</f>
        <v/>
      </c>
      <c r="Q515" s="101">
        <v>40396</v>
      </c>
      <c r="R515" s="101"/>
      <c r="S515" s="99" t="s">
        <v>11</v>
      </c>
      <c r="T515" s="107" t="s">
        <v>4</v>
      </c>
      <c r="U515" s="99" t="s">
        <v>14</v>
      </c>
      <c r="V515" s="99" t="s">
        <v>1972</v>
      </c>
      <c r="W515" s="99" t="s">
        <v>1968</v>
      </c>
    </row>
    <row r="516" spans="1:23" ht="18.600000000000001" customHeight="1">
      <c r="A516" s="123" t="str">
        <f>IF(priority(Main[[#This Row],[Comments]])&lt;&gt;0, priority(Main[[#This Row],[Comments]]),"")</f>
        <v/>
      </c>
      <c r="B516" s="127" t="s">
        <v>1409</v>
      </c>
      <c r="C516" s="99" t="s">
        <v>471</v>
      </c>
      <c r="D516" s="100" t="s">
        <v>472</v>
      </c>
      <c r="E516" s="101"/>
      <c r="F516" s="101">
        <v>40179</v>
      </c>
      <c r="G516" s="102" t="str">
        <f>IF(stdProdLT(Main[[#This Row],[Comments]])=0.1,"N/A",IF(stdProdLT(Main[[#This Row],[Comments]])=0,"",stdProdLT(Main[[#This Row],[Comments]])))</f>
        <v/>
      </c>
      <c r="H516" s="103" t="str">
        <f>IF(AND(Main[[#This Row],[In Stock Date]]&lt;&gt;"",Main[[#This Row],[Revised Due Date]]&lt;&gt;""),Main[[#This Row],[In Stock Date]]-Main[[#This Row],[Revised Due Date]],"")</f>
        <v/>
      </c>
      <c r="I516" s="99" t="s">
        <v>4</v>
      </c>
      <c r="J516" s="99" t="s">
        <v>4</v>
      </c>
      <c r="K516" s="99" t="s">
        <v>4</v>
      </c>
      <c r="L516" s="101"/>
      <c r="M516" s="104" t="str">
        <f>IF(Main[[#This Row],[Tech Start Date]]&lt;1/1/1990,"",IF(Main[[#This Row],[Class]]="C",WORKDAY(Main[[#This Row],[Tech Start Date]],9),IF(Main[[#This Row],[Class]]="B", WORKDAY(Main[[#This Row],[Tech Start Date]],6),IF(Main[[#This Row],[Class]]="A",WORKDAY(Main[[#This Row],[Tech Start Date]],2),""))))</f>
        <v/>
      </c>
      <c r="N516" s="104" t="str">
        <f>IF(Main[[#This Row],[Tech Start Date]]&lt;1/1/1990,"",IF(Main[[#This Row],[Class]]="C",WORKDAY(Main[[#This Row],[Tech Start Date]],19),IF(Main[[#This Row],[Class]]="B", WORKDAY(Main[[#This Row],[Tech Start Date]],12),IF(Main[[#This Row],[Class]]="A",WORKDAY(Main[[#This Row],[Tech Start Date]],4),""))))</f>
        <v/>
      </c>
      <c r="O516" s="104" t="str">
        <f>IF(Main[[#This Row],[Tech Start Date]]&lt;1/1/1990,"",IF(Main[[#This Row],[Class]]="C",WORKDAY(Main[[#This Row],[Tech Start Date]],23),IF(Main[[#This Row],[Class]]="B", WORKDAY(Main[[#This Row],[Tech Start Date]],15),IF(Main[[#This Row],[Class]]="A",WORKDAY(Main[[#This Row],[Tech Start Date]],5),""))))</f>
        <v/>
      </c>
      <c r="P516" s="104" t="str">
        <f>IF(Main[[#This Row],[Tech Start Date]]&lt;1/1/1990,"",IF(Main[[#This Row],[Class]]="C",WORKDAY(Main[[#This Row],[Tech Start Date]],28),IF(Main[[#This Row],[Class]]="B", WORKDAY(Main[[#This Row],[Tech Start Date]],19),IF(Main[[#This Row],[Class]]="A",WORKDAY(Main[[#This Row],[Tech Start Date]],9),""))))</f>
        <v/>
      </c>
      <c r="Q516" s="101">
        <v>40154</v>
      </c>
      <c r="R516" s="101"/>
      <c r="S516" s="99" t="s">
        <v>11</v>
      </c>
      <c r="T516" s="107" t="s">
        <v>4</v>
      </c>
      <c r="U516" s="99" t="s">
        <v>14</v>
      </c>
      <c r="V516" s="99" t="s">
        <v>1965</v>
      </c>
      <c r="W516" s="99" t="s">
        <v>1968</v>
      </c>
    </row>
    <row r="517" spans="1:23" ht="18.600000000000001" customHeight="1">
      <c r="A517" s="123" t="str">
        <f>IF(priority(Main[[#This Row],[Comments]])&lt;&gt;0, priority(Main[[#This Row],[Comments]]),"")</f>
        <v/>
      </c>
      <c r="B517" s="127" t="s">
        <v>1410</v>
      </c>
      <c r="C517" s="99" t="s">
        <v>4</v>
      </c>
      <c r="D517" s="100" t="s">
        <v>473</v>
      </c>
      <c r="E517" s="101">
        <v>40701.70579861111</v>
      </c>
      <c r="F517" s="101"/>
      <c r="G517" s="102" t="str">
        <f>IF(stdProdLT(Main[[#This Row],[Comments]])=0.1,"N/A",IF(stdProdLT(Main[[#This Row],[Comments]])=0,"",stdProdLT(Main[[#This Row],[Comments]])))</f>
        <v/>
      </c>
      <c r="H517" s="103" t="str">
        <f>IF(AND(Main[[#This Row],[In Stock Date]]&lt;&gt;"",Main[[#This Row],[Revised Due Date]]&lt;&gt;""),Main[[#This Row],[In Stock Date]]-Main[[#This Row],[Revised Due Date]],"")</f>
        <v/>
      </c>
      <c r="I517" s="99" t="s">
        <v>4</v>
      </c>
      <c r="J517" s="99" t="s">
        <v>4</v>
      </c>
      <c r="K517" s="99" t="s">
        <v>4</v>
      </c>
      <c r="L517" s="101"/>
      <c r="M517" s="104" t="str">
        <f>IF(Main[[#This Row],[Tech Start Date]]&lt;1/1/1990,"",IF(Main[[#This Row],[Class]]="C",WORKDAY(Main[[#This Row],[Tech Start Date]],9),IF(Main[[#This Row],[Class]]="B", WORKDAY(Main[[#This Row],[Tech Start Date]],6),IF(Main[[#This Row],[Class]]="A",WORKDAY(Main[[#This Row],[Tech Start Date]],2),""))))</f>
        <v/>
      </c>
      <c r="N517" s="104" t="str">
        <f>IF(Main[[#This Row],[Tech Start Date]]&lt;1/1/1990,"",IF(Main[[#This Row],[Class]]="C",WORKDAY(Main[[#This Row],[Tech Start Date]],19),IF(Main[[#This Row],[Class]]="B", WORKDAY(Main[[#This Row],[Tech Start Date]],12),IF(Main[[#This Row],[Class]]="A",WORKDAY(Main[[#This Row],[Tech Start Date]],4),""))))</f>
        <v/>
      </c>
      <c r="O517" s="104" t="str">
        <f>IF(Main[[#This Row],[Tech Start Date]]&lt;1/1/1990,"",IF(Main[[#This Row],[Class]]="C",WORKDAY(Main[[#This Row],[Tech Start Date]],23),IF(Main[[#This Row],[Class]]="B", WORKDAY(Main[[#This Row],[Tech Start Date]],15),IF(Main[[#This Row],[Class]]="A",WORKDAY(Main[[#This Row],[Tech Start Date]],5),""))))</f>
        <v/>
      </c>
      <c r="P517" s="104" t="str">
        <f>IF(Main[[#This Row],[Tech Start Date]]&lt;1/1/1990,"",IF(Main[[#This Row],[Class]]="C",WORKDAY(Main[[#This Row],[Tech Start Date]],28),IF(Main[[#This Row],[Class]]="B", WORKDAY(Main[[#This Row],[Tech Start Date]],19),IF(Main[[#This Row],[Class]]="A",WORKDAY(Main[[#This Row],[Tech Start Date]],9),""))))</f>
        <v/>
      </c>
      <c r="Q517" s="101">
        <v>40732</v>
      </c>
      <c r="R517" s="101"/>
      <c r="S517" s="99" t="s">
        <v>6</v>
      </c>
      <c r="T517" s="107" t="s">
        <v>4</v>
      </c>
      <c r="U517" s="99" t="s">
        <v>7</v>
      </c>
      <c r="V517" s="99" t="s">
        <v>1962</v>
      </c>
      <c r="W517" s="99" t="s">
        <v>4</v>
      </c>
    </row>
    <row r="518" spans="1:23" ht="18.600000000000001" customHeight="1">
      <c r="A518" s="123" t="str">
        <f>IF(priority(Main[[#This Row],[Comments]])&lt;&gt;0, priority(Main[[#This Row],[Comments]]),"")</f>
        <v/>
      </c>
      <c r="B518" s="127" t="s">
        <v>1821</v>
      </c>
      <c r="C518" s="99" t="s">
        <v>4</v>
      </c>
      <c r="D518" s="100" t="s">
        <v>864</v>
      </c>
      <c r="E518" s="101">
        <v>40611.493495370371</v>
      </c>
      <c r="F518" s="101"/>
      <c r="G518" s="102" t="str">
        <f>IF(stdProdLT(Main[[#This Row],[Comments]])=0.1,"N/A",IF(stdProdLT(Main[[#This Row],[Comments]])=0,"",stdProdLT(Main[[#This Row],[Comments]])))</f>
        <v/>
      </c>
      <c r="H518" s="103" t="str">
        <f>IF(AND(Main[[#This Row],[In Stock Date]]&lt;&gt;"",Main[[#This Row],[Revised Due Date]]&lt;&gt;""),Main[[#This Row],[In Stock Date]]-Main[[#This Row],[Revised Due Date]],"")</f>
        <v/>
      </c>
      <c r="I518" s="99" t="s">
        <v>4</v>
      </c>
      <c r="J518" s="99" t="s">
        <v>4</v>
      </c>
      <c r="K518" s="99" t="s">
        <v>4</v>
      </c>
      <c r="L518" s="101"/>
      <c r="M518" s="104" t="str">
        <f>IF(Main[[#This Row],[Tech Start Date]]&lt;1/1/1990,"",IF(Main[[#This Row],[Class]]="C",WORKDAY(Main[[#This Row],[Tech Start Date]],9),IF(Main[[#This Row],[Class]]="B", WORKDAY(Main[[#This Row],[Tech Start Date]],6),IF(Main[[#This Row],[Class]]="A",WORKDAY(Main[[#This Row],[Tech Start Date]],2),""))))</f>
        <v/>
      </c>
      <c r="N518" s="104" t="str">
        <f>IF(Main[[#This Row],[Tech Start Date]]&lt;1/1/1990,"",IF(Main[[#This Row],[Class]]="C",WORKDAY(Main[[#This Row],[Tech Start Date]],19),IF(Main[[#This Row],[Class]]="B", WORKDAY(Main[[#This Row],[Tech Start Date]],12),IF(Main[[#This Row],[Class]]="A",WORKDAY(Main[[#This Row],[Tech Start Date]],4),""))))</f>
        <v/>
      </c>
      <c r="O518" s="104" t="str">
        <f>IF(Main[[#This Row],[Tech Start Date]]&lt;1/1/1990,"",IF(Main[[#This Row],[Class]]="C",WORKDAY(Main[[#This Row],[Tech Start Date]],23),IF(Main[[#This Row],[Class]]="B", WORKDAY(Main[[#This Row],[Tech Start Date]],15),IF(Main[[#This Row],[Class]]="A",WORKDAY(Main[[#This Row],[Tech Start Date]],5),""))))</f>
        <v/>
      </c>
      <c r="P518" s="104" t="str">
        <f>IF(Main[[#This Row],[Tech Start Date]]&lt;1/1/1990,"",IF(Main[[#This Row],[Class]]="C",WORKDAY(Main[[#This Row],[Tech Start Date]],28),IF(Main[[#This Row],[Class]]="B", WORKDAY(Main[[#This Row],[Tech Start Date]],19),IF(Main[[#This Row],[Class]]="A",WORKDAY(Main[[#This Row],[Tech Start Date]],9),""))))</f>
        <v/>
      </c>
      <c r="Q518" s="101">
        <v>40725</v>
      </c>
      <c r="R518" s="101"/>
      <c r="S518" s="99" t="s">
        <v>17</v>
      </c>
      <c r="T518" s="107" t="s">
        <v>4</v>
      </c>
      <c r="U518" s="99" t="s">
        <v>7</v>
      </c>
      <c r="V518" s="99" t="s">
        <v>1965</v>
      </c>
      <c r="W518" s="99" t="s">
        <v>1967</v>
      </c>
    </row>
    <row r="519" spans="1:23" ht="18.600000000000001" customHeight="1">
      <c r="A519" s="123" t="str">
        <f>IF(priority(Main[[#This Row],[Comments]])&lt;&gt;0, priority(Main[[#This Row],[Comments]]),"")</f>
        <v/>
      </c>
      <c r="B519" s="127" t="s">
        <v>1818</v>
      </c>
      <c r="C519" s="99" t="s">
        <v>4</v>
      </c>
      <c r="D519" s="100" t="s">
        <v>861</v>
      </c>
      <c r="E519" s="101"/>
      <c r="F519" s="101"/>
      <c r="G519" s="102" t="str">
        <f>IF(stdProdLT(Main[[#This Row],[Comments]])=0.1,"N/A",IF(stdProdLT(Main[[#This Row],[Comments]])=0,"",stdProdLT(Main[[#This Row],[Comments]])))</f>
        <v/>
      </c>
      <c r="H519" s="103" t="str">
        <f>IF(AND(Main[[#This Row],[In Stock Date]]&lt;&gt;"",Main[[#This Row],[Revised Due Date]]&lt;&gt;""),Main[[#This Row],[In Stock Date]]-Main[[#This Row],[Revised Due Date]],"")</f>
        <v/>
      </c>
      <c r="I519" s="99" t="s">
        <v>2102</v>
      </c>
      <c r="J519" s="99" t="s">
        <v>28</v>
      </c>
      <c r="K519" s="99" t="s">
        <v>1971</v>
      </c>
      <c r="L519" s="101"/>
      <c r="M519" s="104" t="str">
        <f>IF(Main[[#This Row],[Tech Start Date]]&lt;1/1/1990,"",IF(Main[[#This Row],[Class]]="C",WORKDAY(Main[[#This Row],[Tech Start Date]],9),IF(Main[[#This Row],[Class]]="B", WORKDAY(Main[[#This Row],[Tech Start Date]],6),IF(Main[[#This Row],[Class]]="A",WORKDAY(Main[[#This Row],[Tech Start Date]],2),""))))</f>
        <v/>
      </c>
      <c r="N519" s="104" t="str">
        <f>IF(Main[[#This Row],[Tech Start Date]]&lt;1/1/1990,"",IF(Main[[#This Row],[Class]]="C",WORKDAY(Main[[#This Row],[Tech Start Date]],19),IF(Main[[#This Row],[Class]]="B", WORKDAY(Main[[#This Row],[Tech Start Date]],12),IF(Main[[#This Row],[Class]]="A",WORKDAY(Main[[#This Row],[Tech Start Date]],4),""))))</f>
        <v/>
      </c>
      <c r="O519" s="104" t="str">
        <f>IF(Main[[#This Row],[Tech Start Date]]&lt;1/1/1990,"",IF(Main[[#This Row],[Class]]="C",WORKDAY(Main[[#This Row],[Tech Start Date]],23),IF(Main[[#This Row],[Class]]="B", WORKDAY(Main[[#This Row],[Tech Start Date]],15),IF(Main[[#This Row],[Class]]="A",WORKDAY(Main[[#This Row],[Tech Start Date]],5),""))))</f>
        <v/>
      </c>
      <c r="P519" s="104" t="str">
        <f>IF(Main[[#This Row],[Tech Start Date]]&lt;1/1/1990,"",IF(Main[[#This Row],[Class]]="C",WORKDAY(Main[[#This Row],[Tech Start Date]],28),IF(Main[[#This Row],[Class]]="B", WORKDAY(Main[[#This Row],[Tech Start Date]],19),IF(Main[[#This Row],[Class]]="A",WORKDAY(Main[[#This Row],[Tech Start Date]],9),""))))</f>
        <v/>
      </c>
      <c r="Q519" s="101">
        <v>40694</v>
      </c>
      <c r="R519" s="101"/>
      <c r="S519" s="99" t="s">
        <v>6</v>
      </c>
      <c r="T519" s="107" t="s">
        <v>4</v>
      </c>
      <c r="U519" s="99" t="s">
        <v>14</v>
      </c>
      <c r="V519" s="99" t="s">
        <v>1965</v>
      </c>
      <c r="W519" s="99" t="s">
        <v>1966</v>
      </c>
    </row>
    <row r="520" spans="1:23" ht="18.600000000000001" customHeight="1">
      <c r="A520" s="123" t="str">
        <f>IF(priority(Main[[#This Row],[Comments]])&lt;&gt;0, priority(Main[[#This Row],[Comments]]),"")</f>
        <v/>
      </c>
      <c r="B520" s="127" t="s">
        <v>1411</v>
      </c>
      <c r="C520" s="99" t="s">
        <v>99</v>
      </c>
      <c r="D520" s="100" t="s">
        <v>100</v>
      </c>
      <c r="E520" s="101"/>
      <c r="F520" s="101"/>
      <c r="G520" s="102" t="str">
        <f>IF(stdProdLT(Main[[#This Row],[Comments]])=0.1,"N/A",IF(stdProdLT(Main[[#This Row],[Comments]])=0,"",stdProdLT(Main[[#This Row],[Comments]])))</f>
        <v/>
      </c>
      <c r="H520" s="103" t="str">
        <f>IF(AND(Main[[#This Row],[In Stock Date]]&lt;&gt;"",Main[[#This Row],[Revised Due Date]]&lt;&gt;""),Main[[#This Row],[In Stock Date]]-Main[[#This Row],[Revised Due Date]],"")</f>
        <v/>
      </c>
      <c r="I520" s="99" t="s">
        <v>4</v>
      </c>
      <c r="J520" s="99" t="s">
        <v>4</v>
      </c>
      <c r="K520" s="99" t="s">
        <v>4</v>
      </c>
      <c r="L520" s="101"/>
      <c r="M520" s="104" t="str">
        <f>IF(Main[[#This Row],[Tech Start Date]]&lt;1/1/1990,"",IF(Main[[#This Row],[Class]]="C",WORKDAY(Main[[#This Row],[Tech Start Date]],9),IF(Main[[#This Row],[Class]]="B", WORKDAY(Main[[#This Row],[Tech Start Date]],6),IF(Main[[#This Row],[Class]]="A",WORKDAY(Main[[#This Row],[Tech Start Date]],2),""))))</f>
        <v/>
      </c>
      <c r="N520" s="104" t="str">
        <f>IF(Main[[#This Row],[Tech Start Date]]&lt;1/1/1990,"",IF(Main[[#This Row],[Class]]="C",WORKDAY(Main[[#This Row],[Tech Start Date]],19),IF(Main[[#This Row],[Class]]="B", WORKDAY(Main[[#This Row],[Tech Start Date]],12),IF(Main[[#This Row],[Class]]="A",WORKDAY(Main[[#This Row],[Tech Start Date]],4),""))))</f>
        <v/>
      </c>
      <c r="O520" s="104" t="str">
        <f>IF(Main[[#This Row],[Tech Start Date]]&lt;1/1/1990,"",IF(Main[[#This Row],[Class]]="C",WORKDAY(Main[[#This Row],[Tech Start Date]],23),IF(Main[[#This Row],[Class]]="B", WORKDAY(Main[[#This Row],[Tech Start Date]],15),IF(Main[[#This Row],[Class]]="A",WORKDAY(Main[[#This Row],[Tech Start Date]],5),""))))</f>
        <v/>
      </c>
      <c r="P520" s="104" t="str">
        <f>IF(Main[[#This Row],[Tech Start Date]]&lt;1/1/1990,"",IF(Main[[#This Row],[Class]]="C",WORKDAY(Main[[#This Row],[Tech Start Date]],28),IF(Main[[#This Row],[Class]]="B", WORKDAY(Main[[#This Row],[Tech Start Date]],19),IF(Main[[#This Row],[Class]]="A",WORKDAY(Main[[#This Row],[Tech Start Date]],9),""))))</f>
        <v/>
      </c>
      <c r="Q520" s="101"/>
      <c r="R520" s="101"/>
      <c r="S520" s="99" t="s">
        <v>11</v>
      </c>
      <c r="T520" s="107" t="s">
        <v>4</v>
      </c>
      <c r="U520" s="99" t="s">
        <v>14</v>
      </c>
      <c r="V520" s="99" t="s">
        <v>1963</v>
      </c>
      <c r="W520" s="99" t="s">
        <v>1964</v>
      </c>
    </row>
    <row r="521" spans="1:23" ht="18.600000000000001" customHeight="1">
      <c r="A521" s="123" t="str">
        <f>IF(priority(Main[[#This Row],[Comments]])&lt;&gt;0, priority(Main[[#This Row],[Comments]]),"")</f>
        <v/>
      </c>
      <c r="B521" s="127" t="s">
        <v>2476</v>
      </c>
      <c r="C521" s="99" t="s">
        <v>4</v>
      </c>
      <c r="D521" s="100" t="s">
        <v>2477</v>
      </c>
      <c r="E521" s="101">
        <v>40869.35837962963</v>
      </c>
      <c r="F521" s="101"/>
      <c r="G521" s="102" t="str">
        <f>IF(stdProdLT(Main[[#This Row],[Comments]])=0.1,"N/A",IF(stdProdLT(Main[[#This Row],[Comments]])=0,"",stdProdLT(Main[[#This Row],[Comments]])))</f>
        <v/>
      </c>
      <c r="H521" s="103" t="str">
        <f>IF(AND(Main[[#This Row],[In Stock Date]]&lt;&gt;"",Main[[#This Row],[Revised Due Date]]&lt;&gt;""),Main[[#This Row],[In Stock Date]]-Main[[#This Row],[Revised Due Date]],"")</f>
        <v/>
      </c>
      <c r="I521" s="99" t="s">
        <v>4</v>
      </c>
      <c r="J521" s="99" t="s">
        <v>4</v>
      </c>
      <c r="K521" s="99" t="s">
        <v>4</v>
      </c>
      <c r="L521" s="101"/>
      <c r="M521" s="104" t="str">
        <f>IF(Main[[#This Row],[Tech Start Date]]&lt;1/1/1990,"",IF(Main[[#This Row],[Class]]="C",WORKDAY(Main[[#This Row],[Tech Start Date]],9),IF(Main[[#This Row],[Class]]="B", WORKDAY(Main[[#This Row],[Tech Start Date]],6),IF(Main[[#This Row],[Class]]="A",WORKDAY(Main[[#This Row],[Tech Start Date]],2),""))))</f>
        <v/>
      </c>
      <c r="N521" s="104" t="str">
        <f>IF(Main[[#This Row],[Tech Start Date]]&lt;1/1/1990,"",IF(Main[[#This Row],[Class]]="C",WORKDAY(Main[[#This Row],[Tech Start Date]],19),IF(Main[[#This Row],[Class]]="B", WORKDAY(Main[[#This Row],[Tech Start Date]],12),IF(Main[[#This Row],[Class]]="A",WORKDAY(Main[[#This Row],[Tech Start Date]],4),""))))</f>
        <v/>
      </c>
      <c r="O521" s="104" t="str">
        <f>IF(Main[[#This Row],[Tech Start Date]]&lt;1/1/1990,"",IF(Main[[#This Row],[Class]]="C",WORKDAY(Main[[#This Row],[Tech Start Date]],23),IF(Main[[#This Row],[Class]]="B", WORKDAY(Main[[#This Row],[Tech Start Date]],15),IF(Main[[#This Row],[Class]]="A",WORKDAY(Main[[#This Row],[Tech Start Date]],5),""))))</f>
        <v/>
      </c>
      <c r="P521" s="104" t="str">
        <f>IF(Main[[#This Row],[Tech Start Date]]&lt;1/1/1990,"",IF(Main[[#This Row],[Class]]="C",WORKDAY(Main[[#This Row],[Tech Start Date]],28),IF(Main[[#This Row],[Class]]="B", WORKDAY(Main[[#This Row],[Tech Start Date]],19),IF(Main[[#This Row],[Class]]="A",WORKDAY(Main[[#This Row],[Tech Start Date]],9),""))))</f>
        <v/>
      </c>
      <c r="Q521" s="101"/>
      <c r="R521" s="101"/>
      <c r="S521" s="99" t="s">
        <v>6</v>
      </c>
      <c r="T521" s="107" t="s">
        <v>4</v>
      </c>
      <c r="U521" s="99" t="s">
        <v>29</v>
      </c>
      <c r="V521" s="99" t="s">
        <v>1963</v>
      </c>
      <c r="W521" s="99" t="s">
        <v>1964</v>
      </c>
    </row>
    <row r="522" spans="1:23" ht="18.600000000000001" customHeight="1">
      <c r="A522" s="123" t="str">
        <f>IF(priority(Main[[#This Row],[Comments]])&lt;&gt;0, priority(Main[[#This Row],[Comments]]),"")</f>
        <v/>
      </c>
      <c r="B522" s="127" t="s">
        <v>1412</v>
      </c>
      <c r="C522" s="99" t="s">
        <v>4</v>
      </c>
      <c r="D522" s="100" t="s">
        <v>300</v>
      </c>
      <c r="E522" s="101"/>
      <c r="F522" s="101"/>
      <c r="G522" s="102" t="str">
        <f>IF(stdProdLT(Main[[#This Row],[Comments]])=0.1,"N/A",IF(stdProdLT(Main[[#This Row],[Comments]])=0,"",stdProdLT(Main[[#This Row],[Comments]])))</f>
        <v/>
      </c>
      <c r="H522" s="103" t="str">
        <f>IF(AND(Main[[#This Row],[In Stock Date]]&lt;&gt;"",Main[[#This Row],[Revised Due Date]]&lt;&gt;""),Main[[#This Row],[In Stock Date]]-Main[[#This Row],[Revised Due Date]],"")</f>
        <v/>
      </c>
      <c r="I522" s="99" t="s">
        <v>4</v>
      </c>
      <c r="J522" s="99" t="s">
        <v>4</v>
      </c>
      <c r="K522" s="99" t="s">
        <v>4</v>
      </c>
      <c r="L522" s="101"/>
      <c r="M522" s="104" t="str">
        <f>IF(Main[[#This Row],[Tech Start Date]]&lt;1/1/1990,"",IF(Main[[#This Row],[Class]]="C",WORKDAY(Main[[#This Row],[Tech Start Date]],9),IF(Main[[#This Row],[Class]]="B", WORKDAY(Main[[#This Row],[Tech Start Date]],6),IF(Main[[#This Row],[Class]]="A",WORKDAY(Main[[#This Row],[Tech Start Date]],2),""))))</f>
        <v/>
      </c>
      <c r="N522" s="104" t="str">
        <f>IF(Main[[#This Row],[Tech Start Date]]&lt;1/1/1990,"",IF(Main[[#This Row],[Class]]="C",WORKDAY(Main[[#This Row],[Tech Start Date]],19),IF(Main[[#This Row],[Class]]="B", WORKDAY(Main[[#This Row],[Tech Start Date]],12),IF(Main[[#This Row],[Class]]="A",WORKDAY(Main[[#This Row],[Tech Start Date]],4),""))))</f>
        <v/>
      </c>
      <c r="O522" s="104" t="str">
        <f>IF(Main[[#This Row],[Tech Start Date]]&lt;1/1/1990,"",IF(Main[[#This Row],[Class]]="C",WORKDAY(Main[[#This Row],[Tech Start Date]],23),IF(Main[[#This Row],[Class]]="B", WORKDAY(Main[[#This Row],[Tech Start Date]],15),IF(Main[[#This Row],[Class]]="A",WORKDAY(Main[[#This Row],[Tech Start Date]],5),""))))</f>
        <v/>
      </c>
      <c r="P522" s="104" t="str">
        <f>IF(Main[[#This Row],[Tech Start Date]]&lt;1/1/1990,"",IF(Main[[#This Row],[Class]]="C",WORKDAY(Main[[#This Row],[Tech Start Date]],28),IF(Main[[#This Row],[Class]]="B", WORKDAY(Main[[#This Row],[Tech Start Date]],19),IF(Main[[#This Row],[Class]]="A",WORKDAY(Main[[#This Row],[Tech Start Date]],9),""))))</f>
        <v/>
      </c>
      <c r="Q522" s="101">
        <v>40471</v>
      </c>
      <c r="R522" s="101"/>
      <c r="S522" s="99" t="s">
        <v>301</v>
      </c>
      <c r="T522" s="107" t="s">
        <v>4</v>
      </c>
      <c r="U522" s="99" t="s">
        <v>14</v>
      </c>
      <c r="V522" s="99" t="s">
        <v>1972</v>
      </c>
      <c r="W522" s="99" t="s">
        <v>1964</v>
      </c>
    </row>
    <row r="523" spans="1:23" ht="18.600000000000001" customHeight="1">
      <c r="A523" s="123" t="str">
        <f>IF(priority(Main[[#This Row],[Comments]])&lt;&gt;0, priority(Main[[#This Row],[Comments]]),"")</f>
        <v/>
      </c>
      <c r="B523" s="127" t="s">
        <v>1413</v>
      </c>
      <c r="C523" s="99" t="s">
        <v>4</v>
      </c>
      <c r="D523" s="100" t="s">
        <v>474</v>
      </c>
      <c r="E523" s="101">
        <v>40422.514918981484</v>
      </c>
      <c r="F523" s="101"/>
      <c r="G523" s="102" t="str">
        <f>IF(stdProdLT(Main[[#This Row],[Comments]])=0.1,"N/A",IF(stdProdLT(Main[[#This Row],[Comments]])=0,"",stdProdLT(Main[[#This Row],[Comments]])))</f>
        <v/>
      </c>
      <c r="H523" s="103" t="str">
        <f>IF(AND(Main[[#This Row],[In Stock Date]]&lt;&gt;"",Main[[#This Row],[Revised Due Date]]&lt;&gt;""),Main[[#This Row],[In Stock Date]]-Main[[#This Row],[Revised Due Date]],"")</f>
        <v/>
      </c>
      <c r="I523" s="99" t="s">
        <v>4</v>
      </c>
      <c r="J523" s="99" t="s">
        <v>28</v>
      </c>
      <c r="K523" s="99" t="s">
        <v>4</v>
      </c>
      <c r="L523" s="101"/>
      <c r="M523" s="104" t="str">
        <f>IF(Main[[#This Row],[Tech Start Date]]&lt;1/1/1990,"",IF(Main[[#This Row],[Class]]="C",WORKDAY(Main[[#This Row],[Tech Start Date]],9),IF(Main[[#This Row],[Class]]="B", WORKDAY(Main[[#This Row],[Tech Start Date]],6),IF(Main[[#This Row],[Class]]="A",WORKDAY(Main[[#This Row],[Tech Start Date]],2),""))))</f>
        <v/>
      </c>
      <c r="N523" s="104" t="str">
        <f>IF(Main[[#This Row],[Tech Start Date]]&lt;1/1/1990,"",IF(Main[[#This Row],[Class]]="C",WORKDAY(Main[[#This Row],[Tech Start Date]],19),IF(Main[[#This Row],[Class]]="B", WORKDAY(Main[[#This Row],[Tech Start Date]],12),IF(Main[[#This Row],[Class]]="A",WORKDAY(Main[[#This Row],[Tech Start Date]],4),""))))</f>
        <v/>
      </c>
      <c r="O523" s="104" t="str">
        <f>IF(Main[[#This Row],[Tech Start Date]]&lt;1/1/1990,"",IF(Main[[#This Row],[Class]]="C",WORKDAY(Main[[#This Row],[Tech Start Date]],23),IF(Main[[#This Row],[Class]]="B", WORKDAY(Main[[#This Row],[Tech Start Date]],15),IF(Main[[#This Row],[Class]]="A",WORKDAY(Main[[#This Row],[Tech Start Date]],5),""))))</f>
        <v/>
      </c>
      <c r="P523" s="104" t="str">
        <f>IF(Main[[#This Row],[Tech Start Date]]&lt;1/1/1990,"",IF(Main[[#This Row],[Class]]="C",WORKDAY(Main[[#This Row],[Tech Start Date]],28),IF(Main[[#This Row],[Class]]="B", WORKDAY(Main[[#This Row],[Tech Start Date]],19),IF(Main[[#This Row],[Class]]="A",WORKDAY(Main[[#This Row],[Tech Start Date]],9),""))))</f>
        <v/>
      </c>
      <c r="Q523" s="101">
        <v>40455</v>
      </c>
      <c r="R523" s="101"/>
      <c r="S523" s="99" t="s">
        <v>6</v>
      </c>
      <c r="T523" s="107" t="s">
        <v>4</v>
      </c>
      <c r="U523" s="99" t="s">
        <v>7</v>
      </c>
      <c r="V523" s="99" t="s">
        <v>1962</v>
      </c>
      <c r="W523" s="99" t="s">
        <v>1966</v>
      </c>
    </row>
    <row r="524" spans="1:23" ht="18.600000000000001" customHeight="1">
      <c r="A524" s="123" t="str">
        <f>IF(priority(Main[[#This Row],[Comments]])&lt;&gt;0, priority(Main[[#This Row],[Comments]]),"")</f>
        <v/>
      </c>
      <c r="B524" s="127" t="s">
        <v>1344</v>
      </c>
      <c r="C524" s="99" t="s">
        <v>395</v>
      </c>
      <c r="D524" s="100" t="s">
        <v>396</v>
      </c>
      <c r="E524" s="101"/>
      <c r="F524" s="101">
        <v>40512</v>
      </c>
      <c r="G524" s="102" t="str">
        <f>IF(stdProdLT(Main[[#This Row],[Comments]])=0.1,"N/A",IF(stdProdLT(Main[[#This Row],[Comments]])=0,"",stdProdLT(Main[[#This Row],[Comments]])))</f>
        <v/>
      </c>
      <c r="H524" s="103" t="str">
        <f>IF(AND(Main[[#This Row],[In Stock Date]]&lt;&gt;"",Main[[#This Row],[Revised Due Date]]&lt;&gt;""),Main[[#This Row],[In Stock Date]]-Main[[#This Row],[Revised Due Date]],"")</f>
        <v/>
      </c>
      <c r="I524" s="99" t="s">
        <v>4</v>
      </c>
      <c r="J524" s="99" t="s">
        <v>4</v>
      </c>
      <c r="K524" s="99" t="s">
        <v>4</v>
      </c>
      <c r="L524" s="101"/>
      <c r="M524" s="104" t="str">
        <f>IF(Main[[#This Row],[Tech Start Date]]&lt;1/1/1990,"",IF(Main[[#This Row],[Class]]="C",WORKDAY(Main[[#This Row],[Tech Start Date]],9),IF(Main[[#This Row],[Class]]="B", WORKDAY(Main[[#This Row],[Tech Start Date]],6),IF(Main[[#This Row],[Class]]="A",WORKDAY(Main[[#This Row],[Tech Start Date]],2),""))))</f>
        <v/>
      </c>
      <c r="N524" s="104" t="str">
        <f>IF(Main[[#This Row],[Tech Start Date]]&lt;1/1/1990,"",IF(Main[[#This Row],[Class]]="C",WORKDAY(Main[[#This Row],[Tech Start Date]],19),IF(Main[[#This Row],[Class]]="B", WORKDAY(Main[[#This Row],[Tech Start Date]],12),IF(Main[[#This Row],[Class]]="A",WORKDAY(Main[[#This Row],[Tech Start Date]],4),""))))</f>
        <v/>
      </c>
      <c r="O524" s="104" t="str">
        <f>IF(Main[[#This Row],[Tech Start Date]]&lt;1/1/1990,"",IF(Main[[#This Row],[Class]]="C",WORKDAY(Main[[#This Row],[Tech Start Date]],23),IF(Main[[#This Row],[Class]]="B", WORKDAY(Main[[#This Row],[Tech Start Date]],15),IF(Main[[#This Row],[Class]]="A",WORKDAY(Main[[#This Row],[Tech Start Date]],5),""))))</f>
        <v/>
      </c>
      <c r="P524" s="104" t="str">
        <f>IF(Main[[#This Row],[Tech Start Date]]&lt;1/1/1990,"",IF(Main[[#This Row],[Class]]="C",WORKDAY(Main[[#This Row],[Tech Start Date]],28),IF(Main[[#This Row],[Class]]="B", WORKDAY(Main[[#This Row],[Tech Start Date]],19),IF(Main[[#This Row],[Class]]="A",WORKDAY(Main[[#This Row],[Tech Start Date]],9),""))))</f>
        <v/>
      </c>
      <c r="Q524" s="101">
        <v>40316</v>
      </c>
      <c r="R524" s="101"/>
      <c r="S524" s="99" t="s">
        <v>11</v>
      </c>
      <c r="T524" s="107" t="s">
        <v>4</v>
      </c>
      <c r="U524" s="99" t="s">
        <v>14</v>
      </c>
      <c r="V524" s="99" t="s">
        <v>1962</v>
      </c>
      <c r="W524" s="99" t="s">
        <v>1968</v>
      </c>
    </row>
    <row r="525" spans="1:23" ht="18.600000000000001" customHeight="1">
      <c r="A525" s="123" t="str">
        <f>IF(priority(Main[[#This Row],[Comments]])&lt;&gt;0, priority(Main[[#This Row],[Comments]]),"")</f>
        <v/>
      </c>
      <c r="B525" s="127" t="s">
        <v>1345</v>
      </c>
      <c r="C525" s="99" t="s">
        <v>216</v>
      </c>
      <c r="D525" s="100" t="s">
        <v>397</v>
      </c>
      <c r="E525" s="101"/>
      <c r="F525" s="101">
        <v>40390</v>
      </c>
      <c r="G525" s="102" t="str">
        <f>IF(stdProdLT(Main[[#This Row],[Comments]])=0.1,"N/A",IF(stdProdLT(Main[[#This Row],[Comments]])=0,"",stdProdLT(Main[[#This Row],[Comments]])))</f>
        <v/>
      </c>
      <c r="H525" s="103" t="str">
        <f>IF(AND(Main[[#This Row],[In Stock Date]]&lt;&gt;"",Main[[#This Row],[Revised Due Date]]&lt;&gt;""),Main[[#This Row],[In Stock Date]]-Main[[#This Row],[Revised Due Date]],"")</f>
        <v/>
      </c>
      <c r="I525" s="99" t="s">
        <v>4</v>
      </c>
      <c r="J525" s="99" t="s">
        <v>4</v>
      </c>
      <c r="K525" s="99" t="s">
        <v>4</v>
      </c>
      <c r="L525" s="101"/>
      <c r="M525" s="104" t="str">
        <f>IF(Main[[#This Row],[Tech Start Date]]&lt;1/1/1990,"",IF(Main[[#This Row],[Class]]="C",WORKDAY(Main[[#This Row],[Tech Start Date]],9),IF(Main[[#This Row],[Class]]="B", WORKDAY(Main[[#This Row],[Tech Start Date]],6),IF(Main[[#This Row],[Class]]="A",WORKDAY(Main[[#This Row],[Tech Start Date]],2),""))))</f>
        <v/>
      </c>
      <c r="N525" s="104" t="str">
        <f>IF(Main[[#This Row],[Tech Start Date]]&lt;1/1/1990,"",IF(Main[[#This Row],[Class]]="C",WORKDAY(Main[[#This Row],[Tech Start Date]],19),IF(Main[[#This Row],[Class]]="B", WORKDAY(Main[[#This Row],[Tech Start Date]],12),IF(Main[[#This Row],[Class]]="A",WORKDAY(Main[[#This Row],[Tech Start Date]],4),""))))</f>
        <v/>
      </c>
      <c r="O525" s="104" t="str">
        <f>IF(Main[[#This Row],[Tech Start Date]]&lt;1/1/1990,"",IF(Main[[#This Row],[Class]]="C",WORKDAY(Main[[#This Row],[Tech Start Date]],23),IF(Main[[#This Row],[Class]]="B", WORKDAY(Main[[#This Row],[Tech Start Date]],15),IF(Main[[#This Row],[Class]]="A",WORKDAY(Main[[#This Row],[Tech Start Date]],5),""))))</f>
        <v/>
      </c>
      <c r="P525" s="104" t="str">
        <f>IF(Main[[#This Row],[Tech Start Date]]&lt;1/1/1990,"",IF(Main[[#This Row],[Class]]="C",WORKDAY(Main[[#This Row],[Tech Start Date]],28),IF(Main[[#This Row],[Class]]="B", WORKDAY(Main[[#This Row],[Tech Start Date]],19),IF(Main[[#This Row],[Class]]="A",WORKDAY(Main[[#This Row],[Tech Start Date]],9),""))))</f>
        <v/>
      </c>
      <c r="Q525" s="101">
        <v>40278</v>
      </c>
      <c r="R525" s="101"/>
      <c r="S525" s="99" t="s">
        <v>11</v>
      </c>
      <c r="T525" s="107" t="s">
        <v>4</v>
      </c>
      <c r="U525" s="99" t="s">
        <v>14</v>
      </c>
      <c r="V525" s="99" t="s">
        <v>1965</v>
      </c>
      <c r="W525" s="99" t="s">
        <v>1967</v>
      </c>
    </row>
    <row r="526" spans="1:23" ht="18.600000000000001" customHeight="1">
      <c r="A526" s="123" t="str">
        <f>IF(priority(Main[[#This Row],[Comments]])&lt;&gt;0, priority(Main[[#This Row],[Comments]]),"")</f>
        <v/>
      </c>
      <c r="B526" s="127" t="s">
        <v>1346</v>
      </c>
      <c r="C526" s="99" t="s">
        <v>280</v>
      </c>
      <c r="D526" s="100" t="s">
        <v>398</v>
      </c>
      <c r="E526" s="101"/>
      <c r="F526" s="101">
        <v>40186</v>
      </c>
      <c r="G526" s="102" t="str">
        <f>IF(stdProdLT(Main[[#This Row],[Comments]])=0.1,"N/A",IF(stdProdLT(Main[[#This Row],[Comments]])=0,"",stdProdLT(Main[[#This Row],[Comments]])))</f>
        <v/>
      </c>
      <c r="H526" s="103" t="str">
        <f>IF(AND(Main[[#This Row],[In Stock Date]]&lt;&gt;"",Main[[#This Row],[Revised Due Date]]&lt;&gt;""),Main[[#This Row],[In Stock Date]]-Main[[#This Row],[Revised Due Date]],"")</f>
        <v/>
      </c>
      <c r="I526" s="99" t="s">
        <v>4</v>
      </c>
      <c r="J526" s="99" t="s">
        <v>4</v>
      </c>
      <c r="K526" s="99" t="s">
        <v>4</v>
      </c>
      <c r="L526" s="101"/>
      <c r="M526" s="104" t="str">
        <f>IF(Main[[#This Row],[Tech Start Date]]&lt;1/1/1990,"",IF(Main[[#This Row],[Class]]="C",WORKDAY(Main[[#This Row],[Tech Start Date]],9),IF(Main[[#This Row],[Class]]="B", WORKDAY(Main[[#This Row],[Tech Start Date]],6),IF(Main[[#This Row],[Class]]="A",WORKDAY(Main[[#This Row],[Tech Start Date]],2),""))))</f>
        <v/>
      </c>
      <c r="N526" s="104" t="str">
        <f>IF(Main[[#This Row],[Tech Start Date]]&lt;1/1/1990,"",IF(Main[[#This Row],[Class]]="C",WORKDAY(Main[[#This Row],[Tech Start Date]],19),IF(Main[[#This Row],[Class]]="B", WORKDAY(Main[[#This Row],[Tech Start Date]],12),IF(Main[[#This Row],[Class]]="A",WORKDAY(Main[[#This Row],[Tech Start Date]],4),""))))</f>
        <v/>
      </c>
      <c r="O526" s="104" t="str">
        <f>IF(Main[[#This Row],[Tech Start Date]]&lt;1/1/1990,"",IF(Main[[#This Row],[Class]]="C",WORKDAY(Main[[#This Row],[Tech Start Date]],23),IF(Main[[#This Row],[Class]]="B", WORKDAY(Main[[#This Row],[Tech Start Date]],15),IF(Main[[#This Row],[Class]]="A",WORKDAY(Main[[#This Row],[Tech Start Date]],5),""))))</f>
        <v/>
      </c>
      <c r="P526" s="104" t="str">
        <f>IF(Main[[#This Row],[Tech Start Date]]&lt;1/1/1990,"",IF(Main[[#This Row],[Class]]="C",WORKDAY(Main[[#This Row],[Tech Start Date]],28),IF(Main[[#This Row],[Class]]="B", WORKDAY(Main[[#This Row],[Tech Start Date]],19),IF(Main[[#This Row],[Class]]="A",WORKDAY(Main[[#This Row],[Tech Start Date]],9),""))))</f>
        <v/>
      </c>
      <c r="Q526" s="101">
        <v>40186</v>
      </c>
      <c r="R526" s="101"/>
      <c r="S526" s="99" t="s">
        <v>11</v>
      </c>
      <c r="T526" s="107" t="s">
        <v>4</v>
      </c>
      <c r="U526" s="99" t="s">
        <v>14</v>
      </c>
      <c r="V526" s="99" t="s">
        <v>1965</v>
      </c>
      <c r="W526" s="99" t="s">
        <v>1970</v>
      </c>
    </row>
    <row r="527" spans="1:23" ht="18.600000000000001" customHeight="1">
      <c r="A527" s="123" t="str">
        <f>IF(priority(Main[[#This Row],[Comments]])&lt;&gt;0, priority(Main[[#This Row],[Comments]]),"")</f>
        <v/>
      </c>
      <c r="B527" s="127" t="s">
        <v>1347</v>
      </c>
      <c r="C527" s="99" t="s">
        <v>399</v>
      </c>
      <c r="D527" s="100" t="s">
        <v>400</v>
      </c>
      <c r="E527" s="101"/>
      <c r="F527" s="101"/>
      <c r="G527" s="102" t="str">
        <f>IF(stdProdLT(Main[[#This Row],[Comments]])=0.1,"N/A",IF(stdProdLT(Main[[#This Row],[Comments]])=0,"",stdProdLT(Main[[#This Row],[Comments]])))</f>
        <v/>
      </c>
      <c r="H527" s="103" t="str">
        <f>IF(AND(Main[[#This Row],[In Stock Date]]&lt;&gt;"",Main[[#This Row],[Revised Due Date]]&lt;&gt;""),Main[[#This Row],[In Stock Date]]-Main[[#This Row],[Revised Due Date]],"")</f>
        <v/>
      </c>
      <c r="I527" s="99" t="s">
        <v>4</v>
      </c>
      <c r="J527" s="99" t="s">
        <v>4</v>
      </c>
      <c r="K527" s="108" t="s">
        <v>4</v>
      </c>
      <c r="L527" s="101"/>
      <c r="M527" s="104" t="str">
        <f>IF(Main[[#This Row],[Tech Start Date]]&lt;1/1/1990,"",IF(Main[[#This Row],[Class]]="C",WORKDAY(Main[[#This Row],[Tech Start Date]],9),IF(Main[[#This Row],[Class]]="B", WORKDAY(Main[[#This Row],[Tech Start Date]],6),IF(Main[[#This Row],[Class]]="A",WORKDAY(Main[[#This Row],[Tech Start Date]],2),""))))</f>
        <v/>
      </c>
      <c r="N527" s="104" t="str">
        <f>IF(Main[[#This Row],[Tech Start Date]]&lt;1/1/1990,"",IF(Main[[#This Row],[Class]]="C",WORKDAY(Main[[#This Row],[Tech Start Date]],19),IF(Main[[#This Row],[Class]]="B", WORKDAY(Main[[#This Row],[Tech Start Date]],12),IF(Main[[#This Row],[Class]]="A",WORKDAY(Main[[#This Row],[Tech Start Date]],4),""))))</f>
        <v/>
      </c>
      <c r="O527" s="104" t="str">
        <f>IF(Main[[#This Row],[Tech Start Date]]&lt;1/1/1990,"",IF(Main[[#This Row],[Class]]="C",WORKDAY(Main[[#This Row],[Tech Start Date]],23),IF(Main[[#This Row],[Class]]="B", WORKDAY(Main[[#This Row],[Tech Start Date]],15),IF(Main[[#This Row],[Class]]="A",WORKDAY(Main[[#This Row],[Tech Start Date]],5),""))))</f>
        <v/>
      </c>
      <c r="P527" s="104" t="str">
        <f>IF(Main[[#This Row],[Tech Start Date]]&lt;1/1/1990,"",IF(Main[[#This Row],[Class]]="C",WORKDAY(Main[[#This Row],[Tech Start Date]],28),IF(Main[[#This Row],[Class]]="B", WORKDAY(Main[[#This Row],[Tech Start Date]],19),IF(Main[[#This Row],[Class]]="A",WORKDAY(Main[[#This Row],[Tech Start Date]],9),""))))</f>
        <v/>
      </c>
      <c r="Q527" s="101"/>
      <c r="R527" s="101"/>
      <c r="S527" s="99" t="s">
        <v>11</v>
      </c>
      <c r="T527" s="107" t="s">
        <v>4</v>
      </c>
      <c r="U527" s="99" t="s">
        <v>14</v>
      </c>
      <c r="V527" s="99" t="s">
        <v>1963</v>
      </c>
      <c r="W527" s="99" t="s">
        <v>1970</v>
      </c>
    </row>
    <row r="528" spans="1:23" ht="18.600000000000001" customHeight="1">
      <c r="A528" s="123" t="str">
        <f>IF(priority(Main[[#This Row],[Comments]])&lt;&gt;0, priority(Main[[#This Row],[Comments]]),"")</f>
        <v/>
      </c>
      <c r="B528" s="127" t="s">
        <v>1349</v>
      </c>
      <c r="C528" s="99" t="s">
        <v>4</v>
      </c>
      <c r="D528" s="100" t="s">
        <v>401</v>
      </c>
      <c r="E528" s="101">
        <v>40319.627523148149</v>
      </c>
      <c r="F528" s="101"/>
      <c r="G528" s="102" t="str">
        <f>IF(stdProdLT(Main[[#This Row],[Comments]])=0.1,"N/A",IF(stdProdLT(Main[[#This Row],[Comments]])=0,"",stdProdLT(Main[[#This Row],[Comments]])))</f>
        <v/>
      </c>
      <c r="H528" s="103" t="str">
        <f>IF(AND(Main[[#This Row],[In Stock Date]]&lt;&gt;"",Main[[#This Row],[Revised Due Date]]&lt;&gt;""),Main[[#This Row],[In Stock Date]]-Main[[#This Row],[Revised Due Date]],"")</f>
        <v/>
      </c>
      <c r="I528" s="99" t="s">
        <v>129</v>
      </c>
      <c r="J528" s="99" t="s">
        <v>4</v>
      </c>
      <c r="K528" s="99" t="s">
        <v>4</v>
      </c>
      <c r="L528" s="101"/>
      <c r="M528" s="104" t="str">
        <f>IF(Main[[#This Row],[Tech Start Date]]&lt;1/1/1990,"",IF(Main[[#This Row],[Class]]="C",WORKDAY(Main[[#This Row],[Tech Start Date]],9),IF(Main[[#This Row],[Class]]="B", WORKDAY(Main[[#This Row],[Tech Start Date]],6),IF(Main[[#This Row],[Class]]="A",WORKDAY(Main[[#This Row],[Tech Start Date]],2),""))))</f>
        <v/>
      </c>
      <c r="N528" s="104" t="str">
        <f>IF(Main[[#This Row],[Tech Start Date]]&lt;1/1/1990,"",IF(Main[[#This Row],[Class]]="C",WORKDAY(Main[[#This Row],[Tech Start Date]],19),IF(Main[[#This Row],[Class]]="B", WORKDAY(Main[[#This Row],[Tech Start Date]],12),IF(Main[[#This Row],[Class]]="A",WORKDAY(Main[[#This Row],[Tech Start Date]],4),""))))</f>
        <v/>
      </c>
      <c r="O528" s="104" t="str">
        <f>IF(Main[[#This Row],[Tech Start Date]]&lt;1/1/1990,"",IF(Main[[#This Row],[Class]]="C",WORKDAY(Main[[#This Row],[Tech Start Date]],23),IF(Main[[#This Row],[Class]]="B", WORKDAY(Main[[#This Row],[Tech Start Date]],15),IF(Main[[#This Row],[Class]]="A",WORKDAY(Main[[#This Row],[Tech Start Date]],5),""))))</f>
        <v/>
      </c>
      <c r="P528" s="104" t="str">
        <f>IF(Main[[#This Row],[Tech Start Date]]&lt;1/1/1990,"",IF(Main[[#This Row],[Class]]="C",WORKDAY(Main[[#This Row],[Tech Start Date]],28),IF(Main[[#This Row],[Class]]="B", WORKDAY(Main[[#This Row],[Tech Start Date]],19),IF(Main[[#This Row],[Class]]="A",WORKDAY(Main[[#This Row],[Tech Start Date]],9),""))))</f>
        <v/>
      </c>
      <c r="Q528" s="101">
        <v>40337</v>
      </c>
      <c r="R528" s="101"/>
      <c r="S528" s="99" t="s">
        <v>6</v>
      </c>
      <c r="T528" s="107" t="s">
        <v>4</v>
      </c>
      <c r="U528" s="99" t="s">
        <v>7</v>
      </c>
      <c r="V528" s="99" t="s">
        <v>1962</v>
      </c>
      <c r="W528" s="99" t="s">
        <v>1966</v>
      </c>
    </row>
    <row r="529" spans="1:23" ht="18.600000000000001" customHeight="1">
      <c r="A529" s="123" t="str">
        <f>IF(priority(Main[[#This Row],[Comments]])&lt;&gt;0, priority(Main[[#This Row],[Comments]]),"")</f>
        <v/>
      </c>
      <c r="B529" s="127" t="s">
        <v>1350</v>
      </c>
      <c r="C529" s="99" t="s">
        <v>93</v>
      </c>
      <c r="D529" s="100" t="s">
        <v>402</v>
      </c>
      <c r="E529" s="101"/>
      <c r="F529" s="101">
        <v>40132</v>
      </c>
      <c r="G529" s="102" t="str">
        <f>IF(stdProdLT(Main[[#This Row],[Comments]])=0.1,"N/A",IF(stdProdLT(Main[[#This Row],[Comments]])=0,"",stdProdLT(Main[[#This Row],[Comments]])))</f>
        <v/>
      </c>
      <c r="H529" s="103" t="str">
        <f>IF(AND(Main[[#This Row],[In Stock Date]]&lt;&gt;"",Main[[#This Row],[Revised Due Date]]&lt;&gt;""),Main[[#This Row],[In Stock Date]]-Main[[#This Row],[Revised Due Date]],"")</f>
        <v/>
      </c>
      <c r="I529" s="99" t="s">
        <v>4</v>
      </c>
      <c r="J529" s="99" t="s">
        <v>4</v>
      </c>
      <c r="K529" s="99" t="s">
        <v>4</v>
      </c>
      <c r="L529" s="101"/>
      <c r="M529" s="104" t="str">
        <f>IF(Main[[#This Row],[Tech Start Date]]&lt;1/1/1990,"",IF(Main[[#This Row],[Class]]="C",WORKDAY(Main[[#This Row],[Tech Start Date]],9),IF(Main[[#This Row],[Class]]="B", WORKDAY(Main[[#This Row],[Tech Start Date]],6),IF(Main[[#This Row],[Class]]="A",WORKDAY(Main[[#This Row],[Tech Start Date]],2),""))))</f>
        <v/>
      </c>
      <c r="N529" s="104" t="str">
        <f>IF(Main[[#This Row],[Tech Start Date]]&lt;1/1/1990,"",IF(Main[[#This Row],[Class]]="C",WORKDAY(Main[[#This Row],[Tech Start Date]],19),IF(Main[[#This Row],[Class]]="B", WORKDAY(Main[[#This Row],[Tech Start Date]],12),IF(Main[[#This Row],[Class]]="A",WORKDAY(Main[[#This Row],[Tech Start Date]],4),""))))</f>
        <v/>
      </c>
      <c r="O529" s="104" t="str">
        <f>IF(Main[[#This Row],[Tech Start Date]]&lt;1/1/1990,"",IF(Main[[#This Row],[Class]]="C",WORKDAY(Main[[#This Row],[Tech Start Date]],23),IF(Main[[#This Row],[Class]]="B", WORKDAY(Main[[#This Row],[Tech Start Date]],15),IF(Main[[#This Row],[Class]]="A",WORKDAY(Main[[#This Row],[Tech Start Date]],5),""))))</f>
        <v/>
      </c>
      <c r="P529" s="104" t="str">
        <f>IF(Main[[#This Row],[Tech Start Date]]&lt;1/1/1990,"",IF(Main[[#This Row],[Class]]="C",WORKDAY(Main[[#This Row],[Tech Start Date]],28),IF(Main[[#This Row],[Class]]="B", WORKDAY(Main[[#This Row],[Tech Start Date]],19),IF(Main[[#This Row],[Class]]="A",WORKDAY(Main[[#This Row],[Tech Start Date]],9),""))))</f>
        <v/>
      </c>
      <c r="Q529" s="101">
        <v>40132</v>
      </c>
      <c r="R529" s="101"/>
      <c r="S529" s="99" t="s">
        <v>11</v>
      </c>
      <c r="T529" s="107" t="s">
        <v>4</v>
      </c>
      <c r="U529" s="99" t="s">
        <v>14</v>
      </c>
      <c r="V529" s="99" t="s">
        <v>1972</v>
      </c>
      <c r="W529" s="99" t="s">
        <v>1973</v>
      </c>
    </row>
    <row r="530" spans="1:23" ht="18.600000000000001" customHeight="1">
      <c r="A530" s="123" t="str">
        <f>IF(priority(Main[[#This Row],[Comments]])&lt;&gt;0, priority(Main[[#This Row],[Comments]]),"")</f>
        <v/>
      </c>
      <c r="B530" s="127" t="s">
        <v>1351</v>
      </c>
      <c r="C530" s="99" t="s">
        <v>4</v>
      </c>
      <c r="D530" s="100" t="s">
        <v>403</v>
      </c>
      <c r="E530" s="101"/>
      <c r="F530" s="101">
        <v>40385</v>
      </c>
      <c r="G530" s="102" t="str">
        <f>IF(stdProdLT(Main[[#This Row],[Comments]])=0.1,"N/A",IF(stdProdLT(Main[[#This Row],[Comments]])=0,"",stdProdLT(Main[[#This Row],[Comments]])))</f>
        <v/>
      </c>
      <c r="H530" s="103" t="str">
        <f>IF(AND(Main[[#This Row],[In Stock Date]]&lt;&gt;"",Main[[#This Row],[Revised Due Date]]&lt;&gt;""),Main[[#This Row],[In Stock Date]]-Main[[#This Row],[Revised Due Date]],"")</f>
        <v/>
      </c>
      <c r="I530" s="99" t="s">
        <v>404</v>
      </c>
      <c r="J530" s="99" t="s">
        <v>4</v>
      </c>
      <c r="K530" s="99" t="s">
        <v>4</v>
      </c>
      <c r="L530" s="101"/>
      <c r="M530" s="104" t="str">
        <f>IF(Main[[#This Row],[Tech Start Date]]&lt;1/1/1990,"",IF(Main[[#This Row],[Class]]="C",WORKDAY(Main[[#This Row],[Tech Start Date]],9),IF(Main[[#This Row],[Class]]="B", WORKDAY(Main[[#This Row],[Tech Start Date]],6),IF(Main[[#This Row],[Class]]="A",WORKDAY(Main[[#This Row],[Tech Start Date]],2),""))))</f>
        <v/>
      </c>
      <c r="N530" s="104" t="str">
        <f>IF(Main[[#This Row],[Tech Start Date]]&lt;1/1/1990,"",IF(Main[[#This Row],[Class]]="C",WORKDAY(Main[[#This Row],[Tech Start Date]],19),IF(Main[[#This Row],[Class]]="B", WORKDAY(Main[[#This Row],[Tech Start Date]],12),IF(Main[[#This Row],[Class]]="A",WORKDAY(Main[[#This Row],[Tech Start Date]],4),""))))</f>
        <v/>
      </c>
      <c r="O530" s="104" t="str">
        <f>IF(Main[[#This Row],[Tech Start Date]]&lt;1/1/1990,"",IF(Main[[#This Row],[Class]]="C",WORKDAY(Main[[#This Row],[Tech Start Date]],23),IF(Main[[#This Row],[Class]]="B", WORKDAY(Main[[#This Row],[Tech Start Date]],15),IF(Main[[#This Row],[Class]]="A",WORKDAY(Main[[#This Row],[Tech Start Date]],5),""))))</f>
        <v/>
      </c>
      <c r="P530" s="104" t="str">
        <f>IF(Main[[#This Row],[Tech Start Date]]&lt;1/1/1990,"",IF(Main[[#This Row],[Class]]="C",WORKDAY(Main[[#This Row],[Tech Start Date]],28),IF(Main[[#This Row],[Class]]="B", WORKDAY(Main[[#This Row],[Tech Start Date]],19),IF(Main[[#This Row],[Class]]="A",WORKDAY(Main[[#This Row],[Tech Start Date]],9),""))))</f>
        <v/>
      </c>
      <c r="Q530" s="101">
        <v>40359</v>
      </c>
      <c r="R530" s="101"/>
      <c r="S530" s="99" t="s">
        <v>11</v>
      </c>
      <c r="T530" s="107" t="s">
        <v>4</v>
      </c>
      <c r="U530" s="99" t="s">
        <v>14</v>
      </c>
      <c r="V530" s="99" t="s">
        <v>1965</v>
      </c>
      <c r="W530" s="99" t="s">
        <v>1968</v>
      </c>
    </row>
    <row r="531" spans="1:23" ht="18.600000000000001" customHeight="1">
      <c r="A531" s="123" t="str">
        <f>IF(priority(Main[[#This Row],[Comments]])&lt;&gt;0, priority(Main[[#This Row],[Comments]]),"")</f>
        <v/>
      </c>
      <c r="B531" s="127" t="s">
        <v>1352</v>
      </c>
      <c r="C531" s="99" t="s">
        <v>31</v>
      </c>
      <c r="D531" s="100" t="s">
        <v>405</v>
      </c>
      <c r="E531" s="101"/>
      <c r="F531" s="101">
        <v>40203</v>
      </c>
      <c r="G531" s="102" t="str">
        <f>IF(stdProdLT(Main[[#This Row],[Comments]])=0.1,"N/A",IF(stdProdLT(Main[[#This Row],[Comments]])=0,"",stdProdLT(Main[[#This Row],[Comments]])))</f>
        <v/>
      </c>
      <c r="H531" s="103" t="str">
        <f>IF(AND(Main[[#This Row],[In Stock Date]]&lt;&gt;"",Main[[#This Row],[Revised Due Date]]&lt;&gt;""),Main[[#This Row],[In Stock Date]]-Main[[#This Row],[Revised Due Date]],"")</f>
        <v/>
      </c>
      <c r="I531" s="99" t="s">
        <v>4</v>
      </c>
      <c r="J531" s="99" t="s">
        <v>4</v>
      </c>
      <c r="K531" s="99" t="s">
        <v>4</v>
      </c>
      <c r="L531" s="101"/>
      <c r="M531" s="104" t="str">
        <f>IF(Main[[#This Row],[Tech Start Date]]&lt;1/1/1990,"",IF(Main[[#This Row],[Class]]="C",WORKDAY(Main[[#This Row],[Tech Start Date]],9),IF(Main[[#This Row],[Class]]="B", WORKDAY(Main[[#This Row],[Tech Start Date]],6),IF(Main[[#This Row],[Class]]="A",WORKDAY(Main[[#This Row],[Tech Start Date]],2),""))))</f>
        <v/>
      </c>
      <c r="N531" s="104" t="str">
        <f>IF(Main[[#This Row],[Tech Start Date]]&lt;1/1/1990,"",IF(Main[[#This Row],[Class]]="C",WORKDAY(Main[[#This Row],[Tech Start Date]],19),IF(Main[[#This Row],[Class]]="B", WORKDAY(Main[[#This Row],[Tech Start Date]],12),IF(Main[[#This Row],[Class]]="A",WORKDAY(Main[[#This Row],[Tech Start Date]],4),""))))</f>
        <v/>
      </c>
      <c r="O531" s="104" t="str">
        <f>IF(Main[[#This Row],[Tech Start Date]]&lt;1/1/1990,"",IF(Main[[#This Row],[Class]]="C",WORKDAY(Main[[#This Row],[Tech Start Date]],23),IF(Main[[#This Row],[Class]]="B", WORKDAY(Main[[#This Row],[Tech Start Date]],15),IF(Main[[#This Row],[Class]]="A",WORKDAY(Main[[#This Row],[Tech Start Date]],5),""))))</f>
        <v/>
      </c>
      <c r="P531" s="104" t="str">
        <f>IF(Main[[#This Row],[Tech Start Date]]&lt;1/1/1990,"",IF(Main[[#This Row],[Class]]="C",WORKDAY(Main[[#This Row],[Tech Start Date]],28),IF(Main[[#This Row],[Class]]="B", WORKDAY(Main[[#This Row],[Tech Start Date]],19),IF(Main[[#This Row],[Class]]="A",WORKDAY(Main[[#This Row],[Tech Start Date]],9),""))))</f>
        <v/>
      </c>
      <c r="Q531" s="101">
        <v>40063</v>
      </c>
      <c r="R531" s="101"/>
      <c r="S531" s="99" t="s">
        <v>11</v>
      </c>
      <c r="T531" s="107" t="s">
        <v>4</v>
      </c>
      <c r="U531" s="99" t="s">
        <v>14</v>
      </c>
      <c r="V531" s="99" t="s">
        <v>1972</v>
      </c>
      <c r="W531" s="99" t="s">
        <v>1968</v>
      </c>
    </row>
    <row r="532" spans="1:23" ht="18.600000000000001" customHeight="1">
      <c r="A532" s="123" t="str">
        <f>IF(priority(Main[[#This Row],[Comments]])&lt;&gt;0, priority(Main[[#This Row],[Comments]]),"")</f>
        <v/>
      </c>
      <c r="B532" s="127" t="s">
        <v>1693</v>
      </c>
      <c r="C532" s="99" t="s">
        <v>4</v>
      </c>
      <c r="D532" s="100" t="s">
        <v>731</v>
      </c>
      <c r="E532" s="101"/>
      <c r="F532" s="101"/>
      <c r="G532" s="102" t="str">
        <f>IF(stdProdLT(Main[[#This Row],[Comments]])=0.1,"N/A",IF(stdProdLT(Main[[#This Row],[Comments]])=0,"",stdProdLT(Main[[#This Row],[Comments]])))</f>
        <v/>
      </c>
      <c r="H532" s="103" t="str">
        <f>IF(AND(Main[[#This Row],[In Stock Date]]&lt;&gt;"",Main[[#This Row],[Revised Due Date]]&lt;&gt;""),Main[[#This Row],[In Stock Date]]-Main[[#This Row],[Revised Due Date]],"")</f>
        <v/>
      </c>
      <c r="I532" s="99" t="s">
        <v>4</v>
      </c>
      <c r="J532" s="99" t="s">
        <v>4</v>
      </c>
      <c r="K532" s="99" t="s">
        <v>4</v>
      </c>
      <c r="L532" s="101"/>
      <c r="M532" s="104" t="str">
        <f>IF(Main[[#This Row],[Tech Start Date]]&lt;1/1/1990,"",IF(Main[[#This Row],[Class]]="C",WORKDAY(Main[[#This Row],[Tech Start Date]],9),IF(Main[[#This Row],[Class]]="B", WORKDAY(Main[[#This Row],[Tech Start Date]],6),IF(Main[[#This Row],[Class]]="A",WORKDAY(Main[[#This Row],[Tech Start Date]],2),""))))</f>
        <v/>
      </c>
      <c r="N532" s="104" t="str">
        <f>IF(Main[[#This Row],[Tech Start Date]]&lt;1/1/1990,"",IF(Main[[#This Row],[Class]]="C",WORKDAY(Main[[#This Row],[Tech Start Date]],19),IF(Main[[#This Row],[Class]]="B", WORKDAY(Main[[#This Row],[Tech Start Date]],12),IF(Main[[#This Row],[Class]]="A",WORKDAY(Main[[#This Row],[Tech Start Date]],4),""))))</f>
        <v/>
      </c>
      <c r="O532" s="104" t="str">
        <f>IF(Main[[#This Row],[Tech Start Date]]&lt;1/1/1990,"",IF(Main[[#This Row],[Class]]="C",WORKDAY(Main[[#This Row],[Tech Start Date]],23),IF(Main[[#This Row],[Class]]="B", WORKDAY(Main[[#This Row],[Tech Start Date]],15),IF(Main[[#This Row],[Class]]="A",WORKDAY(Main[[#This Row],[Tech Start Date]],5),""))))</f>
        <v/>
      </c>
      <c r="P532" s="104" t="str">
        <f>IF(Main[[#This Row],[Tech Start Date]]&lt;1/1/1990,"",IF(Main[[#This Row],[Class]]="C",WORKDAY(Main[[#This Row],[Tech Start Date]],28),IF(Main[[#This Row],[Class]]="B", WORKDAY(Main[[#This Row],[Tech Start Date]],19),IF(Main[[#This Row],[Class]]="A",WORKDAY(Main[[#This Row],[Tech Start Date]],9),""))))</f>
        <v/>
      </c>
      <c r="Q532" s="101">
        <v>40676</v>
      </c>
      <c r="R532" s="101"/>
      <c r="S532" s="99" t="s">
        <v>6</v>
      </c>
      <c r="T532" s="107" t="s">
        <v>4</v>
      </c>
      <c r="U532" s="99" t="s">
        <v>14</v>
      </c>
      <c r="V532" s="99" t="s">
        <v>1962</v>
      </c>
      <c r="W532" s="99" t="s">
        <v>1966</v>
      </c>
    </row>
    <row r="533" spans="1:23" ht="18.600000000000001" customHeight="1">
      <c r="A533" s="123" t="str">
        <f>IF(priority(Main[[#This Row],[Comments]])&lt;&gt;0, priority(Main[[#This Row],[Comments]]),"")</f>
        <v/>
      </c>
      <c r="B533" s="127" t="s">
        <v>1353</v>
      </c>
      <c r="C533" s="99" t="s">
        <v>47</v>
      </c>
      <c r="D533" s="100" t="s">
        <v>147</v>
      </c>
      <c r="E533" s="101"/>
      <c r="F533" s="101"/>
      <c r="G533" s="102" t="str">
        <f>IF(stdProdLT(Main[[#This Row],[Comments]])=0.1,"N/A",IF(stdProdLT(Main[[#This Row],[Comments]])=0,"",stdProdLT(Main[[#This Row],[Comments]])))</f>
        <v/>
      </c>
      <c r="H533" s="103" t="str">
        <f>IF(AND(Main[[#This Row],[In Stock Date]]&lt;&gt;"",Main[[#This Row],[Revised Due Date]]&lt;&gt;""),Main[[#This Row],[In Stock Date]]-Main[[#This Row],[Revised Due Date]],"")</f>
        <v/>
      </c>
      <c r="I533" s="99" t="s">
        <v>4</v>
      </c>
      <c r="J533" s="99" t="s">
        <v>4</v>
      </c>
      <c r="K533" s="99" t="s">
        <v>4</v>
      </c>
      <c r="L533" s="101"/>
      <c r="M533" s="104" t="str">
        <f>IF(Main[[#This Row],[Tech Start Date]]&lt;1/1/1990,"",IF(Main[[#This Row],[Class]]="C",WORKDAY(Main[[#This Row],[Tech Start Date]],9),IF(Main[[#This Row],[Class]]="B", WORKDAY(Main[[#This Row],[Tech Start Date]],6),IF(Main[[#This Row],[Class]]="A",WORKDAY(Main[[#This Row],[Tech Start Date]],2),""))))</f>
        <v/>
      </c>
      <c r="N533" s="104" t="str">
        <f>IF(Main[[#This Row],[Tech Start Date]]&lt;1/1/1990,"",IF(Main[[#This Row],[Class]]="C",WORKDAY(Main[[#This Row],[Tech Start Date]],19),IF(Main[[#This Row],[Class]]="B", WORKDAY(Main[[#This Row],[Tech Start Date]],12),IF(Main[[#This Row],[Class]]="A",WORKDAY(Main[[#This Row],[Tech Start Date]],4),""))))</f>
        <v/>
      </c>
      <c r="O533" s="104" t="str">
        <f>IF(Main[[#This Row],[Tech Start Date]]&lt;1/1/1990,"",IF(Main[[#This Row],[Class]]="C",WORKDAY(Main[[#This Row],[Tech Start Date]],23),IF(Main[[#This Row],[Class]]="B", WORKDAY(Main[[#This Row],[Tech Start Date]],15),IF(Main[[#This Row],[Class]]="A",WORKDAY(Main[[#This Row],[Tech Start Date]],5),""))))</f>
        <v/>
      </c>
      <c r="P533" s="104" t="str">
        <f>IF(Main[[#This Row],[Tech Start Date]]&lt;1/1/1990,"",IF(Main[[#This Row],[Class]]="C",WORKDAY(Main[[#This Row],[Tech Start Date]],28),IF(Main[[#This Row],[Class]]="B", WORKDAY(Main[[#This Row],[Tech Start Date]],19),IF(Main[[#This Row],[Class]]="A",WORKDAY(Main[[#This Row],[Tech Start Date]],9),""))))</f>
        <v/>
      </c>
      <c r="Q533" s="101"/>
      <c r="R533" s="101"/>
      <c r="S533" s="99" t="s">
        <v>4</v>
      </c>
      <c r="T533" s="107" t="s">
        <v>4</v>
      </c>
      <c r="U533" s="99" t="s">
        <v>14</v>
      </c>
      <c r="V533" s="99" t="s">
        <v>1963</v>
      </c>
      <c r="W533" s="99" t="s">
        <v>4</v>
      </c>
    </row>
    <row r="534" spans="1:23" ht="18.600000000000001" customHeight="1">
      <c r="A534" s="123" t="str">
        <f>IF(priority(Main[[#This Row],[Comments]])&lt;&gt;0, priority(Main[[#This Row],[Comments]]),"")</f>
        <v/>
      </c>
      <c r="B534" s="127" t="s">
        <v>1354</v>
      </c>
      <c r="C534" s="99" t="s">
        <v>406</v>
      </c>
      <c r="D534" s="100" t="s">
        <v>407</v>
      </c>
      <c r="E534" s="101"/>
      <c r="F534" s="101">
        <v>40447</v>
      </c>
      <c r="G534" s="102" t="str">
        <f>IF(stdProdLT(Main[[#This Row],[Comments]])=0.1,"N/A",IF(stdProdLT(Main[[#This Row],[Comments]])=0,"",stdProdLT(Main[[#This Row],[Comments]])))</f>
        <v/>
      </c>
      <c r="H534" s="103" t="str">
        <f>IF(AND(Main[[#This Row],[In Stock Date]]&lt;&gt;"",Main[[#This Row],[Revised Due Date]]&lt;&gt;""),Main[[#This Row],[In Stock Date]]-Main[[#This Row],[Revised Due Date]],"")</f>
        <v/>
      </c>
      <c r="I534" s="99" t="s">
        <v>4</v>
      </c>
      <c r="J534" s="99" t="s">
        <v>4</v>
      </c>
      <c r="K534" s="99" t="s">
        <v>4</v>
      </c>
      <c r="L534" s="101"/>
      <c r="M534" s="104" t="str">
        <f>IF(Main[[#This Row],[Tech Start Date]]&lt;1/1/1990,"",IF(Main[[#This Row],[Class]]="C",WORKDAY(Main[[#This Row],[Tech Start Date]],9),IF(Main[[#This Row],[Class]]="B", WORKDAY(Main[[#This Row],[Tech Start Date]],6),IF(Main[[#This Row],[Class]]="A",WORKDAY(Main[[#This Row],[Tech Start Date]],2),""))))</f>
        <v/>
      </c>
      <c r="N534" s="104" t="str">
        <f>IF(Main[[#This Row],[Tech Start Date]]&lt;1/1/1990,"",IF(Main[[#This Row],[Class]]="C",WORKDAY(Main[[#This Row],[Tech Start Date]],19),IF(Main[[#This Row],[Class]]="B", WORKDAY(Main[[#This Row],[Tech Start Date]],12),IF(Main[[#This Row],[Class]]="A",WORKDAY(Main[[#This Row],[Tech Start Date]],4),""))))</f>
        <v/>
      </c>
      <c r="O534" s="104" t="str">
        <f>IF(Main[[#This Row],[Tech Start Date]]&lt;1/1/1990,"",IF(Main[[#This Row],[Class]]="C",WORKDAY(Main[[#This Row],[Tech Start Date]],23),IF(Main[[#This Row],[Class]]="B", WORKDAY(Main[[#This Row],[Tech Start Date]],15),IF(Main[[#This Row],[Class]]="A",WORKDAY(Main[[#This Row],[Tech Start Date]],5),""))))</f>
        <v/>
      </c>
      <c r="P534" s="104" t="str">
        <f>IF(Main[[#This Row],[Tech Start Date]]&lt;1/1/1990,"",IF(Main[[#This Row],[Class]]="C",WORKDAY(Main[[#This Row],[Tech Start Date]],28),IF(Main[[#This Row],[Class]]="B", WORKDAY(Main[[#This Row],[Tech Start Date]],19),IF(Main[[#This Row],[Class]]="A",WORKDAY(Main[[#This Row],[Tech Start Date]],9),""))))</f>
        <v/>
      </c>
      <c r="Q534" s="101">
        <v>40349</v>
      </c>
      <c r="R534" s="101"/>
      <c r="S534" s="99" t="s">
        <v>11</v>
      </c>
      <c r="T534" s="107" t="s">
        <v>4</v>
      </c>
      <c r="U534" s="99" t="s">
        <v>14</v>
      </c>
      <c r="V534" s="99" t="s">
        <v>1972</v>
      </c>
      <c r="W534" s="99" t="s">
        <v>1967</v>
      </c>
    </row>
    <row r="535" spans="1:23" ht="18.600000000000001" customHeight="1">
      <c r="A535" s="123" t="str">
        <f>IF(priority(Main[[#This Row],[Comments]])&lt;&gt;0, priority(Main[[#This Row],[Comments]]),"")</f>
        <v/>
      </c>
      <c r="B535" s="127" t="s">
        <v>2147</v>
      </c>
      <c r="C535" s="99" t="s">
        <v>47</v>
      </c>
      <c r="D535" s="100" t="s">
        <v>892</v>
      </c>
      <c r="E535" s="101"/>
      <c r="F535" s="101"/>
      <c r="G535" s="102" t="str">
        <f>IF(stdProdLT(Main[[#This Row],[Comments]])=0.1,"N/A",IF(stdProdLT(Main[[#This Row],[Comments]])=0,"",stdProdLT(Main[[#This Row],[Comments]])))</f>
        <v/>
      </c>
      <c r="H535" s="103" t="str">
        <f>IF(AND(Main[[#This Row],[In Stock Date]]&lt;&gt;"",Main[[#This Row],[Revised Due Date]]&lt;&gt;""),Main[[#This Row],[In Stock Date]]-Main[[#This Row],[Revised Due Date]],"")</f>
        <v/>
      </c>
      <c r="I535" s="99" t="s">
        <v>4</v>
      </c>
      <c r="J535" s="99" t="s">
        <v>4</v>
      </c>
      <c r="K535" s="99" t="s">
        <v>4</v>
      </c>
      <c r="L535" s="101"/>
      <c r="M535" s="104" t="str">
        <f>IF(Main[[#This Row],[Tech Start Date]]&lt;1/1/1990,"",IF(Main[[#This Row],[Class]]="C",WORKDAY(Main[[#This Row],[Tech Start Date]],9),IF(Main[[#This Row],[Class]]="B", WORKDAY(Main[[#This Row],[Tech Start Date]],6),IF(Main[[#This Row],[Class]]="A",WORKDAY(Main[[#This Row],[Tech Start Date]],2),""))))</f>
        <v/>
      </c>
      <c r="N535" s="104" t="str">
        <f>IF(Main[[#This Row],[Tech Start Date]]&lt;1/1/1990,"",IF(Main[[#This Row],[Class]]="C",WORKDAY(Main[[#This Row],[Tech Start Date]],19),IF(Main[[#This Row],[Class]]="B", WORKDAY(Main[[#This Row],[Tech Start Date]],12),IF(Main[[#This Row],[Class]]="A",WORKDAY(Main[[#This Row],[Tech Start Date]],4),""))))</f>
        <v/>
      </c>
      <c r="O535" s="104" t="str">
        <f>IF(Main[[#This Row],[Tech Start Date]]&lt;1/1/1990,"",IF(Main[[#This Row],[Class]]="C",WORKDAY(Main[[#This Row],[Tech Start Date]],23),IF(Main[[#This Row],[Class]]="B", WORKDAY(Main[[#This Row],[Tech Start Date]],15),IF(Main[[#This Row],[Class]]="A",WORKDAY(Main[[#This Row],[Tech Start Date]],5),""))))</f>
        <v/>
      </c>
      <c r="P535" s="104" t="str">
        <f>IF(Main[[#This Row],[Tech Start Date]]&lt;1/1/1990,"",IF(Main[[#This Row],[Class]]="C",WORKDAY(Main[[#This Row],[Tech Start Date]],28),IF(Main[[#This Row],[Class]]="B", WORKDAY(Main[[#This Row],[Tech Start Date]],19),IF(Main[[#This Row],[Class]]="A",WORKDAY(Main[[#This Row],[Tech Start Date]],9),""))))</f>
        <v/>
      </c>
      <c r="Q535" s="101">
        <v>40267</v>
      </c>
      <c r="R535" s="101"/>
      <c r="S535" s="99" t="s">
        <v>17</v>
      </c>
      <c r="T535" s="107" t="s">
        <v>4</v>
      </c>
      <c r="U535" s="99" t="s">
        <v>14</v>
      </c>
      <c r="V535" s="99" t="s">
        <v>1962</v>
      </c>
      <c r="W535" s="99" t="s">
        <v>1966</v>
      </c>
    </row>
    <row r="536" spans="1:23" ht="18.600000000000001" customHeight="1">
      <c r="A536" s="123" t="str">
        <f>IF(priority(Main[[#This Row],[Comments]])&lt;&gt;0, priority(Main[[#This Row],[Comments]]),"")</f>
        <v/>
      </c>
      <c r="B536" s="127" t="s">
        <v>1355</v>
      </c>
      <c r="C536" s="99" t="s">
        <v>113</v>
      </c>
      <c r="D536" s="100" t="s">
        <v>408</v>
      </c>
      <c r="E536" s="101"/>
      <c r="F536" s="101"/>
      <c r="G536" s="102" t="str">
        <f>IF(stdProdLT(Main[[#This Row],[Comments]])=0.1,"N/A",IF(stdProdLT(Main[[#This Row],[Comments]])=0,"",stdProdLT(Main[[#This Row],[Comments]])))</f>
        <v/>
      </c>
      <c r="H536" s="103" t="str">
        <f>IF(AND(Main[[#This Row],[In Stock Date]]&lt;&gt;"",Main[[#This Row],[Revised Due Date]]&lt;&gt;""),Main[[#This Row],[In Stock Date]]-Main[[#This Row],[Revised Due Date]],"")</f>
        <v/>
      </c>
      <c r="I536" s="99" t="s">
        <v>4</v>
      </c>
      <c r="J536" s="99" t="s">
        <v>4</v>
      </c>
      <c r="K536" s="99" t="s">
        <v>4</v>
      </c>
      <c r="L536" s="101"/>
      <c r="M536" s="104" t="str">
        <f>IF(Main[[#This Row],[Tech Start Date]]&lt;1/1/1990,"",IF(Main[[#This Row],[Class]]="C",WORKDAY(Main[[#This Row],[Tech Start Date]],9),IF(Main[[#This Row],[Class]]="B", WORKDAY(Main[[#This Row],[Tech Start Date]],6),IF(Main[[#This Row],[Class]]="A",WORKDAY(Main[[#This Row],[Tech Start Date]],2),""))))</f>
        <v/>
      </c>
      <c r="N536" s="104" t="str">
        <f>IF(Main[[#This Row],[Tech Start Date]]&lt;1/1/1990,"",IF(Main[[#This Row],[Class]]="C",WORKDAY(Main[[#This Row],[Tech Start Date]],19),IF(Main[[#This Row],[Class]]="B", WORKDAY(Main[[#This Row],[Tech Start Date]],12),IF(Main[[#This Row],[Class]]="A",WORKDAY(Main[[#This Row],[Tech Start Date]],4),""))))</f>
        <v/>
      </c>
      <c r="O536" s="104" t="str">
        <f>IF(Main[[#This Row],[Tech Start Date]]&lt;1/1/1990,"",IF(Main[[#This Row],[Class]]="C",WORKDAY(Main[[#This Row],[Tech Start Date]],23),IF(Main[[#This Row],[Class]]="B", WORKDAY(Main[[#This Row],[Tech Start Date]],15),IF(Main[[#This Row],[Class]]="A",WORKDAY(Main[[#This Row],[Tech Start Date]],5),""))))</f>
        <v/>
      </c>
      <c r="P536" s="104" t="str">
        <f>IF(Main[[#This Row],[Tech Start Date]]&lt;1/1/1990,"",IF(Main[[#This Row],[Class]]="C",WORKDAY(Main[[#This Row],[Tech Start Date]],28),IF(Main[[#This Row],[Class]]="B", WORKDAY(Main[[#This Row],[Tech Start Date]],19),IF(Main[[#This Row],[Class]]="A",WORKDAY(Main[[#This Row],[Tech Start Date]],9),""))))</f>
        <v/>
      </c>
      <c r="Q536" s="101"/>
      <c r="R536" s="101"/>
      <c r="S536" s="99" t="s">
        <v>11</v>
      </c>
      <c r="T536" s="107" t="s">
        <v>4</v>
      </c>
      <c r="U536" s="99" t="s">
        <v>14</v>
      </c>
      <c r="V536" s="99" t="s">
        <v>1965</v>
      </c>
      <c r="W536" s="99" t="s">
        <v>1970</v>
      </c>
    </row>
    <row r="537" spans="1:23" ht="18.600000000000001" customHeight="1">
      <c r="A537" s="123" t="str">
        <f>IF(priority(Main[[#This Row],[Comments]])&lt;&gt;0, priority(Main[[#This Row],[Comments]]),"")</f>
        <v/>
      </c>
      <c r="B537" s="127" t="s">
        <v>1356</v>
      </c>
      <c r="C537" s="99" t="s">
        <v>4</v>
      </c>
      <c r="D537" s="100" t="s">
        <v>409</v>
      </c>
      <c r="E537" s="101">
        <v>40585.595960648148</v>
      </c>
      <c r="F537" s="101"/>
      <c r="G537" s="102" t="str">
        <f>IF(stdProdLT(Main[[#This Row],[Comments]])=0.1,"N/A",IF(stdProdLT(Main[[#This Row],[Comments]])=0,"",stdProdLT(Main[[#This Row],[Comments]])))</f>
        <v/>
      </c>
      <c r="H537" s="103" t="str">
        <f>IF(AND(Main[[#This Row],[In Stock Date]]&lt;&gt;"",Main[[#This Row],[Revised Due Date]]&lt;&gt;""),Main[[#This Row],[In Stock Date]]-Main[[#This Row],[Revised Due Date]],"")</f>
        <v/>
      </c>
      <c r="I537" s="99" t="s">
        <v>74</v>
      </c>
      <c r="J537" s="99" t="s">
        <v>4</v>
      </c>
      <c r="K537" s="99" t="s">
        <v>4</v>
      </c>
      <c r="L537" s="101"/>
      <c r="M537" s="104" t="str">
        <f>IF(Main[[#This Row],[Tech Start Date]]&lt;1/1/1990,"",IF(Main[[#This Row],[Class]]="C",WORKDAY(Main[[#This Row],[Tech Start Date]],9),IF(Main[[#This Row],[Class]]="B", WORKDAY(Main[[#This Row],[Tech Start Date]],6),IF(Main[[#This Row],[Class]]="A",WORKDAY(Main[[#This Row],[Tech Start Date]],2),""))))</f>
        <v/>
      </c>
      <c r="N537" s="104" t="str">
        <f>IF(Main[[#This Row],[Tech Start Date]]&lt;1/1/1990,"",IF(Main[[#This Row],[Class]]="C",WORKDAY(Main[[#This Row],[Tech Start Date]],19),IF(Main[[#This Row],[Class]]="B", WORKDAY(Main[[#This Row],[Tech Start Date]],12),IF(Main[[#This Row],[Class]]="A",WORKDAY(Main[[#This Row],[Tech Start Date]],4),""))))</f>
        <v/>
      </c>
      <c r="O537" s="104" t="str">
        <f>IF(Main[[#This Row],[Tech Start Date]]&lt;1/1/1990,"",IF(Main[[#This Row],[Class]]="C",WORKDAY(Main[[#This Row],[Tech Start Date]],23),IF(Main[[#This Row],[Class]]="B", WORKDAY(Main[[#This Row],[Tech Start Date]],15),IF(Main[[#This Row],[Class]]="A",WORKDAY(Main[[#This Row],[Tech Start Date]],5),""))))</f>
        <v/>
      </c>
      <c r="P537" s="104" t="str">
        <f>IF(Main[[#This Row],[Tech Start Date]]&lt;1/1/1990,"",IF(Main[[#This Row],[Class]]="C",WORKDAY(Main[[#This Row],[Tech Start Date]],28),IF(Main[[#This Row],[Class]]="B", WORKDAY(Main[[#This Row],[Tech Start Date]],19),IF(Main[[#This Row],[Class]]="A",WORKDAY(Main[[#This Row],[Tech Start Date]],9),""))))</f>
        <v/>
      </c>
      <c r="Q537" s="101">
        <v>40592</v>
      </c>
      <c r="R537" s="101"/>
      <c r="S537" s="99" t="s">
        <v>6</v>
      </c>
      <c r="T537" s="107" t="s">
        <v>4</v>
      </c>
      <c r="U537" s="99" t="s">
        <v>29</v>
      </c>
      <c r="V537" s="99" t="s">
        <v>1965</v>
      </c>
      <c r="W537" s="99" t="s">
        <v>1966</v>
      </c>
    </row>
    <row r="538" spans="1:23" ht="18.600000000000001" customHeight="1">
      <c r="A538" s="123" t="str">
        <f>IF(priority(Main[[#This Row],[Comments]])&lt;&gt;0, priority(Main[[#This Row],[Comments]]),"")</f>
        <v/>
      </c>
      <c r="B538" s="127" t="s">
        <v>1357</v>
      </c>
      <c r="C538" s="99" t="s">
        <v>4</v>
      </c>
      <c r="D538" s="100" t="s">
        <v>410</v>
      </c>
      <c r="E538" s="101">
        <v>40387.702291666668</v>
      </c>
      <c r="F538" s="101"/>
      <c r="G538" s="102" t="str">
        <f>IF(stdProdLT(Main[[#This Row],[Comments]])=0.1,"N/A",IF(stdProdLT(Main[[#This Row],[Comments]])=0,"",stdProdLT(Main[[#This Row],[Comments]])))</f>
        <v/>
      </c>
      <c r="H538" s="103" t="str">
        <f>IF(AND(Main[[#This Row],[In Stock Date]]&lt;&gt;"",Main[[#This Row],[Revised Due Date]]&lt;&gt;""),Main[[#This Row],[In Stock Date]]-Main[[#This Row],[Revised Due Date]],"")</f>
        <v/>
      </c>
      <c r="I538" s="99" t="s">
        <v>4</v>
      </c>
      <c r="J538" s="99" t="s">
        <v>28</v>
      </c>
      <c r="K538" s="99" t="s">
        <v>4</v>
      </c>
      <c r="L538" s="101"/>
      <c r="M538" s="104" t="str">
        <f>IF(Main[[#This Row],[Tech Start Date]]&lt;1/1/1990,"",IF(Main[[#This Row],[Class]]="C",WORKDAY(Main[[#This Row],[Tech Start Date]],9),IF(Main[[#This Row],[Class]]="B", WORKDAY(Main[[#This Row],[Tech Start Date]],6),IF(Main[[#This Row],[Class]]="A",WORKDAY(Main[[#This Row],[Tech Start Date]],2),""))))</f>
        <v/>
      </c>
      <c r="N538" s="104" t="str">
        <f>IF(Main[[#This Row],[Tech Start Date]]&lt;1/1/1990,"",IF(Main[[#This Row],[Class]]="C",WORKDAY(Main[[#This Row],[Tech Start Date]],19),IF(Main[[#This Row],[Class]]="B", WORKDAY(Main[[#This Row],[Tech Start Date]],12),IF(Main[[#This Row],[Class]]="A",WORKDAY(Main[[#This Row],[Tech Start Date]],4),""))))</f>
        <v/>
      </c>
      <c r="O538" s="104" t="str">
        <f>IF(Main[[#This Row],[Tech Start Date]]&lt;1/1/1990,"",IF(Main[[#This Row],[Class]]="C",WORKDAY(Main[[#This Row],[Tech Start Date]],23),IF(Main[[#This Row],[Class]]="B", WORKDAY(Main[[#This Row],[Tech Start Date]],15),IF(Main[[#This Row],[Class]]="A",WORKDAY(Main[[#This Row],[Tech Start Date]],5),""))))</f>
        <v/>
      </c>
      <c r="P538" s="104" t="str">
        <f>IF(Main[[#This Row],[Tech Start Date]]&lt;1/1/1990,"",IF(Main[[#This Row],[Class]]="C",WORKDAY(Main[[#This Row],[Tech Start Date]],28),IF(Main[[#This Row],[Class]]="B", WORKDAY(Main[[#This Row],[Tech Start Date]],19),IF(Main[[#This Row],[Class]]="A",WORKDAY(Main[[#This Row],[Tech Start Date]],9),""))))</f>
        <v/>
      </c>
      <c r="Q538" s="101">
        <v>40400</v>
      </c>
      <c r="R538" s="101"/>
      <c r="S538" s="99" t="s">
        <v>6</v>
      </c>
      <c r="T538" s="107" t="s">
        <v>4</v>
      </c>
      <c r="U538" s="99" t="s">
        <v>7</v>
      </c>
      <c r="V538" s="99" t="s">
        <v>1962</v>
      </c>
      <c r="W538" s="99" t="s">
        <v>1964</v>
      </c>
    </row>
    <row r="539" spans="1:23" ht="18.600000000000001" customHeight="1">
      <c r="A539" s="123" t="str">
        <f>IF(priority(Main[[#This Row],[Comments]])&lt;&gt;0, priority(Main[[#This Row],[Comments]]),"")</f>
        <v/>
      </c>
      <c r="B539" s="127" t="s">
        <v>1358</v>
      </c>
      <c r="C539" s="99" t="s">
        <v>4</v>
      </c>
      <c r="D539" s="100" t="s">
        <v>411</v>
      </c>
      <c r="E539" s="101"/>
      <c r="F539" s="101"/>
      <c r="G539" s="102" t="str">
        <f>IF(stdProdLT(Main[[#This Row],[Comments]])=0.1,"N/A",IF(stdProdLT(Main[[#This Row],[Comments]])=0,"",stdProdLT(Main[[#This Row],[Comments]])))</f>
        <v/>
      </c>
      <c r="H539" s="103" t="str">
        <f>IF(AND(Main[[#This Row],[In Stock Date]]&lt;&gt;"",Main[[#This Row],[Revised Due Date]]&lt;&gt;""),Main[[#This Row],[In Stock Date]]-Main[[#This Row],[Revised Due Date]],"")</f>
        <v/>
      </c>
      <c r="I539" s="99" t="s">
        <v>4</v>
      </c>
      <c r="J539" s="99" t="s">
        <v>4</v>
      </c>
      <c r="K539" s="99" t="s">
        <v>4</v>
      </c>
      <c r="L539" s="101"/>
      <c r="M539" s="104" t="str">
        <f>IF(Main[[#This Row],[Tech Start Date]]&lt;1/1/1990,"",IF(Main[[#This Row],[Class]]="C",WORKDAY(Main[[#This Row],[Tech Start Date]],9),IF(Main[[#This Row],[Class]]="B", WORKDAY(Main[[#This Row],[Tech Start Date]],6),IF(Main[[#This Row],[Class]]="A",WORKDAY(Main[[#This Row],[Tech Start Date]],2),""))))</f>
        <v/>
      </c>
      <c r="N539" s="104" t="str">
        <f>IF(Main[[#This Row],[Tech Start Date]]&lt;1/1/1990,"",IF(Main[[#This Row],[Class]]="C",WORKDAY(Main[[#This Row],[Tech Start Date]],19),IF(Main[[#This Row],[Class]]="B", WORKDAY(Main[[#This Row],[Tech Start Date]],12),IF(Main[[#This Row],[Class]]="A",WORKDAY(Main[[#This Row],[Tech Start Date]],4),""))))</f>
        <v/>
      </c>
      <c r="O539" s="104" t="str">
        <f>IF(Main[[#This Row],[Tech Start Date]]&lt;1/1/1990,"",IF(Main[[#This Row],[Class]]="C",WORKDAY(Main[[#This Row],[Tech Start Date]],23),IF(Main[[#This Row],[Class]]="B", WORKDAY(Main[[#This Row],[Tech Start Date]],15),IF(Main[[#This Row],[Class]]="A",WORKDAY(Main[[#This Row],[Tech Start Date]],5),""))))</f>
        <v/>
      </c>
      <c r="P539" s="104" t="str">
        <f>IF(Main[[#This Row],[Tech Start Date]]&lt;1/1/1990,"",IF(Main[[#This Row],[Class]]="C",WORKDAY(Main[[#This Row],[Tech Start Date]],28),IF(Main[[#This Row],[Class]]="B", WORKDAY(Main[[#This Row],[Tech Start Date]],19),IF(Main[[#This Row],[Class]]="A",WORKDAY(Main[[#This Row],[Tech Start Date]],9),""))))</f>
        <v/>
      </c>
      <c r="Q539" s="101">
        <v>40390</v>
      </c>
      <c r="R539" s="101"/>
      <c r="S539" s="99" t="s">
        <v>6</v>
      </c>
      <c r="T539" s="107" t="s">
        <v>4</v>
      </c>
      <c r="U539" s="99" t="s">
        <v>14</v>
      </c>
      <c r="V539" s="99" t="s">
        <v>1965</v>
      </c>
      <c r="W539" s="99" t="s">
        <v>4</v>
      </c>
    </row>
    <row r="540" spans="1:23" ht="18.600000000000001" customHeight="1">
      <c r="A540" s="123" t="str">
        <f>IF(priority(Main[[#This Row],[Comments]])&lt;&gt;0, priority(Main[[#This Row],[Comments]]),"")</f>
        <v/>
      </c>
      <c r="B540" s="127" t="s">
        <v>1359</v>
      </c>
      <c r="C540" s="99" t="s">
        <v>171</v>
      </c>
      <c r="D540" s="100" t="s">
        <v>412</v>
      </c>
      <c r="E540" s="101"/>
      <c r="F540" s="101">
        <v>40237</v>
      </c>
      <c r="G540" s="102" t="str">
        <f>IF(stdProdLT(Main[[#This Row],[Comments]])=0.1,"N/A",IF(stdProdLT(Main[[#This Row],[Comments]])=0,"",stdProdLT(Main[[#This Row],[Comments]])))</f>
        <v/>
      </c>
      <c r="H540" s="103" t="str">
        <f>IF(AND(Main[[#This Row],[In Stock Date]]&lt;&gt;"",Main[[#This Row],[Revised Due Date]]&lt;&gt;""),Main[[#This Row],[In Stock Date]]-Main[[#This Row],[Revised Due Date]],"")</f>
        <v/>
      </c>
      <c r="I540" s="99" t="s">
        <v>4</v>
      </c>
      <c r="J540" s="99" t="s">
        <v>4</v>
      </c>
      <c r="K540" s="99" t="s">
        <v>4</v>
      </c>
      <c r="L540" s="101"/>
      <c r="M540" s="104" t="str">
        <f>IF(Main[[#This Row],[Tech Start Date]]&lt;1/1/1990,"",IF(Main[[#This Row],[Class]]="C",WORKDAY(Main[[#This Row],[Tech Start Date]],9),IF(Main[[#This Row],[Class]]="B", WORKDAY(Main[[#This Row],[Tech Start Date]],6),IF(Main[[#This Row],[Class]]="A",WORKDAY(Main[[#This Row],[Tech Start Date]],2),""))))</f>
        <v/>
      </c>
      <c r="N540" s="104" t="str">
        <f>IF(Main[[#This Row],[Tech Start Date]]&lt;1/1/1990,"",IF(Main[[#This Row],[Class]]="C",WORKDAY(Main[[#This Row],[Tech Start Date]],19),IF(Main[[#This Row],[Class]]="B", WORKDAY(Main[[#This Row],[Tech Start Date]],12),IF(Main[[#This Row],[Class]]="A",WORKDAY(Main[[#This Row],[Tech Start Date]],4),""))))</f>
        <v/>
      </c>
      <c r="O540" s="104" t="str">
        <f>IF(Main[[#This Row],[Tech Start Date]]&lt;1/1/1990,"",IF(Main[[#This Row],[Class]]="C",WORKDAY(Main[[#This Row],[Tech Start Date]],23),IF(Main[[#This Row],[Class]]="B", WORKDAY(Main[[#This Row],[Tech Start Date]],15),IF(Main[[#This Row],[Class]]="A",WORKDAY(Main[[#This Row],[Tech Start Date]],5),""))))</f>
        <v/>
      </c>
      <c r="P540" s="104" t="str">
        <f>IF(Main[[#This Row],[Tech Start Date]]&lt;1/1/1990,"",IF(Main[[#This Row],[Class]]="C",WORKDAY(Main[[#This Row],[Tech Start Date]],28),IF(Main[[#This Row],[Class]]="B", WORKDAY(Main[[#This Row],[Tech Start Date]],19),IF(Main[[#This Row],[Class]]="A",WORKDAY(Main[[#This Row],[Tech Start Date]],9),""))))</f>
        <v/>
      </c>
      <c r="Q540" s="101">
        <v>40132</v>
      </c>
      <c r="R540" s="101"/>
      <c r="S540" s="99" t="s">
        <v>11</v>
      </c>
      <c r="T540" s="107" t="s">
        <v>4</v>
      </c>
      <c r="U540" s="99" t="s">
        <v>14</v>
      </c>
      <c r="V540" s="99" t="s">
        <v>1962</v>
      </c>
      <c r="W540" s="99" t="s">
        <v>1967</v>
      </c>
    </row>
    <row r="541" spans="1:23" ht="18.600000000000001" customHeight="1">
      <c r="A541" s="123" t="str">
        <f>IF(priority(Main[[#This Row],[Comments]])&lt;&gt;0, priority(Main[[#This Row],[Comments]]),"")</f>
        <v/>
      </c>
      <c r="B541" s="127" t="s">
        <v>1360</v>
      </c>
      <c r="C541" s="99" t="s">
        <v>171</v>
      </c>
      <c r="D541" s="100" t="s">
        <v>413</v>
      </c>
      <c r="E541" s="101"/>
      <c r="F541" s="101">
        <v>40237</v>
      </c>
      <c r="G541" s="102" t="str">
        <f>IF(stdProdLT(Main[[#This Row],[Comments]])=0.1,"N/A",IF(stdProdLT(Main[[#This Row],[Comments]])=0,"",stdProdLT(Main[[#This Row],[Comments]])))</f>
        <v/>
      </c>
      <c r="H541" s="103" t="str">
        <f>IF(AND(Main[[#This Row],[In Stock Date]]&lt;&gt;"",Main[[#This Row],[Revised Due Date]]&lt;&gt;""),Main[[#This Row],[In Stock Date]]-Main[[#This Row],[Revised Due Date]],"")</f>
        <v/>
      </c>
      <c r="I541" s="99" t="s">
        <v>4</v>
      </c>
      <c r="J541" s="99" t="s">
        <v>4</v>
      </c>
      <c r="K541" s="99" t="s">
        <v>4</v>
      </c>
      <c r="L541" s="101"/>
      <c r="M541" s="104" t="str">
        <f>IF(Main[[#This Row],[Tech Start Date]]&lt;1/1/1990,"",IF(Main[[#This Row],[Class]]="C",WORKDAY(Main[[#This Row],[Tech Start Date]],9),IF(Main[[#This Row],[Class]]="B", WORKDAY(Main[[#This Row],[Tech Start Date]],6),IF(Main[[#This Row],[Class]]="A",WORKDAY(Main[[#This Row],[Tech Start Date]],2),""))))</f>
        <v/>
      </c>
      <c r="N541" s="104" t="str">
        <f>IF(Main[[#This Row],[Tech Start Date]]&lt;1/1/1990,"",IF(Main[[#This Row],[Class]]="C",WORKDAY(Main[[#This Row],[Tech Start Date]],19),IF(Main[[#This Row],[Class]]="B", WORKDAY(Main[[#This Row],[Tech Start Date]],12),IF(Main[[#This Row],[Class]]="A",WORKDAY(Main[[#This Row],[Tech Start Date]],4),""))))</f>
        <v/>
      </c>
      <c r="O541" s="104" t="str">
        <f>IF(Main[[#This Row],[Tech Start Date]]&lt;1/1/1990,"",IF(Main[[#This Row],[Class]]="C",WORKDAY(Main[[#This Row],[Tech Start Date]],23),IF(Main[[#This Row],[Class]]="B", WORKDAY(Main[[#This Row],[Tech Start Date]],15),IF(Main[[#This Row],[Class]]="A",WORKDAY(Main[[#This Row],[Tech Start Date]],5),""))))</f>
        <v/>
      </c>
      <c r="P541" s="104" t="str">
        <f>IF(Main[[#This Row],[Tech Start Date]]&lt;1/1/1990,"",IF(Main[[#This Row],[Class]]="C",WORKDAY(Main[[#This Row],[Tech Start Date]],28),IF(Main[[#This Row],[Class]]="B", WORKDAY(Main[[#This Row],[Tech Start Date]],19),IF(Main[[#This Row],[Class]]="A",WORKDAY(Main[[#This Row],[Tech Start Date]],9),""))))</f>
        <v/>
      </c>
      <c r="Q541" s="101">
        <v>40132</v>
      </c>
      <c r="R541" s="101"/>
      <c r="S541" s="99" t="s">
        <v>11</v>
      </c>
      <c r="T541" s="107" t="s">
        <v>4</v>
      </c>
      <c r="U541" s="99" t="s">
        <v>14</v>
      </c>
      <c r="V541" s="99" t="s">
        <v>1962</v>
      </c>
      <c r="W541" s="99" t="s">
        <v>1967</v>
      </c>
    </row>
    <row r="542" spans="1:23" ht="18.600000000000001" customHeight="1">
      <c r="A542" s="123" t="str">
        <f>IF(priority(Main[[#This Row],[Comments]])&lt;&gt;0, priority(Main[[#This Row],[Comments]]),"")</f>
        <v/>
      </c>
      <c r="B542" s="127" t="s">
        <v>1361</v>
      </c>
      <c r="C542" s="99" t="s">
        <v>4</v>
      </c>
      <c r="D542" s="100" t="s">
        <v>414</v>
      </c>
      <c r="E542" s="101"/>
      <c r="F542" s="101"/>
      <c r="G542" s="102" t="str">
        <f>IF(stdProdLT(Main[[#This Row],[Comments]])=0.1,"N/A",IF(stdProdLT(Main[[#This Row],[Comments]])=0,"",stdProdLT(Main[[#This Row],[Comments]])))</f>
        <v/>
      </c>
      <c r="H542" s="103" t="str">
        <f>IF(AND(Main[[#This Row],[In Stock Date]]&lt;&gt;"",Main[[#This Row],[Revised Due Date]]&lt;&gt;""),Main[[#This Row],[In Stock Date]]-Main[[#This Row],[Revised Due Date]],"")</f>
        <v/>
      </c>
      <c r="I542" s="99" t="s">
        <v>4</v>
      </c>
      <c r="J542" s="99" t="s">
        <v>28</v>
      </c>
      <c r="K542" s="108" t="s">
        <v>4</v>
      </c>
      <c r="L542" s="101"/>
      <c r="M542" s="104" t="str">
        <f>IF(Main[[#This Row],[Tech Start Date]]&lt;1/1/1990,"",IF(Main[[#This Row],[Class]]="C",WORKDAY(Main[[#This Row],[Tech Start Date]],9),IF(Main[[#This Row],[Class]]="B", WORKDAY(Main[[#This Row],[Tech Start Date]],6),IF(Main[[#This Row],[Class]]="A",WORKDAY(Main[[#This Row],[Tech Start Date]],2),""))))</f>
        <v/>
      </c>
      <c r="N542" s="104" t="str">
        <f>IF(Main[[#This Row],[Tech Start Date]]&lt;1/1/1990,"",IF(Main[[#This Row],[Class]]="C",WORKDAY(Main[[#This Row],[Tech Start Date]],19),IF(Main[[#This Row],[Class]]="B", WORKDAY(Main[[#This Row],[Tech Start Date]],12),IF(Main[[#This Row],[Class]]="A",WORKDAY(Main[[#This Row],[Tech Start Date]],4),""))))</f>
        <v/>
      </c>
      <c r="O542" s="104" t="str">
        <f>IF(Main[[#This Row],[Tech Start Date]]&lt;1/1/1990,"",IF(Main[[#This Row],[Class]]="C",WORKDAY(Main[[#This Row],[Tech Start Date]],23),IF(Main[[#This Row],[Class]]="B", WORKDAY(Main[[#This Row],[Tech Start Date]],15),IF(Main[[#This Row],[Class]]="A",WORKDAY(Main[[#This Row],[Tech Start Date]],5),""))))</f>
        <v/>
      </c>
      <c r="P542" s="104" t="str">
        <f>IF(Main[[#This Row],[Tech Start Date]]&lt;1/1/1990,"",IF(Main[[#This Row],[Class]]="C",WORKDAY(Main[[#This Row],[Tech Start Date]],28),IF(Main[[#This Row],[Class]]="B", WORKDAY(Main[[#This Row],[Tech Start Date]],19),IF(Main[[#This Row],[Class]]="A",WORKDAY(Main[[#This Row],[Tech Start Date]],9),""))))</f>
        <v/>
      </c>
      <c r="Q542" s="101">
        <v>40471</v>
      </c>
      <c r="R542" s="101"/>
      <c r="S542" s="99" t="s">
        <v>6</v>
      </c>
      <c r="T542" s="107" t="s">
        <v>4</v>
      </c>
      <c r="U542" s="99" t="s">
        <v>14</v>
      </c>
      <c r="V542" s="99" t="s">
        <v>1965</v>
      </c>
      <c r="W542" s="99" t="s">
        <v>1964</v>
      </c>
    </row>
    <row r="543" spans="1:23" ht="18.600000000000001" customHeight="1">
      <c r="A543" s="123" t="str">
        <f>IF(priority(Main[[#This Row],[Comments]])&lt;&gt;0, priority(Main[[#This Row],[Comments]]),"")</f>
        <v/>
      </c>
      <c r="B543" s="127" t="s">
        <v>1362</v>
      </c>
      <c r="C543" s="99" t="s">
        <v>4</v>
      </c>
      <c r="D543" s="100" t="s">
        <v>415</v>
      </c>
      <c r="E543" s="101"/>
      <c r="F543" s="101"/>
      <c r="G543" s="102" t="str">
        <f>IF(stdProdLT(Main[[#This Row],[Comments]])=0.1,"N/A",IF(stdProdLT(Main[[#This Row],[Comments]])=0,"",stdProdLT(Main[[#This Row],[Comments]])))</f>
        <v/>
      </c>
      <c r="H543" s="103" t="str">
        <f>IF(AND(Main[[#This Row],[In Stock Date]]&lt;&gt;"",Main[[#This Row],[Revised Due Date]]&lt;&gt;""),Main[[#This Row],[In Stock Date]]-Main[[#This Row],[Revised Due Date]],"")</f>
        <v/>
      </c>
      <c r="I543" s="99" t="s">
        <v>4</v>
      </c>
      <c r="J543" s="99" t="s">
        <v>4</v>
      </c>
      <c r="K543" s="99" t="s">
        <v>4</v>
      </c>
      <c r="L543" s="101"/>
      <c r="M543" s="104" t="str">
        <f>IF(Main[[#This Row],[Tech Start Date]]&lt;1/1/1990,"",IF(Main[[#This Row],[Class]]="C",WORKDAY(Main[[#This Row],[Tech Start Date]],9),IF(Main[[#This Row],[Class]]="B", WORKDAY(Main[[#This Row],[Tech Start Date]],6),IF(Main[[#This Row],[Class]]="A",WORKDAY(Main[[#This Row],[Tech Start Date]],2),""))))</f>
        <v/>
      </c>
      <c r="N543" s="104" t="str">
        <f>IF(Main[[#This Row],[Tech Start Date]]&lt;1/1/1990,"",IF(Main[[#This Row],[Class]]="C",WORKDAY(Main[[#This Row],[Tech Start Date]],19),IF(Main[[#This Row],[Class]]="B", WORKDAY(Main[[#This Row],[Tech Start Date]],12),IF(Main[[#This Row],[Class]]="A",WORKDAY(Main[[#This Row],[Tech Start Date]],4),""))))</f>
        <v/>
      </c>
      <c r="O543" s="104" t="str">
        <f>IF(Main[[#This Row],[Tech Start Date]]&lt;1/1/1990,"",IF(Main[[#This Row],[Class]]="C",WORKDAY(Main[[#This Row],[Tech Start Date]],23),IF(Main[[#This Row],[Class]]="B", WORKDAY(Main[[#This Row],[Tech Start Date]],15),IF(Main[[#This Row],[Class]]="A",WORKDAY(Main[[#This Row],[Tech Start Date]],5),""))))</f>
        <v/>
      </c>
      <c r="P543" s="104" t="str">
        <f>IF(Main[[#This Row],[Tech Start Date]]&lt;1/1/1990,"",IF(Main[[#This Row],[Class]]="C",WORKDAY(Main[[#This Row],[Tech Start Date]],28),IF(Main[[#This Row],[Class]]="B", WORKDAY(Main[[#This Row],[Tech Start Date]],19),IF(Main[[#This Row],[Class]]="A",WORKDAY(Main[[#This Row],[Tech Start Date]],9),""))))</f>
        <v/>
      </c>
      <c r="Q543" s="101"/>
      <c r="R543" s="101"/>
      <c r="S543" s="99" t="s">
        <v>6</v>
      </c>
      <c r="T543" s="107" t="s">
        <v>4</v>
      </c>
      <c r="U543" s="99" t="s">
        <v>12</v>
      </c>
      <c r="V543" s="99" t="s">
        <v>1963</v>
      </c>
      <c r="W543" s="99" t="s">
        <v>1970</v>
      </c>
    </row>
    <row r="544" spans="1:23" ht="18.600000000000001" customHeight="1">
      <c r="A544" s="123" t="str">
        <f>IF(priority(Main[[#This Row],[Comments]])&lt;&gt;0, priority(Main[[#This Row],[Comments]]),"")</f>
        <v/>
      </c>
      <c r="B544" s="127" t="s">
        <v>1363</v>
      </c>
      <c r="C544" s="99" t="s">
        <v>4</v>
      </c>
      <c r="D544" s="100" t="s">
        <v>416</v>
      </c>
      <c r="E544" s="101"/>
      <c r="F544" s="101"/>
      <c r="G544" s="102" t="str">
        <f>IF(stdProdLT(Main[[#This Row],[Comments]])=0.1,"N/A",IF(stdProdLT(Main[[#This Row],[Comments]])=0,"",stdProdLT(Main[[#This Row],[Comments]])))</f>
        <v/>
      </c>
      <c r="H544" s="103" t="str">
        <f>IF(AND(Main[[#This Row],[In Stock Date]]&lt;&gt;"",Main[[#This Row],[Revised Due Date]]&lt;&gt;""),Main[[#This Row],[In Stock Date]]-Main[[#This Row],[Revised Due Date]],"")</f>
        <v/>
      </c>
      <c r="I544" s="99" t="s">
        <v>4</v>
      </c>
      <c r="J544" s="99" t="s">
        <v>4</v>
      </c>
      <c r="K544" s="99" t="s">
        <v>4</v>
      </c>
      <c r="L544" s="101"/>
      <c r="M544" s="104" t="str">
        <f>IF(Main[[#This Row],[Tech Start Date]]&lt;1/1/1990,"",IF(Main[[#This Row],[Class]]="C",WORKDAY(Main[[#This Row],[Tech Start Date]],9),IF(Main[[#This Row],[Class]]="B", WORKDAY(Main[[#This Row],[Tech Start Date]],6),IF(Main[[#This Row],[Class]]="A",WORKDAY(Main[[#This Row],[Tech Start Date]],2),""))))</f>
        <v/>
      </c>
      <c r="N544" s="104" t="str">
        <f>IF(Main[[#This Row],[Tech Start Date]]&lt;1/1/1990,"",IF(Main[[#This Row],[Class]]="C",WORKDAY(Main[[#This Row],[Tech Start Date]],19),IF(Main[[#This Row],[Class]]="B", WORKDAY(Main[[#This Row],[Tech Start Date]],12),IF(Main[[#This Row],[Class]]="A",WORKDAY(Main[[#This Row],[Tech Start Date]],4),""))))</f>
        <v/>
      </c>
      <c r="O544" s="104" t="str">
        <f>IF(Main[[#This Row],[Tech Start Date]]&lt;1/1/1990,"",IF(Main[[#This Row],[Class]]="C",WORKDAY(Main[[#This Row],[Tech Start Date]],23),IF(Main[[#This Row],[Class]]="B", WORKDAY(Main[[#This Row],[Tech Start Date]],15),IF(Main[[#This Row],[Class]]="A",WORKDAY(Main[[#This Row],[Tech Start Date]],5),""))))</f>
        <v/>
      </c>
      <c r="P544" s="104" t="str">
        <f>IF(Main[[#This Row],[Tech Start Date]]&lt;1/1/1990,"",IF(Main[[#This Row],[Class]]="C",WORKDAY(Main[[#This Row],[Tech Start Date]],28),IF(Main[[#This Row],[Class]]="B", WORKDAY(Main[[#This Row],[Tech Start Date]],19),IF(Main[[#This Row],[Class]]="A",WORKDAY(Main[[#This Row],[Tech Start Date]],9),""))))</f>
        <v/>
      </c>
      <c r="Q544" s="101"/>
      <c r="R544" s="101"/>
      <c r="S544" s="99" t="s">
        <v>417</v>
      </c>
      <c r="T544" s="107" t="s">
        <v>4</v>
      </c>
      <c r="U544" s="99" t="s">
        <v>14</v>
      </c>
      <c r="V544" s="99" t="s">
        <v>1963</v>
      </c>
      <c r="W544" s="99" t="s">
        <v>1966</v>
      </c>
    </row>
    <row r="545" spans="1:23" ht="18.600000000000001" customHeight="1">
      <c r="A545" s="123" t="str">
        <f>IF(priority(Main[[#This Row],[Comments]])&lt;&gt;0, priority(Main[[#This Row],[Comments]]),"")</f>
        <v/>
      </c>
      <c r="B545" s="127" t="s">
        <v>2034</v>
      </c>
      <c r="C545" s="99" t="s">
        <v>4</v>
      </c>
      <c r="D545" s="100" t="s">
        <v>2035</v>
      </c>
      <c r="E545" s="101"/>
      <c r="F545" s="101"/>
      <c r="G545" s="102" t="str">
        <f>IF(stdProdLT(Main[[#This Row],[Comments]])=0.1,"N/A",IF(stdProdLT(Main[[#This Row],[Comments]])=0,"",stdProdLT(Main[[#This Row],[Comments]])))</f>
        <v/>
      </c>
      <c r="H545" s="103" t="str">
        <f>IF(AND(Main[[#This Row],[In Stock Date]]&lt;&gt;"",Main[[#This Row],[Revised Due Date]]&lt;&gt;""),Main[[#This Row],[In Stock Date]]-Main[[#This Row],[Revised Due Date]],"")</f>
        <v/>
      </c>
      <c r="I545" s="99" t="s">
        <v>4</v>
      </c>
      <c r="J545" s="99" t="s">
        <v>4</v>
      </c>
      <c r="K545" s="99" t="s">
        <v>4</v>
      </c>
      <c r="L545" s="101"/>
      <c r="M545" s="104" t="str">
        <f>IF(Main[[#This Row],[Tech Start Date]]&lt;1/1/1990,"",IF(Main[[#This Row],[Class]]="C",WORKDAY(Main[[#This Row],[Tech Start Date]],9),IF(Main[[#This Row],[Class]]="B", WORKDAY(Main[[#This Row],[Tech Start Date]],6),IF(Main[[#This Row],[Class]]="A",WORKDAY(Main[[#This Row],[Tech Start Date]],2),""))))</f>
        <v/>
      </c>
      <c r="N545" s="104" t="str">
        <f>IF(Main[[#This Row],[Tech Start Date]]&lt;1/1/1990,"",IF(Main[[#This Row],[Class]]="C",WORKDAY(Main[[#This Row],[Tech Start Date]],19),IF(Main[[#This Row],[Class]]="B", WORKDAY(Main[[#This Row],[Tech Start Date]],12),IF(Main[[#This Row],[Class]]="A",WORKDAY(Main[[#This Row],[Tech Start Date]],4),""))))</f>
        <v/>
      </c>
      <c r="O545" s="104" t="str">
        <f>IF(Main[[#This Row],[Tech Start Date]]&lt;1/1/1990,"",IF(Main[[#This Row],[Class]]="C",WORKDAY(Main[[#This Row],[Tech Start Date]],23),IF(Main[[#This Row],[Class]]="B", WORKDAY(Main[[#This Row],[Tech Start Date]],15),IF(Main[[#This Row],[Class]]="A",WORKDAY(Main[[#This Row],[Tech Start Date]],5),""))))</f>
        <v/>
      </c>
      <c r="P545" s="104" t="str">
        <f>IF(Main[[#This Row],[Tech Start Date]]&lt;1/1/1990,"",IF(Main[[#This Row],[Class]]="C",WORKDAY(Main[[#This Row],[Tech Start Date]],28),IF(Main[[#This Row],[Class]]="B", WORKDAY(Main[[#This Row],[Tech Start Date]],19),IF(Main[[#This Row],[Class]]="A",WORKDAY(Main[[#This Row],[Tech Start Date]],9),""))))</f>
        <v/>
      </c>
      <c r="Q545" s="101"/>
      <c r="R545" s="101"/>
      <c r="S545" s="99" t="s">
        <v>11</v>
      </c>
      <c r="T545" s="107" t="s">
        <v>4</v>
      </c>
      <c r="U545" s="99" t="s">
        <v>12</v>
      </c>
      <c r="V545" s="99" t="s">
        <v>1962</v>
      </c>
      <c r="W545" s="99" t="s">
        <v>1966</v>
      </c>
    </row>
    <row r="546" spans="1:23" ht="18.600000000000001" customHeight="1">
      <c r="A546" s="123" t="str">
        <f>IF(priority(Main[[#This Row],[Comments]])&lt;&gt;0, priority(Main[[#This Row],[Comments]]),"")</f>
        <v/>
      </c>
      <c r="B546" s="127" t="s">
        <v>1336</v>
      </c>
      <c r="C546" s="99" t="s">
        <v>4</v>
      </c>
      <c r="D546" s="100" t="s">
        <v>97</v>
      </c>
      <c r="E546" s="101"/>
      <c r="F546" s="101"/>
      <c r="G546" s="102" t="str">
        <f>IF(stdProdLT(Main[[#This Row],[Comments]])=0.1,"N/A",IF(stdProdLT(Main[[#This Row],[Comments]])=0,"",stdProdLT(Main[[#This Row],[Comments]])))</f>
        <v/>
      </c>
      <c r="H546" s="103" t="str">
        <f>IF(AND(Main[[#This Row],[In Stock Date]]&lt;&gt;"",Main[[#This Row],[Revised Due Date]]&lt;&gt;""),Main[[#This Row],[In Stock Date]]-Main[[#This Row],[Revised Due Date]],"")</f>
        <v/>
      </c>
      <c r="I546" s="99" t="s">
        <v>4</v>
      </c>
      <c r="J546" s="99" t="s">
        <v>4</v>
      </c>
      <c r="K546" s="99" t="s">
        <v>4</v>
      </c>
      <c r="L546" s="101"/>
      <c r="M546" s="104" t="str">
        <f>IF(Main[[#This Row],[Tech Start Date]]&lt;1/1/1990,"",IF(Main[[#This Row],[Class]]="C",WORKDAY(Main[[#This Row],[Tech Start Date]],9),IF(Main[[#This Row],[Class]]="B", WORKDAY(Main[[#This Row],[Tech Start Date]],6),IF(Main[[#This Row],[Class]]="A",WORKDAY(Main[[#This Row],[Tech Start Date]],2),""))))</f>
        <v/>
      </c>
      <c r="N546" s="104" t="str">
        <f>IF(Main[[#This Row],[Tech Start Date]]&lt;1/1/1990,"",IF(Main[[#This Row],[Class]]="C",WORKDAY(Main[[#This Row],[Tech Start Date]],19),IF(Main[[#This Row],[Class]]="B", WORKDAY(Main[[#This Row],[Tech Start Date]],12),IF(Main[[#This Row],[Class]]="A",WORKDAY(Main[[#This Row],[Tech Start Date]],4),""))))</f>
        <v/>
      </c>
      <c r="O546" s="104" t="str">
        <f>IF(Main[[#This Row],[Tech Start Date]]&lt;1/1/1990,"",IF(Main[[#This Row],[Class]]="C",WORKDAY(Main[[#This Row],[Tech Start Date]],23),IF(Main[[#This Row],[Class]]="B", WORKDAY(Main[[#This Row],[Tech Start Date]],15),IF(Main[[#This Row],[Class]]="A",WORKDAY(Main[[#This Row],[Tech Start Date]],5),""))))</f>
        <v/>
      </c>
      <c r="P546" s="104" t="str">
        <f>IF(Main[[#This Row],[Tech Start Date]]&lt;1/1/1990,"",IF(Main[[#This Row],[Class]]="C",WORKDAY(Main[[#This Row],[Tech Start Date]],28),IF(Main[[#This Row],[Class]]="B", WORKDAY(Main[[#This Row],[Tech Start Date]],19),IF(Main[[#This Row],[Class]]="A",WORKDAY(Main[[#This Row],[Tech Start Date]],9),""))))</f>
        <v/>
      </c>
      <c r="Q546" s="101">
        <v>40858</v>
      </c>
      <c r="R546" s="101"/>
      <c r="S546" s="99" t="s">
        <v>17</v>
      </c>
      <c r="T546" s="107" t="s">
        <v>4</v>
      </c>
      <c r="U546" s="99" t="s">
        <v>14</v>
      </c>
      <c r="V546" s="99" t="s">
        <v>1962</v>
      </c>
      <c r="W546" s="99" t="s">
        <v>1967</v>
      </c>
    </row>
    <row r="547" spans="1:23" ht="18.600000000000001" customHeight="1">
      <c r="A547" s="123" t="str">
        <f>IF(priority(Main[[#This Row],[Comments]])&lt;&gt;0, priority(Main[[#This Row],[Comments]]),"")</f>
        <v/>
      </c>
      <c r="B547" s="127" t="s">
        <v>1759</v>
      </c>
      <c r="C547" s="99" t="s">
        <v>282</v>
      </c>
      <c r="D547" s="100" t="s">
        <v>786</v>
      </c>
      <c r="E547" s="101"/>
      <c r="F547" s="101">
        <v>40680</v>
      </c>
      <c r="G547" s="102" t="str">
        <f>IF(stdProdLT(Main[[#This Row],[Comments]])=0.1,"N/A",IF(stdProdLT(Main[[#This Row],[Comments]])=0,"",stdProdLT(Main[[#This Row],[Comments]])))</f>
        <v/>
      </c>
      <c r="H547" s="103" t="str">
        <f>IF(AND(Main[[#This Row],[In Stock Date]]&lt;&gt;"",Main[[#This Row],[Revised Due Date]]&lt;&gt;""),Main[[#This Row],[In Stock Date]]-Main[[#This Row],[Revised Due Date]],"")</f>
        <v/>
      </c>
      <c r="I547" s="99" t="s">
        <v>4</v>
      </c>
      <c r="J547" s="99" t="s">
        <v>28</v>
      </c>
      <c r="K547" s="99" t="s">
        <v>4</v>
      </c>
      <c r="L547" s="101"/>
      <c r="M547" s="104" t="str">
        <f>IF(Main[[#This Row],[Tech Start Date]]&lt;1/1/1990,"",IF(Main[[#This Row],[Class]]="C",WORKDAY(Main[[#This Row],[Tech Start Date]],9),IF(Main[[#This Row],[Class]]="B", WORKDAY(Main[[#This Row],[Tech Start Date]],6),IF(Main[[#This Row],[Class]]="A",WORKDAY(Main[[#This Row],[Tech Start Date]],2),""))))</f>
        <v/>
      </c>
      <c r="N547" s="104" t="str">
        <f>IF(Main[[#This Row],[Tech Start Date]]&lt;1/1/1990,"",IF(Main[[#This Row],[Class]]="C",WORKDAY(Main[[#This Row],[Tech Start Date]],19),IF(Main[[#This Row],[Class]]="B", WORKDAY(Main[[#This Row],[Tech Start Date]],12),IF(Main[[#This Row],[Class]]="A",WORKDAY(Main[[#This Row],[Tech Start Date]],4),""))))</f>
        <v/>
      </c>
      <c r="O547" s="104" t="str">
        <f>IF(Main[[#This Row],[Tech Start Date]]&lt;1/1/1990,"",IF(Main[[#This Row],[Class]]="C",WORKDAY(Main[[#This Row],[Tech Start Date]],23),IF(Main[[#This Row],[Class]]="B", WORKDAY(Main[[#This Row],[Tech Start Date]],15),IF(Main[[#This Row],[Class]]="A",WORKDAY(Main[[#This Row],[Tech Start Date]],5),""))))</f>
        <v/>
      </c>
      <c r="P547" s="104" t="str">
        <f>IF(Main[[#This Row],[Tech Start Date]]&lt;1/1/1990,"",IF(Main[[#This Row],[Class]]="C",WORKDAY(Main[[#This Row],[Tech Start Date]],28),IF(Main[[#This Row],[Class]]="B", WORKDAY(Main[[#This Row],[Tech Start Date]],19),IF(Main[[#This Row],[Class]]="A",WORKDAY(Main[[#This Row],[Tech Start Date]],9),""))))</f>
        <v/>
      </c>
      <c r="Q547" s="101">
        <v>40568</v>
      </c>
      <c r="R547" s="101"/>
      <c r="S547" s="99" t="s">
        <v>11</v>
      </c>
      <c r="T547" s="107" t="s">
        <v>787</v>
      </c>
      <c r="U547" s="99" t="s">
        <v>14</v>
      </c>
      <c r="V547" s="99" t="s">
        <v>1963</v>
      </c>
      <c r="W547" s="99" t="s">
        <v>1967</v>
      </c>
    </row>
    <row r="548" spans="1:23" ht="18.600000000000001" customHeight="1">
      <c r="A548" s="123" t="str">
        <f>IF(priority(Main[[#This Row],[Comments]])&lt;&gt;0, priority(Main[[#This Row],[Comments]]),"")</f>
        <v/>
      </c>
      <c r="B548" s="127" t="s">
        <v>1372</v>
      </c>
      <c r="C548" s="99" t="s">
        <v>33</v>
      </c>
      <c r="D548" s="100" t="s">
        <v>425</v>
      </c>
      <c r="E548" s="101"/>
      <c r="F548" s="101">
        <v>40266</v>
      </c>
      <c r="G548" s="102" t="str">
        <f>IF(stdProdLT(Main[[#This Row],[Comments]])=0.1,"N/A",IF(stdProdLT(Main[[#This Row],[Comments]])=0,"",stdProdLT(Main[[#This Row],[Comments]])))</f>
        <v/>
      </c>
      <c r="H548" s="103" t="str">
        <f>IF(AND(Main[[#This Row],[In Stock Date]]&lt;&gt;"",Main[[#This Row],[Revised Due Date]]&lt;&gt;""),Main[[#This Row],[In Stock Date]]-Main[[#This Row],[Revised Due Date]],"")</f>
        <v/>
      </c>
      <c r="I548" s="99" t="s">
        <v>4</v>
      </c>
      <c r="J548" s="99" t="s">
        <v>4</v>
      </c>
      <c r="K548" s="108" t="s">
        <v>4</v>
      </c>
      <c r="L548" s="101"/>
      <c r="M548" s="104" t="str">
        <f>IF(Main[[#This Row],[Tech Start Date]]&lt;1/1/1990,"",IF(Main[[#This Row],[Class]]="C",WORKDAY(Main[[#This Row],[Tech Start Date]],9),IF(Main[[#This Row],[Class]]="B", WORKDAY(Main[[#This Row],[Tech Start Date]],6),IF(Main[[#This Row],[Class]]="A",WORKDAY(Main[[#This Row],[Tech Start Date]],2),""))))</f>
        <v/>
      </c>
      <c r="N548" s="104" t="str">
        <f>IF(Main[[#This Row],[Tech Start Date]]&lt;1/1/1990,"",IF(Main[[#This Row],[Class]]="C",WORKDAY(Main[[#This Row],[Tech Start Date]],19),IF(Main[[#This Row],[Class]]="B", WORKDAY(Main[[#This Row],[Tech Start Date]],12),IF(Main[[#This Row],[Class]]="A",WORKDAY(Main[[#This Row],[Tech Start Date]],4),""))))</f>
        <v/>
      </c>
      <c r="O548" s="104" t="str">
        <f>IF(Main[[#This Row],[Tech Start Date]]&lt;1/1/1990,"",IF(Main[[#This Row],[Class]]="C",WORKDAY(Main[[#This Row],[Tech Start Date]],23),IF(Main[[#This Row],[Class]]="B", WORKDAY(Main[[#This Row],[Tech Start Date]],15),IF(Main[[#This Row],[Class]]="A",WORKDAY(Main[[#This Row],[Tech Start Date]],5),""))))</f>
        <v/>
      </c>
      <c r="P548" s="104" t="str">
        <f>IF(Main[[#This Row],[Tech Start Date]]&lt;1/1/1990,"",IF(Main[[#This Row],[Class]]="C",WORKDAY(Main[[#This Row],[Tech Start Date]],28),IF(Main[[#This Row],[Class]]="B", WORKDAY(Main[[#This Row],[Tech Start Date]],19),IF(Main[[#This Row],[Class]]="A",WORKDAY(Main[[#This Row],[Tech Start Date]],9),""))))</f>
        <v/>
      </c>
      <c r="Q548" s="101">
        <v>40266</v>
      </c>
      <c r="R548" s="101"/>
      <c r="S548" s="99" t="s">
        <v>11</v>
      </c>
      <c r="T548" s="107" t="s">
        <v>4</v>
      </c>
      <c r="U548" s="99" t="s">
        <v>14</v>
      </c>
      <c r="V548" s="99" t="s">
        <v>1965</v>
      </c>
      <c r="W548" s="99" t="s">
        <v>1967</v>
      </c>
    </row>
    <row r="549" spans="1:23" ht="18.600000000000001" customHeight="1">
      <c r="A549" s="123" t="str">
        <f>IF(priority(Main[[#This Row],[Comments]])&lt;&gt;0, priority(Main[[#This Row],[Comments]]),"")</f>
        <v/>
      </c>
      <c r="B549" s="127" t="s">
        <v>1414</v>
      </c>
      <c r="C549" s="99" t="s">
        <v>138</v>
      </c>
      <c r="D549" s="100" t="s">
        <v>137</v>
      </c>
      <c r="E549" s="101"/>
      <c r="F549" s="101">
        <v>40787</v>
      </c>
      <c r="G549" s="102" t="str">
        <f>IF(stdProdLT(Main[[#This Row],[Comments]])=0.1,"N/A",IF(stdProdLT(Main[[#This Row],[Comments]])=0,"",stdProdLT(Main[[#This Row],[Comments]])))</f>
        <v/>
      </c>
      <c r="H549" s="103" t="str">
        <f>IF(AND(Main[[#This Row],[In Stock Date]]&lt;&gt;"",Main[[#This Row],[Revised Due Date]]&lt;&gt;""),Main[[#This Row],[In Stock Date]]-Main[[#This Row],[Revised Due Date]],"")</f>
        <v/>
      </c>
      <c r="I549" s="99" t="s">
        <v>4</v>
      </c>
      <c r="J549" s="99" t="s">
        <v>4</v>
      </c>
      <c r="K549" s="108" t="s">
        <v>4</v>
      </c>
      <c r="L549" s="101"/>
      <c r="M549" s="104" t="str">
        <f>IF(Main[[#This Row],[Tech Start Date]]&lt;1/1/1990,"",IF(Main[[#This Row],[Class]]="C",WORKDAY(Main[[#This Row],[Tech Start Date]],9),IF(Main[[#This Row],[Class]]="B", WORKDAY(Main[[#This Row],[Tech Start Date]],6),IF(Main[[#This Row],[Class]]="A",WORKDAY(Main[[#This Row],[Tech Start Date]],2),""))))</f>
        <v/>
      </c>
      <c r="N549" s="104" t="str">
        <f>IF(Main[[#This Row],[Tech Start Date]]&lt;1/1/1990,"",IF(Main[[#This Row],[Class]]="C",WORKDAY(Main[[#This Row],[Tech Start Date]],19),IF(Main[[#This Row],[Class]]="B", WORKDAY(Main[[#This Row],[Tech Start Date]],12),IF(Main[[#This Row],[Class]]="A",WORKDAY(Main[[#This Row],[Tech Start Date]],4),""))))</f>
        <v/>
      </c>
      <c r="O549" s="104" t="str">
        <f>IF(Main[[#This Row],[Tech Start Date]]&lt;1/1/1990,"",IF(Main[[#This Row],[Class]]="C",WORKDAY(Main[[#This Row],[Tech Start Date]],23),IF(Main[[#This Row],[Class]]="B", WORKDAY(Main[[#This Row],[Tech Start Date]],15),IF(Main[[#This Row],[Class]]="A",WORKDAY(Main[[#This Row],[Tech Start Date]],5),""))))</f>
        <v/>
      </c>
      <c r="P549" s="104" t="str">
        <f>IF(Main[[#This Row],[Tech Start Date]]&lt;1/1/1990,"",IF(Main[[#This Row],[Class]]="C",WORKDAY(Main[[#This Row],[Tech Start Date]],28),IF(Main[[#This Row],[Class]]="B", WORKDAY(Main[[#This Row],[Tech Start Date]],19),IF(Main[[#This Row],[Class]]="A",WORKDAY(Main[[#This Row],[Tech Start Date]],9),""))))</f>
        <v/>
      </c>
      <c r="Q549" s="101"/>
      <c r="R549" s="101"/>
      <c r="S549" s="99" t="s">
        <v>11</v>
      </c>
      <c r="T549" s="107" t="s">
        <v>4</v>
      </c>
      <c r="U549" s="99" t="s">
        <v>14</v>
      </c>
      <c r="V549" s="99" t="s">
        <v>1962</v>
      </c>
      <c r="W549" s="99" t="s">
        <v>1968</v>
      </c>
    </row>
    <row r="550" spans="1:23" ht="18.600000000000001" customHeight="1">
      <c r="A550" s="123" t="str">
        <f>IF(priority(Main[[#This Row],[Comments]])&lt;&gt;0, priority(Main[[#This Row],[Comments]]),"")</f>
        <v/>
      </c>
      <c r="B550" s="127" t="s">
        <v>1415</v>
      </c>
      <c r="C550" s="99" t="s">
        <v>4</v>
      </c>
      <c r="D550" s="100" t="s">
        <v>475</v>
      </c>
      <c r="E550" s="101">
        <v>40704.209918981483</v>
      </c>
      <c r="F550" s="101"/>
      <c r="G550" s="102" t="str">
        <f>IF(stdProdLT(Main[[#This Row],[Comments]])=0.1,"N/A",IF(stdProdLT(Main[[#This Row],[Comments]])=0,"",stdProdLT(Main[[#This Row],[Comments]])))</f>
        <v/>
      </c>
      <c r="H550" s="103" t="str">
        <f>IF(AND(Main[[#This Row],[In Stock Date]]&lt;&gt;"",Main[[#This Row],[Revised Due Date]]&lt;&gt;""),Main[[#This Row],[In Stock Date]]-Main[[#This Row],[Revised Due Date]],"")</f>
        <v/>
      </c>
      <c r="I550" s="99" t="s">
        <v>4</v>
      </c>
      <c r="J550" s="99" t="s">
        <v>4</v>
      </c>
      <c r="K550" s="99" t="s">
        <v>4</v>
      </c>
      <c r="L550" s="101"/>
      <c r="M550" s="104" t="str">
        <f>IF(Main[[#This Row],[Tech Start Date]]&lt;1/1/1990,"",IF(Main[[#This Row],[Class]]="C",WORKDAY(Main[[#This Row],[Tech Start Date]],9),IF(Main[[#This Row],[Class]]="B", WORKDAY(Main[[#This Row],[Tech Start Date]],6),IF(Main[[#This Row],[Class]]="A",WORKDAY(Main[[#This Row],[Tech Start Date]],2),""))))</f>
        <v/>
      </c>
      <c r="N550" s="104" t="str">
        <f>IF(Main[[#This Row],[Tech Start Date]]&lt;1/1/1990,"",IF(Main[[#This Row],[Class]]="C",WORKDAY(Main[[#This Row],[Tech Start Date]],19),IF(Main[[#This Row],[Class]]="B", WORKDAY(Main[[#This Row],[Tech Start Date]],12),IF(Main[[#This Row],[Class]]="A",WORKDAY(Main[[#This Row],[Tech Start Date]],4),""))))</f>
        <v/>
      </c>
      <c r="O550" s="104" t="str">
        <f>IF(Main[[#This Row],[Tech Start Date]]&lt;1/1/1990,"",IF(Main[[#This Row],[Class]]="C",WORKDAY(Main[[#This Row],[Tech Start Date]],23),IF(Main[[#This Row],[Class]]="B", WORKDAY(Main[[#This Row],[Tech Start Date]],15),IF(Main[[#This Row],[Class]]="A",WORKDAY(Main[[#This Row],[Tech Start Date]],5),""))))</f>
        <v/>
      </c>
      <c r="P550" s="104" t="str">
        <f>IF(Main[[#This Row],[Tech Start Date]]&lt;1/1/1990,"",IF(Main[[#This Row],[Class]]="C",WORKDAY(Main[[#This Row],[Tech Start Date]],28),IF(Main[[#This Row],[Class]]="B", WORKDAY(Main[[#This Row],[Tech Start Date]],19),IF(Main[[#This Row],[Class]]="A",WORKDAY(Main[[#This Row],[Tech Start Date]],9),""))))</f>
        <v/>
      </c>
      <c r="Q550" s="101">
        <v>40725</v>
      </c>
      <c r="R550" s="101"/>
      <c r="S550" s="99" t="s">
        <v>6</v>
      </c>
      <c r="T550" s="107" t="s">
        <v>4</v>
      </c>
      <c r="U550" s="99" t="s">
        <v>7</v>
      </c>
      <c r="V550" s="99" t="s">
        <v>1962</v>
      </c>
      <c r="W550" s="99" t="s">
        <v>4</v>
      </c>
    </row>
    <row r="551" spans="1:23" ht="18.600000000000001" customHeight="1">
      <c r="A551" s="123" t="str">
        <f>IF(priority(Main[[#This Row],[Comments]])&lt;&gt;0, priority(Main[[#This Row],[Comments]]),"")</f>
        <v/>
      </c>
      <c r="B551" s="127" t="s">
        <v>1416</v>
      </c>
      <c r="C551" s="99" t="s">
        <v>31</v>
      </c>
      <c r="D551" s="100" t="s">
        <v>476</v>
      </c>
      <c r="E551" s="101"/>
      <c r="F551" s="101">
        <v>40230</v>
      </c>
      <c r="G551" s="102" t="str">
        <f>IF(stdProdLT(Main[[#This Row],[Comments]])=0.1,"N/A",IF(stdProdLT(Main[[#This Row],[Comments]])=0,"",stdProdLT(Main[[#This Row],[Comments]])))</f>
        <v/>
      </c>
      <c r="H551" s="103" t="str">
        <f>IF(AND(Main[[#This Row],[In Stock Date]]&lt;&gt;"",Main[[#This Row],[Revised Due Date]]&lt;&gt;""),Main[[#This Row],[In Stock Date]]-Main[[#This Row],[Revised Due Date]],"")</f>
        <v/>
      </c>
      <c r="I551" s="99" t="s">
        <v>4</v>
      </c>
      <c r="J551" s="99" t="s">
        <v>4</v>
      </c>
      <c r="K551" s="99" t="s">
        <v>4</v>
      </c>
      <c r="L551" s="101"/>
      <c r="M551" s="104" t="str">
        <f>IF(Main[[#This Row],[Tech Start Date]]&lt;1/1/1990,"",IF(Main[[#This Row],[Class]]="C",WORKDAY(Main[[#This Row],[Tech Start Date]],9),IF(Main[[#This Row],[Class]]="B", WORKDAY(Main[[#This Row],[Tech Start Date]],6),IF(Main[[#This Row],[Class]]="A",WORKDAY(Main[[#This Row],[Tech Start Date]],2),""))))</f>
        <v/>
      </c>
      <c r="N551" s="104" t="str">
        <f>IF(Main[[#This Row],[Tech Start Date]]&lt;1/1/1990,"",IF(Main[[#This Row],[Class]]="C",WORKDAY(Main[[#This Row],[Tech Start Date]],19),IF(Main[[#This Row],[Class]]="B", WORKDAY(Main[[#This Row],[Tech Start Date]],12),IF(Main[[#This Row],[Class]]="A",WORKDAY(Main[[#This Row],[Tech Start Date]],4),""))))</f>
        <v/>
      </c>
      <c r="O551" s="104" t="str">
        <f>IF(Main[[#This Row],[Tech Start Date]]&lt;1/1/1990,"",IF(Main[[#This Row],[Class]]="C",WORKDAY(Main[[#This Row],[Tech Start Date]],23),IF(Main[[#This Row],[Class]]="B", WORKDAY(Main[[#This Row],[Tech Start Date]],15),IF(Main[[#This Row],[Class]]="A",WORKDAY(Main[[#This Row],[Tech Start Date]],5),""))))</f>
        <v/>
      </c>
      <c r="P551" s="104" t="str">
        <f>IF(Main[[#This Row],[Tech Start Date]]&lt;1/1/1990,"",IF(Main[[#This Row],[Class]]="C",WORKDAY(Main[[#This Row],[Tech Start Date]],28),IF(Main[[#This Row],[Class]]="B", WORKDAY(Main[[#This Row],[Tech Start Date]],19),IF(Main[[#This Row],[Class]]="A",WORKDAY(Main[[#This Row],[Tech Start Date]],9),""))))</f>
        <v/>
      </c>
      <c r="Q551" s="101">
        <v>40235</v>
      </c>
      <c r="R551" s="101"/>
      <c r="S551" s="99" t="s">
        <v>11</v>
      </c>
      <c r="T551" s="107" t="s">
        <v>4</v>
      </c>
      <c r="U551" s="99" t="s">
        <v>14</v>
      </c>
      <c r="V551" s="99" t="s">
        <v>1963</v>
      </c>
      <c r="W551" s="99" t="s">
        <v>1970</v>
      </c>
    </row>
    <row r="552" spans="1:23" ht="18.600000000000001" customHeight="1">
      <c r="A552" s="123" t="str">
        <f>IF(priority(Main[[#This Row],[Comments]])&lt;&gt;0, priority(Main[[#This Row],[Comments]]),"")</f>
        <v/>
      </c>
      <c r="B552" s="127" t="s">
        <v>1418</v>
      </c>
      <c r="C552" s="99" t="s">
        <v>477</v>
      </c>
      <c r="D552" s="100" t="s">
        <v>478</v>
      </c>
      <c r="E552" s="101"/>
      <c r="F552" s="101">
        <v>40450</v>
      </c>
      <c r="G552" s="102" t="str">
        <f>IF(stdProdLT(Main[[#This Row],[Comments]])=0.1,"N/A",IF(stdProdLT(Main[[#This Row],[Comments]])=0,"",stdProdLT(Main[[#This Row],[Comments]])))</f>
        <v/>
      </c>
      <c r="H552" s="103" t="str">
        <f>IF(AND(Main[[#This Row],[In Stock Date]]&lt;&gt;"",Main[[#This Row],[Revised Due Date]]&lt;&gt;""),Main[[#This Row],[In Stock Date]]-Main[[#This Row],[Revised Due Date]],"")</f>
        <v/>
      </c>
      <c r="I552" s="99" t="s">
        <v>4</v>
      </c>
      <c r="J552" s="99" t="s">
        <v>4</v>
      </c>
      <c r="K552" s="99" t="s">
        <v>4</v>
      </c>
      <c r="L552" s="101"/>
      <c r="M552" s="104" t="str">
        <f>IF(Main[[#This Row],[Tech Start Date]]&lt;1/1/1990,"",IF(Main[[#This Row],[Class]]="C",WORKDAY(Main[[#This Row],[Tech Start Date]],9),IF(Main[[#This Row],[Class]]="B", WORKDAY(Main[[#This Row],[Tech Start Date]],6),IF(Main[[#This Row],[Class]]="A",WORKDAY(Main[[#This Row],[Tech Start Date]],2),""))))</f>
        <v/>
      </c>
      <c r="N552" s="104" t="str">
        <f>IF(Main[[#This Row],[Tech Start Date]]&lt;1/1/1990,"",IF(Main[[#This Row],[Class]]="C",WORKDAY(Main[[#This Row],[Tech Start Date]],19),IF(Main[[#This Row],[Class]]="B", WORKDAY(Main[[#This Row],[Tech Start Date]],12),IF(Main[[#This Row],[Class]]="A",WORKDAY(Main[[#This Row],[Tech Start Date]],4),""))))</f>
        <v/>
      </c>
      <c r="O552" s="104" t="str">
        <f>IF(Main[[#This Row],[Tech Start Date]]&lt;1/1/1990,"",IF(Main[[#This Row],[Class]]="C",WORKDAY(Main[[#This Row],[Tech Start Date]],23),IF(Main[[#This Row],[Class]]="B", WORKDAY(Main[[#This Row],[Tech Start Date]],15),IF(Main[[#This Row],[Class]]="A",WORKDAY(Main[[#This Row],[Tech Start Date]],5),""))))</f>
        <v/>
      </c>
      <c r="P552" s="104" t="str">
        <f>IF(Main[[#This Row],[Tech Start Date]]&lt;1/1/1990,"",IF(Main[[#This Row],[Class]]="C",WORKDAY(Main[[#This Row],[Tech Start Date]],28),IF(Main[[#This Row],[Class]]="B", WORKDAY(Main[[#This Row],[Tech Start Date]],19),IF(Main[[#This Row],[Class]]="A",WORKDAY(Main[[#This Row],[Tech Start Date]],9),""))))</f>
        <v/>
      </c>
      <c r="Q552" s="101">
        <v>40421</v>
      </c>
      <c r="R552" s="101"/>
      <c r="S552" s="99" t="s">
        <v>11</v>
      </c>
      <c r="T552" s="107" t="s">
        <v>4</v>
      </c>
      <c r="U552" s="99" t="s">
        <v>14</v>
      </c>
      <c r="V552" s="99" t="s">
        <v>1965</v>
      </c>
      <c r="W552" s="99" t="s">
        <v>1967</v>
      </c>
    </row>
    <row r="553" spans="1:23" ht="18.600000000000001" customHeight="1">
      <c r="A553" s="123" t="str">
        <f>IF(priority(Main[[#This Row],[Comments]])&lt;&gt;0, priority(Main[[#This Row],[Comments]]),"")</f>
        <v/>
      </c>
      <c r="B553" s="127" t="s">
        <v>1420</v>
      </c>
      <c r="C553" s="99" t="s">
        <v>31</v>
      </c>
      <c r="D553" s="100" t="s">
        <v>479</v>
      </c>
      <c r="E553" s="101"/>
      <c r="F553" s="101"/>
      <c r="G553" s="102" t="str">
        <f>IF(stdProdLT(Main[[#This Row],[Comments]])=0.1,"N/A",IF(stdProdLT(Main[[#This Row],[Comments]])=0,"",stdProdLT(Main[[#This Row],[Comments]])))</f>
        <v/>
      </c>
      <c r="H553" s="103" t="str">
        <f>IF(AND(Main[[#This Row],[In Stock Date]]&lt;&gt;"",Main[[#This Row],[Revised Due Date]]&lt;&gt;""),Main[[#This Row],[In Stock Date]]-Main[[#This Row],[Revised Due Date]],"")</f>
        <v/>
      </c>
      <c r="I553" s="99" t="s">
        <v>4</v>
      </c>
      <c r="J553" s="99" t="s">
        <v>4</v>
      </c>
      <c r="K553" s="99" t="s">
        <v>4</v>
      </c>
      <c r="L553" s="101"/>
      <c r="M553" s="104" t="str">
        <f>IF(Main[[#This Row],[Tech Start Date]]&lt;1/1/1990,"",IF(Main[[#This Row],[Class]]="C",WORKDAY(Main[[#This Row],[Tech Start Date]],9),IF(Main[[#This Row],[Class]]="B", WORKDAY(Main[[#This Row],[Tech Start Date]],6),IF(Main[[#This Row],[Class]]="A",WORKDAY(Main[[#This Row],[Tech Start Date]],2),""))))</f>
        <v/>
      </c>
      <c r="N553" s="104" t="str">
        <f>IF(Main[[#This Row],[Tech Start Date]]&lt;1/1/1990,"",IF(Main[[#This Row],[Class]]="C",WORKDAY(Main[[#This Row],[Tech Start Date]],19),IF(Main[[#This Row],[Class]]="B", WORKDAY(Main[[#This Row],[Tech Start Date]],12),IF(Main[[#This Row],[Class]]="A",WORKDAY(Main[[#This Row],[Tech Start Date]],4),""))))</f>
        <v/>
      </c>
      <c r="O553" s="104" t="str">
        <f>IF(Main[[#This Row],[Tech Start Date]]&lt;1/1/1990,"",IF(Main[[#This Row],[Class]]="C",WORKDAY(Main[[#This Row],[Tech Start Date]],23),IF(Main[[#This Row],[Class]]="B", WORKDAY(Main[[#This Row],[Tech Start Date]],15),IF(Main[[#This Row],[Class]]="A",WORKDAY(Main[[#This Row],[Tech Start Date]],5),""))))</f>
        <v/>
      </c>
      <c r="P553" s="104" t="str">
        <f>IF(Main[[#This Row],[Tech Start Date]]&lt;1/1/1990,"",IF(Main[[#This Row],[Class]]="C",WORKDAY(Main[[#This Row],[Tech Start Date]],28),IF(Main[[#This Row],[Class]]="B", WORKDAY(Main[[#This Row],[Tech Start Date]],19),IF(Main[[#This Row],[Class]]="A",WORKDAY(Main[[#This Row],[Tech Start Date]],9),""))))</f>
        <v/>
      </c>
      <c r="Q553" s="101">
        <v>40318</v>
      </c>
      <c r="R553" s="101"/>
      <c r="S553" s="99" t="s">
        <v>11</v>
      </c>
      <c r="T553" s="107" t="s">
        <v>4</v>
      </c>
      <c r="U553" s="99" t="s">
        <v>14</v>
      </c>
      <c r="V553" s="99" t="s">
        <v>1965</v>
      </c>
      <c r="W553" s="99" t="s">
        <v>1964</v>
      </c>
    </row>
    <row r="554" spans="1:23" ht="18.600000000000001" customHeight="1">
      <c r="A554" s="123" t="str">
        <f>IF(priority(Main[[#This Row],[Comments]])&lt;&gt;0, priority(Main[[#This Row],[Comments]]),"")</f>
        <v/>
      </c>
      <c r="B554" s="127" t="s">
        <v>1422</v>
      </c>
      <c r="C554" s="99" t="s">
        <v>4</v>
      </c>
      <c r="D554" s="100" t="s">
        <v>480</v>
      </c>
      <c r="E554" s="101">
        <v>40679.254976851851</v>
      </c>
      <c r="F554" s="101"/>
      <c r="G554" s="102" t="str">
        <f>IF(stdProdLT(Main[[#This Row],[Comments]])=0.1,"N/A",IF(stdProdLT(Main[[#This Row],[Comments]])=0,"",stdProdLT(Main[[#This Row],[Comments]])))</f>
        <v/>
      </c>
      <c r="H554" s="103" t="str">
        <f>IF(AND(Main[[#This Row],[In Stock Date]]&lt;&gt;"",Main[[#This Row],[Revised Due Date]]&lt;&gt;""),Main[[#This Row],[In Stock Date]]-Main[[#This Row],[Revised Due Date]],"")</f>
        <v/>
      </c>
      <c r="I554" s="99" t="s">
        <v>4</v>
      </c>
      <c r="J554" s="99" t="s">
        <v>4</v>
      </c>
      <c r="K554" s="99" t="s">
        <v>4</v>
      </c>
      <c r="L554" s="101"/>
      <c r="M554" s="104" t="str">
        <f>IF(Main[[#This Row],[Tech Start Date]]&lt;1/1/1990,"",IF(Main[[#This Row],[Class]]="C",WORKDAY(Main[[#This Row],[Tech Start Date]],9),IF(Main[[#This Row],[Class]]="B", WORKDAY(Main[[#This Row],[Tech Start Date]],6),IF(Main[[#This Row],[Class]]="A",WORKDAY(Main[[#This Row],[Tech Start Date]],2),""))))</f>
        <v/>
      </c>
      <c r="N554" s="104" t="str">
        <f>IF(Main[[#This Row],[Tech Start Date]]&lt;1/1/1990,"",IF(Main[[#This Row],[Class]]="C",WORKDAY(Main[[#This Row],[Tech Start Date]],19),IF(Main[[#This Row],[Class]]="B", WORKDAY(Main[[#This Row],[Tech Start Date]],12),IF(Main[[#This Row],[Class]]="A",WORKDAY(Main[[#This Row],[Tech Start Date]],4),""))))</f>
        <v/>
      </c>
      <c r="O554" s="104" t="str">
        <f>IF(Main[[#This Row],[Tech Start Date]]&lt;1/1/1990,"",IF(Main[[#This Row],[Class]]="C",WORKDAY(Main[[#This Row],[Tech Start Date]],23),IF(Main[[#This Row],[Class]]="B", WORKDAY(Main[[#This Row],[Tech Start Date]],15),IF(Main[[#This Row],[Class]]="A",WORKDAY(Main[[#This Row],[Tech Start Date]],5),""))))</f>
        <v/>
      </c>
      <c r="P554" s="104" t="str">
        <f>IF(Main[[#This Row],[Tech Start Date]]&lt;1/1/1990,"",IF(Main[[#This Row],[Class]]="C",WORKDAY(Main[[#This Row],[Tech Start Date]],28),IF(Main[[#This Row],[Class]]="B", WORKDAY(Main[[#This Row],[Tech Start Date]],19),IF(Main[[#This Row],[Class]]="A",WORKDAY(Main[[#This Row],[Tech Start Date]],9),""))))</f>
        <v/>
      </c>
      <c r="Q554" s="101">
        <v>40724</v>
      </c>
      <c r="R554" s="101"/>
      <c r="S554" s="99" t="s">
        <v>6</v>
      </c>
      <c r="T554" s="107" t="s">
        <v>4</v>
      </c>
      <c r="U554" s="99" t="s">
        <v>7</v>
      </c>
      <c r="V554" s="99" t="s">
        <v>1962</v>
      </c>
      <c r="W554" s="99" t="s">
        <v>4</v>
      </c>
    </row>
    <row r="555" spans="1:23" ht="18.600000000000001" customHeight="1">
      <c r="A555" s="123" t="str">
        <f>IF(priority(Main[[#This Row],[Comments]])&lt;&gt;0, priority(Main[[#This Row],[Comments]]),"")</f>
        <v/>
      </c>
      <c r="B555" s="127" t="s">
        <v>1423</v>
      </c>
      <c r="C555" s="99" t="s">
        <v>4</v>
      </c>
      <c r="D555" s="100" t="s">
        <v>481</v>
      </c>
      <c r="E555" s="101"/>
      <c r="F555" s="101"/>
      <c r="G555" s="102" t="str">
        <f>IF(stdProdLT(Main[[#This Row],[Comments]])=0.1,"N/A",IF(stdProdLT(Main[[#This Row],[Comments]])=0,"",stdProdLT(Main[[#This Row],[Comments]])))</f>
        <v/>
      </c>
      <c r="H555" s="103" t="str">
        <f>IF(AND(Main[[#This Row],[In Stock Date]]&lt;&gt;"",Main[[#This Row],[Revised Due Date]]&lt;&gt;""),Main[[#This Row],[In Stock Date]]-Main[[#This Row],[Revised Due Date]],"")</f>
        <v/>
      </c>
      <c r="I555" s="99" t="s">
        <v>129</v>
      </c>
      <c r="J555" s="99" t="s">
        <v>4</v>
      </c>
      <c r="K555" s="99" t="s">
        <v>4</v>
      </c>
      <c r="L555" s="101"/>
      <c r="M555" s="104" t="str">
        <f>IF(Main[[#This Row],[Tech Start Date]]&lt;1/1/1990,"",IF(Main[[#This Row],[Class]]="C",WORKDAY(Main[[#This Row],[Tech Start Date]],9),IF(Main[[#This Row],[Class]]="B", WORKDAY(Main[[#This Row],[Tech Start Date]],6),IF(Main[[#This Row],[Class]]="A",WORKDAY(Main[[#This Row],[Tech Start Date]],2),""))))</f>
        <v/>
      </c>
      <c r="N555" s="104" t="str">
        <f>IF(Main[[#This Row],[Tech Start Date]]&lt;1/1/1990,"",IF(Main[[#This Row],[Class]]="C",WORKDAY(Main[[#This Row],[Tech Start Date]],19),IF(Main[[#This Row],[Class]]="B", WORKDAY(Main[[#This Row],[Tech Start Date]],12),IF(Main[[#This Row],[Class]]="A",WORKDAY(Main[[#This Row],[Tech Start Date]],4),""))))</f>
        <v/>
      </c>
      <c r="O555" s="104" t="str">
        <f>IF(Main[[#This Row],[Tech Start Date]]&lt;1/1/1990,"",IF(Main[[#This Row],[Class]]="C",WORKDAY(Main[[#This Row],[Tech Start Date]],23),IF(Main[[#This Row],[Class]]="B", WORKDAY(Main[[#This Row],[Tech Start Date]],15),IF(Main[[#This Row],[Class]]="A",WORKDAY(Main[[#This Row],[Tech Start Date]],5),""))))</f>
        <v/>
      </c>
      <c r="P555" s="104" t="str">
        <f>IF(Main[[#This Row],[Tech Start Date]]&lt;1/1/1990,"",IF(Main[[#This Row],[Class]]="C",WORKDAY(Main[[#This Row],[Tech Start Date]],28),IF(Main[[#This Row],[Class]]="B", WORKDAY(Main[[#This Row],[Tech Start Date]],19),IF(Main[[#This Row],[Class]]="A",WORKDAY(Main[[#This Row],[Tech Start Date]],9),""))))</f>
        <v/>
      </c>
      <c r="Q555" s="101">
        <v>40359</v>
      </c>
      <c r="R555" s="101"/>
      <c r="S555" s="99" t="s">
        <v>6</v>
      </c>
      <c r="T555" s="107" t="s">
        <v>4</v>
      </c>
      <c r="U555" s="99" t="s">
        <v>14</v>
      </c>
      <c r="V555" s="99" t="s">
        <v>1962</v>
      </c>
      <c r="W555" s="99" t="s">
        <v>1967</v>
      </c>
    </row>
    <row r="556" spans="1:23" ht="18.600000000000001" customHeight="1">
      <c r="A556" s="123" t="str">
        <f>IF(priority(Main[[#This Row],[Comments]])&lt;&gt;0, priority(Main[[#This Row],[Comments]]),"")</f>
        <v/>
      </c>
      <c r="B556" s="127" t="s">
        <v>1424</v>
      </c>
      <c r="C556" s="99" t="s">
        <v>4</v>
      </c>
      <c r="D556" s="100" t="s">
        <v>482</v>
      </c>
      <c r="E556" s="101"/>
      <c r="F556" s="101"/>
      <c r="G556" s="102" t="str">
        <f>IF(stdProdLT(Main[[#This Row],[Comments]])=0.1,"N/A",IF(stdProdLT(Main[[#This Row],[Comments]])=0,"",stdProdLT(Main[[#This Row],[Comments]])))</f>
        <v/>
      </c>
      <c r="H556" s="103" t="str">
        <f>IF(AND(Main[[#This Row],[In Stock Date]]&lt;&gt;"",Main[[#This Row],[Revised Due Date]]&lt;&gt;""),Main[[#This Row],[In Stock Date]]-Main[[#This Row],[Revised Due Date]],"")</f>
        <v/>
      </c>
      <c r="I556" s="99" t="s">
        <v>4</v>
      </c>
      <c r="J556" s="99" t="s">
        <v>4</v>
      </c>
      <c r="K556" s="99" t="s">
        <v>4</v>
      </c>
      <c r="L556" s="101"/>
      <c r="M556" s="104" t="str">
        <f>IF(Main[[#This Row],[Tech Start Date]]&lt;1/1/1990,"",IF(Main[[#This Row],[Class]]="C",WORKDAY(Main[[#This Row],[Tech Start Date]],9),IF(Main[[#This Row],[Class]]="B", WORKDAY(Main[[#This Row],[Tech Start Date]],6),IF(Main[[#This Row],[Class]]="A",WORKDAY(Main[[#This Row],[Tech Start Date]],2),""))))</f>
        <v/>
      </c>
      <c r="N556" s="104" t="str">
        <f>IF(Main[[#This Row],[Tech Start Date]]&lt;1/1/1990,"",IF(Main[[#This Row],[Class]]="C",WORKDAY(Main[[#This Row],[Tech Start Date]],19),IF(Main[[#This Row],[Class]]="B", WORKDAY(Main[[#This Row],[Tech Start Date]],12),IF(Main[[#This Row],[Class]]="A",WORKDAY(Main[[#This Row],[Tech Start Date]],4),""))))</f>
        <v/>
      </c>
      <c r="O556" s="104" t="str">
        <f>IF(Main[[#This Row],[Tech Start Date]]&lt;1/1/1990,"",IF(Main[[#This Row],[Class]]="C",WORKDAY(Main[[#This Row],[Tech Start Date]],23),IF(Main[[#This Row],[Class]]="B", WORKDAY(Main[[#This Row],[Tech Start Date]],15),IF(Main[[#This Row],[Class]]="A",WORKDAY(Main[[#This Row],[Tech Start Date]],5),""))))</f>
        <v/>
      </c>
      <c r="P556" s="104" t="str">
        <f>IF(Main[[#This Row],[Tech Start Date]]&lt;1/1/1990,"",IF(Main[[#This Row],[Class]]="C",WORKDAY(Main[[#This Row],[Tech Start Date]],28),IF(Main[[#This Row],[Class]]="B", WORKDAY(Main[[#This Row],[Tech Start Date]],19),IF(Main[[#This Row],[Class]]="A",WORKDAY(Main[[#This Row],[Tech Start Date]],9),""))))</f>
        <v/>
      </c>
      <c r="Q556" s="101">
        <v>40151</v>
      </c>
      <c r="R556" s="101"/>
      <c r="S556" s="99" t="s">
        <v>6</v>
      </c>
      <c r="T556" s="107" t="s">
        <v>4</v>
      </c>
      <c r="U556" s="99" t="s">
        <v>12</v>
      </c>
      <c r="V556" s="99" t="s">
        <v>1962</v>
      </c>
      <c r="W556" s="99" t="s">
        <v>1964</v>
      </c>
    </row>
    <row r="557" spans="1:23" ht="18.600000000000001" customHeight="1">
      <c r="A557" s="123" t="str">
        <f>IF(priority(Main[[#This Row],[Comments]])&lt;&gt;0, priority(Main[[#This Row],[Comments]]),"")</f>
        <v/>
      </c>
      <c r="B557" s="127" t="s">
        <v>2331</v>
      </c>
      <c r="C557" s="99" t="s">
        <v>95</v>
      </c>
      <c r="D557" s="100" t="s">
        <v>2332</v>
      </c>
      <c r="E557" s="101">
        <v>40806.589305555557</v>
      </c>
      <c r="F557" s="101"/>
      <c r="G557" s="102" t="str">
        <f>IF(stdProdLT(Main[[#This Row],[Comments]])=0.1,"N/A",IF(stdProdLT(Main[[#This Row],[Comments]])=0,"",stdProdLT(Main[[#This Row],[Comments]])))</f>
        <v/>
      </c>
      <c r="H557" s="103" t="str">
        <f>IF(AND(Main[[#This Row],[In Stock Date]]&lt;&gt;"",Main[[#This Row],[Revised Due Date]]&lt;&gt;""),Main[[#This Row],[In Stock Date]]-Main[[#This Row],[Revised Due Date]],"")</f>
        <v/>
      </c>
      <c r="I557" s="99" t="s">
        <v>4</v>
      </c>
      <c r="J557" s="99" t="s">
        <v>4</v>
      </c>
      <c r="K557" s="108" t="s">
        <v>4</v>
      </c>
      <c r="L557" s="101"/>
      <c r="M557" s="104" t="str">
        <f>IF(Main[[#This Row],[Tech Start Date]]&lt;1/1/1990,"",IF(Main[[#This Row],[Class]]="C",WORKDAY(Main[[#This Row],[Tech Start Date]],9),IF(Main[[#This Row],[Class]]="B", WORKDAY(Main[[#This Row],[Tech Start Date]],6),IF(Main[[#This Row],[Class]]="A",WORKDAY(Main[[#This Row],[Tech Start Date]],2),""))))</f>
        <v/>
      </c>
      <c r="N557" s="104" t="str">
        <f>IF(Main[[#This Row],[Tech Start Date]]&lt;1/1/1990,"",IF(Main[[#This Row],[Class]]="C",WORKDAY(Main[[#This Row],[Tech Start Date]],19),IF(Main[[#This Row],[Class]]="B", WORKDAY(Main[[#This Row],[Tech Start Date]],12),IF(Main[[#This Row],[Class]]="A",WORKDAY(Main[[#This Row],[Tech Start Date]],4),""))))</f>
        <v/>
      </c>
      <c r="O557" s="104" t="str">
        <f>IF(Main[[#This Row],[Tech Start Date]]&lt;1/1/1990,"",IF(Main[[#This Row],[Class]]="C",WORKDAY(Main[[#This Row],[Tech Start Date]],23),IF(Main[[#This Row],[Class]]="B", WORKDAY(Main[[#This Row],[Tech Start Date]],15),IF(Main[[#This Row],[Class]]="A",WORKDAY(Main[[#This Row],[Tech Start Date]],5),""))))</f>
        <v/>
      </c>
      <c r="P557" s="104" t="str">
        <f>IF(Main[[#This Row],[Tech Start Date]]&lt;1/1/1990,"",IF(Main[[#This Row],[Class]]="C",WORKDAY(Main[[#This Row],[Tech Start Date]],28),IF(Main[[#This Row],[Class]]="B", WORKDAY(Main[[#This Row],[Tech Start Date]],19),IF(Main[[#This Row],[Class]]="A",WORKDAY(Main[[#This Row],[Tech Start Date]],9),""))))</f>
        <v/>
      </c>
      <c r="Q557" s="101">
        <v>40823</v>
      </c>
      <c r="R557" s="101"/>
      <c r="S557" s="99" t="s">
        <v>17</v>
      </c>
      <c r="T557" s="107" t="s">
        <v>4</v>
      </c>
      <c r="U557" s="99" t="s">
        <v>7</v>
      </c>
      <c r="V557" s="99" t="s">
        <v>1963</v>
      </c>
      <c r="W557" s="99" t="s">
        <v>1967</v>
      </c>
    </row>
    <row r="558" spans="1:23" ht="18.600000000000001" customHeight="1">
      <c r="A558" s="123" t="str">
        <f>IF(priority(Main[[#This Row],[Comments]])&lt;&gt;0, priority(Main[[#This Row],[Comments]]),"")</f>
        <v/>
      </c>
      <c r="B558" s="127" t="s">
        <v>2293</v>
      </c>
      <c r="C558" s="99" t="s">
        <v>4</v>
      </c>
      <c r="D558" s="100" t="s">
        <v>2294</v>
      </c>
      <c r="E558" s="101"/>
      <c r="F558" s="101"/>
      <c r="G558" s="102" t="str">
        <f>IF(stdProdLT(Main[[#This Row],[Comments]])=0.1,"N/A",IF(stdProdLT(Main[[#This Row],[Comments]])=0,"",stdProdLT(Main[[#This Row],[Comments]])))</f>
        <v/>
      </c>
      <c r="H558" s="103" t="str">
        <f>IF(AND(Main[[#This Row],[In Stock Date]]&lt;&gt;"",Main[[#This Row],[Revised Due Date]]&lt;&gt;""),Main[[#This Row],[In Stock Date]]-Main[[#This Row],[Revised Due Date]],"")</f>
        <v/>
      </c>
      <c r="I558" s="99" t="s">
        <v>4</v>
      </c>
      <c r="J558" s="99" t="s">
        <v>4</v>
      </c>
      <c r="K558" s="99" t="s">
        <v>4</v>
      </c>
      <c r="L558" s="101"/>
      <c r="M558" s="104" t="str">
        <f>IF(Main[[#This Row],[Tech Start Date]]&lt;1/1/1990,"",IF(Main[[#This Row],[Class]]="C",WORKDAY(Main[[#This Row],[Tech Start Date]],9),IF(Main[[#This Row],[Class]]="B", WORKDAY(Main[[#This Row],[Tech Start Date]],6),IF(Main[[#This Row],[Class]]="A",WORKDAY(Main[[#This Row],[Tech Start Date]],2),""))))</f>
        <v/>
      </c>
      <c r="N558" s="104" t="str">
        <f>IF(Main[[#This Row],[Tech Start Date]]&lt;1/1/1990,"",IF(Main[[#This Row],[Class]]="C",WORKDAY(Main[[#This Row],[Tech Start Date]],19),IF(Main[[#This Row],[Class]]="B", WORKDAY(Main[[#This Row],[Tech Start Date]],12),IF(Main[[#This Row],[Class]]="A",WORKDAY(Main[[#This Row],[Tech Start Date]],4),""))))</f>
        <v/>
      </c>
      <c r="O558" s="104" t="str">
        <f>IF(Main[[#This Row],[Tech Start Date]]&lt;1/1/1990,"",IF(Main[[#This Row],[Class]]="C",WORKDAY(Main[[#This Row],[Tech Start Date]],23),IF(Main[[#This Row],[Class]]="B", WORKDAY(Main[[#This Row],[Tech Start Date]],15),IF(Main[[#This Row],[Class]]="A",WORKDAY(Main[[#This Row],[Tech Start Date]],5),""))))</f>
        <v/>
      </c>
      <c r="P558" s="104" t="str">
        <f>IF(Main[[#This Row],[Tech Start Date]]&lt;1/1/1990,"",IF(Main[[#This Row],[Class]]="C",WORKDAY(Main[[#This Row],[Tech Start Date]],28),IF(Main[[#This Row],[Class]]="B", WORKDAY(Main[[#This Row],[Tech Start Date]],19),IF(Main[[#This Row],[Class]]="A",WORKDAY(Main[[#This Row],[Tech Start Date]],9),""))))</f>
        <v/>
      </c>
      <c r="Q558" s="101"/>
      <c r="R558" s="101"/>
      <c r="S558" s="99" t="s">
        <v>49</v>
      </c>
      <c r="T558" s="107" t="s">
        <v>4</v>
      </c>
      <c r="U558" s="99" t="s">
        <v>14</v>
      </c>
      <c r="V558" s="99" t="s">
        <v>1963</v>
      </c>
      <c r="W558" s="99" t="s">
        <v>1966</v>
      </c>
    </row>
    <row r="559" spans="1:23" ht="18.600000000000001" customHeight="1">
      <c r="A559" s="123" t="str">
        <f>IF(priority(Main[[#This Row],[Comments]])&lt;&gt;0, priority(Main[[#This Row],[Comments]]),"")</f>
        <v/>
      </c>
      <c r="B559" s="127" t="s">
        <v>1515</v>
      </c>
      <c r="C559" s="99" t="s">
        <v>4</v>
      </c>
      <c r="D559" s="100" t="s">
        <v>363</v>
      </c>
      <c r="E559" s="101"/>
      <c r="F559" s="101"/>
      <c r="G559" s="102" t="str">
        <f>IF(stdProdLT(Main[[#This Row],[Comments]])=0.1,"N/A",IF(stdProdLT(Main[[#This Row],[Comments]])=0,"",stdProdLT(Main[[#This Row],[Comments]])))</f>
        <v/>
      </c>
      <c r="H559" s="103" t="str">
        <f>IF(AND(Main[[#This Row],[In Stock Date]]&lt;&gt;"",Main[[#This Row],[Revised Due Date]]&lt;&gt;""),Main[[#This Row],[In Stock Date]]-Main[[#This Row],[Revised Due Date]],"")</f>
        <v/>
      </c>
      <c r="I559" s="99" t="s">
        <v>4</v>
      </c>
      <c r="J559" s="99" t="s">
        <v>4</v>
      </c>
      <c r="K559" s="99" t="s">
        <v>4</v>
      </c>
      <c r="L559" s="101"/>
      <c r="M559" s="104" t="str">
        <f>IF(Main[[#This Row],[Tech Start Date]]&lt;1/1/1990,"",IF(Main[[#This Row],[Class]]="C",WORKDAY(Main[[#This Row],[Tech Start Date]],9),IF(Main[[#This Row],[Class]]="B", WORKDAY(Main[[#This Row],[Tech Start Date]],6),IF(Main[[#This Row],[Class]]="A",WORKDAY(Main[[#This Row],[Tech Start Date]],2),""))))</f>
        <v/>
      </c>
      <c r="N559" s="104" t="str">
        <f>IF(Main[[#This Row],[Tech Start Date]]&lt;1/1/1990,"",IF(Main[[#This Row],[Class]]="C",WORKDAY(Main[[#This Row],[Tech Start Date]],19),IF(Main[[#This Row],[Class]]="B", WORKDAY(Main[[#This Row],[Tech Start Date]],12),IF(Main[[#This Row],[Class]]="A",WORKDAY(Main[[#This Row],[Tech Start Date]],4),""))))</f>
        <v/>
      </c>
      <c r="O559" s="104" t="str">
        <f>IF(Main[[#This Row],[Tech Start Date]]&lt;1/1/1990,"",IF(Main[[#This Row],[Class]]="C",WORKDAY(Main[[#This Row],[Tech Start Date]],23),IF(Main[[#This Row],[Class]]="B", WORKDAY(Main[[#This Row],[Tech Start Date]],15),IF(Main[[#This Row],[Class]]="A",WORKDAY(Main[[#This Row],[Tech Start Date]],5),""))))</f>
        <v/>
      </c>
      <c r="P559" s="104" t="str">
        <f>IF(Main[[#This Row],[Tech Start Date]]&lt;1/1/1990,"",IF(Main[[#This Row],[Class]]="C",WORKDAY(Main[[#This Row],[Tech Start Date]],28),IF(Main[[#This Row],[Class]]="B", WORKDAY(Main[[#This Row],[Tech Start Date]],19),IF(Main[[#This Row],[Class]]="A",WORKDAY(Main[[#This Row],[Tech Start Date]],9),""))))</f>
        <v/>
      </c>
      <c r="Q559" s="101">
        <v>40746</v>
      </c>
      <c r="R559" s="101"/>
      <c r="S559" s="99" t="s">
        <v>6</v>
      </c>
      <c r="T559" s="107" t="s">
        <v>4</v>
      </c>
      <c r="U559" s="99" t="s">
        <v>12</v>
      </c>
      <c r="V559" s="99" t="s">
        <v>1965</v>
      </c>
      <c r="W559" s="99" t="s">
        <v>4</v>
      </c>
    </row>
    <row r="560" spans="1:23" ht="18.600000000000001" customHeight="1">
      <c r="A560" s="123" t="str">
        <f>IF(priority(Main[[#This Row],[Comments]])&lt;&gt;0, priority(Main[[#This Row],[Comments]]),"")</f>
        <v/>
      </c>
      <c r="B560" s="127" t="s">
        <v>2492</v>
      </c>
      <c r="C560" s="99" t="s">
        <v>4</v>
      </c>
      <c r="D560" s="100" t="s">
        <v>2493</v>
      </c>
      <c r="E560" s="101">
        <v>40875.61822916667</v>
      </c>
      <c r="F560" s="101"/>
      <c r="G560" s="102" t="str">
        <f>IF(stdProdLT(Main[[#This Row],[Comments]])=0.1,"N/A",IF(stdProdLT(Main[[#This Row],[Comments]])=0,"",stdProdLT(Main[[#This Row],[Comments]])))</f>
        <v/>
      </c>
      <c r="H560" s="103" t="str">
        <f>IF(AND(Main[[#This Row],[In Stock Date]]&lt;&gt;"",Main[[#This Row],[Revised Due Date]]&lt;&gt;""),Main[[#This Row],[In Stock Date]]-Main[[#This Row],[Revised Due Date]],"")</f>
        <v/>
      </c>
      <c r="I560" s="99" t="s">
        <v>4</v>
      </c>
      <c r="J560" s="99" t="s">
        <v>4</v>
      </c>
      <c r="K560" s="99" t="s">
        <v>4</v>
      </c>
      <c r="L560" s="101"/>
      <c r="M560" s="104" t="str">
        <f>IF(Main[[#This Row],[Tech Start Date]]&lt;1/1/1990,"",IF(Main[[#This Row],[Class]]="C",WORKDAY(Main[[#This Row],[Tech Start Date]],9),IF(Main[[#This Row],[Class]]="B", WORKDAY(Main[[#This Row],[Tech Start Date]],6),IF(Main[[#This Row],[Class]]="A",WORKDAY(Main[[#This Row],[Tech Start Date]],2),""))))</f>
        <v/>
      </c>
      <c r="N560" s="104" t="str">
        <f>IF(Main[[#This Row],[Tech Start Date]]&lt;1/1/1990,"",IF(Main[[#This Row],[Class]]="C",WORKDAY(Main[[#This Row],[Tech Start Date]],19),IF(Main[[#This Row],[Class]]="B", WORKDAY(Main[[#This Row],[Tech Start Date]],12),IF(Main[[#This Row],[Class]]="A",WORKDAY(Main[[#This Row],[Tech Start Date]],4),""))))</f>
        <v/>
      </c>
      <c r="O560" s="104" t="str">
        <f>IF(Main[[#This Row],[Tech Start Date]]&lt;1/1/1990,"",IF(Main[[#This Row],[Class]]="C",WORKDAY(Main[[#This Row],[Tech Start Date]],23),IF(Main[[#This Row],[Class]]="B", WORKDAY(Main[[#This Row],[Tech Start Date]],15),IF(Main[[#This Row],[Class]]="A",WORKDAY(Main[[#This Row],[Tech Start Date]],5),""))))</f>
        <v/>
      </c>
      <c r="P560" s="104" t="str">
        <f>IF(Main[[#This Row],[Tech Start Date]]&lt;1/1/1990,"",IF(Main[[#This Row],[Class]]="C",WORKDAY(Main[[#This Row],[Tech Start Date]],28),IF(Main[[#This Row],[Class]]="B", WORKDAY(Main[[#This Row],[Tech Start Date]],19),IF(Main[[#This Row],[Class]]="A",WORKDAY(Main[[#This Row],[Tech Start Date]],9),""))))</f>
        <v/>
      </c>
      <c r="Q560" s="101"/>
      <c r="R560" s="101"/>
      <c r="S560" s="99" t="s">
        <v>6</v>
      </c>
      <c r="T560" s="107" t="s">
        <v>4</v>
      </c>
      <c r="U560" s="99" t="s">
        <v>29</v>
      </c>
      <c r="V560" s="99" t="s">
        <v>1965</v>
      </c>
      <c r="W560" s="99" t="s">
        <v>1966</v>
      </c>
    </row>
    <row r="561" spans="1:23" ht="18.600000000000001" customHeight="1">
      <c r="A561" s="123" t="str">
        <f>IF(priority(Main[[#This Row],[Comments]])&lt;&gt;0, priority(Main[[#This Row],[Comments]]),"")</f>
        <v/>
      </c>
      <c r="B561" s="127" t="s">
        <v>1447</v>
      </c>
      <c r="C561" s="99" t="s">
        <v>4</v>
      </c>
      <c r="D561" s="100" t="s">
        <v>498</v>
      </c>
      <c r="E561" s="101"/>
      <c r="F561" s="101"/>
      <c r="G561" s="102" t="str">
        <f>IF(stdProdLT(Main[[#This Row],[Comments]])=0.1,"N/A",IF(stdProdLT(Main[[#This Row],[Comments]])=0,"",stdProdLT(Main[[#This Row],[Comments]])))</f>
        <v/>
      </c>
      <c r="H561" s="103" t="str">
        <f>IF(AND(Main[[#This Row],[In Stock Date]]&lt;&gt;"",Main[[#This Row],[Revised Due Date]]&lt;&gt;""),Main[[#This Row],[In Stock Date]]-Main[[#This Row],[Revised Due Date]],"")</f>
        <v/>
      </c>
      <c r="I561" s="99" t="s">
        <v>81</v>
      </c>
      <c r="J561" s="99" t="s">
        <v>4</v>
      </c>
      <c r="K561" s="99" t="s">
        <v>4</v>
      </c>
      <c r="L561" s="101"/>
      <c r="M561" s="104" t="str">
        <f>IF(Main[[#This Row],[Tech Start Date]]&lt;1/1/1990,"",IF(Main[[#This Row],[Class]]="C",WORKDAY(Main[[#This Row],[Tech Start Date]],9),IF(Main[[#This Row],[Class]]="B", WORKDAY(Main[[#This Row],[Tech Start Date]],6),IF(Main[[#This Row],[Class]]="A",WORKDAY(Main[[#This Row],[Tech Start Date]],2),""))))</f>
        <v/>
      </c>
      <c r="N561" s="104" t="str">
        <f>IF(Main[[#This Row],[Tech Start Date]]&lt;1/1/1990,"",IF(Main[[#This Row],[Class]]="C",WORKDAY(Main[[#This Row],[Tech Start Date]],19),IF(Main[[#This Row],[Class]]="B", WORKDAY(Main[[#This Row],[Tech Start Date]],12),IF(Main[[#This Row],[Class]]="A",WORKDAY(Main[[#This Row],[Tech Start Date]],4),""))))</f>
        <v/>
      </c>
      <c r="O561" s="104" t="str">
        <f>IF(Main[[#This Row],[Tech Start Date]]&lt;1/1/1990,"",IF(Main[[#This Row],[Class]]="C",WORKDAY(Main[[#This Row],[Tech Start Date]],23),IF(Main[[#This Row],[Class]]="B", WORKDAY(Main[[#This Row],[Tech Start Date]],15),IF(Main[[#This Row],[Class]]="A",WORKDAY(Main[[#This Row],[Tech Start Date]],5),""))))</f>
        <v/>
      </c>
      <c r="P561" s="104" t="str">
        <f>IF(Main[[#This Row],[Tech Start Date]]&lt;1/1/1990,"",IF(Main[[#This Row],[Class]]="C",WORKDAY(Main[[#This Row],[Tech Start Date]],28),IF(Main[[#This Row],[Class]]="B", WORKDAY(Main[[#This Row],[Tech Start Date]],19),IF(Main[[#This Row],[Class]]="A",WORKDAY(Main[[#This Row],[Tech Start Date]],9),""))))</f>
        <v/>
      </c>
      <c r="Q561" s="101">
        <v>40338</v>
      </c>
      <c r="R561" s="101"/>
      <c r="S561" s="99" t="s">
        <v>6</v>
      </c>
      <c r="T561" s="107" t="s">
        <v>4</v>
      </c>
      <c r="U561" s="99" t="s">
        <v>14</v>
      </c>
      <c r="V561" s="99" t="s">
        <v>1965</v>
      </c>
      <c r="W561" s="99" t="s">
        <v>1966</v>
      </c>
    </row>
    <row r="562" spans="1:23" ht="18.600000000000001" customHeight="1">
      <c r="A562" s="123" t="str">
        <f>IF(priority(Main[[#This Row],[Comments]])&lt;&gt;0, priority(Main[[#This Row],[Comments]]),"")</f>
        <v/>
      </c>
      <c r="B562" s="127" t="s">
        <v>1448</v>
      </c>
      <c r="C562" s="99" t="s">
        <v>499</v>
      </c>
      <c r="D562" s="100" t="s">
        <v>500</v>
      </c>
      <c r="E562" s="101"/>
      <c r="F562" s="101"/>
      <c r="G562" s="102" t="str">
        <f>IF(stdProdLT(Main[[#This Row],[Comments]])=0.1,"N/A",IF(stdProdLT(Main[[#This Row],[Comments]])=0,"",stdProdLT(Main[[#This Row],[Comments]])))</f>
        <v/>
      </c>
      <c r="H562" s="103" t="str">
        <f>IF(AND(Main[[#This Row],[In Stock Date]]&lt;&gt;"",Main[[#This Row],[Revised Due Date]]&lt;&gt;""),Main[[#This Row],[In Stock Date]]-Main[[#This Row],[Revised Due Date]],"")</f>
        <v/>
      </c>
      <c r="I562" s="99" t="s">
        <v>4</v>
      </c>
      <c r="J562" s="99" t="s">
        <v>4</v>
      </c>
      <c r="K562" s="99" t="s">
        <v>4</v>
      </c>
      <c r="L562" s="101"/>
      <c r="M562" s="104" t="str">
        <f>IF(Main[[#This Row],[Tech Start Date]]&lt;1/1/1990,"",IF(Main[[#This Row],[Class]]="C",WORKDAY(Main[[#This Row],[Tech Start Date]],9),IF(Main[[#This Row],[Class]]="B", WORKDAY(Main[[#This Row],[Tech Start Date]],6),IF(Main[[#This Row],[Class]]="A",WORKDAY(Main[[#This Row],[Tech Start Date]],2),""))))</f>
        <v/>
      </c>
      <c r="N562" s="104" t="str">
        <f>IF(Main[[#This Row],[Tech Start Date]]&lt;1/1/1990,"",IF(Main[[#This Row],[Class]]="C",WORKDAY(Main[[#This Row],[Tech Start Date]],19),IF(Main[[#This Row],[Class]]="B", WORKDAY(Main[[#This Row],[Tech Start Date]],12),IF(Main[[#This Row],[Class]]="A",WORKDAY(Main[[#This Row],[Tech Start Date]],4),""))))</f>
        <v/>
      </c>
      <c r="O562" s="104" t="str">
        <f>IF(Main[[#This Row],[Tech Start Date]]&lt;1/1/1990,"",IF(Main[[#This Row],[Class]]="C",WORKDAY(Main[[#This Row],[Tech Start Date]],23),IF(Main[[#This Row],[Class]]="B", WORKDAY(Main[[#This Row],[Tech Start Date]],15),IF(Main[[#This Row],[Class]]="A",WORKDAY(Main[[#This Row],[Tech Start Date]],5),""))))</f>
        <v/>
      </c>
      <c r="P562" s="104" t="str">
        <f>IF(Main[[#This Row],[Tech Start Date]]&lt;1/1/1990,"",IF(Main[[#This Row],[Class]]="C",WORKDAY(Main[[#This Row],[Tech Start Date]],28),IF(Main[[#This Row],[Class]]="B", WORKDAY(Main[[#This Row],[Tech Start Date]],19),IF(Main[[#This Row],[Class]]="A",WORKDAY(Main[[#This Row],[Tech Start Date]],9),""))))</f>
        <v/>
      </c>
      <c r="Q562" s="101">
        <v>40239</v>
      </c>
      <c r="R562" s="101"/>
      <c r="S562" s="99" t="s">
        <v>11</v>
      </c>
      <c r="T562" s="107" t="s">
        <v>4</v>
      </c>
      <c r="U562" s="99" t="s">
        <v>14</v>
      </c>
      <c r="V562" s="99" t="s">
        <v>1965</v>
      </c>
      <c r="W562" s="99" t="s">
        <v>1964</v>
      </c>
    </row>
    <row r="563" spans="1:23" ht="18.600000000000001" customHeight="1">
      <c r="A563" s="123" t="str">
        <f>IF(priority(Main[[#This Row],[Comments]])&lt;&gt;0, priority(Main[[#This Row],[Comments]]),"")</f>
        <v/>
      </c>
      <c r="B563" s="127" t="s">
        <v>1449</v>
      </c>
      <c r="C563" s="99" t="s">
        <v>501</v>
      </c>
      <c r="D563" s="100" t="s">
        <v>502</v>
      </c>
      <c r="E563" s="101"/>
      <c r="F563" s="101"/>
      <c r="G563" s="102" t="str">
        <f>IF(stdProdLT(Main[[#This Row],[Comments]])=0.1,"N/A",IF(stdProdLT(Main[[#This Row],[Comments]])=0,"",stdProdLT(Main[[#This Row],[Comments]])))</f>
        <v/>
      </c>
      <c r="H563" s="103" t="str">
        <f>IF(AND(Main[[#This Row],[In Stock Date]]&lt;&gt;"",Main[[#This Row],[Revised Due Date]]&lt;&gt;""),Main[[#This Row],[In Stock Date]]-Main[[#This Row],[Revised Due Date]],"")</f>
        <v/>
      </c>
      <c r="I563" s="99" t="s">
        <v>4</v>
      </c>
      <c r="J563" s="99" t="s">
        <v>4</v>
      </c>
      <c r="K563" s="99" t="s">
        <v>4</v>
      </c>
      <c r="L563" s="101"/>
      <c r="M563" s="104" t="str">
        <f>IF(Main[[#This Row],[Tech Start Date]]&lt;1/1/1990,"",IF(Main[[#This Row],[Class]]="C",WORKDAY(Main[[#This Row],[Tech Start Date]],9),IF(Main[[#This Row],[Class]]="B", WORKDAY(Main[[#This Row],[Tech Start Date]],6),IF(Main[[#This Row],[Class]]="A",WORKDAY(Main[[#This Row],[Tech Start Date]],2),""))))</f>
        <v/>
      </c>
      <c r="N563" s="104" t="str">
        <f>IF(Main[[#This Row],[Tech Start Date]]&lt;1/1/1990,"",IF(Main[[#This Row],[Class]]="C",WORKDAY(Main[[#This Row],[Tech Start Date]],19),IF(Main[[#This Row],[Class]]="B", WORKDAY(Main[[#This Row],[Tech Start Date]],12),IF(Main[[#This Row],[Class]]="A",WORKDAY(Main[[#This Row],[Tech Start Date]],4),""))))</f>
        <v/>
      </c>
      <c r="O563" s="104" t="str">
        <f>IF(Main[[#This Row],[Tech Start Date]]&lt;1/1/1990,"",IF(Main[[#This Row],[Class]]="C",WORKDAY(Main[[#This Row],[Tech Start Date]],23),IF(Main[[#This Row],[Class]]="B", WORKDAY(Main[[#This Row],[Tech Start Date]],15),IF(Main[[#This Row],[Class]]="A",WORKDAY(Main[[#This Row],[Tech Start Date]],5),""))))</f>
        <v/>
      </c>
      <c r="P563" s="104" t="str">
        <f>IF(Main[[#This Row],[Tech Start Date]]&lt;1/1/1990,"",IF(Main[[#This Row],[Class]]="C",WORKDAY(Main[[#This Row],[Tech Start Date]],28),IF(Main[[#This Row],[Class]]="B", WORKDAY(Main[[#This Row],[Tech Start Date]],19),IF(Main[[#This Row],[Class]]="A",WORKDAY(Main[[#This Row],[Tech Start Date]],9),""))))</f>
        <v/>
      </c>
      <c r="Q563" s="101"/>
      <c r="R563" s="101"/>
      <c r="S563" s="99" t="s">
        <v>11</v>
      </c>
      <c r="T563" s="107" t="s">
        <v>4</v>
      </c>
      <c r="U563" s="99" t="s">
        <v>14</v>
      </c>
      <c r="V563" s="99" t="s">
        <v>1962</v>
      </c>
      <c r="W563" s="99" t="s">
        <v>1970</v>
      </c>
    </row>
    <row r="564" spans="1:23" ht="18.600000000000001" customHeight="1">
      <c r="A564" s="123" t="str">
        <f>IF(priority(Main[[#This Row],[Comments]])&lt;&gt;0, priority(Main[[#This Row],[Comments]]),"")</f>
        <v/>
      </c>
      <c r="B564" s="127" t="s">
        <v>1450</v>
      </c>
      <c r="C564" s="99" t="s">
        <v>93</v>
      </c>
      <c r="D564" s="100" t="s">
        <v>503</v>
      </c>
      <c r="E564" s="101"/>
      <c r="F564" s="101">
        <v>40132</v>
      </c>
      <c r="G564" s="102" t="str">
        <f>IF(stdProdLT(Main[[#This Row],[Comments]])=0.1,"N/A",IF(stdProdLT(Main[[#This Row],[Comments]])=0,"",stdProdLT(Main[[#This Row],[Comments]])))</f>
        <v/>
      </c>
      <c r="H564" s="103" t="str">
        <f>IF(AND(Main[[#This Row],[In Stock Date]]&lt;&gt;"",Main[[#This Row],[Revised Due Date]]&lt;&gt;""),Main[[#This Row],[In Stock Date]]-Main[[#This Row],[Revised Due Date]],"")</f>
        <v/>
      </c>
      <c r="I564" s="99" t="s">
        <v>4</v>
      </c>
      <c r="J564" s="99" t="s">
        <v>4</v>
      </c>
      <c r="K564" s="99" t="s">
        <v>4</v>
      </c>
      <c r="L564" s="101"/>
      <c r="M564" s="104" t="str">
        <f>IF(Main[[#This Row],[Tech Start Date]]&lt;1/1/1990,"",IF(Main[[#This Row],[Class]]="C",WORKDAY(Main[[#This Row],[Tech Start Date]],9),IF(Main[[#This Row],[Class]]="B", WORKDAY(Main[[#This Row],[Tech Start Date]],6),IF(Main[[#This Row],[Class]]="A",WORKDAY(Main[[#This Row],[Tech Start Date]],2),""))))</f>
        <v/>
      </c>
      <c r="N564" s="104" t="str">
        <f>IF(Main[[#This Row],[Tech Start Date]]&lt;1/1/1990,"",IF(Main[[#This Row],[Class]]="C",WORKDAY(Main[[#This Row],[Tech Start Date]],19),IF(Main[[#This Row],[Class]]="B", WORKDAY(Main[[#This Row],[Tech Start Date]],12),IF(Main[[#This Row],[Class]]="A",WORKDAY(Main[[#This Row],[Tech Start Date]],4),""))))</f>
        <v/>
      </c>
      <c r="O564" s="104" t="str">
        <f>IF(Main[[#This Row],[Tech Start Date]]&lt;1/1/1990,"",IF(Main[[#This Row],[Class]]="C",WORKDAY(Main[[#This Row],[Tech Start Date]],23),IF(Main[[#This Row],[Class]]="B", WORKDAY(Main[[#This Row],[Tech Start Date]],15),IF(Main[[#This Row],[Class]]="A",WORKDAY(Main[[#This Row],[Tech Start Date]],5),""))))</f>
        <v/>
      </c>
      <c r="P564" s="104" t="str">
        <f>IF(Main[[#This Row],[Tech Start Date]]&lt;1/1/1990,"",IF(Main[[#This Row],[Class]]="C",WORKDAY(Main[[#This Row],[Tech Start Date]],28),IF(Main[[#This Row],[Class]]="B", WORKDAY(Main[[#This Row],[Tech Start Date]],19),IF(Main[[#This Row],[Class]]="A",WORKDAY(Main[[#This Row],[Tech Start Date]],9),""))))</f>
        <v/>
      </c>
      <c r="Q564" s="101">
        <v>40132</v>
      </c>
      <c r="R564" s="101"/>
      <c r="S564" s="99" t="s">
        <v>11</v>
      </c>
      <c r="T564" s="107" t="s">
        <v>4</v>
      </c>
      <c r="U564" s="99" t="s">
        <v>14</v>
      </c>
      <c r="V564" s="99" t="s">
        <v>1972</v>
      </c>
      <c r="W564" s="99" t="s">
        <v>1973</v>
      </c>
    </row>
    <row r="565" spans="1:23" ht="18.600000000000001" customHeight="1">
      <c r="A565" s="123" t="str">
        <f>IF(priority(Main[[#This Row],[Comments]])&lt;&gt;0, priority(Main[[#This Row],[Comments]]),"")</f>
        <v/>
      </c>
      <c r="B565" s="127" t="s">
        <v>1451</v>
      </c>
      <c r="C565" s="99" t="s">
        <v>99</v>
      </c>
      <c r="D565" s="100" t="s">
        <v>504</v>
      </c>
      <c r="E565" s="101"/>
      <c r="F565" s="101">
        <v>40435</v>
      </c>
      <c r="G565" s="102" t="str">
        <f>IF(stdProdLT(Main[[#This Row],[Comments]])=0.1,"N/A",IF(stdProdLT(Main[[#This Row],[Comments]])=0,"",stdProdLT(Main[[#This Row],[Comments]])))</f>
        <v/>
      </c>
      <c r="H565" s="103" t="str">
        <f>IF(AND(Main[[#This Row],[In Stock Date]]&lt;&gt;"",Main[[#This Row],[Revised Due Date]]&lt;&gt;""),Main[[#This Row],[In Stock Date]]-Main[[#This Row],[Revised Due Date]],"")</f>
        <v/>
      </c>
      <c r="I565" s="99" t="s">
        <v>4</v>
      </c>
      <c r="J565" s="99" t="s">
        <v>28</v>
      </c>
      <c r="K565" s="99" t="s">
        <v>4</v>
      </c>
      <c r="L565" s="101"/>
      <c r="M565" s="104" t="str">
        <f>IF(Main[[#This Row],[Tech Start Date]]&lt;1/1/1990,"",IF(Main[[#This Row],[Class]]="C",WORKDAY(Main[[#This Row],[Tech Start Date]],9),IF(Main[[#This Row],[Class]]="B", WORKDAY(Main[[#This Row],[Tech Start Date]],6),IF(Main[[#This Row],[Class]]="A",WORKDAY(Main[[#This Row],[Tech Start Date]],2),""))))</f>
        <v/>
      </c>
      <c r="N565" s="104" t="str">
        <f>IF(Main[[#This Row],[Tech Start Date]]&lt;1/1/1990,"",IF(Main[[#This Row],[Class]]="C",WORKDAY(Main[[#This Row],[Tech Start Date]],19),IF(Main[[#This Row],[Class]]="B", WORKDAY(Main[[#This Row],[Tech Start Date]],12),IF(Main[[#This Row],[Class]]="A",WORKDAY(Main[[#This Row],[Tech Start Date]],4),""))))</f>
        <v/>
      </c>
      <c r="O565" s="104" t="str">
        <f>IF(Main[[#This Row],[Tech Start Date]]&lt;1/1/1990,"",IF(Main[[#This Row],[Class]]="C",WORKDAY(Main[[#This Row],[Tech Start Date]],23),IF(Main[[#This Row],[Class]]="B", WORKDAY(Main[[#This Row],[Tech Start Date]],15),IF(Main[[#This Row],[Class]]="A",WORKDAY(Main[[#This Row],[Tech Start Date]],5),""))))</f>
        <v/>
      </c>
      <c r="P565" s="104" t="str">
        <f>IF(Main[[#This Row],[Tech Start Date]]&lt;1/1/1990,"",IF(Main[[#This Row],[Class]]="C",WORKDAY(Main[[#This Row],[Tech Start Date]],28),IF(Main[[#This Row],[Class]]="B", WORKDAY(Main[[#This Row],[Tech Start Date]],19),IF(Main[[#This Row],[Class]]="A",WORKDAY(Main[[#This Row],[Tech Start Date]],9),""))))</f>
        <v/>
      </c>
      <c r="Q565" s="101">
        <v>40435</v>
      </c>
      <c r="R565" s="101"/>
      <c r="S565" s="99" t="s">
        <v>11</v>
      </c>
      <c r="T565" s="107" t="s">
        <v>4</v>
      </c>
      <c r="U565" s="99" t="s">
        <v>14</v>
      </c>
      <c r="V565" s="99" t="s">
        <v>1965</v>
      </c>
      <c r="W565" s="99" t="s">
        <v>1967</v>
      </c>
    </row>
    <row r="566" spans="1:23" ht="18.600000000000001" customHeight="1">
      <c r="A566" s="123" t="str">
        <f>IF(priority(Main[[#This Row],[Comments]])&lt;&gt;0, priority(Main[[#This Row],[Comments]]),"")</f>
        <v/>
      </c>
      <c r="B566" s="127" t="s">
        <v>1316</v>
      </c>
      <c r="C566" s="99" t="s">
        <v>42</v>
      </c>
      <c r="D566" s="100" t="s">
        <v>360</v>
      </c>
      <c r="E566" s="101"/>
      <c r="F566" s="101"/>
      <c r="G566" s="102" t="str">
        <f>IF(stdProdLT(Main[[#This Row],[Comments]])=0.1,"N/A",IF(stdProdLT(Main[[#This Row],[Comments]])=0,"",stdProdLT(Main[[#This Row],[Comments]])))</f>
        <v/>
      </c>
      <c r="H566" s="103" t="str">
        <f>IF(AND(Main[[#This Row],[In Stock Date]]&lt;&gt;"",Main[[#This Row],[Revised Due Date]]&lt;&gt;""),Main[[#This Row],[In Stock Date]]-Main[[#This Row],[Revised Due Date]],"")</f>
        <v/>
      </c>
      <c r="I566" s="99" t="s">
        <v>4</v>
      </c>
      <c r="J566" s="99" t="s">
        <v>4</v>
      </c>
      <c r="K566" s="99" t="s">
        <v>4</v>
      </c>
      <c r="L566" s="101"/>
      <c r="M566" s="104" t="str">
        <f>IF(Main[[#This Row],[Tech Start Date]]&lt;1/1/1990,"",IF(Main[[#This Row],[Class]]="C",WORKDAY(Main[[#This Row],[Tech Start Date]],9),IF(Main[[#This Row],[Class]]="B", WORKDAY(Main[[#This Row],[Tech Start Date]],6),IF(Main[[#This Row],[Class]]="A",WORKDAY(Main[[#This Row],[Tech Start Date]],2),""))))</f>
        <v/>
      </c>
      <c r="N566" s="104" t="str">
        <f>IF(Main[[#This Row],[Tech Start Date]]&lt;1/1/1990,"",IF(Main[[#This Row],[Class]]="C",WORKDAY(Main[[#This Row],[Tech Start Date]],19),IF(Main[[#This Row],[Class]]="B", WORKDAY(Main[[#This Row],[Tech Start Date]],12),IF(Main[[#This Row],[Class]]="A",WORKDAY(Main[[#This Row],[Tech Start Date]],4),""))))</f>
        <v/>
      </c>
      <c r="O566" s="104" t="str">
        <f>IF(Main[[#This Row],[Tech Start Date]]&lt;1/1/1990,"",IF(Main[[#This Row],[Class]]="C",WORKDAY(Main[[#This Row],[Tech Start Date]],23),IF(Main[[#This Row],[Class]]="B", WORKDAY(Main[[#This Row],[Tech Start Date]],15),IF(Main[[#This Row],[Class]]="A",WORKDAY(Main[[#This Row],[Tech Start Date]],5),""))))</f>
        <v/>
      </c>
      <c r="P566" s="104" t="str">
        <f>IF(Main[[#This Row],[Tech Start Date]]&lt;1/1/1990,"",IF(Main[[#This Row],[Class]]="C",WORKDAY(Main[[#This Row],[Tech Start Date]],28),IF(Main[[#This Row],[Class]]="B", WORKDAY(Main[[#This Row],[Tech Start Date]],19),IF(Main[[#This Row],[Class]]="A",WORKDAY(Main[[#This Row],[Tech Start Date]],9),""))))</f>
        <v/>
      </c>
      <c r="Q566" s="101"/>
      <c r="R566" s="101"/>
      <c r="S566" s="99" t="s">
        <v>17</v>
      </c>
      <c r="T566" s="107" t="s">
        <v>4</v>
      </c>
      <c r="U566" s="99" t="s">
        <v>14</v>
      </c>
      <c r="V566" s="99" t="s">
        <v>1965</v>
      </c>
      <c r="W566" s="99" t="s">
        <v>4</v>
      </c>
    </row>
    <row r="567" spans="1:23" ht="18.600000000000001" customHeight="1">
      <c r="A567" s="123" t="str">
        <f>IF(priority(Main[[#This Row],[Comments]])&lt;&gt;0, priority(Main[[#This Row],[Comments]]),"")</f>
        <v/>
      </c>
      <c r="B567" s="127" t="s">
        <v>1452</v>
      </c>
      <c r="C567" s="99" t="s">
        <v>505</v>
      </c>
      <c r="D567" s="100" t="s">
        <v>506</v>
      </c>
      <c r="E567" s="101"/>
      <c r="F567" s="101">
        <v>40296</v>
      </c>
      <c r="G567" s="102" t="str">
        <f>IF(stdProdLT(Main[[#This Row],[Comments]])=0.1,"N/A",IF(stdProdLT(Main[[#This Row],[Comments]])=0,"",stdProdLT(Main[[#This Row],[Comments]])))</f>
        <v/>
      </c>
      <c r="H567" s="103" t="str">
        <f>IF(AND(Main[[#This Row],[In Stock Date]]&lt;&gt;"",Main[[#This Row],[Revised Due Date]]&lt;&gt;""),Main[[#This Row],[In Stock Date]]-Main[[#This Row],[Revised Due Date]],"")</f>
        <v/>
      </c>
      <c r="I567" s="99" t="s">
        <v>4</v>
      </c>
      <c r="J567" s="99" t="s">
        <v>4</v>
      </c>
      <c r="K567" s="99" t="s">
        <v>4</v>
      </c>
      <c r="L567" s="101"/>
      <c r="M567" s="104" t="str">
        <f>IF(Main[[#This Row],[Tech Start Date]]&lt;1/1/1990,"",IF(Main[[#This Row],[Class]]="C",WORKDAY(Main[[#This Row],[Tech Start Date]],9),IF(Main[[#This Row],[Class]]="B", WORKDAY(Main[[#This Row],[Tech Start Date]],6),IF(Main[[#This Row],[Class]]="A",WORKDAY(Main[[#This Row],[Tech Start Date]],2),""))))</f>
        <v/>
      </c>
      <c r="N567" s="104" t="str">
        <f>IF(Main[[#This Row],[Tech Start Date]]&lt;1/1/1990,"",IF(Main[[#This Row],[Class]]="C",WORKDAY(Main[[#This Row],[Tech Start Date]],19),IF(Main[[#This Row],[Class]]="B", WORKDAY(Main[[#This Row],[Tech Start Date]],12),IF(Main[[#This Row],[Class]]="A",WORKDAY(Main[[#This Row],[Tech Start Date]],4),""))))</f>
        <v/>
      </c>
      <c r="O567" s="104" t="str">
        <f>IF(Main[[#This Row],[Tech Start Date]]&lt;1/1/1990,"",IF(Main[[#This Row],[Class]]="C",WORKDAY(Main[[#This Row],[Tech Start Date]],23),IF(Main[[#This Row],[Class]]="B", WORKDAY(Main[[#This Row],[Tech Start Date]],15),IF(Main[[#This Row],[Class]]="A",WORKDAY(Main[[#This Row],[Tech Start Date]],5),""))))</f>
        <v/>
      </c>
      <c r="P567" s="104" t="str">
        <f>IF(Main[[#This Row],[Tech Start Date]]&lt;1/1/1990,"",IF(Main[[#This Row],[Class]]="C",WORKDAY(Main[[#This Row],[Tech Start Date]],28),IF(Main[[#This Row],[Class]]="B", WORKDAY(Main[[#This Row],[Tech Start Date]],19),IF(Main[[#This Row],[Class]]="A",WORKDAY(Main[[#This Row],[Tech Start Date]],9),""))))</f>
        <v/>
      </c>
      <c r="Q567" s="101"/>
      <c r="R567" s="101"/>
      <c r="S567" s="99" t="s">
        <v>11</v>
      </c>
      <c r="T567" s="107" t="s">
        <v>4</v>
      </c>
      <c r="U567" s="99" t="s">
        <v>14</v>
      </c>
      <c r="V567" s="99" t="s">
        <v>1972</v>
      </c>
      <c r="W567" s="99" t="s">
        <v>1968</v>
      </c>
    </row>
    <row r="568" spans="1:23" ht="18.600000000000001" customHeight="1">
      <c r="A568" s="123" t="str">
        <f>IF(priority(Main[[#This Row],[Comments]])&lt;&gt;0, priority(Main[[#This Row],[Comments]]),"")</f>
        <v/>
      </c>
      <c r="B568" s="127" t="s">
        <v>1900</v>
      </c>
      <c r="C568" s="99" t="s">
        <v>47</v>
      </c>
      <c r="D568" s="100" t="s">
        <v>931</v>
      </c>
      <c r="E568" s="101">
        <v>39937.592280092591</v>
      </c>
      <c r="F568" s="101"/>
      <c r="G568" s="102" t="str">
        <f>IF(stdProdLT(Main[[#This Row],[Comments]])=0.1,"N/A",IF(stdProdLT(Main[[#This Row],[Comments]])=0,"",stdProdLT(Main[[#This Row],[Comments]])))</f>
        <v/>
      </c>
      <c r="H568" s="103" t="str">
        <f>IF(AND(Main[[#This Row],[In Stock Date]]&lt;&gt;"",Main[[#This Row],[Revised Due Date]]&lt;&gt;""),Main[[#This Row],[In Stock Date]]-Main[[#This Row],[Revised Due Date]],"")</f>
        <v/>
      </c>
      <c r="I568" s="99" t="s">
        <v>905</v>
      </c>
      <c r="J568" s="99" t="s">
        <v>4</v>
      </c>
      <c r="K568" s="99" t="s">
        <v>1974</v>
      </c>
      <c r="L568" s="101"/>
      <c r="M568" s="104" t="str">
        <f>IF(Main[[#This Row],[Tech Start Date]]&lt;1/1/1990,"",IF(Main[[#This Row],[Class]]="C",WORKDAY(Main[[#This Row],[Tech Start Date]],9),IF(Main[[#This Row],[Class]]="B", WORKDAY(Main[[#This Row],[Tech Start Date]],6),IF(Main[[#This Row],[Class]]="A",WORKDAY(Main[[#This Row],[Tech Start Date]],2),""))))</f>
        <v/>
      </c>
      <c r="N568" s="104" t="str">
        <f>IF(Main[[#This Row],[Tech Start Date]]&lt;1/1/1990,"",IF(Main[[#This Row],[Class]]="C",WORKDAY(Main[[#This Row],[Tech Start Date]],19),IF(Main[[#This Row],[Class]]="B", WORKDAY(Main[[#This Row],[Tech Start Date]],12),IF(Main[[#This Row],[Class]]="A",WORKDAY(Main[[#This Row],[Tech Start Date]],4),""))))</f>
        <v/>
      </c>
      <c r="O568" s="104" t="str">
        <f>IF(Main[[#This Row],[Tech Start Date]]&lt;1/1/1990,"",IF(Main[[#This Row],[Class]]="C",WORKDAY(Main[[#This Row],[Tech Start Date]],23),IF(Main[[#This Row],[Class]]="B", WORKDAY(Main[[#This Row],[Tech Start Date]],15),IF(Main[[#This Row],[Class]]="A",WORKDAY(Main[[#This Row],[Tech Start Date]],5),""))))</f>
        <v/>
      </c>
      <c r="P568" s="104" t="str">
        <f>IF(Main[[#This Row],[Tech Start Date]]&lt;1/1/1990,"",IF(Main[[#This Row],[Class]]="C",WORKDAY(Main[[#This Row],[Tech Start Date]],28),IF(Main[[#This Row],[Class]]="B", WORKDAY(Main[[#This Row],[Tech Start Date]],19),IF(Main[[#This Row],[Class]]="A",WORKDAY(Main[[#This Row],[Tech Start Date]],9),""))))</f>
        <v/>
      </c>
      <c r="Q568" s="101">
        <v>40209</v>
      </c>
      <c r="R568" s="101">
        <v>40574</v>
      </c>
      <c r="S568" s="99" t="s">
        <v>17</v>
      </c>
      <c r="T568" s="107" t="s">
        <v>4</v>
      </c>
      <c r="U568" s="99" t="s">
        <v>29</v>
      </c>
      <c r="V568" s="99" t="s">
        <v>1962</v>
      </c>
      <c r="W568" s="99" t="s">
        <v>1966</v>
      </c>
    </row>
    <row r="569" spans="1:23" ht="18.600000000000001" customHeight="1">
      <c r="A569" s="123" t="str">
        <f>IF(priority(Main[[#This Row],[Comments]])&lt;&gt;0, priority(Main[[#This Row],[Comments]]),"")</f>
        <v/>
      </c>
      <c r="B569" s="127" t="s">
        <v>1453</v>
      </c>
      <c r="C569" s="99" t="s">
        <v>507</v>
      </c>
      <c r="D569" s="100" t="s">
        <v>508</v>
      </c>
      <c r="E569" s="101"/>
      <c r="F569" s="101">
        <v>40848</v>
      </c>
      <c r="G569" s="102" t="str">
        <f>IF(stdProdLT(Main[[#This Row],[Comments]])=0.1,"N/A",IF(stdProdLT(Main[[#This Row],[Comments]])=0,"",stdProdLT(Main[[#This Row],[Comments]])))</f>
        <v/>
      </c>
      <c r="H569" s="103" t="str">
        <f>IF(AND(Main[[#This Row],[In Stock Date]]&lt;&gt;"",Main[[#This Row],[Revised Due Date]]&lt;&gt;""),Main[[#This Row],[In Stock Date]]-Main[[#This Row],[Revised Due Date]],"")</f>
        <v/>
      </c>
      <c r="I569" s="99" t="s">
        <v>4</v>
      </c>
      <c r="J569" s="99" t="s">
        <v>28</v>
      </c>
      <c r="K569" s="99" t="s">
        <v>4</v>
      </c>
      <c r="L569" s="101"/>
      <c r="M569" s="104" t="str">
        <f>IF(Main[[#This Row],[Tech Start Date]]&lt;1/1/1990,"",IF(Main[[#This Row],[Class]]="C",WORKDAY(Main[[#This Row],[Tech Start Date]],9),IF(Main[[#This Row],[Class]]="B", WORKDAY(Main[[#This Row],[Tech Start Date]],6),IF(Main[[#This Row],[Class]]="A",WORKDAY(Main[[#This Row],[Tech Start Date]],2),""))))</f>
        <v/>
      </c>
      <c r="N569" s="104" t="str">
        <f>IF(Main[[#This Row],[Tech Start Date]]&lt;1/1/1990,"",IF(Main[[#This Row],[Class]]="C",WORKDAY(Main[[#This Row],[Tech Start Date]],19),IF(Main[[#This Row],[Class]]="B", WORKDAY(Main[[#This Row],[Tech Start Date]],12),IF(Main[[#This Row],[Class]]="A",WORKDAY(Main[[#This Row],[Tech Start Date]],4),""))))</f>
        <v/>
      </c>
      <c r="O569" s="104" t="str">
        <f>IF(Main[[#This Row],[Tech Start Date]]&lt;1/1/1990,"",IF(Main[[#This Row],[Class]]="C",WORKDAY(Main[[#This Row],[Tech Start Date]],23),IF(Main[[#This Row],[Class]]="B", WORKDAY(Main[[#This Row],[Tech Start Date]],15),IF(Main[[#This Row],[Class]]="A",WORKDAY(Main[[#This Row],[Tech Start Date]],5),""))))</f>
        <v/>
      </c>
      <c r="P569" s="104" t="str">
        <f>IF(Main[[#This Row],[Tech Start Date]]&lt;1/1/1990,"",IF(Main[[#This Row],[Class]]="C",WORKDAY(Main[[#This Row],[Tech Start Date]],28),IF(Main[[#This Row],[Class]]="B", WORKDAY(Main[[#This Row],[Tech Start Date]],19),IF(Main[[#This Row],[Class]]="A",WORKDAY(Main[[#This Row],[Tech Start Date]],9),""))))</f>
        <v/>
      </c>
      <c r="Q569" s="101">
        <v>40627</v>
      </c>
      <c r="R569" s="101"/>
      <c r="S569" s="99" t="s">
        <v>11</v>
      </c>
      <c r="T569" s="107" t="s">
        <v>4</v>
      </c>
      <c r="U569" s="99" t="s">
        <v>14</v>
      </c>
      <c r="V569" s="99" t="s">
        <v>1965</v>
      </c>
      <c r="W569" s="99" t="s">
        <v>1968</v>
      </c>
    </row>
    <row r="570" spans="1:23" ht="18.600000000000001" customHeight="1">
      <c r="A570" s="123" t="str">
        <f>IF(priority(Main[[#This Row],[Comments]])&lt;&gt;0, priority(Main[[#This Row],[Comments]]),"")</f>
        <v/>
      </c>
      <c r="B570" s="127" t="s">
        <v>1454</v>
      </c>
      <c r="C570" s="99" t="s">
        <v>4</v>
      </c>
      <c r="D570" s="100" t="s">
        <v>1998</v>
      </c>
      <c r="E570" s="101"/>
      <c r="F570" s="101"/>
      <c r="G570" s="102" t="str">
        <f>IF(stdProdLT(Main[[#This Row],[Comments]])=0.1,"N/A",IF(stdProdLT(Main[[#This Row],[Comments]])=0,"",stdProdLT(Main[[#This Row],[Comments]])))</f>
        <v/>
      </c>
      <c r="H570" s="103" t="str">
        <f>IF(AND(Main[[#This Row],[In Stock Date]]&lt;&gt;"",Main[[#This Row],[Revised Due Date]]&lt;&gt;""),Main[[#This Row],[In Stock Date]]-Main[[#This Row],[Revised Due Date]],"")</f>
        <v/>
      </c>
      <c r="I570" s="99" t="s">
        <v>4</v>
      </c>
      <c r="J570" s="99" t="s">
        <v>28</v>
      </c>
      <c r="K570" s="99" t="s">
        <v>1969</v>
      </c>
      <c r="L570" s="101"/>
      <c r="M570" s="104" t="str">
        <f>IF(Main[[#This Row],[Tech Start Date]]&lt;1/1/1990,"",IF(Main[[#This Row],[Class]]="C",WORKDAY(Main[[#This Row],[Tech Start Date]],9),IF(Main[[#This Row],[Class]]="B", WORKDAY(Main[[#This Row],[Tech Start Date]],6),IF(Main[[#This Row],[Class]]="A",WORKDAY(Main[[#This Row],[Tech Start Date]],2),""))))</f>
        <v/>
      </c>
      <c r="N570" s="104" t="str">
        <f>IF(Main[[#This Row],[Tech Start Date]]&lt;1/1/1990,"",IF(Main[[#This Row],[Class]]="C",WORKDAY(Main[[#This Row],[Tech Start Date]],19),IF(Main[[#This Row],[Class]]="B", WORKDAY(Main[[#This Row],[Tech Start Date]],12),IF(Main[[#This Row],[Class]]="A",WORKDAY(Main[[#This Row],[Tech Start Date]],4),""))))</f>
        <v/>
      </c>
      <c r="O570" s="104" t="str">
        <f>IF(Main[[#This Row],[Tech Start Date]]&lt;1/1/1990,"",IF(Main[[#This Row],[Class]]="C",WORKDAY(Main[[#This Row],[Tech Start Date]],23),IF(Main[[#This Row],[Class]]="B", WORKDAY(Main[[#This Row],[Tech Start Date]],15),IF(Main[[#This Row],[Class]]="A",WORKDAY(Main[[#This Row],[Tech Start Date]],5),""))))</f>
        <v/>
      </c>
      <c r="P570" s="104" t="str">
        <f>IF(Main[[#This Row],[Tech Start Date]]&lt;1/1/1990,"",IF(Main[[#This Row],[Class]]="C",WORKDAY(Main[[#This Row],[Tech Start Date]],28),IF(Main[[#This Row],[Class]]="B", WORKDAY(Main[[#This Row],[Tech Start Date]],19),IF(Main[[#This Row],[Class]]="A",WORKDAY(Main[[#This Row],[Tech Start Date]],9),""))))</f>
        <v/>
      </c>
      <c r="Q570" s="101"/>
      <c r="R570" s="101"/>
      <c r="S570" s="99" t="s">
        <v>6</v>
      </c>
      <c r="T570" s="107" t="s">
        <v>4</v>
      </c>
      <c r="U570" s="99" t="s">
        <v>14</v>
      </c>
      <c r="V570" s="99" t="s">
        <v>1963</v>
      </c>
      <c r="W570" s="99" t="s">
        <v>1964</v>
      </c>
    </row>
    <row r="571" spans="1:23" ht="18.600000000000001" customHeight="1">
      <c r="A571" s="123" t="str">
        <f>IF(priority(Main[[#This Row],[Comments]])&lt;&gt;0, priority(Main[[#This Row],[Comments]]),"")</f>
        <v/>
      </c>
      <c r="B571" s="127" t="s">
        <v>1455</v>
      </c>
      <c r="C571" s="99" t="s">
        <v>83</v>
      </c>
      <c r="D571" s="100" t="s">
        <v>509</v>
      </c>
      <c r="E571" s="101"/>
      <c r="F571" s="101"/>
      <c r="G571" s="102" t="str">
        <f>IF(stdProdLT(Main[[#This Row],[Comments]])=0.1,"N/A",IF(stdProdLT(Main[[#This Row],[Comments]])=0,"",stdProdLT(Main[[#This Row],[Comments]])))</f>
        <v/>
      </c>
      <c r="H571" s="103" t="str">
        <f>IF(AND(Main[[#This Row],[In Stock Date]]&lt;&gt;"",Main[[#This Row],[Revised Due Date]]&lt;&gt;""),Main[[#This Row],[In Stock Date]]-Main[[#This Row],[Revised Due Date]],"")</f>
        <v/>
      </c>
      <c r="I571" s="99" t="s">
        <v>4</v>
      </c>
      <c r="J571" s="99" t="s">
        <v>4</v>
      </c>
      <c r="K571" s="99" t="s">
        <v>4</v>
      </c>
      <c r="L571" s="101"/>
      <c r="M571" s="104" t="str">
        <f>IF(Main[[#This Row],[Tech Start Date]]&lt;1/1/1990,"",IF(Main[[#This Row],[Class]]="C",WORKDAY(Main[[#This Row],[Tech Start Date]],9),IF(Main[[#This Row],[Class]]="B", WORKDAY(Main[[#This Row],[Tech Start Date]],6),IF(Main[[#This Row],[Class]]="A",WORKDAY(Main[[#This Row],[Tech Start Date]],2),""))))</f>
        <v/>
      </c>
      <c r="N571" s="104" t="str">
        <f>IF(Main[[#This Row],[Tech Start Date]]&lt;1/1/1990,"",IF(Main[[#This Row],[Class]]="C",WORKDAY(Main[[#This Row],[Tech Start Date]],19),IF(Main[[#This Row],[Class]]="B", WORKDAY(Main[[#This Row],[Tech Start Date]],12),IF(Main[[#This Row],[Class]]="A",WORKDAY(Main[[#This Row],[Tech Start Date]],4),""))))</f>
        <v/>
      </c>
      <c r="O571" s="104" t="str">
        <f>IF(Main[[#This Row],[Tech Start Date]]&lt;1/1/1990,"",IF(Main[[#This Row],[Class]]="C",WORKDAY(Main[[#This Row],[Tech Start Date]],23),IF(Main[[#This Row],[Class]]="B", WORKDAY(Main[[#This Row],[Tech Start Date]],15),IF(Main[[#This Row],[Class]]="A",WORKDAY(Main[[#This Row],[Tech Start Date]],5),""))))</f>
        <v/>
      </c>
      <c r="P571" s="104" t="str">
        <f>IF(Main[[#This Row],[Tech Start Date]]&lt;1/1/1990,"",IF(Main[[#This Row],[Class]]="C",WORKDAY(Main[[#This Row],[Tech Start Date]],28),IF(Main[[#This Row],[Class]]="B", WORKDAY(Main[[#This Row],[Tech Start Date]],19),IF(Main[[#This Row],[Class]]="A",WORKDAY(Main[[#This Row],[Tech Start Date]],9),""))))</f>
        <v/>
      </c>
      <c r="Q571" s="101">
        <v>40259</v>
      </c>
      <c r="R571" s="101"/>
      <c r="S571" s="99" t="s">
        <v>11</v>
      </c>
      <c r="T571" s="107" t="s">
        <v>4</v>
      </c>
      <c r="U571" s="99" t="s">
        <v>14</v>
      </c>
      <c r="V571" s="99" t="s">
        <v>1962</v>
      </c>
      <c r="W571" s="99" t="s">
        <v>1973</v>
      </c>
    </row>
    <row r="572" spans="1:23" ht="18.600000000000001" customHeight="1">
      <c r="A572" s="123" t="str">
        <f>IF(priority(Main[[#This Row],[Comments]])&lt;&gt;0, priority(Main[[#This Row],[Comments]]),"")</f>
        <v/>
      </c>
      <c r="B572" s="127" t="s">
        <v>1456</v>
      </c>
      <c r="C572" s="99" t="s">
        <v>4</v>
      </c>
      <c r="D572" s="100" t="s">
        <v>510</v>
      </c>
      <c r="E572" s="101">
        <v>40582.330949074072</v>
      </c>
      <c r="F572" s="101">
        <v>40664</v>
      </c>
      <c r="G572" s="102" t="str">
        <f>IF(stdProdLT(Main[[#This Row],[Comments]])=0.1,"N/A",IF(stdProdLT(Main[[#This Row],[Comments]])=0,"",stdProdLT(Main[[#This Row],[Comments]])))</f>
        <v/>
      </c>
      <c r="H572" s="103" t="str">
        <f>IF(AND(Main[[#This Row],[In Stock Date]]&lt;&gt;"",Main[[#This Row],[Revised Due Date]]&lt;&gt;""),Main[[#This Row],[In Stock Date]]-Main[[#This Row],[Revised Due Date]],"")</f>
        <v/>
      </c>
      <c r="I572" s="99" t="s">
        <v>4</v>
      </c>
      <c r="J572" s="99" t="s">
        <v>28</v>
      </c>
      <c r="K572" s="99" t="s">
        <v>1969</v>
      </c>
      <c r="L572" s="101"/>
      <c r="M572" s="104" t="str">
        <f>IF(Main[[#This Row],[Tech Start Date]]&lt;1/1/1990,"",IF(Main[[#This Row],[Class]]="C",WORKDAY(Main[[#This Row],[Tech Start Date]],9),IF(Main[[#This Row],[Class]]="B", WORKDAY(Main[[#This Row],[Tech Start Date]],6),IF(Main[[#This Row],[Class]]="A",WORKDAY(Main[[#This Row],[Tech Start Date]],2),""))))</f>
        <v/>
      </c>
      <c r="N572" s="104" t="str">
        <f>IF(Main[[#This Row],[Tech Start Date]]&lt;1/1/1990,"",IF(Main[[#This Row],[Class]]="C",WORKDAY(Main[[#This Row],[Tech Start Date]],19),IF(Main[[#This Row],[Class]]="B", WORKDAY(Main[[#This Row],[Tech Start Date]],12),IF(Main[[#This Row],[Class]]="A",WORKDAY(Main[[#This Row],[Tech Start Date]],4),""))))</f>
        <v/>
      </c>
      <c r="O572" s="104" t="str">
        <f>IF(Main[[#This Row],[Tech Start Date]]&lt;1/1/1990,"",IF(Main[[#This Row],[Class]]="C",WORKDAY(Main[[#This Row],[Tech Start Date]],23),IF(Main[[#This Row],[Class]]="B", WORKDAY(Main[[#This Row],[Tech Start Date]],15),IF(Main[[#This Row],[Class]]="A",WORKDAY(Main[[#This Row],[Tech Start Date]],5),""))))</f>
        <v/>
      </c>
      <c r="P572" s="104" t="str">
        <f>IF(Main[[#This Row],[Tech Start Date]]&lt;1/1/1990,"",IF(Main[[#This Row],[Class]]="C",WORKDAY(Main[[#This Row],[Tech Start Date]],28),IF(Main[[#This Row],[Class]]="B", WORKDAY(Main[[#This Row],[Tech Start Date]],19),IF(Main[[#This Row],[Class]]="A",WORKDAY(Main[[#This Row],[Tech Start Date]],9),""))))</f>
        <v/>
      </c>
      <c r="Q572" s="101">
        <v>40664</v>
      </c>
      <c r="R572" s="101"/>
      <c r="S572" s="99" t="s">
        <v>6</v>
      </c>
      <c r="T572" s="107" t="s">
        <v>4</v>
      </c>
      <c r="U572" s="99" t="s">
        <v>7</v>
      </c>
      <c r="V572" s="99" t="s">
        <v>1962</v>
      </c>
      <c r="W572" s="99" t="s">
        <v>1964</v>
      </c>
    </row>
    <row r="573" spans="1:23" ht="18.600000000000001" customHeight="1">
      <c r="A573" s="123" t="str">
        <f>IF(priority(Main[[#This Row],[Comments]])&lt;&gt;0, priority(Main[[#This Row],[Comments]]),"")</f>
        <v/>
      </c>
      <c r="B573" s="127" t="s">
        <v>1457</v>
      </c>
      <c r="C573" s="99" t="s">
        <v>4</v>
      </c>
      <c r="D573" s="100" t="s">
        <v>511</v>
      </c>
      <c r="E573" s="101"/>
      <c r="F573" s="101"/>
      <c r="G573" s="102" t="str">
        <f>IF(stdProdLT(Main[[#This Row],[Comments]])=0.1,"N/A",IF(stdProdLT(Main[[#This Row],[Comments]])=0,"",stdProdLT(Main[[#This Row],[Comments]])))</f>
        <v/>
      </c>
      <c r="H573" s="103" t="str">
        <f>IF(AND(Main[[#This Row],[In Stock Date]]&lt;&gt;"",Main[[#This Row],[Revised Due Date]]&lt;&gt;""),Main[[#This Row],[In Stock Date]]-Main[[#This Row],[Revised Due Date]],"")</f>
        <v/>
      </c>
      <c r="I573" s="99" t="s">
        <v>4</v>
      </c>
      <c r="J573" s="99" t="s">
        <v>4</v>
      </c>
      <c r="K573" s="99" t="s">
        <v>4</v>
      </c>
      <c r="L573" s="101"/>
      <c r="M573" s="104" t="str">
        <f>IF(Main[[#This Row],[Tech Start Date]]&lt;1/1/1990,"",IF(Main[[#This Row],[Class]]="C",WORKDAY(Main[[#This Row],[Tech Start Date]],9),IF(Main[[#This Row],[Class]]="B", WORKDAY(Main[[#This Row],[Tech Start Date]],6),IF(Main[[#This Row],[Class]]="A",WORKDAY(Main[[#This Row],[Tech Start Date]],2),""))))</f>
        <v/>
      </c>
      <c r="N573" s="104" t="str">
        <f>IF(Main[[#This Row],[Tech Start Date]]&lt;1/1/1990,"",IF(Main[[#This Row],[Class]]="C",WORKDAY(Main[[#This Row],[Tech Start Date]],19),IF(Main[[#This Row],[Class]]="B", WORKDAY(Main[[#This Row],[Tech Start Date]],12),IF(Main[[#This Row],[Class]]="A",WORKDAY(Main[[#This Row],[Tech Start Date]],4),""))))</f>
        <v/>
      </c>
      <c r="O573" s="104" t="str">
        <f>IF(Main[[#This Row],[Tech Start Date]]&lt;1/1/1990,"",IF(Main[[#This Row],[Class]]="C",WORKDAY(Main[[#This Row],[Tech Start Date]],23),IF(Main[[#This Row],[Class]]="B", WORKDAY(Main[[#This Row],[Tech Start Date]],15),IF(Main[[#This Row],[Class]]="A",WORKDAY(Main[[#This Row],[Tech Start Date]],5),""))))</f>
        <v/>
      </c>
      <c r="P573" s="104" t="str">
        <f>IF(Main[[#This Row],[Tech Start Date]]&lt;1/1/1990,"",IF(Main[[#This Row],[Class]]="C",WORKDAY(Main[[#This Row],[Tech Start Date]],28),IF(Main[[#This Row],[Class]]="B", WORKDAY(Main[[#This Row],[Tech Start Date]],19),IF(Main[[#This Row],[Class]]="A",WORKDAY(Main[[#This Row],[Tech Start Date]],9),""))))</f>
        <v/>
      </c>
      <c r="Q573" s="101"/>
      <c r="R573" s="101"/>
      <c r="S573" s="99" t="s">
        <v>11</v>
      </c>
      <c r="T573" s="107" t="s">
        <v>4</v>
      </c>
      <c r="U573" s="99" t="s">
        <v>14</v>
      </c>
      <c r="V573" s="99" t="s">
        <v>1965</v>
      </c>
      <c r="W573" s="99" t="s">
        <v>1970</v>
      </c>
    </row>
    <row r="574" spans="1:23" ht="18.600000000000001" customHeight="1">
      <c r="A574" s="123" t="str">
        <f>IF(priority(Main[[#This Row],[Comments]])&lt;&gt;0, priority(Main[[#This Row],[Comments]]),"")</f>
        <v/>
      </c>
      <c r="B574" s="127" t="s">
        <v>1458</v>
      </c>
      <c r="C574" s="99" t="s">
        <v>512</v>
      </c>
      <c r="D574" s="100" t="s">
        <v>513</v>
      </c>
      <c r="E574" s="101"/>
      <c r="F574" s="101"/>
      <c r="G574" s="102" t="str">
        <f>IF(stdProdLT(Main[[#This Row],[Comments]])=0.1,"N/A",IF(stdProdLT(Main[[#This Row],[Comments]])=0,"",stdProdLT(Main[[#This Row],[Comments]])))</f>
        <v/>
      </c>
      <c r="H574" s="103" t="str">
        <f>IF(AND(Main[[#This Row],[In Stock Date]]&lt;&gt;"",Main[[#This Row],[Revised Due Date]]&lt;&gt;""),Main[[#This Row],[In Stock Date]]-Main[[#This Row],[Revised Due Date]],"")</f>
        <v/>
      </c>
      <c r="I574" s="99" t="s">
        <v>4</v>
      </c>
      <c r="J574" s="99" t="s">
        <v>4</v>
      </c>
      <c r="K574" s="99" t="s">
        <v>4</v>
      </c>
      <c r="L574" s="101"/>
      <c r="M574" s="104" t="str">
        <f>IF(Main[[#This Row],[Tech Start Date]]&lt;1/1/1990,"",IF(Main[[#This Row],[Class]]="C",WORKDAY(Main[[#This Row],[Tech Start Date]],9),IF(Main[[#This Row],[Class]]="B", WORKDAY(Main[[#This Row],[Tech Start Date]],6),IF(Main[[#This Row],[Class]]="A",WORKDAY(Main[[#This Row],[Tech Start Date]],2),""))))</f>
        <v/>
      </c>
      <c r="N574" s="104" t="str">
        <f>IF(Main[[#This Row],[Tech Start Date]]&lt;1/1/1990,"",IF(Main[[#This Row],[Class]]="C",WORKDAY(Main[[#This Row],[Tech Start Date]],19),IF(Main[[#This Row],[Class]]="B", WORKDAY(Main[[#This Row],[Tech Start Date]],12),IF(Main[[#This Row],[Class]]="A",WORKDAY(Main[[#This Row],[Tech Start Date]],4),""))))</f>
        <v/>
      </c>
      <c r="O574" s="104" t="str">
        <f>IF(Main[[#This Row],[Tech Start Date]]&lt;1/1/1990,"",IF(Main[[#This Row],[Class]]="C",WORKDAY(Main[[#This Row],[Tech Start Date]],23),IF(Main[[#This Row],[Class]]="B", WORKDAY(Main[[#This Row],[Tech Start Date]],15),IF(Main[[#This Row],[Class]]="A",WORKDAY(Main[[#This Row],[Tech Start Date]],5),""))))</f>
        <v/>
      </c>
      <c r="P574" s="104" t="str">
        <f>IF(Main[[#This Row],[Tech Start Date]]&lt;1/1/1990,"",IF(Main[[#This Row],[Class]]="C",WORKDAY(Main[[#This Row],[Tech Start Date]],28),IF(Main[[#This Row],[Class]]="B", WORKDAY(Main[[#This Row],[Tech Start Date]],19),IF(Main[[#This Row],[Class]]="A",WORKDAY(Main[[#This Row],[Tech Start Date]],9),""))))</f>
        <v/>
      </c>
      <c r="Q574" s="101">
        <v>40042</v>
      </c>
      <c r="R574" s="101"/>
      <c r="S574" s="99" t="s">
        <v>11</v>
      </c>
      <c r="T574" s="107" t="s">
        <v>4</v>
      </c>
      <c r="U574" s="99" t="s">
        <v>14</v>
      </c>
      <c r="V574" s="99" t="s">
        <v>1963</v>
      </c>
      <c r="W574" s="99" t="s">
        <v>1976</v>
      </c>
    </row>
    <row r="575" spans="1:23" ht="18.600000000000001" customHeight="1">
      <c r="A575" s="123" t="str">
        <f>IF(priority(Main[[#This Row],[Comments]])&lt;&gt;0, priority(Main[[#This Row],[Comments]]),"")</f>
        <v/>
      </c>
      <c r="B575" s="127" t="s">
        <v>2015</v>
      </c>
      <c r="C575" s="99" t="s">
        <v>4</v>
      </c>
      <c r="D575" s="100" t="s">
        <v>2016</v>
      </c>
      <c r="E575" s="101"/>
      <c r="F575" s="101"/>
      <c r="G575" s="102" t="str">
        <f>IF(stdProdLT(Main[[#This Row],[Comments]])=0.1,"N/A",IF(stdProdLT(Main[[#This Row],[Comments]])=0,"",stdProdLT(Main[[#This Row],[Comments]])))</f>
        <v/>
      </c>
      <c r="H575" s="103" t="str">
        <f>IF(AND(Main[[#This Row],[In Stock Date]]&lt;&gt;"",Main[[#This Row],[Revised Due Date]]&lt;&gt;""),Main[[#This Row],[In Stock Date]]-Main[[#This Row],[Revised Due Date]],"")</f>
        <v/>
      </c>
      <c r="I575" s="99" t="s">
        <v>4</v>
      </c>
      <c r="J575" s="99" t="s">
        <v>4</v>
      </c>
      <c r="K575" s="99" t="s">
        <v>4</v>
      </c>
      <c r="L575" s="101"/>
      <c r="M575" s="104" t="str">
        <f>IF(Main[[#This Row],[Tech Start Date]]&lt;1/1/1990,"",IF(Main[[#This Row],[Class]]="C",WORKDAY(Main[[#This Row],[Tech Start Date]],9),IF(Main[[#This Row],[Class]]="B", WORKDAY(Main[[#This Row],[Tech Start Date]],6),IF(Main[[#This Row],[Class]]="A",WORKDAY(Main[[#This Row],[Tech Start Date]],2),""))))</f>
        <v/>
      </c>
      <c r="N575" s="104" t="str">
        <f>IF(Main[[#This Row],[Tech Start Date]]&lt;1/1/1990,"",IF(Main[[#This Row],[Class]]="C",WORKDAY(Main[[#This Row],[Tech Start Date]],19),IF(Main[[#This Row],[Class]]="B", WORKDAY(Main[[#This Row],[Tech Start Date]],12),IF(Main[[#This Row],[Class]]="A",WORKDAY(Main[[#This Row],[Tech Start Date]],4),""))))</f>
        <v/>
      </c>
      <c r="O575" s="104" t="str">
        <f>IF(Main[[#This Row],[Tech Start Date]]&lt;1/1/1990,"",IF(Main[[#This Row],[Class]]="C",WORKDAY(Main[[#This Row],[Tech Start Date]],23),IF(Main[[#This Row],[Class]]="B", WORKDAY(Main[[#This Row],[Tech Start Date]],15),IF(Main[[#This Row],[Class]]="A",WORKDAY(Main[[#This Row],[Tech Start Date]],5),""))))</f>
        <v/>
      </c>
      <c r="P575" s="104" t="str">
        <f>IF(Main[[#This Row],[Tech Start Date]]&lt;1/1/1990,"",IF(Main[[#This Row],[Class]]="C",WORKDAY(Main[[#This Row],[Tech Start Date]],28),IF(Main[[#This Row],[Class]]="B", WORKDAY(Main[[#This Row],[Tech Start Date]],19),IF(Main[[#This Row],[Class]]="A",WORKDAY(Main[[#This Row],[Tech Start Date]],9),""))))</f>
        <v/>
      </c>
      <c r="Q575" s="101"/>
      <c r="R575" s="101"/>
      <c r="S575" s="99" t="s">
        <v>23</v>
      </c>
      <c r="T575" s="107" t="s">
        <v>4</v>
      </c>
      <c r="U575" s="99" t="s">
        <v>14</v>
      </c>
      <c r="V575" s="99" t="s">
        <v>1962</v>
      </c>
      <c r="W575" s="99" t="s">
        <v>1966</v>
      </c>
    </row>
    <row r="576" spans="1:23" ht="18.600000000000001" customHeight="1">
      <c r="A576" s="123" t="str">
        <f>IF(priority(Main[[#This Row],[Comments]])&lt;&gt;0, priority(Main[[#This Row],[Comments]]),"")</f>
        <v/>
      </c>
      <c r="B576" s="127" t="s">
        <v>1432</v>
      </c>
      <c r="C576" s="99" t="s">
        <v>4</v>
      </c>
      <c r="D576" s="100" t="s">
        <v>486</v>
      </c>
      <c r="E576" s="101"/>
      <c r="F576" s="101"/>
      <c r="G576" s="102" t="str">
        <f>IF(stdProdLT(Main[[#This Row],[Comments]])=0.1,"N/A",IF(stdProdLT(Main[[#This Row],[Comments]])=0,"",stdProdLT(Main[[#This Row],[Comments]])))</f>
        <v/>
      </c>
      <c r="H576" s="103" t="str">
        <f>IF(AND(Main[[#This Row],[In Stock Date]]&lt;&gt;"",Main[[#This Row],[Revised Due Date]]&lt;&gt;""),Main[[#This Row],[In Stock Date]]-Main[[#This Row],[Revised Due Date]],"")</f>
        <v/>
      </c>
      <c r="I576" s="99" t="s">
        <v>4</v>
      </c>
      <c r="J576" s="99" t="s">
        <v>4</v>
      </c>
      <c r="K576" s="99" t="s">
        <v>4</v>
      </c>
      <c r="L576" s="101"/>
      <c r="M576" s="104" t="str">
        <f>IF(Main[[#This Row],[Tech Start Date]]&lt;1/1/1990,"",IF(Main[[#This Row],[Class]]="C",WORKDAY(Main[[#This Row],[Tech Start Date]],9),IF(Main[[#This Row],[Class]]="B", WORKDAY(Main[[#This Row],[Tech Start Date]],6),IF(Main[[#This Row],[Class]]="A",WORKDAY(Main[[#This Row],[Tech Start Date]],2),""))))</f>
        <v/>
      </c>
      <c r="N576" s="104" t="str">
        <f>IF(Main[[#This Row],[Tech Start Date]]&lt;1/1/1990,"",IF(Main[[#This Row],[Class]]="C",WORKDAY(Main[[#This Row],[Tech Start Date]],19),IF(Main[[#This Row],[Class]]="B", WORKDAY(Main[[#This Row],[Tech Start Date]],12),IF(Main[[#This Row],[Class]]="A",WORKDAY(Main[[#This Row],[Tech Start Date]],4),""))))</f>
        <v/>
      </c>
      <c r="O576" s="104" t="str">
        <f>IF(Main[[#This Row],[Tech Start Date]]&lt;1/1/1990,"",IF(Main[[#This Row],[Class]]="C",WORKDAY(Main[[#This Row],[Tech Start Date]],23),IF(Main[[#This Row],[Class]]="B", WORKDAY(Main[[#This Row],[Tech Start Date]],15),IF(Main[[#This Row],[Class]]="A",WORKDAY(Main[[#This Row],[Tech Start Date]],5),""))))</f>
        <v/>
      </c>
      <c r="P576" s="104" t="str">
        <f>IF(Main[[#This Row],[Tech Start Date]]&lt;1/1/1990,"",IF(Main[[#This Row],[Class]]="C",WORKDAY(Main[[#This Row],[Tech Start Date]],28),IF(Main[[#This Row],[Class]]="B", WORKDAY(Main[[#This Row],[Tech Start Date]],19),IF(Main[[#This Row],[Class]]="A",WORKDAY(Main[[#This Row],[Tech Start Date]],9),""))))</f>
        <v/>
      </c>
      <c r="Q576" s="101"/>
      <c r="R576" s="101"/>
      <c r="S576" s="99" t="s">
        <v>4</v>
      </c>
      <c r="T576" s="109" t="s">
        <v>4</v>
      </c>
      <c r="U576" s="99" t="s">
        <v>14</v>
      </c>
      <c r="V576" s="99" t="s">
        <v>1965</v>
      </c>
      <c r="W576" s="99" t="s">
        <v>4</v>
      </c>
    </row>
    <row r="577" spans="1:23" ht="18.600000000000001" customHeight="1">
      <c r="A577" s="123" t="str">
        <f>IF(priority(Main[[#This Row],[Comments]])&lt;&gt;0, priority(Main[[#This Row],[Comments]]),"")</f>
        <v/>
      </c>
      <c r="B577" s="127" t="s">
        <v>1434</v>
      </c>
      <c r="C577" s="99" t="s">
        <v>47</v>
      </c>
      <c r="D577" s="100" t="s">
        <v>488</v>
      </c>
      <c r="E577" s="101">
        <v>39937.619513888887</v>
      </c>
      <c r="F577" s="101"/>
      <c r="G577" s="102" t="str">
        <f>IF(stdProdLT(Main[[#This Row],[Comments]])=0.1,"N/A",IF(stdProdLT(Main[[#This Row],[Comments]])=0,"",stdProdLT(Main[[#This Row],[Comments]])))</f>
        <v/>
      </c>
      <c r="H577" s="103" t="str">
        <f>IF(AND(Main[[#This Row],[In Stock Date]]&lt;&gt;"",Main[[#This Row],[Revised Due Date]]&lt;&gt;""),Main[[#This Row],[In Stock Date]]-Main[[#This Row],[Revised Due Date]],"")</f>
        <v/>
      </c>
      <c r="I577" s="99" t="s">
        <v>4</v>
      </c>
      <c r="J577" s="99" t="s">
        <v>4</v>
      </c>
      <c r="K577" s="99" t="s">
        <v>4</v>
      </c>
      <c r="L577" s="101"/>
      <c r="M577" s="104" t="str">
        <f>IF(Main[[#This Row],[Tech Start Date]]&lt;1/1/1990,"",IF(Main[[#This Row],[Class]]="C",WORKDAY(Main[[#This Row],[Tech Start Date]],9),IF(Main[[#This Row],[Class]]="B", WORKDAY(Main[[#This Row],[Tech Start Date]],6),IF(Main[[#This Row],[Class]]="A",WORKDAY(Main[[#This Row],[Tech Start Date]],2),""))))</f>
        <v/>
      </c>
      <c r="N577" s="104" t="str">
        <f>IF(Main[[#This Row],[Tech Start Date]]&lt;1/1/1990,"",IF(Main[[#This Row],[Class]]="C",WORKDAY(Main[[#This Row],[Tech Start Date]],19),IF(Main[[#This Row],[Class]]="B", WORKDAY(Main[[#This Row],[Tech Start Date]],12),IF(Main[[#This Row],[Class]]="A",WORKDAY(Main[[#This Row],[Tech Start Date]],4),""))))</f>
        <v/>
      </c>
      <c r="O577" s="104" t="str">
        <f>IF(Main[[#This Row],[Tech Start Date]]&lt;1/1/1990,"",IF(Main[[#This Row],[Class]]="C",WORKDAY(Main[[#This Row],[Tech Start Date]],23),IF(Main[[#This Row],[Class]]="B", WORKDAY(Main[[#This Row],[Tech Start Date]],15),IF(Main[[#This Row],[Class]]="A",WORKDAY(Main[[#This Row],[Tech Start Date]],5),""))))</f>
        <v/>
      </c>
      <c r="P577" s="104" t="str">
        <f>IF(Main[[#This Row],[Tech Start Date]]&lt;1/1/1990,"",IF(Main[[#This Row],[Class]]="C",WORKDAY(Main[[#This Row],[Tech Start Date]],28),IF(Main[[#This Row],[Class]]="B", WORKDAY(Main[[#This Row],[Tech Start Date]],19),IF(Main[[#This Row],[Class]]="A",WORKDAY(Main[[#This Row],[Tech Start Date]],9),""))))</f>
        <v/>
      </c>
      <c r="Q577" s="101"/>
      <c r="R577" s="101"/>
      <c r="S577" s="99" t="s">
        <v>17</v>
      </c>
      <c r="T577" s="107" t="s">
        <v>4</v>
      </c>
      <c r="U577" s="99" t="s">
        <v>7</v>
      </c>
      <c r="V577" s="99" t="s">
        <v>1965</v>
      </c>
      <c r="W577" s="99" t="s">
        <v>4</v>
      </c>
    </row>
    <row r="578" spans="1:23" ht="18.600000000000001" customHeight="1">
      <c r="A578" s="123" t="str">
        <f>IF(priority(Main[[#This Row],[Comments]])&lt;&gt;0, priority(Main[[#This Row],[Comments]]),"")</f>
        <v/>
      </c>
      <c r="B578" s="127" t="s">
        <v>1435</v>
      </c>
      <c r="C578" s="99" t="s">
        <v>93</v>
      </c>
      <c r="D578" s="100" t="s">
        <v>569</v>
      </c>
      <c r="E578" s="101"/>
      <c r="F578" s="101">
        <v>40210</v>
      </c>
      <c r="G578" s="102" t="str">
        <f>IF(stdProdLT(Main[[#This Row],[Comments]])=0.1,"N/A",IF(stdProdLT(Main[[#This Row],[Comments]])=0,"",stdProdLT(Main[[#This Row],[Comments]])))</f>
        <v/>
      </c>
      <c r="H578" s="103" t="str">
        <f>IF(AND(Main[[#This Row],[In Stock Date]]&lt;&gt;"",Main[[#This Row],[Revised Due Date]]&lt;&gt;""),Main[[#This Row],[In Stock Date]]-Main[[#This Row],[Revised Due Date]],"")</f>
        <v/>
      </c>
      <c r="I578" s="99" t="s">
        <v>4</v>
      </c>
      <c r="J578" s="99" t="s">
        <v>4</v>
      </c>
      <c r="K578" s="99" t="s">
        <v>4</v>
      </c>
      <c r="L578" s="101"/>
      <c r="M578" s="104" t="str">
        <f>IF(Main[[#This Row],[Tech Start Date]]&lt;1/1/1990,"",IF(Main[[#This Row],[Class]]="C",WORKDAY(Main[[#This Row],[Tech Start Date]],9),IF(Main[[#This Row],[Class]]="B", WORKDAY(Main[[#This Row],[Tech Start Date]],6),IF(Main[[#This Row],[Class]]="A",WORKDAY(Main[[#This Row],[Tech Start Date]],2),""))))</f>
        <v/>
      </c>
      <c r="N578" s="104" t="str">
        <f>IF(Main[[#This Row],[Tech Start Date]]&lt;1/1/1990,"",IF(Main[[#This Row],[Class]]="C",WORKDAY(Main[[#This Row],[Tech Start Date]],19),IF(Main[[#This Row],[Class]]="B", WORKDAY(Main[[#This Row],[Tech Start Date]],12),IF(Main[[#This Row],[Class]]="A",WORKDAY(Main[[#This Row],[Tech Start Date]],4),""))))</f>
        <v/>
      </c>
      <c r="O578" s="104" t="str">
        <f>IF(Main[[#This Row],[Tech Start Date]]&lt;1/1/1990,"",IF(Main[[#This Row],[Class]]="C",WORKDAY(Main[[#This Row],[Tech Start Date]],23),IF(Main[[#This Row],[Class]]="B", WORKDAY(Main[[#This Row],[Tech Start Date]],15),IF(Main[[#This Row],[Class]]="A",WORKDAY(Main[[#This Row],[Tech Start Date]],5),""))))</f>
        <v/>
      </c>
      <c r="P578" s="104" t="str">
        <f>IF(Main[[#This Row],[Tech Start Date]]&lt;1/1/1990,"",IF(Main[[#This Row],[Class]]="C",WORKDAY(Main[[#This Row],[Tech Start Date]],28),IF(Main[[#This Row],[Class]]="B", WORKDAY(Main[[#This Row],[Tech Start Date]],19),IF(Main[[#This Row],[Class]]="A",WORKDAY(Main[[#This Row],[Tech Start Date]],9),""))))</f>
        <v/>
      </c>
      <c r="Q578" s="101">
        <v>40195</v>
      </c>
      <c r="R578" s="101"/>
      <c r="S578" s="99" t="s">
        <v>11</v>
      </c>
      <c r="T578" s="107" t="s">
        <v>4</v>
      </c>
      <c r="U578" s="99" t="s">
        <v>12</v>
      </c>
      <c r="V578" s="99" t="s">
        <v>1972</v>
      </c>
      <c r="W578" s="99" t="s">
        <v>1973</v>
      </c>
    </row>
    <row r="579" spans="1:23" ht="18.600000000000001" customHeight="1">
      <c r="A579" s="123" t="str">
        <f>IF(priority(Main[[#This Row],[Comments]])&lt;&gt;0, priority(Main[[#This Row],[Comments]]),"")</f>
        <v/>
      </c>
      <c r="B579" s="127" t="s">
        <v>1784</v>
      </c>
      <c r="C579" s="99" t="s">
        <v>4</v>
      </c>
      <c r="D579" s="100" t="s">
        <v>807</v>
      </c>
      <c r="E579" s="101">
        <v>40584.406446759262</v>
      </c>
      <c r="F579" s="101">
        <v>40602</v>
      </c>
      <c r="G579" s="102" t="str">
        <f>IF(stdProdLT(Main[[#This Row],[Comments]])=0.1,"N/A",IF(stdProdLT(Main[[#This Row],[Comments]])=0,"",stdProdLT(Main[[#This Row],[Comments]])))</f>
        <v/>
      </c>
      <c r="H579" s="103" t="str">
        <f>IF(AND(Main[[#This Row],[In Stock Date]]&lt;&gt;"",Main[[#This Row],[Revised Due Date]]&lt;&gt;""),Main[[#This Row],[In Stock Date]]-Main[[#This Row],[Revised Due Date]],"")</f>
        <v/>
      </c>
      <c r="I579" s="99" t="s">
        <v>4</v>
      </c>
      <c r="J579" s="99" t="s">
        <v>28</v>
      </c>
      <c r="K579" s="99" t="s">
        <v>1974</v>
      </c>
      <c r="L579" s="101"/>
      <c r="M579" s="104" t="str">
        <f>IF(Main[[#This Row],[Tech Start Date]]&lt;1/1/1990,"",IF(Main[[#This Row],[Class]]="C",WORKDAY(Main[[#This Row],[Tech Start Date]],9),IF(Main[[#This Row],[Class]]="B", WORKDAY(Main[[#This Row],[Tech Start Date]],6),IF(Main[[#This Row],[Class]]="A",WORKDAY(Main[[#This Row],[Tech Start Date]],2),""))))</f>
        <v/>
      </c>
      <c r="N579" s="104" t="str">
        <f>IF(Main[[#This Row],[Tech Start Date]]&lt;1/1/1990,"",IF(Main[[#This Row],[Class]]="C",WORKDAY(Main[[#This Row],[Tech Start Date]],19),IF(Main[[#This Row],[Class]]="B", WORKDAY(Main[[#This Row],[Tech Start Date]],12),IF(Main[[#This Row],[Class]]="A",WORKDAY(Main[[#This Row],[Tech Start Date]],4),""))))</f>
        <v/>
      </c>
      <c r="O579" s="104" t="str">
        <f>IF(Main[[#This Row],[Tech Start Date]]&lt;1/1/1990,"",IF(Main[[#This Row],[Class]]="C",WORKDAY(Main[[#This Row],[Tech Start Date]],23),IF(Main[[#This Row],[Class]]="B", WORKDAY(Main[[#This Row],[Tech Start Date]],15),IF(Main[[#This Row],[Class]]="A",WORKDAY(Main[[#This Row],[Tech Start Date]],5),""))))</f>
        <v/>
      </c>
      <c r="P579" s="104" t="str">
        <f>IF(Main[[#This Row],[Tech Start Date]]&lt;1/1/1990,"",IF(Main[[#This Row],[Class]]="C",WORKDAY(Main[[#This Row],[Tech Start Date]],28),IF(Main[[#This Row],[Class]]="B", WORKDAY(Main[[#This Row],[Tech Start Date]],19),IF(Main[[#This Row],[Class]]="A",WORKDAY(Main[[#This Row],[Tech Start Date]],9),""))))</f>
        <v/>
      </c>
      <c r="Q579" s="101">
        <v>40602</v>
      </c>
      <c r="R579" s="101"/>
      <c r="S579" s="99" t="s">
        <v>17</v>
      </c>
      <c r="T579" s="107" t="s">
        <v>4</v>
      </c>
      <c r="U579" s="99" t="s">
        <v>7</v>
      </c>
      <c r="V579" s="99" t="s">
        <v>1962</v>
      </c>
      <c r="W579" s="99" t="s">
        <v>1970</v>
      </c>
    </row>
    <row r="580" spans="1:23" ht="18.600000000000001" customHeight="1">
      <c r="A580" s="123" t="str">
        <f>IF(priority(Main[[#This Row],[Comments]])&lt;&gt;0, priority(Main[[#This Row],[Comments]]),"")</f>
        <v/>
      </c>
      <c r="B580" s="127" t="s">
        <v>1438</v>
      </c>
      <c r="C580" s="99" t="s">
        <v>31</v>
      </c>
      <c r="D580" s="100" t="s">
        <v>490</v>
      </c>
      <c r="E580" s="101"/>
      <c r="F580" s="101"/>
      <c r="G580" s="102" t="str">
        <f>IF(stdProdLT(Main[[#This Row],[Comments]])=0.1,"N/A",IF(stdProdLT(Main[[#This Row],[Comments]])=0,"",stdProdLT(Main[[#This Row],[Comments]])))</f>
        <v/>
      </c>
      <c r="H580" s="103" t="str">
        <f>IF(AND(Main[[#This Row],[In Stock Date]]&lt;&gt;"",Main[[#This Row],[Revised Due Date]]&lt;&gt;""),Main[[#This Row],[In Stock Date]]-Main[[#This Row],[Revised Due Date]],"")</f>
        <v/>
      </c>
      <c r="I580" s="99" t="s">
        <v>4</v>
      </c>
      <c r="J580" s="99" t="s">
        <v>4</v>
      </c>
      <c r="K580" s="108" t="s">
        <v>4</v>
      </c>
      <c r="L580" s="101"/>
      <c r="M580" s="104" t="str">
        <f>IF(Main[[#This Row],[Tech Start Date]]&lt;1/1/1990,"",IF(Main[[#This Row],[Class]]="C",WORKDAY(Main[[#This Row],[Tech Start Date]],9),IF(Main[[#This Row],[Class]]="B", WORKDAY(Main[[#This Row],[Tech Start Date]],6),IF(Main[[#This Row],[Class]]="A",WORKDAY(Main[[#This Row],[Tech Start Date]],2),""))))</f>
        <v/>
      </c>
      <c r="N580" s="104" t="str">
        <f>IF(Main[[#This Row],[Tech Start Date]]&lt;1/1/1990,"",IF(Main[[#This Row],[Class]]="C",WORKDAY(Main[[#This Row],[Tech Start Date]],19),IF(Main[[#This Row],[Class]]="B", WORKDAY(Main[[#This Row],[Tech Start Date]],12),IF(Main[[#This Row],[Class]]="A",WORKDAY(Main[[#This Row],[Tech Start Date]],4),""))))</f>
        <v/>
      </c>
      <c r="O580" s="104" t="str">
        <f>IF(Main[[#This Row],[Tech Start Date]]&lt;1/1/1990,"",IF(Main[[#This Row],[Class]]="C",WORKDAY(Main[[#This Row],[Tech Start Date]],23),IF(Main[[#This Row],[Class]]="B", WORKDAY(Main[[#This Row],[Tech Start Date]],15),IF(Main[[#This Row],[Class]]="A",WORKDAY(Main[[#This Row],[Tech Start Date]],5),""))))</f>
        <v/>
      </c>
      <c r="P580" s="104" t="str">
        <f>IF(Main[[#This Row],[Tech Start Date]]&lt;1/1/1990,"",IF(Main[[#This Row],[Class]]="C",WORKDAY(Main[[#This Row],[Tech Start Date]],28),IF(Main[[#This Row],[Class]]="B", WORKDAY(Main[[#This Row],[Tech Start Date]],19),IF(Main[[#This Row],[Class]]="A",WORKDAY(Main[[#This Row],[Tech Start Date]],9),""))))</f>
        <v/>
      </c>
      <c r="Q580" s="101">
        <v>40318</v>
      </c>
      <c r="R580" s="101"/>
      <c r="S580" s="99" t="s">
        <v>11</v>
      </c>
      <c r="T580" s="107" t="s">
        <v>4</v>
      </c>
      <c r="U580" s="99" t="s">
        <v>14</v>
      </c>
      <c r="V580" s="99" t="s">
        <v>1965</v>
      </c>
      <c r="W580" s="99" t="s">
        <v>1964</v>
      </c>
    </row>
    <row r="581" spans="1:23" ht="18.600000000000001" customHeight="1">
      <c r="A581" s="123" t="str">
        <f>IF(priority(Main[[#This Row],[Comments]])&lt;&gt;0, priority(Main[[#This Row],[Comments]]),"")</f>
        <v/>
      </c>
      <c r="B581" s="127" t="s">
        <v>2490</v>
      </c>
      <c r="C581" s="99" t="s">
        <v>2060</v>
      </c>
      <c r="D581" s="100" t="s">
        <v>2491</v>
      </c>
      <c r="E581" s="101">
        <v>40823.587650462963</v>
      </c>
      <c r="F581" s="101"/>
      <c r="G581" s="102" t="str">
        <f>IF(stdProdLT(Main[[#This Row],[Comments]])=0.1,"N/A",IF(stdProdLT(Main[[#This Row],[Comments]])=0,"",stdProdLT(Main[[#This Row],[Comments]])))</f>
        <v/>
      </c>
      <c r="H581" s="103" t="str">
        <f>IF(AND(Main[[#This Row],[In Stock Date]]&lt;&gt;"",Main[[#This Row],[Revised Due Date]]&lt;&gt;""),Main[[#This Row],[In Stock Date]]-Main[[#This Row],[Revised Due Date]],"")</f>
        <v/>
      </c>
      <c r="I581" s="99" t="s">
        <v>4</v>
      </c>
      <c r="J581" s="99" t="s">
        <v>4</v>
      </c>
      <c r="K581" s="99" t="s">
        <v>4</v>
      </c>
      <c r="L581" s="101"/>
      <c r="M581" s="104" t="str">
        <f>IF(Main[[#This Row],[Tech Start Date]]&lt;1/1/1990,"",IF(Main[[#This Row],[Class]]="C",WORKDAY(Main[[#This Row],[Tech Start Date]],9),IF(Main[[#This Row],[Class]]="B", WORKDAY(Main[[#This Row],[Tech Start Date]],6),IF(Main[[#This Row],[Class]]="A",WORKDAY(Main[[#This Row],[Tech Start Date]],2),""))))</f>
        <v/>
      </c>
      <c r="N581" s="104" t="str">
        <f>IF(Main[[#This Row],[Tech Start Date]]&lt;1/1/1990,"",IF(Main[[#This Row],[Class]]="C",WORKDAY(Main[[#This Row],[Tech Start Date]],19),IF(Main[[#This Row],[Class]]="B", WORKDAY(Main[[#This Row],[Tech Start Date]],12),IF(Main[[#This Row],[Class]]="A",WORKDAY(Main[[#This Row],[Tech Start Date]],4),""))))</f>
        <v/>
      </c>
      <c r="O581" s="104" t="str">
        <f>IF(Main[[#This Row],[Tech Start Date]]&lt;1/1/1990,"",IF(Main[[#This Row],[Class]]="C",WORKDAY(Main[[#This Row],[Tech Start Date]],23),IF(Main[[#This Row],[Class]]="B", WORKDAY(Main[[#This Row],[Tech Start Date]],15),IF(Main[[#This Row],[Class]]="A",WORKDAY(Main[[#This Row],[Tech Start Date]],5),""))))</f>
        <v/>
      </c>
      <c r="P581" s="104" t="str">
        <f>IF(Main[[#This Row],[Tech Start Date]]&lt;1/1/1990,"",IF(Main[[#This Row],[Class]]="C",WORKDAY(Main[[#This Row],[Tech Start Date]],28),IF(Main[[#This Row],[Class]]="B", WORKDAY(Main[[#This Row],[Tech Start Date]],19),IF(Main[[#This Row],[Class]]="A",WORKDAY(Main[[#This Row],[Tech Start Date]],9),""))))</f>
        <v/>
      </c>
      <c r="Q581" s="101">
        <v>40908</v>
      </c>
      <c r="R581" s="101"/>
      <c r="S581" s="99" t="s">
        <v>17</v>
      </c>
      <c r="T581" s="107" t="s">
        <v>4</v>
      </c>
      <c r="U581" s="99" t="s">
        <v>7</v>
      </c>
      <c r="V581" s="99" t="s">
        <v>1965</v>
      </c>
      <c r="W581" s="99" t="s">
        <v>1964</v>
      </c>
    </row>
    <row r="582" spans="1:23" ht="18.600000000000001" customHeight="1">
      <c r="A582" s="123" t="str">
        <f>IF(priority(Main[[#This Row],[Comments]])&lt;&gt;0, priority(Main[[#This Row],[Comments]]),"")</f>
        <v/>
      </c>
      <c r="B582" s="127" t="s">
        <v>2258</v>
      </c>
      <c r="C582" s="99" t="s">
        <v>4</v>
      </c>
      <c r="D582" s="100" t="s">
        <v>2259</v>
      </c>
      <c r="E582" s="101">
        <v>40784.623067129629</v>
      </c>
      <c r="F582" s="101"/>
      <c r="G582" s="102" t="str">
        <f>IF(stdProdLT(Main[[#This Row],[Comments]])=0.1,"N/A",IF(stdProdLT(Main[[#This Row],[Comments]])=0,"",stdProdLT(Main[[#This Row],[Comments]])))</f>
        <v/>
      </c>
      <c r="H582" s="103" t="str">
        <f>IF(AND(Main[[#This Row],[In Stock Date]]&lt;&gt;"",Main[[#This Row],[Revised Due Date]]&lt;&gt;""),Main[[#This Row],[In Stock Date]]-Main[[#This Row],[Revised Due Date]],"")</f>
        <v/>
      </c>
      <c r="I582" s="99" t="s">
        <v>4</v>
      </c>
      <c r="J582" s="99" t="s">
        <v>4</v>
      </c>
      <c r="K582" s="99" t="s">
        <v>4</v>
      </c>
      <c r="L582" s="101"/>
      <c r="M582" s="104" t="str">
        <f>IF(Main[[#This Row],[Tech Start Date]]&lt;1/1/1990,"",IF(Main[[#This Row],[Class]]="C",WORKDAY(Main[[#This Row],[Tech Start Date]],9),IF(Main[[#This Row],[Class]]="B", WORKDAY(Main[[#This Row],[Tech Start Date]],6),IF(Main[[#This Row],[Class]]="A",WORKDAY(Main[[#This Row],[Tech Start Date]],2),""))))</f>
        <v/>
      </c>
      <c r="N582" s="104" t="str">
        <f>IF(Main[[#This Row],[Tech Start Date]]&lt;1/1/1990,"",IF(Main[[#This Row],[Class]]="C",WORKDAY(Main[[#This Row],[Tech Start Date]],19),IF(Main[[#This Row],[Class]]="B", WORKDAY(Main[[#This Row],[Tech Start Date]],12),IF(Main[[#This Row],[Class]]="A",WORKDAY(Main[[#This Row],[Tech Start Date]],4),""))))</f>
        <v/>
      </c>
      <c r="O582" s="104" t="str">
        <f>IF(Main[[#This Row],[Tech Start Date]]&lt;1/1/1990,"",IF(Main[[#This Row],[Class]]="C",WORKDAY(Main[[#This Row],[Tech Start Date]],23),IF(Main[[#This Row],[Class]]="B", WORKDAY(Main[[#This Row],[Tech Start Date]],15),IF(Main[[#This Row],[Class]]="A",WORKDAY(Main[[#This Row],[Tech Start Date]],5),""))))</f>
        <v/>
      </c>
      <c r="P582" s="104" t="str">
        <f>IF(Main[[#This Row],[Tech Start Date]]&lt;1/1/1990,"",IF(Main[[#This Row],[Class]]="C",WORKDAY(Main[[#This Row],[Tech Start Date]],28),IF(Main[[#This Row],[Class]]="B", WORKDAY(Main[[#This Row],[Tech Start Date]],19),IF(Main[[#This Row],[Class]]="A",WORKDAY(Main[[#This Row],[Tech Start Date]],9),""))))</f>
        <v/>
      </c>
      <c r="Q582" s="101"/>
      <c r="R582" s="101"/>
      <c r="S582" s="99" t="s">
        <v>17</v>
      </c>
      <c r="T582" s="107" t="s">
        <v>4</v>
      </c>
      <c r="U582" s="99" t="s">
        <v>7</v>
      </c>
      <c r="V582" s="99" t="s">
        <v>1965</v>
      </c>
      <c r="W582" s="99" t="s">
        <v>1967</v>
      </c>
    </row>
    <row r="583" spans="1:23" ht="18.600000000000001" customHeight="1">
      <c r="A583" s="123" t="str">
        <f>IF(priority(Main[[#This Row],[Comments]])&lt;&gt;0, priority(Main[[#This Row],[Comments]]),"")</f>
        <v/>
      </c>
      <c r="B583" s="127" t="s">
        <v>1440</v>
      </c>
      <c r="C583" s="99" t="s">
        <v>187</v>
      </c>
      <c r="D583" s="100" t="s">
        <v>492</v>
      </c>
      <c r="E583" s="101"/>
      <c r="F583" s="101"/>
      <c r="G583" s="102" t="str">
        <f>IF(stdProdLT(Main[[#This Row],[Comments]])=0.1,"N/A",IF(stdProdLT(Main[[#This Row],[Comments]])=0,"",stdProdLT(Main[[#This Row],[Comments]])))</f>
        <v/>
      </c>
      <c r="H583" s="103" t="str">
        <f>IF(AND(Main[[#This Row],[In Stock Date]]&lt;&gt;"",Main[[#This Row],[Revised Due Date]]&lt;&gt;""),Main[[#This Row],[In Stock Date]]-Main[[#This Row],[Revised Due Date]],"")</f>
        <v/>
      </c>
      <c r="I583" s="99" t="s">
        <v>4</v>
      </c>
      <c r="J583" s="99" t="s">
        <v>4</v>
      </c>
      <c r="K583" s="99" t="s">
        <v>4</v>
      </c>
      <c r="L583" s="101"/>
      <c r="M583" s="104" t="str">
        <f>IF(Main[[#This Row],[Tech Start Date]]&lt;1/1/1990,"",IF(Main[[#This Row],[Class]]="C",WORKDAY(Main[[#This Row],[Tech Start Date]],9),IF(Main[[#This Row],[Class]]="B", WORKDAY(Main[[#This Row],[Tech Start Date]],6),IF(Main[[#This Row],[Class]]="A",WORKDAY(Main[[#This Row],[Tech Start Date]],2),""))))</f>
        <v/>
      </c>
      <c r="N583" s="104" t="str">
        <f>IF(Main[[#This Row],[Tech Start Date]]&lt;1/1/1990,"",IF(Main[[#This Row],[Class]]="C",WORKDAY(Main[[#This Row],[Tech Start Date]],19),IF(Main[[#This Row],[Class]]="B", WORKDAY(Main[[#This Row],[Tech Start Date]],12),IF(Main[[#This Row],[Class]]="A",WORKDAY(Main[[#This Row],[Tech Start Date]],4),""))))</f>
        <v/>
      </c>
      <c r="O583" s="104" t="str">
        <f>IF(Main[[#This Row],[Tech Start Date]]&lt;1/1/1990,"",IF(Main[[#This Row],[Class]]="C",WORKDAY(Main[[#This Row],[Tech Start Date]],23),IF(Main[[#This Row],[Class]]="B", WORKDAY(Main[[#This Row],[Tech Start Date]],15),IF(Main[[#This Row],[Class]]="A",WORKDAY(Main[[#This Row],[Tech Start Date]],5),""))))</f>
        <v/>
      </c>
      <c r="P583" s="104" t="str">
        <f>IF(Main[[#This Row],[Tech Start Date]]&lt;1/1/1990,"",IF(Main[[#This Row],[Class]]="C",WORKDAY(Main[[#This Row],[Tech Start Date]],28),IF(Main[[#This Row],[Class]]="B", WORKDAY(Main[[#This Row],[Tech Start Date]],19),IF(Main[[#This Row],[Class]]="A",WORKDAY(Main[[#This Row],[Tech Start Date]],9),""))))</f>
        <v/>
      </c>
      <c r="Q583" s="101">
        <v>40116</v>
      </c>
      <c r="R583" s="101"/>
      <c r="S583" s="99" t="s">
        <v>11</v>
      </c>
      <c r="T583" s="107" t="s">
        <v>4</v>
      </c>
      <c r="U583" s="99" t="s">
        <v>14</v>
      </c>
      <c r="V583" s="99" t="s">
        <v>1965</v>
      </c>
      <c r="W583" s="99" t="s">
        <v>1964</v>
      </c>
    </row>
    <row r="584" spans="1:23" ht="18.600000000000001" customHeight="1">
      <c r="A584" s="123" t="str">
        <f>IF(priority(Main[[#This Row],[Comments]])&lt;&gt;0, priority(Main[[#This Row],[Comments]]),"")</f>
        <v/>
      </c>
      <c r="B584" s="127" t="s">
        <v>1609</v>
      </c>
      <c r="C584" s="99" t="s">
        <v>658</v>
      </c>
      <c r="D584" s="100" t="s">
        <v>659</v>
      </c>
      <c r="E584" s="101">
        <v>40350.419861111113</v>
      </c>
      <c r="F584" s="101">
        <v>40444</v>
      </c>
      <c r="G584" s="102" t="str">
        <f>IF(stdProdLT(Main[[#This Row],[Comments]])=0.1,"N/A",IF(stdProdLT(Main[[#This Row],[Comments]])=0,"",stdProdLT(Main[[#This Row],[Comments]])))</f>
        <v/>
      </c>
      <c r="H584" s="103" t="str">
        <f>IF(AND(Main[[#This Row],[In Stock Date]]&lt;&gt;"",Main[[#This Row],[Revised Due Date]]&lt;&gt;""),Main[[#This Row],[In Stock Date]]-Main[[#This Row],[Revised Due Date]],"")</f>
        <v/>
      </c>
      <c r="I584" s="99" t="s">
        <v>660</v>
      </c>
      <c r="J584" s="99" t="s">
        <v>28</v>
      </c>
      <c r="K584" s="99" t="s">
        <v>1974</v>
      </c>
      <c r="L584" s="101"/>
      <c r="M584" s="104" t="str">
        <f>IF(Main[[#This Row],[Tech Start Date]]&lt;1/1/1990,"",IF(Main[[#This Row],[Class]]="C",WORKDAY(Main[[#This Row],[Tech Start Date]],9),IF(Main[[#This Row],[Class]]="B", WORKDAY(Main[[#This Row],[Tech Start Date]],6),IF(Main[[#This Row],[Class]]="A",WORKDAY(Main[[#This Row],[Tech Start Date]],2),""))))</f>
        <v/>
      </c>
      <c r="N584" s="104" t="str">
        <f>IF(Main[[#This Row],[Tech Start Date]]&lt;1/1/1990,"",IF(Main[[#This Row],[Class]]="C",WORKDAY(Main[[#This Row],[Tech Start Date]],19),IF(Main[[#This Row],[Class]]="B", WORKDAY(Main[[#This Row],[Tech Start Date]],12),IF(Main[[#This Row],[Class]]="A",WORKDAY(Main[[#This Row],[Tech Start Date]],4),""))))</f>
        <v/>
      </c>
      <c r="O584" s="104" t="str">
        <f>IF(Main[[#This Row],[Tech Start Date]]&lt;1/1/1990,"",IF(Main[[#This Row],[Class]]="C",WORKDAY(Main[[#This Row],[Tech Start Date]],23),IF(Main[[#This Row],[Class]]="B", WORKDAY(Main[[#This Row],[Tech Start Date]],15),IF(Main[[#This Row],[Class]]="A",WORKDAY(Main[[#This Row],[Tech Start Date]],5),""))))</f>
        <v/>
      </c>
      <c r="P584" s="104" t="str">
        <f>IF(Main[[#This Row],[Tech Start Date]]&lt;1/1/1990,"",IF(Main[[#This Row],[Class]]="C",WORKDAY(Main[[#This Row],[Tech Start Date]],28),IF(Main[[#This Row],[Class]]="B", WORKDAY(Main[[#This Row],[Tech Start Date]],19),IF(Main[[#This Row],[Class]]="A",WORKDAY(Main[[#This Row],[Tech Start Date]],9),""))))</f>
        <v/>
      </c>
      <c r="Q584" s="101">
        <v>40353</v>
      </c>
      <c r="R584" s="101"/>
      <c r="S584" s="99" t="s">
        <v>17</v>
      </c>
      <c r="T584" s="107" t="s">
        <v>4</v>
      </c>
      <c r="U584" s="99" t="s">
        <v>7</v>
      </c>
      <c r="V584" s="99" t="s">
        <v>1965</v>
      </c>
      <c r="W584" s="99" t="s">
        <v>1967</v>
      </c>
    </row>
    <row r="585" spans="1:23" ht="18.600000000000001" customHeight="1">
      <c r="A585" s="123" t="str">
        <f>IF(priority(Main[[#This Row],[Comments]])&lt;&gt;0, priority(Main[[#This Row],[Comments]]),"")</f>
        <v/>
      </c>
      <c r="B585" s="127" t="s">
        <v>1443</v>
      </c>
      <c r="C585" s="99" t="s">
        <v>67</v>
      </c>
      <c r="D585" s="100" t="s">
        <v>494</v>
      </c>
      <c r="E585" s="101"/>
      <c r="F585" s="101">
        <v>40561</v>
      </c>
      <c r="G585" s="102" t="str">
        <f>IF(stdProdLT(Main[[#This Row],[Comments]])=0.1,"N/A",IF(stdProdLT(Main[[#This Row],[Comments]])=0,"",stdProdLT(Main[[#This Row],[Comments]])))</f>
        <v/>
      </c>
      <c r="H585" s="103" t="str">
        <f>IF(AND(Main[[#This Row],[In Stock Date]]&lt;&gt;"",Main[[#This Row],[Revised Due Date]]&lt;&gt;""),Main[[#This Row],[In Stock Date]]-Main[[#This Row],[Revised Due Date]],"")</f>
        <v/>
      </c>
      <c r="I585" s="99" t="s">
        <v>4</v>
      </c>
      <c r="J585" s="99" t="s">
        <v>4</v>
      </c>
      <c r="K585" s="99" t="s">
        <v>4</v>
      </c>
      <c r="L585" s="101"/>
      <c r="M585" s="104" t="str">
        <f>IF(Main[[#This Row],[Tech Start Date]]&lt;1/1/1990,"",IF(Main[[#This Row],[Class]]="C",WORKDAY(Main[[#This Row],[Tech Start Date]],9),IF(Main[[#This Row],[Class]]="B", WORKDAY(Main[[#This Row],[Tech Start Date]],6),IF(Main[[#This Row],[Class]]="A",WORKDAY(Main[[#This Row],[Tech Start Date]],2),""))))</f>
        <v/>
      </c>
      <c r="N585" s="104" t="str">
        <f>IF(Main[[#This Row],[Tech Start Date]]&lt;1/1/1990,"",IF(Main[[#This Row],[Class]]="C",WORKDAY(Main[[#This Row],[Tech Start Date]],19),IF(Main[[#This Row],[Class]]="B", WORKDAY(Main[[#This Row],[Tech Start Date]],12),IF(Main[[#This Row],[Class]]="A",WORKDAY(Main[[#This Row],[Tech Start Date]],4),""))))</f>
        <v/>
      </c>
      <c r="O585" s="104" t="str">
        <f>IF(Main[[#This Row],[Tech Start Date]]&lt;1/1/1990,"",IF(Main[[#This Row],[Class]]="C",WORKDAY(Main[[#This Row],[Tech Start Date]],23),IF(Main[[#This Row],[Class]]="B", WORKDAY(Main[[#This Row],[Tech Start Date]],15),IF(Main[[#This Row],[Class]]="A",WORKDAY(Main[[#This Row],[Tech Start Date]],5),""))))</f>
        <v/>
      </c>
      <c r="P585" s="104" t="str">
        <f>IF(Main[[#This Row],[Tech Start Date]]&lt;1/1/1990,"",IF(Main[[#This Row],[Class]]="C",WORKDAY(Main[[#This Row],[Tech Start Date]],28),IF(Main[[#This Row],[Class]]="B", WORKDAY(Main[[#This Row],[Tech Start Date]],19),IF(Main[[#This Row],[Class]]="A",WORKDAY(Main[[#This Row],[Tech Start Date]],9),""))))</f>
        <v/>
      </c>
      <c r="Q585" s="101"/>
      <c r="R585" s="101"/>
      <c r="S585" s="99" t="s">
        <v>11</v>
      </c>
      <c r="T585" s="107" t="s">
        <v>4</v>
      </c>
      <c r="U585" s="99" t="s">
        <v>14</v>
      </c>
      <c r="V585" s="99" t="s">
        <v>1965</v>
      </c>
      <c r="W585" s="99" t="s">
        <v>1968</v>
      </c>
    </row>
    <row r="586" spans="1:23" ht="18.600000000000001" customHeight="1">
      <c r="A586" s="123" t="str">
        <f>IF(priority(Main[[#This Row],[Comments]])&lt;&gt;0, priority(Main[[#This Row],[Comments]]),"")</f>
        <v/>
      </c>
      <c r="B586" s="127" t="s">
        <v>1445</v>
      </c>
      <c r="C586" s="99" t="s">
        <v>31</v>
      </c>
      <c r="D586" s="100" t="s">
        <v>496</v>
      </c>
      <c r="E586" s="101"/>
      <c r="F586" s="101">
        <v>40203</v>
      </c>
      <c r="G586" s="102" t="str">
        <f>IF(stdProdLT(Main[[#This Row],[Comments]])=0.1,"N/A",IF(stdProdLT(Main[[#This Row],[Comments]])=0,"",stdProdLT(Main[[#This Row],[Comments]])))</f>
        <v/>
      </c>
      <c r="H586" s="103" t="str">
        <f>IF(AND(Main[[#This Row],[In Stock Date]]&lt;&gt;"",Main[[#This Row],[Revised Due Date]]&lt;&gt;""),Main[[#This Row],[In Stock Date]]-Main[[#This Row],[Revised Due Date]],"")</f>
        <v/>
      </c>
      <c r="I586" s="99" t="s">
        <v>4</v>
      </c>
      <c r="J586" s="99" t="s">
        <v>4</v>
      </c>
      <c r="K586" s="99" t="s">
        <v>4</v>
      </c>
      <c r="L586" s="101"/>
      <c r="M586" s="104" t="str">
        <f>IF(Main[[#This Row],[Tech Start Date]]&lt;1/1/1990,"",IF(Main[[#This Row],[Class]]="C",WORKDAY(Main[[#This Row],[Tech Start Date]],9),IF(Main[[#This Row],[Class]]="B", WORKDAY(Main[[#This Row],[Tech Start Date]],6),IF(Main[[#This Row],[Class]]="A",WORKDAY(Main[[#This Row],[Tech Start Date]],2),""))))</f>
        <v/>
      </c>
      <c r="N586" s="104" t="str">
        <f>IF(Main[[#This Row],[Tech Start Date]]&lt;1/1/1990,"",IF(Main[[#This Row],[Class]]="C",WORKDAY(Main[[#This Row],[Tech Start Date]],19),IF(Main[[#This Row],[Class]]="B", WORKDAY(Main[[#This Row],[Tech Start Date]],12),IF(Main[[#This Row],[Class]]="A",WORKDAY(Main[[#This Row],[Tech Start Date]],4),""))))</f>
        <v/>
      </c>
      <c r="O586" s="104" t="str">
        <f>IF(Main[[#This Row],[Tech Start Date]]&lt;1/1/1990,"",IF(Main[[#This Row],[Class]]="C",WORKDAY(Main[[#This Row],[Tech Start Date]],23),IF(Main[[#This Row],[Class]]="B", WORKDAY(Main[[#This Row],[Tech Start Date]],15),IF(Main[[#This Row],[Class]]="A",WORKDAY(Main[[#This Row],[Tech Start Date]],5),""))))</f>
        <v/>
      </c>
      <c r="P586" s="104" t="str">
        <f>IF(Main[[#This Row],[Tech Start Date]]&lt;1/1/1990,"",IF(Main[[#This Row],[Class]]="C",WORKDAY(Main[[#This Row],[Tech Start Date]],28),IF(Main[[#This Row],[Class]]="B", WORKDAY(Main[[#This Row],[Tech Start Date]],19),IF(Main[[#This Row],[Class]]="A",WORKDAY(Main[[#This Row],[Tech Start Date]],9),""))))</f>
        <v/>
      </c>
      <c r="Q586" s="101">
        <v>40063</v>
      </c>
      <c r="R586" s="101"/>
      <c r="S586" s="99" t="s">
        <v>11</v>
      </c>
      <c r="T586" s="107" t="s">
        <v>4</v>
      </c>
      <c r="U586" s="99" t="s">
        <v>14</v>
      </c>
      <c r="V586" s="99" t="s">
        <v>1972</v>
      </c>
      <c r="W586" s="99" t="s">
        <v>1968</v>
      </c>
    </row>
    <row r="587" spans="1:23" ht="18.600000000000001" customHeight="1">
      <c r="A587" s="123" t="str">
        <f>IF(priority(Main[[#This Row],[Comments]])&lt;&gt;0, priority(Main[[#This Row],[Comments]]),"")</f>
        <v/>
      </c>
      <c r="B587" s="127" t="s">
        <v>1446</v>
      </c>
      <c r="C587" s="99" t="s">
        <v>4</v>
      </c>
      <c r="D587" s="100" t="s">
        <v>497</v>
      </c>
      <c r="E587" s="101">
        <v>40381.391886574071</v>
      </c>
      <c r="F587" s="101"/>
      <c r="G587" s="102" t="str">
        <f>IF(stdProdLT(Main[[#This Row],[Comments]])=0.1,"N/A",IF(stdProdLT(Main[[#This Row],[Comments]])=0,"",stdProdLT(Main[[#This Row],[Comments]])))</f>
        <v/>
      </c>
      <c r="H587" s="103" t="str">
        <f>IF(AND(Main[[#This Row],[In Stock Date]]&lt;&gt;"",Main[[#This Row],[Revised Due Date]]&lt;&gt;""),Main[[#This Row],[In Stock Date]]-Main[[#This Row],[Revised Due Date]],"")</f>
        <v/>
      </c>
      <c r="I587" s="99" t="s">
        <v>4</v>
      </c>
      <c r="J587" s="99" t="s">
        <v>28</v>
      </c>
      <c r="K587" s="108" t="s">
        <v>4</v>
      </c>
      <c r="L587" s="101"/>
      <c r="M587" s="104" t="str">
        <f>IF(Main[[#This Row],[Tech Start Date]]&lt;1/1/1990,"",IF(Main[[#This Row],[Class]]="C",WORKDAY(Main[[#This Row],[Tech Start Date]],9),IF(Main[[#This Row],[Class]]="B", WORKDAY(Main[[#This Row],[Tech Start Date]],6),IF(Main[[#This Row],[Class]]="A",WORKDAY(Main[[#This Row],[Tech Start Date]],2),""))))</f>
        <v/>
      </c>
      <c r="N587" s="104" t="str">
        <f>IF(Main[[#This Row],[Tech Start Date]]&lt;1/1/1990,"",IF(Main[[#This Row],[Class]]="C",WORKDAY(Main[[#This Row],[Tech Start Date]],19),IF(Main[[#This Row],[Class]]="B", WORKDAY(Main[[#This Row],[Tech Start Date]],12),IF(Main[[#This Row],[Class]]="A",WORKDAY(Main[[#This Row],[Tech Start Date]],4),""))))</f>
        <v/>
      </c>
      <c r="O587" s="104" t="str">
        <f>IF(Main[[#This Row],[Tech Start Date]]&lt;1/1/1990,"",IF(Main[[#This Row],[Class]]="C",WORKDAY(Main[[#This Row],[Tech Start Date]],23),IF(Main[[#This Row],[Class]]="B", WORKDAY(Main[[#This Row],[Tech Start Date]],15),IF(Main[[#This Row],[Class]]="A",WORKDAY(Main[[#This Row],[Tech Start Date]],5),""))))</f>
        <v/>
      </c>
      <c r="P587" s="104" t="str">
        <f>IF(Main[[#This Row],[Tech Start Date]]&lt;1/1/1990,"",IF(Main[[#This Row],[Class]]="C",WORKDAY(Main[[#This Row],[Tech Start Date]],28),IF(Main[[#This Row],[Class]]="B", WORKDAY(Main[[#This Row],[Tech Start Date]],19),IF(Main[[#This Row],[Class]]="A",WORKDAY(Main[[#This Row],[Tech Start Date]],9),""))))</f>
        <v/>
      </c>
      <c r="Q587" s="101">
        <v>40451</v>
      </c>
      <c r="R587" s="101"/>
      <c r="S587" s="99" t="s">
        <v>6</v>
      </c>
      <c r="T587" s="107" t="s">
        <v>4</v>
      </c>
      <c r="U587" s="99" t="s">
        <v>7</v>
      </c>
      <c r="V587" s="99" t="s">
        <v>1962</v>
      </c>
      <c r="W587" s="99" t="s">
        <v>1964</v>
      </c>
    </row>
    <row r="588" spans="1:23" ht="18.600000000000001" customHeight="1">
      <c r="A588" s="123" t="str">
        <f>IF(priority(Main[[#This Row],[Comments]])&lt;&gt;0, priority(Main[[#This Row],[Comments]]),"")</f>
        <v/>
      </c>
      <c r="B588" s="127" t="s">
        <v>1459</v>
      </c>
      <c r="C588" s="99" t="s">
        <v>4</v>
      </c>
      <c r="D588" s="100" t="s">
        <v>514</v>
      </c>
      <c r="E588" s="101">
        <v>40322.154652777775</v>
      </c>
      <c r="F588" s="101"/>
      <c r="G588" s="102" t="str">
        <f>IF(stdProdLT(Main[[#This Row],[Comments]])=0.1,"N/A",IF(stdProdLT(Main[[#This Row],[Comments]])=0,"",stdProdLT(Main[[#This Row],[Comments]])))</f>
        <v/>
      </c>
      <c r="H588" s="103" t="str">
        <f>IF(AND(Main[[#This Row],[In Stock Date]]&lt;&gt;"",Main[[#This Row],[Revised Due Date]]&lt;&gt;""),Main[[#This Row],[In Stock Date]]-Main[[#This Row],[Revised Due Date]],"")</f>
        <v/>
      </c>
      <c r="I588" s="99" t="s">
        <v>129</v>
      </c>
      <c r="J588" s="99" t="s">
        <v>4</v>
      </c>
      <c r="K588" s="99" t="s">
        <v>4</v>
      </c>
      <c r="L588" s="101"/>
      <c r="M588" s="104" t="str">
        <f>IF(Main[[#This Row],[Tech Start Date]]&lt;1/1/1990,"",IF(Main[[#This Row],[Class]]="C",WORKDAY(Main[[#This Row],[Tech Start Date]],9),IF(Main[[#This Row],[Class]]="B", WORKDAY(Main[[#This Row],[Tech Start Date]],6),IF(Main[[#This Row],[Class]]="A",WORKDAY(Main[[#This Row],[Tech Start Date]],2),""))))</f>
        <v/>
      </c>
      <c r="N588" s="104" t="str">
        <f>IF(Main[[#This Row],[Tech Start Date]]&lt;1/1/1990,"",IF(Main[[#This Row],[Class]]="C",WORKDAY(Main[[#This Row],[Tech Start Date]],19),IF(Main[[#This Row],[Class]]="B", WORKDAY(Main[[#This Row],[Tech Start Date]],12),IF(Main[[#This Row],[Class]]="A",WORKDAY(Main[[#This Row],[Tech Start Date]],4),""))))</f>
        <v/>
      </c>
      <c r="O588" s="104" t="str">
        <f>IF(Main[[#This Row],[Tech Start Date]]&lt;1/1/1990,"",IF(Main[[#This Row],[Class]]="C",WORKDAY(Main[[#This Row],[Tech Start Date]],23),IF(Main[[#This Row],[Class]]="B", WORKDAY(Main[[#This Row],[Tech Start Date]],15),IF(Main[[#This Row],[Class]]="A",WORKDAY(Main[[#This Row],[Tech Start Date]],5),""))))</f>
        <v/>
      </c>
      <c r="P588" s="104" t="str">
        <f>IF(Main[[#This Row],[Tech Start Date]]&lt;1/1/1990,"",IF(Main[[#This Row],[Class]]="C",WORKDAY(Main[[#This Row],[Tech Start Date]],28),IF(Main[[#This Row],[Class]]="B", WORKDAY(Main[[#This Row],[Tech Start Date]],19),IF(Main[[#This Row],[Class]]="A",WORKDAY(Main[[#This Row],[Tech Start Date]],9),""))))</f>
        <v/>
      </c>
      <c r="Q588" s="101">
        <v>40353</v>
      </c>
      <c r="R588" s="101"/>
      <c r="S588" s="99" t="s">
        <v>6</v>
      </c>
      <c r="T588" s="107" t="s">
        <v>4</v>
      </c>
      <c r="U588" s="99" t="s">
        <v>7</v>
      </c>
      <c r="V588" s="99" t="s">
        <v>1962</v>
      </c>
      <c r="W588" s="99" t="s">
        <v>1964</v>
      </c>
    </row>
    <row r="589" spans="1:23" ht="18.600000000000001" customHeight="1">
      <c r="A589" s="123" t="str">
        <f>IF(priority(Main[[#This Row],[Comments]])&lt;&gt;0, priority(Main[[#This Row],[Comments]]),"")</f>
        <v/>
      </c>
      <c r="B589" s="127" t="s">
        <v>1460</v>
      </c>
      <c r="C589" s="99" t="s">
        <v>4</v>
      </c>
      <c r="D589" s="100" t="s">
        <v>515</v>
      </c>
      <c r="E589" s="101"/>
      <c r="F589" s="101"/>
      <c r="G589" s="102" t="str">
        <f>IF(stdProdLT(Main[[#This Row],[Comments]])=0.1,"N/A",IF(stdProdLT(Main[[#This Row],[Comments]])=0,"",stdProdLT(Main[[#This Row],[Comments]])))</f>
        <v/>
      </c>
      <c r="H589" s="103" t="str">
        <f>IF(AND(Main[[#This Row],[In Stock Date]]&lt;&gt;"",Main[[#This Row],[Revised Due Date]]&lt;&gt;""),Main[[#This Row],[In Stock Date]]-Main[[#This Row],[Revised Due Date]],"")</f>
        <v/>
      </c>
      <c r="I589" s="99" t="s">
        <v>4</v>
      </c>
      <c r="J589" s="99" t="s">
        <v>4</v>
      </c>
      <c r="K589" s="99" t="s">
        <v>4</v>
      </c>
      <c r="L589" s="101"/>
      <c r="M589" s="104" t="str">
        <f>IF(Main[[#This Row],[Tech Start Date]]&lt;1/1/1990,"",IF(Main[[#This Row],[Class]]="C",WORKDAY(Main[[#This Row],[Tech Start Date]],9),IF(Main[[#This Row],[Class]]="B", WORKDAY(Main[[#This Row],[Tech Start Date]],6),IF(Main[[#This Row],[Class]]="A",WORKDAY(Main[[#This Row],[Tech Start Date]],2),""))))</f>
        <v/>
      </c>
      <c r="N589" s="104" t="str">
        <f>IF(Main[[#This Row],[Tech Start Date]]&lt;1/1/1990,"",IF(Main[[#This Row],[Class]]="C",WORKDAY(Main[[#This Row],[Tech Start Date]],19),IF(Main[[#This Row],[Class]]="B", WORKDAY(Main[[#This Row],[Tech Start Date]],12),IF(Main[[#This Row],[Class]]="A",WORKDAY(Main[[#This Row],[Tech Start Date]],4),""))))</f>
        <v/>
      </c>
      <c r="O589" s="104" t="str">
        <f>IF(Main[[#This Row],[Tech Start Date]]&lt;1/1/1990,"",IF(Main[[#This Row],[Class]]="C",WORKDAY(Main[[#This Row],[Tech Start Date]],23),IF(Main[[#This Row],[Class]]="B", WORKDAY(Main[[#This Row],[Tech Start Date]],15),IF(Main[[#This Row],[Class]]="A",WORKDAY(Main[[#This Row],[Tech Start Date]],5),""))))</f>
        <v/>
      </c>
      <c r="P589" s="104" t="str">
        <f>IF(Main[[#This Row],[Tech Start Date]]&lt;1/1/1990,"",IF(Main[[#This Row],[Class]]="C",WORKDAY(Main[[#This Row],[Tech Start Date]],28),IF(Main[[#This Row],[Class]]="B", WORKDAY(Main[[#This Row],[Tech Start Date]],19),IF(Main[[#This Row],[Class]]="A",WORKDAY(Main[[#This Row],[Tech Start Date]],9),""))))</f>
        <v/>
      </c>
      <c r="Q589" s="101"/>
      <c r="R589" s="101"/>
      <c r="S589" s="99" t="s">
        <v>4</v>
      </c>
      <c r="T589" s="107" t="s">
        <v>4</v>
      </c>
      <c r="U589" s="99" t="s">
        <v>14</v>
      </c>
      <c r="V589" s="99" t="s">
        <v>1962</v>
      </c>
      <c r="W589" s="99" t="s">
        <v>4</v>
      </c>
    </row>
    <row r="590" spans="1:23" ht="18.600000000000001" customHeight="1">
      <c r="A590" s="123" t="str">
        <f>IF(priority(Main[[#This Row],[Comments]])&lt;&gt;0, priority(Main[[#This Row],[Comments]]),"")</f>
        <v/>
      </c>
      <c r="B590" s="127" t="s">
        <v>1463</v>
      </c>
      <c r="C590" s="99" t="s">
        <v>31</v>
      </c>
      <c r="D590" s="100" t="s">
        <v>516</v>
      </c>
      <c r="E590" s="101"/>
      <c r="F590" s="101"/>
      <c r="G590" s="102" t="str">
        <f>IF(stdProdLT(Main[[#This Row],[Comments]])=0.1,"N/A",IF(stdProdLT(Main[[#This Row],[Comments]])=0,"",stdProdLT(Main[[#This Row],[Comments]])))</f>
        <v/>
      </c>
      <c r="H590" s="103" t="str">
        <f>IF(AND(Main[[#This Row],[In Stock Date]]&lt;&gt;"",Main[[#This Row],[Revised Due Date]]&lt;&gt;""),Main[[#This Row],[In Stock Date]]-Main[[#This Row],[Revised Due Date]],"")</f>
        <v/>
      </c>
      <c r="I590" s="99" t="s">
        <v>4</v>
      </c>
      <c r="J590" s="99" t="s">
        <v>4</v>
      </c>
      <c r="K590" s="99" t="s">
        <v>4</v>
      </c>
      <c r="L590" s="101"/>
      <c r="M590" s="104" t="str">
        <f>IF(Main[[#This Row],[Tech Start Date]]&lt;1/1/1990,"",IF(Main[[#This Row],[Class]]="C",WORKDAY(Main[[#This Row],[Tech Start Date]],9),IF(Main[[#This Row],[Class]]="B", WORKDAY(Main[[#This Row],[Tech Start Date]],6),IF(Main[[#This Row],[Class]]="A",WORKDAY(Main[[#This Row],[Tech Start Date]],2),""))))</f>
        <v/>
      </c>
      <c r="N590" s="104" t="str">
        <f>IF(Main[[#This Row],[Tech Start Date]]&lt;1/1/1990,"",IF(Main[[#This Row],[Class]]="C",WORKDAY(Main[[#This Row],[Tech Start Date]],19),IF(Main[[#This Row],[Class]]="B", WORKDAY(Main[[#This Row],[Tech Start Date]],12),IF(Main[[#This Row],[Class]]="A",WORKDAY(Main[[#This Row],[Tech Start Date]],4),""))))</f>
        <v/>
      </c>
      <c r="O590" s="104" t="str">
        <f>IF(Main[[#This Row],[Tech Start Date]]&lt;1/1/1990,"",IF(Main[[#This Row],[Class]]="C",WORKDAY(Main[[#This Row],[Tech Start Date]],23),IF(Main[[#This Row],[Class]]="B", WORKDAY(Main[[#This Row],[Tech Start Date]],15),IF(Main[[#This Row],[Class]]="A",WORKDAY(Main[[#This Row],[Tech Start Date]],5),""))))</f>
        <v/>
      </c>
      <c r="P590" s="104" t="str">
        <f>IF(Main[[#This Row],[Tech Start Date]]&lt;1/1/1990,"",IF(Main[[#This Row],[Class]]="C",WORKDAY(Main[[#This Row],[Tech Start Date]],28),IF(Main[[#This Row],[Class]]="B", WORKDAY(Main[[#This Row],[Tech Start Date]],19),IF(Main[[#This Row],[Class]]="A",WORKDAY(Main[[#This Row],[Tech Start Date]],9),""))))</f>
        <v/>
      </c>
      <c r="Q590" s="101">
        <v>40318</v>
      </c>
      <c r="R590" s="101"/>
      <c r="S590" s="99" t="s">
        <v>11</v>
      </c>
      <c r="T590" s="107" t="s">
        <v>4</v>
      </c>
      <c r="U590" s="99" t="s">
        <v>14</v>
      </c>
      <c r="V590" s="99" t="s">
        <v>1965</v>
      </c>
      <c r="W590" s="99" t="s">
        <v>1973</v>
      </c>
    </row>
    <row r="591" spans="1:23" ht="18.600000000000001" customHeight="1">
      <c r="A591" s="123" t="str">
        <f>IF(priority(Main[[#This Row],[Comments]])&lt;&gt;0, priority(Main[[#This Row],[Comments]]),"")</f>
        <v/>
      </c>
      <c r="B591" s="127" t="s">
        <v>1464</v>
      </c>
      <c r="C591" s="99" t="s">
        <v>47</v>
      </c>
      <c r="D591" s="100" t="s">
        <v>517</v>
      </c>
      <c r="E591" s="101"/>
      <c r="F591" s="101"/>
      <c r="G591" s="102" t="str">
        <f>IF(stdProdLT(Main[[#This Row],[Comments]])=0.1,"N/A",IF(stdProdLT(Main[[#This Row],[Comments]])=0,"",stdProdLT(Main[[#This Row],[Comments]])))</f>
        <v/>
      </c>
      <c r="H591" s="103" t="str">
        <f>IF(AND(Main[[#This Row],[In Stock Date]]&lt;&gt;"",Main[[#This Row],[Revised Due Date]]&lt;&gt;""),Main[[#This Row],[In Stock Date]]-Main[[#This Row],[Revised Due Date]],"")</f>
        <v/>
      </c>
      <c r="I591" s="99" t="s">
        <v>4</v>
      </c>
      <c r="J591" s="99" t="s">
        <v>4</v>
      </c>
      <c r="K591" s="99" t="s">
        <v>4</v>
      </c>
      <c r="L591" s="101"/>
      <c r="M591" s="104" t="str">
        <f>IF(Main[[#This Row],[Tech Start Date]]&lt;1/1/1990,"",IF(Main[[#This Row],[Class]]="C",WORKDAY(Main[[#This Row],[Tech Start Date]],9),IF(Main[[#This Row],[Class]]="B", WORKDAY(Main[[#This Row],[Tech Start Date]],6),IF(Main[[#This Row],[Class]]="A",WORKDAY(Main[[#This Row],[Tech Start Date]],2),""))))</f>
        <v/>
      </c>
      <c r="N591" s="104" t="str">
        <f>IF(Main[[#This Row],[Tech Start Date]]&lt;1/1/1990,"",IF(Main[[#This Row],[Class]]="C",WORKDAY(Main[[#This Row],[Tech Start Date]],19),IF(Main[[#This Row],[Class]]="B", WORKDAY(Main[[#This Row],[Tech Start Date]],12),IF(Main[[#This Row],[Class]]="A",WORKDAY(Main[[#This Row],[Tech Start Date]],4),""))))</f>
        <v/>
      </c>
      <c r="O591" s="104" t="str">
        <f>IF(Main[[#This Row],[Tech Start Date]]&lt;1/1/1990,"",IF(Main[[#This Row],[Class]]="C",WORKDAY(Main[[#This Row],[Tech Start Date]],23),IF(Main[[#This Row],[Class]]="B", WORKDAY(Main[[#This Row],[Tech Start Date]],15),IF(Main[[#This Row],[Class]]="A",WORKDAY(Main[[#This Row],[Tech Start Date]],5),""))))</f>
        <v/>
      </c>
      <c r="P591" s="104" t="str">
        <f>IF(Main[[#This Row],[Tech Start Date]]&lt;1/1/1990,"",IF(Main[[#This Row],[Class]]="C",WORKDAY(Main[[#This Row],[Tech Start Date]],28),IF(Main[[#This Row],[Class]]="B", WORKDAY(Main[[#This Row],[Tech Start Date]],19),IF(Main[[#This Row],[Class]]="A",WORKDAY(Main[[#This Row],[Tech Start Date]],9),""))))</f>
        <v/>
      </c>
      <c r="Q591" s="101"/>
      <c r="R591" s="101"/>
      <c r="S591" s="99" t="s">
        <v>11</v>
      </c>
      <c r="T591" s="107" t="s">
        <v>4</v>
      </c>
      <c r="U591" s="99" t="s">
        <v>14</v>
      </c>
      <c r="V591" s="99" t="s">
        <v>1963</v>
      </c>
      <c r="W591" s="99" t="s">
        <v>1966</v>
      </c>
    </row>
    <row r="592" spans="1:23" ht="18.600000000000001" customHeight="1">
      <c r="A592" s="123" t="str">
        <f>IF(priority(Main[[#This Row],[Comments]])&lt;&gt;0, priority(Main[[#This Row],[Comments]]),"")</f>
        <v/>
      </c>
      <c r="B592" s="127" t="s">
        <v>1465</v>
      </c>
      <c r="C592" s="99" t="s">
        <v>4</v>
      </c>
      <c r="D592" s="100" t="s">
        <v>518</v>
      </c>
      <c r="E592" s="101">
        <v>40465.986851851849</v>
      </c>
      <c r="F592" s="101"/>
      <c r="G592" s="102" t="str">
        <f>IF(stdProdLT(Main[[#This Row],[Comments]])=0.1,"N/A",IF(stdProdLT(Main[[#This Row],[Comments]])=0,"",stdProdLT(Main[[#This Row],[Comments]])))</f>
        <v/>
      </c>
      <c r="H592" s="103" t="str">
        <f>IF(AND(Main[[#This Row],[In Stock Date]]&lt;&gt;"",Main[[#This Row],[Revised Due Date]]&lt;&gt;""),Main[[#This Row],[In Stock Date]]-Main[[#This Row],[Revised Due Date]],"")</f>
        <v/>
      </c>
      <c r="I592" s="99" t="s">
        <v>4</v>
      </c>
      <c r="J592" s="99" t="s">
        <v>28</v>
      </c>
      <c r="K592" s="99" t="s">
        <v>4</v>
      </c>
      <c r="L592" s="101"/>
      <c r="M592" s="104" t="str">
        <f>IF(Main[[#This Row],[Tech Start Date]]&lt;1/1/1990,"",IF(Main[[#This Row],[Class]]="C",WORKDAY(Main[[#This Row],[Tech Start Date]],9),IF(Main[[#This Row],[Class]]="B", WORKDAY(Main[[#This Row],[Tech Start Date]],6),IF(Main[[#This Row],[Class]]="A",WORKDAY(Main[[#This Row],[Tech Start Date]],2),""))))</f>
        <v/>
      </c>
      <c r="N592" s="104" t="str">
        <f>IF(Main[[#This Row],[Tech Start Date]]&lt;1/1/1990,"",IF(Main[[#This Row],[Class]]="C",WORKDAY(Main[[#This Row],[Tech Start Date]],19),IF(Main[[#This Row],[Class]]="B", WORKDAY(Main[[#This Row],[Tech Start Date]],12),IF(Main[[#This Row],[Class]]="A",WORKDAY(Main[[#This Row],[Tech Start Date]],4),""))))</f>
        <v/>
      </c>
      <c r="O592" s="104" t="str">
        <f>IF(Main[[#This Row],[Tech Start Date]]&lt;1/1/1990,"",IF(Main[[#This Row],[Class]]="C",WORKDAY(Main[[#This Row],[Tech Start Date]],23),IF(Main[[#This Row],[Class]]="B", WORKDAY(Main[[#This Row],[Tech Start Date]],15),IF(Main[[#This Row],[Class]]="A",WORKDAY(Main[[#This Row],[Tech Start Date]],5),""))))</f>
        <v/>
      </c>
      <c r="P592" s="104" t="str">
        <f>IF(Main[[#This Row],[Tech Start Date]]&lt;1/1/1990,"",IF(Main[[#This Row],[Class]]="C",WORKDAY(Main[[#This Row],[Tech Start Date]],28),IF(Main[[#This Row],[Class]]="B", WORKDAY(Main[[#This Row],[Tech Start Date]],19),IF(Main[[#This Row],[Class]]="A",WORKDAY(Main[[#This Row],[Tech Start Date]],9),""))))</f>
        <v/>
      </c>
      <c r="Q592" s="101"/>
      <c r="R592" s="101"/>
      <c r="S592" s="99" t="s">
        <v>6</v>
      </c>
      <c r="T592" s="107" t="s">
        <v>4</v>
      </c>
      <c r="U592" s="99" t="s">
        <v>7</v>
      </c>
      <c r="V592" s="99" t="s">
        <v>1962</v>
      </c>
      <c r="W592" s="99" t="s">
        <v>1966</v>
      </c>
    </row>
    <row r="593" spans="1:23" ht="18.600000000000001" customHeight="1">
      <c r="A593" s="123" t="str">
        <f>IF(priority(Main[[#This Row],[Comments]])&lt;&gt;0, priority(Main[[#This Row],[Comments]]),"")</f>
        <v/>
      </c>
      <c r="B593" s="127" t="s">
        <v>1288</v>
      </c>
      <c r="C593" s="99" t="s">
        <v>4</v>
      </c>
      <c r="D593" s="100" t="s">
        <v>324</v>
      </c>
      <c r="E593" s="101">
        <v>40014.430787037039</v>
      </c>
      <c r="F593" s="101"/>
      <c r="G593" s="102" t="str">
        <f>IF(stdProdLT(Main[[#This Row],[Comments]])=0.1,"N/A",IF(stdProdLT(Main[[#This Row],[Comments]])=0,"",stdProdLT(Main[[#This Row],[Comments]])))</f>
        <v/>
      </c>
      <c r="H593" s="103" t="str">
        <f>IF(AND(Main[[#This Row],[In Stock Date]]&lt;&gt;"",Main[[#This Row],[Revised Due Date]]&lt;&gt;""),Main[[#This Row],[In Stock Date]]-Main[[#This Row],[Revised Due Date]],"")</f>
        <v/>
      </c>
      <c r="I593" s="99" t="s">
        <v>2065</v>
      </c>
      <c r="J593" s="99" t="s">
        <v>28</v>
      </c>
      <c r="K593" s="99" t="s">
        <v>4</v>
      </c>
      <c r="L593" s="101"/>
      <c r="M593" s="104" t="str">
        <f>IF(Main[[#This Row],[Tech Start Date]]&lt;1/1/1990,"",IF(Main[[#This Row],[Class]]="C",WORKDAY(Main[[#This Row],[Tech Start Date]],9),IF(Main[[#This Row],[Class]]="B", WORKDAY(Main[[#This Row],[Tech Start Date]],6),IF(Main[[#This Row],[Class]]="A",WORKDAY(Main[[#This Row],[Tech Start Date]],2),""))))</f>
        <v/>
      </c>
      <c r="N593" s="104" t="str">
        <f>IF(Main[[#This Row],[Tech Start Date]]&lt;1/1/1990,"",IF(Main[[#This Row],[Class]]="C",WORKDAY(Main[[#This Row],[Tech Start Date]],19),IF(Main[[#This Row],[Class]]="B", WORKDAY(Main[[#This Row],[Tech Start Date]],12),IF(Main[[#This Row],[Class]]="A",WORKDAY(Main[[#This Row],[Tech Start Date]],4),""))))</f>
        <v/>
      </c>
      <c r="O593" s="104" t="str">
        <f>IF(Main[[#This Row],[Tech Start Date]]&lt;1/1/1990,"",IF(Main[[#This Row],[Class]]="C",WORKDAY(Main[[#This Row],[Tech Start Date]],23),IF(Main[[#This Row],[Class]]="B", WORKDAY(Main[[#This Row],[Tech Start Date]],15),IF(Main[[#This Row],[Class]]="A",WORKDAY(Main[[#This Row],[Tech Start Date]],5),""))))</f>
        <v/>
      </c>
      <c r="P593" s="104" t="str">
        <f>IF(Main[[#This Row],[Tech Start Date]]&lt;1/1/1990,"",IF(Main[[#This Row],[Class]]="C",WORKDAY(Main[[#This Row],[Tech Start Date]],28),IF(Main[[#This Row],[Class]]="B", WORKDAY(Main[[#This Row],[Tech Start Date]],19),IF(Main[[#This Row],[Class]]="A",WORKDAY(Main[[#This Row],[Tech Start Date]],9),""))))</f>
        <v/>
      </c>
      <c r="Q593" s="101">
        <v>40237</v>
      </c>
      <c r="R593" s="101"/>
      <c r="S593" s="99" t="s">
        <v>17</v>
      </c>
      <c r="T593" s="107" t="s">
        <v>4</v>
      </c>
      <c r="U593" s="99" t="s">
        <v>7</v>
      </c>
      <c r="V593" s="99" t="s">
        <v>1977</v>
      </c>
      <c r="W593" s="99" t="s">
        <v>1970</v>
      </c>
    </row>
    <row r="594" spans="1:23" ht="18.600000000000001" customHeight="1">
      <c r="A594" s="123" t="str">
        <f>IF(priority(Main[[#This Row],[Comments]])&lt;&gt;0, priority(Main[[#This Row],[Comments]]),"")</f>
        <v/>
      </c>
      <c r="B594" s="127" t="s">
        <v>1466</v>
      </c>
      <c r="C594" s="99" t="s">
        <v>72</v>
      </c>
      <c r="D594" s="100" t="s">
        <v>519</v>
      </c>
      <c r="E594" s="101"/>
      <c r="F594" s="101">
        <v>40544</v>
      </c>
      <c r="G594" s="102" t="str">
        <f>IF(stdProdLT(Main[[#This Row],[Comments]])=0.1,"N/A",IF(stdProdLT(Main[[#This Row],[Comments]])=0,"",stdProdLT(Main[[#This Row],[Comments]])))</f>
        <v/>
      </c>
      <c r="H594" s="103" t="str">
        <f>IF(AND(Main[[#This Row],[In Stock Date]]&lt;&gt;"",Main[[#This Row],[Revised Due Date]]&lt;&gt;""),Main[[#This Row],[In Stock Date]]-Main[[#This Row],[Revised Due Date]],"")</f>
        <v/>
      </c>
      <c r="I594" s="99" t="s">
        <v>4</v>
      </c>
      <c r="J594" s="99" t="s">
        <v>4</v>
      </c>
      <c r="K594" s="99" t="s">
        <v>4</v>
      </c>
      <c r="L594" s="101"/>
      <c r="M594" s="104" t="str">
        <f>IF(Main[[#This Row],[Tech Start Date]]&lt;1/1/1990,"",IF(Main[[#This Row],[Class]]="C",WORKDAY(Main[[#This Row],[Tech Start Date]],9),IF(Main[[#This Row],[Class]]="B", WORKDAY(Main[[#This Row],[Tech Start Date]],6),IF(Main[[#This Row],[Class]]="A",WORKDAY(Main[[#This Row],[Tech Start Date]],2),""))))</f>
        <v/>
      </c>
      <c r="N594" s="104" t="str">
        <f>IF(Main[[#This Row],[Tech Start Date]]&lt;1/1/1990,"",IF(Main[[#This Row],[Class]]="C",WORKDAY(Main[[#This Row],[Tech Start Date]],19),IF(Main[[#This Row],[Class]]="B", WORKDAY(Main[[#This Row],[Tech Start Date]],12),IF(Main[[#This Row],[Class]]="A",WORKDAY(Main[[#This Row],[Tech Start Date]],4),""))))</f>
        <v/>
      </c>
      <c r="O594" s="104" t="str">
        <f>IF(Main[[#This Row],[Tech Start Date]]&lt;1/1/1990,"",IF(Main[[#This Row],[Class]]="C",WORKDAY(Main[[#This Row],[Tech Start Date]],23),IF(Main[[#This Row],[Class]]="B", WORKDAY(Main[[#This Row],[Tech Start Date]],15),IF(Main[[#This Row],[Class]]="A",WORKDAY(Main[[#This Row],[Tech Start Date]],5),""))))</f>
        <v/>
      </c>
      <c r="P594" s="104" t="str">
        <f>IF(Main[[#This Row],[Tech Start Date]]&lt;1/1/1990,"",IF(Main[[#This Row],[Class]]="C",WORKDAY(Main[[#This Row],[Tech Start Date]],28),IF(Main[[#This Row],[Class]]="B", WORKDAY(Main[[#This Row],[Tech Start Date]],19),IF(Main[[#This Row],[Class]]="A",WORKDAY(Main[[#This Row],[Tech Start Date]],9),""))))</f>
        <v/>
      </c>
      <c r="Q594" s="101"/>
      <c r="R594" s="101"/>
      <c r="S594" s="99" t="s">
        <v>11</v>
      </c>
      <c r="T594" s="107" t="s">
        <v>4</v>
      </c>
      <c r="U594" s="99" t="s">
        <v>14</v>
      </c>
      <c r="V594" s="99" t="s">
        <v>1965</v>
      </c>
      <c r="W594" s="99" t="s">
        <v>1970</v>
      </c>
    </row>
    <row r="595" spans="1:23" ht="18.600000000000001" customHeight="1">
      <c r="A595" s="123" t="str">
        <f>IF(priority(Main[[#This Row],[Comments]])&lt;&gt;0, priority(Main[[#This Row],[Comments]]),"")</f>
        <v/>
      </c>
      <c r="B595" s="127" t="s">
        <v>1678</v>
      </c>
      <c r="C595" s="99" t="s">
        <v>4</v>
      </c>
      <c r="D595" s="100" t="s">
        <v>2044</v>
      </c>
      <c r="E595" s="101"/>
      <c r="F595" s="101"/>
      <c r="G595" s="102" t="str">
        <f>IF(stdProdLT(Main[[#This Row],[Comments]])=0.1,"N/A",IF(stdProdLT(Main[[#This Row],[Comments]])=0,"",stdProdLT(Main[[#This Row],[Comments]])))</f>
        <v/>
      </c>
      <c r="H595" s="103" t="str">
        <f>IF(AND(Main[[#This Row],[In Stock Date]]&lt;&gt;"",Main[[#This Row],[Revised Due Date]]&lt;&gt;""),Main[[#This Row],[In Stock Date]]-Main[[#This Row],[Revised Due Date]],"")</f>
        <v/>
      </c>
      <c r="I595" s="99" t="s">
        <v>44</v>
      </c>
      <c r="J595" s="99" t="s">
        <v>28</v>
      </c>
      <c r="K595" s="99" t="s">
        <v>1971</v>
      </c>
      <c r="L595" s="101"/>
      <c r="M595" s="104" t="str">
        <f>IF(Main[[#This Row],[Tech Start Date]]&lt;1/1/1990,"",IF(Main[[#This Row],[Class]]="C",WORKDAY(Main[[#This Row],[Tech Start Date]],9),IF(Main[[#This Row],[Class]]="B", WORKDAY(Main[[#This Row],[Tech Start Date]],6),IF(Main[[#This Row],[Class]]="A",WORKDAY(Main[[#This Row],[Tech Start Date]],2),""))))</f>
        <v/>
      </c>
      <c r="N595" s="104" t="str">
        <f>IF(Main[[#This Row],[Tech Start Date]]&lt;1/1/1990,"",IF(Main[[#This Row],[Class]]="C",WORKDAY(Main[[#This Row],[Tech Start Date]],19),IF(Main[[#This Row],[Class]]="B", WORKDAY(Main[[#This Row],[Tech Start Date]],12),IF(Main[[#This Row],[Class]]="A",WORKDAY(Main[[#This Row],[Tech Start Date]],4),""))))</f>
        <v/>
      </c>
      <c r="O595" s="104" t="str">
        <f>IF(Main[[#This Row],[Tech Start Date]]&lt;1/1/1990,"",IF(Main[[#This Row],[Class]]="C",WORKDAY(Main[[#This Row],[Tech Start Date]],23),IF(Main[[#This Row],[Class]]="B", WORKDAY(Main[[#This Row],[Tech Start Date]],15),IF(Main[[#This Row],[Class]]="A",WORKDAY(Main[[#This Row],[Tech Start Date]],5),""))))</f>
        <v/>
      </c>
      <c r="P595" s="104" t="str">
        <f>IF(Main[[#This Row],[Tech Start Date]]&lt;1/1/1990,"",IF(Main[[#This Row],[Class]]="C",WORKDAY(Main[[#This Row],[Tech Start Date]],28),IF(Main[[#This Row],[Class]]="B", WORKDAY(Main[[#This Row],[Tech Start Date]],19),IF(Main[[#This Row],[Class]]="A",WORKDAY(Main[[#This Row],[Tech Start Date]],9),""))))</f>
        <v/>
      </c>
      <c r="Q595" s="101">
        <v>40755</v>
      </c>
      <c r="R595" s="101"/>
      <c r="S595" s="99" t="s">
        <v>6</v>
      </c>
      <c r="T595" s="107" t="s">
        <v>4</v>
      </c>
      <c r="U595" s="99" t="s">
        <v>14</v>
      </c>
      <c r="V595" s="99" t="s">
        <v>1965</v>
      </c>
      <c r="W595" s="99" t="s">
        <v>1966</v>
      </c>
    </row>
    <row r="596" spans="1:23" ht="18.600000000000001" customHeight="1">
      <c r="A596" s="123" t="str">
        <f>IF(priority(Main[[#This Row],[Comments]])&lt;&gt;0, priority(Main[[#This Row],[Comments]]),"")</f>
        <v/>
      </c>
      <c r="B596" s="127" t="s">
        <v>1467</v>
      </c>
      <c r="C596" s="99" t="s">
        <v>4</v>
      </c>
      <c r="D596" s="100" t="s">
        <v>97</v>
      </c>
      <c r="E596" s="101"/>
      <c r="F596" s="101"/>
      <c r="G596" s="102" t="str">
        <f>IF(stdProdLT(Main[[#This Row],[Comments]])=0.1,"N/A",IF(stdProdLT(Main[[#This Row],[Comments]])=0,"",stdProdLT(Main[[#This Row],[Comments]])))</f>
        <v/>
      </c>
      <c r="H596" s="103" t="str">
        <f>IF(AND(Main[[#This Row],[In Stock Date]]&lt;&gt;"",Main[[#This Row],[Revised Due Date]]&lt;&gt;""),Main[[#This Row],[In Stock Date]]-Main[[#This Row],[Revised Due Date]],"")</f>
        <v/>
      </c>
      <c r="I596" s="99" t="s">
        <v>4</v>
      </c>
      <c r="J596" s="99" t="s">
        <v>4</v>
      </c>
      <c r="K596" s="99" t="s">
        <v>4</v>
      </c>
      <c r="L596" s="101"/>
      <c r="M596" s="104" t="str">
        <f>IF(Main[[#This Row],[Tech Start Date]]&lt;1/1/1990,"",IF(Main[[#This Row],[Class]]="C",WORKDAY(Main[[#This Row],[Tech Start Date]],9),IF(Main[[#This Row],[Class]]="B", WORKDAY(Main[[#This Row],[Tech Start Date]],6),IF(Main[[#This Row],[Class]]="A",WORKDAY(Main[[#This Row],[Tech Start Date]],2),""))))</f>
        <v/>
      </c>
      <c r="N596" s="104" t="str">
        <f>IF(Main[[#This Row],[Tech Start Date]]&lt;1/1/1990,"",IF(Main[[#This Row],[Class]]="C",WORKDAY(Main[[#This Row],[Tech Start Date]],19),IF(Main[[#This Row],[Class]]="B", WORKDAY(Main[[#This Row],[Tech Start Date]],12),IF(Main[[#This Row],[Class]]="A",WORKDAY(Main[[#This Row],[Tech Start Date]],4),""))))</f>
        <v/>
      </c>
      <c r="O596" s="104" t="str">
        <f>IF(Main[[#This Row],[Tech Start Date]]&lt;1/1/1990,"",IF(Main[[#This Row],[Class]]="C",WORKDAY(Main[[#This Row],[Tech Start Date]],23),IF(Main[[#This Row],[Class]]="B", WORKDAY(Main[[#This Row],[Tech Start Date]],15),IF(Main[[#This Row],[Class]]="A",WORKDAY(Main[[#This Row],[Tech Start Date]],5),""))))</f>
        <v/>
      </c>
      <c r="P596" s="104" t="str">
        <f>IF(Main[[#This Row],[Tech Start Date]]&lt;1/1/1990,"",IF(Main[[#This Row],[Class]]="C",WORKDAY(Main[[#This Row],[Tech Start Date]],28),IF(Main[[#This Row],[Class]]="B", WORKDAY(Main[[#This Row],[Tech Start Date]],19),IF(Main[[#This Row],[Class]]="A",WORKDAY(Main[[#This Row],[Tech Start Date]],9),""))))</f>
        <v/>
      </c>
      <c r="Q596" s="101">
        <v>40858</v>
      </c>
      <c r="R596" s="101"/>
      <c r="S596" s="99" t="s">
        <v>17</v>
      </c>
      <c r="T596" s="107" t="s">
        <v>4</v>
      </c>
      <c r="U596" s="99" t="s">
        <v>14</v>
      </c>
      <c r="V596" s="99" t="s">
        <v>1962</v>
      </c>
      <c r="W596" s="99" t="s">
        <v>1967</v>
      </c>
    </row>
    <row r="597" spans="1:23" ht="18.600000000000001" customHeight="1">
      <c r="A597" s="123" t="str">
        <f>IF(priority(Main[[#This Row],[Comments]])&lt;&gt;0, priority(Main[[#This Row],[Comments]]),"")</f>
        <v/>
      </c>
      <c r="B597" s="127" t="s">
        <v>1468</v>
      </c>
      <c r="C597" s="99" t="s">
        <v>47</v>
      </c>
      <c r="D597" s="100" t="s">
        <v>523</v>
      </c>
      <c r="E597" s="101"/>
      <c r="F597" s="101"/>
      <c r="G597" s="102" t="str">
        <f>IF(stdProdLT(Main[[#This Row],[Comments]])=0.1,"N/A",IF(stdProdLT(Main[[#This Row],[Comments]])=0,"",stdProdLT(Main[[#This Row],[Comments]])))</f>
        <v/>
      </c>
      <c r="H597" s="103" t="str">
        <f>IF(AND(Main[[#This Row],[In Stock Date]]&lt;&gt;"",Main[[#This Row],[Revised Due Date]]&lt;&gt;""),Main[[#This Row],[In Stock Date]]-Main[[#This Row],[Revised Due Date]],"")</f>
        <v/>
      </c>
      <c r="I597" s="99" t="s">
        <v>4</v>
      </c>
      <c r="J597" s="99" t="s">
        <v>4</v>
      </c>
      <c r="K597" s="99" t="s">
        <v>4</v>
      </c>
      <c r="L597" s="101"/>
      <c r="M597" s="104" t="str">
        <f>IF(Main[[#This Row],[Tech Start Date]]&lt;1/1/1990,"",IF(Main[[#This Row],[Class]]="C",WORKDAY(Main[[#This Row],[Tech Start Date]],9),IF(Main[[#This Row],[Class]]="B", WORKDAY(Main[[#This Row],[Tech Start Date]],6),IF(Main[[#This Row],[Class]]="A",WORKDAY(Main[[#This Row],[Tech Start Date]],2),""))))</f>
        <v/>
      </c>
      <c r="N597" s="104" t="str">
        <f>IF(Main[[#This Row],[Tech Start Date]]&lt;1/1/1990,"",IF(Main[[#This Row],[Class]]="C",WORKDAY(Main[[#This Row],[Tech Start Date]],19),IF(Main[[#This Row],[Class]]="B", WORKDAY(Main[[#This Row],[Tech Start Date]],12),IF(Main[[#This Row],[Class]]="A",WORKDAY(Main[[#This Row],[Tech Start Date]],4),""))))</f>
        <v/>
      </c>
      <c r="O597" s="104" t="str">
        <f>IF(Main[[#This Row],[Tech Start Date]]&lt;1/1/1990,"",IF(Main[[#This Row],[Class]]="C",WORKDAY(Main[[#This Row],[Tech Start Date]],23),IF(Main[[#This Row],[Class]]="B", WORKDAY(Main[[#This Row],[Tech Start Date]],15),IF(Main[[#This Row],[Class]]="A",WORKDAY(Main[[#This Row],[Tech Start Date]],5),""))))</f>
        <v/>
      </c>
      <c r="P597" s="104" t="str">
        <f>IF(Main[[#This Row],[Tech Start Date]]&lt;1/1/1990,"",IF(Main[[#This Row],[Class]]="C",WORKDAY(Main[[#This Row],[Tech Start Date]],28),IF(Main[[#This Row],[Class]]="B", WORKDAY(Main[[#This Row],[Tech Start Date]],19),IF(Main[[#This Row],[Class]]="A",WORKDAY(Main[[#This Row],[Tech Start Date]],9),""))))</f>
        <v/>
      </c>
      <c r="Q597" s="101"/>
      <c r="R597" s="101"/>
      <c r="S597" s="99" t="s">
        <v>49</v>
      </c>
      <c r="T597" s="107" t="s">
        <v>4</v>
      </c>
      <c r="U597" s="99" t="s">
        <v>14</v>
      </c>
      <c r="V597" s="99" t="s">
        <v>1965</v>
      </c>
      <c r="W597" s="99" t="s">
        <v>1966</v>
      </c>
    </row>
    <row r="598" spans="1:23" ht="18.600000000000001" customHeight="1">
      <c r="A598" s="123" t="str">
        <f>IF(priority(Main[[#This Row],[Comments]])&lt;&gt;0, priority(Main[[#This Row],[Comments]]),"")</f>
        <v/>
      </c>
      <c r="B598" s="127" t="s">
        <v>1469</v>
      </c>
      <c r="C598" s="99" t="s">
        <v>524</v>
      </c>
      <c r="D598" s="100" t="s">
        <v>525</v>
      </c>
      <c r="E598" s="101"/>
      <c r="F598" s="101">
        <v>40548</v>
      </c>
      <c r="G598" s="102" t="str">
        <f>IF(stdProdLT(Main[[#This Row],[Comments]])=0.1,"N/A",IF(stdProdLT(Main[[#This Row],[Comments]])=0,"",stdProdLT(Main[[#This Row],[Comments]])))</f>
        <v/>
      </c>
      <c r="H598" s="103" t="str">
        <f>IF(AND(Main[[#This Row],[In Stock Date]]&lt;&gt;"",Main[[#This Row],[Revised Due Date]]&lt;&gt;""),Main[[#This Row],[In Stock Date]]-Main[[#This Row],[Revised Due Date]],"")</f>
        <v/>
      </c>
      <c r="I598" s="99" t="s">
        <v>4</v>
      </c>
      <c r="J598" s="99" t="s">
        <v>4</v>
      </c>
      <c r="K598" s="108" t="s">
        <v>1974</v>
      </c>
      <c r="L598" s="101"/>
      <c r="M598" s="104" t="str">
        <f>IF(Main[[#This Row],[Tech Start Date]]&lt;1/1/1990,"",IF(Main[[#This Row],[Class]]="C",WORKDAY(Main[[#This Row],[Tech Start Date]],9),IF(Main[[#This Row],[Class]]="B", WORKDAY(Main[[#This Row],[Tech Start Date]],6),IF(Main[[#This Row],[Class]]="A",WORKDAY(Main[[#This Row],[Tech Start Date]],2),""))))</f>
        <v/>
      </c>
      <c r="N598" s="104" t="str">
        <f>IF(Main[[#This Row],[Tech Start Date]]&lt;1/1/1990,"",IF(Main[[#This Row],[Class]]="C",WORKDAY(Main[[#This Row],[Tech Start Date]],19),IF(Main[[#This Row],[Class]]="B", WORKDAY(Main[[#This Row],[Tech Start Date]],12),IF(Main[[#This Row],[Class]]="A",WORKDAY(Main[[#This Row],[Tech Start Date]],4),""))))</f>
        <v/>
      </c>
      <c r="O598" s="104" t="str">
        <f>IF(Main[[#This Row],[Tech Start Date]]&lt;1/1/1990,"",IF(Main[[#This Row],[Class]]="C",WORKDAY(Main[[#This Row],[Tech Start Date]],23),IF(Main[[#This Row],[Class]]="B", WORKDAY(Main[[#This Row],[Tech Start Date]],15),IF(Main[[#This Row],[Class]]="A",WORKDAY(Main[[#This Row],[Tech Start Date]],5),""))))</f>
        <v/>
      </c>
      <c r="P598" s="104" t="str">
        <f>IF(Main[[#This Row],[Tech Start Date]]&lt;1/1/1990,"",IF(Main[[#This Row],[Class]]="C",WORKDAY(Main[[#This Row],[Tech Start Date]],28),IF(Main[[#This Row],[Class]]="B", WORKDAY(Main[[#This Row],[Tech Start Date]],19),IF(Main[[#This Row],[Class]]="A",WORKDAY(Main[[#This Row],[Tech Start Date]],9),""))))</f>
        <v/>
      </c>
      <c r="Q598" s="101"/>
      <c r="R598" s="101"/>
      <c r="S598" s="99" t="s">
        <v>11</v>
      </c>
      <c r="T598" s="107" t="s">
        <v>4</v>
      </c>
      <c r="U598" s="99" t="s">
        <v>14</v>
      </c>
      <c r="V598" s="99" t="s">
        <v>1963</v>
      </c>
      <c r="W598" s="99" t="s">
        <v>1967</v>
      </c>
    </row>
    <row r="599" spans="1:23" ht="18.600000000000001" customHeight="1">
      <c r="A599" s="123" t="str">
        <f>IF(priority(Main[[#This Row],[Comments]])&lt;&gt;0, priority(Main[[#This Row],[Comments]]),"")</f>
        <v/>
      </c>
      <c r="B599" s="127" t="s">
        <v>1470</v>
      </c>
      <c r="C599" s="99" t="s">
        <v>122</v>
      </c>
      <c r="D599" s="100" t="s">
        <v>526</v>
      </c>
      <c r="E599" s="101"/>
      <c r="F599" s="101"/>
      <c r="G599" s="102" t="str">
        <f>IF(stdProdLT(Main[[#This Row],[Comments]])=0.1,"N/A",IF(stdProdLT(Main[[#This Row],[Comments]])=0,"",stdProdLT(Main[[#This Row],[Comments]])))</f>
        <v/>
      </c>
      <c r="H599" s="103" t="str">
        <f>IF(AND(Main[[#This Row],[In Stock Date]]&lt;&gt;"",Main[[#This Row],[Revised Due Date]]&lt;&gt;""),Main[[#This Row],[In Stock Date]]-Main[[#This Row],[Revised Due Date]],"")</f>
        <v/>
      </c>
      <c r="I599" s="99" t="s">
        <v>4</v>
      </c>
      <c r="J599" s="99" t="s">
        <v>4</v>
      </c>
      <c r="K599" s="99" t="s">
        <v>4</v>
      </c>
      <c r="L599" s="101"/>
      <c r="M599" s="104" t="str">
        <f>IF(Main[[#This Row],[Tech Start Date]]&lt;1/1/1990,"",IF(Main[[#This Row],[Class]]="C",WORKDAY(Main[[#This Row],[Tech Start Date]],9),IF(Main[[#This Row],[Class]]="B", WORKDAY(Main[[#This Row],[Tech Start Date]],6),IF(Main[[#This Row],[Class]]="A",WORKDAY(Main[[#This Row],[Tech Start Date]],2),""))))</f>
        <v/>
      </c>
      <c r="N599" s="104" t="str">
        <f>IF(Main[[#This Row],[Tech Start Date]]&lt;1/1/1990,"",IF(Main[[#This Row],[Class]]="C",WORKDAY(Main[[#This Row],[Tech Start Date]],19),IF(Main[[#This Row],[Class]]="B", WORKDAY(Main[[#This Row],[Tech Start Date]],12),IF(Main[[#This Row],[Class]]="A",WORKDAY(Main[[#This Row],[Tech Start Date]],4),""))))</f>
        <v/>
      </c>
      <c r="O599" s="104" t="str">
        <f>IF(Main[[#This Row],[Tech Start Date]]&lt;1/1/1990,"",IF(Main[[#This Row],[Class]]="C",WORKDAY(Main[[#This Row],[Tech Start Date]],23),IF(Main[[#This Row],[Class]]="B", WORKDAY(Main[[#This Row],[Tech Start Date]],15),IF(Main[[#This Row],[Class]]="A",WORKDAY(Main[[#This Row],[Tech Start Date]],5),""))))</f>
        <v/>
      </c>
      <c r="P599" s="104" t="str">
        <f>IF(Main[[#This Row],[Tech Start Date]]&lt;1/1/1990,"",IF(Main[[#This Row],[Class]]="C",WORKDAY(Main[[#This Row],[Tech Start Date]],28),IF(Main[[#This Row],[Class]]="B", WORKDAY(Main[[#This Row],[Tech Start Date]],19),IF(Main[[#This Row],[Class]]="A",WORKDAY(Main[[#This Row],[Tech Start Date]],9),""))))</f>
        <v/>
      </c>
      <c r="Q599" s="101">
        <v>40245</v>
      </c>
      <c r="R599" s="101"/>
      <c r="S599" s="99" t="s">
        <v>11</v>
      </c>
      <c r="T599" s="107" t="s">
        <v>4</v>
      </c>
      <c r="U599" s="99" t="s">
        <v>14</v>
      </c>
      <c r="V599" s="99" t="s">
        <v>1965</v>
      </c>
      <c r="W599" s="99" t="s">
        <v>1964</v>
      </c>
    </row>
    <row r="600" spans="1:23" ht="18.600000000000001" customHeight="1">
      <c r="A600" s="123" t="str">
        <f>IF(priority(Main[[#This Row],[Comments]])&lt;&gt;0, priority(Main[[#This Row],[Comments]]),"")</f>
        <v/>
      </c>
      <c r="B600" s="127" t="s">
        <v>1471</v>
      </c>
      <c r="C600" s="99" t="s">
        <v>4</v>
      </c>
      <c r="D600" s="100" t="s">
        <v>527</v>
      </c>
      <c r="E600" s="101"/>
      <c r="F600" s="101">
        <v>40178</v>
      </c>
      <c r="G600" s="102" t="str">
        <f>IF(stdProdLT(Main[[#This Row],[Comments]])=0.1,"N/A",IF(stdProdLT(Main[[#This Row],[Comments]])=0,"",stdProdLT(Main[[#This Row],[Comments]])))</f>
        <v/>
      </c>
      <c r="H600" s="103" t="str">
        <f>IF(AND(Main[[#This Row],[In Stock Date]]&lt;&gt;"",Main[[#This Row],[Revised Due Date]]&lt;&gt;""),Main[[#This Row],[In Stock Date]]-Main[[#This Row],[Revised Due Date]],"")</f>
        <v/>
      </c>
      <c r="I600" s="99" t="s">
        <v>4</v>
      </c>
      <c r="J600" s="99" t="s">
        <v>4</v>
      </c>
      <c r="K600" s="99" t="s">
        <v>4</v>
      </c>
      <c r="L600" s="101"/>
      <c r="M600" s="104" t="str">
        <f>IF(Main[[#This Row],[Tech Start Date]]&lt;1/1/1990,"",IF(Main[[#This Row],[Class]]="C",WORKDAY(Main[[#This Row],[Tech Start Date]],9),IF(Main[[#This Row],[Class]]="B", WORKDAY(Main[[#This Row],[Tech Start Date]],6),IF(Main[[#This Row],[Class]]="A",WORKDAY(Main[[#This Row],[Tech Start Date]],2),""))))</f>
        <v/>
      </c>
      <c r="N600" s="104" t="str">
        <f>IF(Main[[#This Row],[Tech Start Date]]&lt;1/1/1990,"",IF(Main[[#This Row],[Class]]="C",WORKDAY(Main[[#This Row],[Tech Start Date]],19),IF(Main[[#This Row],[Class]]="B", WORKDAY(Main[[#This Row],[Tech Start Date]],12),IF(Main[[#This Row],[Class]]="A",WORKDAY(Main[[#This Row],[Tech Start Date]],4),""))))</f>
        <v/>
      </c>
      <c r="O600" s="104" t="str">
        <f>IF(Main[[#This Row],[Tech Start Date]]&lt;1/1/1990,"",IF(Main[[#This Row],[Class]]="C",WORKDAY(Main[[#This Row],[Tech Start Date]],23),IF(Main[[#This Row],[Class]]="B", WORKDAY(Main[[#This Row],[Tech Start Date]],15),IF(Main[[#This Row],[Class]]="A",WORKDAY(Main[[#This Row],[Tech Start Date]],5),""))))</f>
        <v/>
      </c>
      <c r="P600" s="104" t="str">
        <f>IF(Main[[#This Row],[Tech Start Date]]&lt;1/1/1990,"",IF(Main[[#This Row],[Class]]="C",WORKDAY(Main[[#This Row],[Tech Start Date]],28),IF(Main[[#This Row],[Class]]="B", WORKDAY(Main[[#This Row],[Tech Start Date]],19),IF(Main[[#This Row],[Class]]="A",WORKDAY(Main[[#This Row],[Tech Start Date]],9),""))))</f>
        <v/>
      </c>
      <c r="Q600" s="101">
        <v>40158</v>
      </c>
      <c r="R600" s="101"/>
      <c r="S600" s="99" t="s">
        <v>11</v>
      </c>
      <c r="T600" s="107" t="s">
        <v>4</v>
      </c>
      <c r="U600" s="99" t="s">
        <v>14</v>
      </c>
      <c r="V600" s="99" t="s">
        <v>1962</v>
      </c>
      <c r="W600" s="99" t="s">
        <v>1967</v>
      </c>
    </row>
    <row r="601" spans="1:23" ht="18.600000000000001" customHeight="1">
      <c r="A601" s="123" t="str">
        <f>IF(priority(Main[[#This Row],[Comments]])&lt;&gt;0, priority(Main[[#This Row],[Comments]]),"")</f>
        <v/>
      </c>
      <c r="B601" s="127" t="s">
        <v>2478</v>
      </c>
      <c r="C601" s="99" t="s">
        <v>4</v>
      </c>
      <c r="D601" s="100" t="s">
        <v>2479</v>
      </c>
      <c r="E601" s="101">
        <v>40833.614664351851</v>
      </c>
      <c r="F601" s="101"/>
      <c r="G601" s="102" t="str">
        <f>IF(stdProdLT(Main[[#This Row],[Comments]])=0.1,"N/A",IF(stdProdLT(Main[[#This Row],[Comments]])=0,"",stdProdLT(Main[[#This Row],[Comments]])))</f>
        <v/>
      </c>
      <c r="H601" s="103" t="str">
        <f>IF(AND(Main[[#This Row],[In Stock Date]]&lt;&gt;"",Main[[#This Row],[Revised Due Date]]&lt;&gt;""),Main[[#This Row],[In Stock Date]]-Main[[#This Row],[Revised Due Date]],"")</f>
        <v/>
      </c>
      <c r="I601" s="99" t="s">
        <v>536</v>
      </c>
      <c r="J601" s="99" t="s">
        <v>28</v>
      </c>
      <c r="K601" s="99" t="s">
        <v>1971</v>
      </c>
      <c r="L601" s="101"/>
      <c r="M601" s="104" t="str">
        <f>IF(Main[[#This Row],[Tech Start Date]]&lt;1/1/1990,"",IF(Main[[#This Row],[Class]]="C",WORKDAY(Main[[#This Row],[Tech Start Date]],9),IF(Main[[#This Row],[Class]]="B", WORKDAY(Main[[#This Row],[Tech Start Date]],6),IF(Main[[#This Row],[Class]]="A",WORKDAY(Main[[#This Row],[Tech Start Date]],2),""))))</f>
        <v/>
      </c>
      <c r="N601" s="104" t="str">
        <f>IF(Main[[#This Row],[Tech Start Date]]&lt;1/1/1990,"",IF(Main[[#This Row],[Class]]="C",WORKDAY(Main[[#This Row],[Tech Start Date]],19),IF(Main[[#This Row],[Class]]="B", WORKDAY(Main[[#This Row],[Tech Start Date]],12),IF(Main[[#This Row],[Class]]="A",WORKDAY(Main[[#This Row],[Tech Start Date]],4),""))))</f>
        <v/>
      </c>
      <c r="O601" s="104" t="str">
        <f>IF(Main[[#This Row],[Tech Start Date]]&lt;1/1/1990,"",IF(Main[[#This Row],[Class]]="C",WORKDAY(Main[[#This Row],[Tech Start Date]],23),IF(Main[[#This Row],[Class]]="B", WORKDAY(Main[[#This Row],[Tech Start Date]],15),IF(Main[[#This Row],[Class]]="A",WORKDAY(Main[[#This Row],[Tech Start Date]],5),""))))</f>
        <v/>
      </c>
      <c r="P601" s="104" t="str">
        <f>IF(Main[[#This Row],[Tech Start Date]]&lt;1/1/1990,"",IF(Main[[#This Row],[Class]]="C",WORKDAY(Main[[#This Row],[Tech Start Date]],28),IF(Main[[#This Row],[Class]]="B", WORKDAY(Main[[#This Row],[Tech Start Date]],19),IF(Main[[#This Row],[Class]]="A",WORKDAY(Main[[#This Row],[Tech Start Date]],9),""))))</f>
        <v/>
      </c>
      <c r="Q601" s="101">
        <v>40908</v>
      </c>
      <c r="R601" s="101"/>
      <c r="S601" s="99" t="s">
        <v>6</v>
      </c>
      <c r="T601" s="107" t="s">
        <v>4</v>
      </c>
      <c r="U601" s="99" t="s">
        <v>29</v>
      </c>
      <c r="V601" s="99" t="s">
        <v>1965</v>
      </c>
      <c r="W601" s="99" t="s">
        <v>1966</v>
      </c>
    </row>
    <row r="602" spans="1:23" ht="18.600000000000001" customHeight="1">
      <c r="A602" s="123" t="str">
        <f>IF(priority(Main[[#This Row],[Comments]])&lt;&gt;0, priority(Main[[#This Row],[Comments]]),"")</f>
        <v/>
      </c>
      <c r="B602" s="127" t="s">
        <v>2480</v>
      </c>
      <c r="C602" s="99" t="s">
        <v>72</v>
      </c>
      <c r="D602" s="100" t="s">
        <v>2481</v>
      </c>
      <c r="E602" s="101"/>
      <c r="F602" s="101"/>
      <c r="G602" s="102" t="str">
        <f>IF(stdProdLT(Main[[#This Row],[Comments]])=0.1,"N/A",IF(stdProdLT(Main[[#This Row],[Comments]])=0,"",stdProdLT(Main[[#This Row],[Comments]])))</f>
        <v/>
      </c>
      <c r="H602" s="103" t="str">
        <f>IF(AND(Main[[#This Row],[In Stock Date]]&lt;&gt;"",Main[[#This Row],[Revised Due Date]]&lt;&gt;""),Main[[#This Row],[In Stock Date]]-Main[[#This Row],[Revised Due Date]],"")</f>
        <v/>
      </c>
      <c r="I602" s="99" t="s">
        <v>4</v>
      </c>
      <c r="J602" s="99" t="s">
        <v>4</v>
      </c>
      <c r="K602" s="108" t="s">
        <v>4</v>
      </c>
      <c r="L602" s="101"/>
      <c r="M602" s="104" t="str">
        <f>IF(Main[[#This Row],[Tech Start Date]]&lt;1/1/1990,"",IF(Main[[#This Row],[Class]]="C",WORKDAY(Main[[#This Row],[Tech Start Date]],9),IF(Main[[#This Row],[Class]]="B", WORKDAY(Main[[#This Row],[Tech Start Date]],6),IF(Main[[#This Row],[Class]]="A",WORKDAY(Main[[#This Row],[Tech Start Date]],2),""))))</f>
        <v/>
      </c>
      <c r="N602" s="104" t="str">
        <f>IF(Main[[#This Row],[Tech Start Date]]&lt;1/1/1990,"",IF(Main[[#This Row],[Class]]="C",WORKDAY(Main[[#This Row],[Tech Start Date]],19),IF(Main[[#This Row],[Class]]="B", WORKDAY(Main[[#This Row],[Tech Start Date]],12),IF(Main[[#This Row],[Class]]="A",WORKDAY(Main[[#This Row],[Tech Start Date]],4),""))))</f>
        <v/>
      </c>
      <c r="O602" s="104" t="str">
        <f>IF(Main[[#This Row],[Tech Start Date]]&lt;1/1/1990,"",IF(Main[[#This Row],[Class]]="C",WORKDAY(Main[[#This Row],[Tech Start Date]],23),IF(Main[[#This Row],[Class]]="B", WORKDAY(Main[[#This Row],[Tech Start Date]],15),IF(Main[[#This Row],[Class]]="A",WORKDAY(Main[[#This Row],[Tech Start Date]],5),""))))</f>
        <v/>
      </c>
      <c r="P602" s="104" t="str">
        <f>IF(Main[[#This Row],[Tech Start Date]]&lt;1/1/1990,"",IF(Main[[#This Row],[Class]]="C",WORKDAY(Main[[#This Row],[Tech Start Date]],28),IF(Main[[#This Row],[Class]]="B", WORKDAY(Main[[#This Row],[Tech Start Date]],19),IF(Main[[#This Row],[Class]]="A",WORKDAY(Main[[#This Row],[Tech Start Date]],9),""))))</f>
        <v/>
      </c>
      <c r="Q602" s="101"/>
      <c r="R602" s="101"/>
      <c r="S602" s="99" t="s">
        <v>17</v>
      </c>
      <c r="T602" s="107" t="s">
        <v>4</v>
      </c>
      <c r="U602" s="99" t="s">
        <v>14</v>
      </c>
      <c r="V602" s="99" t="s">
        <v>1963</v>
      </c>
      <c r="W602" s="99" t="s">
        <v>1964</v>
      </c>
    </row>
    <row r="603" spans="1:23" ht="18.600000000000001" customHeight="1">
      <c r="A603" s="123" t="str">
        <f>IF(priority(Main[[#This Row],[Comments]])&lt;&gt;0, priority(Main[[#This Row],[Comments]]),"")</f>
        <v/>
      </c>
      <c r="B603" s="127" t="s">
        <v>1476</v>
      </c>
      <c r="C603" s="99" t="s">
        <v>113</v>
      </c>
      <c r="D603" s="100" t="s">
        <v>528</v>
      </c>
      <c r="E603" s="101"/>
      <c r="F603" s="101"/>
      <c r="G603" s="102" t="str">
        <f>IF(stdProdLT(Main[[#This Row],[Comments]])=0.1,"N/A",IF(stdProdLT(Main[[#This Row],[Comments]])=0,"",stdProdLT(Main[[#This Row],[Comments]])))</f>
        <v/>
      </c>
      <c r="H603" s="103" t="str">
        <f>IF(AND(Main[[#This Row],[In Stock Date]]&lt;&gt;"",Main[[#This Row],[Revised Due Date]]&lt;&gt;""),Main[[#This Row],[In Stock Date]]-Main[[#This Row],[Revised Due Date]],"")</f>
        <v/>
      </c>
      <c r="I603" s="99" t="s">
        <v>4</v>
      </c>
      <c r="J603" s="99" t="s">
        <v>4</v>
      </c>
      <c r="K603" s="99" t="s">
        <v>4</v>
      </c>
      <c r="L603" s="101"/>
      <c r="M603" s="104" t="str">
        <f>IF(Main[[#This Row],[Tech Start Date]]&lt;1/1/1990,"",IF(Main[[#This Row],[Class]]="C",WORKDAY(Main[[#This Row],[Tech Start Date]],9),IF(Main[[#This Row],[Class]]="B", WORKDAY(Main[[#This Row],[Tech Start Date]],6),IF(Main[[#This Row],[Class]]="A",WORKDAY(Main[[#This Row],[Tech Start Date]],2),""))))</f>
        <v/>
      </c>
      <c r="N603" s="104" t="str">
        <f>IF(Main[[#This Row],[Tech Start Date]]&lt;1/1/1990,"",IF(Main[[#This Row],[Class]]="C",WORKDAY(Main[[#This Row],[Tech Start Date]],19),IF(Main[[#This Row],[Class]]="B", WORKDAY(Main[[#This Row],[Tech Start Date]],12),IF(Main[[#This Row],[Class]]="A",WORKDAY(Main[[#This Row],[Tech Start Date]],4),""))))</f>
        <v/>
      </c>
      <c r="O603" s="104" t="str">
        <f>IF(Main[[#This Row],[Tech Start Date]]&lt;1/1/1990,"",IF(Main[[#This Row],[Class]]="C",WORKDAY(Main[[#This Row],[Tech Start Date]],23),IF(Main[[#This Row],[Class]]="B", WORKDAY(Main[[#This Row],[Tech Start Date]],15),IF(Main[[#This Row],[Class]]="A",WORKDAY(Main[[#This Row],[Tech Start Date]],5),""))))</f>
        <v/>
      </c>
      <c r="P603" s="104" t="str">
        <f>IF(Main[[#This Row],[Tech Start Date]]&lt;1/1/1990,"",IF(Main[[#This Row],[Class]]="C",WORKDAY(Main[[#This Row],[Tech Start Date]],28),IF(Main[[#This Row],[Class]]="B", WORKDAY(Main[[#This Row],[Tech Start Date]],19),IF(Main[[#This Row],[Class]]="A",WORKDAY(Main[[#This Row],[Tech Start Date]],9),""))))</f>
        <v/>
      </c>
      <c r="Q603" s="101">
        <v>40505</v>
      </c>
      <c r="R603" s="101"/>
      <c r="S603" s="99" t="s">
        <v>49</v>
      </c>
      <c r="T603" s="107" t="s">
        <v>4</v>
      </c>
      <c r="U603" s="99" t="s">
        <v>12</v>
      </c>
      <c r="V603" s="99" t="s">
        <v>1963</v>
      </c>
      <c r="W603" s="99" t="s">
        <v>1967</v>
      </c>
    </row>
    <row r="604" spans="1:23" ht="18.600000000000001" customHeight="1">
      <c r="A604" s="123" t="str">
        <f>IF(priority(Main[[#This Row],[Comments]])&lt;&gt;0, priority(Main[[#This Row],[Comments]]),"")</f>
        <v/>
      </c>
      <c r="B604" s="127" t="s">
        <v>2334</v>
      </c>
      <c r="C604" s="99" t="s">
        <v>4</v>
      </c>
      <c r="D604" s="100" t="s">
        <v>2373</v>
      </c>
      <c r="E604" s="101">
        <v>40806.662407407406</v>
      </c>
      <c r="F604" s="101"/>
      <c r="G604" s="102" t="str">
        <f>IF(stdProdLT(Main[[#This Row],[Comments]])=0.1,"N/A",IF(stdProdLT(Main[[#This Row],[Comments]])=0,"",stdProdLT(Main[[#This Row],[Comments]])))</f>
        <v/>
      </c>
      <c r="H604" s="103" t="str">
        <f>IF(AND(Main[[#This Row],[In Stock Date]]&lt;&gt;"",Main[[#This Row],[Revised Due Date]]&lt;&gt;""),Main[[#This Row],[In Stock Date]]-Main[[#This Row],[Revised Due Date]],"")</f>
        <v/>
      </c>
      <c r="I604" s="99" t="s">
        <v>30</v>
      </c>
      <c r="J604" s="99" t="s">
        <v>21</v>
      </c>
      <c r="K604" s="99" t="s">
        <v>1971</v>
      </c>
      <c r="L604" s="101"/>
      <c r="M604" s="104" t="str">
        <f>IF(Main[[#This Row],[Tech Start Date]]&lt;1/1/1990,"",IF(Main[[#This Row],[Class]]="C",WORKDAY(Main[[#This Row],[Tech Start Date]],9),IF(Main[[#This Row],[Class]]="B", WORKDAY(Main[[#This Row],[Tech Start Date]],6),IF(Main[[#This Row],[Class]]="A",WORKDAY(Main[[#This Row],[Tech Start Date]],2),""))))</f>
        <v/>
      </c>
      <c r="N604" s="104" t="str">
        <f>IF(Main[[#This Row],[Tech Start Date]]&lt;1/1/1990,"",IF(Main[[#This Row],[Class]]="C",WORKDAY(Main[[#This Row],[Tech Start Date]],19),IF(Main[[#This Row],[Class]]="B", WORKDAY(Main[[#This Row],[Tech Start Date]],12),IF(Main[[#This Row],[Class]]="A",WORKDAY(Main[[#This Row],[Tech Start Date]],4),""))))</f>
        <v/>
      </c>
      <c r="O604" s="104" t="str">
        <f>IF(Main[[#This Row],[Tech Start Date]]&lt;1/1/1990,"",IF(Main[[#This Row],[Class]]="C",WORKDAY(Main[[#This Row],[Tech Start Date]],23),IF(Main[[#This Row],[Class]]="B", WORKDAY(Main[[#This Row],[Tech Start Date]],15),IF(Main[[#This Row],[Class]]="A",WORKDAY(Main[[#This Row],[Tech Start Date]],5),""))))</f>
        <v/>
      </c>
      <c r="P604" s="104" t="str">
        <f>IF(Main[[#This Row],[Tech Start Date]]&lt;1/1/1990,"",IF(Main[[#This Row],[Class]]="C",WORKDAY(Main[[#This Row],[Tech Start Date]],28),IF(Main[[#This Row],[Class]]="B", WORKDAY(Main[[#This Row],[Tech Start Date]],19),IF(Main[[#This Row],[Class]]="A",WORKDAY(Main[[#This Row],[Tech Start Date]],9),""))))</f>
        <v/>
      </c>
      <c r="Q604" s="101"/>
      <c r="R604" s="101"/>
      <c r="S604" s="99" t="s">
        <v>6</v>
      </c>
      <c r="T604" s="107" t="s">
        <v>4</v>
      </c>
      <c r="U604" s="99" t="s">
        <v>29</v>
      </c>
      <c r="V604" s="99" t="s">
        <v>1965</v>
      </c>
      <c r="W604" s="99" t="s">
        <v>1966</v>
      </c>
    </row>
    <row r="605" spans="1:23" ht="18.600000000000001" customHeight="1">
      <c r="A605" s="123" t="str">
        <f>IF(priority(Main[[#This Row],[Comments]])&lt;&gt;0, priority(Main[[#This Row],[Comments]]),"")</f>
        <v/>
      </c>
      <c r="B605" s="127" t="s">
        <v>2750</v>
      </c>
      <c r="C605" s="99" t="s">
        <v>2457</v>
      </c>
      <c r="D605" s="100" t="s">
        <v>2458</v>
      </c>
      <c r="E605" s="101"/>
      <c r="F605" s="101">
        <v>41008</v>
      </c>
      <c r="G605" s="102" t="str">
        <f>IF(stdProdLT(Main[[#This Row],[Comments]])=0.1,"N/A",IF(stdProdLT(Main[[#This Row],[Comments]])=0,"",stdProdLT(Main[[#This Row],[Comments]])))</f>
        <v/>
      </c>
      <c r="H605" s="103" t="str">
        <f>IF(AND(Main[[#This Row],[In Stock Date]]&lt;&gt;"",Main[[#This Row],[Revised Due Date]]&lt;&gt;""),Main[[#This Row],[In Stock Date]]-Main[[#This Row],[Revised Due Date]],"")</f>
        <v/>
      </c>
      <c r="I605" s="99" t="s">
        <v>4</v>
      </c>
      <c r="J605" s="99" t="s">
        <v>4</v>
      </c>
      <c r="K605" s="99" t="s">
        <v>4</v>
      </c>
      <c r="L605" s="101"/>
      <c r="M605" s="104" t="str">
        <f>IF(Main[[#This Row],[Tech Start Date]]&lt;1/1/1990,"",IF(Main[[#This Row],[Class]]="C",WORKDAY(Main[[#This Row],[Tech Start Date]],9),IF(Main[[#This Row],[Class]]="B", WORKDAY(Main[[#This Row],[Tech Start Date]],6),IF(Main[[#This Row],[Class]]="A",WORKDAY(Main[[#This Row],[Tech Start Date]],2),""))))</f>
        <v/>
      </c>
      <c r="N605" s="104" t="str">
        <f>IF(Main[[#This Row],[Tech Start Date]]&lt;1/1/1990,"",IF(Main[[#This Row],[Class]]="C",WORKDAY(Main[[#This Row],[Tech Start Date]],19),IF(Main[[#This Row],[Class]]="B", WORKDAY(Main[[#This Row],[Tech Start Date]],12),IF(Main[[#This Row],[Class]]="A",WORKDAY(Main[[#This Row],[Tech Start Date]],4),""))))</f>
        <v/>
      </c>
      <c r="O605" s="104" t="str">
        <f>IF(Main[[#This Row],[Tech Start Date]]&lt;1/1/1990,"",IF(Main[[#This Row],[Class]]="C",WORKDAY(Main[[#This Row],[Tech Start Date]],23),IF(Main[[#This Row],[Class]]="B", WORKDAY(Main[[#This Row],[Tech Start Date]],15),IF(Main[[#This Row],[Class]]="A",WORKDAY(Main[[#This Row],[Tech Start Date]],5),""))))</f>
        <v/>
      </c>
      <c r="P605" s="104" t="str">
        <f>IF(Main[[#This Row],[Tech Start Date]]&lt;1/1/1990,"",IF(Main[[#This Row],[Class]]="C",WORKDAY(Main[[#This Row],[Tech Start Date]],28),IF(Main[[#This Row],[Class]]="B", WORKDAY(Main[[#This Row],[Tech Start Date]],19),IF(Main[[#This Row],[Class]]="A",WORKDAY(Main[[#This Row],[Tech Start Date]],9),""))))</f>
        <v/>
      </c>
      <c r="Q605" s="101">
        <v>40826</v>
      </c>
      <c r="R605" s="101"/>
      <c r="S605" s="99" t="s">
        <v>11</v>
      </c>
      <c r="T605" s="107" t="s">
        <v>4</v>
      </c>
      <c r="U605" s="99" t="s">
        <v>12</v>
      </c>
      <c r="V605" s="99" t="s">
        <v>1965</v>
      </c>
      <c r="W605" s="99" t="s">
        <v>1968</v>
      </c>
    </row>
    <row r="606" spans="1:23" ht="18.600000000000001" customHeight="1">
      <c r="A606" s="123" t="str">
        <f>IF(priority(Main[[#This Row],[Comments]])&lt;&gt;0, priority(Main[[#This Row],[Comments]]),"")</f>
        <v/>
      </c>
      <c r="B606" s="127" t="s">
        <v>1494</v>
      </c>
      <c r="C606" s="99" t="s">
        <v>4</v>
      </c>
      <c r="D606" s="100" t="s">
        <v>529</v>
      </c>
      <c r="E606" s="101">
        <v>40371.58488425926</v>
      </c>
      <c r="F606" s="101"/>
      <c r="G606" s="102" t="str">
        <f>IF(stdProdLT(Main[[#This Row],[Comments]])=0.1,"N/A",IF(stdProdLT(Main[[#This Row],[Comments]])=0,"",stdProdLT(Main[[#This Row],[Comments]])))</f>
        <v/>
      </c>
      <c r="H606" s="103" t="str">
        <f>IF(AND(Main[[#This Row],[In Stock Date]]&lt;&gt;"",Main[[#This Row],[Revised Due Date]]&lt;&gt;""),Main[[#This Row],[In Stock Date]]-Main[[#This Row],[Revised Due Date]],"")</f>
        <v/>
      </c>
      <c r="I606" s="99" t="s">
        <v>4</v>
      </c>
      <c r="J606" s="99" t="s">
        <v>4</v>
      </c>
      <c r="K606" s="99" t="s">
        <v>4</v>
      </c>
      <c r="L606" s="101"/>
      <c r="M606" s="104" t="str">
        <f>IF(Main[[#This Row],[Tech Start Date]]&lt;1/1/1990,"",IF(Main[[#This Row],[Class]]="C",WORKDAY(Main[[#This Row],[Tech Start Date]],9),IF(Main[[#This Row],[Class]]="B", WORKDAY(Main[[#This Row],[Tech Start Date]],6),IF(Main[[#This Row],[Class]]="A",WORKDAY(Main[[#This Row],[Tech Start Date]],2),""))))</f>
        <v/>
      </c>
      <c r="N606" s="104" t="str">
        <f>IF(Main[[#This Row],[Tech Start Date]]&lt;1/1/1990,"",IF(Main[[#This Row],[Class]]="C",WORKDAY(Main[[#This Row],[Tech Start Date]],19),IF(Main[[#This Row],[Class]]="B", WORKDAY(Main[[#This Row],[Tech Start Date]],12),IF(Main[[#This Row],[Class]]="A",WORKDAY(Main[[#This Row],[Tech Start Date]],4),""))))</f>
        <v/>
      </c>
      <c r="O606" s="104" t="str">
        <f>IF(Main[[#This Row],[Tech Start Date]]&lt;1/1/1990,"",IF(Main[[#This Row],[Class]]="C",WORKDAY(Main[[#This Row],[Tech Start Date]],23),IF(Main[[#This Row],[Class]]="B", WORKDAY(Main[[#This Row],[Tech Start Date]],15),IF(Main[[#This Row],[Class]]="A",WORKDAY(Main[[#This Row],[Tech Start Date]],5),""))))</f>
        <v/>
      </c>
      <c r="P606" s="104" t="str">
        <f>IF(Main[[#This Row],[Tech Start Date]]&lt;1/1/1990,"",IF(Main[[#This Row],[Class]]="C",WORKDAY(Main[[#This Row],[Tech Start Date]],28),IF(Main[[#This Row],[Class]]="B", WORKDAY(Main[[#This Row],[Tech Start Date]],19),IF(Main[[#This Row],[Class]]="A",WORKDAY(Main[[#This Row],[Tech Start Date]],9),""))))</f>
        <v/>
      </c>
      <c r="Q606" s="101">
        <v>40385</v>
      </c>
      <c r="R606" s="101"/>
      <c r="S606" s="99" t="s">
        <v>6</v>
      </c>
      <c r="T606" s="107" t="s">
        <v>4</v>
      </c>
      <c r="U606" s="99" t="s">
        <v>7</v>
      </c>
      <c r="V606" s="99" t="s">
        <v>1962</v>
      </c>
      <c r="W606" s="99" t="s">
        <v>1967</v>
      </c>
    </row>
    <row r="607" spans="1:23" ht="18.600000000000001" customHeight="1">
      <c r="A607" s="123" t="str">
        <f>IF(priority(Main[[#This Row],[Comments]])&lt;&gt;0, priority(Main[[#This Row],[Comments]]),"")</f>
        <v/>
      </c>
      <c r="B607" s="127" t="s">
        <v>1495</v>
      </c>
      <c r="C607" s="99" t="s">
        <v>4</v>
      </c>
      <c r="D607" s="100" t="s">
        <v>530</v>
      </c>
      <c r="E607" s="101"/>
      <c r="F607" s="101"/>
      <c r="G607" s="102" t="str">
        <f>IF(stdProdLT(Main[[#This Row],[Comments]])=0.1,"N/A",IF(stdProdLT(Main[[#This Row],[Comments]])=0,"",stdProdLT(Main[[#This Row],[Comments]])))</f>
        <v/>
      </c>
      <c r="H607" s="103" t="str">
        <f>IF(AND(Main[[#This Row],[In Stock Date]]&lt;&gt;"",Main[[#This Row],[Revised Due Date]]&lt;&gt;""),Main[[#This Row],[In Stock Date]]-Main[[#This Row],[Revised Due Date]],"")</f>
        <v/>
      </c>
      <c r="I607" s="99" t="s">
        <v>4</v>
      </c>
      <c r="J607" s="99" t="s">
        <v>4</v>
      </c>
      <c r="K607" s="108" t="s">
        <v>4</v>
      </c>
      <c r="L607" s="101"/>
      <c r="M607" s="104" t="str">
        <f>IF(Main[[#This Row],[Tech Start Date]]&lt;1/1/1990,"",IF(Main[[#This Row],[Class]]="C",WORKDAY(Main[[#This Row],[Tech Start Date]],9),IF(Main[[#This Row],[Class]]="B", WORKDAY(Main[[#This Row],[Tech Start Date]],6),IF(Main[[#This Row],[Class]]="A",WORKDAY(Main[[#This Row],[Tech Start Date]],2),""))))</f>
        <v/>
      </c>
      <c r="N607" s="104" t="str">
        <f>IF(Main[[#This Row],[Tech Start Date]]&lt;1/1/1990,"",IF(Main[[#This Row],[Class]]="C",WORKDAY(Main[[#This Row],[Tech Start Date]],19),IF(Main[[#This Row],[Class]]="B", WORKDAY(Main[[#This Row],[Tech Start Date]],12),IF(Main[[#This Row],[Class]]="A",WORKDAY(Main[[#This Row],[Tech Start Date]],4),""))))</f>
        <v/>
      </c>
      <c r="O607" s="104" t="str">
        <f>IF(Main[[#This Row],[Tech Start Date]]&lt;1/1/1990,"",IF(Main[[#This Row],[Class]]="C",WORKDAY(Main[[#This Row],[Tech Start Date]],23),IF(Main[[#This Row],[Class]]="B", WORKDAY(Main[[#This Row],[Tech Start Date]],15),IF(Main[[#This Row],[Class]]="A",WORKDAY(Main[[#This Row],[Tech Start Date]],5),""))))</f>
        <v/>
      </c>
      <c r="P607" s="104" t="str">
        <f>IF(Main[[#This Row],[Tech Start Date]]&lt;1/1/1990,"",IF(Main[[#This Row],[Class]]="C",WORKDAY(Main[[#This Row],[Tech Start Date]],28),IF(Main[[#This Row],[Class]]="B", WORKDAY(Main[[#This Row],[Tech Start Date]],19),IF(Main[[#This Row],[Class]]="A",WORKDAY(Main[[#This Row],[Tech Start Date]],9),""))))</f>
        <v/>
      </c>
      <c r="Q607" s="101"/>
      <c r="R607" s="101"/>
      <c r="S607" s="99" t="s">
        <v>6</v>
      </c>
      <c r="T607" s="107" t="s">
        <v>4</v>
      </c>
      <c r="U607" s="99" t="s">
        <v>12</v>
      </c>
      <c r="V607" s="99" t="s">
        <v>1965</v>
      </c>
      <c r="W607" s="99" t="s">
        <v>4</v>
      </c>
    </row>
    <row r="608" spans="1:23" ht="18.600000000000001" customHeight="1">
      <c r="A608" s="123" t="str">
        <f>IF(priority(Main[[#This Row],[Comments]])&lt;&gt;0, priority(Main[[#This Row],[Comments]]),"")</f>
        <v/>
      </c>
      <c r="B608" s="127" t="s">
        <v>1497</v>
      </c>
      <c r="C608" s="99" t="s">
        <v>531</v>
      </c>
      <c r="D608" s="100" t="s">
        <v>532</v>
      </c>
      <c r="E608" s="101"/>
      <c r="F608" s="101">
        <v>40276</v>
      </c>
      <c r="G608" s="102" t="str">
        <f>IF(stdProdLT(Main[[#This Row],[Comments]])=0.1,"N/A",IF(stdProdLT(Main[[#This Row],[Comments]])=0,"",stdProdLT(Main[[#This Row],[Comments]])))</f>
        <v/>
      </c>
      <c r="H608" s="103" t="str">
        <f>IF(AND(Main[[#This Row],[In Stock Date]]&lt;&gt;"",Main[[#This Row],[Revised Due Date]]&lt;&gt;""),Main[[#This Row],[In Stock Date]]-Main[[#This Row],[Revised Due Date]],"")</f>
        <v/>
      </c>
      <c r="I608" s="99" t="s">
        <v>4</v>
      </c>
      <c r="J608" s="99" t="s">
        <v>4</v>
      </c>
      <c r="K608" s="99" t="s">
        <v>4</v>
      </c>
      <c r="L608" s="101"/>
      <c r="M608" s="104" t="str">
        <f>IF(Main[[#This Row],[Tech Start Date]]&lt;1/1/1990,"",IF(Main[[#This Row],[Class]]="C",WORKDAY(Main[[#This Row],[Tech Start Date]],9),IF(Main[[#This Row],[Class]]="B", WORKDAY(Main[[#This Row],[Tech Start Date]],6),IF(Main[[#This Row],[Class]]="A",WORKDAY(Main[[#This Row],[Tech Start Date]],2),""))))</f>
        <v/>
      </c>
      <c r="N608" s="104" t="str">
        <f>IF(Main[[#This Row],[Tech Start Date]]&lt;1/1/1990,"",IF(Main[[#This Row],[Class]]="C",WORKDAY(Main[[#This Row],[Tech Start Date]],19),IF(Main[[#This Row],[Class]]="B", WORKDAY(Main[[#This Row],[Tech Start Date]],12),IF(Main[[#This Row],[Class]]="A",WORKDAY(Main[[#This Row],[Tech Start Date]],4),""))))</f>
        <v/>
      </c>
      <c r="O608" s="104" t="str">
        <f>IF(Main[[#This Row],[Tech Start Date]]&lt;1/1/1990,"",IF(Main[[#This Row],[Class]]="C",WORKDAY(Main[[#This Row],[Tech Start Date]],23),IF(Main[[#This Row],[Class]]="B", WORKDAY(Main[[#This Row],[Tech Start Date]],15),IF(Main[[#This Row],[Class]]="A",WORKDAY(Main[[#This Row],[Tech Start Date]],5),""))))</f>
        <v/>
      </c>
      <c r="P608" s="104" t="str">
        <f>IF(Main[[#This Row],[Tech Start Date]]&lt;1/1/1990,"",IF(Main[[#This Row],[Class]]="C",WORKDAY(Main[[#This Row],[Tech Start Date]],28),IF(Main[[#This Row],[Class]]="B", WORKDAY(Main[[#This Row],[Tech Start Date]],19),IF(Main[[#This Row],[Class]]="A",WORKDAY(Main[[#This Row],[Tech Start Date]],9),""))))</f>
        <v/>
      </c>
      <c r="Q608" s="101">
        <v>40164</v>
      </c>
      <c r="R608" s="101"/>
      <c r="S608" s="99" t="s">
        <v>11</v>
      </c>
      <c r="T608" s="107" t="s">
        <v>4</v>
      </c>
      <c r="U608" s="99" t="s">
        <v>14</v>
      </c>
      <c r="V608" s="99" t="s">
        <v>1965</v>
      </c>
      <c r="W608" s="99" t="s">
        <v>1968</v>
      </c>
    </row>
    <row r="609" spans="1:23" ht="18.600000000000001" customHeight="1">
      <c r="A609" s="123" t="str">
        <f>IF(priority(Main[[#This Row],[Comments]])&lt;&gt;0, priority(Main[[#This Row],[Comments]]),"")</f>
        <v/>
      </c>
      <c r="B609" s="127" t="s">
        <v>2482</v>
      </c>
      <c r="C609" s="99" t="s">
        <v>2483</v>
      </c>
      <c r="D609" s="100" t="s">
        <v>2484</v>
      </c>
      <c r="E609" s="101">
        <v>40855.460949074077</v>
      </c>
      <c r="F609" s="101"/>
      <c r="G609" s="102" t="str">
        <f>IF(stdProdLT(Main[[#This Row],[Comments]])=0.1,"N/A",IF(stdProdLT(Main[[#This Row],[Comments]])=0,"",stdProdLT(Main[[#This Row],[Comments]])))</f>
        <v/>
      </c>
      <c r="H609" s="103" t="str">
        <f>IF(AND(Main[[#This Row],[In Stock Date]]&lt;&gt;"",Main[[#This Row],[Revised Due Date]]&lt;&gt;""),Main[[#This Row],[In Stock Date]]-Main[[#This Row],[Revised Due Date]],"")</f>
        <v/>
      </c>
      <c r="I609" s="99" t="s">
        <v>4</v>
      </c>
      <c r="J609" s="99" t="s">
        <v>4</v>
      </c>
      <c r="K609" s="99" t="s">
        <v>4</v>
      </c>
      <c r="L609" s="101"/>
      <c r="M609" s="104" t="str">
        <f>IF(Main[[#This Row],[Tech Start Date]]&lt;1/1/1990,"",IF(Main[[#This Row],[Class]]="C",WORKDAY(Main[[#This Row],[Tech Start Date]],9),IF(Main[[#This Row],[Class]]="B", WORKDAY(Main[[#This Row],[Tech Start Date]],6),IF(Main[[#This Row],[Class]]="A",WORKDAY(Main[[#This Row],[Tech Start Date]],2),""))))</f>
        <v/>
      </c>
      <c r="N609" s="104" t="str">
        <f>IF(Main[[#This Row],[Tech Start Date]]&lt;1/1/1990,"",IF(Main[[#This Row],[Class]]="C",WORKDAY(Main[[#This Row],[Tech Start Date]],19),IF(Main[[#This Row],[Class]]="B", WORKDAY(Main[[#This Row],[Tech Start Date]],12),IF(Main[[#This Row],[Class]]="A",WORKDAY(Main[[#This Row],[Tech Start Date]],4),""))))</f>
        <v/>
      </c>
      <c r="O609" s="104" t="str">
        <f>IF(Main[[#This Row],[Tech Start Date]]&lt;1/1/1990,"",IF(Main[[#This Row],[Class]]="C",WORKDAY(Main[[#This Row],[Tech Start Date]],23),IF(Main[[#This Row],[Class]]="B", WORKDAY(Main[[#This Row],[Tech Start Date]],15),IF(Main[[#This Row],[Class]]="A",WORKDAY(Main[[#This Row],[Tech Start Date]],5),""))))</f>
        <v/>
      </c>
      <c r="P609" s="104" t="str">
        <f>IF(Main[[#This Row],[Tech Start Date]]&lt;1/1/1990,"",IF(Main[[#This Row],[Class]]="C",WORKDAY(Main[[#This Row],[Tech Start Date]],28),IF(Main[[#This Row],[Class]]="B", WORKDAY(Main[[#This Row],[Tech Start Date]],19),IF(Main[[#This Row],[Class]]="A",WORKDAY(Main[[#This Row],[Tech Start Date]],9),""))))</f>
        <v/>
      </c>
      <c r="Q609" s="101"/>
      <c r="R609" s="101"/>
      <c r="S609" s="99" t="s">
        <v>6</v>
      </c>
      <c r="T609" s="107" t="s">
        <v>4</v>
      </c>
      <c r="U609" s="99" t="s">
        <v>7</v>
      </c>
      <c r="V609" s="99" t="s">
        <v>1963</v>
      </c>
      <c r="W609" s="99" t="s">
        <v>1966</v>
      </c>
    </row>
    <row r="610" spans="1:23" ht="18.600000000000001" customHeight="1">
      <c r="A610" s="123" t="str">
        <f>IF(priority(Main[[#This Row],[Comments]])&lt;&gt;0, priority(Main[[#This Row],[Comments]]),"")</f>
        <v/>
      </c>
      <c r="B610" s="127" t="s">
        <v>1736</v>
      </c>
      <c r="C610" s="99" t="s">
        <v>4</v>
      </c>
      <c r="D610" s="100" t="s">
        <v>765</v>
      </c>
      <c r="E610" s="101">
        <v>40700.558032407411</v>
      </c>
      <c r="F610" s="101"/>
      <c r="G610" s="102" t="str">
        <f>IF(stdProdLT(Main[[#This Row],[Comments]])=0.1,"N/A",IF(stdProdLT(Main[[#This Row],[Comments]])=0,"",stdProdLT(Main[[#This Row],[Comments]])))</f>
        <v/>
      </c>
      <c r="H610" s="103" t="str">
        <f>IF(AND(Main[[#This Row],[In Stock Date]]&lt;&gt;"",Main[[#This Row],[Revised Due Date]]&lt;&gt;""),Main[[#This Row],[In Stock Date]]-Main[[#This Row],[Revised Due Date]],"")</f>
        <v/>
      </c>
      <c r="I610" s="99" t="s">
        <v>4</v>
      </c>
      <c r="J610" s="99" t="s">
        <v>4</v>
      </c>
      <c r="K610" s="99" t="s">
        <v>4</v>
      </c>
      <c r="L610" s="101"/>
      <c r="M610" s="104" t="str">
        <f>IF(Main[[#This Row],[Tech Start Date]]&lt;1/1/1990,"",IF(Main[[#This Row],[Class]]="C",WORKDAY(Main[[#This Row],[Tech Start Date]],9),IF(Main[[#This Row],[Class]]="B", WORKDAY(Main[[#This Row],[Tech Start Date]],6),IF(Main[[#This Row],[Class]]="A",WORKDAY(Main[[#This Row],[Tech Start Date]],2),""))))</f>
        <v/>
      </c>
      <c r="N610" s="104" t="str">
        <f>IF(Main[[#This Row],[Tech Start Date]]&lt;1/1/1990,"",IF(Main[[#This Row],[Class]]="C",WORKDAY(Main[[#This Row],[Tech Start Date]],19),IF(Main[[#This Row],[Class]]="B", WORKDAY(Main[[#This Row],[Tech Start Date]],12),IF(Main[[#This Row],[Class]]="A",WORKDAY(Main[[#This Row],[Tech Start Date]],4),""))))</f>
        <v/>
      </c>
      <c r="O610" s="104" t="str">
        <f>IF(Main[[#This Row],[Tech Start Date]]&lt;1/1/1990,"",IF(Main[[#This Row],[Class]]="C",WORKDAY(Main[[#This Row],[Tech Start Date]],23),IF(Main[[#This Row],[Class]]="B", WORKDAY(Main[[#This Row],[Tech Start Date]],15),IF(Main[[#This Row],[Class]]="A",WORKDAY(Main[[#This Row],[Tech Start Date]],5),""))))</f>
        <v/>
      </c>
      <c r="P610" s="104" t="str">
        <f>IF(Main[[#This Row],[Tech Start Date]]&lt;1/1/1990,"",IF(Main[[#This Row],[Class]]="C",WORKDAY(Main[[#This Row],[Tech Start Date]],28),IF(Main[[#This Row],[Class]]="B", WORKDAY(Main[[#This Row],[Tech Start Date]],19),IF(Main[[#This Row],[Class]]="A",WORKDAY(Main[[#This Row],[Tech Start Date]],9),""))))</f>
        <v/>
      </c>
      <c r="Q610" s="101">
        <v>40714</v>
      </c>
      <c r="R610" s="101"/>
      <c r="S610" s="99" t="s">
        <v>6</v>
      </c>
      <c r="T610" s="107" t="s">
        <v>4</v>
      </c>
      <c r="U610" s="99" t="s">
        <v>704</v>
      </c>
      <c r="V610" s="99" t="s">
        <v>1962</v>
      </c>
      <c r="W610" s="99" t="s">
        <v>4</v>
      </c>
    </row>
    <row r="611" spans="1:23" ht="18.600000000000001" customHeight="1">
      <c r="A611" s="123" t="str">
        <f>IF(priority(Main[[#This Row],[Comments]])&lt;&gt;0, priority(Main[[#This Row],[Comments]]),"")</f>
        <v/>
      </c>
      <c r="B611" s="127" t="s">
        <v>1499</v>
      </c>
      <c r="C611" s="99" t="s">
        <v>4</v>
      </c>
      <c r="D611" s="100" t="s">
        <v>533</v>
      </c>
      <c r="E611" s="101"/>
      <c r="F611" s="101">
        <v>40431</v>
      </c>
      <c r="G611" s="102" t="str">
        <f>IF(stdProdLT(Main[[#This Row],[Comments]])=0.1,"N/A",IF(stdProdLT(Main[[#This Row],[Comments]])=0,"",stdProdLT(Main[[#This Row],[Comments]])))</f>
        <v/>
      </c>
      <c r="H611" s="103" t="str">
        <f>IF(AND(Main[[#This Row],[In Stock Date]]&lt;&gt;"",Main[[#This Row],[Revised Due Date]]&lt;&gt;""),Main[[#This Row],[In Stock Date]]-Main[[#This Row],[Revised Due Date]],"")</f>
        <v/>
      </c>
      <c r="I611" s="99" t="s">
        <v>4</v>
      </c>
      <c r="J611" s="99" t="s">
        <v>28</v>
      </c>
      <c r="K611" s="99" t="s">
        <v>4</v>
      </c>
      <c r="L611" s="101"/>
      <c r="M611" s="104" t="str">
        <f>IF(Main[[#This Row],[Tech Start Date]]&lt;1/1/1990,"",IF(Main[[#This Row],[Class]]="C",WORKDAY(Main[[#This Row],[Tech Start Date]],9),IF(Main[[#This Row],[Class]]="B", WORKDAY(Main[[#This Row],[Tech Start Date]],6),IF(Main[[#This Row],[Class]]="A",WORKDAY(Main[[#This Row],[Tech Start Date]],2),""))))</f>
        <v/>
      </c>
      <c r="N611" s="104" t="str">
        <f>IF(Main[[#This Row],[Tech Start Date]]&lt;1/1/1990,"",IF(Main[[#This Row],[Class]]="C",WORKDAY(Main[[#This Row],[Tech Start Date]],19),IF(Main[[#This Row],[Class]]="B", WORKDAY(Main[[#This Row],[Tech Start Date]],12),IF(Main[[#This Row],[Class]]="A",WORKDAY(Main[[#This Row],[Tech Start Date]],4),""))))</f>
        <v/>
      </c>
      <c r="O611" s="104" t="str">
        <f>IF(Main[[#This Row],[Tech Start Date]]&lt;1/1/1990,"",IF(Main[[#This Row],[Class]]="C",WORKDAY(Main[[#This Row],[Tech Start Date]],23),IF(Main[[#This Row],[Class]]="B", WORKDAY(Main[[#This Row],[Tech Start Date]],15),IF(Main[[#This Row],[Class]]="A",WORKDAY(Main[[#This Row],[Tech Start Date]],5),""))))</f>
        <v/>
      </c>
      <c r="P611" s="104" t="str">
        <f>IF(Main[[#This Row],[Tech Start Date]]&lt;1/1/1990,"",IF(Main[[#This Row],[Class]]="C",WORKDAY(Main[[#This Row],[Tech Start Date]],28),IF(Main[[#This Row],[Class]]="B", WORKDAY(Main[[#This Row],[Tech Start Date]],19),IF(Main[[#This Row],[Class]]="A",WORKDAY(Main[[#This Row],[Tech Start Date]],9),""))))</f>
        <v/>
      </c>
      <c r="Q611" s="101">
        <v>40410</v>
      </c>
      <c r="R611" s="101"/>
      <c r="S611" s="99" t="s">
        <v>11</v>
      </c>
      <c r="T611" s="107" t="s">
        <v>4</v>
      </c>
      <c r="U611" s="99" t="s">
        <v>14</v>
      </c>
      <c r="V611" s="99" t="s">
        <v>1963</v>
      </c>
      <c r="W611" s="99" t="s">
        <v>1970</v>
      </c>
    </row>
    <row r="612" spans="1:23" ht="18.600000000000001" customHeight="1">
      <c r="A612" s="123" t="str">
        <f>IF(priority(Main[[#This Row],[Comments]])&lt;&gt;0, priority(Main[[#This Row],[Comments]]),"")</f>
        <v/>
      </c>
      <c r="B612" s="127" t="s">
        <v>2485</v>
      </c>
      <c r="C612" s="99" t="s">
        <v>4</v>
      </c>
      <c r="D612" s="100" t="s">
        <v>2486</v>
      </c>
      <c r="E612" s="101">
        <v>40861.64230324074</v>
      </c>
      <c r="F612" s="101"/>
      <c r="G612" s="102" t="str">
        <f>IF(stdProdLT(Main[[#This Row],[Comments]])=0.1,"N/A",IF(stdProdLT(Main[[#This Row],[Comments]])=0,"",stdProdLT(Main[[#This Row],[Comments]])))</f>
        <v/>
      </c>
      <c r="H612" s="103" t="str">
        <f>IF(AND(Main[[#This Row],[In Stock Date]]&lt;&gt;"",Main[[#This Row],[Revised Due Date]]&lt;&gt;""),Main[[#This Row],[In Stock Date]]-Main[[#This Row],[Revised Due Date]],"")</f>
        <v/>
      </c>
      <c r="I612" s="99" t="s">
        <v>778</v>
      </c>
      <c r="J612" s="99" t="s">
        <v>52</v>
      </c>
      <c r="K612" s="99" t="s">
        <v>1971</v>
      </c>
      <c r="L612" s="101"/>
      <c r="M612" s="104" t="str">
        <f>IF(Main[[#This Row],[Tech Start Date]]&lt;1/1/1990,"",IF(Main[[#This Row],[Class]]="C",WORKDAY(Main[[#This Row],[Tech Start Date]],9),IF(Main[[#This Row],[Class]]="B", WORKDAY(Main[[#This Row],[Tech Start Date]],6),IF(Main[[#This Row],[Class]]="A",WORKDAY(Main[[#This Row],[Tech Start Date]],2),""))))</f>
        <v/>
      </c>
      <c r="N612" s="104" t="str">
        <f>IF(Main[[#This Row],[Tech Start Date]]&lt;1/1/1990,"",IF(Main[[#This Row],[Class]]="C",WORKDAY(Main[[#This Row],[Tech Start Date]],19),IF(Main[[#This Row],[Class]]="B", WORKDAY(Main[[#This Row],[Tech Start Date]],12),IF(Main[[#This Row],[Class]]="A",WORKDAY(Main[[#This Row],[Tech Start Date]],4),""))))</f>
        <v/>
      </c>
      <c r="O612" s="104" t="str">
        <f>IF(Main[[#This Row],[Tech Start Date]]&lt;1/1/1990,"",IF(Main[[#This Row],[Class]]="C",WORKDAY(Main[[#This Row],[Tech Start Date]],23),IF(Main[[#This Row],[Class]]="B", WORKDAY(Main[[#This Row],[Tech Start Date]],15),IF(Main[[#This Row],[Class]]="A",WORKDAY(Main[[#This Row],[Tech Start Date]],5),""))))</f>
        <v/>
      </c>
      <c r="P612" s="104" t="str">
        <f>IF(Main[[#This Row],[Tech Start Date]]&lt;1/1/1990,"",IF(Main[[#This Row],[Class]]="C",WORKDAY(Main[[#This Row],[Tech Start Date]],28),IF(Main[[#This Row],[Class]]="B", WORKDAY(Main[[#This Row],[Tech Start Date]],19),IF(Main[[#This Row],[Class]]="A",WORKDAY(Main[[#This Row],[Tech Start Date]],9),""))))</f>
        <v/>
      </c>
      <c r="Q612" s="101">
        <v>40897</v>
      </c>
      <c r="R612" s="101"/>
      <c r="S612" s="99" t="s">
        <v>6</v>
      </c>
      <c r="T612" s="107" t="s">
        <v>4</v>
      </c>
      <c r="U612" s="99" t="s">
        <v>29</v>
      </c>
      <c r="V612" s="99" t="s">
        <v>1965</v>
      </c>
      <c r="W612" s="99" t="s">
        <v>1966</v>
      </c>
    </row>
    <row r="613" spans="1:23" ht="18.600000000000001" customHeight="1">
      <c r="A613" s="123" t="str">
        <f>IF(priority(Main[[#This Row],[Comments]])&lt;&gt;0, priority(Main[[#This Row],[Comments]]),"")</f>
        <v/>
      </c>
      <c r="B613" s="127" t="s">
        <v>1500</v>
      </c>
      <c r="C613" s="99" t="s">
        <v>4</v>
      </c>
      <c r="D613" s="100" t="s">
        <v>534</v>
      </c>
      <c r="E613" s="101"/>
      <c r="F613" s="101">
        <v>40786</v>
      </c>
      <c r="G613" s="102" t="str">
        <f>IF(stdProdLT(Main[[#This Row],[Comments]])=0.1,"N/A",IF(stdProdLT(Main[[#This Row],[Comments]])=0,"",stdProdLT(Main[[#This Row],[Comments]])))</f>
        <v/>
      </c>
      <c r="H613" s="103" t="str">
        <f>IF(AND(Main[[#This Row],[In Stock Date]]&lt;&gt;"",Main[[#This Row],[Revised Due Date]]&lt;&gt;""),Main[[#This Row],[In Stock Date]]-Main[[#This Row],[Revised Due Date]],"")</f>
        <v/>
      </c>
      <c r="I613" s="99" t="s">
        <v>4</v>
      </c>
      <c r="J613" s="99" t="s">
        <v>4</v>
      </c>
      <c r="K613" s="99" t="s">
        <v>4</v>
      </c>
      <c r="L613" s="101"/>
      <c r="M613" s="104" t="str">
        <f>IF(Main[[#This Row],[Tech Start Date]]&lt;1/1/1990,"",IF(Main[[#This Row],[Class]]="C",WORKDAY(Main[[#This Row],[Tech Start Date]],9),IF(Main[[#This Row],[Class]]="B", WORKDAY(Main[[#This Row],[Tech Start Date]],6),IF(Main[[#This Row],[Class]]="A",WORKDAY(Main[[#This Row],[Tech Start Date]],2),""))))</f>
        <v/>
      </c>
      <c r="N613" s="104" t="str">
        <f>IF(Main[[#This Row],[Tech Start Date]]&lt;1/1/1990,"",IF(Main[[#This Row],[Class]]="C",WORKDAY(Main[[#This Row],[Tech Start Date]],19),IF(Main[[#This Row],[Class]]="B", WORKDAY(Main[[#This Row],[Tech Start Date]],12),IF(Main[[#This Row],[Class]]="A",WORKDAY(Main[[#This Row],[Tech Start Date]],4),""))))</f>
        <v/>
      </c>
      <c r="O613" s="104" t="str">
        <f>IF(Main[[#This Row],[Tech Start Date]]&lt;1/1/1990,"",IF(Main[[#This Row],[Class]]="C",WORKDAY(Main[[#This Row],[Tech Start Date]],23),IF(Main[[#This Row],[Class]]="B", WORKDAY(Main[[#This Row],[Tech Start Date]],15),IF(Main[[#This Row],[Class]]="A",WORKDAY(Main[[#This Row],[Tech Start Date]],5),""))))</f>
        <v/>
      </c>
      <c r="P613" s="104" t="str">
        <f>IF(Main[[#This Row],[Tech Start Date]]&lt;1/1/1990,"",IF(Main[[#This Row],[Class]]="C",WORKDAY(Main[[#This Row],[Tech Start Date]],28),IF(Main[[#This Row],[Class]]="B", WORKDAY(Main[[#This Row],[Tech Start Date]],19),IF(Main[[#This Row],[Class]]="A",WORKDAY(Main[[#This Row],[Tech Start Date]],9),""))))</f>
        <v/>
      </c>
      <c r="Q613" s="101">
        <v>40749</v>
      </c>
      <c r="R613" s="101"/>
      <c r="S613" s="99" t="s">
        <v>11</v>
      </c>
      <c r="T613" s="107" t="s">
        <v>4</v>
      </c>
      <c r="U613" s="99" t="s">
        <v>14</v>
      </c>
      <c r="V613" s="99" t="s">
        <v>1965</v>
      </c>
      <c r="W613" s="99" t="s">
        <v>1970</v>
      </c>
    </row>
    <row r="614" spans="1:23" ht="18.600000000000001" customHeight="1">
      <c r="A614" s="123" t="str">
        <f>IF(priority(Main[[#This Row],[Comments]])&lt;&gt;0, priority(Main[[#This Row],[Comments]]),"")</f>
        <v/>
      </c>
      <c r="B614" s="127" t="s">
        <v>1477</v>
      </c>
      <c r="C614" s="99" t="s">
        <v>95</v>
      </c>
      <c r="D614" s="100" t="s">
        <v>535</v>
      </c>
      <c r="E614" s="101"/>
      <c r="F614" s="101"/>
      <c r="G614" s="102" t="str">
        <f>IF(stdProdLT(Main[[#This Row],[Comments]])=0.1,"N/A",IF(stdProdLT(Main[[#This Row],[Comments]])=0,"",stdProdLT(Main[[#This Row],[Comments]])))</f>
        <v/>
      </c>
      <c r="H614" s="103" t="str">
        <f>IF(AND(Main[[#This Row],[In Stock Date]]&lt;&gt;"",Main[[#This Row],[Revised Due Date]]&lt;&gt;""),Main[[#This Row],[In Stock Date]]-Main[[#This Row],[Revised Due Date]],"")</f>
        <v/>
      </c>
      <c r="I614" s="99" t="s">
        <v>536</v>
      </c>
      <c r="J614" s="99" t="s">
        <v>4</v>
      </c>
      <c r="K614" s="99" t="s">
        <v>4</v>
      </c>
      <c r="L614" s="101"/>
      <c r="M614" s="104" t="str">
        <f>IF(Main[[#This Row],[Tech Start Date]]&lt;1/1/1990,"",IF(Main[[#This Row],[Class]]="C",WORKDAY(Main[[#This Row],[Tech Start Date]],9),IF(Main[[#This Row],[Class]]="B", WORKDAY(Main[[#This Row],[Tech Start Date]],6),IF(Main[[#This Row],[Class]]="A",WORKDAY(Main[[#This Row],[Tech Start Date]],2),""))))</f>
        <v/>
      </c>
      <c r="N614" s="104" t="str">
        <f>IF(Main[[#This Row],[Tech Start Date]]&lt;1/1/1990,"",IF(Main[[#This Row],[Class]]="C",WORKDAY(Main[[#This Row],[Tech Start Date]],19),IF(Main[[#This Row],[Class]]="B", WORKDAY(Main[[#This Row],[Tech Start Date]],12),IF(Main[[#This Row],[Class]]="A",WORKDAY(Main[[#This Row],[Tech Start Date]],4),""))))</f>
        <v/>
      </c>
      <c r="O614" s="104" t="str">
        <f>IF(Main[[#This Row],[Tech Start Date]]&lt;1/1/1990,"",IF(Main[[#This Row],[Class]]="C",WORKDAY(Main[[#This Row],[Tech Start Date]],23),IF(Main[[#This Row],[Class]]="B", WORKDAY(Main[[#This Row],[Tech Start Date]],15),IF(Main[[#This Row],[Class]]="A",WORKDAY(Main[[#This Row],[Tech Start Date]],5),""))))</f>
        <v/>
      </c>
      <c r="P614" s="104" t="str">
        <f>IF(Main[[#This Row],[Tech Start Date]]&lt;1/1/1990,"",IF(Main[[#This Row],[Class]]="C",WORKDAY(Main[[#This Row],[Tech Start Date]],28),IF(Main[[#This Row],[Class]]="B", WORKDAY(Main[[#This Row],[Tech Start Date]],19),IF(Main[[#This Row],[Class]]="A",WORKDAY(Main[[#This Row],[Tech Start Date]],9),""))))</f>
        <v/>
      </c>
      <c r="Q614" s="101">
        <v>40352</v>
      </c>
      <c r="R614" s="101"/>
      <c r="S614" s="99" t="s">
        <v>11</v>
      </c>
      <c r="T614" s="107" t="s">
        <v>4</v>
      </c>
      <c r="U614" s="99" t="s">
        <v>14</v>
      </c>
      <c r="V614" s="99" t="s">
        <v>1965</v>
      </c>
      <c r="W614" s="99" t="s">
        <v>1964</v>
      </c>
    </row>
    <row r="615" spans="1:23" ht="18.600000000000001" customHeight="1">
      <c r="A615" s="123" t="str">
        <f>IF(priority(Main[[#This Row],[Comments]])&lt;&gt;0, priority(Main[[#This Row],[Comments]]),"")</f>
        <v/>
      </c>
      <c r="B615" s="127" t="s">
        <v>1479</v>
      </c>
      <c r="C615" s="99" t="s">
        <v>171</v>
      </c>
      <c r="D615" s="100" t="s">
        <v>538</v>
      </c>
      <c r="E615" s="101"/>
      <c r="F615" s="101">
        <v>40237</v>
      </c>
      <c r="G615" s="102" t="str">
        <f>IF(stdProdLT(Main[[#This Row],[Comments]])=0.1,"N/A",IF(stdProdLT(Main[[#This Row],[Comments]])=0,"",stdProdLT(Main[[#This Row],[Comments]])))</f>
        <v/>
      </c>
      <c r="H615" s="103" t="str">
        <f>IF(AND(Main[[#This Row],[In Stock Date]]&lt;&gt;"",Main[[#This Row],[Revised Due Date]]&lt;&gt;""),Main[[#This Row],[In Stock Date]]-Main[[#This Row],[Revised Due Date]],"")</f>
        <v/>
      </c>
      <c r="I615" s="99" t="s">
        <v>4</v>
      </c>
      <c r="J615" s="99" t="s">
        <v>4</v>
      </c>
      <c r="K615" s="99" t="s">
        <v>4</v>
      </c>
      <c r="L615" s="101"/>
      <c r="M615" s="104" t="str">
        <f>IF(Main[[#This Row],[Tech Start Date]]&lt;1/1/1990,"",IF(Main[[#This Row],[Class]]="C",WORKDAY(Main[[#This Row],[Tech Start Date]],9),IF(Main[[#This Row],[Class]]="B", WORKDAY(Main[[#This Row],[Tech Start Date]],6),IF(Main[[#This Row],[Class]]="A",WORKDAY(Main[[#This Row],[Tech Start Date]],2),""))))</f>
        <v/>
      </c>
      <c r="N615" s="104" t="str">
        <f>IF(Main[[#This Row],[Tech Start Date]]&lt;1/1/1990,"",IF(Main[[#This Row],[Class]]="C",WORKDAY(Main[[#This Row],[Tech Start Date]],19),IF(Main[[#This Row],[Class]]="B", WORKDAY(Main[[#This Row],[Tech Start Date]],12),IF(Main[[#This Row],[Class]]="A",WORKDAY(Main[[#This Row],[Tech Start Date]],4),""))))</f>
        <v/>
      </c>
      <c r="O615" s="104" t="str">
        <f>IF(Main[[#This Row],[Tech Start Date]]&lt;1/1/1990,"",IF(Main[[#This Row],[Class]]="C",WORKDAY(Main[[#This Row],[Tech Start Date]],23),IF(Main[[#This Row],[Class]]="B", WORKDAY(Main[[#This Row],[Tech Start Date]],15),IF(Main[[#This Row],[Class]]="A",WORKDAY(Main[[#This Row],[Tech Start Date]],5),""))))</f>
        <v/>
      </c>
      <c r="P615" s="104" t="str">
        <f>IF(Main[[#This Row],[Tech Start Date]]&lt;1/1/1990,"",IF(Main[[#This Row],[Class]]="C",WORKDAY(Main[[#This Row],[Tech Start Date]],28),IF(Main[[#This Row],[Class]]="B", WORKDAY(Main[[#This Row],[Tech Start Date]],19),IF(Main[[#This Row],[Class]]="A",WORKDAY(Main[[#This Row],[Tech Start Date]],9),""))))</f>
        <v/>
      </c>
      <c r="Q615" s="101">
        <v>40132</v>
      </c>
      <c r="R615" s="101"/>
      <c r="S615" s="99" t="s">
        <v>11</v>
      </c>
      <c r="T615" s="107" t="s">
        <v>4</v>
      </c>
      <c r="U615" s="99" t="s">
        <v>14</v>
      </c>
      <c r="V615" s="99" t="s">
        <v>1962</v>
      </c>
      <c r="W615" s="99" t="s">
        <v>1967</v>
      </c>
    </row>
    <row r="616" spans="1:23" ht="18.600000000000001" customHeight="1">
      <c r="A616" s="123" t="str">
        <f>IF(priority(Main[[#This Row],[Comments]])&lt;&gt;0, priority(Main[[#This Row],[Comments]]),"")</f>
        <v/>
      </c>
      <c r="B616" s="127" t="s">
        <v>1480</v>
      </c>
      <c r="C616" s="99" t="s">
        <v>4</v>
      </c>
      <c r="D616" s="100" t="s">
        <v>539</v>
      </c>
      <c r="E616" s="101">
        <v>40108.684525462966</v>
      </c>
      <c r="F616" s="101"/>
      <c r="G616" s="102" t="str">
        <f>IF(stdProdLT(Main[[#This Row],[Comments]])=0.1,"N/A",IF(stdProdLT(Main[[#This Row],[Comments]])=0,"",stdProdLT(Main[[#This Row],[Comments]])))</f>
        <v/>
      </c>
      <c r="H616" s="103" t="str">
        <f>IF(AND(Main[[#This Row],[In Stock Date]]&lt;&gt;"",Main[[#This Row],[Revised Due Date]]&lt;&gt;""),Main[[#This Row],[In Stock Date]]-Main[[#This Row],[Revised Due Date]],"")</f>
        <v/>
      </c>
      <c r="I616" s="99" t="s">
        <v>4</v>
      </c>
      <c r="J616" s="99" t="s">
        <v>4</v>
      </c>
      <c r="K616" s="99" t="s">
        <v>4</v>
      </c>
      <c r="L616" s="101"/>
      <c r="M616" s="104" t="str">
        <f>IF(Main[[#This Row],[Tech Start Date]]&lt;1/1/1990,"",IF(Main[[#This Row],[Class]]="C",WORKDAY(Main[[#This Row],[Tech Start Date]],9),IF(Main[[#This Row],[Class]]="B", WORKDAY(Main[[#This Row],[Tech Start Date]],6),IF(Main[[#This Row],[Class]]="A",WORKDAY(Main[[#This Row],[Tech Start Date]],2),""))))</f>
        <v/>
      </c>
      <c r="N616" s="104" t="str">
        <f>IF(Main[[#This Row],[Tech Start Date]]&lt;1/1/1990,"",IF(Main[[#This Row],[Class]]="C",WORKDAY(Main[[#This Row],[Tech Start Date]],19),IF(Main[[#This Row],[Class]]="B", WORKDAY(Main[[#This Row],[Tech Start Date]],12),IF(Main[[#This Row],[Class]]="A",WORKDAY(Main[[#This Row],[Tech Start Date]],4),""))))</f>
        <v/>
      </c>
      <c r="O616" s="104" t="str">
        <f>IF(Main[[#This Row],[Tech Start Date]]&lt;1/1/1990,"",IF(Main[[#This Row],[Class]]="C",WORKDAY(Main[[#This Row],[Tech Start Date]],23),IF(Main[[#This Row],[Class]]="B", WORKDAY(Main[[#This Row],[Tech Start Date]],15),IF(Main[[#This Row],[Class]]="A",WORKDAY(Main[[#This Row],[Tech Start Date]],5),""))))</f>
        <v/>
      </c>
      <c r="P616" s="104" t="str">
        <f>IF(Main[[#This Row],[Tech Start Date]]&lt;1/1/1990,"",IF(Main[[#This Row],[Class]]="C",WORKDAY(Main[[#This Row],[Tech Start Date]],28),IF(Main[[#This Row],[Class]]="B", WORKDAY(Main[[#This Row],[Tech Start Date]],19),IF(Main[[#This Row],[Class]]="A",WORKDAY(Main[[#This Row],[Tech Start Date]],9),""))))</f>
        <v/>
      </c>
      <c r="Q616" s="101">
        <v>40208</v>
      </c>
      <c r="R616" s="101"/>
      <c r="S616" s="99" t="s">
        <v>17</v>
      </c>
      <c r="T616" s="107" t="s">
        <v>4</v>
      </c>
      <c r="U616" s="99" t="s">
        <v>540</v>
      </c>
      <c r="V616" s="99" t="s">
        <v>1963</v>
      </c>
      <c r="W616" s="99" t="s">
        <v>4</v>
      </c>
    </row>
    <row r="617" spans="1:23" ht="18.600000000000001" customHeight="1">
      <c r="A617" s="123" t="str">
        <f>IF(priority(Main[[#This Row],[Comments]])&lt;&gt;0, priority(Main[[#This Row],[Comments]]),"")</f>
        <v/>
      </c>
      <c r="B617" s="127" t="s">
        <v>1481</v>
      </c>
      <c r="C617" s="99" t="s">
        <v>79</v>
      </c>
      <c r="D617" s="100" t="s">
        <v>541</v>
      </c>
      <c r="E617" s="101"/>
      <c r="F617" s="101"/>
      <c r="G617" s="102" t="str">
        <f>IF(stdProdLT(Main[[#This Row],[Comments]])=0.1,"N/A",IF(stdProdLT(Main[[#This Row],[Comments]])=0,"",stdProdLT(Main[[#This Row],[Comments]])))</f>
        <v/>
      </c>
      <c r="H617" s="103" t="str">
        <f>IF(AND(Main[[#This Row],[In Stock Date]]&lt;&gt;"",Main[[#This Row],[Revised Due Date]]&lt;&gt;""),Main[[#This Row],[In Stock Date]]-Main[[#This Row],[Revised Due Date]],"")</f>
        <v/>
      </c>
      <c r="I617" s="99" t="s">
        <v>4</v>
      </c>
      <c r="J617" s="99" t="s">
        <v>4</v>
      </c>
      <c r="K617" s="99" t="s">
        <v>4</v>
      </c>
      <c r="L617" s="101"/>
      <c r="M617" s="104" t="str">
        <f>IF(Main[[#This Row],[Tech Start Date]]&lt;1/1/1990,"",IF(Main[[#This Row],[Class]]="C",WORKDAY(Main[[#This Row],[Tech Start Date]],9),IF(Main[[#This Row],[Class]]="B", WORKDAY(Main[[#This Row],[Tech Start Date]],6),IF(Main[[#This Row],[Class]]="A",WORKDAY(Main[[#This Row],[Tech Start Date]],2),""))))</f>
        <v/>
      </c>
      <c r="N617" s="104" t="str">
        <f>IF(Main[[#This Row],[Tech Start Date]]&lt;1/1/1990,"",IF(Main[[#This Row],[Class]]="C",WORKDAY(Main[[#This Row],[Tech Start Date]],19),IF(Main[[#This Row],[Class]]="B", WORKDAY(Main[[#This Row],[Tech Start Date]],12),IF(Main[[#This Row],[Class]]="A",WORKDAY(Main[[#This Row],[Tech Start Date]],4),""))))</f>
        <v/>
      </c>
      <c r="O617" s="104" t="str">
        <f>IF(Main[[#This Row],[Tech Start Date]]&lt;1/1/1990,"",IF(Main[[#This Row],[Class]]="C",WORKDAY(Main[[#This Row],[Tech Start Date]],23),IF(Main[[#This Row],[Class]]="B", WORKDAY(Main[[#This Row],[Tech Start Date]],15),IF(Main[[#This Row],[Class]]="A",WORKDAY(Main[[#This Row],[Tech Start Date]],5),""))))</f>
        <v/>
      </c>
      <c r="P617" s="104" t="str">
        <f>IF(Main[[#This Row],[Tech Start Date]]&lt;1/1/1990,"",IF(Main[[#This Row],[Class]]="C",WORKDAY(Main[[#This Row],[Tech Start Date]],28),IF(Main[[#This Row],[Class]]="B", WORKDAY(Main[[#This Row],[Tech Start Date]],19),IF(Main[[#This Row],[Class]]="A",WORKDAY(Main[[#This Row],[Tech Start Date]],9),""))))</f>
        <v/>
      </c>
      <c r="Q617" s="101">
        <v>40044</v>
      </c>
      <c r="R617" s="101"/>
      <c r="S617" s="99" t="s">
        <v>11</v>
      </c>
      <c r="T617" s="107" t="s">
        <v>4</v>
      </c>
      <c r="U617" s="99" t="s">
        <v>12</v>
      </c>
      <c r="V617" s="99" t="s">
        <v>1972</v>
      </c>
      <c r="W617" s="99" t="s">
        <v>1973</v>
      </c>
    </row>
    <row r="618" spans="1:23" ht="18.600000000000001" customHeight="1">
      <c r="A618" s="123" t="str">
        <f>IF(priority(Main[[#This Row],[Comments]])&lt;&gt;0, priority(Main[[#This Row],[Comments]]),"")</f>
        <v/>
      </c>
      <c r="B618" s="127" t="s">
        <v>1482</v>
      </c>
      <c r="C618" s="99" t="s">
        <v>4</v>
      </c>
      <c r="D618" s="100" t="s">
        <v>542</v>
      </c>
      <c r="E618" s="101"/>
      <c r="F618" s="101"/>
      <c r="G618" s="102" t="str">
        <f>IF(stdProdLT(Main[[#This Row],[Comments]])=0.1,"N/A",IF(stdProdLT(Main[[#This Row],[Comments]])=0,"",stdProdLT(Main[[#This Row],[Comments]])))</f>
        <v/>
      </c>
      <c r="H618" s="103" t="str">
        <f>IF(AND(Main[[#This Row],[In Stock Date]]&lt;&gt;"",Main[[#This Row],[Revised Due Date]]&lt;&gt;""),Main[[#This Row],[In Stock Date]]-Main[[#This Row],[Revised Due Date]],"")</f>
        <v/>
      </c>
      <c r="I618" s="99" t="s">
        <v>4</v>
      </c>
      <c r="J618" s="99" t="s">
        <v>4</v>
      </c>
      <c r="K618" s="99" t="s">
        <v>4</v>
      </c>
      <c r="L618" s="101"/>
      <c r="M618" s="104" t="str">
        <f>IF(Main[[#This Row],[Tech Start Date]]&lt;1/1/1990,"",IF(Main[[#This Row],[Class]]="C",WORKDAY(Main[[#This Row],[Tech Start Date]],9),IF(Main[[#This Row],[Class]]="B", WORKDAY(Main[[#This Row],[Tech Start Date]],6),IF(Main[[#This Row],[Class]]="A",WORKDAY(Main[[#This Row],[Tech Start Date]],2),""))))</f>
        <v/>
      </c>
      <c r="N618" s="104" t="str">
        <f>IF(Main[[#This Row],[Tech Start Date]]&lt;1/1/1990,"",IF(Main[[#This Row],[Class]]="C",WORKDAY(Main[[#This Row],[Tech Start Date]],19),IF(Main[[#This Row],[Class]]="B", WORKDAY(Main[[#This Row],[Tech Start Date]],12),IF(Main[[#This Row],[Class]]="A",WORKDAY(Main[[#This Row],[Tech Start Date]],4),""))))</f>
        <v/>
      </c>
      <c r="O618" s="104" t="str">
        <f>IF(Main[[#This Row],[Tech Start Date]]&lt;1/1/1990,"",IF(Main[[#This Row],[Class]]="C",WORKDAY(Main[[#This Row],[Tech Start Date]],23),IF(Main[[#This Row],[Class]]="B", WORKDAY(Main[[#This Row],[Tech Start Date]],15),IF(Main[[#This Row],[Class]]="A",WORKDAY(Main[[#This Row],[Tech Start Date]],5),""))))</f>
        <v/>
      </c>
      <c r="P618" s="104" t="str">
        <f>IF(Main[[#This Row],[Tech Start Date]]&lt;1/1/1990,"",IF(Main[[#This Row],[Class]]="C",WORKDAY(Main[[#This Row],[Tech Start Date]],28),IF(Main[[#This Row],[Class]]="B", WORKDAY(Main[[#This Row],[Tech Start Date]],19),IF(Main[[#This Row],[Class]]="A",WORKDAY(Main[[#This Row],[Tech Start Date]],9),""))))</f>
        <v/>
      </c>
      <c r="Q618" s="101"/>
      <c r="R618" s="101"/>
      <c r="S618" s="99" t="s">
        <v>6</v>
      </c>
      <c r="T618" s="107" t="s">
        <v>4</v>
      </c>
      <c r="U618" s="99" t="s">
        <v>14</v>
      </c>
      <c r="V618" s="99" t="s">
        <v>1965</v>
      </c>
      <c r="W618" s="99" t="s">
        <v>4</v>
      </c>
    </row>
    <row r="619" spans="1:23" ht="18.600000000000001" customHeight="1">
      <c r="A619" s="123" t="str">
        <f>IF(priority(Main[[#This Row],[Comments]])&lt;&gt;0, priority(Main[[#This Row],[Comments]]),"")</f>
        <v/>
      </c>
      <c r="B619" s="127" t="s">
        <v>2160</v>
      </c>
      <c r="C619" s="99" t="s">
        <v>4</v>
      </c>
      <c r="D619" s="100" t="s">
        <v>2487</v>
      </c>
      <c r="E619" s="101">
        <v>40763.171296296299</v>
      </c>
      <c r="F619" s="101"/>
      <c r="G619" s="102" t="str">
        <f>IF(stdProdLT(Main[[#This Row],[Comments]])=0.1,"N/A",IF(stdProdLT(Main[[#This Row],[Comments]])=0,"",stdProdLT(Main[[#This Row],[Comments]])))</f>
        <v/>
      </c>
      <c r="H619" s="103" t="str">
        <f>IF(AND(Main[[#This Row],[In Stock Date]]&lt;&gt;"",Main[[#This Row],[Revised Due Date]]&lt;&gt;""),Main[[#This Row],[In Stock Date]]-Main[[#This Row],[Revised Due Date]],"")</f>
        <v/>
      </c>
      <c r="I619" s="99" t="s">
        <v>69</v>
      </c>
      <c r="J619" s="99" t="s">
        <v>28</v>
      </c>
      <c r="K619" s="99" t="s">
        <v>1971</v>
      </c>
      <c r="L619" s="101"/>
      <c r="M619" s="104" t="str">
        <f>IF(Main[[#This Row],[Tech Start Date]]&lt;1/1/1990,"",IF(Main[[#This Row],[Class]]="C",WORKDAY(Main[[#This Row],[Tech Start Date]],9),IF(Main[[#This Row],[Class]]="B", WORKDAY(Main[[#This Row],[Tech Start Date]],6),IF(Main[[#This Row],[Class]]="A",WORKDAY(Main[[#This Row],[Tech Start Date]],2),""))))</f>
        <v/>
      </c>
      <c r="N619" s="104" t="str">
        <f>IF(Main[[#This Row],[Tech Start Date]]&lt;1/1/1990,"",IF(Main[[#This Row],[Class]]="C",WORKDAY(Main[[#This Row],[Tech Start Date]],19),IF(Main[[#This Row],[Class]]="B", WORKDAY(Main[[#This Row],[Tech Start Date]],12),IF(Main[[#This Row],[Class]]="A",WORKDAY(Main[[#This Row],[Tech Start Date]],4),""))))</f>
        <v/>
      </c>
      <c r="O619" s="104" t="str">
        <f>IF(Main[[#This Row],[Tech Start Date]]&lt;1/1/1990,"",IF(Main[[#This Row],[Class]]="C",WORKDAY(Main[[#This Row],[Tech Start Date]],23),IF(Main[[#This Row],[Class]]="B", WORKDAY(Main[[#This Row],[Tech Start Date]],15),IF(Main[[#This Row],[Class]]="A",WORKDAY(Main[[#This Row],[Tech Start Date]],5),""))))</f>
        <v/>
      </c>
      <c r="P619" s="104" t="str">
        <f>IF(Main[[#This Row],[Tech Start Date]]&lt;1/1/1990,"",IF(Main[[#This Row],[Class]]="C",WORKDAY(Main[[#This Row],[Tech Start Date]],28),IF(Main[[#This Row],[Class]]="B", WORKDAY(Main[[#This Row],[Tech Start Date]],19),IF(Main[[#This Row],[Class]]="A",WORKDAY(Main[[#This Row],[Tech Start Date]],9),""))))</f>
        <v/>
      </c>
      <c r="Q619" s="101">
        <v>40784</v>
      </c>
      <c r="R619" s="101"/>
      <c r="S619" s="99" t="s">
        <v>6</v>
      </c>
      <c r="T619" s="107" t="s">
        <v>4</v>
      </c>
      <c r="U619" s="99" t="s">
        <v>29</v>
      </c>
      <c r="V619" s="99" t="s">
        <v>1965</v>
      </c>
      <c r="W619" s="99" t="s">
        <v>1966</v>
      </c>
    </row>
    <row r="620" spans="1:23" ht="18.600000000000001" customHeight="1">
      <c r="A620" s="123" t="str">
        <f>IF(priority(Main[[#This Row],[Comments]])&lt;&gt;0, priority(Main[[#This Row],[Comments]]),"")</f>
        <v/>
      </c>
      <c r="B620" s="127" t="s">
        <v>1484</v>
      </c>
      <c r="C620" s="99" t="s">
        <v>4</v>
      </c>
      <c r="D620" s="100" t="s">
        <v>544</v>
      </c>
      <c r="E620" s="101">
        <v>40626.477812500001</v>
      </c>
      <c r="F620" s="101"/>
      <c r="G620" s="102" t="str">
        <f>IF(stdProdLT(Main[[#This Row],[Comments]])=0.1,"N/A",IF(stdProdLT(Main[[#This Row],[Comments]])=0,"",stdProdLT(Main[[#This Row],[Comments]])))</f>
        <v/>
      </c>
      <c r="H620" s="103" t="str">
        <f>IF(AND(Main[[#This Row],[In Stock Date]]&lt;&gt;"",Main[[#This Row],[Revised Due Date]]&lt;&gt;""),Main[[#This Row],[In Stock Date]]-Main[[#This Row],[Revised Due Date]],"")</f>
        <v/>
      </c>
      <c r="I620" s="99" t="s">
        <v>375</v>
      </c>
      <c r="J620" s="99" t="s">
        <v>28</v>
      </c>
      <c r="K620" s="99" t="s">
        <v>1971</v>
      </c>
      <c r="L620" s="101"/>
      <c r="M620" s="104" t="str">
        <f>IF(Main[[#This Row],[Tech Start Date]]&lt;1/1/1990,"",IF(Main[[#This Row],[Class]]="C",WORKDAY(Main[[#This Row],[Tech Start Date]],9),IF(Main[[#This Row],[Class]]="B", WORKDAY(Main[[#This Row],[Tech Start Date]],6),IF(Main[[#This Row],[Class]]="A",WORKDAY(Main[[#This Row],[Tech Start Date]],2),""))))</f>
        <v/>
      </c>
      <c r="N620" s="104" t="str">
        <f>IF(Main[[#This Row],[Tech Start Date]]&lt;1/1/1990,"",IF(Main[[#This Row],[Class]]="C",WORKDAY(Main[[#This Row],[Tech Start Date]],19),IF(Main[[#This Row],[Class]]="B", WORKDAY(Main[[#This Row],[Tech Start Date]],12),IF(Main[[#This Row],[Class]]="A",WORKDAY(Main[[#This Row],[Tech Start Date]],4),""))))</f>
        <v/>
      </c>
      <c r="O620" s="104" t="str">
        <f>IF(Main[[#This Row],[Tech Start Date]]&lt;1/1/1990,"",IF(Main[[#This Row],[Class]]="C",WORKDAY(Main[[#This Row],[Tech Start Date]],23),IF(Main[[#This Row],[Class]]="B", WORKDAY(Main[[#This Row],[Tech Start Date]],15),IF(Main[[#This Row],[Class]]="A",WORKDAY(Main[[#This Row],[Tech Start Date]],5),""))))</f>
        <v/>
      </c>
      <c r="P620" s="104" t="str">
        <f>IF(Main[[#This Row],[Tech Start Date]]&lt;1/1/1990,"",IF(Main[[#This Row],[Class]]="C",WORKDAY(Main[[#This Row],[Tech Start Date]],28),IF(Main[[#This Row],[Class]]="B", WORKDAY(Main[[#This Row],[Tech Start Date]],19),IF(Main[[#This Row],[Class]]="A",WORKDAY(Main[[#This Row],[Tech Start Date]],9),""))))</f>
        <v/>
      </c>
      <c r="Q620" s="101"/>
      <c r="R620" s="101"/>
      <c r="S620" s="99" t="s">
        <v>6</v>
      </c>
      <c r="T620" s="107" t="s">
        <v>4</v>
      </c>
      <c r="U620" s="99" t="s">
        <v>29</v>
      </c>
      <c r="V620" s="99" t="s">
        <v>1965</v>
      </c>
      <c r="W620" s="99" t="s">
        <v>1966</v>
      </c>
    </row>
    <row r="621" spans="1:23" ht="18.600000000000001" customHeight="1">
      <c r="A621" s="123" t="str">
        <f>IF(priority(Main[[#This Row],[Comments]])&lt;&gt;0, priority(Main[[#This Row],[Comments]]),"")</f>
        <v/>
      </c>
      <c r="B621" s="127" t="s">
        <v>1485</v>
      </c>
      <c r="C621" s="99" t="s">
        <v>4</v>
      </c>
      <c r="D621" s="100" t="s">
        <v>545</v>
      </c>
      <c r="E621" s="101"/>
      <c r="F621" s="101">
        <v>40390</v>
      </c>
      <c r="G621" s="102" t="str">
        <f>IF(stdProdLT(Main[[#This Row],[Comments]])=0.1,"N/A",IF(stdProdLT(Main[[#This Row],[Comments]])=0,"",stdProdLT(Main[[#This Row],[Comments]])))</f>
        <v/>
      </c>
      <c r="H621" s="103" t="str">
        <f>IF(AND(Main[[#This Row],[In Stock Date]]&lt;&gt;"",Main[[#This Row],[Revised Due Date]]&lt;&gt;""),Main[[#This Row],[In Stock Date]]-Main[[#This Row],[Revised Due Date]],"")</f>
        <v/>
      </c>
      <c r="I621" s="99" t="s">
        <v>4</v>
      </c>
      <c r="J621" s="99" t="s">
        <v>4</v>
      </c>
      <c r="K621" s="108" t="s">
        <v>4</v>
      </c>
      <c r="L621" s="101"/>
      <c r="M621" s="104" t="str">
        <f>IF(Main[[#This Row],[Tech Start Date]]&lt;1/1/1990,"",IF(Main[[#This Row],[Class]]="C",WORKDAY(Main[[#This Row],[Tech Start Date]],9),IF(Main[[#This Row],[Class]]="B", WORKDAY(Main[[#This Row],[Tech Start Date]],6),IF(Main[[#This Row],[Class]]="A",WORKDAY(Main[[#This Row],[Tech Start Date]],2),""))))</f>
        <v/>
      </c>
      <c r="N621" s="104" t="str">
        <f>IF(Main[[#This Row],[Tech Start Date]]&lt;1/1/1990,"",IF(Main[[#This Row],[Class]]="C",WORKDAY(Main[[#This Row],[Tech Start Date]],19),IF(Main[[#This Row],[Class]]="B", WORKDAY(Main[[#This Row],[Tech Start Date]],12),IF(Main[[#This Row],[Class]]="A",WORKDAY(Main[[#This Row],[Tech Start Date]],4),""))))</f>
        <v/>
      </c>
      <c r="O621" s="104" t="str">
        <f>IF(Main[[#This Row],[Tech Start Date]]&lt;1/1/1990,"",IF(Main[[#This Row],[Class]]="C",WORKDAY(Main[[#This Row],[Tech Start Date]],23),IF(Main[[#This Row],[Class]]="B", WORKDAY(Main[[#This Row],[Tech Start Date]],15),IF(Main[[#This Row],[Class]]="A",WORKDAY(Main[[#This Row],[Tech Start Date]],5),""))))</f>
        <v/>
      </c>
      <c r="P621" s="104" t="str">
        <f>IF(Main[[#This Row],[Tech Start Date]]&lt;1/1/1990,"",IF(Main[[#This Row],[Class]]="C",WORKDAY(Main[[#This Row],[Tech Start Date]],28),IF(Main[[#This Row],[Class]]="B", WORKDAY(Main[[#This Row],[Tech Start Date]],19),IF(Main[[#This Row],[Class]]="A",WORKDAY(Main[[#This Row],[Tech Start Date]],9),""))))</f>
        <v/>
      </c>
      <c r="Q621" s="101">
        <v>40329</v>
      </c>
      <c r="R621" s="101"/>
      <c r="S621" s="99" t="s">
        <v>11</v>
      </c>
      <c r="T621" s="107" t="s">
        <v>4</v>
      </c>
      <c r="U621" s="99" t="s">
        <v>12</v>
      </c>
      <c r="V621" s="99" t="s">
        <v>1972</v>
      </c>
      <c r="W621" s="99" t="s">
        <v>1968</v>
      </c>
    </row>
    <row r="622" spans="1:23" ht="18.600000000000001" customHeight="1">
      <c r="A622" s="123" t="str">
        <f>IF(priority(Main[[#This Row],[Comments]])&lt;&gt;0, priority(Main[[#This Row],[Comments]]),"")</f>
        <v/>
      </c>
      <c r="B622" s="127" t="s">
        <v>1487</v>
      </c>
      <c r="C622" s="99" t="s">
        <v>4</v>
      </c>
      <c r="D622" s="100" t="s">
        <v>546</v>
      </c>
      <c r="E622" s="101"/>
      <c r="F622" s="101"/>
      <c r="G622" s="102" t="str">
        <f>IF(stdProdLT(Main[[#This Row],[Comments]])=0.1,"N/A",IF(stdProdLT(Main[[#This Row],[Comments]])=0,"",stdProdLT(Main[[#This Row],[Comments]])))</f>
        <v/>
      </c>
      <c r="H622" s="103" t="str">
        <f>IF(AND(Main[[#This Row],[In Stock Date]]&lt;&gt;"",Main[[#This Row],[Revised Due Date]]&lt;&gt;""),Main[[#This Row],[In Stock Date]]-Main[[#This Row],[Revised Due Date]],"")</f>
        <v/>
      </c>
      <c r="I622" s="99" t="s">
        <v>4</v>
      </c>
      <c r="J622" s="99" t="s">
        <v>4</v>
      </c>
      <c r="K622" s="99" t="s">
        <v>4</v>
      </c>
      <c r="L622" s="101"/>
      <c r="M622" s="104" t="str">
        <f>IF(Main[[#This Row],[Tech Start Date]]&lt;1/1/1990,"",IF(Main[[#This Row],[Class]]="C",WORKDAY(Main[[#This Row],[Tech Start Date]],9),IF(Main[[#This Row],[Class]]="B", WORKDAY(Main[[#This Row],[Tech Start Date]],6),IF(Main[[#This Row],[Class]]="A",WORKDAY(Main[[#This Row],[Tech Start Date]],2),""))))</f>
        <v/>
      </c>
      <c r="N622" s="104" t="str">
        <f>IF(Main[[#This Row],[Tech Start Date]]&lt;1/1/1990,"",IF(Main[[#This Row],[Class]]="C",WORKDAY(Main[[#This Row],[Tech Start Date]],19),IF(Main[[#This Row],[Class]]="B", WORKDAY(Main[[#This Row],[Tech Start Date]],12),IF(Main[[#This Row],[Class]]="A",WORKDAY(Main[[#This Row],[Tech Start Date]],4),""))))</f>
        <v/>
      </c>
      <c r="O622" s="104" t="str">
        <f>IF(Main[[#This Row],[Tech Start Date]]&lt;1/1/1990,"",IF(Main[[#This Row],[Class]]="C",WORKDAY(Main[[#This Row],[Tech Start Date]],23),IF(Main[[#This Row],[Class]]="B", WORKDAY(Main[[#This Row],[Tech Start Date]],15),IF(Main[[#This Row],[Class]]="A",WORKDAY(Main[[#This Row],[Tech Start Date]],5),""))))</f>
        <v/>
      </c>
      <c r="P622" s="104" t="str">
        <f>IF(Main[[#This Row],[Tech Start Date]]&lt;1/1/1990,"",IF(Main[[#This Row],[Class]]="C",WORKDAY(Main[[#This Row],[Tech Start Date]],28),IF(Main[[#This Row],[Class]]="B", WORKDAY(Main[[#This Row],[Tech Start Date]],19),IF(Main[[#This Row],[Class]]="A",WORKDAY(Main[[#This Row],[Tech Start Date]],9),""))))</f>
        <v/>
      </c>
      <c r="Q622" s="101"/>
      <c r="R622" s="101"/>
      <c r="S622" s="99" t="s">
        <v>11</v>
      </c>
      <c r="T622" s="107" t="s">
        <v>4</v>
      </c>
      <c r="U622" s="99" t="s">
        <v>12</v>
      </c>
      <c r="V622" s="99" t="s">
        <v>1962</v>
      </c>
      <c r="W622" s="99" t="s">
        <v>1970</v>
      </c>
    </row>
    <row r="623" spans="1:23" ht="18.600000000000001" customHeight="1">
      <c r="A623" s="123" t="str">
        <f>IF(priority(Main[[#This Row],[Comments]])&lt;&gt;0, priority(Main[[#This Row],[Comments]]),"")</f>
        <v/>
      </c>
      <c r="B623" s="127" t="s">
        <v>1488</v>
      </c>
      <c r="C623" s="99" t="s">
        <v>289</v>
      </c>
      <c r="D623" s="100" t="s">
        <v>547</v>
      </c>
      <c r="E623" s="101"/>
      <c r="F623" s="101"/>
      <c r="G623" s="102" t="str">
        <f>IF(stdProdLT(Main[[#This Row],[Comments]])=0.1,"N/A",IF(stdProdLT(Main[[#This Row],[Comments]])=0,"",stdProdLT(Main[[#This Row],[Comments]])))</f>
        <v/>
      </c>
      <c r="H623" s="103" t="str">
        <f>IF(AND(Main[[#This Row],[In Stock Date]]&lt;&gt;"",Main[[#This Row],[Revised Due Date]]&lt;&gt;""),Main[[#This Row],[In Stock Date]]-Main[[#This Row],[Revised Due Date]],"")</f>
        <v/>
      </c>
      <c r="I623" s="99" t="s">
        <v>4</v>
      </c>
      <c r="J623" s="99" t="s">
        <v>4</v>
      </c>
      <c r="K623" s="108" t="s">
        <v>4</v>
      </c>
      <c r="L623" s="101"/>
      <c r="M623" s="104" t="str">
        <f>IF(Main[[#This Row],[Tech Start Date]]&lt;1/1/1990,"",IF(Main[[#This Row],[Class]]="C",WORKDAY(Main[[#This Row],[Tech Start Date]],9),IF(Main[[#This Row],[Class]]="B", WORKDAY(Main[[#This Row],[Tech Start Date]],6),IF(Main[[#This Row],[Class]]="A",WORKDAY(Main[[#This Row],[Tech Start Date]],2),""))))</f>
        <v/>
      </c>
      <c r="N623" s="104" t="str">
        <f>IF(Main[[#This Row],[Tech Start Date]]&lt;1/1/1990,"",IF(Main[[#This Row],[Class]]="C",WORKDAY(Main[[#This Row],[Tech Start Date]],19),IF(Main[[#This Row],[Class]]="B", WORKDAY(Main[[#This Row],[Tech Start Date]],12),IF(Main[[#This Row],[Class]]="A",WORKDAY(Main[[#This Row],[Tech Start Date]],4),""))))</f>
        <v/>
      </c>
      <c r="O623" s="104" t="str">
        <f>IF(Main[[#This Row],[Tech Start Date]]&lt;1/1/1990,"",IF(Main[[#This Row],[Class]]="C",WORKDAY(Main[[#This Row],[Tech Start Date]],23),IF(Main[[#This Row],[Class]]="B", WORKDAY(Main[[#This Row],[Tech Start Date]],15),IF(Main[[#This Row],[Class]]="A",WORKDAY(Main[[#This Row],[Tech Start Date]],5),""))))</f>
        <v/>
      </c>
      <c r="P623" s="104" t="str">
        <f>IF(Main[[#This Row],[Tech Start Date]]&lt;1/1/1990,"",IF(Main[[#This Row],[Class]]="C",WORKDAY(Main[[#This Row],[Tech Start Date]],28),IF(Main[[#This Row],[Class]]="B", WORKDAY(Main[[#This Row],[Tech Start Date]],19),IF(Main[[#This Row],[Class]]="A",WORKDAY(Main[[#This Row],[Tech Start Date]],9),""))))</f>
        <v/>
      </c>
      <c r="Q623" s="101">
        <v>40147</v>
      </c>
      <c r="R623" s="101"/>
      <c r="S623" s="99" t="s">
        <v>11</v>
      </c>
      <c r="T623" s="107" t="s">
        <v>4</v>
      </c>
      <c r="U623" s="99" t="s">
        <v>14</v>
      </c>
      <c r="V623" s="99" t="s">
        <v>1972</v>
      </c>
      <c r="W623" s="99" t="s">
        <v>1970</v>
      </c>
    </row>
    <row r="624" spans="1:23" ht="18.600000000000001" customHeight="1">
      <c r="A624" s="123" t="str">
        <f>IF(priority(Main[[#This Row],[Comments]])&lt;&gt;0, priority(Main[[#This Row],[Comments]]),"")</f>
        <v/>
      </c>
      <c r="B624" s="127" t="s">
        <v>1489</v>
      </c>
      <c r="C624" s="99" t="s">
        <v>31</v>
      </c>
      <c r="D624" s="100" t="s">
        <v>548</v>
      </c>
      <c r="E624" s="101"/>
      <c r="F624" s="101">
        <v>40512</v>
      </c>
      <c r="G624" s="102" t="str">
        <f>IF(stdProdLT(Main[[#This Row],[Comments]])=0.1,"N/A",IF(stdProdLT(Main[[#This Row],[Comments]])=0,"",stdProdLT(Main[[#This Row],[Comments]])))</f>
        <v/>
      </c>
      <c r="H624" s="103" t="str">
        <f>IF(AND(Main[[#This Row],[In Stock Date]]&lt;&gt;"",Main[[#This Row],[Revised Due Date]]&lt;&gt;""),Main[[#This Row],[In Stock Date]]-Main[[#This Row],[Revised Due Date]],"")</f>
        <v/>
      </c>
      <c r="I624" s="99" t="s">
        <v>4</v>
      </c>
      <c r="J624" s="99" t="s">
        <v>4</v>
      </c>
      <c r="K624" s="99" t="s">
        <v>4</v>
      </c>
      <c r="L624" s="101"/>
      <c r="M624" s="104" t="str">
        <f>IF(Main[[#This Row],[Tech Start Date]]&lt;1/1/1990,"",IF(Main[[#This Row],[Class]]="C",WORKDAY(Main[[#This Row],[Tech Start Date]],9),IF(Main[[#This Row],[Class]]="B", WORKDAY(Main[[#This Row],[Tech Start Date]],6),IF(Main[[#This Row],[Class]]="A",WORKDAY(Main[[#This Row],[Tech Start Date]],2),""))))</f>
        <v/>
      </c>
      <c r="N624" s="104" t="str">
        <f>IF(Main[[#This Row],[Tech Start Date]]&lt;1/1/1990,"",IF(Main[[#This Row],[Class]]="C",WORKDAY(Main[[#This Row],[Tech Start Date]],19),IF(Main[[#This Row],[Class]]="B", WORKDAY(Main[[#This Row],[Tech Start Date]],12),IF(Main[[#This Row],[Class]]="A",WORKDAY(Main[[#This Row],[Tech Start Date]],4),""))))</f>
        <v/>
      </c>
      <c r="O624" s="104" t="str">
        <f>IF(Main[[#This Row],[Tech Start Date]]&lt;1/1/1990,"",IF(Main[[#This Row],[Class]]="C",WORKDAY(Main[[#This Row],[Tech Start Date]],23),IF(Main[[#This Row],[Class]]="B", WORKDAY(Main[[#This Row],[Tech Start Date]],15),IF(Main[[#This Row],[Class]]="A",WORKDAY(Main[[#This Row],[Tech Start Date]],5),""))))</f>
        <v/>
      </c>
      <c r="P624" s="104" t="str">
        <f>IF(Main[[#This Row],[Tech Start Date]]&lt;1/1/1990,"",IF(Main[[#This Row],[Class]]="C",WORKDAY(Main[[#This Row],[Tech Start Date]],28),IF(Main[[#This Row],[Class]]="B", WORKDAY(Main[[#This Row],[Tech Start Date]],19),IF(Main[[#This Row],[Class]]="A",WORKDAY(Main[[#This Row],[Tech Start Date]],9),""))))</f>
        <v/>
      </c>
      <c r="Q624" s="101">
        <v>40415</v>
      </c>
      <c r="R624" s="101"/>
      <c r="S624" s="99" t="s">
        <v>11</v>
      </c>
      <c r="T624" s="107" t="s">
        <v>4</v>
      </c>
      <c r="U624" s="99" t="s">
        <v>14</v>
      </c>
      <c r="V624" s="99" t="s">
        <v>1965</v>
      </c>
      <c r="W624" s="99" t="s">
        <v>1968</v>
      </c>
    </row>
    <row r="625" spans="1:23" ht="18.600000000000001" customHeight="1">
      <c r="A625" s="123" t="str">
        <f>IF(priority(Main[[#This Row],[Comments]])&lt;&gt;0, priority(Main[[#This Row],[Comments]]),"")</f>
        <v/>
      </c>
      <c r="B625" s="127" t="s">
        <v>1490</v>
      </c>
      <c r="C625" s="99" t="s">
        <v>549</v>
      </c>
      <c r="D625" s="100" t="s">
        <v>550</v>
      </c>
      <c r="E625" s="101"/>
      <c r="F625" s="101">
        <v>40179</v>
      </c>
      <c r="G625" s="102" t="str">
        <f>IF(stdProdLT(Main[[#This Row],[Comments]])=0.1,"N/A",IF(stdProdLT(Main[[#This Row],[Comments]])=0,"",stdProdLT(Main[[#This Row],[Comments]])))</f>
        <v/>
      </c>
      <c r="H625" s="103" t="str">
        <f>IF(AND(Main[[#This Row],[In Stock Date]]&lt;&gt;"",Main[[#This Row],[Revised Due Date]]&lt;&gt;""),Main[[#This Row],[In Stock Date]]-Main[[#This Row],[Revised Due Date]],"")</f>
        <v/>
      </c>
      <c r="I625" s="99" t="s">
        <v>4</v>
      </c>
      <c r="J625" s="99" t="s">
        <v>4</v>
      </c>
      <c r="K625" s="108" t="s">
        <v>4</v>
      </c>
      <c r="L625" s="101"/>
      <c r="M625" s="104" t="str">
        <f>IF(Main[[#This Row],[Tech Start Date]]&lt;1/1/1990,"",IF(Main[[#This Row],[Class]]="C",WORKDAY(Main[[#This Row],[Tech Start Date]],9),IF(Main[[#This Row],[Class]]="B", WORKDAY(Main[[#This Row],[Tech Start Date]],6),IF(Main[[#This Row],[Class]]="A",WORKDAY(Main[[#This Row],[Tech Start Date]],2),""))))</f>
        <v/>
      </c>
      <c r="N625" s="104" t="str">
        <f>IF(Main[[#This Row],[Tech Start Date]]&lt;1/1/1990,"",IF(Main[[#This Row],[Class]]="C",WORKDAY(Main[[#This Row],[Tech Start Date]],19),IF(Main[[#This Row],[Class]]="B", WORKDAY(Main[[#This Row],[Tech Start Date]],12),IF(Main[[#This Row],[Class]]="A",WORKDAY(Main[[#This Row],[Tech Start Date]],4),""))))</f>
        <v/>
      </c>
      <c r="O625" s="104" t="str">
        <f>IF(Main[[#This Row],[Tech Start Date]]&lt;1/1/1990,"",IF(Main[[#This Row],[Class]]="C",WORKDAY(Main[[#This Row],[Tech Start Date]],23),IF(Main[[#This Row],[Class]]="B", WORKDAY(Main[[#This Row],[Tech Start Date]],15),IF(Main[[#This Row],[Class]]="A",WORKDAY(Main[[#This Row],[Tech Start Date]],5),""))))</f>
        <v/>
      </c>
      <c r="P625" s="104" t="str">
        <f>IF(Main[[#This Row],[Tech Start Date]]&lt;1/1/1990,"",IF(Main[[#This Row],[Class]]="C",WORKDAY(Main[[#This Row],[Tech Start Date]],28),IF(Main[[#This Row],[Class]]="B", WORKDAY(Main[[#This Row],[Tech Start Date]],19),IF(Main[[#This Row],[Class]]="A",WORKDAY(Main[[#This Row],[Tech Start Date]],9),""))))</f>
        <v/>
      </c>
      <c r="Q625" s="101">
        <v>40179</v>
      </c>
      <c r="R625" s="101"/>
      <c r="S625" s="99" t="s">
        <v>11</v>
      </c>
      <c r="T625" s="107" t="s">
        <v>4</v>
      </c>
      <c r="U625" s="99" t="s">
        <v>14</v>
      </c>
      <c r="V625" s="99" t="s">
        <v>1962</v>
      </c>
      <c r="W625" s="99" t="s">
        <v>1970</v>
      </c>
    </row>
    <row r="626" spans="1:23" ht="18.600000000000001" customHeight="1">
      <c r="A626" s="123" t="str">
        <f>IF(priority(Main[[#This Row],[Comments]])&lt;&gt;0, priority(Main[[#This Row],[Comments]]),"")</f>
        <v/>
      </c>
      <c r="B626" s="127" t="s">
        <v>1491</v>
      </c>
      <c r="C626" s="99" t="s">
        <v>4</v>
      </c>
      <c r="D626" s="100" t="s">
        <v>551</v>
      </c>
      <c r="E626" s="101">
        <v>40675.613807870373</v>
      </c>
      <c r="F626" s="101"/>
      <c r="G626" s="102" t="str">
        <f>IF(stdProdLT(Main[[#This Row],[Comments]])=0.1,"N/A",IF(stdProdLT(Main[[#This Row],[Comments]])=0,"",stdProdLT(Main[[#This Row],[Comments]])))</f>
        <v/>
      </c>
      <c r="H626" s="103" t="str">
        <f>IF(AND(Main[[#This Row],[In Stock Date]]&lt;&gt;"",Main[[#This Row],[Revised Due Date]]&lt;&gt;""),Main[[#This Row],[In Stock Date]]-Main[[#This Row],[Revised Due Date]],"")</f>
        <v/>
      </c>
      <c r="I626" s="99" t="s">
        <v>4</v>
      </c>
      <c r="J626" s="99" t="s">
        <v>4</v>
      </c>
      <c r="K626" s="99" t="s">
        <v>4</v>
      </c>
      <c r="L626" s="101"/>
      <c r="M626" s="104" t="str">
        <f>IF(Main[[#This Row],[Tech Start Date]]&lt;1/1/1990,"",IF(Main[[#This Row],[Class]]="C",WORKDAY(Main[[#This Row],[Tech Start Date]],9),IF(Main[[#This Row],[Class]]="B", WORKDAY(Main[[#This Row],[Tech Start Date]],6),IF(Main[[#This Row],[Class]]="A",WORKDAY(Main[[#This Row],[Tech Start Date]],2),""))))</f>
        <v/>
      </c>
      <c r="N626" s="104" t="str">
        <f>IF(Main[[#This Row],[Tech Start Date]]&lt;1/1/1990,"",IF(Main[[#This Row],[Class]]="C",WORKDAY(Main[[#This Row],[Tech Start Date]],19),IF(Main[[#This Row],[Class]]="B", WORKDAY(Main[[#This Row],[Tech Start Date]],12),IF(Main[[#This Row],[Class]]="A",WORKDAY(Main[[#This Row],[Tech Start Date]],4),""))))</f>
        <v/>
      </c>
      <c r="O626" s="104" t="str">
        <f>IF(Main[[#This Row],[Tech Start Date]]&lt;1/1/1990,"",IF(Main[[#This Row],[Class]]="C",WORKDAY(Main[[#This Row],[Tech Start Date]],23),IF(Main[[#This Row],[Class]]="B", WORKDAY(Main[[#This Row],[Tech Start Date]],15),IF(Main[[#This Row],[Class]]="A",WORKDAY(Main[[#This Row],[Tech Start Date]],5),""))))</f>
        <v/>
      </c>
      <c r="P626" s="104" t="str">
        <f>IF(Main[[#This Row],[Tech Start Date]]&lt;1/1/1990,"",IF(Main[[#This Row],[Class]]="C",WORKDAY(Main[[#This Row],[Tech Start Date]],28),IF(Main[[#This Row],[Class]]="B", WORKDAY(Main[[#This Row],[Tech Start Date]],19),IF(Main[[#This Row],[Class]]="A",WORKDAY(Main[[#This Row],[Tech Start Date]],9),""))))</f>
        <v/>
      </c>
      <c r="Q626" s="101">
        <v>40676</v>
      </c>
      <c r="R626" s="101"/>
      <c r="S626" s="99" t="s">
        <v>6</v>
      </c>
      <c r="T626" s="107" t="s">
        <v>4</v>
      </c>
      <c r="U626" s="99" t="s">
        <v>7</v>
      </c>
      <c r="V626" s="99" t="s">
        <v>1962</v>
      </c>
      <c r="W626" s="99" t="s">
        <v>1966</v>
      </c>
    </row>
    <row r="627" spans="1:23" ht="18.600000000000001" customHeight="1">
      <c r="A627" s="123" t="str">
        <f>IF(priority(Main[[#This Row],[Comments]])&lt;&gt;0, priority(Main[[#This Row],[Comments]]),"")</f>
        <v/>
      </c>
      <c r="B627" s="127" t="s">
        <v>1492</v>
      </c>
      <c r="C627" s="99" t="s">
        <v>4</v>
      </c>
      <c r="D627" s="100" t="s">
        <v>552</v>
      </c>
      <c r="E627" s="101">
        <v>40519.5781712963</v>
      </c>
      <c r="F627" s="101"/>
      <c r="G627" s="102" t="str">
        <f>IF(stdProdLT(Main[[#This Row],[Comments]])=0.1,"N/A",IF(stdProdLT(Main[[#This Row],[Comments]])=0,"",stdProdLT(Main[[#This Row],[Comments]])))</f>
        <v/>
      </c>
      <c r="H627" s="103" t="str">
        <f>IF(AND(Main[[#This Row],[In Stock Date]]&lt;&gt;"",Main[[#This Row],[Revised Due Date]]&lt;&gt;""),Main[[#This Row],[In Stock Date]]-Main[[#This Row],[Revised Due Date]],"")</f>
        <v/>
      </c>
      <c r="I627" s="99" t="s">
        <v>4</v>
      </c>
      <c r="J627" s="99" t="s">
        <v>28</v>
      </c>
      <c r="K627" s="99" t="s">
        <v>4</v>
      </c>
      <c r="L627" s="101"/>
      <c r="M627" s="104" t="str">
        <f>IF(Main[[#This Row],[Tech Start Date]]&lt;1/1/1990,"",IF(Main[[#This Row],[Class]]="C",WORKDAY(Main[[#This Row],[Tech Start Date]],9),IF(Main[[#This Row],[Class]]="B", WORKDAY(Main[[#This Row],[Tech Start Date]],6),IF(Main[[#This Row],[Class]]="A",WORKDAY(Main[[#This Row],[Tech Start Date]],2),""))))</f>
        <v/>
      </c>
      <c r="N627" s="104" t="str">
        <f>IF(Main[[#This Row],[Tech Start Date]]&lt;1/1/1990,"",IF(Main[[#This Row],[Class]]="C",WORKDAY(Main[[#This Row],[Tech Start Date]],19),IF(Main[[#This Row],[Class]]="B", WORKDAY(Main[[#This Row],[Tech Start Date]],12),IF(Main[[#This Row],[Class]]="A",WORKDAY(Main[[#This Row],[Tech Start Date]],4),""))))</f>
        <v/>
      </c>
      <c r="O627" s="104" t="str">
        <f>IF(Main[[#This Row],[Tech Start Date]]&lt;1/1/1990,"",IF(Main[[#This Row],[Class]]="C",WORKDAY(Main[[#This Row],[Tech Start Date]],23),IF(Main[[#This Row],[Class]]="B", WORKDAY(Main[[#This Row],[Tech Start Date]],15),IF(Main[[#This Row],[Class]]="A",WORKDAY(Main[[#This Row],[Tech Start Date]],5),""))))</f>
        <v/>
      </c>
      <c r="P627" s="104" t="str">
        <f>IF(Main[[#This Row],[Tech Start Date]]&lt;1/1/1990,"",IF(Main[[#This Row],[Class]]="C",WORKDAY(Main[[#This Row],[Tech Start Date]],28),IF(Main[[#This Row],[Class]]="B", WORKDAY(Main[[#This Row],[Tech Start Date]],19),IF(Main[[#This Row],[Class]]="A",WORKDAY(Main[[#This Row],[Tech Start Date]],9),""))))</f>
        <v/>
      </c>
      <c r="Q627" s="101"/>
      <c r="R627" s="101"/>
      <c r="S627" s="99" t="s">
        <v>6</v>
      </c>
      <c r="T627" s="107" t="s">
        <v>4</v>
      </c>
      <c r="U627" s="99" t="s">
        <v>7</v>
      </c>
      <c r="V627" s="99" t="s">
        <v>1962</v>
      </c>
      <c r="W627" s="99" t="s">
        <v>1964</v>
      </c>
    </row>
    <row r="628" spans="1:23" ht="18.600000000000001" customHeight="1">
      <c r="A628" s="123" t="str">
        <f>IF(priority(Main[[#This Row],[Comments]])&lt;&gt;0, priority(Main[[#This Row],[Comments]]),"")</f>
        <v/>
      </c>
      <c r="B628" s="127" t="s">
        <v>1493</v>
      </c>
      <c r="C628" s="99" t="s">
        <v>553</v>
      </c>
      <c r="D628" s="100" t="s">
        <v>554</v>
      </c>
      <c r="E628" s="101"/>
      <c r="F628" s="101">
        <v>40549</v>
      </c>
      <c r="G628" s="102" t="str">
        <f>IF(stdProdLT(Main[[#This Row],[Comments]])=0.1,"N/A",IF(stdProdLT(Main[[#This Row],[Comments]])=0,"",stdProdLT(Main[[#This Row],[Comments]])))</f>
        <v/>
      </c>
      <c r="H628" s="103" t="str">
        <f>IF(AND(Main[[#This Row],[In Stock Date]]&lt;&gt;"",Main[[#This Row],[Revised Due Date]]&lt;&gt;""),Main[[#This Row],[In Stock Date]]-Main[[#This Row],[Revised Due Date]],"")</f>
        <v/>
      </c>
      <c r="I628" s="99" t="s">
        <v>4</v>
      </c>
      <c r="J628" s="99" t="s">
        <v>4</v>
      </c>
      <c r="K628" s="99" t="s">
        <v>4</v>
      </c>
      <c r="L628" s="101"/>
      <c r="M628" s="104" t="str">
        <f>IF(Main[[#This Row],[Tech Start Date]]&lt;1/1/1990,"",IF(Main[[#This Row],[Class]]="C",WORKDAY(Main[[#This Row],[Tech Start Date]],9),IF(Main[[#This Row],[Class]]="B", WORKDAY(Main[[#This Row],[Tech Start Date]],6),IF(Main[[#This Row],[Class]]="A",WORKDAY(Main[[#This Row],[Tech Start Date]],2),""))))</f>
        <v/>
      </c>
      <c r="N628" s="104" t="str">
        <f>IF(Main[[#This Row],[Tech Start Date]]&lt;1/1/1990,"",IF(Main[[#This Row],[Class]]="C",WORKDAY(Main[[#This Row],[Tech Start Date]],19),IF(Main[[#This Row],[Class]]="B", WORKDAY(Main[[#This Row],[Tech Start Date]],12),IF(Main[[#This Row],[Class]]="A",WORKDAY(Main[[#This Row],[Tech Start Date]],4),""))))</f>
        <v/>
      </c>
      <c r="O628" s="104" t="str">
        <f>IF(Main[[#This Row],[Tech Start Date]]&lt;1/1/1990,"",IF(Main[[#This Row],[Class]]="C",WORKDAY(Main[[#This Row],[Tech Start Date]],23),IF(Main[[#This Row],[Class]]="B", WORKDAY(Main[[#This Row],[Tech Start Date]],15),IF(Main[[#This Row],[Class]]="A",WORKDAY(Main[[#This Row],[Tech Start Date]],5),""))))</f>
        <v/>
      </c>
      <c r="P628" s="104" t="str">
        <f>IF(Main[[#This Row],[Tech Start Date]]&lt;1/1/1990,"",IF(Main[[#This Row],[Class]]="C",WORKDAY(Main[[#This Row],[Tech Start Date]],28),IF(Main[[#This Row],[Class]]="B", WORKDAY(Main[[#This Row],[Tech Start Date]],19),IF(Main[[#This Row],[Class]]="A",WORKDAY(Main[[#This Row],[Tech Start Date]],9),""))))</f>
        <v/>
      </c>
      <c r="Q628" s="101">
        <v>40464</v>
      </c>
      <c r="R628" s="101"/>
      <c r="S628" s="99" t="s">
        <v>11</v>
      </c>
      <c r="T628" s="107" t="s">
        <v>4</v>
      </c>
      <c r="U628" s="99" t="s">
        <v>14</v>
      </c>
      <c r="V628" s="99" t="s">
        <v>1965</v>
      </c>
      <c r="W628" s="99" t="s">
        <v>1968</v>
      </c>
    </row>
    <row r="629" spans="1:23" ht="18.600000000000001" customHeight="1">
      <c r="A629" s="123" t="str">
        <f>IF(priority(Main[[#This Row],[Comments]])&lt;&gt;0, priority(Main[[#This Row],[Comments]]),"")</f>
        <v/>
      </c>
      <c r="B629" s="127" t="s">
        <v>1501</v>
      </c>
      <c r="C629" s="99" t="s">
        <v>93</v>
      </c>
      <c r="D629" s="100" t="s">
        <v>564</v>
      </c>
      <c r="E629" s="101"/>
      <c r="F629" s="101">
        <v>40299</v>
      </c>
      <c r="G629" s="102" t="str">
        <f>IF(stdProdLT(Main[[#This Row],[Comments]])=0.1,"N/A",IF(stdProdLT(Main[[#This Row],[Comments]])=0,"",stdProdLT(Main[[#This Row],[Comments]])))</f>
        <v/>
      </c>
      <c r="H629" s="103" t="str">
        <f>IF(AND(Main[[#This Row],[In Stock Date]]&lt;&gt;"",Main[[#This Row],[Revised Due Date]]&lt;&gt;""),Main[[#This Row],[In Stock Date]]-Main[[#This Row],[Revised Due Date]],"")</f>
        <v/>
      </c>
      <c r="I629" s="99" t="s">
        <v>4</v>
      </c>
      <c r="J629" s="99" t="s">
        <v>4</v>
      </c>
      <c r="K629" s="99" t="s">
        <v>4</v>
      </c>
      <c r="L629" s="101"/>
      <c r="M629" s="104" t="str">
        <f>IF(Main[[#This Row],[Tech Start Date]]&lt;1/1/1990,"",IF(Main[[#This Row],[Class]]="C",WORKDAY(Main[[#This Row],[Tech Start Date]],9),IF(Main[[#This Row],[Class]]="B", WORKDAY(Main[[#This Row],[Tech Start Date]],6),IF(Main[[#This Row],[Class]]="A",WORKDAY(Main[[#This Row],[Tech Start Date]],2),""))))</f>
        <v/>
      </c>
      <c r="N629" s="104" t="str">
        <f>IF(Main[[#This Row],[Tech Start Date]]&lt;1/1/1990,"",IF(Main[[#This Row],[Class]]="C",WORKDAY(Main[[#This Row],[Tech Start Date]],19),IF(Main[[#This Row],[Class]]="B", WORKDAY(Main[[#This Row],[Tech Start Date]],12),IF(Main[[#This Row],[Class]]="A",WORKDAY(Main[[#This Row],[Tech Start Date]],4),""))))</f>
        <v/>
      </c>
      <c r="O629" s="104" t="str">
        <f>IF(Main[[#This Row],[Tech Start Date]]&lt;1/1/1990,"",IF(Main[[#This Row],[Class]]="C",WORKDAY(Main[[#This Row],[Tech Start Date]],23),IF(Main[[#This Row],[Class]]="B", WORKDAY(Main[[#This Row],[Tech Start Date]],15),IF(Main[[#This Row],[Class]]="A",WORKDAY(Main[[#This Row],[Tech Start Date]],5),""))))</f>
        <v/>
      </c>
      <c r="P629" s="104" t="str">
        <f>IF(Main[[#This Row],[Tech Start Date]]&lt;1/1/1990,"",IF(Main[[#This Row],[Class]]="C",WORKDAY(Main[[#This Row],[Tech Start Date]],28),IF(Main[[#This Row],[Class]]="B", WORKDAY(Main[[#This Row],[Tech Start Date]],19),IF(Main[[#This Row],[Class]]="A",WORKDAY(Main[[#This Row],[Tech Start Date]],9),""))))</f>
        <v/>
      </c>
      <c r="Q629" s="101">
        <v>40171</v>
      </c>
      <c r="R629" s="101"/>
      <c r="S629" s="99" t="s">
        <v>11</v>
      </c>
      <c r="T629" s="107" t="s">
        <v>4</v>
      </c>
      <c r="U629" s="99" t="s">
        <v>14</v>
      </c>
      <c r="V629" s="99" t="s">
        <v>1965</v>
      </c>
      <c r="W629" s="99" t="s">
        <v>1968</v>
      </c>
    </row>
    <row r="630" spans="1:23" ht="18.600000000000001" customHeight="1">
      <c r="A630" s="123" t="str">
        <f>IF(priority(Main[[#This Row],[Comments]])&lt;&gt;0, priority(Main[[#This Row],[Comments]]),"")</f>
        <v/>
      </c>
      <c r="B630" s="127" t="s">
        <v>1502</v>
      </c>
      <c r="C630" s="99" t="s">
        <v>47</v>
      </c>
      <c r="D630" s="100" t="s">
        <v>565</v>
      </c>
      <c r="E630" s="101">
        <v>39937.590590277781</v>
      </c>
      <c r="F630" s="101"/>
      <c r="G630" s="102" t="str">
        <f>IF(stdProdLT(Main[[#This Row],[Comments]])=0.1,"N/A",IF(stdProdLT(Main[[#This Row],[Comments]])=0,"",stdProdLT(Main[[#This Row],[Comments]])))</f>
        <v/>
      </c>
      <c r="H630" s="103" t="str">
        <f>IF(AND(Main[[#This Row],[In Stock Date]]&lt;&gt;"",Main[[#This Row],[Revised Due Date]]&lt;&gt;""),Main[[#This Row],[In Stock Date]]-Main[[#This Row],[Revised Due Date]],"")</f>
        <v/>
      </c>
      <c r="I630" s="99" t="s">
        <v>4</v>
      </c>
      <c r="J630" s="99" t="s">
        <v>4</v>
      </c>
      <c r="K630" s="99" t="s">
        <v>4</v>
      </c>
      <c r="L630" s="101"/>
      <c r="M630" s="104" t="str">
        <f>IF(Main[[#This Row],[Tech Start Date]]&lt;1/1/1990,"",IF(Main[[#This Row],[Class]]="C",WORKDAY(Main[[#This Row],[Tech Start Date]],9),IF(Main[[#This Row],[Class]]="B", WORKDAY(Main[[#This Row],[Tech Start Date]],6),IF(Main[[#This Row],[Class]]="A",WORKDAY(Main[[#This Row],[Tech Start Date]],2),""))))</f>
        <v/>
      </c>
      <c r="N630" s="104" t="str">
        <f>IF(Main[[#This Row],[Tech Start Date]]&lt;1/1/1990,"",IF(Main[[#This Row],[Class]]="C",WORKDAY(Main[[#This Row],[Tech Start Date]],19),IF(Main[[#This Row],[Class]]="B", WORKDAY(Main[[#This Row],[Tech Start Date]],12),IF(Main[[#This Row],[Class]]="A",WORKDAY(Main[[#This Row],[Tech Start Date]],4),""))))</f>
        <v/>
      </c>
      <c r="O630" s="104" t="str">
        <f>IF(Main[[#This Row],[Tech Start Date]]&lt;1/1/1990,"",IF(Main[[#This Row],[Class]]="C",WORKDAY(Main[[#This Row],[Tech Start Date]],23),IF(Main[[#This Row],[Class]]="B", WORKDAY(Main[[#This Row],[Tech Start Date]],15),IF(Main[[#This Row],[Class]]="A",WORKDAY(Main[[#This Row],[Tech Start Date]],5),""))))</f>
        <v/>
      </c>
      <c r="P630" s="104" t="str">
        <f>IF(Main[[#This Row],[Tech Start Date]]&lt;1/1/1990,"",IF(Main[[#This Row],[Class]]="C",WORKDAY(Main[[#This Row],[Tech Start Date]],28),IF(Main[[#This Row],[Class]]="B", WORKDAY(Main[[#This Row],[Tech Start Date]],19),IF(Main[[#This Row],[Class]]="A",WORKDAY(Main[[#This Row],[Tech Start Date]],9),""))))</f>
        <v/>
      </c>
      <c r="Q630" s="101"/>
      <c r="R630" s="101"/>
      <c r="S630" s="99" t="s">
        <v>17</v>
      </c>
      <c r="T630" s="107" t="s">
        <v>4</v>
      </c>
      <c r="U630" s="99" t="s">
        <v>7</v>
      </c>
      <c r="V630" s="99" t="s">
        <v>1965</v>
      </c>
      <c r="W630" s="99" t="s">
        <v>4</v>
      </c>
    </row>
    <row r="631" spans="1:23" ht="18.600000000000001" customHeight="1">
      <c r="A631" s="123" t="str">
        <f>IF(priority(Main[[#This Row],[Comments]])&lt;&gt;0, priority(Main[[#This Row],[Comments]]),"")</f>
        <v/>
      </c>
      <c r="B631" s="127" t="s">
        <v>1503</v>
      </c>
      <c r="C631" s="99" t="s">
        <v>282</v>
      </c>
      <c r="D631" s="100" t="s">
        <v>566</v>
      </c>
      <c r="E631" s="101"/>
      <c r="F631" s="101">
        <v>40567</v>
      </c>
      <c r="G631" s="102" t="str">
        <f>IF(stdProdLT(Main[[#This Row],[Comments]])=0.1,"N/A",IF(stdProdLT(Main[[#This Row],[Comments]])=0,"",stdProdLT(Main[[#This Row],[Comments]])))</f>
        <v/>
      </c>
      <c r="H631" s="103" t="str">
        <f>IF(AND(Main[[#This Row],[In Stock Date]]&lt;&gt;"",Main[[#This Row],[Revised Due Date]]&lt;&gt;""),Main[[#This Row],[In Stock Date]]-Main[[#This Row],[Revised Due Date]],"")</f>
        <v/>
      </c>
      <c r="I631" s="99" t="s">
        <v>4</v>
      </c>
      <c r="J631" s="99" t="s">
        <v>4</v>
      </c>
      <c r="K631" s="99" t="s">
        <v>4</v>
      </c>
      <c r="L631" s="101"/>
      <c r="M631" s="104" t="str">
        <f>IF(Main[[#This Row],[Tech Start Date]]&lt;1/1/1990,"",IF(Main[[#This Row],[Class]]="C",WORKDAY(Main[[#This Row],[Tech Start Date]],9),IF(Main[[#This Row],[Class]]="B", WORKDAY(Main[[#This Row],[Tech Start Date]],6),IF(Main[[#This Row],[Class]]="A",WORKDAY(Main[[#This Row],[Tech Start Date]],2),""))))</f>
        <v/>
      </c>
      <c r="N631" s="104" t="str">
        <f>IF(Main[[#This Row],[Tech Start Date]]&lt;1/1/1990,"",IF(Main[[#This Row],[Class]]="C",WORKDAY(Main[[#This Row],[Tech Start Date]],19),IF(Main[[#This Row],[Class]]="B", WORKDAY(Main[[#This Row],[Tech Start Date]],12),IF(Main[[#This Row],[Class]]="A",WORKDAY(Main[[#This Row],[Tech Start Date]],4),""))))</f>
        <v/>
      </c>
      <c r="O631" s="104" t="str">
        <f>IF(Main[[#This Row],[Tech Start Date]]&lt;1/1/1990,"",IF(Main[[#This Row],[Class]]="C",WORKDAY(Main[[#This Row],[Tech Start Date]],23),IF(Main[[#This Row],[Class]]="B", WORKDAY(Main[[#This Row],[Tech Start Date]],15),IF(Main[[#This Row],[Class]]="A",WORKDAY(Main[[#This Row],[Tech Start Date]],5),""))))</f>
        <v/>
      </c>
      <c r="P631" s="104" t="str">
        <f>IF(Main[[#This Row],[Tech Start Date]]&lt;1/1/1990,"",IF(Main[[#This Row],[Class]]="C",WORKDAY(Main[[#This Row],[Tech Start Date]],28),IF(Main[[#This Row],[Class]]="B", WORKDAY(Main[[#This Row],[Tech Start Date]],19),IF(Main[[#This Row],[Class]]="A",WORKDAY(Main[[#This Row],[Tech Start Date]],9),""))))</f>
        <v/>
      </c>
      <c r="Q631" s="101">
        <v>40427</v>
      </c>
      <c r="R631" s="101"/>
      <c r="S631" s="99" t="s">
        <v>11</v>
      </c>
      <c r="T631" s="107" t="s">
        <v>4</v>
      </c>
      <c r="U631" s="99" t="s">
        <v>14</v>
      </c>
      <c r="V631" s="99" t="s">
        <v>1962</v>
      </c>
      <c r="W631" s="99" t="s">
        <v>1970</v>
      </c>
    </row>
    <row r="632" spans="1:23" ht="18.600000000000001" customHeight="1">
      <c r="A632" s="123" t="str">
        <f>IF(priority(Main[[#This Row],[Comments]])&lt;&gt;0, priority(Main[[#This Row],[Comments]]),"")</f>
        <v/>
      </c>
      <c r="B632" s="127" t="s">
        <v>1504</v>
      </c>
      <c r="C632" s="99" t="s">
        <v>4</v>
      </c>
      <c r="D632" s="100" t="s">
        <v>567</v>
      </c>
      <c r="E632" s="101">
        <v>40414.808692129627</v>
      </c>
      <c r="F632" s="101"/>
      <c r="G632" s="102" t="str">
        <f>IF(stdProdLT(Main[[#This Row],[Comments]])=0.1,"N/A",IF(stdProdLT(Main[[#This Row],[Comments]])=0,"",stdProdLT(Main[[#This Row],[Comments]])))</f>
        <v/>
      </c>
      <c r="H632" s="103" t="str">
        <f>IF(AND(Main[[#This Row],[In Stock Date]]&lt;&gt;"",Main[[#This Row],[Revised Due Date]]&lt;&gt;""),Main[[#This Row],[In Stock Date]]-Main[[#This Row],[Revised Due Date]],"")</f>
        <v/>
      </c>
      <c r="I632" s="99" t="s">
        <v>4</v>
      </c>
      <c r="J632" s="99" t="s">
        <v>28</v>
      </c>
      <c r="K632" s="99" t="s">
        <v>4</v>
      </c>
      <c r="L632" s="101"/>
      <c r="M632" s="104" t="str">
        <f>IF(Main[[#This Row],[Tech Start Date]]&lt;1/1/1990,"",IF(Main[[#This Row],[Class]]="C",WORKDAY(Main[[#This Row],[Tech Start Date]],9),IF(Main[[#This Row],[Class]]="B", WORKDAY(Main[[#This Row],[Tech Start Date]],6),IF(Main[[#This Row],[Class]]="A",WORKDAY(Main[[#This Row],[Tech Start Date]],2),""))))</f>
        <v/>
      </c>
      <c r="N632" s="104" t="str">
        <f>IF(Main[[#This Row],[Tech Start Date]]&lt;1/1/1990,"",IF(Main[[#This Row],[Class]]="C",WORKDAY(Main[[#This Row],[Tech Start Date]],19),IF(Main[[#This Row],[Class]]="B", WORKDAY(Main[[#This Row],[Tech Start Date]],12),IF(Main[[#This Row],[Class]]="A",WORKDAY(Main[[#This Row],[Tech Start Date]],4),""))))</f>
        <v/>
      </c>
      <c r="O632" s="104" t="str">
        <f>IF(Main[[#This Row],[Tech Start Date]]&lt;1/1/1990,"",IF(Main[[#This Row],[Class]]="C",WORKDAY(Main[[#This Row],[Tech Start Date]],23),IF(Main[[#This Row],[Class]]="B", WORKDAY(Main[[#This Row],[Tech Start Date]],15),IF(Main[[#This Row],[Class]]="A",WORKDAY(Main[[#This Row],[Tech Start Date]],5),""))))</f>
        <v/>
      </c>
      <c r="P632" s="104" t="str">
        <f>IF(Main[[#This Row],[Tech Start Date]]&lt;1/1/1990,"",IF(Main[[#This Row],[Class]]="C",WORKDAY(Main[[#This Row],[Tech Start Date]],28),IF(Main[[#This Row],[Class]]="B", WORKDAY(Main[[#This Row],[Tech Start Date]],19),IF(Main[[#This Row],[Class]]="A",WORKDAY(Main[[#This Row],[Tech Start Date]],9),""))))</f>
        <v/>
      </c>
      <c r="Q632" s="101">
        <v>40429</v>
      </c>
      <c r="R632" s="101"/>
      <c r="S632" s="99" t="s">
        <v>323</v>
      </c>
      <c r="T632" s="107" t="s">
        <v>4</v>
      </c>
      <c r="U632" s="99" t="s">
        <v>7</v>
      </c>
      <c r="V632" s="99" t="s">
        <v>1962</v>
      </c>
      <c r="W632" s="99" t="s">
        <v>1966</v>
      </c>
    </row>
    <row r="633" spans="1:23" ht="18.600000000000001" customHeight="1">
      <c r="A633" s="123" t="str">
        <f>IF(priority(Main[[#This Row],[Comments]])&lt;&gt;0, priority(Main[[#This Row],[Comments]]),"")</f>
        <v/>
      </c>
      <c r="B633" s="127" t="s">
        <v>1505</v>
      </c>
      <c r="C633" s="99" t="s">
        <v>72</v>
      </c>
      <c r="D633" s="100" t="s">
        <v>555</v>
      </c>
      <c r="E633" s="101"/>
      <c r="F633" s="101">
        <v>40030</v>
      </c>
      <c r="G633" s="102" t="str">
        <f>IF(stdProdLT(Main[[#This Row],[Comments]])=0.1,"N/A",IF(stdProdLT(Main[[#This Row],[Comments]])=0,"",stdProdLT(Main[[#This Row],[Comments]])))</f>
        <v/>
      </c>
      <c r="H633" s="103" t="str">
        <f>IF(AND(Main[[#This Row],[In Stock Date]]&lt;&gt;"",Main[[#This Row],[Revised Due Date]]&lt;&gt;""),Main[[#This Row],[In Stock Date]]-Main[[#This Row],[Revised Due Date]],"")</f>
        <v/>
      </c>
      <c r="I633" s="99" t="s">
        <v>4</v>
      </c>
      <c r="J633" s="99" t="s">
        <v>4</v>
      </c>
      <c r="K633" s="99" t="s">
        <v>4</v>
      </c>
      <c r="L633" s="101"/>
      <c r="M633" s="104" t="str">
        <f>IF(Main[[#This Row],[Tech Start Date]]&lt;1/1/1990,"",IF(Main[[#This Row],[Class]]="C",WORKDAY(Main[[#This Row],[Tech Start Date]],9),IF(Main[[#This Row],[Class]]="B", WORKDAY(Main[[#This Row],[Tech Start Date]],6),IF(Main[[#This Row],[Class]]="A",WORKDAY(Main[[#This Row],[Tech Start Date]],2),""))))</f>
        <v/>
      </c>
      <c r="N633" s="104" t="str">
        <f>IF(Main[[#This Row],[Tech Start Date]]&lt;1/1/1990,"",IF(Main[[#This Row],[Class]]="C",WORKDAY(Main[[#This Row],[Tech Start Date]],19),IF(Main[[#This Row],[Class]]="B", WORKDAY(Main[[#This Row],[Tech Start Date]],12),IF(Main[[#This Row],[Class]]="A",WORKDAY(Main[[#This Row],[Tech Start Date]],4),""))))</f>
        <v/>
      </c>
      <c r="O633" s="104" t="str">
        <f>IF(Main[[#This Row],[Tech Start Date]]&lt;1/1/1990,"",IF(Main[[#This Row],[Class]]="C",WORKDAY(Main[[#This Row],[Tech Start Date]],23),IF(Main[[#This Row],[Class]]="B", WORKDAY(Main[[#This Row],[Tech Start Date]],15),IF(Main[[#This Row],[Class]]="A",WORKDAY(Main[[#This Row],[Tech Start Date]],5),""))))</f>
        <v/>
      </c>
      <c r="P633" s="104" t="str">
        <f>IF(Main[[#This Row],[Tech Start Date]]&lt;1/1/1990,"",IF(Main[[#This Row],[Class]]="C",WORKDAY(Main[[#This Row],[Tech Start Date]],28),IF(Main[[#This Row],[Class]]="B", WORKDAY(Main[[#This Row],[Tech Start Date]],19),IF(Main[[#This Row],[Class]]="A",WORKDAY(Main[[#This Row],[Tech Start Date]],9),""))))</f>
        <v/>
      </c>
      <c r="Q633" s="101">
        <v>39959</v>
      </c>
      <c r="R633" s="101"/>
      <c r="S633" s="99" t="s">
        <v>11</v>
      </c>
      <c r="T633" s="107" t="s">
        <v>4</v>
      </c>
      <c r="U633" s="99" t="s">
        <v>14</v>
      </c>
      <c r="V633" s="99" t="s">
        <v>1972</v>
      </c>
      <c r="W633" s="99" t="s">
        <v>4</v>
      </c>
    </row>
    <row r="634" spans="1:23" ht="18.600000000000001" customHeight="1">
      <c r="A634" s="123" t="str">
        <f>IF(priority(Main[[#This Row],[Comments]])&lt;&gt;0, priority(Main[[#This Row],[Comments]]),"")</f>
        <v/>
      </c>
      <c r="B634" s="127" t="s">
        <v>1507</v>
      </c>
      <c r="C634" s="99" t="s">
        <v>4</v>
      </c>
      <c r="D634" s="100" t="s">
        <v>556</v>
      </c>
      <c r="E634" s="101"/>
      <c r="F634" s="101"/>
      <c r="G634" s="102" t="str">
        <f>IF(stdProdLT(Main[[#This Row],[Comments]])=0.1,"N/A",IF(stdProdLT(Main[[#This Row],[Comments]])=0,"",stdProdLT(Main[[#This Row],[Comments]])))</f>
        <v/>
      </c>
      <c r="H634" s="103" t="str">
        <f>IF(AND(Main[[#This Row],[In Stock Date]]&lt;&gt;"",Main[[#This Row],[Revised Due Date]]&lt;&gt;""),Main[[#This Row],[In Stock Date]]-Main[[#This Row],[Revised Due Date]],"")</f>
        <v/>
      </c>
      <c r="I634" s="99" t="s">
        <v>4</v>
      </c>
      <c r="J634" s="99" t="s">
        <v>4</v>
      </c>
      <c r="K634" s="99" t="s">
        <v>4</v>
      </c>
      <c r="L634" s="101"/>
      <c r="M634" s="104" t="str">
        <f>IF(Main[[#This Row],[Tech Start Date]]&lt;1/1/1990,"",IF(Main[[#This Row],[Class]]="C",WORKDAY(Main[[#This Row],[Tech Start Date]],9),IF(Main[[#This Row],[Class]]="B", WORKDAY(Main[[#This Row],[Tech Start Date]],6),IF(Main[[#This Row],[Class]]="A",WORKDAY(Main[[#This Row],[Tech Start Date]],2),""))))</f>
        <v/>
      </c>
      <c r="N634" s="104" t="str">
        <f>IF(Main[[#This Row],[Tech Start Date]]&lt;1/1/1990,"",IF(Main[[#This Row],[Class]]="C",WORKDAY(Main[[#This Row],[Tech Start Date]],19),IF(Main[[#This Row],[Class]]="B", WORKDAY(Main[[#This Row],[Tech Start Date]],12),IF(Main[[#This Row],[Class]]="A",WORKDAY(Main[[#This Row],[Tech Start Date]],4),""))))</f>
        <v/>
      </c>
      <c r="O634" s="104" t="str">
        <f>IF(Main[[#This Row],[Tech Start Date]]&lt;1/1/1990,"",IF(Main[[#This Row],[Class]]="C",WORKDAY(Main[[#This Row],[Tech Start Date]],23),IF(Main[[#This Row],[Class]]="B", WORKDAY(Main[[#This Row],[Tech Start Date]],15),IF(Main[[#This Row],[Class]]="A",WORKDAY(Main[[#This Row],[Tech Start Date]],5),""))))</f>
        <v/>
      </c>
      <c r="P634" s="104" t="str">
        <f>IF(Main[[#This Row],[Tech Start Date]]&lt;1/1/1990,"",IF(Main[[#This Row],[Class]]="C",WORKDAY(Main[[#This Row],[Tech Start Date]],28),IF(Main[[#This Row],[Class]]="B", WORKDAY(Main[[#This Row],[Tech Start Date]],19),IF(Main[[#This Row],[Class]]="A",WORKDAY(Main[[#This Row],[Tech Start Date]],9),""))))</f>
        <v/>
      </c>
      <c r="Q634" s="101"/>
      <c r="R634" s="101"/>
      <c r="S634" s="99" t="s">
        <v>6</v>
      </c>
      <c r="T634" s="107" t="s">
        <v>4</v>
      </c>
      <c r="U634" s="99" t="s">
        <v>14</v>
      </c>
      <c r="V634" s="99" t="s">
        <v>1965</v>
      </c>
      <c r="W634" s="99" t="s">
        <v>4</v>
      </c>
    </row>
    <row r="635" spans="1:23" ht="18.600000000000001" customHeight="1">
      <c r="A635" s="123" t="str">
        <f>IF(priority(Main[[#This Row],[Comments]])&lt;&gt;0, priority(Main[[#This Row],[Comments]]),"")</f>
        <v/>
      </c>
      <c r="B635" s="127" t="s">
        <v>1508</v>
      </c>
      <c r="C635" s="99" t="s">
        <v>33</v>
      </c>
      <c r="D635" s="100" t="s">
        <v>557</v>
      </c>
      <c r="E635" s="101"/>
      <c r="F635" s="101"/>
      <c r="G635" s="102" t="str">
        <f>IF(stdProdLT(Main[[#This Row],[Comments]])=0.1,"N/A",IF(stdProdLT(Main[[#This Row],[Comments]])=0,"",stdProdLT(Main[[#This Row],[Comments]])))</f>
        <v/>
      </c>
      <c r="H635" s="103" t="str">
        <f>IF(AND(Main[[#This Row],[In Stock Date]]&lt;&gt;"",Main[[#This Row],[Revised Due Date]]&lt;&gt;""),Main[[#This Row],[In Stock Date]]-Main[[#This Row],[Revised Due Date]],"")</f>
        <v/>
      </c>
      <c r="I635" s="99" t="s">
        <v>4</v>
      </c>
      <c r="J635" s="99" t="s">
        <v>4</v>
      </c>
      <c r="K635" s="99" t="s">
        <v>4</v>
      </c>
      <c r="L635" s="101"/>
      <c r="M635" s="104" t="str">
        <f>IF(Main[[#This Row],[Tech Start Date]]&lt;1/1/1990,"",IF(Main[[#This Row],[Class]]="C",WORKDAY(Main[[#This Row],[Tech Start Date]],9),IF(Main[[#This Row],[Class]]="B", WORKDAY(Main[[#This Row],[Tech Start Date]],6),IF(Main[[#This Row],[Class]]="A",WORKDAY(Main[[#This Row],[Tech Start Date]],2),""))))</f>
        <v/>
      </c>
      <c r="N635" s="104" t="str">
        <f>IF(Main[[#This Row],[Tech Start Date]]&lt;1/1/1990,"",IF(Main[[#This Row],[Class]]="C",WORKDAY(Main[[#This Row],[Tech Start Date]],19),IF(Main[[#This Row],[Class]]="B", WORKDAY(Main[[#This Row],[Tech Start Date]],12),IF(Main[[#This Row],[Class]]="A",WORKDAY(Main[[#This Row],[Tech Start Date]],4),""))))</f>
        <v/>
      </c>
      <c r="O635" s="104" t="str">
        <f>IF(Main[[#This Row],[Tech Start Date]]&lt;1/1/1990,"",IF(Main[[#This Row],[Class]]="C",WORKDAY(Main[[#This Row],[Tech Start Date]],23),IF(Main[[#This Row],[Class]]="B", WORKDAY(Main[[#This Row],[Tech Start Date]],15),IF(Main[[#This Row],[Class]]="A",WORKDAY(Main[[#This Row],[Tech Start Date]],5),""))))</f>
        <v/>
      </c>
      <c r="P635" s="104" t="str">
        <f>IF(Main[[#This Row],[Tech Start Date]]&lt;1/1/1990,"",IF(Main[[#This Row],[Class]]="C",WORKDAY(Main[[#This Row],[Tech Start Date]],28),IF(Main[[#This Row],[Class]]="B", WORKDAY(Main[[#This Row],[Tech Start Date]],19),IF(Main[[#This Row],[Class]]="A",WORKDAY(Main[[#This Row],[Tech Start Date]],9),""))))</f>
        <v/>
      </c>
      <c r="Q635" s="101">
        <v>40004</v>
      </c>
      <c r="R635" s="101"/>
      <c r="S635" s="99" t="s">
        <v>11</v>
      </c>
      <c r="T635" s="107" t="s">
        <v>4</v>
      </c>
      <c r="U635" s="99" t="s">
        <v>14</v>
      </c>
      <c r="V635" s="99" t="s">
        <v>1962</v>
      </c>
      <c r="W635" s="99" t="s">
        <v>1970</v>
      </c>
    </row>
    <row r="636" spans="1:23" ht="18.600000000000001" customHeight="1">
      <c r="A636" s="123" t="str">
        <f>IF(priority(Main[[#This Row],[Comments]])&lt;&gt;0, priority(Main[[#This Row],[Comments]]),"")</f>
        <v/>
      </c>
      <c r="B636" s="127" t="s">
        <v>1509</v>
      </c>
      <c r="C636" s="99" t="s">
        <v>558</v>
      </c>
      <c r="D636" s="100" t="s">
        <v>559</v>
      </c>
      <c r="E636" s="101"/>
      <c r="F636" s="101"/>
      <c r="G636" s="102" t="str">
        <f>IF(stdProdLT(Main[[#This Row],[Comments]])=0.1,"N/A",IF(stdProdLT(Main[[#This Row],[Comments]])=0,"",stdProdLT(Main[[#This Row],[Comments]])))</f>
        <v/>
      </c>
      <c r="H636" s="103" t="str">
        <f>IF(AND(Main[[#This Row],[In Stock Date]]&lt;&gt;"",Main[[#This Row],[Revised Due Date]]&lt;&gt;""),Main[[#This Row],[In Stock Date]]-Main[[#This Row],[Revised Due Date]],"")</f>
        <v/>
      </c>
      <c r="I636" s="99" t="s">
        <v>560</v>
      </c>
      <c r="J636" s="99" t="s">
        <v>28</v>
      </c>
      <c r="K636" s="99" t="s">
        <v>4</v>
      </c>
      <c r="L636" s="101"/>
      <c r="M636" s="104" t="str">
        <f>IF(Main[[#This Row],[Tech Start Date]]&lt;1/1/1990,"",IF(Main[[#This Row],[Class]]="C",WORKDAY(Main[[#This Row],[Tech Start Date]],9),IF(Main[[#This Row],[Class]]="B", WORKDAY(Main[[#This Row],[Tech Start Date]],6),IF(Main[[#This Row],[Class]]="A",WORKDAY(Main[[#This Row],[Tech Start Date]],2),""))))</f>
        <v/>
      </c>
      <c r="N636" s="104" t="str">
        <f>IF(Main[[#This Row],[Tech Start Date]]&lt;1/1/1990,"",IF(Main[[#This Row],[Class]]="C",WORKDAY(Main[[#This Row],[Tech Start Date]],19),IF(Main[[#This Row],[Class]]="B", WORKDAY(Main[[#This Row],[Tech Start Date]],12),IF(Main[[#This Row],[Class]]="A",WORKDAY(Main[[#This Row],[Tech Start Date]],4),""))))</f>
        <v/>
      </c>
      <c r="O636" s="104" t="str">
        <f>IF(Main[[#This Row],[Tech Start Date]]&lt;1/1/1990,"",IF(Main[[#This Row],[Class]]="C",WORKDAY(Main[[#This Row],[Tech Start Date]],23),IF(Main[[#This Row],[Class]]="B", WORKDAY(Main[[#This Row],[Tech Start Date]],15),IF(Main[[#This Row],[Class]]="A",WORKDAY(Main[[#This Row],[Tech Start Date]],5),""))))</f>
        <v/>
      </c>
      <c r="P636" s="104" t="str">
        <f>IF(Main[[#This Row],[Tech Start Date]]&lt;1/1/1990,"",IF(Main[[#This Row],[Class]]="C",WORKDAY(Main[[#This Row],[Tech Start Date]],28),IF(Main[[#This Row],[Class]]="B", WORKDAY(Main[[#This Row],[Tech Start Date]],19),IF(Main[[#This Row],[Class]]="A",WORKDAY(Main[[#This Row],[Tech Start Date]],9),""))))</f>
        <v/>
      </c>
      <c r="Q636" s="101">
        <v>40401</v>
      </c>
      <c r="R636" s="101"/>
      <c r="S636" s="99" t="s">
        <v>11</v>
      </c>
      <c r="T636" s="107" t="s">
        <v>4</v>
      </c>
      <c r="U636" s="99" t="s">
        <v>14</v>
      </c>
      <c r="V636" s="99" t="s">
        <v>1972</v>
      </c>
      <c r="W636" s="99" t="s">
        <v>1964</v>
      </c>
    </row>
    <row r="637" spans="1:23" ht="18.600000000000001" customHeight="1">
      <c r="A637" s="123" t="str">
        <f>IF(priority(Main[[#This Row],[Comments]])&lt;&gt;0, priority(Main[[#This Row],[Comments]]),"")</f>
        <v/>
      </c>
      <c r="B637" s="127" t="s">
        <v>1510</v>
      </c>
      <c r="C637" s="99" t="s">
        <v>4</v>
      </c>
      <c r="D637" s="100" t="s">
        <v>561</v>
      </c>
      <c r="E637" s="101"/>
      <c r="F637" s="101"/>
      <c r="G637" s="102" t="str">
        <f>IF(stdProdLT(Main[[#This Row],[Comments]])=0.1,"N/A",IF(stdProdLT(Main[[#This Row],[Comments]])=0,"",stdProdLT(Main[[#This Row],[Comments]])))</f>
        <v/>
      </c>
      <c r="H637" s="103" t="str">
        <f>IF(AND(Main[[#This Row],[In Stock Date]]&lt;&gt;"",Main[[#This Row],[Revised Due Date]]&lt;&gt;""),Main[[#This Row],[In Stock Date]]-Main[[#This Row],[Revised Due Date]],"")</f>
        <v/>
      </c>
      <c r="I637" s="99" t="s">
        <v>4</v>
      </c>
      <c r="J637" s="99" t="s">
        <v>4</v>
      </c>
      <c r="K637" s="99" t="s">
        <v>4</v>
      </c>
      <c r="L637" s="101"/>
      <c r="M637" s="104" t="str">
        <f>IF(Main[[#This Row],[Tech Start Date]]&lt;1/1/1990,"",IF(Main[[#This Row],[Class]]="C",WORKDAY(Main[[#This Row],[Tech Start Date]],9),IF(Main[[#This Row],[Class]]="B", WORKDAY(Main[[#This Row],[Tech Start Date]],6),IF(Main[[#This Row],[Class]]="A",WORKDAY(Main[[#This Row],[Tech Start Date]],2),""))))</f>
        <v/>
      </c>
      <c r="N637" s="104" t="str">
        <f>IF(Main[[#This Row],[Tech Start Date]]&lt;1/1/1990,"",IF(Main[[#This Row],[Class]]="C",WORKDAY(Main[[#This Row],[Tech Start Date]],19),IF(Main[[#This Row],[Class]]="B", WORKDAY(Main[[#This Row],[Tech Start Date]],12),IF(Main[[#This Row],[Class]]="A",WORKDAY(Main[[#This Row],[Tech Start Date]],4),""))))</f>
        <v/>
      </c>
      <c r="O637" s="104" t="str">
        <f>IF(Main[[#This Row],[Tech Start Date]]&lt;1/1/1990,"",IF(Main[[#This Row],[Class]]="C",WORKDAY(Main[[#This Row],[Tech Start Date]],23),IF(Main[[#This Row],[Class]]="B", WORKDAY(Main[[#This Row],[Tech Start Date]],15),IF(Main[[#This Row],[Class]]="A",WORKDAY(Main[[#This Row],[Tech Start Date]],5),""))))</f>
        <v/>
      </c>
      <c r="P637" s="104" t="str">
        <f>IF(Main[[#This Row],[Tech Start Date]]&lt;1/1/1990,"",IF(Main[[#This Row],[Class]]="C",WORKDAY(Main[[#This Row],[Tech Start Date]],28),IF(Main[[#This Row],[Class]]="B", WORKDAY(Main[[#This Row],[Tech Start Date]],19),IF(Main[[#This Row],[Class]]="A",WORKDAY(Main[[#This Row],[Tech Start Date]],9),""))))</f>
        <v/>
      </c>
      <c r="Q637" s="101">
        <v>40385</v>
      </c>
      <c r="R637" s="101"/>
      <c r="S637" s="99" t="s">
        <v>6</v>
      </c>
      <c r="T637" s="107" t="s">
        <v>4</v>
      </c>
      <c r="U637" s="99" t="s">
        <v>14</v>
      </c>
      <c r="V637" s="99" t="s">
        <v>1962</v>
      </c>
      <c r="W637" s="99" t="s">
        <v>1964</v>
      </c>
    </row>
    <row r="638" spans="1:23" ht="18.600000000000001" customHeight="1">
      <c r="A638" s="123" t="str">
        <f>IF(priority(Main[[#This Row],[Comments]])&lt;&gt;0, priority(Main[[#This Row],[Comments]]),"")</f>
        <v/>
      </c>
      <c r="B638" s="127" t="s">
        <v>1512</v>
      </c>
      <c r="C638" s="99" t="s">
        <v>4</v>
      </c>
      <c r="D638" s="100" t="s">
        <v>97</v>
      </c>
      <c r="E638" s="101"/>
      <c r="F638" s="101"/>
      <c r="G638" s="102" t="str">
        <f>IF(stdProdLT(Main[[#This Row],[Comments]])=0.1,"N/A",IF(stdProdLT(Main[[#This Row],[Comments]])=0,"",stdProdLT(Main[[#This Row],[Comments]])))</f>
        <v/>
      </c>
      <c r="H638" s="103" t="str">
        <f>IF(AND(Main[[#This Row],[In Stock Date]]&lt;&gt;"",Main[[#This Row],[Revised Due Date]]&lt;&gt;""),Main[[#This Row],[In Stock Date]]-Main[[#This Row],[Revised Due Date]],"")</f>
        <v/>
      </c>
      <c r="I638" s="99" t="s">
        <v>4</v>
      </c>
      <c r="J638" s="99" t="s">
        <v>4</v>
      </c>
      <c r="K638" s="99" t="s">
        <v>4</v>
      </c>
      <c r="L638" s="101"/>
      <c r="M638" s="104" t="str">
        <f>IF(Main[[#This Row],[Tech Start Date]]&lt;1/1/1990,"",IF(Main[[#This Row],[Class]]="C",WORKDAY(Main[[#This Row],[Tech Start Date]],9),IF(Main[[#This Row],[Class]]="B", WORKDAY(Main[[#This Row],[Tech Start Date]],6),IF(Main[[#This Row],[Class]]="A",WORKDAY(Main[[#This Row],[Tech Start Date]],2),""))))</f>
        <v/>
      </c>
      <c r="N638" s="104" t="str">
        <f>IF(Main[[#This Row],[Tech Start Date]]&lt;1/1/1990,"",IF(Main[[#This Row],[Class]]="C",WORKDAY(Main[[#This Row],[Tech Start Date]],19),IF(Main[[#This Row],[Class]]="B", WORKDAY(Main[[#This Row],[Tech Start Date]],12),IF(Main[[#This Row],[Class]]="A",WORKDAY(Main[[#This Row],[Tech Start Date]],4),""))))</f>
        <v/>
      </c>
      <c r="O638" s="104" t="str">
        <f>IF(Main[[#This Row],[Tech Start Date]]&lt;1/1/1990,"",IF(Main[[#This Row],[Class]]="C",WORKDAY(Main[[#This Row],[Tech Start Date]],23),IF(Main[[#This Row],[Class]]="B", WORKDAY(Main[[#This Row],[Tech Start Date]],15),IF(Main[[#This Row],[Class]]="A",WORKDAY(Main[[#This Row],[Tech Start Date]],5),""))))</f>
        <v/>
      </c>
      <c r="P638" s="104" t="str">
        <f>IF(Main[[#This Row],[Tech Start Date]]&lt;1/1/1990,"",IF(Main[[#This Row],[Class]]="C",WORKDAY(Main[[#This Row],[Tech Start Date]],28),IF(Main[[#This Row],[Class]]="B", WORKDAY(Main[[#This Row],[Tech Start Date]],19),IF(Main[[#This Row],[Class]]="A",WORKDAY(Main[[#This Row],[Tech Start Date]],9),""))))</f>
        <v/>
      </c>
      <c r="Q638" s="101">
        <v>40858</v>
      </c>
      <c r="R638" s="101"/>
      <c r="S638" s="99" t="s">
        <v>17</v>
      </c>
      <c r="T638" s="107" t="s">
        <v>4</v>
      </c>
      <c r="U638" s="99" t="s">
        <v>14</v>
      </c>
      <c r="V638" s="99" t="s">
        <v>1962</v>
      </c>
      <c r="W638" s="99" t="s">
        <v>1967</v>
      </c>
    </row>
    <row r="639" spans="1:23" ht="18.600000000000001" customHeight="1">
      <c r="A639" s="123" t="str">
        <f>IF(priority(Main[[#This Row],[Comments]])&lt;&gt;0, priority(Main[[#This Row],[Comments]]),"")</f>
        <v/>
      </c>
      <c r="B639" s="127" t="s">
        <v>1513</v>
      </c>
      <c r="C639" s="99" t="s">
        <v>4</v>
      </c>
      <c r="D639" s="100" t="s">
        <v>562</v>
      </c>
      <c r="E639" s="101">
        <v>40382.376319444447</v>
      </c>
      <c r="F639" s="101"/>
      <c r="G639" s="102" t="str">
        <f>IF(stdProdLT(Main[[#This Row],[Comments]])=0.1,"N/A",IF(stdProdLT(Main[[#This Row],[Comments]])=0,"",stdProdLT(Main[[#This Row],[Comments]])))</f>
        <v/>
      </c>
      <c r="H639" s="103" t="str">
        <f>IF(AND(Main[[#This Row],[In Stock Date]]&lt;&gt;"",Main[[#This Row],[Revised Due Date]]&lt;&gt;""),Main[[#This Row],[In Stock Date]]-Main[[#This Row],[Revised Due Date]],"")</f>
        <v/>
      </c>
      <c r="I639" s="99" t="s">
        <v>4</v>
      </c>
      <c r="J639" s="99" t="s">
        <v>4</v>
      </c>
      <c r="K639" s="108" t="s">
        <v>4</v>
      </c>
      <c r="L639" s="101"/>
      <c r="M639" s="104" t="str">
        <f>IF(Main[[#This Row],[Tech Start Date]]&lt;1/1/1990,"",IF(Main[[#This Row],[Class]]="C",WORKDAY(Main[[#This Row],[Tech Start Date]],9),IF(Main[[#This Row],[Class]]="B", WORKDAY(Main[[#This Row],[Tech Start Date]],6),IF(Main[[#This Row],[Class]]="A",WORKDAY(Main[[#This Row],[Tech Start Date]],2),""))))</f>
        <v/>
      </c>
      <c r="N639" s="104" t="str">
        <f>IF(Main[[#This Row],[Tech Start Date]]&lt;1/1/1990,"",IF(Main[[#This Row],[Class]]="C",WORKDAY(Main[[#This Row],[Tech Start Date]],19),IF(Main[[#This Row],[Class]]="B", WORKDAY(Main[[#This Row],[Tech Start Date]],12),IF(Main[[#This Row],[Class]]="A",WORKDAY(Main[[#This Row],[Tech Start Date]],4),""))))</f>
        <v/>
      </c>
      <c r="O639" s="104" t="str">
        <f>IF(Main[[#This Row],[Tech Start Date]]&lt;1/1/1990,"",IF(Main[[#This Row],[Class]]="C",WORKDAY(Main[[#This Row],[Tech Start Date]],23),IF(Main[[#This Row],[Class]]="B", WORKDAY(Main[[#This Row],[Tech Start Date]],15),IF(Main[[#This Row],[Class]]="A",WORKDAY(Main[[#This Row],[Tech Start Date]],5),""))))</f>
        <v/>
      </c>
      <c r="P639" s="104" t="str">
        <f>IF(Main[[#This Row],[Tech Start Date]]&lt;1/1/1990,"",IF(Main[[#This Row],[Class]]="C",WORKDAY(Main[[#This Row],[Tech Start Date]],28),IF(Main[[#This Row],[Class]]="B", WORKDAY(Main[[#This Row],[Tech Start Date]],19),IF(Main[[#This Row],[Class]]="A",WORKDAY(Main[[#This Row],[Tech Start Date]],9),""))))</f>
        <v/>
      </c>
      <c r="Q639" s="101">
        <v>40451</v>
      </c>
      <c r="R639" s="101"/>
      <c r="S639" s="99" t="s">
        <v>6</v>
      </c>
      <c r="T639" s="107" t="s">
        <v>4</v>
      </c>
      <c r="U639" s="99" t="s">
        <v>7</v>
      </c>
      <c r="V639" s="99" t="s">
        <v>1962</v>
      </c>
      <c r="W639" s="99" t="s">
        <v>4</v>
      </c>
    </row>
    <row r="640" spans="1:23" ht="18.600000000000001" customHeight="1">
      <c r="A640" s="123" t="str">
        <f>IF(priority(Main[[#This Row],[Comments]])&lt;&gt;0, priority(Main[[#This Row],[Comments]]),"")</f>
        <v/>
      </c>
      <c r="B640" s="127" t="s">
        <v>1514</v>
      </c>
      <c r="C640" s="99" t="s">
        <v>183</v>
      </c>
      <c r="D640" s="100" t="s">
        <v>563</v>
      </c>
      <c r="E640" s="101"/>
      <c r="F640" s="101">
        <v>40389</v>
      </c>
      <c r="G640" s="102" t="str">
        <f>IF(stdProdLT(Main[[#This Row],[Comments]])=0.1,"N/A",IF(stdProdLT(Main[[#This Row],[Comments]])=0,"",stdProdLT(Main[[#This Row],[Comments]])))</f>
        <v/>
      </c>
      <c r="H640" s="103" t="str">
        <f>IF(AND(Main[[#This Row],[In Stock Date]]&lt;&gt;"",Main[[#This Row],[Revised Due Date]]&lt;&gt;""),Main[[#This Row],[In Stock Date]]-Main[[#This Row],[Revised Due Date]],"")</f>
        <v/>
      </c>
      <c r="I640" s="99" t="s">
        <v>4</v>
      </c>
      <c r="J640" s="99" t="s">
        <v>4</v>
      </c>
      <c r="K640" s="99" t="s">
        <v>4</v>
      </c>
      <c r="L640" s="101"/>
      <c r="M640" s="104" t="str">
        <f>IF(Main[[#This Row],[Tech Start Date]]&lt;1/1/1990,"",IF(Main[[#This Row],[Class]]="C",WORKDAY(Main[[#This Row],[Tech Start Date]],9),IF(Main[[#This Row],[Class]]="B", WORKDAY(Main[[#This Row],[Tech Start Date]],6),IF(Main[[#This Row],[Class]]="A",WORKDAY(Main[[#This Row],[Tech Start Date]],2),""))))</f>
        <v/>
      </c>
      <c r="N640" s="104" t="str">
        <f>IF(Main[[#This Row],[Tech Start Date]]&lt;1/1/1990,"",IF(Main[[#This Row],[Class]]="C",WORKDAY(Main[[#This Row],[Tech Start Date]],19),IF(Main[[#This Row],[Class]]="B", WORKDAY(Main[[#This Row],[Tech Start Date]],12),IF(Main[[#This Row],[Class]]="A",WORKDAY(Main[[#This Row],[Tech Start Date]],4),""))))</f>
        <v/>
      </c>
      <c r="O640" s="104" t="str">
        <f>IF(Main[[#This Row],[Tech Start Date]]&lt;1/1/1990,"",IF(Main[[#This Row],[Class]]="C",WORKDAY(Main[[#This Row],[Tech Start Date]],23),IF(Main[[#This Row],[Class]]="B", WORKDAY(Main[[#This Row],[Tech Start Date]],15),IF(Main[[#This Row],[Class]]="A",WORKDAY(Main[[#This Row],[Tech Start Date]],5),""))))</f>
        <v/>
      </c>
      <c r="P640" s="104" t="str">
        <f>IF(Main[[#This Row],[Tech Start Date]]&lt;1/1/1990,"",IF(Main[[#This Row],[Class]]="C",WORKDAY(Main[[#This Row],[Tech Start Date]],28),IF(Main[[#This Row],[Class]]="B", WORKDAY(Main[[#This Row],[Tech Start Date]],19),IF(Main[[#This Row],[Class]]="A",WORKDAY(Main[[#This Row],[Tech Start Date]],9),""))))</f>
        <v/>
      </c>
      <c r="Q640" s="101">
        <v>40298</v>
      </c>
      <c r="R640" s="101"/>
      <c r="S640" s="99" t="s">
        <v>11</v>
      </c>
      <c r="T640" s="107" t="s">
        <v>4</v>
      </c>
      <c r="U640" s="99" t="s">
        <v>14</v>
      </c>
      <c r="V640" s="99" t="s">
        <v>1962</v>
      </c>
      <c r="W640" s="99" t="s">
        <v>1968</v>
      </c>
    </row>
    <row r="641" spans="1:23" ht="18.600000000000001" customHeight="1">
      <c r="A641" s="123" t="str">
        <f>IF(priority(Main[[#This Row],[Comments]])&lt;&gt;0, priority(Main[[#This Row],[Comments]]),"")</f>
        <v/>
      </c>
      <c r="B641" s="127" t="s">
        <v>1516</v>
      </c>
      <c r="C641" s="99" t="s">
        <v>579</v>
      </c>
      <c r="D641" s="100" t="s">
        <v>580</v>
      </c>
      <c r="E641" s="101"/>
      <c r="F641" s="101"/>
      <c r="G641" s="102" t="str">
        <f>IF(stdProdLT(Main[[#This Row],[Comments]])=0.1,"N/A",IF(stdProdLT(Main[[#This Row],[Comments]])=0,"",stdProdLT(Main[[#This Row],[Comments]])))</f>
        <v/>
      </c>
      <c r="H641" s="103" t="str">
        <f>IF(AND(Main[[#This Row],[In Stock Date]]&lt;&gt;"",Main[[#This Row],[Revised Due Date]]&lt;&gt;""),Main[[#This Row],[In Stock Date]]-Main[[#This Row],[Revised Due Date]],"")</f>
        <v/>
      </c>
      <c r="I641" s="99" t="s">
        <v>4</v>
      </c>
      <c r="J641" s="99" t="s">
        <v>4</v>
      </c>
      <c r="K641" s="108" t="s">
        <v>4</v>
      </c>
      <c r="L641" s="101"/>
      <c r="M641" s="104" t="str">
        <f>IF(Main[[#This Row],[Tech Start Date]]&lt;1/1/1990,"",IF(Main[[#This Row],[Class]]="C",WORKDAY(Main[[#This Row],[Tech Start Date]],9),IF(Main[[#This Row],[Class]]="B", WORKDAY(Main[[#This Row],[Tech Start Date]],6),IF(Main[[#This Row],[Class]]="A",WORKDAY(Main[[#This Row],[Tech Start Date]],2),""))))</f>
        <v/>
      </c>
      <c r="N641" s="104" t="str">
        <f>IF(Main[[#This Row],[Tech Start Date]]&lt;1/1/1990,"",IF(Main[[#This Row],[Class]]="C",WORKDAY(Main[[#This Row],[Tech Start Date]],19),IF(Main[[#This Row],[Class]]="B", WORKDAY(Main[[#This Row],[Tech Start Date]],12),IF(Main[[#This Row],[Class]]="A",WORKDAY(Main[[#This Row],[Tech Start Date]],4),""))))</f>
        <v/>
      </c>
      <c r="O641" s="104" t="str">
        <f>IF(Main[[#This Row],[Tech Start Date]]&lt;1/1/1990,"",IF(Main[[#This Row],[Class]]="C",WORKDAY(Main[[#This Row],[Tech Start Date]],23),IF(Main[[#This Row],[Class]]="B", WORKDAY(Main[[#This Row],[Tech Start Date]],15),IF(Main[[#This Row],[Class]]="A",WORKDAY(Main[[#This Row],[Tech Start Date]],5),""))))</f>
        <v/>
      </c>
      <c r="P641" s="104" t="str">
        <f>IF(Main[[#This Row],[Tech Start Date]]&lt;1/1/1990,"",IF(Main[[#This Row],[Class]]="C",WORKDAY(Main[[#This Row],[Tech Start Date]],28),IF(Main[[#This Row],[Class]]="B", WORKDAY(Main[[#This Row],[Tech Start Date]],19),IF(Main[[#This Row],[Class]]="A",WORKDAY(Main[[#This Row],[Tech Start Date]],9),""))))</f>
        <v/>
      </c>
      <c r="Q641" s="101">
        <v>40473</v>
      </c>
      <c r="R641" s="101"/>
      <c r="S641" s="99" t="s">
        <v>11</v>
      </c>
      <c r="T641" s="107" t="s">
        <v>4</v>
      </c>
      <c r="U641" s="99" t="s">
        <v>14</v>
      </c>
      <c r="V641" s="99" t="s">
        <v>1965</v>
      </c>
      <c r="W641" s="99" t="s">
        <v>1964</v>
      </c>
    </row>
    <row r="642" spans="1:23" ht="18.600000000000001" customHeight="1">
      <c r="A642" s="123" t="str">
        <f>IF(priority(Main[[#This Row],[Comments]])&lt;&gt;0, priority(Main[[#This Row],[Comments]]),"")</f>
        <v/>
      </c>
      <c r="B642" s="127" t="s">
        <v>1517</v>
      </c>
      <c r="C642" s="99" t="s">
        <v>4</v>
      </c>
      <c r="D642" s="100" t="s">
        <v>581</v>
      </c>
      <c r="E642" s="101">
        <v>40463.687627314815</v>
      </c>
      <c r="F642" s="101"/>
      <c r="G642" s="102" t="str">
        <f>IF(stdProdLT(Main[[#This Row],[Comments]])=0.1,"N/A",IF(stdProdLT(Main[[#This Row],[Comments]])=0,"",stdProdLT(Main[[#This Row],[Comments]])))</f>
        <v/>
      </c>
      <c r="H642" s="103" t="str">
        <f>IF(AND(Main[[#This Row],[In Stock Date]]&lt;&gt;"",Main[[#This Row],[Revised Due Date]]&lt;&gt;""),Main[[#This Row],[In Stock Date]]-Main[[#This Row],[Revised Due Date]],"")</f>
        <v/>
      </c>
      <c r="I642" s="99" t="s">
        <v>4</v>
      </c>
      <c r="J642" s="99" t="s">
        <v>28</v>
      </c>
      <c r="K642" s="108" t="s">
        <v>4</v>
      </c>
      <c r="L642" s="101"/>
      <c r="M642" s="104" t="str">
        <f>IF(Main[[#This Row],[Tech Start Date]]&lt;1/1/1990,"",IF(Main[[#This Row],[Class]]="C",WORKDAY(Main[[#This Row],[Tech Start Date]],9),IF(Main[[#This Row],[Class]]="B", WORKDAY(Main[[#This Row],[Tech Start Date]],6),IF(Main[[#This Row],[Class]]="A",WORKDAY(Main[[#This Row],[Tech Start Date]],2),""))))</f>
        <v/>
      </c>
      <c r="N642" s="104" t="str">
        <f>IF(Main[[#This Row],[Tech Start Date]]&lt;1/1/1990,"",IF(Main[[#This Row],[Class]]="C",WORKDAY(Main[[#This Row],[Tech Start Date]],19),IF(Main[[#This Row],[Class]]="B", WORKDAY(Main[[#This Row],[Tech Start Date]],12),IF(Main[[#This Row],[Class]]="A",WORKDAY(Main[[#This Row],[Tech Start Date]],4),""))))</f>
        <v/>
      </c>
      <c r="O642" s="104" t="str">
        <f>IF(Main[[#This Row],[Tech Start Date]]&lt;1/1/1990,"",IF(Main[[#This Row],[Class]]="C",WORKDAY(Main[[#This Row],[Tech Start Date]],23),IF(Main[[#This Row],[Class]]="B", WORKDAY(Main[[#This Row],[Tech Start Date]],15),IF(Main[[#This Row],[Class]]="A",WORKDAY(Main[[#This Row],[Tech Start Date]],5),""))))</f>
        <v/>
      </c>
      <c r="P642" s="104" t="str">
        <f>IF(Main[[#This Row],[Tech Start Date]]&lt;1/1/1990,"",IF(Main[[#This Row],[Class]]="C",WORKDAY(Main[[#This Row],[Tech Start Date]],28),IF(Main[[#This Row],[Class]]="B", WORKDAY(Main[[#This Row],[Tech Start Date]],19),IF(Main[[#This Row],[Class]]="A",WORKDAY(Main[[#This Row],[Tech Start Date]],9),""))))</f>
        <v/>
      </c>
      <c r="Q642" s="101"/>
      <c r="R642" s="101"/>
      <c r="S642" s="99" t="s">
        <v>6</v>
      </c>
      <c r="T642" s="107" t="s">
        <v>4</v>
      </c>
      <c r="U642" s="99" t="s">
        <v>7</v>
      </c>
      <c r="V642" s="99" t="s">
        <v>1962</v>
      </c>
      <c r="W642" s="99" t="s">
        <v>1970</v>
      </c>
    </row>
    <row r="643" spans="1:23" ht="18.600000000000001" customHeight="1">
      <c r="A643" s="123" t="str">
        <f>IF(priority(Main[[#This Row],[Comments]])&lt;&gt;0, priority(Main[[#This Row],[Comments]]),"")</f>
        <v/>
      </c>
      <c r="B643" s="127" t="s">
        <v>1156</v>
      </c>
      <c r="C643" s="99" t="s">
        <v>4</v>
      </c>
      <c r="D643" s="100" t="s">
        <v>177</v>
      </c>
      <c r="E643" s="101">
        <v>40421.149710648147</v>
      </c>
      <c r="F643" s="101"/>
      <c r="G643" s="102" t="str">
        <f>IF(stdProdLT(Main[[#This Row],[Comments]])=0.1,"N/A",IF(stdProdLT(Main[[#This Row],[Comments]])=0,"",stdProdLT(Main[[#This Row],[Comments]])))</f>
        <v/>
      </c>
      <c r="H643" s="103" t="str">
        <f>IF(AND(Main[[#This Row],[In Stock Date]]&lt;&gt;"",Main[[#This Row],[Revised Due Date]]&lt;&gt;""),Main[[#This Row],[In Stock Date]]-Main[[#This Row],[Revised Due Date]],"")</f>
        <v/>
      </c>
      <c r="I643" s="99" t="s">
        <v>81</v>
      </c>
      <c r="J643" s="99" t="s">
        <v>52</v>
      </c>
      <c r="K643" s="99" t="s">
        <v>4</v>
      </c>
      <c r="L643" s="101"/>
      <c r="M643" s="104" t="str">
        <f>IF(Main[[#This Row],[Tech Start Date]]&lt;1/1/1990,"",IF(Main[[#This Row],[Class]]="C",WORKDAY(Main[[#This Row],[Tech Start Date]],9),IF(Main[[#This Row],[Class]]="B", WORKDAY(Main[[#This Row],[Tech Start Date]],6),IF(Main[[#This Row],[Class]]="A",WORKDAY(Main[[#This Row],[Tech Start Date]],2),""))))</f>
        <v/>
      </c>
      <c r="N643" s="104" t="str">
        <f>IF(Main[[#This Row],[Tech Start Date]]&lt;1/1/1990,"",IF(Main[[#This Row],[Class]]="C",WORKDAY(Main[[#This Row],[Tech Start Date]],19),IF(Main[[#This Row],[Class]]="B", WORKDAY(Main[[#This Row],[Tech Start Date]],12),IF(Main[[#This Row],[Class]]="A",WORKDAY(Main[[#This Row],[Tech Start Date]],4),""))))</f>
        <v/>
      </c>
      <c r="O643" s="104" t="str">
        <f>IF(Main[[#This Row],[Tech Start Date]]&lt;1/1/1990,"",IF(Main[[#This Row],[Class]]="C",WORKDAY(Main[[#This Row],[Tech Start Date]],23),IF(Main[[#This Row],[Class]]="B", WORKDAY(Main[[#This Row],[Tech Start Date]],15),IF(Main[[#This Row],[Class]]="A",WORKDAY(Main[[#This Row],[Tech Start Date]],5),""))))</f>
        <v/>
      </c>
      <c r="P643" s="104" t="str">
        <f>IF(Main[[#This Row],[Tech Start Date]]&lt;1/1/1990,"",IF(Main[[#This Row],[Class]]="C",WORKDAY(Main[[#This Row],[Tech Start Date]],28),IF(Main[[#This Row],[Class]]="B", WORKDAY(Main[[#This Row],[Tech Start Date]],19),IF(Main[[#This Row],[Class]]="A",WORKDAY(Main[[#This Row],[Tech Start Date]],9),""))))</f>
        <v/>
      </c>
      <c r="Q643" s="101">
        <v>40451</v>
      </c>
      <c r="R643" s="101"/>
      <c r="S643" s="99" t="s">
        <v>6</v>
      </c>
      <c r="T643" s="107" t="s">
        <v>4</v>
      </c>
      <c r="U643" s="99" t="s">
        <v>29</v>
      </c>
      <c r="V643" s="99" t="s">
        <v>1972</v>
      </c>
      <c r="W643" s="99" t="s">
        <v>1964</v>
      </c>
    </row>
    <row r="644" spans="1:23" ht="18.600000000000001" customHeight="1">
      <c r="A644" s="123" t="str">
        <f>IF(priority(Main[[#This Row],[Comments]])&lt;&gt;0, priority(Main[[#This Row],[Comments]]),"")</f>
        <v/>
      </c>
      <c r="B644" s="127" t="s">
        <v>1518</v>
      </c>
      <c r="C644" s="99" t="s">
        <v>233</v>
      </c>
      <c r="D644" s="100" t="s">
        <v>570</v>
      </c>
      <c r="E644" s="101"/>
      <c r="F644" s="101">
        <v>40662</v>
      </c>
      <c r="G644" s="102" t="str">
        <f>IF(stdProdLT(Main[[#This Row],[Comments]])=0.1,"N/A",IF(stdProdLT(Main[[#This Row],[Comments]])=0,"",stdProdLT(Main[[#This Row],[Comments]])))</f>
        <v/>
      </c>
      <c r="H644" s="103" t="str">
        <f>IF(AND(Main[[#This Row],[In Stock Date]]&lt;&gt;"",Main[[#This Row],[Revised Due Date]]&lt;&gt;""),Main[[#This Row],[In Stock Date]]-Main[[#This Row],[Revised Due Date]],"")</f>
        <v/>
      </c>
      <c r="I644" s="99" t="s">
        <v>4</v>
      </c>
      <c r="J644" s="99" t="s">
        <v>4</v>
      </c>
      <c r="K644" s="99" t="s">
        <v>4</v>
      </c>
      <c r="L644" s="101"/>
      <c r="M644" s="104" t="str">
        <f>IF(Main[[#This Row],[Tech Start Date]]&lt;1/1/1990,"",IF(Main[[#This Row],[Class]]="C",WORKDAY(Main[[#This Row],[Tech Start Date]],9),IF(Main[[#This Row],[Class]]="B", WORKDAY(Main[[#This Row],[Tech Start Date]],6),IF(Main[[#This Row],[Class]]="A",WORKDAY(Main[[#This Row],[Tech Start Date]],2),""))))</f>
        <v/>
      </c>
      <c r="N644" s="104" t="str">
        <f>IF(Main[[#This Row],[Tech Start Date]]&lt;1/1/1990,"",IF(Main[[#This Row],[Class]]="C",WORKDAY(Main[[#This Row],[Tech Start Date]],19),IF(Main[[#This Row],[Class]]="B", WORKDAY(Main[[#This Row],[Tech Start Date]],12),IF(Main[[#This Row],[Class]]="A",WORKDAY(Main[[#This Row],[Tech Start Date]],4),""))))</f>
        <v/>
      </c>
      <c r="O644" s="104" t="str">
        <f>IF(Main[[#This Row],[Tech Start Date]]&lt;1/1/1990,"",IF(Main[[#This Row],[Class]]="C",WORKDAY(Main[[#This Row],[Tech Start Date]],23),IF(Main[[#This Row],[Class]]="B", WORKDAY(Main[[#This Row],[Tech Start Date]],15),IF(Main[[#This Row],[Class]]="A",WORKDAY(Main[[#This Row],[Tech Start Date]],5),""))))</f>
        <v/>
      </c>
      <c r="P644" s="104" t="str">
        <f>IF(Main[[#This Row],[Tech Start Date]]&lt;1/1/1990,"",IF(Main[[#This Row],[Class]]="C",WORKDAY(Main[[#This Row],[Tech Start Date]],28),IF(Main[[#This Row],[Class]]="B", WORKDAY(Main[[#This Row],[Tech Start Date]],19),IF(Main[[#This Row],[Class]]="A",WORKDAY(Main[[#This Row],[Tech Start Date]],9),""))))</f>
        <v/>
      </c>
      <c r="Q644" s="101">
        <v>40480</v>
      </c>
      <c r="R644" s="101"/>
      <c r="S644" s="99" t="s">
        <v>11</v>
      </c>
      <c r="T644" s="107" t="s">
        <v>4</v>
      </c>
      <c r="U644" s="99" t="s">
        <v>14</v>
      </c>
      <c r="V644" s="99" t="s">
        <v>1965</v>
      </c>
      <c r="W644" s="99" t="s">
        <v>1970</v>
      </c>
    </row>
    <row r="645" spans="1:23" ht="18.600000000000001" customHeight="1">
      <c r="A645" s="123" t="str">
        <f>IF(priority(Main[[#This Row],[Comments]])&lt;&gt;0, priority(Main[[#This Row],[Comments]]),"")</f>
        <v/>
      </c>
      <c r="B645" s="127" t="s">
        <v>1519</v>
      </c>
      <c r="C645" s="99" t="s">
        <v>4</v>
      </c>
      <c r="D645" s="100" t="s">
        <v>39</v>
      </c>
      <c r="E645" s="101"/>
      <c r="F645" s="101"/>
      <c r="G645" s="102" t="str">
        <f>IF(stdProdLT(Main[[#This Row],[Comments]])=0.1,"N/A",IF(stdProdLT(Main[[#This Row],[Comments]])=0,"",stdProdLT(Main[[#This Row],[Comments]])))</f>
        <v/>
      </c>
      <c r="H645" s="103" t="str">
        <f>IF(AND(Main[[#This Row],[In Stock Date]]&lt;&gt;"",Main[[#This Row],[Revised Due Date]]&lt;&gt;""),Main[[#This Row],[In Stock Date]]-Main[[#This Row],[Revised Due Date]],"")</f>
        <v/>
      </c>
      <c r="I645" s="99" t="s">
        <v>4</v>
      </c>
      <c r="J645" s="99" t="s">
        <v>4</v>
      </c>
      <c r="K645" s="108" t="s">
        <v>4</v>
      </c>
      <c r="L645" s="101"/>
      <c r="M645" s="104" t="str">
        <f>IF(Main[[#This Row],[Tech Start Date]]&lt;1/1/1990,"",IF(Main[[#This Row],[Class]]="C",WORKDAY(Main[[#This Row],[Tech Start Date]],9),IF(Main[[#This Row],[Class]]="B", WORKDAY(Main[[#This Row],[Tech Start Date]],6),IF(Main[[#This Row],[Class]]="A",WORKDAY(Main[[#This Row],[Tech Start Date]],2),""))))</f>
        <v/>
      </c>
      <c r="N645" s="104" t="str">
        <f>IF(Main[[#This Row],[Tech Start Date]]&lt;1/1/1990,"",IF(Main[[#This Row],[Class]]="C",WORKDAY(Main[[#This Row],[Tech Start Date]],19),IF(Main[[#This Row],[Class]]="B", WORKDAY(Main[[#This Row],[Tech Start Date]],12),IF(Main[[#This Row],[Class]]="A",WORKDAY(Main[[#This Row],[Tech Start Date]],4),""))))</f>
        <v/>
      </c>
      <c r="O645" s="104" t="str">
        <f>IF(Main[[#This Row],[Tech Start Date]]&lt;1/1/1990,"",IF(Main[[#This Row],[Class]]="C",WORKDAY(Main[[#This Row],[Tech Start Date]],23),IF(Main[[#This Row],[Class]]="B", WORKDAY(Main[[#This Row],[Tech Start Date]],15),IF(Main[[#This Row],[Class]]="A",WORKDAY(Main[[#This Row],[Tech Start Date]],5),""))))</f>
        <v/>
      </c>
      <c r="P645" s="104" t="str">
        <f>IF(Main[[#This Row],[Tech Start Date]]&lt;1/1/1990,"",IF(Main[[#This Row],[Class]]="C",WORKDAY(Main[[#This Row],[Tech Start Date]],28),IF(Main[[#This Row],[Class]]="B", WORKDAY(Main[[#This Row],[Tech Start Date]],19),IF(Main[[#This Row],[Class]]="A",WORKDAY(Main[[#This Row],[Tech Start Date]],9),""))))</f>
        <v/>
      </c>
      <c r="Q645" s="101">
        <v>40669</v>
      </c>
      <c r="R645" s="101"/>
      <c r="S645" s="99" t="s">
        <v>6</v>
      </c>
      <c r="T645" s="107" t="s">
        <v>4</v>
      </c>
      <c r="U645" s="99" t="s">
        <v>14</v>
      </c>
      <c r="V645" s="99" t="s">
        <v>1965</v>
      </c>
      <c r="W645" s="99" t="s">
        <v>4</v>
      </c>
    </row>
    <row r="646" spans="1:23" ht="18.600000000000001" customHeight="1">
      <c r="A646" s="123" t="str">
        <f>IF(priority(Main[[#This Row],[Comments]])&lt;&gt;0, priority(Main[[#This Row],[Comments]]),"")</f>
        <v/>
      </c>
      <c r="B646" s="127" t="s">
        <v>1520</v>
      </c>
      <c r="C646" s="99" t="s">
        <v>571</v>
      </c>
      <c r="D646" s="100" t="s">
        <v>572</v>
      </c>
      <c r="E646" s="101"/>
      <c r="F646" s="101">
        <v>40168</v>
      </c>
      <c r="G646" s="102" t="str">
        <f>IF(stdProdLT(Main[[#This Row],[Comments]])=0.1,"N/A",IF(stdProdLT(Main[[#This Row],[Comments]])=0,"",stdProdLT(Main[[#This Row],[Comments]])))</f>
        <v/>
      </c>
      <c r="H646" s="103" t="str">
        <f>IF(AND(Main[[#This Row],[In Stock Date]]&lt;&gt;"",Main[[#This Row],[Revised Due Date]]&lt;&gt;""),Main[[#This Row],[In Stock Date]]-Main[[#This Row],[Revised Due Date]],"")</f>
        <v/>
      </c>
      <c r="I646" s="99" t="s">
        <v>4</v>
      </c>
      <c r="J646" s="99" t="s">
        <v>4</v>
      </c>
      <c r="K646" s="99" t="s">
        <v>4</v>
      </c>
      <c r="L646" s="101"/>
      <c r="M646" s="104" t="str">
        <f>IF(Main[[#This Row],[Tech Start Date]]&lt;1/1/1990,"",IF(Main[[#This Row],[Class]]="C",WORKDAY(Main[[#This Row],[Tech Start Date]],9),IF(Main[[#This Row],[Class]]="B", WORKDAY(Main[[#This Row],[Tech Start Date]],6),IF(Main[[#This Row],[Class]]="A",WORKDAY(Main[[#This Row],[Tech Start Date]],2),""))))</f>
        <v/>
      </c>
      <c r="N646" s="104" t="str">
        <f>IF(Main[[#This Row],[Tech Start Date]]&lt;1/1/1990,"",IF(Main[[#This Row],[Class]]="C",WORKDAY(Main[[#This Row],[Tech Start Date]],19),IF(Main[[#This Row],[Class]]="B", WORKDAY(Main[[#This Row],[Tech Start Date]],12),IF(Main[[#This Row],[Class]]="A",WORKDAY(Main[[#This Row],[Tech Start Date]],4),""))))</f>
        <v/>
      </c>
      <c r="O646" s="104" t="str">
        <f>IF(Main[[#This Row],[Tech Start Date]]&lt;1/1/1990,"",IF(Main[[#This Row],[Class]]="C",WORKDAY(Main[[#This Row],[Tech Start Date]],23),IF(Main[[#This Row],[Class]]="B", WORKDAY(Main[[#This Row],[Tech Start Date]],15),IF(Main[[#This Row],[Class]]="A",WORKDAY(Main[[#This Row],[Tech Start Date]],5),""))))</f>
        <v/>
      </c>
      <c r="P646" s="104" t="str">
        <f>IF(Main[[#This Row],[Tech Start Date]]&lt;1/1/1990,"",IF(Main[[#This Row],[Class]]="C",WORKDAY(Main[[#This Row],[Tech Start Date]],28),IF(Main[[#This Row],[Class]]="B", WORKDAY(Main[[#This Row],[Tech Start Date]],19),IF(Main[[#This Row],[Class]]="A",WORKDAY(Main[[#This Row],[Tech Start Date]],9),""))))</f>
        <v/>
      </c>
      <c r="Q646" s="101"/>
      <c r="R646" s="101"/>
      <c r="S646" s="99" t="s">
        <v>17</v>
      </c>
      <c r="T646" s="107" t="s">
        <v>4</v>
      </c>
      <c r="U646" s="99" t="s">
        <v>14</v>
      </c>
      <c r="V646" s="99" t="s">
        <v>1963</v>
      </c>
      <c r="W646" s="99" t="s">
        <v>4</v>
      </c>
    </row>
    <row r="647" spans="1:23" ht="18.600000000000001" customHeight="1">
      <c r="A647" s="123" t="str">
        <f>IF(priority(Main[[#This Row],[Comments]])&lt;&gt;0, priority(Main[[#This Row],[Comments]]),"")</f>
        <v/>
      </c>
      <c r="B647" s="127" t="s">
        <v>1521</v>
      </c>
      <c r="C647" s="99" t="s">
        <v>573</v>
      </c>
      <c r="D647" s="100" t="s">
        <v>574</v>
      </c>
      <c r="E647" s="101"/>
      <c r="F647" s="101">
        <v>40389</v>
      </c>
      <c r="G647" s="102" t="str">
        <f>IF(stdProdLT(Main[[#This Row],[Comments]])=0.1,"N/A",IF(stdProdLT(Main[[#This Row],[Comments]])=0,"",stdProdLT(Main[[#This Row],[Comments]])))</f>
        <v/>
      </c>
      <c r="H647" s="103" t="str">
        <f>IF(AND(Main[[#This Row],[In Stock Date]]&lt;&gt;"",Main[[#This Row],[Revised Due Date]]&lt;&gt;""),Main[[#This Row],[In Stock Date]]-Main[[#This Row],[Revised Due Date]],"")</f>
        <v/>
      </c>
      <c r="I647" s="99" t="s">
        <v>4</v>
      </c>
      <c r="J647" s="99" t="s">
        <v>75</v>
      </c>
      <c r="K647" s="99" t="s">
        <v>4</v>
      </c>
      <c r="L647" s="101"/>
      <c r="M647" s="104" t="str">
        <f>IF(Main[[#This Row],[Tech Start Date]]&lt;1/1/1990,"",IF(Main[[#This Row],[Class]]="C",WORKDAY(Main[[#This Row],[Tech Start Date]],9),IF(Main[[#This Row],[Class]]="B", WORKDAY(Main[[#This Row],[Tech Start Date]],6),IF(Main[[#This Row],[Class]]="A",WORKDAY(Main[[#This Row],[Tech Start Date]],2),""))))</f>
        <v/>
      </c>
      <c r="N647" s="104" t="str">
        <f>IF(Main[[#This Row],[Tech Start Date]]&lt;1/1/1990,"",IF(Main[[#This Row],[Class]]="C",WORKDAY(Main[[#This Row],[Tech Start Date]],19),IF(Main[[#This Row],[Class]]="B", WORKDAY(Main[[#This Row],[Tech Start Date]],12),IF(Main[[#This Row],[Class]]="A",WORKDAY(Main[[#This Row],[Tech Start Date]],4),""))))</f>
        <v/>
      </c>
      <c r="O647" s="104" t="str">
        <f>IF(Main[[#This Row],[Tech Start Date]]&lt;1/1/1990,"",IF(Main[[#This Row],[Class]]="C",WORKDAY(Main[[#This Row],[Tech Start Date]],23),IF(Main[[#This Row],[Class]]="B", WORKDAY(Main[[#This Row],[Tech Start Date]],15),IF(Main[[#This Row],[Class]]="A",WORKDAY(Main[[#This Row],[Tech Start Date]],5),""))))</f>
        <v/>
      </c>
      <c r="P647" s="104" t="str">
        <f>IF(Main[[#This Row],[Tech Start Date]]&lt;1/1/1990,"",IF(Main[[#This Row],[Class]]="C",WORKDAY(Main[[#This Row],[Tech Start Date]],28),IF(Main[[#This Row],[Class]]="B", WORKDAY(Main[[#This Row],[Tech Start Date]],19),IF(Main[[#This Row],[Class]]="A",WORKDAY(Main[[#This Row],[Tech Start Date]],9),""))))</f>
        <v/>
      </c>
      <c r="Q647" s="101">
        <v>40298</v>
      </c>
      <c r="R647" s="101"/>
      <c r="S647" s="99" t="s">
        <v>11</v>
      </c>
      <c r="T647" s="107" t="s">
        <v>4</v>
      </c>
      <c r="U647" s="99" t="s">
        <v>14</v>
      </c>
      <c r="V647" s="99" t="s">
        <v>1962</v>
      </c>
      <c r="W647" s="99" t="s">
        <v>1968</v>
      </c>
    </row>
    <row r="648" spans="1:23" ht="18.600000000000001" customHeight="1">
      <c r="A648" s="123" t="str">
        <f>IF(priority(Main[[#This Row],[Comments]])&lt;&gt;0, priority(Main[[#This Row],[Comments]]),"")</f>
        <v/>
      </c>
      <c r="B648" s="127" t="s">
        <v>1522</v>
      </c>
      <c r="C648" s="99" t="s">
        <v>93</v>
      </c>
      <c r="D648" s="100" t="s">
        <v>575</v>
      </c>
      <c r="E648" s="101"/>
      <c r="F648" s="101">
        <v>40132</v>
      </c>
      <c r="G648" s="102" t="str">
        <f>IF(stdProdLT(Main[[#This Row],[Comments]])=0.1,"N/A",IF(stdProdLT(Main[[#This Row],[Comments]])=0,"",stdProdLT(Main[[#This Row],[Comments]])))</f>
        <v/>
      </c>
      <c r="H648" s="103" t="str">
        <f>IF(AND(Main[[#This Row],[In Stock Date]]&lt;&gt;"",Main[[#This Row],[Revised Due Date]]&lt;&gt;""),Main[[#This Row],[In Stock Date]]-Main[[#This Row],[Revised Due Date]],"")</f>
        <v/>
      </c>
      <c r="I648" s="99" t="s">
        <v>4</v>
      </c>
      <c r="J648" s="99" t="s">
        <v>4</v>
      </c>
      <c r="K648" s="99" t="s">
        <v>4</v>
      </c>
      <c r="L648" s="101"/>
      <c r="M648" s="104" t="str">
        <f>IF(Main[[#This Row],[Tech Start Date]]&lt;1/1/1990,"",IF(Main[[#This Row],[Class]]="C",WORKDAY(Main[[#This Row],[Tech Start Date]],9),IF(Main[[#This Row],[Class]]="B", WORKDAY(Main[[#This Row],[Tech Start Date]],6),IF(Main[[#This Row],[Class]]="A",WORKDAY(Main[[#This Row],[Tech Start Date]],2),""))))</f>
        <v/>
      </c>
      <c r="N648" s="104" t="str">
        <f>IF(Main[[#This Row],[Tech Start Date]]&lt;1/1/1990,"",IF(Main[[#This Row],[Class]]="C",WORKDAY(Main[[#This Row],[Tech Start Date]],19),IF(Main[[#This Row],[Class]]="B", WORKDAY(Main[[#This Row],[Tech Start Date]],12),IF(Main[[#This Row],[Class]]="A",WORKDAY(Main[[#This Row],[Tech Start Date]],4),""))))</f>
        <v/>
      </c>
      <c r="O648" s="104" t="str">
        <f>IF(Main[[#This Row],[Tech Start Date]]&lt;1/1/1990,"",IF(Main[[#This Row],[Class]]="C",WORKDAY(Main[[#This Row],[Tech Start Date]],23),IF(Main[[#This Row],[Class]]="B", WORKDAY(Main[[#This Row],[Tech Start Date]],15),IF(Main[[#This Row],[Class]]="A",WORKDAY(Main[[#This Row],[Tech Start Date]],5),""))))</f>
        <v/>
      </c>
      <c r="P648" s="104" t="str">
        <f>IF(Main[[#This Row],[Tech Start Date]]&lt;1/1/1990,"",IF(Main[[#This Row],[Class]]="C",WORKDAY(Main[[#This Row],[Tech Start Date]],28),IF(Main[[#This Row],[Class]]="B", WORKDAY(Main[[#This Row],[Tech Start Date]],19),IF(Main[[#This Row],[Class]]="A",WORKDAY(Main[[#This Row],[Tech Start Date]],9),""))))</f>
        <v/>
      </c>
      <c r="Q648" s="101">
        <v>40132</v>
      </c>
      <c r="R648" s="101"/>
      <c r="S648" s="99" t="s">
        <v>11</v>
      </c>
      <c r="T648" s="107" t="s">
        <v>4</v>
      </c>
      <c r="U648" s="99" t="s">
        <v>14</v>
      </c>
      <c r="V648" s="99" t="s">
        <v>1972</v>
      </c>
      <c r="W648" s="99" t="s">
        <v>1973</v>
      </c>
    </row>
    <row r="649" spans="1:23" ht="18.600000000000001" customHeight="1">
      <c r="A649" s="123" t="str">
        <f>IF(priority(Main[[#This Row],[Comments]])&lt;&gt;0, priority(Main[[#This Row],[Comments]]),"")</f>
        <v/>
      </c>
      <c r="B649" s="127" t="s">
        <v>1523</v>
      </c>
      <c r="C649" s="99" t="s">
        <v>93</v>
      </c>
      <c r="D649" s="100" t="s">
        <v>576</v>
      </c>
      <c r="E649" s="101"/>
      <c r="F649" s="101">
        <v>40132</v>
      </c>
      <c r="G649" s="102" t="str">
        <f>IF(stdProdLT(Main[[#This Row],[Comments]])=0.1,"N/A",IF(stdProdLT(Main[[#This Row],[Comments]])=0,"",stdProdLT(Main[[#This Row],[Comments]])))</f>
        <v/>
      </c>
      <c r="H649" s="103" t="str">
        <f>IF(AND(Main[[#This Row],[In Stock Date]]&lt;&gt;"",Main[[#This Row],[Revised Due Date]]&lt;&gt;""),Main[[#This Row],[In Stock Date]]-Main[[#This Row],[Revised Due Date]],"")</f>
        <v/>
      </c>
      <c r="I649" s="99" t="s">
        <v>4</v>
      </c>
      <c r="J649" s="99" t="s">
        <v>4</v>
      </c>
      <c r="K649" s="99" t="s">
        <v>4</v>
      </c>
      <c r="L649" s="101"/>
      <c r="M649" s="104" t="str">
        <f>IF(Main[[#This Row],[Tech Start Date]]&lt;1/1/1990,"",IF(Main[[#This Row],[Class]]="C",WORKDAY(Main[[#This Row],[Tech Start Date]],9),IF(Main[[#This Row],[Class]]="B", WORKDAY(Main[[#This Row],[Tech Start Date]],6),IF(Main[[#This Row],[Class]]="A",WORKDAY(Main[[#This Row],[Tech Start Date]],2),""))))</f>
        <v/>
      </c>
      <c r="N649" s="104" t="str">
        <f>IF(Main[[#This Row],[Tech Start Date]]&lt;1/1/1990,"",IF(Main[[#This Row],[Class]]="C",WORKDAY(Main[[#This Row],[Tech Start Date]],19),IF(Main[[#This Row],[Class]]="B", WORKDAY(Main[[#This Row],[Tech Start Date]],12),IF(Main[[#This Row],[Class]]="A",WORKDAY(Main[[#This Row],[Tech Start Date]],4),""))))</f>
        <v/>
      </c>
      <c r="O649" s="104" t="str">
        <f>IF(Main[[#This Row],[Tech Start Date]]&lt;1/1/1990,"",IF(Main[[#This Row],[Class]]="C",WORKDAY(Main[[#This Row],[Tech Start Date]],23),IF(Main[[#This Row],[Class]]="B", WORKDAY(Main[[#This Row],[Tech Start Date]],15),IF(Main[[#This Row],[Class]]="A",WORKDAY(Main[[#This Row],[Tech Start Date]],5),""))))</f>
        <v/>
      </c>
      <c r="P649" s="104" t="str">
        <f>IF(Main[[#This Row],[Tech Start Date]]&lt;1/1/1990,"",IF(Main[[#This Row],[Class]]="C",WORKDAY(Main[[#This Row],[Tech Start Date]],28),IF(Main[[#This Row],[Class]]="B", WORKDAY(Main[[#This Row],[Tech Start Date]],19),IF(Main[[#This Row],[Class]]="A",WORKDAY(Main[[#This Row],[Tech Start Date]],9),""))))</f>
        <v/>
      </c>
      <c r="Q649" s="101">
        <v>40132</v>
      </c>
      <c r="R649" s="101"/>
      <c r="S649" s="99" t="s">
        <v>11</v>
      </c>
      <c r="T649" s="107" t="s">
        <v>4</v>
      </c>
      <c r="U649" s="99" t="s">
        <v>14</v>
      </c>
      <c r="V649" s="99" t="s">
        <v>1972</v>
      </c>
      <c r="W649" s="99" t="s">
        <v>1973</v>
      </c>
    </row>
    <row r="650" spans="1:23" ht="18.600000000000001" customHeight="1">
      <c r="A650" s="123" t="str">
        <f>IF(priority(Main[[#This Row],[Comments]])&lt;&gt;0, priority(Main[[#This Row],[Comments]]),"")</f>
        <v/>
      </c>
      <c r="B650" s="127" t="s">
        <v>1524</v>
      </c>
      <c r="C650" s="99" t="s">
        <v>471</v>
      </c>
      <c r="D650" s="100" t="s">
        <v>577</v>
      </c>
      <c r="E650" s="101"/>
      <c r="F650" s="101">
        <v>40179</v>
      </c>
      <c r="G650" s="102" t="str">
        <f>IF(stdProdLT(Main[[#This Row],[Comments]])=0.1,"N/A",IF(stdProdLT(Main[[#This Row],[Comments]])=0,"",stdProdLT(Main[[#This Row],[Comments]])))</f>
        <v/>
      </c>
      <c r="H650" s="103" t="str">
        <f>IF(AND(Main[[#This Row],[In Stock Date]]&lt;&gt;"",Main[[#This Row],[Revised Due Date]]&lt;&gt;""),Main[[#This Row],[In Stock Date]]-Main[[#This Row],[Revised Due Date]],"")</f>
        <v/>
      </c>
      <c r="I650" s="99" t="s">
        <v>4</v>
      </c>
      <c r="J650" s="99" t="s">
        <v>4</v>
      </c>
      <c r="K650" s="108" t="s">
        <v>4</v>
      </c>
      <c r="L650" s="101"/>
      <c r="M650" s="104" t="str">
        <f>IF(Main[[#This Row],[Tech Start Date]]&lt;1/1/1990,"",IF(Main[[#This Row],[Class]]="C",WORKDAY(Main[[#This Row],[Tech Start Date]],9),IF(Main[[#This Row],[Class]]="B", WORKDAY(Main[[#This Row],[Tech Start Date]],6),IF(Main[[#This Row],[Class]]="A",WORKDAY(Main[[#This Row],[Tech Start Date]],2),""))))</f>
        <v/>
      </c>
      <c r="N650" s="104" t="str">
        <f>IF(Main[[#This Row],[Tech Start Date]]&lt;1/1/1990,"",IF(Main[[#This Row],[Class]]="C",WORKDAY(Main[[#This Row],[Tech Start Date]],19),IF(Main[[#This Row],[Class]]="B", WORKDAY(Main[[#This Row],[Tech Start Date]],12),IF(Main[[#This Row],[Class]]="A",WORKDAY(Main[[#This Row],[Tech Start Date]],4),""))))</f>
        <v/>
      </c>
      <c r="O650" s="104" t="str">
        <f>IF(Main[[#This Row],[Tech Start Date]]&lt;1/1/1990,"",IF(Main[[#This Row],[Class]]="C",WORKDAY(Main[[#This Row],[Tech Start Date]],23),IF(Main[[#This Row],[Class]]="B", WORKDAY(Main[[#This Row],[Tech Start Date]],15),IF(Main[[#This Row],[Class]]="A",WORKDAY(Main[[#This Row],[Tech Start Date]],5),""))))</f>
        <v/>
      </c>
      <c r="P650" s="104" t="str">
        <f>IF(Main[[#This Row],[Tech Start Date]]&lt;1/1/1990,"",IF(Main[[#This Row],[Class]]="C",WORKDAY(Main[[#This Row],[Tech Start Date]],28),IF(Main[[#This Row],[Class]]="B", WORKDAY(Main[[#This Row],[Tech Start Date]],19),IF(Main[[#This Row],[Class]]="A",WORKDAY(Main[[#This Row],[Tech Start Date]],9),""))))</f>
        <v/>
      </c>
      <c r="Q650" s="101">
        <v>40164</v>
      </c>
      <c r="R650" s="101"/>
      <c r="S650" s="99" t="s">
        <v>11</v>
      </c>
      <c r="T650" s="107" t="s">
        <v>4</v>
      </c>
      <c r="U650" s="99" t="s">
        <v>14</v>
      </c>
      <c r="V650" s="99" t="s">
        <v>1965</v>
      </c>
      <c r="W650" s="99" t="s">
        <v>1968</v>
      </c>
    </row>
    <row r="651" spans="1:23" ht="18.600000000000001" customHeight="1">
      <c r="A651" s="123" t="str">
        <f>IF(priority(Main[[#This Row],[Comments]])&lt;&gt;0, priority(Main[[#This Row],[Comments]]),"")</f>
        <v/>
      </c>
      <c r="B651" s="127" t="s">
        <v>1178</v>
      </c>
      <c r="C651" s="99" t="s">
        <v>4</v>
      </c>
      <c r="D651" s="100" t="s">
        <v>202</v>
      </c>
      <c r="E651" s="101"/>
      <c r="F651" s="101"/>
      <c r="G651" s="102" t="str">
        <f>IF(stdProdLT(Main[[#This Row],[Comments]])=0.1,"N/A",IF(stdProdLT(Main[[#This Row],[Comments]])=0,"",stdProdLT(Main[[#This Row],[Comments]])))</f>
        <v/>
      </c>
      <c r="H651" s="103" t="str">
        <f>IF(AND(Main[[#This Row],[In Stock Date]]&lt;&gt;"",Main[[#This Row],[Revised Due Date]]&lt;&gt;""),Main[[#This Row],[In Stock Date]]-Main[[#This Row],[Revised Due Date]],"")</f>
        <v/>
      </c>
      <c r="I651" s="99" t="s">
        <v>4</v>
      </c>
      <c r="J651" s="99" t="s">
        <v>4</v>
      </c>
      <c r="K651" s="99" t="s">
        <v>4</v>
      </c>
      <c r="L651" s="101"/>
      <c r="M651" s="104" t="str">
        <f>IF(Main[[#This Row],[Tech Start Date]]&lt;1/1/1990,"",IF(Main[[#This Row],[Class]]="C",WORKDAY(Main[[#This Row],[Tech Start Date]],9),IF(Main[[#This Row],[Class]]="B", WORKDAY(Main[[#This Row],[Tech Start Date]],6),IF(Main[[#This Row],[Class]]="A",WORKDAY(Main[[#This Row],[Tech Start Date]],2),""))))</f>
        <v/>
      </c>
      <c r="N651" s="104" t="str">
        <f>IF(Main[[#This Row],[Tech Start Date]]&lt;1/1/1990,"",IF(Main[[#This Row],[Class]]="C",WORKDAY(Main[[#This Row],[Tech Start Date]],19),IF(Main[[#This Row],[Class]]="B", WORKDAY(Main[[#This Row],[Tech Start Date]],12),IF(Main[[#This Row],[Class]]="A",WORKDAY(Main[[#This Row],[Tech Start Date]],4),""))))</f>
        <v/>
      </c>
      <c r="O651" s="104" t="str">
        <f>IF(Main[[#This Row],[Tech Start Date]]&lt;1/1/1990,"",IF(Main[[#This Row],[Class]]="C",WORKDAY(Main[[#This Row],[Tech Start Date]],23),IF(Main[[#This Row],[Class]]="B", WORKDAY(Main[[#This Row],[Tech Start Date]],15),IF(Main[[#This Row],[Class]]="A",WORKDAY(Main[[#This Row],[Tech Start Date]],5),""))))</f>
        <v/>
      </c>
      <c r="P651" s="104" t="str">
        <f>IF(Main[[#This Row],[Tech Start Date]]&lt;1/1/1990,"",IF(Main[[#This Row],[Class]]="C",WORKDAY(Main[[#This Row],[Tech Start Date]],28),IF(Main[[#This Row],[Class]]="B", WORKDAY(Main[[#This Row],[Tech Start Date]],19),IF(Main[[#This Row],[Class]]="A",WORKDAY(Main[[#This Row],[Tech Start Date]],9),""))))</f>
        <v/>
      </c>
      <c r="Q651" s="101">
        <v>40597</v>
      </c>
      <c r="R651" s="101"/>
      <c r="S651" s="99" t="s">
        <v>49</v>
      </c>
      <c r="T651" s="107" t="s">
        <v>4</v>
      </c>
      <c r="U651" s="99" t="s">
        <v>12</v>
      </c>
      <c r="V651" s="99" t="s">
        <v>1963</v>
      </c>
      <c r="W651" s="99" t="s">
        <v>1964</v>
      </c>
    </row>
    <row r="652" spans="1:23" ht="18.600000000000001" customHeight="1">
      <c r="A652" s="123" t="str">
        <f>IF(priority(Main[[#This Row],[Comments]])&lt;&gt;0, priority(Main[[#This Row],[Comments]]),"")</f>
        <v/>
      </c>
      <c r="B652" s="127" t="s">
        <v>1579</v>
      </c>
      <c r="C652" s="99" t="s">
        <v>4</v>
      </c>
      <c r="D652" s="100" t="s">
        <v>582</v>
      </c>
      <c r="E652" s="101"/>
      <c r="F652" s="101"/>
      <c r="G652" s="102" t="str">
        <f>IF(stdProdLT(Main[[#This Row],[Comments]])=0.1,"N/A",IF(stdProdLT(Main[[#This Row],[Comments]])=0,"",stdProdLT(Main[[#This Row],[Comments]])))</f>
        <v/>
      </c>
      <c r="H652" s="103" t="str">
        <f>IF(AND(Main[[#This Row],[In Stock Date]]&lt;&gt;"",Main[[#This Row],[Revised Due Date]]&lt;&gt;""),Main[[#This Row],[In Stock Date]]-Main[[#This Row],[Revised Due Date]],"")</f>
        <v/>
      </c>
      <c r="I652" s="99" t="s">
        <v>4</v>
      </c>
      <c r="J652" s="99" t="s">
        <v>4</v>
      </c>
      <c r="K652" s="99" t="s">
        <v>4</v>
      </c>
      <c r="L652" s="101"/>
      <c r="M652" s="104" t="str">
        <f>IF(Main[[#This Row],[Tech Start Date]]&lt;1/1/1990,"",IF(Main[[#This Row],[Class]]="C",WORKDAY(Main[[#This Row],[Tech Start Date]],9),IF(Main[[#This Row],[Class]]="B", WORKDAY(Main[[#This Row],[Tech Start Date]],6),IF(Main[[#This Row],[Class]]="A",WORKDAY(Main[[#This Row],[Tech Start Date]],2),""))))</f>
        <v/>
      </c>
      <c r="N652" s="104" t="str">
        <f>IF(Main[[#This Row],[Tech Start Date]]&lt;1/1/1990,"",IF(Main[[#This Row],[Class]]="C",WORKDAY(Main[[#This Row],[Tech Start Date]],19),IF(Main[[#This Row],[Class]]="B", WORKDAY(Main[[#This Row],[Tech Start Date]],12),IF(Main[[#This Row],[Class]]="A",WORKDAY(Main[[#This Row],[Tech Start Date]],4),""))))</f>
        <v/>
      </c>
      <c r="O652" s="104" t="str">
        <f>IF(Main[[#This Row],[Tech Start Date]]&lt;1/1/1990,"",IF(Main[[#This Row],[Class]]="C",WORKDAY(Main[[#This Row],[Tech Start Date]],23),IF(Main[[#This Row],[Class]]="B", WORKDAY(Main[[#This Row],[Tech Start Date]],15),IF(Main[[#This Row],[Class]]="A",WORKDAY(Main[[#This Row],[Tech Start Date]],5),""))))</f>
        <v/>
      </c>
      <c r="P652" s="104" t="str">
        <f>IF(Main[[#This Row],[Tech Start Date]]&lt;1/1/1990,"",IF(Main[[#This Row],[Class]]="C",WORKDAY(Main[[#This Row],[Tech Start Date]],28),IF(Main[[#This Row],[Class]]="B", WORKDAY(Main[[#This Row],[Tech Start Date]],19),IF(Main[[#This Row],[Class]]="A",WORKDAY(Main[[#This Row],[Tech Start Date]],9),""))))</f>
        <v/>
      </c>
      <c r="Q652" s="101">
        <v>40165</v>
      </c>
      <c r="R652" s="101"/>
      <c r="S652" s="99" t="s">
        <v>11</v>
      </c>
      <c r="T652" s="107" t="s">
        <v>4</v>
      </c>
      <c r="U652" s="99" t="s">
        <v>14</v>
      </c>
      <c r="V652" s="99" t="s">
        <v>1963</v>
      </c>
      <c r="W652" s="99" t="s">
        <v>1967</v>
      </c>
    </row>
    <row r="653" spans="1:23" ht="18.600000000000001" customHeight="1">
      <c r="A653" s="123" t="str">
        <f>IF(priority(Main[[#This Row],[Comments]])&lt;&gt;0, priority(Main[[#This Row],[Comments]]),"")</f>
        <v/>
      </c>
      <c r="B653" s="127" t="s">
        <v>1858</v>
      </c>
      <c r="C653" s="99" t="s">
        <v>72</v>
      </c>
      <c r="D653" s="100" t="s">
        <v>882</v>
      </c>
      <c r="E653" s="101"/>
      <c r="F653" s="101">
        <v>40148</v>
      </c>
      <c r="G653" s="102" t="str">
        <f>IF(stdProdLT(Main[[#This Row],[Comments]])=0.1,"N/A",IF(stdProdLT(Main[[#This Row],[Comments]])=0,"",stdProdLT(Main[[#This Row],[Comments]])))</f>
        <v/>
      </c>
      <c r="H653" s="103">
        <f>IF(AND(Main[[#This Row],[In Stock Date]]&lt;&gt;"",Main[[#This Row],[Revised Due Date]]&lt;&gt;""),Main[[#This Row],[In Stock Date]]-Main[[#This Row],[Revised Due Date]],"")</f>
        <v>-143</v>
      </c>
      <c r="I653" s="99" t="s">
        <v>4</v>
      </c>
      <c r="J653" s="99" t="s">
        <v>4</v>
      </c>
      <c r="K653" s="99" t="s">
        <v>4</v>
      </c>
      <c r="L653" s="101"/>
      <c r="M653" s="104" t="str">
        <f>IF(Main[[#This Row],[Tech Start Date]]&lt;1/1/1990,"",IF(Main[[#This Row],[Class]]="C",WORKDAY(Main[[#This Row],[Tech Start Date]],9),IF(Main[[#This Row],[Class]]="B", WORKDAY(Main[[#This Row],[Tech Start Date]],6),IF(Main[[#This Row],[Class]]="A",WORKDAY(Main[[#This Row],[Tech Start Date]],2),""))))</f>
        <v/>
      </c>
      <c r="N653" s="104" t="str">
        <f>IF(Main[[#This Row],[Tech Start Date]]&lt;1/1/1990,"",IF(Main[[#This Row],[Class]]="C",WORKDAY(Main[[#This Row],[Tech Start Date]],19),IF(Main[[#This Row],[Class]]="B", WORKDAY(Main[[#This Row],[Tech Start Date]],12),IF(Main[[#This Row],[Class]]="A",WORKDAY(Main[[#This Row],[Tech Start Date]],4),""))))</f>
        <v/>
      </c>
      <c r="O653" s="104" t="str">
        <f>IF(Main[[#This Row],[Tech Start Date]]&lt;1/1/1990,"",IF(Main[[#This Row],[Class]]="C",WORKDAY(Main[[#This Row],[Tech Start Date]],23),IF(Main[[#This Row],[Class]]="B", WORKDAY(Main[[#This Row],[Tech Start Date]],15),IF(Main[[#This Row],[Class]]="A",WORKDAY(Main[[#This Row],[Tech Start Date]],5),""))))</f>
        <v/>
      </c>
      <c r="P653" s="104" t="str">
        <f>IF(Main[[#This Row],[Tech Start Date]]&lt;1/1/1990,"",IF(Main[[#This Row],[Class]]="C",WORKDAY(Main[[#This Row],[Tech Start Date]],28),IF(Main[[#This Row],[Class]]="B", WORKDAY(Main[[#This Row],[Tech Start Date]],19),IF(Main[[#This Row],[Class]]="A",WORKDAY(Main[[#This Row],[Tech Start Date]],9),""))))</f>
        <v/>
      </c>
      <c r="Q653" s="101">
        <v>40080</v>
      </c>
      <c r="R653" s="101">
        <v>40291</v>
      </c>
      <c r="S653" s="99" t="s">
        <v>6</v>
      </c>
      <c r="T653" s="107" t="s">
        <v>4</v>
      </c>
      <c r="U653" s="99" t="s">
        <v>14</v>
      </c>
      <c r="V653" s="99" t="s">
        <v>1963</v>
      </c>
      <c r="W653" s="99" t="s">
        <v>1970</v>
      </c>
    </row>
    <row r="654" spans="1:23" ht="18.600000000000001" customHeight="1">
      <c r="A654" s="123" t="str">
        <f>IF(priority(Main[[#This Row],[Comments]])&lt;&gt;0, priority(Main[[#This Row],[Comments]]),"")</f>
        <v/>
      </c>
      <c r="B654" s="127" t="s">
        <v>1527</v>
      </c>
      <c r="C654" s="99" t="s">
        <v>4</v>
      </c>
      <c r="D654" s="100" t="s">
        <v>627</v>
      </c>
      <c r="E654" s="101">
        <v>40549.433692129627</v>
      </c>
      <c r="F654" s="101"/>
      <c r="G654" s="102" t="str">
        <f>IF(stdProdLT(Main[[#This Row],[Comments]])=0.1,"N/A",IF(stdProdLT(Main[[#This Row],[Comments]])=0,"",stdProdLT(Main[[#This Row],[Comments]])))</f>
        <v/>
      </c>
      <c r="H654" s="103" t="str">
        <f>IF(AND(Main[[#This Row],[In Stock Date]]&lt;&gt;"",Main[[#This Row],[Revised Due Date]]&lt;&gt;""),Main[[#This Row],[In Stock Date]]-Main[[#This Row],[Revised Due Date]],"")</f>
        <v/>
      </c>
      <c r="I654" s="99" t="s">
        <v>4</v>
      </c>
      <c r="J654" s="99" t="s">
        <v>4</v>
      </c>
      <c r="K654" s="99" t="s">
        <v>4</v>
      </c>
      <c r="L654" s="101"/>
      <c r="M654" s="104" t="str">
        <f>IF(Main[[#This Row],[Tech Start Date]]&lt;1/1/1990,"",IF(Main[[#This Row],[Class]]="C",WORKDAY(Main[[#This Row],[Tech Start Date]],9),IF(Main[[#This Row],[Class]]="B", WORKDAY(Main[[#This Row],[Tech Start Date]],6),IF(Main[[#This Row],[Class]]="A",WORKDAY(Main[[#This Row],[Tech Start Date]],2),""))))</f>
        <v/>
      </c>
      <c r="N654" s="104" t="str">
        <f>IF(Main[[#This Row],[Tech Start Date]]&lt;1/1/1990,"",IF(Main[[#This Row],[Class]]="C",WORKDAY(Main[[#This Row],[Tech Start Date]],19),IF(Main[[#This Row],[Class]]="B", WORKDAY(Main[[#This Row],[Tech Start Date]],12),IF(Main[[#This Row],[Class]]="A",WORKDAY(Main[[#This Row],[Tech Start Date]],4),""))))</f>
        <v/>
      </c>
      <c r="O654" s="104" t="str">
        <f>IF(Main[[#This Row],[Tech Start Date]]&lt;1/1/1990,"",IF(Main[[#This Row],[Class]]="C",WORKDAY(Main[[#This Row],[Tech Start Date]],23),IF(Main[[#This Row],[Class]]="B", WORKDAY(Main[[#This Row],[Tech Start Date]],15),IF(Main[[#This Row],[Class]]="A",WORKDAY(Main[[#This Row],[Tech Start Date]],5),""))))</f>
        <v/>
      </c>
      <c r="P654" s="104" t="str">
        <f>IF(Main[[#This Row],[Tech Start Date]]&lt;1/1/1990,"",IF(Main[[#This Row],[Class]]="C",WORKDAY(Main[[#This Row],[Tech Start Date]],28),IF(Main[[#This Row],[Class]]="B", WORKDAY(Main[[#This Row],[Tech Start Date]],19),IF(Main[[#This Row],[Class]]="A",WORKDAY(Main[[#This Row],[Tech Start Date]],9),""))))</f>
        <v/>
      </c>
      <c r="Q654" s="101">
        <v>40577</v>
      </c>
      <c r="R654" s="101"/>
      <c r="S654" s="99" t="s">
        <v>6</v>
      </c>
      <c r="T654" s="107" t="s">
        <v>4</v>
      </c>
      <c r="U654" s="99" t="s">
        <v>7</v>
      </c>
      <c r="V654" s="99" t="s">
        <v>1962</v>
      </c>
      <c r="W654" s="99" t="s">
        <v>1964</v>
      </c>
    </row>
    <row r="655" spans="1:23" ht="18.600000000000001" customHeight="1">
      <c r="A655" s="123" t="str">
        <f>IF(priority(Main[[#This Row],[Comments]])&lt;&gt;0, priority(Main[[#This Row],[Comments]]),"")</f>
        <v/>
      </c>
      <c r="B655" s="127" t="s">
        <v>1528</v>
      </c>
      <c r="C655" s="99" t="s">
        <v>4</v>
      </c>
      <c r="D655" s="100" t="s">
        <v>628</v>
      </c>
      <c r="E655" s="101">
        <v>40371.36078703704</v>
      </c>
      <c r="F655" s="101"/>
      <c r="G655" s="102" t="str">
        <f>IF(stdProdLT(Main[[#This Row],[Comments]])=0.1,"N/A",IF(stdProdLT(Main[[#This Row],[Comments]])=0,"",stdProdLT(Main[[#This Row],[Comments]])))</f>
        <v/>
      </c>
      <c r="H655" s="103" t="str">
        <f>IF(AND(Main[[#This Row],[In Stock Date]]&lt;&gt;"",Main[[#This Row],[Revised Due Date]]&lt;&gt;""),Main[[#This Row],[In Stock Date]]-Main[[#This Row],[Revised Due Date]],"")</f>
        <v/>
      </c>
      <c r="I655" s="99" t="s">
        <v>4</v>
      </c>
      <c r="J655" s="99" t="s">
        <v>4</v>
      </c>
      <c r="K655" s="99" t="s">
        <v>4</v>
      </c>
      <c r="L655" s="101"/>
      <c r="M655" s="104" t="str">
        <f>IF(Main[[#This Row],[Tech Start Date]]&lt;1/1/1990,"",IF(Main[[#This Row],[Class]]="C",WORKDAY(Main[[#This Row],[Tech Start Date]],9),IF(Main[[#This Row],[Class]]="B", WORKDAY(Main[[#This Row],[Tech Start Date]],6),IF(Main[[#This Row],[Class]]="A",WORKDAY(Main[[#This Row],[Tech Start Date]],2),""))))</f>
        <v/>
      </c>
      <c r="N655" s="104" t="str">
        <f>IF(Main[[#This Row],[Tech Start Date]]&lt;1/1/1990,"",IF(Main[[#This Row],[Class]]="C",WORKDAY(Main[[#This Row],[Tech Start Date]],19),IF(Main[[#This Row],[Class]]="B", WORKDAY(Main[[#This Row],[Tech Start Date]],12),IF(Main[[#This Row],[Class]]="A",WORKDAY(Main[[#This Row],[Tech Start Date]],4),""))))</f>
        <v/>
      </c>
      <c r="O655" s="104" t="str">
        <f>IF(Main[[#This Row],[Tech Start Date]]&lt;1/1/1990,"",IF(Main[[#This Row],[Class]]="C",WORKDAY(Main[[#This Row],[Tech Start Date]],23),IF(Main[[#This Row],[Class]]="B", WORKDAY(Main[[#This Row],[Tech Start Date]],15),IF(Main[[#This Row],[Class]]="A",WORKDAY(Main[[#This Row],[Tech Start Date]],5),""))))</f>
        <v/>
      </c>
      <c r="P655" s="104" t="str">
        <f>IF(Main[[#This Row],[Tech Start Date]]&lt;1/1/1990,"",IF(Main[[#This Row],[Class]]="C",WORKDAY(Main[[#This Row],[Tech Start Date]],28),IF(Main[[#This Row],[Class]]="B", WORKDAY(Main[[#This Row],[Tech Start Date]],19),IF(Main[[#This Row],[Class]]="A",WORKDAY(Main[[#This Row],[Tech Start Date]],9),""))))</f>
        <v/>
      </c>
      <c r="Q655" s="101">
        <v>40385</v>
      </c>
      <c r="R655" s="101"/>
      <c r="S655" s="99" t="s">
        <v>6</v>
      </c>
      <c r="T655" s="107" t="s">
        <v>4</v>
      </c>
      <c r="U655" s="99" t="s">
        <v>7</v>
      </c>
      <c r="V655" s="99" t="s">
        <v>1962</v>
      </c>
      <c r="W655" s="99" t="s">
        <v>1964</v>
      </c>
    </row>
    <row r="656" spans="1:23" ht="18.600000000000001" customHeight="1">
      <c r="A656" s="123" t="str">
        <f>IF(priority(Main[[#This Row],[Comments]])&lt;&gt;0, priority(Main[[#This Row],[Comments]]),"")</f>
        <v/>
      </c>
      <c r="B656" s="127" t="s">
        <v>1529</v>
      </c>
      <c r="C656" s="99" t="s">
        <v>629</v>
      </c>
      <c r="D656" s="100" t="s">
        <v>630</v>
      </c>
      <c r="E656" s="101"/>
      <c r="F656" s="101">
        <v>40396</v>
      </c>
      <c r="G656" s="102" t="str">
        <f>IF(stdProdLT(Main[[#This Row],[Comments]])=0.1,"N/A",IF(stdProdLT(Main[[#This Row],[Comments]])=0,"",stdProdLT(Main[[#This Row],[Comments]])))</f>
        <v/>
      </c>
      <c r="H656" s="103" t="str">
        <f>IF(AND(Main[[#This Row],[In Stock Date]]&lt;&gt;"",Main[[#This Row],[Revised Due Date]]&lt;&gt;""),Main[[#This Row],[In Stock Date]]-Main[[#This Row],[Revised Due Date]],"")</f>
        <v/>
      </c>
      <c r="I656" s="99" t="s">
        <v>4</v>
      </c>
      <c r="J656" s="99" t="s">
        <v>4</v>
      </c>
      <c r="K656" s="99" t="s">
        <v>4</v>
      </c>
      <c r="L656" s="101"/>
      <c r="M656" s="104" t="str">
        <f>IF(Main[[#This Row],[Tech Start Date]]&lt;1/1/1990,"",IF(Main[[#This Row],[Class]]="C",WORKDAY(Main[[#This Row],[Tech Start Date]],9),IF(Main[[#This Row],[Class]]="B", WORKDAY(Main[[#This Row],[Tech Start Date]],6),IF(Main[[#This Row],[Class]]="A",WORKDAY(Main[[#This Row],[Tech Start Date]],2),""))))</f>
        <v/>
      </c>
      <c r="N656" s="104" t="str">
        <f>IF(Main[[#This Row],[Tech Start Date]]&lt;1/1/1990,"",IF(Main[[#This Row],[Class]]="C",WORKDAY(Main[[#This Row],[Tech Start Date]],19),IF(Main[[#This Row],[Class]]="B", WORKDAY(Main[[#This Row],[Tech Start Date]],12),IF(Main[[#This Row],[Class]]="A",WORKDAY(Main[[#This Row],[Tech Start Date]],4),""))))</f>
        <v/>
      </c>
      <c r="O656" s="104" t="str">
        <f>IF(Main[[#This Row],[Tech Start Date]]&lt;1/1/1990,"",IF(Main[[#This Row],[Class]]="C",WORKDAY(Main[[#This Row],[Tech Start Date]],23),IF(Main[[#This Row],[Class]]="B", WORKDAY(Main[[#This Row],[Tech Start Date]],15),IF(Main[[#This Row],[Class]]="A",WORKDAY(Main[[#This Row],[Tech Start Date]],5),""))))</f>
        <v/>
      </c>
      <c r="P656" s="104" t="str">
        <f>IF(Main[[#This Row],[Tech Start Date]]&lt;1/1/1990,"",IF(Main[[#This Row],[Class]]="C",WORKDAY(Main[[#This Row],[Tech Start Date]],28),IF(Main[[#This Row],[Class]]="B", WORKDAY(Main[[#This Row],[Tech Start Date]],19),IF(Main[[#This Row],[Class]]="A",WORKDAY(Main[[#This Row],[Tech Start Date]],9),""))))</f>
        <v/>
      </c>
      <c r="Q656" s="101"/>
      <c r="R656" s="101"/>
      <c r="S656" s="99" t="s">
        <v>11</v>
      </c>
      <c r="T656" s="107" t="s">
        <v>4</v>
      </c>
      <c r="U656" s="99" t="s">
        <v>14</v>
      </c>
      <c r="V656" s="99" t="s">
        <v>1962</v>
      </c>
      <c r="W656" s="99" t="s">
        <v>1968</v>
      </c>
    </row>
    <row r="657" spans="1:23" ht="18.600000000000001" customHeight="1">
      <c r="A657" s="123" t="str">
        <f>IF(priority(Main[[#This Row],[Comments]])&lt;&gt;0, priority(Main[[#This Row],[Comments]]),"")</f>
        <v/>
      </c>
      <c r="B657" s="127" t="s">
        <v>1530</v>
      </c>
      <c r="C657" s="99" t="s">
        <v>93</v>
      </c>
      <c r="D657" s="100" t="s">
        <v>631</v>
      </c>
      <c r="E657" s="101"/>
      <c r="F657" s="101">
        <v>40238</v>
      </c>
      <c r="G657" s="102" t="str">
        <f>IF(stdProdLT(Main[[#This Row],[Comments]])=0.1,"N/A",IF(stdProdLT(Main[[#This Row],[Comments]])=0,"",stdProdLT(Main[[#This Row],[Comments]])))</f>
        <v/>
      </c>
      <c r="H657" s="103" t="str">
        <f>IF(AND(Main[[#This Row],[In Stock Date]]&lt;&gt;"",Main[[#This Row],[Revised Due Date]]&lt;&gt;""),Main[[#This Row],[In Stock Date]]-Main[[#This Row],[Revised Due Date]],"")</f>
        <v/>
      </c>
      <c r="I657" s="99" t="s">
        <v>4</v>
      </c>
      <c r="J657" s="99" t="s">
        <v>4</v>
      </c>
      <c r="K657" s="108" t="s">
        <v>4</v>
      </c>
      <c r="L657" s="101"/>
      <c r="M657" s="104" t="str">
        <f>IF(Main[[#This Row],[Tech Start Date]]&lt;1/1/1990,"",IF(Main[[#This Row],[Class]]="C",WORKDAY(Main[[#This Row],[Tech Start Date]],9),IF(Main[[#This Row],[Class]]="B", WORKDAY(Main[[#This Row],[Tech Start Date]],6),IF(Main[[#This Row],[Class]]="A",WORKDAY(Main[[#This Row],[Tech Start Date]],2),""))))</f>
        <v/>
      </c>
      <c r="N657" s="104" t="str">
        <f>IF(Main[[#This Row],[Tech Start Date]]&lt;1/1/1990,"",IF(Main[[#This Row],[Class]]="C",WORKDAY(Main[[#This Row],[Tech Start Date]],19),IF(Main[[#This Row],[Class]]="B", WORKDAY(Main[[#This Row],[Tech Start Date]],12),IF(Main[[#This Row],[Class]]="A",WORKDAY(Main[[#This Row],[Tech Start Date]],4),""))))</f>
        <v/>
      </c>
      <c r="O657" s="104" t="str">
        <f>IF(Main[[#This Row],[Tech Start Date]]&lt;1/1/1990,"",IF(Main[[#This Row],[Class]]="C",WORKDAY(Main[[#This Row],[Tech Start Date]],23),IF(Main[[#This Row],[Class]]="B", WORKDAY(Main[[#This Row],[Tech Start Date]],15),IF(Main[[#This Row],[Class]]="A",WORKDAY(Main[[#This Row],[Tech Start Date]],5),""))))</f>
        <v/>
      </c>
      <c r="P657" s="104" t="str">
        <f>IF(Main[[#This Row],[Tech Start Date]]&lt;1/1/1990,"",IF(Main[[#This Row],[Class]]="C",WORKDAY(Main[[#This Row],[Tech Start Date]],28),IF(Main[[#This Row],[Class]]="B", WORKDAY(Main[[#This Row],[Tech Start Date]],19),IF(Main[[#This Row],[Class]]="A",WORKDAY(Main[[#This Row],[Tech Start Date]],9),""))))</f>
        <v/>
      </c>
      <c r="Q657" s="101">
        <v>40173</v>
      </c>
      <c r="R657" s="101"/>
      <c r="S657" s="99" t="s">
        <v>11</v>
      </c>
      <c r="T657" s="107" t="s">
        <v>4</v>
      </c>
      <c r="U657" s="99" t="s">
        <v>14</v>
      </c>
      <c r="V657" s="99" t="s">
        <v>1962</v>
      </c>
      <c r="W657" s="99" t="s">
        <v>1968</v>
      </c>
    </row>
    <row r="658" spans="1:23" ht="18.600000000000001" customHeight="1">
      <c r="A658" s="123" t="str">
        <f>IF(priority(Main[[#This Row],[Comments]])&lt;&gt;0, priority(Main[[#This Row],[Comments]]),"")</f>
        <v/>
      </c>
      <c r="B658" s="127" t="s">
        <v>1531</v>
      </c>
      <c r="C658" s="99" t="s">
        <v>4</v>
      </c>
      <c r="D658" s="100" t="s">
        <v>97</v>
      </c>
      <c r="E658" s="101"/>
      <c r="F658" s="101"/>
      <c r="G658" s="102" t="str">
        <f>IF(stdProdLT(Main[[#This Row],[Comments]])=0.1,"N/A",IF(stdProdLT(Main[[#This Row],[Comments]])=0,"",stdProdLT(Main[[#This Row],[Comments]])))</f>
        <v/>
      </c>
      <c r="H658" s="103" t="str">
        <f>IF(AND(Main[[#This Row],[In Stock Date]]&lt;&gt;"",Main[[#This Row],[Revised Due Date]]&lt;&gt;""),Main[[#This Row],[In Stock Date]]-Main[[#This Row],[Revised Due Date]],"")</f>
        <v/>
      </c>
      <c r="I658" s="99" t="s">
        <v>4</v>
      </c>
      <c r="J658" s="99" t="s">
        <v>4</v>
      </c>
      <c r="K658" s="99" t="s">
        <v>4</v>
      </c>
      <c r="L658" s="101"/>
      <c r="M658" s="104" t="str">
        <f>IF(Main[[#This Row],[Tech Start Date]]&lt;1/1/1990,"",IF(Main[[#This Row],[Class]]="C",WORKDAY(Main[[#This Row],[Tech Start Date]],9),IF(Main[[#This Row],[Class]]="B", WORKDAY(Main[[#This Row],[Tech Start Date]],6),IF(Main[[#This Row],[Class]]="A",WORKDAY(Main[[#This Row],[Tech Start Date]],2),""))))</f>
        <v/>
      </c>
      <c r="N658" s="104" t="str">
        <f>IF(Main[[#This Row],[Tech Start Date]]&lt;1/1/1990,"",IF(Main[[#This Row],[Class]]="C",WORKDAY(Main[[#This Row],[Tech Start Date]],19),IF(Main[[#This Row],[Class]]="B", WORKDAY(Main[[#This Row],[Tech Start Date]],12),IF(Main[[#This Row],[Class]]="A",WORKDAY(Main[[#This Row],[Tech Start Date]],4),""))))</f>
        <v/>
      </c>
      <c r="O658" s="104" t="str">
        <f>IF(Main[[#This Row],[Tech Start Date]]&lt;1/1/1990,"",IF(Main[[#This Row],[Class]]="C",WORKDAY(Main[[#This Row],[Tech Start Date]],23),IF(Main[[#This Row],[Class]]="B", WORKDAY(Main[[#This Row],[Tech Start Date]],15),IF(Main[[#This Row],[Class]]="A",WORKDAY(Main[[#This Row],[Tech Start Date]],5),""))))</f>
        <v/>
      </c>
      <c r="P658" s="104" t="str">
        <f>IF(Main[[#This Row],[Tech Start Date]]&lt;1/1/1990,"",IF(Main[[#This Row],[Class]]="C",WORKDAY(Main[[#This Row],[Tech Start Date]],28),IF(Main[[#This Row],[Class]]="B", WORKDAY(Main[[#This Row],[Tech Start Date]],19),IF(Main[[#This Row],[Class]]="A",WORKDAY(Main[[#This Row],[Tech Start Date]],9),""))))</f>
        <v/>
      </c>
      <c r="Q658" s="101">
        <v>40858</v>
      </c>
      <c r="R658" s="101"/>
      <c r="S658" s="99" t="s">
        <v>17</v>
      </c>
      <c r="T658" s="107" t="s">
        <v>4</v>
      </c>
      <c r="U658" s="99" t="s">
        <v>14</v>
      </c>
      <c r="V658" s="99" t="s">
        <v>1962</v>
      </c>
      <c r="W658" s="99" t="s">
        <v>1967</v>
      </c>
    </row>
    <row r="659" spans="1:23" ht="18.600000000000001" customHeight="1">
      <c r="A659" s="123" t="str">
        <f>IF(priority(Main[[#This Row],[Comments]])&lt;&gt;0, priority(Main[[#This Row],[Comments]]),"")</f>
        <v/>
      </c>
      <c r="B659" s="127" t="s">
        <v>1532</v>
      </c>
      <c r="C659" s="99" t="s">
        <v>4</v>
      </c>
      <c r="D659" s="100" t="s">
        <v>39</v>
      </c>
      <c r="E659" s="101"/>
      <c r="F659" s="101"/>
      <c r="G659" s="102" t="str">
        <f>IF(stdProdLT(Main[[#This Row],[Comments]])=0.1,"N/A",IF(stdProdLT(Main[[#This Row],[Comments]])=0,"",stdProdLT(Main[[#This Row],[Comments]])))</f>
        <v/>
      </c>
      <c r="H659" s="103" t="str">
        <f>IF(AND(Main[[#This Row],[In Stock Date]]&lt;&gt;"",Main[[#This Row],[Revised Due Date]]&lt;&gt;""),Main[[#This Row],[In Stock Date]]-Main[[#This Row],[Revised Due Date]],"")</f>
        <v/>
      </c>
      <c r="I659" s="99" t="s">
        <v>4</v>
      </c>
      <c r="J659" s="99" t="s">
        <v>4</v>
      </c>
      <c r="K659" s="99" t="s">
        <v>4</v>
      </c>
      <c r="L659" s="101"/>
      <c r="M659" s="104" t="str">
        <f>IF(Main[[#This Row],[Tech Start Date]]&lt;1/1/1990,"",IF(Main[[#This Row],[Class]]="C",WORKDAY(Main[[#This Row],[Tech Start Date]],9),IF(Main[[#This Row],[Class]]="B", WORKDAY(Main[[#This Row],[Tech Start Date]],6),IF(Main[[#This Row],[Class]]="A",WORKDAY(Main[[#This Row],[Tech Start Date]],2),""))))</f>
        <v/>
      </c>
      <c r="N659" s="104" t="str">
        <f>IF(Main[[#This Row],[Tech Start Date]]&lt;1/1/1990,"",IF(Main[[#This Row],[Class]]="C",WORKDAY(Main[[#This Row],[Tech Start Date]],19),IF(Main[[#This Row],[Class]]="B", WORKDAY(Main[[#This Row],[Tech Start Date]],12),IF(Main[[#This Row],[Class]]="A",WORKDAY(Main[[#This Row],[Tech Start Date]],4),""))))</f>
        <v/>
      </c>
      <c r="O659" s="104" t="str">
        <f>IF(Main[[#This Row],[Tech Start Date]]&lt;1/1/1990,"",IF(Main[[#This Row],[Class]]="C",WORKDAY(Main[[#This Row],[Tech Start Date]],23),IF(Main[[#This Row],[Class]]="B", WORKDAY(Main[[#This Row],[Tech Start Date]],15),IF(Main[[#This Row],[Class]]="A",WORKDAY(Main[[#This Row],[Tech Start Date]],5),""))))</f>
        <v/>
      </c>
      <c r="P659" s="104" t="str">
        <f>IF(Main[[#This Row],[Tech Start Date]]&lt;1/1/1990,"",IF(Main[[#This Row],[Class]]="C",WORKDAY(Main[[#This Row],[Tech Start Date]],28),IF(Main[[#This Row],[Class]]="B", WORKDAY(Main[[#This Row],[Tech Start Date]],19),IF(Main[[#This Row],[Class]]="A",WORKDAY(Main[[#This Row],[Tech Start Date]],9),""))))</f>
        <v/>
      </c>
      <c r="Q659" s="101">
        <v>40669</v>
      </c>
      <c r="R659" s="101"/>
      <c r="S659" s="99" t="s">
        <v>6</v>
      </c>
      <c r="T659" s="107" t="s">
        <v>4</v>
      </c>
      <c r="U659" s="99" t="s">
        <v>14</v>
      </c>
      <c r="V659" s="99" t="s">
        <v>1965</v>
      </c>
      <c r="W659" s="99" t="s">
        <v>4</v>
      </c>
    </row>
    <row r="660" spans="1:23" ht="18.600000000000001" customHeight="1">
      <c r="A660" s="123" t="str">
        <f>IF(priority(Main[[#This Row],[Comments]])&lt;&gt;0, priority(Main[[#This Row],[Comments]]),"")</f>
        <v/>
      </c>
      <c r="B660" s="127" t="s">
        <v>1533</v>
      </c>
      <c r="C660" s="99" t="s">
        <v>4</v>
      </c>
      <c r="D660" s="100" t="s">
        <v>605</v>
      </c>
      <c r="E660" s="101"/>
      <c r="F660" s="101"/>
      <c r="G660" s="102" t="str">
        <f>IF(stdProdLT(Main[[#This Row],[Comments]])=0.1,"N/A",IF(stdProdLT(Main[[#This Row],[Comments]])=0,"",stdProdLT(Main[[#This Row],[Comments]])))</f>
        <v/>
      </c>
      <c r="H660" s="103" t="str">
        <f>IF(AND(Main[[#This Row],[In Stock Date]]&lt;&gt;"",Main[[#This Row],[Revised Due Date]]&lt;&gt;""),Main[[#This Row],[In Stock Date]]-Main[[#This Row],[Revised Due Date]],"")</f>
        <v/>
      </c>
      <c r="I660" s="99" t="s">
        <v>4</v>
      </c>
      <c r="J660" s="99" t="s">
        <v>28</v>
      </c>
      <c r="K660" s="99" t="s">
        <v>4</v>
      </c>
      <c r="L660" s="101"/>
      <c r="M660" s="104" t="str">
        <f>IF(Main[[#This Row],[Tech Start Date]]&lt;1/1/1990,"",IF(Main[[#This Row],[Class]]="C",WORKDAY(Main[[#This Row],[Tech Start Date]],9),IF(Main[[#This Row],[Class]]="B", WORKDAY(Main[[#This Row],[Tech Start Date]],6),IF(Main[[#This Row],[Class]]="A",WORKDAY(Main[[#This Row],[Tech Start Date]],2),""))))</f>
        <v/>
      </c>
      <c r="N660" s="104" t="str">
        <f>IF(Main[[#This Row],[Tech Start Date]]&lt;1/1/1990,"",IF(Main[[#This Row],[Class]]="C",WORKDAY(Main[[#This Row],[Tech Start Date]],19),IF(Main[[#This Row],[Class]]="B", WORKDAY(Main[[#This Row],[Tech Start Date]],12),IF(Main[[#This Row],[Class]]="A",WORKDAY(Main[[#This Row],[Tech Start Date]],4),""))))</f>
        <v/>
      </c>
      <c r="O660" s="104" t="str">
        <f>IF(Main[[#This Row],[Tech Start Date]]&lt;1/1/1990,"",IF(Main[[#This Row],[Class]]="C",WORKDAY(Main[[#This Row],[Tech Start Date]],23),IF(Main[[#This Row],[Class]]="B", WORKDAY(Main[[#This Row],[Tech Start Date]],15),IF(Main[[#This Row],[Class]]="A",WORKDAY(Main[[#This Row],[Tech Start Date]],5),""))))</f>
        <v/>
      </c>
      <c r="P660" s="104" t="str">
        <f>IF(Main[[#This Row],[Tech Start Date]]&lt;1/1/1990,"",IF(Main[[#This Row],[Class]]="C",WORKDAY(Main[[#This Row],[Tech Start Date]],28),IF(Main[[#This Row],[Class]]="B", WORKDAY(Main[[#This Row],[Tech Start Date]],19),IF(Main[[#This Row],[Class]]="A",WORKDAY(Main[[#This Row],[Tech Start Date]],9),""))))</f>
        <v/>
      </c>
      <c r="Q660" s="101">
        <v>40482</v>
      </c>
      <c r="R660" s="101"/>
      <c r="S660" s="99" t="s">
        <v>6</v>
      </c>
      <c r="T660" s="107" t="s">
        <v>4</v>
      </c>
      <c r="U660" s="99" t="s">
        <v>14</v>
      </c>
      <c r="V660" s="99" t="s">
        <v>1965</v>
      </c>
      <c r="W660" s="99" t="s">
        <v>1966</v>
      </c>
    </row>
    <row r="661" spans="1:23" ht="18.600000000000001" customHeight="1">
      <c r="A661" s="123" t="str">
        <f>IF(priority(Main[[#This Row],[Comments]])&lt;&gt;0, priority(Main[[#This Row],[Comments]]),"")</f>
        <v/>
      </c>
      <c r="B661" s="127" t="s">
        <v>2153</v>
      </c>
      <c r="C661" s="99" t="s">
        <v>4</v>
      </c>
      <c r="D661" s="100" t="s">
        <v>2154</v>
      </c>
      <c r="E661" s="101"/>
      <c r="F661" s="101"/>
      <c r="G661" s="102" t="str">
        <f>IF(stdProdLT(Main[[#This Row],[Comments]])=0.1,"N/A",IF(stdProdLT(Main[[#This Row],[Comments]])=0,"",stdProdLT(Main[[#This Row],[Comments]])))</f>
        <v/>
      </c>
      <c r="H661" s="103" t="str">
        <f>IF(AND(Main[[#This Row],[In Stock Date]]&lt;&gt;"",Main[[#This Row],[Revised Due Date]]&lt;&gt;""),Main[[#This Row],[In Stock Date]]-Main[[#This Row],[Revised Due Date]],"")</f>
        <v/>
      </c>
      <c r="I661" s="99" t="s">
        <v>4</v>
      </c>
      <c r="J661" s="99" t="s">
        <v>4</v>
      </c>
      <c r="K661" s="108" t="s">
        <v>4</v>
      </c>
      <c r="L661" s="101"/>
      <c r="M661" s="104" t="str">
        <f>IF(Main[[#This Row],[Tech Start Date]]&lt;1/1/1990,"",IF(Main[[#This Row],[Class]]="C",WORKDAY(Main[[#This Row],[Tech Start Date]],9),IF(Main[[#This Row],[Class]]="B", WORKDAY(Main[[#This Row],[Tech Start Date]],6),IF(Main[[#This Row],[Class]]="A",WORKDAY(Main[[#This Row],[Tech Start Date]],2),""))))</f>
        <v/>
      </c>
      <c r="N661" s="104" t="str">
        <f>IF(Main[[#This Row],[Tech Start Date]]&lt;1/1/1990,"",IF(Main[[#This Row],[Class]]="C",WORKDAY(Main[[#This Row],[Tech Start Date]],19),IF(Main[[#This Row],[Class]]="B", WORKDAY(Main[[#This Row],[Tech Start Date]],12),IF(Main[[#This Row],[Class]]="A",WORKDAY(Main[[#This Row],[Tech Start Date]],4),""))))</f>
        <v/>
      </c>
      <c r="O661" s="104" t="str">
        <f>IF(Main[[#This Row],[Tech Start Date]]&lt;1/1/1990,"",IF(Main[[#This Row],[Class]]="C",WORKDAY(Main[[#This Row],[Tech Start Date]],23),IF(Main[[#This Row],[Class]]="B", WORKDAY(Main[[#This Row],[Tech Start Date]],15),IF(Main[[#This Row],[Class]]="A",WORKDAY(Main[[#This Row],[Tech Start Date]],5),""))))</f>
        <v/>
      </c>
      <c r="P661" s="104" t="str">
        <f>IF(Main[[#This Row],[Tech Start Date]]&lt;1/1/1990,"",IF(Main[[#This Row],[Class]]="C",WORKDAY(Main[[#This Row],[Tech Start Date]],28),IF(Main[[#This Row],[Class]]="B", WORKDAY(Main[[#This Row],[Tech Start Date]],19),IF(Main[[#This Row],[Class]]="A",WORKDAY(Main[[#This Row],[Tech Start Date]],9),""))))</f>
        <v/>
      </c>
      <c r="Q661" s="101"/>
      <c r="R661" s="101"/>
      <c r="S661" s="99" t="s">
        <v>6</v>
      </c>
      <c r="T661" s="107" t="s">
        <v>4</v>
      </c>
      <c r="U661" s="99" t="s">
        <v>14</v>
      </c>
      <c r="V661" s="99" t="s">
        <v>1965</v>
      </c>
      <c r="W661" s="99" t="s">
        <v>1966</v>
      </c>
    </row>
    <row r="662" spans="1:23" ht="18.600000000000001" customHeight="1">
      <c r="A662" s="123" t="str">
        <f>IF(priority(Main[[#This Row],[Comments]])&lt;&gt;0, priority(Main[[#This Row],[Comments]]),"")</f>
        <v/>
      </c>
      <c r="B662" s="127" t="s">
        <v>1535</v>
      </c>
      <c r="C662" s="99" t="s">
        <v>607</v>
      </c>
      <c r="D662" s="100" t="s">
        <v>608</v>
      </c>
      <c r="E662" s="101"/>
      <c r="F662" s="101"/>
      <c r="G662" s="102" t="str">
        <f>IF(stdProdLT(Main[[#This Row],[Comments]])=0.1,"N/A",IF(stdProdLT(Main[[#This Row],[Comments]])=0,"",stdProdLT(Main[[#This Row],[Comments]])))</f>
        <v/>
      </c>
      <c r="H662" s="103" t="str">
        <f>IF(AND(Main[[#This Row],[In Stock Date]]&lt;&gt;"",Main[[#This Row],[Revised Due Date]]&lt;&gt;""),Main[[#This Row],[In Stock Date]]-Main[[#This Row],[Revised Due Date]],"")</f>
        <v/>
      </c>
      <c r="I662" s="99" t="s">
        <v>4</v>
      </c>
      <c r="J662" s="99" t="s">
        <v>4</v>
      </c>
      <c r="K662" s="99" t="s">
        <v>4</v>
      </c>
      <c r="L662" s="101"/>
      <c r="M662" s="104" t="str">
        <f>IF(Main[[#This Row],[Tech Start Date]]&lt;1/1/1990,"",IF(Main[[#This Row],[Class]]="C",WORKDAY(Main[[#This Row],[Tech Start Date]],9),IF(Main[[#This Row],[Class]]="B", WORKDAY(Main[[#This Row],[Tech Start Date]],6),IF(Main[[#This Row],[Class]]="A",WORKDAY(Main[[#This Row],[Tech Start Date]],2),""))))</f>
        <v/>
      </c>
      <c r="N662" s="104" t="str">
        <f>IF(Main[[#This Row],[Tech Start Date]]&lt;1/1/1990,"",IF(Main[[#This Row],[Class]]="C",WORKDAY(Main[[#This Row],[Tech Start Date]],19),IF(Main[[#This Row],[Class]]="B", WORKDAY(Main[[#This Row],[Tech Start Date]],12),IF(Main[[#This Row],[Class]]="A",WORKDAY(Main[[#This Row],[Tech Start Date]],4),""))))</f>
        <v/>
      </c>
      <c r="O662" s="104" t="str">
        <f>IF(Main[[#This Row],[Tech Start Date]]&lt;1/1/1990,"",IF(Main[[#This Row],[Class]]="C",WORKDAY(Main[[#This Row],[Tech Start Date]],23),IF(Main[[#This Row],[Class]]="B", WORKDAY(Main[[#This Row],[Tech Start Date]],15),IF(Main[[#This Row],[Class]]="A",WORKDAY(Main[[#This Row],[Tech Start Date]],5),""))))</f>
        <v/>
      </c>
      <c r="P662" s="104" t="str">
        <f>IF(Main[[#This Row],[Tech Start Date]]&lt;1/1/1990,"",IF(Main[[#This Row],[Class]]="C",WORKDAY(Main[[#This Row],[Tech Start Date]],28),IF(Main[[#This Row],[Class]]="B", WORKDAY(Main[[#This Row],[Tech Start Date]],19),IF(Main[[#This Row],[Class]]="A",WORKDAY(Main[[#This Row],[Tech Start Date]],9),""))))</f>
        <v/>
      </c>
      <c r="Q662" s="101">
        <v>40219</v>
      </c>
      <c r="R662" s="101"/>
      <c r="S662" s="99" t="s">
        <v>11</v>
      </c>
      <c r="T662" s="107" t="s">
        <v>4</v>
      </c>
      <c r="U662" s="99" t="s">
        <v>14</v>
      </c>
      <c r="V662" s="99" t="s">
        <v>1965</v>
      </c>
      <c r="W662" s="99" t="s">
        <v>1964</v>
      </c>
    </row>
    <row r="663" spans="1:23" ht="18.600000000000001" customHeight="1">
      <c r="A663" s="123" t="str">
        <f>IF(priority(Main[[#This Row],[Comments]])&lt;&gt;0, priority(Main[[#This Row],[Comments]]),"")</f>
        <v/>
      </c>
      <c r="B663" s="127" t="s">
        <v>1536</v>
      </c>
      <c r="C663" s="99" t="s">
        <v>4</v>
      </c>
      <c r="D663" s="100" t="s">
        <v>609</v>
      </c>
      <c r="E663" s="101"/>
      <c r="F663" s="101"/>
      <c r="G663" s="102" t="str">
        <f>IF(stdProdLT(Main[[#This Row],[Comments]])=0.1,"N/A",IF(stdProdLT(Main[[#This Row],[Comments]])=0,"",stdProdLT(Main[[#This Row],[Comments]])))</f>
        <v/>
      </c>
      <c r="H663" s="103" t="str">
        <f>IF(AND(Main[[#This Row],[In Stock Date]]&lt;&gt;"",Main[[#This Row],[Revised Due Date]]&lt;&gt;""),Main[[#This Row],[In Stock Date]]-Main[[#This Row],[Revised Due Date]],"")</f>
        <v/>
      </c>
      <c r="I663" s="99" t="s">
        <v>81</v>
      </c>
      <c r="J663" s="99" t="s">
        <v>4</v>
      </c>
      <c r="K663" s="99" t="s">
        <v>4</v>
      </c>
      <c r="L663" s="101"/>
      <c r="M663" s="104" t="str">
        <f>IF(Main[[#This Row],[Tech Start Date]]&lt;1/1/1990,"",IF(Main[[#This Row],[Class]]="C",WORKDAY(Main[[#This Row],[Tech Start Date]],9),IF(Main[[#This Row],[Class]]="B", WORKDAY(Main[[#This Row],[Tech Start Date]],6),IF(Main[[#This Row],[Class]]="A",WORKDAY(Main[[#This Row],[Tech Start Date]],2),""))))</f>
        <v/>
      </c>
      <c r="N663" s="104" t="str">
        <f>IF(Main[[#This Row],[Tech Start Date]]&lt;1/1/1990,"",IF(Main[[#This Row],[Class]]="C",WORKDAY(Main[[#This Row],[Tech Start Date]],19),IF(Main[[#This Row],[Class]]="B", WORKDAY(Main[[#This Row],[Tech Start Date]],12),IF(Main[[#This Row],[Class]]="A",WORKDAY(Main[[#This Row],[Tech Start Date]],4),""))))</f>
        <v/>
      </c>
      <c r="O663" s="104" t="str">
        <f>IF(Main[[#This Row],[Tech Start Date]]&lt;1/1/1990,"",IF(Main[[#This Row],[Class]]="C",WORKDAY(Main[[#This Row],[Tech Start Date]],23),IF(Main[[#This Row],[Class]]="B", WORKDAY(Main[[#This Row],[Tech Start Date]],15),IF(Main[[#This Row],[Class]]="A",WORKDAY(Main[[#This Row],[Tech Start Date]],5),""))))</f>
        <v/>
      </c>
      <c r="P663" s="104" t="str">
        <f>IF(Main[[#This Row],[Tech Start Date]]&lt;1/1/1990,"",IF(Main[[#This Row],[Class]]="C",WORKDAY(Main[[#This Row],[Tech Start Date]],28),IF(Main[[#This Row],[Class]]="B", WORKDAY(Main[[#This Row],[Tech Start Date]],19),IF(Main[[#This Row],[Class]]="A",WORKDAY(Main[[#This Row],[Tech Start Date]],9),""))))</f>
        <v/>
      </c>
      <c r="Q663" s="101">
        <v>40390</v>
      </c>
      <c r="R663" s="101"/>
      <c r="S663" s="99" t="s">
        <v>6</v>
      </c>
      <c r="T663" s="107" t="s">
        <v>4</v>
      </c>
      <c r="U663" s="99" t="s">
        <v>14</v>
      </c>
      <c r="V663" s="99" t="s">
        <v>1965</v>
      </c>
      <c r="W663" s="99" t="s">
        <v>4</v>
      </c>
    </row>
    <row r="664" spans="1:23" ht="18.600000000000001" customHeight="1">
      <c r="A664" s="123" t="str">
        <f>IF(priority(Main[[#This Row],[Comments]])&lt;&gt;0, priority(Main[[#This Row],[Comments]]),"")</f>
        <v/>
      </c>
      <c r="B664" s="127" t="s">
        <v>1537</v>
      </c>
      <c r="C664" s="99" t="s">
        <v>93</v>
      </c>
      <c r="D664" s="100" t="s">
        <v>610</v>
      </c>
      <c r="E664" s="101"/>
      <c r="F664" s="101">
        <v>40299</v>
      </c>
      <c r="G664" s="102" t="str">
        <f>IF(stdProdLT(Main[[#This Row],[Comments]])=0.1,"N/A",IF(stdProdLT(Main[[#This Row],[Comments]])=0,"",stdProdLT(Main[[#This Row],[Comments]])))</f>
        <v/>
      </c>
      <c r="H664" s="103" t="str">
        <f>IF(AND(Main[[#This Row],[In Stock Date]]&lt;&gt;"",Main[[#This Row],[Revised Due Date]]&lt;&gt;""),Main[[#This Row],[In Stock Date]]-Main[[#This Row],[Revised Due Date]],"")</f>
        <v/>
      </c>
      <c r="I664" s="99" t="s">
        <v>4</v>
      </c>
      <c r="J664" s="99" t="s">
        <v>4</v>
      </c>
      <c r="K664" s="99" t="s">
        <v>4</v>
      </c>
      <c r="L664" s="101"/>
      <c r="M664" s="104" t="str">
        <f>IF(Main[[#This Row],[Tech Start Date]]&lt;1/1/1990,"",IF(Main[[#This Row],[Class]]="C",WORKDAY(Main[[#This Row],[Tech Start Date]],9),IF(Main[[#This Row],[Class]]="B", WORKDAY(Main[[#This Row],[Tech Start Date]],6),IF(Main[[#This Row],[Class]]="A",WORKDAY(Main[[#This Row],[Tech Start Date]],2),""))))</f>
        <v/>
      </c>
      <c r="N664" s="104" t="str">
        <f>IF(Main[[#This Row],[Tech Start Date]]&lt;1/1/1990,"",IF(Main[[#This Row],[Class]]="C",WORKDAY(Main[[#This Row],[Tech Start Date]],19),IF(Main[[#This Row],[Class]]="B", WORKDAY(Main[[#This Row],[Tech Start Date]],12),IF(Main[[#This Row],[Class]]="A",WORKDAY(Main[[#This Row],[Tech Start Date]],4),""))))</f>
        <v/>
      </c>
      <c r="O664" s="104" t="str">
        <f>IF(Main[[#This Row],[Tech Start Date]]&lt;1/1/1990,"",IF(Main[[#This Row],[Class]]="C",WORKDAY(Main[[#This Row],[Tech Start Date]],23),IF(Main[[#This Row],[Class]]="B", WORKDAY(Main[[#This Row],[Tech Start Date]],15),IF(Main[[#This Row],[Class]]="A",WORKDAY(Main[[#This Row],[Tech Start Date]],5),""))))</f>
        <v/>
      </c>
      <c r="P664" s="104" t="str">
        <f>IF(Main[[#This Row],[Tech Start Date]]&lt;1/1/1990,"",IF(Main[[#This Row],[Class]]="C",WORKDAY(Main[[#This Row],[Tech Start Date]],28),IF(Main[[#This Row],[Class]]="B", WORKDAY(Main[[#This Row],[Tech Start Date]],19),IF(Main[[#This Row],[Class]]="A",WORKDAY(Main[[#This Row],[Tech Start Date]],9),""))))</f>
        <v/>
      </c>
      <c r="Q664" s="101">
        <v>40214</v>
      </c>
      <c r="R664" s="101"/>
      <c r="S664" s="99" t="s">
        <v>11</v>
      </c>
      <c r="T664" s="107" t="s">
        <v>4</v>
      </c>
      <c r="U664" s="99" t="s">
        <v>12</v>
      </c>
      <c r="V664" s="99" t="s">
        <v>1962</v>
      </c>
      <c r="W664" s="99" t="s">
        <v>1968</v>
      </c>
    </row>
    <row r="665" spans="1:23" ht="18.600000000000001" customHeight="1">
      <c r="A665" s="123" t="str">
        <f>IF(priority(Main[[#This Row],[Comments]])&lt;&gt;0, priority(Main[[#This Row],[Comments]]),"")</f>
        <v/>
      </c>
      <c r="B665" s="127" t="s">
        <v>1221</v>
      </c>
      <c r="C665" s="99" t="s">
        <v>4</v>
      </c>
      <c r="D665" s="100" t="s">
        <v>250</v>
      </c>
      <c r="E665" s="101"/>
      <c r="F665" s="101"/>
      <c r="G665" s="102" t="str">
        <f>IF(stdProdLT(Main[[#This Row],[Comments]])=0.1,"N/A",IF(stdProdLT(Main[[#This Row],[Comments]])=0,"",stdProdLT(Main[[#This Row],[Comments]])))</f>
        <v/>
      </c>
      <c r="H665" s="103" t="str">
        <f>IF(AND(Main[[#This Row],[In Stock Date]]&lt;&gt;"",Main[[#This Row],[Revised Due Date]]&lt;&gt;""),Main[[#This Row],[In Stock Date]]-Main[[#This Row],[Revised Due Date]],"")</f>
        <v/>
      </c>
      <c r="I665" s="99" t="s">
        <v>4</v>
      </c>
      <c r="J665" s="99" t="s">
        <v>28</v>
      </c>
      <c r="K665" s="99" t="s">
        <v>4</v>
      </c>
      <c r="L665" s="101"/>
      <c r="M665" s="104" t="str">
        <f>IF(Main[[#This Row],[Tech Start Date]]&lt;1/1/1990,"",IF(Main[[#This Row],[Class]]="C",WORKDAY(Main[[#This Row],[Tech Start Date]],9),IF(Main[[#This Row],[Class]]="B", WORKDAY(Main[[#This Row],[Tech Start Date]],6),IF(Main[[#This Row],[Class]]="A",WORKDAY(Main[[#This Row],[Tech Start Date]],2),""))))</f>
        <v/>
      </c>
      <c r="N665" s="104" t="str">
        <f>IF(Main[[#This Row],[Tech Start Date]]&lt;1/1/1990,"",IF(Main[[#This Row],[Class]]="C",WORKDAY(Main[[#This Row],[Tech Start Date]],19),IF(Main[[#This Row],[Class]]="B", WORKDAY(Main[[#This Row],[Tech Start Date]],12),IF(Main[[#This Row],[Class]]="A",WORKDAY(Main[[#This Row],[Tech Start Date]],4),""))))</f>
        <v/>
      </c>
      <c r="O665" s="104" t="str">
        <f>IF(Main[[#This Row],[Tech Start Date]]&lt;1/1/1990,"",IF(Main[[#This Row],[Class]]="C",WORKDAY(Main[[#This Row],[Tech Start Date]],23),IF(Main[[#This Row],[Class]]="B", WORKDAY(Main[[#This Row],[Tech Start Date]],15),IF(Main[[#This Row],[Class]]="A",WORKDAY(Main[[#This Row],[Tech Start Date]],5),""))))</f>
        <v/>
      </c>
      <c r="P665" s="104" t="str">
        <f>IF(Main[[#This Row],[Tech Start Date]]&lt;1/1/1990,"",IF(Main[[#This Row],[Class]]="C",WORKDAY(Main[[#This Row],[Tech Start Date]],28),IF(Main[[#This Row],[Class]]="B", WORKDAY(Main[[#This Row],[Tech Start Date]],19),IF(Main[[#This Row],[Class]]="A",WORKDAY(Main[[#This Row],[Tech Start Date]],9),""))))</f>
        <v/>
      </c>
      <c r="Q665" s="101">
        <v>40480</v>
      </c>
      <c r="R665" s="101"/>
      <c r="S665" s="99" t="s">
        <v>6</v>
      </c>
      <c r="T665" s="107" t="s">
        <v>4</v>
      </c>
      <c r="U665" s="99" t="s">
        <v>14</v>
      </c>
      <c r="V665" s="99" t="s">
        <v>1962</v>
      </c>
      <c r="W665" s="99" t="s">
        <v>1970</v>
      </c>
    </row>
    <row r="666" spans="1:23" ht="18.600000000000001" customHeight="1">
      <c r="A666" s="123" t="str">
        <f>IF(priority(Main[[#This Row],[Comments]])&lt;&gt;0, priority(Main[[#This Row],[Comments]]),"")</f>
        <v/>
      </c>
      <c r="B666" s="127" t="s">
        <v>1538</v>
      </c>
      <c r="C666" s="99" t="s">
        <v>31</v>
      </c>
      <c r="D666" s="100" t="s">
        <v>611</v>
      </c>
      <c r="E666" s="101"/>
      <c r="F666" s="101">
        <v>40330</v>
      </c>
      <c r="G666" s="102" t="str">
        <f>IF(stdProdLT(Main[[#This Row],[Comments]])=0.1,"N/A",IF(stdProdLT(Main[[#This Row],[Comments]])=0,"",stdProdLT(Main[[#This Row],[Comments]])))</f>
        <v/>
      </c>
      <c r="H666" s="103" t="str">
        <f>IF(AND(Main[[#This Row],[In Stock Date]]&lt;&gt;"",Main[[#This Row],[Revised Due Date]]&lt;&gt;""),Main[[#This Row],[In Stock Date]]-Main[[#This Row],[Revised Due Date]],"")</f>
        <v/>
      </c>
      <c r="I666" s="99" t="s">
        <v>423</v>
      </c>
      <c r="J666" s="99" t="s">
        <v>4</v>
      </c>
      <c r="K666" s="99" t="s">
        <v>4</v>
      </c>
      <c r="L666" s="101"/>
      <c r="M666" s="104" t="str">
        <f>IF(Main[[#This Row],[Tech Start Date]]&lt;1/1/1990,"",IF(Main[[#This Row],[Class]]="C",WORKDAY(Main[[#This Row],[Tech Start Date]],9),IF(Main[[#This Row],[Class]]="B", WORKDAY(Main[[#This Row],[Tech Start Date]],6),IF(Main[[#This Row],[Class]]="A",WORKDAY(Main[[#This Row],[Tech Start Date]],2),""))))</f>
        <v/>
      </c>
      <c r="N666" s="104" t="str">
        <f>IF(Main[[#This Row],[Tech Start Date]]&lt;1/1/1990,"",IF(Main[[#This Row],[Class]]="C",WORKDAY(Main[[#This Row],[Tech Start Date]],19),IF(Main[[#This Row],[Class]]="B", WORKDAY(Main[[#This Row],[Tech Start Date]],12),IF(Main[[#This Row],[Class]]="A",WORKDAY(Main[[#This Row],[Tech Start Date]],4),""))))</f>
        <v/>
      </c>
      <c r="O666" s="104" t="str">
        <f>IF(Main[[#This Row],[Tech Start Date]]&lt;1/1/1990,"",IF(Main[[#This Row],[Class]]="C",WORKDAY(Main[[#This Row],[Tech Start Date]],23),IF(Main[[#This Row],[Class]]="B", WORKDAY(Main[[#This Row],[Tech Start Date]],15),IF(Main[[#This Row],[Class]]="A",WORKDAY(Main[[#This Row],[Tech Start Date]],5),""))))</f>
        <v/>
      </c>
      <c r="P666" s="104" t="str">
        <f>IF(Main[[#This Row],[Tech Start Date]]&lt;1/1/1990,"",IF(Main[[#This Row],[Class]]="C",WORKDAY(Main[[#This Row],[Tech Start Date]],28),IF(Main[[#This Row],[Class]]="B", WORKDAY(Main[[#This Row],[Tech Start Date]],19),IF(Main[[#This Row],[Class]]="A",WORKDAY(Main[[#This Row],[Tech Start Date]],9),""))))</f>
        <v/>
      </c>
      <c r="Q666" s="101">
        <v>40210</v>
      </c>
      <c r="R666" s="101"/>
      <c r="S666" s="99" t="s">
        <v>11</v>
      </c>
      <c r="T666" s="107" t="s">
        <v>4</v>
      </c>
      <c r="U666" s="99" t="s">
        <v>14</v>
      </c>
      <c r="V666" s="99" t="s">
        <v>1965</v>
      </c>
      <c r="W666" s="99" t="s">
        <v>1968</v>
      </c>
    </row>
    <row r="667" spans="1:23" ht="18.600000000000001" customHeight="1">
      <c r="A667" s="123" t="str">
        <f>IF(priority(Main[[#This Row],[Comments]])&lt;&gt;0, priority(Main[[#This Row],[Comments]]),"")</f>
        <v/>
      </c>
      <c r="B667" s="127" t="s">
        <v>2488</v>
      </c>
      <c r="C667" s="99" t="s">
        <v>4</v>
      </c>
      <c r="D667" s="100" t="s">
        <v>2489</v>
      </c>
      <c r="E667" s="101">
        <v>40835.331365740742</v>
      </c>
      <c r="F667" s="101"/>
      <c r="G667" s="102" t="str">
        <f>IF(stdProdLT(Main[[#This Row],[Comments]])=0.1,"N/A",IF(stdProdLT(Main[[#This Row],[Comments]])=0,"",stdProdLT(Main[[#This Row],[Comments]])))</f>
        <v/>
      </c>
      <c r="H667" s="103" t="str">
        <f>IF(AND(Main[[#This Row],[In Stock Date]]&lt;&gt;"",Main[[#This Row],[Revised Due Date]]&lt;&gt;""),Main[[#This Row],[In Stock Date]]-Main[[#This Row],[Revised Due Date]],"")</f>
        <v/>
      </c>
      <c r="I667" s="99" t="s">
        <v>404</v>
      </c>
      <c r="J667" s="99" t="s">
        <v>75</v>
      </c>
      <c r="K667" s="108" t="s">
        <v>1971</v>
      </c>
      <c r="L667" s="101"/>
      <c r="M667" s="104" t="str">
        <f>IF(Main[[#This Row],[Tech Start Date]]&lt;1/1/1990,"",IF(Main[[#This Row],[Class]]="C",WORKDAY(Main[[#This Row],[Tech Start Date]],9),IF(Main[[#This Row],[Class]]="B", WORKDAY(Main[[#This Row],[Tech Start Date]],6),IF(Main[[#This Row],[Class]]="A",WORKDAY(Main[[#This Row],[Tech Start Date]],2),""))))</f>
        <v/>
      </c>
      <c r="N667" s="104" t="str">
        <f>IF(Main[[#This Row],[Tech Start Date]]&lt;1/1/1990,"",IF(Main[[#This Row],[Class]]="C",WORKDAY(Main[[#This Row],[Tech Start Date]],19),IF(Main[[#This Row],[Class]]="B", WORKDAY(Main[[#This Row],[Tech Start Date]],12),IF(Main[[#This Row],[Class]]="A",WORKDAY(Main[[#This Row],[Tech Start Date]],4),""))))</f>
        <v/>
      </c>
      <c r="O667" s="104" t="str">
        <f>IF(Main[[#This Row],[Tech Start Date]]&lt;1/1/1990,"",IF(Main[[#This Row],[Class]]="C",WORKDAY(Main[[#This Row],[Tech Start Date]],23),IF(Main[[#This Row],[Class]]="B", WORKDAY(Main[[#This Row],[Tech Start Date]],15),IF(Main[[#This Row],[Class]]="A",WORKDAY(Main[[#This Row],[Tech Start Date]],5),""))))</f>
        <v/>
      </c>
      <c r="P667" s="104" t="str">
        <f>IF(Main[[#This Row],[Tech Start Date]]&lt;1/1/1990,"",IF(Main[[#This Row],[Class]]="C",WORKDAY(Main[[#This Row],[Tech Start Date]],28),IF(Main[[#This Row],[Class]]="B", WORKDAY(Main[[#This Row],[Tech Start Date]],19),IF(Main[[#This Row],[Class]]="A",WORKDAY(Main[[#This Row],[Tech Start Date]],9),""))))</f>
        <v/>
      </c>
      <c r="Q667" s="101"/>
      <c r="R667" s="101"/>
      <c r="S667" s="99" t="s">
        <v>6</v>
      </c>
      <c r="T667" s="107" t="s">
        <v>4</v>
      </c>
      <c r="U667" s="99" t="s">
        <v>29</v>
      </c>
      <c r="V667" s="99" t="s">
        <v>1965</v>
      </c>
      <c r="W667" s="99" t="s">
        <v>1966</v>
      </c>
    </row>
    <row r="668" spans="1:23" ht="18.600000000000001" customHeight="1">
      <c r="A668" s="123" t="str">
        <f>IF(priority(Main[[#This Row],[Comments]])&lt;&gt;0, priority(Main[[#This Row],[Comments]]),"")</f>
        <v/>
      </c>
      <c r="B668" s="127" t="s">
        <v>1539</v>
      </c>
      <c r="C668" s="99" t="s">
        <v>4</v>
      </c>
      <c r="D668" s="100" t="s">
        <v>612</v>
      </c>
      <c r="E668" s="101">
        <v>40312.431608796294</v>
      </c>
      <c r="F668" s="101"/>
      <c r="G668" s="102" t="str">
        <f>IF(stdProdLT(Main[[#This Row],[Comments]])=0.1,"N/A",IF(stdProdLT(Main[[#This Row],[Comments]])=0,"",stdProdLT(Main[[#This Row],[Comments]])))</f>
        <v/>
      </c>
      <c r="H668" s="103" t="str">
        <f>IF(AND(Main[[#This Row],[In Stock Date]]&lt;&gt;"",Main[[#This Row],[Revised Due Date]]&lt;&gt;""),Main[[#This Row],[In Stock Date]]-Main[[#This Row],[Revised Due Date]],"")</f>
        <v/>
      </c>
      <c r="I668" s="99" t="s">
        <v>129</v>
      </c>
      <c r="J668" s="99" t="s">
        <v>4</v>
      </c>
      <c r="K668" s="99" t="s">
        <v>4</v>
      </c>
      <c r="L668" s="101"/>
      <c r="M668" s="104" t="str">
        <f>IF(Main[[#This Row],[Tech Start Date]]&lt;1/1/1990,"",IF(Main[[#This Row],[Class]]="C",WORKDAY(Main[[#This Row],[Tech Start Date]],9),IF(Main[[#This Row],[Class]]="B", WORKDAY(Main[[#This Row],[Tech Start Date]],6),IF(Main[[#This Row],[Class]]="A",WORKDAY(Main[[#This Row],[Tech Start Date]],2),""))))</f>
        <v/>
      </c>
      <c r="N668" s="104" t="str">
        <f>IF(Main[[#This Row],[Tech Start Date]]&lt;1/1/1990,"",IF(Main[[#This Row],[Class]]="C",WORKDAY(Main[[#This Row],[Tech Start Date]],19),IF(Main[[#This Row],[Class]]="B", WORKDAY(Main[[#This Row],[Tech Start Date]],12),IF(Main[[#This Row],[Class]]="A",WORKDAY(Main[[#This Row],[Tech Start Date]],4),""))))</f>
        <v/>
      </c>
      <c r="O668" s="104" t="str">
        <f>IF(Main[[#This Row],[Tech Start Date]]&lt;1/1/1990,"",IF(Main[[#This Row],[Class]]="C",WORKDAY(Main[[#This Row],[Tech Start Date]],23),IF(Main[[#This Row],[Class]]="B", WORKDAY(Main[[#This Row],[Tech Start Date]],15),IF(Main[[#This Row],[Class]]="A",WORKDAY(Main[[#This Row],[Tech Start Date]],5),""))))</f>
        <v/>
      </c>
      <c r="P668" s="104" t="str">
        <f>IF(Main[[#This Row],[Tech Start Date]]&lt;1/1/1990,"",IF(Main[[#This Row],[Class]]="C",WORKDAY(Main[[#This Row],[Tech Start Date]],28),IF(Main[[#This Row],[Class]]="B", WORKDAY(Main[[#This Row],[Tech Start Date]],19),IF(Main[[#This Row],[Class]]="A",WORKDAY(Main[[#This Row],[Tech Start Date]],9),""))))</f>
        <v/>
      </c>
      <c r="Q668" s="101">
        <v>40326</v>
      </c>
      <c r="R668" s="101"/>
      <c r="S668" s="99" t="s">
        <v>6</v>
      </c>
      <c r="T668" s="107" t="s">
        <v>4</v>
      </c>
      <c r="U668" s="99" t="s">
        <v>7</v>
      </c>
      <c r="V668" s="99" t="s">
        <v>1962</v>
      </c>
      <c r="W668" s="99" t="s">
        <v>1966</v>
      </c>
    </row>
    <row r="669" spans="1:23" ht="18.600000000000001" customHeight="1">
      <c r="A669" s="123" t="str">
        <f>IF(priority(Main[[#This Row],[Comments]])&lt;&gt;0, priority(Main[[#This Row],[Comments]]),"")</f>
        <v/>
      </c>
      <c r="B669" s="127" t="s">
        <v>1387</v>
      </c>
      <c r="C669" s="99" t="s">
        <v>4</v>
      </c>
      <c r="D669" s="100" t="s">
        <v>446</v>
      </c>
      <c r="E669" s="101">
        <v>40389.394756944443</v>
      </c>
      <c r="F669" s="101"/>
      <c r="G669" s="102" t="str">
        <f>IF(stdProdLT(Main[[#This Row],[Comments]])=0.1,"N/A",IF(stdProdLT(Main[[#This Row],[Comments]])=0,"",stdProdLT(Main[[#This Row],[Comments]])))</f>
        <v/>
      </c>
      <c r="H669" s="103" t="str">
        <f>IF(AND(Main[[#This Row],[In Stock Date]]&lt;&gt;"",Main[[#This Row],[Revised Due Date]]&lt;&gt;""),Main[[#This Row],[In Stock Date]]-Main[[#This Row],[Revised Due Date]],"")</f>
        <v/>
      </c>
      <c r="I669" s="99" t="s">
        <v>4</v>
      </c>
      <c r="J669" s="99" t="s">
        <v>28</v>
      </c>
      <c r="K669" s="99" t="s">
        <v>1974</v>
      </c>
      <c r="L669" s="101"/>
      <c r="M669" s="104" t="str">
        <f>IF(Main[[#This Row],[Tech Start Date]]&lt;1/1/1990,"",IF(Main[[#This Row],[Class]]="C",WORKDAY(Main[[#This Row],[Tech Start Date]],9),IF(Main[[#This Row],[Class]]="B", WORKDAY(Main[[#This Row],[Tech Start Date]],6),IF(Main[[#This Row],[Class]]="A",WORKDAY(Main[[#This Row],[Tech Start Date]],2),""))))</f>
        <v/>
      </c>
      <c r="N669" s="104" t="str">
        <f>IF(Main[[#This Row],[Tech Start Date]]&lt;1/1/1990,"",IF(Main[[#This Row],[Class]]="C",WORKDAY(Main[[#This Row],[Tech Start Date]],19),IF(Main[[#This Row],[Class]]="B", WORKDAY(Main[[#This Row],[Tech Start Date]],12),IF(Main[[#This Row],[Class]]="A",WORKDAY(Main[[#This Row],[Tech Start Date]],4),""))))</f>
        <v/>
      </c>
      <c r="O669" s="104" t="str">
        <f>IF(Main[[#This Row],[Tech Start Date]]&lt;1/1/1990,"",IF(Main[[#This Row],[Class]]="C",WORKDAY(Main[[#This Row],[Tech Start Date]],23),IF(Main[[#This Row],[Class]]="B", WORKDAY(Main[[#This Row],[Tech Start Date]],15),IF(Main[[#This Row],[Class]]="A",WORKDAY(Main[[#This Row],[Tech Start Date]],5),""))))</f>
        <v/>
      </c>
      <c r="P669" s="104" t="str">
        <f>IF(Main[[#This Row],[Tech Start Date]]&lt;1/1/1990,"",IF(Main[[#This Row],[Class]]="C",WORKDAY(Main[[#This Row],[Tech Start Date]],28),IF(Main[[#This Row],[Class]]="B", WORKDAY(Main[[#This Row],[Tech Start Date]],19),IF(Main[[#This Row],[Class]]="A",WORKDAY(Main[[#This Row],[Tech Start Date]],9),""))))</f>
        <v/>
      </c>
      <c r="Q669" s="101">
        <v>40451</v>
      </c>
      <c r="R669" s="101"/>
      <c r="S669" s="99" t="s">
        <v>17</v>
      </c>
      <c r="T669" s="107" t="s">
        <v>4</v>
      </c>
      <c r="U669" s="99" t="s">
        <v>7</v>
      </c>
      <c r="V669" s="99" t="s">
        <v>1962</v>
      </c>
      <c r="W669" s="99" t="s">
        <v>1967</v>
      </c>
    </row>
    <row r="670" spans="1:23" ht="18.600000000000001" customHeight="1">
      <c r="A670" s="123" t="str">
        <f>IF(priority(Main[[#This Row],[Comments]])&lt;&gt;0, priority(Main[[#This Row],[Comments]]),"")</f>
        <v/>
      </c>
      <c r="B670" s="127" t="s">
        <v>1426</v>
      </c>
      <c r="C670" s="99" t="s">
        <v>72</v>
      </c>
      <c r="D670" s="100" t="s">
        <v>483</v>
      </c>
      <c r="E670" s="101"/>
      <c r="F670" s="101">
        <v>40031</v>
      </c>
      <c r="G670" s="102" t="str">
        <f>IF(stdProdLT(Main[[#This Row],[Comments]])=0.1,"N/A",IF(stdProdLT(Main[[#This Row],[Comments]])=0,"",stdProdLT(Main[[#This Row],[Comments]])))</f>
        <v/>
      </c>
      <c r="H670" s="103" t="str">
        <f>IF(AND(Main[[#This Row],[In Stock Date]]&lt;&gt;"",Main[[#This Row],[Revised Due Date]]&lt;&gt;""),Main[[#This Row],[In Stock Date]]-Main[[#This Row],[Revised Due Date]],"")</f>
        <v/>
      </c>
      <c r="I670" s="99" t="s">
        <v>4</v>
      </c>
      <c r="J670" s="99" t="s">
        <v>4</v>
      </c>
      <c r="K670" s="99" t="s">
        <v>4</v>
      </c>
      <c r="L670" s="101"/>
      <c r="M670" s="104" t="str">
        <f>IF(Main[[#This Row],[Tech Start Date]]&lt;1/1/1990,"",IF(Main[[#This Row],[Class]]="C",WORKDAY(Main[[#This Row],[Tech Start Date]],9),IF(Main[[#This Row],[Class]]="B", WORKDAY(Main[[#This Row],[Tech Start Date]],6),IF(Main[[#This Row],[Class]]="A",WORKDAY(Main[[#This Row],[Tech Start Date]],2),""))))</f>
        <v/>
      </c>
      <c r="N670" s="104" t="str">
        <f>IF(Main[[#This Row],[Tech Start Date]]&lt;1/1/1990,"",IF(Main[[#This Row],[Class]]="C",WORKDAY(Main[[#This Row],[Tech Start Date]],19),IF(Main[[#This Row],[Class]]="B", WORKDAY(Main[[#This Row],[Tech Start Date]],12),IF(Main[[#This Row],[Class]]="A",WORKDAY(Main[[#This Row],[Tech Start Date]],4),""))))</f>
        <v/>
      </c>
      <c r="O670" s="104" t="str">
        <f>IF(Main[[#This Row],[Tech Start Date]]&lt;1/1/1990,"",IF(Main[[#This Row],[Class]]="C",WORKDAY(Main[[#This Row],[Tech Start Date]],23),IF(Main[[#This Row],[Class]]="B", WORKDAY(Main[[#This Row],[Tech Start Date]],15),IF(Main[[#This Row],[Class]]="A",WORKDAY(Main[[#This Row],[Tech Start Date]],5),""))))</f>
        <v/>
      </c>
      <c r="P670" s="104" t="str">
        <f>IF(Main[[#This Row],[Tech Start Date]]&lt;1/1/1990,"",IF(Main[[#This Row],[Class]]="C",WORKDAY(Main[[#This Row],[Tech Start Date]],28),IF(Main[[#This Row],[Class]]="B", WORKDAY(Main[[#This Row],[Tech Start Date]],19),IF(Main[[#This Row],[Class]]="A",WORKDAY(Main[[#This Row],[Tech Start Date]],9),""))))</f>
        <v/>
      </c>
      <c r="Q670" s="101">
        <v>39976</v>
      </c>
      <c r="R670" s="101"/>
      <c r="S670" s="99" t="s">
        <v>11</v>
      </c>
      <c r="T670" s="107" t="s">
        <v>4</v>
      </c>
      <c r="U670" s="99" t="s">
        <v>14</v>
      </c>
      <c r="V670" s="99" t="s">
        <v>1963</v>
      </c>
      <c r="W670" s="99" t="s">
        <v>1970</v>
      </c>
    </row>
    <row r="671" spans="1:23" ht="18.600000000000001" customHeight="1">
      <c r="A671" s="123" t="str">
        <f>IF(priority(Main[[#This Row],[Comments]])&lt;&gt;0, priority(Main[[#This Row],[Comments]]),"")</f>
        <v/>
      </c>
      <c r="B671" s="127" t="s">
        <v>1427</v>
      </c>
      <c r="C671" s="99" t="s">
        <v>83</v>
      </c>
      <c r="D671" s="100" t="s">
        <v>484</v>
      </c>
      <c r="E671" s="101"/>
      <c r="F671" s="101"/>
      <c r="G671" s="102" t="str">
        <f>IF(stdProdLT(Main[[#This Row],[Comments]])=0.1,"N/A",IF(stdProdLT(Main[[#This Row],[Comments]])=0,"",stdProdLT(Main[[#This Row],[Comments]])))</f>
        <v/>
      </c>
      <c r="H671" s="103" t="str">
        <f>IF(AND(Main[[#This Row],[In Stock Date]]&lt;&gt;"",Main[[#This Row],[Revised Due Date]]&lt;&gt;""),Main[[#This Row],[In Stock Date]]-Main[[#This Row],[Revised Due Date]],"")</f>
        <v/>
      </c>
      <c r="I671" s="99" t="s">
        <v>4</v>
      </c>
      <c r="J671" s="99" t="s">
        <v>4</v>
      </c>
      <c r="K671" s="99" t="s">
        <v>4</v>
      </c>
      <c r="L671" s="101"/>
      <c r="M671" s="104" t="str">
        <f>IF(Main[[#This Row],[Tech Start Date]]&lt;1/1/1990,"",IF(Main[[#This Row],[Class]]="C",WORKDAY(Main[[#This Row],[Tech Start Date]],9),IF(Main[[#This Row],[Class]]="B", WORKDAY(Main[[#This Row],[Tech Start Date]],6),IF(Main[[#This Row],[Class]]="A",WORKDAY(Main[[#This Row],[Tech Start Date]],2),""))))</f>
        <v/>
      </c>
      <c r="N671" s="104" t="str">
        <f>IF(Main[[#This Row],[Tech Start Date]]&lt;1/1/1990,"",IF(Main[[#This Row],[Class]]="C",WORKDAY(Main[[#This Row],[Tech Start Date]],19),IF(Main[[#This Row],[Class]]="B", WORKDAY(Main[[#This Row],[Tech Start Date]],12),IF(Main[[#This Row],[Class]]="A",WORKDAY(Main[[#This Row],[Tech Start Date]],4),""))))</f>
        <v/>
      </c>
      <c r="O671" s="104" t="str">
        <f>IF(Main[[#This Row],[Tech Start Date]]&lt;1/1/1990,"",IF(Main[[#This Row],[Class]]="C",WORKDAY(Main[[#This Row],[Tech Start Date]],23),IF(Main[[#This Row],[Class]]="B", WORKDAY(Main[[#This Row],[Tech Start Date]],15),IF(Main[[#This Row],[Class]]="A",WORKDAY(Main[[#This Row],[Tech Start Date]],5),""))))</f>
        <v/>
      </c>
      <c r="P671" s="104" t="str">
        <f>IF(Main[[#This Row],[Tech Start Date]]&lt;1/1/1990,"",IF(Main[[#This Row],[Class]]="C",WORKDAY(Main[[#This Row],[Tech Start Date]],28),IF(Main[[#This Row],[Class]]="B", WORKDAY(Main[[#This Row],[Tech Start Date]],19),IF(Main[[#This Row],[Class]]="A",WORKDAY(Main[[#This Row],[Tech Start Date]],9),""))))</f>
        <v/>
      </c>
      <c r="Q671" s="101">
        <v>40137</v>
      </c>
      <c r="R671" s="101"/>
      <c r="S671" s="99" t="s">
        <v>11</v>
      </c>
      <c r="T671" s="107" t="s">
        <v>4</v>
      </c>
      <c r="U671" s="99" t="s">
        <v>14</v>
      </c>
      <c r="V671" s="99" t="s">
        <v>1962</v>
      </c>
      <c r="W671" s="99" t="s">
        <v>1973</v>
      </c>
    </row>
    <row r="672" spans="1:23" ht="18.600000000000001" customHeight="1">
      <c r="A672" s="123" t="str">
        <f>IF(priority(Main[[#This Row],[Comments]])&lt;&gt;0, priority(Main[[#This Row],[Comments]]),"")</f>
        <v/>
      </c>
      <c r="B672" s="127" t="s">
        <v>1428</v>
      </c>
      <c r="C672" s="99" t="s">
        <v>95</v>
      </c>
      <c r="D672" s="100" t="s">
        <v>485</v>
      </c>
      <c r="E672" s="101"/>
      <c r="F672" s="101">
        <v>40196</v>
      </c>
      <c r="G672" s="102" t="str">
        <f>IF(stdProdLT(Main[[#This Row],[Comments]])=0.1,"N/A",IF(stdProdLT(Main[[#This Row],[Comments]])=0,"",stdProdLT(Main[[#This Row],[Comments]])))</f>
        <v/>
      </c>
      <c r="H672" s="103" t="str">
        <f>IF(AND(Main[[#This Row],[In Stock Date]]&lt;&gt;"",Main[[#This Row],[Revised Due Date]]&lt;&gt;""),Main[[#This Row],[In Stock Date]]-Main[[#This Row],[Revised Due Date]],"")</f>
        <v/>
      </c>
      <c r="I672" s="99" t="s">
        <v>4</v>
      </c>
      <c r="J672" s="99" t="s">
        <v>4</v>
      </c>
      <c r="K672" s="108" t="s">
        <v>4</v>
      </c>
      <c r="L672" s="101"/>
      <c r="M672" s="104" t="str">
        <f>IF(Main[[#This Row],[Tech Start Date]]&lt;1/1/1990,"",IF(Main[[#This Row],[Class]]="C",WORKDAY(Main[[#This Row],[Tech Start Date]],9),IF(Main[[#This Row],[Class]]="B", WORKDAY(Main[[#This Row],[Tech Start Date]],6),IF(Main[[#This Row],[Class]]="A",WORKDAY(Main[[#This Row],[Tech Start Date]],2),""))))</f>
        <v/>
      </c>
      <c r="N672" s="104" t="str">
        <f>IF(Main[[#This Row],[Tech Start Date]]&lt;1/1/1990,"",IF(Main[[#This Row],[Class]]="C",WORKDAY(Main[[#This Row],[Tech Start Date]],19),IF(Main[[#This Row],[Class]]="B", WORKDAY(Main[[#This Row],[Tech Start Date]],12),IF(Main[[#This Row],[Class]]="A",WORKDAY(Main[[#This Row],[Tech Start Date]],4),""))))</f>
        <v/>
      </c>
      <c r="O672" s="104" t="str">
        <f>IF(Main[[#This Row],[Tech Start Date]]&lt;1/1/1990,"",IF(Main[[#This Row],[Class]]="C",WORKDAY(Main[[#This Row],[Tech Start Date]],23),IF(Main[[#This Row],[Class]]="B", WORKDAY(Main[[#This Row],[Tech Start Date]],15),IF(Main[[#This Row],[Class]]="A",WORKDAY(Main[[#This Row],[Tech Start Date]],5),""))))</f>
        <v/>
      </c>
      <c r="P672" s="104" t="str">
        <f>IF(Main[[#This Row],[Tech Start Date]]&lt;1/1/1990,"",IF(Main[[#This Row],[Class]]="C",WORKDAY(Main[[#This Row],[Tech Start Date]],28),IF(Main[[#This Row],[Class]]="B", WORKDAY(Main[[#This Row],[Tech Start Date]],19),IF(Main[[#This Row],[Class]]="A",WORKDAY(Main[[#This Row],[Tech Start Date]],9),""))))</f>
        <v/>
      </c>
      <c r="Q672" s="101">
        <v>40077</v>
      </c>
      <c r="R672" s="101"/>
      <c r="S672" s="99" t="s">
        <v>11</v>
      </c>
      <c r="T672" s="107" t="s">
        <v>4</v>
      </c>
      <c r="U672" s="99" t="s">
        <v>14</v>
      </c>
      <c r="V672" s="99" t="s">
        <v>1965</v>
      </c>
      <c r="W672" s="99" t="s">
        <v>1970</v>
      </c>
    </row>
    <row r="673" spans="1:23" ht="18.600000000000001" customHeight="1">
      <c r="A673" s="123" t="str">
        <f>IF(priority(Main[[#This Row],[Comments]])&lt;&gt;0, priority(Main[[#This Row],[Comments]]),"")</f>
        <v/>
      </c>
      <c r="B673" s="127" t="s">
        <v>2042</v>
      </c>
      <c r="C673" s="99" t="s">
        <v>4</v>
      </c>
      <c r="D673" s="100" t="s">
        <v>2043</v>
      </c>
      <c r="E673" s="101">
        <v>40737.450219907405</v>
      </c>
      <c r="F673" s="101"/>
      <c r="G673" s="102" t="str">
        <f>IF(stdProdLT(Main[[#This Row],[Comments]])=0.1,"N/A",IF(stdProdLT(Main[[#This Row],[Comments]])=0,"",stdProdLT(Main[[#This Row],[Comments]])))</f>
        <v/>
      </c>
      <c r="H673" s="103" t="str">
        <f>IF(AND(Main[[#This Row],[In Stock Date]]&lt;&gt;"",Main[[#This Row],[Revised Due Date]]&lt;&gt;""),Main[[#This Row],[In Stock Date]]-Main[[#This Row],[Revised Due Date]],"")</f>
        <v/>
      </c>
      <c r="I673" s="99" t="s">
        <v>4</v>
      </c>
      <c r="J673" s="99" t="s">
        <v>4</v>
      </c>
      <c r="K673" s="99" t="s">
        <v>4</v>
      </c>
      <c r="L673" s="101"/>
      <c r="M673" s="104" t="str">
        <f>IF(Main[[#This Row],[Tech Start Date]]&lt;1/1/1990,"",IF(Main[[#This Row],[Class]]="C",WORKDAY(Main[[#This Row],[Tech Start Date]],9),IF(Main[[#This Row],[Class]]="B", WORKDAY(Main[[#This Row],[Tech Start Date]],6),IF(Main[[#This Row],[Class]]="A",WORKDAY(Main[[#This Row],[Tech Start Date]],2),""))))</f>
        <v/>
      </c>
      <c r="N673" s="104" t="str">
        <f>IF(Main[[#This Row],[Tech Start Date]]&lt;1/1/1990,"",IF(Main[[#This Row],[Class]]="C",WORKDAY(Main[[#This Row],[Tech Start Date]],19),IF(Main[[#This Row],[Class]]="B", WORKDAY(Main[[#This Row],[Tech Start Date]],12),IF(Main[[#This Row],[Class]]="A",WORKDAY(Main[[#This Row],[Tech Start Date]],4),""))))</f>
        <v/>
      </c>
      <c r="O673" s="104" t="str">
        <f>IF(Main[[#This Row],[Tech Start Date]]&lt;1/1/1990,"",IF(Main[[#This Row],[Class]]="C",WORKDAY(Main[[#This Row],[Tech Start Date]],23),IF(Main[[#This Row],[Class]]="B", WORKDAY(Main[[#This Row],[Tech Start Date]],15),IF(Main[[#This Row],[Class]]="A",WORKDAY(Main[[#This Row],[Tech Start Date]],5),""))))</f>
        <v/>
      </c>
      <c r="P673" s="104" t="str">
        <f>IF(Main[[#This Row],[Tech Start Date]]&lt;1/1/1990,"",IF(Main[[#This Row],[Class]]="C",WORKDAY(Main[[#This Row],[Tech Start Date]],28),IF(Main[[#This Row],[Class]]="B", WORKDAY(Main[[#This Row],[Tech Start Date]],19),IF(Main[[#This Row],[Class]]="A",WORKDAY(Main[[#This Row],[Tech Start Date]],9),""))))</f>
        <v/>
      </c>
      <c r="Q673" s="101">
        <v>40759</v>
      </c>
      <c r="R673" s="101"/>
      <c r="S673" s="99" t="s">
        <v>6</v>
      </c>
      <c r="T673" s="107" t="s">
        <v>4</v>
      </c>
      <c r="U673" s="99" t="s">
        <v>7</v>
      </c>
      <c r="V673" s="99" t="s">
        <v>1962</v>
      </c>
      <c r="W673" s="99" t="s">
        <v>1970</v>
      </c>
    </row>
    <row r="674" spans="1:23" ht="18.600000000000001" customHeight="1">
      <c r="A674" s="123" t="str">
        <f>IF(priority(Main[[#This Row],[Comments]])&lt;&gt;0, priority(Main[[#This Row],[Comments]]),"")</f>
        <v/>
      </c>
      <c r="B674" s="127" t="s">
        <v>1474</v>
      </c>
      <c r="C674" s="99" t="s">
        <v>183</v>
      </c>
      <c r="D674" s="100" t="s">
        <v>521</v>
      </c>
      <c r="E674" s="101"/>
      <c r="F674" s="101">
        <v>40374</v>
      </c>
      <c r="G674" s="102" t="str">
        <f>IF(stdProdLT(Main[[#This Row],[Comments]])=0.1,"N/A",IF(stdProdLT(Main[[#This Row],[Comments]])=0,"",stdProdLT(Main[[#This Row],[Comments]])))</f>
        <v/>
      </c>
      <c r="H674" s="103" t="str">
        <f>IF(AND(Main[[#This Row],[In Stock Date]]&lt;&gt;"",Main[[#This Row],[Revised Due Date]]&lt;&gt;""),Main[[#This Row],[In Stock Date]]-Main[[#This Row],[Revised Due Date]],"")</f>
        <v/>
      </c>
      <c r="I674" s="99" t="s">
        <v>4</v>
      </c>
      <c r="J674" s="99" t="s">
        <v>4</v>
      </c>
      <c r="K674" s="108" t="s">
        <v>4</v>
      </c>
      <c r="L674" s="101"/>
      <c r="M674" s="104" t="str">
        <f>IF(Main[[#This Row],[Tech Start Date]]&lt;1/1/1990,"",IF(Main[[#This Row],[Class]]="C",WORKDAY(Main[[#This Row],[Tech Start Date]],9),IF(Main[[#This Row],[Class]]="B", WORKDAY(Main[[#This Row],[Tech Start Date]],6),IF(Main[[#This Row],[Class]]="A",WORKDAY(Main[[#This Row],[Tech Start Date]],2),""))))</f>
        <v/>
      </c>
      <c r="N674" s="104" t="str">
        <f>IF(Main[[#This Row],[Tech Start Date]]&lt;1/1/1990,"",IF(Main[[#This Row],[Class]]="C",WORKDAY(Main[[#This Row],[Tech Start Date]],19),IF(Main[[#This Row],[Class]]="B", WORKDAY(Main[[#This Row],[Tech Start Date]],12),IF(Main[[#This Row],[Class]]="A",WORKDAY(Main[[#This Row],[Tech Start Date]],4),""))))</f>
        <v/>
      </c>
      <c r="O674" s="104" t="str">
        <f>IF(Main[[#This Row],[Tech Start Date]]&lt;1/1/1990,"",IF(Main[[#This Row],[Class]]="C",WORKDAY(Main[[#This Row],[Tech Start Date]],23),IF(Main[[#This Row],[Class]]="B", WORKDAY(Main[[#This Row],[Tech Start Date]],15),IF(Main[[#This Row],[Class]]="A",WORKDAY(Main[[#This Row],[Tech Start Date]],5),""))))</f>
        <v/>
      </c>
      <c r="P674" s="104" t="str">
        <f>IF(Main[[#This Row],[Tech Start Date]]&lt;1/1/1990,"",IF(Main[[#This Row],[Class]]="C",WORKDAY(Main[[#This Row],[Tech Start Date]],28),IF(Main[[#This Row],[Class]]="B", WORKDAY(Main[[#This Row],[Tech Start Date]],19),IF(Main[[#This Row],[Class]]="A",WORKDAY(Main[[#This Row],[Tech Start Date]],9),""))))</f>
        <v/>
      </c>
      <c r="Q674" s="101">
        <v>40298</v>
      </c>
      <c r="R674" s="101"/>
      <c r="S674" s="99" t="s">
        <v>11</v>
      </c>
      <c r="T674" s="107" t="s">
        <v>4</v>
      </c>
      <c r="U674" s="99" t="s">
        <v>14</v>
      </c>
      <c r="V674" s="99" t="s">
        <v>1962</v>
      </c>
      <c r="W674" s="99" t="s">
        <v>1968</v>
      </c>
    </row>
    <row r="675" spans="1:23" ht="18.600000000000001" customHeight="1">
      <c r="A675" s="123" t="str">
        <f>IF(priority(Main[[#This Row],[Comments]])&lt;&gt;0, priority(Main[[#This Row],[Comments]]),"")</f>
        <v/>
      </c>
      <c r="B675" s="127" t="s">
        <v>1540</v>
      </c>
      <c r="C675" s="99" t="s">
        <v>58</v>
      </c>
      <c r="D675" s="100" t="s">
        <v>583</v>
      </c>
      <c r="E675" s="101"/>
      <c r="F675" s="101">
        <v>40697</v>
      </c>
      <c r="G675" s="102" t="str">
        <f>IF(stdProdLT(Main[[#This Row],[Comments]])=0.1,"N/A",IF(stdProdLT(Main[[#This Row],[Comments]])=0,"",stdProdLT(Main[[#This Row],[Comments]])))</f>
        <v/>
      </c>
      <c r="H675" s="103" t="str">
        <f>IF(AND(Main[[#This Row],[In Stock Date]]&lt;&gt;"",Main[[#This Row],[Revised Due Date]]&lt;&gt;""),Main[[#This Row],[In Stock Date]]-Main[[#This Row],[Revised Due Date]],"")</f>
        <v/>
      </c>
      <c r="I675" s="99" t="s">
        <v>423</v>
      </c>
      <c r="J675" s="99" t="s">
        <v>75</v>
      </c>
      <c r="K675" s="99" t="s">
        <v>1969</v>
      </c>
      <c r="L675" s="101"/>
      <c r="M675" s="104" t="str">
        <f>IF(Main[[#This Row],[Tech Start Date]]&lt;1/1/1990,"",IF(Main[[#This Row],[Class]]="C",WORKDAY(Main[[#This Row],[Tech Start Date]],9),IF(Main[[#This Row],[Class]]="B", WORKDAY(Main[[#This Row],[Tech Start Date]],6),IF(Main[[#This Row],[Class]]="A",WORKDAY(Main[[#This Row],[Tech Start Date]],2),""))))</f>
        <v/>
      </c>
      <c r="N675" s="104" t="str">
        <f>IF(Main[[#This Row],[Tech Start Date]]&lt;1/1/1990,"",IF(Main[[#This Row],[Class]]="C",WORKDAY(Main[[#This Row],[Tech Start Date]],19),IF(Main[[#This Row],[Class]]="B", WORKDAY(Main[[#This Row],[Tech Start Date]],12),IF(Main[[#This Row],[Class]]="A",WORKDAY(Main[[#This Row],[Tech Start Date]],4),""))))</f>
        <v/>
      </c>
      <c r="O675" s="104" t="str">
        <f>IF(Main[[#This Row],[Tech Start Date]]&lt;1/1/1990,"",IF(Main[[#This Row],[Class]]="C",WORKDAY(Main[[#This Row],[Tech Start Date]],23),IF(Main[[#This Row],[Class]]="B", WORKDAY(Main[[#This Row],[Tech Start Date]],15),IF(Main[[#This Row],[Class]]="A",WORKDAY(Main[[#This Row],[Tech Start Date]],5),""))))</f>
        <v/>
      </c>
      <c r="P675" s="104" t="str">
        <f>IF(Main[[#This Row],[Tech Start Date]]&lt;1/1/1990,"",IF(Main[[#This Row],[Class]]="C",WORKDAY(Main[[#This Row],[Tech Start Date]],28),IF(Main[[#This Row],[Class]]="B", WORKDAY(Main[[#This Row],[Tech Start Date]],19),IF(Main[[#This Row],[Class]]="A",WORKDAY(Main[[#This Row],[Tech Start Date]],9),""))))</f>
        <v/>
      </c>
      <c r="Q675" s="101">
        <v>40539</v>
      </c>
      <c r="R675" s="101"/>
      <c r="S675" s="99" t="s">
        <v>11</v>
      </c>
      <c r="T675" s="107" t="s">
        <v>4</v>
      </c>
      <c r="U675" s="99" t="s">
        <v>14</v>
      </c>
      <c r="V675" s="99" t="s">
        <v>1972</v>
      </c>
      <c r="W675" s="99" t="s">
        <v>1968</v>
      </c>
    </row>
    <row r="676" spans="1:23" ht="18.600000000000001" customHeight="1">
      <c r="A676" s="123" t="str">
        <f>IF(priority(Main[[#This Row],[Comments]])&lt;&gt;0, priority(Main[[#This Row],[Comments]]),"")</f>
        <v/>
      </c>
      <c r="B676" s="127" t="s">
        <v>1542</v>
      </c>
      <c r="C676" s="99" t="s">
        <v>585</v>
      </c>
      <c r="D676" s="100" t="s">
        <v>586</v>
      </c>
      <c r="E676" s="101"/>
      <c r="F676" s="101">
        <v>40596</v>
      </c>
      <c r="G676" s="102" t="str">
        <f>IF(stdProdLT(Main[[#This Row],[Comments]])=0.1,"N/A",IF(stdProdLT(Main[[#This Row],[Comments]])=0,"",stdProdLT(Main[[#This Row],[Comments]])))</f>
        <v/>
      </c>
      <c r="H676" s="103" t="str">
        <f>IF(AND(Main[[#This Row],[In Stock Date]]&lt;&gt;"",Main[[#This Row],[Revised Due Date]]&lt;&gt;""),Main[[#This Row],[In Stock Date]]-Main[[#This Row],[Revised Due Date]],"")</f>
        <v/>
      </c>
      <c r="I676" s="99" t="s">
        <v>4</v>
      </c>
      <c r="J676" s="99" t="s">
        <v>28</v>
      </c>
      <c r="K676" s="99" t="s">
        <v>4</v>
      </c>
      <c r="L676" s="101"/>
      <c r="M676" s="104" t="str">
        <f>IF(Main[[#This Row],[Tech Start Date]]&lt;1/1/1990,"",IF(Main[[#This Row],[Class]]="C",WORKDAY(Main[[#This Row],[Tech Start Date]],9),IF(Main[[#This Row],[Class]]="B", WORKDAY(Main[[#This Row],[Tech Start Date]],6),IF(Main[[#This Row],[Class]]="A",WORKDAY(Main[[#This Row],[Tech Start Date]],2),""))))</f>
        <v/>
      </c>
      <c r="N676" s="104" t="str">
        <f>IF(Main[[#This Row],[Tech Start Date]]&lt;1/1/1990,"",IF(Main[[#This Row],[Class]]="C",WORKDAY(Main[[#This Row],[Tech Start Date]],19),IF(Main[[#This Row],[Class]]="B", WORKDAY(Main[[#This Row],[Tech Start Date]],12),IF(Main[[#This Row],[Class]]="A",WORKDAY(Main[[#This Row],[Tech Start Date]],4),""))))</f>
        <v/>
      </c>
      <c r="O676" s="104" t="str">
        <f>IF(Main[[#This Row],[Tech Start Date]]&lt;1/1/1990,"",IF(Main[[#This Row],[Class]]="C",WORKDAY(Main[[#This Row],[Tech Start Date]],23),IF(Main[[#This Row],[Class]]="B", WORKDAY(Main[[#This Row],[Tech Start Date]],15),IF(Main[[#This Row],[Class]]="A",WORKDAY(Main[[#This Row],[Tech Start Date]],5),""))))</f>
        <v/>
      </c>
      <c r="P676" s="104" t="str">
        <f>IF(Main[[#This Row],[Tech Start Date]]&lt;1/1/1990,"",IF(Main[[#This Row],[Class]]="C",WORKDAY(Main[[#This Row],[Tech Start Date]],28),IF(Main[[#This Row],[Class]]="B", WORKDAY(Main[[#This Row],[Tech Start Date]],19),IF(Main[[#This Row],[Class]]="A",WORKDAY(Main[[#This Row],[Tech Start Date]],9),""))))</f>
        <v/>
      </c>
      <c r="Q676" s="101">
        <v>40414</v>
      </c>
      <c r="R676" s="101"/>
      <c r="S676" s="99" t="s">
        <v>11</v>
      </c>
      <c r="T676" s="107" t="s">
        <v>4</v>
      </c>
      <c r="U676" s="99" t="s">
        <v>14</v>
      </c>
      <c r="V676" s="99" t="s">
        <v>1965</v>
      </c>
      <c r="W676" s="99" t="s">
        <v>1967</v>
      </c>
    </row>
    <row r="677" spans="1:23" ht="18.600000000000001" customHeight="1">
      <c r="A677" s="123" t="str">
        <f>IF(priority(Main[[#This Row],[Comments]])&lt;&gt;0, priority(Main[[#This Row],[Comments]]),"")</f>
        <v/>
      </c>
      <c r="B677" s="127" t="s">
        <v>1543</v>
      </c>
      <c r="C677" s="99" t="s">
        <v>587</v>
      </c>
      <c r="D677" s="100" t="s">
        <v>588</v>
      </c>
      <c r="E677" s="101"/>
      <c r="F677" s="101"/>
      <c r="G677" s="102" t="str">
        <f>IF(stdProdLT(Main[[#This Row],[Comments]])=0.1,"N/A",IF(stdProdLT(Main[[#This Row],[Comments]])=0,"",stdProdLT(Main[[#This Row],[Comments]])))</f>
        <v/>
      </c>
      <c r="H677" s="103" t="str">
        <f>IF(AND(Main[[#This Row],[In Stock Date]]&lt;&gt;"",Main[[#This Row],[Revised Due Date]]&lt;&gt;""),Main[[#This Row],[In Stock Date]]-Main[[#This Row],[Revised Due Date]],"")</f>
        <v/>
      </c>
      <c r="I677" s="99" t="s">
        <v>4</v>
      </c>
      <c r="J677" s="99" t="s">
        <v>4</v>
      </c>
      <c r="K677" s="99" t="s">
        <v>4</v>
      </c>
      <c r="L677" s="101"/>
      <c r="M677" s="104" t="str">
        <f>IF(Main[[#This Row],[Tech Start Date]]&lt;1/1/1990,"",IF(Main[[#This Row],[Class]]="C",WORKDAY(Main[[#This Row],[Tech Start Date]],9),IF(Main[[#This Row],[Class]]="B", WORKDAY(Main[[#This Row],[Tech Start Date]],6),IF(Main[[#This Row],[Class]]="A",WORKDAY(Main[[#This Row],[Tech Start Date]],2),""))))</f>
        <v/>
      </c>
      <c r="N677" s="104" t="str">
        <f>IF(Main[[#This Row],[Tech Start Date]]&lt;1/1/1990,"",IF(Main[[#This Row],[Class]]="C",WORKDAY(Main[[#This Row],[Tech Start Date]],19),IF(Main[[#This Row],[Class]]="B", WORKDAY(Main[[#This Row],[Tech Start Date]],12),IF(Main[[#This Row],[Class]]="A",WORKDAY(Main[[#This Row],[Tech Start Date]],4),""))))</f>
        <v/>
      </c>
      <c r="O677" s="104" t="str">
        <f>IF(Main[[#This Row],[Tech Start Date]]&lt;1/1/1990,"",IF(Main[[#This Row],[Class]]="C",WORKDAY(Main[[#This Row],[Tech Start Date]],23),IF(Main[[#This Row],[Class]]="B", WORKDAY(Main[[#This Row],[Tech Start Date]],15),IF(Main[[#This Row],[Class]]="A",WORKDAY(Main[[#This Row],[Tech Start Date]],5),""))))</f>
        <v/>
      </c>
      <c r="P677" s="104" t="str">
        <f>IF(Main[[#This Row],[Tech Start Date]]&lt;1/1/1990,"",IF(Main[[#This Row],[Class]]="C",WORKDAY(Main[[#This Row],[Tech Start Date]],28),IF(Main[[#This Row],[Class]]="B", WORKDAY(Main[[#This Row],[Tech Start Date]],19),IF(Main[[#This Row],[Class]]="A",WORKDAY(Main[[#This Row],[Tech Start Date]],9),""))))</f>
        <v/>
      </c>
      <c r="Q677" s="101">
        <v>40476</v>
      </c>
      <c r="R677" s="101"/>
      <c r="S677" s="99" t="s">
        <v>11</v>
      </c>
      <c r="T677" s="107" t="s">
        <v>4</v>
      </c>
      <c r="U677" s="99" t="s">
        <v>14</v>
      </c>
      <c r="V677" s="99" t="s">
        <v>1962</v>
      </c>
      <c r="W677" s="99" t="s">
        <v>1970</v>
      </c>
    </row>
    <row r="678" spans="1:23" ht="18.600000000000001" customHeight="1">
      <c r="A678" s="123" t="str">
        <f>IF(priority(Main[[#This Row],[Comments]])&lt;&gt;0, priority(Main[[#This Row],[Comments]]),"")</f>
        <v/>
      </c>
      <c r="B678" s="127" t="s">
        <v>1544</v>
      </c>
      <c r="C678" s="99" t="s">
        <v>31</v>
      </c>
      <c r="D678" s="100" t="s">
        <v>589</v>
      </c>
      <c r="E678" s="101"/>
      <c r="F678" s="101">
        <v>40330</v>
      </c>
      <c r="G678" s="102" t="str">
        <f>IF(stdProdLT(Main[[#This Row],[Comments]])=0.1,"N/A",IF(stdProdLT(Main[[#This Row],[Comments]])=0,"",stdProdLT(Main[[#This Row],[Comments]])))</f>
        <v/>
      </c>
      <c r="H678" s="103" t="str">
        <f>IF(AND(Main[[#This Row],[In Stock Date]]&lt;&gt;"",Main[[#This Row],[Revised Due Date]]&lt;&gt;""),Main[[#This Row],[In Stock Date]]-Main[[#This Row],[Revised Due Date]],"")</f>
        <v/>
      </c>
      <c r="I678" s="99" t="s">
        <v>4</v>
      </c>
      <c r="J678" s="99" t="s">
        <v>4</v>
      </c>
      <c r="K678" s="99" t="s">
        <v>4</v>
      </c>
      <c r="L678" s="101"/>
      <c r="M678" s="104" t="str">
        <f>IF(Main[[#This Row],[Tech Start Date]]&lt;1/1/1990,"",IF(Main[[#This Row],[Class]]="C",WORKDAY(Main[[#This Row],[Tech Start Date]],9),IF(Main[[#This Row],[Class]]="B", WORKDAY(Main[[#This Row],[Tech Start Date]],6),IF(Main[[#This Row],[Class]]="A",WORKDAY(Main[[#This Row],[Tech Start Date]],2),""))))</f>
        <v/>
      </c>
      <c r="N678" s="104" t="str">
        <f>IF(Main[[#This Row],[Tech Start Date]]&lt;1/1/1990,"",IF(Main[[#This Row],[Class]]="C",WORKDAY(Main[[#This Row],[Tech Start Date]],19),IF(Main[[#This Row],[Class]]="B", WORKDAY(Main[[#This Row],[Tech Start Date]],12),IF(Main[[#This Row],[Class]]="A",WORKDAY(Main[[#This Row],[Tech Start Date]],4),""))))</f>
        <v/>
      </c>
      <c r="O678" s="104" t="str">
        <f>IF(Main[[#This Row],[Tech Start Date]]&lt;1/1/1990,"",IF(Main[[#This Row],[Class]]="C",WORKDAY(Main[[#This Row],[Tech Start Date]],23),IF(Main[[#This Row],[Class]]="B", WORKDAY(Main[[#This Row],[Tech Start Date]],15),IF(Main[[#This Row],[Class]]="A",WORKDAY(Main[[#This Row],[Tech Start Date]],5),""))))</f>
        <v/>
      </c>
      <c r="P678" s="104" t="str">
        <f>IF(Main[[#This Row],[Tech Start Date]]&lt;1/1/1990,"",IF(Main[[#This Row],[Class]]="C",WORKDAY(Main[[#This Row],[Tech Start Date]],28),IF(Main[[#This Row],[Class]]="B", WORKDAY(Main[[#This Row],[Tech Start Date]],19),IF(Main[[#This Row],[Class]]="A",WORKDAY(Main[[#This Row],[Tech Start Date]],9),""))))</f>
        <v/>
      </c>
      <c r="Q678" s="101">
        <v>40210</v>
      </c>
      <c r="R678" s="101"/>
      <c r="S678" s="99" t="s">
        <v>11</v>
      </c>
      <c r="T678" s="107" t="s">
        <v>4</v>
      </c>
      <c r="U678" s="99" t="s">
        <v>14</v>
      </c>
      <c r="V678" s="99" t="s">
        <v>1963</v>
      </c>
      <c r="W678" s="99" t="s">
        <v>1968</v>
      </c>
    </row>
    <row r="679" spans="1:23" ht="18.600000000000001" customHeight="1">
      <c r="A679" s="123" t="str">
        <f>IF(priority(Main[[#This Row],[Comments]])&lt;&gt;0, priority(Main[[#This Row],[Comments]]),"")</f>
        <v/>
      </c>
      <c r="B679" s="127" t="s">
        <v>1545</v>
      </c>
      <c r="C679" s="99" t="s">
        <v>4</v>
      </c>
      <c r="D679" s="100" t="s">
        <v>590</v>
      </c>
      <c r="E679" s="101"/>
      <c r="F679" s="101"/>
      <c r="G679" s="102" t="str">
        <f>IF(stdProdLT(Main[[#This Row],[Comments]])=0.1,"N/A",IF(stdProdLT(Main[[#This Row],[Comments]])=0,"",stdProdLT(Main[[#This Row],[Comments]])))</f>
        <v/>
      </c>
      <c r="H679" s="103" t="str">
        <f>IF(AND(Main[[#This Row],[In Stock Date]]&lt;&gt;"",Main[[#This Row],[Revised Due Date]]&lt;&gt;""),Main[[#This Row],[In Stock Date]]-Main[[#This Row],[Revised Due Date]],"")</f>
        <v/>
      </c>
      <c r="I679" s="99" t="s">
        <v>4</v>
      </c>
      <c r="J679" s="99" t="s">
        <v>4</v>
      </c>
      <c r="K679" s="108" t="s">
        <v>4</v>
      </c>
      <c r="L679" s="101"/>
      <c r="M679" s="104" t="str">
        <f>IF(Main[[#This Row],[Tech Start Date]]&lt;1/1/1990,"",IF(Main[[#This Row],[Class]]="C",WORKDAY(Main[[#This Row],[Tech Start Date]],9),IF(Main[[#This Row],[Class]]="B", WORKDAY(Main[[#This Row],[Tech Start Date]],6),IF(Main[[#This Row],[Class]]="A",WORKDAY(Main[[#This Row],[Tech Start Date]],2),""))))</f>
        <v/>
      </c>
      <c r="N679" s="104" t="str">
        <f>IF(Main[[#This Row],[Tech Start Date]]&lt;1/1/1990,"",IF(Main[[#This Row],[Class]]="C",WORKDAY(Main[[#This Row],[Tech Start Date]],19),IF(Main[[#This Row],[Class]]="B", WORKDAY(Main[[#This Row],[Tech Start Date]],12),IF(Main[[#This Row],[Class]]="A",WORKDAY(Main[[#This Row],[Tech Start Date]],4),""))))</f>
        <v/>
      </c>
      <c r="O679" s="104" t="str">
        <f>IF(Main[[#This Row],[Tech Start Date]]&lt;1/1/1990,"",IF(Main[[#This Row],[Class]]="C",WORKDAY(Main[[#This Row],[Tech Start Date]],23),IF(Main[[#This Row],[Class]]="B", WORKDAY(Main[[#This Row],[Tech Start Date]],15),IF(Main[[#This Row],[Class]]="A",WORKDAY(Main[[#This Row],[Tech Start Date]],5),""))))</f>
        <v/>
      </c>
      <c r="P679" s="104" t="str">
        <f>IF(Main[[#This Row],[Tech Start Date]]&lt;1/1/1990,"",IF(Main[[#This Row],[Class]]="C",WORKDAY(Main[[#This Row],[Tech Start Date]],28),IF(Main[[#This Row],[Class]]="B", WORKDAY(Main[[#This Row],[Tech Start Date]],19),IF(Main[[#This Row],[Class]]="A",WORKDAY(Main[[#This Row],[Tech Start Date]],9),""))))</f>
        <v/>
      </c>
      <c r="Q679" s="101">
        <v>40543</v>
      </c>
      <c r="R679" s="101"/>
      <c r="S679" s="99" t="s">
        <v>17</v>
      </c>
      <c r="T679" s="107" t="s">
        <v>4</v>
      </c>
      <c r="U679" s="99" t="s">
        <v>14</v>
      </c>
      <c r="V679" s="99" t="s">
        <v>1977</v>
      </c>
      <c r="W679" s="99" t="s">
        <v>1964</v>
      </c>
    </row>
    <row r="680" spans="1:23" ht="18.600000000000001" customHeight="1">
      <c r="A680" s="123" t="str">
        <f>IF(priority(Main[[#This Row],[Comments]])&lt;&gt;0, priority(Main[[#This Row],[Comments]]),"")</f>
        <v/>
      </c>
      <c r="B680" s="127" t="s">
        <v>1546</v>
      </c>
      <c r="C680" s="99" t="s">
        <v>383</v>
      </c>
      <c r="D680" s="100" t="s">
        <v>591</v>
      </c>
      <c r="E680" s="101"/>
      <c r="F680" s="101">
        <v>40228</v>
      </c>
      <c r="G680" s="102" t="str">
        <f>IF(stdProdLT(Main[[#This Row],[Comments]])=0.1,"N/A",IF(stdProdLT(Main[[#This Row],[Comments]])=0,"",stdProdLT(Main[[#This Row],[Comments]])))</f>
        <v/>
      </c>
      <c r="H680" s="103" t="str">
        <f>IF(AND(Main[[#This Row],[In Stock Date]]&lt;&gt;"",Main[[#This Row],[Revised Due Date]]&lt;&gt;""),Main[[#This Row],[In Stock Date]]-Main[[#This Row],[Revised Due Date]],"")</f>
        <v/>
      </c>
      <c r="I680" s="99" t="s">
        <v>4</v>
      </c>
      <c r="J680" s="99" t="s">
        <v>4</v>
      </c>
      <c r="K680" s="99" t="s">
        <v>4</v>
      </c>
      <c r="L680" s="101"/>
      <c r="M680" s="104" t="str">
        <f>IF(Main[[#This Row],[Tech Start Date]]&lt;1/1/1990,"",IF(Main[[#This Row],[Class]]="C",WORKDAY(Main[[#This Row],[Tech Start Date]],9),IF(Main[[#This Row],[Class]]="B", WORKDAY(Main[[#This Row],[Tech Start Date]],6),IF(Main[[#This Row],[Class]]="A",WORKDAY(Main[[#This Row],[Tech Start Date]],2),""))))</f>
        <v/>
      </c>
      <c r="N680" s="104" t="str">
        <f>IF(Main[[#This Row],[Tech Start Date]]&lt;1/1/1990,"",IF(Main[[#This Row],[Class]]="C",WORKDAY(Main[[#This Row],[Tech Start Date]],19),IF(Main[[#This Row],[Class]]="B", WORKDAY(Main[[#This Row],[Tech Start Date]],12),IF(Main[[#This Row],[Class]]="A",WORKDAY(Main[[#This Row],[Tech Start Date]],4),""))))</f>
        <v/>
      </c>
      <c r="O680" s="104" t="str">
        <f>IF(Main[[#This Row],[Tech Start Date]]&lt;1/1/1990,"",IF(Main[[#This Row],[Class]]="C",WORKDAY(Main[[#This Row],[Tech Start Date]],23),IF(Main[[#This Row],[Class]]="B", WORKDAY(Main[[#This Row],[Tech Start Date]],15),IF(Main[[#This Row],[Class]]="A",WORKDAY(Main[[#This Row],[Tech Start Date]],5),""))))</f>
        <v/>
      </c>
      <c r="P680" s="104" t="str">
        <f>IF(Main[[#This Row],[Tech Start Date]]&lt;1/1/1990,"",IF(Main[[#This Row],[Class]]="C",WORKDAY(Main[[#This Row],[Tech Start Date]],28),IF(Main[[#This Row],[Class]]="B", WORKDAY(Main[[#This Row],[Tech Start Date]],19),IF(Main[[#This Row],[Class]]="A",WORKDAY(Main[[#This Row],[Tech Start Date]],9),""))))</f>
        <v/>
      </c>
      <c r="Q680" s="101">
        <v>40153</v>
      </c>
      <c r="R680" s="101"/>
      <c r="S680" s="99" t="s">
        <v>11</v>
      </c>
      <c r="T680" s="107" t="s">
        <v>4</v>
      </c>
      <c r="U680" s="99" t="s">
        <v>14</v>
      </c>
      <c r="V680" s="99" t="s">
        <v>1965</v>
      </c>
      <c r="W680" s="99" t="s">
        <v>1970</v>
      </c>
    </row>
    <row r="681" spans="1:23" ht="18.600000000000001" customHeight="1">
      <c r="A681" s="123" t="str">
        <f>IF(priority(Main[[#This Row],[Comments]])&lt;&gt;0, priority(Main[[#This Row],[Comments]]),"")</f>
        <v/>
      </c>
      <c r="B681" s="127" t="s">
        <v>1547</v>
      </c>
      <c r="C681" s="99" t="s">
        <v>280</v>
      </c>
      <c r="D681" s="100" t="s">
        <v>592</v>
      </c>
      <c r="E681" s="101"/>
      <c r="F681" s="101">
        <v>40186</v>
      </c>
      <c r="G681" s="102" t="str">
        <f>IF(stdProdLT(Main[[#This Row],[Comments]])=0.1,"N/A",IF(stdProdLT(Main[[#This Row],[Comments]])=0,"",stdProdLT(Main[[#This Row],[Comments]])))</f>
        <v/>
      </c>
      <c r="H681" s="103" t="str">
        <f>IF(AND(Main[[#This Row],[In Stock Date]]&lt;&gt;"",Main[[#This Row],[Revised Due Date]]&lt;&gt;""),Main[[#This Row],[In Stock Date]]-Main[[#This Row],[Revised Due Date]],"")</f>
        <v/>
      </c>
      <c r="I681" s="99" t="s">
        <v>4</v>
      </c>
      <c r="J681" s="99" t="s">
        <v>4</v>
      </c>
      <c r="K681" s="108" t="s">
        <v>4</v>
      </c>
      <c r="L681" s="101"/>
      <c r="M681" s="104" t="str">
        <f>IF(Main[[#This Row],[Tech Start Date]]&lt;1/1/1990,"",IF(Main[[#This Row],[Class]]="C",WORKDAY(Main[[#This Row],[Tech Start Date]],9),IF(Main[[#This Row],[Class]]="B", WORKDAY(Main[[#This Row],[Tech Start Date]],6),IF(Main[[#This Row],[Class]]="A",WORKDAY(Main[[#This Row],[Tech Start Date]],2),""))))</f>
        <v/>
      </c>
      <c r="N681" s="104" t="str">
        <f>IF(Main[[#This Row],[Tech Start Date]]&lt;1/1/1990,"",IF(Main[[#This Row],[Class]]="C",WORKDAY(Main[[#This Row],[Tech Start Date]],19),IF(Main[[#This Row],[Class]]="B", WORKDAY(Main[[#This Row],[Tech Start Date]],12),IF(Main[[#This Row],[Class]]="A",WORKDAY(Main[[#This Row],[Tech Start Date]],4),""))))</f>
        <v/>
      </c>
      <c r="O681" s="104" t="str">
        <f>IF(Main[[#This Row],[Tech Start Date]]&lt;1/1/1990,"",IF(Main[[#This Row],[Class]]="C",WORKDAY(Main[[#This Row],[Tech Start Date]],23),IF(Main[[#This Row],[Class]]="B", WORKDAY(Main[[#This Row],[Tech Start Date]],15),IF(Main[[#This Row],[Class]]="A",WORKDAY(Main[[#This Row],[Tech Start Date]],5),""))))</f>
        <v/>
      </c>
      <c r="P681" s="104" t="str">
        <f>IF(Main[[#This Row],[Tech Start Date]]&lt;1/1/1990,"",IF(Main[[#This Row],[Class]]="C",WORKDAY(Main[[#This Row],[Tech Start Date]],28),IF(Main[[#This Row],[Class]]="B", WORKDAY(Main[[#This Row],[Tech Start Date]],19),IF(Main[[#This Row],[Class]]="A",WORKDAY(Main[[#This Row],[Tech Start Date]],9),""))))</f>
        <v/>
      </c>
      <c r="Q681" s="101">
        <v>40186</v>
      </c>
      <c r="R681" s="101"/>
      <c r="S681" s="99" t="s">
        <v>11</v>
      </c>
      <c r="T681" s="107" t="s">
        <v>4</v>
      </c>
      <c r="U681" s="99" t="s">
        <v>14</v>
      </c>
      <c r="V681" s="99" t="s">
        <v>1965</v>
      </c>
      <c r="W681" s="99" t="s">
        <v>1970</v>
      </c>
    </row>
    <row r="682" spans="1:23" ht="18.600000000000001" customHeight="1">
      <c r="A682" s="123" t="str">
        <f>IF(priority(Main[[#This Row],[Comments]])&lt;&gt;0, priority(Main[[#This Row],[Comments]]),"")</f>
        <v/>
      </c>
      <c r="B682" s="127" t="s">
        <v>2333</v>
      </c>
      <c r="C682" s="99" t="s">
        <v>2329</v>
      </c>
      <c r="D682" s="100" t="s">
        <v>2330</v>
      </c>
      <c r="E682" s="101"/>
      <c r="F682" s="101"/>
      <c r="G682" s="102" t="str">
        <f>IF(stdProdLT(Main[[#This Row],[Comments]])=0.1,"N/A",IF(stdProdLT(Main[[#This Row],[Comments]])=0,"",stdProdLT(Main[[#This Row],[Comments]])))</f>
        <v/>
      </c>
      <c r="H682" s="103" t="str">
        <f>IF(AND(Main[[#This Row],[In Stock Date]]&lt;&gt;"",Main[[#This Row],[Revised Due Date]]&lt;&gt;""),Main[[#This Row],[In Stock Date]]-Main[[#This Row],[Revised Due Date]],"")</f>
        <v/>
      </c>
      <c r="I682" s="99" t="s">
        <v>4</v>
      </c>
      <c r="J682" s="99" t="s">
        <v>4</v>
      </c>
      <c r="K682" s="99" t="s">
        <v>4</v>
      </c>
      <c r="L682" s="101"/>
      <c r="M682" s="104" t="str">
        <f>IF(Main[[#This Row],[Tech Start Date]]&lt;1/1/1990,"",IF(Main[[#This Row],[Class]]="C",WORKDAY(Main[[#This Row],[Tech Start Date]],9),IF(Main[[#This Row],[Class]]="B", WORKDAY(Main[[#This Row],[Tech Start Date]],6),IF(Main[[#This Row],[Class]]="A",WORKDAY(Main[[#This Row],[Tech Start Date]],2),""))))</f>
        <v/>
      </c>
      <c r="N682" s="104" t="str">
        <f>IF(Main[[#This Row],[Tech Start Date]]&lt;1/1/1990,"",IF(Main[[#This Row],[Class]]="C",WORKDAY(Main[[#This Row],[Tech Start Date]],19),IF(Main[[#This Row],[Class]]="B", WORKDAY(Main[[#This Row],[Tech Start Date]],12),IF(Main[[#This Row],[Class]]="A",WORKDAY(Main[[#This Row],[Tech Start Date]],4),""))))</f>
        <v/>
      </c>
      <c r="O682" s="104" t="str">
        <f>IF(Main[[#This Row],[Tech Start Date]]&lt;1/1/1990,"",IF(Main[[#This Row],[Class]]="C",WORKDAY(Main[[#This Row],[Tech Start Date]],23),IF(Main[[#This Row],[Class]]="B", WORKDAY(Main[[#This Row],[Tech Start Date]],15),IF(Main[[#This Row],[Class]]="A",WORKDAY(Main[[#This Row],[Tech Start Date]],5),""))))</f>
        <v/>
      </c>
      <c r="P682" s="104" t="str">
        <f>IF(Main[[#This Row],[Tech Start Date]]&lt;1/1/1990,"",IF(Main[[#This Row],[Class]]="C",WORKDAY(Main[[#This Row],[Tech Start Date]],28),IF(Main[[#This Row],[Class]]="B", WORKDAY(Main[[#This Row],[Tech Start Date]],19),IF(Main[[#This Row],[Class]]="A",WORKDAY(Main[[#This Row],[Tech Start Date]],9),""))))</f>
        <v/>
      </c>
      <c r="Q682" s="101">
        <v>40806</v>
      </c>
      <c r="R682" s="101"/>
      <c r="S682" s="99" t="s">
        <v>6</v>
      </c>
      <c r="T682" s="107" t="s">
        <v>4</v>
      </c>
      <c r="U682" s="99" t="s">
        <v>12</v>
      </c>
      <c r="V682" s="99" t="s">
        <v>1963</v>
      </c>
      <c r="W682" s="99" t="s">
        <v>1970</v>
      </c>
    </row>
    <row r="683" spans="1:23" ht="18.600000000000001" customHeight="1">
      <c r="A683" s="123" t="str">
        <f>IF(priority(Main[[#This Row],[Comments]])&lt;&gt;0, priority(Main[[#This Row],[Comments]]),"")</f>
        <v/>
      </c>
      <c r="B683" s="127" t="s">
        <v>2236</v>
      </c>
      <c r="C683" s="99" t="s">
        <v>2228</v>
      </c>
      <c r="D683" s="100" t="s">
        <v>2494</v>
      </c>
      <c r="E683" s="101">
        <v>40781.402488425927</v>
      </c>
      <c r="F683" s="101"/>
      <c r="G683" s="102" t="str">
        <f>IF(stdProdLT(Main[[#This Row],[Comments]])=0.1,"N/A",IF(stdProdLT(Main[[#This Row],[Comments]])=0,"",stdProdLT(Main[[#This Row],[Comments]])))</f>
        <v/>
      </c>
      <c r="H683" s="103" t="str">
        <f>IF(AND(Main[[#This Row],[In Stock Date]]&lt;&gt;"",Main[[#This Row],[Revised Due Date]]&lt;&gt;""),Main[[#This Row],[In Stock Date]]-Main[[#This Row],[Revised Due Date]],"")</f>
        <v/>
      </c>
      <c r="I683" s="99" t="s">
        <v>69</v>
      </c>
      <c r="J683" s="99" t="s">
        <v>70</v>
      </c>
      <c r="K683" s="108" t="s">
        <v>1971</v>
      </c>
      <c r="L683" s="101"/>
      <c r="M683" s="104" t="str">
        <f>IF(Main[[#This Row],[Tech Start Date]]&lt;1/1/1990,"",IF(Main[[#This Row],[Class]]="C",WORKDAY(Main[[#This Row],[Tech Start Date]],9),IF(Main[[#This Row],[Class]]="B", WORKDAY(Main[[#This Row],[Tech Start Date]],6),IF(Main[[#This Row],[Class]]="A",WORKDAY(Main[[#This Row],[Tech Start Date]],2),""))))</f>
        <v/>
      </c>
      <c r="N683" s="104" t="str">
        <f>IF(Main[[#This Row],[Tech Start Date]]&lt;1/1/1990,"",IF(Main[[#This Row],[Class]]="C",WORKDAY(Main[[#This Row],[Tech Start Date]],19),IF(Main[[#This Row],[Class]]="B", WORKDAY(Main[[#This Row],[Tech Start Date]],12),IF(Main[[#This Row],[Class]]="A",WORKDAY(Main[[#This Row],[Tech Start Date]],4),""))))</f>
        <v/>
      </c>
      <c r="O683" s="104" t="str">
        <f>IF(Main[[#This Row],[Tech Start Date]]&lt;1/1/1990,"",IF(Main[[#This Row],[Class]]="C",WORKDAY(Main[[#This Row],[Tech Start Date]],23),IF(Main[[#This Row],[Class]]="B", WORKDAY(Main[[#This Row],[Tech Start Date]],15),IF(Main[[#This Row],[Class]]="A",WORKDAY(Main[[#This Row],[Tech Start Date]],5),""))))</f>
        <v/>
      </c>
      <c r="P683" s="104" t="str">
        <f>IF(Main[[#This Row],[Tech Start Date]]&lt;1/1/1990,"",IF(Main[[#This Row],[Class]]="C",WORKDAY(Main[[#This Row],[Tech Start Date]],28),IF(Main[[#This Row],[Class]]="B", WORKDAY(Main[[#This Row],[Tech Start Date]],19),IF(Main[[#This Row],[Class]]="A",WORKDAY(Main[[#This Row],[Tech Start Date]],9),""))))</f>
        <v/>
      </c>
      <c r="Q683" s="101">
        <v>40836</v>
      </c>
      <c r="R683" s="101"/>
      <c r="S683" s="99" t="s">
        <v>6</v>
      </c>
      <c r="T683" s="107" t="s">
        <v>4</v>
      </c>
      <c r="U683" s="99" t="s">
        <v>29</v>
      </c>
      <c r="V683" s="99" t="s">
        <v>1965</v>
      </c>
      <c r="W683" s="99" t="s">
        <v>1966</v>
      </c>
    </row>
    <row r="684" spans="1:23" ht="18.600000000000001" customHeight="1">
      <c r="A684" s="123" t="str">
        <f>IF(priority(Main[[#This Row],[Comments]])&lt;&gt;0, priority(Main[[#This Row],[Comments]]),"")</f>
        <v/>
      </c>
      <c r="B684" s="127" t="s">
        <v>1581</v>
      </c>
      <c r="C684" s="99" t="s">
        <v>4</v>
      </c>
      <c r="D684" s="100" t="s">
        <v>633</v>
      </c>
      <c r="E684" s="101"/>
      <c r="F684" s="101"/>
      <c r="G684" s="102" t="str">
        <f>IF(stdProdLT(Main[[#This Row],[Comments]])=0.1,"N/A",IF(stdProdLT(Main[[#This Row],[Comments]])=0,"",stdProdLT(Main[[#This Row],[Comments]])))</f>
        <v/>
      </c>
      <c r="H684" s="103" t="str">
        <f>IF(AND(Main[[#This Row],[In Stock Date]]&lt;&gt;"",Main[[#This Row],[Revised Due Date]]&lt;&gt;""),Main[[#This Row],[In Stock Date]]-Main[[#This Row],[Revised Due Date]],"")</f>
        <v/>
      </c>
      <c r="I684" s="99" t="s">
        <v>4</v>
      </c>
      <c r="J684" s="99" t="s">
        <v>4</v>
      </c>
      <c r="K684" s="99" t="s">
        <v>4</v>
      </c>
      <c r="L684" s="101"/>
      <c r="M684" s="104" t="str">
        <f>IF(Main[[#This Row],[Tech Start Date]]&lt;1/1/1990,"",IF(Main[[#This Row],[Class]]="C",WORKDAY(Main[[#This Row],[Tech Start Date]],9),IF(Main[[#This Row],[Class]]="B", WORKDAY(Main[[#This Row],[Tech Start Date]],6),IF(Main[[#This Row],[Class]]="A",WORKDAY(Main[[#This Row],[Tech Start Date]],2),""))))</f>
        <v/>
      </c>
      <c r="N684" s="104" t="str">
        <f>IF(Main[[#This Row],[Tech Start Date]]&lt;1/1/1990,"",IF(Main[[#This Row],[Class]]="C",WORKDAY(Main[[#This Row],[Tech Start Date]],19),IF(Main[[#This Row],[Class]]="B", WORKDAY(Main[[#This Row],[Tech Start Date]],12),IF(Main[[#This Row],[Class]]="A",WORKDAY(Main[[#This Row],[Tech Start Date]],4),""))))</f>
        <v/>
      </c>
      <c r="O684" s="104" t="str">
        <f>IF(Main[[#This Row],[Tech Start Date]]&lt;1/1/1990,"",IF(Main[[#This Row],[Class]]="C",WORKDAY(Main[[#This Row],[Tech Start Date]],23),IF(Main[[#This Row],[Class]]="B", WORKDAY(Main[[#This Row],[Tech Start Date]],15),IF(Main[[#This Row],[Class]]="A",WORKDAY(Main[[#This Row],[Tech Start Date]],5),""))))</f>
        <v/>
      </c>
      <c r="P684" s="104" t="str">
        <f>IF(Main[[#This Row],[Tech Start Date]]&lt;1/1/1990,"",IF(Main[[#This Row],[Class]]="C",WORKDAY(Main[[#This Row],[Tech Start Date]],28),IF(Main[[#This Row],[Class]]="B", WORKDAY(Main[[#This Row],[Tech Start Date]],19),IF(Main[[#This Row],[Class]]="A",WORKDAY(Main[[#This Row],[Tech Start Date]],9),""))))</f>
        <v/>
      </c>
      <c r="Q684" s="101"/>
      <c r="R684" s="101"/>
      <c r="S684" s="99" t="s">
        <v>17</v>
      </c>
      <c r="T684" s="107" t="s">
        <v>4</v>
      </c>
      <c r="U684" s="99" t="s">
        <v>12</v>
      </c>
      <c r="V684" s="99" t="s">
        <v>1962</v>
      </c>
      <c r="W684" s="99" t="s">
        <v>1964</v>
      </c>
    </row>
    <row r="685" spans="1:23" ht="18.600000000000001" customHeight="1">
      <c r="A685" s="123" t="str">
        <f>IF(priority(Main[[#This Row],[Comments]])&lt;&gt;0, priority(Main[[#This Row],[Comments]]),"")</f>
        <v/>
      </c>
      <c r="B685" s="127" t="s">
        <v>1881</v>
      </c>
      <c r="C685" s="99" t="s">
        <v>501</v>
      </c>
      <c r="D685" s="100" t="s">
        <v>910</v>
      </c>
      <c r="E685" s="101"/>
      <c r="F685" s="101"/>
      <c r="G685" s="102" t="str">
        <f>IF(stdProdLT(Main[[#This Row],[Comments]])=0.1,"N/A",IF(stdProdLT(Main[[#This Row],[Comments]])=0,"",stdProdLT(Main[[#This Row],[Comments]])))</f>
        <v/>
      </c>
      <c r="H685" s="103" t="str">
        <f>IF(AND(Main[[#This Row],[In Stock Date]]&lt;&gt;"",Main[[#This Row],[Revised Due Date]]&lt;&gt;""),Main[[#This Row],[In Stock Date]]-Main[[#This Row],[Revised Due Date]],"")</f>
        <v/>
      </c>
      <c r="I685" s="99" t="s">
        <v>126</v>
      </c>
      <c r="J685" s="99" t="s">
        <v>28</v>
      </c>
      <c r="K685" s="99" t="s">
        <v>1975</v>
      </c>
      <c r="L685" s="101"/>
      <c r="M685" s="104" t="str">
        <f>IF(Main[[#This Row],[Tech Start Date]]&lt;1/1/1990,"",IF(Main[[#This Row],[Class]]="C",WORKDAY(Main[[#This Row],[Tech Start Date]],9),IF(Main[[#This Row],[Class]]="B", WORKDAY(Main[[#This Row],[Tech Start Date]],6),IF(Main[[#This Row],[Class]]="A",WORKDAY(Main[[#This Row],[Tech Start Date]],2),""))))</f>
        <v/>
      </c>
      <c r="N685" s="104" t="str">
        <f>IF(Main[[#This Row],[Tech Start Date]]&lt;1/1/1990,"",IF(Main[[#This Row],[Class]]="C",WORKDAY(Main[[#This Row],[Tech Start Date]],19),IF(Main[[#This Row],[Class]]="B", WORKDAY(Main[[#This Row],[Tech Start Date]],12),IF(Main[[#This Row],[Class]]="A",WORKDAY(Main[[#This Row],[Tech Start Date]],4),""))))</f>
        <v/>
      </c>
      <c r="O685" s="104" t="str">
        <f>IF(Main[[#This Row],[Tech Start Date]]&lt;1/1/1990,"",IF(Main[[#This Row],[Class]]="C",WORKDAY(Main[[#This Row],[Tech Start Date]],23),IF(Main[[#This Row],[Class]]="B", WORKDAY(Main[[#This Row],[Tech Start Date]],15),IF(Main[[#This Row],[Class]]="A",WORKDAY(Main[[#This Row],[Tech Start Date]],5),""))))</f>
        <v/>
      </c>
      <c r="P685" s="104" t="str">
        <f>IF(Main[[#This Row],[Tech Start Date]]&lt;1/1/1990,"",IF(Main[[#This Row],[Class]]="C",WORKDAY(Main[[#This Row],[Tech Start Date]],28),IF(Main[[#This Row],[Class]]="B", WORKDAY(Main[[#This Row],[Tech Start Date]],19),IF(Main[[#This Row],[Class]]="A",WORKDAY(Main[[#This Row],[Tech Start Date]],9),""))))</f>
        <v/>
      </c>
      <c r="Q685" s="101">
        <v>40469</v>
      </c>
      <c r="R685" s="101">
        <v>40469</v>
      </c>
      <c r="S685" s="99" t="s">
        <v>11</v>
      </c>
      <c r="T685" s="107" t="s">
        <v>4</v>
      </c>
      <c r="U685" s="99" t="s">
        <v>14</v>
      </c>
      <c r="V685" s="99" t="s">
        <v>1962</v>
      </c>
      <c r="W685" s="99" t="s">
        <v>1970</v>
      </c>
    </row>
    <row r="686" spans="1:23" ht="18.600000000000001" customHeight="1">
      <c r="A686" s="123" t="str">
        <f>IF(priority(Main[[#This Row],[Comments]])&lt;&gt;0, priority(Main[[#This Row],[Comments]]),"")</f>
        <v/>
      </c>
      <c r="B686" s="127" t="s">
        <v>1561</v>
      </c>
      <c r="C686" s="99" t="s">
        <v>613</v>
      </c>
      <c r="D686" s="100" t="s">
        <v>614</v>
      </c>
      <c r="E686" s="101"/>
      <c r="F686" s="101">
        <v>41275</v>
      </c>
      <c r="G686" s="102" t="str">
        <f>IF(stdProdLT(Main[[#This Row],[Comments]])=0.1,"N/A",IF(stdProdLT(Main[[#This Row],[Comments]])=0,"",stdProdLT(Main[[#This Row],[Comments]])))</f>
        <v/>
      </c>
      <c r="H686" s="103" t="str">
        <f>IF(AND(Main[[#This Row],[In Stock Date]]&lt;&gt;"",Main[[#This Row],[Revised Due Date]]&lt;&gt;""),Main[[#This Row],[In Stock Date]]-Main[[#This Row],[Revised Due Date]],"")</f>
        <v/>
      </c>
      <c r="I686" s="99" t="s">
        <v>4</v>
      </c>
      <c r="J686" s="99" t="s">
        <v>4</v>
      </c>
      <c r="K686" s="108" t="s">
        <v>4</v>
      </c>
      <c r="L686" s="101"/>
      <c r="M686" s="104" t="str">
        <f>IF(Main[[#This Row],[Tech Start Date]]&lt;1/1/1990,"",IF(Main[[#This Row],[Class]]="C",WORKDAY(Main[[#This Row],[Tech Start Date]],9),IF(Main[[#This Row],[Class]]="B", WORKDAY(Main[[#This Row],[Tech Start Date]],6),IF(Main[[#This Row],[Class]]="A",WORKDAY(Main[[#This Row],[Tech Start Date]],2),""))))</f>
        <v/>
      </c>
      <c r="N686" s="104" t="str">
        <f>IF(Main[[#This Row],[Tech Start Date]]&lt;1/1/1990,"",IF(Main[[#This Row],[Class]]="C",WORKDAY(Main[[#This Row],[Tech Start Date]],19),IF(Main[[#This Row],[Class]]="B", WORKDAY(Main[[#This Row],[Tech Start Date]],12),IF(Main[[#This Row],[Class]]="A",WORKDAY(Main[[#This Row],[Tech Start Date]],4),""))))</f>
        <v/>
      </c>
      <c r="O686" s="104" t="str">
        <f>IF(Main[[#This Row],[Tech Start Date]]&lt;1/1/1990,"",IF(Main[[#This Row],[Class]]="C",WORKDAY(Main[[#This Row],[Tech Start Date]],23),IF(Main[[#This Row],[Class]]="B", WORKDAY(Main[[#This Row],[Tech Start Date]],15),IF(Main[[#This Row],[Class]]="A",WORKDAY(Main[[#This Row],[Tech Start Date]],5),""))))</f>
        <v/>
      </c>
      <c r="P686" s="104" t="str">
        <f>IF(Main[[#This Row],[Tech Start Date]]&lt;1/1/1990,"",IF(Main[[#This Row],[Class]]="C",WORKDAY(Main[[#This Row],[Tech Start Date]],28),IF(Main[[#This Row],[Class]]="B", WORKDAY(Main[[#This Row],[Tech Start Date]],19),IF(Main[[#This Row],[Class]]="A",WORKDAY(Main[[#This Row],[Tech Start Date]],9),""))))</f>
        <v/>
      </c>
      <c r="Q686" s="101">
        <v>40387</v>
      </c>
      <c r="R686" s="101"/>
      <c r="S686" s="99" t="s">
        <v>11</v>
      </c>
      <c r="T686" s="107" t="s">
        <v>4</v>
      </c>
      <c r="U686" s="99" t="s">
        <v>14</v>
      </c>
      <c r="V686" s="99" t="s">
        <v>1972</v>
      </c>
      <c r="W686" s="99" t="s">
        <v>1967</v>
      </c>
    </row>
    <row r="687" spans="1:23" ht="18.600000000000001" customHeight="1">
      <c r="A687" s="123" t="str">
        <f>IF(priority(Main[[#This Row],[Comments]])&lt;&gt;0, priority(Main[[#This Row],[Comments]]),"")</f>
        <v/>
      </c>
      <c r="B687" s="127" t="s">
        <v>1562</v>
      </c>
      <c r="C687" s="99" t="s">
        <v>613</v>
      </c>
      <c r="D687" s="100" t="s">
        <v>615</v>
      </c>
      <c r="E687" s="101"/>
      <c r="F687" s="101">
        <v>41275</v>
      </c>
      <c r="G687" s="102" t="str">
        <f>IF(stdProdLT(Main[[#This Row],[Comments]])=0.1,"N/A",IF(stdProdLT(Main[[#This Row],[Comments]])=0,"",stdProdLT(Main[[#This Row],[Comments]])))</f>
        <v/>
      </c>
      <c r="H687" s="103" t="str">
        <f>IF(AND(Main[[#This Row],[In Stock Date]]&lt;&gt;"",Main[[#This Row],[Revised Due Date]]&lt;&gt;""),Main[[#This Row],[In Stock Date]]-Main[[#This Row],[Revised Due Date]],"")</f>
        <v/>
      </c>
      <c r="I687" s="99" t="s">
        <v>4</v>
      </c>
      <c r="J687" s="99" t="s">
        <v>4</v>
      </c>
      <c r="K687" s="99" t="s">
        <v>4</v>
      </c>
      <c r="L687" s="101"/>
      <c r="M687" s="104" t="str">
        <f>IF(Main[[#This Row],[Tech Start Date]]&lt;1/1/1990,"",IF(Main[[#This Row],[Class]]="C",WORKDAY(Main[[#This Row],[Tech Start Date]],9),IF(Main[[#This Row],[Class]]="B", WORKDAY(Main[[#This Row],[Tech Start Date]],6),IF(Main[[#This Row],[Class]]="A",WORKDAY(Main[[#This Row],[Tech Start Date]],2),""))))</f>
        <v/>
      </c>
      <c r="N687" s="104" t="str">
        <f>IF(Main[[#This Row],[Tech Start Date]]&lt;1/1/1990,"",IF(Main[[#This Row],[Class]]="C",WORKDAY(Main[[#This Row],[Tech Start Date]],19),IF(Main[[#This Row],[Class]]="B", WORKDAY(Main[[#This Row],[Tech Start Date]],12),IF(Main[[#This Row],[Class]]="A",WORKDAY(Main[[#This Row],[Tech Start Date]],4),""))))</f>
        <v/>
      </c>
      <c r="O687" s="104" t="str">
        <f>IF(Main[[#This Row],[Tech Start Date]]&lt;1/1/1990,"",IF(Main[[#This Row],[Class]]="C",WORKDAY(Main[[#This Row],[Tech Start Date]],23),IF(Main[[#This Row],[Class]]="B", WORKDAY(Main[[#This Row],[Tech Start Date]],15),IF(Main[[#This Row],[Class]]="A",WORKDAY(Main[[#This Row],[Tech Start Date]],5),""))))</f>
        <v/>
      </c>
      <c r="P687" s="104" t="str">
        <f>IF(Main[[#This Row],[Tech Start Date]]&lt;1/1/1990,"",IF(Main[[#This Row],[Class]]="C",WORKDAY(Main[[#This Row],[Tech Start Date]],28),IF(Main[[#This Row],[Class]]="B", WORKDAY(Main[[#This Row],[Tech Start Date]],19),IF(Main[[#This Row],[Class]]="A",WORKDAY(Main[[#This Row],[Tech Start Date]],9),""))))</f>
        <v/>
      </c>
      <c r="Q687" s="101">
        <v>40387</v>
      </c>
      <c r="R687" s="101"/>
      <c r="S687" s="99" t="s">
        <v>11</v>
      </c>
      <c r="T687" s="107" t="s">
        <v>4</v>
      </c>
      <c r="U687" s="99" t="s">
        <v>14</v>
      </c>
      <c r="V687" s="99" t="s">
        <v>1972</v>
      </c>
      <c r="W687" s="99" t="s">
        <v>1967</v>
      </c>
    </row>
    <row r="688" spans="1:23" ht="18.600000000000001" customHeight="1">
      <c r="A688" s="123" t="str">
        <f>IF(priority(Main[[#This Row],[Comments]])&lt;&gt;0, priority(Main[[#This Row],[Comments]]),"")</f>
        <v/>
      </c>
      <c r="B688" s="127" t="s">
        <v>1563</v>
      </c>
      <c r="C688" s="99" t="s">
        <v>295</v>
      </c>
      <c r="D688" s="100" t="s">
        <v>296</v>
      </c>
      <c r="E688" s="101"/>
      <c r="F688" s="101"/>
      <c r="G688" s="102" t="str">
        <f>IF(stdProdLT(Main[[#This Row],[Comments]])=0.1,"N/A",IF(stdProdLT(Main[[#This Row],[Comments]])=0,"",stdProdLT(Main[[#This Row],[Comments]])))</f>
        <v/>
      </c>
      <c r="H688" s="103" t="str">
        <f>IF(AND(Main[[#This Row],[In Stock Date]]&lt;&gt;"",Main[[#This Row],[Revised Due Date]]&lt;&gt;""),Main[[#This Row],[In Stock Date]]-Main[[#This Row],[Revised Due Date]],"")</f>
        <v/>
      </c>
      <c r="I688" s="99" t="s">
        <v>4</v>
      </c>
      <c r="J688" s="99" t="s">
        <v>4</v>
      </c>
      <c r="K688" s="99" t="s">
        <v>4</v>
      </c>
      <c r="L688" s="101"/>
      <c r="M688" s="104" t="str">
        <f>IF(Main[[#This Row],[Tech Start Date]]&lt;1/1/1990,"",IF(Main[[#This Row],[Class]]="C",WORKDAY(Main[[#This Row],[Tech Start Date]],9),IF(Main[[#This Row],[Class]]="B", WORKDAY(Main[[#This Row],[Tech Start Date]],6),IF(Main[[#This Row],[Class]]="A",WORKDAY(Main[[#This Row],[Tech Start Date]],2),""))))</f>
        <v/>
      </c>
      <c r="N688" s="104" t="str">
        <f>IF(Main[[#This Row],[Tech Start Date]]&lt;1/1/1990,"",IF(Main[[#This Row],[Class]]="C",WORKDAY(Main[[#This Row],[Tech Start Date]],19),IF(Main[[#This Row],[Class]]="B", WORKDAY(Main[[#This Row],[Tech Start Date]],12),IF(Main[[#This Row],[Class]]="A",WORKDAY(Main[[#This Row],[Tech Start Date]],4),""))))</f>
        <v/>
      </c>
      <c r="O688" s="104" t="str">
        <f>IF(Main[[#This Row],[Tech Start Date]]&lt;1/1/1990,"",IF(Main[[#This Row],[Class]]="C",WORKDAY(Main[[#This Row],[Tech Start Date]],23),IF(Main[[#This Row],[Class]]="B", WORKDAY(Main[[#This Row],[Tech Start Date]],15),IF(Main[[#This Row],[Class]]="A",WORKDAY(Main[[#This Row],[Tech Start Date]],5),""))))</f>
        <v/>
      </c>
      <c r="P688" s="104" t="str">
        <f>IF(Main[[#This Row],[Tech Start Date]]&lt;1/1/1990,"",IF(Main[[#This Row],[Class]]="C",WORKDAY(Main[[#This Row],[Tech Start Date]],28),IF(Main[[#This Row],[Class]]="B", WORKDAY(Main[[#This Row],[Tech Start Date]],19),IF(Main[[#This Row],[Class]]="A",WORKDAY(Main[[#This Row],[Tech Start Date]],9),""))))</f>
        <v/>
      </c>
      <c r="Q688" s="101">
        <v>40052</v>
      </c>
      <c r="R688" s="101"/>
      <c r="S688" s="99" t="s">
        <v>11</v>
      </c>
      <c r="T688" s="107" t="s">
        <v>4</v>
      </c>
      <c r="U688" s="99" t="s">
        <v>14</v>
      </c>
      <c r="V688" s="99" t="s">
        <v>1965</v>
      </c>
      <c r="W688" s="99" t="s">
        <v>1964</v>
      </c>
    </row>
    <row r="689" spans="1:23" ht="18.600000000000001" customHeight="1">
      <c r="A689" s="123" t="str">
        <f>IF(priority(Main[[#This Row],[Comments]])&lt;&gt;0, priority(Main[[#This Row],[Comments]]),"")</f>
        <v/>
      </c>
      <c r="B689" s="127" t="s">
        <v>1564</v>
      </c>
      <c r="C689" s="99" t="s">
        <v>4</v>
      </c>
      <c r="D689" s="100" t="s">
        <v>616</v>
      </c>
      <c r="E689" s="101">
        <v>40533.617372685185</v>
      </c>
      <c r="F689" s="101">
        <v>40602</v>
      </c>
      <c r="G689" s="102" t="str">
        <f>IF(stdProdLT(Main[[#This Row],[Comments]])=0.1,"N/A",IF(stdProdLT(Main[[#This Row],[Comments]])=0,"",stdProdLT(Main[[#This Row],[Comments]])))</f>
        <v/>
      </c>
      <c r="H689" s="103" t="str">
        <f>IF(AND(Main[[#This Row],[In Stock Date]]&lt;&gt;"",Main[[#This Row],[Revised Due Date]]&lt;&gt;""),Main[[#This Row],[In Stock Date]]-Main[[#This Row],[Revised Due Date]],"")</f>
        <v/>
      </c>
      <c r="I689" s="99" t="s">
        <v>4</v>
      </c>
      <c r="J689" s="99" t="s">
        <v>28</v>
      </c>
      <c r="K689" s="99" t="s">
        <v>1971</v>
      </c>
      <c r="L689" s="101"/>
      <c r="M689" s="104" t="str">
        <f>IF(Main[[#This Row],[Tech Start Date]]&lt;1/1/1990,"",IF(Main[[#This Row],[Class]]="C",WORKDAY(Main[[#This Row],[Tech Start Date]],9),IF(Main[[#This Row],[Class]]="B", WORKDAY(Main[[#This Row],[Tech Start Date]],6),IF(Main[[#This Row],[Class]]="A",WORKDAY(Main[[#This Row],[Tech Start Date]],2),""))))</f>
        <v/>
      </c>
      <c r="N689" s="104" t="str">
        <f>IF(Main[[#This Row],[Tech Start Date]]&lt;1/1/1990,"",IF(Main[[#This Row],[Class]]="C",WORKDAY(Main[[#This Row],[Tech Start Date]],19),IF(Main[[#This Row],[Class]]="B", WORKDAY(Main[[#This Row],[Tech Start Date]],12),IF(Main[[#This Row],[Class]]="A",WORKDAY(Main[[#This Row],[Tech Start Date]],4),""))))</f>
        <v/>
      </c>
      <c r="O689" s="104" t="str">
        <f>IF(Main[[#This Row],[Tech Start Date]]&lt;1/1/1990,"",IF(Main[[#This Row],[Class]]="C",WORKDAY(Main[[#This Row],[Tech Start Date]],23),IF(Main[[#This Row],[Class]]="B", WORKDAY(Main[[#This Row],[Tech Start Date]],15),IF(Main[[#This Row],[Class]]="A",WORKDAY(Main[[#This Row],[Tech Start Date]],5),""))))</f>
        <v/>
      </c>
      <c r="P689" s="104" t="str">
        <f>IF(Main[[#This Row],[Tech Start Date]]&lt;1/1/1990,"",IF(Main[[#This Row],[Class]]="C",WORKDAY(Main[[#This Row],[Tech Start Date]],28),IF(Main[[#This Row],[Class]]="B", WORKDAY(Main[[#This Row],[Tech Start Date]],19),IF(Main[[#This Row],[Class]]="A",WORKDAY(Main[[#This Row],[Tech Start Date]],9),""))))</f>
        <v/>
      </c>
      <c r="Q689" s="101">
        <v>40602</v>
      </c>
      <c r="R689" s="101"/>
      <c r="S689" s="99" t="s">
        <v>6</v>
      </c>
      <c r="T689" s="107" t="s">
        <v>4</v>
      </c>
      <c r="U689" s="99" t="s">
        <v>7</v>
      </c>
      <c r="V689" s="99" t="s">
        <v>1962</v>
      </c>
      <c r="W689" s="99" t="s">
        <v>1964</v>
      </c>
    </row>
    <row r="690" spans="1:23" ht="18.600000000000001" customHeight="1">
      <c r="A690" s="123" t="str">
        <f>IF(priority(Main[[#This Row],[Comments]])&lt;&gt;0, priority(Main[[#This Row],[Comments]]),"")</f>
        <v/>
      </c>
      <c r="B690" s="127" t="s">
        <v>1565</v>
      </c>
      <c r="C690" s="99" t="s">
        <v>4</v>
      </c>
      <c r="D690" s="100" t="s">
        <v>617</v>
      </c>
      <c r="E690" s="101">
        <v>40387.693402777775</v>
      </c>
      <c r="F690" s="101"/>
      <c r="G690" s="102" t="str">
        <f>IF(stdProdLT(Main[[#This Row],[Comments]])=0.1,"N/A",IF(stdProdLT(Main[[#This Row],[Comments]])=0,"",stdProdLT(Main[[#This Row],[Comments]])))</f>
        <v/>
      </c>
      <c r="H690" s="103" t="str">
        <f>IF(AND(Main[[#This Row],[In Stock Date]]&lt;&gt;"",Main[[#This Row],[Revised Due Date]]&lt;&gt;""),Main[[#This Row],[In Stock Date]]-Main[[#This Row],[Revised Due Date]],"")</f>
        <v/>
      </c>
      <c r="I690" s="99" t="s">
        <v>4</v>
      </c>
      <c r="J690" s="99" t="s">
        <v>28</v>
      </c>
      <c r="K690" s="99" t="s">
        <v>4</v>
      </c>
      <c r="L690" s="101"/>
      <c r="M690" s="104" t="str">
        <f>IF(Main[[#This Row],[Tech Start Date]]&lt;1/1/1990,"",IF(Main[[#This Row],[Class]]="C",WORKDAY(Main[[#This Row],[Tech Start Date]],9),IF(Main[[#This Row],[Class]]="B", WORKDAY(Main[[#This Row],[Tech Start Date]],6),IF(Main[[#This Row],[Class]]="A",WORKDAY(Main[[#This Row],[Tech Start Date]],2),""))))</f>
        <v/>
      </c>
      <c r="N690" s="104" t="str">
        <f>IF(Main[[#This Row],[Tech Start Date]]&lt;1/1/1990,"",IF(Main[[#This Row],[Class]]="C",WORKDAY(Main[[#This Row],[Tech Start Date]],19),IF(Main[[#This Row],[Class]]="B", WORKDAY(Main[[#This Row],[Tech Start Date]],12),IF(Main[[#This Row],[Class]]="A",WORKDAY(Main[[#This Row],[Tech Start Date]],4),""))))</f>
        <v/>
      </c>
      <c r="O690" s="104" t="str">
        <f>IF(Main[[#This Row],[Tech Start Date]]&lt;1/1/1990,"",IF(Main[[#This Row],[Class]]="C",WORKDAY(Main[[#This Row],[Tech Start Date]],23),IF(Main[[#This Row],[Class]]="B", WORKDAY(Main[[#This Row],[Tech Start Date]],15),IF(Main[[#This Row],[Class]]="A",WORKDAY(Main[[#This Row],[Tech Start Date]],5),""))))</f>
        <v/>
      </c>
      <c r="P690" s="104" t="str">
        <f>IF(Main[[#This Row],[Tech Start Date]]&lt;1/1/1990,"",IF(Main[[#This Row],[Class]]="C",WORKDAY(Main[[#This Row],[Tech Start Date]],28),IF(Main[[#This Row],[Class]]="B", WORKDAY(Main[[#This Row],[Tech Start Date]],19),IF(Main[[#This Row],[Class]]="A",WORKDAY(Main[[#This Row],[Tech Start Date]],9),""))))</f>
        <v/>
      </c>
      <c r="Q690" s="101">
        <v>40400</v>
      </c>
      <c r="R690" s="101"/>
      <c r="S690" s="99" t="s">
        <v>6</v>
      </c>
      <c r="T690" s="107" t="s">
        <v>4</v>
      </c>
      <c r="U690" s="99" t="s">
        <v>7</v>
      </c>
      <c r="V690" s="99" t="s">
        <v>1962</v>
      </c>
      <c r="W690" s="99" t="s">
        <v>1964</v>
      </c>
    </row>
    <row r="691" spans="1:23" ht="18.600000000000001" customHeight="1">
      <c r="A691" s="123" t="str">
        <f>IF(priority(Main[[#This Row],[Comments]])&lt;&gt;0, priority(Main[[#This Row],[Comments]]),"")</f>
        <v/>
      </c>
      <c r="B691" s="127" t="s">
        <v>1566</v>
      </c>
      <c r="C691" s="99" t="s">
        <v>4</v>
      </c>
      <c r="D691" s="100" t="s">
        <v>618</v>
      </c>
      <c r="E691" s="101">
        <v>40506.643229166664</v>
      </c>
      <c r="F691" s="101"/>
      <c r="G691" s="102" t="str">
        <f>IF(stdProdLT(Main[[#This Row],[Comments]])=0.1,"N/A",IF(stdProdLT(Main[[#This Row],[Comments]])=0,"",stdProdLT(Main[[#This Row],[Comments]])))</f>
        <v/>
      </c>
      <c r="H691" s="103" t="str">
        <f>IF(AND(Main[[#This Row],[In Stock Date]]&lt;&gt;"",Main[[#This Row],[Revised Due Date]]&lt;&gt;""),Main[[#This Row],[In Stock Date]]-Main[[#This Row],[Revised Due Date]],"")</f>
        <v/>
      </c>
      <c r="I691" s="99" t="s">
        <v>4</v>
      </c>
      <c r="J691" s="99" t="s">
        <v>28</v>
      </c>
      <c r="K691" s="99" t="s">
        <v>1969</v>
      </c>
      <c r="L691" s="101"/>
      <c r="M691" s="104" t="str">
        <f>IF(Main[[#This Row],[Tech Start Date]]&lt;1/1/1990,"",IF(Main[[#This Row],[Class]]="C",WORKDAY(Main[[#This Row],[Tech Start Date]],9),IF(Main[[#This Row],[Class]]="B", WORKDAY(Main[[#This Row],[Tech Start Date]],6),IF(Main[[#This Row],[Class]]="A",WORKDAY(Main[[#This Row],[Tech Start Date]],2),""))))</f>
        <v/>
      </c>
      <c r="N691" s="104" t="str">
        <f>IF(Main[[#This Row],[Tech Start Date]]&lt;1/1/1990,"",IF(Main[[#This Row],[Class]]="C",WORKDAY(Main[[#This Row],[Tech Start Date]],19),IF(Main[[#This Row],[Class]]="B", WORKDAY(Main[[#This Row],[Tech Start Date]],12),IF(Main[[#This Row],[Class]]="A",WORKDAY(Main[[#This Row],[Tech Start Date]],4),""))))</f>
        <v/>
      </c>
      <c r="O691" s="104" t="str">
        <f>IF(Main[[#This Row],[Tech Start Date]]&lt;1/1/1990,"",IF(Main[[#This Row],[Class]]="C",WORKDAY(Main[[#This Row],[Tech Start Date]],23),IF(Main[[#This Row],[Class]]="B", WORKDAY(Main[[#This Row],[Tech Start Date]],15),IF(Main[[#This Row],[Class]]="A",WORKDAY(Main[[#This Row],[Tech Start Date]],5),""))))</f>
        <v/>
      </c>
      <c r="P691" s="104" t="str">
        <f>IF(Main[[#This Row],[Tech Start Date]]&lt;1/1/1990,"",IF(Main[[#This Row],[Class]]="C",WORKDAY(Main[[#This Row],[Tech Start Date]],28),IF(Main[[#This Row],[Class]]="B", WORKDAY(Main[[#This Row],[Tech Start Date]],19),IF(Main[[#This Row],[Class]]="A",WORKDAY(Main[[#This Row],[Tech Start Date]],9),""))))</f>
        <v/>
      </c>
      <c r="Q691" s="101">
        <v>40548</v>
      </c>
      <c r="R691" s="101"/>
      <c r="S691" s="99" t="s">
        <v>6</v>
      </c>
      <c r="T691" s="107" t="s">
        <v>4</v>
      </c>
      <c r="U691" s="99" t="s">
        <v>7</v>
      </c>
      <c r="V691" s="99" t="s">
        <v>1962</v>
      </c>
      <c r="W691" s="99" t="s">
        <v>1966</v>
      </c>
    </row>
    <row r="692" spans="1:23" ht="18.600000000000001" customHeight="1">
      <c r="A692" s="123" t="str">
        <f>IF(priority(Main[[#This Row],[Comments]])&lt;&gt;0, priority(Main[[#This Row],[Comments]]),"")</f>
        <v/>
      </c>
      <c r="B692" s="127" t="s">
        <v>1567</v>
      </c>
      <c r="C692" s="99" t="s">
        <v>4</v>
      </c>
      <c r="D692" s="100" t="s">
        <v>619</v>
      </c>
      <c r="E692" s="101">
        <v>40371.390138888892</v>
      </c>
      <c r="F692" s="101"/>
      <c r="G692" s="102" t="str">
        <f>IF(stdProdLT(Main[[#This Row],[Comments]])=0.1,"N/A",IF(stdProdLT(Main[[#This Row],[Comments]])=0,"",stdProdLT(Main[[#This Row],[Comments]])))</f>
        <v/>
      </c>
      <c r="H692" s="103" t="str">
        <f>IF(AND(Main[[#This Row],[In Stock Date]]&lt;&gt;"",Main[[#This Row],[Revised Due Date]]&lt;&gt;""),Main[[#This Row],[In Stock Date]]-Main[[#This Row],[Revised Due Date]],"")</f>
        <v/>
      </c>
      <c r="I692" s="99" t="s">
        <v>4</v>
      </c>
      <c r="J692" s="99" t="s">
        <v>4</v>
      </c>
      <c r="K692" s="99" t="s">
        <v>4</v>
      </c>
      <c r="L692" s="101"/>
      <c r="M692" s="104" t="str">
        <f>IF(Main[[#This Row],[Tech Start Date]]&lt;1/1/1990,"",IF(Main[[#This Row],[Class]]="C",WORKDAY(Main[[#This Row],[Tech Start Date]],9),IF(Main[[#This Row],[Class]]="B", WORKDAY(Main[[#This Row],[Tech Start Date]],6),IF(Main[[#This Row],[Class]]="A",WORKDAY(Main[[#This Row],[Tech Start Date]],2),""))))</f>
        <v/>
      </c>
      <c r="N692" s="104" t="str">
        <f>IF(Main[[#This Row],[Tech Start Date]]&lt;1/1/1990,"",IF(Main[[#This Row],[Class]]="C",WORKDAY(Main[[#This Row],[Tech Start Date]],19),IF(Main[[#This Row],[Class]]="B", WORKDAY(Main[[#This Row],[Tech Start Date]],12),IF(Main[[#This Row],[Class]]="A",WORKDAY(Main[[#This Row],[Tech Start Date]],4),""))))</f>
        <v/>
      </c>
      <c r="O692" s="104" t="str">
        <f>IF(Main[[#This Row],[Tech Start Date]]&lt;1/1/1990,"",IF(Main[[#This Row],[Class]]="C",WORKDAY(Main[[#This Row],[Tech Start Date]],23),IF(Main[[#This Row],[Class]]="B", WORKDAY(Main[[#This Row],[Tech Start Date]],15),IF(Main[[#This Row],[Class]]="A",WORKDAY(Main[[#This Row],[Tech Start Date]],5),""))))</f>
        <v/>
      </c>
      <c r="P692" s="104" t="str">
        <f>IF(Main[[#This Row],[Tech Start Date]]&lt;1/1/1990,"",IF(Main[[#This Row],[Class]]="C",WORKDAY(Main[[#This Row],[Tech Start Date]],28),IF(Main[[#This Row],[Class]]="B", WORKDAY(Main[[#This Row],[Tech Start Date]],19),IF(Main[[#This Row],[Class]]="A",WORKDAY(Main[[#This Row],[Tech Start Date]],9),""))))</f>
        <v/>
      </c>
      <c r="Q692" s="101">
        <v>40385</v>
      </c>
      <c r="R692" s="101"/>
      <c r="S692" s="99" t="s">
        <v>6</v>
      </c>
      <c r="T692" s="107" t="s">
        <v>4</v>
      </c>
      <c r="U692" s="99" t="s">
        <v>7</v>
      </c>
      <c r="V692" s="99" t="s">
        <v>1962</v>
      </c>
      <c r="W692" s="99" t="s">
        <v>1964</v>
      </c>
    </row>
    <row r="693" spans="1:23" ht="18.600000000000001" customHeight="1">
      <c r="A693" s="123" t="str">
        <f>IF(priority(Main[[#This Row],[Comments]])&lt;&gt;0, priority(Main[[#This Row],[Comments]]),"")</f>
        <v/>
      </c>
      <c r="B693" s="127" t="s">
        <v>1704</v>
      </c>
      <c r="C693" s="99" t="s">
        <v>4</v>
      </c>
      <c r="D693" s="100" t="s">
        <v>740</v>
      </c>
      <c r="E693" s="101"/>
      <c r="F693" s="101"/>
      <c r="G693" s="102" t="str">
        <f>IF(stdProdLT(Main[[#This Row],[Comments]])=0.1,"N/A",IF(stdProdLT(Main[[#This Row],[Comments]])=0,"",stdProdLT(Main[[#This Row],[Comments]])))</f>
        <v/>
      </c>
      <c r="H693" s="103" t="str">
        <f>IF(AND(Main[[#This Row],[In Stock Date]]&lt;&gt;"",Main[[#This Row],[Revised Due Date]]&lt;&gt;""),Main[[#This Row],[In Stock Date]]-Main[[#This Row],[Revised Due Date]],"")</f>
        <v/>
      </c>
      <c r="I693" s="99" t="s">
        <v>4</v>
      </c>
      <c r="J693" s="99" t="s">
        <v>4</v>
      </c>
      <c r="K693" s="99" t="s">
        <v>4</v>
      </c>
      <c r="L693" s="101"/>
      <c r="M693" s="104" t="str">
        <f>IF(Main[[#This Row],[Tech Start Date]]&lt;1/1/1990,"",IF(Main[[#This Row],[Class]]="C",WORKDAY(Main[[#This Row],[Tech Start Date]],9),IF(Main[[#This Row],[Class]]="B", WORKDAY(Main[[#This Row],[Tech Start Date]],6),IF(Main[[#This Row],[Class]]="A",WORKDAY(Main[[#This Row],[Tech Start Date]],2),""))))</f>
        <v/>
      </c>
      <c r="N693" s="104" t="str">
        <f>IF(Main[[#This Row],[Tech Start Date]]&lt;1/1/1990,"",IF(Main[[#This Row],[Class]]="C",WORKDAY(Main[[#This Row],[Tech Start Date]],19),IF(Main[[#This Row],[Class]]="B", WORKDAY(Main[[#This Row],[Tech Start Date]],12),IF(Main[[#This Row],[Class]]="A",WORKDAY(Main[[#This Row],[Tech Start Date]],4),""))))</f>
        <v/>
      </c>
      <c r="O693" s="104" t="str">
        <f>IF(Main[[#This Row],[Tech Start Date]]&lt;1/1/1990,"",IF(Main[[#This Row],[Class]]="C",WORKDAY(Main[[#This Row],[Tech Start Date]],23),IF(Main[[#This Row],[Class]]="B", WORKDAY(Main[[#This Row],[Tech Start Date]],15),IF(Main[[#This Row],[Class]]="A",WORKDAY(Main[[#This Row],[Tech Start Date]],5),""))))</f>
        <v/>
      </c>
      <c r="P693" s="104" t="str">
        <f>IF(Main[[#This Row],[Tech Start Date]]&lt;1/1/1990,"",IF(Main[[#This Row],[Class]]="C",WORKDAY(Main[[#This Row],[Tech Start Date]],28),IF(Main[[#This Row],[Class]]="B", WORKDAY(Main[[#This Row],[Tech Start Date]],19),IF(Main[[#This Row],[Class]]="A",WORKDAY(Main[[#This Row],[Tech Start Date]],9),""))))</f>
        <v/>
      </c>
      <c r="Q693" s="101"/>
      <c r="R693" s="101"/>
      <c r="S693" s="99" t="s">
        <v>23</v>
      </c>
      <c r="T693" s="107" t="s">
        <v>4</v>
      </c>
      <c r="U693" s="99" t="s">
        <v>14</v>
      </c>
      <c r="V693" s="99" t="s">
        <v>1962</v>
      </c>
      <c r="W693" s="99" t="s">
        <v>1966</v>
      </c>
    </row>
    <row r="694" spans="1:23" ht="18.600000000000001" customHeight="1">
      <c r="A694" s="123" t="str">
        <f>IF(priority(Main[[#This Row],[Comments]])&lt;&gt;0, priority(Main[[#This Row],[Comments]]),"")</f>
        <v/>
      </c>
      <c r="B694" s="127" t="s">
        <v>1568</v>
      </c>
      <c r="C694" s="99" t="s">
        <v>33</v>
      </c>
      <c r="D694" s="100" t="s">
        <v>620</v>
      </c>
      <c r="E694" s="101"/>
      <c r="F694" s="101">
        <v>40252</v>
      </c>
      <c r="G694" s="102" t="str">
        <f>IF(stdProdLT(Main[[#This Row],[Comments]])=0.1,"N/A",IF(stdProdLT(Main[[#This Row],[Comments]])=0,"",stdProdLT(Main[[#This Row],[Comments]])))</f>
        <v/>
      </c>
      <c r="H694" s="103" t="str">
        <f>IF(AND(Main[[#This Row],[In Stock Date]]&lt;&gt;"",Main[[#This Row],[Revised Due Date]]&lt;&gt;""),Main[[#This Row],[In Stock Date]]-Main[[#This Row],[Revised Due Date]],"")</f>
        <v/>
      </c>
      <c r="I694" s="99" t="s">
        <v>4</v>
      </c>
      <c r="J694" s="99" t="s">
        <v>4</v>
      </c>
      <c r="K694" s="99" t="s">
        <v>4</v>
      </c>
      <c r="L694" s="101"/>
      <c r="M694" s="104" t="str">
        <f>IF(Main[[#This Row],[Tech Start Date]]&lt;1/1/1990,"",IF(Main[[#This Row],[Class]]="C",WORKDAY(Main[[#This Row],[Tech Start Date]],9),IF(Main[[#This Row],[Class]]="B", WORKDAY(Main[[#This Row],[Tech Start Date]],6),IF(Main[[#This Row],[Class]]="A",WORKDAY(Main[[#This Row],[Tech Start Date]],2),""))))</f>
        <v/>
      </c>
      <c r="N694" s="104" t="str">
        <f>IF(Main[[#This Row],[Tech Start Date]]&lt;1/1/1990,"",IF(Main[[#This Row],[Class]]="C",WORKDAY(Main[[#This Row],[Tech Start Date]],19),IF(Main[[#This Row],[Class]]="B", WORKDAY(Main[[#This Row],[Tech Start Date]],12),IF(Main[[#This Row],[Class]]="A",WORKDAY(Main[[#This Row],[Tech Start Date]],4),""))))</f>
        <v/>
      </c>
      <c r="O694" s="104" t="str">
        <f>IF(Main[[#This Row],[Tech Start Date]]&lt;1/1/1990,"",IF(Main[[#This Row],[Class]]="C",WORKDAY(Main[[#This Row],[Tech Start Date]],23),IF(Main[[#This Row],[Class]]="B", WORKDAY(Main[[#This Row],[Tech Start Date]],15),IF(Main[[#This Row],[Class]]="A",WORKDAY(Main[[#This Row],[Tech Start Date]],5),""))))</f>
        <v/>
      </c>
      <c r="P694" s="104" t="str">
        <f>IF(Main[[#This Row],[Tech Start Date]]&lt;1/1/1990,"",IF(Main[[#This Row],[Class]]="C",WORKDAY(Main[[#This Row],[Tech Start Date]],28),IF(Main[[#This Row],[Class]]="B", WORKDAY(Main[[#This Row],[Tech Start Date]],19),IF(Main[[#This Row],[Class]]="A",WORKDAY(Main[[#This Row],[Tech Start Date]],9),""))))</f>
        <v/>
      </c>
      <c r="Q694" s="101">
        <v>40227</v>
      </c>
      <c r="R694" s="101"/>
      <c r="S694" s="99" t="s">
        <v>11</v>
      </c>
      <c r="T694" s="107" t="s">
        <v>4</v>
      </c>
      <c r="U694" s="99" t="s">
        <v>14</v>
      </c>
      <c r="V694" s="99" t="s">
        <v>1965</v>
      </c>
      <c r="W694" s="99" t="s">
        <v>1967</v>
      </c>
    </row>
    <row r="695" spans="1:23" ht="18.600000000000001" customHeight="1">
      <c r="A695" s="123" t="str">
        <f>IF(priority(Main[[#This Row],[Comments]])&lt;&gt;0, priority(Main[[#This Row],[Comments]]),"")</f>
        <v/>
      </c>
      <c r="B695" s="127" t="s">
        <v>1569</v>
      </c>
      <c r="C695" s="99" t="s">
        <v>4</v>
      </c>
      <c r="D695" s="100" t="s">
        <v>621</v>
      </c>
      <c r="E695" s="101"/>
      <c r="F695" s="101"/>
      <c r="G695" s="102" t="str">
        <f>IF(stdProdLT(Main[[#This Row],[Comments]])=0.1,"N/A",IF(stdProdLT(Main[[#This Row],[Comments]])=0,"",stdProdLT(Main[[#This Row],[Comments]])))</f>
        <v/>
      </c>
      <c r="H695" s="103" t="str">
        <f>IF(AND(Main[[#This Row],[In Stock Date]]&lt;&gt;"",Main[[#This Row],[Revised Due Date]]&lt;&gt;""),Main[[#This Row],[In Stock Date]]-Main[[#This Row],[Revised Due Date]],"")</f>
        <v/>
      </c>
      <c r="I695" s="99" t="s">
        <v>4</v>
      </c>
      <c r="J695" s="99" t="s">
        <v>28</v>
      </c>
      <c r="K695" s="99" t="s">
        <v>1971</v>
      </c>
      <c r="L695" s="101"/>
      <c r="M695" s="104" t="str">
        <f>IF(Main[[#This Row],[Tech Start Date]]&lt;1/1/1990,"",IF(Main[[#This Row],[Class]]="C",WORKDAY(Main[[#This Row],[Tech Start Date]],9),IF(Main[[#This Row],[Class]]="B", WORKDAY(Main[[#This Row],[Tech Start Date]],6),IF(Main[[#This Row],[Class]]="A",WORKDAY(Main[[#This Row],[Tech Start Date]],2),""))))</f>
        <v/>
      </c>
      <c r="N695" s="104" t="str">
        <f>IF(Main[[#This Row],[Tech Start Date]]&lt;1/1/1990,"",IF(Main[[#This Row],[Class]]="C",WORKDAY(Main[[#This Row],[Tech Start Date]],19),IF(Main[[#This Row],[Class]]="B", WORKDAY(Main[[#This Row],[Tech Start Date]],12),IF(Main[[#This Row],[Class]]="A",WORKDAY(Main[[#This Row],[Tech Start Date]],4),""))))</f>
        <v/>
      </c>
      <c r="O695" s="104" t="str">
        <f>IF(Main[[#This Row],[Tech Start Date]]&lt;1/1/1990,"",IF(Main[[#This Row],[Class]]="C",WORKDAY(Main[[#This Row],[Tech Start Date]],23),IF(Main[[#This Row],[Class]]="B", WORKDAY(Main[[#This Row],[Tech Start Date]],15),IF(Main[[#This Row],[Class]]="A",WORKDAY(Main[[#This Row],[Tech Start Date]],5),""))))</f>
        <v/>
      </c>
      <c r="P695" s="104" t="str">
        <f>IF(Main[[#This Row],[Tech Start Date]]&lt;1/1/1990,"",IF(Main[[#This Row],[Class]]="C",WORKDAY(Main[[#This Row],[Tech Start Date]],28),IF(Main[[#This Row],[Class]]="B", WORKDAY(Main[[#This Row],[Tech Start Date]],19),IF(Main[[#This Row],[Class]]="A",WORKDAY(Main[[#This Row],[Tech Start Date]],9),""))))</f>
        <v/>
      </c>
      <c r="Q695" s="101">
        <v>40387</v>
      </c>
      <c r="R695" s="101"/>
      <c r="S695" s="99" t="s">
        <v>6</v>
      </c>
      <c r="T695" s="107" t="s">
        <v>4</v>
      </c>
      <c r="U695" s="99" t="s">
        <v>14</v>
      </c>
      <c r="V695" s="99" t="s">
        <v>1962</v>
      </c>
      <c r="W695" s="99" t="s">
        <v>1967</v>
      </c>
    </row>
    <row r="696" spans="1:23" ht="18.600000000000001" customHeight="1">
      <c r="A696" s="123" t="str">
        <f>IF(priority(Main[[#This Row],[Comments]])&lt;&gt;0, priority(Main[[#This Row],[Comments]]),"")</f>
        <v/>
      </c>
      <c r="B696" s="127" t="s">
        <v>1570</v>
      </c>
      <c r="C696" s="99" t="s">
        <v>214</v>
      </c>
      <c r="D696" s="100" t="s">
        <v>419</v>
      </c>
      <c r="E696" s="101"/>
      <c r="F696" s="101">
        <v>40391</v>
      </c>
      <c r="G696" s="102" t="str">
        <f>IF(stdProdLT(Main[[#This Row],[Comments]])=0.1,"N/A",IF(stdProdLT(Main[[#This Row],[Comments]])=0,"",stdProdLT(Main[[#This Row],[Comments]])))</f>
        <v/>
      </c>
      <c r="H696" s="103" t="str">
        <f>IF(AND(Main[[#This Row],[In Stock Date]]&lt;&gt;"",Main[[#This Row],[Revised Due Date]]&lt;&gt;""),Main[[#This Row],[In Stock Date]]-Main[[#This Row],[Revised Due Date]],"")</f>
        <v/>
      </c>
      <c r="I696" s="99" t="s">
        <v>4</v>
      </c>
      <c r="J696" s="99" t="s">
        <v>4</v>
      </c>
      <c r="K696" s="99" t="s">
        <v>4</v>
      </c>
      <c r="L696" s="101"/>
      <c r="M696" s="104" t="str">
        <f>IF(Main[[#This Row],[Tech Start Date]]&lt;1/1/1990,"",IF(Main[[#This Row],[Class]]="C",WORKDAY(Main[[#This Row],[Tech Start Date]],9),IF(Main[[#This Row],[Class]]="B", WORKDAY(Main[[#This Row],[Tech Start Date]],6),IF(Main[[#This Row],[Class]]="A",WORKDAY(Main[[#This Row],[Tech Start Date]],2),""))))</f>
        <v/>
      </c>
      <c r="N696" s="104" t="str">
        <f>IF(Main[[#This Row],[Tech Start Date]]&lt;1/1/1990,"",IF(Main[[#This Row],[Class]]="C",WORKDAY(Main[[#This Row],[Tech Start Date]],19),IF(Main[[#This Row],[Class]]="B", WORKDAY(Main[[#This Row],[Tech Start Date]],12),IF(Main[[#This Row],[Class]]="A",WORKDAY(Main[[#This Row],[Tech Start Date]],4),""))))</f>
        <v/>
      </c>
      <c r="O696" s="104" t="str">
        <f>IF(Main[[#This Row],[Tech Start Date]]&lt;1/1/1990,"",IF(Main[[#This Row],[Class]]="C",WORKDAY(Main[[#This Row],[Tech Start Date]],23),IF(Main[[#This Row],[Class]]="B", WORKDAY(Main[[#This Row],[Tech Start Date]],15),IF(Main[[#This Row],[Class]]="A",WORKDAY(Main[[#This Row],[Tech Start Date]],5),""))))</f>
        <v/>
      </c>
      <c r="P696" s="104" t="str">
        <f>IF(Main[[#This Row],[Tech Start Date]]&lt;1/1/1990,"",IF(Main[[#This Row],[Class]]="C",WORKDAY(Main[[#This Row],[Tech Start Date]],28),IF(Main[[#This Row],[Class]]="B", WORKDAY(Main[[#This Row],[Tech Start Date]],19),IF(Main[[#This Row],[Class]]="A",WORKDAY(Main[[#This Row],[Tech Start Date]],9),""))))</f>
        <v/>
      </c>
      <c r="Q696" s="101">
        <v>40296</v>
      </c>
      <c r="R696" s="101"/>
      <c r="S696" s="99" t="s">
        <v>11</v>
      </c>
      <c r="T696" s="107" t="s">
        <v>4</v>
      </c>
      <c r="U696" s="99" t="s">
        <v>12</v>
      </c>
      <c r="V696" s="99" t="s">
        <v>1962</v>
      </c>
      <c r="W696" s="99" t="s">
        <v>1970</v>
      </c>
    </row>
    <row r="697" spans="1:23" ht="18.600000000000001" customHeight="1">
      <c r="A697" s="123" t="str">
        <f>IF(priority(Main[[#This Row],[Comments]])&lt;&gt;0, priority(Main[[#This Row],[Comments]]),"")</f>
        <v/>
      </c>
      <c r="B697" s="127" t="s">
        <v>1571</v>
      </c>
      <c r="C697" s="99" t="s">
        <v>214</v>
      </c>
      <c r="D697" s="100" t="s">
        <v>419</v>
      </c>
      <c r="E697" s="101"/>
      <c r="F697" s="101">
        <v>40452</v>
      </c>
      <c r="G697" s="102" t="str">
        <f>IF(stdProdLT(Main[[#This Row],[Comments]])=0.1,"N/A",IF(stdProdLT(Main[[#This Row],[Comments]])=0,"",stdProdLT(Main[[#This Row],[Comments]])))</f>
        <v/>
      </c>
      <c r="H697" s="103" t="str">
        <f>IF(AND(Main[[#This Row],[In Stock Date]]&lt;&gt;"",Main[[#This Row],[Revised Due Date]]&lt;&gt;""),Main[[#This Row],[In Stock Date]]-Main[[#This Row],[Revised Due Date]],"")</f>
        <v/>
      </c>
      <c r="I697" s="99" t="s">
        <v>4</v>
      </c>
      <c r="J697" s="99" t="s">
        <v>4</v>
      </c>
      <c r="K697" s="108" t="s">
        <v>4</v>
      </c>
      <c r="L697" s="101"/>
      <c r="M697" s="104" t="str">
        <f>IF(Main[[#This Row],[Tech Start Date]]&lt;1/1/1990,"",IF(Main[[#This Row],[Class]]="C",WORKDAY(Main[[#This Row],[Tech Start Date]],9),IF(Main[[#This Row],[Class]]="B", WORKDAY(Main[[#This Row],[Tech Start Date]],6),IF(Main[[#This Row],[Class]]="A",WORKDAY(Main[[#This Row],[Tech Start Date]],2),""))))</f>
        <v/>
      </c>
      <c r="N697" s="104" t="str">
        <f>IF(Main[[#This Row],[Tech Start Date]]&lt;1/1/1990,"",IF(Main[[#This Row],[Class]]="C",WORKDAY(Main[[#This Row],[Tech Start Date]],19),IF(Main[[#This Row],[Class]]="B", WORKDAY(Main[[#This Row],[Tech Start Date]],12),IF(Main[[#This Row],[Class]]="A",WORKDAY(Main[[#This Row],[Tech Start Date]],4),""))))</f>
        <v/>
      </c>
      <c r="O697" s="104" t="str">
        <f>IF(Main[[#This Row],[Tech Start Date]]&lt;1/1/1990,"",IF(Main[[#This Row],[Class]]="C",WORKDAY(Main[[#This Row],[Tech Start Date]],23),IF(Main[[#This Row],[Class]]="B", WORKDAY(Main[[#This Row],[Tech Start Date]],15),IF(Main[[#This Row],[Class]]="A",WORKDAY(Main[[#This Row],[Tech Start Date]],5),""))))</f>
        <v/>
      </c>
      <c r="P697" s="104" t="str">
        <f>IF(Main[[#This Row],[Tech Start Date]]&lt;1/1/1990,"",IF(Main[[#This Row],[Class]]="C",WORKDAY(Main[[#This Row],[Tech Start Date]],28),IF(Main[[#This Row],[Class]]="B", WORKDAY(Main[[#This Row],[Tech Start Date]],19),IF(Main[[#This Row],[Class]]="A",WORKDAY(Main[[#This Row],[Tech Start Date]],9),""))))</f>
        <v/>
      </c>
      <c r="Q697" s="101">
        <v>40357</v>
      </c>
      <c r="R697" s="101"/>
      <c r="S697" s="99" t="s">
        <v>11</v>
      </c>
      <c r="T697" s="107" t="s">
        <v>4</v>
      </c>
      <c r="U697" s="99" t="s">
        <v>12</v>
      </c>
      <c r="V697" s="99" t="s">
        <v>1962</v>
      </c>
      <c r="W697" s="99" t="s">
        <v>1970</v>
      </c>
    </row>
    <row r="698" spans="1:23" ht="18.600000000000001" customHeight="1">
      <c r="A698" s="123" t="str">
        <f>IF(priority(Main[[#This Row],[Comments]])&lt;&gt;0, priority(Main[[#This Row],[Comments]]),"")</f>
        <v/>
      </c>
      <c r="B698" s="127" t="s">
        <v>1572</v>
      </c>
      <c r="C698" s="99" t="s">
        <v>214</v>
      </c>
      <c r="D698" s="100" t="s">
        <v>215</v>
      </c>
      <c r="E698" s="101"/>
      <c r="F698" s="101">
        <v>40452</v>
      </c>
      <c r="G698" s="102" t="str">
        <f>IF(stdProdLT(Main[[#This Row],[Comments]])=0.1,"N/A",IF(stdProdLT(Main[[#This Row],[Comments]])=0,"",stdProdLT(Main[[#This Row],[Comments]])))</f>
        <v/>
      </c>
      <c r="H698" s="103" t="str">
        <f>IF(AND(Main[[#This Row],[In Stock Date]]&lt;&gt;"",Main[[#This Row],[Revised Due Date]]&lt;&gt;""),Main[[#This Row],[In Stock Date]]-Main[[#This Row],[Revised Due Date]],"")</f>
        <v/>
      </c>
      <c r="I698" s="99" t="s">
        <v>4</v>
      </c>
      <c r="J698" s="99" t="s">
        <v>4</v>
      </c>
      <c r="K698" s="99" t="s">
        <v>4</v>
      </c>
      <c r="L698" s="101"/>
      <c r="M698" s="104" t="str">
        <f>IF(Main[[#This Row],[Tech Start Date]]&lt;1/1/1990,"",IF(Main[[#This Row],[Class]]="C",WORKDAY(Main[[#This Row],[Tech Start Date]],9),IF(Main[[#This Row],[Class]]="B", WORKDAY(Main[[#This Row],[Tech Start Date]],6),IF(Main[[#This Row],[Class]]="A",WORKDAY(Main[[#This Row],[Tech Start Date]],2),""))))</f>
        <v/>
      </c>
      <c r="N698" s="104" t="str">
        <f>IF(Main[[#This Row],[Tech Start Date]]&lt;1/1/1990,"",IF(Main[[#This Row],[Class]]="C",WORKDAY(Main[[#This Row],[Tech Start Date]],19),IF(Main[[#This Row],[Class]]="B", WORKDAY(Main[[#This Row],[Tech Start Date]],12),IF(Main[[#This Row],[Class]]="A",WORKDAY(Main[[#This Row],[Tech Start Date]],4),""))))</f>
        <v/>
      </c>
      <c r="O698" s="104" t="str">
        <f>IF(Main[[#This Row],[Tech Start Date]]&lt;1/1/1990,"",IF(Main[[#This Row],[Class]]="C",WORKDAY(Main[[#This Row],[Tech Start Date]],23),IF(Main[[#This Row],[Class]]="B", WORKDAY(Main[[#This Row],[Tech Start Date]],15),IF(Main[[#This Row],[Class]]="A",WORKDAY(Main[[#This Row],[Tech Start Date]],5),""))))</f>
        <v/>
      </c>
      <c r="P698" s="104" t="str">
        <f>IF(Main[[#This Row],[Tech Start Date]]&lt;1/1/1990,"",IF(Main[[#This Row],[Class]]="C",WORKDAY(Main[[#This Row],[Tech Start Date]],28),IF(Main[[#This Row],[Class]]="B", WORKDAY(Main[[#This Row],[Tech Start Date]],19),IF(Main[[#This Row],[Class]]="A",WORKDAY(Main[[#This Row],[Tech Start Date]],9),""))))</f>
        <v/>
      </c>
      <c r="Q698" s="101">
        <v>40357</v>
      </c>
      <c r="R698" s="101"/>
      <c r="S698" s="99" t="s">
        <v>11</v>
      </c>
      <c r="T698" s="107" t="s">
        <v>4</v>
      </c>
      <c r="U698" s="99" t="s">
        <v>12</v>
      </c>
      <c r="V698" s="99" t="s">
        <v>1962</v>
      </c>
      <c r="W698" s="99" t="s">
        <v>1970</v>
      </c>
    </row>
    <row r="699" spans="1:23" ht="18.600000000000001" customHeight="1">
      <c r="A699" s="123" t="str">
        <f>IF(priority(Main[[#This Row],[Comments]])&lt;&gt;0, priority(Main[[#This Row],[Comments]]),"")</f>
        <v/>
      </c>
      <c r="B699" s="127" t="s">
        <v>1573</v>
      </c>
      <c r="C699" s="99" t="s">
        <v>214</v>
      </c>
      <c r="D699" s="100" t="s">
        <v>215</v>
      </c>
      <c r="E699" s="101"/>
      <c r="F699" s="101">
        <v>40452</v>
      </c>
      <c r="G699" s="102" t="str">
        <f>IF(stdProdLT(Main[[#This Row],[Comments]])=0.1,"N/A",IF(stdProdLT(Main[[#This Row],[Comments]])=0,"",stdProdLT(Main[[#This Row],[Comments]])))</f>
        <v/>
      </c>
      <c r="H699" s="103" t="str">
        <f>IF(AND(Main[[#This Row],[In Stock Date]]&lt;&gt;"",Main[[#This Row],[Revised Due Date]]&lt;&gt;""),Main[[#This Row],[In Stock Date]]-Main[[#This Row],[Revised Due Date]],"")</f>
        <v/>
      </c>
      <c r="I699" s="99" t="s">
        <v>4</v>
      </c>
      <c r="J699" s="99" t="s">
        <v>4</v>
      </c>
      <c r="K699" s="99" t="s">
        <v>4</v>
      </c>
      <c r="L699" s="101"/>
      <c r="M699" s="104" t="str">
        <f>IF(Main[[#This Row],[Tech Start Date]]&lt;1/1/1990,"",IF(Main[[#This Row],[Class]]="C",WORKDAY(Main[[#This Row],[Tech Start Date]],9),IF(Main[[#This Row],[Class]]="B", WORKDAY(Main[[#This Row],[Tech Start Date]],6),IF(Main[[#This Row],[Class]]="A",WORKDAY(Main[[#This Row],[Tech Start Date]],2),""))))</f>
        <v/>
      </c>
      <c r="N699" s="104" t="str">
        <f>IF(Main[[#This Row],[Tech Start Date]]&lt;1/1/1990,"",IF(Main[[#This Row],[Class]]="C",WORKDAY(Main[[#This Row],[Tech Start Date]],19),IF(Main[[#This Row],[Class]]="B", WORKDAY(Main[[#This Row],[Tech Start Date]],12),IF(Main[[#This Row],[Class]]="A",WORKDAY(Main[[#This Row],[Tech Start Date]],4),""))))</f>
        <v/>
      </c>
      <c r="O699" s="104" t="str">
        <f>IF(Main[[#This Row],[Tech Start Date]]&lt;1/1/1990,"",IF(Main[[#This Row],[Class]]="C",WORKDAY(Main[[#This Row],[Tech Start Date]],23),IF(Main[[#This Row],[Class]]="B", WORKDAY(Main[[#This Row],[Tech Start Date]],15),IF(Main[[#This Row],[Class]]="A",WORKDAY(Main[[#This Row],[Tech Start Date]],5),""))))</f>
        <v/>
      </c>
      <c r="P699" s="104" t="str">
        <f>IF(Main[[#This Row],[Tech Start Date]]&lt;1/1/1990,"",IF(Main[[#This Row],[Class]]="C",WORKDAY(Main[[#This Row],[Tech Start Date]],28),IF(Main[[#This Row],[Class]]="B", WORKDAY(Main[[#This Row],[Tech Start Date]],19),IF(Main[[#This Row],[Class]]="A",WORKDAY(Main[[#This Row],[Tech Start Date]],9),""))))</f>
        <v/>
      </c>
      <c r="Q699" s="101">
        <v>40357</v>
      </c>
      <c r="R699" s="101"/>
      <c r="S699" s="99" t="s">
        <v>11</v>
      </c>
      <c r="T699" s="107" t="s">
        <v>4</v>
      </c>
      <c r="U699" s="99" t="s">
        <v>12</v>
      </c>
      <c r="V699" s="99" t="s">
        <v>1962</v>
      </c>
      <c r="W699" s="99" t="s">
        <v>1970</v>
      </c>
    </row>
    <row r="700" spans="1:23" ht="18.600000000000001" customHeight="1">
      <c r="A700" s="123" t="str">
        <f>IF(priority(Main[[#This Row],[Comments]])&lt;&gt;0, priority(Main[[#This Row],[Comments]]),"")</f>
        <v/>
      </c>
      <c r="B700" s="127" t="s">
        <v>1574</v>
      </c>
      <c r="C700" s="99" t="s">
        <v>72</v>
      </c>
      <c r="D700" s="100" t="s">
        <v>622</v>
      </c>
      <c r="E700" s="101"/>
      <c r="F700" s="101"/>
      <c r="G700" s="102" t="str">
        <f>IF(stdProdLT(Main[[#This Row],[Comments]])=0.1,"N/A",IF(stdProdLT(Main[[#This Row],[Comments]])=0,"",stdProdLT(Main[[#This Row],[Comments]])))</f>
        <v/>
      </c>
      <c r="H700" s="103" t="str">
        <f>IF(AND(Main[[#This Row],[In Stock Date]]&lt;&gt;"",Main[[#This Row],[Revised Due Date]]&lt;&gt;""),Main[[#This Row],[In Stock Date]]-Main[[#This Row],[Revised Due Date]],"")</f>
        <v/>
      </c>
      <c r="I700" s="99" t="s">
        <v>4</v>
      </c>
      <c r="J700" s="99" t="s">
        <v>4</v>
      </c>
      <c r="K700" s="99" t="s">
        <v>4</v>
      </c>
      <c r="L700" s="101"/>
      <c r="M700" s="104" t="str">
        <f>IF(Main[[#This Row],[Tech Start Date]]&lt;1/1/1990,"",IF(Main[[#This Row],[Class]]="C",WORKDAY(Main[[#This Row],[Tech Start Date]],9),IF(Main[[#This Row],[Class]]="B", WORKDAY(Main[[#This Row],[Tech Start Date]],6),IF(Main[[#This Row],[Class]]="A",WORKDAY(Main[[#This Row],[Tech Start Date]],2),""))))</f>
        <v/>
      </c>
      <c r="N700" s="104" t="str">
        <f>IF(Main[[#This Row],[Tech Start Date]]&lt;1/1/1990,"",IF(Main[[#This Row],[Class]]="C",WORKDAY(Main[[#This Row],[Tech Start Date]],19),IF(Main[[#This Row],[Class]]="B", WORKDAY(Main[[#This Row],[Tech Start Date]],12),IF(Main[[#This Row],[Class]]="A",WORKDAY(Main[[#This Row],[Tech Start Date]],4),""))))</f>
        <v/>
      </c>
      <c r="O700" s="104" t="str">
        <f>IF(Main[[#This Row],[Tech Start Date]]&lt;1/1/1990,"",IF(Main[[#This Row],[Class]]="C",WORKDAY(Main[[#This Row],[Tech Start Date]],23),IF(Main[[#This Row],[Class]]="B", WORKDAY(Main[[#This Row],[Tech Start Date]],15),IF(Main[[#This Row],[Class]]="A",WORKDAY(Main[[#This Row],[Tech Start Date]],5),""))))</f>
        <v/>
      </c>
      <c r="P700" s="104" t="str">
        <f>IF(Main[[#This Row],[Tech Start Date]]&lt;1/1/1990,"",IF(Main[[#This Row],[Class]]="C",WORKDAY(Main[[#This Row],[Tech Start Date]],28),IF(Main[[#This Row],[Class]]="B", WORKDAY(Main[[#This Row],[Tech Start Date]],19),IF(Main[[#This Row],[Class]]="A",WORKDAY(Main[[#This Row],[Tech Start Date]],9),""))))</f>
        <v/>
      </c>
      <c r="Q700" s="101"/>
      <c r="R700" s="101"/>
      <c r="S700" s="99" t="s">
        <v>11</v>
      </c>
      <c r="T700" s="107" t="s">
        <v>4</v>
      </c>
      <c r="U700" s="99" t="s">
        <v>14</v>
      </c>
      <c r="V700" s="99" t="s">
        <v>1963</v>
      </c>
      <c r="W700" s="99" t="s">
        <v>1970</v>
      </c>
    </row>
    <row r="701" spans="1:23" ht="18.600000000000001" customHeight="1">
      <c r="A701" s="123" t="str">
        <f>IF(priority(Main[[#This Row],[Comments]])&lt;&gt;0, priority(Main[[#This Row],[Comments]]),"")</f>
        <v/>
      </c>
      <c r="B701" s="127" t="s">
        <v>1575</v>
      </c>
      <c r="C701" s="99" t="s">
        <v>33</v>
      </c>
      <c r="D701" s="100" t="s">
        <v>623</v>
      </c>
      <c r="E701" s="101"/>
      <c r="F701" s="101"/>
      <c r="G701" s="102" t="str">
        <f>IF(stdProdLT(Main[[#This Row],[Comments]])=0.1,"N/A",IF(stdProdLT(Main[[#This Row],[Comments]])=0,"",stdProdLT(Main[[#This Row],[Comments]])))</f>
        <v/>
      </c>
      <c r="H701" s="103" t="str">
        <f>IF(AND(Main[[#This Row],[In Stock Date]]&lt;&gt;"",Main[[#This Row],[Revised Due Date]]&lt;&gt;""),Main[[#This Row],[In Stock Date]]-Main[[#This Row],[Revised Due Date]],"")</f>
        <v/>
      </c>
      <c r="I701" s="99" t="s">
        <v>4</v>
      </c>
      <c r="J701" s="99" t="s">
        <v>4</v>
      </c>
      <c r="K701" s="99" t="s">
        <v>4</v>
      </c>
      <c r="L701" s="101"/>
      <c r="M701" s="104" t="str">
        <f>IF(Main[[#This Row],[Tech Start Date]]&lt;1/1/1990,"",IF(Main[[#This Row],[Class]]="C",WORKDAY(Main[[#This Row],[Tech Start Date]],9),IF(Main[[#This Row],[Class]]="B", WORKDAY(Main[[#This Row],[Tech Start Date]],6),IF(Main[[#This Row],[Class]]="A",WORKDAY(Main[[#This Row],[Tech Start Date]],2),""))))</f>
        <v/>
      </c>
      <c r="N701" s="104" t="str">
        <f>IF(Main[[#This Row],[Tech Start Date]]&lt;1/1/1990,"",IF(Main[[#This Row],[Class]]="C",WORKDAY(Main[[#This Row],[Tech Start Date]],19),IF(Main[[#This Row],[Class]]="B", WORKDAY(Main[[#This Row],[Tech Start Date]],12),IF(Main[[#This Row],[Class]]="A",WORKDAY(Main[[#This Row],[Tech Start Date]],4),""))))</f>
        <v/>
      </c>
      <c r="O701" s="104" t="str">
        <f>IF(Main[[#This Row],[Tech Start Date]]&lt;1/1/1990,"",IF(Main[[#This Row],[Class]]="C",WORKDAY(Main[[#This Row],[Tech Start Date]],23),IF(Main[[#This Row],[Class]]="B", WORKDAY(Main[[#This Row],[Tech Start Date]],15),IF(Main[[#This Row],[Class]]="A",WORKDAY(Main[[#This Row],[Tech Start Date]],5),""))))</f>
        <v/>
      </c>
      <c r="P701" s="104" t="str">
        <f>IF(Main[[#This Row],[Tech Start Date]]&lt;1/1/1990,"",IF(Main[[#This Row],[Class]]="C",WORKDAY(Main[[#This Row],[Tech Start Date]],28),IF(Main[[#This Row],[Class]]="B", WORKDAY(Main[[#This Row],[Tech Start Date]],19),IF(Main[[#This Row],[Class]]="A",WORKDAY(Main[[#This Row],[Tech Start Date]],9),""))))</f>
        <v/>
      </c>
      <c r="Q701" s="101"/>
      <c r="R701" s="101"/>
      <c r="S701" s="99" t="s">
        <v>11</v>
      </c>
      <c r="T701" s="107" t="s">
        <v>4</v>
      </c>
      <c r="U701" s="99" t="s">
        <v>14</v>
      </c>
      <c r="V701" s="99" t="s">
        <v>1963</v>
      </c>
      <c r="W701" s="99" t="s">
        <v>1970</v>
      </c>
    </row>
    <row r="702" spans="1:23" ht="18.600000000000001" customHeight="1">
      <c r="A702" s="123" t="str">
        <f>IF(priority(Main[[#This Row],[Comments]])&lt;&gt;0, priority(Main[[#This Row],[Comments]]),"")</f>
        <v/>
      </c>
      <c r="B702" s="127" t="s">
        <v>1576</v>
      </c>
      <c r="C702" s="99" t="s">
        <v>33</v>
      </c>
      <c r="D702" s="100" t="s">
        <v>624</v>
      </c>
      <c r="E702" s="101"/>
      <c r="F702" s="101"/>
      <c r="G702" s="102" t="str">
        <f>IF(stdProdLT(Main[[#This Row],[Comments]])=0.1,"N/A",IF(stdProdLT(Main[[#This Row],[Comments]])=0,"",stdProdLT(Main[[#This Row],[Comments]])))</f>
        <v/>
      </c>
      <c r="H702" s="103" t="str">
        <f>IF(AND(Main[[#This Row],[In Stock Date]]&lt;&gt;"",Main[[#This Row],[Revised Due Date]]&lt;&gt;""),Main[[#This Row],[In Stock Date]]-Main[[#This Row],[Revised Due Date]],"")</f>
        <v/>
      </c>
      <c r="I702" s="99" t="s">
        <v>4</v>
      </c>
      <c r="J702" s="99" t="s">
        <v>4</v>
      </c>
      <c r="K702" s="99" t="s">
        <v>4</v>
      </c>
      <c r="L702" s="101"/>
      <c r="M702" s="104" t="str">
        <f>IF(Main[[#This Row],[Tech Start Date]]&lt;1/1/1990,"",IF(Main[[#This Row],[Class]]="C",WORKDAY(Main[[#This Row],[Tech Start Date]],9),IF(Main[[#This Row],[Class]]="B", WORKDAY(Main[[#This Row],[Tech Start Date]],6),IF(Main[[#This Row],[Class]]="A",WORKDAY(Main[[#This Row],[Tech Start Date]],2),""))))</f>
        <v/>
      </c>
      <c r="N702" s="104" t="str">
        <f>IF(Main[[#This Row],[Tech Start Date]]&lt;1/1/1990,"",IF(Main[[#This Row],[Class]]="C",WORKDAY(Main[[#This Row],[Tech Start Date]],19),IF(Main[[#This Row],[Class]]="B", WORKDAY(Main[[#This Row],[Tech Start Date]],12),IF(Main[[#This Row],[Class]]="A",WORKDAY(Main[[#This Row],[Tech Start Date]],4),""))))</f>
        <v/>
      </c>
      <c r="O702" s="104" t="str">
        <f>IF(Main[[#This Row],[Tech Start Date]]&lt;1/1/1990,"",IF(Main[[#This Row],[Class]]="C",WORKDAY(Main[[#This Row],[Tech Start Date]],23),IF(Main[[#This Row],[Class]]="B", WORKDAY(Main[[#This Row],[Tech Start Date]],15),IF(Main[[#This Row],[Class]]="A",WORKDAY(Main[[#This Row],[Tech Start Date]],5),""))))</f>
        <v/>
      </c>
      <c r="P702" s="104" t="str">
        <f>IF(Main[[#This Row],[Tech Start Date]]&lt;1/1/1990,"",IF(Main[[#This Row],[Class]]="C",WORKDAY(Main[[#This Row],[Tech Start Date]],28),IF(Main[[#This Row],[Class]]="B", WORKDAY(Main[[#This Row],[Tech Start Date]],19),IF(Main[[#This Row],[Class]]="A",WORKDAY(Main[[#This Row],[Tech Start Date]],9),""))))</f>
        <v/>
      </c>
      <c r="Q702" s="101"/>
      <c r="R702" s="101"/>
      <c r="S702" s="99" t="s">
        <v>11</v>
      </c>
      <c r="T702" s="107" t="s">
        <v>4</v>
      </c>
      <c r="U702" s="99" t="s">
        <v>14</v>
      </c>
      <c r="V702" s="99" t="s">
        <v>1963</v>
      </c>
      <c r="W702" s="99" t="s">
        <v>1970</v>
      </c>
    </row>
    <row r="703" spans="1:23" ht="18.600000000000001" customHeight="1">
      <c r="A703" s="123" t="str">
        <f>IF(priority(Main[[#This Row],[Comments]])&lt;&gt;0, priority(Main[[#This Row],[Comments]]),"")</f>
        <v/>
      </c>
      <c r="B703" s="127" t="s">
        <v>1577</v>
      </c>
      <c r="C703" s="99" t="s">
        <v>4</v>
      </c>
      <c r="D703" s="100" t="s">
        <v>625</v>
      </c>
      <c r="E703" s="101">
        <v>40294.429988425924</v>
      </c>
      <c r="F703" s="101"/>
      <c r="G703" s="102" t="str">
        <f>IF(stdProdLT(Main[[#This Row],[Comments]])=0.1,"N/A",IF(stdProdLT(Main[[#This Row],[Comments]])=0,"",stdProdLT(Main[[#This Row],[Comments]])))</f>
        <v/>
      </c>
      <c r="H703" s="103" t="str">
        <f>IF(AND(Main[[#This Row],[In Stock Date]]&lt;&gt;"",Main[[#This Row],[Revised Due Date]]&lt;&gt;""),Main[[#This Row],[In Stock Date]]-Main[[#This Row],[Revised Due Date]],"")</f>
        <v/>
      </c>
      <c r="I703" s="99" t="s">
        <v>4</v>
      </c>
      <c r="J703" s="99" t="s">
        <v>4</v>
      </c>
      <c r="K703" s="99" t="s">
        <v>4</v>
      </c>
      <c r="L703" s="101"/>
      <c r="M703" s="104" t="str">
        <f>IF(Main[[#This Row],[Tech Start Date]]&lt;1/1/1990,"",IF(Main[[#This Row],[Class]]="C",WORKDAY(Main[[#This Row],[Tech Start Date]],9),IF(Main[[#This Row],[Class]]="B", WORKDAY(Main[[#This Row],[Tech Start Date]],6),IF(Main[[#This Row],[Class]]="A",WORKDAY(Main[[#This Row],[Tech Start Date]],2),""))))</f>
        <v/>
      </c>
      <c r="N703" s="104" t="str">
        <f>IF(Main[[#This Row],[Tech Start Date]]&lt;1/1/1990,"",IF(Main[[#This Row],[Class]]="C",WORKDAY(Main[[#This Row],[Tech Start Date]],19),IF(Main[[#This Row],[Class]]="B", WORKDAY(Main[[#This Row],[Tech Start Date]],12),IF(Main[[#This Row],[Class]]="A",WORKDAY(Main[[#This Row],[Tech Start Date]],4),""))))</f>
        <v/>
      </c>
      <c r="O703" s="104" t="str">
        <f>IF(Main[[#This Row],[Tech Start Date]]&lt;1/1/1990,"",IF(Main[[#This Row],[Class]]="C",WORKDAY(Main[[#This Row],[Tech Start Date]],23),IF(Main[[#This Row],[Class]]="B", WORKDAY(Main[[#This Row],[Tech Start Date]],15),IF(Main[[#This Row],[Class]]="A",WORKDAY(Main[[#This Row],[Tech Start Date]],5),""))))</f>
        <v/>
      </c>
      <c r="P703" s="104" t="str">
        <f>IF(Main[[#This Row],[Tech Start Date]]&lt;1/1/1990,"",IF(Main[[#This Row],[Class]]="C",WORKDAY(Main[[#This Row],[Tech Start Date]],28),IF(Main[[#This Row],[Class]]="B", WORKDAY(Main[[#This Row],[Tech Start Date]],19),IF(Main[[#This Row],[Class]]="A",WORKDAY(Main[[#This Row],[Tech Start Date]],9),""))))</f>
        <v/>
      </c>
      <c r="Q703" s="101">
        <v>40390</v>
      </c>
      <c r="R703" s="101"/>
      <c r="S703" s="99" t="s">
        <v>6</v>
      </c>
      <c r="T703" s="107" t="s">
        <v>4</v>
      </c>
      <c r="U703" s="99" t="s">
        <v>7</v>
      </c>
      <c r="V703" s="99" t="s">
        <v>1962</v>
      </c>
      <c r="W703" s="99" t="s">
        <v>4</v>
      </c>
    </row>
    <row r="704" spans="1:23" ht="18.600000000000001" customHeight="1">
      <c r="A704" s="123" t="str">
        <f>IF(priority(Main[[#This Row],[Comments]])&lt;&gt;0, priority(Main[[#This Row],[Comments]]),"")</f>
        <v/>
      </c>
      <c r="B704" s="127" t="s">
        <v>1578</v>
      </c>
      <c r="C704" s="99" t="s">
        <v>4</v>
      </c>
      <c r="D704" s="100" t="s">
        <v>626</v>
      </c>
      <c r="E704" s="101"/>
      <c r="F704" s="101"/>
      <c r="G704" s="102" t="str">
        <f>IF(stdProdLT(Main[[#This Row],[Comments]])=0.1,"N/A",IF(stdProdLT(Main[[#This Row],[Comments]])=0,"",stdProdLT(Main[[#This Row],[Comments]])))</f>
        <v/>
      </c>
      <c r="H704" s="103" t="str">
        <f>IF(AND(Main[[#This Row],[In Stock Date]]&lt;&gt;"",Main[[#This Row],[Revised Due Date]]&lt;&gt;""),Main[[#This Row],[In Stock Date]]-Main[[#This Row],[Revised Due Date]],"")</f>
        <v/>
      </c>
      <c r="I704" s="99" t="s">
        <v>4</v>
      </c>
      <c r="J704" s="99" t="s">
        <v>4</v>
      </c>
      <c r="K704" s="99" t="s">
        <v>4</v>
      </c>
      <c r="L704" s="101"/>
      <c r="M704" s="104" t="str">
        <f>IF(Main[[#This Row],[Tech Start Date]]&lt;1/1/1990,"",IF(Main[[#This Row],[Class]]="C",WORKDAY(Main[[#This Row],[Tech Start Date]],9),IF(Main[[#This Row],[Class]]="B", WORKDAY(Main[[#This Row],[Tech Start Date]],6),IF(Main[[#This Row],[Class]]="A",WORKDAY(Main[[#This Row],[Tech Start Date]],2),""))))</f>
        <v/>
      </c>
      <c r="N704" s="104" t="str">
        <f>IF(Main[[#This Row],[Tech Start Date]]&lt;1/1/1990,"",IF(Main[[#This Row],[Class]]="C",WORKDAY(Main[[#This Row],[Tech Start Date]],19),IF(Main[[#This Row],[Class]]="B", WORKDAY(Main[[#This Row],[Tech Start Date]],12),IF(Main[[#This Row],[Class]]="A",WORKDAY(Main[[#This Row],[Tech Start Date]],4),""))))</f>
        <v/>
      </c>
      <c r="O704" s="104" t="str">
        <f>IF(Main[[#This Row],[Tech Start Date]]&lt;1/1/1990,"",IF(Main[[#This Row],[Class]]="C",WORKDAY(Main[[#This Row],[Tech Start Date]],23),IF(Main[[#This Row],[Class]]="B", WORKDAY(Main[[#This Row],[Tech Start Date]],15),IF(Main[[#This Row],[Class]]="A",WORKDAY(Main[[#This Row],[Tech Start Date]],5),""))))</f>
        <v/>
      </c>
      <c r="P704" s="104" t="str">
        <f>IF(Main[[#This Row],[Tech Start Date]]&lt;1/1/1990,"",IF(Main[[#This Row],[Class]]="C",WORKDAY(Main[[#This Row],[Tech Start Date]],28),IF(Main[[#This Row],[Class]]="B", WORKDAY(Main[[#This Row],[Tech Start Date]],19),IF(Main[[#This Row],[Class]]="A",WORKDAY(Main[[#This Row],[Tech Start Date]],9),""))))</f>
        <v/>
      </c>
      <c r="Q704" s="101"/>
      <c r="R704" s="101"/>
      <c r="S704" s="99" t="s">
        <v>11</v>
      </c>
      <c r="T704" s="107" t="s">
        <v>4</v>
      </c>
      <c r="U704" s="99" t="s">
        <v>14</v>
      </c>
      <c r="V704" s="99" t="s">
        <v>1962</v>
      </c>
      <c r="W704" s="99" t="s">
        <v>1966</v>
      </c>
    </row>
    <row r="705" spans="1:23" ht="18.600000000000001" customHeight="1">
      <c r="A705" s="123" t="str">
        <f>IF(priority(Main[[#This Row],[Comments]])&lt;&gt;0, priority(Main[[#This Row],[Comments]]),"")</f>
        <v/>
      </c>
      <c r="B705" s="127" t="s">
        <v>1582</v>
      </c>
      <c r="C705" s="99" t="s">
        <v>4</v>
      </c>
      <c r="D705" s="100" t="s">
        <v>634</v>
      </c>
      <c r="E705" s="101"/>
      <c r="F705" s="101"/>
      <c r="G705" s="102" t="str">
        <f>IF(stdProdLT(Main[[#This Row],[Comments]])=0.1,"N/A",IF(stdProdLT(Main[[#This Row],[Comments]])=0,"",stdProdLT(Main[[#This Row],[Comments]])))</f>
        <v/>
      </c>
      <c r="H705" s="103" t="str">
        <f>IF(AND(Main[[#This Row],[In Stock Date]]&lt;&gt;"",Main[[#This Row],[Revised Due Date]]&lt;&gt;""),Main[[#This Row],[In Stock Date]]-Main[[#This Row],[Revised Due Date]],"")</f>
        <v/>
      </c>
      <c r="I705" s="99" t="s">
        <v>4</v>
      </c>
      <c r="J705" s="99" t="s">
        <v>4</v>
      </c>
      <c r="K705" s="99" t="s">
        <v>4</v>
      </c>
      <c r="L705" s="101"/>
      <c r="M705" s="104" t="str">
        <f>IF(Main[[#This Row],[Tech Start Date]]&lt;1/1/1990,"",IF(Main[[#This Row],[Class]]="C",WORKDAY(Main[[#This Row],[Tech Start Date]],9),IF(Main[[#This Row],[Class]]="B", WORKDAY(Main[[#This Row],[Tech Start Date]],6),IF(Main[[#This Row],[Class]]="A",WORKDAY(Main[[#This Row],[Tech Start Date]],2),""))))</f>
        <v/>
      </c>
      <c r="N705" s="104" t="str">
        <f>IF(Main[[#This Row],[Tech Start Date]]&lt;1/1/1990,"",IF(Main[[#This Row],[Class]]="C",WORKDAY(Main[[#This Row],[Tech Start Date]],19),IF(Main[[#This Row],[Class]]="B", WORKDAY(Main[[#This Row],[Tech Start Date]],12),IF(Main[[#This Row],[Class]]="A",WORKDAY(Main[[#This Row],[Tech Start Date]],4),""))))</f>
        <v/>
      </c>
      <c r="O705" s="104" t="str">
        <f>IF(Main[[#This Row],[Tech Start Date]]&lt;1/1/1990,"",IF(Main[[#This Row],[Class]]="C",WORKDAY(Main[[#This Row],[Tech Start Date]],23),IF(Main[[#This Row],[Class]]="B", WORKDAY(Main[[#This Row],[Tech Start Date]],15),IF(Main[[#This Row],[Class]]="A",WORKDAY(Main[[#This Row],[Tech Start Date]],5),""))))</f>
        <v/>
      </c>
      <c r="P705" s="104" t="str">
        <f>IF(Main[[#This Row],[Tech Start Date]]&lt;1/1/1990,"",IF(Main[[#This Row],[Class]]="C",WORKDAY(Main[[#This Row],[Tech Start Date]],28),IF(Main[[#This Row],[Class]]="B", WORKDAY(Main[[#This Row],[Tech Start Date]],19),IF(Main[[#This Row],[Class]]="A",WORKDAY(Main[[#This Row],[Tech Start Date]],9),""))))</f>
        <v/>
      </c>
      <c r="Q705" s="101"/>
      <c r="R705" s="101"/>
      <c r="S705" s="99" t="s">
        <v>6</v>
      </c>
      <c r="T705" s="107" t="s">
        <v>4</v>
      </c>
      <c r="U705" s="99" t="s">
        <v>12</v>
      </c>
      <c r="V705" s="99" t="s">
        <v>1962</v>
      </c>
      <c r="W705" s="99" t="s">
        <v>4</v>
      </c>
    </row>
    <row r="706" spans="1:23" ht="18.600000000000001" customHeight="1">
      <c r="A706" s="123" t="str">
        <f>IF(priority(Main[[#This Row],[Comments]])&lt;&gt;0, priority(Main[[#This Row],[Comments]]),"")</f>
        <v/>
      </c>
      <c r="B706" s="127" t="s">
        <v>1583</v>
      </c>
      <c r="C706" s="99" t="s">
        <v>93</v>
      </c>
      <c r="D706" s="100" t="s">
        <v>635</v>
      </c>
      <c r="E706" s="101"/>
      <c r="F706" s="101">
        <v>40162</v>
      </c>
      <c r="G706" s="102" t="str">
        <f>IF(stdProdLT(Main[[#This Row],[Comments]])=0.1,"N/A",IF(stdProdLT(Main[[#This Row],[Comments]])=0,"",stdProdLT(Main[[#This Row],[Comments]])))</f>
        <v/>
      </c>
      <c r="H706" s="103" t="str">
        <f>IF(AND(Main[[#This Row],[In Stock Date]]&lt;&gt;"",Main[[#This Row],[Revised Due Date]]&lt;&gt;""),Main[[#This Row],[In Stock Date]]-Main[[#This Row],[Revised Due Date]],"")</f>
        <v/>
      </c>
      <c r="I706" s="99" t="s">
        <v>4</v>
      </c>
      <c r="J706" s="99" t="s">
        <v>4</v>
      </c>
      <c r="K706" s="108" t="s">
        <v>4</v>
      </c>
      <c r="L706" s="101"/>
      <c r="M706" s="104" t="str">
        <f>IF(Main[[#This Row],[Tech Start Date]]&lt;1/1/1990,"",IF(Main[[#This Row],[Class]]="C",WORKDAY(Main[[#This Row],[Tech Start Date]],9),IF(Main[[#This Row],[Class]]="B", WORKDAY(Main[[#This Row],[Tech Start Date]],6),IF(Main[[#This Row],[Class]]="A",WORKDAY(Main[[#This Row],[Tech Start Date]],2),""))))</f>
        <v/>
      </c>
      <c r="N706" s="104" t="str">
        <f>IF(Main[[#This Row],[Tech Start Date]]&lt;1/1/1990,"",IF(Main[[#This Row],[Class]]="C",WORKDAY(Main[[#This Row],[Tech Start Date]],19),IF(Main[[#This Row],[Class]]="B", WORKDAY(Main[[#This Row],[Tech Start Date]],12),IF(Main[[#This Row],[Class]]="A",WORKDAY(Main[[#This Row],[Tech Start Date]],4),""))))</f>
        <v/>
      </c>
      <c r="O706" s="104" t="str">
        <f>IF(Main[[#This Row],[Tech Start Date]]&lt;1/1/1990,"",IF(Main[[#This Row],[Class]]="C",WORKDAY(Main[[#This Row],[Tech Start Date]],23),IF(Main[[#This Row],[Class]]="B", WORKDAY(Main[[#This Row],[Tech Start Date]],15),IF(Main[[#This Row],[Class]]="A",WORKDAY(Main[[#This Row],[Tech Start Date]],5),""))))</f>
        <v/>
      </c>
      <c r="P706" s="104" t="str">
        <f>IF(Main[[#This Row],[Tech Start Date]]&lt;1/1/1990,"",IF(Main[[#This Row],[Class]]="C",WORKDAY(Main[[#This Row],[Tech Start Date]],28),IF(Main[[#This Row],[Class]]="B", WORKDAY(Main[[#This Row],[Tech Start Date]],19),IF(Main[[#This Row],[Class]]="A",WORKDAY(Main[[#This Row],[Tech Start Date]],9),""))))</f>
        <v/>
      </c>
      <c r="Q706" s="101">
        <v>40147</v>
      </c>
      <c r="R706" s="101"/>
      <c r="S706" s="99" t="s">
        <v>11</v>
      </c>
      <c r="T706" s="107" t="s">
        <v>4</v>
      </c>
      <c r="U706" s="99" t="s">
        <v>14</v>
      </c>
      <c r="V706" s="99" t="s">
        <v>1972</v>
      </c>
      <c r="W706" s="99" t="s">
        <v>1968</v>
      </c>
    </row>
    <row r="707" spans="1:23" ht="18.600000000000001" customHeight="1">
      <c r="A707" s="123" t="str">
        <f>IF(priority(Main[[#This Row],[Comments]])&lt;&gt;0, priority(Main[[#This Row],[Comments]]),"")</f>
        <v/>
      </c>
      <c r="B707" s="127" t="s">
        <v>1584</v>
      </c>
      <c r="C707" s="99" t="s">
        <v>4</v>
      </c>
      <c r="D707" s="100" t="s">
        <v>636</v>
      </c>
      <c r="E707" s="101"/>
      <c r="F707" s="101"/>
      <c r="G707" s="102" t="str">
        <f>IF(stdProdLT(Main[[#This Row],[Comments]])=0.1,"N/A",IF(stdProdLT(Main[[#This Row],[Comments]])=0,"",stdProdLT(Main[[#This Row],[Comments]])))</f>
        <v/>
      </c>
      <c r="H707" s="103" t="str">
        <f>IF(AND(Main[[#This Row],[In Stock Date]]&lt;&gt;"",Main[[#This Row],[Revised Due Date]]&lt;&gt;""),Main[[#This Row],[In Stock Date]]-Main[[#This Row],[Revised Due Date]],"")</f>
        <v/>
      </c>
      <c r="I707" s="99" t="s">
        <v>4</v>
      </c>
      <c r="J707" s="99" t="s">
        <v>28</v>
      </c>
      <c r="K707" s="108" t="s">
        <v>1975</v>
      </c>
      <c r="L707" s="101"/>
      <c r="M707" s="104" t="str">
        <f>IF(Main[[#This Row],[Tech Start Date]]&lt;1/1/1990,"",IF(Main[[#This Row],[Class]]="C",WORKDAY(Main[[#This Row],[Tech Start Date]],9),IF(Main[[#This Row],[Class]]="B", WORKDAY(Main[[#This Row],[Tech Start Date]],6),IF(Main[[#This Row],[Class]]="A",WORKDAY(Main[[#This Row],[Tech Start Date]],2),""))))</f>
        <v/>
      </c>
      <c r="N707" s="104" t="str">
        <f>IF(Main[[#This Row],[Tech Start Date]]&lt;1/1/1990,"",IF(Main[[#This Row],[Class]]="C",WORKDAY(Main[[#This Row],[Tech Start Date]],19),IF(Main[[#This Row],[Class]]="B", WORKDAY(Main[[#This Row],[Tech Start Date]],12),IF(Main[[#This Row],[Class]]="A",WORKDAY(Main[[#This Row],[Tech Start Date]],4),""))))</f>
        <v/>
      </c>
      <c r="O707" s="104" t="str">
        <f>IF(Main[[#This Row],[Tech Start Date]]&lt;1/1/1990,"",IF(Main[[#This Row],[Class]]="C",WORKDAY(Main[[#This Row],[Tech Start Date]],23),IF(Main[[#This Row],[Class]]="B", WORKDAY(Main[[#This Row],[Tech Start Date]],15),IF(Main[[#This Row],[Class]]="A",WORKDAY(Main[[#This Row],[Tech Start Date]],5),""))))</f>
        <v/>
      </c>
      <c r="P707" s="104" t="str">
        <f>IF(Main[[#This Row],[Tech Start Date]]&lt;1/1/1990,"",IF(Main[[#This Row],[Class]]="C",WORKDAY(Main[[#This Row],[Tech Start Date]],28),IF(Main[[#This Row],[Class]]="B", WORKDAY(Main[[#This Row],[Tech Start Date]],19),IF(Main[[#This Row],[Class]]="A",WORKDAY(Main[[#This Row],[Tech Start Date]],9),""))))</f>
        <v/>
      </c>
      <c r="Q707" s="101"/>
      <c r="R707" s="101"/>
      <c r="S707" s="99" t="s">
        <v>11</v>
      </c>
      <c r="T707" s="107" t="s">
        <v>4</v>
      </c>
      <c r="U707" s="99" t="s">
        <v>14</v>
      </c>
      <c r="V707" s="99" t="s">
        <v>1962</v>
      </c>
      <c r="W707" s="99" t="s">
        <v>1966</v>
      </c>
    </row>
    <row r="708" spans="1:23" ht="18.600000000000001" customHeight="1">
      <c r="A708" s="123" t="str">
        <f>IF(priority(Main[[#This Row],[Comments]])&lt;&gt;0, priority(Main[[#This Row],[Comments]]),"")</f>
        <v/>
      </c>
      <c r="B708" s="127" t="s">
        <v>1152</v>
      </c>
      <c r="C708" s="99" t="s">
        <v>4</v>
      </c>
      <c r="D708" s="100" t="s">
        <v>170</v>
      </c>
      <c r="E708" s="101"/>
      <c r="F708" s="101"/>
      <c r="G708" s="102" t="str">
        <f>IF(stdProdLT(Main[[#This Row],[Comments]])=0.1,"N/A",IF(stdProdLT(Main[[#This Row],[Comments]])=0,"",stdProdLT(Main[[#This Row],[Comments]])))</f>
        <v/>
      </c>
      <c r="H708" s="103" t="str">
        <f>IF(AND(Main[[#This Row],[In Stock Date]]&lt;&gt;"",Main[[#This Row],[Revised Due Date]]&lt;&gt;""),Main[[#This Row],[In Stock Date]]-Main[[#This Row],[Revised Due Date]],"")</f>
        <v/>
      </c>
      <c r="I708" s="99" t="s">
        <v>4</v>
      </c>
      <c r="J708" s="99" t="s">
        <v>4</v>
      </c>
      <c r="K708" s="108" t="s">
        <v>4</v>
      </c>
      <c r="L708" s="101"/>
      <c r="M708" s="104" t="str">
        <f>IF(Main[[#This Row],[Tech Start Date]]&lt;1/1/1990,"",IF(Main[[#This Row],[Class]]="C",WORKDAY(Main[[#This Row],[Tech Start Date]],9),IF(Main[[#This Row],[Class]]="B", WORKDAY(Main[[#This Row],[Tech Start Date]],6),IF(Main[[#This Row],[Class]]="A",WORKDAY(Main[[#This Row],[Tech Start Date]],2),""))))</f>
        <v/>
      </c>
      <c r="N708" s="104" t="str">
        <f>IF(Main[[#This Row],[Tech Start Date]]&lt;1/1/1990,"",IF(Main[[#This Row],[Class]]="C",WORKDAY(Main[[#This Row],[Tech Start Date]],19),IF(Main[[#This Row],[Class]]="B", WORKDAY(Main[[#This Row],[Tech Start Date]],12),IF(Main[[#This Row],[Class]]="A",WORKDAY(Main[[#This Row],[Tech Start Date]],4),""))))</f>
        <v/>
      </c>
      <c r="O708" s="104" t="str">
        <f>IF(Main[[#This Row],[Tech Start Date]]&lt;1/1/1990,"",IF(Main[[#This Row],[Class]]="C",WORKDAY(Main[[#This Row],[Tech Start Date]],23),IF(Main[[#This Row],[Class]]="B", WORKDAY(Main[[#This Row],[Tech Start Date]],15),IF(Main[[#This Row],[Class]]="A",WORKDAY(Main[[#This Row],[Tech Start Date]],5),""))))</f>
        <v/>
      </c>
      <c r="P708" s="104" t="str">
        <f>IF(Main[[#This Row],[Tech Start Date]]&lt;1/1/1990,"",IF(Main[[#This Row],[Class]]="C",WORKDAY(Main[[#This Row],[Tech Start Date]],28),IF(Main[[#This Row],[Class]]="B", WORKDAY(Main[[#This Row],[Tech Start Date]],19),IF(Main[[#This Row],[Class]]="A",WORKDAY(Main[[#This Row],[Tech Start Date]],9),""))))</f>
        <v/>
      </c>
      <c r="Q708" s="101">
        <v>40737</v>
      </c>
      <c r="R708" s="101"/>
      <c r="S708" s="99" t="s">
        <v>6</v>
      </c>
      <c r="T708" s="107" t="s">
        <v>4</v>
      </c>
      <c r="U708" s="99" t="s">
        <v>14</v>
      </c>
      <c r="V708" s="99" t="s">
        <v>1965</v>
      </c>
      <c r="W708" s="99" t="s">
        <v>1966</v>
      </c>
    </row>
    <row r="709" spans="1:23" ht="18.600000000000001" customHeight="1">
      <c r="A709" s="123" t="str">
        <f>IF(priority(Main[[#This Row],[Comments]])&lt;&gt;0, priority(Main[[#This Row],[Comments]]),"")</f>
        <v/>
      </c>
      <c r="B709" s="127" t="s">
        <v>1947</v>
      </c>
      <c r="C709" s="99" t="s">
        <v>72</v>
      </c>
      <c r="D709" s="100" t="s">
        <v>2155</v>
      </c>
      <c r="E709" s="101">
        <v>40469.931226851855</v>
      </c>
      <c r="F709" s="101">
        <v>40487</v>
      </c>
      <c r="G709" s="102" t="str">
        <f>IF(stdProdLT(Main[[#This Row],[Comments]])=0.1,"N/A",IF(stdProdLT(Main[[#This Row],[Comments]])=0,"",stdProdLT(Main[[#This Row],[Comments]])))</f>
        <v/>
      </c>
      <c r="H709" s="103">
        <f>IF(AND(Main[[#This Row],[In Stock Date]]&lt;&gt;"",Main[[#This Row],[Revised Due Date]]&lt;&gt;""),Main[[#This Row],[In Stock Date]]-Main[[#This Row],[Revised Due Date]],"")</f>
        <v>-294</v>
      </c>
      <c r="I709" s="99" t="s">
        <v>2112</v>
      </c>
      <c r="J709" s="99" t="s">
        <v>52</v>
      </c>
      <c r="K709" s="99" t="s">
        <v>1969</v>
      </c>
      <c r="L709" s="101"/>
      <c r="M709" s="104" t="str">
        <f>IF(Main[[#This Row],[Tech Start Date]]&lt;1/1/1990,"",IF(Main[[#This Row],[Class]]="C",WORKDAY(Main[[#This Row],[Tech Start Date]],9),IF(Main[[#This Row],[Class]]="B", WORKDAY(Main[[#This Row],[Tech Start Date]],6),IF(Main[[#This Row],[Class]]="A",WORKDAY(Main[[#This Row],[Tech Start Date]],2),""))))</f>
        <v/>
      </c>
      <c r="N709" s="104" t="str">
        <f>IF(Main[[#This Row],[Tech Start Date]]&lt;1/1/1990,"",IF(Main[[#This Row],[Class]]="C",WORKDAY(Main[[#This Row],[Tech Start Date]],19),IF(Main[[#This Row],[Class]]="B", WORKDAY(Main[[#This Row],[Tech Start Date]],12),IF(Main[[#This Row],[Class]]="A",WORKDAY(Main[[#This Row],[Tech Start Date]],4),""))))</f>
        <v/>
      </c>
      <c r="O709" s="104" t="str">
        <f>IF(Main[[#This Row],[Tech Start Date]]&lt;1/1/1990,"",IF(Main[[#This Row],[Class]]="C",WORKDAY(Main[[#This Row],[Tech Start Date]],23),IF(Main[[#This Row],[Class]]="B", WORKDAY(Main[[#This Row],[Tech Start Date]],15),IF(Main[[#This Row],[Class]]="A",WORKDAY(Main[[#This Row],[Tech Start Date]],5),""))))</f>
        <v/>
      </c>
      <c r="P709" s="104" t="str">
        <f>IF(Main[[#This Row],[Tech Start Date]]&lt;1/1/1990,"",IF(Main[[#This Row],[Class]]="C",WORKDAY(Main[[#This Row],[Tech Start Date]],28),IF(Main[[#This Row],[Class]]="B", WORKDAY(Main[[#This Row],[Tech Start Date]],19),IF(Main[[#This Row],[Class]]="A",WORKDAY(Main[[#This Row],[Tech Start Date]],9),""))))</f>
        <v/>
      </c>
      <c r="Q709" s="101"/>
      <c r="R709" s="101">
        <v>40781</v>
      </c>
      <c r="S709" s="99" t="s">
        <v>6</v>
      </c>
      <c r="T709" s="107" t="s">
        <v>2156</v>
      </c>
      <c r="U709" s="99" t="s">
        <v>29</v>
      </c>
      <c r="V709" s="99" t="s">
        <v>1963</v>
      </c>
      <c r="W709" s="99" t="s">
        <v>1964</v>
      </c>
    </row>
    <row r="710" spans="1:23" ht="18.600000000000001" customHeight="1">
      <c r="A710" s="123" t="str">
        <f>IF(priority(Main[[#This Row],[Comments]])&lt;&gt;0, priority(Main[[#This Row],[Comments]]),"")</f>
        <v/>
      </c>
      <c r="B710" s="127" t="s">
        <v>1585</v>
      </c>
      <c r="C710" s="99" t="s">
        <v>4</v>
      </c>
      <c r="D710" s="100" t="s">
        <v>39</v>
      </c>
      <c r="E710" s="101"/>
      <c r="F710" s="101"/>
      <c r="G710" s="102" t="str">
        <f>IF(stdProdLT(Main[[#This Row],[Comments]])=0.1,"N/A",IF(stdProdLT(Main[[#This Row],[Comments]])=0,"",stdProdLT(Main[[#This Row],[Comments]])))</f>
        <v/>
      </c>
      <c r="H710" s="103" t="str">
        <f>IF(AND(Main[[#This Row],[In Stock Date]]&lt;&gt;"",Main[[#This Row],[Revised Due Date]]&lt;&gt;""),Main[[#This Row],[In Stock Date]]-Main[[#This Row],[Revised Due Date]],"")</f>
        <v/>
      </c>
      <c r="I710" s="99" t="s">
        <v>4</v>
      </c>
      <c r="J710" s="99" t="s">
        <v>4</v>
      </c>
      <c r="K710" s="108" t="s">
        <v>4</v>
      </c>
      <c r="L710" s="101"/>
      <c r="M710" s="104" t="str">
        <f>IF(Main[[#This Row],[Tech Start Date]]&lt;1/1/1990,"",IF(Main[[#This Row],[Class]]="C",WORKDAY(Main[[#This Row],[Tech Start Date]],9),IF(Main[[#This Row],[Class]]="B", WORKDAY(Main[[#This Row],[Tech Start Date]],6),IF(Main[[#This Row],[Class]]="A",WORKDAY(Main[[#This Row],[Tech Start Date]],2),""))))</f>
        <v/>
      </c>
      <c r="N710" s="104" t="str">
        <f>IF(Main[[#This Row],[Tech Start Date]]&lt;1/1/1990,"",IF(Main[[#This Row],[Class]]="C",WORKDAY(Main[[#This Row],[Tech Start Date]],19),IF(Main[[#This Row],[Class]]="B", WORKDAY(Main[[#This Row],[Tech Start Date]],12),IF(Main[[#This Row],[Class]]="A",WORKDAY(Main[[#This Row],[Tech Start Date]],4),""))))</f>
        <v/>
      </c>
      <c r="O710" s="104" t="str">
        <f>IF(Main[[#This Row],[Tech Start Date]]&lt;1/1/1990,"",IF(Main[[#This Row],[Class]]="C",WORKDAY(Main[[#This Row],[Tech Start Date]],23),IF(Main[[#This Row],[Class]]="B", WORKDAY(Main[[#This Row],[Tech Start Date]],15),IF(Main[[#This Row],[Class]]="A",WORKDAY(Main[[#This Row],[Tech Start Date]],5),""))))</f>
        <v/>
      </c>
      <c r="P710" s="104" t="str">
        <f>IF(Main[[#This Row],[Tech Start Date]]&lt;1/1/1990,"",IF(Main[[#This Row],[Class]]="C",WORKDAY(Main[[#This Row],[Tech Start Date]],28),IF(Main[[#This Row],[Class]]="B", WORKDAY(Main[[#This Row],[Tech Start Date]],19),IF(Main[[#This Row],[Class]]="A",WORKDAY(Main[[#This Row],[Tech Start Date]],9),""))))</f>
        <v/>
      </c>
      <c r="Q710" s="101">
        <v>40669</v>
      </c>
      <c r="R710" s="101"/>
      <c r="S710" s="99" t="s">
        <v>6</v>
      </c>
      <c r="T710" s="107" t="s">
        <v>4</v>
      </c>
      <c r="U710" s="99" t="s">
        <v>14</v>
      </c>
      <c r="V710" s="99" t="s">
        <v>1965</v>
      </c>
      <c r="W710" s="99" t="s">
        <v>4</v>
      </c>
    </row>
    <row r="711" spans="1:23" ht="18.600000000000001" customHeight="1">
      <c r="A711" s="123" t="str">
        <f>IF(priority(Main[[#This Row],[Comments]])&lt;&gt;0, priority(Main[[#This Row],[Comments]]),"")</f>
        <v/>
      </c>
      <c r="B711" s="127" t="s">
        <v>1587</v>
      </c>
      <c r="C711" s="99" t="s">
        <v>4</v>
      </c>
      <c r="D711" s="100" t="s">
        <v>637</v>
      </c>
      <c r="E711" s="101">
        <v>40371.35765046296</v>
      </c>
      <c r="F711" s="101"/>
      <c r="G711" s="102" t="str">
        <f>IF(stdProdLT(Main[[#This Row],[Comments]])=0.1,"N/A",IF(stdProdLT(Main[[#This Row],[Comments]])=0,"",stdProdLT(Main[[#This Row],[Comments]])))</f>
        <v/>
      </c>
      <c r="H711" s="103" t="str">
        <f>IF(AND(Main[[#This Row],[In Stock Date]]&lt;&gt;"",Main[[#This Row],[Revised Due Date]]&lt;&gt;""),Main[[#This Row],[In Stock Date]]-Main[[#This Row],[Revised Due Date]],"")</f>
        <v/>
      </c>
      <c r="I711" s="99" t="s">
        <v>4</v>
      </c>
      <c r="J711" s="99" t="s">
        <v>4</v>
      </c>
      <c r="K711" s="99" t="s">
        <v>4</v>
      </c>
      <c r="L711" s="101"/>
      <c r="M711" s="104" t="str">
        <f>IF(Main[[#This Row],[Tech Start Date]]&lt;1/1/1990,"",IF(Main[[#This Row],[Class]]="C",WORKDAY(Main[[#This Row],[Tech Start Date]],9),IF(Main[[#This Row],[Class]]="B", WORKDAY(Main[[#This Row],[Tech Start Date]],6),IF(Main[[#This Row],[Class]]="A",WORKDAY(Main[[#This Row],[Tech Start Date]],2),""))))</f>
        <v/>
      </c>
      <c r="N711" s="104" t="str">
        <f>IF(Main[[#This Row],[Tech Start Date]]&lt;1/1/1990,"",IF(Main[[#This Row],[Class]]="C",WORKDAY(Main[[#This Row],[Tech Start Date]],19),IF(Main[[#This Row],[Class]]="B", WORKDAY(Main[[#This Row],[Tech Start Date]],12),IF(Main[[#This Row],[Class]]="A",WORKDAY(Main[[#This Row],[Tech Start Date]],4),""))))</f>
        <v/>
      </c>
      <c r="O711" s="104" t="str">
        <f>IF(Main[[#This Row],[Tech Start Date]]&lt;1/1/1990,"",IF(Main[[#This Row],[Class]]="C",WORKDAY(Main[[#This Row],[Tech Start Date]],23),IF(Main[[#This Row],[Class]]="B", WORKDAY(Main[[#This Row],[Tech Start Date]],15),IF(Main[[#This Row],[Class]]="A",WORKDAY(Main[[#This Row],[Tech Start Date]],5),""))))</f>
        <v/>
      </c>
      <c r="P711" s="104" t="str">
        <f>IF(Main[[#This Row],[Tech Start Date]]&lt;1/1/1990,"",IF(Main[[#This Row],[Class]]="C",WORKDAY(Main[[#This Row],[Tech Start Date]],28),IF(Main[[#This Row],[Class]]="B", WORKDAY(Main[[#This Row],[Tech Start Date]],19),IF(Main[[#This Row],[Class]]="A",WORKDAY(Main[[#This Row],[Tech Start Date]],9),""))))</f>
        <v/>
      </c>
      <c r="Q711" s="101">
        <v>40385</v>
      </c>
      <c r="R711" s="101"/>
      <c r="S711" s="99" t="s">
        <v>6</v>
      </c>
      <c r="T711" s="107" t="s">
        <v>4</v>
      </c>
      <c r="U711" s="99" t="s">
        <v>7</v>
      </c>
      <c r="V711" s="99" t="s">
        <v>1962</v>
      </c>
      <c r="W711" s="99" t="s">
        <v>1964</v>
      </c>
    </row>
    <row r="712" spans="1:23" ht="18.600000000000001" customHeight="1">
      <c r="A712" s="123" t="str">
        <f>IF(priority(Main[[#This Row],[Comments]])&lt;&gt;0, priority(Main[[#This Row],[Comments]]),"")</f>
        <v/>
      </c>
      <c r="B712" s="127" t="s">
        <v>1588</v>
      </c>
      <c r="C712" s="99" t="s">
        <v>4</v>
      </c>
      <c r="D712" s="100" t="s">
        <v>638</v>
      </c>
      <c r="E712" s="101">
        <v>40371.37263888889</v>
      </c>
      <c r="F712" s="101"/>
      <c r="G712" s="102" t="str">
        <f>IF(stdProdLT(Main[[#This Row],[Comments]])=0.1,"N/A",IF(stdProdLT(Main[[#This Row],[Comments]])=0,"",stdProdLT(Main[[#This Row],[Comments]])))</f>
        <v/>
      </c>
      <c r="H712" s="103" t="str">
        <f>IF(AND(Main[[#This Row],[In Stock Date]]&lt;&gt;"",Main[[#This Row],[Revised Due Date]]&lt;&gt;""),Main[[#This Row],[In Stock Date]]-Main[[#This Row],[Revised Due Date]],"")</f>
        <v/>
      </c>
      <c r="I712" s="99" t="s">
        <v>4</v>
      </c>
      <c r="J712" s="99" t="s">
        <v>4</v>
      </c>
      <c r="K712" s="108" t="s">
        <v>4</v>
      </c>
      <c r="L712" s="101"/>
      <c r="M712" s="104" t="str">
        <f>IF(Main[[#This Row],[Tech Start Date]]&lt;1/1/1990,"",IF(Main[[#This Row],[Class]]="C",WORKDAY(Main[[#This Row],[Tech Start Date]],9),IF(Main[[#This Row],[Class]]="B", WORKDAY(Main[[#This Row],[Tech Start Date]],6),IF(Main[[#This Row],[Class]]="A",WORKDAY(Main[[#This Row],[Tech Start Date]],2),""))))</f>
        <v/>
      </c>
      <c r="N712" s="104" t="str">
        <f>IF(Main[[#This Row],[Tech Start Date]]&lt;1/1/1990,"",IF(Main[[#This Row],[Class]]="C",WORKDAY(Main[[#This Row],[Tech Start Date]],19),IF(Main[[#This Row],[Class]]="B", WORKDAY(Main[[#This Row],[Tech Start Date]],12),IF(Main[[#This Row],[Class]]="A",WORKDAY(Main[[#This Row],[Tech Start Date]],4),""))))</f>
        <v/>
      </c>
      <c r="O712" s="104" t="str">
        <f>IF(Main[[#This Row],[Tech Start Date]]&lt;1/1/1990,"",IF(Main[[#This Row],[Class]]="C",WORKDAY(Main[[#This Row],[Tech Start Date]],23),IF(Main[[#This Row],[Class]]="B", WORKDAY(Main[[#This Row],[Tech Start Date]],15),IF(Main[[#This Row],[Class]]="A",WORKDAY(Main[[#This Row],[Tech Start Date]],5),""))))</f>
        <v/>
      </c>
      <c r="P712" s="104" t="str">
        <f>IF(Main[[#This Row],[Tech Start Date]]&lt;1/1/1990,"",IF(Main[[#This Row],[Class]]="C",WORKDAY(Main[[#This Row],[Tech Start Date]],28),IF(Main[[#This Row],[Class]]="B", WORKDAY(Main[[#This Row],[Tech Start Date]],19),IF(Main[[#This Row],[Class]]="A",WORKDAY(Main[[#This Row],[Tech Start Date]],9),""))))</f>
        <v/>
      </c>
      <c r="Q712" s="101">
        <v>40385</v>
      </c>
      <c r="R712" s="101"/>
      <c r="S712" s="99" t="s">
        <v>6</v>
      </c>
      <c r="T712" s="107" t="s">
        <v>4</v>
      </c>
      <c r="U712" s="99" t="s">
        <v>7</v>
      </c>
      <c r="V712" s="99" t="s">
        <v>1962</v>
      </c>
      <c r="W712" s="99" t="s">
        <v>1964</v>
      </c>
    </row>
    <row r="713" spans="1:23" ht="18.600000000000001" customHeight="1">
      <c r="A713" s="123" t="str">
        <f>IF(priority(Main[[#This Row],[Comments]])&lt;&gt;0, priority(Main[[#This Row],[Comments]]),"")</f>
        <v/>
      </c>
      <c r="B713" s="127" t="s">
        <v>1552</v>
      </c>
      <c r="C713" s="99" t="s">
        <v>4</v>
      </c>
      <c r="D713" s="100" t="s">
        <v>597</v>
      </c>
      <c r="E713" s="101"/>
      <c r="F713" s="101"/>
      <c r="G713" s="102" t="str">
        <f>IF(stdProdLT(Main[[#This Row],[Comments]])=0.1,"N/A",IF(stdProdLT(Main[[#This Row],[Comments]])=0,"",stdProdLT(Main[[#This Row],[Comments]])))</f>
        <v/>
      </c>
      <c r="H713" s="103" t="str">
        <f>IF(AND(Main[[#This Row],[In Stock Date]]&lt;&gt;"",Main[[#This Row],[Revised Due Date]]&lt;&gt;""),Main[[#This Row],[In Stock Date]]-Main[[#This Row],[Revised Due Date]],"")</f>
        <v/>
      </c>
      <c r="I713" s="99" t="s">
        <v>4</v>
      </c>
      <c r="J713" s="99" t="s">
        <v>4</v>
      </c>
      <c r="K713" s="108" t="s">
        <v>4</v>
      </c>
      <c r="L713" s="101"/>
      <c r="M713" s="104" t="str">
        <f>IF(Main[[#This Row],[Tech Start Date]]&lt;1/1/1990,"",IF(Main[[#This Row],[Class]]="C",WORKDAY(Main[[#This Row],[Tech Start Date]],9),IF(Main[[#This Row],[Class]]="B", WORKDAY(Main[[#This Row],[Tech Start Date]],6),IF(Main[[#This Row],[Class]]="A",WORKDAY(Main[[#This Row],[Tech Start Date]],2),""))))</f>
        <v/>
      </c>
      <c r="N713" s="104" t="str">
        <f>IF(Main[[#This Row],[Tech Start Date]]&lt;1/1/1990,"",IF(Main[[#This Row],[Class]]="C",WORKDAY(Main[[#This Row],[Tech Start Date]],19),IF(Main[[#This Row],[Class]]="B", WORKDAY(Main[[#This Row],[Tech Start Date]],12),IF(Main[[#This Row],[Class]]="A",WORKDAY(Main[[#This Row],[Tech Start Date]],4),""))))</f>
        <v/>
      </c>
      <c r="O713" s="104" t="str">
        <f>IF(Main[[#This Row],[Tech Start Date]]&lt;1/1/1990,"",IF(Main[[#This Row],[Class]]="C",WORKDAY(Main[[#This Row],[Tech Start Date]],23),IF(Main[[#This Row],[Class]]="B", WORKDAY(Main[[#This Row],[Tech Start Date]],15),IF(Main[[#This Row],[Class]]="A",WORKDAY(Main[[#This Row],[Tech Start Date]],5),""))))</f>
        <v/>
      </c>
      <c r="P713" s="104" t="str">
        <f>IF(Main[[#This Row],[Tech Start Date]]&lt;1/1/1990,"",IF(Main[[#This Row],[Class]]="C",WORKDAY(Main[[#This Row],[Tech Start Date]],28),IF(Main[[#This Row],[Class]]="B", WORKDAY(Main[[#This Row],[Tech Start Date]],19),IF(Main[[#This Row],[Class]]="A",WORKDAY(Main[[#This Row],[Tech Start Date]],9),""))))</f>
        <v/>
      </c>
      <c r="Q713" s="101"/>
      <c r="R713" s="101"/>
      <c r="S713" s="99" t="s">
        <v>23</v>
      </c>
      <c r="T713" s="107" t="s">
        <v>4</v>
      </c>
      <c r="U713" s="99" t="s">
        <v>14</v>
      </c>
      <c r="V713" s="99" t="s">
        <v>1962</v>
      </c>
      <c r="W713" s="99" t="s">
        <v>1966</v>
      </c>
    </row>
    <row r="714" spans="1:23" ht="18.600000000000001" customHeight="1">
      <c r="A714" s="123" t="str">
        <f>IF(priority(Main[[#This Row],[Comments]])&lt;&gt;0, priority(Main[[#This Row],[Comments]]),"")</f>
        <v/>
      </c>
      <c r="B714" s="127" t="s">
        <v>1553</v>
      </c>
      <c r="C714" s="99" t="s">
        <v>4</v>
      </c>
      <c r="D714" s="100" t="s">
        <v>598</v>
      </c>
      <c r="E714" s="101"/>
      <c r="F714" s="101">
        <v>40047</v>
      </c>
      <c r="G714" s="102" t="str">
        <f>IF(stdProdLT(Main[[#This Row],[Comments]])=0.1,"N/A",IF(stdProdLT(Main[[#This Row],[Comments]])=0,"",stdProdLT(Main[[#This Row],[Comments]])))</f>
        <v/>
      </c>
      <c r="H714" s="103" t="str">
        <f>IF(AND(Main[[#This Row],[In Stock Date]]&lt;&gt;"",Main[[#This Row],[Revised Due Date]]&lt;&gt;""),Main[[#This Row],[In Stock Date]]-Main[[#This Row],[Revised Due Date]],"")</f>
        <v/>
      </c>
      <c r="I714" s="99" t="s">
        <v>4</v>
      </c>
      <c r="J714" s="99" t="s">
        <v>4</v>
      </c>
      <c r="K714" s="99" t="s">
        <v>4</v>
      </c>
      <c r="L714" s="101"/>
      <c r="M714" s="104" t="str">
        <f>IF(Main[[#This Row],[Tech Start Date]]&lt;1/1/1990,"",IF(Main[[#This Row],[Class]]="C",WORKDAY(Main[[#This Row],[Tech Start Date]],9),IF(Main[[#This Row],[Class]]="B", WORKDAY(Main[[#This Row],[Tech Start Date]],6),IF(Main[[#This Row],[Class]]="A",WORKDAY(Main[[#This Row],[Tech Start Date]],2),""))))</f>
        <v/>
      </c>
      <c r="N714" s="104" t="str">
        <f>IF(Main[[#This Row],[Tech Start Date]]&lt;1/1/1990,"",IF(Main[[#This Row],[Class]]="C",WORKDAY(Main[[#This Row],[Tech Start Date]],19),IF(Main[[#This Row],[Class]]="B", WORKDAY(Main[[#This Row],[Tech Start Date]],12),IF(Main[[#This Row],[Class]]="A",WORKDAY(Main[[#This Row],[Tech Start Date]],4),""))))</f>
        <v/>
      </c>
      <c r="O714" s="104" t="str">
        <f>IF(Main[[#This Row],[Tech Start Date]]&lt;1/1/1990,"",IF(Main[[#This Row],[Class]]="C",WORKDAY(Main[[#This Row],[Tech Start Date]],23),IF(Main[[#This Row],[Class]]="B", WORKDAY(Main[[#This Row],[Tech Start Date]],15),IF(Main[[#This Row],[Class]]="A",WORKDAY(Main[[#This Row],[Tech Start Date]],5),""))))</f>
        <v/>
      </c>
      <c r="P714" s="104" t="str">
        <f>IF(Main[[#This Row],[Tech Start Date]]&lt;1/1/1990,"",IF(Main[[#This Row],[Class]]="C",WORKDAY(Main[[#This Row],[Tech Start Date]],28),IF(Main[[#This Row],[Class]]="B", WORKDAY(Main[[#This Row],[Tech Start Date]],19),IF(Main[[#This Row],[Class]]="A",WORKDAY(Main[[#This Row],[Tech Start Date]],9),""))))</f>
        <v/>
      </c>
      <c r="Q714" s="101"/>
      <c r="R714" s="101"/>
      <c r="S714" s="99" t="s">
        <v>11</v>
      </c>
      <c r="T714" s="107" t="s">
        <v>4</v>
      </c>
      <c r="U714" s="99" t="s">
        <v>14</v>
      </c>
      <c r="V714" s="99" t="s">
        <v>1965</v>
      </c>
      <c r="W714" s="99" t="s">
        <v>1968</v>
      </c>
    </row>
    <row r="715" spans="1:23" ht="18.600000000000001" customHeight="1">
      <c r="A715" s="123" t="str">
        <f>IF(priority(Main[[#This Row],[Comments]])&lt;&gt;0, priority(Main[[#This Row],[Comments]]),"")</f>
        <v/>
      </c>
      <c r="B715" s="127" t="s">
        <v>1554</v>
      </c>
      <c r="C715" s="99" t="s">
        <v>4</v>
      </c>
      <c r="D715" s="100" t="s">
        <v>599</v>
      </c>
      <c r="E715" s="101"/>
      <c r="F715" s="101"/>
      <c r="G715" s="102" t="str">
        <f>IF(stdProdLT(Main[[#This Row],[Comments]])=0.1,"N/A",IF(stdProdLT(Main[[#This Row],[Comments]])=0,"",stdProdLT(Main[[#This Row],[Comments]])))</f>
        <v/>
      </c>
      <c r="H715" s="103" t="str">
        <f>IF(AND(Main[[#This Row],[In Stock Date]]&lt;&gt;"",Main[[#This Row],[Revised Due Date]]&lt;&gt;""),Main[[#This Row],[In Stock Date]]-Main[[#This Row],[Revised Due Date]],"")</f>
        <v/>
      </c>
      <c r="I715" s="99" t="s">
        <v>4</v>
      </c>
      <c r="J715" s="99" t="s">
        <v>4</v>
      </c>
      <c r="K715" s="99" t="s">
        <v>4</v>
      </c>
      <c r="L715" s="101"/>
      <c r="M715" s="104" t="str">
        <f>IF(Main[[#This Row],[Tech Start Date]]&lt;1/1/1990,"",IF(Main[[#This Row],[Class]]="C",WORKDAY(Main[[#This Row],[Tech Start Date]],9),IF(Main[[#This Row],[Class]]="B", WORKDAY(Main[[#This Row],[Tech Start Date]],6),IF(Main[[#This Row],[Class]]="A",WORKDAY(Main[[#This Row],[Tech Start Date]],2),""))))</f>
        <v/>
      </c>
      <c r="N715" s="104" t="str">
        <f>IF(Main[[#This Row],[Tech Start Date]]&lt;1/1/1990,"",IF(Main[[#This Row],[Class]]="C",WORKDAY(Main[[#This Row],[Tech Start Date]],19),IF(Main[[#This Row],[Class]]="B", WORKDAY(Main[[#This Row],[Tech Start Date]],12),IF(Main[[#This Row],[Class]]="A",WORKDAY(Main[[#This Row],[Tech Start Date]],4),""))))</f>
        <v/>
      </c>
      <c r="O715" s="104" t="str">
        <f>IF(Main[[#This Row],[Tech Start Date]]&lt;1/1/1990,"",IF(Main[[#This Row],[Class]]="C",WORKDAY(Main[[#This Row],[Tech Start Date]],23),IF(Main[[#This Row],[Class]]="B", WORKDAY(Main[[#This Row],[Tech Start Date]],15),IF(Main[[#This Row],[Class]]="A",WORKDAY(Main[[#This Row],[Tech Start Date]],5),""))))</f>
        <v/>
      </c>
      <c r="P715" s="104" t="str">
        <f>IF(Main[[#This Row],[Tech Start Date]]&lt;1/1/1990,"",IF(Main[[#This Row],[Class]]="C",WORKDAY(Main[[#This Row],[Tech Start Date]],28),IF(Main[[#This Row],[Class]]="B", WORKDAY(Main[[#This Row],[Tech Start Date]],19),IF(Main[[#This Row],[Class]]="A",WORKDAY(Main[[#This Row],[Tech Start Date]],9),""))))</f>
        <v/>
      </c>
      <c r="Q715" s="101"/>
      <c r="R715" s="101"/>
      <c r="S715" s="99" t="s">
        <v>6</v>
      </c>
      <c r="T715" s="107" t="s">
        <v>4</v>
      </c>
      <c r="U715" s="99" t="s">
        <v>12</v>
      </c>
      <c r="V715" s="99" t="s">
        <v>1962</v>
      </c>
      <c r="W715" s="99" t="s">
        <v>1966</v>
      </c>
    </row>
    <row r="716" spans="1:23" ht="18.600000000000001" customHeight="1">
      <c r="A716" s="123" t="str">
        <f>IF(priority(Main[[#This Row],[Comments]])&lt;&gt;0, priority(Main[[#This Row],[Comments]]),"")</f>
        <v/>
      </c>
      <c r="B716" s="127" t="s">
        <v>1555</v>
      </c>
      <c r="C716" s="99" t="s">
        <v>47</v>
      </c>
      <c r="D716" s="100" t="s">
        <v>600</v>
      </c>
      <c r="E716" s="101"/>
      <c r="F716" s="101"/>
      <c r="G716" s="102" t="str">
        <f>IF(stdProdLT(Main[[#This Row],[Comments]])=0.1,"N/A",IF(stdProdLT(Main[[#This Row],[Comments]])=0,"",stdProdLT(Main[[#This Row],[Comments]])))</f>
        <v/>
      </c>
      <c r="H716" s="103" t="str">
        <f>IF(AND(Main[[#This Row],[In Stock Date]]&lt;&gt;"",Main[[#This Row],[Revised Due Date]]&lt;&gt;""),Main[[#This Row],[In Stock Date]]-Main[[#This Row],[Revised Due Date]],"")</f>
        <v/>
      </c>
      <c r="I716" s="99" t="s">
        <v>4</v>
      </c>
      <c r="J716" s="99" t="s">
        <v>4</v>
      </c>
      <c r="K716" s="99" t="s">
        <v>4</v>
      </c>
      <c r="L716" s="101"/>
      <c r="M716" s="104" t="str">
        <f>IF(Main[[#This Row],[Tech Start Date]]&lt;1/1/1990,"",IF(Main[[#This Row],[Class]]="C",WORKDAY(Main[[#This Row],[Tech Start Date]],9),IF(Main[[#This Row],[Class]]="B", WORKDAY(Main[[#This Row],[Tech Start Date]],6),IF(Main[[#This Row],[Class]]="A",WORKDAY(Main[[#This Row],[Tech Start Date]],2),""))))</f>
        <v/>
      </c>
      <c r="N716" s="104" t="str">
        <f>IF(Main[[#This Row],[Tech Start Date]]&lt;1/1/1990,"",IF(Main[[#This Row],[Class]]="C",WORKDAY(Main[[#This Row],[Tech Start Date]],19),IF(Main[[#This Row],[Class]]="B", WORKDAY(Main[[#This Row],[Tech Start Date]],12),IF(Main[[#This Row],[Class]]="A",WORKDAY(Main[[#This Row],[Tech Start Date]],4),""))))</f>
        <v/>
      </c>
      <c r="O716" s="104" t="str">
        <f>IF(Main[[#This Row],[Tech Start Date]]&lt;1/1/1990,"",IF(Main[[#This Row],[Class]]="C",WORKDAY(Main[[#This Row],[Tech Start Date]],23),IF(Main[[#This Row],[Class]]="B", WORKDAY(Main[[#This Row],[Tech Start Date]],15),IF(Main[[#This Row],[Class]]="A",WORKDAY(Main[[#This Row],[Tech Start Date]],5),""))))</f>
        <v/>
      </c>
      <c r="P716" s="104" t="str">
        <f>IF(Main[[#This Row],[Tech Start Date]]&lt;1/1/1990,"",IF(Main[[#This Row],[Class]]="C",WORKDAY(Main[[#This Row],[Tech Start Date]],28),IF(Main[[#This Row],[Class]]="B", WORKDAY(Main[[#This Row],[Tech Start Date]],19),IF(Main[[#This Row],[Class]]="A",WORKDAY(Main[[#This Row],[Tech Start Date]],9),""))))</f>
        <v/>
      </c>
      <c r="Q716" s="101"/>
      <c r="R716" s="101"/>
      <c r="S716" s="99" t="s">
        <v>49</v>
      </c>
      <c r="T716" s="107" t="s">
        <v>4</v>
      </c>
      <c r="U716" s="99" t="s">
        <v>14</v>
      </c>
      <c r="V716" s="99" t="s">
        <v>1965</v>
      </c>
      <c r="W716" s="99" t="s">
        <v>1966</v>
      </c>
    </row>
    <row r="717" spans="1:23" ht="18.600000000000001" customHeight="1">
      <c r="A717" s="123" t="str">
        <f>IF(priority(Main[[#This Row],[Comments]])&lt;&gt;0, priority(Main[[#This Row],[Comments]]),"")</f>
        <v/>
      </c>
      <c r="B717" s="127" t="s">
        <v>2047</v>
      </c>
      <c r="C717" s="99" t="s">
        <v>2048</v>
      </c>
      <c r="D717" s="100" t="s">
        <v>2049</v>
      </c>
      <c r="E717" s="101"/>
      <c r="F717" s="101">
        <v>40801</v>
      </c>
      <c r="G717" s="102" t="str">
        <f>IF(stdProdLT(Main[[#This Row],[Comments]])=0.1,"N/A",IF(stdProdLT(Main[[#This Row],[Comments]])=0,"",stdProdLT(Main[[#This Row],[Comments]])))</f>
        <v/>
      </c>
      <c r="H717" s="103" t="str">
        <f>IF(AND(Main[[#This Row],[In Stock Date]]&lt;&gt;"",Main[[#This Row],[Revised Due Date]]&lt;&gt;""),Main[[#This Row],[In Stock Date]]-Main[[#This Row],[Revised Due Date]],"")</f>
        <v/>
      </c>
      <c r="I717" s="99" t="s">
        <v>4</v>
      </c>
      <c r="J717" s="99" t="s">
        <v>4</v>
      </c>
      <c r="K717" s="108" t="s">
        <v>4</v>
      </c>
      <c r="L717" s="101"/>
      <c r="M717" s="104" t="str">
        <f>IF(Main[[#This Row],[Tech Start Date]]&lt;1/1/1990,"",IF(Main[[#This Row],[Class]]="C",WORKDAY(Main[[#This Row],[Tech Start Date]],9),IF(Main[[#This Row],[Class]]="B", WORKDAY(Main[[#This Row],[Tech Start Date]],6),IF(Main[[#This Row],[Class]]="A",WORKDAY(Main[[#This Row],[Tech Start Date]],2),""))))</f>
        <v/>
      </c>
      <c r="N717" s="104" t="str">
        <f>IF(Main[[#This Row],[Tech Start Date]]&lt;1/1/1990,"",IF(Main[[#This Row],[Class]]="C",WORKDAY(Main[[#This Row],[Tech Start Date]],19),IF(Main[[#This Row],[Class]]="B", WORKDAY(Main[[#This Row],[Tech Start Date]],12),IF(Main[[#This Row],[Class]]="A",WORKDAY(Main[[#This Row],[Tech Start Date]],4),""))))</f>
        <v/>
      </c>
      <c r="O717" s="104" t="str">
        <f>IF(Main[[#This Row],[Tech Start Date]]&lt;1/1/1990,"",IF(Main[[#This Row],[Class]]="C",WORKDAY(Main[[#This Row],[Tech Start Date]],23),IF(Main[[#This Row],[Class]]="B", WORKDAY(Main[[#This Row],[Tech Start Date]],15),IF(Main[[#This Row],[Class]]="A",WORKDAY(Main[[#This Row],[Tech Start Date]],5),""))))</f>
        <v/>
      </c>
      <c r="P717" s="104" t="str">
        <f>IF(Main[[#This Row],[Tech Start Date]]&lt;1/1/1990,"",IF(Main[[#This Row],[Class]]="C",WORKDAY(Main[[#This Row],[Tech Start Date]],28),IF(Main[[#This Row],[Class]]="B", WORKDAY(Main[[#This Row],[Tech Start Date]],19),IF(Main[[#This Row],[Class]]="A",WORKDAY(Main[[#This Row],[Tech Start Date]],9),""))))</f>
        <v/>
      </c>
      <c r="Q717" s="101"/>
      <c r="R717" s="101"/>
      <c r="S717" s="99" t="s">
        <v>6</v>
      </c>
      <c r="T717" s="107" t="s">
        <v>4</v>
      </c>
      <c r="U717" s="99" t="s">
        <v>12</v>
      </c>
      <c r="V717" s="99" t="s">
        <v>1965</v>
      </c>
      <c r="W717" s="99" t="s">
        <v>1966</v>
      </c>
    </row>
    <row r="718" spans="1:23" ht="18.600000000000001" customHeight="1">
      <c r="A718" s="123" t="str">
        <f>IF(priority(Main[[#This Row],[Comments]])&lt;&gt;0, priority(Main[[#This Row],[Comments]]),"")</f>
        <v/>
      </c>
      <c r="B718" s="127" t="s">
        <v>1556</v>
      </c>
      <c r="C718" s="99" t="s">
        <v>4</v>
      </c>
      <c r="D718" s="100" t="s">
        <v>601</v>
      </c>
      <c r="E718" s="101">
        <v>40270.342719907407</v>
      </c>
      <c r="F718" s="101"/>
      <c r="G718" s="102" t="str">
        <f>IF(stdProdLT(Main[[#This Row],[Comments]])=0.1,"N/A",IF(stdProdLT(Main[[#This Row],[Comments]])=0,"",stdProdLT(Main[[#This Row],[Comments]])))</f>
        <v/>
      </c>
      <c r="H718" s="103" t="str">
        <f>IF(AND(Main[[#This Row],[In Stock Date]]&lt;&gt;"",Main[[#This Row],[Revised Due Date]]&lt;&gt;""),Main[[#This Row],[In Stock Date]]-Main[[#This Row],[Revised Due Date]],"")</f>
        <v/>
      </c>
      <c r="I718" s="99" t="s">
        <v>4</v>
      </c>
      <c r="J718" s="99" t="s">
        <v>4</v>
      </c>
      <c r="K718" s="99" t="s">
        <v>4</v>
      </c>
      <c r="L718" s="101"/>
      <c r="M718" s="104" t="str">
        <f>IF(Main[[#This Row],[Tech Start Date]]&lt;1/1/1990,"",IF(Main[[#This Row],[Class]]="C",WORKDAY(Main[[#This Row],[Tech Start Date]],9),IF(Main[[#This Row],[Class]]="B", WORKDAY(Main[[#This Row],[Tech Start Date]],6),IF(Main[[#This Row],[Class]]="A",WORKDAY(Main[[#This Row],[Tech Start Date]],2),""))))</f>
        <v/>
      </c>
      <c r="N718" s="104" t="str">
        <f>IF(Main[[#This Row],[Tech Start Date]]&lt;1/1/1990,"",IF(Main[[#This Row],[Class]]="C",WORKDAY(Main[[#This Row],[Tech Start Date]],19),IF(Main[[#This Row],[Class]]="B", WORKDAY(Main[[#This Row],[Tech Start Date]],12),IF(Main[[#This Row],[Class]]="A",WORKDAY(Main[[#This Row],[Tech Start Date]],4),""))))</f>
        <v/>
      </c>
      <c r="O718" s="104" t="str">
        <f>IF(Main[[#This Row],[Tech Start Date]]&lt;1/1/1990,"",IF(Main[[#This Row],[Class]]="C",WORKDAY(Main[[#This Row],[Tech Start Date]],23),IF(Main[[#This Row],[Class]]="B", WORKDAY(Main[[#This Row],[Tech Start Date]],15),IF(Main[[#This Row],[Class]]="A",WORKDAY(Main[[#This Row],[Tech Start Date]],5),""))))</f>
        <v/>
      </c>
      <c r="P718" s="104" t="str">
        <f>IF(Main[[#This Row],[Tech Start Date]]&lt;1/1/1990,"",IF(Main[[#This Row],[Class]]="C",WORKDAY(Main[[#This Row],[Tech Start Date]],28),IF(Main[[#This Row],[Class]]="B", WORKDAY(Main[[#This Row],[Tech Start Date]],19),IF(Main[[#This Row],[Class]]="A",WORKDAY(Main[[#This Row],[Tech Start Date]],9),""))))</f>
        <v/>
      </c>
      <c r="Q718" s="101">
        <v>40359</v>
      </c>
      <c r="R718" s="101"/>
      <c r="S718" s="99" t="s">
        <v>6</v>
      </c>
      <c r="T718" s="107" t="s">
        <v>4</v>
      </c>
      <c r="U718" s="99" t="s">
        <v>7</v>
      </c>
      <c r="V718" s="99" t="s">
        <v>1962</v>
      </c>
      <c r="W718" s="99" t="s">
        <v>4</v>
      </c>
    </row>
    <row r="719" spans="1:23" ht="18.600000000000001" customHeight="1">
      <c r="A719" s="123" t="str">
        <f>IF(priority(Main[[#This Row],[Comments]])&lt;&gt;0, priority(Main[[#This Row],[Comments]]),"")</f>
        <v/>
      </c>
      <c r="B719" s="127" t="s">
        <v>1557</v>
      </c>
      <c r="C719" s="99" t="s">
        <v>356</v>
      </c>
      <c r="D719" s="100" t="s">
        <v>602</v>
      </c>
      <c r="E719" s="101"/>
      <c r="F719" s="101">
        <v>40452</v>
      </c>
      <c r="G719" s="102" t="str">
        <f>IF(stdProdLT(Main[[#This Row],[Comments]])=0.1,"N/A",IF(stdProdLT(Main[[#This Row],[Comments]])=0,"",stdProdLT(Main[[#This Row],[Comments]])))</f>
        <v/>
      </c>
      <c r="H719" s="103" t="str">
        <f>IF(AND(Main[[#This Row],[In Stock Date]]&lt;&gt;"",Main[[#This Row],[Revised Due Date]]&lt;&gt;""),Main[[#This Row],[In Stock Date]]-Main[[#This Row],[Revised Due Date]],"")</f>
        <v/>
      </c>
      <c r="I719" s="99" t="s">
        <v>4</v>
      </c>
      <c r="J719" s="99" t="s">
        <v>4</v>
      </c>
      <c r="K719" s="99" t="s">
        <v>4</v>
      </c>
      <c r="L719" s="101"/>
      <c r="M719" s="104" t="str">
        <f>IF(Main[[#This Row],[Tech Start Date]]&lt;1/1/1990,"",IF(Main[[#This Row],[Class]]="C",WORKDAY(Main[[#This Row],[Tech Start Date]],9),IF(Main[[#This Row],[Class]]="B", WORKDAY(Main[[#This Row],[Tech Start Date]],6),IF(Main[[#This Row],[Class]]="A",WORKDAY(Main[[#This Row],[Tech Start Date]],2),""))))</f>
        <v/>
      </c>
      <c r="N719" s="104" t="str">
        <f>IF(Main[[#This Row],[Tech Start Date]]&lt;1/1/1990,"",IF(Main[[#This Row],[Class]]="C",WORKDAY(Main[[#This Row],[Tech Start Date]],19),IF(Main[[#This Row],[Class]]="B", WORKDAY(Main[[#This Row],[Tech Start Date]],12),IF(Main[[#This Row],[Class]]="A",WORKDAY(Main[[#This Row],[Tech Start Date]],4),""))))</f>
        <v/>
      </c>
      <c r="O719" s="104" t="str">
        <f>IF(Main[[#This Row],[Tech Start Date]]&lt;1/1/1990,"",IF(Main[[#This Row],[Class]]="C",WORKDAY(Main[[#This Row],[Tech Start Date]],23),IF(Main[[#This Row],[Class]]="B", WORKDAY(Main[[#This Row],[Tech Start Date]],15),IF(Main[[#This Row],[Class]]="A",WORKDAY(Main[[#This Row],[Tech Start Date]],5),""))))</f>
        <v/>
      </c>
      <c r="P719" s="104" t="str">
        <f>IF(Main[[#This Row],[Tech Start Date]]&lt;1/1/1990,"",IF(Main[[#This Row],[Class]]="C",WORKDAY(Main[[#This Row],[Tech Start Date]],28),IF(Main[[#This Row],[Class]]="B", WORKDAY(Main[[#This Row],[Tech Start Date]],19),IF(Main[[#This Row],[Class]]="A",WORKDAY(Main[[#This Row],[Tech Start Date]],9),""))))</f>
        <v/>
      </c>
      <c r="Q719" s="101">
        <v>40344</v>
      </c>
      <c r="R719" s="101"/>
      <c r="S719" s="99" t="s">
        <v>11</v>
      </c>
      <c r="T719" s="107" t="s">
        <v>4</v>
      </c>
      <c r="U719" s="99" t="s">
        <v>14</v>
      </c>
      <c r="V719" s="99" t="s">
        <v>1965</v>
      </c>
      <c r="W719" s="99" t="s">
        <v>1968</v>
      </c>
    </row>
    <row r="720" spans="1:23" ht="18.600000000000001" customHeight="1">
      <c r="A720" s="123" t="str">
        <f>IF(priority(Main[[#This Row],[Comments]])&lt;&gt;0, priority(Main[[#This Row],[Comments]]),"")</f>
        <v/>
      </c>
      <c r="B720" s="127" t="s">
        <v>1558</v>
      </c>
      <c r="C720" s="99" t="s">
        <v>4</v>
      </c>
      <c r="D720" s="100" t="s">
        <v>603</v>
      </c>
      <c r="E720" s="101">
        <v>40645.435763888891</v>
      </c>
      <c r="F720" s="101"/>
      <c r="G720" s="102" t="str">
        <f>IF(stdProdLT(Main[[#This Row],[Comments]])=0.1,"N/A",IF(stdProdLT(Main[[#This Row],[Comments]])=0,"",stdProdLT(Main[[#This Row],[Comments]])))</f>
        <v/>
      </c>
      <c r="H720" s="103" t="str">
        <f>IF(AND(Main[[#This Row],[In Stock Date]]&lt;&gt;"",Main[[#This Row],[Revised Due Date]]&lt;&gt;""),Main[[#This Row],[In Stock Date]]-Main[[#This Row],[Revised Due Date]],"")</f>
        <v/>
      </c>
      <c r="I720" s="99" t="s">
        <v>568</v>
      </c>
      <c r="J720" s="99" t="s">
        <v>70</v>
      </c>
      <c r="K720" s="99" t="s">
        <v>4</v>
      </c>
      <c r="L720" s="101"/>
      <c r="M720" s="104" t="str">
        <f>IF(Main[[#This Row],[Tech Start Date]]&lt;1/1/1990,"",IF(Main[[#This Row],[Class]]="C",WORKDAY(Main[[#This Row],[Tech Start Date]],9),IF(Main[[#This Row],[Class]]="B", WORKDAY(Main[[#This Row],[Tech Start Date]],6),IF(Main[[#This Row],[Class]]="A",WORKDAY(Main[[#This Row],[Tech Start Date]],2),""))))</f>
        <v/>
      </c>
      <c r="N720" s="104" t="str">
        <f>IF(Main[[#This Row],[Tech Start Date]]&lt;1/1/1990,"",IF(Main[[#This Row],[Class]]="C",WORKDAY(Main[[#This Row],[Tech Start Date]],19),IF(Main[[#This Row],[Class]]="B", WORKDAY(Main[[#This Row],[Tech Start Date]],12),IF(Main[[#This Row],[Class]]="A",WORKDAY(Main[[#This Row],[Tech Start Date]],4),""))))</f>
        <v/>
      </c>
      <c r="O720" s="104" t="str">
        <f>IF(Main[[#This Row],[Tech Start Date]]&lt;1/1/1990,"",IF(Main[[#This Row],[Class]]="C",WORKDAY(Main[[#This Row],[Tech Start Date]],23),IF(Main[[#This Row],[Class]]="B", WORKDAY(Main[[#This Row],[Tech Start Date]],15),IF(Main[[#This Row],[Class]]="A",WORKDAY(Main[[#This Row],[Tech Start Date]],5),""))))</f>
        <v/>
      </c>
      <c r="P720" s="104" t="str">
        <f>IF(Main[[#This Row],[Tech Start Date]]&lt;1/1/1990,"",IF(Main[[#This Row],[Class]]="C",WORKDAY(Main[[#This Row],[Tech Start Date]],28),IF(Main[[#This Row],[Class]]="B", WORKDAY(Main[[#This Row],[Tech Start Date]],19),IF(Main[[#This Row],[Class]]="A",WORKDAY(Main[[#This Row],[Tech Start Date]],9),""))))</f>
        <v/>
      </c>
      <c r="Q720" s="101">
        <v>40669</v>
      </c>
      <c r="R720" s="101"/>
      <c r="S720" s="99" t="s">
        <v>6</v>
      </c>
      <c r="T720" s="107" t="s">
        <v>4</v>
      </c>
      <c r="U720" s="99" t="s">
        <v>29</v>
      </c>
      <c r="V720" s="99" t="s">
        <v>1962</v>
      </c>
      <c r="W720" s="99" t="s">
        <v>4</v>
      </c>
    </row>
    <row r="721" spans="1:23" ht="18.600000000000001" customHeight="1">
      <c r="A721" s="123" t="str">
        <f>IF(priority(Main[[#This Row],[Comments]])&lt;&gt;0, priority(Main[[#This Row],[Comments]]),"")</f>
        <v/>
      </c>
      <c r="B721" s="127" t="s">
        <v>1560</v>
      </c>
      <c r="C721" s="99" t="s">
        <v>406</v>
      </c>
      <c r="D721" s="100" t="s">
        <v>604</v>
      </c>
      <c r="E721" s="101"/>
      <c r="F721" s="101">
        <v>40447</v>
      </c>
      <c r="G721" s="102" t="str">
        <f>IF(stdProdLT(Main[[#This Row],[Comments]])=0.1,"N/A",IF(stdProdLT(Main[[#This Row],[Comments]])=0,"",stdProdLT(Main[[#This Row],[Comments]])))</f>
        <v/>
      </c>
      <c r="H721" s="103" t="str">
        <f>IF(AND(Main[[#This Row],[In Stock Date]]&lt;&gt;"",Main[[#This Row],[Revised Due Date]]&lt;&gt;""),Main[[#This Row],[In Stock Date]]-Main[[#This Row],[Revised Due Date]],"")</f>
        <v/>
      </c>
      <c r="I721" s="99" t="s">
        <v>4</v>
      </c>
      <c r="J721" s="99" t="s">
        <v>4</v>
      </c>
      <c r="K721" s="99" t="s">
        <v>4</v>
      </c>
      <c r="L721" s="101"/>
      <c r="M721" s="104" t="str">
        <f>IF(Main[[#This Row],[Tech Start Date]]&lt;1/1/1990,"",IF(Main[[#This Row],[Class]]="C",WORKDAY(Main[[#This Row],[Tech Start Date]],9),IF(Main[[#This Row],[Class]]="B", WORKDAY(Main[[#This Row],[Tech Start Date]],6),IF(Main[[#This Row],[Class]]="A",WORKDAY(Main[[#This Row],[Tech Start Date]],2),""))))</f>
        <v/>
      </c>
      <c r="N721" s="104" t="str">
        <f>IF(Main[[#This Row],[Tech Start Date]]&lt;1/1/1990,"",IF(Main[[#This Row],[Class]]="C",WORKDAY(Main[[#This Row],[Tech Start Date]],19),IF(Main[[#This Row],[Class]]="B", WORKDAY(Main[[#This Row],[Tech Start Date]],12),IF(Main[[#This Row],[Class]]="A",WORKDAY(Main[[#This Row],[Tech Start Date]],4),""))))</f>
        <v/>
      </c>
      <c r="O721" s="104" t="str">
        <f>IF(Main[[#This Row],[Tech Start Date]]&lt;1/1/1990,"",IF(Main[[#This Row],[Class]]="C",WORKDAY(Main[[#This Row],[Tech Start Date]],23),IF(Main[[#This Row],[Class]]="B", WORKDAY(Main[[#This Row],[Tech Start Date]],15),IF(Main[[#This Row],[Class]]="A",WORKDAY(Main[[#This Row],[Tech Start Date]],5),""))))</f>
        <v/>
      </c>
      <c r="P721" s="104" t="str">
        <f>IF(Main[[#This Row],[Tech Start Date]]&lt;1/1/1990,"",IF(Main[[#This Row],[Class]]="C",WORKDAY(Main[[#This Row],[Tech Start Date]],28),IF(Main[[#This Row],[Class]]="B", WORKDAY(Main[[#This Row],[Tech Start Date]],19),IF(Main[[#This Row],[Class]]="A",WORKDAY(Main[[#This Row],[Tech Start Date]],9),""))))</f>
        <v/>
      </c>
      <c r="Q721" s="101">
        <v>40349</v>
      </c>
      <c r="R721" s="101"/>
      <c r="S721" s="99" t="s">
        <v>11</v>
      </c>
      <c r="T721" s="107" t="s">
        <v>4</v>
      </c>
      <c r="U721" s="99" t="s">
        <v>14</v>
      </c>
      <c r="V721" s="99" t="s">
        <v>1972</v>
      </c>
      <c r="W721" s="99" t="s">
        <v>1967</v>
      </c>
    </row>
    <row r="722" spans="1:23" ht="18.600000000000001" customHeight="1">
      <c r="A722" s="123" t="str">
        <f>IF(priority(Main[[#This Row],[Comments]])&lt;&gt;0, priority(Main[[#This Row],[Comments]]),"")</f>
        <v/>
      </c>
      <c r="B722" s="127" t="s">
        <v>1580</v>
      </c>
      <c r="C722" s="99" t="s">
        <v>442</v>
      </c>
      <c r="D722" s="100" t="s">
        <v>632</v>
      </c>
      <c r="E722" s="101"/>
      <c r="F722" s="101">
        <v>40056</v>
      </c>
      <c r="G722" s="102" t="str">
        <f>IF(stdProdLT(Main[[#This Row],[Comments]])=0.1,"N/A",IF(stdProdLT(Main[[#This Row],[Comments]])=0,"",stdProdLT(Main[[#This Row],[Comments]])))</f>
        <v/>
      </c>
      <c r="H722" s="103" t="str">
        <f>IF(AND(Main[[#This Row],[In Stock Date]]&lt;&gt;"",Main[[#This Row],[Revised Due Date]]&lt;&gt;""),Main[[#This Row],[In Stock Date]]-Main[[#This Row],[Revised Due Date]],"")</f>
        <v/>
      </c>
      <c r="I722" s="99" t="s">
        <v>4</v>
      </c>
      <c r="J722" s="99" t="s">
        <v>4</v>
      </c>
      <c r="K722" s="99" t="s">
        <v>4</v>
      </c>
      <c r="L722" s="101"/>
      <c r="M722" s="104" t="str">
        <f>IF(Main[[#This Row],[Tech Start Date]]&lt;1/1/1990,"",IF(Main[[#This Row],[Class]]="C",WORKDAY(Main[[#This Row],[Tech Start Date]],9),IF(Main[[#This Row],[Class]]="B", WORKDAY(Main[[#This Row],[Tech Start Date]],6),IF(Main[[#This Row],[Class]]="A",WORKDAY(Main[[#This Row],[Tech Start Date]],2),""))))</f>
        <v/>
      </c>
      <c r="N722" s="104" t="str">
        <f>IF(Main[[#This Row],[Tech Start Date]]&lt;1/1/1990,"",IF(Main[[#This Row],[Class]]="C",WORKDAY(Main[[#This Row],[Tech Start Date]],19),IF(Main[[#This Row],[Class]]="B", WORKDAY(Main[[#This Row],[Tech Start Date]],12),IF(Main[[#This Row],[Class]]="A",WORKDAY(Main[[#This Row],[Tech Start Date]],4),""))))</f>
        <v/>
      </c>
      <c r="O722" s="104" t="str">
        <f>IF(Main[[#This Row],[Tech Start Date]]&lt;1/1/1990,"",IF(Main[[#This Row],[Class]]="C",WORKDAY(Main[[#This Row],[Tech Start Date]],23),IF(Main[[#This Row],[Class]]="B", WORKDAY(Main[[#This Row],[Tech Start Date]],15),IF(Main[[#This Row],[Class]]="A",WORKDAY(Main[[#This Row],[Tech Start Date]],5),""))))</f>
        <v/>
      </c>
      <c r="P722" s="104" t="str">
        <f>IF(Main[[#This Row],[Tech Start Date]]&lt;1/1/1990,"",IF(Main[[#This Row],[Class]]="C",WORKDAY(Main[[#This Row],[Tech Start Date]],28),IF(Main[[#This Row],[Class]]="B", WORKDAY(Main[[#This Row],[Tech Start Date]],19),IF(Main[[#This Row],[Class]]="A",WORKDAY(Main[[#This Row],[Tech Start Date]],9),""))))</f>
        <v/>
      </c>
      <c r="Q722" s="101"/>
      <c r="R722" s="101"/>
      <c r="S722" s="99" t="s">
        <v>11</v>
      </c>
      <c r="T722" s="107" t="s">
        <v>4</v>
      </c>
      <c r="U722" s="99" t="s">
        <v>14</v>
      </c>
      <c r="V722" s="99" t="s">
        <v>1962</v>
      </c>
      <c r="W722" s="99" t="s">
        <v>1970</v>
      </c>
    </row>
    <row r="723" spans="1:23" ht="18.600000000000001" customHeight="1">
      <c r="A723" s="123" t="str">
        <f>IF(priority(Main[[#This Row],[Comments]])&lt;&gt;0, priority(Main[[#This Row],[Comments]]),"")</f>
        <v/>
      </c>
      <c r="B723" s="127" t="s">
        <v>1590</v>
      </c>
      <c r="C723" s="99" t="s">
        <v>95</v>
      </c>
      <c r="D723" s="100" t="s">
        <v>642</v>
      </c>
      <c r="E723" s="101"/>
      <c r="F723" s="101">
        <v>40195</v>
      </c>
      <c r="G723" s="102" t="str">
        <f>IF(stdProdLT(Main[[#This Row],[Comments]])=0.1,"N/A",IF(stdProdLT(Main[[#This Row],[Comments]])=0,"",stdProdLT(Main[[#This Row],[Comments]])))</f>
        <v/>
      </c>
      <c r="H723" s="103" t="str">
        <f>IF(AND(Main[[#This Row],[In Stock Date]]&lt;&gt;"",Main[[#This Row],[Revised Due Date]]&lt;&gt;""),Main[[#This Row],[In Stock Date]]-Main[[#This Row],[Revised Due Date]],"")</f>
        <v/>
      </c>
      <c r="I723" s="99" t="s">
        <v>4</v>
      </c>
      <c r="J723" s="99" t="s">
        <v>4</v>
      </c>
      <c r="K723" s="99" t="s">
        <v>4</v>
      </c>
      <c r="L723" s="101"/>
      <c r="M723" s="104" t="str">
        <f>IF(Main[[#This Row],[Tech Start Date]]&lt;1/1/1990,"",IF(Main[[#This Row],[Class]]="C",WORKDAY(Main[[#This Row],[Tech Start Date]],9),IF(Main[[#This Row],[Class]]="B", WORKDAY(Main[[#This Row],[Tech Start Date]],6),IF(Main[[#This Row],[Class]]="A",WORKDAY(Main[[#This Row],[Tech Start Date]],2),""))))</f>
        <v/>
      </c>
      <c r="N723" s="104" t="str">
        <f>IF(Main[[#This Row],[Tech Start Date]]&lt;1/1/1990,"",IF(Main[[#This Row],[Class]]="C",WORKDAY(Main[[#This Row],[Tech Start Date]],19),IF(Main[[#This Row],[Class]]="B", WORKDAY(Main[[#This Row],[Tech Start Date]],12),IF(Main[[#This Row],[Class]]="A",WORKDAY(Main[[#This Row],[Tech Start Date]],4),""))))</f>
        <v/>
      </c>
      <c r="O723" s="104" t="str">
        <f>IF(Main[[#This Row],[Tech Start Date]]&lt;1/1/1990,"",IF(Main[[#This Row],[Class]]="C",WORKDAY(Main[[#This Row],[Tech Start Date]],23),IF(Main[[#This Row],[Class]]="B", WORKDAY(Main[[#This Row],[Tech Start Date]],15),IF(Main[[#This Row],[Class]]="A",WORKDAY(Main[[#This Row],[Tech Start Date]],5),""))))</f>
        <v/>
      </c>
      <c r="P723" s="104" t="str">
        <f>IF(Main[[#This Row],[Tech Start Date]]&lt;1/1/1990,"",IF(Main[[#This Row],[Class]]="C",WORKDAY(Main[[#This Row],[Tech Start Date]],28),IF(Main[[#This Row],[Class]]="B", WORKDAY(Main[[#This Row],[Tech Start Date]],19),IF(Main[[#This Row],[Class]]="A",WORKDAY(Main[[#This Row],[Tech Start Date]],9),""))))</f>
        <v/>
      </c>
      <c r="Q723" s="101">
        <v>40070</v>
      </c>
      <c r="R723" s="101"/>
      <c r="S723" s="99" t="s">
        <v>11</v>
      </c>
      <c r="T723" s="107" t="s">
        <v>4</v>
      </c>
      <c r="U723" s="99" t="s">
        <v>14</v>
      </c>
      <c r="V723" s="99" t="s">
        <v>1965</v>
      </c>
      <c r="W723" s="99" t="s">
        <v>1968</v>
      </c>
    </row>
    <row r="724" spans="1:23" ht="18.600000000000001" customHeight="1">
      <c r="A724" s="123" t="str">
        <f>IF(priority(Main[[#This Row],[Comments]])&lt;&gt;0, priority(Main[[#This Row],[Comments]]),"")</f>
        <v/>
      </c>
      <c r="B724" s="127" t="s">
        <v>1591</v>
      </c>
      <c r="C724" s="99" t="s">
        <v>4</v>
      </c>
      <c r="D724" s="100" t="s">
        <v>639</v>
      </c>
      <c r="E724" s="101"/>
      <c r="F724" s="101"/>
      <c r="G724" s="102" t="str">
        <f>IF(stdProdLT(Main[[#This Row],[Comments]])=0.1,"N/A",IF(stdProdLT(Main[[#This Row],[Comments]])=0,"",stdProdLT(Main[[#This Row],[Comments]])))</f>
        <v/>
      </c>
      <c r="H724" s="103" t="str">
        <f>IF(AND(Main[[#This Row],[In Stock Date]]&lt;&gt;"",Main[[#This Row],[Revised Due Date]]&lt;&gt;""),Main[[#This Row],[In Stock Date]]-Main[[#This Row],[Revised Due Date]],"")</f>
        <v/>
      </c>
      <c r="I724" s="99" t="s">
        <v>404</v>
      </c>
      <c r="J724" s="99" t="s">
        <v>75</v>
      </c>
      <c r="K724" s="99" t="s">
        <v>4</v>
      </c>
      <c r="L724" s="101"/>
      <c r="M724" s="104" t="str">
        <f>IF(Main[[#This Row],[Tech Start Date]]&lt;1/1/1990,"",IF(Main[[#This Row],[Class]]="C",WORKDAY(Main[[#This Row],[Tech Start Date]],9),IF(Main[[#This Row],[Class]]="B", WORKDAY(Main[[#This Row],[Tech Start Date]],6),IF(Main[[#This Row],[Class]]="A",WORKDAY(Main[[#This Row],[Tech Start Date]],2),""))))</f>
        <v/>
      </c>
      <c r="N724" s="104" t="str">
        <f>IF(Main[[#This Row],[Tech Start Date]]&lt;1/1/1990,"",IF(Main[[#This Row],[Class]]="C",WORKDAY(Main[[#This Row],[Tech Start Date]],19),IF(Main[[#This Row],[Class]]="B", WORKDAY(Main[[#This Row],[Tech Start Date]],12),IF(Main[[#This Row],[Class]]="A",WORKDAY(Main[[#This Row],[Tech Start Date]],4),""))))</f>
        <v/>
      </c>
      <c r="O724" s="104" t="str">
        <f>IF(Main[[#This Row],[Tech Start Date]]&lt;1/1/1990,"",IF(Main[[#This Row],[Class]]="C",WORKDAY(Main[[#This Row],[Tech Start Date]],23),IF(Main[[#This Row],[Class]]="B", WORKDAY(Main[[#This Row],[Tech Start Date]],15),IF(Main[[#This Row],[Class]]="A",WORKDAY(Main[[#This Row],[Tech Start Date]],5),""))))</f>
        <v/>
      </c>
      <c r="P724" s="104" t="str">
        <f>IF(Main[[#This Row],[Tech Start Date]]&lt;1/1/1990,"",IF(Main[[#This Row],[Class]]="C",WORKDAY(Main[[#This Row],[Tech Start Date]],28),IF(Main[[#This Row],[Class]]="B", WORKDAY(Main[[#This Row],[Tech Start Date]],19),IF(Main[[#This Row],[Class]]="A",WORKDAY(Main[[#This Row],[Tech Start Date]],9),""))))</f>
        <v/>
      </c>
      <c r="Q724" s="101">
        <v>40186</v>
      </c>
      <c r="R724" s="101"/>
      <c r="S724" s="99" t="s">
        <v>6</v>
      </c>
      <c r="T724" s="107" t="s">
        <v>4</v>
      </c>
      <c r="U724" s="99" t="s">
        <v>14</v>
      </c>
      <c r="V724" s="99" t="s">
        <v>1965</v>
      </c>
      <c r="W724" s="99" t="s">
        <v>1973</v>
      </c>
    </row>
    <row r="725" spans="1:23" ht="18.600000000000001" customHeight="1">
      <c r="A725" s="123" t="str">
        <f>IF(priority(Main[[#This Row],[Comments]])&lt;&gt;0, priority(Main[[#This Row],[Comments]]),"")</f>
        <v/>
      </c>
      <c r="B725" s="127" t="s">
        <v>1592</v>
      </c>
      <c r="C725" s="99" t="s">
        <v>4</v>
      </c>
      <c r="D725" s="100" t="s">
        <v>640</v>
      </c>
      <c r="E725" s="101"/>
      <c r="F725" s="101"/>
      <c r="G725" s="102" t="str">
        <f>IF(stdProdLT(Main[[#This Row],[Comments]])=0.1,"N/A",IF(stdProdLT(Main[[#This Row],[Comments]])=0,"",stdProdLT(Main[[#This Row],[Comments]])))</f>
        <v/>
      </c>
      <c r="H725" s="103" t="str">
        <f>IF(AND(Main[[#This Row],[In Stock Date]]&lt;&gt;"",Main[[#This Row],[Revised Due Date]]&lt;&gt;""),Main[[#This Row],[In Stock Date]]-Main[[#This Row],[Revised Due Date]],"")</f>
        <v/>
      </c>
      <c r="I725" s="99" t="s">
        <v>4</v>
      </c>
      <c r="J725" s="99" t="s">
        <v>4</v>
      </c>
      <c r="K725" s="99" t="s">
        <v>4</v>
      </c>
      <c r="L725" s="101"/>
      <c r="M725" s="104" t="str">
        <f>IF(Main[[#This Row],[Tech Start Date]]&lt;1/1/1990,"",IF(Main[[#This Row],[Class]]="C",WORKDAY(Main[[#This Row],[Tech Start Date]],9),IF(Main[[#This Row],[Class]]="B", WORKDAY(Main[[#This Row],[Tech Start Date]],6),IF(Main[[#This Row],[Class]]="A",WORKDAY(Main[[#This Row],[Tech Start Date]],2),""))))</f>
        <v/>
      </c>
      <c r="N725" s="104" t="str">
        <f>IF(Main[[#This Row],[Tech Start Date]]&lt;1/1/1990,"",IF(Main[[#This Row],[Class]]="C",WORKDAY(Main[[#This Row],[Tech Start Date]],19),IF(Main[[#This Row],[Class]]="B", WORKDAY(Main[[#This Row],[Tech Start Date]],12),IF(Main[[#This Row],[Class]]="A",WORKDAY(Main[[#This Row],[Tech Start Date]],4),""))))</f>
        <v/>
      </c>
      <c r="O725" s="104" t="str">
        <f>IF(Main[[#This Row],[Tech Start Date]]&lt;1/1/1990,"",IF(Main[[#This Row],[Class]]="C",WORKDAY(Main[[#This Row],[Tech Start Date]],23),IF(Main[[#This Row],[Class]]="B", WORKDAY(Main[[#This Row],[Tech Start Date]],15),IF(Main[[#This Row],[Class]]="A",WORKDAY(Main[[#This Row],[Tech Start Date]],5),""))))</f>
        <v/>
      </c>
      <c r="P725" s="104" t="str">
        <f>IF(Main[[#This Row],[Tech Start Date]]&lt;1/1/1990,"",IF(Main[[#This Row],[Class]]="C",WORKDAY(Main[[#This Row],[Tech Start Date]],28),IF(Main[[#This Row],[Class]]="B", WORKDAY(Main[[#This Row],[Tech Start Date]],19),IF(Main[[#This Row],[Class]]="A",WORKDAY(Main[[#This Row],[Tech Start Date]],9),""))))</f>
        <v/>
      </c>
      <c r="Q725" s="101">
        <v>40389</v>
      </c>
      <c r="R725" s="101"/>
      <c r="S725" s="99" t="s">
        <v>6</v>
      </c>
      <c r="T725" s="107" t="s">
        <v>4</v>
      </c>
      <c r="U725" s="99" t="s">
        <v>12</v>
      </c>
      <c r="V725" s="99" t="s">
        <v>1962</v>
      </c>
      <c r="W725" s="99" t="s">
        <v>4</v>
      </c>
    </row>
    <row r="726" spans="1:23" ht="18.600000000000001" customHeight="1">
      <c r="A726" s="123" t="str">
        <f>IF(priority(Main[[#This Row],[Comments]])&lt;&gt;0, priority(Main[[#This Row],[Comments]]),"")</f>
        <v/>
      </c>
      <c r="B726" s="127" t="s">
        <v>1617</v>
      </c>
      <c r="C726" s="99" t="s">
        <v>79</v>
      </c>
      <c r="D726" s="100" t="s">
        <v>666</v>
      </c>
      <c r="E726" s="101"/>
      <c r="F726" s="101"/>
      <c r="G726" s="102" t="str">
        <f>IF(stdProdLT(Main[[#This Row],[Comments]])=0.1,"N/A",IF(stdProdLT(Main[[#This Row],[Comments]])=0,"",stdProdLT(Main[[#This Row],[Comments]])))</f>
        <v/>
      </c>
      <c r="H726" s="103" t="str">
        <f>IF(AND(Main[[#This Row],[In Stock Date]]&lt;&gt;"",Main[[#This Row],[Revised Due Date]]&lt;&gt;""),Main[[#This Row],[In Stock Date]]-Main[[#This Row],[Revised Due Date]],"")</f>
        <v/>
      </c>
      <c r="I726" s="99" t="s">
        <v>4</v>
      </c>
      <c r="J726" s="99" t="s">
        <v>28</v>
      </c>
      <c r="K726" s="108" t="s">
        <v>4</v>
      </c>
      <c r="L726" s="101"/>
      <c r="M726" s="104" t="str">
        <f>IF(Main[[#This Row],[Tech Start Date]]&lt;1/1/1990,"",IF(Main[[#This Row],[Class]]="C",WORKDAY(Main[[#This Row],[Tech Start Date]],9),IF(Main[[#This Row],[Class]]="B", WORKDAY(Main[[#This Row],[Tech Start Date]],6),IF(Main[[#This Row],[Class]]="A",WORKDAY(Main[[#This Row],[Tech Start Date]],2),""))))</f>
        <v/>
      </c>
      <c r="N726" s="104" t="str">
        <f>IF(Main[[#This Row],[Tech Start Date]]&lt;1/1/1990,"",IF(Main[[#This Row],[Class]]="C",WORKDAY(Main[[#This Row],[Tech Start Date]],19),IF(Main[[#This Row],[Class]]="B", WORKDAY(Main[[#This Row],[Tech Start Date]],12),IF(Main[[#This Row],[Class]]="A",WORKDAY(Main[[#This Row],[Tech Start Date]],4),""))))</f>
        <v/>
      </c>
      <c r="O726" s="104" t="str">
        <f>IF(Main[[#This Row],[Tech Start Date]]&lt;1/1/1990,"",IF(Main[[#This Row],[Class]]="C",WORKDAY(Main[[#This Row],[Tech Start Date]],23),IF(Main[[#This Row],[Class]]="B", WORKDAY(Main[[#This Row],[Tech Start Date]],15),IF(Main[[#This Row],[Class]]="A",WORKDAY(Main[[#This Row],[Tech Start Date]],5),""))))</f>
        <v/>
      </c>
      <c r="P726" s="104" t="str">
        <f>IF(Main[[#This Row],[Tech Start Date]]&lt;1/1/1990,"",IF(Main[[#This Row],[Class]]="C",WORKDAY(Main[[#This Row],[Tech Start Date]],28),IF(Main[[#This Row],[Class]]="B", WORKDAY(Main[[#This Row],[Tech Start Date]],19),IF(Main[[#This Row],[Class]]="A",WORKDAY(Main[[#This Row],[Tech Start Date]],9),""))))</f>
        <v/>
      </c>
      <c r="Q726" s="101"/>
      <c r="R726" s="101"/>
      <c r="S726" s="99" t="s">
        <v>6</v>
      </c>
      <c r="T726" s="107" t="s">
        <v>667</v>
      </c>
      <c r="U726" s="99" t="s">
        <v>14</v>
      </c>
      <c r="V726" s="99" t="s">
        <v>1963</v>
      </c>
      <c r="W726" s="99" t="s">
        <v>1964</v>
      </c>
    </row>
    <row r="727" spans="1:23" ht="18.600000000000001" customHeight="1">
      <c r="A727" s="123" t="str">
        <f>IF(priority(Main[[#This Row],[Comments]])&lt;&gt;0, priority(Main[[#This Row],[Comments]]),"")</f>
        <v/>
      </c>
      <c r="B727" s="127" t="s">
        <v>1209</v>
      </c>
      <c r="C727" s="99" t="s">
        <v>4</v>
      </c>
      <c r="D727" s="100" t="s">
        <v>1031</v>
      </c>
      <c r="E727" s="101">
        <v>40718.691643518519</v>
      </c>
      <c r="F727" s="101"/>
      <c r="G727" s="102" t="str">
        <f>IF(stdProdLT(Main[[#This Row],[Comments]])=0.1,"N/A",IF(stdProdLT(Main[[#This Row],[Comments]])=0,"",stdProdLT(Main[[#This Row],[Comments]])))</f>
        <v/>
      </c>
      <c r="H727" s="103" t="str">
        <f>IF(AND(Main[[#This Row],[In Stock Date]]&lt;&gt;"",Main[[#This Row],[Revised Due Date]]&lt;&gt;""),Main[[#This Row],[In Stock Date]]-Main[[#This Row],[Revised Due Date]],"")</f>
        <v/>
      </c>
      <c r="I727" s="99" t="s">
        <v>131</v>
      </c>
      <c r="J727" s="99" t="s">
        <v>70</v>
      </c>
      <c r="K727" s="99" t="s">
        <v>1971</v>
      </c>
      <c r="L727" s="101"/>
      <c r="M727" s="104" t="str">
        <f>IF(Main[[#This Row],[Tech Start Date]]&lt;1/1/1990,"",IF(Main[[#This Row],[Class]]="C",WORKDAY(Main[[#This Row],[Tech Start Date]],9),IF(Main[[#This Row],[Class]]="B", WORKDAY(Main[[#This Row],[Tech Start Date]],6),IF(Main[[#This Row],[Class]]="A",WORKDAY(Main[[#This Row],[Tech Start Date]],2),""))))</f>
        <v/>
      </c>
      <c r="N727" s="104" t="str">
        <f>IF(Main[[#This Row],[Tech Start Date]]&lt;1/1/1990,"",IF(Main[[#This Row],[Class]]="C",WORKDAY(Main[[#This Row],[Tech Start Date]],19),IF(Main[[#This Row],[Class]]="B", WORKDAY(Main[[#This Row],[Tech Start Date]],12),IF(Main[[#This Row],[Class]]="A",WORKDAY(Main[[#This Row],[Tech Start Date]],4),""))))</f>
        <v/>
      </c>
      <c r="O727" s="104" t="str">
        <f>IF(Main[[#This Row],[Tech Start Date]]&lt;1/1/1990,"",IF(Main[[#This Row],[Class]]="C",WORKDAY(Main[[#This Row],[Tech Start Date]],23),IF(Main[[#This Row],[Class]]="B", WORKDAY(Main[[#This Row],[Tech Start Date]],15),IF(Main[[#This Row],[Class]]="A",WORKDAY(Main[[#This Row],[Tech Start Date]],5),""))))</f>
        <v/>
      </c>
      <c r="P727" s="104" t="str">
        <f>IF(Main[[#This Row],[Tech Start Date]]&lt;1/1/1990,"",IF(Main[[#This Row],[Class]]="C",WORKDAY(Main[[#This Row],[Tech Start Date]],28),IF(Main[[#This Row],[Class]]="B", WORKDAY(Main[[#This Row],[Tech Start Date]],19),IF(Main[[#This Row],[Class]]="A",WORKDAY(Main[[#This Row],[Tech Start Date]],9),""))))</f>
        <v/>
      </c>
      <c r="Q727" s="101">
        <v>40753</v>
      </c>
      <c r="R727" s="101"/>
      <c r="S727" s="99" t="s">
        <v>6</v>
      </c>
      <c r="T727" s="107" t="s">
        <v>4</v>
      </c>
      <c r="U727" s="99" t="s">
        <v>29</v>
      </c>
      <c r="V727" s="99" t="s">
        <v>1965</v>
      </c>
      <c r="W727" s="99" t="s">
        <v>1966</v>
      </c>
    </row>
    <row r="728" spans="1:23" ht="18.600000000000001" customHeight="1">
      <c r="A728" s="123" t="str">
        <f>IF(priority(Main[[#This Row],[Comments]])&lt;&gt;0, priority(Main[[#This Row],[Comments]]),"")</f>
        <v/>
      </c>
      <c r="B728" s="127" t="s">
        <v>1593</v>
      </c>
      <c r="C728" s="99" t="s">
        <v>214</v>
      </c>
      <c r="D728" s="100" t="s">
        <v>419</v>
      </c>
      <c r="E728" s="101"/>
      <c r="F728" s="101">
        <v>40452</v>
      </c>
      <c r="G728" s="102" t="str">
        <f>IF(stdProdLT(Main[[#This Row],[Comments]])=0.1,"N/A",IF(stdProdLT(Main[[#This Row],[Comments]])=0,"",stdProdLT(Main[[#This Row],[Comments]])))</f>
        <v/>
      </c>
      <c r="H728" s="103" t="str">
        <f>IF(AND(Main[[#This Row],[In Stock Date]]&lt;&gt;"",Main[[#This Row],[Revised Due Date]]&lt;&gt;""),Main[[#This Row],[In Stock Date]]-Main[[#This Row],[Revised Due Date]],"")</f>
        <v/>
      </c>
      <c r="I728" s="99" t="s">
        <v>4</v>
      </c>
      <c r="J728" s="99" t="s">
        <v>4</v>
      </c>
      <c r="K728" s="99" t="s">
        <v>4</v>
      </c>
      <c r="L728" s="101"/>
      <c r="M728" s="104" t="str">
        <f>IF(Main[[#This Row],[Tech Start Date]]&lt;1/1/1990,"",IF(Main[[#This Row],[Class]]="C",WORKDAY(Main[[#This Row],[Tech Start Date]],9),IF(Main[[#This Row],[Class]]="B", WORKDAY(Main[[#This Row],[Tech Start Date]],6),IF(Main[[#This Row],[Class]]="A",WORKDAY(Main[[#This Row],[Tech Start Date]],2),""))))</f>
        <v/>
      </c>
      <c r="N728" s="104" t="str">
        <f>IF(Main[[#This Row],[Tech Start Date]]&lt;1/1/1990,"",IF(Main[[#This Row],[Class]]="C",WORKDAY(Main[[#This Row],[Tech Start Date]],19),IF(Main[[#This Row],[Class]]="B", WORKDAY(Main[[#This Row],[Tech Start Date]],12),IF(Main[[#This Row],[Class]]="A",WORKDAY(Main[[#This Row],[Tech Start Date]],4),""))))</f>
        <v/>
      </c>
      <c r="O728" s="104" t="str">
        <f>IF(Main[[#This Row],[Tech Start Date]]&lt;1/1/1990,"",IF(Main[[#This Row],[Class]]="C",WORKDAY(Main[[#This Row],[Tech Start Date]],23),IF(Main[[#This Row],[Class]]="B", WORKDAY(Main[[#This Row],[Tech Start Date]],15),IF(Main[[#This Row],[Class]]="A",WORKDAY(Main[[#This Row],[Tech Start Date]],5),""))))</f>
        <v/>
      </c>
      <c r="P728" s="104" t="str">
        <f>IF(Main[[#This Row],[Tech Start Date]]&lt;1/1/1990,"",IF(Main[[#This Row],[Class]]="C",WORKDAY(Main[[#This Row],[Tech Start Date]],28),IF(Main[[#This Row],[Class]]="B", WORKDAY(Main[[#This Row],[Tech Start Date]],19),IF(Main[[#This Row],[Class]]="A",WORKDAY(Main[[#This Row],[Tech Start Date]],9),""))))</f>
        <v/>
      </c>
      <c r="Q728" s="101">
        <v>40357</v>
      </c>
      <c r="R728" s="101"/>
      <c r="S728" s="99" t="s">
        <v>11</v>
      </c>
      <c r="T728" s="107" t="s">
        <v>4</v>
      </c>
      <c r="U728" s="99" t="s">
        <v>12</v>
      </c>
      <c r="V728" s="99" t="s">
        <v>1962</v>
      </c>
      <c r="W728" s="99" t="s">
        <v>1970</v>
      </c>
    </row>
    <row r="729" spans="1:23" ht="18.600000000000001" customHeight="1">
      <c r="A729" s="123" t="str">
        <f>IF(priority(Main[[#This Row],[Comments]])&lt;&gt;0, priority(Main[[#This Row],[Comments]]),"")</f>
        <v/>
      </c>
      <c r="B729" s="127" t="s">
        <v>2037</v>
      </c>
      <c r="C729" s="99" t="s">
        <v>4</v>
      </c>
      <c r="D729" s="100" t="s">
        <v>2495</v>
      </c>
      <c r="E729" s="101"/>
      <c r="F729" s="101"/>
      <c r="G729" s="102" t="str">
        <f>IF(stdProdLT(Main[[#This Row],[Comments]])=0.1,"N/A",IF(stdProdLT(Main[[#This Row],[Comments]])=0,"",stdProdLT(Main[[#This Row],[Comments]])))</f>
        <v/>
      </c>
      <c r="H729" s="103" t="str">
        <f>IF(AND(Main[[#This Row],[In Stock Date]]&lt;&gt;"",Main[[#This Row],[Revised Due Date]]&lt;&gt;""),Main[[#This Row],[In Stock Date]]-Main[[#This Row],[Revised Due Date]],"")</f>
        <v/>
      </c>
      <c r="I729" s="99" t="s">
        <v>4</v>
      </c>
      <c r="J729" s="99" t="s">
        <v>4</v>
      </c>
      <c r="K729" s="108" t="s">
        <v>4</v>
      </c>
      <c r="L729" s="101"/>
      <c r="M729" s="104" t="str">
        <f>IF(Main[[#This Row],[Tech Start Date]]&lt;1/1/1990,"",IF(Main[[#This Row],[Class]]="C",WORKDAY(Main[[#This Row],[Tech Start Date]],9),IF(Main[[#This Row],[Class]]="B", WORKDAY(Main[[#This Row],[Tech Start Date]],6),IF(Main[[#This Row],[Class]]="A",WORKDAY(Main[[#This Row],[Tech Start Date]],2),""))))</f>
        <v/>
      </c>
      <c r="N729" s="104" t="str">
        <f>IF(Main[[#This Row],[Tech Start Date]]&lt;1/1/1990,"",IF(Main[[#This Row],[Class]]="C",WORKDAY(Main[[#This Row],[Tech Start Date]],19),IF(Main[[#This Row],[Class]]="B", WORKDAY(Main[[#This Row],[Tech Start Date]],12),IF(Main[[#This Row],[Class]]="A",WORKDAY(Main[[#This Row],[Tech Start Date]],4),""))))</f>
        <v/>
      </c>
      <c r="O729" s="104" t="str">
        <f>IF(Main[[#This Row],[Tech Start Date]]&lt;1/1/1990,"",IF(Main[[#This Row],[Class]]="C",WORKDAY(Main[[#This Row],[Tech Start Date]],23),IF(Main[[#This Row],[Class]]="B", WORKDAY(Main[[#This Row],[Tech Start Date]],15),IF(Main[[#This Row],[Class]]="A",WORKDAY(Main[[#This Row],[Tech Start Date]],5),""))))</f>
        <v/>
      </c>
      <c r="P729" s="104" t="str">
        <f>IF(Main[[#This Row],[Tech Start Date]]&lt;1/1/1990,"",IF(Main[[#This Row],[Class]]="C",WORKDAY(Main[[#This Row],[Tech Start Date]],28),IF(Main[[#This Row],[Class]]="B", WORKDAY(Main[[#This Row],[Tech Start Date]],19),IF(Main[[#This Row],[Class]]="A",WORKDAY(Main[[#This Row],[Tech Start Date]],9),""))))</f>
        <v/>
      </c>
      <c r="Q729" s="101"/>
      <c r="R729" s="101"/>
      <c r="S729" s="99" t="s">
        <v>6</v>
      </c>
      <c r="T729" s="107" t="s">
        <v>4</v>
      </c>
      <c r="U729" s="99" t="s">
        <v>14</v>
      </c>
      <c r="V729" s="99" t="s">
        <v>1962</v>
      </c>
      <c r="W729" s="99" t="s">
        <v>1966</v>
      </c>
    </row>
    <row r="730" spans="1:23" ht="18.600000000000001" customHeight="1">
      <c r="A730" s="123" t="str">
        <f>IF(priority(Main[[#This Row],[Comments]])&lt;&gt;0, priority(Main[[#This Row],[Comments]]),"")</f>
        <v/>
      </c>
      <c r="B730" s="127" t="s">
        <v>1594</v>
      </c>
      <c r="C730" s="99" t="s">
        <v>4</v>
      </c>
      <c r="D730" s="100" t="s">
        <v>643</v>
      </c>
      <c r="E730" s="101">
        <v>40413.550520833334</v>
      </c>
      <c r="F730" s="101"/>
      <c r="G730" s="102" t="str">
        <f>IF(stdProdLT(Main[[#This Row],[Comments]])=0.1,"N/A",IF(stdProdLT(Main[[#This Row],[Comments]])=0,"",stdProdLT(Main[[#This Row],[Comments]])))</f>
        <v/>
      </c>
      <c r="H730" s="103" t="str">
        <f>IF(AND(Main[[#This Row],[In Stock Date]]&lt;&gt;"",Main[[#This Row],[Revised Due Date]]&lt;&gt;""),Main[[#This Row],[In Stock Date]]-Main[[#This Row],[Revised Due Date]],"")</f>
        <v/>
      </c>
      <c r="I730" s="99" t="s">
        <v>4</v>
      </c>
      <c r="J730" s="99" t="s">
        <v>28</v>
      </c>
      <c r="K730" s="99" t="s">
        <v>4</v>
      </c>
      <c r="L730" s="101"/>
      <c r="M730" s="104" t="str">
        <f>IF(Main[[#This Row],[Tech Start Date]]&lt;1/1/1990,"",IF(Main[[#This Row],[Class]]="C",WORKDAY(Main[[#This Row],[Tech Start Date]],9),IF(Main[[#This Row],[Class]]="B", WORKDAY(Main[[#This Row],[Tech Start Date]],6),IF(Main[[#This Row],[Class]]="A",WORKDAY(Main[[#This Row],[Tech Start Date]],2),""))))</f>
        <v/>
      </c>
      <c r="N730" s="104" t="str">
        <f>IF(Main[[#This Row],[Tech Start Date]]&lt;1/1/1990,"",IF(Main[[#This Row],[Class]]="C",WORKDAY(Main[[#This Row],[Tech Start Date]],19),IF(Main[[#This Row],[Class]]="B", WORKDAY(Main[[#This Row],[Tech Start Date]],12),IF(Main[[#This Row],[Class]]="A",WORKDAY(Main[[#This Row],[Tech Start Date]],4),""))))</f>
        <v/>
      </c>
      <c r="O730" s="104" t="str">
        <f>IF(Main[[#This Row],[Tech Start Date]]&lt;1/1/1990,"",IF(Main[[#This Row],[Class]]="C",WORKDAY(Main[[#This Row],[Tech Start Date]],23),IF(Main[[#This Row],[Class]]="B", WORKDAY(Main[[#This Row],[Tech Start Date]],15),IF(Main[[#This Row],[Class]]="A",WORKDAY(Main[[#This Row],[Tech Start Date]],5),""))))</f>
        <v/>
      </c>
      <c r="P730" s="104" t="str">
        <f>IF(Main[[#This Row],[Tech Start Date]]&lt;1/1/1990,"",IF(Main[[#This Row],[Class]]="C",WORKDAY(Main[[#This Row],[Tech Start Date]],28),IF(Main[[#This Row],[Class]]="B", WORKDAY(Main[[#This Row],[Tech Start Date]],19),IF(Main[[#This Row],[Class]]="A",WORKDAY(Main[[#This Row],[Tech Start Date]],9),""))))</f>
        <v/>
      </c>
      <c r="Q730" s="101">
        <v>40451</v>
      </c>
      <c r="R730" s="101"/>
      <c r="S730" s="99" t="s">
        <v>6</v>
      </c>
      <c r="T730" s="107" t="s">
        <v>4</v>
      </c>
      <c r="U730" s="99" t="s">
        <v>7</v>
      </c>
      <c r="V730" s="99" t="s">
        <v>1962</v>
      </c>
      <c r="W730" s="99" t="s">
        <v>1964</v>
      </c>
    </row>
    <row r="731" spans="1:23" ht="18.600000000000001" customHeight="1">
      <c r="A731" s="123" t="str">
        <f>IF(priority(Main[[#This Row],[Comments]])&lt;&gt;0, priority(Main[[#This Row],[Comments]]),"")</f>
        <v/>
      </c>
      <c r="B731" s="127" t="s">
        <v>1379</v>
      </c>
      <c r="C731" s="99" t="s">
        <v>4</v>
      </c>
      <c r="D731" s="100" t="s">
        <v>2070</v>
      </c>
      <c r="E731" s="101"/>
      <c r="F731" s="101"/>
      <c r="G731" s="102" t="str">
        <f>IF(stdProdLT(Main[[#This Row],[Comments]])=0.1,"N/A",IF(stdProdLT(Main[[#This Row],[Comments]])=0,"",stdProdLT(Main[[#This Row],[Comments]])))</f>
        <v/>
      </c>
      <c r="H731" s="103" t="str">
        <f>IF(AND(Main[[#This Row],[In Stock Date]]&lt;&gt;"",Main[[#This Row],[Revised Due Date]]&lt;&gt;""),Main[[#This Row],[In Stock Date]]-Main[[#This Row],[Revised Due Date]],"")</f>
        <v/>
      </c>
      <c r="I731" s="99" t="s">
        <v>435</v>
      </c>
      <c r="J731" s="99" t="s">
        <v>70</v>
      </c>
      <c r="K731" s="99" t="s">
        <v>1971</v>
      </c>
      <c r="L731" s="101"/>
      <c r="M731" s="104" t="str">
        <f>IF(Main[[#This Row],[Tech Start Date]]&lt;1/1/1990,"",IF(Main[[#This Row],[Class]]="C",WORKDAY(Main[[#This Row],[Tech Start Date]],9),IF(Main[[#This Row],[Class]]="B", WORKDAY(Main[[#This Row],[Tech Start Date]],6),IF(Main[[#This Row],[Class]]="A",WORKDAY(Main[[#This Row],[Tech Start Date]],2),""))))</f>
        <v/>
      </c>
      <c r="N731" s="104" t="str">
        <f>IF(Main[[#This Row],[Tech Start Date]]&lt;1/1/1990,"",IF(Main[[#This Row],[Class]]="C",WORKDAY(Main[[#This Row],[Tech Start Date]],19),IF(Main[[#This Row],[Class]]="B", WORKDAY(Main[[#This Row],[Tech Start Date]],12),IF(Main[[#This Row],[Class]]="A",WORKDAY(Main[[#This Row],[Tech Start Date]],4),""))))</f>
        <v/>
      </c>
      <c r="O731" s="104" t="str">
        <f>IF(Main[[#This Row],[Tech Start Date]]&lt;1/1/1990,"",IF(Main[[#This Row],[Class]]="C",WORKDAY(Main[[#This Row],[Tech Start Date]],23),IF(Main[[#This Row],[Class]]="B", WORKDAY(Main[[#This Row],[Tech Start Date]],15),IF(Main[[#This Row],[Class]]="A",WORKDAY(Main[[#This Row],[Tech Start Date]],5),""))))</f>
        <v/>
      </c>
      <c r="P731" s="104" t="str">
        <f>IF(Main[[#This Row],[Tech Start Date]]&lt;1/1/1990,"",IF(Main[[#This Row],[Class]]="C",WORKDAY(Main[[#This Row],[Tech Start Date]],28),IF(Main[[#This Row],[Class]]="B", WORKDAY(Main[[#This Row],[Tech Start Date]],19),IF(Main[[#This Row],[Class]]="A",WORKDAY(Main[[#This Row],[Tech Start Date]],9),""))))</f>
        <v/>
      </c>
      <c r="Q731" s="101">
        <v>40717</v>
      </c>
      <c r="R731" s="101"/>
      <c r="S731" s="99" t="s">
        <v>6</v>
      </c>
      <c r="T731" s="107" t="s">
        <v>4</v>
      </c>
      <c r="U731" s="99" t="s">
        <v>14</v>
      </c>
      <c r="V731" s="99" t="s">
        <v>1965</v>
      </c>
      <c r="W731" s="99" t="s">
        <v>1966</v>
      </c>
    </row>
    <row r="732" spans="1:23" ht="18.600000000000001" customHeight="1">
      <c r="A732" s="123" t="str">
        <f>IF(priority(Main[[#This Row],[Comments]])&lt;&gt;0, priority(Main[[#This Row],[Comments]]),"")</f>
        <v/>
      </c>
      <c r="B732" s="127" t="s">
        <v>1548</v>
      </c>
      <c r="C732" s="99" t="s">
        <v>93</v>
      </c>
      <c r="D732" s="100" t="s">
        <v>593</v>
      </c>
      <c r="E732" s="101"/>
      <c r="F732" s="101">
        <v>40302</v>
      </c>
      <c r="G732" s="102" t="str">
        <f>IF(stdProdLT(Main[[#This Row],[Comments]])=0.1,"N/A",IF(stdProdLT(Main[[#This Row],[Comments]])=0,"",stdProdLT(Main[[#This Row],[Comments]])))</f>
        <v/>
      </c>
      <c r="H732" s="103" t="str">
        <f>IF(AND(Main[[#This Row],[In Stock Date]]&lt;&gt;"",Main[[#This Row],[Revised Due Date]]&lt;&gt;""),Main[[#This Row],[In Stock Date]]-Main[[#This Row],[Revised Due Date]],"")</f>
        <v/>
      </c>
      <c r="I732" s="99" t="s">
        <v>4</v>
      </c>
      <c r="J732" s="99" t="s">
        <v>4</v>
      </c>
      <c r="K732" s="99" t="s">
        <v>4</v>
      </c>
      <c r="L732" s="101"/>
      <c r="M732" s="104" t="str">
        <f>IF(Main[[#This Row],[Tech Start Date]]&lt;1/1/1990,"",IF(Main[[#This Row],[Class]]="C",WORKDAY(Main[[#This Row],[Tech Start Date]],9),IF(Main[[#This Row],[Class]]="B", WORKDAY(Main[[#This Row],[Tech Start Date]],6),IF(Main[[#This Row],[Class]]="A",WORKDAY(Main[[#This Row],[Tech Start Date]],2),""))))</f>
        <v/>
      </c>
      <c r="N732" s="104" t="str">
        <f>IF(Main[[#This Row],[Tech Start Date]]&lt;1/1/1990,"",IF(Main[[#This Row],[Class]]="C",WORKDAY(Main[[#This Row],[Tech Start Date]],19),IF(Main[[#This Row],[Class]]="B", WORKDAY(Main[[#This Row],[Tech Start Date]],12),IF(Main[[#This Row],[Class]]="A",WORKDAY(Main[[#This Row],[Tech Start Date]],4),""))))</f>
        <v/>
      </c>
      <c r="O732" s="104" t="str">
        <f>IF(Main[[#This Row],[Tech Start Date]]&lt;1/1/1990,"",IF(Main[[#This Row],[Class]]="C",WORKDAY(Main[[#This Row],[Tech Start Date]],23),IF(Main[[#This Row],[Class]]="B", WORKDAY(Main[[#This Row],[Tech Start Date]],15),IF(Main[[#This Row],[Class]]="A",WORKDAY(Main[[#This Row],[Tech Start Date]],5),""))))</f>
        <v/>
      </c>
      <c r="P732" s="104" t="str">
        <f>IF(Main[[#This Row],[Tech Start Date]]&lt;1/1/1990,"",IF(Main[[#This Row],[Class]]="C",WORKDAY(Main[[#This Row],[Tech Start Date]],28),IF(Main[[#This Row],[Class]]="B", WORKDAY(Main[[#This Row],[Tech Start Date]],19),IF(Main[[#This Row],[Class]]="A",WORKDAY(Main[[#This Row],[Tech Start Date]],9),""))))</f>
        <v/>
      </c>
      <c r="Q732" s="101">
        <v>40190</v>
      </c>
      <c r="R732" s="101"/>
      <c r="S732" s="99" t="s">
        <v>11</v>
      </c>
      <c r="T732" s="107" t="s">
        <v>4</v>
      </c>
      <c r="U732" s="99" t="s">
        <v>12</v>
      </c>
      <c r="V732" s="99" t="s">
        <v>1972</v>
      </c>
      <c r="W732" s="99" t="s">
        <v>1968</v>
      </c>
    </row>
    <row r="733" spans="1:23" ht="18.600000000000001" customHeight="1">
      <c r="A733" s="123" t="str">
        <f>IF(priority(Main[[#This Row],[Comments]])&lt;&gt;0, priority(Main[[#This Row],[Comments]]),"")</f>
        <v/>
      </c>
      <c r="B733" s="127" t="s">
        <v>1549</v>
      </c>
      <c r="C733" s="99" t="s">
        <v>4</v>
      </c>
      <c r="D733" s="100" t="s">
        <v>594</v>
      </c>
      <c r="E733" s="101"/>
      <c r="F733" s="101">
        <v>40330</v>
      </c>
      <c r="G733" s="102" t="str">
        <f>IF(stdProdLT(Main[[#This Row],[Comments]])=0.1,"N/A",IF(stdProdLT(Main[[#This Row],[Comments]])=0,"",stdProdLT(Main[[#This Row],[Comments]])))</f>
        <v/>
      </c>
      <c r="H733" s="103" t="str">
        <f>IF(AND(Main[[#This Row],[In Stock Date]]&lt;&gt;"",Main[[#This Row],[Revised Due Date]]&lt;&gt;""),Main[[#This Row],[In Stock Date]]-Main[[#This Row],[Revised Due Date]],"")</f>
        <v/>
      </c>
      <c r="I733" s="99" t="s">
        <v>4</v>
      </c>
      <c r="J733" s="99" t="s">
        <v>4</v>
      </c>
      <c r="K733" s="99" t="s">
        <v>4</v>
      </c>
      <c r="L733" s="101"/>
      <c r="M733" s="104" t="str">
        <f>IF(Main[[#This Row],[Tech Start Date]]&lt;1/1/1990,"",IF(Main[[#This Row],[Class]]="C",WORKDAY(Main[[#This Row],[Tech Start Date]],9),IF(Main[[#This Row],[Class]]="B", WORKDAY(Main[[#This Row],[Tech Start Date]],6),IF(Main[[#This Row],[Class]]="A",WORKDAY(Main[[#This Row],[Tech Start Date]],2),""))))</f>
        <v/>
      </c>
      <c r="N733" s="104" t="str">
        <f>IF(Main[[#This Row],[Tech Start Date]]&lt;1/1/1990,"",IF(Main[[#This Row],[Class]]="C",WORKDAY(Main[[#This Row],[Tech Start Date]],19),IF(Main[[#This Row],[Class]]="B", WORKDAY(Main[[#This Row],[Tech Start Date]],12),IF(Main[[#This Row],[Class]]="A",WORKDAY(Main[[#This Row],[Tech Start Date]],4),""))))</f>
        <v/>
      </c>
      <c r="O733" s="104" t="str">
        <f>IF(Main[[#This Row],[Tech Start Date]]&lt;1/1/1990,"",IF(Main[[#This Row],[Class]]="C",WORKDAY(Main[[#This Row],[Tech Start Date]],23),IF(Main[[#This Row],[Class]]="B", WORKDAY(Main[[#This Row],[Tech Start Date]],15),IF(Main[[#This Row],[Class]]="A",WORKDAY(Main[[#This Row],[Tech Start Date]],5),""))))</f>
        <v/>
      </c>
      <c r="P733" s="104" t="str">
        <f>IF(Main[[#This Row],[Tech Start Date]]&lt;1/1/1990,"",IF(Main[[#This Row],[Class]]="C",WORKDAY(Main[[#This Row],[Tech Start Date]],28),IF(Main[[#This Row],[Class]]="B", WORKDAY(Main[[#This Row],[Tech Start Date]],19),IF(Main[[#This Row],[Class]]="A",WORKDAY(Main[[#This Row],[Tech Start Date]],9),""))))</f>
        <v/>
      </c>
      <c r="Q733" s="101">
        <v>40210</v>
      </c>
      <c r="R733" s="101"/>
      <c r="S733" s="99" t="s">
        <v>11</v>
      </c>
      <c r="T733" s="107" t="s">
        <v>4</v>
      </c>
      <c r="U733" s="99" t="s">
        <v>12</v>
      </c>
      <c r="V733" s="99" t="s">
        <v>1963</v>
      </c>
      <c r="W733" s="99" t="s">
        <v>1968</v>
      </c>
    </row>
    <row r="734" spans="1:23" ht="18.600000000000001" customHeight="1">
      <c r="A734" s="123" t="str">
        <f>IF(priority(Main[[#This Row],[Comments]])&lt;&gt;0, priority(Main[[#This Row],[Comments]]),"")</f>
        <v/>
      </c>
      <c r="B734" s="127" t="s">
        <v>1550</v>
      </c>
      <c r="C734" s="99" t="s">
        <v>4</v>
      </c>
      <c r="D734" s="100" t="s">
        <v>595</v>
      </c>
      <c r="E734" s="101">
        <v>40217.626817129632</v>
      </c>
      <c r="F734" s="101"/>
      <c r="G734" s="102" t="str">
        <f>IF(stdProdLT(Main[[#This Row],[Comments]])=0.1,"N/A",IF(stdProdLT(Main[[#This Row],[Comments]])=0,"",stdProdLT(Main[[#This Row],[Comments]])))</f>
        <v/>
      </c>
      <c r="H734" s="103" t="str">
        <f>IF(AND(Main[[#This Row],[In Stock Date]]&lt;&gt;"",Main[[#This Row],[Revised Due Date]]&lt;&gt;""),Main[[#This Row],[In Stock Date]]-Main[[#This Row],[Revised Due Date]],"")</f>
        <v/>
      </c>
      <c r="I734" s="99" t="s">
        <v>4</v>
      </c>
      <c r="J734" s="99" t="s">
        <v>4</v>
      </c>
      <c r="K734" s="99" t="s">
        <v>4</v>
      </c>
      <c r="L734" s="101"/>
      <c r="M734" s="104" t="str">
        <f>IF(Main[[#This Row],[Tech Start Date]]&lt;1/1/1990,"",IF(Main[[#This Row],[Class]]="C",WORKDAY(Main[[#This Row],[Tech Start Date]],9),IF(Main[[#This Row],[Class]]="B", WORKDAY(Main[[#This Row],[Tech Start Date]],6),IF(Main[[#This Row],[Class]]="A",WORKDAY(Main[[#This Row],[Tech Start Date]],2),""))))</f>
        <v/>
      </c>
      <c r="N734" s="104" t="str">
        <f>IF(Main[[#This Row],[Tech Start Date]]&lt;1/1/1990,"",IF(Main[[#This Row],[Class]]="C",WORKDAY(Main[[#This Row],[Tech Start Date]],19),IF(Main[[#This Row],[Class]]="B", WORKDAY(Main[[#This Row],[Tech Start Date]],12),IF(Main[[#This Row],[Class]]="A",WORKDAY(Main[[#This Row],[Tech Start Date]],4),""))))</f>
        <v/>
      </c>
      <c r="O734" s="104" t="str">
        <f>IF(Main[[#This Row],[Tech Start Date]]&lt;1/1/1990,"",IF(Main[[#This Row],[Class]]="C",WORKDAY(Main[[#This Row],[Tech Start Date]],23),IF(Main[[#This Row],[Class]]="B", WORKDAY(Main[[#This Row],[Tech Start Date]],15),IF(Main[[#This Row],[Class]]="A",WORKDAY(Main[[#This Row],[Tech Start Date]],5),""))))</f>
        <v/>
      </c>
      <c r="P734" s="104" t="str">
        <f>IF(Main[[#This Row],[Tech Start Date]]&lt;1/1/1990,"",IF(Main[[#This Row],[Class]]="C",WORKDAY(Main[[#This Row],[Tech Start Date]],28),IF(Main[[#This Row],[Class]]="B", WORKDAY(Main[[#This Row],[Tech Start Date]],19),IF(Main[[#This Row],[Class]]="A",WORKDAY(Main[[#This Row],[Tech Start Date]],9),""))))</f>
        <v/>
      </c>
      <c r="Q734" s="101">
        <v>40229</v>
      </c>
      <c r="R734" s="101"/>
      <c r="S734" s="99" t="s">
        <v>6</v>
      </c>
      <c r="T734" s="107" t="s">
        <v>4</v>
      </c>
      <c r="U734" s="99" t="s">
        <v>7</v>
      </c>
      <c r="V734" s="99" t="s">
        <v>1962</v>
      </c>
      <c r="W734" s="99" t="s">
        <v>1966</v>
      </c>
    </row>
    <row r="735" spans="1:23" ht="18.600000000000001" customHeight="1">
      <c r="A735" s="123" t="str">
        <f>IF(priority(Main[[#This Row],[Comments]])&lt;&gt;0, priority(Main[[#This Row],[Comments]]),"")</f>
        <v/>
      </c>
      <c r="B735" s="127" t="s">
        <v>1596</v>
      </c>
      <c r="C735" s="99" t="s">
        <v>183</v>
      </c>
      <c r="D735" s="100" t="s">
        <v>644</v>
      </c>
      <c r="E735" s="101"/>
      <c r="F735" s="101">
        <v>40389</v>
      </c>
      <c r="G735" s="102" t="str">
        <f>IF(stdProdLT(Main[[#This Row],[Comments]])=0.1,"N/A",IF(stdProdLT(Main[[#This Row],[Comments]])=0,"",stdProdLT(Main[[#This Row],[Comments]])))</f>
        <v/>
      </c>
      <c r="H735" s="103" t="str">
        <f>IF(AND(Main[[#This Row],[In Stock Date]]&lt;&gt;"",Main[[#This Row],[Revised Due Date]]&lt;&gt;""),Main[[#This Row],[In Stock Date]]-Main[[#This Row],[Revised Due Date]],"")</f>
        <v/>
      </c>
      <c r="I735" s="99" t="s">
        <v>4</v>
      </c>
      <c r="J735" s="99" t="s">
        <v>4</v>
      </c>
      <c r="K735" s="99" t="s">
        <v>4</v>
      </c>
      <c r="L735" s="101"/>
      <c r="M735" s="104" t="str">
        <f>IF(Main[[#This Row],[Tech Start Date]]&lt;1/1/1990,"",IF(Main[[#This Row],[Class]]="C",WORKDAY(Main[[#This Row],[Tech Start Date]],9),IF(Main[[#This Row],[Class]]="B", WORKDAY(Main[[#This Row],[Tech Start Date]],6),IF(Main[[#This Row],[Class]]="A",WORKDAY(Main[[#This Row],[Tech Start Date]],2),""))))</f>
        <v/>
      </c>
      <c r="N735" s="104" t="str">
        <f>IF(Main[[#This Row],[Tech Start Date]]&lt;1/1/1990,"",IF(Main[[#This Row],[Class]]="C",WORKDAY(Main[[#This Row],[Tech Start Date]],19),IF(Main[[#This Row],[Class]]="B", WORKDAY(Main[[#This Row],[Tech Start Date]],12),IF(Main[[#This Row],[Class]]="A",WORKDAY(Main[[#This Row],[Tech Start Date]],4),""))))</f>
        <v/>
      </c>
      <c r="O735" s="104" t="str">
        <f>IF(Main[[#This Row],[Tech Start Date]]&lt;1/1/1990,"",IF(Main[[#This Row],[Class]]="C",WORKDAY(Main[[#This Row],[Tech Start Date]],23),IF(Main[[#This Row],[Class]]="B", WORKDAY(Main[[#This Row],[Tech Start Date]],15),IF(Main[[#This Row],[Class]]="A",WORKDAY(Main[[#This Row],[Tech Start Date]],5),""))))</f>
        <v/>
      </c>
      <c r="P735" s="104" t="str">
        <f>IF(Main[[#This Row],[Tech Start Date]]&lt;1/1/1990,"",IF(Main[[#This Row],[Class]]="C",WORKDAY(Main[[#This Row],[Tech Start Date]],28),IF(Main[[#This Row],[Class]]="B", WORKDAY(Main[[#This Row],[Tech Start Date]],19),IF(Main[[#This Row],[Class]]="A",WORKDAY(Main[[#This Row],[Tech Start Date]],9),""))))</f>
        <v/>
      </c>
      <c r="Q735" s="101">
        <v>40298</v>
      </c>
      <c r="R735" s="101"/>
      <c r="S735" s="99" t="s">
        <v>11</v>
      </c>
      <c r="T735" s="107" t="s">
        <v>4</v>
      </c>
      <c r="U735" s="99" t="s">
        <v>12</v>
      </c>
      <c r="V735" s="99" t="s">
        <v>1962</v>
      </c>
      <c r="W735" s="99" t="s">
        <v>1968</v>
      </c>
    </row>
    <row r="736" spans="1:23" ht="18.600000000000001" customHeight="1">
      <c r="A736" s="123" t="str">
        <f>IF(priority(Main[[#This Row],[Comments]])&lt;&gt;0, priority(Main[[#This Row],[Comments]]),"")</f>
        <v/>
      </c>
      <c r="B736" s="127" t="s">
        <v>1597</v>
      </c>
      <c r="C736" s="99" t="s">
        <v>295</v>
      </c>
      <c r="D736" s="100" t="s">
        <v>645</v>
      </c>
      <c r="E736" s="101"/>
      <c r="F736" s="101"/>
      <c r="G736" s="102" t="str">
        <f>IF(stdProdLT(Main[[#This Row],[Comments]])=0.1,"N/A",IF(stdProdLT(Main[[#This Row],[Comments]])=0,"",stdProdLT(Main[[#This Row],[Comments]])))</f>
        <v/>
      </c>
      <c r="H736" s="103" t="str">
        <f>IF(AND(Main[[#This Row],[In Stock Date]]&lt;&gt;"",Main[[#This Row],[Revised Due Date]]&lt;&gt;""),Main[[#This Row],[In Stock Date]]-Main[[#This Row],[Revised Due Date]],"")</f>
        <v/>
      </c>
      <c r="I736" s="99" t="s">
        <v>4</v>
      </c>
      <c r="J736" s="99" t="s">
        <v>4</v>
      </c>
      <c r="K736" s="108" t="s">
        <v>4</v>
      </c>
      <c r="L736" s="101"/>
      <c r="M736" s="104" t="str">
        <f>IF(Main[[#This Row],[Tech Start Date]]&lt;1/1/1990,"",IF(Main[[#This Row],[Class]]="C",WORKDAY(Main[[#This Row],[Tech Start Date]],9),IF(Main[[#This Row],[Class]]="B", WORKDAY(Main[[#This Row],[Tech Start Date]],6),IF(Main[[#This Row],[Class]]="A",WORKDAY(Main[[#This Row],[Tech Start Date]],2),""))))</f>
        <v/>
      </c>
      <c r="N736" s="104" t="str">
        <f>IF(Main[[#This Row],[Tech Start Date]]&lt;1/1/1990,"",IF(Main[[#This Row],[Class]]="C",WORKDAY(Main[[#This Row],[Tech Start Date]],19),IF(Main[[#This Row],[Class]]="B", WORKDAY(Main[[#This Row],[Tech Start Date]],12),IF(Main[[#This Row],[Class]]="A",WORKDAY(Main[[#This Row],[Tech Start Date]],4),""))))</f>
        <v/>
      </c>
      <c r="O736" s="104" t="str">
        <f>IF(Main[[#This Row],[Tech Start Date]]&lt;1/1/1990,"",IF(Main[[#This Row],[Class]]="C",WORKDAY(Main[[#This Row],[Tech Start Date]],23),IF(Main[[#This Row],[Class]]="B", WORKDAY(Main[[#This Row],[Tech Start Date]],15),IF(Main[[#This Row],[Class]]="A",WORKDAY(Main[[#This Row],[Tech Start Date]],5),""))))</f>
        <v/>
      </c>
      <c r="P736" s="104" t="str">
        <f>IF(Main[[#This Row],[Tech Start Date]]&lt;1/1/1990,"",IF(Main[[#This Row],[Class]]="C",WORKDAY(Main[[#This Row],[Tech Start Date]],28),IF(Main[[#This Row],[Class]]="B", WORKDAY(Main[[#This Row],[Tech Start Date]],19),IF(Main[[#This Row],[Class]]="A",WORKDAY(Main[[#This Row],[Tech Start Date]],9),""))))</f>
        <v/>
      </c>
      <c r="Q736" s="101">
        <v>40052</v>
      </c>
      <c r="R736" s="101"/>
      <c r="S736" s="99" t="s">
        <v>11</v>
      </c>
      <c r="T736" s="107" t="s">
        <v>4</v>
      </c>
      <c r="U736" s="99" t="s">
        <v>14</v>
      </c>
      <c r="V736" s="99" t="s">
        <v>1965</v>
      </c>
      <c r="W736" s="99" t="s">
        <v>1964</v>
      </c>
    </row>
    <row r="737" spans="1:23" ht="18.600000000000001" customHeight="1">
      <c r="A737" s="123" t="str">
        <f>IF(priority(Main[[#This Row],[Comments]])&lt;&gt;0, priority(Main[[#This Row],[Comments]]),"")</f>
        <v/>
      </c>
      <c r="B737" s="127" t="s">
        <v>2504</v>
      </c>
      <c r="C737" s="99" t="s">
        <v>2505</v>
      </c>
      <c r="D737" s="100" t="s">
        <v>2506</v>
      </c>
      <c r="E737" s="101">
        <v>40861.684444444443</v>
      </c>
      <c r="F737" s="101">
        <v>41030</v>
      </c>
      <c r="G737" s="102">
        <f>IF(stdProdLT(Main[[#This Row],[Comments]])=0.1,"N/A",IF(stdProdLT(Main[[#This Row],[Comments]])=0,"",stdProdLT(Main[[#This Row],[Comments]])))</f>
        <v>112</v>
      </c>
      <c r="H737" s="103" t="str">
        <f>IF(AND(Main[[#This Row],[In Stock Date]]&lt;&gt;"",Main[[#This Row],[Revised Due Date]]&lt;&gt;""),Main[[#This Row],[In Stock Date]]-Main[[#This Row],[Revised Due Date]],"")</f>
        <v/>
      </c>
      <c r="I737" s="99" t="s">
        <v>4</v>
      </c>
      <c r="J737" s="99" t="s">
        <v>4</v>
      </c>
      <c r="K737" s="99" t="s">
        <v>4</v>
      </c>
      <c r="L737" s="101"/>
      <c r="M737" s="104" t="str">
        <f>IF(Main[[#This Row],[Tech Start Date]]&lt;1/1/1990,"",IF(Main[[#This Row],[Class]]="C",WORKDAY(Main[[#This Row],[Tech Start Date]],9),IF(Main[[#This Row],[Class]]="B", WORKDAY(Main[[#This Row],[Tech Start Date]],6),IF(Main[[#This Row],[Class]]="A",WORKDAY(Main[[#This Row],[Tech Start Date]],2),""))))</f>
        <v/>
      </c>
      <c r="N737" s="104" t="str">
        <f>IF(Main[[#This Row],[Tech Start Date]]&lt;1/1/1990,"",IF(Main[[#This Row],[Class]]="C",WORKDAY(Main[[#This Row],[Tech Start Date]],19),IF(Main[[#This Row],[Class]]="B", WORKDAY(Main[[#This Row],[Tech Start Date]],12),IF(Main[[#This Row],[Class]]="A",WORKDAY(Main[[#This Row],[Tech Start Date]],4),""))))</f>
        <v/>
      </c>
      <c r="O737" s="104" t="str">
        <f>IF(Main[[#This Row],[Tech Start Date]]&lt;1/1/1990,"",IF(Main[[#This Row],[Class]]="C",WORKDAY(Main[[#This Row],[Tech Start Date]],23),IF(Main[[#This Row],[Class]]="B", WORKDAY(Main[[#This Row],[Tech Start Date]],15),IF(Main[[#This Row],[Class]]="A",WORKDAY(Main[[#This Row],[Tech Start Date]],5),""))))</f>
        <v/>
      </c>
      <c r="P737" s="104" t="str">
        <f>IF(Main[[#This Row],[Tech Start Date]]&lt;1/1/1990,"",IF(Main[[#This Row],[Class]]="C",WORKDAY(Main[[#This Row],[Tech Start Date]],28),IF(Main[[#This Row],[Class]]="B", WORKDAY(Main[[#This Row],[Tech Start Date]],19),IF(Main[[#This Row],[Class]]="A",WORKDAY(Main[[#This Row],[Tech Start Date]],9),""))))</f>
        <v/>
      </c>
      <c r="Q737" s="101">
        <v>40907</v>
      </c>
      <c r="R737" s="101"/>
      <c r="S737" s="99" t="s">
        <v>11</v>
      </c>
      <c r="T737" s="107" t="s">
        <v>2507</v>
      </c>
      <c r="U737" s="99" t="s">
        <v>29</v>
      </c>
      <c r="V737" s="99" t="s">
        <v>1962</v>
      </c>
      <c r="W737" s="99" t="s">
        <v>1967</v>
      </c>
    </row>
    <row r="738" spans="1:23" ht="18.600000000000001" customHeight="1">
      <c r="A738" s="123" t="str">
        <f>IF(priority(Main[[#This Row],[Comments]])&lt;&gt;0, priority(Main[[#This Row],[Comments]]),"")</f>
        <v/>
      </c>
      <c r="B738" s="127" t="s">
        <v>1598</v>
      </c>
      <c r="C738" s="99" t="s">
        <v>93</v>
      </c>
      <c r="D738" s="100" t="s">
        <v>646</v>
      </c>
      <c r="E738" s="101"/>
      <c r="F738" s="101">
        <v>40132</v>
      </c>
      <c r="G738" s="102" t="str">
        <f>IF(stdProdLT(Main[[#This Row],[Comments]])=0.1,"N/A",IF(stdProdLT(Main[[#This Row],[Comments]])=0,"",stdProdLT(Main[[#This Row],[Comments]])))</f>
        <v/>
      </c>
      <c r="H738" s="103" t="str">
        <f>IF(AND(Main[[#This Row],[In Stock Date]]&lt;&gt;"",Main[[#This Row],[Revised Due Date]]&lt;&gt;""),Main[[#This Row],[In Stock Date]]-Main[[#This Row],[Revised Due Date]],"")</f>
        <v/>
      </c>
      <c r="I738" s="99" t="s">
        <v>4</v>
      </c>
      <c r="J738" s="99" t="s">
        <v>4</v>
      </c>
      <c r="K738" s="99" t="s">
        <v>4</v>
      </c>
      <c r="L738" s="101"/>
      <c r="M738" s="104" t="str">
        <f>IF(Main[[#This Row],[Tech Start Date]]&lt;1/1/1990,"",IF(Main[[#This Row],[Class]]="C",WORKDAY(Main[[#This Row],[Tech Start Date]],9),IF(Main[[#This Row],[Class]]="B", WORKDAY(Main[[#This Row],[Tech Start Date]],6),IF(Main[[#This Row],[Class]]="A",WORKDAY(Main[[#This Row],[Tech Start Date]],2),""))))</f>
        <v/>
      </c>
      <c r="N738" s="104" t="str">
        <f>IF(Main[[#This Row],[Tech Start Date]]&lt;1/1/1990,"",IF(Main[[#This Row],[Class]]="C",WORKDAY(Main[[#This Row],[Tech Start Date]],19),IF(Main[[#This Row],[Class]]="B", WORKDAY(Main[[#This Row],[Tech Start Date]],12),IF(Main[[#This Row],[Class]]="A",WORKDAY(Main[[#This Row],[Tech Start Date]],4),""))))</f>
        <v/>
      </c>
      <c r="O738" s="104" t="str">
        <f>IF(Main[[#This Row],[Tech Start Date]]&lt;1/1/1990,"",IF(Main[[#This Row],[Class]]="C",WORKDAY(Main[[#This Row],[Tech Start Date]],23),IF(Main[[#This Row],[Class]]="B", WORKDAY(Main[[#This Row],[Tech Start Date]],15),IF(Main[[#This Row],[Class]]="A",WORKDAY(Main[[#This Row],[Tech Start Date]],5),""))))</f>
        <v/>
      </c>
      <c r="P738" s="104" t="str">
        <f>IF(Main[[#This Row],[Tech Start Date]]&lt;1/1/1990,"",IF(Main[[#This Row],[Class]]="C",WORKDAY(Main[[#This Row],[Tech Start Date]],28),IF(Main[[#This Row],[Class]]="B", WORKDAY(Main[[#This Row],[Tech Start Date]],19),IF(Main[[#This Row],[Class]]="A",WORKDAY(Main[[#This Row],[Tech Start Date]],9),""))))</f>
        <v/>
      </c>
      <c r="Q738" s="101">
        <v>40132</v>
      </c>
      <c r="R738" s="101"/>
      <c r="S738" s="99" t="s">
        <v>11</v>
      </c>
      <c r="T738" s="107" t="s">
        <v>4</v>
      </c>
      <c r="U738" s="99" t="s">
        <v>14</v>
      </c>
      <c r="V738" s="99" t="s">
        <v>1965</v>
      </c>
      <c r="W738" s="99" t="s">
        <v>1973</v>
      </c>
    </row>
    <row r="739" spans="1:23" ht="18.600000000000001" customHeight="1">
      <c r="A739" s="123" t="str">
        <f>IF(priority(Main[[#This Row],[Comments]])&lt;&gt;0, priority(Main[[#This Row],[Comments]]),"")</f>
        <v/>
      </c>
      <c r="B739" s="127" t="s">
        <v>1599</v>
      </c>
      <c r="C739" s="99" t="s">
        <v>4</v>
      </c>
      <c r="D739" s="100" t="s">
        <v>647</v>
      </c>
      <c r="E739" s="101"/>
      <c r="F739" s="101">
        <v>40602</v>
      </c>
      <c r="G739" s="102" t="str">
        <f>IF(stdProdLT(Main[[#This Row],[Comments]])=0.1,"N/A",IF(stdProdLT(Main[[#This Row],[Comments]])=0,"",stdProdLT(Main[[#This Row],[Comments]])))</f>
        <v/>
      </c>
      <c r="H739" s="103" t="str">
        <f>IF(AND(Main[[#This Row],[In Stock Date]]&lt;&gt;"",Main[[#This Row],[Revised Due Date]]&lt;&gt;""),Main[[#This Row],[In Stock Date]]-Main[[#This Row],[Revised Due Date]],"")</f>
        <v/>
      </c>
      <c r="I739" s="99" t="s">
        <v>404</v>
      </c>
      <c r="J739" s="99" t="s">
        <v>75</v>
      </c>
      <c r="K739" s="99" t="s">
        <v>1971</v>
      </c>
      <c r="L739" s="101"/>
      <c r="M739" s="104" t="str">
        <f>IF(Main[[#This Row],[Tech Start Date]]&lt;1/1/1990,"",IF(Main[[#This Row],[Class]]="C",WORKDAY(Main[[#This Row],[Tech Start Date]],9),IF(Main[[#This Row],[Class]]="B", WORKDAY(Main[[#This Row],[Tech Start Date]],6),IF(Main[[#This Row],[Class]]="A",WORKDAY(Main[[#This Row],[Tech Start Date]],2),""))))</f>
        <v/>
      </c>
      <c r="N739" s="104" t="str">
        <f>IF(Main[[#This Row],[Tech Start Date]]&lt;1/1/1990,"",IF(Main[[#This Row],[Class]]="C",WORKDAY(Main[[#This Row],[Tech Start Date]],19),IF(Main[[#This Row],[Class]]="B", WORKDAY(Main[[#This Row],[Tech Start Date]],12),IF(Main[[#This Row],[Class]]="A",WORKDAY(Main[[#This Row],[Tech Start Date]],4),""))))</f>
        <v/>
      </c>
      <c r="O739" s="104" t="str">
        <f>IF(Main[[#This Row],[Tech Start Date]]&lt;1/1/1990,"",IF(Main[[#This Row],[Class]]="C",WORKDAY(Main[[#This Row],[Tech Start Date]],23),IF(Main[[#This Row],[Class]]="B", WORKDAY(Main[[#This Row],[Tech Start Date]],15),IF(Main[[#This Row],[Class]]="A",WORKDAY(Main[[#This Row],[Tech Start Date]],5),""))))</f>
        <v/>
      </c>
      <c r="P739" s="104" t="str">
        <f>IF(Main[[#This Row],[Tech Start Date]]&lt;1/1/1990,"",IF(Main[[#This Row],[Class]]="C",WORKDAY(Main[[#This Row],[Tech Start Date]],28),IF(Main[[#This Row],[Class]]="B", WORKDAY(Main[[#This Row],[Tech Start Date]],19),IF(Main[[#This Row],[Class]]="A",WORKDAY(Main[[#This Row],[Tech Start Date]],9),""))))</f>
        <v/>
      </c>
      <c r="Q739" s="101"/>
      <c r="R739" s="101"/>
      <c r="S739" s="99" t="s">
        <v>11</v>
      </c>
      <c r="T739" s="107" t="s">
        <v>4</v>
      </c>
      <c r="U739" s="99" t="s">
        <v>14</v>
      </c>
      <c r="V739" s="99" t="s">
        <v>1965</v>
      </c>
      <c r="W739" s="99" t="s">
        <v>1968</v>
      </c>
    </row>
    <row r="740" spans="1:23" ht="18.600000000000001" customHeight="1">
      <c r="A740" s="123" t="str">
        <f>IF(priority(Main[[#This Row],[Comments]])&lt;&gt;0, priority(Main[[#This Row],[Comments]]),"")</f>
        <v/>
      </c>
      <c r="B740" s="127" t="s">
        <v>1600</v>
      </c>
      <c r="C740" s="99" t="s">
        <v>4</v>
      </c>
      <c r="D740" s="100" t="s">
        <v>648</v>
      </c>
      <c r="E740" s="101"/>
      <c r="F740" s="101">
        <v>40711</v>
      </c>
      <c r="G740" s="102" t="str">
        <f>IF(stdProdLT(Main[[#This Row],[Comments]])=0.1,"N/A",IF(stdProdLT(Main[[#This Row],[Comments]])=0,"",stdProdLT(Main[[#This Row],[Comments]])))</f>
        <v/>
      </c>
      <c r="H740" s="103" t="str">
        <f>IF(AND(Main[[#This Row],[In Stock Date]]&lt;&gt;"",Main[[#This Row],[Revised Due Date]]&lt;&gt;""),Main[[#This Row],[In Stock Date]]-Main[[#This Row],[Revised Due Date]],"")</f>
        <v/>
      </c>
      <c r="I740" s="99" t="s">
        <v>4</v>
      </c>
      <c r="J740" s="99" t="s">
        <v>4</v>
      </c>
      <c r="K740" s="99" t="s">
        <v>4</v>
      </c>
      <c r="L740" s="101"/>
      <c r="M740" s="104" t="str">
        <f>IF(Main[[#This Row],[Tech Start Date]]&lt;1/1/1990,"",IF(Main[[#This Row],[Class]]="C",WORKDAY(Main[[#This Row],[Tech Start Date]],9),IF(Main[[#This Row],[Class]]="B", WORKDAY(Main[[#This Row],[Tech Start Date]],6),IF(Main[[#This Row],[Class]]="A",WORKDAY(Main[[#This Row],[Tech Start Date]],2),""))))</f>
        <v/>
      </c>
      <c r="N740" s="104" t="str">
        <f>IF(Main[[#This Row],[Tech Start Date]]&lt;1/1/1990,"",IF(Main[[#This Row],[Class]]="C",WORKDAY(Main[[#This Row],[Tech Start Date]],19),IF(Main[[#This Row],[Class]]="B", WORKDAY(Main[[#This Row],[Tech Start Date]],12),IF(Main[[#This Row],[Class]]="A",WORKDAY(Main[[#This Row],[Tech Start Date]],4),""))))</f>
        <v/>
      </c>
      <c r="O740" s="104" t="str">
        <f>IF(Main[[#This Row],[Tech Start Date]]&lt;1/1/1990,"",IF(Main[[#This Row],[Class]]="C",WORKDAY(Main[[#This Row],[Tech Start Date]],23),IF(Main[[#This Row],[Class]]="B", WORKDAY(Main[[#This Row],[Tech Start Date]],15),IF(Main[[#This Row],[Class]]="A",WORKDAY(Main[[#This Row],[Tech Start Date]],5),""))))</f>
        <v/>
      </c>
      <c r="P740" s="104" t="str">
        <f>IF(Main[[#This Row],[Tech Start Date]]&lt;1/1/1990,"",IF(Main[[#This Row],[Class]]="C",WORKDAY(Main[[#This Row],[Tech Start Date]],28),IF(Main[[#This Row],[Class]]="B", WORKDAY(Main[[#This Row],[Tech Start Date]],19),IF(Main[[#This Row],[Class]]="A",WORKDAY(Main[[#This Row],[Tech Start Date]],9),""))))</f>
        <v/>
      </c>
      <c r="Q740" s="101"/>
      <c r="R740" s="101"/>
      <c r="S740" s="99" t="s">
        <v>11</v>
      </c>
      <c r="T740" s="107" t="s">
        <v>4</v>
      </c>
      <c r="U740" s="99" t="s">
        <v>14</v>
      </c>
      <c r="V740" s="99" t="s">
        <v>1963</v>
      </c>
      <c r="W740" s="99" t="s">
        <v>1967</v>
      </c>
    </row>
    <row r="741" spans="1:23" ht="18.600000000000001" customHeight="1">
      <c r="A741" s="123" t="str">
        <f>IF(priority(Main[[#This Row],[Comments]])&lt;&gt;0, priority(Main[[#This Row],[Comments]]),"")</f>
        <v/>
      </c>
      <c r="B741" s="127" t="s">
        <v>1601</v>
      </c>
      <c r="C741" s="99" t="s">
        <v>183</v>
      </c>
      <c r="D741" s="100" t="s">
        <v>649</v>
      </c>
      <c r="E741" s="101"/>
      <c r="F741" s="101">
        <v>40389</v>
      </c>
      <c r="G741" s="102" t="str">
        <f>IF(stdProdLT(Main[[#This Row],[Comments]])=0.1,"N/A",IF(stdProdLT(Main[[#This Row],[Comments]])=0,"",stdProdLT(Main[[#This Row],[Comments]])))</f>
        <v/>
      </c>
      <c r="H741" s="103" t="str">
        <f>IF(AND(Main[[#This Row],[In Stock Date]]&lt;&gt;"",Main[[#This Row],[Revised Due Date]]&lt;&gt;""),Main[[#This Row],[In Stock Date]]-Main[[#This Row],[Revised Due Date]],"")</f>
        <v/>
      </c>
      <c r="I741" s="99" t="s">
        <v>4</v>
      </c>
      <c r="J741" s="99" t="s">
        <v>4</v>
      </c>
      <c r="K741" s="99" t="s">
        <v>4</v>
      </c>
      <c r="L741" s="101"/>
      <c r="M741" s="104" t="str">
        <f>IF(Main[[#This Row],[Tech Start Date]]&lt;1/1/1990,"",IF(Main[[#This Row],[Class]]="C",WORKDAY(Main[[#This Row],[Tech Start Date]],9),IF(Main[[#This Row],[Class]]="B", WORKDAY(Main[[#This Row],[Tech Start Date]],6),IF(Main[[#This Row],[Class]]="A",WORKDAY(Main[[#This Row],[Tech Start Date]],2),""))))</f>
        <v/>
      </c>
      <c r="N741" s="104" t="str">
        <f>IF(Main[[#This Row],[Tech Start Date]]&lt;1/1/1990,"",IF(Main[[#This Row],[Class]]="C",WORKDAY(Main[[#This Row],[Tech Start Date]],19),IF(Main[[#This Row],[Class]]="B", WORKDAY(Main[[#This Row],[Tech Start Date]],12),IF(Main[[#This Row],[Class]]="A",WORKDAY(Main[[#This Row],[Tech Start Date]],4),""))))</f>
        <v/>
      </c>
      <c r="O741" s="104" t="str">
        <f>IF(Main[[#This Row],[Tech Start Date]]&lt;1/1/1990,"",IF(Main[[#This Row],[Class]]="C",WORKDAY(Main[[#This Row],[Tech Start Date]],23),IF(Main[[#This Row],[Class]]="B", WORKDAY(Main[[#This Row],[Tech Start Date]],15),IF(Main[[#This Row],[Class]]="A",WORKDAY(Main[[#This Row],[Tech Start Date]],5),""))))</f>
        <v/>
      </c>
      <c r="P741" s="104" t="str">
        <f>IF(Main[[#This Row],[Tech Start Date]]&lt;1/1/1990,"",IF(Main[[#This Row],[Class]]="C",WORKDAY(Main[[#This Row],[Tech Start Date]],28),IF(Main[[#This Row],[Class]]="B", WORKDAY(Main[[#This Row],[Tech Start Date]],19),IF(Main[[#This Row],[Class]]="A",WORKDAY(Main[[#This Row],[Tech Start Date]],9),""))))</f>
        <v/>
      </c>
      <c r="Q741" s="101">
        <v>40298</v>
      </c>
      <c r="R741" s="101"/>
      <c r="S741" s="99" t="s">
        <v>11</v>
      </c>
      <c r="T741" s="107" t="s">
        <v>4</v>
      </c>
      <c r="U741" s="99" t="s">
        <v>14</v>
      </c>
      <c r="V741" s="99" t="s">
        <v>1962</v>
      </c>
      <c r="W741" s="99" t="s">
        <v>1968</v>
      </c>
    </row>
    <row r="742" spans="1:23" ht="18.600000000000001" customHeight="1">
      <c r="A742" s="123" t="str">
        <f>IF(priority(Main[[#This Row],[Comments]])&lt;&gt;0, priority(Main[[#This Row],[Comments]]),"")</f>
        <v/>
      </c>
      <c r="B742" s="127" t="s">
        <v>1602</v>
      </c>
      <c r="C742" s="99" t="s">
        <v>4</v>
      </c>
      <c r="D742" s="100" t="s">
        <v>650</v>
      </c>
      <c r="E742" s="101"/>
      <c r="F742" s="101"/>
      <c r="G742" s="102" t="str">
        <f>IF(stdProdLT(Main[[#This Row],[Comments]])=0.1,"N/A",IF(stdProdLT(Main[[#This Row],[Comments]])=0,"",stdProdLT(Main[[#This Row],[Comments]])))</f>
        <v/>
      </c>
      <c r="H742" s="103" t="str">
        <f>IF(AND(Main[[#This Row],[In Stock Date]]&lt;&gt;"",Main[[#This Row],[Revised Due Date]]&lt;&gt;""),Main[[#This Row],[In Stock Date]]-Main[[#This Row],[Revised Due Date]],"")</f>
        <v/>
      </c>
      <c r="I742" s="99" t="s">
        <v>4</v>
      </c>
      <c r="J742" s="99" t="s">
        <v>4</v>
      </c>
      <c r="K742" s="99" t="s">
        <v>4</v>
      </c>
      <c r="L742" s="101"/>
      <c r="M742" s="104" t="str">
        <f>IF(Main[[#This Row],[Tech Start Date]]&lt;1/1/1990,"",IF(Main[[#This Row],[Class]]="C",WORKDAY(Main[[#This Row],[Tech Start Date]],9),IF(Main[[#This Row],[Class]]="B", WORKDAY(Main[[#This Row],[Tech Start Date]],6),IF(Main[[#This Row],[Class]]="A",WORKDAY(Main[[#This Row],[Tech Start Date]],2),""))))</f>
        <v/>
      </c>
      <c r="N742" s="104" t="str">
        <f>IF(Main[[#This Row],[Tech Start Date]]&lt;1/1/1990,"",IF(Main[[#This Row],[Class]]="C",WORKDAY(Main[[#This Row],[Tech Start Date]],19),IF(Main[[#This Row],[Class]]="B", WORKDAY(Main[[#This Row],[Tech Start Date]],12),IF(Main[[#This Row],[Class]]="A",WORKDAY(Main[[#This Row],[Tech Start Date]],4),""))))</f>
        <v/>
      </c>
      <c r="O742" s="104" t="str">
        <f>IF(Main[[#This Row],[Tech Start Date]]&lt;1/1/1990,"",IF(Main[[#This Row],[Class]]="C",WORKDAY(Main[[#This Row],[Tech Start Date]],23),IF(Main[[#This Row],[Class]]="B", WORKDAY(Main[[#This Row],[Tech Start Date]],15),IF(Main[[#This Row],[Class]]="A",WORKDAY(Main[[#This Row],[Tech Start Date]],5),""))))</f>
        <v/>
      </c>
      <c r="P742" s="104" t="str">
        <f>IF(Main[[#This Row],[Tech Start Date]]&lt;1/1/1990,"",IF(Main[[#This Row],[Class]]="C",WORKDAY(Main[[#This Row],[Tech Start Date]],28),IF(Main[[#This Row],[Class]]="B", WORKDAY(Main[[#This Row],[Tech Start Date]],19),IF(Main[[#This Row],[Class]]="A",WORKDAY(Main[[#This Row],[Tech Start Date]],9),""))))</f>
        <v/>
      </c>
      <c r="Q742" s="101"/>
      <c r="R742" s="101"/>
      <c r="S742" s="99" t="s">
        <v>11</v>
      </c>
      <c r="T742" s="107" t="s">
        <v>4</v>
      </c>
      <c r="U742" s="99" t="s">
        <v>12</v>
      </c>
      <c r="V742" s="99" t="s">
        <v>1962</v>
      </c>
      <c r="W742" s="99" t="s">
        <v>1966</v>
      </c>
    </row>
    <row r="743" spans="1:23" ht="18.600000000000001" customHeight="1">
      <c r="A743" s="123" t="str">
        <f>IF(priority(Main[[#This Row],[Comments]])&lt;&gt;0, priority(Main[[#This Row],[Comments]]),"")</f>
        <v/>
      </c>
      <c r="B743" s="127" t="s">
        <v>1603</v>
      </c>
      <c r="C743" s="99" t="s">
        <v>651</v>
      </c>
      <c r="D743" s="100" t="s">
        <v>652</v>
      </c>
      <c r="E743" s="101"/>
      <c r="F743" s="101">
        <v>40632</v>
      </c>
      <c r="G743" s="102" t="str">
        <f>IF(stdProdLT(Main[[#This Row],[Comments]])=0.1,"N/A",IF(stdProdLT(Main[[#This Row],[Comments]])=0,"",stdProdLT(Main[[#This Row],[Comments]])))</f>
        <v/>
      </c>
      <c r="H743" s="103" t="str">
        <f>IF(AND(Main[[#This Row],[In Stock Date]]&lt;&gt;"",Main[[#This Row],[Revised Due Date]]&lt;&gt;""),Main[[#This Row],[In Stock Date]]-Main[[#This Row],[Revised Due Date]],"")</f>
        <v/>
      </c>
      <c r="I743" s="99" t="s">
        <v>4</v>
      </c>
      <c r="J743" s="99" t="s">
        <v>4</v>
      </c>
      <c r="K743" s="99" t="s">
        <v>4</v>
      </c>
      <c r="L743" s="101"/>
      <c r="M743" s="104" t="str">
        <f>IF(Main[[#This Row],[Tech Start Date]]&lt;1/1/1990,"",IF(Main[[#This Row],[Class]]="C",WORKDAY(Main[[#This Row],[Tech Start Date]],9),IF(Main[[#This Row],[Class]]="B", WORKDAY(Main[[#This Row],[Tech Start Date]],6),IF(Main[[#This Row],[Class]]="A",WORKDAY(Main[[#This Row],[Tech Start Date]],2),""))))</f>
        <v/>
      </c>
      <c r="N743" s="104" t="str">
        <f>IF(Main[[#This Row],[Tech Start Date]]&lt;1/1/1990,"",IF(Main[[#This Row],[Class]]="C",WORKDAY(Main[[#This Row],[Tech Start Date]],19),IF(Main[[#This Row],[Class]]="B", WORKDAY(Main[[#This Row],[Tech Start Date]],12),IF(Main[[#This Row],[Class]]="A",WORKDAY(Main[[#This Row],[Tech Start Date]],4),""))))</f>
        <v/>
      </c>
      <c r="O743" s="104" t="str">
        <f>IF(Main[[#This Row],[Tech Start Date]]&lt;1/1/1990,"",IF(Main[[#This Row],[Class]]="C",WORKDAY(Main[[#This Row],[Tech Start Date]],23),IF(Main[[#This Row],[Class]]="B", WORKDAY(Main[[#This Row],[Tech Start Date]],15),IF(Main[[#This Row],[Class]]="A",WORKDAY(Main[[#This Row],[Tech Start Date]],5),""))))</f>
        <v/>
      </c>
      <c r="P743" s="104" t="str">
        <f>IF(Main[[#This Row],[Tech Start Date]]&lt;1/1/1990,"",IF(Main[[#This Row],[Class]]="C",WORKDAY(Main[[#This Row],[Tech Start Date]],28),IF(Main[[#This Row],[Class]]="B", WORKDAY(Main[[#This Row],[Tech Start Date]],19),IF(Main[[#This Row],[Class]]="A",WORKDAY(Main[[#This Row],[Tech Start Date]],9),""))))</f>
        <v/>
      </c>
      <c r="Q743" s="101">
        <v>40613</v>
      </c>
      <c r="R743" s="101"/>
      <c r="S743" s="99" t="s">
        <v>11</v>
      </c>
      <c r="T743" s="107" t="s">
        <v>4</v>
      </c>
      <c r="U743" s="99" t="s">
        <v>14</v>
      </c>
      <c r="V743" s="99" t="s">
        <v>1965</v>
      </c>
      <c r="W743" s="99" t="s">
        <v>1970</v>
      </c>
    </row>
    <row r="744" spans="1:23" ht="18.600000000000001" customHeight="1">
      <c r="A744" s="123" t="str">
        <f>IF(priority(Main[[#This Row],[Comments]])&lt;&gt;0, priority(Main[[#This Row],[Comments]]),"")</f>
        <v/>
      </c>
      <c r="B744" s="127" t="s">
        <v>1604</v>
      </c>
      <c r="C744" s="99" t="s">
        <v>72</v>
      </c>
      <c r="D744" s="100" t="s">
        <v>653</v>
      </c>
      <c r="E744" s="101"/>
      <c r="F744" s="101"/>
      <c r="G744" s="102" t="str">
        <f>IF(stdProdLT(Main[[#This Row],[Comments]])=0.1,"N/A",IF(stdProdLT(Main[[#This Row],[Comments]])=0,"",stdProdLT(Main[[#This Row],[Comments]])))</f>
        <v/>
      </c>
      <c r="H744" s="103" t="str">
        <f>IF(AND(Main[[#This Row],[In Stock Date]]&lt;&gt;"",Main[[#This Row],[Revised Due Date]]&lt;&gt;""),Main[[#This Row],[In Stock Date]]-Main[[#This Row],[Revised Due Date]],"")</f>
        <v/>
      </c>
      <c r="I744" s="99" t="s">
        <v>4</v>
      </c>
      <c r="J744" s="99" t="s">
        <v>4</v>
      </c>
      <c r="K744" s="99" t="s">
        <v>4</v>
      </c>
      <c r="L744" s="101"/>
      <c r="M744" s="104" t="str">
        <f>IF(Main[[#This Row],[Tech Start Date]]&lt;1/1/1990,"",IF(Main[[#This Row],[Class]]="C",WORKDAY(Main[[#This Row],[Tech Start Date]],9),IF(Main[[#This Row],[Class]]="B", WORKDAY(Main[[#This Row],[Tech Start Date]],6),IF(Main[[#This Row],[Class]]="A",WORKDAY(Main[[#This Row],[Tech Start Date]],2),""))))</f>
        <v/>
      </c>
      <c r="N744" s="104" t="str">
        <f>IF(Main[[#This Row],[Tech Start Date]]&lt;1/1/1990,"",IF(Main[[#This Row],[Class]]="C",WORKDAY(Main[[#This Row],[Tech Start Date]],19),IF(Main[[#This Row],[Class]]="B", WORKDAY(Main[[#This Row],[Tech Start Date]],12),IF(Main[[#This Row],[Class]]="A",WORKDAY(Main[[#This Row],[Tech Start Date]],4),""))))</f>
        <v/>
      </c>
      <c r="O744" s="104" t="str">
        <f>IF(Main[[#This Row],[Tech Start Date]]&lt;1/1/1990,"",IF(Main[[#This Row],[Class]]="C",WORKDAY(Main[[#This Row],[Tech Start Date]],23),IF(Main[[#This Row],[Class]]="B", WORKDAY(Main[[#This Row],[Tech Start Date]],15),IF(Main[[#This Row],[Class]]="A",WORKDAY(Main[[#This Row],[Tech Start Date]],5),""))))</f>
        <v/>
      </c>
      <c r="P744" s="104" t="str">
        <f>IF(Main[[#This Row],[Tech Start Date]]&lt;1/1/1990,"",IF(Main[[#This Row],[Class]]="C",WORKDAY(Main[[#This Row],[Tech Start Date]],28),IF(Main[[#This Row],[Class]]="B", WORKDAY(Main[[#This Row],[Tech Start Date]],19),IF(Main[[#This Row],[Class]]="A",WORKDAY(Main[[#This Row],[Tech Start Date]],9),""))))</f>
        <v/>
      </c>
      <c r="Q744" s="101"/>
      <c r="R744" s="101"/>
      <c r="S744" s="99" t="s">
        <v>49</v>
      </c>
      <c r="T744" s="107" t="s">
        <v>4</v>
      </c>
      <c r="U744" s="99" t="s">
        <v>12</v>
      </c>
      <c r="V744" s="99" t="s">
        <v>1963</v>
      </c>
      <c r="W744" s="99" t="s">
        <v>1964</v>
      </c>
    </row>
    <row r="745" spans="1:23" ht="18.600000000000001" customHeight="1">
      <c r="A745" s="123" t="str">
        <f>IF(priority(Main[[#This Row],[Comments]])&lt;&gt;0, priority(Main[[#This Row],[Comments]]),"")</f>
        <v/>
      </c>
      <c r="B745" s="127" t="s">
        <v>1605</v>
      </c>
      <c r="C745" s="99" t="s">
        <v>72</v>
      </c>
      <c r="D745" s="100" t="s">
        <v>654</v>
      </c>
      <c r="E745" s="101"/>
      <c r="F745" s="101">
        <v>40313</v>
      </c>
      <c r="G745" s="102" t="str">
        <f>IF(stdProdLT(Main[[#This Row],[Comments]])=0.1,"N/A",IF(stdProdLT(Main[[#This Row],[Comments]])=0,"",stdProdLT(Main[[#This Row],[Comments]])))</f>
        <v/>
      </c>
      <c r="H745" s="103" t="str">
        <f>IF(AND(Main[[#This Row],[In Stock Date]]&lt;&gt;"",Main[[#This Row],[Revised Due Date]]&lt;&gt;""),Main[[#This Row],[In Stock Date]]-Main[[#This Row],[Revised Due Date]],"")</f>
        <v/>
      </c>
      <c r="I745" s="99" t="s">
        <v>4</v>
      </c>
      <c r="J745" s="99" t="s">
        <v>4</v>
      </c>
      <c r="K745" s="99" t="s">
        <v>4</v>
      </c>
      <c r="L745" s="101"/>
      <c r="M745" s="104" t="str">
        <f>IF(Main[[#This Row],[Tech Start Date]]&lt;1/1/1990,"",IF(Main[[#This Row],[Class]]="C",WORKDAY(Main[[#This Row],[Tech Start Date]],9),IF(Main[[#This Row],[Class]]="B", WORKDAY(Main[[#This Row],[Tech Start Date]],6),IF(Main[[#This Row],[Class]]="A",WORKDAY(Main[[#This Row],[Tech Start Date]],2),""))))</f>
        <v/>
      </c>
      <c r="N745" s="104" t="str">
        <f>IF(Main[[#This Row],[Tech Start Date]]&lt;1/1/1990,"",IF(Main[[#This Row],[Class]]="C",WORKDAY(Main[[#This Row],[Tech Start Date]],19),IF(Main[[#This Row],[Class]]="B", WORKDAY(Main[[#This Row],[Tech Start Date]],12),IF(Main[[#This Row],[Class]]="A",WORKDAY(Main[[#This Row],[Tech Start Date]],4),""))))</f>
        <v/>
      </c>
      <c r="O745" s="104" t="str">
        <f>IF(Main[[#This Row],[Tech Start Date]]&lt;1/1/1990,"",IF(Main[[#This Row],[Class]]="C",WORKDAY(Main[[#This Row],[Tech Start Date]],23),IF(Main[[#This Row],[Class]]="B", WORKDAY(Main[[#This Row],[Tech Start Date]],15),IF(Main[[#This Row],[Class]]="A",WORKDAY(Main[[#This Row],[Tech Start Date]],5),""))))</f>
        <v/>
      </c>
      <c r="P745" s="104" t="str">
        <f>IF(Main[[#This Row],[Tech Start Date]]&lt;1/1/1990,"",IF(Main[[#This Row],[Class]]="C",WORKDAY(Main[[#This Row],[Tech Start Date]],28),IF(Main[[#This Row],[Class]]="B", WORKDAY(Main[[#This Row],[Tech Start Date]],19),IF(Main[[#This Row],[Class]]="A",WORKDAY(Main[[#This Row],[Tech Start Date]],9),""))))</f>
        <v/>
      </c>
      <c r="Q745" s="101">
        <v>40233</v>
      </c>
      <c r="R745" s="101"/>
      <c r="S745" s="99" t="s">
        <v>11</v>
      </c>
      <c r="T745" s="107" t="s">
        <v>4</v>
      </c>
      <c r="U745" s="99" t="s">
        <v>14</v>
      </c>
      <c r="V745" s="99" t="s">
        <v>1965</v>
      </c>
      <c r="W745" s="99" t="s">
        <v>1970</v>
      </c>
    </row>
    <row r="746" spans="1:23" ht="18.600000000000001" customHeight="1">
      <c r="A746" s="123" t="str">
        <f>IF(priority(Main[[#This Row],[Comments]])&lt;&gt;0, priority(Main[[#This Row],[Comments]]),"")</f>
        <v/>
      </c>
      <c r="B746" s="127" t="s">
        <v>1606</v>
      </c>
      <c r="C746" s="99" t="s">
        <v>160</v>
      </c>
      <c r="D746" s="100" t="s">
        <v>655</v>
      </c>
      <c r="E746" s="101"/>
      <c r="F746" s="101">
        <v>40513</v>
      </c>
      <c r="G746" s="102" t="str">
        <f>IF(stdProdLT(Main[[#This Row],[Comments]])=0.1,"N/A",IF(stdProdLT(Main[[#This Row],[Comments]])=0,"",stdProdLT(Main[[#This Row],[Comments]])))</f>
        <v/>
      </c>
      <c r="H746" s="103" t="str">
        <f>IF(AND(Main[[#This Row],[In Stock Date]]&lt;&gt;"",Main[[#This Row],[Revised Due Date]]&lt;&gt;""),Main[[#This Row],[In Stock Date]]-Main[[#This Row],[Revised Due Date]],"")</f>
        <v/>
      </c>
      <c r="I746" s="99" t="s">
        <v>4</v>
      </c>
      <c r="J746" s="99" t="s">
        <v>28</v>
      </c>
      <c r="K746" s="99" t="s">
        <v>4</v>
      </c>
      <c r="L746" s="101"/>
      <c r="M746" s="104" t="str">
        <f>IF(Main[[#This Row],[Tech Start Date]]&lt;1/1/1990,"",IF(Main[[#This Row],[Class]]="C",WORKDAY(Main[[#This Row],[Tech Start Date]],9),IF(Main[[#This Row],[Class]]="B", WORKDAY(Main[[#This Row],[Tech Start Date]],6),IF(Main[[#This Row],[Class]]="A",WORKDAY(Main[[#This Row],[Tech Start Date]],2),""))))</f>
        <v/>
      </c>
      <c r="N746" s="104" t="str">
        <f>IF(Main[[#This Row],[Tech Start Date]]&lt;1/1/1990,"",IF(Main[[#This Row],[Class]]="C",WORKDAY(Main[[#This Row],[Tech Start Date]],19),IF(Main[[#This Row],[Class]]="B", WORKDAY(Main[[#This Row],[Tech Start Date]],12),IF(Main[[#This Row],[Class]]="A",WORKDAY(Main[[#This Row],[Tech Start Date]],4),""))))</f>
        <v/>
      </c>
      <c r="O746" s="104" t="str">
        <f>IF(Main[[#This Row],[Tech Start Date]]&lt;1/1/1990,"",IF(Main[[#This Row],[Class]]="C",WORKDAY(Main[[#This Row],[Tech Start Date]],23),IF(Main[[#This Row],[Class]]="B", WORKDAY(Main[[#This Row],[Tech Start Date]],15),IF(Main[[#This Row],[Class]]="A",WORKDAY(Main[[#This Row],[Tech Start Date]],5),""))))</f>
        <v/>
      </c>
      <c r="P746" s="104" t="str">
        <f>IF(Main[[#This Row],[Tech Start Date]]&lt;1/1/1990,"",IF(Main[[#This Row],[Class]]="C",WORKDAY(Main[[#This Row],[Tech Start Date]],28),IF(Main[[#This Row],[Class]]="B", WORKDAY(Main[[#This Row],[Tech Start Date]],19),IF(Main[[#This Row],[Class]]="A",WORKDAY(Main[[#This Row],[Tech Start Date]],9),""))))</f>
        <v/>
      </c>
      <c r="Q746" s="101">
        <v>40382</v>
      </c>
      <c r="R746" s="101"/>
      <c r="S746" s="99" t="s">
        <v>11</v>
      </c>
      <c r="T746" s="107" t="s">
        <v>4</v>
      </c>
      <c r="U746" s="99" t="s">
        <v>14</v>
      </c>
      <c r="V746" s="99" t="s">
        <v>1962</v>
      </c>
      <c r="W746" s="99" t="s">
        <v>1970</v>
      </c>
    </row>
    <row r="747" spans="1:23" ht="18.600000000000001" customHeight="1">
      <c r="A747" s="123" t="str">
        <f>IF(priority(Main[[#This Row],[Comments]])&lt;&gt;0, priority(Main[[#This Row],[Comments]]),"")</f>
        <v/>
      </c>
      <c r="B747" s="127" t="s">
        <v>1607</v>
      </c>
      <c r="C747" s="99" t="s">
        <v>4</v>
      </c>
      <c r="D747" s="100" t="s">
        <v>656</v>
      </c>
      <c r="E747" s="101">
        <v>40477.486574074072</v>
      </c>
      <c r="F747" s="101"/>
      <c r="G747" s="102" t="str">
        <f>IF(stdProdLT(Main[[#This Row],[Comments]])=0.1,"N/A",IF(stdProdLT(Main[[#This Row],[Comments]])=0,"",stdProdLT(Main[[#This Row],[Comments]])))</f>
        <v/>
      </c>
      <c r="H747" s="103" t="str">
        <f>IF(AND(Main[[#This Row],[In Stock Date]]&lt;&gt;"",Main[[#This Row],[Revised Due Date]]&lt;&gt;""),Main[[#This Row],[In Stock Date]]-Main[[#This Row],[Revised Due Date]],"")</f>
        <v/>
      </c>
      <c r="I747" s="99" t="s">
        <v>4</v>
      </c>
      <c r="J747" s="99" t="s">
        <v>4</v>
      </c>
      <c r="K747" s="108" t="s">
        <v>4</v>
      </c>
      <c r="L747" s="101"/>
      <c r="M747" s="104" t="str">
        <f>IF(Main[[#This Row],[Tech Start Date]]&lt;1/1/1990,"",IF(Main[[#This Row],[Class]]="C",WORKDAY(Main[[#This Row],[Tech Start Date]],9),IF(Main[[#This Row],[Class]]="B", WORKDAY(Main[[#This Row],[Tech Start Date]],6),IF(Main[[#This Row],[Class]]="A",WORKDAY(Main[[#This Row],[Tech Start Date]],2),""))))</f>
        <v/>
      </c>
      <c r="N747" s="104" t="str">
        <f>IF(Main[[#This Row],[Tech Start Date]]&lt;1/1/1990,"",IF(Main[[#This Row],[Class]]="C",WORKDAY(Main[[#This Row],[Tech Start Date]],19),IF(Main[[#This Row],[Class]]="B", WORKDAY(Main[[#This Row],[Tech Start Date]],12),IF(Main[[#This Row],[Class]]="A",WORKDAY(Main[[#This Row],[Tech Start Date]],4),""))))</f>
        <v/>
      </c>
      <c r="O747" s="104" t="str">
        <f>IF(Main[[#This Row],[Tech Start Date]]&lt;1/1/1990,"",IF(Main[[#This Row],[Class]]="C",WORKDAY(Main[[#This Row],[Tech Start Date]],23),IF(Main[[#This Row],[Class]]="B", WORKDAY(Main[[#This Row],[Tech Start Date]],15),IF(Main[[#This Row],[Class]]="A",WORKDAY(Main[[#This Row],[Tech Start Date]],5),""))))</f>
        <v/>
      </c>
      <c r="P747" s="104" t="str">
        <f>IF(Main[[#This Row],[Tech Start Date]]&lt;1/1/1990,"",IF(Main[[#This Row],[Class]]="C",WORKDAY(Main[[#This Row],[Tech Start Date]],28),IF(Main[[#This Row],[Class]]="B", WORKDAY(Main[[#This Row],[Tech Start Date]],19),IF(Main[[#This Row],[Class]]="A",WORKDAY(Main[[#This Row],[Tech Start Date]],9),""))))</f>
        <v/>
      </c>
      <c r="Q747" s="101">
        <v>40511</v>
      </c>
      <c r="R747" s="101"/>
      <c r="S747" s="99" t="s">
        <v>6</v>
      </c>
      <c r="T747" s="107" t="s">
        <v>4</v>
      </c>
      <c r="U747" s="99" t="s">
        <v>7</v>
      </c>
      <c r="V747" s="99" t="s">
        <v>1962</v>
      </c>
      <c r="W747" s="99" t="s">
        <v>4</v>
      </c>
    </row>
    <row r="748" spans="1:23" ht="18.600000000000001" customHeight="1">
      <c r="A748" s="123" t="str">
        <f>IF(priority(Main[[#This Row],[Comments]])&lt;&gt;0, priority(Main[[#This Row],[Comments]]),"")</f>
        <v/>
      </c>
      <c r="B748" s="127" t="s">
        <v>1608</v>
      </c>
      <c r="C748" s="99" t="s">
        <v>4</v>
      </c>
      <c r="D748" s="100" t="s">
        <v>657</v>
      </c>
      <c r="E748" s="101"/>
      <c r="F748" s="101"/>
      <c r="G748" s="102" t="str">
        <f>IF(stdProdLT(Main[[#This Row],[Comments]])=0.1,"N/A",IF(stdProdLT(Main[[#This Row],[Comments]])=0,"",stdProdLT(Main[[#This Row],[Comments]])))</f>
        <v/>
      </c>
      <c r="H748" s="103" t="str">
        <f>IF(AND(Main[[#This Row],[In Stock Date]]&lt;&gt;"",Main[[#This Row],[Revised Due Date]]&lt;&gt;""),Main[[#This Row],[In Stock Date]]-Main[[#This Row],[Revised Due Date]],"")</f>
        <v/>
      </c>
      <c r="I748" s="99" t="s">
        <v>4</v>
      </c>
      <c r="J748" s="99" t="s">
        <v>4</v>
      </c>
      <c r="K748" s="99" t="s">
        <v>4</v>
      </c>
      <c r="L748" s="101"/>
      <c r="M748" s="104" t="str">
        <f>IF(Main[[#This Row],[Tech Start Date]]&lt;1/1/1990,"",IF(Main[[#This Row],[Class]]="C",WORKDAY(Main[[#This Row],[Tech Start Date]],9),IF(Main[[#This Row],[Class]]="B", WORKDAY(Main[[#This Row],[Tech Start Date]],6),IF(Main[[#This Row],[Class]]="A",WORKDAY(Main[[#This Row],[Tech Start Date]],2),""))))</f>
        <v/>
      </c>
      <c r="N748" s="104" t="str">
        <f>IF(Main[[#This Row],[Tech Start Date]]&lt;1/1/1990,"",IF(Main[[#This Row],[Class]]="C",WORKDAY(Main[[#This Row],[Tech Start Date]],19),IF(Main[[#This Row],[Class]]="B", WORKDAY(Main[[#This Row],[Tech Start Date]],12),IF(Main[[#This Row],[Class]]="A",WORKDAY(Main[[#This Row],[Tech Start Date]],4),""))))</f>
        <v/>
      </c>
      <c r="O748" s="104" t="str">
        <f>IF(Main[[#This Row],[Tech Start Date]]&lt;1/1/1990,"",IF(Main[[#This Row],[Class]]="C",WORKDAY(Main[[#This Row],[Tech Start Date]],23),IF(Main[[#This Row],[Class]]="B", WORKDAY(Main[[#This Row],[Tech Start Date]],15),IF(Main[[#This Row],[Class]]="A",WORKDAY(Main[[#This Row],[Tech Start Date]],5),""))))</f>
        <v/>
      </c>
      <c r="P748" s="104" t="str">
        <f>IF(Main[[#This Row],[Tech Start Date]]&lt;1/1/1990,"",IF(Main[[#This Row],[Class]]="C",WORKDAY(Main[[#This Row],[Tech Start Date]],28),IF(Main[[#This Row],[Class]]="B", WORKDAY(Main[[#This Row],[Tech Start Date]],19),IF(Main[[#This Row],[Class]]="A",WORKDAY(Main[[#This Row],[Tech Start Date]],9),""))))</f>
        <v/>
      </c>
      <c r="Q748" s="101">
        <v>40619</v>
      </c>
      <c r="R748" s="101"/>
      <c r="S748" s="99" t="s">
        <v>6</v>
      </c>
      <c r="T748" s="107" t="s">
        <v>4</v>
      </c>
      <c r="U748" s="99" t="s">
        <v>14</v>
      </c>
      <c r="V748" s="99" t="s">
        <v>1972</v>
      </c>
      <c r="W748" s="99" t="s">
        <v>4</v>
      </c>
    </row>
    <row r="749" spans="1:23" ht="18.600000000000001" customHeight="1">
      <c r="A749" s="123" t="str">
        <f>IF(priority(Main[[#This Row],[Comments]])&lt;&gt;0, priority(Main[[#This Row],[Comments]]),"")</f>
        <v/>
      </c>
      <c r="B749" s="127" t="s">
        <v>2167</v>
      </c>
      <c r="C749" s="99" t="s">
        <v>4</v>
      </c>
      <c r="D749" s="100" t="s">
        <v>2168</v>
      </c>
      <c r="E749" s="101">
        <v>40772.421967592592</v>
      </c>
      <c r="F749" s="101"/>
      <c r="G749" s="102" t="str">
        <f>IF(stdProdLT(Main[[#This Row],[Comments]])=0.1,"N/A",IF(stdProdLT(Main[[#This Row],[Comments]])=0,"",stdProdLT(Main[[#This Row],[Comments]])))</f>
        <v/>
      </c>
      <c r="H749" s="103" t="str">
        <f>IF(AND(Main[[#This Row],[In Stock Date]]&lt;&gt;"",Main[[#This Row],[Revised Due Date]]&lt;&gt;""),Main[[#This Row],[In Stock Date]]-Main[[#This Row],[Revised Due Date]],"")</f>
        <v/>
      </c>
      <c r="I749" s="99" t="s">
        <v>929</v>
      </c>
      <c r="J749" s="99" t="s">
        <v>52</v>
      </c>
      <c r="K749" s="99" t="s">
        <v>4</v>
      </c>
      <c r="L749" s="101"/>
      <c r="M749" s="104" t="str">
        <f>IF(Main[[#This Row],[Tech Start Date]]&lt;1/1/1990,"",IF(Main[[#This Row],[Class]]="C",WORKDAY(Main[[#This Row],[Tech Start Date]],9),IF(Main[[#This Row],[Class]]="B", WORKDAY(Main[[#This Row],[Tech Start Date]],6),IF(Main[[#This Row],[Class]]="A",WORKDAY(Main[[#This Row],[Tech Start Date]],2),""))))</f>
        <v/>
      </c>
      <c r="N749" s="104" t="str">
        <f>IF(Main[[#This Row],[Tech Start Date]]&lt;1/1/1990,"",IF(Main[[#This Row],[Class]]="C",WORKDAY(Main[[#This Row],[Tech Start Date]],19),IF(Main[[#This Row],[Class]]="B", WORKDAY(Main[[#This Row],[Tech Start Date]],12),IF(Main[[#This Row],[Class]]="A",WORKDAY(Main[[#This Row],[Tech Start Date]],4),""))))</f>
        <v/>
      </c>
      <c r="O749" s="104" t="str">
        <f>IF(Main[[#This Row],[Tech Start Date]]&lt;1/1/1990,"",IF(Main[[#This Row],[Class]]="C",WORKDAY(Main[[#This Row],[Tech Start Date]],23),IF(Main[[#This Row],[Class]]="B", WORKDAY(Main[[#This Row],[Tech Start Date]],15),IF(Main[[#This Row],[Class]]="A",WORKDAY(Main[[#This Row],[Tech Start Date]],5),""))))</f>
        <v/>
      </c>
      <c r="P749" s="104" t="str">
        <f>IF(Main[[#This Row],[Tech Start Date]]&lt;1/1/1990,"",IF(Main[[#This Row],[Class]]="C",WORKDAY(Main[[#This Row],[Tech Start Date]],28),IF(Main[[#This Row],[Class]]="B", WORKDAY(Main[[#This Row],[Tech Start Date]],19),IF(Main[[#This Row],[Class]]="A",WORKDAY(Main[[#This Row],[Tech Start Date]],9),""))))</f>
        <v/>
      </c>
      <c r="Q749" s="101"/>
      <c r="R749" s="101"/>
      <c r="S749" s="99" t="s">
        <v>6</v>
      </c>
      <c r="T749" s="107" t="s">
        <v>4</v>
      </c>
      <c r="U749" s="99" t="s">
        <v>29</v>
      </c>
      <c r="V749" s="99" t="s">
        <v>1962</v>
      </c>
      <c r="W749" s="99" t="s">
        <v>1966</v>
      </c>
    </row>
    <row r="750" spans="1:23" ht="18.600000000000001" customHeight="1">
      <c r="A750" s="123" t="str">
        <f>IF(priority(Main[[#This Row],[Comments]])&lt;&gt;0, priority(Main[[#This Row],[Comments]]),"")</f>
        <v/>
      </c>
      <c r="B750" s="127" t="s">
        <v>1610</v>
      </c>
      <c r="C750" s="99" t="s">
        <v>4</v>
      </c>
      <c r="D750" s="100" t="s">
        <v>661</v>
      </c>
      <c r="E750" s="101">
        <v>40626.478437500002</v>
      </c>
      <c r="F750" s="101"/>
      <c r="G750" s="102" t="str">
        <f>IF(stdProdLT(Main[[#This Row],[Comments]])=0.1,"N/A",IF(stdProdLT(Main[[#This Row],[Comments]])=0,"",stdProdLT(Main[[#This Row],[Comments]])))</f>
        <v/>
      </c>
      <c r="H750" s="103" t="str">
        <f>IF(AND(Main[[#This Row],[In Stock Date]]&lt;&gt;"",Main[[#This Row],[Revised Due Date]]&lt;&gt;""),Main[[#This Row],[In Stock Date]]-Main[[#This Row],[Revised Due Date]],"")</f>
        <v/>
      </c>
      <c r="I750" s="99" t="s">
        <v>375</v>
      </c>
      <c r="J750" s="99" t="s">
        <v>28</v>
      </c>
      <c r="K750" s="99" t="s">
        <v>1971</v>
      </c>
      <c r="L750" s="101"/>
      <c r="M750" s="104" t="str">
        <f>IF(Main[[#This Row],[Tech Start Date]]&lt;1/1/1990,"",IF(Main[[#This Row],[Class]]="C",WORKDAY(Main[[#This Row],[Tech Start Date]],9),IF(Main[[#This Row],[Class]]="B", WORKDAY(Main[[#This Row],[Tech Start Date]],6),IF(Main[[#This Row],[Class]]="A",WORKDAY(Main[[#This Row],[Tech Start Date]],2),""))))</f>
        <v/>
      </c>
      <c r="N750" s="104" t="str">
        <f>IF(Main[[#This Row],[Tech Start Date]]&lt;1/1/1990,"",IF(Main[[#This Row],[Class]]="C",WORKDAY(Main[[#This Row],[Tech Start Date]],19),IF(Main[[#This Row],[Class]]="B", WORKDAY(Main[[#This Row],[Tech Start Date]],12),IF(Main[[#This Row],[Class]]="A",WORKDAY(Main[[#This Row],[Tech Start Date]],4),""))))</f>
        <v/>
      </c>
      <c r="O750" s="104" t="str">
        <f>IF(Main[[#This Row],[Tech Start Date]]&lt;1/1/1990,"",IF(Main[[#This Row],[Class]]="C",WORKDAY(Main[[#This Row],[Tech Start Date]],23),IF(Main[[#This Row],[Class]]="B", WORKDAY(Main[[#This Row],[Tech Start Date]],15),IF(Main[[#This Row],[Class]]="A",WORKDAY(Main[[#This Row],[Tech Start Date]],5),""))))</f>
        <v/>
      </c>
      <c r="P750" s="104" t="str">
        <f>IF(Main[[#This Row],[Tech Start Date]]&lt;1/1/1990,"",IF(Main[[#This Row],[Class]]="C",WORKDAY(Main[[#This Row],[Tech Start Date]],28),IF(Main[[#This Row],[Class]]="B", WORKDAY(Main[[#This Row],[Tech Start Date]],19),IF(Main[[#This Row],[Class]]="A",WORKDAY(Main[[#This Row],[Tech Start Date]],9),""))))</f>
        <v/>
      </c>
      <c r="Q750" s="101"/>
      <c r="R750" s="101"/>
      <c r="S750" s="99" t="s">
        <v>6</v>
      </c>
      <c r="T750" s="107" t="s">
        <v>4</v>
      </c>
      <c r="U750" s="99" t="s">
        <v>29</v>
      </c>
      <c r="V750" s="99" t="s">
        <v>1965</v>
      </c>
      <c r="W750" s="99" t="s">
        <v>1966</v>
      </c>
    </row>
    <row r="751" spans="1:23" ht="18.600000000000001" customHeight="1">
      <c r="A751" s="123" t="str">
        <f>IF(priority(Main[[#This Row],[Comments]])&lt;&gt;0, priority(Main[[#This Row],[Comments]]),"")</f>
        <v/>
      </c>
      <c r="B751" s="127" t="s">
        <v>2500</v>
      </c>
      <c r="C751" s="99" t="s">
        <v>47</v>
      </c>
      <c r="D751" s="100" t="s">
        <v>2501</v>
      </c>
      <c r="E751" s="101">
        <v>40847.703090277777</v>
      </c>
      <c r="F751" s="101"/>
      <c r="G751" s="102" t="str">
        <f>IF(stdProdLT(Main[[#This Row],[Comments]])=0.1,"N/A",IF(stdProdLT(Main[[#This Row],[Comments]])=0,"",stdProdLT(Main[[#This Row],[Comments]])))</f>
        <v/>
      </c>
      <c r="H751" s="103" t="str">
        <f>IF(AND(Main[[#This Row],[In Stock Date]]&lt;&gt;"",Main[[#This Row],[Revised Due Date]]&lt;&gt;""),Main[[#This Row],[In Stock Date]]-Main[[#This Row],[Revised Due Date]],"")</f>
        <v/>
      </c>
      <c r="I751" s="99" t="s">
        <v>69</v>
      </c>
      <c r="J751" s="99" t="s">
        <v>28</v>
      </c>
      <c r="K751" s="99" t="s">
        <v>1971</v>
      </c>
      <c r="L751" s="101"/>
      <c r="M751" s="104" t="str">
        <f>IF(Main[[#This Row],[Tech Start Date]]&lt;1/1/1990,"",IF(Main[[#This Row],[Class]]="C",WORKDAY(Main[[#This Row],[Tech Start Date]],9),IF(Main[[#This Row],[Class]]="B", WORKDAY(Main[[#This Row],[Tech Start Date]],6),IF(Main[[#This Row],[Class]]="A",WORKDAY(Main[[#This Row],[Tech Start Date]],2),""))))</f>
        <v/>
      </c>
      <c r="N751" s="104" t="str">
        <f>IF(Main[[#This Row],[Tech Start Date]]&lt;1/1/1990,"",IF(Main[[#This Row],[Class]]="C",WORKDAY(Main[[#This Row],[Tech Start Date]],19),IF(Main[[#This Row],[Class]]="B", WORKDAY(Main[[#This Row],[Tech Start Date]],12),IF(Main[[#This Row],[Class]]="A",WORKDAY(Main[[#This Row],[Tech Start Date]],4),""))))</f>
        <v/>
      </c>
      <c r="O751" s="104" t="str">
        <f>IF(Main[[#This Row],[Tech Start Date]]&lt;1/1/1990,"",IF(Main[[#This Row],[Class]]="C",WORKDAY(Main[[#This Row],[Tech Start Date]],23),IF(Main[[#This Row],[Class]]="B", WORKDAY(Main[[#This Row],[Tech Start Date]],15),IF(Main[[#This Row],[Class]]="A",WORKDAY(Main[[#This Row],[Tech Start Date]],5),""))))</f>
        <v/>
      </c>
      <c r="P751" s="104" t="str">
        <f>IF(Main[[#This Row],[Tech Start Date]]&lt;1/1/1990,"",IF(Main[[#This Row],[Class]]="C",WORKDAY(Main[[#This Row],[Tech Start Date]],28),IF(Main[[#This Row],[Class]]="B", WORKDAY(Main[[#This Row],[Tech Start Date]],19),IF(Main[[#This Row],[Class]]="A",WORKDAY(Main[[#This Row],[Tech Start Date]],9),""))))</f>
        <v/>
      </c>
      <c r="Q751" s="101">
        <v>40862</v>
      </c>
      <c r="R751" s="101"/>
      <c r="S751" s="99" t="s">
        <v>6</v>
      </c>
      <c r="T751" s="107" t="s">
        <v>4</v>
      </c>
      <c r="U751" s="99" t="s">
        <v>29</v>
      </c>
      <c r="V751" s="99" t="s">
        <v>1965</v>
      </c>
      <c r="W751" s="99" t="s">
        <v>1966</v>
      </c>
    </row>
    <row r="752" spans="1:23" ht="18.600000000000001" customHeight="1">
      <c r="A752" s="123" t="str">
        <f>IF(priority(Main[[#This Row],[Comments]])&lt;&gt;0, priority(Main[[#This Row],[Comments]]),"")</f>
        <v/>
      </c>
      <c r="B752" s="127" t="s">
        <v>1674</v>
      </c>
      <c r="C752" s="99" t="s">
        <v>4</v>
      </c>
      <c r="D752" s="100" t="s">
        <v>2177</v>
      </c>
      <c r="E752" s="101">
        <v>40696.439942129633</v>
      </c>
      <c r="F752" s="101"/>
      <c r="G752" s="102" t="str">
        <f>IF(stdProdLT(Main[[#This Row],[Comments]])=0.1,"N/A",IF(stdProdLT(Main[[#This Row],[Comments]])=0,"",stdProdLT(Main[[#This Row],[Comments]])))</f>
        <v/>
      </c>
      <c r="H752" s="103" t="str">
        <f>IF(AND(Main[[#This Row],[In Stock Date]]&lt;&gt;"",Main[[#This Row],[Revised Due Date]]&lt;&gt;""),Main[[#This Row],[In Stock Date]]-Main[[#This Row],[Revised Due Date]],"")</f>
        <v/>
      </c>
      <c r="I752" s="99" t="s">
        <v>959</v>
      </c>
      <c r="J752" s="99" t="s">
        <v>4</v>
      </c>
      <c r="K752" s="99" t="s">
        <v>4</v>
      </c>
      <c r="L752" s="101"/>
      <c r="M752" s="104" t="str">
        <f>IF(Main[[#This Row],[Tech Start Date]]&lt;1/1/1990,"",IF(Main[[#This Row],[Class]]="C",WORKDAY(Main[[#This Row],[Tech Start Date]],9),IF(Main[[#This Row],[Class]]="B", WORKDAY(Main[[#This Row],[Tech Start Date]],6),IF(Main[[#This Row],[Class]]="A",WORKDAY(Main[[#This Row],[Tech Start Date]],2),""))))</f>
        <v/>
      </c>
      <c r="N752" s="104" t="str">
        <f>IF(Main[[#This Row],[Tech Start Date]]&lt;1/1/1990,"",IF(Main[[#This Row],[Class]]="C",WORKDAY(Main[[#This Row],[Tech Start Date]],19),IF(Main[[#This Row],[Class]]="B", WORKDAY(Main[[#This Row],[Tech Start Date]],12),IF(Main[[#This Row],[Class]]="A",WORKDAY(Main[[#This Row],[Tech Start Date]],4),""))))</f>
        <v/>
      </c>
      <c r="O752" s="104" t="str">
        <f>IF(Main[[#This Row],[Tech Start Date]]&lt;1/1/1990,"",IF(Main[[#This Row],[Class]]="C",WORKDAY(Main[[#This Row],[Tech Start Date]],23),IF(Main[[#This Row],[Class]]="B", WORKDAY(Main[[#This Row],[Tech Start Date]],15),IF(Main[[#This Row],[Class]]="A",WORKDAY(Main[[#This Row],[Tech Start Date]],5),""))))</f>
        <v/>
      </c>
      <c r="P752" s="104" t="str">
        <f>IF(Main[[#This Row],[Tech Start Date]]&lt;1/1/1990,"",IF(Main[[#This Row],[Class]]="C",WORKDAY(Main[[#This Row],[Tech Start Date]],28),IF(Main[[#This Row],[Class]]="B", WORKDAY(Main[[#This Row],[Tech Start Date]],19),IF(Main[[#This Row],[Class]]="A",WORKDAY(Main[[#This Row],[Tech Start Date]],9),""))))</f>
        <v/>
      </c>
      <c r="Q752" s="101"/>
      <c r="R752" s="101">
        <v>40815</v>
      </c>
      <c r="S752" s="99" t="s">
        <v>6</v>
      </c>
      <c r="T752" s="107" t="s">
        <v>4</v>
      </c>
      <c r="U752" s="99" t="s">
        <v>29</v>
      </c>
      <c r="V752" s="99" t="s">
        <v>1963</v>
      </c>
      <c r="W752" s="99" t="s">
        <v>1970</v>
      </c>
    </row>
    <row r="753" spans="1:23" ht="18.600000000000001" customHeight="1">
      <c r="A753" s="123" t="str">
        <f>IF(priority(Main[[#This Row],[Comments]])&lt;&gt;0, priority(Main[[#This Row],[Comments]]),"")</f>
        <v/>
      </c>
      <c r="B753" s="127" t="s">
        <v>1462</v>
      </c>
      <c r="C753" s="99" t="s">
        <v>4</v>
      </c>
      <c r="D753" s="100" t="s">
        <v>2502</v>
      </c>
      <c r="E753" s="101">
        <v>40561.285520833335</v>
      </c>
      <c r="F753" s="101"/>
      <c r="G753" s="102" t="str">
        <f>IF(stdProdLT(Main[[#This Row],[Comments]])=0.1,"N/A",IF(stdProdLT(Main[[#This Row],[Comments]])=0,"",stdProdLT(Main[[#This Row],[Comments]])))</f>
        <v/>
      </c>
      <c r="H753" s="103" t="str">
        <f>IF(AND(Main[[#This Row],[In Stock Date]]&lt;&gt;"",Main[[#This Row],[Revised Due Date]]&lt;&gt;""),Main[[#This Row],[In Stock Date]]-Main[[#This Row],[Revised Due Date]],"")</f>
        <v/>
      </c>
      <c r="I753" s="99" t="s">
        <v>929</v>
      </c>
      <c r="J753" s="99" t="s">
        <v>52</v>
      </c>
      <c r="K753" s="99" t="s">
        <v>1969</v>
      </c>
      <c r="L753" s="101"/>
      <c r="M753" s="104" t="str">
        <f>IF(Main[[#This Row],[Tech Start Date]]&lt;1/1/1990,"",IF(Main[[#This Row],[Class]]="C",WORKDAY(Main[[#This Row],[Tech Start Date]],9),IF(Main[[#This Row],[Class]]="B", WORKDAY(Main[[#This Row],[Tech Start Date]],6),IF(Main[[#This Row],[Class]]="A",WORKDAY(Main[[#This Row],[Tech Start Date]],2),""))))</f>
        <v/>
      </c>
      <c r="N753" s="104" t="str">
        <f>IF(Main[[#This Row],[Tech Start Date]]&lt;1/1/1990,"",IF(Main[[#This Row],[Class]]="C",WORKDAY(Main[[#This Row],[Tech Start Date]],19),IF(Main[[#This Row],[Class]]="B", WORKDAY(Main[[#This Row],[Tech Start Date]],12),IF(Main[[#This Row],[Class]]="A",WORKDAY(Main[[#This Row],[Tech Start Date]],4),""))))</f>
        <v/>
      </c>
      <c r="O753" s="104" t="str">
        <f>IF(Main[[#This Row],[Tech Start Date]]&lt;1/1/1990,"",IF(Main[[#This Row],[Class]]="C",WORKDAY(Main[[#This Row],[Tech Start Date]],23),IF(Main[[#This Row],[Class]]="B", WORKDAY(Main[[#This Row],[Tech Start Date]],15),IF(Main[[#This Row],[Class]]="A",WORKDAY(Main[[#This Row],[Tech Start Date]],5),""))))</f>
        <v/>
      </c>
      <c r="P753" s="104" t="str">
        <f>IF(Main[[#This Row],[Tech Start Date]]&lt;1/1/1990,"",IF(Main[[#This Row],[Class]]="C",WORKDAY(Main[[#This Row],[Tech Start Date]],28),IF(Main[[#This Row],[Class]]="B", WORKDAY(Main[[#This Row],[Tech Start Date]],19),IF(Main[[#This Row],[Class]]="A",WORKDAY(Main[[#This Row],[Tech Start Date]],9),""))))</f>
        <v/>
      </c>
      <c r="Q753" s="101">
        <v>40595</v>
      </c>
      <c r="R753" s="101"/>
      <c r="S753" s="99" t="s">
        <v>6</v>
      </c>
      <c r="T753" s="107" t="s">
        <v>4</v>
      </c>
      <c r="U753" s="99" t="s">
        <v>29</v>
      </c>
      <c r="V753" s="99" t="s">
        <v>1962</v>
      </c>
      <c r="W753" s="99" t="s">
        <v>1964</v>
      </c>
    </row>
    <row r="754" spans="1:23" ht="18.600000000000001" customHeight="1">
      <c r="A754" s="123" t="str">
        <f>IF(priority(Main[[#This Row],[Comments]])&lt;&gt;0, priority(Main[[#This Row],[Comments]]),"")</f>
        <v/>
      </c>
      <c r="B754" s="127" t="s">
        <v>1613</v>
      </c>
      <c r="C754" s="99" t="s">
        <v>4</v>
      </c>
      <c r="D754" s="100" t="s">
        <v>663</v>
      </c>
      <c r="E754" s="101"/>
      <c r="F754" s="101"/>
      <c r="G754" s="102" t="str">
        <f>IF(stdProdLT(Main[[#This Row],[Comments]])=0.1,"N/A",IF(stdProdLT(Main[[#This Row],[Comments]])=0,"",stdProdLT(Main[[#This Row],[Comments]])))</f>
        <v/>
      </c>
      <c r="H754" s="103" t="str">
        <f>IF(AND(Main[[#This Row],[In Stock Date]]&lt;&gt;"",Main[[#This Row],[Revised Due Date]]&lt;&gt;""),Main[[#This Row],[In Stock Date]]-Main[[#This Row],[Revised Due Date]],"")</f>
        <v/>
      </c>
      <c r="I754" s="99" t="s">
        <v>4</v>
      </c>
      <c r="J754" s="99" t="s">
        <v>4</v>
      </c>
      <c r="K754" s="99" t="s">
        <v>4</v>
      </c>
      <c r="L754" s="101"/>
      <c r="M754" s="104" t="str">
        <f>IF(Main[[#This Row],[Tech Start Date]]&lt;1/1/1990,"",IF(Main[[#This Row],[Class]]="C",WORKDAY(Main[[#This Row],[Tech Start Date]],9),IF(Main[[#This Row],[Class]]="B", WORKDAY(Main[[#This Row],[Tech Start Date]],6),IF(Main[[#This Row],[Class]]="A",WORKDAY(Main[[#This Row],[Tech Start Date]],2),""))))</f>
        <v/>
      </c>
      <c r="N754" s="104" t="str">
        <f>IF(Main[[#This Row],[Tech Start Date]]&lt;1/1/1990,"",IF(Main[[#This Row],[Class]]="C",WORKDAY(Main[[#This Row],[Tech Start Date]],19),IF(Main[[#This Row],[Class]]="B", WORKDAY(Main[[#This Row],[Tech Start Date]],12),IF(Main[[#This Row],[Class]]="A",WORKDAY(Main[[#This Row],[Tech Start Date]],4),""))))</f>
        <v/>
      </c>
      <c r="O754" s="104" t="str">
        <f>IF(Main[[#This Row],[Tech Start Date]]&lt;1/1/1990,"",IF(Main[[#This Row],[Class]]="C",WORKDAY(Main[[#This Row],[Tech Start Date]],23),IF(Main[[#This Row],[Class]]="B", WORKDAY(Main[[#This Row],[Tech Start Date]],15),IF(Main[[#This Row],[Class]]="A",WORKDAY(Main[[#This Row],[Tech Start Date]],5),""))))</f>
        <v/>
      </c>
      <c r="P754" s="104" t="str">
        <f>IF(Main[[#This Row],[Tech Start Date]]&lt;1/1/1990,"",IF(Main[[#This Row],[Class]]="C",WORKDAY(Main[[#This Row],[Tech Start Date]],28),IF(Main[[#This Row],[Class]]="B", WORKDAY(Main[[#This Row],[Tech Start Date]],19),IF(Main[[#This Row],[Class]]="A",WORKDAY(Main[[#This Row],[Tech Start Date]],9),""))))</f>
        <v/>
      </c>
      <c r="Q754" s="101"/>
      <c r="R754" s="101"/>
      <c r="S754" s="99" t="s">
        <v>6</v>
      </c>
      <c r="T754" s="107" t="s">
        <v>4</v>
      </c>
      <c r="U754" s="99" t="s">
        <v>12</v>
      </c>
      <c r="V754" s="99" t="s">
        <v>1962</v>
      </c>
      <c r="W754" s="99" t="s">
        <v>4</v>
      </c>
    </row>
    <row r="755" spans="1:23" ht="18.600000000000001" customHeight="1">
      <c r="A755" s="123" t="str">
        <f>IF(priority(Main[[#This Row],[Comments]])&lt;&gt;0, priority(Main[[#This Row],[Comments]]),"")</f>
        <v/>
      </c>
      <c r="B755" s="127" t="s">
        <v>1916</v>
      </c>
      <c r="C755" s="99" t="s">
        <v>4</v>
      </c>
      <c r="D755" s="100" t="s">
        <v>2503</v>
      </c>
      <c r="E755" s="101">
        <v>40624.37060185185</v>
      </c>
      <c r="F755" s="101"/>
      <c r="G755" s="102" t="str">
        <f>IF(stdProdLT(Main[[#This Row],[Comments]])=0.1,"N/A",IF(stdProdLT(Main[[#This Row],[Comments]])=0,"",stdProdLT(Main[[#This Row],[Comments]])))</f>
        <v/>
      </c>
      <c r="H755" s="103" t="str">
        <f>IF(AND(Main[[#This Row],[In Stock Date]]&lt;&gt;"",Main[[#This Row],[Revised Due Date]]&lt;&gt;""),Main[[#This Row],[In Stock Date]]-Main[[#This Row],[Revised Due Date]],"")</f>
        <v/>
      </c>
      <c r="I755" s="99" t="s">
        <v>893</v>
      </c>
      <c r="J755" s="99" t="s">
        <v>28</v>
      </c>
      <c r="K755" s="108" t="s">
        <v>1975</v>
      </c>
      <c r="L755" s="101"/>
      <c r="M755" s="104" t="str">
        <f>IF(Main[[#This Row],[Tech Start Date]]&lt;1/1/1990,"",IF(Main[[#This Row],[Class]]="C",WORKDAY(Main[[#This Row],[Tech Start Date]],9),IF(Main[[#This Row],[Class]]="B", WORKDAY(Main[[#This Row],[Tech Start Date]],6),IF(Main[[#This Row],[Class]]="A",WORKDAY(Main[[#This Row],[Tech Start Date]],2),""))))</f>
        <v/>
      </c>
      <c r="N755" s="104" t="str">
        <f>IF(Main[[#This Row],[Tech Start Date]]&lt;1/1/1990,"",IF(Main[[#This Row],[Class]]="C",WORKDAY(Main[[#This Row],[Tech Start Date]],19),IF(Main[[#This Row],[Class]]="B", WORKDAY(Main[[#This Row],[Tech Start Date]],12),IF(Main[[#This Row],[Class]]="A",WORKDAY(Main[[#This Row],[Tech Start Date]],4),""))))</f>
        <v/>
      </c>
      <c r="O755" s="104" t="str">
        <f>IF(Main[[#This Row],[Tech Start Date]]&lt;1/1/1990,"",IF(Main[[#This Row],[Class]]="C",WORKDAY(Main[[#This Row],[Tech Start Date]],23),IF(Main[[#This Row],[Class]]="B", WORKDAY(Main[[#This Row],[Tech Start Date]],15),IF(Main[[#This Row],[Class]]="A",WORKDAY(Main[[#This Row],[Tech Start Date]],5),""))))</f>
        <v/>
      </c>
      <c r="P755" s="104" t="str">
        <f>IF(Main[[#This Row],[Tech Start Date]]&lt;1/1/1990,"",IF(Main[[#This Row],[Class]]="C",WORKDAY(Main[[#This Row],[Tech Start Date]],28),IF(Main[[#This Row],[Class]]="B", WORKDAY(Main[[#This Row],[Tech Start Date]],19),IF(Main[[#This Row],[Class]]="A",WORKDAY(Main[[#This Row],[Tech Start Date]],9),""))))</f>
        <v/>
      </c>
      <c r="Q755" s="101">
        <v>40648</v>
      </c>
      <c r="R755" s="101">
        <v>40908</v>
      </c>
      <c r="S755" s="99" t="s">
        <v>6</v>
      </c>
      <c r="T755" s="107" t="s">
        <v>4</v>
      </c>
      <c r="U755" s="99" t="s">
        <v>29</v>
      </c>
      <c r="V755" s="99" t="s">
        <v>1962</v>
      </c>
      <c r="W755" s="99" t="s">
        <v>1966</v>
      </c>
    </row>
    <row r="756" spans="1:23" ht="18.600000000000001" customHeight="1">
      <c r="A756" s="123" t="str">
        <f>IF(priority(Main[[#This Row],[Comments]])&lt;&gt;0, priority(Main[[#This Row],[Comments]]),"")</f>
        <v/>
      </c>
      <c r="B756" s="127" t="s">
        <v>1614</v>
      </c>
      <c r="C756" s="99" t="s">
        <v>4</v>
      </c>
      <c r="D756" s="100" t="s">
        <v>664</v>
      </c>
      <c r="E756" s="101"/>
      <c r="F756" s="101"/>
      <c r="G756" s="102" t="str">
        <f>IF(stdProdLT(Main[[#This Row],[Comments]])=0.1,"N/A",IF(stdProdLT(Main[[#This Row],[Comments]])=0,"",stdProdLT(Main[[#This Row],[Comments]])))</f>
        <v/>
      </c>
      <c r="H756" s="103" t="str">
        <f>IF(AND(Main[[#This Row],[In Stock Date]]&lt;&gt;"",Main[[#This Row],[Revised Due Date]]&lt;&gt;""),Main[[#This Row],[In Stock Date]]-Main[[#This Row],[Revised Due Date]],"")</f>
        <v/>
      </c>
      <c r="I756" s="99" t="s">
        <v>4</v>
      </c>
      <c r="J756" s="99" t="s">
        <v>4</v>
      </c>
      <c r="K756" s="108" t="s">
        <v>4</v>
      </c>
      <c r="L756" s="101"/>
      <c r="M756" s="104" t="str">
        <f>IF(Main[[#This Row],[Tech Start Date]]&lt;1/1/1990,"",IF(Main[[#This Row],[Class]]="C",WORKDAY(Main[[#This Row],[Tech Start Date]],9),IF(Main[[#This Row],[Class]]="B", WORKDAY(Main[[#This Row],[Tech Start Date]],6),IF(Main[[#This Row],[Class]]="A",WORKDAY(Main[[#This Row],[Tech Start Date]],2),""))))</f>
        <v/>
      </c>
      <c r="N756" s="104" t="str">
        <f>IF(Main[[#This Row],[Tech Start Date]]&lt;1/1/1990,"",IF(Main[[#This Row],[Class]]="C",WORKDAY(Main[[#This Row],[Tech Start Date]],19),IF(Main[[#This Row],[Class]]="B", WORKDAY(Main[[#This Row],[Tech Start Date]],12),IF(Main[[#This Row],[Class]]="A",WORKDAY(Main[[#This Row],[Tech Start Date]],4),""))))</f>
        <v/>
      </c>
      <c r="O756" s="104" t="str">
        <f>IF(Main[[#This Row],[Tech Start Date]]&lt;1/1/1990,"",IF(Main[[#This Row],[Class]]="C",WORKDAY(Main[[#This Row],[Tech Start Date]],23),IF(Main[[#This Row],[Class]]="B", WORKDAY(Main[[#This Row],[Tech Start Date]],15),IF(Main[[#This Row],[Class]]="A",WORKDAY(Main[[#This Row],[Tech Start Date]],5),""))))</f>
        <v/>
      </c>
      <c r="P756" s="104" t="str">
        <f>IF(Main[[#This Row],[Tech Start Date]]&lt;1/1/1990,"",IF(Main[[#This Row],[Class]]="C",WORKDAY(Main[[#This Row],[Tech Start Date]],28),IF(Main[[#This Row],[Class]]="B", WORKDAY(Main[[#This Row],[Tech Start Date]],19),IF(Main[[#This Row],[Class]]="A",WORKDAY(Main[[#This Row],[Tech Start Date]],9),""))))</f>
        <v/>
      </c>
      <c r="Q756" s="101"/>
      <c r="R756" s="101"/>
      <c r="S756" s="99" t="s">
        <v>6</v>
      </c>
      <c r="T756" s="107" t="s">
        <v>4</v>
      </c>
      <c r="U756" s="99" t="s">
        <v>14</v>
      </c>
      <c r="V756" s="99" t="s">
        <v>1962</v>
      </c>
      <c r="W756" s="99" t="s">
        <v>1970</v>
      </c>
    </row>
    <row r="757" spans="1:23" ht="18.600000000000001" customHeight="1">
      <c r="A757" s="123" t="str">
        <f>IF(priority(Main[[#This Row],[Comments]])&lt;&gt;0, priority(Main[[#This Row],[Comments]]),"")</f>
        <v/>
      </c>
      <c r="B757" s="127" t="s">
        <v>1615</v>
      </c>
      <c r="C757" s="99" t="s">
        <v>4</v>
      </c>
      <c r="D757" s="100" t="s">
        <v>665</v>
      </c>
      <c r="E757" s="101"/>
      <c r="F757" s="101"/>
      <c r="G757" s="102" t="str">
        <f>IF(stdProdLT(Main[[#This Row],[Comments]])=0.1,"N/A",IF(stdProdLT(Main[[#This Row],[Comments]])=0,"",stdProdLT(Main[[#This Row],[Comments]])))</f>
        <v/>
      </c>
      <c r="H757" s="103" t="str">
        <f>IF(AND(Main[[#This Row],[In Stock Date]]&lt;&gt;"",Main[[#This Row],[Revised Due Date]]&lt;&gt;""),Main[[#This Row],[In Stock Date]]-Main[[#This Row],[Revised Due Date]],"")</f>
        <v/>
      </c>
      <c r="I757" s="99" t="s">
        <v>4</v>
      </c>
      <c r="J757" s="99" t="s">
        <v>4</v>
      </c>
      <c r="K757" s="99" t="s">
        <v>4</v>
      </c>
      <c r="L757" s="101"/>
      <c r="M757" s="104" t="str">
        <f>IF(Main[[#This Row],[Tech Start Date]]&lt;1/1/1990,"",IF(Main[[#This Row],[Class]]="C",WORKDAY(Main[[#This Row],[Tech Start Date]],9),IF(Main[[#This Row],[Class]]="B", WORKDAY(Main[[#This Row],[Tech Start Date]],6),IF(Main[[#This Row],[Class]]="A",WORKDAY(Main[[#This Row],[Tech Start Date]],2),""))))</f>
        <v/>
      </c>
      <c r="N757" s="104" t="str">
        <f>IF(Main[[#This Row],[Tech Start Date]]&lt;1/1/1990,"",IF(Main[[#This Row],[Class]]="C",WORKDAY(Main[[#This Row],[Tech Start Date]],19),IF(Main[[#This Row],[Class]]="B", WORKDAY(Main[[#This Row],[Tech Start Date]],12),IF(Main[[#This Row],[Class]]="A",WORKDAY(Main[[#This Row],[Tech Start Date]],4),""))))</f>
        <v/>
      </c>
      <c r="O757" s="104" t="str">
        <f>IF(Main[[#This Row],[Tech Start Date]]&lt;1/1/1990,"",IF(Main[[#This Row],[Class]]="C",WORKDAY(Main[[#This Row],[Tech Start Date]],23),IF(Main[[#This Row],[Class]]="B", WORKDAY(Main[[#This Row],[Tech Start Date]],15),IF(Main[[#This Row],[Class]]="A",WORKDAY(Main[[#This Row],[Tech Start Date]],5),""))))</f>
        <v/>
      </c>
      <c r="P757" s="104" t="str">
        <f>IF(Main[[#This Row],[Tech Start Date]]&lt;1/1/1990,"",IF(Main[[#This Row],[Class]]="C",WORKDAY(Main[[#This Row],[Tech Start Date]],28),IF(Main[[#This Row],[Class]]="B", WORKDAY(Main[[#This Row],[Tech Start Date]],19),IF(Main[[#This Row],[Class]]="A",WORKDAY(Main[[#This Row],[Tech Start Date]],9),""))))</f>
        <v/>
      </c>
      <c r="Q757" s="101"/>
      <c r="R757" s="101"/>
      <c r="S757" s="99" t="s">
        <v>11</v>
      </c>
      <c r="T757" s="107" t="s">
        <v>4</v>
      </c>
      <c r="U757" s="99" t="s">
        <v>12</v>
      </c>
      <c r="V757" s="99" t="s">
        <v>1962</v>
      </c>
      <c r="W757" s="99" t="s">
        <v>1966</v>
      </c>
    </row>
    <row r="758" spans="1:23" ht="18.600000000000001" customHeight="1">
      <c r="A758" s="123" t="str">
        <f>IF(priority(Main[[#This Row],[Comments]])&lt;&gt;0, priority(Main[[#This Row],[Comments]]),"")</f>
        <v/>
      </c>
      <c r="B758" s="127" t="s">
        <v>1616</v>
      </c>
      <c r="C758" s="99" t="s">
        <v>4</v>
      </c>
      <c r="D758" s="100" t="s">
        <v>97</v>
      </c>
      <c r="E758" s="101"/>
      <c r="F758" s="101"/>
      <c r="G758" s="102" t="str">
        <f>IF(stdProdLT(Main[[#This Row],[Comments]])=0.1,"N/A",IF(stdProdLT(Main[[#This Row],[Comments]])=0,"",stdProdLT(Main[[#This Row],[Comments]])))</f>
        <v/>
      </c>
      <c r="H758" s="103" t="str">
        <f>IF(AND(Main[[#This Row],[In Stock Date]]&lt;&gt;"",Main[[#This Row],[Revised Due Date]]&lt;&gt;""),Main[[#This Row],[In Stock Date]]-Main[[#This Row],[Revised Due Date]],"")</f>
        <v/>
      </c>
      <c r="I758" s="99" t="s">
        <v>4</v>
      </c>
      <c r="J758" s="99" t="s">
        <v>4</v>
      </c>
      <c r="K758" s="99" t="s">
        <v>4</v>
      </c>
      <c r="L758" s="101"/>
      <c r="M758" s="104" t="str">
        <f>IF(Main[[#This Row],[Tech Start Date]]&lt;1/1/1990,"",IF(Main[[#This Row],[Class]]="C",WORKDAY(Main[[#This Row],[Tech Start Date]],9),IF(Main[[#This Row],[Class]]="B", WORKDAY(Main[[#This Row],[Tech Start Date]],6),IF(Main[[#This Row],[Class]]="A",WORKDAY(Main[[#This Row],[Tech Start Date]],2),""))))</f>
        <v/>
      </c>
      <c r="N758" s="104" t="str">
        <f>IF(Main[[#This Row],[Tech Start Date]]&lt;1/1/1990,"",IF(Main[[#This Row],[Class]]="C",WORKDAY(Main[[#This Row],[Tech Start Date]],19),IF(Main[[#This Row],[Class]]="B", WORKDAY(Main[[#This Row],[Tech Start Date]],12),IF(Main[[#This Row],[Class]]="A",WORKDAY(Main[[#This Row],[Tech Start Date]],4),""))))</f>
        <v/>
      </c>
      <c r="O758" s="104" t="str">
        <f>IF(Main[[#This Row],[Tech Start Date]]&lt;1/1/1990,"",IF(Main[[#This Row],[Class]]="C",WORKDAY(Main[[#This Row],[Tech Start Date]],23),IF(Main[[#This Row],[Class]]="B", WORKDAY(Main[[#This Row],[Tech Start Date]],15),IF(Main[[#This Row],[Class]]="A",WORKDAY(Main[[#This Row],[Tech Start Date]],5),""))))</f>
        <v/>
      </c>
      <c r="P758" s="104" t="str">
        <f>IF(Main[[#This Row],[Tech Start Date]]&lt;1/1/1990,"",IF(Main[[#This Row],[Class]]="C",WORKDAY(Main[[#This Row],[Tech Start Date]],28),IF(Main[[#This Row],[Class]]="B", WORKDAY(Main[[#This Row],[Tech Start Date]],19),IF(Main[[#This Row],[Class]]="A",WORKDAY(Main[[#This Row],[Tech Start Date]],9),""))))</f>
        <v/>
      </c>
      <c r="Q758" s="101">
        <v>40858</v>
      </c>
      <c r="R758" s="101"/>
      <c r="S758" s="99" t="s">
        <v>17</v>
      </c>
      <c r="T758" s="107" t="s">
        <v>4</v>
      </c>
      <c r="U758" s="99" t="s">
        <v>14</v>
      </c>
      <c r="V758" s="99" t="s">
        <v>1962</v>
      </c>
      <c r="W758" s="99" t="s">
        <v>1967</v>
      </c>
    </row>
    <row r="759" spans="1:23" ht="18.600000000000001" customHeight="1">
      <c r="A759" s="123" t="str">
        <f>IF(priority(Main[[#This Row],[Comments]])&lt;&gt;0, priority(Main[[#This Row],[Comments]]),"")</f>
        <v/>
      </c>
      <c r="B759" s="127" t="s">
        <v>1893</v>
      </c>
      <c r="C759" s="99" t="s">
        <v>67</v>
      </c>
      <c r="D759" s="100" t="s">
        <v>923</v>
      </c>
      <c r="E759" s="101">
        <v>39981.49428240741</v>
      </c>
      <c r="F759" s="101"/>
      <c r="G759" s="102" t="str">
        <f>IF(stdProdLT(Main[[#This Row],[Comments]])=0.1,"N/A",IF(stdProdLT(Main[[#This Row],[Comments]])=0,"",stdProdLT(Main[[#This Row],[Comments]])))</f>
        <v/>
      </c>
      <c r="H759" s="103" t="str">
        <f>IF(AND(Main[[#This Row],[In Stock Date]]&lt;&gt;"",Main[[#This Row],[Revised Due Date]]&lt;&gt;""),Main[[#This Row],[In Stock Date]]-Main[[#This Row],[Revised Due Date]],"")</f>
        <v/>
      </c>
      <c r="I759" s="99" t="s">
        <v>997</v>
      </c>
      <c r="J759" s="99" t="s">
        <v>4</v>
      </c>
      <c r="K759" s="99" t="s">
        <v>1974</v>
      </c>
      <c r="L759" s="101"/>
      <c r="M759" s="104" t="str">
        <f>IF(Main[[#This Row],[Tech Start Date]]&lt;1/1/1990,"",IF(Main[[#This Row],[Class]]="C",WORKDAY(Main[[#This Row],[Tech Start Date]],9),IF(Main[[#This Row],[Class]]="B", WORKDAY(Main[[#This Row],[Tech Start Date]],6),IF(Main[[#This Row],[Class]]="A",WORKDAY(Main[[#This Row],[Tech Start Date]],2),""))))</f>
        <v/>
      </c>
      <c r="N759" s="104" t="str">
        <f>IF(Main[[#This Row],[Tech Start Date]]&lt;1/1/1990,"",IF(Main[[#This Row],[Class]]="C",WORKDAY(Main[[#This Row],[Tech Start Date]],19),IF(Main[[#This Row],[Class]]="B", WORKDAY(Main[[#This Row],[Tech Start Date]],12),IF(Main[[#This Row],[Class]]="A",WORKDAY(Main[[#This Row],[Tech Start Date]],4),""))))</f>
        <v/>
      </c>
      <c r="O759" s="104" t="str">
        <f>IF(Main[[#This Row],[Tech Start Date]]&lt;1/1/1990,"",IF(Main[[#This Row],[Class]]="C",WORKDAY(Main[[#This Row],[Tech Start Date]],23),IF(Main[[#This Row],[Class]]="B", WORKDAY(Main[[#This Row],[Tech Start Date]],15),IF(Main[[#This Row],[Class]]="A",WORKDAY(Main[[#This Row],[Tech Start Date]],5),""))))</f>
        <v/>
      </c>
      <c r="P759" s="104" t="str">
        <f>IF(Main[[#This Row],[Tech Start Date]]&lt;1/1/1990,"",IF(Main[[#This Row],[Class]]="C",WORKDAY(Main[[#This Row],[Tech Start Date]],28),IF(Main[[#This Row],[Class]]="B", WORKDAY(Main[[#This Row],[Tech Start Date]],19),IF(Main[[#This Row],[Class]]="A",WORKDAY(Main[[#This Row],[Tech Start Date]],9),""))))</f>
        <v/>
      </c>
      <c r="Q759" s="101">
        <v>40057</v>
      </c>
      <c r="R759" s="101">
        <v>40908</v>
      </c>
      <c r="S759" s="99" t="s">
        <v>17</v>
      </c>
      <c r="T759" s="107" t="s">
        <v>4</v>
      </c>
      <c r="U759" s="99" t="s">
        <v>29</v>
      </c>
      <c r="V759" s="99" t="s">
        <v>1965</v>
      </c>
      <c r="W759" s="99" t="s">
        <v>1967</v>
      </c>
    </row>
    <row r="760" spans="1:23" ht="18.600000000000001" customHeight="1">
      <c r="A760" s="123" t="str">
        <f>IF(priority(Main[[#This Row],[Comments]])&lt;&gt;0, priority(Main[[#This Row],[Comments]]),"")</f>
        <v/>
      </c>
      <c r="B760" s="127" t="s">
        <v>1874</v>
      </c>
      <c r="C760" s="99" t="s">
        <v>4</v>
      </c>
      <c r="D760" s="100" t="s">
        <v>901</v>
      </c>
      <c r="E760" s="101">
        <v>40045.443194444444</v>
      </c>
      <c r="F760" s="101"/>
      <c r="G760" s="102" t="str">
        <f>IF(stdProdLT(Main[[#This Row],[Comments]])=0.1,"N/A",IF(stdProdLT(Main[[#This Row],[Comments]])=0,"",stdProdLT(Main[[#This Row],[Comments]])))</f>
        <v/>
      </c>
      <c r="H760" s="103" t="str">
        <f>IF(AND(Main[[#This Row],[In Stock Date]]&lt;&gt;"",Main[[#This Row],[Revised Due Date]]&lt;&gt;""),Main[[#This Row],[In Stock Date]]-Main[[#This Row],[Revised Due Date]],"")</f>
        <v/>
      </c>
      <c r="I760" s="99" t="s">
        <v>902</v>
      </c>
      <c r="J760" s="99" t="s">
        <v>4</v>
      </c>
      <c r="K760" s="99" t="s">
        <v>1974</v>
      </c>
      <c r="L760" s="101"/>
      <c r="M760" s="104" t="str">
        <f>IF(Main[[#This Row],[Tech Start Date]]&lt;1/1/1990,"",IF(Main[[#This Row],[Class]]="C",WORKDAY(Main[[#This Row],[Tech Start Date]],9),IF(Main[[#This Row],[Class]]="B", WORKDAY(Main[[#This Row],[Tech Start Date]],6),IF(Main[[#This Row],[Class]]="A",WORKDAY(Main[[#This Row],[Tech Start Date]],2),""))))</f>
        <v/>
      </c>
      <c r="N760" s="104" t="str">
        <f>IF(Main[[#This Row],[Tech Start Date]]&lt;1/1/1990,"",IF(Main[[#This Row],[Class]]="C",WORKDAY(Main[[#This Row],[Tech Start Date]],19),IF(Main[[#This Row],[Class]]="B", WORKDAY(Main[[#This Row],[Tech Start Date]],12),IF(Main[[#This Row],[Class]]="A",WORKDAY(Main[[#This Row],[Tech Start Date]],4),""))))</f>
        <v/>
      </c>
      <c r="O760" s="104" t="str">
        <f>IF(Main[[#This Row],[Tech Start Date]]&lt;1/1/1990,"",IF(Main[[#This Row],[Class]]="C",WORKDAY(Main[[#This Row],[Tech Start Date]],23),IF(Main[[#This Row],[Class]]="B", WORKDAY(Main[[#This Row],[Tech Start Date]],15),IF(Main[[#This Row],[Class]]="A",WORKDAY(Main[[#This Row],[Tech Start Date]],5),""))))</f>
        <v/>
      </c>
      <c r="P760" s="104" t="str">
        <f>IF(Main[[#This Row],[Tech Start Date]]&lt;1/1/1990,"",IF(Main[[#This Row],[Class]]="C",WORKDAY(Main[[#This Row],[Tech Start Date]],28),IF(Main[[#This Row],[Class]]="B", WORKDAY(Main[[#This Row],[Tech Start Date]],19),IF(Main[[#This Row],[Class]]="A",WORKDAY(Main[[#This Row],[Tech Start Date]],9),""))))</f>
        <v/>
      </c>
      <c r="Q760" s="101">
        <v>40359</v>
      </c>
      <c r="R760" s="101">
        <v>40420</v>
      </c>
      <c r="S760" s="99" t="s">
        <v>6</v>
      </c>
      <c r="T760" s="107" t="s">
        <v>4</v>
      </c>
      <c r="U760" s="99" t="s">
        <v>29</v>
      </c>
      <c r="V760" s="99" t="s">
        <v>1962</v>
      </c>
      <c r="W760" s="99" t="s">
        <v>1966</v>
      </c>
    </row>
    <row r="761" spans="1:23" ht="18.600000000000001" customHeight="1">
      <c r="A761" s="123" t="str">
        <f>IF(priority(Main[[#This Row],[Comments]])&lt;&gt;0, priority(Main[[#This Row],[Comments]]),"")</f>
        <v/>
      </c>
      <c r="B761" s="127" t="s">
        <v>1618</v>
      </c>
      <c r="C761" s="99" t="s">
        <v>47</v>
      </c>
      <c r="D761" s="100" t="s">
        <v>668</v>
      </c>
      <c r="E761" s="101"/>
      <c r="F761" s="101"/>
      <c r="G761" s="102" t="str">
        <f>IF(stdProdLT(Main[[#This Row],[Comments]])=0.1,"N/A",IF(stdProdLT(Main[[#This Row],[Comments]])=0,"",stdProdLT(Main[[#This Row],[Comments]])))</f>
        <v/>
      </c>
      <c r="H761" s="103" t="str">
        <f>IF(AND(Main[[#This Row],[In Stock Date]]&lt;&gt;"",Main[[#This Row],[Revised Due Date]]&lt;&gt;""),Main[[#This Row],[In Stock Date]]-Main[[#This Row],[Revised Due Date]],"")</f>
        <v/>
      </c>
      <c r="I761" s="99" t="s">
        <v>4</v>
      </c>
      <c r="J761" s="99" t="s">
        <v>4</v>
      </c>
      <c r="K761" s="108" t="s">
        <v>4</v>
      </c>
      <c r="L761" s="101"/>
      <c r="M761" s="104" t="str">
        <f>IF(Main[[#This Row],[Tech Start Date]]&lt;1/1/1990,"",IF(Main[[#This Row],[Class]]="C",WORKDAY(Main[[#This Row],[Tech Start Date]],9),IF(Main[[#This Row],[Class]]="B", WORKDAY(Main[[#This Row],[Tech Start Date]],6),IF(Main[[#This Row],[Class]]="A",WORKDAY(Main[[#This Row],[Tech Start Date]],2),""))))</f>
        <v/>
      </c>
      <c r="N761" s="104" t="str">
        <f>IF(Main[[#This Row],[Tech Start Date]]&lt;1/1/1990,"",IF(Main[[#This Row],[Class]]="C",WORKDAY(Main[[#This Row],[Tech Start Date]],19),IF(Main[[#This Row],[Class]]="B", WORKDAY(Main[[#This Row],[Tech Start Date]],12),IF(Main[[#This Row],[Class]]="A",WORKDAY(Main[[#This Row],[Tech Start Date]],4),""))))</f>
        <v/>
      </c>
      <c r="O761" s="104" t="str">
        <f>IF(Main[[#This Row],[Tech Start Date]]&lt;1/1/1990,"",IF(Main[[#This Row],[Class]]="C",WORKDAY(Main[[#This Row],[Tech Start Date]],23),IF(Main[[#This Row],[Class]]="B", WORKDAY(Main[[#This Row],[Tech Start Date]],15),IF(Main[[#This Row],[Class]]="A",WORKDAY(Main[[#This Row],[Tech Start Date]],5),""))))</f>
        <v/>
      </c>
      <c r="P761" s="104" t="str">
        <f>IF(Main[[#This Row],[Tech Start Date]]&lt;1/1/1990,"",IF(Main[[#This Row],[Class]]="C",WORKDAY(Main[[#This Row],[Tech Start Date]],28),IF(Main[[#This Row],[Class]]="B", WORKDAY(Main[[#This Row],[Tech Start Date]],19),IF(Main[[#This Row],[Class]]="A",WORKDAY(Main[[#This Row],[Tech Start Date]],9),""))))</f>
        <v/>
      </c>
      <c r="Q761" s="101"/>
      <c r="R761" s="101"/>
      <c r="S761" s="99" t="s">
        <v>17</v>
      </c>
      <c r="T761" s="107" t="s">
        <v>4</v>
      </c>
      <c r="U761" s="99" t="s">
        <v>14</v>
      </c>
      <c r="V761" s="99" t="s">
        <v>1965</v>
      </c>
      <c r="W761" s="99" t="s">
        <v>4</v>
      </c>
    </row>
    <row r="762" spans="1:23" ht="18.600000000000001" customHeight="1">
      <c r="A762" s="123" t="str">
        <f>IF(priority(Main[[#This Row],[Comments]])&lt;&gt;0, priority(Main[[#This Row],[Comments]]),"")</f>
        <v/>
      </c>
      <c r="B762" s="127" t="s">
        <v>1619</v>
      </c>
      <c r="C762" s="99" t="s">
        <v>282</v>
      </c>
      <c r="D762" s="100" t="s">
        <v>669</v>
      </c>
      <c r="E762" s="101"/>
      <c r="F762" s="101">
        <v>40567</v>
      </c>
      <c r="G762" s="102" t="str">
        <f>IF(stdProdLT(Main[[#This Row],[Comments]])=0.1,"N/A",IF(stdProdLT(Main[[#This Row],[Comments]])=0,"",stdProdLT(Main[[#This Row],[Comments]])))</f>
        <v/>
      </c>
      <c r="H762" s="103" t="str">
        <f>IF(AND(Main[[#This Row],[In Stock Date]]&lt;&gt;"",Main[[#This Row],[Revised Due Date]]&lt;&gt;""),Main[[#This Row],[In Stock Date]]-Main[[#This Row],[Revised Due Date]],"")</f>
        <v/>
      </c>
      <c r="I762" s="99" t="s">
        <v>4</v>
      </c>
      <c r="J762" s="99" t="s">
        <v>4</v>
      </c>
      <c r="K762" s="99" t="s">
        <v>4</v>
      </c>
      <c r="L762" s="101"/>
      <c r="M762" s="104" t="str">
        <f>IF(Main[[#This Row],[Tech Start Date]]&lt;1/1/1990,"",IF(Main[[#This Row],[Class]]="C",WORKDAY(Main[[#This Row],[Tech Start Date]],9),IF(Main[[#This Row],[Class]]="B", WORKDAY(Main[[#This Row],[Tech Start Date]],6),IF(Main[[#This Row],[Class]]="A",WORKDAY(Main[[#This Row],[Tech Start Date]],2),""))))</f>
        <v/>
      </c>
      <c r="N762" s="104" t="str">
        <f>IF(Main[[#This Row],[Tech Start Date]]&lt;1/1/1990,"",IF(Main[[#This Row],[Class]]="C",WORKDAY(Main[[#This Row],[Tech Start Date]],19),IF(Main[[#This Row],[Class]]="B", WORKDAY(Main[[#This Row],[Tech Start Date]],12),IF(Main[[#This Row],[Class]]="A",WORKDAY(Main[[#This Row],[Tech Start Date]],4),""))))</f>
        <v/>
      </c>
      <c r="O762" s="104" t="str">
        <f>IF(Main[[#This Row],[Tech Start Date]]&lt;1/1/1990,"",IF(Main[[#This Row],[Class]]="C",WORKDAY(Main[[#This Row],[Tech Start Date]],23),IF(Main[[#This Row],[Class]]="B", WORKDAY(Main[[#This Row],[Tech Start Date]],15),IF(Main[[#This Row],[Class]]="A",WORKDAY(Main[[#This Row],[Tech Start Date]],5),""))))</f>
        <v/>
      </c>
      <c r="P762" s="104" t="str">
        <f>IF(Main[[#This Row],[Tech Start Date]]&lt;1/1/1990,"",IF(Main[[#This Row],[Class]]="C",WORKDAY(Main[[#This Row],[Tech Start Date]],28),IF(Main[[#This Row],[Class]]="B", WORKDAY(Main[[#This Row],[Tech Start Date]],19),IF(Main[[#This Row],[Class]]="A",WORKDAY(Main[[#This Row],[Tech Start Date]],9),""))))</f>
        <v/>
      </c>
      <c r="Q762" s="101">
        <v>40427</v>
      </c>
      <c r="R762" s="101"/>
      <c r="S762" s="99" t="s">
        <v>11</v>
      </c>
      <c r="T762" s="107" t="s">
        <v>4</v>
      </c>
      <c r="U762" s="99" t="s">
        <v>12</v>
      </c>
      <c r="V762" s="99" t="s">
        <v>1962</v>
      </c>
      <c r="W762" s="99" t="s">
        <v>1970</v>
      </c>
    </row>
    <row r="763" spans="1:23" ht="18.600000000000001" customHeight="1">
      <c r="A763" s="123" t="str">
        <f>IF(priority(Main[[#This Row],[Comments]])&lt;&gt;0, priority(Main[[#This Row],[Comments]]),"")</f>
        <v/>
      </c>
      <c r="B763" s="127" t="s">
        <v>1622</v>
      </c>
      <c r="C763" s="99" t="s">
        <v>72</v>
      </c>
      <c r="D763" s="100" t="s">
        <v>671</v>
      </c>
      <c r="E763" s="101"/>
      <c r="F763" s="101"/>
      <c r="G763" s="102" t="str">
        <f>IF(stdProdLT(Main[[#This Row],[Comments]])=0.1,"N/A",IF(stdProdLT(Main[[#This Row],[Comments]])=0,"",stdProdLT(Main[[#This Row],[Comments]])))</f>
        <v/>
      </c>
      <c r="H763" s="103" t="str">
        <f>IF(AND(Main[[#This Row],[In Stock Date]]&lt;&gt;"",Main[[#This Row],[Revised Due Date]]&lt;&gt;""),Main[[#This Row],[In Stock Date]]-Main[[#This Row],[Revised Due Date]],"")</f>
        <v/>
      </c>
      <c r="I763" s="99" t="s">
        <v>4</v>
      </c>
      <c r="J763" s="99" t="s">
        <v>4</v>
      </c>
      <c r="K763" s="99" t="s">
        <v>4</v>
      </c>
      <c r="L763" s="101"/>
      <c r="M763" s="104" t="str">
        <f>IF(Main[[#This Row],[Tech Start Date]]&lt;1/1/1990,"",IF(Main[[#This Row],[Class]]="C",WORKDAY(Main[[#This Row],[Tech Start Date]],9),IF(Main[[#This Row],[Class]]="B", WORKDAY(Main[[#This Row],[Tech Start Date]],6),IF(Main[[#This Row],[Class]]="A",WORKDAY(Main[[#This Row],[Tech Start Date]],2),""))))</f>
        <v/>
      </c>
      <c r="N763" s="104" t="str">
        <f>IF(Main[[#This Row],[Tech Start Date]]&lt;1/1/1990,"",IF(Main[[#This Row],[Class]]="C",WORKDAY(Main[[#This Row],[Tech Start Date]],19),IF(Main[[#This Row],[Class]]="B", WORKDAY(Main[[#This Row],[Tech Start Date]],12),IF(Main[[#This Row],[Class]]="A",WORKDAY(Main[[#This Row],[Tech Start Date]],4),""))))</f>
        <v/>
      </c>
      <c r="O763" s="104" t="str">
        <f>IF(Main[[#This Row],[Tech Start Date]]&lt;1/1/1990,"",IF(Main[[#This Row],[Class]]="C",WORKDAY(Main[[#This Row],[Tech Start Date]],23),IF(Main[[#This Row],[Class]]="B", WORKDAY(Main[[#This Row],[Tech Start Date]],15),IF(Main[[#This Row],[Class]]="A",WORKDAY(Main[[#This Row],[Tech Start Date]],5),""))))</f>
        <v/>
      </c>
      <c r="P763" s="104" t="str">
        <f>IF(Main[[#This Row],[Tech Start Date]]&lt;1/1/1990,"",IF(Main[[#This Row],[Class]]="C",WORKDAY(Main[[#This Row],[Tech Start Date]],28),IF(Main[[#This Row],[Class]]="B", WORKDAY(Main[[#This Row],[Tech Start Date]],19),IF(Main[[#This Row],[Class]]="A",WORKDAY(Main[[#This Row],[Tech Start Date]],9),""))))</f>
        <v/>
      </c>
      <c r="Q763" s="101"/>
      <c r="R763" s="101"/>
      <c r="S763" s="99" t="s">
        <v>49</v>
      </c>
      <c r="T763" s="107" t="s">
        <v>4</v>
      </c>
      <c r="U763" s="99" t="s">
        <v>12</v>
      </c>
      <c r="V763" s="99" t="s">
        <v>1963</v>
      </c>
      <c r="W763" s="99" t="s">
        <v>1964</v>
      </c>
    </row>
    <row r="764" spans="1:23" ht="18.600000000000001" customHeight="1">
      <c r="A764" s="123" t="str">
        <f>IF(priority(Main[[#This Row],[Comments]])&lt;&gt;0, priority(Main[[#This Row],[Comments]]),"")</f>
        <v/>
      </c>
      <c r="B764" s="127" t="s">
        <v>1623</v>
      </c>
      <c r="C764" s="99" t="s">
        <v>33</v>
      </c>
      <c r="D764" s="100" t="s">
        <v>672</v>
      </c>
      <c r="E764" s="101"/>
      <c r="F764" s="101">
        <v>40566</v>
      </c>
      <c r="G764" s="102" t="str">
        <f>IF(stdProdLT(Main[[#This Row],[Comments]])=0.1,"N/A",IF(stdProdLT(Main[[#This Row],[Comments]])=0,"",stdProdLT(Main[[#This Row],[Comments]])))</f>
        <v/>
      </c>
      <c r="H764" s="103" t="str">
        <f>IF(AND(Main[[#This Row],[In Stock Date]]&lt;&gt;"",Main[[#This Row],[Revised Due Date]]&lt;&gt;""),Main[[#This Row],[In Stock Date]]-Main[[#This Row],[Revised Due Date]],"")</f>
        <v/>
      </c>
      <c r="I764" s="99" t="s">
        <v>4</v>
      </c>
      <c r="J764" s="99" t="s">
        <v>4</v>
      </c>
      <c r="K764" s="99" t="s">
        <v>4</v>
      </c>
      <c r="L764" s="101"/>
      <c r="M764" s="104" t="str">
        <f>IF(Main[[#This Row],[Tech Start Date]]&lt;1/1/1990,"",IF(Main[[#This Row],[Class]]="C",WORKDAY(Main[[#This Row],[Tech Start Date]],9),IF(Main[[#This Row],[Class]]="B", WORKDAY(Main[[#This Row],[Tech Start Date]],6),IF(Main[[#This Row],[Class]]="A",WORKDAY(Main[[#This Row],[Tech Start Date]],2),""))))</f>
        <v/>
      </c>
      <c r="N764" s="104" t="str">
        <f>IF(Main[[#This Row],[Tech Start Date]]&lt;1/1/1990,"",IF(Main[[#This Row],[Class]]="C",WORKDAY(Main[[#This Row],[Tech Start Date]],19),IF(Main[[#This Row],[Class]]="B", WORKDAY(Main[[#This Row],[Tech Start Date]],12),IF(Main[[#This Row],[Class]]="A",WORKDAY(Main[[#This Row],[Tech Start Date]],4),""))))</f>
        <v/>
      </c>
      <c r="O764" s="104" t="str">
        <f>IF(Main[[#This Row],[Tech Start Date]]&lt;1/1/1990,"",IF(Main[[#This Row],[Class]]="C",WORKDAY(Main[[#This Row],[Tech Start Date]],23),IF(Main[[#This Row],[Class]]="B", WORKDAY(Main[[#This Row],[Tech Start Date]],15),IF(Main[[#This Row],[Class]]="A",WORKDAY(Main[[#This Row],[Tech Start Date]],5),""))))</f>
        <v/>
      </c>
      <c r="P764" s="104" t="str">
        <f>IF(Main[[#This Row],[Tech Start Date]]&lt;1/1/1990,"",IF(Main[[#This Row],[Class]]="C",WORKDAY(Main[[#This Row],[Tech Start Date]],28),IF(Main[[#This Row],[Class]]="B", WORKDAY(Main[[#This Row],[Tech Start Date]],19),IF(Main[[#This Row],[Class]]="A",WORKDAY(Main[[#This Row],[Tech Start Date]],9),""))))</f>
        <v/>
      </c>
      <c r="Q764" s="101">
        <v>40532</v>
      </c>
      <c r="R764" s="101"/>
      <c r="S764" s="99" t="s">
        <v>11</v>
      </c>
      <c r="T764" s="107" t="s">
        <v>4</v>
      </c>
      <c r="U764" s="99" t="s">
        <v>12</v>
      </c>
      <c r="V764" s="99" t="s">
        <v>1963</v>
      </c>
      <c r="W764" s="99" t="s">
        <v>1970</v>
      </c>
    </row>
    <row r="765" spans="1:23" ht="18.600000000000001" customHeight="1">
      <c r="A765" s="123" t="str">
        <f>IF(priority(Main[[#This Row],[Comments]])&lt;&gt;0, priority(Main[[#This Row],[Comments]]),"")</f>
        <v/>
      </c>
      <c r="B765" s="127" t="s">
        <v>1624</v>
      </c>
      <c r="C765" s="99" t="s">
        <v>352</v>
      </c>
      <c r="D765" s="100" t="s">
        <v>673</v>
      </c>
      <c r="E765" s="101"/>
      <c r="F765" s="101"/>
      <c r="G765" s="102" t="str">
        <f>IF(stdProdLT(Main[[#This Row],[Comments]])=0.1,"N/A",IF(stdProdLT(Main[[#This Row],[Comments]])=0,"",stdProdLT(Main[[#This Row],[Comments]])))</f>
        <v/>
      </c>
      <c r="H765" s="103" t="str">
        <f>IF(AND(Main[[#This Row],[In Stock Date]]&lt;&gt;"",Main[[#This Row],[Revised Due Date]]&lt;&gt;""),Main[[#This Row],[In Stock Date]]-Main[[#This Row],[Revised Due Date]],"")</f>
        <v/>
      </c>
      <c r="I765" s="99" t="s">
        <v>4</v>
      </c>
      <c r="J765" s="99" t="s">
        <v>4</v>
      </c>
      <c r="K765" s="108" t="s">
        <v>4</v>
      </c>
      <c r="L765" s="101"/>
      <c r="M765" s="104" t="str">
        <f>IF(Main[[#This Row],[Tech Start Date]]&lt;1/1/1990,"",IF(Main[[#This Row],[Class]]="C",WORKDAY(Main[[#This Row],[Tech Start Date]],9),IF(Main[[#This Row],[Class]]="B", WORKDAY(Main[[#This Row],[Tech Start Date]],6),IF(Main[[#This Row],[Class]]="A",WORKDAY(Main[[#This Row],[Tech Start Date]],2),""))))</f>
        <v/>
      </c>
      <c r="N765" s="104" t="str">
        <f>IF(Main[[#This Row],[Tech Start Date]]&lt;1/1/1990,"",IF(Main[[#This Row],[Class]]="C",WORKDAY(Main[[#This Row],[Tech Start Date]],19),IF(Main[[#This Row],[Class]]="B", WORKDAY(Main[[#This Row],[Tech Start Date]],12),IF(Main[[#This Row],[Class]]="A",WORKDAY(Main[[#This Row],[Tech Start Date]],4),""))))</f>
        <v/>
      </c>
      <c r="O765" s="104" t="str">
        <f>IF(Main[[#This Row],[Tech Start Date]]&lt;1/1/1990,"",IF(Main[[#This Row],[Class]]="C",WORKDAY(Main[[#This Row],[Tech Start Date]],23),IF(Main[[#This Row],[Class]]="B", WORKDAY(Main[[#This Row],[Tech Start Date]],15),IF(Main[[#This Row],[Class]]="A",WORKDAY(Main[[#This Row],[Tech Start Date]],5),""))))</f>
        <v/>
      </c>
      <c r="P765" s="104" t="str">
        <f>IF(Main[[#This Row],[Tech Start Date]]&lt;1/1/1990,"",IF(Main[[#This Row],[Class]]="C",WORKDAY(Main[[#This Row],[Tech Start Date]],28),IF(Main[[#This Row],[Class]]="B", WORKDAY(Main[[#This Row],[Tech Start Date]],19),IF(Main[[#This Row],[Class]]="A",WORKDAY(Main[[#This Row],[Tech Start Date]],9),""))))</f>
        <v/>
      </c>
      <c r="Q765" s="101">
        <v>40494</v>
      </c>
      <c r="R765" s="101"/>
      <c r="S765" s="99" t="s">
        <v>11</v>
      </c>
      <c r="T765" s="107" t="s">
        <v>4</v>
      </c>
      <c r="U765" s="99" t="s">
        <v>14</v>
      </c>
      <c r="V765" s="99" t="s">
        <v>1972</v>
      </c>
      <c r="W765" s="99" t="s">
        <v>4</v>
      </c>
    </row>
    <row r="766" spans="1:23" ht="18.600000000000001" customHeight="1">
      <c r="A766" s="123" t="str">
        <f>IF(priority(Main[[#This Row],[Comments]])&lt;&gt;0, priority(Main[[#This Row],[Comments]]),"")</f>
        <v/>
      </c>
      <c r="B766" s="127" t="s">
        <v>1625</v>
      </c>
      <c r="C766" s="99" t="s">
        <v>4</v>
      </c>
      <c r="D766" s="100" t="s">
        <v>674</v>
      </c>
      <c r="E766" s="101">
        <v>40462.471782407411</v>
      </c>
      <c r="F766" s="101"/>
      <c r="G766" s="102" t="str">
        <f>IF(stdProdLT(Main[[#This Row],[Comments]])=0.1,"N/A",IF(stdProdLT(Main[[#This Row],[Comments]])=0,"",stdProdLT(Main[[#This Row],[Comments]])))</f>
        <v/>
      </c>
      <c r="H766" s="103" t="str">
        <f>IF(AND(Main[[#This Row],[In Stock Date]]&lt;&gt;"",Main[[#This Row],[Revised Due Date]]&lt;&gt;""),Main[[#This Row],[In Stock Date]]-Main[[#This Row],[Revised Due Date]],"")</f>
        <v/>
      </c>
      <c r="I766" s="99" t="s">
        <v>4</v>
      </c>
      <c r="J766" s="99" t="s">
        <v>4</v>
      </c>
      <c r="K766" s="99" t="s">
        <v>4</v>
      </c>
      <c r="L766" s="101"/>
      <c r="M766" s="104" t="str">
        <f>IF(Main[[#This Row],[Tech Start Date]]&lt;1/1/1990,"",IF(Main[[#This Row],[Class]]="C",WORKDAY(Main[[#This Row],[Tech Start Date]],9),IF(Main[[#This Row],[Class]]="B", WORKDAY(Main[[#This Row],[Tech Start Date]],6),IF(Main[[#This Row],[Class]]="A",WORKDAY(Main[[#This Row],[Tech Start Date]],2),""))))</f>
        <v/>
      </c>
      <c r="N766" s="104" t="str">
        <f>IF(Main[[#This Row],[Tech Start Date]]&lt;1/1/1990,"",IF(Main[[#This Row],[Class]]="C",WORKDAY(Main[[#This Row],[Tech Start Date]],19),IF(Main[[#This Row],[Class]]="B", WORKDAY(Main[[#This Row],[Tech Start Date]],12),IF(Main[[#This Row],[Class]]="A",WORKDAY(Main[[#This Row],[Tech Start Date]],4),""))))</f>
        <v/>
      </c>
      <c r="O766" s="104" t="str">
        <f>IF(Main[[#This Row],[Tech Start Date]]&lt;1/1/1990,"",IF(Main[[#This Row],[Class]]="C",WORKDAY(Main[[#This Row],[Tech Start Date]],23),IF(Main[[#This Row],[Class]]="B", WORKDAY(Main[[#This Row],[Tech Start Date]],15),IF(Main[[#This Row],[Class]]="A",WORKDAY(Main[[#This Row],[Tech Start Date]],5),""))))</f>
        <v/>
      </c>
      <c r="P766" s="104" t="str">
        <f>IF(Main[[#This Row],[Tech Start Date]]&lt;1/1/1990,"",IF(Main[[#This Row],[Class]]="C",WORKDAY(Main[[#This Row],[Tech Start Date]],28),IF(Main[[#This Row],[Class]]="B", WORKDAY(Main[[#This Row],[Tech Start Date]],19),IF(Main[[#This Row],[Class]]="A",WORKDAY(Main[[#This Row],[Tech Start Date]],9),""))))</f>
        <v/>
      </c>
      <c r="Q766" s="101"/>
      <c r="R766" s="101"/>
      <c r="S766" s="99" t="s">
        <v>6</v>
      </c>
      <c r="T766" s="107" t="s">
        <v>4</v>
      </c>
      <c r="U766" s="99" t="s">
        <v>7</v>
      </c>
      <c r="V766" s="99" t="s">
        <v>1962</v>
      </c>
      <c r="W766" s="99" t="s">
        <v>1966</v>
      </c>
    </row>
    <row r="767" spans="1:23" ht="18.600000000000001" customHeight="1">
      <c r="A767" s="123" t="str">
        <f>IF(priority(Main[[#This Row],[Comments]])&lt;&gt;0, priority(Main[[#This Row],[Comments]]),"")</f>
        <v/>
      </c>
      <c r="B767" s="127" t="s">
        <v>1626</v>
      </c>
      <c r="C767" s="99" t="s">
        <v>4</v>
      </c>
      <c r="D767" s="100" t="s">
        <v>39</v>
      </c>
      <c r="E767" s="101"/>
      <c r="F767" s="101"/>
      <c r="G767" s="102" t="str">
        <f>IF(stdProdLT(Main[[#This Row],[Comments]])=0.1,"N/A",IF(stdProdLT(Main[[#This Row],[Comments]])=0,"",stdProdLT(Main[[#This Row],[Comments]])))</f>
        <v/>
      </c>
      <c r="H767" s="103" t="str">
        <f>IF(AND(Main[[#This Row],[In Stock Date]]&lt;&gt;"",Main[[#This Row],[Revised Due Date]]&lt;&gt;""),Main[[#This Row],[In Stock Date]]-Main[[#This Row],[Revised Due Date]],"")</f>
        <v/>
      </c>
      <c r="I767" s="99" t="s">
        <v>4</v>
      </c>
      <c r="J767" s="99" t="s">
        <v>4</v>
      </c>
      <c r="K767" s="99" t="s">
        <v>4</v>
      </c>
      <c r="L767" s="101"/>
      <c r="M767" s="104" t="str">
        <f>IF(Main[[#This Row],[Tech Start Date]]&lt;1/1/1990,"",IF(Main[[#This Row],[Class]]="C",WORKDAY(Main[[#This Row],[Tech Start Date]],9),IF(Main[[#This Row],[Class]]="B", WORKDAY(Main[[#This Row],[Tech Start Date]],6),IF(Main[[#This Row],[Class]]="A",WORKDAY(Main[[#This Row],[Tech Start Date]],2),""))))</f>
        <v/>
      </c>
      <c r="N767" s="104" t="str">
        <f>IF(Main[[#This Row],[Tech Start Date]]&lt;1/1/1990,"",IF(Main[[#This Row],[Class]]="C",WORKDAY(Main[[#This Row],[Tech Start Date]],19),IF(Main[[#This Row],[Class]]="B", WORKDAY(Main[[#This Row],[Tech Start Date]],12),IF(Main[[#This Row],[Class]]="A",WORKDAY(Main[[#This Row],[Tech Start Date]],4),""))))</f>
        <v/>
      </c>
      <c r="O767" s="104" t="str">
        <f>IF(Main[[#This Row],[Tech Start Date]]&lt;1/1/1990,"",IF(Main[[#This Row],[Class]]="C",WORKDAY(Main[[#This Row],[Tech Start Date]],23),IF(Main[[#This Row],[Class]]="B", WORKDAY(Main[[#This Row],[Tech Start Date]],15),IF(Main[[#This Row],[Class]]="A",WORKDAY(Main[[#This Row],[Tech Start Date]],5),""))))</f>
        <v/>
      </c>
      <c r="P767" s="104" t="str">
        <f>IF(Main[[#This Row],[Tech Start Date]]&lt;1/1/1990,"",IF(Main[[#This Row],[Class]]="C",WORKDAY(Main[[#This Row],[Tech Start Date]],28),IF(Main[[#This Row],[Class]]="B", WORKDAY(Main[[#This Row],[Tech Start Date]],19),IF(Main[[#This Row],[Class]]="A",WORKDAY(Main[[#This Row],[Tech Start Date]],9),""))))</f>
        <v/>
      </c>
      <c r="Q767" s="101">
        <v>40669</v>
      </c>
      <c r="R767" s="101"/>
      <c r="S767" s="99" t="s">
        <v>6</v>
      </c>
      <c r="T767" s="107" t="s">
        <v>4</v>
      </c>
      <c r="U767" s="99" t="s">
        <v>14</v>
      </c>
      <c r="V767" s="99" t="s">
        <v>1965</v>
      </c>
      <c r="W767" s="99" t="s">
        <v>4</v>
      </c>
    </row>
    <row r="768" spans="1:23" ht="18.600000000000001" customHeight="1">
      <c r="A768" s="123" t="str">
        <f>IF(priority(Main[[#This Row],[Comments]])&lt;&gt;0, priority(Main[[#This Row],[Comments]]),"")</f>
        <v/>
      </c>
      <c r="B768" s="127" t="s">
        <v>1879</v>
      </c>
      <c r="C768" s="99" t="s">
        <v>4</v>
      </c>
      <c r="D768" s="100" t="s">
        <v>1997</v>
      </c>
      <c r="E768" s="101"/>
      <c r="F768" s="101">
        <v>40445</v>
      </c>
      <c r="G768" s="102" t="str">
        <f>IF(stdProdLT(Main[[#This Row],[Comments]])=0.1,"N/A",IF(stdProdLT(Main[[#This Row],[Comments]])=0,"",stdProdLT(Main[[#This Row],[Comments]])))</f>
        <v/>
      </c>
      <c r="H768" s="103">
        <f>IF(AND(Main[[#This Row],[In Stock Date]]&lt;&gt;"",Main[[#This Row],[Revised Due Date]]&lt;&gt;""),Main[[#This Row],[In Stock Date]]-Main[[#This Row],[Revised Due Date]],"")</f>
        <v>0</v>
      </c>
      <c r="I768" s="99" t="s">
        <v>4</v>
      </c>
      <c r="J768" s="99" t="s">
        <v>28</v>
      </c>
      <c r="K768" s="108" t="s">
        <v>1975</v>
      </c>
      <c r="L768" s="101"/>
      <c r="M768" s="104" t="str">
        <f>IF(Main[[#This Row],[Tech Start Date]]&lt;1/1/1990,"",IF(Main[[#This Row],[Class]]="C",WORKDAY(Main[[#This Row],[Tech Start Date]],9),IF(Main[[#This Row],[Class]]="B", WORKDAY(Main[[#This Row],[Tech Start Date]],6),IF(Main[[#This Row],[Class]]="A",WORKDAY(Main[[#This Row],[Tech Start Date]],2),""))))</f>
        <v/>
      </c>
      <c r="N768" s="104" t="str">
        <f>IF(Main[[#This Row],[Tech Start Date]]&lt;1/1/1990,"",IF(Main[[#This Row],[Class]]="C",WORKDAY(Main[[#This Row],[Tech Start Date]],19),IF(Main[[#This Row],[Class]]="B", WORKDAY(Main[[#This Row],[Tech Start Date]],12),IF(Main[[#This Row],[Class]]="A",WORKDAY(Main[[#This Row],[Tech Start Date]],4),""))))</f>
        <v/>
      </c>
      <c r="O768" s="104" t="str">
        <f>IF(Main[[#This Row],[Tech Start Date]]&lt;1/1/1990,"",IF(Main[[#This Row],[Class]]="C",WORKDAY(Main[[#This Row],[Tech Start Date]],23),IF(Main[[#This Row],[Class]]="B", WORKDAY(Main[[#This Row],[Tech Start Date]],15),IF(Main[[#This Row],[Class]]="A",WORKDAY(Main[[#This Row],[Tech Start Date]],5),""))))</f>
        <v/>
      </c>
      <c r="P768" s="104" t="str">
        <f>IF(Main[[#This Row],[Tech Start Date]]&lt;1/1/1990,"",IF(Main[[#This Row],[Class]]="C",WORKDAY(Main[[#This Row],[Tech Start Date]],28),IF(Main[[#This Row],[Class]]="B", WORKDAY(Main[[#This Row],[Tech Start Date]],19),IF(Main[[#This Row],[Class]]="A",WORKDAY(Main[[#This Row],[Tech Start Date]],9),""))))</f>
        <v/>
      </c>
      <c r="Q768" s="101">
        <v>40445</v>
      </c>
      <c r="R768" s="101">
        <v>40445</v>
      </c>
      <c r="S768" s="99" t="s">
        <v>11</v>
      </c>
      <c r="T768" s="107" t="s">
        <v>4</v>
      </c>
      <c r="U768" s="99" t="s">
        <v>14</v>
      </c>
      <c r="V768" s="99" t="s">
        <v>1963</v>
      </c>
      <c r="W768" s="99" t="s">
        <v>1967</v>
      </c>
    </row>
    <row r="769" spans="1:23" ht="18.600000000000001" customHeight="1">
      <c r="A769" s="123" t="str">
        <f>IF(priority(Main[[#This Row],[Comments]])&lt;&gt;0, priority(Main[[#This Row],[Comments]]),"")</f>
        <v/>
      </c>
      <c r="B769" s="127" t="s">
        <v>1627</v>
      </c>
      <c r="C769" s="99" t="s">
        <v>4</v>
      </c>
      <c r="D769" s="100" t="s">
        <v>675</v>
      </c>
      <c r="E769" s="101"/>
      <c r="F769" s="101"/>
      <c r="G769" s="102" t="str">
        <f>IF(stdProdLT(Main[[#This Row],[Comments]])=0.1,"N/A",IF(stdProdLT(Main[[#This Row],[Comments]])=0,"",stdProdLT(Main[[#This Row],[Comments]])))</f>
        <v/>
      </c>
      <c r="H769" s="103" t="str">
        <f>IF(AND(Main[[#This Row],[In Stock Date]]&lt;&gt;"",Main[[#This Row],[Revised Due Date]]&lt;&gt;""),Main[[#This Row],[In Stock Date]]-Main[[#This Row],[Revised Due Date]],"")</f>
        <v/>
      </c>
      <c r="I769" s="99" t="s">
        <v>4</v>
      </c>
      <c r="J769" s="99" t="s">
        <v>4</v>
      </c>
      <c r="K769" s="99" t="s">
        <v>4</v>
      </c>
      <c r="L769" s="101"/>
      <c r="M769" s="104" t="str">
        <f>IF(Main[[#This Row],[Tech Start Date]]&lt;1/1/1990,"",IF(Main[[#This Row],[Class]]="C",WORKDAY(Main[[#This Row],[Tech Start Date]],9),IF(Main[[#This Row],[Class]]="B", WORKDAY(Main[[#This Row],[Tech Start Date]],6),IF(Main[[#This Row],[Class]]="A",WORKDAY(Main[[#This Row],[Tech Start Date]],2),""))))</f>
        <v/>
      </c>
      <c r="N769" s="104" t="str">
        <f>IF(Main[[#This Row],[Tech Start Date]]&lt;1/1/1990,"",IF(Main[[#This Row],[Class]]="C",WORKDAY(Main[[#This Row],[Tech Start Date]],19),IF(Main[[#This Row],[Class]]="B", WORKDAY(Main[[#This Row],[Tech Start Date]],12),IF(Main[[#This Row],[Class]]="A",WORKDAY(Main[[#This Row],[Tech Start Date]],4),""))))</f>
        <v/>
      </c>
      <c r="O769" s="104" t="str">
        <f>IF(Main[[#This Row],[Tech Start Date]]&lt;1/1/1990,"",IF(Main[[#This Row],[Class]]="C",WORKDAY(Main[[#This Row],[Tech Start Date]],23),IF(Main[[#This Row],[Class]]="B", WORKDAY(Main[[#This Row],[Tech Start Date]],15),IF(Main[[#This Row],[Class]]="A",WORKDAY(Main[[#This Row],[Tech Start Date]],5),""))))</f>
        <v/>
      </c>
      <c r="P769" s="104" t="str">
        <f>IF(Main[[#This Row],[Tech Start Date]]&lt;1/1/1990,"",IF(Main[[#This Row],[Class]]="C",WORKDAY(Main[[#This Row],[Tech Start Date]],28),IF(Main[[#This Row],[Class]]="B", WORKDAY(Main[[#This Row],[Tech Start Date]],19),IF(Main[[#This Row],[Class]]="A",WORKDAY(Main[[#This Row],[Tech Start Date]],9),""))))</f>
        <v/>
      </c>
      <c r="Q769" s="101"/>
      <c r="R769" s="101"/>
      <c r="S769" s="99" t="s">
        <v>6</v>
      </c>
      <c r="T769" s="107" t="s">
        <v>4</v>
      </c>
      <c r="U769" s="99" t="s">
        <v>14</v>
      </c>
      <c r="V769" s="99" t="s">
        <v>1962</v>
      </c>
      <c r="W769" s="99" t="s">
        <v>1966</v>
      </c>
    </row>
    <row r="770" spans="1:23" ht="18.600000000000001" customHeight="1">
      <c r="A770" s="123" t="str">
        <f>IF(priority(Main[[#This Row],[Comments]])&lt;&gt;0, priority(Main[[#This Row],[Comments]]),"")</f>
        <v/>
      </c>
      <c r="B770" s="127" t="s">
        <v>1628</v>
      </c>
      <c r="C770" s="99" t="s">
        <v>4</v>
      </c>
      <c r="D770" s="100" t="s">
        <v>97</v>
      </c>
      <c r="E770" s="101"/>
      <c r="F770" s="101"/>
      <c r="G770" s="102" t="str">
        <f>IF(stdProdLT(Main[[#This Row],[Comments]])=0.1,"N/A",IF(stdProdLT(Main[[#This Row],[Comments]])=0,"",stdProdLT(Main[[#This Row],[Comments]])))</f>
        <v/>
      </c>
      <c r="H770" s="103" t="str">
        <f>IF(AND(Main[[#This Row],[In Stock Date]]&lt;&gt;"",Main[[#This Row],[Revised Due Date]]&lt;&gt;""),Main[[#This Row],[In Stock Date]]-Main[[#This Row],[Revised Due Date]],"")</f>
        <v/>
      </c>
      <c r="I770" s="99" t="s">
        <v>4</v>
      </c>
      <c r="J770" s="99" t="s">
        <v>4</v>
      </c>
      <c r="K770" s="99" t="s">
        <v>4</v>
      </c>
      <c r="L770" s="101"/>
      <c r="M770" s="104" t="str">
        <f>IF(Main[[#This Row],[Tech Start Date]]&lt;1/1/1990,"",IF(Main[[#This Row],[Class]]="C",WORKDAY(Main[[#This Row],[Tech Start Date]],9),IF(Main[[#This Row],[Class]]="B", WORKDAY(Main[[#This Row],[Tech Start Date]],6),IF(Main[[#This Row],[Class]]="A",WORKDAY(Main[[#This Row],[Tech Start Date]],2),""))))</f>
        <v/>
      </c>
      <c r="N770" s="104" t="str">
        <f>IF(Main[[#This Row],[Tech Start Date]]&lt;1/1/1990,"",IF(Main[[#This Row],[Class]]="C",WORKDAY(Main[[#This Row],[Tech Start Date]],19),IF(Main[[#This Row],[Class]]="B", WORKDAY(Main[[#This Row],[Tech Start Date]],12),IF(Main[[#This Row],[Class]]="A",WORKDAY(Main[[#This Row],[Tech Start Date]],4),""))))</f>
        <v/>
      </c>
      <c r="O770" s="104" t="str">
        <f>IF(Main[[#This Row],[Tech Start Date]]&lt;1/1/1990,"",IF(Main[[#This Row],[Class]]="C",WORKDAY(Main[[#This Row],[Tech Start Date]],23),IF(Main[[#This Row],[Class]]="B", WORKDAY(Main[[#This Row],[Tech Start Date]],15),IF(Main[[#This Row],[Class]]="A",WORKDAY(Main[[#This Row],[Tech Start Date]],5),""))))</f>
        <v/>
      </c>
      <c r="P770" s="104" t="str">
        <f>IF(Main[[#This Row],[Tech Start Date]]&lt;1/1/1990,"",IF(Main[[#This Row],[Class]]="C",WORKDAY(Main[[#This Row],[Tech Start Date]],28),IF(Main[[#This Row],[Class]]="B", WORKDAY(Main[[#This Row],[Tech Start Date]],19),IF(Main[[#This Row],[Class]]="A",WORKDAY(Main[[#This Row],[Tech Start Date]],9),""))))</f>
        <v/>
      </c>
      <c r="Q770" s="101">
        <v>40858</v>
      </c>
      <c r="R770" s="101"/>
      <c r="S770" s="99" t="s">
        <v>17</v>
      </c>
      <c r="T770" s="107" t="s">
        <v>4</v>
      </c>
      <c r="U770" s="99" t="s">
        <v>14</v>
      </c>
      <c r="V770" s="99" t="s">
        <v>1962</v>
      </c>
      <c r="W770" s="99" t="s">
        <v>1967</v>
      </c>
    </row>
    <row r="771" spans="1:23" ht="18.600000000000001" customHeight="1">
      <c r="A771" s="123" t="str">
        <f>IF(priority(Main[[#This Row],[Comments]])&lt;&gt;0, priority(Main[[#This Row],[Comments]]),"")</f>
        <v/>
      </c>
      <c r="B771" s="127" t="s">
        <v>1631</v>
      </c>
      <c r="C771" s="99" t="s">
        <v>677</v>
      </c>
      <c r="D771" s="100" t="s">
        <v>678</v>
      </c>
      <c r="E771" s="101"/>
      <c r="F771" s="101">
        <v>40633</v>
      </c>
      <c r="G771" s="102" t="str">
        <f>IF(stdProdLT(Main[[#This Row],[Comments]])=0.1,"N/A",IF(stdProdLT(Main[[#This Row],[Comments]])=0,"",stdProdLT(Main[[#This Row],[Comments]])))</f>
        <v/>
      </c>
      <c r="H771" s="103" t="str">
        <f>IF(AND(Main[[#This Row],[In Stock Date]]&lt;&gt;"",Main[[#This Row],[Revised Due Date]]&lt;&gt;""),Main[[#This Row],[In Stock Date]]-Main[[#This Row],[Revised Due Date]],"")</f>
        <v/>
      </c>
      <c r="I771" s="99" t="s">
        <v>4</v>
      </c>
      <c r="J771" s="99" t="s">
        <v>4</v>
      </c>
      <c r="K771" s="99" t="s">
        <v>4</v>
      </c>
      <c r="L771" s="101"/>
      <c r="M771" s="104" t="str">
        <f>IF(Main[[#This Row],[Tech Start Date]]&lt;1/1/1990,"",IF(Main[[#This Row],[Class]]="C",WORKDAY(Main[[#This Row],[Tech Start Date]],9),IF(Main[[#This Row],[Class]]="B", WORKDAY(Main[[#This Row],[Tech Start Date]],6),IF(Main[[#This Row],[Class]]="A",WORKDAY(Main[[#This Row],[Tech Start Date]],2),""))))</f>
        <v/>
      </c>
      <c r="N771" s="104" t="str">
        <f>IF(Main[[#This Row],[Tech Start Date]]&lt;1/1/1990,"",IF(Main[[#This Row],[Class]]="C",WORKDAY(Main[[#This Row],[Tech Start Date]],19),IF(Main[[#This Row],[Class]]="B", WORKDAY(Main[[#This Row],[Tech Start Date]],12),IF(Main[[#This Row],[Class]]="A",WORKDAY(Main[[#This Row],[Tech Start Date]],4),""))))</f>
        <v/>
      </c>
      <c r="O771" s="104" t="str">
        <f>IF(Main[[#This Row],[Tech Start Date]]&lt;1/1/1990,"",IF(Main[[#This Row],[Class]]="C",WORKDAY(Main[[#This Row],[Tech Start Date]],23),IF(Main[[#This Row],[Class]]="B", WORKDAY(Main[[#This Row],[Tech Start Date]],15),IF(Main[[#This Row],[Class]]="A",WORKDAY(Main[[#This Row],[Tech Start Date]],5),""))))</f>
        <v/>
      </c>
      <c r="P771" s="104" t="str">
        <f>IF(Main[[#This Row],[Tech Start Date]]&lt;1/1/1990,"",IF(Main[[#This Row],[Class]]="C",WORKDAY(Main[[#This Row],[Tech Start Date]],28),IF(Main[[#This Row],[Class]]="B", WORKDAY(Main[[#This Row],[Tech Start Date]],19),IF(Main[[#This Row],[Class]]="A",WORKDAY(Main[[#This Row],[Tech Start Date]],9),""))))</f>
        <v/>
      </c>
      <c r="Q771" s="101">
        <v>40574</v>
      </c>
      <c r="R771" s="101"/>
      <c r="S771" s="99" t="s">
        <v>11</v>
      </c>
      <c r="T771" s="107" t="s">
        <v>4</v>
      </c>
      <c r="U771" s="99" t="s">
        <v>14</v>
      </c>
      <c r="V771" s="99" t="s">
        <v>1965</v>
      </c>
      <c r="W771" s="99" t="s">
        <v>1968</v>
      </c>
    </row>
    <row r="772" spans="1:23" ht="18.600000000000001" customHeight="1">
      <c r="A772" s="123" t="str">
        <f>IF(priority(Main[[#This Row],[Comments]])&lt;&gt;0, priority(Main[[#This Row],[Comments]]),"")</f>
        <v/>
      </c>
      <c r="B772" s="127" t="s">
        <v>2252</v>
      </c>
      <c r="C772" s="99" t="s">
        <v>2244</v>
      </c>
      <c r="D772" s="100" t="s">
        <v>2253</v>
      </c>
      <c r="E772" s="101"/>
      <c r="F772" s="101">
        <v>40829</v>
      </c>
      <c r="G772" s="102" t="str">
        <f>IF(stdProdLT(Main[[#This Row],[Comments]])=0.1,"N/A",IF(stdProdLT(Main[[#This Row],[Comments]])=0,"",stdProdLT(Main[[#This Row],[Comments]])))</f>
        <v/>
      </c>
      <c r="H772" s="103" t="str">
        <f>IF(AND(Main[[#This Row],[In Stock Date]]&lt;&gt;"",Main[[#This Row],[Revised Due Date]]&lt;&gt;""),Main[[#This Row],[In Stock Date]]-Main[[#This Row],[Revised Due Date]],"")</f>
        <v/>
      </c>
      <c r="I772" s="99" t="s">
        <v>4</v>
      </c>
      <c r="J772" s="99" t="s">
        <v>4</v>
      </c>
      <c r="K772" s="99" t="s">
        <v>4</v>
      </c>
      <c r="L772" s="101"/>
      <c r="M772" s="104" t="str">
        <f>IF(Main[[#This Row],[Tech Start Date]]&lt;1/1/1990,"",IF(Main[[#This Row],[Class]]="C",WORKDAY(Main[[#This Row],[Tech Start Date]],9),IF(Main[[#This Row],[Class]]="B", WORKDAY(Main[[#This Row],[Tech Start Date]],6),IF(Main[[#This Row],[Class]]="A",WORKDAY(Main[[#This Row],[Tech Start Date]],2),""))))</f>
        <v/>
      </c>
      <c r="N772" s="104" t="str">
        <f>IF(Main[[#This Row],[Tech Start Date]]&lt;1/1/1990,"",IF(Main[[#This Row],[Class]]="C",WORKDAY(Main[[#This Row],[Tech Start Date]],19),IF(Main[[#This Row],[Class]]="B", WORKDAY(Main[[#This Row],[Tech Start Date]],12),IF(Main[[#This Row],[Class]]="A",WORKDAY(Main[[#This Row],[Tech Start Date]],4),""))))</f>
        <v/>
      </c>
      <c r="O772" s="104" t="str">
        <f>IF(Main[[#This Row],[Tech Start Date]]&lt;1/1/1990,"",IF(Main[[#This Row],[Class]]="C",WORKDAY(Main[[#This Row],[Tech Start Date]],23),IF(Main[[#This Row],[Class]]="B", WORKDAY(Main[[#This Row],[Tech Start Date]],15),IF(Main[[#This Row],[Class]]="A",WORKDAY(Main[[#This Row],[Tech Start Date]],5),""))))</f>
        <v/>
      </c>
      <c r="P772" s="104" t="str">
        <f>IF(Main[[#This Row],[Tech Start Date]]&lt;1/1/1990,"",IF(Main[[#This Row],[Class]]="C",WORKDAY(Main[[#This Row],[Tech Start Date]],28),IF(Main[[#This Row],[Class]]="B", WORKDAY(Main[[#This Row],[Tech Start Date]],19),IF(Main[[#This Row],[Class]]="A",WORKDAY(Main[[#This Row],[Tech Start Date]],9),""))))</f>
        <v/>
      </c>
      <c r="Q772" s="101">
        <v>40801</v>
      </c>
      <c r="R772" s="101"/>
      <c r="S772" s="99" t="s">
        <v>11</v>
      </c>
      <c r="T772" s="107" t="s">
        <v>4</v>
      </c>
      <c r="U772" s="99" t="s">
        <v>14</v>
      </c>
      <c r="V772" s="99" t="s">
        <v>1963</v>
      </c>
      <c r="W772" s="99" t="s">
        <v>1970</v>
      </c>
    </row>
    <row r="773" spans="1:23" ht="18.600000000000001" customHeight="1">
      <c r="A773" s="123" t="str">
        <f>IF(priority(Main[[#This Row],[Comments]])&lt;&gt;0, priority(Main[[#This Row],[Comments]]),"")</f>
        <v/>
      </c>
      <c r="B773" s="127" t="s">
        <v>1632</v>
      </c>
      <c r="C773" s="99" t="s">
        <v>4</v>
      </c>
      <c r="D773" s="100" t="s">
        <v>2388</v>
      </c>
      <c r="E773" s="101">
        <v>40515.590300925927</v>
      </c>
      <c r="F773" s="101"/>
      <c r="G773" s="102" t="str">
        <f>IF(stdProdLT(Main[[#This Row],[Comments]])=0.1,"N/A",IF(stdProdLT(Main[[#This Row],[Comments]])=0,"",stdProdLT(Main[[#This Row],[Comments]])))</f>
        <v/>
      </c>
      <c r="H773" s="103" t="str">
        <f>IF(AND(Main[[#This Row],[In Stock Date]]&lt;&gt;"",Main[[#This Row],[Revised Due Date]]&lt;&gt;""),Main[[#This Row],[In Stock Date]]-Main[[#This Row],[Revised Due Date]],"")</f>
        <v/>
      </c>
      <c r="I773" s="99" t="s">
        <v>929</v>
      </c>
      <c r="J773" s="99" t="s">
        <v>52</v>
      </c>
      <c r="K773" s="108" t="s">
        <v>1969</v>
      </c>
      <c r="L773" s="101"/>
      <c r="M773" s="104" t="str">
        <f>IF(Main[[#This Row],[Tech Start Date]]&lt;1/1/1990,"",IF(Main[[#This Row],[Class]]="C",WORKDAY(Main[[#This Row],[Tech Start Date]],9),IF(Main[[#This Row],[Class]]="B", WORKDAY(Main[[#This Row],[Tech Start Date]],6),IF(Main[[#This Row],[Class]]="A",WORKDAY(Main[[#This Row],[Tech Start Date]],2),""))))</f>
        <v/>
      </c>
      <c r="N773" s="104" t="str">
        <f>IF(Main[[#This Row],[Tech Start Date]]&lt;1/1/1990,"",IF(Main[[#This Row],[Class]]="C",WORKDAY(Main[[#This Row],[Tech Start Date]],19),IF(Main[[#This Row],[Class]]="B", WORKDAY(Main[[#This Row],[Tech Start Date]],12),IF(Main[[#This Row],[Class]]="A",WORKDAY(Main[[#This Row],[Tech Start Date]],4),""))))</f>
        <v/>
      </c>
      <c r="O773" s="104" t="str">
        <f>IF(Main[[#This Row],[Tech Start Date]]&lt;1/1/1990,"",IF(Main[[#This Row],[Class]]="C",WORKDAY(Main[[#This Row],[Tech Start Date]],23),IF(Main[[#This Row],[Class]]="B", WORKDAY(Main[[#This Row],[Tech Start Date]],15),IF(Main[[#This Row],[Class]]="A",WORKDAY(Main[[#This Row],[Tech Start Date]],5),""))))</f>
        <v/>
      </c>
      <c r="P773" s="104" t="str">
        <f>IF(Main[[#This Row],[Tech Start Date]]&lt;1/1/1990,"",IF(Main[[#This Row],[Class]]="C",WORKDAY(Main[[#This Row],[Tech Start Date]],28),IF(Main[[#This Row],[Class]]="B", WORKDAY(Main[[#This Row],[Tech Start Date]],19),IF(Main[[#This Row],[Class]]="A",WORKDAY(Main[[#This Row],[Tech Start Date]],9),""))))</f>
        <v/>
      </c>
      <c r="Q773" s="101">
        <v>40574</v>
      </c>
      <c r="R773" s="101"/>
      <c r="S773" s="99" t="s">
        <v>6</v>
      </c>
      <c r="T773" s="107" t="s">
        <v>4</v>
      </c>
      <c r="U773" s="99" t="s">
        <v>29</v>
      </c>
      <c r="V773" s="99" t="s">
        <v>1962</v>
      </c>
      <c r="W773" s="99" t="s">
        <v>1964</v>
      </c>
    </row>
    <row r="774" spans="1:23" ht="18.600000000000001" customHeight="1">
      <c r="A774" s="123" t="str">
        <f>IF(priority(Main[[#This Row],[Comments]])&lt;&gt;0, priority(Main[[#This Row],[Comments]]),"")</f>
        <v/>
      </c>
      <c r="B774" s="127" t="s">
        <v>1633</v>
      </c>
      <c r="C774" s="99" t="s">
        <v>442</v>
      </c>
      <c r="D774" s="100" t="s">
        <v>679</v>
      </c>
      <c r="E774" s="101"/>
      <c r="F774" s="101"/>
      <c r="G774" s="102" t="str">
        <f>IF(stdProdLT(Main[[#This Row],[Comments]])=0.1,"N/A",IF(stdProdLT(Main[[#This Row],[Comments]])=0,"",stdProdLT(Main[[#This Row],[Comments]])))</f>
        <v/>
      </c>
      <c r="H774" s="103" t="str">
        <f>IF(AND(Main[[#This Row],[In Stock Date]]&lt;&gt;"",Main[[#This Row],[Revised Due Date]]&lt;&gt;""),Main[[#This Row],[In Stock Date]]-Main[[#This Row],[Revised Due Date]],"")</f>
        <v/>
      </c>
      <c r="I774" s="99" t="s">
        <v>4</v>
      </c>
      <c r="J774" s="99" t="s">
        <v>4</v>
      </c>
      <c r="K774" s="99" t="s">
        <v>4</v>
      </c>
      <c r="L774" s="101"/>
      <c r="M774" s="104" t="str">
        <f>IF(Main[[#This Row],[Tech Start Date]]&lt;1/1/1990,"",IF(Main[[#This Row],[Class]]="C",WORKDAY(Main[[#This Row],[Tech Start Date]],9),IF(Main[[#This Row],[Class]]="B", WORKDAY(Main[[#This Row],[Tech Start Date]],6),IF(Main[[#This Row],[Class]]="A",WORKDAY(Main[[#This Row],[Tech Start Date]],2),""))))</f>
        <v/>
      </c>
      <c r="N774" s="104" t="str">
        <f>IF(Main[[#This Row],[Tech Start Date]]&lt;1/1/1990,"",IF(Main[[#This Row],[Class]]="C",WORKDAY(Main[[#This Row],[Tech Start Date]],19),IF(Main[[#This Row],[Class]]="B", WORKDAY(Main[[#This Row],[Tech Start Date]],12),IF(Main[[#This Row],[Class]]="A",WORKDAY(Main[[#This Row],[Tech Start Date]],4),""))))</f>
        <v/>
      </c>
      <c r="O774" s="104" t="str">
        <f>IF(Main[[#This Row],[Tech Start Date]]&lt;1/1/1990,"",IF(Main[[#This Row],[Class]]="C",WORKDAY(Main[[#This Row],[Tech Start Date]],23),IF(Main[[#This Row],[Class]]="B", WORKDAY(Main[[#This Row],[Tech Start Date]],15),IF(Main[[#This Row],[Class]]="A",WORKDAY(Main[[#This Row],[Tech Start Date]],5),""))))</f>
        <v/>
      </c>
      <c r="P774" s="104" t="str">
        <f>IF(Main[[#This Row],[Tech Start Date]]&lt;1/1/1990,"",IF(Main[[#This Row],[Class]]="C",WORKDAY(Main[[#This Row],[Tech Start Date]],28),IF(Main[[#This Row],[Class]]="B", WORKDAY(Main[[#This Row],[Tech Start Date]],19),IF(Main[[#This Row],[Class]]="A",WORKDAY(Main[[#This Row],[Tech Start Date]],9),""))))</f>
        <v/>
      </c>
      <c r="Q774" s="101"/>
      <c r="R774" s="101"/>
      <c r="S774" s="99" t="s">
        <v>11</v>
      </c>
      <c r="T774" s="107" t="s">
        <v>4</v>
      </c>
      <c r="U774" s="99" t="s">
        <v>14</v>
      </c>
      <c r="V774" s="99" t="s">
        <v>1963</v>
      </c>
      <c r="W774" s="99" t="s">
        <v>1970</v>
      </c>
    </row>
    <row r="775" spans="1:23" ht="18.600000000000001" customHeight="1">
      <c r="A775" s="123" t="str">
        <f>IF(priority(Main[[#This Row],[Comments]])&lt;&gt;0, priority(Main[[#This Row],[Comments]]),"")</f>
        <v/>
      </c>
      <c r="B775" s="127" t="s">
        <v>1634</v>
      </c>
      <c r="C775" s="99" t="s">
        <v>4</v>
      </c>
      <c r="D775" s="100" t="s">
        <v>680</v>
      </c>
      <c r="E775" s="101"/>
      <c r="F775" s="101"/>
      <c r="G775" s="102" t="str">
        <f>IF(stdProdLT(Main[[#This Row],[Comments]])=0.1,"N/A",IF(stdProdLT(Main[[#This Row],[Comments]])=0,"",stdProdLT(Main[[#This Row],[Comments]])))</f>
        <v/>
      </c>
      <c r="H775" s="103" t="str">
        <f>IF(AND(Main[[#This Row],[In Stock Date]]&lt;&gt;"",Main[[#This Row],[Revised Due Date]]&lt;&gt;""),Main[[#This Row],[In Stock Date]]-Main[[#This Row],[Revised Due Date]],"")</f>
        <v/>
      </c>
      <c r="I775" s="99" t="s">
        <v>4</v>
      </c>
      <c r="J775" s="99" t="s">
        <v>28</v>
      </c>
      <c r="K775" s="99" t="s">
        <v>4</v>
      </c>
      <c r="L775" s="101"/>
      <c r="M775" s="104" t="str">
        <f>IF(Main[[#This Row],[Tech Start Date]]&lt;1/1/1990,"",IF(Main[[#This Row],[Class]]="C",WORKDAY(Main[[#This Row],[Tech Start Date]],9),IF(Main[[#This Row],[Class]]="B", WORKDAY(Main[[#This Row],[Tech Start Date]],6),IF(Main[[#This Row],[Class]]="A",WORKDAY(Main[[#This Row],[Tech Start Date]],2),""))))</f>
        <v/>
      </c>
      <c r="N775" s="104" t="str">
        <f>IF(Main[[#This Row],[Tech Start Date]]&lt;1/1/1990,"",IF(Main[[#This Row],[Class]]="C",WORKDAY(Main[[#This Row],[Tech Start Date]],19),IF(Main[[#This Row],[Class]]="B", WORKDAY(Main[[#This Row],[Tech Start Date]],12),IF(Main[[#This Row],[Class]]="A",WORKDAY(Main[[#This Row],[Tech Start Date]],4),""))))</f>
        <v/>
      </c>
      <c r="O775" s="104" t="str">
        <f>IF(Main[[#This Row],[Tech Start Date]]&lt;1/1/1990,"",IF(Main[[#This Row],[Class]]="C",WORKDAY(Main[[#This Row],[Tech Start Date]],23),IF(Main[[#This Row],[Class]]="B", WORKDAY(Main[[#This Row],[Tech Start Date]],15),IF(Main[[#This Row],[Class]]="A",WORKDAY(Main[[#This Row],[Tech Start Date]],5),""))))</f>
        <v/>
      </c>
      <c r="P775" s="104" t="str">
        <f>IF(Main[[#This Row],[Tech Start Date]]&lt;1/1/1990,"",IF(Main[[#This Row],[Class]]="C",WORKDAY(Main[[#This Row],[Tech Start Date]],28),IF(Main[[#This Row],[Class]]="B", WORKDAY(Main[[#This Row],[Tech Start Date]],19),IF(Main[[#This Row],[Class]]="A",WORKDAY(Main[[#This Row],[Tech Start Date]],9),""))))</f>
        <v/>
      </c>
      <c r="Q775" s="101">
        <v>40471</v>
      </c>
      <c r="R775" s="101"/>
      <c r="S775" s="99" t="s">
        <v>301</v>
      </c>
      <c r="T775" s="107" t="s">
        <v>4</v>
      </c>
      <c r="U775" s="99" t="s">
        <v>14</v>
      </c>
      <c r="V775" s="99" t="s">
        <v>1972</v>
      </c>
      <c r="W775" s="99" t="s">
        <v>1964</v>
      </c>
    </row>
    <row r="776" spans="1:23" ht="18.600000000000001" customHeight="1">
      <c r="A776" s="123" t="str">
        <f>IF(priority(Main[[#This Row],[Comments]])&lt;&gt;0, priority(Main[[#This Row],[Comments]]),"")</f>
        <v/>
      </c>
      <c r="B776" s="127" t="s">
        <v>1648</v>
      </c>
      <c r="C776" s="99" t="s">
        <v>4</v>
      </c>
      <c r="D776" s="100" t="s">
        <v>692</v>
      </c>
      <c r="E776" s="101"/>
      <c r="F776" s="101"/>
      <c r="G776" s="102" t="str">
        <f>IF(stdProdLT(Main[[#This Row],[Comments]])=0.1,"N/A",IF(stdProdLT(Main[[#This Row],[Comments]])=0,"",stdProdLT(Main[[#This Row],[Comments]])))</f>
        <v/>
      </c>
      <c r="H776" s="103" t="str">
        <f>IF(AND(Main[[#This Row],[In Stock Date]]&lt;&gt;"",Main[[#This Row],[Revised Due Date]]&lt;&gt;""),Main[[#This Row],[In Stock Date]]-Main[[#This Row],[Revised Due Date]],"")</f>
        <v/>
      </c>
      <c r="I776" s="99" t="s">
        <v>4</v>
      </c>
      <c r="J776" s="99" t="s">
        <v>4</v>
      </c>
      <c r="K776" s="99" t="s">
        <v>4</v>
      </c>
      <c r="L776" s="101"/>
      <c r="M776" s="104" t="str">
        <f>IF(Main[[#This Row],[Tech Start Date]]&lt;1/1/1990,"",IF(Main[[#This Row],[Class]]="C",WORKDAY(Main[[#This Row],[Tech Start Date]],9),IF(Main[[#This Row],[Class]]="B", WORKDAY(Main[[#This Row],[Tech Start Date]],6),IF(Main[[#This Row],[Class]]="A",WORKDAY(Main[[#This Row],[Tech Start Date]],2),""))))</f>
        <v/>
      </c>
      <c r="N776" s="104" t="str">
        <f>IF(Main[[#This Row],[Tech Start Date]]&lt;1/1/1990,"",IF(Main[[#This Row],[Class]]="C",WORKDAY(Main[[#This Row],[Tech Start Date]],19),IF(Main[[#This Row],[Class]]="B", WORKDAY(Main[[#This Row],[Tech Start Date]],12),IF(Main[[#This Row],[Class]]="A",WORKDAY(Main[[#This Row],[Tech Start Date]],4),""))))</f>
        <v/>
      </c>
      <c r="O776" s="104" t="str">
        <f>IF(Main[[#This Row],[Tech Start Date]]&lt;1/1/1990,"",IF(Main[[#This Row],[Class]]="C",WORKDAY(Main[[#This Row],[Tech Start Date]],23),IF(Main[[#This Row],[Class]]="B", WORKDAY(Main[[#This Row],[Tech Start Date]],15),IF(Main[[#This Row],[Class]]="A",WORKDAY(Main[[#This Row],[Tech Start Date]],5),""))))</f>
        <v/>
      </c>
      <c r="P776" s="104" t="str">
        <f>IF(Main[[#This Row],[Tech Start Date]]&lt;1/1/1990,"",IF(Main[[#This Row],[Class]]="C",WORKDAY(Main[[#This Row],[Tech Start Date]],28),IF(Main[[#This Row],[Class]]="B", WORKDAY(Main[[#This Row],[Tech Start Date]],19),IF(Main[[#This Row],[Class]]="A",WORKDAY(Main[[#This Row],[Tech Start Date]],9),""))))</f>
        <v/>
      </c>
      <c r="Q776" s="101"/>
      <c r="R776" s="101"/>
      <c r="S776" s="99" t="s">
        <v>23</v>
      </c>
      <c r="T776" s="107" t="s">
        <v>4</v>
      </c>
      <c r="U776" s="99" t="s">
        <v>14</v>
      </c>
      <c r="V776" s="99" t="s">
        <v>1972</v>
      </c>
      <c r="W776" s="99" t="s">
        <v>1966</v>
      </c>
    </row>
    <row r="777" spans="1:23" ht="18.600000000000001" customHeight="1">
      <c r="A777" s="123" t="str">
        <f>IF(priority(Main[[#This Row],[Comments]])&lt;&gt;0, priority(Main[[#This Row],[Comments]]),"")</f>
        <v/>
      </c>
      <c r="B777" s="127" t="s">
        <v>1649</v>
      </c>
      <c r="C777" s="99" t="s">
        <v>4</v>
      </c>
      <c r="D777" s="100" t="s">
        <v>693</v>
      </c>
      <c r="E777" s="101">
        <v>40464.400208333333</v>
      </c>
      <c r="F777" s="101"/>
      <c r="G777" s="102" t="str">
        <f>IF(stdProdLT(Main[[#This Row],[Comments]])=0.1,"N/A",IF(stdProdLT(Main[[#This Row],[Comments]])=0,"",stdProdLT(Main[[#This Row],[Comments]])))</f>
        <v/>
      </c>
      <c r="H777" s="103" t="str">
        <f>IF(AND(Main[[#This Row],[In Stock Date]]&lt;&gt;"",Main[[#This Row],[Revised Due Date]]&lt;&gt;""),Main[[#This Row],[In Stock Date]]-Main[[#This Row],[Revised Due Date]],"")</f>
        <v/>
      </c>
      <c r="I777" s="99" t="s">
        <v>4</v>
      </c>
      <c r="J777" s="99" t="s">
        <v>4</v>
      </c>
      <c r="K777" s="99" t="s">
        <v>4</v>
      </c>
      <c r="L777" s="101"/>
      <c r="M777" s="104" t="str">
        <f>IF(Main[[#This Row],[Tech Start Date]]&lt;1/1/1990,"",IF(Main[[#This Row],[Class]]="C",WORKDAY(Main[[#This Row],[Tech Start Date]],9),IF(Main[[#This Row],[Class]]="B", WORKDAY(Main[[#This Row],[Tech Start Date]],6),IF(Main[[#This Row],[Class]]="A",WORKDAY(Main[[#This Row],[Tech Start Date]],2),""))))</f>
        <v/>
      </c>
      <c r="N777" s="104" t="str">
        <f>IF(Main[[#This Row],[Tech Start Date]]&lt;1/1/1990,"",IF(Main[[#This Row],[Class]]="C",WORKDAY(Main[[#This Row],[Tech Start Date]],19),IF(Main[[#This Row],[Class]]="B", WORKDAY(Main[[#This Row],[Tech Start Date]],12),IF(Main[[#This Row],[Class]]="A",WORKDAY(Main[[#This Row],[Tech Start Date]],4),""))))</f>
        <v/>
      </c>
      <c r="O777" s="104" t="str">
        <f>IF(Main[[#This Row],[Tech Start Date]]&lt;1/1/1990,"",IF(Main[[#This Row],[Class]]="C",WORKDAY(Main[[#This Row],[Tech Start Date]],23),IF(Main[[#This Row],[Class]]="B", WORKDAY(Main[[#This Row],[Tech Start Date]],15),IF(Main[[#This Row],[Class]]="A",WORKDAY(Main[[#This Row],[Tech Start Date]],5),""))))</f>
        <v/>
      </c>
      <c r="P777" s="104" t="str">
        <f>IF(Main[[#This Row],[Tech Start Date]]&lt;1/1/1990,"",IF(Main[[#This Row],[Class]]="C",WORKDAY(Main[[#This Row],[Tech Start Date]],28),IF(Main[[#This Row],[Class]]="B", WORKDAY(Main[[#This Row],[Tech Start Date]],19),IF(Main[[#This Row],[Class]]="A",WORKDAY(Main[[#This Row],[Tech Start Date]],9),""))))</f>
        <v/>
      </c>
      <c r="Q777" s="101">
        <v>40512</v>
      </c>
      <c r="R777" s="101"/>
      <c r="S777" s="99" t="s">
        <v>6</v>
      </c>
      <c r="T777" s="107" t="s">
        <v>4</v>
      </c>
      <c r="U777" s="99" t="s">
        <v>7</v>
      </c>
      <c r="V777" s="99" t="s">
        <v>1962</v>
      </c>
      <c r="W777" s="99" t="s">
        <v>4</v>
      </c>
    </row>
    <row r="778" spans="1:23" ht="18.600000000000001" customHeight="1">
      <c r="A778" s="123" t="str">
        <f>IF(priority(Main[[#This Row],[Comments]])&lt;&gt;0, priority(Main[[#This Row],[Comments]]),"")</f>
        <v/>
      </c>
      <c r="B778" s="127" t="s">
        <v>1887</v>
      </c>
      <c r="C778" s="99" t="s">
        <v>67</v>
      </c>
      <c r="D778" s="100" t="s">
        <v>918</v>
      </c>
      <c r="E778" s="101"/>
      <c r="F778" s="101"/>
      <c r="G778" s="102" t="str">
        <f>IF(stdProdLT(Main[[#This Row],[Comments]])=0.1,"N/A",IF(stdProdLT(Main[[#This Row],[Comments]])=0,"",stdProdLT(Main[[#This Row],[Comments]])))</f>
        <v/>
      </c>
      <c r="H778" s="103" t="str">
        <f>IF(AND(Main[[#This Row],[In Stock Date]]&lt;&gt;"",Main[[#This Row],[Revised Due Date]]&lt;&gt;""),Main[[#This Row],[In Stock Date]]-Main[[#This Row],[Revised Due Date]],"")</f>
        <v/>
      </c>
      <c r="I778" s="99" t="s">
        <v>165</v>
      </c>
      <c r="J778" s="99" t="s">
        <v>4</v>
      </c>
      <c r="K778" s="108" t="s">
        <v>1974</v>
      </c>
      <c r="L778" s="101"/>
      <c r="M778" s="104" t="str">
        <f>IF(Main[[#This Row],[Tech Start Date]]&lt;1/1/1990,"",IF(Main[[#This Row],[Class]]="C",WORKDAY(Main[[#This Row],[Tech Start Date]],9),IF(Main[[#This Row],[Class]]="B", WORKDAY(Main[[#This Row],[Tech Start Date]],6),IF(Main[[#This Row],[Class]]="A",WORKDAY(Main[[#This Row],[Tech Start Date]],2),""))))</f>
        <v/>
      </c>
      <c r="N778" s="104" t="str">
        <f>IF(Main[[#This Row],[Tech Start Date]]&lt;1/1/1990,"",IF(Main[[#This Row],[Class]]="C",WORKDAY(Main[[#This Row],[Tech Start Date]],19),IF(Main[[#This Row],[Class]]="B", WORKDAY(Main[[#This Row],[Tech Start Date]],12),IF(Main[[#This Row],[Class]]="A",WORKDAY(Main[[#This Row],[Tech Start Date]],4),""))))</f>
        <v/>
      </c>
      <c r="O778" s="104" t="str">
        <f>IF(Main[[#This Row],[Tech Start Date]]&lt;1/1/1990,"",IF(Main[[#This Row],[Class]]="C",WORKDAY(Main[[#This Row],[Tech Start Date]],23),IF(Main[[#This Row],[Class]]="B", WORKDAY(Main[[#This Row],[Tech Start Date]],15),IF(Main[[#This Row],[Class]]="A",WORKDAY(Main[[#This Row],[Tech Start Date]],5),""))))</f>
        <v/>
      </c>
      <c r="P778" s="104" t="str">
        <f>IF(Main[[#This Row],[Tech Start Date]]&lt;1/1/1990,"",IF(Main[[#This Row],[Class]]="C",WORKDAY(Main[[#This Row],[Tech Start Date]],28),IF(Main[[#This Row],[Class]]="B", WORKDAY(Main[[#This Row],[Tech Start Date]],19),IF(Main[[#This Row],[Class]]="A",WORKDAY(Main[[#This Row],[Tech Start Date]],9),""))))</f>
        <v/>
      </c>
      <c r="Q778" s="101">
        <v>39990</v>
      </c>
      <c r="R778" s="101">
        <v>40497</v>
      </c>
      <c r="S778" s="99" t="s">
        <v>17</v>
      </c>
      <c r="T778" s="107" t="s">
        <v>4</v>
      </c>
      <c r="U778" s="99" t="s">
        <v>14</v>
      </c>
      <c r="V778" s="99" t="s">
        <v>1965</v>
      </c>
      <c r="W778" s="99" t="s">
        <v>1967</v>
      </c>
    </row>
    <row r="779" spans="1:23" ht="18.600000000000001" customHeight="1">
      <c r="A779" s="123" t="str">
        <f>IF(priority(Main[[#This Row],[Comments]])&lt;&gt;0, priority(Main[[#This Row],[Comments]]),"")</f>
        <v/>
      </c>
      <c r="B779" s="127" t="s">
        <v>1635</v>
      </c>
      <c r="C779" s="99" t="s">
        <v>31</v>
      </c>
      <c r="D779" s="100" t="s">
        <v>681</v>
      </c>
      <c r="E779" s="101"/>
      <c r="F779" s="101">
        <v>40725</v>
      </c>
      <c r="G779" s="102" t="str">
        <f>IF(stdProdLT(Main[[#This Row],[Comments]])=0.1,"N/A",IF(stdProdLT(Main[[#This Row],[Comments]])=0,"",stdProdLT(Main[[#This Row],[Comments]])))</f>
        <v/>
      </c>
      <c r="H779" s="103" t="str">
        <f>IF(AND(Main[[#This Row],[In Stock Date]]&lt;&gt;"",Main[[#This Row],[Revised Due Date]]&lt;&gt;""),Main[[#This Row],[In Stock Date]]-Main[[#This Row],[Revised Due Date]],"")</f>
        <v/>
      </c>
      <c r="I779" s="99" t="s">
        <v>4</v>
      </c>
      <c r="J779" s="99" t="s">
        <v>4</v>
      </c>
      <c r="K779" s="99" t="s">
        <v>4</v>
      </c>
      <c r="L779" s="101"/>
      <c r="M779" s="104" t="str">
        <f>IF(Main[[#This Row],[Tech Start Date]]&lt;1/1/1990,"",IF(Main[[#This Row],[Class]]="C",WORKDAY(Main[[#This Row],[Tech Start Date]],9),IF(Main[[#This Row],[Class]]="B", WORKDAY(Main[[#This Row],[Tech Start Date]],6),IF(Main[[#This Row],[Class]]="A",WORKDAY(Main[[#This Row],[Tech Start Date]],2),""))))</f>
        <v/>
      </c>
      <c r="N779" s="104" t="str">
        <f>IF(Main[[#This Row],[Tech Start Date]]&lt;1/1/1990,"",IF(Main[[#This Row],[Class]]="C",WORKDAY(Main[[#This Row],[Tech Start Date]],19),IF(Main[[#This Row],[Class]]="B", WORKDAY(Main[[#This Row],[Tech Start Date]],12),IF(Main[[#This Row],[Class]]="A",WORKDAY(Main[[#This Row],[Tech Start Date]],4),""))))</f>
        <v/>
      </c>
      <c r="O779" s="104" t="str">
        <f>IF(Main[[#This Row],[Tech Start Date]]&lt;1/1/1990,"",IF(Main[[#This Row],[Class]]="C",WORKDAY(Main[[#This Row],[Tech Start Date]],23),IF(Main[[#This Row],[Class]]="B", WORKDAY(Main[[#This Row],[Tech Start Date]],15),IF(Main[[#This Row],[Class]]="A",WORKDAY(Main[[#This Row],[Tech Start Date]],5),""))))</f>
        <v/>
      </c>
      <c r="P779" s="104" t="str">
        <f>IF(Main[[#This Row],[Tech Start Date]]&lt;1/1/1990,"",IF(Main[[#This Row],[Class]]="C",WORKDAY(Main[[#This Row],[Tech Start Date]],28),IF(Main[[#This Row],[Class]]="B", WORKDAY(Main[[#This Row],[Tech Start Date]],19),IF(Main[[#This Row],[Class]]="A",WORKDAY(Main[[#This Row],[Tech Start Date]],9),""))))</f>
        <v/>
      </c>
      <c r="Q779" s="101">
        <v>40634</v>
      </c>
      <c r="R779" s="101"/>
      <c r="S779" s="99" t="s">
        <v>11</v>
      </c>
      <c r="T779" s="107" t="s">
        <v>4</v>
      </c>
      <c r="U779" s="99" t="s">
        <v>14</v>
      </c>
      <c r="V779" s="99" t="s">
        <v>1965</v>
      </c>
      <c r="W779" s="99" t="s">
        <v>1968</v>
      </c>
    </row>
    <row r="780" spans="1:23" ht="18.600000000000001" customHeight="1">
      <c r="A780" s="123" t="str">
        <f>IF(priority(Main[[#This Row],[Comments]])&lt;&gt;0, priority(Main[[#This Row],[Comments]]),"")</f>
        <v/>
      </c>
      <c r="B780" s="127" t="s">
        <v>1636</v>
      </c>
      <c r="C780" s="99" t="s">
        <v>4</v>
      </c>
      <c r="D780" s="100" t="s">
        <v>682</v>
      </c>
      <c r="E780" s="101"/>
      <c r="F780" s="101"/>
      <c r="G780" s="102" t="str">
        <f>IF(stdProdLT(Main[[#This Row],[Comments]])=0.1,"N/A",IF(stdProdLT(Main[[#This Row],[Comments]])=0,"",stdProdLT(Main[[#This Row],[Comments]])))</f>
        <v/>
      </c>
      <c r="H780" s="103" t="str">
        <f>IF(AND(Main[[#This Row],[In Stock Date]]&lt;&gt;"",Main[[#This Row],[Revised Due Date]]&lt;&gt;""),Main[[#This Row],[In Stock Date]]-Main[[#This Row],[Revised Due Date]],"")</f>
        <v/>
      </c>
      <c r="I780" s="99" t="s">
        <v>102</v>
      </c>
      <c r="J780" s="99" t="s">
        <v>4</v>
      </c>
      <c r="K780" s="99" t="s">
        <v>1969</v>
      </c>
      <c r="L780" s="101"/>
      <c r="M780" s="104" t="str">
        <f>IF(Main[[#This Row],[Tech Start Date]]&lt;1/1/1990,"",IF(Main[[#This Row],[Class]]="C",WORKDAY(Main[[#This Row],[Tech Start Date]],9),IF(Main[[#This Row],[Class]]="B", WORKDAY(Main[[#This Row],[Tech Start Date]],6),IF(Main[[#This Row],[Class]]="A",WORKDAY(Main[[#This Row],[Tech Start Date]],2),""))))</f>
        <v/>
      </c>
      <c r="N780" s="104" t="str">
        <f>IF(Main[[#This Row],[Tech Start Date]]&lt;1/1/1990,"",IF(Main[[#This Row],[Class]]="C",WORKDAY(Main[[#This Row],[Tech Start Date]],19),IF(Main[[#This Row],[Class]]="B", WORKDAY(Main[[#This Row],[Tech Start Date]],12),IF(Main[[#This Row],[Class]]="A",WORKDAY(Main[[#This Row],[Tech Start Date]],4),""))))</f>
        <v/>
      </c>
      <c r="O780" s="104" t="str">
        <f>IF(Main[[#This Row],[Tech Start Date]]&lt;1/1/1990,"",IF(Main[[#This Row],[Class]]="C",WORKDAY(Main[[#This Row],[Tech Start Date]],23),IF(Main[[#This Row],[Class]]="B", WORKDAY(Main[[#This Row],[Tech Start Date]],15),IF(Main[[#This Row],[Class]]="A",WORKDAY(Main[[#This Row],[Tech Start Date]],5),""))))</f>
        <v/>
      </c>
      <c r="P780" s="104" t="str">
        <f>IF(Main[[#This Row],[Tech Start Date]]&lt;1/1/1990,"",IF(Main[[#This Row],[Class]]="C",WORKDAY(Main[[#This Row],[Tech Start Date]],28),IF(Main[[#This Row],[Class]]="B", WORKDAY(Main[[#This Row],[Tech Start Date]],19),IF(Main[[#This Row],[Class]]="A",WORKDAY(Main[[#This Row],[Tech Start Date]],9),""))))</f>
        <v/>
      </c>
      <c r="Q780" s="101"/>
      <c r="R780" s="101"/>
      <c r="S780" s="99" t="s">
        <v>23</v>
      </c>
      <c r="T780" s="107" t="s">
        <v>4</v>
      </c>
      <c r="U780" s="99" t="s">
        <v>14</v>
      </c>
      <c r="V780" s="99" t="s">
        <v>1962</v>
      </c>
      <c r="W780" s="99" t="s">
        <v>1966</v>
      </c>
    </row>
    <row r="781" spans="1:23" ht="18.600000000000001" customHeight="1">
      <c r="A781" s="123" t="str">
        <f>IF(priority(Main[[#This Row],[Comments]])&lt;&gt;0, priority(Main[[#This Row],[Comments]]),"")</f>
        <v/>
      </c>
      <c r="B781" s="127" t="s">
        <v>1637</v>
      </c>
      <c r="C781" s="99" t="s">
        <v>4</v>
      </c>
      <c r="D781" s="100" t="s">
        <v>683</v>
      </c>
      <c r="E781" s="101">
        <v>40491.714780092596</v>
      </c>
      <c r="F781" s="101"/>
      <c r="G781" s="102" t="str">
        <f>IF(stdProdLT(Main[[#This Row],[Comments]])=0.1,"N/A",IF(stdProdLT(Main[[#This Row],[Comments]])=0,"",stdProdLT(Main[[#This Row],[Comments]])))</f>
        <v/>
      </c>
      <c r="H781" s="103" t="str">
        <f>IF(AND(Main[[#This Row],[In Stock Date]]&lt;&gt;"",Main[[#This Row],[Revised Due Date]]&lt;&gt;""),Main[[#This Row],[In Stock Date]]-Main[[#This Row],[Revised Due Date]],"")</f>
        <v/>
      </c>
      <c r="I781" s="99" t="s">
        <v>4</v>
      </c>
      <c r="J781" s="99" t="s">
        <v>28</v>
      </c>
      <c r="K781" s="99" t="s">
        <v>1969</v>
      </c>
      <c r="L781" s="101"/>
      <c r="M781" s="104" t="str">
        <f>IF(Main[[#This Row],[Tech Start Date]]&lt;1/1/1990,"",IF(Main[[#This Row],[Class]]="C",WORKDAY(Main[[#This Row],[Tech Start Date]],9),IF(Main[[#This Row],[Class]]="B", WORKDAY(Main[[#This Row],[Tech Start Date]],6),IF(Main[[#This Row],[Class]]="A",WORKDAY(Main[[#This Row],[Tech Start Date]],2),""))))</f>
        <v/>
      </c>
      <c r="N781" s="104" t="str">
        <f>IF(Main[[#This Row],[Tech Start Date]]&lt;1/1/1990,"",IF(Main[[#This Row],[Class]]="C",WORKDAY(Main[[#This Row],[Tech Start Date]],19),IF(Main[[#This Row],[Class]]="B", WORKDAY(Main[[#This Row],[Tech Start Date]],12),IF(Main[[#This Row],[Class]]="A",WORKDAY(Main[[#This Row],[Tech Start Date]],4),""))))</f>
        <v/>
      </c>
      <c r="O781" s="104" t="str">
        <f>IF(Main[[#This Row],[Tech Start Date]]&lt;1/1/1990,"",IF(Main[[#This Row],[Class]]="C",WORKDAY(Main[[#This Row],[Tech Start Date]],23),IF(Main[[#This Row],[Class]]="B", WORKDAY(Main[[#This Row],[Tech Start Date]],15),IF(Main[[#This Row],[Class]]="A",WORKDAY(Main[[#This Row],[Tech Start Date]],5),""))))</f>
        <v/>
      </c>
      <c r="P781" s="104" t="str">
        <f>IF(Main[[#This Row],[Tech Start Date]]&lt;1/1/1990,"",IF(Main[[#This Row],[Class]]="C",WORKDAY(Main[[#This Row],[Tech Start Date]],28),IF(Main[[#This Row],[Class]]="B", WORKDAY(Main[[#This Row],[Tech Start Date]],19),IF(Main[[#This Row],[Class]]="A",WORKDAY(Main[[#This Row],[Tech Start Date]],9),""))))</f>
        <v/>
      </c>
      <c r="Q781" s="101">
        <v>40520</v>
      </c>
      <c r="R781" s="101"/>
      <c r="S781" s="99" t="s">
        <v>6</v>
      </c>
      <c r="T781" s="107" t="s">
        <v>4</v>
      </c>
      <c r="U781" s="99" t="s">
        <v>7</v>
      </c>
      <c r="V781" s="99" t="s">
        <v>1962</v>
      </c>
      <c r="W781" s="99" t="s">
        <v>1964</v>
      </c>
    </row>
    <row r="782" spans="1:23" ht="18.600000000000001" customHeight="1">
      <c r="A782" s="123" t="str">
        <f>IF(priority(Main[[#This Row],[Comments]])&lt;&gt;0, priority(Main[[#This Row],[Comments]]),"")</f>
        <v/>
      </c>
      <c r="B782" s="127" t="s">
        <v>1638</v>
      </c>
      <c r="C782" s="99" t="s">
        <v>47</v>
      </c>
      <c r="D782" s="100" t="s">
        <v>684</v>
      </c>
      <c r="E782" s="101"/>
      <c r="F782" s="101"/>
      <c r="G782" s="102" t="str">
        <f>IF(stdProdLT(Main[[#This Row],[Comments]])=0.1,"N/A",IF(stdProdLT(Main[[#This Row],[Comments]])=0,"",stdProdLT(Main[[#This Row],[Comments]])))</f>
        <v/>
      </c>
      <c r="H782" s="103" t="str">
        <f>IF(AND(Main[[#This Row],[In Stock Date]]&lt;&gt;"",Main[[#This Row],[Revised Due Date]]&lt;&gt;""),Main[[#This Row],[In Stock Date]]-Main[[#This Row],[Revised Due Date]],"")</f>
        <v/>
      </c>
      <c r="I782" s="99" t="s">
        <v>4</v>
      </c>
      <c r="J782" s="99" t="s">
        <v>4</v>
      </c>
      <c r="K782" s="108" t="s">
        <v>4</v>
      </c>
      <c r="L782" s="101"/>
      <c r="M782" s="104" t="str">
        <f>IF(Main[[#This Row],[Tech Start Date]]&lt;1/1/1990,"",IF(Main[[#This Row],[Class]]="C",WORKDAY(Main[[#This Row],[Tech Start Date]],9),IF(Main[[#This Row],[Class]]="B", WORKDAY(Main[[#This Row],[Tech Start Date]],6),IF(Main[[#This Row],[Class]]="A",WORKDAY(Main[[#This Row],[Tech Start Date]],2),""))))</f>
        <v/>
      </c>
      <c r="N782" s="104" t="str">
        <f>IF(Main[[#This Row],[Tech Start Date]]&lt;1/1/1990,"",IF(Main[[#This Row],[Class]]="C",WORKDAY(Main[[#This Row],[Tech Start Date]],19),IF(Main[[#This Row],[Class]]="B", WORKDAY(Main[[#This Row],[Tech Start Date]],12),IF(Main[[#This Row],[Class]]="A",WORKDAY(Main[[#This Row],[Tech Start Date]],4),""))))</f>
        <v/>
      </c>
      <c r="O782" s="104" t="str">
        <f>IF(Main[[#This Row],[Tech Start Date]]&lt;1/1/1990,"",IF(Main[[#This Row],[Class]]="C",WORKDAY(Main[[#This Row],[Tech Start Date]],23),IF(Main[[#This Row],[Class]]="B", WORKDAY(Main[[#This Row],[Tech Start Date]],15),IF(Main[[#This Row],[Class]]="A",WORKDAY(Main[[#This Row],[Tech Start Date]],5),""))))</f>
        <v/>
      </c>
      <c r="P782" s="104" t="str">
        <f>IF(Main[[#This Row],[Tech Start Date]]&lt;1/1/1990,"",IF(Main[[#This Row],[Class]]="C",WORKDAY(Main[[#This Row],[Tech Start Date]],28),IF(Main[[#This Row],[Class]]="B", WORKDAY(Main[[#This Row],[Tech Start Date]],19),IF(Main[[#This Row],[Class]]="A",WORKDAY(Main[[#This Row],[Tech Start Date]],9),""))))</f>
        <v/>
      </c>
      <c r="Q782" s="101"/>
      <c r="R782" s="101"/>
      <c r="S782" s="99" t="s">
        <v>11</v>
      </c>
      <c r="T782" s="107" t="s">
        <v>4</v>
      </c>
      <c r="U782" s="99" t="s">
        <v>14</v>
      </c>
      <c r="V782" s="99" t="s">
        <v>1963</v>
      </c>
      <c r="W782" s="99" t="s">
        <v>1966</v>
      </c>
    </row>
    <row r="783" spans="1:23" ht="18.600000000000001" customHeight="1">
      <c r="A783" s="123" t="str">
        <f>IF(priority(Main[[#This Row],[Comments]])&lt;&gt;0, priority(Main[[#This Row],[Comments]]),"")</f>
        <v/>
      </c>
      <c r="B783" s="127" t="s">
        <v>1639</v>
      </c>
      <c r="C783" s="99" t="s">
        <v>280</v>
      </c>
      <c r="D783" s="100" t="s">
        <v>592</v>
      </c>
      <c r="E783" s="101"/>
      <c r="F783" s="101">
        <v>40186</v>
      </c>
      <c r="G783" s="102" t="str">
        <f>IF(stdProdLT(Main[[#This Row],[Comments]])=0.1,"N/A",IF(stdProdLT(Main[[#This Row],[Comments]])=0,"",stdProdLT(Main[[#This Row],[Comments]])))</f>
        <v/>
      </c>
      <c r="H783" s="103" t="str">
        <f>IF(AND(Main[[#This Row],[In Stock Date]]&lt;&gt;"",Main[[#This Row],[Revised Due Date]]&lt;&gt;""),Main[[#This Row],[In Stock Date]]-Main[[#This Row],[Revised Due Date]],"")</f>
        <v/>
      </c>
      <c r="I783" s="99" t="s">
        <v>4</v>
      </c>
      <c r="J783" s="99" t="s">
        <v>4</v>
      </c>
      <c r="K783" s="99" t="s">
        <v>4</v>
      </c>
      <c r="L783" s="101"/>
      <c r="M783" s="104" t="str">
        <f>IF(Main[[#This Row],[Tech Start Date]]&lt;1/1/1990,"",IF(Main[[#This Row],[Class]]="C",WORKDAY(Main[[#This Row],[Tech Start Date]],9),IF(Main[[#This Row],[Class]]="B", WORKDAY(Main[[#This Row],[Tech Start Date]],6),IF(Main[[#This Row],[Class]]="A",WORKDAY(Main[[#This Row],[Tech Start Date]],2),""))))</f>
        <v/>
      </c>
      <c r="N783" s="104" t="str">
        <f>IF(Main[[#This Row],[Tech Start Date]]&lt;1/1/1990,"",IF(Main[[#This Row],[Class]]="C",WORKDAY(Main[[#This Row],[Tech Start Date]],19),IF(Main[[#This Row],[Class]]="B", WORKDAY(Main[[#This Row],[Tech Start Date]],12),IF(Main[[#This Row],[Class]]="A",WORKDAY(Main[[#This Row],[Tech Start Date]],4),""))))</f>
        <v/>
      </c>
      <c r="O783" s="104" t="str">
        <f>IF(Main[[#This Row],[Tech Start Date]]&lt;1/1/1990,"",IF(Main[[#This Row],[Class]]="C",WORKDAY(Main[[#This Row],[Tech Start Date]],23),IF(Main[[#This Row],[Class]]="B", WORKDAY(Main[[#This Row],[Tech Start Date]],15),IF(Main[[#This Row],[Class]]="A",WORKDAY(Main[[#This Row],[Tech Start Date]],5),""))))</f>
        <v/>
      </c>
      <c r="P783" s="104" t="str">
        <f>IF(Main[[#This Row],[Tech Start Date]]&lt;1/1/1990,"",IF(Main[[#This Row],[Class]]="C",WORKDAY(Main[[#This Row],[Tech Start Date]],28),IF(Main[[#This Row],[Class]]="B", WORKDAY(Main[[#This Row],[Tech Start Date]],19),IF(Main[[#This Row],[Class]]="A",WORKDAY(Main[[#This Row],[Tech Start Date]],9),""))))</f>
        <v/>
      </c>
      <c r="Q783" s="101">
        <v>40186</v>
      </c>
      <c r="R783" s="101"/>
      <c r="S783" s="99" t="s">
        <v>11</v>
      </c>
      <c r="T783" s="107" t="s">
        <v>4</v>
      </c>
      <c r="U783" s="99" t="s">
        <v>14</v>
      </c>
      <c r="V783" s="99" t="s">
        <v>1965</v>
      </c>
      <c r="W783" s="99" t="s">
        <v>1970</v>
      </c>
    </row>
    <row r="784" spans="1:23" ht="18.600000000000001" customHeight="1">
      <c r="A784" s="123" t="str">
        <f>IF(priority(Main[[#This Row],[Comments]])&lt;&gt;0, priority(Main[[#This Row],[Comments]]),"")</f>
        <v/>
      </c>
      <c r="B784" s="127" t="s">
        <v>1087</v>
      </c>
      <c r="C784" s="99" t="s">
        <v>4</v>
      </c>
      <c r="D784" s="100" t="s">
        <v>39</v>
      </c>
      <c r="E784" s="101"/>
      <c r="F784" s="101"/>
      <c r="G784" s="102" t="str">
        <f>IF(stdProdLT(Main[[#This Row],[Comments]])=0.1,"N/A",IF(stdProdLT(Main[[#This Row],[Comments]])=0,"",stdProdLT(Main[[#This Row],[Comments]])))</f>
        <v/>
      </c>
      <c r="H784" s="103" t="str">
        <f>IF(AND(Main[[#This Row],[In Stock Date]]&lt;&gt;"",Main[[#This Row],[Revised Due Date]]&lt;&gt;""),Main[[#This Row],[In Stock Date]]-Main[[#This Row],[Revised Due Date]],"")</f>
        <v/>
      </c>
      <c r="I784" s="99" t="s">
        <v>495</v>
      </c>
      <c r="J784" s="99" t="s">
        <v>70</v>
      </c>
      <c r="K784" s="99" t="s">
        <v>1971</v>
      </c>
      <c r="L784" s="101"/>
      <c r="M784" s="104" t="str">
        <f>IF(Main[[#This Row],[Tech Start Date]]&lt;1/1/1990,"",IF(Main[[#This Row],[Class]]="C",WORKDAY(Main[[#This Row],[Tech Start Date]],9),IF(Main[[#This Row],[Class]]="B", WORKDAY(Main[[#This Row],[Tech Start Date]],6),IF(Main[[#This Row],[Class]]="A",WORKDAY(Main[[#This Row],[Tech Start Date]],2),""))))</f>
        <v/>
      </c>
      <c r="N784" s="104" t="str">
        <f>IF(Main[[#This Row],[Tech Start Date]]&lt;1/1/1990,"",IF(Main[[#This Row],[Class]]="C",WORKDAY(Main[[#This Row],[Tech Start Date]],19),IF(Main[[#This Row],[Class]]="B", WORKDAY(Main[[#This Row],[Tech Start Date]],12),IF(Main[[#This Row],[Class]]="A",WORKDAY(Main[[#This Row],[Tech Start Date]],4),""))))</f>
        <v/>
      </c>
      <c r="O784" s="104" t="str">
        <f>IF(Main[[#This Row],[Tech Start Date]]&lt;1/1/1990,"",IF(Main[[#This Row],[Class]]="C",WORKDAY(Main[[#This Row],[Tech Start Date]],23),IF(Main[[#This Row],[Class]]="B", WORKDAY(Main[[#This Row],[Tech Start Date]],15),IF(Main[[#This Row],[Class]]="A",WORKDAY(Main[[#This Row],[Tech Start Date]],5),""))))</f>
        <v/>
      </c>
      <c r="P784" s="104" t="str">
        <f>IF(Main[[#This Row],[Tech Start Date]]&lt;1/1/1990,"",IF(Main[[#This Row],[Class]]="C",WORKDAY(Main[[#This Row],[Tech Start Date]],28),IF(Main[[#This Row],[Class]]="B", WORKDAY(Main[[#This Row],[Tech Start Date]],19),IF(Main[[#This Row],[Class]]="A",WORKDAY(Main[[#This Row],[Tech Start Date]],9),""))))</f>
        <v/>
      </c>
      <c r="Q784" s="101">
        <v>40704</v>
      </c>
      <c r="R784" s="101"/>
      <c r="S784" s="99" t="s">
        <v>6</v>
      </c>
      <c r="T784" s="107" t="s">
        <v>4</v>
      </c>
      <c r="U784" s="99" t="s">
        <v>14</v>
      </c>
      <c r="V784" s="99" t="s">
        <v>1965</v>
      </c>
      <c r="W784" s="99" t="s">
        <v>1966</v>
      </c>
    </row>
    <row r="785" spans="1:23" ht="18.600000000000001" customHeight="1">
      <c r="A785" s="123" t="str">
        <f>IF(priority(Main[[#This Row],[Comments]])&lt;&gt;0, priority(Main[[#This Row],[Comments]]),"")</f>
        <v/>
      </c>
      <c r="B785" s="127" t="s">
        <v>1641</v>
      </c>
      <c r="C785" s="99" t="s">
        <v>4</v>
      </c>
      <c r="D785" s="100" t="s">
        <v>686</v>
      </c>
      <c r="E785" s="101">
        <v>40497.338240740741</v>
      </c>
      <c r="F785" s="101"/>
      <c r="G785" s="102" t="str">
        <f>IF(stdProdLT(Main[[#This Row],[Comments]])=0.1,"N/A",IF(stdProdLT(Main[[#This Row],[Comments]])=0,"",stdProdLT(Main[[#This Row],[Comments]])))</f>
        <v/>
      </c>
      <c r="H785" s="103" t="str">
        <f>IF(AND(Main[[#This Row],[In Stock Date]]&lt;&gt;"",Main[[#This Row],[Revised Due Date]]&lt;&gt;""),Main[[#This Row],[In Stock Date]]-Main[[#This Row],[Revised Due Date]],"")</f>
        <v/>
      </c>
      <c r="I785" s="99" t="s">
        <v>4</v>
      </c>
      <c r="J785" s="99" t="s">
        <v>4</v>
      </c>
      <c r="K785" s="99" t="s">
        <v>4</v>
      </c>
      <c r="L785" s="101"/>
      <c r="M785" s="104" t="str">
        <f>IF(Main[[#This Row],[Tech Start Date]]&lt;1/1/1990,"",IF(Main[[#This Row],[Class]]="C",WORKDAY(Main[[#This Row],[Tech Start Date]],9),IF(Main[[#This Row],[Class]]="B", WORKDAY(Main[[#This Row],[Tech Start Date]],6),IF(Main[[#This Row],[Class]]="A",WORKDAY(Main[[#This Row],[Tech Start Date]],2),""))))</f>
        <v/>
      </c>
      <c r="N785" s="104" t="str">
        <f>IF(Main[[#This Row],[Tech Start Date]]&lt;1/1/1990,"",IF(Main[[#This Row],[Class]]="C",WORKDAY(Main[[#This Row],[Tech Start Date]],19),IF(Main[[#This Row],[Class]]="B", WORKDAY(Main[[#This Row],[Tech Start Date]],12),IF(Main[[#This Row],[Class]]="A",WORKDAY(Main[[#This Row],[Tech Start Date]],4),""))))</f>
        <v/>
      </c>
      <c r="O785" s="104" t="str">
        <f>IF(Main[[#This Row],[Tech Start Date]]&lt;1/1/1990,"",IF(Main[[#This Row],[Class]]="C",WORKDAY(Main[[#This Row],[Tech Start Date]],23),IF(Main[[#This Row],[Class]]="B", WORKDAY(Main[[#This Row],[Tech Start Date]],15),IF(Main[[#This Row],[Class]]="A",WORKDAY(Main[[#This Row],[Tech Start Date]],5),""))))</f>
        <v/>
      </c>
      <c r="P785" s="104" t="str">
        <f>IF(Main[[#This Row],[Tech Start Date]]&lt;1/1/1990,"",IF(Main[[#This Row],[Class]]="C",WORKDAY(Main[[#This Row],[Tech Start Date]],28),IF(Main[[#This Row],[Class]]="B", WORKDAY(Main[[#This Row],[Tech Start Date]],19),IF(Main[[#This Row],[Class]]="A",WORKDAY(Main[[#This Row],[Tech Start Date]],9),""))))</f>
        <v/>
      </c>
      <c r="Q785" s="101">
        <v>40529</v>
      </c>
      <c r="R785" s="101"/>
      <c r="S785" s="99" t="s">
        <v>4</v>
      </c>
      <c r="T785" s="107" t="s">
        <v>4</v>
      </c>
      <c r="U785" s="99" t="s">
        <v>7</v>
      </c>
      <c r="V785" s="99" t="s">
        <v>1962</v>
      </c>
      <c r="W785" s="99" t="s">
        <v>4</v>
      </c>
    </row>
    <row r="786" spans="1:23" ht="18.600000000000001" customHeight="1">
      <c r="A786" s="123" t="str">
        <f>IF(priority(Main[[#This Row],[Comments]])&lt;&gt;0, priority(Main[[#This Row],[Comments]]),"")</f>
        <v/>
      </c>
      <c r="B786" s="127" t="s">
        <v>1642</v>
      </c>
      <c r="C786" s="99" t="s">
        <v>72</v>
      </c>
      <c r="D786" s="100" t="s">
        <v>653</v>
      </c>
      <c r="E786" s="101"/>
      <c r="F786" s="101"/>
      <c r="G786" s="102" t="str">
        <f>IF(stdProdLT(Main[[#This Row],[Comments]])=0.1,"N/A",IF(stdProdLT(Main[[#This Row],[Comments]])=0,"",stdProdLT(Main[[#This Row],[Comments]])))</f>
        <v/>
      </c>
      <c r="H786" s="103" t="str">
        <f>IF(AND(Main[[#This Row],[In Stock Date]]&lt;&gt;"",Main[[#This Row],[Revised Due Date]]&lt;&gt;""),Main[[#This Row],[In Stock Date]]-Main[[#This Row],[Revised Due Date]],"")</f>
        <v/>
      </c>
      <c r="I786" s="99" t="s">
        <v>4</v>
      </c>
      <c r="J786" s="99" t="s">
        <v>4</v>
      </c>
      <c r="K786" s="99" t="s">
        <v>4</v>
      </c>
      <c r="L786" s="101"/>
      <c r="M786" s="104" t="str">
        <f>IF(Main[[#This Row],[Tech Start Date]]&lt;1/1/1990,"",IF(Main[[#This Row],[Class]]="C",WORKDAY(Main[[#This Row],[Tech Start Date]],9),IF(Main[[#This Row],[Class]]="B", WORKDAY(Main[[#This Row],[Tech Start Date]],6),IF(Main[[#This Row],[Class]]="A",WORKDAY(Main[[#This Row],[Tech Start Date]],2),""))))</f>
        <v/>
      </c>
      <c r="N786" s="104" t="str">
        <f>IF(Main[[#This Row],[Tech Start Date]]&lt;1/1/1990,"",IF(Main[[#This Row],[Class]]="C",WORKDAY(Main[[#This Row],[Tech Start Date]],19),IF(Main[[#This Row],[Class]]="B", WORKDAY(Main[[#This Row],[Tech Start Date]],12),IF(Main[[#This Row],[Class]]="A",WORKDAY(Main[[#This Row],[Tech Start Date]],4),""))))</f>
        <v/>
      </c>
      <c r="O786" s="104" t="str">
        <f>IF(Main[[#This Row],[Tech Start Date]]&lt;1/1/1990,"",IF(Main[[#This Row],[Class]]="C",WORKDAY(Main[[#This Row],[Tech Start Date]],23),IF(Main[[#This Row],[Class]]="B", WORKDAY(Main[[#This Row],[Tech Start Date]],15),IF(Main[[#This Row],[Class]]="A",WORKDAY(Main[[#This Row],[Tech Start Date]],5),""))))</f>
        <v/>
      </c>
      <c r="P786" s="104" t="str">
        <f>IF(Main[[#This Row],[Tech Start Date]]&lt;1/1/1990,"",IF(Main[[#This Row],[Class]]="C",WORKDAY(Main[[#This Row],[Tech Start Date]],28),IF(Main[[#This Row],[Class]]="B", WORKDAY(Main[[#This Row],[Tech Start Date]],19),IF(Main[[#This Row],[Class]]="A",WORKDAY(Main[[#This Row],[Tech Start Date]],9),""))))</f>
        <v/>
      </c>
      <c r="Q786" s="101"/>
      <c r="R786" s="101"/>
      <c r="S786" s="99" t="s">
        <v>49</v>
      </c>
      <c r="T786" s="107" t="s">
        <v>4</v>
      </c>
      <c r="U786" s="99" t="s">
        <v>12</v>
      </c>
      <c r="V786" s="99" t="s">
        <v>1963</v>
      </c>
      <c r="W786" s="99" t="s">
        <v>1964</v>
      </c>
    </row>
    <row r="787" spans="1:23" ht="18.600000000000001" customHeight="1">
      <c r="A787" s="123" t="str">
        <f>IF(priority(Main[[#This Row],[Comments]])&lt;&gt;0, priority(Main[[#This Row],[Comments]]),"")</f>
        <v/>
      </c>
      <c r="B787" s="127" t="s">
        <v>1644</v>
      </c>
      <c r="C787" s="99" t="s">
        <v>4</v>
      </c>
      <c r="D787" s="100" t="s">
        <v>688</v>
      </c>
      <c r="E787" s="101">
        <v>40666.673935185187</v>
      </c>
      <c r="F787" s="101"/>
      <c r="G787" s="102" t="str">
        <f>IF(stdProdLT(Main[[#This Row],[Comments]])=0.1,"N/A",IF(stdProdLT(Main[[#This Row],[Comments]])=0,"",stdProdLT(Main[[#This Row],[Comments]])))</f>
        <v/>
      </c>
      <c r="H787" s="103" t="str">
        <f>IF(AND(Main[[#This Row],[In Stock Date]]&lt;&gt;"",Main[[#This Row],[Revised Due Date]]&lt;&gt;""),Main[[#This Row],[In Stock Date]]-Main[[#This Row],[Revised Due Date]],"")</f>
        <v/>
      </c>
      <c r="I787" s="99" t="s">
        <v>375</v>
      </c>
      <c r="J787" s="99" t="s">
        <v>4</v>
      </c>
      <c r="K787" s="99" t="s">
        <v>4</v>
      </c>
      <c r="L787" s="101"/>
      <c r="M787" s="104" t="str">
        <f>IF(Main[[#This Row],[Tech Start Date]]&lt;1/1/1990,"",IF(Main[[#This Row],[Class]]="C",WORKDAY(Main[[#This Row],[Tech Start Date]],9),IF(Main[[#This Row],[Class]]="B", WORKDAY(Main[[#This Row],[Tech Start Date]],6),IF(Main[[#This Row],[Class]]="A",WORKDAY(Main[[#This Row],[Tech Start Date]],2),""))))</f>
        <v/>
      </c>
      <c r="N787" s="104" t="str">
        <f>IF(Main[[#This Row],[Tech Start Date]]&lt;1/1/1990,"",IF(Main[[#This Row],[Class]]="C",WORKDAY(Main[[#This Row],[Tech Start Date]],19),IF(Main[[#This Row],[Class]]="B", WORKDAY(Main[[#This Row],[Tech Start Date]],12),IF(Main[[#This Row],[Class]]="A",WORKDAY(Main[[#This Row],[Tech Start Date]],4),""))))</f>
        <v/>
      </c>
      <c r="O787" s="104" t="str">
        <f>IF(Main[[#This Row],[Tech Start Date]]&lt;1/1/1990,"",IF(Main[[#This Row],[Class]]="C",WORKDAY(Main[[#This Row],[Tech Start Date]],23),IF(Main[[#This Row],[Class]]="B", WORKDAY(Main[[#This Row],[Tech Start Date]],15),IF(Main[[#This Row],[Class]]="A",WORKDAY(Main[[#This Row],[Tech Start Date]],5),""))))</f>
        <v/>
      </c>
      <c r="P787" s="104" t="str">
        <f>IF(Main[[#This Row],[Tech Start Date]]&lt;1/1/1990,"",IF(Main[[#This Row],[Class]]="C",WORKDAY(Main[[#This Row],[Tech Start Date]],28),IF(Main[[#This Row],[Class]]="B", WORKDAY(Main[[#This Row],[Tech Start Date]],19),IF(Main[[#This Row],[Class]]="A",WORKDAY(Main[[#This Row],[Tech Start Date]],9),""))))</f>
        <v/>
      </c>
      <c r="Q787" s="101"/>
      <c r="R787" s="101"/>
      <c r="S787" s="99" t="s">
        <v>6</v>
      </c>
      <c r="T787" s="107" t="s">
        <v>4</v>
      </c>
      <c r="U787" s="99" t="s">
        <v>29</v>
      </c>
      <c r="V787" s="99" t="s">
        <v>1965</v>
      </c>
      <c r="W787" s="99" t="s">
        <v>1966</v>
      </c>
    </row>
    <row r="788" spans="1:23" ht="18.600000000000001" customHeight="1">
      <c r="A788" s="123" t="str">
        <f>IF(priority(Main[[#This Row],[Comments]])&lt;&gt;0, priority(Main[[#This Row],[Comments]]),"")</f>
        <v/>
      </c>
      <c r="B788" s="127" t="s">
        <v>1645</v>
      </c>
      <c r="C788" s="99" t="s">
        <v>4</v>
      </c>
      <c r="D788" s="100" t="s">
        <v>689</v>
      </c>
      <c r="E788" s="101">
        <v>40603.482094907406</v>
      </c>
      <c r="F788" s="101"/>
      <c r="G788" s="102" t="str">
        <f>IF(stdProdLT(Main[[#This Row],[Comments]])=0.1,"N/A",IF(stdProdLT(Main[[#This Row],[Comments]])=0,"",stdProdLT(Main[[#This Row],[Comments]])))</f>
        <v/>
      </c>
      <c r="H788" s="103" t="str">
        <f>IF(AND(Main[[#This Row],[In Stock Date]]&lt;&gt;"",Main[[#This Row],[Revised Due Date]]&lt;&gt;""),Main[[#This Row],[In Stock Date]]-Main[[#This Row],[Revised Due Date]],"")</f>
        <v/>
      </c>
      <c r="I788" s="99" t="s">
        <v>44</v>
      </c>
      <c r="J788" s="99" t="s">
        <v>28</v>
      </c>
      <c r="K788" s="99" t="s">
        <v>1971</v>
      </c>
      <c r="L788" s="101"/>
      <c r="M788" s="104" t="str">
        <f>IF(Main[[#This Row],[Tech Start Date]]&lt;1/1/1990,"",IF(Main[[#This Row],[Class]]="C",WORKDAY(Main[[#This Row],[Tech Start Date]],9),IF(Main[[#This Row],[Class]]="B", WORKDAY(Main[[#This Row],[Tech Start Date]],6),IF(Main[[#This Row],[Class]]="A",WORKDAY(Main[[#This Row],[Tech Start Date]],2),""))))</f>
        <v/>
      </c>
      <c r="N788" s="104" t="str">
        <f>IF(Main[[#This Row],[Tech Start Date]]&lt;1/1/1990,"",IF(Main[[#This Row],[Class]]="C",WORKDAY(Main[[#This Row],[Tech Start Date]],19),IF(Main[[#This Row],[Class]]="B", WORKDAY(Main[[#This Row],[Tech Start Date]],12),IF(Main[[#This Row],[Class]]="A",WORKDAY(Main[[#This Row],[Tech Start Date]],4),""))))</f>
        <v/>
      </c>
      <c r="O788" s="104" t="str">
        <f>IF(Main[[#This Row],[Tech Start Date]]&lt;1/1/1990,"",IF(Main[[#This Row],[Class]]="C",WORKDAY(Main[[#This Row],[Tech Start Date]],23),IF(Main[[#This Row],[Class]]="B", WORKDAY(Main[[#This Row],[Tech Start Date]],15),IF(Main[[#This Row],[Class]]="A",WORKDAY(Main[[#This Row],[Tech Start Date]],5),""))))</f>
        <v/>
      </c>
      <c r="P788" s="104" t="str">
        <f>IF(Main[[#This Row],[Tech Start Date]]&lt;1/1/1990,"",IF(Main[[#This Row],[Class]]="C",WORKDAY(Main[[#This Row],[Tech Start Date]],28),IF(Main[[#This Row],[Class]]="B", WORKDAY(Main[[#This Row],[Tech Start Date]],19),IF(Main[[#This Row],[Class]]="A",WORKDAY(Main[[#This Row],[Tech Start Date]],9),""))))</f>
        <v/>
      </c>
      <c r="Q788" s="101">
        <v>40637</v>
      </c>
      <c r="R788" s="101"/>
      <c r="S788" s="99" t="s">
        <v>6</v>
      </c>
      <c r="T788" s="107" t="s">
        <v>4</v>
      </c>
      <c r="U788" s="99" t="s">
        <v>7</v>
      </c>
      <c r="V788" s="99" t="s">
        <v>1962</v>
      </c>
      <c r="W788" s="99" t="s">
        <v>1964</v>
      </c>
    </row>
    <row r="789" spans="1:23" ht="18.600000000000001" customHeight="1">
      <c r="A789" s="123" t="str">
        <f>IF(priority(Main[[#This Row],[Comments]])&lt;&gt;0, priority(Main[[#This Row],[Comments]]),"")</f>
        <v/>
      </c>
      <c r="B789" s="127" t="s">
        <v>1646</v>
      </c>
      <c r="C789" s="99" t="s">
        <v>113</v>
      </c>
      <c r="D789" s="100" t="s">
        <v>690</v>
      </c>
      <c r="E789" s="101"/>
      <c r="F789" s="101">
        <v>40193</v>
      </c>
      <c r="G789" s="102" t="str">
        <f>IF(stdProdLT(Main[[#This Row],[Comments]])=0.1,"N/A",IF(stdProdLT(Main[[#This Row],[Comments]])=0,"",stdProdLT(Main[[#This Row],[Comments]])))</f>
        <v/>
      </c>
      <c r="H789" s="103" t="str">
        <f>IF(AND(Main[[#This Row],[In Stock Date]]&lt;&gt;"",Main[[#This Row],[Revised Due Date]]&lt;&gt;""),Main[[#This Row],[In Stock Date]]-Main[[#This Row],[Revised Due Date]],"")</f>
        <v/>
      </c>
      <c r="I789" s="99" t="s">
        <v>4</v>
      </c>
      <c r="J789" s="99" t="s">
        <v>4</v>
      </c>
      <c r="K789" s="99" t="s">
        <v>4</v>
      </c>
      <c r="L789" s="101"/>
      <c r="M789" s="104" t="str">
        <f>IF(Main[[#This Row],[Tech Start Date]]&lt;1/1/1990,"",IF(Main[[#This Row],[Class]]="C",WORKDAY(Main[[#This Row],[Tech Start Date]],9),IF(Main[[#This Row],[Class]]="B", WORKDAY(Main[[#This Row],[Tech Start Date]],6),IF(Main[[#This Row],[Class]]="A",WORKDAY(Main[[#This Row],[Tech Start Date]],2),""))))</f>
        <v/>
      </c>
      <c r="N789" s="104" t="str">
        <f>IF(Main[[#This Row],[Tech Start Date]]&lt;1/1/1990,"",IF(Main[[#This Row],[Class]]="C",WORKDAY(Main[[#This Row],[Tech Start Date]],19),IF(Main[[#This Row],[Class]]="B", WORKDAY(Main[[#This Row],[Tech Start Date]],12),IF(Main[[#This Row],[Class]]="A",WORKDAY(Main[[#This Row],[Tech Start Date]],4),""))))</f>
        <v/>
      </c>
      <c r="O789" s="104" t="str">
        <f>IF(Main[[#This Row],[Tech Start Date]]&lt;1/1/1990,"",IF(Main[[#This Row],[Class]]="C",WORKDAY(Main[[#This Row],[Tech Start Date]],23),IF(Main[[#This Row],[Class]]="B", WORKDAY(Main[[#This Row],[Tech Start Date]],15),IF(Main[[#This Row],[Class]]="A",WORKDAY(Main[[#This Row],[Tech Start Date]],5),""))))</f>
        <v/>
      </c>
      <c r="P789" s="104" t="str">
        <f>IF(Main[[#This Row],[Tech Start Date]]&lt;1/1/1990,"",IF(Main[[#This Row],[Class]]="C",WORKDAY(Main[[#This Row],[Tech Start Date]],28),IF(Main[[#This Row],[Class]]="B", WORKDAY(Main[[#This Row],[Tech Start Date]],19),IF(Main[[#This Row],[Class]]="A",WORKDAY(Main[[#This Row],[Tech Start Date]],9),""))))</f>
        <v/>
      </c>
      <c r="Q789" s="101">
        <v>40470</v>
      </c>
      <c r="R789" s="101"/>
      <c r="S789" s="99" t="s">
        <v>11</v>
      </c>
      <c r="T789" s="107" t="s">
        <v>4</v>
      </c>
      <c r="U789" s="99" t="s">
        <v>14</v>
      </c>
      <c r="V789" s="99" t="s">
        <v>1972</v>
      </c>
      <c r="W789" s="99" t="s">
        <v>1968</v>
      </c>
    </row>
    <row r="790" spans="1:23" ht="18.600000000000001" customHeight="1">
      <c r="A790" s="123" t="str">
        <f>IF(priority(Main[[#This Row],[Comments]])&lt;&gt;0, priority(Main[[#This Row],[Comments]]),"")</f>
        <v/>
      </c>
      <c r="B790" s="127" t="s">
        <v>1647</v>
      </c>
      <c r="C790" s="99" t="s">
        <v>4</v>
      </c>
      <c r="D790" s="100" t="s">
        <v>691</v>
      </c>
      <c r="E790" s="101"/>
      <c r="F790" s="101"/>
      <c r="G790" s="102" t="str">
        <f>IF(stdProdLT(Main[[#This Row],[Comments]])=0.1,"N/A",IF(stdProdLT(Main[[#This Row],[Comments]])=0,"",stdProdLT(Main[[#This Row],[Comments]])))</f>
        <v/>
      </c>
      <c r="H790" s="103" t="str">
        <f>IF(AND(Main[[#This Row],[In Stock Date]]&lt;&gt;"",Main[[#This Row],[Revised Due Date]]&lt;&gt;""),Main[[#This Row],[In Stock Date]]-Main[[#This Row],[Revised Due Date]],"")</f>
        <v/>
      </c>
      <c r="I790" s="99" t="s">
        <v>423</v>
      </c>
      <c r="J790" s="99" t="s">
        <v>4</v>
      </c>
      <c r="K790" s="108" t="s">
        <v>4</v>
      </c>
      <c r="L790" s="101"/>
      <c r="M790" s="104" t="str">
        <f>IF(Main[[#This Row],[Tech Start Date]]&lt;1/1/1990,"",IF(Main[[#This Row],[Class]]="C",WORKDAY(Main[[#This Row],[Tech Start Date]],9),IF(Main[[#This Row],[Class]]="B", WORKDAY(Main[[#This Row],[Tech Start Date]],6),IF(Main[[#This Row],[Class]]="A",WORKDAY(Main[[#This Row],[Tech Start Date]],2),""))))</f>
        <v/>
      </c>
      <c r="N790" s="104" t="str">
        <f>IF(Main[[#This Row],[Tech Start Date]]&lt;1/1/1990,"",IF(Main[[#This Row],[Class]]="C",WORKDAY(Main[[#This Row],[Tech Start Date]],19),IF(Main[[#This Row],[Class]]="B", WORKDAY(Main[[#This Row],[Tech Start Date]],12),IF(Main[[#This Row],[Class]]="A",WORKDAY(Main[[#This Row],[Tech Start Date]],4),""))))</f>
        <v/>
      </c>
      <c r="O790" s="104" t="str">
        <f>IF(Main[[#This Row],[Tech Start Date]]&lt;1/1/1990,"",IF(Main[[#This Row],[Class]]="C",WORKDAY(Main[[#This Row],[Tech Start Date]],23),IF(Main[[#This Row],[Class]]="B", WORKDAY(Main[[#This Row],[Tech Start Date]],15),IF(Main[[#This Row],[Class]]="A",WORKDAY(Main[[#This Row],[Tech Start Date]],5),""))))</f>
        <v/>
      </c>
      <c r="P790" s="104" t="str">
        <f>IF(Main[[#This Row],[Tech Start Date]]&lt;1/1/1990,"",IF(Main[[#This Row],[Class]]="C",WORKDAY(Main[[#This Row],[Tech Start Date]],28),IF(Main[[#This Row],[Class]]="B", WORKDAY(Main[[#This Row],[Tech Start Date]],19),IF(Main[[#This Row],[Class]]="A",WORKDAY(Main[[#This Row],[Tech Start Date]],9),""))))</f>
        <v/>
      </c>
      <c r="Q790" s="101"/>
      <c r="R790" s="101"/>
      <c r="S790" s="99" t="s">
        <v>23</v>
      </c>
      <c r="T790" s="107" t="s">
        <v>4</v>
      </c>
      <c r="U790" s="99" t="s">
        <v>14</v>
      </c>
      <c r="V790" s="99" t="s">
        <v>1965</v>
      </c>
      <c r="W790" s="99" t="s">
        <v>1966</v>
      </c>
    </row>
    <row r="791" spans="1:23" ht="18.600000000000001" customHeight="1">
      <c r="A791" s="123" t="str">
        <f>IF(priority(Main[[#This Row],[Comments]])&lt;&gt;0, priority(Main[[#This Row],[Comments]]),"")</f>
        <v/>
      </c>
      <c r="B791" s="127" t="s">
        <v>1651</v>
      </c>
      <c r="C791" s="99" t="s">
        <v>695</v>
      </c>
      <c r="D791" s="100" t="s">
        <v>696</v>
      </c>
      <c r="E791" s="101"/>
      <c r="F791" s="101">
        <v>40527</v>
      </c>
      <c r="G791" s="102" t="str">
        <f>IF(stdProdLT(Main[[#This Row],[Comments]])=0.1,"N/A",IF(stdProdLT(Main[[#This Row],[Comments]])=0,"",stdProdLT(Main[[#This Row],[Comments]])))</f>
        <v/>
      </c>
      <c r="H791" s="103" t="str">
        <f>IF(AND(Main[[#This Row],[In Stock Date]]&lt;&gt;"",Main[[#This Row],[Revised Due Date]]&lt;&gt;""),Main[[#This Row],[In Stock Date]]-Main[[#This Row],[Revised Due Date]],"")</f>
        <v/>
      </c>
      <c r="I791" s="99" t="s">
        <v>4</v>
      </c>
      <c r="J791" s="99" t="s">
        <v>4</v>
      </c>
      <c r="K791" s="99" t="s">
        <v>4</v>
      </c>
      <c r="L791" s="101"/>
      <c r="M791" s="104" t="str">
        <f>IF(Main[[#This Row],[Tech Start Date]]&lt;1/1/1990,"",IF(Main[[#This Row],[Class]]="C",WORKDAY(Main[[#This Row],[Tech Start Date]],9),IF(Main[[#This Row],[Class]]="B", WORKDAY(Main[[#This Row],[Tech Start Date]],6),IF(Main[[#This Row],[Class]]="A",WORKDAY(Main[[#This Row],[Tech Start Date]],2),""))))</f>
        <v/>
      </c>
      <c r="N791" s="104" t="str">
        <f>IF(Main[[#This Row],[Tech Start Date]]&lt;1/1/1990,"",IF(Main[[#This Row],[Class]]="C",WORKDAY(Main[[#This Row],[Tech Start Date]],19),IF(Main[[#This Row],[Class]]="B", WORKDAY(Main[[#This Row],[Tech Start Date]],12),IF(Main[[#This Row],[Class]]="A",WORKDAY(Main[[#This Row],[Tech Start Date]],4),""))))</f>
        <v/>
      </c>
      <c r="O791" s="104" t="str">
        <f>IF(Main[[#This Row],[Tech Start Date]]&lt;1/1/1990,"",IF(Main[[#This Row],[Class]]="C",WORKDAY(Main[[#This Row],[Tech Start Date]],23),IF(Main[[#This Row],[Class]]="B", WORKDAY(Main[[#This Row],[Tech Start Date]],15),IF(Main[[#This Row],[Class]]="A",WORKDAY(Main[[#This Row],[Tech Start Date]],5),""))))</f>
        <v/>
      </c>
      <c r="P791" s="104" t="str">
        <f>IF(Main[[#This Row],[Tech Start Date]]&lt;1/1/1990,"",IF(Main[[#This Row],[Class]]="C",WORKDAY(Main[[#This Row],[Tech Start Date]],28),IF(Main[[#This Row],[Class]]="B", WORKDAY(Main[[#This Row],[Tech Start Date]],19),IF(Main[[#This Row],[Class]]="A",WORKDAY(Main[[#This Row],[Tech Start Date]],9),""))))</f>
        <v/>
      </c>
      <c r="Q791" s="101">
        <v>40480</v>
      </c>
      <c r="R791" s="101"/>
      <c r="S791" s="99" t="s">
        <v>11</v>
      </c>
      <c r="T791" s="107" t="s">
        <v>4</v>
      </c>
      <c r="U791" s="99" t="s">
        <v>14</v>
      </c>
      <c r="V791" s="99" t="s">
        <v>1963</v>
      </c>
      <c r="W791" s="99" t="s">
        <v>1968</v>
      </c>
    </row>
    <row r="792" spans="1:23" ht="18.600000000000001" customHeight="1">
      <c r="A792" s="123" t="str">
        <f>IF(priority(Main[[#This Row],[Comments]])&lt;&gt;0, priority(Main[[#This Row],[Comments]]),"")</f>
        <v/>
      </c>
      <c r="B792" s="127" t="s">
        <v>1652</v>
      </c>
      <c r="C792" s="99" t="s">
        <v>4</v>
      </c>
      <c r="D792" s="100" t="s">
        <v>697</v>
      </c>
      <c r="E792" s="101"/>
      <c r="F792" s="101"/>
      <c r="G792" s="102" t="str">
        <f>IF(stdProdLT(Main[[#This Row],[Comments]])=0.1,"N/A",IF(stdProdLT(Main[[#This Row],[Comments]])=0,"",stdProdLT(Main[[#This Row],[Comments]])))</f>
        <v/>
      </c>
      <c r="H792" s="103" t="str">
        <f>IF(AND(Main[[#This Row],[In Stock Date]]&lt;&gt;"",Main[[#This Row],[Revised Due Date]]&lt;&gt;""),Main[[#This Row],[In Stock Date]]-Main[[#This Row],[Revised Due Date]],"")</f>
        <v/>
      </c>
      <c r="I792" s="99" t="s">
        <v>4</v>
      </c>
      <c r="J792" s="99" t="s">
        <v>4</v>
      </c>
      <c r="K792" s="99" t="s">
        <v>4</v>
      </c>
      <c r="L792" s="101"/>
      <c r="M792" s="104" t="str">
        <f>IF(Main[[#This Row],[Tech Start Date]]&lt;1/1/1990,"",IF(Main[[#This Row],[Class]]="C",WORKDAY(Main[[#This Row],[Tech Start Date]],9),IF(Main[[#This Row],[Class]]="B", WORKDAY(Main[[#This Row],[Tech Start Date]],6),IF(Main[[#This Row],[Class]]="A",WORKDAY(Main[[#This Row],[Tech Start Date]],2),""))))</f>
        <v/>
      </c>
      <c r="N792" s="104" t="str">
        <f>IF(Main[[#This Row],[Tech Start Date]]&lt;1/1/1990,"",IF(Main[[#This Row],[Class]]="C",WORKDAY(Main[[#This Row],[Tech Start Date]],19),IF(Main[[#This Row],[Class]]="B", WORKDAY(Main[[#This Row],[Tech Start Date]],12),IF(Main[[#This Row],[Class]]="A",WORKDAY(Main[[#This Row],[Tech Start Date]],4),""))))</f>
        <v/>
      </c>
      <c r="O792" s="104" t="str">
        <f>IF(Main[[#This Row],[Tech Start Date]]&lt;1/1/1990,"",IF(Main[[#This Row],[Class]]="C",WORKDAY(Main[[#This Row],[Tech Start Date]],23),IF(Main[[#This Row],[Class]]="B", WORKDAY(Main[[#This Row],[Tech Start Date]],15),IF(Main[[#This Row],[Class]]="A",WORKDAY(Main[[#This Row],[Tech Start Date]],5),""))))</f>
        <v/>
      </c>
      <c r="P792" s="104" t="str">
        <f>IF(Main[[#This Row],[Tech Start Date]]&lt;1/1/1990,"",IF(Main[[#This Row],[Class]]="C",WORKDAY(Main[[#This Row],[Tech Start Date]],28),IF(Main[[#This Row],[Class]]="B", WORKDAY(Main[[#This Row],[Tech Start Date]],19),IF(Main[[#This Row],[Class]]="A",WORKDAY(Main[[#This Row],[Tech Start Date]],9),""))))</f>
        <v/>
      </c>
      <c r="Q792" s="101"/>
      <c r="R792" s="101"/>
      <c r="S792" s="99" t="s">
        <v>6</v>
      </c>
      <c r="T792" s="107" t="s">
        <v>4</v>
      </c>
      <c r="U792" s="99" t="s">
        <v>14</v>
      </c>
      <c r="V792" s="99" t="s">
        <v>1962</v>
      </c>
      <c r="W792" s="99" t="s">
        <v>1970</v>
      </c>
    </row>
    <row r="793" spans="1:23" ht="18.600000000000001" customHeight="1">
      <c r="A793" s="123" t="str">
        <f>IF(priority(Main[[#This Row],[Comments]])&lt;&gt;0, priority(Main[[#This Row],[Comments]]),"")</f>
        <v/>
      </c>
      <c r="B793" s="127" t="s">
        <v>2496</v>
      </c>
      <c r="C793" s="99" t="s">
        <v>4</v>
      </c>
      <c r="D793" s="100" t="s">
        <v>2497</v>
      </c>
      <c r="E793" s="101"/>
      <c r="F793" s="101"/>
      <c r="G793" s="102" t="str">
        <f>IF(stdProdLT(Main[[#This Row],[Comments]])=0.1,"N/A",IF(stdProdLT(Main[[#This Row],[Comments]])=0,"",stdProdLT(Main[[#This Row],[Comments]])))</f>
        <v/>
      </c>
      <c r="H793" s="103" t="str">
        <f>IF(AND(Main[[#This Row],[In Stock Date]]&lt;&gt;"",Main[[#This Row],[Revised Due Date]]&lt;&gt;""),Main[[#This Row],[In Stock Date]]-Main[[#This Row],[Revised Due Date]],"")</f>
        <v/>
      </c>
      <c r="I793" s="99" t="s">
        <v>4</v>
      </c>
      <c r="J793" s="99" t="s">
        <v>70</v>
      </c>
      <c r="K793" s="99" t="s">
        <v>4</v>
      </c>
      <c r="L793" s="101"/>
      <c r="M793" s="104" t="str">
        <f>IF(Main[[#This Row],[Tech Start Date]]&lt;1/1/1990,"",IF(Main[[#This Row],[Class]]="C",WORKDAY(Main[[#This Row],[Tech Start Date]],9),IF(Main[[#This Row],[Class]]="B", WORKDAY(Main[[#This Row],[Tech Start Date]],6),IF(Main[[#This Row],[Class]]="A",WORKDAY(Main[[#This Row],[Tech Start Date]],2),""))))</f>
        <v/>
      </c>
      <c r="N793" s="104" t="str">
        <f>IF(Main[[#This Row],[Tech Start Date]]&lt;1/1/1990,"",IF(Main[[#This Row],[Class]]="C",WORKDAY(Main[[#This Row],[Tech Start Date]],19),IF(Main[[#This Row],[Class]]="B", WORKDAY(Main[[#This Row],[Tech Start Date]],12),IF(Main[[#This Row],[Class]]="A",WORKDAY(Main[[#This Row],[Tech Start Date]],4),""))))</f>
        <v/>
      </c>
      <c r="O793" s="104" t="str">
        <f>IF(Main[[#This Row],[Tech Start Date]]&lt;1/1/1990,"",IF(Main[[#This Row],[Class]]="C",WORKDAY(Main[[#This Row],[Tech Start Date]],23),IF(Main[[#This Row],[Class]]="B", WORKDAY(Main[[#This Row],[Tech Start Date]],15),IF(Main[[#This Row],[Class]]="A",WORKDAY(Main[[#This Row],[Tech Start Date]],5),""))))</f>
        <v/>
      </c>
      <c r="P793" s="104" t="str">
        <f>IF(Main[[#This Row],[Tech Start Date]]&lt;1/1/1990,"",IF(Main[[#This Row],[Class]]="C",WORKDAY(Main[[#This Row],[Tech Start Date]],28),IF(Main[[#This Row],[Class]]="B", WORKDAY(Main[[#This Row],[Tech Start Date]],19),IF(Main[[#This Row],[Class]]="A",WORKDAY(Main[[#This Row],[Tech Start Date]],9),""))))</f>
        <v/>
      </c>
      <c r="Q793" s="101">
        <v>40877</v>
      </c>
      <c r="R793" s="101"/>
      <c r="S793" s="99" t="s">
        <v>6</v>
      </c>
      <c r="T793" s="107" t="s">
        <v>4</v>
      </c>
      <c r="U793" s="99" t="s">
        <v>14</v>
      </c>
      <c r="V793" s="99" t="s">
        <v>1965</v>
      </c>
      <c r="W793" s="99" t="s">
        <v>1966</v>
      </c>
    </row>
    <row r="794" spans="1:23" ht="18.600000000000001" customHeight="1">
      <c r="A794" s="123" t="str">
        <f>IF(priority(Main[[#This Row],[Comments]])&lt;&gt;0, priority(Main[[#This Row],[Comments]]),"")</f>
        <v/>
      </c>
      <c r="B794" s="127" t="s">
        <v>1653</v>
      </c>
      <c r="C794" s="99" t="s">
        <v>4</v>
      </c>
      <c r="D794" s="100" t="s">
        <v>698</v>
      </c>
      <c r="E794" s="101"/>
      <c r="F794" s="101"/>
      <c r="G794" s="102" t="str">
        <f>IF(stdProdLT(Main[[#This Row],[Comments]])=0.1,"N/A",IF(stdProdLT(Main[[#This Row],[Comments]])=0,"",stdProdLT(Main[[#This Row],[Comments]])))</f>
        <v/>
      </c>
      <c r="H794" s="103" t="str">
        <f>IF(AND(Main[[#This Row],[In Stock Date]]&lt;&gt;"",Main[[#This Row],[Revised Due Date]]&lt;&gt;""),Main[[#This Row],[In Stock Date]]-Main[[#This Row],[Revised Due Date]],"")</f>
        <v/>
      </c>
      <c r="I794" s="99" t="s">
        <v>4</v>
      </c>
      <c r="J794" s="99" t="s">
        <v>4</v>
      </c>
      <c r="K794" s="108" t="s">
        <v>4</v>
      </c>
      <c r="L794" s="101"/>
      <c r="M794" s="104" t="str">
        <f>IF(Main[[#This Row],[Tech Start Date]]&lt;1/1/1990,"",IF(Main[[#This Row],[Class]]="C",WORKDAY(Main[[#This Row],[Tech Start Date]],9),IF(Main[[#This Row],[Class]]="B", WORKDAY(Main[[#This Row],[Tech Start Date]],6),IF(Main[[#This Row],[Class]]="A",WORKDAY(Main[[#This Row],[Tech Start Date]],2),""))))</f>
        <v/>
      </c>
      <c r="N794" s="104" t="str">
        <f>IF(Main[[#This Row],[Tech Start Date]]&lt;1/1/1990,"",IF(Main[[#This Row],[Class]]="C",WORKDAY(Main[[#This Row],[Tech Start Date]],19),IF(Main[[#This Row],[Class]]="B", WORKDAY(Main[[#This Row],[Tech Start Date]],12),IF(Main[[#This Row],[Class]]="A",WORKDAY(Main[[#This Row],[Tech Start Date]],4),""))))</f>
        <v/>
      </c>
      <c r="O794" s="104" t="str">
        <f>IF(Main[[#This Row],[Tech Start Date]]&lt;1/1/1990,"",IF(Main[[#This Row],[Class]]="C",WORKDAY(Main[[#This Row],[Tech Start Date]],23),IF(Main[[#This Row],[Class]]="B", WORKDAY(Main[[#This Row],[Tech Start Date]],15),IF(Main[[#This Row],[Class]]="A",WORKDAY(Main[[#This Row],[Tech Start Date]],5),""))))</f>
        <v/>
      </c>
      <c r="P794" s="104" t="str">
        <f>IF(Main[[#This Row],[Tech Start Date]]&lt;1/1/1990,"",IF(Main[[#This Row],[Class]]="C",WORKDAY(Main[[#This Row],[Tech Start Date]],28),IF(Main[[#This Row],[Class]]="B", WORKDAY(Main[[#This Row],[Tech Start Date]],19),IF(Main[[#This Row],[Class]]="A",WORKDAY(Main[[#This Row],[Tech Start Date]],9),""))))</f>
        <v/>
      </c>
      <c r="Q794" s="101"/>
      <c r="R794" s="101"/>
      <c r="S794" s="99" t="s">
        <v>6</v>
      </c>
      <c r="T794" s="107" t="s">
        <v>4</v>
      </c>
      <c r="U794" s="99" t="s">
        <v>14</v>
      </c>
      <c r="V794" s="99" t="s">
        <v>1962</v>
      </c>
      <c r="W794" s="99" t="s">
        <v>4</v>
      </c>
    </row>
    <row r="795" spans="1:23" ht="18.600000000000001" customHeight="1">
      <c r="A795" s="123" t="str">
        <f>IF(priority(Main[[#This Row],[Comments]])&lt;&gt;0, priority(Main[[#This Row],[Comments]]),"")</f>
        <v/>
      </c>
      <c r="B795" s="127" t="s">
        <v>3033</v>
      </c>
      <c r="C795" s="99" t="s">
        <v>4</v>
      </c>
      <c r="D795" s="100" t="s">
        <v>3034</v>
      </c>
      <c r="E795" s="101"/>
      <c r="F795" s="101"/>
      <c r="G795" s="102" t="str">
        <f>IF(stdProdLT(Main[[#This Row],[Comments]])=0.1,"N/A",IF(stdProdLT(Main[[#This Row],[Comments]])=0,"",stdProdLT(Main[[#This Row],[Comments]])))</f>
        <v/>
      </c>
      <c r="H795" s="103" t="str">
        <f>IF(AND(Main[[#This Row],[In Stock Date]]&lt;&gt;"",Main[[#This Row],[Revised Due Date]]&lt;&gt;""),Main[[#This Row],[In Stock Date]]-Main[[#This Row],[Revised Due Date]],"")</f>
        <v/>
      </c>
      <c r="I795" s="99" t="s">
        <v>4</v>
      </c>
      <c r="J795" s="99" t="s">
        <v>4</v>
      </c>
      <c r="K795" s="99" t="s">
        <v>4</v>
      </c>
      <c r="L795" s="101"/>
      <c r="M795" s="104" t="str">
        <f>IF(Main[[#This Row],[Tech Start Date]]&lt;1/1/1990,"",IF(Main[[#This Row],[Class]]="C",WORKDAY(Main[[#This Row],[Tech Start Date]],9),IF(Main[[#This Row],[Class]]="B", WORKDAY(Main[[#This Row],[Tech Start Date]],6),IF(Main[[#This Row],[Class]]="A",WORKDAY(Main[[#This Row],[Tech Start Date]],2),""))))</f>
        <v/>
      </c>
      <c r="N795" s="104" t="str">
        <f>IF(Main[[#This Row],[Tech Start Date]]&lt;1/1/1990,"",IF(Main[[#This Row],[Class]]="C",WORKDAY(Main[[#This Row],[Tech Start Date]],19),IF(Main[[#This Row],[Class]]="B", WORKDAY(Main[[#This Row],[Tech Start Date]],12),IF(Main[[#This Row],[Class]]="A",WORKDAY(Main[[#This Row],[Tech Start Date]],4),""))))</f>
        <v/>
      </c>
      <c r="O795" s="104" t="str">
        <f>IF(Main[[#This Row],[Tech Start Date]]&lt;1/1/1990,"",IF(Main[[#This Row],[Class]]="C",WORKDAY(Main[[#This Row],[Tech Start Date]],23),IF(Main[[#This Row],[Class]]="B", WORKDAY(Main[[#This Row],[Tech Start Date]],15),IF(Main[[#This Row],[Class]]="A",WORKDAY(Main[[#This Row],[Tech Start Date]],5),""))))</f>
        <v/>
      </c>
      <c r="P795" s="104" t="str">
        <f>IF(Main[[#This Row],[Tech Start Date]]&lt;1/1/1990,"",IF(Main[[#This Row],[Class]]="C",WORKDAY(Main[[#This Row],[Tech Start Date]],28),IF(Main[[#This Row],[Class]]="B", WORKDAY(Main[[#This Row],[Tech Start Date]],19),IF(Main[[#This Row],[Class]]="A",WORKDAY(Main[[#This Row],[Tech Start Date]],9),""))))</f>
        <v/>
      </c>
      <c r="Q795" s="101">
        <v>40884</v>
      </c>
      <c r="R795" s="101"/>
      <c r="S795" s="99" t="s">
        <v>4</v>
      </c>
      <c r="T795" s="107" t="s">
        <v>4</v>
      </c>
      <c r="U795" s="99" t="s">
        <v>14</v>
      </c>
      <c r="V795" s="99" t="s">
        <v>1972</v>
      </c>
      <c r="W795" s="99" t="s">
        <v>1970</v>
      </c>
    </row>
    <row r="796" spans="1:23" ht="18.600000000000001" customHeight="1">
      <c r="A796" s="123" t="str">
        <f>IF(priority(Main[[#This Row],[Comments]])&lt;&gt;0, priority(Main[[#This Row],[Comments]]),"")</f>
        <v/>
      </c>
      <c r="B796" s="127" t="s">
        <v>2135</v>
      </c>
      <c r="C796" s="99" t="s">
        <v>4</v>
      </c>
      <c r="D796" s="100" t="s">
        <v>2508</v>
      </c>
      <c r="E796" s="101">
        <v>40760.554780092592</v>
      </c>
      <c r="F796" s="101"/>
      <c r="G796" s="102" t="str">
        <f>IF(stdProdLT(Main[[#This Row],[Comments]])=0.1,"N/A",IF(stdProdLT(Main[[#This Row],[Comments]])=0,"",stdProdLT(Main[[#This Row],[Comments]])))</f>
        <v/>
      </c>
      <c r="H796" s="103" t="str">
        <f>IF(AND(Main[[#This Row],[In Stock Date]]&lt;&gt;"",Main[[#This Row],[Revised Due Date]]&lt;&gt;""),Main[[#This Row],[In Stock Date]]-Main[[#This Row],[Revised Due Date]],"")</f>
        <v/>
      </c>
      <c r="I796" s="99" t="s">
        <v>4</v>
      </c>
      <c r="J796" s="99" t="s">
        <v>4</v>
      </c>
      <c r="K796" s="99" t="s">
        <v>4</v>
      </c>
      <c r="L796" s="101"/>
      <c r="M796" s="104" t="str">
        <f>IF(Main[[#This Row],[Tech Start Date]]&lt;1/1/1990,"",IF(Main[[#This Row],[Class]]="C",WORKDAY(Main[[#This Row],[Tech Start Date]],9),IF(Main[[#This Row],[Class]]="B", WORKDAY(Main[[#This Row],[Tech Start Date]],6),IF(Main[[#This Row],[Class]]="A",WORKDAY(Main[[#This Row],[Tech Start Date]],2),""))))</f>
        <v/>
      </c>
      <c r="N796" s="104" t="str">
        <f>IF(Main[[#This Row],[Tech Start Date]]&lt;1/1/1990,"",IF(Main[[#This Row],[Class]]="C",WORKDAY(Main[[#This Row],[Tech Start Date]],19),IF(Main[[#This Row],[Class]]="B", WORKDAY(Main[[#This Row],[Tech Start Date]],12),IF(Main[[#This Row],[Class]]="A",WORKDAY(Main[[#This Row],[Tech Start Date]],4),""))))</f>
        <v/>
      </c>
      <c r="O796" s="104" t="str">
        <f>IF(Main[[#This Row],[Tech Start Date]]&lt;1/1/1990,"",IF(Main[[#This Row],[Class]]="C",WORKDAY(Main[[#This Row],[Tech Start Date]],23),IF(Main[[#This Row],[Class]]="B", WORKDAY(Main[[#This Row],[Tech Start Date]],15),IF(Main[[#This Row],[Class]]="A",WORKDAY(Main[[#This Row],[Tech Start Date]],5),""))))</f>
        <v/>
      </c>
      <c r="P796" s="104" t="str">
        <f>IF(Main[[#This Row],[Tech Start Date]]&lt;1/1/1990,"",IF(Main[[#This Row],[Class]]="C",WORKDAY(Main[[#This Row],[Tech Start Date]],28),IF(Main[[#This Row],[Class]]="B", WORKDAY(Main[[#This Row],[Tech Start Date]],19),IF(Main[[#This Row],[Class]]="A",WORKDAY(Main[[#This Row],[Tech Start Date]],9),""))))</f>
        <v/>
      </c>
      <c r="Q796" s="101"/>
      <c r="R796" s="101"/>
      <c r="S796" s="99" t="s">
        <v>6</v>
      </c>
      <c r="T796" s="107" t="s">
        <v>4</v>
      </c>
      <c r="U796" s="99" t="s">
        <v>7</v>
      </c>
      <c r="V796" s="99" t="s">
        <v>1962</v>
      </c>
      <c r="W796" s="99" t="s">
        <v>1966</v>
      </c>
    </row>
    <row r="797" spans="1:23" ht="18.600000000000001" customHeight="1">
      <c r="A797" s="123" t="str">
        <f>IF(priority(Main[[#This Row],[Comments]])&lt;&gt;0, priority(Main[[#This Row],[Comments]]),"")</f>
        <v/>
      </c>
      <c r="B797" s="127" t="s">
        <v>1661</v>
      </c>
      <c r="C797" s="99" t="s">
        <v>4</v>
      </c>
      <c r="D797" s="100" t="s">
        <v>709</v>
      </c>
      <c r="E797" s="101"/>
      <c r="F797" s="101"/>
      <c r="G797" s="102" t="str">
        <f>IF(stdProdLT(Main[[#This Row],[Comments]])=0.1,"N/A",IF(stdProdLT(Main[[#This Row],[Comments]])=0,"",stdProdLT(Main[[#This Row],[Comments]])))</f>
        <v/>
      </c>
      <c r="H797" s="103" t="str">
        <f>IF(AND(Main[[#This Row],[In Stock Date]]&lt;&gt;"",Main[[#This Row],[Revised Due Date]]&lt;&gt;""),Main[[#This Row],[In Stock Date]]-Main[[#This Row],[Revised Due Date]],"")</f>
        <v/>
      </c>
      <c r="I797" s="99" t="s">
        <v>4</v>
      </c>
      <c r="J797" s="99" t="s">
        <v>4</v>
      </c>
      <c r="K797" s="108" t="s">
        <v>4</v>
      </c>
      <c r="L797" s="101"/>
      <c r="M797" s="104" t="str">
        <f>IF(Main[[#This Row],[Tech Start Date]]&lt;1/1/1990,"",IF(Main[[#This Row],[Class]]="C",WORKDAY(Main[[#This Row],[Tech Start Date]],9),IF(Main[[#This Row],[Class]]="B", WORKDAY(Main[[#This Row],[Tech Start Date]],6),IF(Main[[#This Row],[Class]]="A",WORKDAY(Main[[#This Row],[Tech Start Date]],2),""))))</f>
        <v/>
      </c>
      <c r="N797" s="104" t="str">
        <f>IF(Main[[#This Row],[Tech Start Date]]&lt;1/1/1990,"",IF(Main[[#This Row],[Class]]="C",WORKDAY(Main[[#This Row],[Tech Start Date]],19),IF(Main[[#This Row],[Class]]="B", WORKDAY(Main[[#This Row],[Tech Start Date]],12),IF(Main[[#This Row],[Class]]="A",WORKDAY(Main[[#This Row],[Tech Start Date]],4),""))))</f>
        <v/>
      </c>
      <c r="O797" s="104" t="str">
        <f>IF(Main[[#This Row],[Tech Start Date]]&lt;1/1/1990,"",IF(Main[[#This Row],[Class]]="C",WORKDAY(Main[[#This Row],[Tech Start Date]],23),IF(Main[[#This Row],[Class]]="B", WORKDAY(Main[[#This Row],[Tech Start Date]],15),IF(Main[[#This Row],[Class]]="A",WORKDAY(Main[[#This Row],[Tech Start Date]],5),""))))</f>
        <v/>
      </c>
      <c r="P797" s="104" t="str">
        <f>IF(Main[[#This Row],[Tech Start Date]]&lt;1/1/1990,"",IF(Main[[#This Row],[Class]]="C",WORKDAY(Main[[#This Row],[Tech Start Date]],28),IF(Main[[#This Row],[Class]]="B", WORKDAY(Main[[#This Row],[Tech Start Date]],19),IF(Main[[#This Row],[Class]]="A",WORKDAY(Main[[#This Row],[Tech Start Date]],9),""))))</f>
        <v/>
      </c>
      <c r="Q797" s="101"/>
      <c r="R797" s="101"/>
      <c r="S797" s="99" t="s">
        <v>49</v>
      </c>
      <c r="T797" s="107" t="s">
        <v>4</v>
      </c>
      <c r="U797" s="99" t="s">
        <v>14</v>
      </c>
      <c r="V797" s="99" t="s">
        <v>1962</v>
      </c>
      <c r="W797" s="99" t="s">
        <v>1966</v>
      </c>
    </row>
    <row r="798" spans="1:23" ht="18.600000000000001" customHeight="1">
      <c r="A798" s="123" t="str">
        <f>IF(priority(Main[[#This Row],[Comments]])&lt;&gt;0, priority(Main[[#This Row],[Comments]]),"")</f>
        <v/>
      </c>
      <c r="B798" s="127" t="s">
        <v>1662</v>
      </c>
      <c r="C798" s="99" t="s">
        <v>4</v>
      </c>
      <c r="D798" s="100" t="s">
        <v>710</v>
      </c>
      <c r="E798" s="101"/>
      <c r="F798" s="101"/>
      <c r="G798" s="102" t="str">
        <f>IF(stdProdLT(Main[[#This Row],[Comments]])=0.1,"N/A",IF(stdProdLT(Main[[#This Row],[Comments]])=0,"",stdProdLT(Main[[#This Row],[Comments]])))</f>
        <v/>
      </c>
      <c r="H798" s="103" t="str">
        <f>IF(AND(Main[[#This Row],[In Stock Date]]&lt;&gt;"",Main[[#This Row],[Revised Due Date]]&lt;&gt;""),Main[[#This Row],[In Stock Date]]-Main[[#This Row],[Revised Due Date]],"")</f>
        <v/>
      </c>
      <c r="I798" s="99" t="s">
        <v>4</v>
      </c>
      <c r="J798" s="99" t="s">
        <v>4</v>
      </c>
      <c r="K798" s="99" t="s">
        <v>4</v>
      </c>
      <c r="L798" s="101"/>
      <c r="M798" s="104" t="str">
        <f>IF(Main[[#This Row],[Tech Start Date]]&lt;1/1/1990,"",IF(Main[[#This Row],[Class]]="C",WORKDAY(Main[[#This Row],[Tech Start Date]],9),IF(Main[[#This Row],[Class]]="B", WORKDAY(Main[[#This Row],[Tech Start Date]],6),IF(Main[[#This Row],[Class]]="A",WORKDAY(Main[[#This Row],[Tech Start Date]],2),""))))</f>
        <v/>
      </c>
      <c r="N798" s="104" t="str">
        <f>IF(Main[[#This Row],[Tech Start Date]]&lt;1/1/1990,"",IF(Main[[#This Row],[Class]]="C",WORKDAY(Main[[#This Row],[Tech Start Date]],19),IF(Main[[#This Row],[Class]]="B", WORKDAY(Main[[#This Row],[Tech Start Date]],12),IF(Main[[#This Row],[Class]]="A",WORKDAY(Main[[#This Row],[Tech Start Date]],4),""))))</f>
        <v/>
      </c>
      <c r="O798" s="104" t="str">
        <f>IF(Main[[#This Row],[Tech Start Date]]&lt;1/1/1990,"",IF(Main[[#This Row],[Class]]="C",WORKDAY(Main[[#This Row],[Tech Start Date]],23),IF(Main[[#This Row],[Class]]="B", WORKDAY(Main[[#This Row],[Tech Start Date]],15),IF(Main[[#This Row],[Class]]="A",WORKDAY(Main[[#This Row],[Tech Start Date]],5),""))))</f>
        <v/>
      </c>
      <c r="P798" s="104" t="str">
        <f>IF(Main[[#This Row],[Tech Start Date]]&lt;1/1/1990,"",IF(Main[[#This Row],[Class]]="C",WORKDAY(Main[[#This Row],[Tech Start Date]],28),IF(Main[[#This Row],[Class]]="B", WORKDAY(Main[[#This Row],[Tech Start Date]],19),IF(Main[[#This Row],[Class]]="A",WORKDAY(Main[[#This Row],[Tech Start Date]],9),""))))</f>
        <v/>
      </c>
      <c r="Q798" s="101"/>
      <c r="R798" s="101"/>
      <c r="S798" s="99" t="s">
        <v>11</v>
      </c>
      <c r="T798" s="107" t="s">
        <v>4</v>
      </c>
      <c r="U798" s="99" t="s">
        <v>14</v>
      </c>
      <c r="V798" s="99" t="s">
        <v>1965</v>
      </c>
      <c r="W798" s="99" t="s">
        <v>1970</v>
      </c>
    </row>
    <row r="799" spans="1:23" ht="18.600000000000001" customHeight="1">
      <c r="A799" s="123" t="str">
        <f>IF(priority(Main[[#This Row],[Comments]])&lt;&gt;0, priority(Main[[#This Row],[Comments]]),"")</f>
        <v/>
      </c>
      <c r="B799" s="127" t="s">
        <v>1663</v>
      </c>
      <c r="C799" s="99" t="s">
        <v>214</v>
      </c>
      <c r="D799" s="100" t="s">
        <v>215</v>
      </c>
      <c r="E799" s="101"/>
      <c r="F799" s="101">
        <v>40452</v>
      </c>
      <c r="G799" s="102" t="str">
        <f>IF(stdProdLT(Main[[#This Row],[Comments]])=0.1,"N/A",IF(stdProdLT(Main[[#This Row],[Comments]])=0,"",stdProdLT(Main[[#This Row],[Comments]])))</f>
        <v/>
      </c>
      <c r="H799" s="103" t="str">
        <f>IF(AND(Main[[#This Row],[In Stock Date]]&lt;&gt;"",Main[[#This Row],[Revised Due Date]]&lt;&gt;""),Main[[#This Row],[In Stock Date]]-Main[[#This Row],[Revised Due Date]],"")</f>
        <v/>
      </c>
      <c r="I799" s="99" t="s">
        <v>4</v>
      </c>
      <c r="J799" s="99" t="s">
        <v>4</v>
      </c>
      <c r="K799" s="99" t="s">
        <v>4</v>
      </c>
      <c r="L799" s="101"/>
      <c r="M799" s="104" t="str">
        <f>IF(Main[[#This Row],[Tech Start Date]]&lt;1/1/1990,"",IF(Main[[#This Row],[Class]]="C",WORKDAY(Main[[#This Row],[Tech Start Date]],9),IF(Main[[#This Row],[Class]]="B", WORKDAY(Main[[#This Row],[Tech Start Date]],6),IF(Main[[#This Row],[Class]]="A",WORKDAY(Main[[#This Row],[Tech Start Date]],2),""))))</f>
        <v/>
      </c>
      <c r="N799" s="104" t="str">
        <f>IF(Main[[#This Row],[Tech Start Date]]&lt;1/1/1990,"",IF(Main[[#This Row],[Class]]="C",WORKDAY(Main[[#This Row],[Tech Start Date]],19),IF(Main[[#This Row],[Class]]="B", WORKDAY(Main[[#This Row],[Tech Start Date]],12),IF(Main[[#This Row],[Class]]="A",WORKDAY(Main[[#This Row],[Tech Start Date]],4),""))))</f>
        <v/>
      </c>
      <c r="O799" s="104" t="str">
        <f>IF(Main[[#This Row],[Tech Start Date]]&lt;1/1/1990,"",IF(Main[[#This Row],[Class]]="C",WORKDAY(Main[[#This Row],[Tech Start Date]],23),IF(Main[[#This Row],[Class]]="B", WORKDAY(Main[[#This Row],[Tech Start Date]],15),IF(Main[[#This Row],[Class]]="A",WORKDAY(Main[[#This Row],[Tech Start Date]],5),""))))</f>
        <v/>
      </c>
      <c r="P799" s="104" t="str">
        <f>IF(Main[[#This Row],[Tech Start Date]]&lt;1/1/1990,"",IF(Main[[#This Row],[Class]]="C",WORKDAY(Main[[#This Row],[Tech Start Date]],28),IF(Main[[#This Row],[Class]]="B", WORKDAY(Main[[#This Row],[Tech Start Date]],19),IF(Main[[#This Row],[Class]]="A",WORKDAY(Main[[#This Row],[Tech Start Date]],9),""))))</f>
        <v/>
      </c>
      <c r="Q799" s="101">
        <v>40357</v>
      </c>
      <c r="R799" s="101"/>
      <c r="S799" s="99" t="s">
        <v>11</v>
      </c>
      <c r="T799" s="107" t="s">
        <v>4</v>
      </c>
      <c r="U799" s="99" t="s">
        <v>12</v>
      </c>
      <c r="V799" s="99" t="s">
        <v>1962</v>
      </c>
      <c r="W799" s="99" t="s">
        <v>1970</v>
      </c>
    </row>
    <row r="800" spans="1:23" ht="18.600000000000001" customHeight="1">
      <c r="A800" s="123" t="str">
        <f>IF(priority(Main[[#This Row],[Comments]])&lt;&gt;0, priority(Main[[#This Row],[Comments]]),"")</f>
        <v/>
      </c>
      <c r="B800" s="127" t="s">
        <v>2300</v>
      </c>
      <c r="C800" s="99" t="s">
        <v>4</v>
      </c>
      <c r="D800" s="100" t="s">
        <v>2301</v>
      </c>
      <c r="E800" s="101">
        <v>40802.257071759261</v>
      </c>
      <c r="F800" s="101"/>
      <c r="G800" s="102" t="str">
        <f>IF(stdProdLT(Main[[#This Row],[Comments]])=0.1,"N/A",IF(stdProdLT(Main[[#This Row],[Comments]])=0,"",stdProdLT(Main[[#This Row],[Comments]])))</f>
        <v/>
      </c>
      <c r="H800" s="103" t="str">
        <f>IF(AND(Main[[#This Row],[In Stock Date]]&lt;&gt;"",Main[[#This Row],[Revised Due Date]]&lt;&gt;""),Main[[#This Row],[In Stock Date]]-Main[[#This Row],[Revised Due Date]],"")</f>
        <v/>
      </c>
      <c r="I800" s="99" t="s">
        <v>4</v>
      </c>
      <c r="J800" s="99" t="s">
        <v>4</v>
      </c>
      <c r="K800" s="99" t="s">
        <v>4</v>
      </c>
      <c r="L800" s="101"/>
      <c r="M800" s="104" t="str">
        <f>IF(Main[[#This Row],[Tech Start Date]]&lt;1/1/1990,"",IF(Main[[#This Row],[Class]]="C",WORKDAY(Main[[#This Row],[Tech Start Date]],9),IF(Main[[#This Row],[Class]]="B", WORKDAY(Main[[#This Row],[Tech Start Date]],6),IF(Main[[#This Row],[Class]]="A",WORKDAY(Main[[#This Row],[Tech Start Date]],2),""))))</f>
        <v/>
      </c>
      <c r="N800" s="104" t="str">
        <f>IF(Main[[#This Row],[Tech Start Date]]&lt;1/1/1990,"",IF(Main[[#This Row],[Class]]="C",WORKDAY(Main[[#This Row],[Tech Start Date]],19),IF(Main[[#This Row],[Class]]="B", WORKDAY(Main[[#This Row],[Tech Start Date]],12),IF(Main[[#This Row],[Class]]="A",WORKDAY(Main[[#This Row],[Tech Start Date]],4),""))))</f>
        <v/>
      </c>
      <c r="O800" s="104" t="str">
        <f>IF(Main[[#This Row],[Tech Start Date]]&lt;1/1/1990,"",IF(Main[[#This Row],[Class]]="C",WORKDAY(Main[[#This Row],[Tech Start Date]],23),IF(Main[[#This Row],[Class]]="B", WORKDAY(Main[[#This Row],[Tech Start Date]],15),IF(Main[[#This Row],[Class]]="A",WORKDAY(Main[[#This Row],[Tech Start Date]],5),""))))</f>
        <v/>
      </c>
      <c r="P800" s="104" t="str">
        <f>IF(Main[[#This Row],[Tech Start Date]]&lt;1/1/1990,"",IF(Main[[#This Row],[Class]]="C",WORKDAY(Main[[#This Row],[Tech Start Date]],28),IF(Main[[#This Row],[Class]]="B", WORKDAY(Main[[#This Row],[Tech Start Date]],19),IF(Main[[#This Row],[Class]]="A",WORKDAY(Main[[#This Row],[Tech Start Date]],9),""))))</f>
        <v/>
      </c>
      <c r="Q800" s="101">
        <v>40816</v>
      </c>
      <c r="R800" s="101"/>
      <c r="S800" s="99" t="s">
        <v>6</v>
      </c>
      <c r="T800" s="107" t="s">
        <v>4</v>
      </c>
      <c r="U800" s="99" t="s">
        <v>7</v>
      </c>
      <c r="V800" s="99" t="s">
        <v>1962</v>
      </c>
      <c r="W800" s="99" t="s">
        <v>1970</v>
      </c>
    </row>
    <row r="801" spans="1:23" ht="18.600000000000001" customHeight="1">
      <c r="A801" s="123" t="str">
        <f>IF(priority(Main[[#This Row],[Comments]])&lt;&gt;0, priority(Main[[#This Row],[Comments]]),"")</f>
        <v/>
      </c>
      <c r="B801" s="127" t="s">
        <v>1665</v>
      </c>
      <c r="C801" s="99" t="s">
        <v>352</v>
      </c>
      <c r="D801" s="100" t="s">
        <v>712</v>
      </c>
      <c r="E801" s="101"/>
      <c r="F801" s="101">
        <v>40664</v>
      </c>
      <c r="G801" s="102" t="str">
        <f>IF(stdProdLT(Main[[#This Row],[Comments]])=0.1,"N/A",IF(stdProdLT(Main[[#This Row],[Comments]])=0,"",stdProdLT(Main[[#This Row],[Comments]])))</f>
        <v/>
      </c>
      <c r="H801" s="103" t="str">
        <f>IF(AND(Main[[#This Row],[In Stock Date]]&lt;&gt;"",Main[[#This Row],[Revised Due Date]]&lt;&gt;""),Main[[#This Row],[In Stock Date]]-Main[[#This Row],[Revised Due Date]],"")</f>
        <v/>
      </c>
      <c r="I801" s="99" t="s">
        <v>404</v>
      </c>
      <c r="J801" s="99" t="s">
        <v>75</v>
      </c>
      <c r="K801" s="99" t="s">
        <v>1969</v>
      </c>
      <c r="L801" s="101"/>
      <c r="M801" s="104" t="str">
        <f>IF(Main[[#This Row],[Tech Start Date]]&lt;1/1/1990,"",IF(Main[[#This Row],[Class]]="C",WORKDAY(Main[[#This Row],[Tech Start Date]],9),IF(Main[[#This Row],[Class]]="B", WORKDAY(Main[[#This Row],[Tech Start Date]],6),IF(Main[[#This Row],[Class]]="A",WORKDAY(Main[[#This Row],[Tech Start Date]],2),""))))</f>
        <v/>
      </c>
      <c r="N801" s="104" t="str">
        <f>IF(Main[[#This Row],[Tech Start Date]]&lt;1/1/1990,"",IF(Main[[#This Row],[Class]]="C",WORKDAY(Main[[#This Row],[Tech Start Date]],19),IF(Main[[#This Row],[Class]]="B", WORKDAY(Main[[#This Row],[Tech Start Date]],12),IF(Main[[#This Row],[Class]]="A",WORKDAY(Main[[#This Row],[Tech Start Date]],4),""))))</f>
        <v/>
      </c>
      <c r="O801" s="104" t="str">
        <f>IF(Main[[#This Row],[Tech Start Date]]&lt;1/1/1990,"",IF(Main[[#This Row],[Class]]="C",WORKDAY(Main[[#This Row],[Tech Start Date]],23),IF(Main[[#This Row],[Class]]="B", WORKDAY(Main[[#This Row],[Tech Start Date]],15),IF(Main[[#This Row],[Class]]="A",WORKDAY(Main[[#This Row],[Tech Start Date]],5),""))))</f>
        <v/>
      </c>
      <c r="P801" s="104" t="str">
        <f>IF(Main[[#This Row],[Tech Start Date]]&lt;1/1/1990,"",IF(Main[[#This Row],[Class]]="C",WORKDAY(Main[[#This Row],[Tech Start Date]],28),IF(Main[[#This Row],[Class]]="B", WORKDAY(Main[[#This Row],[Tech Start Date]],19),IF(Main[[#This Row],[Class]]="A",WORKDAY(Main[[#This Row],[Tech Start Date]],9),""))))</f>
        <v/>
      </c>
      <c r="Q801" s="101"/>
      <c r="R801" s="101"/>
      <c r="S801" s="99" t="s">
        <v>11</v>
      </c>
      <c r="T801" s="107" t="s">
        <v>4</v>
      </c>
      <c r="U801" s="99" t="s">
        <v>14</v>
      </c>
      <c r="V801" s="99" t="s">
        <v>1965</v>
      </c>
      <c r="W801" s="99" t="s">
        <v>1968</v>
      </c>
    </row>
    <row r="802" spans="1:23" ht="18.600000000000001" customHeight="1">
      <c r="A802" s="123" t="str">
        <f>IF(priority(Main[[#This Row],[Comments]])&lt;&gt;0, priority(Main[[#This Row],[Comments]]),"")</f>
        <v/>
      </c>
      <c r="B802" s="127" t="s">
        <v>1666</v>
      </c>
      <c r="C802" s="99" t="s">
        <v>4</v>
      </c>
      <c r="D802" s="100" t="s">
        <v>97</v>
      </c>
      <c r="E802" s="101"/>
      <c r="F802" s="101"/>
      <c r="G802" s="102" t="str">
        <f>IF(stdProdLT(Main[[#This Row],[Comments]])=0.1,"N/A",IF(stdProdLT(Main[[#This Row],[Comments]])=0,"",stdProdLT(Main[[#This Row],[Comments]])))</f>
        <v/>
      </c>
      <c r="H802" s="103" t="str">
        <f>IF(AND(Main[[#This Row],[In Stock Date]]&lt;&gt;"",Main[[#This Row],[Revised Due Date]]&lt;&gt;""),Main[[#This Row],[In Stock Date]]-Main[[#This Row],[Revised Due Date]],"")</f>
        <v/>
      </c>
      <c r="I802" s="99" t="s">
        <v>4</v>
      </c>
      <c r="J802" s="99" t="s">
        <v>4</v>
      </c>
      <c r="K802" s="99" t="s">
        <v>4</v>
      </c>
      <c r="L802" s="101"/>
      <c r="M802" s="104" t="str">
        <f>IF(Main[[#This Row],[Tech Start Date]]&lt;1/1/1990,"",IF(Main[[#This Row],[Class]]="C",WORKDAY(Main[[#This Row],[Tech Start Date]],9),IF(Main[[#This Row],[Class]]="B", WORKDAY(Main[[#This Row],[Tech Start Date]],6),IF(Main[[#This Row],[Class]]="A",WORKDAY(Main[[#This Row],[Tech Start Date]],2),""))))</f>
        <v/>
      </c>
      <c r="N802" s="104" t="str">
        <f>IF(Main[[#This Row],[Tech Start Date]]&lt;1/1/1990,"",IF(Main[[#This Row],[Class]]="C",WORKDAY(Main[[#This Row],[Tech Start Date]],19),IF(Main[[#This Row],[Class]]="B", WORKDAY(Main[[#This Row],[Tech Start Date]],12),IF(Main[[#This Row],[Class]]="A",WORKDAY(Main[[#This Row],[Tech Start Date]],4),""))))</f>
        <v/>
      </c>
      <c r="O802" s="104" t="str">
        <f>IF(Main[[#This Row],[Tech Start Date]]&lt;1/1/1990,"",IF(Main[[#This Row],[Class]]="C",WORKDAY(Main[[#This Row],[Tech Start Date]],23),IF(Main[[#This Row],[Class]]="B", WORKDAY(Main[[#This Row],[Tech Start Date]],15),IF(Main[[#This Row],[Class]]="A",WORKDAY(Main[[#This Row],[Tech Start Date]],5),""))))</f>
        <v/>
      </c>
      <c r="P802" s="104" t="str">
        <f>IF(Main[[#This Row],[Tech Start Date]]&lt;1/1/1990,"",IF(Main[[#This Row],[Class]]="C",WORKDAY(Main[[#This Row],[Tech Start Date]],28),IF(Main[[#This Row],[Class]]="B", WORKDAY(Main[[#This Row],[Tech Start Date]],19),IF(Main[[#This Row],[Class]]="A",WORKDAY(Main[[#This Row],[Tech Start Date]],9),""))))</f>
        <v/>
      </c>
      <c r="Q802" s="101">
        <v>40858</v>
      </c>
      <c r="R802" s="101"/>
      <c r="S802" s="99" t="s">
        <v>17</v>
      </c>
      <c r="T802" s="107" t="s">
        <v>4</v>
      </c>
      <c r="U802" s="99" t="s">
        <v>14</v>
      </c>
      <c r="V802" s="99" t="s">
        <v>1962</v>
      </c>
      <c r="W802" s="99" t="s">
        <v>1967</v>
      </c>
    </row>
    <row r="803" spans="1:23" ht="18.600000000000001" customHeight="1">
      <c r="A803" s="123" t="str">
        <f>IF(priority(Main[[#This Row],[Comments]])&lt;&gt;0, priority(Main[[#This Row],[Comments]]),"")</f>
        <v/>
      </c>
      <c r="B803" s="127" t="s">
        <v>1667</v>
      </c>
      <c r="C803" s="99" t="s">
        <v>4</v>
      </c>
      <c r="D803" s="100" t="s">
        <v>97</v>
      </c>
      <c r="E803" s="101"/>
      <c r="F803" s="101"/>
      <c r="G803" s="102" t="str">
        <f>IF(stdProdLT(Main[[#This Row],[Comments]])=0.1,"N/A",IF(stdProdLT(Main[[#This Row],[Comments]])=0,"",stdProdLT(Main[[#This Row],[Comments]])))</f>
        <v/>
      </c>
      <c r="H803" s="103" t="str">
        <f>IF(AND(Main[[#This Row],[In Stock Date]]&lt;&gt;"",Main[[#This Row],[Revised Due Date]]&lt;&gt;""),Main[[#This Row],[In Stock Date]]-Main[[#This Row],[Revised Due Date]],"")</f>
        <v/>
      </c>
      <c r="I803" s="99" t="s">
        <v>4</v>
      </c>
      <c r="J803" s="99" t="s">
        <v>4</v>
      </c>
      <c r="K803" s="99" t="s">
        <v>4</v>
      </c>
      <c r="L803" s="101"/>
      <c r="M803" s="104" t="str">
        <f>IF(Main[[#This Row],[Tech Start Date]]&lt;1/1/1990,"",IF(Main[[#This Row],[Class]]="C",WORKDAY(Main[[#This Row],[Tech Start Date]],9),IF(Main[[#This Row],[Class]]="B", WORKDAY(Main[[#This Row],[Tech Start Date]],6),IF(Main[[#This Row],[Class]]="A",WORKDAY(Main[[#This Row],[Tech Start Date]],2),""))))</f>
        <v/>
      </c>
      <c r="N803" s="104" t="str">
        <f>IF(Main[[#This Row],[Tech Start Date]]&lt;1/1/1990,"",IF(Main[[#This Row],[Class]]="C",WORKDAY(Main[[#This Row],[Tech Start Date]],19),IF(Main[[#This Row],[Class]]="B", WORKDAY(Main[[#This Row],[Tech Start Date]],12),IF(Main[[#This Row],[Class]]="A",WORKDAY(Main[[#This Row],[Tech Start Date]],4),""))))</f>
        <v/>
      </c>
      <c r="O803" s="104" t="str">
        <f>IF(Main[[#This Row],[Tech Start Date]]&lt;1/1/1990,"",IF(Main[[#This Row],[Class]]="C",WORKDAY(Main[[#This Row],[Tech Start Date]],23),IF(Main[[#This Row],[Class]]="B", WORKDAY(Main[[#This Row],[Tech Start Date]],15),IF(Main[[#This Row],[Class]]="A",WORKDAY(Main[[#This Row],[Tech Start Date]],5),""))))</f>
        <v/>
      </c>
      <c r="P803" s="104" t="str">
        <f>IF(Main[[#This Row],[Tech Start Date]]&lt;1/1/1990,"",IF(Main[[#This Row],[Class]]="C",WORKDAY(Main[[#This Row],[Tech Start Date]],28),IF(Main[[#This Row],[Class]]="B", WORKDAY(Main[[#This Row],[Tech Start Date]],19),IF(Main[[#This Row],[Class]]="A",WORKDAY(Main[[#This Row],[Tech Start Date]],9),""))))</f>
        <v/>
      </c>
      <c r="Q803" s="101">
        <v>40858</v>
      </c>
      <c r="R803" s="101"/>
      <c r="S803" s="99" t="s">
        <v>17</v>
      </c>
      <c r="T803" s="107" t="s">
        <v>4</v>
      </c>
      <c r="U803" s="99" t="s">
        <v>12</v>
      </c>
      <c r="V803" s="99" t="s">
        <v>1962</v>
      </c>
      <c r="W803" s="99" t="s">
        <v>1967</v>
      </c>
    </row>
    <row r="804" spans="1:23" ht="18.600000000000001" customHeight="1">
      <c r="A804" s="123" t="str">
        <f>IF(priority(Main[[#This Row],[Comments]])&lt;&gt;0, priority(Main[[#This Row],[Comments]]),"")</f>
        <v/>
      </c>
      <c r="B804" s="127" t="s">
        <v>1668</v>
      </c>
      <c r="C804" s="99" t="s">
        <v>4</v>
      </c>
      <c r="D804" s="100" t="s">
        <v>713</v>
      </c>
      <c r="E804" s="101">
        <v>40455.919641203705</v>
      </c>
      <c r="F804" s="101"/>
      <c r="G804" s="102" t="str">
        <f>IF(stdProdLT(Main[[#This Row],[Comments]])=0.1,"N/A",IF(stdProdLT(Main[[#This Row],[Comments]])=0,"",stdProdLT(Main[[#This Row],[Comments]])))</f>
        <v/>
      </c>
      <c r="H804" s="103" t="str">
        <f>IF(AND(Main[[#This Row],[In Stock Date]]&lt;&gt;"",Main[[#This Row],[Revised Due Date]]&lt;&gt;""),Main[[#This Row],[In Stock Date]]-Main[[#This Row],[Revised Due Date]],"")</f>
        <v/>
      </c>
      <c r="I804" s="99" t="s">
        <v>4</v>
      </c>
      <c r="J804" s="99" t="s">
        <v>28</v>
      </c>
      <c r="K804" s="99" t="s">
        <v>1974</v>
      </c>
      <c r="L804" s="101"/>
      <c r="M804" s="104" t="str">
        <f>IF(Main[[#This Row],[Tech Start Date]]&lt;1/1/1990,"",IF(Main[[#This Row],[Class]]="C",WORKDAY(Main[[#This Row],[Tech Start Date]],9),IF(Main[[#This Row],[Class]]="B", WORKDAY(Main[[#This Row],[Tech Start Date]],6),IF(Main[[#This Row],[Class]]="A",WORKDAY(Main[[#This Row],[Tech Start Date]],2),""))))</f>
        <v/>
      </c>
      <c r="N804" s="104" t="str">
        <f>IF(Main[[#This Row],[Tech Start Date]]&lt;1/1/1990,"",IF(Main[[#This Row],[Class]]="C",WORKDAY(Main[[#This Row],[Tech Start Date]],19),IF(Main[[#This Row],[Class]]="B", WORKDAY(Main[[#This Row],[Tech Start Date]],12),IF(Main[[#This Row],[Class]]="A",WORKDAY(Main[[#This Row],[Tech Start Date]],4),""))))</f>
        <v/>
      </c>
      <c r="O804" s="104" t="str">
        <f>IF(Main[[#This Row],[Tech Start Date]]&lt;1/1/1990,"",IF(Main[[#This Row],[Class]]="C",WORKDAY(Main[[#This Row],[Tech Start Date]],23),IF(Main[[#This Row],[Class]]="B", WORKDAY(Main[[#This Row],[Tech Start Date]],15),IF(Main[[#This Row],[Class]]="A",WORKDAY(Main[[#This Row],[Tech Start Date]],5),""))))</f>
        <v/>
      </c>
      <c r="P804" s="104" t="str">
        <f>IF(Main[[#This Row],[Tech Start Date]]&lt;1/1/1990,"",IF(Main[[#This Row],[Class]]="C",WORKDAY(Main[[#This Row],[Tech Start Date]],28),IF(Main[[#This Row],[Class]]="B", WORKDAY(Main[[#This Row],[Tech Start Date]],19),IF(Main[[#This Row],[Class]]="A",WORKDAY(Main[[#This Row],[Tech Start Date]],9),""))))</f>
        <v/>
      </c>
      <c r="Q804" s="101">
        <v>40543</v>
      </c>
      <c r="R804" s="101"/>
      <c r="S804" s="99" t="s">
        <v>17</v>
      </c>
      <c r="T804" s="107" t="s">
        <v>4</v>
      </c>
      <c r="U804" s="99" t="s">
        <v>7</v>
      </c>
      <c r="V804" s="99" t="s">
        <v>1962</v>
      </c>
      <c r="W804" s="99" t="s">
        <v>1966</v>
      </c>
    </row>
    <row r="805" spans="1:23" ht="18.600000000000001" customHeight="1">
      <c r="A805" s="123" t="str">
        <f>IF(priority(Main[[#This Row],[Comments]])&lt;&gt;0, priority(Main[[#This Row],[Comments]]),"")</f>
        <v/>
      </c>
      <c r="B805" s="127" t="s">
        <v>1669</v>
      </c>
      <c r="C805" s="99" t="s">
        <v>4</v>
      </c>
      <c r="D805" s="100" t="s">
        <v>714</v>
      </c>
      <c r="E805" s="101">
        <v>40711.477789351855</v>
      </c>
      <c r="F805" s="101"/>
      <c r="G805" s="102" t="str">
        <f>IF(stdProdLT(Main[[#This Row],[Comments]])=0.1,"N/A",IF(stdProdLT(Main[[#This Row],[Comments]])=0,"",stdProdLT(Main[[#This Row],[Comments]])))</f>
        <v/>
      </c>
      <c r="H805" s="103" t="str">
        <f>IF(AND(Main[[#This Row],[In Stock Date]]&lt;&gt;"",Main[[#This Row],[Revised Due Date]]&lt;&gt;""),Main[[#This Row],[In Stock Date]]-Main[[#This Row],[Revised Due Date]],"")</f>
        <v/>
      </c>
      <c r="I805" s="99" t="s">
        <v>4</v>
      </c>
      <c r="J805" s="99" t="s">
        <v>4</v>
      </c>
      <c r="K805" s="99" t="s">
        <v>4</v>
      </c>
      <c r="L805" s="101"/>
      <c r="M805" s="104" t="str">
        <f>IF(Main[[#This Row],[Tech Start Date]]&lt;1/1/1990,"",IF(Main[[#This Row],[Class]]="C",WORKDAY(Main[[#This Row],[Tech Start Date]],9),IF(Main[[#This Row],[Class]]="B", WORKDAY(Main[[#This Row],[Tech Start Date]],6),IF(Main[[#This Row],[Class]]="A",WORKDAY(Main[[#This Row],[Tech Start Date]],2),""))))</f>
        <v/>
      </c>
      <c r="N805" s="104" t="str">
        <f>IF(Main[[#This Row],[Tech Start Date]]&lt;1/1/1990,"",IF(Main[[#This Row],[Class]]="C",WORKDAY(Main[[#This Row],[Tech Start Date]],19),IF(Main[[#This Row],[Class]]="B", WORKDAY(Main[[#This Row],[Tech Start Date]],12),IF(Main[[#This Row],[Class]]="A",WORKDAY(Main[[#This Row],[Tech Start Date]],4),""))))</f>
        <v/>
      </c>
      <c r="O805" s="104" t="str">
        <f>IF(Main[[#This Row],[Tech Start Date]]&lt;1/1/1990,"",IF(Main[[#This Row],[Class]]="C",WORKDAY(Main[[#This Row],[Tech Start Date]],23),IF(Main[[#This Row],[Class]]="B", WORKDAY(Main[[#This Row],[Tech Start Date]],15),IF(Main[[#This Row],[Class]]="A",WORKDAY(Main[[#This Row],[Tech Start Date]],5),""))))</f>
        <v/>
      </c>
      <c r="P805" s="104" t="str">
        <f>IF(Main[[#This Row],[Tech Start Date]]&lt;1/1/1990,"",IF(Main[[#This Row],[Class]]="C",WORKDAY(Main[[#This Row],[Tech Start Date]],28),IF(Main[[#This Row],[Class]]="B", WORKDAY(Main[[#This Row],[Tech Start Date]],19),IF(Main[[#This Row],[Class]]="A",WORKDAY(Main[[#This Row],[Tech Start Date]],9),""))))</f>
        <v/>
      </c>
      <c r="Q805" s="101">
        <v>40753</v>
      </c>
      <c r="R805" s="101"/>
      <c r="S805" s="99" t="s">
        <v>6</v>
      </c>
      <c r="T805" s="107" t="s">
        <v>4</v>
      </c>
      <c r="U805" s="99" t="s">
        <v>7</v>
      </c>
      <c r="V805" s="99" t="s">
        <v>1962</v>
      </c>
      <c r="W805" s="99" t="s">
        <v>1970</v>
      </c>
    </row>
    <row r="806" spans="1:23" ht="18.600000000000001" customHeight="1">
      <c r="A806" s="123" t="str">
        <f>IF(priority(Main[[#This Row],[Comments]])&lt;&gt;0, priority(Main[[#This Row],[Comments]]),"")</f>
        <v/>
      </c>
      <c r="B806" s="127" t="s">
        <v>1671</v>
      </c>
      <c r="C806" s="99" t="s">
        <v>47</v>
      </c>
      <c r="D806" s="100" t="s">
        <v>716</v>
      </c>
      <c r="E806" s="101"/>
      <c r="F806" s="101"/>
      <c r="G806" s="102" t="str">
        <f>IF(stdProdLT(Main[[#This Row],[Comments]])=0.1,"N/A",IF(stdProdLT(Main[[#This Row],[Comments]])=0,"",stdProdLT(Main[[#This Row],[Comments]])))</f>
        <v/>
      </c>
      <c r="H806" s="103" t="str">
        <f>IF(AND(Main[[#This Row],[In Stock Date]]&lt;&gt;"",Main[[#This Row],[Revised Due Date]]&lt;&gt;""),Main[[#This Row],[In Stock Date]]-Main[[#This Row],[Revised Due Date]],"")</f>
        <v/>
      </c>
      <c r="I806" s="99" t="s">
        <v>4</v>
      </c>
      <c r="J806" s="99" t="s">
        <v>4</v>
      </c>
      <c r="K806" s="108" t="s">
        <v>4</v>
      </c>
      <c r="L806" s="101"/>
      <c r="M806" s="104" t="str">
        <f>IF(Main[[#This Row],[Tech Start Date]]&lt;1/1/1990,"",IF(Main[[#This Row],[Class]]="C",WORKDAY(Main[[#This Row],[Tech Start Date]],9),IF(Main[[#This Row],[Class]]="B", WORKDAY(Main[[#This Row],[Tech Start Date]],6),IF(Main[[#This Row],[Class]]="A",WORKDAY(Main[[#This Row],[Tech Start Date]],2),""))))</f>
        <v/>
      </c>
      <c r="N806" s="104" t="str">
        <f>IF(Main[[#This Row],[Tech Start Date]]&lt;1/1/1990,"",IF(Main[[#This Row],[Class]]="C",WORKDAY(Main[[#This Row],[Tech Start Date]],19),IF(Main[[#This Row],[Class]]="B", WORKDAY(Main[[#This Row],[Tech Start Date]],12),IF(Main[[#This Row],[Class]]="A",WORKDAY(Main[[#This Row],[Tech Start Date]],4),""))))</f>
        <v/>
      </c>
      <c r="O806" s="104" t="str">
        <f>IF(Main[[#This Row],[Tech Start Date]]&lt;1/1/1990,"",IF(Main[[#This Row],[Class]]="C",WORKDAY(Main[[#This Row],[Tech Start Date]],23),IF(Main[[#This Row],[Class]]="B", WORKDAY(Main[[#This Row],[Tech Start Date]],15),IF(Main[[#This Row],[Class]]="A",WORKDAY(Main[[#This Row],[Tech Start Date]],5),""))))</f>
        <v/>
      </c>
      <c r="P806" s="104" t="str">
        <f>IF(Main[[#This Row],[Tech Start Date]]&lt;1/1/1990,"",IF(Main[[#This Row],[Class]]="C",WORKDAY(Main[[#This Row],[Tech Start Date]],28),IF(Main[[#This Row],[Class]]="B", WORKDAY(Main[[#This Row],[Tech Start Date]],19),IF(Main[[#This Row],[Class]]="A",WORKDAY(Main[[#This Row],[Tech Start Date]],9),""))))</f>
        <v/>
      </c>
      <c r="Q806" s="101"/>
      <c r="R806" s="101"/>
      <c r="S806" s="99" t="s">
        <v>49</v>
      </c>
      <c r="T806" s="107" t="s">
        <v>4</v>
      </c>
      <c r="U806" s="99" t="s">
        <v>14</v>
      </c>
      <c r="V806" s="99" t="s">
        <v>1965</v>
      </c>
      <c r="W806" s="99" t="s">
        <v>1966</v>
      </c>
    </row>
    <row r="807" spans="1:23" ht="18.600000000000001" customHeight="1">
      <c r="A807" s="123" t="str">
        <f>IF(priority(Main[[#This Row],[Comments]])&lt;&gt;0, priority(Main[[#This Row],[Comments]]),"")</f>
        <v/>
      </c>
      <c r="B807" s="127" t="s">
        <v>2106</v>
      </c>
      <c r="C807" s="99" t="s">
        <v>4</v>
      </c>
      <c r="D807" s="100" t="s">
        <v>2107</v>
      </c>
      <c r="E807" s="101">
        <v>40753.114606481482</v>
      </c>
      <c r="F807" s="101"/>
      <c r="G807" s="102" t="str">
        <f>IF(stdProdLT(Main[[#This Row],[Comments]])=0.1,"N/A",IF(stdProdLT(Main[[#This Row],[Comments]])=0,"",stdProdLT(Main[[#This Row],[Comments]])))</f>
        <v/>
      </c>
      <c r="H807" s="103" t="str">
        <f>IF(AND(Main[[#This Row],[In Stock Date]]&lt;&gt;"",Main[[#This Row],[Revised Due Date]]&lt;&gt;""),Main[[#This Row],[In Stock Date]]-Main[[#This Row],[Revised Due Date]],"")</f>
        <v/>
      </c>
      <c r="I807" s="99" t="s">
        <v>4</v>
      </c>
      <c r="J807" s="99" t="s">
        <v>4</v>
      </c>
      <c r="K807" s="99" t="s">
        <v>4</v>
      </c>
      <c r="L807" s="101"/>
      <c r="M807" s="104" t="str">
        <f>IF(Main[[#This Row],[Tech Start Date]]&lt;1/1/1990,"",IF(Main[[#This Row],[Class]]="C",WORKDAY(Main[[#This Row],[Tech Start Date]],9),IF(Main[[#This Row],[Class]]="B", WORKDAY(Main[[#This Row],[Tech Start Date]],6),IF(Main[[#This Row],[Class]]="A",WORKDAY(Main[[#This Row],[Tech Start Date]],2),""))))</f>
        <v/>
      </c>
      <c r="N807" s="104" t="str">
        <f>IF(Main[[#This Row],[Tech Start Date]]&lt;1/1/1990,"",IF(Main[[#This Row],[Class]]="C",WORKDAY(Main[[#This Row],[Tech Start Date]],19),IF(Main[[#This Row],[Class]]="B", WORKDAY(Main[[#This Row],[Tech Start Date]],12),IF(Main[[#This Row],[Class]]="A",WORKDAY(Main[[#This Row],[Tech Start Date]],4),""))))</f>
        <v/>
      </c>
      <c r="O807" s="104" t="str">
        <f>IF(Main[[#This Row],[Tech Start Date]]&lt;1/1/1990,"",IF(Main[[#This Row],[Class]]="C",WORKDAY(Main[[#This Row],[Tech Start Date]],23),IF(Main[[#This Row],[Class]]="B", WORKDAY(Main[[#This Row],[Tech Start Date]],15),IF(Main[[#This Row],[Class]]="A",WORKDAY(Main[[#This Row],[Tech Start Date]],5),""))))</f>
        <v/>
      </c>
      <c r="P807" s="104" t="str">
        <f>IF(Main[[#This Row],[Tech Start Date]]&lt;1/1/1990,"",IF(Main[[#This Row],[Class]]="C",WORKDAY(Main[[#This Row],[Tech Start Date]],28),IF(Main[[#This Row],[Class]]="B", WORKDAY(Main[[#This Row],[Tech Start Date]],19),IF(Main[[#This Row],[Class]]="A",WORKDAY(Main[[#This Row],[Tech Start Date]],9),""))))</f>
        <v/>
      </c>
      <c r="Q807" s="101">
        <v>40786</v>
      </c>
      <c r="R807" s="101"/>
      <c r="S807" s="99" t="s">
        <v>6</v>
      </c>
      <c r="T807" s="107" t="s">
        <v>4</v>
      </c>
      <c r="U807" s="99" t="s">
        <v>7</v>
      </c>
      <c r="V807" s="99" t="s">
        <v>1962</v>
      </c>
      <c r="W807" s="99" t="s">
        <v>4</v>
      </c>
    </row>
    <row r="808" spans="1:23" ht="18.600000000000001" customHeight="1">
      <c r="A808" s="123" t="str">
        <f>IF(priority(Main[[#This Row],[Comments]])&lt;&gt;0, priority(Main[[#This Row],[Comments]]),"")</f>
        <v/>
      </c>
      <c r="B808" s="127" t="s">
        <v>1679</v>
      </c>
      <c r="C808" s="99" t="s">
        <v>4</v>
      </c>
      <c r="D808" s="100" t="s">
        <v>39</v>
      </c>
      <c r="E808" s="101"/>
      <c r="F808" s="101"/>
      <c r="G808" s="102" t="str">
        <f>IF(stdProdLT(Main[[#This Row],[Comments]])=0.1,"N/A",IF(stdProdLT(Main[[#This Row],[Comments]])=0,"",stdProdLT(Main[[#This Row],[Comments]])))</f>
        <v/>
      </c>
      <c r="H808" s="103" t="str">
        <f>IF(AND(Main[[#This Row],[In Stock Date]]&lt;&gt;"",Main[[#This Row],[Revised Due Date]]&lt;&gt;""),Main[[#This Row],[In Stock Date]]-Main[[#This Row],[Revised Due Date]],"")</f>
        <v/>
      </c>
      <c r="I808" s="99" t="s">
        <v>4</v>
      </c>
      <c r="J808" s="99" t="s">
        <v>4</v>
      </c>
      <c r="K808" s="99" t="s">
        <v>4</v>
      </c>
      <c r="L808" s="101"/>
      <c r="M808" s="104" t="str">
        <f>IF(Main[[#This Row],[Tech Start Date]]&lt;1/1/1990,"",IF(Main[[#This Row],[Class]]="C",WORKDAY(Main[[#This Row],[Tech Start Date]],9),IF(Main[[#This Row],[Class]]="B", WORKDAY(Main[[#This Row],[Tech Start Date]],6),IF(Main[[#This Row],[Class]]="A",WORKDAY(Main[[#This Row],[Tech Start Date]],2),""))))</f>
        <v/>
      </c>
      <c r="N808" s="104" t="str">
        <f>IF(Main[[#This Row],[Tech Start Date]]&lt;1/1/1990,"",IF(Main[[#This Row],[Class]]="C",WORKDAY(Main[[#This Row],[Tech Start Date]],19),IF(Main[[#This Row],[Class]]="B", WORKDAY(Main[[#This Row],[Tech Start Date]],12),IF(Main[[#This Row],[Class]]="A",WORKDAY(Main[[#This Row],[Tech Start Date]],4),""))))</f>
        <v/>
      </c>
      <c r="O808" s="104" t="str">
        <f>IF(Main[[#This Row],[Tech Start Date]]&lt;1/1/1990,"",IF(Main[[#This Row],[Class]]="C",WORKDAY(Main[[#This Row],[Tech Start Date]],23),IF(Main[[#This Row],[Class]]="B", WORKDAY(Main[[#This Row],[Tech Start Date]],15),IF(Main[[#This Row],[Class]]="A",WORKDAY(Main[[#This Row],[Tech Start Date]],5),""))))</f>
        <v/>
      </c>
      <c r="P808" s="104" t="str">
        <f>IF(Main[[#This Row],[Tech Start Date]]&lt;1/1/1990,"",IF(Main[[#This Row],[Class]]="C",WORKDAY(Main[[#This Row],[Tech Start Date]],28),IF(Main[[#This Row],[Class]]="B", WORKDAY(Main[[#This Row],[Tech Start Date]],19),IF(Main[[#This Row],[Class]]="A",WORKDAY(Main[[#This Row],[Tech Start Date]],9),""))))</f>
        <v/>
      </c>
      <c r="Q808" s="101">
        <v>40669</v>
      </c>
      <c r="R808" s="101"/>
      <c r="S808" s="99" t="s">
        <v>6</v>
      </c>
      <c r="T808" s="107" t="s">
        <v>4</v>
      </c>
      <c r="U808" s="99" t="s">
        <v>14</v>
      </c>
      <c r="V808" s="99" t="s">
        <v>1965</v>
      </c>
      <c r="W808" s="99" t="s">
        <v>4</v>
      </c>
    </row>
    <row r="809" spans="1:23" ht="18.600000000000001" customHeight="1">
      <c r="A809" s="123" t="str">
        <f>IF(priority(Main[[#This Row],[Comments]])&lt;&gt;0, priority(Main[[#This Row],[Comments]]),"")</f>
        <v/>
      </c>
      <c r="B809" s="127" t="s">
        <v>1677</v>
      </c>
      <c r="C809" s="99" t="s">
        <v>67</v>
      </c>
      <c r="D809" s="100" t="s">
        <v>720</v>
      </c>
      <c r="E809" s="101"/>
      <c r="F809" s="101">
        <v>40751</v>
      </c>
      <c r="G809" s="102" t="str">
        <f>IF(stdProdLT(Main[[#This Row],[Comments]])=0.1,"N/A",IF(stdProdLT(Main[[#This Row],[Comments]])=0,"",stdProdLT(Main[[#This Row],[Comments]])))</f>
        <v/>
      </c>
      <c r="H809" s="103" t="str">
        <f>IF(AND(Main[[#This Row],[In Stock Date]]&lt;&gt;"",Main[[#This Row],[Revised Due Date]]&lt;&gt;""),Main[[#This Row],[In Stock Date]]-Main[[#This Row],[Revised Due Date]],"")</f>
        <v/>
      </c>
      <c r="I809" s="99" t="s">
        <v>4</v>
      </c>
      <c r="J809" s="99" t="s">
        <v>28</v>
      </c>
      <c r="K809" s="99" t="s">
        <v>1974</v>
      </c>
      <c r="L809" s="101"/>
      <c r="M809" s="104" t="str">
        <f>IF(Main[[#This Row],[Tech Start Date]]&lt;1/1/1990,"",IF(Main[[#This Row],[Class]]="C",WORKDAY(Main[[#This Row],[Tech Start Date]],9),IF(Main[[#This Row],[Class]]="B", WORKDAY(Main[[#This Row],[Tech Start Date]],6),IF(Main[[#This Row],[Class]]="A",WORKDAY(Main[[#This Row],[Tech Start Date]],2),""))))</f>
        <v/>
      </c>
      <c r="N809" s="104" t="str">
        <f>IF(Main[[#This Row],[Tech Start Date]]&lt;1/1/1990,"",IF(Main[[#This Row],[Class]]="C",WORKDAY(Main[[#This Row],[Tech Start Date]],19),IF(Main[[#This Row],[Class]]="B", WORKDAY(Main[[#This Row],[Tech Start Date]],12),IF(Main[[#This Row],[Class]]="A",WORKDAY(Main[[#This Row],[Tech Start Date]],4),""))))</f>
        <v/>
      </c>
      <c r="O809" s="104" t="str">
        <f>IF(Main[[#This Row],[Tech Start Date]]&lt;1/1/1990,"",IF(Main[[#This Row],[Class]]="C",WORKDAY(Main[[#This Row],[Tech Start Date]],23),IF(Main[[#This Row],[Class]]="B", WORKDAY(Main[[#This Row],[Tech Start Date]],15),IF(Main[[#This Row],[Class]]="A",WORKDAY(Main[[#This Row],[Tech Start Date]],5),""))))</f>
        <v/>
      </c>
      <c r="P809" s="104" t="str">
        <f>IF(Main[[#This Row],[Tech Start Date]]&lt;1/1/1990,"",IF(Main[[#This Row],[Class]]="C",WORKDAY(Main[[#This Row],[Tech Start Date]],28),IF(Main[[#This Row],[Class]]="B", WORKDAY(Main[[#This Row],[Tech Start Date]],19),IF(Main[[#This Row],[Class]]="A",WORKDAY(Main[[#This Row],[Tech Start Date]],9),""))))</f>
        <v/>
      </c>
      <c r="Q809" s="101">
        <v>40581</v>
      </c>
      <c r="R809" s="101"/>
      <c r="S809" s="99" t="s">
        <v>17</v>
      </c>
      <c r="T809" s="107" t="s">
        <v>4</v>
      </c>
      <c r="U809" s="99" t="s">
        <v>14</v>
      </c>
      <c r="V809" s="99" t="s">
        <v>1965</v>
      </c>
      <c r="W809" s="99" t="s">
        <v>1968</v>
      </c>
    </row>
    <row r="810" spans="1:23" ht="18.600000000000001" customHeight="1">
      <c r="A810" s="123" t="str">
        <f>IF(priority(Main[[#This Row],[Comments]])&lt;&gt;0, priority(Main[[#This Row],[Comments]]),"")</f>
        <v/>
      </c>
      <c r="B810" s="127" t="s">
        <v>1680</v>
      </c>
      <c r="C810" s="99" t="s">
        <v>4</v>
      </c>
      <c r="D810" s="100" t="s">
        <v>721</v>
      </c>
      <c r="E810" s="101"/>
      <c r="F810" s="101"/>
      <c r="G810" s="102" t="str">
        <f>IF(stdProdLT(Main[[#This Row],[Comments]])=0.1,"N/A",IF(stdProdLT(Main[[#This Row],[Comments]])=0,"",stdProdLT(Main[[#This Row],[Comments]])))</f>
        <v/>
      </c>
      <c r="H810" s="103" t="str">
        <f>IF(AND(Main[[#This Row],[In Stock Date]]&lt;&gt;"",Main[[#This Row],[Revised Due Date]]&lt;&gt;""),Main[[#This Row],[In Stock Date]]-Main[[#This Row],[Revised Due Date]],"")</f>
        <v/>
      </c>
      <c r="I810" s="99" t="s">
        <v>4</v>
      </c>
      <c r="J810" s="99" t="s">
        <v>28</v>
      </c>
      <c r="K810" s="99" t="s">
        <v>1971</v>
      </c>
      <c r="L810" s="101"/>
      <c r="M810" s="104" t="str">
        <f>IF(Main[[#This Row],[Tech Start Date]]&lt;1/1/1990,"",IF(Main[[#This Row],[Class]]="C",WORKDAY(Main[[#This Row],[Tech Start Date]],9),IF(Main[[#This Row],[Class]]="B", WORKDAY(Main[[#This Row],[Tech Start Date]],6),IF(Main[[#This Row],[Class]]="A",WORKDAY(Main[[#This Row],[Tech Start Date]],2),""))))</f>
        <v/>
      </c>
      <c r="N810" s="104" t="str">
        <f>IF(Main[[#This Row],[Tech Start Date]]&lt;1/1/1990,"",IF(Main[[#This Row],[Class]]="C",WORKDAY(Main[[#This Row],[Tech Start Date]],19),IF(Main[[#This Row],[Class]]="B", WORKDAY(Main[[#This Row],[Tech Start Date]],12),IF(Main[[#This Row],[Class]]="A",WORKDAY(Main[[#This Row],[Tech Start Date]],4),""))))</f>
        <v/>
      </c>
      <c r="O810" s="104" t="str">
        <f>IF(Main[[#This Row],[Tech Start Date]]&lt;1/1/1990,"",IF(Main[[#This Row],[Class]]="C",WORKDAY(Main[[#This Row],[Tech Start Date]],23),IF(Main[[#This Row],[Class]]="B", WORKDAY(Main[[#This Row],[Tech Start Date]],15),IF(Main[[#This Row],[Class]]="A",WORKDAY(Main[[#This Row],[Tech Start Date]],5),""))))</f>
        <v/>
      </c>
      <c r="P810" s="104" t="str">
        <f>IF(Main[[#This Row],[Tech Start Date]]&lt;1/1/1990,"",IF(Main[[#This Row],[Class]]="C",WORKDAY(Main[[#This Row],[Tech Start Date]],28),IF(Main[[#This Row],[Class]]="B", WORKDAY(Main[[#This Row],[Tech Start Date]],19),IF(Main[[#This Row],[Class]]="A",WORKDAY(Main[[#This Row],[Tech Start Date]],9),""))))</f>
        <v/>
      </c>
      <c r="Q810" s="101">
        <v>40647</v>
      </c>
      <c r="R810" s="101"/>
      <c r="S810" s="99" t="s">
        <v>6</v>
      </c>
      <c r="T810" s="107" t="s">
        <v>4</v>
      </c>
      <c r="U810" s="99" t="s">
        <v>14</v>
      </c>
      <c r="V810" s="99" t="s">
        <v>1962</v>
      </c>
      <c r="W810" s="99" t="s">
        <v>1966</v>
      </c>
    </row>
    <row r="811" spans="1:23" ht="18.600000000000001" customHeight="1">
      <c r="A811" s="123" t="str">
        <f>IF(priority(Main[[#This Row],[Comments]])&lt;&gt;0, priority(Main[[#This Row],[Comments]]),"")</f>
        <v/>
      </c>
      <c r="B811" s="127" t="s">
        <v>1654</v>
      </c>
      <c r="C811" s="99" t="s">
        <v>699</v>
      </c>
      <c r="D811" s="100" t="s">
        <v>700</v>
      </c>
      <c r="E811" s="101"/>
      <c r="F811" s="101">
        <v>40664</v>
      </c>
      <c r="G811" s="102" t="str">
        <f>IF(stdProdLT(Main[[#This Row],[Comments]])=0.1,"N/A",IF(stdProdLT(Main[[#This Row],[Comments]])=0,"",stdProdLT(Main[[#This Row],[Comments]])))</f>
        <v/>
      </c>
      <c r="H811" s="103" t="str">
        <f>IF(AND(Main[[#This Row],[In Stock Date]]&lt;&gt;"",Main[[#This Row],[Revised Due Date]]&lt;&gt;""),Main[[#This Row],[In Stock Date]]-Main[[#This Row],[Revised Due Date]],"")</f>
        <v/>
      </c>
      <c r="I811" s="99" t="s">
        <v>4</v>
      </c>
      <c r="J811" s="99" t="s">
        <v>4</v>
      </c>
      <c r="K811" s="99" t="s">
        <v>4</v>
      </c>
      <c r="L811" s="101"/>
      <c r="M811" s="104" t="str">
        <f>IF(Main[[#This Row],[Tech Start Date]]&lt;1/1/1990,"",IF(Main[[#This Row],[Class]]="C",WORKDAY(Main[[#This Row],[Tech Start Date]],9),IF(Main[[#This Row],[Class]]="B", WORKDAY(Main[[#This Row],[Tech Start Date]],6),IF(Main[[#This Row],[Class]]="A",WORKDAY(Main[[#This Row],[Tech Start Date]],2),""))))</f>
        <v/>
      </c>
      <c r="N811" s="104" t="str">
        <f>IF(Main[[#This Row],[Tech Start Date]]&lt;1/1/1990,"",IF(Main[[#This Row],[Class]]="C",WORKDAY(Main[[#This Row],[Tech Start Date]],19),IF(Main[[#This Row],[Class]]="B", WORKDAY(Main[[#This Row],[Tech Start Date]],12),IF(Main[[#This Row],[Class]]="A",WORKDAY(Main[[#This Row],[Tech Start Date]],4),""))))</f>
        <v/>
      </c>
      <c r="O811" s="104" t="str">
        <f>IF(Main[[#This Row],[Tech Start Date]]&lt;1/1/1990,"",IF(Main[[#This Row],[Class]]="C",WORKDAY(Main[[#This Row],[Tech Start Date]],23),IF(Main[[#This Row],[Class]]="B", WORKDAY(Main[[#This Row],[Tech Start Date]],15),IF(Main[[#This Row],[Class]]="A",WORKDAY(Main[[#This Row],[Tech Start Date]],5),""))))</f>
        <v/>
      </c>
      <c r="P811" s="104" t="str">
        <f>IF(Main[[#This Row],[Tech Start Date]]&lt;1/1/1990,"",IF(Main[[#This Row],[Class]]="C",WORKDAY(Main[[#This Row],[Tech Start Date]],28),IF(Main[[#This Row],[Class]]="B", WORKDAY(Main[[#This Row],[Tech Start Date]],19),IF(Main[[#This Row],[Class]]="A",WORKDAY(Main[[#This Row],[Tech Start Date]],9),""))))</f>
        <v/>
      </c>
      <c r="Q811" s="101">
        <v>40557</v>
      </c>
      <c r="R811" s="101"/>
      <c r="S811" s="99" t="s">
        <v>11</v>
      </c>
      <c r="T811" s="107" t="s">
        <v>4</v>
      </c>
      <c r="U811" s="99" t="s">
        <v>14</v>
      </c>
      <c r="V811" s="99" t="s">
        <v>1962</v>
      </c>
      <c r="W811" s="99" t="s">
        <v>1970</v>
      </c>
    </row>
    <row r="812" spans="1:23" ht="18.600000000000001" customHeight="1">
      <c r="A812" s="123" t="str">
        <f>IF(priority(Main[[#This Row],[Comments]])&lt;&gt;0, priority(Main[[#This Row],[Comments]]),"")</f>
        <v/>
      </c>
      <c r="B812" s="127" t="s">
        <v>1655</v>
      </c>
      <c r="C812" s="99" t="s">
        <v>4</v>
      </c>
      <c r="D812" s="100" t="s">
        <v>701</v>
      </c>
      <c r="E812" s="101"/>
      <c r="F812" s="101"/>
      <c r="G812" s="102" t="str">
        <f>IF(stdProdLT(Main[[#This Row],[Comments]])=0.1,"N/A",IF(stdProdLT(Main[[#This Row],[Comments]])=0,"",stdProdLT(Main[[#This Row],[Comments]])))</f>
        <v/>
      </c>
      <c r="H812" s="103" t="str">
        <f>IF(AND(Main[[#This Row],[In Stock Date]]&lt;&gt;"",Main[[#This Row],[Revised Due Date]]&lt;&gt;""),Main[[#This Row],[In Stock Date]]-Main[[#This Row],[Revised Due Date]],"")</f>
        <v/>
      </c>
      <c r="I812" s="99" t="s">
        <v>4</v>
      </c>
      <c r="J812" s="99" t="s">
        <v>4</v>
      </c>
      <c r="K812" s="99" t="s">
        <v>4</v>
      </c>
      <c r="L812" s="101"/>
      <c r="M812" s="104" t="str">
        <f>IF(Main[[#This Row],[Tech Start Date]]&lt;1/1/1990,"",IF(Main[[#This Row],[Class]]="C",WORKDAY(Main[[#This Row],[Tech Start Date]],9),IF(Main[[#This Row],[Class]]="B", WORKDAY(Main[[#This Row],[Tech Start Date]],6),IF(Main[[#This Row],[Class]]="A",WORKDAY(Main[[#This Row],[Tech Start Date]],2),""))))</f>
        <v/>
      </c>
      <c r="N812" s="104" t="str">
        <f>IF(Main[[#This Row],[Tech Start Date]]&lt;1/1/1990,"",IF(Main[[#This Row],[Class]]="C",WORKDAY(Main[[#This Row],[Tech Start Date]],19),IF(Main[[#This Row],[Class]]="B", WORKDAY(Main[[#This Row],[Tech Start Date]],12),IF(Main[[#This Row],[Class]]="A",WORKDAY(Main[[#This Row],[Tech Start Date]],4),""))))</f>
        <v/>
      </c>
      <c r="O812" s="104" t="str">
        <f>IF(Main[[#This Row],[Tech Start Date]]&lt;1/1/1990,"",IF(Main[[#This Row],[Class]]="C",WORKDAY(Main[[#This Row],[Tech Start Date]],23),IF(Main[[#This Row],[Class]]="B", WORKDAY(Main[[#This Row],[Tech Start Date]],15),IF(Main[[#This Row],[Class]]="A",WORKDAY(Main[[#This Row],[Tech Start Date]],5),""))))</f>
        <v/>
      </c>
      <c r="P812" s="104" t="str">
        <f>IF(Main[[#This Row],[Tech Start Date]]&lt;1/1/1990,"",IF(Main[[#This Row],[Class]]="C",WORKDAY(Main[[#This Row],[Tech Start Date]],28),IF(Main[[#This Row],[Class]]="B", WORKDAY(Main[[#This Row],[Tech Start Date]],19),IF(Main[[#This Row],[Class]]="A",WORKDAY(Main[[#This Row],[Tech Start Date]],9),""))))</f>
        <v/>
      </c>
      <c r="Q812" s="101"/>
      <c r="R812" s="101"/>
      <c r="S812" s="99" t="s">
        <v>11</v>
      </c>
      <c r="T812" s="107" t="s">
        <v>4</v>
      </c>
      <c r="U812" s="99" t="s">
        <v>14</v>
      </c>
      <c r="V812" s="99" t="s">
        <v>1962</v>
      </c>
      <c r="W812" s="99" t="s">
        <v>4</v>
      </c>
    </row>
    <row r="813" spans="1:23" ht="18.600000000000001" customHeight="1">
      <c r="A813" s="123" t="str">
        <f>IF(priority(Main[[#This Row],[Comments]])&lt;&gt;0, priority(Main[[#This Row],[Comments]]),"")</f>
        <v/>
      </c>
      <c r="B813" s="127" t="s">
        <v>1847</v>
      </c>
      <c r="C813" s="99" t="s">
        <v>4</v>
      </c>
      <c r="D813" s="100" t="s">
        <v>851</v>
      </c>
      <c r="E813" s="101">
        <v>40430.597812499997</v>
      </c>
      <c r="F813" s="101">
        <v>40574</v>
      </c>
      <c r="G813" s="102" t="str">
        <f>IF(stdProdLT(Main[[#This Row],[Comments]])=0.1,"N/A",IF(stdProdLT(Main[[#This Row],[Comments]])=0,"",stdProdLT(Main[[#This Row],[Comments]])))</f>
        <v/>
      </c>
      <c r="H813" s="103">
        <f>IF(AND(Main[[#This Row],[In Stock Date]]&lt;&gt;"",Main[[#This Row],[Revised Due Date]]&lt;&gt;""),Main[[#This Row],[In Stock Date]]-Main[[#This Row],[Revised Due Date]],"")</f>
        <v>384</v>
      </c>
      <c r="I813" s="99" t="s">
        <v>81</v>
      </c>
      <c r="J813" s="99" t="s">
        <v>52</v>
      </c>
      <c r="K813" s="99" t="s">
        <v>1974</v>
      </c>
      <c r="L813" s="101"/>
      <c r="M813" s="104" t="str">
        <f>IF(Main[[#This Row],[Tech Start Date]]&lt;1/1/1990,"",IF(Main[[#This Row],[Class]]="C",WORKDAY(Main[[#This Row],[Tech Start Date]],9),IF(Main[[#This Row],[Class]]="B", WORKDAY(Main[[#This Row],[Tech Start Date]],6),IF(Main[[#This Row],[Class]]="A",WORKDAY(Main[[#This Row],[Tech Start Date]],2),""))))</f>
        <v/>
      </c>
      <c r="N813" s="104" t="str">
        <f>IF(Main[[#This Row],[Tech Start Date]]&lt;1/1/1990,"",IF(Main[[#This Row],[Class]]="C",WORKDAY(Main[[#This Row],[Tech Start Date]],19),IF(Main[[#This Row],[Class]]="B", WORKDAY(Main[[#This Row],[Tech Start Date]],12),IF(Main[[#This Row],[Class]]="A",WORKDAY(Main[[#This Row],[Tech Start Date]],4),""))))</f>
        <v/>
      </c>
      <c r="O813" s="104" t="str">
        <f>IF(Main[[#This Row],[Tech Start Date]]&lt;1/1/1990,"",IF(Main[[#This Row],[Class]]="C",WORKDAY(Main[[#This Row],[Tech Start Date]],23),IF(Main[[#This Row],[Class]]="B", WORKDAY(Main[[#This Row],[Tech Start Date]],15),IF(Main[[#This Row],[Class]]="A",WORKDAY(Main[[#This Row],[Tech Start Date]],5),""))))</f>
        <v/>
      </c>
      <c r="P813" s="104" t="str">
        <f>IF(Main[[#This Row],[Tech Start Date]]&lt;1/1/1990,"",IF(Main[[#This Row],[Class]]="C",WORKDAY(Main[[#This Row],[Tech Start Date]],28),IF(Main[[#This Row],[Class]]="B", WORKDAY(Main[[#This Row],[Tech Start Date]],19),IF(Main[[#This Row],[Class]]="A",WORKDAY(Main[[#This Row],[Tech Start Date]],9),""))))</f>
        <v/>
      </c>
      <c r="Q813" s="101">
        <v>40190</v>
      </c>
      <c r="R813" s="101">
        <v>40190</v>
      </c>
      <c r="S813" s="99" t="s">
        <v>17</v>
      </c>
      <c r="T813" s="107" t="s">
        <v>4</v>
      </c>
      <c r="U813" s="99" t="s">
        <v>29</v>
      </c>
      <c r="V813" s="99" t="s">
        <v>1965</v>
      </c>
      <c r="W813" s="99" t="s">
        <v>1967</v>
      </c>
    </row>
    <row r="814" spans="1:23" ht="18.600000000000001" customHeight="1">
      <c r="A814" s="123" t="str">
        <f>IF(priority(Main[[#This Row],[Comments]])&lt;&gt;0, priority(Main[[#This Row],[Comments]]),"")</f>
        <v/>
      </c>
      <c r="B814" s="127" t="s">
        <v>2164</v>
      </c>
      <c r="C814" s="99" t="s">
        <v>2149</v>
      </c>
      <c r="D814" s="100" t="s">
        <v>2150</v>
      </c>
      <c r="E814" s="101"/>
      <c r="F814" s="101">
        <v>40831</v>
      </c>
      <c r="G814" s="102" t="str">
        <f>IF(stdProdLT(Main[[#This Row],[Comments]])=0.1,"N/A",IF(stdProdLT(Main[[#This Row],[Comments]])=0,"",stdProdLT(Main[[#This Row],[Comments]])))</f>
        <v/>
      </c>
      <c r="H814" s="103" t="str">
        <f>IF(AND(Main[[#This Row],[In Stock Date]]&lt;&gt;"",Main[[#This Row],[Revised Due Date]]&lt;&gt;""),Main[[#This Row],[In Stock Date]]-Main[[#This Row],[Revised Due Date]],"")</f>
        <v/>
      </c>
      <c r="I814" s="99" t="s">
        <v>4</v>
      </c>
      <c r="J814" s="99" t="s">
        <v>4</v>
      </c>
      <c r="K814" s="108" t="s">
        <v>4</v>
      </c>
      <c r="L814" s="101"/>
      <c r="M814" s="104" t="str">
        <f>IF(Main[[#This Row],[Tech Start Date]]&lt;1/1/1990,"",IF(Main[[#This Row],[Class]]="C",WORKDAY(Main[[#This Row],[Tech Start Date]],9),IF(Main[[#This Row],[Class]]="B", WORKDAY(Main[[#This Row],[Tech Start Date]],6),IF(Main[[#This Row],[Class]]="A",WORKDAY(Main[[#This Row],[Tech Start Date]],2),""))))</f>
        <v/>
      </c>
      <c r="N814" s="104" t="str">
        <f>IF(Main[[#This Row],[Tech Start Date]]&lt;1/1/1990,"",IF(Main[[#This Row],[Class]]="C",WORKDAY(Main[[#This Row],[Tech Start Date]],19),IF(Main[[#This Row],[Class]]="B", WORKDAY(Main[[#This Row],[Tech Start Date]],12),IF(Main[[#This Row],[Class]]="A",WORKDAY(Main[[#This Row],[Tech Start Date]],4),""))))</f>
        <v/>
      </c>
      <c r="O814" s="104" t="str">
        <f>IF(Main[[#This Row],[Tech Start Date]]&lt;1/1/1990,"",IF(Main[[#This Row],[Class]]="C",WORKDAY(Main[[#This Row],[Tech Start Date]],23),IF(Main[[#This Row],[Class]]="B", WORKDAY(Main[[#This Row],[Tech Start Date]],15),IF(Main[[#This Row],[Class]]="A",WORKDAY(Main[[#This Row],[Tech Start Date]],5),""))))</f>
        <v/>
      </c>
      <c r="P814" s="104" t="str">
        <f>IF(Main[[#This Row],[Tech Start Date]]&lt;1/1/1990,"",IF(Main[[#This Row],[Class]]="C",WORKDAY(Main[[#This Row],[Tech Start Date]],28),IF(Main[[#This Row],[Class]]="B", WORKDAY(Main[[#This Row],[Tech Start Date]],19),IF(Main[[#This Row],[Class]]="A",WORKDAY(Main[[#This Row],[Tech Start Date]],9),""))))</f>
        <v/>
      </c>
      <c r="Q814" s="101">
        <v>40786</v>
      </c>
      <c r="R814" s="101"/>
      <c r="S814" s="99" t="s">
        <v>11</v>
      </c>
      <c r="T814" s="107" t="s">
        <v>4</v>
      </c>
      <c r="U814" s="99" t="s">
        <v>12</v>
      </c>
      <c r="V814" s="99" t="s">
        <v>1965</v>
      </c>
      <c r="W814" s="99" t="s">
        <v>1970</v>
      </c>
    </row>
    <row r="815" spans="1:23" ht="18.600000000000001" customHeight="1">
      <c r="A815" s="123" t="str">
        <f>IF(priority(Main[[#This Row],[Comments]])&lt;&gt;0, priority(Main[[#This Row],[Comments]]),"")</f>
        <v/>
      </c>
      <c r="B815" s="127" t="s">
        <v>2142</v>
      </c>
      <c r="C815" s="99" t="s">
        <v>4</v>
      </c>
      <c r="D815" s="100" t="s">
        <v>2143</v>
      </c>
      <c r="E815" s="101"/>
      <c r="F815" s="101"/>
      <c r="G815" s="102" t="str">
        <f>IF(stdProdLT(Main[[#This Row],[Comments]])=0.1,"N/A",IF(stdProdLT(Main[[#This Row],[Comments]])=0,"",stdProdLT(Main[[#This Row],[Comments]])))</f>
        <v/>
      </c>
      <c r="H815" s="103" t="str">
        <f>IF(AND(Main[[#This Row],[In Stock Date]]&lt;&gt;"",Main[[#This Row],[Revised Due Date]]&lt;&gt;""),Main[[#This Row],[In Stock Date]]-Main[[#This Row],[Revised Due Date]],"")</f>
        <v/>
      </c>
      <c r="I815" s="99" t="s">
        <v>536</v>
      </c>
      <c r="J815" s="99" t="s">
        <v>28</v>
      </c>
      <c r="K815" s="99" t="s">
        <v>1971</v>
      </c>
      <c r="L815" s="101"/>
      <c r="M815" s="104" t="str">
        <f>IF(Main[[#This Row],[Tech Start Date]]&lt;1/1/1990,"",IF(Main[[#This Row],[Class]]="C",WORKDAY(Main[[#This Row],[Tech Start Date]],9),IF(Main[[#This Row],[Class]]="B", WORKDAY(Main[[#This Row],[Tech Start Date]],6),IF(Main[[#This Row],[Class]]="A",WORKDAY(Main[[#This Row],[Tech Start Date]],2),""))))</f>
        <v/>
      </c>
      <c r="N815" s="104" t="str">
        <f>IF(Main[[#This Row],[Tech Start Date]]&lt;1/1/1990,"",IF(Main[[#This Row],[Class]]="C",WORKDAY(Main[[#This Row],[Tech Start Date]],19),IF(Main[[#This Row],[Class]]="B", WORKDAY(Main[[#This Row],[Tech Start Date]],12),IF(Main[[#This Row],[Class]]="A",WORKDAY(Main[[#This Row],[Tech Start Date]],4),""))))</f>
        <v/>
      </c>
      <c r="O815" s="104" t="str">
        <f>IF(Main[[#This Row],[Tech Start Date]]&lt;1/1/1990,"",IF(Main[[#This Row],[Class]]="C",WORKDAY(Main[[#This Row],[Tech Start Date]],23),IF(Main[[#This Row],[Class]]="B", WORKDAY(Main[[#This Row],[Tech Start Date]],15),IF(Main[[#This Row],[Class]]="A",WORKDAY(Main[[#This Row],[Tech Start Date]],5),""))))</f>
        <v/>
      </c>
      <c r="P815" s="104" t="str">
        <f>IF(Main[[#This Row],[Tech Start Date]]&lt;1/1/1990,"",IF(Main[[#This Row],[Class]]="C",WORKDAY(Main[[#This Row],[Tech Start Date]],28),IF(Main[[#This Row],[Class]]="B", WORKDAY(Main[[#This Row],[Tech Start Date]],19),IF(Main[[#This Row],[Class]]="A",WORKDAY(Main[[#This Row],[Tech Start Date]],9),""))))</f>
        <v/>
      </c>
      <c r="Q815" s="101"/>
      <c r="R815" s="101"/>
      <c r="S815" s="99" t="s">
        <v>6</v>
      </c>
      <c r="T815" s="107" t="s">
        <v>4</v>
      </c>
      <c r="U815" s="99" t="s">
        <v>14</v>
      </c>
      <c r="V815" s="99" t="s">
        <v>1965</v>
      </c>
      <c r="W815" s="99" t="s">
        <v>1966</v>
      </c>
    </row>
    <row r="816" spans="1:23" ht="18.600000000000001" customHeight="1">
      <c r="A816" s="123" t="str">
        <f>IF(priority(Main[[#This Row],[Comments]])&lt;&gt;0, priority(Main[[#This Row],[Comments]]),"")</f>
        <v/>
      </c>
      <c r="B816" s="127" t="s">
        <v>1433</v>
      </c>
      <c r="C816" s="99" t="s">
        <v>4</v>
      </c>
      <c r="D816" s="100" t="s">
        <v>487</v>
      </c>
      <c r="E816" s="101">
        <v>40485.329618055555</v>
      </c>
      <c r="F816" s="101"/>
      <c r="G816" s="102" t="str">
        <f>IF(stdProdLT(Main[[#This Row],[Comments]])=0.1,"N/A",IF(stdProdLT(Main[[#This Row],[Comments]])=0,"",stdProdLT(Main[[#This Row],[Comments]])))</f>
        <v/>
      </c>
      <c r="H816" s="103" t="str">
        <f>IF(AND(Main[[#This Row],[In Stock Date]]&lt;&gt;"",Main[[#This Row],[Revised Due Date]]&lt;&gt;""),Main[[#This Row],[In Stock Date]]-Main[[#This Row],[Revised Due Date]],"")</f>
        <v/>
      </c>
      <c r="I816" s="99" t="s">
        <v>4</v>
      </c>
      <c r="J816" s="99" t="s">
        <v>28</v>
      </c>
      <c r="K816" s="99" t="s">
        <v>1974</v>
      </c>
      <c r="L816" s="101"/>
      <c r="M816" s="104" t="str">
        <f>IF(Main[[#This Row],[Tech Start Date]]&lt;1/1/1990,"",IF(Main[[#This Row],[Class]]="C",WORKDAY(Main[[#This Row],[Tech Start Date]],9),IF(Main[[#This Row],[Class]]="B", WORKDAY(Main[[#This Row],[Tech Start Date]],6),IF(Main[[#This Row],[Class]]="A",WORKDAY(Main[[#This Row],[Tech Start Date]],2),""))))</f>
        <v/>
      </c>
      <c r="N816" s="104" t="str">
        <f>IF(Main[[#This Row],[Tech Start Date]]&lt;1/1/1990,"",IF(Main[[#This Row],[Class]]="C",WORKDAY(Main[[#This Row],[Tech Start Date]],19),IF(Main[[#This Row],[Class]]="B", WORKDAY(Main[[#This Row],[Tech Start Date]],12),IF(Main[[#This Row],[Class]]="A",WORKDAY(Main[[#This Row],[Tech Start Date]],4),""))))</f>
        <v/>
      </c>
      <c r="O816" s="104" t="str">
        <f>IF(Main[[#This Row],[Tech Start Date]]&lt;1/1/1990,"",IF(Main[[#This Row],[Class]]="C",WORKDAY(Main[[#This Row],[Tech Start Date]],23),IF(Main[[#This Row],[Class]]="B", WORKDAY(Main[[#This Row],[Tech Start Date]],15),IF(Main[[#This Row],[Class]]="A",WORKDAY(Main[[#This Row],[Tech Start Date]],5),""))))</f>
        <v/>
      </c>
      <c r="P816" s="104" t="str">
        <f>IF(Main[[#This Row],[Tech Start Date]]&lt;1/1/1990,"",IF(Main[[#This Row],[Class]]="C",WORKDAY(Main[[#This Row],[Tech Start Date]],28),IF(Main[[#This Row],[Class]]="B", WORKDAY(Main[[#This Row],[Tech Start Date]],19),IF(Main[[#This Row],[Class]]="A",WORKDAY(Main[[#This Row],[Tech Start Date]],9),""))))</f>
        <v/>
      </c>
      <c r="Q816" s="101"/>
      <c r="R816" s="101"/>
      <c r="S816" s="99" t="s">
        <v>17</v>
      </c>
      <c r="T816" s="107" t="s">
        <v>4</v>
      </c>
      <c r="U816" s="99" t="s">
        <v>29</v>
      </c>
      <c r="V816" s="99" t="s">
        <v>1962</v>
      </c>
      <c r="W816" s="99" t="s">
        <v>1976</v>
      </c>
    </row>
    <row r="817" spans="1:23" ht="18.600000000000001" customHeight="1">
      <c r="A817" s="123" t="str">
        <f>IF(priority(Main[[#This Row],[Comments]])&lt;&gt;0, priority(Main[[#This Row],[Comments]]),"")</f>
        <v/>
      </c>
      <c r="B817" s="127" t="s">
        <v>1859</v>
      </c>
      <c r="C817" s="99" t="s">
        <v>42</v>
      </c>
      <c r="D817" s="100" t="s">
        <v>885</v>
      </c>
      <c r="E817" s="101">
        <v>39932.455243055556</v>
      </c>
      <c r="F817" s="101"/>
      <c r="G817" s="102" t="str">
        <f>IF(stdProdLT(Main[[#This Row],[Comments]])=0.1,"N/A",IF(stdProdLT(Main[[#This Row],[Comments]])=0,"",stdProdLT(Main[[#This Row],[Comments]])))</f>
        <v/>
      </c>
      <c r="H817" s="103" t="str">
        <f>IF(AND(Main[[#This Row],[In Stock Date]]&lt;&gt;"",Main[[#This Row],[Revised Due Date]]&lt;&gt;""),Main[[#This Row],[In Stock Date]]-Main[[#This Row],[Revised Due Date]],"")</f>
        <v/>
      </c>
      <c r="I817" s="99" t="s">
        <v>4</v>
      </c>
      <c r="J817" s="99" t="s">
        <v>4</v>
      </c>
      <c r="K817" s="99" t="s">
        <v>4</v>
      </c>
      <c r="L817" s="101"/>
      <c r="M817" s="104" t="str">
        <f>IF(Main[[#This Row],[Tech Start Date]]&lt;1/1/1990,"",IF(Main[[#This Row],[Class]]="C",WORKDAY(Main[[#This Row],[Tech Start Date]],9),IF(Main[[#This Row],[Class]]="B", WORKDAY(Main[[#This Row],[Tech Start Date]],6),IF(Main[[#This Row],[Class]]="A",WORKDAY(Main[[#This Row],[Tech Start Date]],2),""))))</f>
        <v/>
      </c>
      <c r="N817" s="104" t="str">
        <f>IF(Main[[#This Row],[Tech Start Date]]&lt;1/1/1990,"",IF(Main[[#This Row],[Class]]="C",WORKDAY(Main[[#This Row],[Tech Start Date]],19),IF(Main[[#This Row],[Class]]="B", WORKDAY(Main[[#This Row],[Tech Start Date]],12),IF(Main[[#This Row],[Class]]="A",WORKDAY(Main[[#This Row],[Tech Start Date]],4),""))))</f>
        <v/>
      </c>
      <c r="O817" s="104" t="str">
        <f>IF(Main[[#This Row],[Tech Start Date]]&lt;1/1/1990,"",IF(Main[[#This Row],[Class]]="C",WORKDAY(Main[[#This Row],[Tech Start Date]],23),IF(Main[[#This Row],[Class]]="B", WORKDAY(Main[[#This Row],[Tech Start Date]],15),IF(Main[[#This Row],[Class]]="A",WORKDAY(Main[[#This Row],[Tech Start Date]],5),""))))</f>
        <v/>
      </c>
      <c r="P817" s="104" t="str">
        <f>IF(Main[[#This Row],[Tech Start Date]]&lt;1/1/1990,"",IF(Main[[#This Row],[Class]]="C",WORKDAY(Main[[#This Row],[Tech Start Date]],28),IF(Main[[#This Row],[Class]]="B", WORKDAY(Main[[#This Row],[Tech Start Date]],19),IF(Main[[#This Row],[Class]]="A",WORKDAY(Main[[#This Row],[Tech Start Date]],9),""))))</f>
        <v/>
      </c>
      <c r="Q817" s="101">
        <v>40165</v>
      </c>
      <c r="R817" s="101">
        <v>40298</v>
      </c>
      <c r="S817" s="99" t="s">
        <v>17</v>
      </c>
      <c r="T817" s="107" t="s">
        <v>4</v>
      </c>
      <c r="U817" s="99" t="s">
        <v>29</v>
      </c>
      <c r="V817" s="99" t="s">
        <v>1963</v>
      </c>
      <c r="W817" s="99" t="s">
        <v>1966</v>
      </c>
    </row>
    <row r="818" spans="1:23" ht="18.600000000000001" customHeight="1">
      <c r="A818" s="123" t="str">
        <f>IF(priority(Main[[#This Row],[Comments]])&lt;&gt;0, priority(Main[[#This Row],[Comments]]),"")</f>
        <v/>
      </c>
      <c r="B818" s="127" t="s">
        <v>1657</v>
      </c>
      <c r="C818" s="99" t="s">
        <v>4</v>
      </c>
      <c r="D818" s="100" t="s">
        <v>705</v>
      </c>
      <c r="E818" s="101"/>
      <c r="F818" s="101"/>
      <c r="G818" s="102" t="str">
        <f>IF(stdProdLT(Main[[#This Row],[Comments]])=0.1,"N/A",IF(stdProdLT(Main[[#This Row],[Comments]])=0,"",stdProdLT(Main[[#This Row],[Comments]])))</f>
        <v/>
      </c>
      <c r="H818" s="103" t="str">
        <f>IF(AND(Main[[#This Row],[In Stock Date]]&lt;&gt;"",Main[[#This Row],[Revised Due Date]]&lt;&gt;""),Main[[#This Row],[In Stock Date]]-Main[[#This Row],[Revised Due Date]],"")</f>
        <v/>
      </c>
      <c r="I818" s="99" t="s">
        <v>4</v>
      </c>
      <c r="J818" s="99" t="s">
        <v>4</v>
      </c>
      <c r="K818" s="99" t="s">
        <v>4</v>
      </c>
      <c r="L818" s="101"/>
      <c r="M818" s="104" t="str">
        <f>IF(Main[[#This Row],[Tech Start Date]]&lt;1/1/1990,"",IF(Main[[#This Row],[Class]]="C",WORKDAY(Main[[#This Row],[Tech Start Date]],9),IF(Main[[#This Row],[Class]]="B", WORKDAY(Main[[#This Row],[Tech Start Date]],6),IF(Main[[#This Row],[Class]]="A",WORKDAY(Main[[#This Row],[Tech Start Date]],2),""))))</f>
        <v/>
      </c>
      <c r="N818" s="104" t="str">
        <f>IF(Main[[#This Row],[Tech Start Date]]&lt;1/1/1990,"",IF(Main[[#This Row],[Class]]="C",WORKDAY(Main[[#This Row],[Tech Start Date]],19),IF(Main[[#This Row],[Class]]="B", WORKDAY(Main[[#This Row],[Tech Start Date]],12),IF(Main[[#This Row],[Class]]="A",WORKDAY(Main[[#This Row],[Tech Start Date]],4),""))))</f>
        <v/>
      </c>
      <c r="O818" s="104" t="str">
        <f>IF(Main[[#This Row],[Tech Start Date]]&lt;1/1/1990,"",IF(Main[[#This Row],[Class]]="C",WORKDAY(Main[[#This Row],[Tech Start Date]],23),IF(Main[[#This Row],[Class]]="B", WORKDAY(Main[[#This Row],[Tech Start Date]],15),IF(Main[[#This Row],[Class]]="A",WORKDAY(Main[[#This Row],[Tech Start Date]],5),""))))</f>
        <v/>
      </c>
      <c r="P818" s="104" t="str">
        <f>IF(Main[[#This Row],[Tech Start Date]]&lt;1/1/1990,"",IF(Main[[#This Row],[Class]]="C",WORKDAY(Main[[#This Row],[Tech Start Date]],28),IF(Main[[#This Row],[Class]]="B", WORKDAY(Main[[#This Row],[Tech Start Date]],19),IF(Main[[#This Row],[Class]]="A",WORKDAY(Main[[#This Row],[Tech Start Date]],9),""))))</f>
        <v/>
      </c>
      <c r="Q818" s="101"/>
      <c r="R818" s="101"/>
      <c r="S818" s="99" t="s">
        <v>23</v>
      </c>
      <c r="T818" s="107" t="s">
        <v>4</v>
      </c>
      <c r="U818" s="99" t="s">
        <v>14</v>
      </c>
      <c r="V818" s="99" t="s">
        <v>1965</v>
      </c>
      <c r="W818" s="99" t="s">
        <v>1966</v>
      </c>
    </row>
    <row r="819" spans="1:23" ht="18.600000000000001" customHeight="1">
      <c r="A819" s="123" t="str">
        <f>IF(priority(Main[[#This Row],[Comments]])&lt;&gt;0, priority(Main[[#This Row],[Comments]]),"")</f>
        <v/>
      </c>
      <c r="B819" s="127" t="s">
        <v>1658</v>
      </c>
      <c r="C819" s="99" t="s">
        <v>122</v>
      </c>
      <c r="D819" s="100" t="s">
        <v>706</v>
      </c>
      <c r="E819" s="101"/>
      <c r="F819" s="101"/>
      <c r="G819" s="102" t="str">
        <f>IF(stdProdLT(Main[[#This Row],[Comments]])=0.1,"N/A",IF(stdProdLT(Main[[#This Row],[Comments]])=0,"",stdProdLT(Main[[#This Row],[Comments]])))</f>
        <v/>
      </c>
      <c r="H819" s="103" t="str">
        <f>IF(AND(Main[[#This Row],[In Stock Date]]&lt;&gt;"",Main[[#This Row],[Revised Due Date]]&lt;&gt;""),Main[[#This Row],[In Stock Date]]-Main[[#This Row],[Revised Due Date]],"")</f>
        <v/>
      </c>
      <c r="I819" s="99" t="s">
        <v>4</v>
      </c>
      <c r="J819" s="99" t="s">
        <v>4</v>
      </c>
      <c r="K819" s="99" t="s">
        <v>4</v>
      </c>
      <c r="L819" s="101"/>
      <c r="M819" s="104" t="str">
        <f>IF(Main[[#This Row],[Tech Start Date]]&lt;1/1/1990,"",IF(Main[[#This Row],[Class]]="C",WORKDAY(Main[[#This Row],[Tech Start Date]],9),IF(Main[[#This Row],[Class]]="B", WORKDAY(Main[[#This Row],[Tech Start Date]],6),IF(Main[[#This Row],[Class]]="A",WORKDAY(Main[[#This Row],[Tech Start Date]],2),""))))</f>
        <v/>
      </c>
      <c r="N819" s="104" t="str">
        <f>IF(Main[[#This Row],[Tech Start Date]]&lt;1/1/1990,"",IF(Main[[#This Row],[Class]]="C",WORKDAY(Main[[#This Row],[Tech Start Date]],19),IF(Main[[#This Row],[Class]]="B", WORKDAY(Main[[#This Row],[Tech Start Date]],12),IF(Main[[#This Row],[Class]]="A",WORKDAY(Main[[#This Row],[Tech Start Date]],4),""))))</f>
        <v/>
      </c>
      <c r="O819" s="104" t="str">
        <f>IF(Main[[#This Row],[Tech Start Date]]&lt;1/1/1990,"",IF(Main[[#This Row],[Class]]="C",WORKDAY(Main[[#This Row],[Tech Start Date]],23),IF(Main[[#This Row],[Class]]="B", WORKDAY(Main[[#This Row],[Tech Start Date]],15),IF(Main[[#This Row],[Class]]="A",WORKDAY(Main[[#This Row],[Tech Start Date]],5),""))))</f>
        <v/>
      </c>
      <c r="P819" s="104" t="str">
        <f>IF(Main[[#This Row],[Tech Start Date]]&lt;1/1/1990,"",IF(Main[[#This Row],[Class]]="C",WORKDAY(Main[[#This Row],[Tech Start Date]],28),IF(Main[[#This Row],[Class]]="B", WORKDAY(Main[[#This Row],[Tech Start Date]],19),IF(Main[[#This Row],[Class]]="A",WORKDAY(Main[[#This Row],[Tech Start Date]],9),""))))</f>
        <v/>
      </c>
      <c r="Q819" s="101"/>
      <c r="R819" s="101"/>
      <c r="S819" s="99" t="s">
        <v>11</v>
      </c>
      <c r="T819" s="107" t="s">
        <v>4</v>
      </c>
      <c r="U819" s="99" t="s">
        <v>14</v>
      </c>
      <c r="V819" s="99" t="s">
        <v>1962</v>
      </c>
      <c r="W819" s="99" t="s">
        <v>1973</v>
      </c>
    </row>
    <row r="820" spans="1:23" ht="18.600000000000001" customHeight="1">
      <c r="A820" s="123" t="str">
        <f>IF(priority(Main[[#This Row],[Comments]])&lt;&gt;0, priority(Main[[#This Row],[Comments]]),"")</f>
        <v/>
      </c>
      <c r="B820" s="127" t="s">
        <v>1659</v>
      </c>
      <c r="C820" s="99" t="s">
        <v>4</v>
      </c>
      <c r="D820" s="100" t="s">
        <v>707</v>
      </c>
      <c r="E820" s="101">
        <v>40626.478958333333</v>
      </c>
      <c r="F820" s="101"/>
      <c r="G820" s="102" t="str">
        <f>IF(stdProdLT(Main[[#This Row],[Comments]])=0.1,"N/A",IF(stdProdLT(Main[[#This Row],[Comments]])=0,"",stdProdLT(Main[[#This Row],[Comments]])))</f>
        <v/>
      </c>
      <c r="H820" s="103" t="str">
        <f>IF(AND(Main[[#This Row],[In Stock Date]]&lt;&gt;"",Main[[#This Row],[Revised Due Date]]&lt;&gt;""),Main[[#This Row],[In Stock Date]]-Main[[#This Row],[Revised Due Date]],"")</f>
        <v/>
      </c>
      <c r="I820" s="99" t="s">
        <v>375</v>
      </c>
      <c r="J820" s="99" t="s">
        <v>28</v>
      </c>
      <c r="K820" s="99" t="s">
        <v>1971</v>
      </c>
      <c r="L820" s="101"/>
      <c r="M820" s="104" t="str">
        <f>IF(Main[[#This Row],[Tech Start Date]]&lt;1/1/1990,"",IF(Main[[#This Row],[Class]]="C",WORKDAY(Main[[#This Row],[Tech Start Date]],9),IF(Main[[#This Row],[Class]]="B", WORKDAY(Main[[#This Row],[Tech Start Date]],6),IF(Main[[#This Row],[Class]]="A",WORKDAY(Main[[#This Row],[Tech Start Date]],2),""))))</f>
        <v/>
      </c>
      <c r="N820" s="104" t="str">
        <f>IF(Main[[#This Row],[Tech Start Date]]&lt;1/1/1990,"",IF(Main[[#This Row],[Class]]="C",WORKDAY(Main[[#This Row],[Tech Start Date]],19),IF(Main[[#This Row],[Class]]="B", WORKDAY(Main[[#This Row],[Tech Start Date]],12),IF(Main[[#This Row],[Class]]="A",WORKDAY(Main[[#This Row],[Tech Start Date]],4),""))))</f>
        <v/>
      </c>
      <c r="O820" s="104" t="str">
        <f>IF(Main[[#This Row],[Tech Start Date]]&lt;1/1/1990,"",IF(Main[[#This Row],[Class]]="C",WORKDAY(Main[[#This Row],[Tech Start Date]],23),IF(Main[[#This Row],[Class]]="B", WORKDAY(Main[[#This Row],[Tech Start Date]],15),IF(Main[[#This Row],[Class]]="A",WORKDAY(Main[[#This Row],[Tech Start Date]],5),""))))</f>
        <v/>
      </c>
      <c r="P820" s="104" t="str">
        <f>IF(Main[[#This Row],[Tech Start Date]]&lt;1/1/1990,"",IF(Main[[#This Row],[Class]]="C",WORKDAY(Main[[#This Row],[Tech Start Date]],28),IF(Main[[#This Row],[Class]]="B", WORKDAY(Main[[#This Row],[Tech Start Date]],19),IF(Main[[#This Row],[Class]]="A",WORKDAY(Main[[#This Row],[Tech Start Date]],9),""))))</f>
        <v/>
      </c>
      <c r="Q820" s="101"/>
      <c r="R820" s="101"/>
      <c r="S820" s="99" t="s">
        <v>6</v>
      </c>
      <c r="T820" s="107" t="s">
        <v>4</v>
      </c>
      <c r="U820" s="99" t="s">
        <v>29</v>
      </c>
      <c r="V820" s="99" t="s">
        <v>1965</v>
      </c>
      <c r="W820" s="99" t="s">
        <v>1966</v>
      </c>
    </row>
    <row r="821" spans="1:23" ht="18.600000000000001" customHeight="1">
      <c r="A821" s="123" t="str">
        <f>IF(priority(Main[[#This Row],[Comments]])&lt;&gt;0, priority(Main[[#This Row],[Comments]]),"")</f>
        <v/>
      </c>
      <c r="B821" s="127" t="s">
        <v>1660</v>
      </c>
      <c r="C821" s="99" t="s">
        <v>4</v>
      </c>
      <c r="D821" s="100" t="s">
        <v>708</v>
      </c>
      <c r="E821" s="101"/>
      <c r="F821" s="101">
        <v>40598</v>
      </c>
      <c r="G821" s="102" t="str">
        <f>IF(stdProdLT(Main[[#This Row],[Comments]])=0.1,"N/A",IF(stdProdLT(Main[[#This Row],[Comments]])=0,"",stdProdLT(Main[[#This Row],[Comments]])))</f>
        <v/>
      </c>
      <c r="H821" s="103" t="str">
        <f>IF(AND(Main[[#This Row],[In Stock Date]]&lt;&gt;"",Main[[#This Row],[Revised Due Date]]&lt;&gt;""),Main[[#This Row],[In Stock Date]]-Main[[#This Row],[Revised Due Date]],"")</f>
        <v/>
      </c>
      <c r="I821" s="99" t="s">
        <v>404</v>
      </c>
      <c r="J821" s="99" t="s">
        <v>75</v>
      </c>
      <c r="K821" s="99" t="s">
        <v>4</v>
      </c>
      <c r="L821" s="101"/>
      <c r="M821" s="104" t="str">
        <f>IF(Main[[#This Row],[Tech Start Date]]&lt;1/1/1990,"",IF(Main[[#This Row],[Class]]="C",WORKDAY(Main[[#This Row],[Tech Start Date]],9),IF(Main[[#This Row],[Class]]="B", WORKDAY(Main[[#This Row],[Tech Start Date]],6),IF(Main[[#This Row],[Class]]="A",WORKDAY(Main[[#This Row],[Tech Start Date]],2),""))))</f>
        <v/>
      </c>
      <c r="N821" s="104" t="str">
        <f>IF(Main[[#This Row],[Tech Start Date]]&lt;1/1/1990,"",IF(Main[[#This Row],[Class]]="C",WORKDAY(Main[[#This Row],[Tech Start Date]],19),IF(Main[[#This Row],[Class]]="B", WORKDAY(Main[[#This Row],[Tech Start Date]],12),IF(Main[[#This Row],[Class]]="A",WORKDAY(Main[[#This Row],[Tech Start Date]],4),""))))</f>
        <v/>
      </c>
      <c r="O821" s="104" t="str">
        <f>IF(Main[[#This Row],[Tech Start Date]]&lt;1/1/1990,"",IF(Main[[#This Row],[Class]]="C",WORKDAY(Main[[#This Row],[Tech Start Date]],23),IF(Main[[#This Row],[Class]]="B", WORKDAY(Main[[#This Row],[Tech Start Date]],15),IF(Main[[#This Row],[Class]]="A",WORKDAY(Main[[#This Row],[Tech Start Date]],5),""))))</f>
        <v/>
      </c>
      <c r="P821" s="104" t="str">
        <f>IF(Main[[#This Row],[Tech Start Date]]&lt;1/1/1990,"",IF(Main[[#This Row],[Class]]="C",WORKDAY(Main[[#This Row],[Tech Start Date]],28),IF(Main[[#This Row],[Class]]="B", WORKDAY(Main[[#This Row],[Tech Start Date]],19),IF(Main[[#This Row],[Class]]="A",WORKDAY(Main[[#This Row],[Tech Start Date]],9),""))))</f>
        <v/>
      </c>
      <c r="Q821" s="101">
        <v>40598</v>
      </c>
      <c r="R821" s="101"/>
      <c r="S821" s="99" t="s">
        <v>6</v>
      </c>
      <c r="T821" s="107" t="s">
        <v>4</v>
      </c>
      <c r="U821" s="99" t="s">
        <v>14</v>
      </c>
      <c r="V821" s="99" t="s">
        <v>1972</v>
      </c>
      <c r="W821" s="99" t="s">
        <v>1968</v>
      </c>
    </row>
    <row r="822" spans="1:23" ht="18.600000000000001" customHeight="1">
      <c r="A822" s="123" t="str">
        <f>IF(priority(Main[[#This Row],[Comments]])&lt;&gt;0, priority(Main[[#This Row],[Comments]]),"")</f>
        <v/>
      </c>
      <c r="B822" s="127" t="s">
        <v>2233</v>
      </c>
      <c r="C822" s="99" t="s">
        <v>2228</v>
      </c>
      <c r="D822" s="100" t="s">
        <v>3032</v>
      </c>
      <c r="E822" s="101">
        <v>40781.401631944442</v>
      </c>
      <c r="F822" s="101"/>
      <c r="G822" s="102" t="str">
        <f>IF(stdProdLT(Main[[#This Row],[Comments]])=0.1,"N/A",IF(stdProdLT(Main[[#This Row],[Comments]])=0,"",stdProdLT(Main[[#This Row],[Comments]])))</f>
        <v/>
      </c>
      <c r="H822" s="103" t="str">
        <f>IF(AND(Main[[#This Row],[In Stock Date]]&lt;&gt;"",Main[[#This Row],[Revised Due Date]]&lt;&gt;""),Main[[#This Row],[In Stock Date]]-Main[[#This Row],[Revised Due Date]],"")</f>
        <v/>
      </c>
      <c r="I822" s="99" t="s">
        <v>2110</v>
      </c>
      <c r="J822" s="99" t="s">
        <v>70</v>
      </c>
      <c r="K822" s="99" t="s">
        <v>1971</v>
      </c>
      <c r="L822" s="101"/>
      <c r="M822" s="104" t="str">
        <f>IF(Main[[#This Row],[Tech Start Date]]&lt;1/1/1990,"",IF(Main[[#This Row],[Class]]="C",WORKDAY(Main[[#This Row],[Tech Start Date]],9),IF(Main[[#This Row],[Class]]="B", WORKDAY(Main[[#This Row],[Tech Start Date]],6),IF(Main[[#This Row],[Class]]="A",WORKDAY(Main[[#This Row],[Tech Start Date]],2),""))))</f>
        <v/>
      </c>
      <c r="N822" s="104" t="str">
        <f>IF(Main[[#This Row],[Tech Start Date]]&lt;1/1/1990,"",IF(Main[[#This Row],[Class]]="C",WORKDAY(Main[[#This Row],[Tech Start Date]],19),IF(Main[[#This Row],[Class]]="B", WORKDAY(Main[[#This Row],[Tech Start Date]],12),IF(Main[[#This Row],[Class]]="A",WORKDAY(Main[[#This Row],[Tech Start Date]],4),""))))</f>
        <v/>
      </c>
      <c r="O822" s="104" t="str">
        <f>IF(Main[[#This Row],[Tech Start Date]]&lt;1/1/1990,"",IF(Main[[#This Row],[Class]]="C",WORKDAY(Main[[#This Row],[Tech Start Date]],23),IF(Main[[#This Row],[Class]]="B", WORKDAY(Main[[#This Row],[Tech Start Date]],15),IF(Main[[#This Row],[Class]]="A",WORKDAY(Main[[#This Row],[Tech Start Date]],5),""))))</f>
        <v/>
      </c>
      <c r="P822" s="104" t="str">
        <f>IF(Main[[#This Row],[Tech Start Date]]&lt;1/1/1990,"",IF(Main[[#This Row],[Class]]="C",WORKDAY(Main[[#This Row],[Tech Start Date]],28),IF(Main[[#This Row],[Class]]="B", WORKDAY(Main[[#This Row],[Tech Start Date]],19),IF(Main[[#This Row],[Class]]="A",WORKDAY(Main[[#This Row],[Tech Start Date]],9),""))))</f>
        <v/>
      </c>
      <c r="Q822" s="101">
        <v>40836</v>
      </c>
      <c r="R822" s="101"/>
      <c r="S822" s="99" t="s">
        <v>6</v>
      </c>
      <c r="T822" s="107" t="s">
        <v>4</v>
      </c>
      <c r="U822" s="99" t="s">
        <v>29</v>
      </c>
      <c r="V822" s="99" t="s">
        <v>1965</v>
      </c>
      <c r="W822" s="99" t="s">
        <v>1966</v>
      </c>
    </row>
    <row r="823" spans="1:23" ht="18.600000000000001" customHeight="1">
      <c r="A823" s="123" t="str">
        <f>IF(priority(Main[[#This Row],[Comments]])&lt;&gt;0, priority(Main[[#This Row],[Comments]]),"")</f>
        <v/>
      </c>
      <c r="B823" s="127" t="s">
        <v>1682</v>
      </c>
      <c r="C823" s="99" t="s">
        <v>4</v>
      </c>
      <c r="D823" s="100" t="s">
        <v>723</v>
      </c>
      <c r="E823" s="101"/>
      <c r="F823" s="101"/>
      <c r="G823" s="102" t="str">
        <f>IF(stdProdLT(Main[[#This Row],[Comments]])=0.1,"N/A",IF(stdProdLT(Main[[#This Row],[Comments]])=0,"",stdProdLT(Main[[#This Row],[Comments]])))</f>
        <v/>
      </c>
      <c r="H823" s="103" t="str">
        <f>IF(AND(Main[[#This Row],[In Stock Date]]&lt;&gt;"",Main[[#This Row],[Revised Due Date]]&lt;&gt;""),Main[[#This Row],[In Stock Date]]-Main[[#This Row],[Revised Due Date]],"")</f>
        <v/>
      </c>
      <c r="I823" s="99" t="s">
        <v>4</v>
      </c>
      <c r="J823" s="99" t="s">
        <v>4</v>
      </c>
      <c r="K823" s="99" t="s">
        <v>4</v>
      </c>
      <c r="L823" s="101"/>
      <c r="M823" s="104" t="str">
        <f>IF(Main[[#This Row],[Tech Start Date]]&lt;1/1/1990,"",IF(Main[[#This Row],[Class]]="C",WORKDAY(Main[[#This Row],[Tech Start Date]],9),IF(Main[[#This Row],[Class]]="B", WORKDAY(Main[[#This Row],[Tech Start Date]],6),IF(Main[[#This Row],[Class]]="A",WORKDAY(Main[[#This Row],[Tech Start Date]],2),""))))</f>
        <v/>
      </c>
      <c r="N823" s="104" t="str">
        <f>IF(Main[[#This Row],[Tech Start Date]]&lt;1/1/1990,"",IF(Main[[#This Row],[Class]]="C",WORKDAY(Main[[#This Row],[Tech Start Date]],19),IF(Main[[#This Row],[Class]]="B", WORKDAY(Main[[#This Row],[Tech Start Date]],12),IF(Main[[#This Row],[Class]]="A",WORKDAY(Main[[#This Row],[Tech Start Date]],4),""))))</f>
        <v/>
      </c>
      <c r="O823" s="104" t="str">
        <f>IF(Main[[#This Row],[Tech Start Date]]&lt;1/1/1990,"",IF(Main[[#This Row],[Class]]="C",WORKDAY(Main[[#This Row],[Tech Start Date]],23),IF(Main[[#This Row],[Class]]="B", WORKDAY(Main[[#This Row],[Tech Start Date]],15),IF(Main[[#This Row],[Class]]="A",WORKDAY(Main[[#This Row],[Tech Start Date]],5),""))))</f>
        <v/>
      </c>
      <c r="P823" s="104" t="str">
        <f>IF(Main[[#This Row],[Tech Start Date]]&lt;1/1/1990,"",IF(Main[[#This Row],[Class]]="C",WORKDAY(Main[[#This Row],[Tech Start Date]],28),IF(Main[[#This Row],[Class]]="B", WORKDAY(Main[[#This Row],[Tech Start Date]],19),IF(Main[[#This Row],[Class]]="A",WORKDAY(Main[[#This Row],[Tech Start Date]],9),""))))</f>
        <v/>
      </c>
      <c r="Q823" s="101"/>
      <c r="R823" s="101"/>
      <c r="S823" s="99" t="s">
        <v>23</v>
      </c>
      <c r="T823" s="107" t="s">
        <v>4</v>
      </c>
      <c r="U823" s="99" t="s">
        <v>14</v>
      </c>
      <c r="V823" s="99" t="s">
        <v>1965</v>
      </c>
      <c r="W823" s="99" t="s">
        <v>1966</v>
      </c>
    </row>
    <row r="824" spans="1:23" ht="18.600000000000001" customHeight="1">
      <c r="A824" s="123" t="str">
        <f>IF(priority(Main[[#This Row],[Comments]])&lt;&gt;0, priority(Main[[#This Row],[Comments]]),"")</f>
        <v/>
      </c>
      <c r="B824" s="127" t="s">
        <v>1896</v>
      </c>
      <c r="C824" s="99" t="s">
        <v>4</v>
      </c>
      <c r="D824" s="100" t="s">
        <v>926</v>
      </c>
      <c r="E824" s="101"/>
      <c r="F824" s="101"/>
      <c r="G824" s="102" t="str">
        <f>IF(stdProdLT(Main[[#This Row],[Comments]])=0.1,"N/A",IF(stdProdLT(Main[[#This Row],[Comments]])=0,"",stdProdLT(Main[[#This Row],[Comments]])))</f>
        <v/>
      </c>
      <c r="H824" s="103" t="str">
        <f>IF(AND(Main[[#This Row],[In Stock Date]]&lt;&gt;"",Main[[#This Row],[Revised Due Date]]&lt;&gt;""),Main[[#This Row],[In Stock Date]]-Main[[#This Row],[Revised Due Date]],"")</f>
        <v/>
      </c>
      <c r="I824" s="99" t="s">
        <v>868</v>
      </c>
      <c r="J824" s="99" t="s">
        <v>4</v>
      </c>
      <c r="K824" s="99" t="s">
        <v>1974</v>
      </c>
      <c r="L824" s="101"/>
      <c r="M824" s="104" t="str">
        <f>IF(Main[[#This Row],[Tech Start Date]]&lt;1/1/1990,"",IF(Main[[#This Row],[Class]]="C",WORKDAY(Main[[#This Row],[Tech Start Date]],9),IF(Main[[#This Row],[Class]]="B", WORKDAY(Main[[#This Row],[Tech Start Date]],6),IF(Main[[#This Row],[Class]]="A",WORKDAY(Main[[#This Row],[Tech Start Date]],2),""))))</f>
        <v/>
      </c>
      <c r="N824" s="104" t="str">
        <f>IF(Main[[#This Row],[Tech Start Date]]&lt;1/1/1990,"",IF(Main[[#This Row],[Class]]="C",WORKDAY(Main[[#This Row],[Tech Start Date]],19),IF(Main[[#This Row],[Class]]="B", WORKDAY(Main[[#This Row],[Tech Start Date]],12),IF(Main[[#This Row],[Class]]="A",WORKDAY(Main[[#This Row],[Tech Start Date]],4),""))))</f>
        <v/>
      </c>
      <c r="O824" s="104" t="str">
        <f>IF(Main[[#This Row],[Tech Start Date]]&lt;1/1/1990,"",IF(Main[[#This Row],[Class]]="C",WORKDAY(Main[[#This Row],[Tech Start Date]],23),IF(Main[[#This Row],[Class]]="B", WORKDAY(Main[[#This Row],[Tech Start Date]],15),IF(Main[[#This Row],[Class]]="A",WORKDAY(Main[[#This Row],[Tech Start Date]],5),""))))</f>
        <v/>
      </c>
      <c r="P824" s="104" t="str">
        <f>IF(Main[[#This Row],[Tech Start Date]]&lt;1/1/1990,"",IF(Main[[#This Row],[Class]]="C",WORKDAY(Main[[#This Row],[Tech Start Date]],28),IF(Main[[#This Row],[Class]]="B", WORKDAY(Main[[#This Row],[Tech Start Date]],19),IF(Main[[#This Row],[Class]]="A",WORKDAY(Main[[#This Row],[Tech Start Date]],9),""))))</f>
        <v/>
      </c>
      <c r="Q824" s="101"/>
      <c r="R824" s="101">
        <v>40543</v>
      </c>
      <c r="S824" s="99" t="s">
        <v>17</v>
      </c>
      <c r="T824" s="107" t="s">
        <v>4</v>
      </c>
      <c r="U824" s="99" t="s">
        <v>14</v>
      </c>
      <c r="V824" s="99" t="s">
        <v>1965</v>
      </c>
      <c r="W824" s="99" t="s">
        <v>1970</v>
      </c>
    </row>
    <row r="825" spans="1:23" ht="18.600000000000001" customHeight="1">
      <c r="A825" s="123" t="str">
        <f>IF(priority(Main[[#This Row],[Comments]])&lt;&gt;0, priority(Main[[#This Row],[Comments]]),"")</f>
        <v/>
      </c>
      <c r="B825" s="127" t="s">
        <v>1683</v>
      </c>
      <c r="C825" s="99" t="s">
        <v>113</v>
      </c>
      <c r="D825" s="100" t="s">
        <v>724</v>
      </c>
      <c r="E825" s="101"/>
      <c r="F825" s="101">
        <v>40817</v>
      </c>
      <c r="G825" s="102" t="str">
        <f>IF(stdProdLT(Main[[#This Row],[Comments]])=0.1,"N/A",IF(stdProdLT(Main[[#This Row],[Comments]])=0,"",stdProdLT(Main[[#This Row],[Comments]])))</f>
        <v/>
      </c>
      <c r="H825" s="103" t="str">
        <f>IF(AND(Main[[#This Row],[In Stock Date]]&lt;&gt;"",Main[[#This Row],[Revised Due Date]]&lt;&gt;""),Main[[#This Row],[In Stock Date]]-Main[[#This Row],[Revised Due Date]],"")</f>
        <v/>
      </c>
      <c r="I825" s="99" t="s">
        <v>4</v>
      </c>
      <c r="J825" s="99" t="s">
        <v>28</v>
      </c>
      <c r="K825" s="108" t="s">
        <v>1975</v>
      </c>
      <c r="L825" s="101"/>
      <c r="M825" s="104" t="str">
        <f>IF(Main[[#This Row],[Tech Start Date]]&lt;1/1/1990,"",IF(Main[[#This Row],[Class]]="C",WORKDAY(Main[[#This Row],[Tech Start Date]],9),IF(Main[[#This Row],[Class]]="B", WORKDAY(Main[[#This Row],[Tech Start Date]],6),IF(Main[[#This Row],[Class]]="A",WORKDAY(Main[[#This Row],[Tech Start Date]],2),""))))</f>
        <v/>
      </c>
      <c r="N825" s="104" t="str">
        <f>IF(Main[[#This Row],[Tech Start Date]]&lt;1/1/1990,"",IF(Main[[#This Row],[Class]]="C",WORKDAY(Main[[#This Row],[Tech Start Date]],19),IF(Main[[#This Row],[Class]]="B", WORKDAY(Main[[#This Row],[Tech Start Date]],12),IF(Main[[#This Row],[Class]]="A",WORKDAY(Main[[#This Row],[Tech Start Date]],4),""))))</f>
        <v/>
      </c>
      <c r="O825" s="104" t="str">
        <f>IF(Main[[#This Row],[Tech Start Date]]&lt;1/1/1990,"",IF(Main[[#This Row],[Class]]="C",WORKDAY(Main[[#This Row],[Tech Start Date]],23),IF(Main[[#This Row],[Class]]="B", WORKDAY(Main[[#This Row],[Tech Start Date]],15),IF(Main[[#This Row],[Class]]="A",WORKDAY(Main[[#This Row],[Tech Start Date]],5),""))))</f>
        <v/>
      </c>
      <c r="P825" s="104" t="str">
        <f>IF(Main[[#This Row],[Tech Start Date]]&lt;1/1/1990,"",IF(Main[[#This Row],[Class]]="C",WORKDAY(Main[[#This Row],[Tech Start Date]],28),IF(Main[[#This Row],[Class]]="B", WORKDAY(Main[[#This Row],[Tech Start Date]],19),IF(Main[[#This Row],[Class]]="A",WORKDAY(Main[[#This Row],[Tech Start Date]],9),""))))</f>
        <v/>
      </c>
      <c r="Q825" s="101">
        <v>40634</v>
      </c>
      <c r="R825" s="101"/>
      <c r="S825" s="99" t="s">
        <v>11</v>
      </c>
      <c r="T825" s="107" t="s">
        <v>4</v>
      </c>
      <c r="U825" s="99" t="s">
        <v>14</v>
      </c>
      <c r="V825" s="99" t="s">
        <v>1962</v>
      </c>
      <c r="W825" s="99" t="s">
        <v>1968</v>
      </c>
    </row>
    <row r="826" spans="1:23" ht="18.600000000000001" customHeight="1">
      <c r="A826" s="123" t="str">
        <f>IF(priority(Main[[#This Row],[Comments]])&lt;&gt;0, priority(Main[[#This Row],[Comments]]),"")</f>
        <v/>
      </c>
      <c r="B826" s="127" t="s">
        <v>1684</v>
      </c>
      <c r="C826" s="99" t="s">
        <v>4</v>
      </c>
      <c r="D826" s="100" t="s">
        <v>39</v>
      </c>
      <c r="E826" s="101"/>
      <c r="F826" s="101"/>
      <c r="G826" s="102" t="str">
        <f>IF(stdProdLT(Main[[#This Row],[Comments]])=0.1,"N/A",IF(stdProdLT(Main[[#This Row],[Comments]])=0,"",stdProdLT(Main[[#This Row],[Comments]])))</f>
        <v/>
      </c>
      <c r="H826" s="103" t="str">
        <f>IF(AND(Main[[#This Row],[In Stock Date]]&lt;&gt;"",Main[[#This Row],[Revised Due Date]]&lt;&gt;""),Main[[#This Row],[In Stock Date]]-Main[[#This Row],[Revised Due Date]],"")</f>
        <v/>
      </c>
      <c r="I826" s="99" t="s">
        <v>4</v>
      </c>
      <c r="J826" s="99" t="s">
        <v>4</v>
      </c>
      <c r="K826" s="99" t="s">
        <v>4</v>
      </c>
      <c r="L826" s="101"/>
      <c r="M826" s="104" t="str">
        <f>IF(Main[[#This Row],[Tech Start Date]]&lt;1/1/1990,"",IF(Main[[#This Row],[Class]]="C",WORKDAY(Main[[#This Row],[Tech Start Date]],9),IF(Main[[#This Row],[Class]]="B", WORKDAY(Main[[#This Row],[Tech Start Date]],6),IF(Main[[#This Row],[Class]]="A",WORKDAY(Main[[#This Row],[Tech Start Date]],2),""))))</f>
        <v/>
      </c>
      <c r="N826" s="104" t="str">
        <f>IF(Main[[#This Row],[Tech Start Date]]&lt;1/1/1990,"",IF(Main[[#This Row],[Class]]="C",WORKDAY(Main[[#This Row],[Tech Start Date]],19),IF(Main[[#This Row],[Class]]="B", WORKDAY(Main[[#This Row],[Tech Start Date]],12),IF(Main[[#This Row],[Class]]="A",WORKDAY(Main[[#This Row],[Tech Start Date]],4),""))))</f>
        <v/>
      </c>
      <c r="O826" s="104" t="str">
        <f>IF(Main[[#This Row],[Tech Start Date]]&lt;1/1/1990,"",IF(Main[[#This Row],[Class]]="C",WORKDAY(Main[[#This Row],[Tech Start Date]],23),IF(Main[[#This Row],[Class]]="B", WORKDAY(Main[[#This Row],[Tech Start Date]],15),IF(Main[[#This Row],[Class]]="A",WORKDAY(Main[[#This Row],[Tech Start Date]],5),""))))</f>
        <v/>
      </c>
      <c r="P826" s="104" t="str">
        <f>IF(Main[[#This Row],[Tech Start Date]]&lt;1/1/1990,"",IF(Main[[#This Row],[Class]]="C",WORKDAY(Main[[#This Row],[Tech Start Date]],28),IF(Main[[#This Row],[Class]]="B", WORKDAY(Main[[#This Row],[Tech Start Date]],19),IF(Main[[#This Row],[Class]]="A",WORKDAY(Main[[#This Row],[Tech Start Date]],9),""))))</f>
        <v/>
      </c>
      <c r="Q826" s="101">
        <v>40669</v>
      </c>
      <c r="R826" s="101"/>
      <c r="S826" s="99" t="s">
        <v>6</v>
      </c>
      <c r="T826" s="107" t="s">
        <v>4</v>
      </c>
      <c r="U826" s="99" t="s">
        <v>14</v>
      </c>
      <c r="V826" s="99" t="s">
        <v>1965</v>
      </c>
      <c r="W826" s="99" t="s">
        <v>4</v>
      </c>
    </row>
    <row r="827" spans="1:23" ht="18.600000000000001" customHeight="1">
      <c r="A827" s="123" t="str">
        <f>IF(priority(Main[[#This Row],[Comments]])&lt;&gt;0, priority(Main[[#This Row],[Comments]]),"")</f>
        <v/>
      </c>
      <c r="B827" s="127" t="s">
        <v>1685</v>
      </c>
      <c r="C827" s="99" t="s">
        <v>4</v>
      </c>
      <c r="D827" s="100" t="s">
        <v>725</v>
      </c>
      <c r="E827" s="101"/>
      <c r="F827" s="101"/>
      <c r="G827" s="102" t="str">
        <f>IF(stdProdLT(Main[[#This Row],[Comments]])=0.1,"N/A",IF(stdProdLT(Main[[#This Row],[Comments]])=0,"",stdProdLT(Main[[#This Row],[Comments]])))</f>
        <v/>
      </c>
      <c r="H827" s="103" t="str">
        <f>IF(AND(Main[[#This Row],[In Stock Date]]&lt;&gt;"",Main[[#This Row],[Revised Due Date]]&lt;&gt;""),Main[[#This Row],[In Stock Date]]-Main[[#This Row],[Revised Due Date]],"")</f>
        <v/>
      </c>
      <c r="I827" s="99" t="s">
        <v>4</v>
      </c>
      <c r="J827" s="99" t="s">
        <v>4</v>
      </c>
      <c r="K827" s="99" t="s">
        <v>4</v>
      </c>
      <c r="L827" s="101"/>
      <c r="M827" s="104" t="str">
        <f>IF(Main[[#This Row],[Tech Start Date]]&lt;1/1/1990,"",IF(Main[[#This Row],[Class]]="C",WORKDAY(Main[[#This Row],[Tech Start Date]],9),IF(Main[[#This Row],[Class]]="B", WORKDAY(Main[[#This Row],[Tech Start Date]],6),IF(Main[[#This Row],[Class]]="A",WORKDAY(Main[[#This Row],[Tech Start Date]],2),""))))</f>
        <v/>
      </c>
      <c r="N827" s="104" t="str">
        <f>IF(Main[[#This Row],[Tech Start Date]]&lt;1/1/1990,"",IF(Main[[#This Row],[Class]]="C",WORKDAY(Main[[#This Row],[Tech Start Date]],19),IF(Main[[#This Row],[Class]]="B", WORKDAY(Main[[#This Row],[Tech Start Date]],12),IF(Main[[#This Row],[Class]]="A",WORKDAY(Main[[#This Row],[Tech Start Date]],4),""))))</f>
        <v/>
      </c>
      <c r="O827" s="104" t="str">
        <f>IF(Main[[#This Row],[Tech Start Date]]&lt;1/1/1990,"",IF(Main[[#This Row],[Class]]="C",WORKDAY(Main[[#This Row],[Tech Start Date]],23),IF(Main[[#This Row],[Class]]="B", WORKDAY(Main[[#This Row],[Tech Start Date]],15),IF(Main[[#This Row],[Class]]="A",WORKDAY(Main[[#This Row],[Tech Start Date]],5),""))))</f>
        <v/>
      </c>
      <c r="P827" s="104" t="str">
        <f>IF(Main[[#This Row],[Tech Start Date]]&lt;1/1/1990,"",IF(Main[[#This Row],[Class]]="C",WORKDAY(Main[[#This Row],[Tech Start Date]],28),IF(Main[[#This Row],[Class]]="B", WORKDAY(Main[[#This Row],[Tech Start Date]],19),IF(Main[[#This Row],[Class]]="A",WORKDAY(Main[[#This Row],[Tech Start Date]],9),""))))</f>
        <v/>
      </c>
      <c r="Q827" s="101"/>
      <c r="R827" s="101"/>
      <c r="S827" s="99" t="s">
        <v>11</v>
      </c>
      <c r="T827" s="107" t="s">
        <v>4</v>
      </c>
      <c r="U827" s="99" t="s">
        <v>12</v>
      </c>
      <c r="V827" s="99" t="s">
        <v>1963</v>
      </c>
      <c r="W827" s="99" t="s">
        <v>4</v>
      </c>
    </row>
    <row r="828" spans="1:23" ht="18.600000000000001" customHeight="1">
      <c r="A828" s="123" t="str">
        <f>IF(priority(Main[[#This Row],[Comments]])&lt;&gt;0, priority(Main[[#This Row],[Comments]]),"")</f>
        <v/>
      </c>
      <c r="B828" s="127" t="s">
        <v>1687</v>
      </c>
      <c r="C828" s="99" t="s">
        <v>4</v>
      </c>
      <c r="D828" s="100" t="s">
        <v>726</v>
      </c>
      <c r="E828" s="101">
        <v>40715.129143518519</v>
      </c>
      <c r="F828" s="101"/>
      <c r="G828" s="102" t="str">
        <f>IF(stdProdLT(Main[[#This Row],[Comments]])=0.1,"N/A",IF(stdProdLT(Main[[#This Row],[Comments]])=0,"",stdProdLT(Main[[#This Row],[Comments]])))</f>
        <v/>
      </c>
      <c r="H828" s="103" t="str">
        <f>IF(AND(Main[[#This Row],[In Stock Date]]&lt;&gt;"",Main[[#This Row],[Revised Due Date]]&lt;&gt;""),Main[[#This Row],[In Stock Date]]-Main[[#This Row],[Revised Due Date]],"")</f>
        <v/>
      </c>
      <c r="I828" s="99" t="s">
        <v>4</v>
      </c>
      <c r="J828" s="99" t="s">
        <v>4</v>
      </c>
      <c r="K828" s="99" t="s">
        <v>4</v>
      </c>
      <c r="L828" s="101"/>
      <c r="M828" s="104" t="str">
        <f>IF(Main[[#This Row],[Tech Start Date]]&lt;1/1/1990,"",IF(Main[[#This Row],[Class]]="C",WORKDAY(Main[[#This Row],[Tech Start Date]],9),IF(Main[[#This Row],[Class]]="B", WORKDAY(Main[[#This Row],[Tech Start Date]],6),IF(Main[[#This Row],[Class]]="A",WORKDAY(Main[[#This Row],[Tech Start Date]],2),""))))</f>
        <v/>
      </c>
      <c r="N828" s="104" t="str">
        <f>IF(Main[[#This Row],[Tech Start Date]]&lt;1/1/1990,"",IF(Main[[#This Row],[Class]]="C",WORKDAY(Main[[#This Row],[Tech Start Date]],19),IF(Main[[#This Row],[Class]]="B", WORKDAY(Main[[#This Row],[Tech Start Date]],12),IF(Main[[#This Row],[Class]]="A",WORKDAY(Main[[#This Row],[Tech Start Date]],4),""))))</f>
        <v/>
      </c>
      <c r="O828" s="104" t="str">
        <f>IF(Main[[#This Row],[Tech Start Date]]&lt;1/1/1990,"",IF(Main[[#This Row],[Class]]="C",WORKDAY(Main[[#This Row],[Tech Start Date]],23),IF(Main[[#This Row],[Class]]="B", WORKDAY(Main[[#This Row],[Tech Start Date]],15),IF(Main[[#This Row],[Class]]="A",WORKDAY(Main[[#This Row],[Tech Start Date]],5),""))))</f>
        <v/>
      </c>
      <c r="P828" s="104" t="str">
        <f>IF(Main[[#This Row],[Tech Start Date]]&lt;1/1/1990,"",IF(Main[[#This Row],[Class]]="C",WORKDAY(Main[[#This Row],[Tech Start Date]],28),IF(Main[[#This Row],[Class]]="B", WORKDAY(Main[[#This Row],[Tech Start Date]],19),IF(Main[[#This Row],[Class]]="A",WORKDAY(Main[[#This Row],[Tech Start Date]],9),""))))</f>
        <v/>
      </c>
      <c r="Q828" s="101">
        <v>40717</v>
      </c>
      <c r="R828" s="101"/>
      <c r="S828" s="99" t="s">
        <v>49</v>
      </c>
      <c r="T828" s="107" t="s">
        <v>4</v>
      </c>
      <c r="U828" s="99" t="s">
        <v>7</v>
      </c>
      <c r="V828" s="99" t="s">
        <v>1963</v>
      </c>
      <c r="W828" s="99" t="s">
        <v>1966</v>
      </c>
    </row>
    <row r="829" spans="1:23" ht="18.600000000000001" customHeight="1">
      <c r="A829" s="123" t="str">
        <f>IF(priority(Main[[#This Row],[Comments]])&lt;&gt;0, priority(Main[[#This Row],[Comments]]),"")</f>
        <v/>
      </c>
      <c r="B829" s="127" t="s">
        <v>2165</v>
      </c>
      <c r="C829" s="99" t="s">
        <v>4</v>
      </c>
      <c r="D829" s="100" t="s">
        <v>2166</v>
      </c>
      <c r="E829" s="101">
        <v>40770.430092592593</v>
      </c>
      <c r="F829" s="101"/>
      <c r="G829" s="102" t="str">
        <f>IF(stdProdLT(Main[[#This Row],[Comments]])=0.1,"N/A",IF(stdProdLT(Main[[#This Row],[Comments]])=0,"",stdProdLT(Main[[#This Row],[Comments]])))</f>
        <v/>
      </c>
      <c r="H829" s="103" t="str">
        <f>IF(AND(Main[[#This Row],[In Stock Date]]&lt;&gt;"",Main[[#This Row],[Revised Due Date]]&lt;&gt;""),Main[[#This Row],[In Stock Date]]-Main[[#This Row],[Revised Due Date]],"")</f>
        <v/>
      </c>
      <c r="I829" s="99" t="s">
        <v>4</v>
      </c>
      <c r="J829" s="99" t="s">
        <v>4</v>
      </c>
      <c r="K829" s="99" t="s">
        <v>4</v>
      </c>
      <c r="L829" s="101"/>
      <c r="M829" s="104" t="str">
        <f>IF(Main[[#This Row],[Tech Start Date]]&lt;1/1/1990,"",IF(Main[[#This Row],[Class]]="C",WORKDAY(Main[[#This Row],[Tech Start Date]],9),IF(Main[[#This Row],[Class]]="B", WORKDAY(Main[[#This Row],[Tech Start Date]],6),IF(Main[[#This Row],[Class]]="A",WORKDAY(Main[[#This Row],[Tech Start Date]],2),""))))</f>
        <v/>
      </c>
      <c r="N829" s="104" t="str">
        <f>IF(Main[[#This Row],[Tech Start Date]]&lt;1/1/1990,"",IF(Main[[#This Row],[Class]]="C",WORKDAY(Main[[#This Row],[Tech Start Date]],19),IF(Main[[#This Row],[Class]]="B", WORKDAY(Main[[#This Row],[Tech Start Date]],12),IF(Main[[#This Row],[Class]]="A",WORKDAY(Main[[#This Row],[Tech Start Date]],4),""))))</f>
        <v/>
      </c>
      <c r="O829" s="104" t="str">
        <f>IF(Main[[#This Row],[Tech Start Date]]&lt;1/1/1990,"",IF(Main[[#This Row],[Class]]="C",WORKDAY(Main[[#This Row],[Tech Start Date]],23),IF(Main[[#This Row],[Class]]="B", WORKDAY(Main[[#This Row],[Tech Start Date]],15),IF(Main[[#This Row],[Class]]="A",WORKDAY(Main[[#This Row],[Tech Start Date]],5),""))))</f>
        <v/>
      </c>
      <c r="P829" s="104" t="str">
        <f>IF(Main[[#This Row],[Tech Start Date]]&lt;1/1/1990,"",IF(Main[[#This Row],[Class]]="C",WORKDAY(Main[[#This Row],[Tech Start Date]],28),IF(Main[[#This Row],[Class]]="B", WORKDAY(Main[[#This Row],[Tech Start Date]],19),IF(Main[[#This Row],[Class]]="A",WORKDAY(Main[[#This Row],[Tech Start Date]],9),""))))</f>
        <v/>
      </c>
      <c r="Q829" s="101">
        <v>40791</v>
      </c>
      <c r="R829" s="101"/>
      <c r="S829" s="99" t="s">
        <v>6</v>
      </c>
      <c r="T829" s="107" t="s">
        <v>4</v>
      </c>
      <c r="U829" s="99" t="s">
        <v>7</v>
      </c>
      <c r="V829" s="99" t="s">
        <v>1962</v>
      </c>
      <c r="W829" s="99" t="s">
        <v>4</v>
      </c>
    </row>
    <row r="830" spans="1:23" ht="18.600000000000001" customHeight="1">
      <c r="A830" s="123" t="str">
        <f>IF(priority(Main[[#This Row],[Comments]])&lt;&gt;0, priority(Main[[#This Row],[Comments]]),"")</f>
        <v/>
      </c>
      <c r="B830" s="127" t="s">
        <v>1688</v>
      </c>
      <c r="C830" s="99" t="s">
        <v>4</v>
      </c>
      <c r="D830" s="100" t="s">
        <v>727</v>
      </c>
      <c r="E830" s="101">
        <v>40651.462372685186</v>
      </c>
      <c r="F830" s="101"/>
      <c r="G830" s="102" t="str">
        <f>IF(stdProdLT(Main[[#This Row],[Comments]])=0.1,"N/A",IF(stdProdLT(Main[[#This Row],[Comments]])=0,"",stdProdLT(Main[[#This Row],[Comments]])))</f>
        <v/>
      </c>
      <c r="H830" s="103" t="str">
        <f>IF(AND(Main[[#This Row],[In Stock Date]]&lt;&gt;"",Main[[#This Row],[Revised Due Date]]&lt;&gt;""),Main[[#This Row],[In Stock Date]]-Main[[#This Row],[Revised Due Date]],"")</f>
        <v/>
      </c>
      <c r="I830" s="99" t="s">
        <v>30</v>
      </c>
      <c r="J830" s="99" t="s">
        <v>28</v>
      </c>
      <c r="K830" s="99" t="s">
        <v>1971</v>
      </c>
      <c r="L830" s="101"/>
      <c r="M830" s="104" t="str">
        <f>IF(Main[[#This Row],[Tech Start Date]]&lt;1/1/1990,"",IF(Main[[#This Row],[Class]]="C",WORKDAY(Main[[#This Row],[Tech Start Date]],9),IF(Main[[#This Row],[Class]]="B", WORKDAY(Main[[#This Row],[Tech Start Date]],6),IF(Main[[#This Row],[Class]]="A",WORKDAY(Main[[#This Row],[Tech Start Date]],2),""))))</f>
        <v/>
      </c>
      <c r="N830" s="104" t="str">
        <f>IF(Main[[#This Row],[Tech Start Date]]&lt;1/1/1990,"",IF(Main[[#This Row],[Class]]="C",WORKDAY(Main[[#This Row],[Tech Start Date]],19),IF(Main[[#This Row],[Class]]="B", WORKDAY(Main[[#This Row],[Tech Start Date]],12),IF(Main[[#This Row],[Class]]="A",WORKDAY(Main[[#This Row],[Tech Start Date]],4),""))))</f>
        <v/>
      </c>
      <c r="O830" s="104" t="str">
        <f>IF(Main[[#This Row],[Tech Start Date]]&lt;1/1/1990,"",IF(Main[[#This Row],[Class]]="C",WORKDAY(Main[[#This Row],[Tech Start Date]],23),IF(Main[[#This Row],[Class]]="B", WORKDAY(Main[[#This Row],[Tech Start Date]],15),IF(Main[[#This Row],[Class]]="A",WORKDAY(Main[[#This Row],[Tech Start Date]],5),""))))</f>
        <v/>
      </c>
      <c r="P830" s="104" t="str">
        <f>IF(Main[[#This Row],[Tech Start Date]]&lt;1/1/1990,"",IF(Main[[#This Row],[Class]]="C",WORKDAY(Main[[#This Row],[Tech Start Date]],28),IF(Main[[#This Row],[Class]]="B", WORKDAY(Main[[#This Row],[Tech Start Date]],19),IF(Main[[#This Row],[Class]]="A",WORKDAY(Main[[#This Row],[Tech Start Date]],9),""))))</f>
        <v/>
      </c>
      <c r="Q830" s="101">
        <v>40694</v>
      </c>
      <c r="R830" s="101"/>
      <c r="S830" s="99" t="s">
        <v>6</v>
      </c>
      <c r="T830" s="107" t="s">
        <v>4</v>
      </c>
      <c r="U830" s="99" t="s">
        <v>29</v>
      </c>
      <c r="V830" s="99" t="s">
        <v>1965</v>
      </c>
      <c r="W830" s="99" t="s">
        <v>1966</v>
      </c>
    </row>
    <row r="831" spans="1:23" ht="18.600000000000001" customHeight="1">
      <c r="A831" s="123" t="str">
        <f>IF(priority(Main[[#This Row],[Comments]])&lt;&gt;0, priority(Main[[#This Row],[Comments]]),"")</f>
        <v/>
      </c>
      <c r="B831" s="127" t="s">
        <v>2188</v>
      </c>
      <c r="C831" s="99" t="s">
        <v>4</v>
      </c>
      <c r="D831" s="100" t="s">
        <v>2189</v>
      </c>
      <c r="E831" s="101">
        <v>40764.690844907411</v>
      </c>
      <c r="F831" s="101"/>
      <c r="G831" s="102" t="str">
        <f>IF(stdProdLT(Main[[#This Row],[Comments]])=0.1,"N/A",IF(stdProdLT(Main[[#This Row],[Comments]])=0,"",stdProdLT(Main[[#This Row],[Comments]])))</f>
        <v/>
      </c>
      <c r="H831" s="103" t="str">
        <f>IF(AND(Main[[#This Row],[In Stock Date]]&lt;&gt;"",Main[[#This Row],[Revised Due Date]]&lt;&gt;""),Main[[#This Row],[In Stock Date]]-Main[[#This Row],[Revised Due Date]],"")</f>
        <v/>
      </c>
      <c r="I831" s="99" t="s">
        <v>2283</v>
      </c>
      <c r="J831" s="99" t="s">
        <v>4</v>
      </c>
      <c r="K831" s="99" t="s">
        <v>4</v>
      </c>
      <c r="L831" s="101"/>
      <c r="M831" s="104" t="str">
        <f>IF(Main[[#This Row],[Tech Start Date]]&lt;1/1/1990,"",IF(Main[[#This Row],[Class]]="C",WORKDAY(Main[[#This Row],[Tech Start Date]],9),IF(Main[[#This Row],[Class]]="B", WORKDAY(Main[[#This Row],[Tech Start Date]],6),IF(Main[[#This Row],[Class]]="A",WORKDAY(Main[[#This Row],[Tech Start Date]],2),""))))</f>
        <v/>
      </c>
      <c r="N831" s="104" t="str">
        <f>IF(Main[[#This Row],[Tech Start Date]]&lt;1/1/1990,"",IF(Main[[#This Row],[Class]]="C",WORKDAY(Main[[#This Row],[Tech Start Date]],19),IF(Main[[#This Row],[Class]]="B", WORKDAY(Main[[#This Row],[Tech Start Date]],12),IF(Main[[#This Row],[Class]]="A",WORKDAY(Main[[#This Row],[Tech Start Date]],4),""))))</f>
        <v/>
      </c>
      <c r="O831" s="104" t="str">
        <f>IF(Main[[#This Row],[Tech Start Date]]&lt;1/1/1990,"",IF(Main[[#This Row],[Class]]="C",WORKDAY(Main[[#This Row],[Tech Start Date]],23),IF(Main[[#This Row],[Class]]="B", WORKDAY(Main[[#This Row],[Tech Start Date]],15),IF(Main[[#This Row],[Class]]="A",WORKDAY(Main[[#This Row],[Tech Start Date]],5),""))))</f>
        <v/>
      </c>
      <c r="P831" s="104" t="str">
        <f>IF(Main[[#This Row],[Tech Start Date]]&lt;1/1/1990,"",IF(Main[[#This Row],[Class]]="C",WORKDAY(Main[[#This Row],[Tech Start Date]],28),IF(Main[[#This Row],[Class]]="B", WORKDAY(Main[[#This Row],[Tech Start Date]],19),IF(Main[[#This Row],[Class]]="A",WORKDAY(Main[[#This Row],[Tech Start Date]],9),""))))</f>
        <v/>
      </c>
      <c r="Q831" s="101"/>
      <c r="R831" s="101"/>
      <c r="S831" s="99" t="s">
        <v>6</v>
      </c>
      <c r="T831" s="107" t="s">
        <v>4</v>
      </c>
      <c r="U831" s="99" t="s">
        <v>7</v>
      </c>
      <c r="V831" s="99" t="s">
        <v>1977</v>
      </c>
      <c r="W831" s="99" t="s">
        <v>1964</v>
      </c>
    </row>
    <row r="832" spans="1:23" ht="18.600000000000001" customHeight="1">
      <c r="A832" s="123" t="str">
        <f>IF(priority(Main[[#This Row],[Comments]])&lt;&gt;0, priority(Main[[#This Row],[Comments]]),"")</f>
        <v/>
      </c>
      <c r="B832" s="127" t="s">
        <v>1236</v>
      </c>
      <c r="C832" s="99" t="s">
        <v>4</v>
      </c>
      <c r="D832" s="100" t="s">
        <v>264</v>
      </c>
      <c r="E832" s="101">
        <v>40667.612881944442</v>
      </c>
      <c r="F832" s="101"/>
      <c r="G832" s="102" t="str">
        <f>IF(stdProdLT(Main[[#This Row],[Comments]])=0.1,"N/A",IF(stdProdLT(Main[[#This Row],[Comments]])=0,"",stdProdLT(Main[[#This Row],[Comments]])))</f>
        <v/>
      </c>
      <c r="H832" s="103" t="str">
        <f>IF(AND(Main[[#This Row],[In Stock Date]]&lt;&gt;"",Main[[#This Row],[Revised Due Date]]&lt;&gt;""),Main[[#This Row],[In Stock Date]]-Main[[#This Row],[Revised Due Date]],"")</f>
        <v/>
      </c>
      <c r="I832" s="99" t="s">
        <v>4</v>
      </c>
      <c r="J832" s="99" t="s">
        <v>4</v>
      </c>
      <c r="K832" s="99" t="s">
        <v>4</v>
      </c>
      <c r="L832" s="101"/>
      <c r="M832" s="104" t="str">
        <f>IF(Main[[#This Row],[Tech Start Date]]&lt;1/1/1990,"",IF(Main[[#This Row],[Class]]="C",WORKDAY(Main[[#This Row],[Tech Start Date]],9),IF(Main[[#This Row],[Class]]="B", WORKDAY(Main[[#This Row],[Tech Start Date]],6),IF(Main[[#This Row],[Class]]="A",WORKDAY(Main[[#This Row],[Tech Start Date]],2),""))))</f>
        <v/>
      </c>
      <c r="N832" s="104" t="str">
        <f>IF(Main[[#This Row],[Tech Start Date]]&lt;1/1/1990,"",IF(Main[[#This Row],[Class]]="C",WORKDAY(Main[[#This Row],[Tech Start Date]],19),IF(Main[[#This Row],[Class]]="B", WORKDAY(Main[[#This Row],[Tech Start Date]],12),IF(Main[[#This Row],[Class]]="A",WORKDAY(Main[[#This Row],[Tech Start Date]],4),""))))</f>
        <v/>
      </c>
      <c r="O832" s="104" t="str">
        <f>IF(Main[[#This Row],[Tech Start Date]]&lt;1/1/1990,"",IF(Main[[#This Row],[Class]]="C",WORKDAY(Main[[#This Row],[Tech Start Date]],23),IF(Main[[#This Row],[Class]]="B", WORKDAY(Main[[#This Row],[Tech Start Date]],15),IF(Main[[#This Row],[Class]]="A",WORKDAY(Main[[#This Row],[Tech Start Date]],5),""))))</f>
        <v/>
      </c>
      <c r="P832" s="104" t="str">
        <f>IF(Main[[#This Row],[Tech Start Date]]&lt;1/1/1990,"",IF(Main[[#This Row],[Class]]="C",WORKDAY(Main[[#This Row],[Tech Start Date]],28),IF(Main[[#This Row],[Class]]="B", WORKDAY(Main[[#This Row],[Tech Start Date]],19),IF(Main[[#This Row],[Class]]="A",WORKDAY(Main[[#This Row],[Tech Start Date]],9),""))))</f>
        <v/>
      </c>
      <c r="Q832" s="101">
        <v>40858</v>
      </c>
      <c r="R832" s="101"/>
      <c r="S832" s="99" t="s">
        <v>17</v>
      </c>
      <c r="T832" s="107" t="s">
        <v>4</v>
      </c>
      <c r="U832" s="99" t="s">
        <v>7</v>
      </c>
      <c r="V832" s="99" t="s">
        <v>1962</v>
      </c>
      <c r="W832" s="99" t="s">
        <v>1967</v>
      </c>
    </row>
    <row r="833" spans="1:23" ht="18.600000000000001" customHeight="1">
      <c r="A833" s="123" t="str">
        <f>IF(priority(Main[[#This Row],[Comments]])&lt;&gt;0, priority(Main[[#This Row],[Comments]]),"")</f>
        <v/>
      </c>
      <c r="B833" s="127" t="s">
        <v>2122</v>
      </c>
      <c r="C833" s="99" t="s">
        <v>4</v>
      </c>
      <c r="D833" s="100" t="s">
        <v>2123</v>
      </c>
      <c r="E833" s="101">
        <v>40759.465995370374</v>
      </c>
      <c r="F833" s="101"/>
      <c r="G833" s="102" t="str">
        <f>IF(stdProdLT(Main[[#This Row],[Comments]])=0.1,"N/A",IF(stdProdLT(Main[[#This Row],[Comments]])=0,"",stdProdLT(Main[[#This Row],[Comments]])))</f>
        <v/>
      </c>
      <c r="H833" s="103" t="str">
        <f>IF(AND(Main[[#This Row],[In Stock Date]]&lt;&gt;"",Main[[#This Row],[Revised Due Date]]&lt;&gt;""),Main[[#This Row],[In Stock Date]]-Main[[#This Row],[Revised Due Date]],"")</f>
        <v/>
      </c>
      <c r="I833" s="99" t="s">
        <v>929</v>
      </c>
      <c r="J833" s="99" t="s">
        <v>52</v>
      </c>
      <c r="K833" s="99" t="s">
        <v>4</v>
      </c>
      <c r="L833" s="101"/>
      <c r="M833" s="104" t="str">
        <f>IF(Main[[#This Row],[Tech Start Date]]&lt;1/1/1990,"",IF(Main[[#This Row],[Class]]="C",WORKDAY(Main[[#This Row],[Tech Start Date]],9),IF(Main[[#This Row],[Class]]="B", WORKDAY(Main[[#This Row],[Tech Start Date]],6),IF(Main[[#This Row],[Class]]="A",WORKDAY(Main[[#This Row],[Tech Start Date]],2),""))))</f>
        <v/>
      </c>
      <c r="N833" s="104" t="str">
        <f>IF(Main[[#This Row],[Tech Start Date]]&lt;1/1/1990,"",IF(Main[[#This Row],[Class]]="C",WORKDAY(Main[[#This Row],[Tech Start Date]],19),IF(Main[[#This Row],[Class]]="B", WORKDAY(Main[[#This Row],[Tech Start Date]],12),IF(Main[[#This Row],[Class]]="A",WORKDAY(Main[[#This Row],[Tech Start Date]],4),""))))</f>
        <v/>
      </c>
      <c r="O833" s="104" t="str">
        <f>IF(Main[[#This Row],[Tech Start Date]]&lt;1/1/1990,"",IF(Main[[#This Row],[Class]]="C",WORKDAY(Main[[#This Row],[Tech Start Date]],23),IF(Main[[#This Row],[Class]]="B", WORKDAY(Main[[#This Row],[Tech Start Date]],15),IF(Main[[#This Row],[Class]]="A",WORKDAY(Main[[#This Row],[Tech Start Date]],5),""))))</f>
        <v/>
      </c>
      <c r="P833" s="104" t="str">
        <f>IF(Main[[#This Row],[Tech Start Date]]&lt;1/1/1990,"",IF(Main[[#This Row],[Class]]="C",WORKDAY(Main[[#This Row],[Tech Start Date]],28),IF(Main[[#This Row],[Class]]="B", WORKDAY(Main[[#This Row],[Tech Start Date]],19),IF(Main[[#This Row],[Class]]="A",WORKDAY(Main[[#This Row],[Tech Start Date]],9),""))))</f>
        <v/>
      </c>
      <c r="Q833" s="101"/>
      <c r="R833" s="101"/>
      <c r="S833" s="99" t="s">
        <v>6</v>
      </c>
      <c r="T833" s="107" t="s">
        <v>4</v>
      </c>
      <c r="U833" s="99" t="s">
        <v>29</v>
      </c>
      <c r="V833" s="99" t="s">
        <v>1962</v>
      </c>
      <c r="W833" s="99" t="s">
        <v>1966</v>
      </c>
    </row>
    <row r="834" spans="1:23" ht="18.600000000000001" customHeight="1">
      <c r="A834" s="123" t="str">
        <f>IF(priority(Main[[#This Row],[Comments]])&lt;&gt;0, priority(Main[[#This Row],[Comments]]),"")</f>
        <v/>
      </c>
      <c r="B834" s="127" t="s">
        <v>1689</v>
      </c>
      <c r="C834" s="99" t="s">
        <v>33</v>
      </c>
      <c r="D834" s="100" t="s">
        <v>728</v>
      </c>
      <c r="E834" s="101"/>
      <c r="F834" s="101">
        <v>40530</v>
      </c>
      <c r="G834" s="102" t="str">
        <f>IF(stdProdLT(Main[[#This Row],[Comments]])=0.1,"N/A",IF(stdProdLT(Main[[#This Row],[Comments]])=0,"",stdProdLT(Main[[#This Row],[Comments]])))</f>
        <v/>
      </c>
      <c r="H834" s="103" t="str">
        <f>IF(AND(Main[[#This Row],[In Stock Date]]&lt;&gt;"",Main[[#This Row],[Revised Due Date]]&lt;&gt;""),Main[[#This Row],[In Stock Date]]-Main[[#This Row],[Revised Due Date]],"")</f>
        <v/>
      </c>
      <c r="I834" s="99" t="s">
        <v>74</v>
      </c>
      <c r="J834" s="99" t="s">
        <v>28</v>
      </c>
      <c r="K834" s="108" t="s">
        <v>1974</v>
      </c>
      <c r="L834" s="101"/>
      <c r="M834" s="104" t="str">
        <f>IF(Main[[#This Row],[Tech Start Date]]&lt;1/1/1990,"",IF(Main[[#This Row],[Class]]="C",WORKDAY(Main[[#This Row],[Tech Start Date]],9),IF(Main[[#This Row],[Class]]="B", WORKDAY(Main[[#This Row],[Tech Start Date]],6),IF(Main[[#This Row],[Class]]="A",WORKDAY(Main[[#This Row],[Tech Start Date]],2),""))))</f>
        <v/>
      </c>
      <c r="N834" s="104" t="str">
        <f>IF(Main[[#This Row],[Tech Start Date]]&lt;1/1/1990,"",IF(Main[[#This Row],[Class]]="C",WORKDAY(Main[[#This Row],[Tech Start Date]],19),IF(Main[[#This Row],[Class]]="B", WORKDAY(Main[[#This Row],[Tech Start Date]],12),IF(Main[[#This Row],[Class]]="A",WORKDAY(Main[[#This Row],[Tech Start Date]],4),""))))</f>
        <v/>
      </c>
      <c r="O834" s="104" t="str">
        <f>IF(Main[[#This Row],[Tech Start Date]]&lt;1/1/1990,"",IF(Main[[#This Row],[Class]]="C",WORKDAY(Main[[#This Row],[Tech Start Date]],23),IF(Main[[#This Row],[Class]]="B", WORKDAY(Main[[#This Row],[Tech Start Date]],15),IF(Main[[#This Row],[Class]]="A",WORKDAY(Main[[#This Row],[Tech Start Date]],5),""))))</f>
        <v/>
      </c>
      <c r="P834" s="104" t="str">
        <f>IF(Main[[#This Row],[Tech Start Date]]&lt;1/1/1990,"",IF(Main[[#This Row],[Class]]="C",WORKDAY(Main[[#This Row],[Tech Start Date]],28),IF(Main[[#This Row],[Class]]="B", WORKDAY(Main[[#This Row],[Tech Start Date]],19),IF(Main[[#This Row],[Class]]="A",WORKDAY(Main[[#This Row],[Tech Start Date]],9),""))))</f>
        <v/>
      </c>
      <c r="Q834" s="101">
        <v>40390</v>
      </c>
      <c r="R834" s="101"/>
      <c r="S834" s="99" t="s">
        <v>17</v>
      </c>
      <c r="T834" s="107" t="s">
        <v>4</v>
      </c>
      <c r="U834" s="99" t="s">
        <v>14</v>
      </c>
      <c r="V834" s="99" t="s">
        <v>1965</v>
      </c>
      <c r="W834" s="99" t="s">
        <v>1967</v>
      </c>
    </row>
    <row r="835" spans="1:23" ht="18.600000000000001" customHeight="1">
      <c r="A835" s="123" t="str">
        <f>IF(priority(Main[[#This Row],[Comments]])&lt;&gt;0, priority(Main[[#This Row],[Comments]]),"")</f>
        <v/>
      </c>
      <c r="B835" s="127" t="s">
        <v>1690</v>
      </c>
      <c r="C835" s="99" t="s">
        <v>4</v>
      </c>
      <c r="D835" s="100" t="s">
        <v>543</v>
      </c>
      <c r="E835" s="101"/>
      <c r="F835" s="101"/>
      <c r="G835" s="102" t="str">
        <f>IF(stdProdLT(Main[[#This Row],[Comments]])=0.1,"N/A",IF(stdProdLT(Main[[#This Row],[Comments]])=0,"",stdProdLT(Main[[#This Row],[Comments]])))</f>
        <v/>
      </c>
      <c r="H835" s="103" t="str">
        <f>IF(AND(Main[[#This Row],[In Stock Date]]&lt;&gt;"",Main[[#This Row],[Revised Due Date]]&lt;&gt;""),Main[[#This Row],[In Stock Date]]-Main[[#This Row],[Revised Due Date]],"")</f>
        <v/>
      </c>
      <c r="I835" s="99" t="s">
        <v>4</v>
      </c>
      <c r="J835" s="99" t="s">
        <v>4</v>
      </c>
      <c r="K835" s="99" t="s">
        <v>4</v>
      </c>
      <c r="L835" s="101"/>
      <c r="M835" s="104" t="str">
        <f>IF(Main[[#This Row],[Tech Start Date]]&lt;1/1/1990,"",IF(Main[[#This Row],[Class]]="C",WORKDAY(Main[[#This Row],[Tech Start Date]],9),IF(Main[[#This Row],[Class]]="B", WORKDAY(Main[[#This Row],[Tech Start Date]],6),IF(Main[[#This Row],[Class]]="A",WORKDAY(Main[[#This Row],[Tech Start Date]],2),""))))</f>
        <v/>
      </c>
      <c r="N835" s="104" t="str">
        <f>IF(Main[[#This Row],[Tech Start Date]]&lt;1/1/1990,"",IF(Main[[#This Row],[Class]]="C",WORKDAY(Main[[#This Row],[Tech Start Date]],19),IF(Main[[#This Row],[Class]]="B", WORKDAY(Main[[#This Row],[Tech Start Date]],12),IF(Main[[#This Row],[Class]]="A",WORKDAY(Main[[#This Row],[Tech Start Date]],4),""))))</f>
        <v/>
      </c>
      <c r="O835" s="104" t="str">
        <f>IF(Main[[#This Row],[Tech Start Date]]&lt;1/1/1990,"",IF(Main[[#This Row],[Class]]="C",WORKDAY(Main[[#This Row],[Tech Start Date]],23),IF(Main[[#This Row],[Class]]="B", WORKDAY(Main[[#This Row],[Tech Start Date]],15),IF(Main[[#This Row],[Class]]="A",WORKDAY(Main[[#This Row],[Tech Start Date]],5),""))))</f>
        <v/>
      </c>
      <c r="P835" s="104" t="str">
        <f>IF(Main[[#This Row],[Tech Start Date]]&lt;1/1/1990,"",IF(Main[[#This Row],[Class]]="C",WORKDAY(Main[[#This Row],[Tech Start Date]],28),IF(Main[[#This Row],[Class]]="B", WORKDAY(Main[[#This Row],[Tech Start Date]],19),IF(Main[[#This Row],[Class]]="A",WORKDAY(Main[[#This Row],[Tech Start Date]],9),""))))</f>
        <v/>
      </c>
      <c r="Q835" s="101">
        <v>40606</v>
      </c>
      <c r="R835" s="101"/>
      <c r="S835" s="99" t="s">
        <v>6</v>
      </c>
      <c r="T835" s="107" t="s">
        <v>4</v>
      </c>
      <c r="U835" s="99" t="s">
        <v>14</v>
      </c>
      <c r="V835" s="99" t="s">
        <v>1965</v>
      </c>
      <c r="W835" s="99" t="s">
        <v>1966</v>
      </c>
    </row>
    <row r="836" spans="1:23" ht="18.600000000000001" customHeight="1">
      <c r="A836" s="123" t="str">
        <f>IF(priority(Main[[#This Row],[Comments]])&lt;&gt;0, priority(Main[[#This Row],[Comments]]),"")</f>
        <v/>
      </c>
      <c r="B836" s="127" t="s">
        <v>1444</v>
      </c>
      <c r="C836" s="99" t="s">
        <v>4</v>
      </c>
      <c r="D836" s="100" t="s">
        <v>2000</v>
      </c>
      <c r="E836" s="101"/>
      <c r="F836" s="101"/>
      <c r="G836" s="102" t="str">
        <f>IF(stdProdLT(Main[[#This Row],[Comments]])=0.1,"N/A",IF(stdProdLT(Main[[#This Row],[Comments]])=0,"",stdProdLT(Main[[#This Row],[Comments]])))</f>
        <v/>
      </c>
      <c r="H836" s="103" t="str">
        <f>IF(AND(Main[[#This Row],[In Stock Date]]&lt;&gt;"",Main[[#This Row],[Revised Due Date]]&lt;&gt;""),Main[[#This Row],[In Stock Date]]-Main[[#This Row],[Revised Due Date]],"")</f>
        <v/>
      </c>
      <c r="I836" s="99" t="s">
        <v>4</v>
      </c>
      <c r="J836" s="99" t="s">
        <v>4</v>
      </c>
      <c r="K836" s="99" t="s">
        <v>4</v>
      </c>
      <c r="L836" s="101"/>
      <c r="M836" s="104" t="str">
        <f>IF(Main[[#This Row],[Tech Start Date]]&lt;1/1/1990,"",IF(Main[[#This Row],[Class]]="C",WORKDAY(Main[[#This Row],[Tech Start Date]],9),IF(Main[[#This Row],[Class]]="B", WORKDAY(Main[[#This Row],[Tech Start Date]],6),IF(Main[[#This Row],[Class]]="A",WORKDAY(Main[[#This Row],[Tech Start Date]],2),""))))</f>
        <v/>
      </c>
      <c r="N836" s="104" t="str">
        <f>IF(Main[[#This Row],[Tech Start Date]]&lt;1/1/1990,"",IF(Main[[#This Row],[Class]]="C",WORKDAY(Main[[#This Row],[Tech Start Date]],19),IF(Main[[#This Row],[Class]]="B", WORKDAY(Main[[#This Row],[Tech Start Date]],12),IF(Main[[#This Row],[Class]]="A",WORKDAY(Main[[#This Row],[Tech Start Date]],4),""))))</f>
        <v/>
      </c>
      <c r="O836" s="104" t="str">
        <f>IF(Main[[#This Row],[Tech Start Date]]&lt;1/1/1990,"",IF(Main[[#This Row],[Class]]="C",WORKDAY(Main[[#This Row],[Tech Start Date]],23),IF(Main[[#This Row],[Class]]="B", WORKDAY(Main[[#This Row],[Tech Start Date]],15),IF(Main[[#This Row],[Class]]="A",WORKDAY(Main[[#This Row],[Tech Start Date]],5),""))))</f>
        <v/>
      </c>
      <c r="P836" s="104" t="str">
        <f>IF(Main[[#This Row],[Tech Start Date]]&lt;1/1/1990,"",IF(Main[[#This Row],[Class]]="C",WORKDAY(Main[[#This Row],[Tech Start Date]],28),IF(Main[[#This Row],[Class]]="B", WORKDAY(Main[[#This Row],[Tech Start Date]],19),IF(Main[[#This Row],[Class]]="A",WORKDAY(Main[[#This Row],[Tech Start Date]],9),""))))</f>
        <v/>
      </c>
      <c r="Q836" s="101"/>
      <c r="R836" s="101"/>
      <c r="S836" s="99" t="s">
        <v>6</v>
      </c>
      <c r="T836" s="107" t="s">
        <v>4</v>
      </c>
      <c r="U836" s="99" t="s">
        <v>14</v>
      </c>
      <c r="V836" s="99" t="s">
        <v>1963</v>
      </c>
      <c r="W836" s="99" t="s">
        <v>1964</v>
      </c>
    </row>
    <row r="837" spans="1:23" ht="18.600000000000001" customHeight="1">
      <c r="A837" s="123" t="str">
        <f>IF(priority(Main[[#This Row],[Comments]])&lt;&gt;0, priority(Main[[#This Row],[Comments]]),"")</f>
        <v/>
      </c>
      <c r="B837" s="127" t="s">
        <v>1691</v>
      </c>
      <c r="C837" s="99" t="s">
        <v>4</v>
      </c>
      <c r="D837" s="100" t="s">
        <v>729</v>
      </c>
      <c r="E837" s="101"/>
      <c r="F837" s="101">
        <v>40598</v>
      </c>
      <c r="G837" s="102" t="str">
        <f>IF(stdProdLT(Main[[#This Row],[Comments]])=0.1,"N/A",IF(stdProdLT(Main[[#This Row],[Comments]])=0,"",stdProdLT(Main[[#This Row],[Comments]])))</f>
        <v/>
      </c>
      <c r="H837" s="103" t="str">
        <f>IF(AND(Main[[#This Row],[In Stock Date]]&lt;&gt;"",Main[[#This Row],[Revised Due Date]]&lt;&gt;""),Main[[#This Row],[In Stock Date]]-Main[[#This Row],[Revised Due Date]],"")</f>
        <v/>
      </c>
      <c r="I837" s="99" t="s">
        <v>311</v>
      </c>
      <c r="J837" s="99" t="s">
        <v>75</v>
      </c>
      <c r="K837" s="108" t="s">
        <v>4</v>
      </c>
      <c r="L837" s="101"/>
      <c r="M837" s="104" t="str">
        <f>IF(Main[[#This Row],[Tech Start Date]]&lt;1/1/1990,"",IF(Main[[#This Row],[Class]]="C",WORKDAY(Main[[#This Row],[Tech Start Date]],9),IF(Main[[#This Row],[Class]]="B", WORKDAY(Main[[#This Row],[Tech Start Date]],6),IF(Main[[#This Row],[Class]]="A",WORKDAY(Main[[#This Row],[Tech Start Date]],2),""))))</f>
        <v/>
      </c>
      <c r="N837" s="104" t="str">
        <f>IF(Main[[#This Row],[Tech Start Date]]&lt;1/1/1990,"",IF(Main[[#This Row],[Class]]="C",WORKDAY(Main[[#This Row],[Tech Start Date]],19),IF(Main[[#This Row],[Class]]="B", WORKDAY(Main[[#This Row],[Tech Start Date]],12),IF(Main[[#This Row],[Class]]="A",WORKDAY(Main[[#This Row],[Tech Start Date]],4),""))))</f>
        <v/>
      </c>
      <c r="O837" s="104" t="str">
        <f>IF(Main[[#This Row],[Tech Start Date]]&lt;1/1/1990,"",IF(Main[[#This Row],[Class]]="C",WORKDAY(Main[[#This Row],[Tech Start Date]],23),IF(Main[[#This Row],[Class]]="B", WORKDAY(Main[[#This Row],[Tech Start Date]],15),IF(Main[[#This Row],[Class]]="A",WORKDAY(Main[[#This Row],[Tech Start Date]],5),""))))</f>
        <v/>
      </c>
      <c r="P837" s="104" t="str">
        <f>IF(Main[[#This Row],[Tech Start Date]]&lt;1/1/1990,"",IF(Main[[#This Row],[Class]]="C",WORKDAY(Main[[#This Row],[Tech Start Date]],28),IF(Main[[#This Row],[Class]]="B", WORKDAY(Main[[#This Row],[Tech Start Date]],19),IF(Main[[#This Row],[Class]]="A",WORKDAY(Main[[#This Row],[Tech Start Date]],9),""))))</f>
        <v/>
      </c>
      <c r="Q837" s="101">
        <v>40598</v>
      </c>
      <c r="R837" s="101"/>
      <c r="S837" s="99" t="s">
        <v>6</v>
      </c>
      <c r="T837" s="107" t="s">
        <v>4</v>
      </c>
      <c r="U837" s="99" t="s">
        <v>14</v>
      </c>
      <c r="V837" s="99" t="s">
        <v>1972</v>
      </c>
      <c r="W837" s="99" t="s">
        <v>1968</v>
      </c>
    </row>
    <row r="838" spans="1:23" ht="18.600000000000001" customHeight="1">
      <c r="A838" s="123" t="str">
        <f>IF(priority(Main[[#This Row],[Comments]])&lt;&gt;0, priority(Main[[#This Row],[Comments]]),"")</f>
        <v/>
      </c>
      <c r="B838" s="127" t="s">
        <v>1692</v>
      </c>
      <c r="C838" s="99" t="s">
        <v>352</v>
      </c>
      <c r="D838" s="100" t="s">
        <v>730</v>
      </c>
      <c r="E838" s="101"/>
      <c r="F838" s="101"/>
      <c r="G838" s="102" t="str">
        <f>IF(stdProdLT(Main[[#This Row],[Comments]])=0.1,"N/A",IF(stdProdLT(Main[[#This Row],[Comments]])=0,"",stdProdLT(Main[[#This Row],[Comments]])))</f>
        <v/>
      </c>
      <c r="H838" s="103" t="str">
        <f>IF(AND(Main[[#This Row],[In Stock Date]]&lt;&gt;"",Main[[#This Row],[Revised Due Date]]&lt;&gt;""),Main[[#This Row],[In Stock Date]]-Main[[#This Row],[Revised Due Date]],"")</f>
        <v/>
      </c>
      <c r="I838" s="99" t="s">
        <v>4</v>
      </c>
      <c r="J838" s="99" t="s">
        <v>28</v>
      </c>
      <c r="K838" s="99" t="s">
        <v>1974</v>
      </c>
      <c r="L838" s="101"/>
      <c r="M838" s="104" t="str">
        <f>IF(Main[[#This Row],[Tech Start Date]]&lt;1/1/1990,"",IF(Main[[#This Row],[Class]]="C",WORKDAY(Main[[#This Row],[Tech Start Date]],9),IF(Main[[#This Row],[Class]]="B", WORKDAY(Main[[#This Row],[Tech Start Date]],6),IF(Main[[#This Row],[Class]]="A",WORKDAY(Main[[#This Row],[Tech Start Date]],2),""))))</f>
        <v/>
      </c>
      <c r="N838" s="104" t="str">
        <f>IF(Main[[#This Row],[Tech Start Date]]&lt;1/1/1990,"",IF(Main[[#This Row],[Class]]="C",WORKDAY(Main[[#This Row],[Tech Start Date]],19),IF(Main[[#This Row],[Class]]="B", WORKDAY(Main[[#This Row],[Tech Start Date]],12),IF(Main[[#This Row],[Class]]="A",WORKDAY(Main[[#This Row],[Tech Start Date]],4),""))))</f>
        <v/>
      </c>
      <c r="O838" s="104" t="str">
        <f>IF(Main[[#This Row],[Tech Start Date]]&lt;1/1/1990,"",IF(Main[[#This Row],[Class]]="C",WORKDAY(Main[[#This Row],[Tech Start Date]],23),IF(Main[[#This Row],[Class]]="B", WORKDAY(Main[[#This Row],[Tech Start Date]],15),IF(Main[[#This Row],[Class]]="A",WORKDAY(Main[[#This Row],[Tech Start Date]],5),""))))</f>
        <v/>
      </c>
      <c r="P838" s="104" t="str">
        <f>IF(Main[[#This Row],[Tech Start Date]]&lt;1/1/1990,"",IF(Main[[#This Row],[Class]]="C",WORKDAY(Main[[#This Row],[Tech Start Date]],28),IF(Main[[#This Row],[Class]]="B", WORKDAY(Main[[#This Row],[Tech Start Date]],19),IF(Main[[#This Row],[Class]]="A",WORKDAY(Main[[#This Row],[Tech Start Date]],9),""))))</f>
        <v/>
      </c>
      <c r="Q838" s="101"/>
      <c r="R838" s="101"/>
      <c r="S838" s="99" t="s">
        <v>17</v>
      </c>
      <c r="T838" s="107" t="s">
        <v>4</v>
      </c>
      <c r="U838" s="99" t="s">
        <v>14</v>
      </c>
      <c r="V838" s="99" t="s">
        <v>1965</v>
      </c>
      <c r="W838" s="99" t="s">
        <v>1967</v>
      </c>
    </row>
    <row r="839" spans="1:23" ht="18.600000000000001" customHeight="1">
      <c r="A839" s="123" t="str">
        <f>IF(priority(Main[[#This Row],[Comments]])&lt;&gt;0, priority(Main[[#This Row],[Comments]]),"")</f>
        <v/>
      </c>
      <c r="B839" s="127" t="s">
        <v>1694</v>
      </c>
      <c r="C839" s="99" t="s">
        <v>31</v>
      </c>
      <c r="D839" s="100" t="s">
        <v>393</v>
      </c>
      <c r="E839" s="101"/>
      <c r="F839" s="101">
        <v>40288</v>
      </c>
      <c r="G839" s="102" t="str">
        <f>IF(stdProdLT(Main[[#This Row],[Comments]])=0.1,"N/A",IF(stdProdLT(Main[[#This Row],[Comments]])=0,"",stdProdLT(Main[[#This Row],[Comments]])))</f>
        <v/>
      </c>
      <c r="H839" s="103" t="str">
        <f>IF(AND(Main[[#This Row],[In Stock Date]]&lt;&gt;"",Main[[#This Row],[Revised Due Date]]&lt;&gt;""),Main[[#This Row],[In Stock Date]]-Main[[#This Row],[Revised Due Date]],"")</f>
        <v/>
      </c>
      <c r="I839" s="99" t="s">
        <v>4</v>
      </c>
      <c r="J839" s="99" t="s">
        <v>4</v>
      </c>
      <c r="K839" s="99" t="s">
        <v>4</v>
      </c>
      <c r="L839" s="101"/>
      <c r="M839" s="104" t="str">
        <f>IF(Main[[#This Row],[Tech Start Date]]&lt;1/1/1990,"",IF(Main[[#This Row],[Class]]="C",WORKDAY(Main[[#This Row],[Tech Start Date]],9),IF(Main[[#This Row],[Class]]="B", WORKDAY(Main[[#This Row],[Tech Start Date]],6),IF(Main[[#This Row],[Class]]="A",WORKDAY(Main[[#This Row],[Tech Start Date]],2),""))))</f>
        <v/>
      </c>
      <c r="N839" s="104" t="str">
        <f>IF(Main[[#This Row],[Tech Start Date]]&lt;1/1/1990,"",IF(Main[[#This Row],[Class]]="C",WORKDAY(Main[[#This Row],[Tech Start Date]],19),IF(Main[[#This Row],[Class]]="B", WORKDAY(Main[[#This Row],[Tech Start Date]],12),IF(Main[[#This Row],[Class]]="A",WORKDAY(Main[[#This Row],[Tech Start Date]],4),""))))</f>
        <v/>
      </c>
      <c r="O839" s="104" t="str">
        <f>IF(Main[[#This Row],[Tech Start Date]]&lt;1/1/1990,"",IF(Main[[#This Row],[Class]]="C",WORKDAY(Main[[#This Row],[Tech Start Date]],23),IF(Main[[#This Row],[Class]]="B", WORKDAY(Main[[#This Row],[Tech Start Date]],15),IF(Main[[#This Row],[Class]]="A",WORKDAY(Main[[#This Row],[Tech Start Date]],5),""))))</f>
        <v/>
      </c>
      <c r="P839" s="104" t="str">
        <f>IF(Main[[#This Row],[Tech Start Date]]&lt;1/1/1990,"",IF(Main[[#This Row],[Class]]="C",WORKDAY(Main[[#This Row],[Tech Start Date]],28),IF(Main[[#This Row],[Class]]="B", WORKDAY(Main[[#This Row],[Tech Start Date]],19),IF(Main[[#This Row],[Class]]="A",WORKDAY(Main[[#This Row],[Tech Start Date]],9),""))))</f>
        <v/>
      </c>
      <c r="Q839" s="101">
        <v>40106</v>
      </c>
      <c r="R839" s="101"/>
      <c r="S839" s="99" t="s">
        <v>11</v>
      </c>
      <c r="T839" s="107" t="s">
        <v>4</v>
      </c>
      <c r="U839" s="99" t="s">
        <v>14</v>
      </c>
      <c r="V839" s="99" t="s">
        <v>1965</v>
      </c>
      <c r="W839" s="99" t="s">
        <v>1973</v>
      </c>
    </row>
    <row r="840" spans="1:23" ht="18.600000000000001" customHeight="1">
      <c r="A840" s="123" t="str">
        <f>IF(priority(Main[[#This Row],[Comments]])&lt;&gt;0, priority(Main[[#This Row],[Comments]]),"")</f>
        <v/>
      </c>
      <c r="B840" s="127" t="s">
        <v>1695</v>
      </c>
      <c r="C840" s="99" t="s">
        <v>4</v>
      </c>
      <c r="D840" s="100" t="s">
        <v>732</v>
      </c>
      <c r="E840" s="101"/>
      <c r="F840" s="101">
        <v>40640</v>
      </c>
      <c r="G840" s="102" t="str">
        <f>IF(stdProdLT(Main[[#This Row],[Comments]])=0.1,"N/A",IF(stdProdLT(Main[[#This Row],[Comments]])=0,"",stdProdLT(Main[[#This Row],[Comments]])))</f>
        <v/>
      </c>
      <c r="H840" s="103" t="str">
        <f>IF(AND(Main[[#This Row],[In Stock Date]]&lt;&gt;"",Main[[#This Row],[Revised Due Date]]&lt;&gt;""),Main[[#This Row],[In Stock Date]]-Main[[#This Row],[Revised Due Date]],"")</f>
        <v/>
      </c>
      <c r="I840" s="99" t="s">
        <v>4</v>
      </c>
      <c r="J840" s="99" t="s">
        <v>28</v>
      </c>
      <c r="K840" s="99" t="s">
        <v>1975</v>
      </c>
      <c r="L840" s="101"/>
      <c r="M840" s="104" t="str">
        <f>IF(Main[[#This Row],[Tech Start Date]]&lt;1/1/1990,"",IF(Main[[#This Row],[Class]]="C",WORKDAY(Main[[#This Row],[Tech Start Date]],9),IF(Main[[#This Row],[Class]]="B", WORKDAY(Main[[#This Row],[Tech Start Date]],6),IF(Main[[#This Row],[Class]]="A",WORKDAY(Main[[#This Row],[Tech Start Date]],2),""))))</f>
        <v/>
      </c>
      <c r="N840" s="104" t="str">
        <f>IF(Main[[#This Row],[Tech Start Date]]&lt;1/1/1990,"",IF(Main[[#This Row],[Class]]="C",WORKDAY(Main[[#This Row],[Tech Start Date]],19),IF(Main[[#This Row],[Class]]="B", WORKDAY(Main[[#This Row],[Tech Start Date]],12),IF(Main[[#This Row],[Class]]="A",WORKDAY(Main[[#This Row],[Tech Start Date]],4),""))))</f>
        <v/>
      </c>
      <c r="O840" s="104" t="str">
        <f>IF(Main[[#This Row],[Tech Start Date]]&lt;1/1/1990,"",IF(Main[[#This Row],[Class]]="C",WORKDAY(Main[[#This Row],[Tech Start Date]],23),IF(Main[[#This Row],[Class]]="B", WORKDAY(Main[[#This Row],[Tech Start Date]],15),IF(Main[[#This Row],[Class]]="A",WORKDAY(Main[[#This Row],[Tech Start Date]],5),""))))</f>
        <v/>
      </c>
      <c r="P840" s="104" t="str">
        <f>IF(Main[[#This Row],[Tech Start Date]]&lt;1/1/1990,"",IF(Main[[#This Row],[Class]]="C",WORKDAY(Main[[#This Row],[Tech Start Date]],28),IF(Main[[#This Row],[Class]]="B", WORKDAY(Main[[#This Row],[Tech Start Date]],19),IF(Main[[#This Row],[Class]]="A",WORKDAY(Main[[#This Row],[Tech Start Date]],9),""))))</f>
        <v/>
      </c>
      <c r="Q840" s="101">
        <v>40640</v>
      </c>
      <c r="R840" s="101"/>
      <c r="S840" s="99" t="s">
        <v>11</v>
      </c>
      <c r="T840" s="107" t="s">
        <v>4</v>
      </c>
      <c r="U840" s="99" t="s">
        <v>14</v>
      </c>
      <c r="V840" s="99" t="s">
        <v>1962</v>
      </c>
      <c r="W840" s="99" t="s">
        <v>1970</v>
      </c>
    </row>
    <row r="841" spans="1:23" ht="18.600000000000001" customHeight="1">
      <c r="A841" s="123" t="str">
        <f>IF(priority(Main[[#This Row],[Comments]])&lt;&gt;0, priority(Main[[#This Row],[Comments]]),"")</f>
        <v/>
      </c>
      <c r="B841" s="127" t="s">
        <v>1696</v>
      </c>
      <c r="C841" s="99" t="s">
        <v>4</v>
      </c>
      <c r="D841" s="100" t="s">
        <v>733</v>
      </c>
      <c r="E841" s="101"/>
      <c r="F841" s="101"/>
      <c r="G841" s="102" t="str">
        <f>IF(stdProdLT(Main[[#This Row],[Comments]])=0.1,"N/A",IF(stdProdLT(Main[[#This Row],[Comments]])=0,"",stdProdLT(Main[[#This Row],[Comments]])))</f>
        <v/>
      </c>
      <c r="H841" s="103" t="str">
        <f>IF(AND(Main[[#This Row],[In Stock Date]]&lt;&gt;"",Main[[#This Row],[Revised Due Date]]&lt;&gt;""),Main[[#This Row],[In Stock Date]]-Main[[#This Row],[Revised Due Date]],"")</f>
        <v/>
      </c>
      <c r="I841" s="99" t="s">
        <v>4</v>
      </c>
      <c r="J841" s="99" t="s">
        <v>4</v>
      </c>
      <c r="K841" s="99" t="s">
        <v>4</v>
      </c>
      <c r="L841" s="101"/>
      <c r="M841" s="104" t="str">
        <f>IF(Main[[#This Row],[Tech Start Date]]&lt;1/1/1990,"",IF(Main[[#This Row],[Class]]="C",WORKDAY(Main[[#This Row],[Tech Start Date]],9),IF(Main[[#This Row],[Class]]="B", WORKDAY(Main[[#This Row],[Tech Start Date]],6),IF(Main[[#This Row],[Class]]="A",WORKDAY(Main[[#This Row],[Tech Start Date]],2),""))))</f>
        <v/>
      </c>
      <c r="N841" s="104" t="str">
        <f>IF(Main[[#This Row],[Tech Start Date]]&lt;1/1/1990,"",IF(Main[[#This Row],[Class]]="C",WORKDAY(Main[[#This Row],[Tech Start Date]],19),IF(Main[[#This Row],[Class]]="B", WORKDAY(Main[[#This Row],[Tech Start Date]],12),IF(Main[[#This Row],[Class]]="A",WORKDAY(Main[[#This Row],[Tech Start Date]],4),""))))</f>
        <v/>
      </c>
      <c r="O841" s="104" t="str">
        <f>IF(Main[[#This Row],[Tech Start Date]]&lt;1/1/1990,"",IF(Main[[#This Row],[Class]]="C",WORKDAY(Main[[#This Row],[Tech Start Date]],23),IF(Main[[#This Row],[Class]]="B", WORKDAY(Main[[#This Row],[Tech Start Date]],15),IF(Main[[#This Row],[Class]]="A",WORKDAY(Main[[#This Row],[Tech Start Date]],5),""))))</f>
        <v/>
      </c>
      <c r="P841" s="104" t="str">
        <f>IF(Main[[#This Row],[Tech Start Date]]&lt;1/1/1990,"",IF(Main[[#This Row],[Class]]="C",WORKDAY(Main[[#This Row],[Tech Start Date]],28),IF(Main[[#This Row],[Class]]="B", WORKDAY(Main[[#This Row],[Tech Start Date]],19),IF(Main[[#This Row],[Class]]="A",WORKDAY(Main[[#This Row],[Tech Start Date]],9),""))))</f>
        <v/>
      </c>
      <c r="Q841" s="101">
        <v>40385</v>
      </c>
      <c r="R841" s="101"/>
      <c r="S841" s="99" t="s">
        <v>6</v>
      </c>
      <c r="T841" s="107" t="s">
        <v>4</v>
      </c>
      <c r="U841" s="99" t="s">
        <v>14</v>
      </c>
      <c r="V841" s="99" t="s">
        <v>1965</v>
      </c>
      <c r="W841" s="99" t="s">
        <v>1964</v>
      </c>
    </row>
    <row r="842" spans="1:23" ht="18.600000000000001" customHeight="1">
      <c r="A842" s="123" t="str">
        <f>IF(priority(Main[[#This Row],[Comments]])&lt;&gt;0, priority(Main[[#This Row],[Comments]]),"")</f>
        <v/>
      </c>
      <c r="B842" s="127" t="s">
        <v>2169</v>
      </c>
      <c r="C842" s="99" t="s">
        <v>2170</v>
      </c>
      <c r="D842" s="100" t="s">
        <v>2171</v>
      </c>
      <c r="E842" s="101">
        <v>40766.692789351851</v>
      </c>
      <c r="F842" s="101"/>
      <c r="G842" s="102" t="str">
        <f>IF(stdProdLT(Main[[#This Row],[Comments]])=0.1,"N/A",IF(stdProdLT(Main[[#This Row],[Comments]])=0,"",stdProdLT(Main[[#This Row],[Comments]])))</f>
        <v/>
      </c>
      <c r="H842" s="103" t="str">
        <f>IF(AND(Main[[#This Row],[In Stock Date]]&lt;&gt;"",Main[[#This Row],[Revised Due Date]]&lt;&gt;""),Main[[#This Row],[In Stock Date]]-Main[[#This Row],[Revised Due Date]],"")</f>
        <v/>
      </c>
      <c r="I842" s="99" t="s">
        <v>4</v>
      </c>
      <c r="J842" s="99" t="s">
        <v>4</v>
      </c>
      <c r="K842" s="99" t="s">
        <v>4</v>
      </c>
      <c r="L842" s="101"/>
      <c r="M842" s="104" t="str">
        <f>IF(Main[[#This Row],[Tech Start Date]]&lt;1/1/1990,"",IF(Main[[#This Row],[Class]]="C",WORKDAY(Main[[#This Row],[Tech Start Date]],9),IF(Main[[#This Row],[Class]]="B", WORKDAY(Main[[#This Row],[Tech Start Date]],6),IF(Main[[#This Row],[Class]]="A",WORKDAY(Main[[#This Row],[Tech Start Date]],2),""))))</f>
        <v/>
      </c>
      <c r="N842" s="104" t="str">
        <f>IF(Main[[#This Row],[Tech Start Date]]&lt;1/1/1990,"",IF(Main[[#This Row],[Class]]="C",WORKDAY(Main[[#This Row],[Tech Start Date]],19),IF(Main[[#This Row],[Class]]="B", WORKDAY(Main[[#This Row],[Tech Start Date]],12),IF(Main[[#This Row],[Class]]="A",WORKDAY(Main[[#This Row],[Tech Start Date]],4),""))))</f>
        <v/>
      </c>
      <c r="O842" s="104" t="str">
        <f>IF(Main[[#This Row],[Tech Start Date]]&lt;1/1/1990,"",IF(Main[[#This Row],[Class]]="C",WORKDAY(Main[[#This Row],[Tech Start Date]],23),IF(Main[[#This Row],[Class]]="B", WORKDAY(Main[[#This Row],[Tech Start Date]],15),IF(Main[[#This Row],[Class]]="A",WORKDAY(Main[[#This Row],[Tech Start Date]],5),""))))</f>
        <v/>
      </c>
      <c r="P842" s="104" t="str">
        <f>IF(Main[[#This Row],[Tech Start Date]]&lt;1/1/1990,"",IF(Main[[#This Row],[Class]]="C",WORKDAY(Main[[#This Row],[Tech Start Date]],28),IF(Main[[#This Row],[Class]]="B", WORKDAY(Main[[#This Row],[Tech Start Date]],19),IF(Main[[#This Row],[Class]]="A",WORKDAY(Main[[#This Row],[Tech Start Date]],9),""))))</f>
        <v/>
      </c>
      <c r="Q842" s="101">
        <v>40879</v>
      </c>
      <c r="R842" s="101"/>
      <c r="S842" s="99" t="s">
        <v>17</v>
      </c>
      <c r="T842" s="107" t="s">
        <v>4</v>
      </c>
      <c r="U842" s="99" t="s">
        <v>7</v>
      </c>
      <c r="V842" s="99" t="s">
        <v>1977</v>
      </c>
      <c r="W842" s="99" t="s">
        <v>4</v>
      </c>
    </row>
    <row r="843" spans="1:23" ht="18.600000000000001" customHeight="1">
      <c r="A843" s="123" t="str">
        <f>IF(priority(Main[[#This Row],[Comments]])&lt;&gt;0, priority(Main[[#This Row],[Comments]]),"")</f>
        <v/>
      </c>
      <c r="B843" s="127" t="s">
        <v>2063</v>
      </c>
      <c r="C843" s="99" t="s">
        <v>4</v>
      </c>
      <c r="D843" s="100" t="s">
        <v>2151</v>
      </c>
      <c r="E843" s="101">
        <v>40745.696377314816</v>
      </c>
      <c r="F843" s="101"/>
      <c r="G843" s="102" t="str">
        <f>IF(stdProdLT(Main[[#This Row],[Comments]])=0.1,"N/A",IF(stdProdLT(Main[[#This Row],[Comments]])=0,"",stdProdLT(Main[[#This Row],[Comments]])))</f>
        <v/>
      </c>
      <c r="H843" s="103" t="str">
        <f>IF(AND(Main[[#This Row],[In Stock Date]]&lt;&gt;"",Main[[#This Row],[Revised Due Date]]&lt;&gt;""),Main[[#This Row],[In Stock Date]]-Main[[#This Row],[Revised Due Date]],"")</f>
        <v/>
      </c>
      <c r="I843" s="99" t="s">
        <v>437</v>
      </c>
      <c r="J843" s="99" t="s">
        <v>21</v>
      </c>
      <c r="K843" s="99" t="s">
        <v>1971</v>
      </c>
      <c r="L843" s="101"/>
      <c r="M843" s="104" t="str">
        <f>IF(Main[[#This Row],[Tech Start Date]]&lt;1/1/1990,"",IF(Main[[#This Row],[Class]]="C",WORKDAY(Main[[#This Row],[Tech Start Date]],9),IF(Main[[#This Row],[Class]]="B", WORKDAY(Main[[#This Row],[Tech Start Date]],6),IF(Main[[#This Row],[Class]]="A",WORKDAY(Main[[#This Row],[Tech Start Date]],2),""))))</f>
        <v/>
      </c>
      <c r="N843" s="104" t="str">
        <f>IF(Main[[#This Row],[Tech Start Date]]&lt;1/1/1990,"",IF(Main[[#This Row],[Class]]="C",WORKDAY(Main[[#This Row],[Tech Start Date]],19),IF(Main[[#This Row],[Class]]="B", WORKDAY(Main[[#This Row],[Tech Start Date]],12),IF(Main[[#This Row],[Class]]="A",WORKDAY(Main[[#This Row],[Tech Start Date]],4),""))))</f>
        <v/>
      </c>
      <c r="O843" s="104" t="str">
        <f>IF(Main[[#This Row],[Tech Start Date]]&lt;1/1/1990,"",IF(Main[[#This Row],[Class]]="C",WORKDAY(Main[[#This Row],[Tech Start Date]],23),IF(Main[[#This Row],[Class]]="B", WORKDAY(Main[[#This Row],[Tech Start Date]],15),IF(Main[[#This Row],[Class]]="A",WORKDAY(Main[[#This Row],[Tech Start Date]],5),""))))</f>
        <v/>
      </c>
      <c r="P843" s="104" t="str">
        <f>IF(Main[[#This Row],[Tech Start Date]]&lt;1/1/1990,"",IF(Main[[#This Row],[Class]]="C",WORKDAY(Main[[#This Row],[Tech Start Date]],28),IF(Main[[#This Row],[Class]]="B", WORKDAY(Main[[#This Row],[Tech Start Date]],19),IF(Main[[#This Row],[Class]]="A",WORKDAY(Main[[#This Row],[Tech Start Date]],9),""))))</f>
        <v/>
      </c>
      <c r="Q843" s="101">
        <v>40786</v>
      </c>
      <c r="R843" s="101"/>
      <c r="S843" s="99" t="s">
        <v>6</v>
      </c>
      <c r="T843" s="107" t="s">
        <v>4</v>
      </c>
      <c r="U843" s="99" t="s">
        <v>29</v>
      </c>
      <c r="V843" s="99" t="s">
        <v>1965</v>
      </c>
      <c r="W843" s="99" t="s">
        <v>1966</v>
      </c>
    </row>
    <row r="844" spans="1:23" ht="18.600000000000001" customHeight="1">
      <c r="A844" s="123" t="str">
        <f>IF(priority(Main[[#This Row],[Comments]])&lt;&gt;0, priority(Main[[#This Row],[Comments]]),"")</f>
        <v/>
      </c>
      <c r="B844" s="127" t="s">
        <v>2256</v>
      </c>
      <c r="C844" s="99" t="s">
        <v>4</v>
      </c>
      <c r="D844" s="100" t="s">
        <v>2257</v>
      </c>
      <c r="E844" s="101"/>
      <c r="F844" s="101"/>
      <c r="G844" s="102" t="str">
        <f>IF(stdProdLT(Main[[#This Row],[Comments]])=0.1,"N/A",IF(stdProdLT(Main[[#This Row],[Comments]])=0,"",stdProdLT(Main[[#This Row],[Comments]])))</f>
        <v/>
      </c>
      <c r="H844" s="103" t="str">
        <f>IF(AND(Main[[#This Row],[In Stock Date]]&lt;&gt;"",Main[[#This Row],[Revised Due Date]]&lt;&gt;""),Main[[#This Row],[In Stock Date]]-Main[[#This Row],[Revised Due Date]],"")</f>
        <v/>
      </c>
      <c r="I844" s="99" t="s">
        <v>4</v>
      </c>
      <c r="J844" s="99" t="s">
        <v>4</v>
      </c>
      <c r="K844" s="108" t="s">
        <v>4</v>
      </c>
      <c r="L844" s="101"/>
      <c r="M844" s="104" t="str">
        <f>IF(Main[[#This Row],[Tech Start Date]]&lt;1/1/1990,"",IF(Main[[#This Row],[Class]]="C",WORKDAY(Main[[#This Row],[Tech Start Date]],9),IF(Main[[#This Row],[Class]]="B", WORKDAY(Main[[#This Row],[Tech Start Date]],6),IF(Main[[#This Row],[Class]]="A",WORKDAY(Main[[#This Row],[Tech Start Date]],2),""))))</f>
        <v/>
      </c>
      <c r="N844" s="104" t="str">
        <f>IF(Main[[#This Row],[Tech Start Date]]&lt;1/1/1990,"",IF(Main[[#This Row],[Class]]="C",WORKDAY(Main[[#This Row],[Tech Start Date]],19),IF(Main[[#This Row],[Class]]="B", WORKDAY(Main[[#This Row],[Tech Start Date]],12),IF(Main[[#This Row],[Class]]="A",WORKDAY(Main[[#This Row],[Tech Start Date]],4),""))))</f>
        <v/>
      </c>
      <c r="O844" s="104" t="str">
        <f>IF(Main[[#This Row],[Tech Start Date]]&lt;1/1/1990,"",IF(Main[[#This Row],[Class]]="C",WORKDAY(Main[[#This Row],[Tech Start Date]],23),IF(Main[[#This Row],[Class]]="B", WORKDAY(Main[[#This Row],[Tech Start Date]],15),IF(Main[[#This Row],[Class]]="A",WORKDAY(Main[[#This Row],[Tech Start Date]],5),""))))</f>
        <v/>
      </c>
      <c r="P844" s="104" t="str">
        <f>IF(Main[[#This Row],[Tech Start Date]]&lt;1/1/1990,"",IF(Main[[#This Row],[Class]]="C",WORKDAY(Main[[#This Row],[Tech Start Date]],28),IF(Main[[#This Row],[Class]]="B", WORKDAY(Main[[#This Row],[Tech Start Date]],19),IF(Main[[#This Row],[Class]]="A",WORKDAY(Main[[#This Row],[Tech Start Date]],9),""))))</f>
        <v/>
      </c>
      <c r="Q844" s="101">
        <v>40798</v>
      </c>
      <c r="R844" s="101"/>
      <c r="S844" s="99" t="s">
        <v>49</v>
      </c>
      <c r="T844" s="107" t="s">
        <v>4</v>
      </c>
      <c r="U844" s="99" t="s">
        <v>14</v>
      </c>
      <c r="V844" s="99" t="s">
        <v>1972</v>
      </c>
      <c r="W844" s="99" t="s">
        <v>1970</v>
      </c>
    </row>
    <row r="845" spans="1:23" ht="18.600000000000001" customHeight="1">
      <c r="A845" s="123" t="str">
        <f>IF(priority(Main[[#This Row],[Comments]])&lt;&gt;0, priority(Main[[#This Row],[Comments]]),"")</f>
        <v/>
      </c>
      <c r="B845" s="127" t="s">
        <v>1716</v>
      </c>
      <c r="C845" s="99" t="s">
        <v>72</v>
      </c>
      <c r="D845" s="100" t="s">
        <v>747</v>
      </c>
      <c r="E845" s="101"/>
      <c r="F845" s="101"/>
      <c r="G845" s="102" t="str">
        <f>IF(stdProdLT(Main[[#This Row],[Comments]])=0.1,"N/A",IF(stdProdLT(Main[[#This Row],[Comments]])=0,"",stdProdLT(Main[[#This Row],[Comments]])))</f>
        <v/>
      </c>
      <c r="H845" s="103" t="str">
        <f>IF(AND(Main[[#This Row],[In Stock Date]]&lt;&gt;"",Main[[#This Row],[Revised Due Date]]&lt;&gt;""),Main[[#This Row],[In Stock Date]]-Main[[#This Row],[Revised Due Date]],"")</f>
        <v/>
      </c>
      <c r="I845" s="99" t="s">
        <v>4</v>
      </c>
      <c r="J845" s="99" t="s">
        <v>28</v>
      </c>
      <c r="K845" s="99" t="s">
        <v>1971</v>
      </c>
      <c r="L845" s="101"/>
      <c r="M845" s="104" t="str">
        <f>IF(Main[[#This Row],[Tech Start Date]]&lt;1/1/1990,"",IF(Main[[#This Row],[Class]]="C",WORKDAY(Main[[#This Row],[Tech Start Date]],9),IF(Main[[#This Row],[Class]]="B", WORKDAY(Main[[#This Row],[Tech Start Date]],6),IF(Main[[#This Row],[Class]]="A",WORKDAY(Main[[#This Row],[Tech Start Date]],2),""))))</f>
        <v/>
      </c>
      <c r="N845" s="104" t="str">
        <f>IF(Main[[#This Row],[Tech Start Date]]&lt;1/1/1990,"",IF(Main[[#This Row],[Class]]="C",WORKDAY(Main[[#This Row],[Tech Start Date]],19),IF(Main[[#This Row],[Class]]="B", WORKDAY(Main[[#This Row],[Tech Start Date]],12),IF(Main[[#This Row],[Class]]="A",WORKDAY(Main[[#This Row],[Tech Start Date]],4),""))))</f>
        <v/>
      </c>
      <c r="O845" s="104" t="str">
        <f>IF(Main[[#This Row],[Tech Start Date]]&lt;1/1/1990,"",IF(Main[[#This Row],[Class]]="C",WORKDAY(Main[[#This Row],[Tech Start Date]],23),IF(Main[[#This Row],[Class]]="B", WORKDAY(Main[[#This Row],[Tech Start Date]],15),IF(Main[[#This Row],[Class]]="A",WORKDAY(Main[[#This Row],[Tech Start Date]],5),""))))</f>
        <v/>
      </c>
      <c r="P845" s="104" t="str">
        <f>IF(Main[[#This Row],[Tech Start Date]]&lt;1/1/1990,"",IF(Main[[#This Row],[Class]]="C",WORKDAY(Main[[#This Row],[Tech Start Date]],28),IF(Main[[#This Row],[Class]]="B", WORKDAY(Main[[#This Row],[Tech Start Date]],19),IF(Main[[#This Row],[Class]]="A",WORKDAY(Main[[#This Row],[Tech Start Date]],9),""))))</f>
        <v/>
      </c>
      <c r="Q845" s="101"/>
      <c r="R845" s="101"/>
      <c r="S845" s="99" t="s">
        <v>6</v>
      </c>
      <c r="T845" s="107" t="s">
        <v>4</v>
      </c>
      <c r="U845" s="99" t="s">
        <v>14</v>
      </c>
      <c r="V845" s="99" t="s">
        <v>1965</v>
      </c>
      <c r="W845" s="99" t="s">
        <v>1964</v>
      </c>
    </row>
    <row r="846" spans="1:23" ht="18.600000000000001" customHeight="1">
      <c r="A846" s="123" t="str">
        <f>IF(priority(Main[[#This Row],[Comments]])&lt;&gt;0, priority(Main[[#This Row],[Comments]]),"")</f>
        <v/>
      </c>
      <c r="B846" s="127" t="s">
        <v>1718</v>
      </c>
      <c r="C846" s="99" t="s">
        <v>4</v>
      </c>
      <c r="D846" s="100" t="s">
        <v>39</v>
      </c>
      <c r="E846" s="101"/>
      <c r="F846" s="101"/>
      <c r="G846" s="102" t="str">
        <f>IF(stdProdLT(Main[[#This Row],[Comments]])=0.1,"N/A",IF(stdProdLT(Main[[#This Row],[Comments]])=0,"",stdProdLT(Main[[#This Row],[Comments]])))</f>
        <v/>
      </c>
      <c r="H846" s="103" t="str">
        <f>IF(AND(Main[[#This Row],[In Stock Date]]&lt;&gt;"",Main[[#This Row],[Revised Due Date]]&lt;&gt;""),Main[[#This Row],[In Stock Date]]-Main[[#This Row],[Revised Due Date]],"")</f>
        <v/>
      </c>
      <c r="I846" s="99" t="s">
        <v>4</v>
      </c>
      <c r="J846" s="99" t="s">
        <v>4</v>
      </c>
      <c r="K846" s="99" t="s">
        <v>4</v>
      </c>
      <c r="L846" s="101"/>
      <c r="M846" s="104" t="str">
        <f>IF(Main[[#This Row],[Tech Start Date]]&lt;1/1/1990,"",IF(Main[[#This Row],[Class]]="C",WORKDAY(Main[[#This Row],[Tech Start Date]],9),IF(Main[[#This Row],[Class]]="B", WORKDAY(Main[[#This Row],[Tech Start Date]],6),IF(Main[[#This Row],[Class]]="A",WORKDAY(Main[[#This Row],[Tech Start Date]],2),""))))</f>
        <v/>
      </c>
      <c r="N846" s="104" t="str">
        <f>IF(Main[[#This Row],[Tech Start Date]]&lt;1/1/1990,"",IF(Main[[#This Row],[Class]]="C",WORKDAY(Main[[#This Row],[Tech Start Date]],19),IF(Main[[#This Row],[Class]]="B", WORKDAY(Main[[#This Row],[Tech Start Date]],12),IF(Main[[#This Row],[Class]]="A",WORKDAY(Main[[#This Row],[Tech Start Date]],4),""))))</f>
        <v/>
      </c>
      <c r="O846" s="104" t="str">
        <f>IF(Main[[#This Row],[Tech Start Date]]&lt;1/1/1990,"",IF(Main[[#This Row],[Class]]="C",WORKDAY(Main[[#This Row],[Tech Start Date]],23),IF(Main[[#This Row],[Class]]="B", WORKDAY(Main[[#This Row],[Tech Start Date]],15),IF(Main[[#This Row],[Class]]="A",WORKDAY(Main[[#This Row],[Tech Start Date]],5),""))))</f>
        <v/>
      </c>
      <c r="P846" s="104" t="str">
        <f>IF(Main[[#This Row],[Tech Start Date]]&lt;1/1/1990,"",IF(Main[[#This Row],[Class]]="C",WORKDAY(Main[[#This Row],[Tech Start Date]],28),IF(Main[[#This Row],[Class]]="B", WORKDAY(Main[[#This Row],[Tech Start Date]],19),IF(Main[[#This Row],[Class]]="A",WORKDAY(Main[[#This Row],[Tech Start Date]],9),""))))</f>
        <v/>
      </c>
      <c r="Q846" s="101">
        <v>40669</v>
      </c>
      <c r="R846" s="101"/>
      <c r="S846" s="99" t="s">
        <v>6</v>
      </c>
      <c r="T846" s="107" t="s">
        <v>4</v>
      </c>
      <c r="U846" s="99" t="s">
        <v>14</v>
      </c>
      <c r="V846" s="99" t="s">
        <v>1965</v>
      </c>
      <c r="W846" s="99" t="s">
        <v>4</v>
      </c>
    </row>
    <row r="847" spans="1:23" ht="18.600000000000001" customHeight="1">
      <c r="A847" s="123" t="str">
        <f>IF(priority(Main[[#This Row],[Comments]])&lt;&gt;0, priority(Main[[#This Row],[Comments]]),"")</f>
        <v/>
      </c>
      <c r="B847" s="127" t="s">
        <v>1698</v>
      </c>
      <c r="C847" s="99" t="s">
        <v>72</v>
      </c>
      <c r="D847" s="100" t="s">
        <v>734</v>
      </c>
      <c r="E847" s="101"/>
      <c r="F847" s="101"/>
      <c r="G847" s="102" t="str">
        <f>IF(stdProdLT(Main[[#This Row],[Comments]])=0.1,"N/A",IF(stdProdLT(Main[[#This Row],[Comments]])=0,"",stdProdLT(Main[[#This Row],[Comments]])))</f>
        <v/>
      </c>
      <c r="H847" s="103" t="str">
        <f>IF(AND(Main[[#This Row],[In Stock Date]]&lt;&gt;"",Main[[#This Row],[Revised Due Date]]&lt;&gt;""),Main[[#This Row],[In Stock Date]]-Main[[#This Row],[Revised Due Date]],"")</f>
        <v/>
      </c>
      <c r="I847" s="99" t="s">
        <v>4</v>
      </c>
      <c r="J847" s="99" t="s">
        <v>4</v>
      </c>
      <c r="K847" s="99" t="s">
        <v>4</v>
      </c>
      <c r="L847" s="101"/>
      <c r="M847" s="104" t="str">
        <f>IF(Main[[#This Row],[Tech Start Date]]&lt;1/1/1990,"",IF(Main[[#This Row],[Class]]="C",WORKDAY(Main[[#This Row],[Tech Start Date]],9),IF(Main[[#This Row],[Class]]="B", WORKDAY(Main[[#This Row],[Tech Start Date]],6),IF(Main[[#This Row],[Class]]="A",WORKDAY(Main[[#This Row],[Tech Start Date]],2),""))))</f>
        <v/>
      </c>
      <c r="N847" s="104" t="str">
        <f>IF(Main[[#This Row],[Tech Start Date]]&lt;1/1/1990,"",IF(Main[[#This Row],[Class]]="C",WORKDAY(Main[[#This Row],[Tech Start Date]],19),IF(Main[[#This Row],[Class]]="B", WORKDAY(Main[[#This Row],[Tech Start Date]],12),IF(Main[[#This Row],[Class]]="A",WORKDAY(Main[[#This Row],[Tech Start Date]],4),""))))</f>
        <v/>
      </c>
      <c r="O847" s="104" t="str">
        <f>IF(Main[[#This Row],[Tech Start Date]]&lt;1/1/1990,"",IF(Main[[#This Row],[Class]]="C",WORKDAY(Main[[#This Row],[Tech Start Date]],23),IF(Main[[#This Row],[Class]]="B", WORKDAY(Main[[#This Row],[Tech Start Date]],15),IF(Main[[#This Row],[Class]]="A",WORKDAY(Main[[#This Row],[Tech Start Date]],5),""))))</f>
        <v/>
      </c>
      <c r="P847" s="104" t="str">
        <f>IF(Main[[#This Row],[Tech Start Date]]&lt;1/1/1990,"",IF(Main[[#This Row],[Class]]="C",WORKDAY(Main[[#This Row],[Tech Start Date]],28),IF(Main[[#This Row],[Class]]="B", WORKDAY(Main[[#This Row],[Tech Start Date]],19),IF(Main[[#This Row],[Class]]="A",WORKDAY(Main[[#This Row],[Tech Start Date]],9),""))))</f>
        <v/>
      </c>
      <c r="Q847" s="101"/>
      <c r="R847" s="101"/>
      <c r="S847" s="99" t="s">
        <v>11</v>
      </c>
      <c r="T847" s="107" t="s">
        <v>4</v>
      </c>
      <c r="U847" s="99" t="s">
        <v>14</v>
      </c>
      <c r="V847" s="99" t="s">
        <v>1963</v>
      </c>
      <c r="W847" s="99" t="s">
        <v>1970</v>
      </c>
    </row>
    <row r="848" spans="1:23" ht="18.600000000000001" customHeight="1">
      <c r="A848" s="123" t="str">
        <f>IF(priority(Main[[#This Row],[Comments]])&lt;&gt;0, priority(Main[[#This Row],[Comments]]),"")</f>
        <v/>
      </c>
      <c r="B848" s="127" t="s">
        <v>2231</v>
      </c>
      <c r="C848" s="99" t="s">
        <v>4</v>
      </c>
      <c r="D848" s="100" t="s">
        <v>2509</v>
      </c>
      <c r="E848" s="101">
        <v>40780.672893518517</v>
      </c>
      <c r="F848" s="101"/>
      <c r="G848" s="102" t="str">
        <f>IF(stdProdLT(Main[[#This Row],[Comments]])=0.1,"N/A",IF(stdProdLT(Main[[#This Row],[Comments]])=0,"",stdProdLT(Main[[#This Row],[Comments]])))</f>
        <v/>
      </c>
      <c r="H848" s="103" t="str">
        <f>IF(AND(Main[[#This Row],[In Stock Date]]&lt;&gt;"",Main[[#This Row],[Revised Due Date]]&lt;&gt;""),Main[[#This Row],[In Stock Date]]-Main[[#This Row],[Revised Due Date]],"")</f>
        <v/>
      </c>
      <c r="I848" s="99" t="s">
        <v>929</v>
      </c>
      <c r="J848" s="99" t="s">
        <v>52</v>
      </c>
      <c r="K848" s="99" t="s">
        <v>4</v>
      </c>
      <c r="L848" s="101"/>
      <c r="M848" s="104" t="str">
        <f>IF(Main[[#This Row],[Tech Start Date]]&lt;1/1/1990,"",IF(Main[[#This Row],[Class]]="C",WORKDAY(Main[[#This Row],[Tech Start Date]],9),IF(Main[[#This Row],[Class]]="B", WORKDAY(Main[[#This Row],[Tech Start Date]],6),IF(Main[[#This Row],[Class]]="A",WORKDAY(Main[[#This Row],[Tech Start Date]],2),""))))</f>
        <v/>
      </c>
      <c r="N848" s="104" t="str">
        <f>IF(Main[[#This Row],[Tech Start Date]]&lt;1/1/1990,"",IF(Main[[#This Row],[Class]]="C",WORKDAY(Main[[#This Row],[Tech Start Date]],19),IF(Main[[#This Row],[Class]]="B", WORKDAY(Main[[#This Row],[Tech Start Date]],12),IF(Main[[#This Row],[Class]]="A",WORKDAY(Main[[#This Row],[Tech Start Date]],4),""))))</f>
        <v/>
      </c>
      <c r="O848" s="104" t="str">
        <f>IF(Main[[#This Row],[Tech Start Date]]&lt;1/1/1990,"",IF(Main[[#This Row],[Class]]="C",WORKDAY(Main[[#This Row],[Tech Start Date]],23),IF(Main[[#This Row],[Class]]="B", WORKDAY(Main[[#This Row],[Tech Start Date]],15),IF(Main[[#This Row],[Class]]="A",WORKDAY(Main[[#This Row],[Tech Start Date]],5),""))))</f>
        <v/>
      </c>
      <c r="P848" s="104" t="str">
        <f>IF(Main[[#This Row],[Tech Start Date]]&lt;1/1/1990,"",IF(Main[[#This Row],[Class]]="C",WORKDAY(Main[[#This Row],[Tech Start Date]],28),IF(Main[[#This Row],[Class]]="B", WORKDAY(Main[[#This Row],[Tech Start Date]],19),IF(Main[[#This Row],[Class]]="A",WORKDAY(Main[[#This Row],[Tech Start Date]],9),""))))</f>
        <v/>
      </c>
      <c r="Q848" s="101">
        <v>40794</v>
      </c>
      <c r="R848" s="101"/>
      <c r="S848" s="99" t="s">
        <v>6</v>
      </c>
      <c r="T848" s="107" t="s">
        <v>4</v>
      </c>
      <c r="U848" s="99" t="s">
        <v>29</v>
      </c>
      <c r="V848" s="99" t="s">
        <v>1962</v>
      </c>
      <c r="W848" s="99" t="s">
        <v>1970</v>
      </c>
    </row>
    <row r="849" spans="1:23" ht="18.600000000000001" customHeight="1">
      <c r="A849" s="123" t="str">
        <f>IF(priority(Main[[#This Row],[Comments]])&lt;&gt;0, priority(Main[[#This Row],[Comments]]),"")</f>
        <v/>
      </c>
      <c r="B849" s="127" t="s">
        <v>1699</v>
      </c>
      <c r="C849" s="99" t="s">
        <v>4</v>
      </c>
      <c r="D849" s="100" t="s">
        <v>735</v>
      </c>
      <c r="E849" s="101"/>
      <c r="F849" s="101"/>
      <c r="G849" s="102" t="str">
        <f>IF(stdProdLT(Main[[#This Row],[Comments]])=0.1,"N/A",IF(stdProdLT(Main[[#This Row],[Comments]])=0,"",stdProdLT(Main[[#This Row],[Comments]])))</f>
        <v/>
      </c>
      <c r="H849" s="103" t="str">
        <f>IF(AND(Main[[#This Row],[In Stock Date]]&lt;&gt;"",Main[[#This Row],[Revised Due Date]]&lt;&gt;""),Main[[#This Row],[In Stock Date]]-Main[[#This Row],[Revised Due Date]],"")</f>
        <v/>
      </c>
      <c r="I849" s="99" t="s">
        <v>4</v>
      </c>
      <c r="J849" s="99" t="s">
        <v>4</v>
      </c>
      <c r="K849" s="99" t="s">
        <v>4</v>
      </c>
      <c r="L849" s="101"/>
      <c r="M849" s="104" t="str">
        <f>IF(Main[[#This Row],[Tech Start Date]]&lt;1/1/1990,"",IF(Main[[#This Row],[Class]]="C",WORKDAY(Main[[#This Row],[Tech Start Date]],9),IF(Main[[#This Row],[Class]]="B", WORKDAY(Main[[#This Row],[Tech Start Date]],6),IF(Main[[#This Row],[Class]]="A",WORKDAY(Main[[#This Row],[Tech Start Date]],2),""))))</f>
        <v/>
      </c>
      <c r="N849" s="104" t="str">
        <f>IF(Main[[#This Row],[Tech Start Date]]&lt;1/1/1990,"",IF(Main[[#This Row],[Class]]="C",WORKDAY(Main[[#This Row],[Tech Start Date]],19),IF(Main[[#This Row],[Class]]="B", WORKDAY(Main[[#This Row],[Tech Start Date]],12),IF(Main[[#This Row],[Class]]="A",WORKDAY(Main[[#This Row],[Tech Start Date]],4),""))))</f>
        <v/>
      </c>
      <c r="O849" s="104" t="str">
        <f>IF(Main[[#This Row],[Tech Start Date]]&lt;1/1/1990,"",IF(Main[[#This Row],[Class]]="C",WORKDAY(Main[[#This Row],[Tech Start Date]],23),IF(Main[[#This Row],[Class]]="B", WORKDAY(Main[[#This Row],[Tech Start Date]],15),IF(Main[[#This Row],[Class]]="A",WORKDAY(Main[[#This Row],[Tech Start Date]],5),""))))</f>
        <v/>
      </c>
      <c r="P849" s="104" t="str">
        <f>IF(Main[[#This Row],[Tech Start Date]]&lt;1/1/1990,"",IF(Main[[#This Row],[Class]]="C",WORKDAY(Main[[#This Row],[Tech Start Date]],28),IF(Main[[#This Row],[Class]]="B", WORKDAY(Main[[#This Row],[Tech Start Date]],19),IF(Main[[#This Row],[Class]]="A",WORKDAY(Main[[#This Row],[Tech Start Date]],9),""))))</f>
        <v/>
      </c>
      <c r="Q849" s="101">
        <v>40403</v>
      </c>
      <c r="R849" s="101"/>
      <c r="S849" s="99" t="s">
        <v>17</v>
      </c>
      <c r="T849" s="107" t="s">
        <v>4</v>
      </c>
      <c r="U849" s="99" t="s">
        <v>14</v>
      </c>
      <c r="V849" s="99" t="s">
        <v>1962</v>
      </c>
      <c r="W849" s="99" t="s">
        <v>1970</v>
      </c>
    </row>
    <row r="850" spans="1:23" ht="18.600000000000001" customHeight="1">
      <c r="A850" s="123" t="str">
        <f>IF(priority(Main[[#This Row],[Comments]])&lt;&gt;0, priority(Main[[#This Row],[Comments]]),"")</f>
        <v/>
      </c>
      <c r="B850" s="127" t="s">
        <v>1700</v>
      </c>
      <c r="C850" s="99" t="s">
        <v>58</v>
      </c>
      <c r="D850" s="100" t="s">
        <v>205</v>
      </c>
      <c r="E850" s="101"/>
      <c r="F850" s="101">
        <v>40697</v>
      </c>
      <c r="G850" s="102" t="str">
        <f>IF(stdProdLT(Main[[#This Row],[Comments]])=0.1,"N/A",IF(stdProdLT(Main[[#This Row],[Comments]])=0,"",stdProdLT(Main[[#This Row],[Comments]])))</f>
        <v/>
      </c>
      <c r="H850" s="103" t="str">
        <f>IF(AND(Main[[#This Row],[In Stock Date]]&lt;&gt;"",Main[[#This Row],[Revised Due Date]]&lt;&gt;""),Main[[#This Row],[In Stock Date]]-Main[[#This Row],[Revised Due Date]],"")</f>
        <v/>
      </c>
      <c r="I850" s="99" t="s">
        <v>4</v>
      </c>
      <c r="J850" s="99" t="s">
        <v>4</v>
      </c>
      <c r="K850" s="99" t="s">
        <v>4</v>
      </c>
      <c r="L850" s="101"/>
      <c r="M850" s="104" t="str">
        <f>IF(Main[[#This Row],[Tech Start Date]]&lt;1/1/1990,"",IF(Main[[#This Row],[Class]]="C",WORKDAY(Main[[#This Row],[Tech Start Date]],9),IF(Main[[#This Row],[Class]]="B", WORKDAY(Main[[#This Row],[Tech Start Date]],6),IF(Main[[#This Row],[Class]]="A",WORKDAY(Main[[#This Row],[Tech Start Date]],2),""))))</f>
        <v/>
      </c>
      <c r="N850" s="104" t="str">
        <f>IF(Main[[#This Row],[Tech Start Date]]&lt;1/1/1990,"",IF(Main[[#This Row],[Class]]="C",WORKDAY(Main[[#This Row],[Tech Start Date]],19),IF(Main[[#This Row],[Class]]="B", WORKDAY(Main[[#This Row],[Tech Start Date]],12),IF(Main[[#This Row],[Class]]="A",WORKDAY(Main[[#This Row],[Tech Start Date]],4),""))))</f>
        <v/>
      </c>
      <c r="O850" s="104" t="str">
        <f>IF(Main[[#This Row],[Tech Start Date]]&lt;1/1/1990,"",IF(Main[[#This Row],[Class]]="C",WORKDAY(Main[[#This Row],[Tech Start Date]],23),IF(Main[[#This Row],[Class]]="B", WORKDAY(Main[[#This Row],[Tech Start Date]],15),IF(Main[[#This Row],[Class]]="A",WORKDAY(Main[[#This Row],[Tech Start Date]],5),""))))</f>
        <v/>
      </c>
      <c r="P850" s="104" t="str">
        <f>IF(Main[[#This Row],[Tech Start Date]]&lt;1/1/1990,"",IF(Main[[#This Row],[Class]]="C",WORKDAY(Main[[#This Row],[Tech Start Date]],28),IF(Main[[#This Row],[Class]]="B", WORKDAY(Main[[#This Row],[Tech Start Date]],19),IF(Main[[#This Row],[Class]]="A",WORKDAY(Main[[#This Row],[Tech Start Date]],9),""))))</f>
        <v/>
      </c>
      <c r="Q850" s="101">
        <v>40539</v>
      </c>
      <c r="R850" s="101"/>
      <c r="S850" s="99" t="s">
        <v>11</v>
      </c>
      <c r="T850" s="107" t="s">
        <v>4</v>
      </c>
      <c r="U850" s="99" t="s">
        <v>14</v>
      </c>
      <c r="V850" s="99" t="s">
        <v>1962</v>
      </c>
      <c r="W850" s="99" t="s">
        <v>1968</v>
      </c>
    </row>
    <row r="851" spans="1:23" ht="18.600000000000001" customHeight="1">
      <c r="A851" s="123" t="str">
        <f>IF(priority(Main[[#This Row],[Comments]])&lt;&gt;0, priority(Main[[#This Row],[Comments]]),"")</f>
        <v/>
      </c>
      <c r="B851" s="127" t="s">
        <v>1703</v>
      </c>
      <c r="C851" s="99" t="s">
        <v>738</v>
      </c>
      <c r="D851" s="100" t="s">
        <v>739</v>
      </c>
      <c r="E851" s="101"/>
      <c r="F851" s="101">
        <v>40633</v>
      </c>
      <c r="G851" s="102" t="str">
        <f>IF(stdProdLT(Main[[#This Row],[Comments]])=0.1,"N/A",IF(stdProdLT(Main[[#This Row],[Comments]])=0,"",stdProdLT(Main[[#This Row],[Comments]])))</f>
        <v/>
      </c>
      <c r="H851" s="103" t="str">
        <f>IF(AND(Main[[#This Row],[In Stock Date]]&lt;&gt;"",Main[[#This Row],[Revised Due Date]]&lt;&gt;""),Main[[#This Row],[In Stock Date]]-Main[[#This Row],[Revised Due Date]],"")</f>
        <v/>
      </c>
      <c r="I851" s="99" t="s">
        <v>4</v>
      </c>
      <c r="J851" s="99" t="s">
        <v>4</v>
      </c>
      <c r="K851" s="99" t="s">
        <v>4</v>
      </c>
      <c r="L851" s="101"/>
      <c r="M851" s="104" t="str">
        <f>IF(Main[[#This Row],[Tech Start Date]]&lt;1/1/1990,"",IF(Main[[#This Row],[Class]]="C",WORKDAY(Main[[#This Row],[Tech Start Date]],9),IF(Main[[#This Row],[Class]]="B", WORKDAY(Main[[#This Row],[Tech Start Date]],6),IF(Main[[#This Row],[Class]]="A",WORKDAY(Main[[#This Row],[Tech Start Date]],2),""))))</f>
        <v/>
      </c>
      <c r="N851" s="104" t="str">
        <f>IF(Main[[#This Row],[Tech Start Date]]&lt;1/1/1990,"",IF(Main[[#This Row],[Class]]="C",WORKDAY(Main[[#This Row],[Tech Start Date]],19),IF(Main[[#This Row],[Class]]="B", WORKDAY(Main[[#This Row],[Tech Start Date]],12),IF(Main[[#This Row],[Class]]="A",WORKDAY(Main[[#This Row],[Tech Start Date]],4),""))))</f>
        <v/>
      </c>
      <c r="O851" s="104" t="str">
        <f>IF(Main[[#This Row],[Tech Start Date]]&lt;1/1/1990,"",IF(Main[[#This Row],[Class]]="C",WORKDAY(Main[[#This Row],[Tech Start Date]],23),IF(Main[[#This Row],[Class]]="B", WORKDAY(Main[[#This Row],[Tech Start Date]],15),IF(Main[[#This Row],[Class]]="A",WORKDAY(Main[[#This Row],[Tech Start Date]],5),""))))</f>
        <v/>
      </c>
      <c r="P851" s="104" t="str">
        <f>IF(Main[[#This Row],[Tech Start Date]]&lt;1/1/1990,"",IF(Main[[#This Row],[Class]]="C",WORKDAY(Main[[#This Row],[Tech Start Date]],28),IF(Main[[#This Row],[Class]]="B", WORKDAY(Main[[#This Row],[Tech Start Date]],19),IF(Main[[#This Row],[Class]]="A",WORKDAY(Main[[#This Row],[Tech Start Date]],9),""))))</f>
        <v/>
      </c>
      <c r="Q851" s="101">
        <v>40623</v>
      </c>
      <c r="R851" s="101"/>
      <c r="S851" s="99" t="s">
        <v>11</v>
      </c>
      <c r="T851" s="107" t="s">
        <v>4</v>
      </c>
      <c r="U851" s="99" t="s">
        <v>14</v>
      </c>
      <c r="V851" s="99" t="s">
        <v>1963</v>
      </c>
      <c r="W851" s="99" t="s">
        <v>1970</v>
      </c>
    </row>
    <row r="852" spans="1:23" ht="18.600000000000001" customHeight="1">
      <c r="A852" s="123" t="str">
        <f>IF(priority(Main[[#This Row],[Comments]])&lt;&gt;0, priority(Main[[#This Row],[Comments]]),"")</f>
        <v/>
      </c>
      <c r="B852" s="127" t="s">
        <v>1705</v>
      </c>
      <c r="C852" s="99" t="s">
        <v>4</v>
      </c>
      <c r="D852" s="100" t="s">
        <v>97</v>
      </c>
      <c r="E852" s="101"/>
      <c r="F852" s="101"/>
      <c r="G852" s="102" t="str">
        <f>IF(stdProdLT(Main[[#This Row],[Comments]])=0.1,"N/A",IF(stdProdLT(Main[[#This Row],[Comments]])=0,"",stdProdLT(Main[[#This Row],[Comments]])))</f>
        <v/>
      </c>
      <c r="H852" s="103" t="str">
        <f>IF(AND(Main[[#This Row],[In Stock Date]]&lt;&gt;"",Main[[#This Row],[Revised Due Date]]&lt;&gt;""),Main[[#This Row],[In Stock Date]]-Main[[#This Row],[Revised Due Date]],"")</f>
        <v/>
      </c>
      <c r="I852" s="99" t="s">
        <v>4</v>
      </c>
      <c r="J852" s="99" t="s">
        <v>4</v>
      </c>
      <c r="K852" s="108" t="s">
        <v>4</v>
      </c>
      <c r="L852" s="101"/>
      <c r="M852" s="104" t="str">
        <f>IF(Main[[#This Row],[Tech Start Date]]&lt;1/1/1990,"",IF(Main[[#This Row],[Class]]="C",WORKDAY(Main[[#This Row],[Tech Start Date]],9),IF(Main[[#This Row],[Class]]="B", WORKDAY(Main[[#This Row],[Tech Start Date]],6),IF(Main[[#This Row],[Class]]="A",WORKDAY(Main[[#This Row],[Tech Start Date]],2),""))))</f>
        <v/>
      </c>
      <c r="N852" s="104" t="str">
        <f>IF(Main[[#This Row],[Tech Start Date]]&lt;1/1/1990,"",IF(Main[[#This Row],[Class]]="C",WORKDAY(Main[[#This Row],[Tech Start Date]],19),IF(Main[[#This Row],[Class]]="B", WORKDAY(Main[[#This Row],[Tech Start Date]],12),IF(Main[[#This Row],[Class]]="A",WORKDAY(Main[[#This Row],[Tech Start Date]],4),""))))</f>
        <v/>
      </c>
      <c r="O852" s="104" t="str">
        <f>IF(Main[[#This Row],[Tech Start Date]]&lt;1/1/1990,"",IF(Main[[#This Row],[Class]]="C",WORKDAY(Main[[#This Row],[Tech Start Date]],23),IF(Main[[#This Row],[Class]]="B", WORKDAY(Main[[#This Row],[Tech Start Date]],15),IF(Main[[#This Row],[Class]]="A",WORKDAY(Main[[#This Row],[Tech Start Date]],5),""))))</f>
        <v/>
      </c>
      <c r="P852" s="104" t="str">
        <f>IF(Main[[#This Row],[Tech Start Date]]&lt;1/1/1990,"",IF(Main[[#This Row],[Class]]="C",WORKDAY(Main[[#This Row],[Tech Start Date]],28),IF(Main[[#This Row],[Class]]="B", WORKDAY(Main[[#This Row],[Tech Start Date]],19),IF(Main[[#This Row],[Class]]="A",WORKDAY(Main[[#This Row],[Tech Start Date]],9),""))))</f>
        <v/>
      </c>
      <c r="Q852" s="101">
        <v>40858</v>
      </c>
      <c r="R852" s="101"/>
      <c r="S852" s="99" t="s">
        <v>17</v>
      </c>
      <c r="T852" s="107" t="s">
        <v>4</v>
      </c>
      <c r="U852" s="99" t="s">
        <v>14</v>
      </c>
      <c r="V852" s="99" t="s">
        <v>1962</v>
      </c>
      <c r="W852" s="99" t="s">
        <v>1967</v>
      </c>
    </row>
    <row r="853" spans="1:23" ht="18.600000000000001" customHeight="1">
      <c r="A853" s="123" t="str">
        <f>IF(priority(Main[[#This Row],[Comments]])&lt;&gt;0, priority(Main[[#This Row],[Comments]]),"")</f>
        <v/>
      </c>
      <c r="B853" s="127" t="s">
        <v>1706</v>
      </c>
      <c r="C853" s="99" t="s">
        <v>4</v>
      </c>
      <c r="D853" s="100" t="s">
        <v>97</v>
      </c>
      <c r="E853" s="101"/>
      <c r="F853" s="101"/>
      <c r="G853" s="102" t="str">
        <f>IF(stdProdLT(Main[[#This Row],[Comments]])=0.1,"N/A",IF(stdProdLT(Main[[#This Row],[Comments]])=0,"",stdProdLT(Main[[#This Row],[Comments]])))</f>
        <v/>
      </c>
      <c r="H853" s="103" t="str">
        <f>IF(AND(Main[[#This Row],[In Stock Date]]&lt;&gt;"",Main[[#This Row],[Revised Due Date]]&lt;&gt;""),Main[[#This Row],[In Stock Date]]-Main[[#This Row],[Revised Due Date]],"")</f>
        <v/>
      </c>
      <c r="I853" s="99" t="s">
        <v>4</v>
      </c>
      <c r="J853" s="99" t="s">
        <v>4</v>
      </c>
      <c r="K853" s="99" t="s">
        <v>4</v>
      </c>
      <c r="L853" s="101"/>
      <c r="M853" s="104" t="str">
        <f>IF(Main[[#This Row],[Tech Start Date]]&lt;1/1/1990,"",IF(Main[[#This Row],[Class]]="C",WORKDAY(Main[[#This Row],[Tech Start Date]],9),IF(Main[[#This Row],[Class]]="B", WORKDAY(Main[[#This Row],[Tech Start Date]],6),IF(Main[[#This Row],[Class]]="A",WORKDAY(Main[[#This Row],[Tech Start Date]],2),""))))</f>
        <v/>
      </c>
      <c r="N853" s="104" t="str">
        <f>IF(Main[[#This Row],[Tech Start Date]]&lt;1/1/1990,"",IF(Main[[#This Row],[Class]]="C",WORKDAY(Main[[#This Row],[Tech Start Date]],19),IF(Main[[#This Row],[Class]]="B", WORKDAY(Main[[#This Row],[Tech Start Date]],12),IF(Main[[#This Row],[Class]]="A",WORKDAY(Main[[#This Row],[Tech Start Date]],4),""))))</f>
        <v/>
      </c>
      <c r="O853" s="104" t="str">
        <f>IF(Main[[#This Row],[Tech Start Date]]&lt;1/1/1990,"",IF(Main[[#This Row],[Class]]="C",WORKDAY(Main[[#This Row],[Tech Start Date]],23),IF(Main[[#This Row],[Class]]="B", WORKDAY(Main[[#This Row],[Tech Start Date]],15),IF(Main[[#This Row],[Class]]="A",WORKDAY(Main[[#This Row],[Tech Start Date]],5),""))))</f>
        <v/>
      </c>
      <c r="P853" s="104" t="str">
        <f>IF(Main[[#This Row],[Tech Start Date]]&lt;1/1/1990,"",IF(Main[[#This Row],[Class]]="C",WORKDAY(Main[[#This Row],[Tech Start Date]],28),IF(Main[[#This Row],[Class]]="B", WORKDAY(Main[[#This Row],[Tech Start Date]],19),IF(Main[[#This Row],[Class]]="A",WORKDAY(Main[[#This Row],[Tech Start Date]],9),""))))</f>
        <v/>
      </c>
      <c r="Q853" s="101">
        <v>40858</v>
      </c>
      <c r="R853" s="101"/>
      <c r="S853" s="99" t="s">
        <v>17</v>
      </c>
      <c r="T853" s="107" t="s">
        <v>4</v>
      </c>
      <c r="U853" s="99" t="s">
        <v>14</v>
      </c>
      <c r="V853" s="99" t="s">
        <v>1962</v>
      </c>
      <c r="W853" s="99" t="s">
        <v>1967</v>
      </c>
    </row>
    <row r="854" spans="1:23" ht="18.600000000000001" customHeight="1">
      <c r="A854" s="123" t="str">
        <f>IF(priority(Main[[#This Row],[Comments]])&lt;&gt;0, priority(Main[[#This Row],[Comments]]),"")</f>
        <v/>
      </c>
      <c r="B854" s="127" t="s">
        <v>1707</v>
      </c>
      <c r="C854" s="99" t="s">
        <v>4</v>
      </c>
      <c r="D854" s="100" t="s">
        <v>97</v>
      </c>
      <c r="E854" s="101"/>
      <c r="F854" s="101"/>
      <c r="G854" s="102" t="str">
        <f>IF(stdProdLT(Main[[#This Row],[Comments]])=0.1,"N/A",IF(stdProdLT(Main[[#This Row],[Comments]])=0,"",stdProdLT(Main[[#This Row],[Comments]])))</f>
        <v/>
      </c>
      <c r="H854" s="103" t="str">
        <f>IF(AND(Main[[#This Row],[In Stock Date]]&lt;&gt;"",Main[[#This Row],[Revised Due Date]]&lt;&gt;""),Main[[#This Row],[In Stock Date]]-Main[[#This Row],[Revised Due Date]],"")</f>
        <v/>
      </c>
      <c r="I854" s="99" t="s">
        <v>4</v>
      </c>
      <c r="J854" s="99" t="s">
        <v>4</v>
      </c>
      <c r="K854" s="99" t="s">
        <v>4</v>
      </c>
      <c r="L854" s="101"/>
      <c r="M854" s="104" t="str">
        <f>IF(Main[[#This Row],[Tech Start Date]]&lt;1/1/1990,"",IF(Main[[#This Row],[Class]]="C",WORKDAY(Main[[#This Row],[Tech Start Date]],9),IF(Main[[#This Row],[Class]]="B", WORKDAY(Main[[#This Row],[Tech Start Date]],6),IF(Main[[#This Row],[Class]]="A",WORKDAY(Main[[#This Row],[Tech Start Date]],2),""))))</f>
        <v/>
      </c>
      <c r="N854" s="104" t="str">
        <f>IF(Main[[#This Row],[Tech Start Date]]&lt;1/1/1990,"",IF(Main[[#This Row],[Class]]="C",WORKDAY(Main[[#This Row],[Tech Start Date]],19),IF(Main[[#This Row],[Class]]="B", WORKDAY(Main[[#This Row],[Tech Start Date]],12),IF(Main[[#This Row],[Class]]="A",WORKDAY(Main[[#This Row],[Tech Start Date]],4),""))))</f>
        <v/>
      </c>
      <c r="O854" s="104" t="str">
        <f>IF(Main[[#This Row],[Tech Start Date]]&lt;1/1/1990,"",IF(Main[[#This Row],[Class]]="C",WORKDAY(Main[[#This Row],[Tech Start Date]],23),IF(Main[[#This Row],[Class]]="B", WORKDAY(Main[[#This Row],[Tech Start Date]],15),IF(Main[[#This Row],[Class]]="A",WORKDAY(Main[[#This Row],[Tech Start Date]],5),""))))</f>
        <v/>
      </c>
      <c r="P854" s="104" t="str">
        <f>IF(Main[[#This Row],[Tech Start Date]]&lt;1/1/1990,"",IF(Main[[#This Row],[Class]]="C",WORKDAY(Main[[#This Row],[Tech Start Date]],28),IF(Main[[#This Row],[Class]]="B", WORKDAY(Main[[#This Row],[Tech Start Date]],19),IF(Main[[#This Row],[Class]]="A",WORKDAY(Main[[#This Row],[Tech Start Date]],9),""))))</f>
        <v/>
      </c>
      <c r="Q854" s="101">
        <v>40858</v>
      </c>
      <c r="R854" s="101"/>
      <c r="S854" s="99" t="s">
        <v>17</v>
      </c>
      <c r="T854" s="107" t="s">
        <v>4</v>
      </c>
      <c r="U854" s="99" t="s">
        <v>14</v>
      </c>
      <c r="V854" s="99" t="s">
        <v>1962</v>
      </c>
      <c r="W854" s="99" t="s">
        <v>1967</v>
      </c>
    </row>
    <row r="855" spans="1:23" ht="18.600000000000001" customHeight="1">
      <c r="A855" s="123" t="str">
        <f>IF(priority(Main[[#This Row],[Comments]])&lt;&gt;0, priority(Main[[#This Row],[Comments]]),"")</f>
        <v/>
      </c>
      <c r="B855" s="127" t="s">
        <v>1286</v>
      </c>
      <c r="C855" s="99" t="s">
        <v>4</v>
      </c>
      <c r="D855" s="100" t="s">
        <v>321</v>
      </c>
      <c r="E855" s="101"/>
      <c r="F855" s="101"/>
      <c r="G855" s="102" t="str">
        <f>IF(stdProdLT(Main[[#This Row],[Comments]])=0.1,"N/A",IF(stdProdLT(Main[[#This Row],[Comments]])=0,"",stdProdLT(Main[[#This Row],[Comments]])))</f>
        <v/>
      </c>
      <c r="H855" s="103" t="str">
        <f>IF(AND(Main[[#This Row],[In Stock Date]]&lt;&gt;"",Main[[#This Row],[Revised Due Date]]&lt;&gt;""),Main[[#This Row],[In Stock Date]]-Main[[#This Row],[Revised Due Date]],"")</f>
        <v/>
      </c>
      <c r="I855" s="99" t="s">
        <v>4</v>
      </c>
      <c r="J855" s="99" t="s">
        <v>4</v>
      </c>
      <c r="K855" s="99" t="s">
        <v>4</v>
      </c>
      <c r="L855" s="101"/>
      <c r="M855" s="104" t="str">
        <f>IF(Main[[#This Row],[Tech Start Date]]&lt;1/1/1990,"",IF(Main[[#This Row],[Class]]="C",WORKDAY(Main[[#This Row],[Tech Start Date]],9),IF(Main[[#This Row],[Class]]="B", WORKDAY(Main[[#This Row],[Tech Start Date]],6),IF(Main[[#This Row],[Class]]="A",WORKDAY(Main[[#This Row],[Tech Start Date]],2),""))))</f>
        <v/>
      </c>
      <c r="N855" s="104" t="str">
        <f>IF(Main[[#This Row],[Tech Start Date]]&lt;1/1/1990,"",IF(Main[[#This Row],[Class]]="C",WORKDAY(Main[[#This Row],[Tech Start Date]],19),IF(Main[[#This Row],[Class]]="B", WORKDAY(Main[[#This Row],[Tech Start Date]],12),IF(Main[[#This Row],[Class]]="A",WORKDAY(Main[[#This Row],[Tech Start Date]],4),""))))</f>
        <v/>
      </c>
      <c r="O855" s="104" t="str">
        <f>IF(Main[[#This Row],[Tech Start Date]]&lt;1/1/1990,"",IF(Main[[#This Row],[Class]]="C",WORKDAY(Main[[#This Row],[Tech Start Date]],23),IF(Main[[#This Row],[Class]]="B", WORKDAY(Main[[#This Row],[Tech Start Date]],15),IF(Main[[#This Row],[Class]]="A",WORKDAY(Main[[#This Row],[Tech Start Date]],5),""))))</f>
        <v/>
      </c>
      <c r="P855" s="104" t="str">
        <f>IF(Main[[#This Row],[Tech Start Date]]&lt;1/1/1990,"",IF(Main[[#This Row],[Class]]="C",WORKDAY(Main[[#This Row],[Tech Start Date]],28),IF(Main[[#This Row],[Class]]="B", WORKDAY(Main[[#This Row],[Tech Start Date]],19),IF(Main[[#This Row],[Class]]="A",WORKDAY(Main[[#This Row],[Tech Start Date]],9),""))))</f>
        <v/>
      </c>
      <c r="Q855" s="101">
        <v>40229</v>
      </c>
      <c r="R855" s="101"/>
      <c r="S855" s="99" t="s">
        <v>6</v>
      </c>
      <c r="T855" s="107" t="s">
        <v>4</v>
      </c>
      <c r="U855" s="99" t="s">
        <v>14</v>
      </c>
      <c r="V855" s="99" t="s">
        <v>1962</v>
      </c>
      <c r="W855" s="99" t="s">
        <v>1966</v>
      </c>
    </row>
    <row r="856" spans="1:23" ht="18.600000000000001" customHeight="1">
      <c r="A856" s="123" t="str">
        <f>IF(priority(Main[[#This Row],[Comments]])&lt;&gt;0, priority(Main[[#This Row],[Comments]]),"")</f>
        <v/>
      </c>
      <c r="B856" s="127" t="s">
        <v>1708</v>
      </c>
      <c r="C856" s="99" t="s">
        <v>4</v>
      </c>
      <c r="D856" s="100" t="s">
        <v>741</v>
      </c>
      <c r="E856" s="101"/>
      <c r="F856" s="101"/>
      <c r="G856" s="102" t="str">
        <f>IF(stdProdLT(Main[[#This Row],[Comments]])=0.1,"N/A",IF(stdProdLT(Main[[#This Row],[Comments]])=0,"",stdProdLT(Main[[#This Row],[Comments]])))</f>
        <v/>
      </c>
      <c r="H856" s="103" t="str">
        <f>IF(AND(Main[[#This Row],[In Stock Date]]&lt;&gt;"",Main[[#This Row],[Revised Due Date]]&lt;&gt;""),Main[[#This Row],[In Stock Date]]-Main[[#This Row],[Revised Due Date]],"")</f>
        <v/>
      </c>
      <c r="I856" s="99" t="s">
        <v>4</v>
      </c>
      <c r="J856" s="99" t="s">
        <v>4</v>
      </c>
      <c r="K856" s="108" t="s">
        <v>4</v>
      </c>
      <c r="L856" s="101"/>
      <c r="M856" s="104" t="str">
        <f>IF(Main[[#This Row],[Tech Start Date]]&lt;1/1/1990,"",IF(Main[[#This Row],[Class]]="C",WORKDAY(Main[[#This Row],[Tech Start Date]],9),IF(Main[[#This Row],[Class]]="B", WORKDAY(Main[[#This Row],[Tech Start Date]],6),IF(Main[[#This Row],[Class]]="A",WORKDAY(Main[[#This Row],[Tech Start Date]],2),""))))</f>
        <v/>
      </c>
      <c r="N856" s="104" t="str">
        <f>IF(Main[[#This Row],[Tech Start Date]]&lt;1/1/1990,"",IF(Main[[#This Row],[Class]]="C",WORKDAY(Main[[#This Row],[Tech Start Date]],19),IF(Main[[#This Row],[Class]]="B", WORKDAY(Main[[#This Row],[Tech Start Date]],12),IF(Main[[#This Row],[Class]]="A",WORKDAY(Main[[#This Row],[Tech Start Date]],4),""))))</f>
        <v/>
      </c>
      <c r="O856" s="104" t="str">
        <f>IF(Main[[#This Row],[Tech Start Date]]&lt;1/1/1990,"",IF(Main[[#This Row],[Class]]="C",WORKDAY(Main[[#This Row],[Tech Start Date]],23),IF(Main[[#This Row],[Class]]="B", WORKDAY(Main[[#This Row],[Tech Start Date]],15),IF(Main[[#This Row],[Class]]="A",WORKDAY(Main[[#This Row],[Tech Start Date]],5),""))))</f>
        <v/>
      </c>
      <c r="P856" s="104" t="str">
        <f>IF(Main[[#This Row],[Tech Start Date]]&lt;1/1/1990,"",IF(Main[[#This Row],[Class]]="C",WORKDAY(Main[[#This Row],[Tech Start Date]],28),IF(Main[[#This Row],[Class]]="B", WORKDAY(Main[[#This Row],[Tech Start Date]],19),IF(Main[[#This Row],[Class]]="A",WORKDAY(Main[[#This Row],[Tech Start Date]],9),""))))</f>
        <v/>
      </c>
      <c r="Q856" s="101"/>
      <c r="R856" s="101"/>
      <c r="S856" s="99" t="s">
        <v>23</v>
      </c>
      <c r="T856" s="107" t="s">
        <v>4</v>
      </c>
      <c r="U856" s="99" t="s">
        <v>14</v>
      </c>
      <c r="V856" s="99" t="s">
        <v>1962</v>
      </c>
      <c r="W856" s="99" t="s">
        <v>1966</v>
      </c>
    </row>
    <row r="857" spans="1:23" ht="18.600000000000001" customHeight="1">
      <c r="A857" s="123" t="str">
        <f>IF(priority(Main[[#This Row],[Comments]])&lt;&gt;0, priority(Main[[#This Row],[Comments]]),"")</f>
        <v/>
      </c>
      <c r="B857" s="127" t="s">
        <v>1710</v>
      </c>
      <c r="C857" s="99" t="s">
        <v>4</v>
      </c>
      <c r="D857" s="100" t="s">
        <v>743</v>
      </c>
      <c r="E857" s="101">
        <v>40679.253067129626</v>
      </c>
      <c r="F857" s="101"/>
      <c r="G857" s="102" t="str">
        <f>IF(stdProdLT(Main[[#This Row],[Comments]])=0.1,"N/A",IF(stdProdLT(Main[[#This Row],[Comments]])=0,"",stdProdLT(Main[[#This Row],[Comments]])))</f>
        <v/>
      </c>
      <c r="H857" s="103" t="str">
        <f>IF(AND(Main[[#This Row],[In Stock Date]]&lt;&gt;"",Main[[#This Row],[Revised Due Date]]&lt;&gt;""),Main[[#This Row],[In Stock Date]]-Main[[#This Row],[Revised Due Date]],"")</f>
        <v/>
      </c>
      <c r="I857" s="99" t="s">
        <v>4</v>
      </c>
      <c r="J857" s="99" t="s">
        <v>4</v>
      </c>
      <c r="K857" s="99" t="s">
        <v>4</v>
      </c>
      <c r="L857" s="101"/>
      <c r="M857" s="104" t="str">
        <f>IF(Main[[#This Row],[Tech Start Date]]&lt;1/1/1990,"",IF(Main[[#This Row],[Class]]="C",WORKDAY(Main[[#This Row],[Tech Start Date]],9),IF(Main[[#This Row],[Class]]="B", WORKDAY(Main[[#This Row],[Tech Start Date]],6),IF(Main[[#This Row],[Class]]="A",WORKDAY(Main[[#This Row],[Tech Start Date]],2),""))))</f>
        <v/>
      </c>
      <c r="N857" s="104" t="str">
        <f>IF(Main[[#This Row],[Tech Start Date]]&lt;1/1/1990,"",IF(Main[[#This Row],[Class]]="C",WORKDAY(Main[[#This Row],[Tech Start Date]],19),IF(Main[[#This Row],[Class]]="B", WORKDAY(Main[[#This Row],[Tech Start Date]],12),IF(Main[[#This Row],[Class]]="A",WORKDAY(Main[[#This Row],[Tech Start Date]],4),""))))</f>
        <v/>
      </c>
      <c r="O857" s="104" t="str">
        <f>IF(Main[[#This Row],[Tech Start Date]]&lt;1/1/1990,"",IF(Main[[#This Row],[Class]]="C",WORKDAY(Main[[#This Row],[Tech Start Date]],23),IF(Main[[#This Row],[Class]]="B", WORKDAY(Main[[#This Row],[Tech Start Date]],15),IF(Main[[#This Row],[Class]]="A",WORKDAY(Main[[#This Row],[Tech Start Date]],5),""))))</f>
        <v/>
      </c>
      <c r="P857" s="104" t="str">
        <f>IF(Main[[#This Row],[Tech Start Date]]&lt;1/1/1990,"",IF(Main[[#This Row],[Class]]="C",WORKDAY(Main[[#This Row],[Tech Start Date]],28),IF(Main[[#This Row],[Class]]="B", WORKDAY(Main[[#This Row],[Tech Start Date]],19),IF(Main[[#This Row],[Class]]="A",WORKDAY(Main[[#This Row],[Tech Start Date]],9),""))))</f>
        <v/>
      </c>
      <c r="Q857" s="101">
        <v>40724</v>
      </c>
      <c r="R857" s="101"/>
      <c r="S857" s="99" t="s">
        <v>6</v>
      </c>
      <c r="T857" s="107" t="s">
        <v>4</v>
      </c>
      <c r="U857" s="99" t="s">
        <v>7</v>
      </c>
      <c r="V857" s="99" t="s">
        <v>1962</v>
      </c>
      <c r="W857" s="99" t="s">
        <v>4</v>
      </c>
    </row>
    <row r="858" spans="1:23" ht="18.600000000000001" customHeight="1">
      <c r="A858" s="123" t="str">
        <f>IF(priority(Main[[#This Row],[Comments]])&lt;&gt;0, priority(Main[[#This Row],[Comments]]),"")</f>
        <v/>
      </c>
      <c r="B858" s="127" t="s">
        <v>1711</v>
      </c>
      <c r="C858" s="99" t="s">
        <v>4</v>
      </c>
      <c r="D858" s="100" t="s">
        <v>744</v>
      </c>
      <c r="E858" s="101">
        <v>40679.252465277779</v>
      </c>
      <c r="F858" s="101"/>
      <c r="G858" s="102" t="str">
        <f>IF(stdProdLT(Main[[#This Row],[Comments]])=0.1,"N/A",IF(stdProdLT(Main[[#This Row],[Comments]])=0,"",stdProdLT(Main[[#This Row],[Comments]])))</f>
        <v/>
      </c>
      <c r="H858" s="103" t="str">
        <f>IF(AND(Main[[#This Row],[In Stock Date]]&lt;&gt;"",Main[[#This Row],[Revised Due Date]]&lt;&gt;""),Main[[#This Row],[In Stock Date]]-Main[[#This Row],[Revised Due Date]],"")</f>
        <v/>
      </c>
      <c r="I858" s="99" t="s">
        <v>4</v>
      </c>
      <c r="J858" s="99" t="s">
        <v>4</v>
      </c>
      <c r="K858" s="108" t="s">
        <v>4</v>
      </c>
      <c r="L858" s="101"/>
      <c r="M858" s="104" t="str">
        <f>IF(Main[[#This Row],[Tech Start Date]]&lt;1/1/1990,"",IF(Main[[#This Row],[Class]]="C",WORKDAY(Main[[#This Row],[Tech Start Date]],9),IF(Main[[#This Row],[Class]]="B", WORKDAY(Main[[#This Row],[Tech Start Date]],6),IF(Main[[#This Row],[Class]]="A",WORKDAY(Main[[#This Row],[Tech Start Date]],2),""))))</f>
        <v/>
      </c>
      <c r="N858" s="104" t="str">
        <f>IF(Main[[#This Row],[Tech Start Date]]&lt;1/1/1990,"",IF(Main[[#This Row],[Class]]="C",WORKDAY(Main[[#This Row],[Tech Start Date]],19),IF(Main[[#This Row],[Class]]="B", WORKDAY(Main[[#This Row],[Tech Start Date]],12),IF(Main[[#This Row],[Class]]="A",WORKDAY(Main[[#This Row],[Tech Start Date]],4),""))))</f>
        <v/>
      </c>
      <c r="O858" s="104" t="str">
        <f>IF(Main[[#This Row],[Tech Start Date]]&lt;1/1/1990,"",IF(Main[[#This Row],[Class]]="C",WORKDAY(Main[[#This Row],[Tech Start Date]],23),IF(Main[[#This Row],[Class]]="B", WORKDAY(Main[[#This Row],[Tech Start Date]],15),IF(Main[[#This Row],[Class]]="A",WORKDAY(Main[[#This Row],[Tech Start Date]],5),""))))</f>
        <v/>
      </c>
      <c r="P858" s="104" t="str">
        <f>IF(Main[[#This Row],[Tech Start Date]]&lt;1/1/1990,"",IF(Main[[#This Row],[Class]]="C",WORKDAY(Main[[#This Row],[Tech Start Date]],28),IF(Main[[#This Row],[Class]]="B", WORKDAY(Main[[#This Row],[Tech Start Date]],19),IF(Main[[#This Row],[Class]]="A",WORKDAY(Main[[#This Row],[Tech Start Date]],9),""))))</f>
        <v/>
      </c>
      <c r="Q858" s="101">
        <v>40724</v>
      </c>
      <c r="R858" s="101"/>
      <c r="S858" s="99" t="s">
        <v>6</v>
      </c>
      <c r="T858" s="107" t="s">
        <v>4</v>
      </c>
      <c r="U858" s="99" t="s">
        <v>7</v>
      </c>
      <c r="V858" s="99" t="s">
        <v>1962</v>
      </c>
      <c r="W858" s="99" t="s">
        <v>4</v>
      </c>
    </row>
    <row r="859" spans="1:23" ht="18.600000000000001" customHeight="1">
      <c r="A859" s="123" t="str">
        <f>IF(priority(Main[[#This Row],[Comments]])&lt;&gt;0, priority(Main[[#This Row],[Comments]]),"")</f>
        <v/>
      </c>
      <c r="B859" s="127" t="s">
        <v>1712</v>
      </c>
      <c r="C859" s="99" t="s">
        <v>4</v>
      </c>
      <c r="D859" s="100" t="s">
        <v>745</v>
      </c>
      <c r="E859" s="101">
        <v>40679.253668981481</v>
      </c>
      <c r="F859" s="101"/>
      <c r="G859" s="102" t="str">
        <f>IF(stdProdLT(Main[[#This Row],[Comments]])=0.1,"N/A",IF(stdProdLT(Main[[#This Row],[Comments]])=0,"",stdProdLT(Main[[#This Row],[Comments]])))</f>
        <v/>
      </c>
      <c r="H859" s="103" t="str">
        <f>IF(AND(Main[[#This Row],[In Stock Date]]&lt;&gt;"",Main[[#This Row],[Revised Due Date]]&lt;&gt;""),Main[[#This Row],[In Stock Date]]-Main[[#This Row],[Revised Due Date]],"")</f>
        <v/>
      </c>
      <c r="I859" s="99" t="s">
        <v>4</v>
      </c>
      <c r="J859" s="99" t="s">
        <v>4</v>
      </c>
      <c r="K859" s="99" t="s">
        <v>4</v>
      </c>
      <c r="L859" s="101"/>
      <c r="M859" s="104" t="str">
        <f>IF(Main[[#This Row],[Tech Start Date]]&lt;1/1/1990,"",IF(Main[[#This Row],[Class]]="C",WORKDAY(Main[[#This Row],[Tech Start Date]],9),IF(Main[[#This Row],[Class]]="B", WORKDAY(Main[[#This Row],[Tech Start Date]],6),IF(Main[[#This Row],[Class]]="A",WORKDAY(Main[[#This Row],[Tech Start Date]],2),""))))</f>
        <v/>
      </c>
      <c r="N859" s="104" t="str">
        <f>IF(Main[[#This Row],[Tech Start Date]]&lt;1/1/1990,"",IF(Main[[#This Row],[Class]]="C",WORKDAY(Main[[#This Row],[Tech Start Date]],19),IF(Main[[#This Row],[Class]]="B", WORKDAY(Main[[#This Row],[Tech Start Date]],12),IF(Main[[#This Row],[Class]]="A",WORKDAY(Main[[#This Row],[Tech Start Date]],4),""))))</f>
        <v/>
      </c>
      <c r="O859" s="104" t="str">
        <f>IF(Main[[#This Row],[Tech Start Date]]&lt;1/1/1990,"",IF(Main[[#This Row],[Class]]="C",WORKDAY(Main[[#This Row],[Tech Start Date]],23),IF(Main[[#This Row],[Class]]="B", WORKDAY(Main[[#This Row],[Tech Start Date]],15),IF(Main[[#This Row],[Class]]="A",WORKDAY(Main[[#This Row],[Tech Start Date]],5),""))))</f>
        <v/>
      </c>
      <c r="P859" s="104" t="str">
        <f>IF(Main[[#This Row],[Tech Start Date]]&lt;1/1/1990,"",IF(Main[[#This Row],[Class]]="C",WORKDAY(Main[[#This Row],[Tech Start Date]],28),IF(Main[[#This Row],[Class]]="B", WORKDAY(Main[[#This Row],[Tech Start Date]],19),IF(Main[[#This Row],[Class]]="A",WORKDAY(Main[[#This Row],[Tech Start Date]],9),""))))</f>
        <v/>
      </c>
      <c r="Q859" s="101">
        <v>40724</v>
      </c>
      <c r="R859" s="101"/>
      <c r="S859" s="99" t="s">
        <v>6</v>
      </c>
      <c r="T859" s="107" t="s">
        <v>4</v>
      </c>
      <c r="U859" s="99" t="s">
        <v>7</v>
      </c>
      <c r="V859" s="99" t="s">
        <v>1962</v>
      </c>
      <c r="W859" s="99" t="s">
        <v>4</v>
      </c>
    </row>
    <row r="860" spans="1:23" ht="18.600000000000001" customHeight="1">
      <c r="A860" s="123" t="str">
        <f>IF(priority(Main[[#This Row],[Comments]])&lt;&gt;0, priority(Main[[#This Row],[Comments]]),"")</f>
        <v/>
      </c>
      <c r="B860" s="127" t="s">
        <v>1719</v>
      </c>
      <c r="C860" s="99" t="s">
        <v>4</v>
      </c>
      <c r="D860" s="100" t="s">
        <v>749</v>
      </c>
      <c r="E860" s="101"/>
      <c r="F860" s="101">
        <v>40598</v>
      </c>
      <c r="G860" s="102" t="str">
        <f>IF(stdProdLT(Main[[#This Row],[Comments]])=0.1,"N/A",IF(stdProdLT(Main[[#This Row],[Comments]])=0,"",stdProdLT(Main[[#This Row],[Comments]])))</f>
        <v/>
      </c>
      <c r="H860" s="103" t="str">
        <f>IF(AND(Main[[#This Row],[In Stock Date]]&lt;&gt;"",Main[[#This Row],[Revised Due Date]]&lt;&gt;""),Main[[#This Row],[In Stock Date]]-Main[[#This Row],[Revised Due Date]],"")</f>
        <v/>
      </c>
      <c r="I860" s="99" t="s">
        <v>4</v>
      </c>
      <c r="J860" s="99" t="s">
        <v>4</v>
      </c>
      <c r="K860" s="99" t="s">
        <v>4</v>
      </c>
      <c r="L860" s="101"/>
      <c r="M860" s="104" t="str">
        <f>IF(Main[[#This Row],[Tech Start Date]]&lt;1/1/1990,"",IF(Main[[#This Row],[Class]]="C",WORKDAY(Main[[#This Row],[Tech Start Date]],9),IF(Main[[#This Row],[Class]]="B", WORKDAY(Main[[#This Row],[Tech Start Date]],6),IF(Main[[#This Row],[Class]]="A",WORKDAY(Main[[#This Row],[Tech Start Date]],2),""))))</f>
        <v/>
      </c>
      <c r="N860" s="104" t="str">
        <f>IF(Main[[#This Row],[Tech Start Date]]&lt;1/1/1990,"",IF(Main[[#This Row],[Class]]="C",WORKDAY(Main[[#This Row],[Tech Start Date]],19),IF(Main[[#This Row],[Class]]="B", WORKDAY(Main[[#This Row],[Tech Start Date]],12),IF(Main[[#This Row],[Class]]="A",WORKDAY(Main[[#This Row],[Tech Start Date]],4),""))))</f>
        <v/>
      </c>
      <c r="O860" s="104" t="str">
        <f>IF(Main[[#This Row],[Tech Start Date]]&lt;1/1/1990,"",IF(Main[[#This Row],[Class]]="C",WORKDAY(Main[[#This Row],[Tech Start Date]],23),IF(Main[[#This Row],[Class]]="B", WORKDAY(Main[[#This Row],[Tech Start Date]],15),IF(Main[[#This Row],[Class]]="A",WORKDAY(Main[[#This Row],[Tech Start Date]],5),""))))</f>
        <v/>
      </c>
      <c r="P860" s="104" t="str">
        <f>IF(Main[[#This Row],[Tech Start Date]]&lt;1/1/1990,"",IF(Main[[#This Row],[Class]]="C",WORKDAY(Main[[#This Row],[Tech Start Date]],28),IF(Main[[#This Row],[Class]]="B", WORKDAY(Main[[#This Row],[Tech Start Date]],19),IF(Main[[#This Row],[Class]]="A",WORKDAY(Main[[#This Row],[Tech Start Date]],9),""))))</f>
        <v/>
      </c>
      <c r="Q860" s="101">
        <v>40598</v>
      </c>
      <c r="R860" s="101"/>
      <c r="S860" s="99" t="s">
        <v>11</v>
      </c>
      <c r="T860" s="107" t="s">
        <v>4</v>
      </c>
      <c r="U860" s="99" t="s">
        <v>14</v>
      </c>
      <c r="V860" s="99" t="s">
        <v>1972</v>
      </c>
      <c r="W860" s="99" t="s">
        <v>1968</v>
      </c>
    </row>
    <row r="861" spans="1:23" ht="18.600000000000001" customHeight="1">
      <c r="A861" s="123" t="str">
        <f>IF(priority(Main[[#This Row],[Comments]])&lt;&gt;0, priority(Main[[#This Row],[Comments]]),"")</f>
        <v/>
      </c>
      <c r="B861" s="127" t="s">
        <v>1722</v>
      </c>
      <c r="C861" s="99" t="s">
        <v>4</v>
      </c>
      <c r="D861" s="100" t="s">
        <v>753</v>
      </c>
      <c r="E861" s="101">
        <v>40591.815474537034</v>
      </c>
      <c r="F861" s="101"/>
      <c r="G861" s="102" t="str">
        <f>IF(stdProdLT(Main[[#This Row],[Comments]])=0.1,"N/A",IF(stdProdLT(Main[[#This Row],[Comments]])=0,"",stdProdLT(Main[[#This Row],[Comments]])))</f>
        <v/>
      </c>
      <c r="H861" s="103" t="str">
        <f>IF(AND(Main[[#This Row],[In Stock Date]]&lt;&gt;"",Main[[#This Row],[Revised Due Date]]&lt;&gt;""),Main[[#This Row],[In Stock Date]]-Main[[#This Row],[Revised Due Date]],"")</f>
        <v/>
      </c>
      <c r="I861" s="99" t="s">
        <v>131</v>
      </c>
      <c r="J861" s="99" t="s">
        <v>70</v>
      </c>
      <c r="K861" s="99" t="s">
        <v>1971</v>
      </c>
      <c r="L861" s="101"/>
      <c r="M861" s="104" t="str">
        <f>IF(Main[[#This Row],[Tech Start Date]]&lt;1/1/1990,"",IF(Main[[#This Row],[Class]]="C",WORKDAY(Main[[#This Row],[Tech Start Date]],9),IF(Main[[#This Row],[Class]]="B", WORKDAY(Main[[#This Row],[Tech Start Date]],6),IF(Main[[#This Row],[Class]]="A",WORKDAY(Main[[#This Row],[Tech Start Date]],2),""))))</f>
        <v/>
      </c>
      <c r="N861" s="104" t="str">
        <f>IF(Main[[#This Row],[Tech Start Date]]&lt;1/1/1990,"",IF(Main[[#This Row],[Class]]="C",WORKDAY(Main[[#This Row],[Tech Start Date]],19),IF(Main[[#This Row],[Class]]="B", WORKDAY(Main[[#This Row],[Tech Start Date]],12),IF(Main[[#This Row],[Class]]="A",WORKDAY(Main[[#This Row],[Tech Start Date]],4),""))))</f>
        <v/>
      </c>
      <c r="O861" s="104" t="str">
        <f>IF(Main[[#This Row],[Tech Start Date]]&lt;1/1/1990,"",IF(Main[[#This Row],[Class]]="C",WORKDAY(Main[[#This Row],[Tech Start Date]],23),IF(Main[[#This Row],[Class]]="B", WORKDAY(Main[[#This Row],[Tech Start Date]],15),IF(Main[[#This Row],[Class]]="A",WORKDAY(Main[[#This Row],[Tech Start Date]],5),""))))</f>
        <v/>
      </c>
      <c r="P861" s="104" t="str">
        <f>IF(Main[[#This Row],[Tech Start Date]]&lt;1/1/1990,"",IF(Main[[#This Row],[Class]]="C",WORKDAY(Main[[#This Row],[Tech Start Date]],28),IF(Main[[#This Row],[Class]]="B", WORKDAY(Main[[#This Row],[Tech Start Date]],19),IF(Main[[#This Row],[Class]]="A",WORKDAY(Main[[#This Row],[Tech Start Date]],9),""))))</f>
        <v/>
      </c>
      <c r="Q861" s="101">
        <v>40736</v>
      </c>
      <c r="R861" s="101"/>
      <c r="S861" s="99" t="s">
        <v>6</v>
      </c>
      <c r="T861" s="107" t="s">
        <v>4</v>
      </c>
      <c r="U861" s="99" t="s">
        <v>29</v>
      </c>
      <c r="V861" s="99" t="s">
        <v>1965</v>
      </c>
      <c r="W861" s="99" t="s">
        <v>1966</v>
      </c>
    </row>
    <row r="862" spans="1:23" ht="18.600000000000001" customHeight="1">
      <c r="A862" s="123" t="str">
        <f>IF(priority(Main[[#This Row],[Comments]])&lt;&gt;0, priority(Main[[#This Row],[Comments]]),"")</f>
        <v/>
      </c>
      <c r="B862" s="127" t="s">
        <v>2087</v>
      </c>
      <c r="C862" s="99" t="s">
        <v>37</v>
      </c>
      <c r="D862" s="100" t="s">
        <v>491</v>
      </c>
      <c r="E862" s="101"/>
      <c r="F862" s="101"/>
      <c r="G862" s="102" t="str">
        <f>IF(stdProdLT(Main[[#This Row],[Comments]])=0.1,"N/A",IF(stdProdLT(Main[[#This Row],[Comments]])=0,"",stdProdLT(Main[[#This Row],[Comments]])))</f>
        <v/>
      </c>
      <c r="H862" s="103" t="str">
        <f>IF(AND(Main[[#This Row],[In Stock Date]]&lt;&gt;"",Main[[#This Row],[Revised Due Date]]&lt;&gt;""),Main[[#This Row],[In Stock Date]]-Main[[#This Row],[Revised Due Date]],"")</f>
        <v/>
      </c>
      <c r="I862" s="99" t="s">
        <v>4</v>
      </c>
      <c r="J862" s="99" t="s">
        <v>21</v>
      </c>
      <c r="K862" s="99" t="s">
        <v>4</v>
      </c>
      <c r="L862" s="101"/>
      <c r="M862" s="104" t="str">
        <f>IF(Main[[#This Row],[Tech Start Date]]&lt;1/1/1990,"",IF(Main[[#This Row],[Class]]="C",WORKDAY(Main[[#This Row],[Tech Start Date]],9),IF(Main[[#This Row],[Class]]="B", WORKDAY(Main[[#This Row],[Tech Start Date]],6),IF(Main[[#This Row],[Class]]="A",WORKDAY(Main[[#This Row],[Tech Start Date]],2),""))))</f>
        <v/>
      </c>
      <c r="N862" s="104" t="str">
        <f>IF(Main[[#This Row],[Tech Start Date]]&lt;1/1/1990,"",IF(Main[[#This Row],[Class]]="C",WORKDAY(Main[[#This Row],[Tech Start Date]],19),IF(Main[[#This Row],[Class]]="B", WORKDAY(Main[[#This Row],[Tech Start Date]],12),IF(Main[[#This Row],[Class]]="A",WORKDAY(Main[[#This Row],[Tech Start Date]],4),""))))</f>
        <v/>
      </c>
      <c r="O862" s="104" t="str">
        <f>IF(Main[[#This Row],[Tech Start Date]]&lt;1/1/1990,"",IF(Main[[#This Row],[Class]]="C",WORKDAY(Main[[#This Row],[Tech Start Date]],23),IF(Main[[#This Row],[Class]]="B", WORKDAY(Main[[#This Row],[Tech Start Date]],15),IF(Main[[#This Row],[Class]]="A",WORKDAY(Main[[#This Row],[Tech Start Date]],5),""))))</f>
        <v/>
      </c>
      <c r="P862" s="104" t="str">
        <f>IF(Main[[#This Row],[Tech Start Date]]&lt;1/1/1990,"",IF(Main[[#This Row],[Class]]="C",WORKDAY(Main[[#This Row],[Tech Start Date]],28),IF(Main[[#This Row],[Class]]="B", WORKDAY(Main[[#This Row],[Tech Start Date]],19),IF(Main[[#This Row],[Class]]="A",WORKDAY(Main[[#This Row],[Tech Start Date]],9),""))))</f>
        <v/>
      </c>
      <c r="Q862" s="101">
        <v>40696</v>
      </c>
      <c r="R862" s="101"/>
      <c r="S862" s="99" t="s">
        <v>6</v>
      </c>
      <c r="T862" s="107" t="s">
        <v>4</v>
      </c>
      <c r="U862" s="99" t="s">
        <v>12</v>
      </c>
      <c r="V862" s="99" t="s">
        <v>1962</v>
      </c>
      <c r="W862" s="99" t="s">
        <v>1973</v>
      </c>
    </row>
    <row r="863" spans="1:23" ht="18.600000000000001" customHeight="1">
      <c r="A863" s="123" t="str">
        <f>IF(priority(Main[[#This Row],[Comments]])&lt;&gt;0, priority(Main[[#This Row],[Comments]]),"")</f>
        <v/>
      </c>
      <c r="B863" s="127" t="s">
        <v>2260</v>
      </c>
      <c r="C863" s="99" t="s">
        <v>4</v>
      </c>
      <c r="D863" s="100" t="s">
        <v>2261</v>
      </c>
      <c r="E863" s="101"/>
      <c r="F863" s="101">
        <v>40848</v>
      </c>
      <c r="G863" s="102" t="str">
        <f>IF(stdProdLT(Main[[#This Row],[Comments]])=0.1,"N/A",IF(stdProdLT(Main[[#This Row],[Comments]])=0,"",stdProdLT(Main[[#This Row],[Comments]])))</f>
        <v/>
      </c>
      <c r="H863" s="103" t="str">
        <f>IF(AND(Main[[#This Row],[In Stock Date]]&lt;&gt;"",Main[[#This Row],[Revised Due Date]]&lt;&gt;""),Main[[#This Row],[In Stock Date]]-Main[[#This Row],[Revised Due Date]],"")</f>
        <v/>
      </c>
      <c r="I863" s="99" t="s">
        <v>4</v>
      </c>
      <c r="J863" s="99" t="s">
        <v>4</v>
      </c>
      <c r="K863" s="99" t="s">
        <v>4</v>
      </c>
      <c r="L863" s="101"/>
      <c r="M863" s="104" t="str">
        <f>IF(Main[[#This Row],[Tech Start Date]]&lt;1/1/1990,"",IF(Main[[#This Row],[Class]]="C",WORKDAY(Main[[#This Row],[Tech Start Date]],9),IF(Main[[#This Row],[Class]]="B", WORKDAY(Main[[#This Row],[Tech Start Date]],6),IF(Main[[#This Row],[Class]]="A",WORKDAY(Main[[#This Row],[Tech Start Date]],2),""))))</f>
        <v/>
      </c>
      <c r="N863" s="104" t="str">
        <f>IF(Main[[#This Row],[Tech Start Date]]&lt;1/1/1990,"",IF(Main[[#This Row],[Class]]="C",WORKDAY(Main[[#This Row],[Tech Start Date]],19),IF(Main[[#This Row],[Class]]="B", WORKDAY(Main[[#This Row],[Tech Start Date]],12),IF(Main[[#This Row],[Class]]="A",WORKDAY(Main[[#This Row],[Tech Start Date]],4),""))))</f>
        <v/>
      </c>
      <c r="O863" s="104" t="str">
        <f>IF(Main[[#This Row],[Tech Start Date]]&lt;1/1/1990,"",IF(Main[[#This Row],[Class]]="C",WORKDAY(Main[[#This Row],[Tech Start Date]],23),IF(Main[[#This Row],[Class]]="B", WORKDAY(Main[[#This Row],[Tech Start Date]],15),IF(Main[[#This Row],[Class]]="A",WORKDAY(Main[[#This Row],[Tech Start Date]],5),""))))</f>
        <v/>
      </c>
      <c r="P863" s="104" t="str">
        <f>IF(Main[[#This Row],[Tech Start Date]]&lt;1/1/1990,"",IF(Main[[#This Row],[Class]]="C",WORKDAY(Main[[#This Row],[Tech Start Date]],28),IF(Main[[#This Row],[Class]]="B", WORKDAY(Main[[#This Row],[Tech Start Date]],19),IF(Main[[#This Row],[Class]]="A",WORKDAY(Main[[#This Row],[Tech Start Date]],9),""))))</f>
        <v/>
      </c>
      <c r="Q863" s="101">
        <v>40800</v>
      </c>
      <c r="R863" s="101"/>
      <c r="S863" s="99" t="s">
        <v>11</v>
      </c>
      <c r="T863" s="107" t="s">
        <v>4</v>
      </c>
      <c r="U863" s="99" t="s">
        <v>14</v>
      </c>
      <c r="V863" s="99" t="s">
        <v>1972</v>
      </c>
      <c r="W863" s="99" t="s">
        <v>1970</v>
      </c>
    </row>
    <row r="864" spans="1:23" ht="18.600000000000001" customHeight="1">
      <c r="A864" s="123" t="str">
        <f>IF(priority(Main[[#This Row],[Comments]])&lt;&gt;0, priority(Main[[#This Row],[Comments]]),"")</f>
        <v/>
      </c>
      <c r="B864" s="127" t="s">
        <v>1723</v>
      </c>
      <c r="C864" s="99" t="s">
        <v>4</v>
      </c>
      <c r="D864" s="100" t="s">
        <v>750</v>
      </c>
      <c r="E864" s="101">
        <v>40520.411597222221</v>
      </c>
      <c r="F864" s="101"/>
      <c r="G864" s="102" t="str">
        <f>IF(stdProdLT(Main[[#This Row],[Comments]])=0.1,"N/A",IF(stdProdLT(Main[[#This Row],[Comments]])=0,"",stdProdLT(Main[[#This Row],[Comments]])))</f>
        <v/>
      </c>
      <c r="H864" s="103" t="str">
        <f>IF(AND(Main[[#This Row],[In Stock Date]]&lt;&gt;"",Main[[#This Row],[Revised Due Date]]&lt;&gt;""),Main[[#This Row],[In Stock Date]]-Main[[#This Row],[Revised Due Date]],"")</f>
        <v/>
      </c>
      <c r="I864" s="99" t="s">
        <v>4</v>
      </c>
      <c r="J864" s="99" t="s">
        <v>28</v>
      </c>
      <c r="K864" s="99" t="s">
        <v>4</v>
      </c>
      <c r="L864" s="101"/>
      <c r="M864" s="104" t="str">
        <f>IF(Main[[#This Row],[Tech Start Date]]&lt;1/1/1990,"",IF(Main[[#This Row],[Class]]="C",WORKDAY(Main[[#This Row],[Tech Start Date]],9),IF(Main[[#This Row],[Class]]="B", WORKDAY(Main[[#This Row],[Tech Start Date]],6),IF(Main[[#This Row],[Class]]="A",WORKDAY(Main[[#This Row],[Tech Start Date]],2),""))))</f>
        <v/>
      </c>
      <c r="N864" s="104" t="str">
        <f>IF(Main[[#This Row],[Tech Start Date]]&lt;1/1/1990,"",IF(Main[[#This Row],[Class]]="C",WORKDAY(Main[[#This Row],[Tech Start Date]],19),IF(Main[[#This Row],[Class]]="B", WORKDAY(Main[[#This Row],[Tech Start Date]],12),IF(Main[[#This Row],[Class]]="A",WORKDAY(Main[[#This Row],[Tech Start Date]],4),""))))</f>
        <v/>
      </c>
      <c r="O864" s="104" t="str">
        <f>IF(Main[[#This Row],[Tech Start Date]]&lt;1/1/1990,"",IF(Main[[#This Row],[Class]]="C",WORKDAY(Main[[#This Row],[Tech Start Date]],23),IF(Main[[#This Row],[Class]]="B", WORKDAY(Main[[#This Row],[Tech Start Date]],15),IF(Main[[#This Row],[Class]]="A",WORKDAY(Main[[#This Row],[Tech Start Date]],5),""))))</f>
        <v/>
      </c>
      <c r="P864" s="104" t="str">
        <f>IF(Main[[#This Row],[Tech Start Date]]&lt;1/1/1990,"",IF(Main[[#This Row],[Class]]="C",WORKDAY(Main[[#This Row],[Tech Start Date]],28),IF(Main[[#This Row],[Class]]="B", WORKDAY(Main[[#This Row],[Tech Start Date]],19),IF(Main[[#This Row],[Class]]="A",WORKDAY(Main[[#This Row],[Tech Start Date]],9),""))))</f>
        <v/>
      </c>
      <c r="Q864" s="101">
        <v>40571</v>
      </c>
      <c r="R864" s="101"/>
      <c r="S864" s="99" t="s">
        <v>6</v>
      </c>
      <c r="T864" s="107" t="s">
        <v>4</v>
      </c>
      <c r="U864" s="99" t="s">
        <v>7</v>
      </c>
      <c r="V864" s="99" t="s">
        <v>1962</v>
      </c>
      <c r="W864" s="99" t="s">
        <v>1964</v>
      </c>
    </row>
    <row r="865" spans="1:23" ht="18.600000000000001" customHeight="1">
      <c r="A865" s="123" t="str">
        <f>IF(priority(Main[[#This Row],[Comments]])&lt;&gt;0, priority(Main[[#This Row],[Comments]]),"")</f>
        <v/>
      </c>
      <c r="B865" s="127" t="s">
        <v>1724</v>
      </c>
      <c r="C865" s="99" t="s">
        <v>4</v>
      </c>
      <c r="D865" s="100" t="s">
        <v>751</v>
      </c>
      <c r="E865" s="101"/>
      <c r="F865" s="101"/>
      <c r="G865" s="102" t="str">
        <f>IF(stdProdLT(Main[[#This Row],[Comments]])=0.1,"N/A",IF(stdProdLT(Main[[#This Row],[Comments]])=0,"",stdProdLT(Main[[#This Row],[Comments]])))</f>
        <v/>
      </c>
      <c r="H865" s="103" t="str">
        <f>IF(AND(Main[[#This Row],[In Stock Date]]&lt;&gt;"",Main[[#This Row],[Revised Due Date]]&lt;&gt;""),Main[[#This Row],[In Stock Date]]-Main[[#This Row],[Revised Due Date]],"")</f>
        <v/>
      </c>
      <c r="I865" s="99" t="s">
        <v>4</v>
      </c>
      <c r="J865" s="99" t="s">
        <v>28</v>
      </c>
      <c r="K865" s="99" t="s">
        <v>4</v>
      </c>
      <c r="L865" s="101"/>
      <c r="M865" s="104" t="str">
        <f>IF(Main[[#This Row],[Tech Start Date]]&lt;1/1/1990,"",IF(Main[[#This Row],[Class]]="C",WORKDAY(Main[[#This Row],[Tech Start Date]],9),IF(Main[[#This Row],[Class]]="B", WORKDAY(Main[[#This Row],[Tech Start Date]],6),IF(Main[[#This Row],[Class]]="A",WORKDAY(Main[[#This Row],[Tech Start Date]],2),""))))</f>
        <v/>
      </c>
      <c r="N865" s="104" t="str">
        <f>IF(Main[[#This Row],[Tech Start Date]]&lt;1/1/1990,"",IF(Main[[#This Row],[Class]]="C",WORKDAY(Main[[#This Row],[Tech Start Date]],19),IF(Main[[#This Row],[Class]]="B", WORKDAY(Main[[#This Row],[Tech Start Date]],12),IF(Main[[#This Row],[Class]]="A",WORKDAY(Main[[#This Row],[Tech Start Date]],4),""))))</f>
        <v/>
      </c>
      <c r="O865" s="104" t="str">
        <f>IF(Main[[#This Row],[Tech Start Date]]&lt;1/1/1990,"",IF(Main[[#This Row],[Class]]="C",WORKDAY(Main[[#This Row],[Tech Start Date]],23),IF(Main[[#This Row],[Class]]="B", WORKDAY(Main[[#This Row],[Tech Start Date]],15),IF(Main[[#This Row],[Class]]="A",WORKDAY(Main[[#This Row],[Tech Start Date]],5),""))))</f>
        <v/>
      </c>
      <c r="P865" s="104" t="str">
        <f>IF(Main[[#This Row],[Tech Start Date]]&lt;1/1/1990,"",IF(Main[[#This Row],[Class]]="C",WORKDAY(Main[[#This Row],[Tech Start Date]],28),IF(Main[[#This Row],[Class]]="B", WORKDAY(Main[[#This Row],[Tech Start Date]],19),IF(Main[[#This Row],[Class]]="A",WORKDAY(Main[[#This Row],[Tech Start Date]],9),""))))</f>
        <v/>
      </c>
      <c r="Q865" s="101"/>
      <c r="R865" s="101"/>
      <c r="S865" s="99" t="s">
        <v>17</v>
      </c>
      <c r="T865" s="107" t="s">
        <v>4</v>
      </c>
      <c r="U865" s="99" t="s">
        <v>14</v>
      </c>
      <c r="V865" s="99" t="s">
        <v>1962</v>
      </c>
      <c r="W865" s="99" t="s">
        <v>1970</v>
      </c>
    </row>
    <row r="866" spans="1:23" ht="18.600000000000001" customHeight="1">
      <c r="A866" s="123" t="str">
        <f>IF(priority(Main[[#This Row],[Comments]])&lt;&gt;0, priority(Main[[#This Row],[Comments]]),"")</f>
        <v/>
      </c>
      <c r="B866" s="127" t="s">
        <v>1727</v>
      </c>
      <c r="C866" s="99" t="s">
        <v>4</v>
      </c>
      <c r="D866" s="100" t="s">
        <v>755</v>
      </c>
      <c r="E866" s="101"/>
      <c r="F866" s="101"/>
      <c r="G866" s="102" t="str">
        <f>IF(stdProdLT(Main[[#This Row],[Comments]])=0.1,"N/A",IF(stdProdLT(Main[[#This Row],[Comments]])=0,"",stdProdLT(Main[[#This Row],[Comments]])))</f>
        <v/>
      </c>
      <c r="H866" s="103" t="str">
        <f>IF(AND(Main[[#This Row],[In Stock Date]]&lt;&gt;"",Main[[#This Row],[Revised Due Date]]&lt;&gt;""),Main[[#This Row],[In Stock Date]]-Main[[#This Row],[Revised Due Date]],"")</f>
        <v/>
      </c>
      <c r="I866" s="99" t="s">
        <v>4</v>
      </c>
      <c r="J866" s="99" t="s">
        <v>4</v>
      </c>
      <c r="K866" s="99" t="s">
        <v>4</v>
      </c>
      <c r="L866" s="101"/>
      <c r="M866" s="104" t="str">
        <f>IF(Main[[#This Row],[Tech Start Date]]&lt;1/1/1990,"",IF(Main[[#This Row],[Class]]="C",WORKDAY(Main[[#This Row],[Tech Start Date]],9),IF(Main[[#This Row],[Class]]="B", WORKDAY(Main[[#This Row],[Tech Start Date]],6),IF(Main[[#This Row],[Class]]="A",WORKDAY(Main[[#This Row],[Tech Start Date]],2),""))))</f>
        <v/>
      </c>
      <c r="N866" s="104" t="str">
        <f>IF(Main[[#This Row],[Tech Start Date]]&lt;1/1/1990,"",IF(Main[[#This Row],[Class]]="C",WORKDAY(Main[[#This Row],[Tech Start Date]],19),IF(Main[[#This Row],[Class]]="B", WORKDAY(Main[[#This Row],[Tech Start Date]],12),IF(Main[[#This Row],[Class]]="A",WORKDAY(Main[[#This Row],[Tech Start Date]],4),""))))</f>
        <v/>
      </c>
      <c r="O866" s="104" t="str">
        <f>IF(Main[[#This Row],[Tech Start Date]]&lt;1/1/1990,"",IF(Main[[#This Row],[Class]]="C",WORKDAY(Main[[#This Row],[Tech Start Date]],23),IF(Main[[#This Row],[Class]]="B", WORKDAY(Main[[#This Row],[Tech Start Date]],15),IF(Main[[#This Row],[Class]]="A",WORKDAY(Main[[#This Row],[Tech Start Date]],5),""))))</f>
        <v/>
      </c>
      <c r="P866" s="104" t="str">
        <f>IF(Main[[#This Row],[Tech Start Date]]&lt;1/1/1990,"",IF(Main[[#This Row],[Class]]="C",WORKDAY(Main[[#This Row],[Tech Start Date]],28),IF(Main[[#This Row],[Class]]="B", WORKDAY(Main[[#This Row],[Tech Start Date]],19),IF(Main[[#This Row],[Class]]="A",WORKDAY(Main[[#This Row],[Tech Start Date]],9),""))))</f>
        <v/>
      </c>
      <c r="Q866" s="101"/>
      <c r="R866" s="101"/>
      <c r="S866" s="99" t="s">
        <v>23</v>
      </c>
      <c r="T866" s="107" t="s">
        <v>4</v>
      </c>
      <c r="U866" s="99" t="s">
        <v>14</v>
      </c>
      <c r="V866" s="99" t="s">
        <v>1962</v>
      </c>
      <c r="W866" s="99" t="s">
        <v>1966</v>
      </c>
    </row>
    <row r="867" spans="1:23" ht="18.600000000000001" customHeight="1">
      <c r="A867" s="123" t="str">
        <f>IF(priority(Main[[#This Row],[Comments]])&lt;&gt;0, priority(Main[[#This Row],[Comments]]),"")</f>
        <v/>
      </c>
      <c r="B867" s="127" t="s">
        <v>1875</v>
      </c>
      <c r="C867" s="99" t="s">
        <v>4</v>
      </c>
      <c r="D867" s="100" t="s">
        <v>903</v>
      </c>
      <c r="E867" s="101">
        <v>40371.599317129629</v>
      </c>
      <c r="F867" s="101"/>
      <c r="G867" s="102" t="str">
        <f>IF(stdProdLT(Main[[#This Row],[Comments]])=0.1,"N/A",IF(stdProdLT(Main[[#This Row],[Comments]])=0,"",stdProdLT(Main[[#This Row],[Comments]])))</f>
        <v/>
      </c>
      <c r="H867" s="103" t="str">
        <f>IF(AND(Main[[#This Row],[In Stock Date]]&lt;&gt;"",Main[[#This Row],[Revised Due Date]]&lt;&gt;""),Main[[#This Row],[In Stock Date]]-Main[[#This Row],[Revised Due Date]],"")</f>
        <v/>
      </c>
      <c r="I867" s="99" t="s">
        <v>126</v>
      </c>
      <c r="J867" s="99" t="s">
        <v>28</v>
      </c>
      <c r="K867" s="99" t="s">
        <v>1974</v>
      </c>
      <c r="L867" s="101"/>
      <c r="M867" s="104" t="str">
        <f>IF(Main[[#This Row],[Tech Start Date]]&lt;1/1/1990,"",IF(Main[[#This Row],[Class]]="C",WORKDAY(Main[[#This Row],[Tech Start Date]],9),IF(Main[[#This Row],[Class]]="B", WORKDAY(Main[[#This Row],[Tech Start Date]],6),IF(Main[[#This Row],[Class]]="A",WORKDAY(Main[[#This Row],[Tech Start Date]],2),""))))</f>
        <v/>
      </c>
      <c r="N867" s="104" t="str">
        <f>IF(Main[[#This Row],[Tech Start Date]]&lt;1/1/1990,"",IF(Main[[#This Row],[Class]]="C",WORKDAY(Main[[#This Row],[Tech Start Date]],19),IF(Main[[#This Row],[Class]]="B", WORKDAY(Main[[#This Row],[Tech Start Date]],12),IF(Main[[#This Row],[Class]]="A",WORKDAY(Main[[#This Row],[Tech Start Date]],4),""))))</f>
        <v/>
      </c>
      <c r="O867" s="104" t="str">
        <f>IF(Main[[#This Row],[Tech Start Date]]&lt;1/1/1990,"",IF(Main[[#This Row],[Class]]="C",WORKDAY(Main[[#This Row],[Tech Start Date]],23),IF(Main[[#This Row],[Class]]="B", WORKDAY(Main[[#This Row],[Tech Start Date]],15),IF(Main[[#This Row],[Class]]="A",WORKDAY(Main[[#This Row],[Tech Start Date]],5),""))))</f>
        <v/>
      </c>
      <c r="P867" s="104" t="str">
        <f>IF(Main[[#This Row],[Tech Start Date]]&lt;1/1/1990,"",IF(Main[[#This Row],[Class]]="C",WORKDAY(Main[[#This Row],[Tech Start Date]],28),IF(Main[[#This Row],[Class]]="B", WORKDAY(Main[[#This Row],[Tech Start Date]],19),IF(Main[[#This Row],[Class]]="A",WORKDAY(Main[[#This Row],[Tech Start Date]],9),""))))</f>
        <v/>
      </c>
      <c r="Q867" s="101">
        <v>40420</v>
      </c>
      <c r="R867" s="101">
        <v>40420</v>
      </c>
      <c r="S867" s="99" t="s">
        <v>17</v>
      </c>
      <c r="T867" s="107" t="s">
        <v>4</v>
      </c>
      <c r="U867" s="99" t="s">
        <v>29</v>
      </c>
      <c r="V867" s="99" t="s">
        <v>1962</v>
      </c>
      <c r="W867" s="99" t="s">
        <v>1970</v>
      </c>
    </row>
    <row r="868" spans="1:23" ht="18.600000000000001" customHeight="1">
      <c r="A868" s="123" t="str">
        <f>IF(priority(Main[[#This Row],[Comments]])&lt;&gt;0, priority(Main[[#This Row],[Comments]]),"")</f>
        <v/>
      </c>
      <c r="B868" s="127" t="s">
        <v>1728</v>
      </c>
      <c r="C868" s="99" t="s">
        <v>4</v>
      </c>
      <c r="D868" s="100" t="s">
        <v>756</v>
      </c>
      <c r="E868" s="101"/>
      <c r="F868" s="101"/>
      <c r="G868" s="102" t="str">
        <f>IF(stdProdLT(Main[[#This Row],[Comments]])=0.1,"N/A",IF(stdProdLT(Main[[#This Row],[Comments]])=0,"",stdProdLT(Main[[#This Row],[Comments]])))</f>
        <v/>
      </c>
      <c r="H868" s="103" t="str">
        <f>IF(AND(Main[[#This Row],[In Stock Date]]&lt;&gt;"",Main[[#This Row],[Revised Due Date]]&lt;&gt;""),Main[[#This Row],[In Stock Date]]-Main[[#This Row],[Revised Due Date]],"")</f>
        <v/>
      </c>
      <c r="I868" s="99" t="s">
        <v>4</v>
      </c>
      <c r="J868" s="99" t="s">
        <v>28</v>
      </c>
      <c r="K868" s="99" t="s">
        <v>1969</v>
      </c>
      <c r="L868" s="101"/>
      <c r="M868" s="104" t="str">
        <f>IF(Main[[#This Row],[Tech Start Date]]&lt;1/1/1990,"",IF(Main[[#This Row],[Class]]="C",WORKDAY(Main[[#This Row],[Tech Start Date]],9),IF(Main[[#This Row],[Class]]="B", WORKDAY(Main[[#This Row],[Tech Start Date]],6),IF(Main[[#This Row],[Class]]="A",WORKDAY(Main[[#This Row],[Tech Start Date]],2),""))))</f>
        <v/>
      </c>
      <c r="N868" s="104" t="str">
        <f>IF(Main[[#This Row],[Tech Start Date]]&lt;1/1/1990,"",IF(Main[[#This Row],[Class]]="C",WORKDAY(Main[[#This Row],[Tech Start Date]],19),IF(Main[[#This Row],[Class]]="B", WORKDAY(Main[[#This Row],[Tech Start Date]],12),IF(Main[[#This Row],[Class]]="A",WORKDAY(Main[[#This Row],[Tech Start Date]],4),""))))</f>
        <v/>
      </c>
      <c r="O868" s="104" t="str">
        <f>IF(Main[[#This Row],[Tech Start Date]]&lt;1/1/1990,"",IF(Main[[#This Row],[Class]]="C",WORKDAY(Main[[#This Row],[Tech Start Date]],23),IF(Main[[#This Row],[Class]]="B", WORKDAY(Main[[#This Row],[Tech Start Date]],15),IF(Main[[#This Row],[Class]]="A",WORKDAY(Main[[#This Row],[Tech Start Date]],5),""))))</f>
        <v/>
      </c>
      <c r="P868" s="104" t="str">
        <f>IF(Main[[#This Row],[Tech Start Date]]&lt;1/1/1990,"",IF(Main[[#This Row],[Class]]="C",WORKDAY(Main[[#This Row],[Tech Start Date]],28),IF(Main[[#This Row],[Class]]="B", WORKDAY(Main[[#This Row],[Tech Start Date]],19),IF(Main[[#This Row],[Class]]="A",WORKDAY(Main[[#This Row],[Tech Start Date]],9),""))))</f>
        <v/>
      </c>
      <c r="Q868" s="101"/>
      <c r="R868" s="101"/>
      <c r="S868" s="99" t="s">
        <v>6</v>
      </c>
      <c r="T868" s="107" t="s">
        <v>4</v>
      </c>
      <c r="U868" s="99" t="s">
        <v>14</v>
      </c>
      <c r="V868" s="99" t="s">
        <v>1962</v>
      </c>
      <c r="W868" s="99" t="s">
        <v>1966</v>
      </c>
    </row>
    <row r="869" spans="1:23" ht="18.600000000000001" customHeight="1">
      <c r="A869" s="123" t="str">
        <f>IF(priority(Main[[#This Row],[Comments]])&lt;&gt;0, priority(Main[[#This Row],[Comments]]),"")</f>
        <v/>
      </c>
      <c r="B869" s="127" t="s">
        <v>1730</v>
      </c>
      <c r="C869" s="99" t="s">
        <v>4</v>
      </c>
      <c r="D869" s="100" t="s">
        <v>759</v>
      </c>
      <c r="E869" s="101"/>
      <c r="F869" s="101"/>
      <c r="G869" s="102" t="str">
        <f>IF(stdProdLT(Main[[#This Row],[Comments]])=0.1,"N/A",IF(stdProdLT(Main[[#This Row],[Comments]])=0,"",stdProdLT(Main[[#This Row],[Comments]])))</f>
        <v/>
      </c>
      <c r="H869" s="103" t="str">
        <f>IF(AND(Main[[#This Row],[In Stock Date]]&lt;&gt;"",Main[[#This Row],[Revised Due Date]]&lt;&gt;""),Main[[#This Row],[In Stock Date]]-Main[[#This Row],[Revised Due Date]],"")</f>
        <v/>
      </c>
      <c r="I869" s="99" t="s">
        <v>4</v>
      </c>
      <c r="J869" s="99" t="s">
        <v>4</v>
      </c>
      <c r="K869" s="99" t="s">
        <v>4</v>
      </c>
      <c r="L869" s="101"/>
      <c r="M869" s="104" t="str">
        <f>IF(Main[[#This Row],[Tech Start Date]]&lt;1/1/1990,"",IF(Main[[#This Row],[Class]]="C",WORKDAY(Main[[#This Row],[Tech Start Date]],9),IF(Main[[#This Row],[Class]]="B", WORKDAY(Main[[#This Row],[Tech Start Date]],6),IF(Main[[#This Row],[Class]]="A",WORKDAY(Main[[#This Row],[Tech Start Date]],2),""))))</f>
        <v/>
      </c>
      <c r="N869" s="104" t="str">
        <f>IF(Main[[#This Row],[Tech Start Date]]&lt;1/1/1990,"",IF(Main[[#This Row],[Class]]="C",WORKDAY(Main[[#This Row],[Tech Start Date]],19),IF(Main[[#This Row],[Class]]="B", WORKDAY(Main[[#This Row],[Tech Start Date]],12),IF(Main[[#This Row],[Class]]="A",WORKDAY(Main[[#This Row],[Tech Start Date]],4),""))))</f>
        <v/>
      </c>
      <c r="O869" s="104" t="str">
        <f>IF(Main[[#This Row],[Tech Start Date]]&lt;1/1/1990,"",IF(Main[[#This Row],[Class]]="C",WORKDAY(Main[[#This Row],[Tech Start Date]],23),IF(Main[[#This Row],[Class]]="B", WORKDAY(Main[[#This Row],[Tech Start Date]],15),IF(Main[[#This Row],[Class]]="A",WORKDAY(Main[[#This Row],[Tech Start Date]],5),""))))</f>
        <v/>
      </c>
      <c r="P869" s="104" t="str">
        <f>IF(Main[[#This Row],[Tech Start Date]]&lt;1/1/1990,"",IF(Main[[#This Row],[Class]]="C",WORKDAY(Main[[#This Row],[Tech Start Date]],28),IF(Main[[#This Row],[Class]]="B", WORKDAY(Main[[#This Row],[Tech Start Date]],19),IF(Main[[#This Row],[Class]]="A",WORKDAY(Main[[#This Row],[Tech Start Date]],9),""))))</f>
        <v/>
      </c>
      <c r="Q869" s="101"/>
      <c r="R869" s="101"/>
      <c r="S869" s="99" t="s">
        <v>11</v>
      </c>
      <c r="T869" s="107" t="s">
        <v>4</v>
      </c>
      <c r="U869" s="99" t="s">
        <v>14</v>
      </c>
      <c r="V869" s="99" t="s">
        <v>1962</v>
      </c>
      <c r="W869" s="99" t="s">
        <v>1966</v>
      </c>
    </row>
    <row r="870" spans="1:23" ht="18.600000000000001" customHeight="1">
      <c r="A870" s="123" t="str">
        <f>IF(priority(Main[[#This Row],[Comments]])&lt;&gt;0, priority(Main[[#This Row],[Comments]]),"")</f>
        <v/>
      </c>
      <c r="B870" s="127" t="s">
        <v>1731</v>
      </c>
      <c r="C870" s="99" t="s">
        <v>4</v>
      </c>
      <c r="D870" s="100" t="s">
        <v>760</v>
      </c>
      <c r="E870" s="101"/>
      <c r="F870" s="101"/>
      <c r="G870" s="102" t="str">
        <f>IF(stdProdLT(Main[[#This Row],[Comments]])=0.1,"N/A",IF(stdProdLT(Main[[#This Row],[Comments]])=0,"",stdProdLT(Main[[#This Row],[Comments]])))</f>
        <v/>
      </c>
      <c r="H870" s="103" t="str">
        <f>IF(AND(Main[[#This Row],[In Stock Date]]&lt;&gt;"",Main[[#This Row],[Revised Due Date]]&lt;&gt;""),Main[[#This Row],[In Stock Date]]-Main[[#This Row],[Revised Due Date]],"")</f>
        <v/>
      </c>
      <c r="I870" s="99" t="s">
        <v>435</v>
      </c>
      <c r="J870" s="99" t="s">
        <v>70</v>
      </c>
      <c r="K870" s="99" t="s">
        <v>4</v>
      </c>
      <c r="L870" s="101"/>
      <c r="M870" s="104" t="str">
        <f>IF(Main[[#This Row],[Tech Start Date]]&lt;1/1/1990,"",IF(Main[[#This Row],[Class]]="C",WORKDAY(Main[[#This Row],[Tech Start Date]],9),IF(Main[[#This Row],[Class]]="B", WORKDAY(Main[[#This Row],[Tech Start Date]],6),IF(Main[[#This Row],[Class]]="A",WORKDAY(Main[[#This Row],[Tech Start Date]],2),""))))</f>
        <v/>
      </c>
      <c r="N870" s="104" t="str">
        <f>IF(Main[[#This Row],[Tech Start Date]]&lt;1/1/1990,"",IF(Main[[#This Row],[Class]]="C",WORKDAY(Main[[#This Row],[Tech Start Date]],19),IF(Main[[#This Row],[Class]]="B", WORKDAY(Main[[#This Row],[Tech Start Date]],12),IF(Main[[#This Row],[Class]]="A",WORKDAY(Main[[#This Row],[Tech Start Date]],4),""))))</f>
        <v/>
      </c>
      <c r="O870" s="104" t="str">
        <f>IF(Main[[#This Row],[Tech Start Date]]&lt;1/1/1990,"",IF(Main[[#This Row],[Class]]="C",WORKDAY(Main[[#This Row],[Tech Start Date]],23),IF(Main[[#This Row],[Class]]="B", WORKDAY(Main[[#This Row],[Tech Start Date]],15),IF(Main[[#This Row],[Class]]="A",WORKDAY(Main[[#This Row],[Tech Start Date]],5),""))))</f>
        <v/>
      </c>
      <c r="P870" s="104" t="str">
        <f>IF(Main[[#This Row],[Tech Start Date]]&lt;1/1/1990,"",IF(Main[[#This Row],[Class]]="C",WORKDAY(Main[[#This Row],[Tech Start Date]],28),IF(Main[[#This Row],[Class]]="B", WORKDAY(Main[[#This Row],[Tech Start Date]],19),IF(Main[[#This Row],[Class]]="A",WORKDAY(Main[[#This Row],[Tech Start Date]],9),""))))</f>
        <v/>
      </c>
      <c r="Q870" s="101">
        <v>40437</v>
      </c>
      <c r="R870" s="101"/>
      <c r="S870" s="99" t="s">
        <v>6</v>
      </c>
      <c r="T870" s="107" t="s">
        <v>4</v>
      </c>
      <c r="U870" s="99" t="s">
        <v>14</v>
      </c>
      <c r="V870" s="99" t="s">
        <v>1965</v>
      </c>
      <c r="W870" s="99" t="s">
        <v>1964</v>
      </c>
    </row>
    <row r="871" spans="1:23" ht="18.600000000000001" customHeight="1">
      <c r="A871" s="123" t="str">
        <f>IF(priority(Main[[#This Row],[Comments]])&lt;&gt;0, priority(Main[[#This Row],[Comments]]),"")</f>
        <v/>
      </c>
      <c r="B871" s="127" t="s">
        <v>1735</v>
      </c>
      <c r="C871" s="99" t="s">
        <v>47</v>
      </c>
      <c r="D871" s="100" t="s">
        <v>764</v>
      </c>
      <c r="E871" s="101"/>
      <c r="F871" s="101"/>
      <c r="G871" s="102" t="str">
        <f>IF(stdProdLT(Main[[#This Row],[Comments]])=0.1,"N/A",IF(stdProdLT(Main[[#This Row],[Comments]])=0,"",stdProdLT(Main[[#This Row],[Comments]])))</f>
        <v/>
      </c>
      <c r="H871" s="103" t="str">
        <f>IF(AND(Main[[#This Row],[In Stock Date]]&lt;&gt;"",Main[[#This Row],[Revised Due Date]]&lt;&gt;""),Main[[#This Row],[In Stock Date]]-Main[[#This Row],[Revised Due Date]],"")</f>
        <v/>
      </c>
      <c r="I871" s="99" t="s">
        <v>4</v>
      </c>
      <c r="J871" s="99" t="s">
        <v>4</v>
      </c>
      <c r="K871" s="99" t="s">
        <v>4</v>
      </c>
      <c r="L871" s="101"/>
      <c r="M871" s="104" t="str">
        <f>IF(Main[[#This Row],[Tech Start Date]]&lt;1/1/1990,"",IF(Main[[#This Row],[Class]]="C",WORKDAY(Main[[#This Row],[Tech Start Date]],9),IF(Main[[#This Row],[Class]]="B", WORKDAY(Main[[#This Row],[Tech Start Date]],6),IF(Main[[#This Row],[Class]]="A",WORKDAY(Main[[#This Row],[Tech Start Date]],2),""))))</f>
        <v/>
      </c>
      <c r="N871" s="104" t="str">
        <f>IF(Main[[#This Row],[Tech Start Date]]&lt;1/1/1990,"",IF(Main[[#This Row],[Class]]="C",WORKDAY(Main[[#This Row],[Tech Start Date]],19),IF(Main[[#This Row],[Class]]="B", WORKDAY(Main[[#This Row],[Tech Start Date]],12),IF(Main[[#This Row],[Class]]="A",WORKDAY(Main[[#This Row],[Tech Start Date]],4),""))))</f>
        <v/>
      </c>
      <c r="O871" s="104" t="str">
        <f>IF(Main[[#This Row],[Tech Start Date]]&lt;1/1/1990,"",IF(Main[[#This Row],[Class]]="C",WORKDAY(Main[[#This Row],[Tech Start Date]],23),IF(Main[[#This Row],[Class]]="B", WORKDAY(Main[[#This Row],[Tech Start Date]],15),IF(Main[[#This Row],[Class]]="A",WORKDAY(Main[[#This Row],[Tech Start Date]],5),""))))</f>
        <v/>
      </c>
      <c r="P871" s="104" t="str">
        <f>IF(Main[[#This Row],[Tech Start Date]]&lt;1/1/1990,"",IF(Main[[#This Row],[Class]]="C",WORKDAY(Main[[#This Row],[Tech Start Date]],28),IF(Main[[#This Row],[Class]]="B", WORKDAY(Main[[#This Row],[Tech Start Date]],19),IF(Main[[#This Row],[Class]]="A",WORKDAY(Main[[#This Row],[Tech Start Date]],9),""))))</f>
        <v/>
      </c>
      <c r="Q871" s="101"/>
      <c r="R871" s="101"/>
      <c r="S871" s="99" t="s">
        <v>49</v>
      </c>
      <c r="T871" s="107" t="s">
        <v>4</v>
      </c>
      <c r="U871" s="99" t="s">
        <v>14</v>
      </c>
      <c r="V871" s="99" t="s">
        <v>1965</v>
      </c>
      <c r="W871" s="99" t="s">
        <v>1966</v>
      </c>
    </row>
    <row r="872" spans="1:23" ht="18.600000000000001" customHeight="1">
      <c r="A872" s="123" t="str">
        <f>IF(priority(Main[[#This Row],[Comments]])&lt;&gt;0, priority(Main[[#This Row],[Comments]]),"")</f>
        <v/>
      </c>
      <c r="B872" s="127" t="s">
        <v>2158</v>
      </c>
      <c r="C872" s="99" t="s">
        <v>974</v>
      </c>
      <c r="D872" s="100" t="s">
        <v>2159</v>
      </c>
      <c r="E872" s="101"/>
      <c r="F872" s="101">
        <v>40871</v>
      </c>
      <c r="G872" s="102" t="str">
        <f>IF(stdProdLT(Main[[#This Row],[Comments]])=0.1,"N/A",IF(stdProdLT(Main[[#This Row],[Comments]])=0,"",stdProdLT(Main[[#This Row],[Comments]])))</f>
        <v/>
      </c>
      <c r="H872" s="103" t="str">
        <f>IF(AND(Main[[#This Row],[In Stock Date]]&lt;&gt;"",Main[[#This Row],[Revised Due Date]]&lt;&gt;""),Main[[#This Row],[In Stock Date]]-Main[[#This Row],[Revised Due Date]],"")</f>
        <v/>
      </c>
      <c r="I872" s="99" t="s">
        <v>4</v>
      </c>
      <c r="J872" s="99" t="s">
        <v>4</v>
      </c>
      <c r="K872" s="108" t="s">
        <v>4</v>
      </c>
      <c r="L872" s="101"/>
      <c r="M872" s="104" t="str">
        <f>IF(Main[[#This Row],[Tech Start Date]]&lt;1/1/1990,"",IF(Main[[#This Row],[Class]]="C",WORKDAY(Main[[#This Row],[Tech Start Date]],9),IF(Main[[#This Row],[Class]]="B", WORKDAY(Main[[#This Row],[Tech Start Date]],6),IF(Main[[#This Row],[Class]]="A",WORKDAY(Main[[#This Row],[Tech Start Date]],2),""))))</f>
        <v/>
      </c>
      <c r="N872" s="104" t="str">
        <f>IF(Main[[#This Row],[Tech Start Date]]&lt;1/1/1990,"",IF(Main[[#This Row],[Class]]="C",WORKDAY(Main[[#This Row],[Tech Start Date]],19),IF(Main[[#This Row],[Class]]="B", WORKDAY(Main[[#This Row],[Tech Start Date]],12),IF(Main[[#This Row],[Class]]="A",WORKDAY(Main[[#This Row],[Tech Start Date]],4),""))))</f>
        <v/>
      </c>
      <c r="O872" s="104" t="str">
        <f>IF(Main[[#This Row],[Tech Start Date]]&lt;1/1/1990,"",IF(Main[[#This Row],[Class]]="C",WORKDAY(Main[[#This Row],[Tech Start Date]],23),IF(Main[[#This Row],[Class]]="B", WORKDAY(Main[[#This Row],[Tech Start Date]],15),IF(Main[[#This Row],[Class]]="A",WORKDAY(Main[[#This Row],[Tech Start Date]],5),""))))</f>
        <v/>
      </c>
      <c r="P872" s="104" t="str">
        <f>IF(Main[[#This Row],[Tech Start Date]]&lt;1/1/1990,"",IF(Main[[#This Row],[Class]]="C",WORKDAY(Main[[#This Row],[Tech Start Date]],28),IF(Main[[#This Row],[Class]]="B", WORKDAY(Main[[#This Row],[Tech Start Date]],19),IF(Main[[#This Row],[Class]]="A",WORKDAY(Main[[#This Row],[Tech Start Date]],9),""))))</f>
        <v/>
      </c>
      <c r="Q872" s="101"/>
      <c r="R872" s="101"/>
      <c r="S872" s="99" t="s">
        <v>11</v>
      </c>
      <c r="T872" s="107" t="s">
        <v>4</v>
      </c>
      <c r="U872" s="99" t="s">
        <v>14</v>
      </c>
      <c r="V872" s="99" t="s">
        <v>1965</v>
      </c>
      <c r="W872" s="99" t="s">
        <v>1970</v>
      </c>
    </row>
    <row r="873" spans="1:23" ht="18.600000000000001" customHeight="1">
      <c r="A873" s="123" t="str">
        <f>IF(priority(Main[[#This Row],[Comments]])&lt;&gt;0, priority(Main[[#This Row],[Comments]]),"")</f>
        <v/>
      </c>
      <c r="B873" s="127" t="s">
        <v>1946</v>
      </c>
      <c r="C873" s="99" t="s">
        <v>72</v>
      </c>
      <c r="D873" s="100" t="s">
        <v>2174</v>
      </c>
      <c r="E873" s="101">
        <v>40469.926608796297</v>
      </c>
      <c r="F873" s="101">
        <v>40487</v>
      </c>
      <c r="G873" s="102">
        <f>IF(stdProdLT(Main[[#This Row],[Comments]])=0.1,"N/A",IF(stdProdLT(Main[[#This Row],[Comments]])=0,"",stdProdLT(Main[[#This Row],[Comments]])))</f>
        <v>42</v>
      </c>
      <c r="H873" s="103">
        <f>IF(AND(Main[[#This Row],[In Stock Date]]&lt;&gt;"",Main[[#This Row],[Revised Due Date]]&lt;&gt;""),Main[[#This Row],[In Stock Date]]-Main[[#This Row],[Revised Due Date]],"")</f>
        <v>-294</v>
      </c>
      <c r="I873" s="99" t="s">
        <v>2112</v>
      </c>
      <c r="J873" s="99" t="s">
        <v>52</v>
      </c>
      <c r="K873" s="99" t="s">
        <v>1975</v>
      </c>
      <c r="L873" s="101"/>
      <c r="M873" s="104" t="str">
        <f>IF(Main[[#This Row],[Tech Start Date]]&lt;1/1/1990,"",IF(Main[[#This Row],[Class]]="C",WORKDAY(Main[[#This Row],[Tech Start Date]],9),IF(Main[[#This Row],[Class]]="B", WORKDAY(Main[[#This Row],[Tech Start Date]],6),IF(Main[[#This Row],[Class]]="A",WORKDAY(Main[[#This Row],[Tech Start Date]],2),""))))</f>
        <v/>
      </c>
      <c r="N873" s="104" t="str">
        <f>IF(Main[[#This Row],[Tech Start Date]]&lt;1/1/1990,"",IF(Main[[#This Row],[Class]]="C",WORKDAY(Main[[#This Row],[Tech Start Date]],19),IF(Main[[#This Row],[Class]]="B", WORKDAY(Main[[#This Row],[Tech Start Date]],12),IF(Main[[#This Row],[Class]]="A",WORKDAY(Main[[#This Row],[Tech Start Date]],4),""))))</f>
        <v/>
      </c>
      <c r="O873" s="104" t="str">
        <f>IF(Main[[#This Row],[Tech Start Date]]&lt;1/1/1990,"",IF(Main[[#This Row],[Class]]="C",WORKDAY(Main[[#This Row],[Tech Start Date]],23),IF(Main[[#This Row],[Class]]="B", WORKDAY(Main[[#This Row],[Tech Start Date]],15),IF(Main[[#This Row],[Class]]="A",WORKDAY(Main[[#This Row],[Tech Start Date]],5),""))))</f>
        <v/>
      </c>
      <c r="P873" s="104" t="str">
        <f>IF(Main[[#This Row],[Tech Start Date]]&lt;1/1/1990,"",IF(Main[[#This Row],[Class]]="C",WORKDAY(Main[[#This Row],[Tech Start Date]],28),IF(Main[[#This Row],[Class]]="B", WORKDAY(Main[[#This Row],[Tech Start Date]],19),IF(Main[[#This Row],[Class]]="A",WORKDAY(Main[[#This Row],[Tech Start Date]],9),""))))</f>
        <v/>
      </c>
      <c r="Q873" s="101"/>
      <c r="R873" s="101">
        <v>40781</v>
      </c>
      <c r="S873" s="99" t="s">
        <v>6</v>
      </c>
      <c r="T873" s="107" t="s">
        <v>2175</v>
      </c>
      <c r="U873" s="99" t="s">
        <v>29</v>
      </c>
      <c r="V873" s="99" t="s">
        <v>1963</v>
      </c>
      <c r="W873" s="99" t="s">
        <v>1964</v>
      </c>
    </row>
    <row r="874" spans="1:23" ht="18.600000000000001" customHeight="1">
      <c r="A874" s="123" t="str">
        <f>IF(priority(Main[[#This Row],[Comments]])&lt;&gt;0, priority(Main[[#This Row],[Comments]]),"")</f>
        <v/>
      </c>
      <c r="B874" s="127" t="s">
        <v>1905</v>
      </c>
      <c r="C874" s="99" t="s">
        <v>31</v>
      </c>
      <c r="D874" s="100" t="s">
        <v>935</v>
      </c>
      <c r="E874" s="101"/>
      <c r="F874" s="101">
        <v>40664</v>
      </c>
      <c r="G874" s="102" t="str">
        <f>IF(stdProdLT(Main[[#This Row],[Comments]])=0.1,"N/A",IF(stdProdLT(Main[[#This Row],[Comments]])=0,"",stdProdLT(Main[[#This Row],[Comments]])))</f>
        <v/>
      </c>
      <c r="H874" s="103">
        <f>IF(AND(Main[[#This Row],[In Stock Date]]&lt;&gt;"",Main[[#This Row],[Revised Due Date]]&lt;&gt;""),Main[[#This Row],[In Stock Date]]-Main[[#This Row],[Revised Due Date]],"")</f>
        <v>87</v>
      </c>
      <c r="I874" s="99" t="s">
        <v>423</v>
      </c>
      <c r="J874" s="99" t="s">
        <v>75</v>
      </c>
      <c r="K874" s="99" t="s">
        <v>1971</v>
      </c>
      <c r="L874" s="101"/>
      <c r="M874" s="104" t="str">
        <f>IF(Main[[#This Row],[Tech Start Date]]&lt;1/1/1990,"",IF(Main[[#This Row],[Class]]="C",WORKDAY(Main[[#This Row],[Tech Start Date]],9),IF(Main[[#This Row],[Class]]="B", WORKDAY(Main[[#This Row],[Tech Start Date]],6),IF(Main[[#This Row],[Class]]="A",WORKDAY(Main[[#This Row],[Tech Start Date]],2),""))))</f>
        <v/>
      </c>
      <c r="N874" s="104" t="str">
        <f>IF(Main[[#This Row],[Tech Start Date]]&lt;1/1/1990,"",IF(Main[[#This Row],[Class]]="C",WORKDAY(Main[[#This Row],[Tech Start Date]],19),IF(Main[[#This Row],[Class]]="B", WORKDAY(Main[[#This Row],[Tech Start Date]],12),IF(Main[[#This Row],[Class]]="A",WORKDAY(Main[[#This Row],[Tech Start Date]],4),""))))</f>
        <v/>
      </c>
      <c r="O874" s="104" t="str">
        <f>IF(Main[[#This Row],[Tech Start Date]]&lt;1/1/1990,"",IF(Main[[#This Row],[Class]]="C",WORKDAY(Main[[#This Row],[Tech Start Date]],23),IF(Main[[#This Row],[Class]]="B", WORKDAY(Main[[#This Row],[Tech Start Date]],15),IF(Main[[#This Row],[Class]]="A",WORKDAY(Main[[#This Row],[Tech Start Date]],5),""))))</f>
        <v/>
      </c>
      <c r="P874" s="104" t="str">
        <f>IF(Main[[#This Row],[Tech Start Date]]&lt;1/1/1990,"",IF(Main[[#This Row],[Class]]="C",WORKDAY(Main[[#This Row],[Tech Start Date]],28),IF(Main[[#This Row],[Class]]="B", WORKDAY(Main[[#This Row],[Tech Start Date]],19),IF(Main[[#This Row],[Class]]="A",WORKDAY(Main[[#This Row],[Tech Start Date]],9),""))))</f>
        <v/>
      </c>
      <c r="Q874" s="101">
        <v>40589</v>
      </c>
      <c r="R874" s="101">
        <v>40577</v>
      </c>
      <c r="S874" s="99" t="s">
        <v>11</v>
      </c>
      <c r="T874" s="107" t="s">
        <v>4</v>
      </c>
      <c r="U874" s="99" t="s">
        <v>14</v>
      </c>
      <c r="V874" s="99" t="s">
        <v>1965</v>
      </c>
      <c r="W874" s="99" t="s">
        <v>1968</v>
      </c>
    </row>
    <row r="875" spans="1:23" ht="18.600000000000001" customHeight="1">
      <c r="A875" s="123" t="str">
        <f>IF(priority(Main[[#This Row],[Comments]])&lt;&gt;0, priority(Main[[#This Row],[Comments]]),"")</f>
        <v/>
      </c>
      <c r="B875" s="127" t="s">
        <v>1732</v>
      </c>
      <c r="C875" s="99" t="s">
        <v>4</v>
      </c>
      <c r="D875" s="100" t="s">
        <v>761</v>
      </c>
      <c r="E875" s="101"/>
      <c r="F875" s="101"/>
      <c r="G875" s="102" t="str">
        <f>IF(stdProdLT(Main[[#This Row],[Comments]])=0.1,"N/A",IF(stdProdLT(Main[[#This Row],[Comments]])=0,"",stdProdLT(Main[[#This Row],[Comments]])))</f>
        <v/>
      </c>
      <c r="H875" s="103" t="str">
        <f>IF(AND(Main[[#This Row],[In Stock Date]]&lt;&gt;"",Main[[#This Row],[Revised Due Date]]&lt;&gt;""),Main[[#This Row],[In Stock Date]]-Main[[#This Row],[Revised Due Date]],"")</f>
        <v/>
      </c>
      <c r="I875" s="99" t="s">
        <v>4</v>
      </c>
      <c r="J875" s="99" t="s">
        <v>28</v>
      </c>
      <c r="K875" s="99" t="s">
        <v>1974</v>
      </c>
      <c r="L875" s="101"/>
      <c r="M875" s="104" t="str">
        <f>IF(Main[[#This Row],[Tech Start Date]]&lt;1/1/1990,"",IF(Main[[#This Row],[Class]]="C",WORKDAY(Main[[#This Row],[Tech Start Date]],9),IF(Main[[#This Row],[Class]]="B", WORKDAY(Main[[#This Row],[Tech Start Date]],6),IF(Main[[#This Row],[Class]]="A",WORKDAY(Main[[#This Row],[Tech Start Date]],2),""))))</f>
        <v/>
      </c>
      <c r="N875" s="104" t="str">
        <f>IF(Main[[#This Row],[Tech Start Date]]&lt;1/1/1990,"",IF(Main[[#This Row],[Class]]="C",WORKDAY(Main[[#This Row],[Tech Start Date]],19),IF(Main[[#This Row],[Class]]="B", WORKDAY(Main[[#This Row],[Tech Start Date]],12),IF(Main[[#This Row],[Class]]="A",WORKDAY(Main[[#This Row],[Tech Start Date]],4),""))))</f>
        <v/>
      </c>
      <c r="O875" s="104" t="str">
        <f>IF(Main[[#This Row],[Tech Start Date]]&lt;1/1/1990,"",IF(Main[[#This Row],[Class]]="C",WORKDAY(Main[[#This Row],[Tech Start Date]],23),IF(Main[[#This Row],[Class]]="B", WORKDAY(Main[[#This Row],[Tech Start Date]],15),IF(Main[[#This Row],[Class]]="A",WORKDAY(Main[[#This Row],[Tech Start Date]],5),""))))</f>
        <v/>
      </c>
      <c r="P875" s="104" t="str">
        <f>IF(Main[[#This Row],[Tech Start Date]]&lt;1/1/1990,"",IF(Main[[#This Row],[Class]]="C",WORKDAY(Main[[#This Row],[Tech Start Date]],28),IF(Main[[#This Row],[Class]]="B", WORKDAY(Main[[#This Row],[Tech Start Date]],19),IF(Main[[#This Row],[Class]]="A",WORKDAY(Main[[#This Row],[Tech Start Date]],9),""))))</f>
        <v/>
      </c>
      <c r="Q875" s="101">
        <v>40522</v>
      </c>
      <c r="R875" s="101"/>
      <c r="S875" s="99" t="s">
        <v>17</v>
      </c>
      <c r="T875" s="107" t="s">
        <v>4</v>
      </c>
      <c r="U875" s="99" t="s">
        <v>14</v>
      </c>
      <c r="V875" s="99" t="s">
        <v>1962</v>
      </c>
      <c r="W875" s="99" t="s">
        <v>1967</v>
      </c>
    </row>
    <row r="876" spans="1:23" ht="18.600000000000001" customHeight="1">
      <c r="A876" s="123" t="str">
        <f>IF(priority(Main[[#This Row],[Comments]])&lt;&gt;0, priority(Main[[#This Row],[Comments]]),"")</f>
        <v/>
      </c>
      <c r="B876" s="127" t="s">
        <v>1733</v>
      </c>
      <c r="C876" s="99" t="s">
        <v>67</v>
      </c>
      <c r="D876" s="100" t="s">
        <v>762</v>
      </c>
      <c r="E876" s="101"/>
      <c r="F876" s="101"/>
      <c r="G876" s="102" t="str">
        <f>IF(stdProdLT(Main[[#This Row],[Comments]])=0.1,"N/A",IF(stdProdLT(Main[[#This Row],[Comments]])=0,"",stdProdLT(Main[[#This Row],[Comments]])))</f>
        <v/>
      </c>
      <c r="H876" s="103" t="str">
        <f>IF(AND(Main[[#This Row],[In Stock Date]]&lt;&gt;"",Main[[#This Row],[Revised Due Date]]&lt;&gt;""),Main[[#This Row],[In Stock Date]]-Main[[#This Row],[Revised Due Date]],"")</f>
        <v/>
      </c>
      <c r="I876" s="99" t="s">
        <v>4</v>
      </c>
      <c r="J876" s="99" t="s">
        <v>4</v>
      </c>
      <c r="K876" s="99" t="s">
        <v>4</v>
      </c>
      <c r="L876" s="101"/>
      <c r="M876" s="104" t="str">
        <f>IF(Main[[#This Row],[Tech Start Date]]&lt;1/1/1990,"",IF(Main[[#This Row],[Class]]="C",WORKDAY(Main[[#This Row],[Tech Start Date]],9),IF(Main[[#This Row],[Class]]="B", WORKDAY(Main[[#This Row],[Tech Start Date]],6),IF(Main[[#This Row],[Class]]="A",WORKDAY(Main[[#This Row],[Tech Start Date]],2),""))))</f>
        <v/>
      </c>
      <c r="N876" s="104" t="str">
        <f>IF(Main[[#This Row],[Tech Start Date]]&lt;1/1/1990,"",IF(Main[[#This Row],[Class]]="C",WORKDAY(Main[[#This Row],[Tech Start Date]],19),IF(Main[[#This Row],[Class]]="B", WORKDAY(Main[[#This Row],[Tech Start Date]],12),IF(Main[[#This Row],[Class]]="A",WORKDAY(Main[[#This Row],[Tech Start Date]],4),""))))</f>
        <v/>
      </c>
      <c r="O876" s="104" t="str">
        <f>IF(Main[[#This Row],[Tech Start Date]]&lt;1/1/1990,"",IF(Main[[#This Row],[Class]]="C",WORKDAY(Main[[#This Row],[Tech Start Date]],23),IF(Main[[#This Row],[Class]]="B", WORKDAY(Main[[#This Row],[Tech Start Date]],15),IF(Main[[#This Row],[Class]]="A",WORKDAY(Main[[#This Row],[Tech Start Date]],5),""))))</f>
        <v/>
      </c>
      <c r="P876" s="104" t="str">
        <f>IF(Main[[#This Row],[Tech Start Date]]&lt;1/1/1990,"",IF(Main[[#This Row],[Class]]="C",WORKDAY(Main[[#This Row],[Tech Start Date]],28),IF(Main[[#This Row],[Class]]="B", WORKDAY(Main[[#This Row],[Tech Start Date]],19),IF(Main[[#This Row],[Class]]="A",WORKDAY(Main[[#This Row],[Tech Start Date]],9),""))))</f>
        <v/>
      </c>
      <c r="Q876" s="101">
        <v>40241</v>
      </c>
      <c r="R876" s="101"/>
      <c r="S876" s="99" t="s">
        <v>11</v>
      </c>
      <c r="T876" s="107" t="s">
        <v>4</v>
      </c>
      <c r="U876" s="99" t="s">
        <v>14</v>
      </c>
      <c r="V876" s="99" t="s">
        <v>1972</v>
      </c>
      <c r="W876" s="99" t="s">
        <v>1964</v>
      </c>
    </row>
    <row r="877" spans="1:23" ht="18.600000000000001" customHeight="1">
      <c r="A877" s="123" t="str">
        <f>IF(priority(Main[[#This Row],[Comments]])&lt;&gt;0, priority(Main[[#This Row],[Comments]]),"")</f>
        <v/>
      </c>
      <c r="B877" s="127" t="s">
        <v>1734</v>
      </c>
      <c r="C877" s="99" t="s">
        <v>4</v>
      </c>
      <c r="D877" s="100" t="s">
        <v>763</v>
      </c>
      <c r="E877" s="101"/>
      <c r="F877" s="101"/>
      <c r="G877" s="102" t="str">
        <f>IF(stdProdLT(Main[[#This Row],[Comments]])=0.1,"N/A",IF(stdProdLT(Main[[#This Row],[Comments]])=0,"",stdProdLT(Main[[#This Row],[Comments]])))</f>
        <v/>
      </c>
      <c r="H877" s="103" t="str">
        <f>IF(AND(Main[[#This Row],[In Stock Date]]&lt;&gt;"",Main[[#This Row],[Revised Due Date]]&lt;&gt;""),Main[[#This Row],[In Stock Date]]-Main[[#This Row],[Revised Due Date]],"")</f>
        <v/>
      </c>
      <c r="I877" s="99" t="s">
        <v>4</v>
      </c>
      <c r="J877" s="99" t="s">
        <v>28</v>
      </c>
      <c r="K877" s="99" t="s">
        <v>4</v>
      </c>
      <c r="L877" s="101"/>
      <c r="M877" s="104" t="str">
        <f>IF(Main[[#This Row],[Tech Start Date]]&lt;1/1/1990,"",IF(Main[[#This Row],[Class]]="C",WORKDAY(Main[[#This Row],[Tech Start Date]],9),IF(Main[[#This Row],[Class]]="B", WORKDAY(Main[[#This Row],[Tech Start Date]],6),IF(Main[[#This Row],[Class]]="A",WORKDAY(Main[[#This Row],[Tech Start Date]],2),""))))</f>
        <v/>
      </c>
      <c r="N877" s="104" t="str">
        <f>IF(Main[[#This Row],[Tech Start Date]]&lt;1/1/1990,"",IF(Main[[#This Row],[Class]]="C",WORKDAY(Main[[#This Row],[Tech Start Date]],19),IF(Main[[#This Row],[Class]]="B", WORKDAY(Main[[#This Row],[Tech Start Date]],12),IF(Main[[#This Row],[Class]]="A",WORKDAY(Main[[#This Row],[Tech Start Date]],4),""))))</f>
        <v/>
      </c>
      <c r="O877" s="104" t="str">
        <f>IF(Main[[#This Row],[Tech Start Date]]&lt;1/1/1990,"",IF(Main[[#This Row],[Class]]="C",WORKDAY(Main[[#This Row],[Tech Start Date]],23),IF(Main[[#This Row],[Class]]="B", WORKDAY(Main[[#This Row],[Tech Start Date]],15),IF(Main[[#This Row],[Class]]="A",WORKDAY(Main[[#This Row],[Tech Start Date]],5),""))))</f>
        <v/>
      </c>
      <c r="P877" s="104" t="str">
        <f>IF(Main[[#This Row],[Tech Start Date]]&lt;1/1/1990,"",IF(Main[[#This Row],[Class]]="C",WORKDAY(Main[[#This Row],[Tech Start Date]],28),IF(Main[[#This Row],[Class]]="B", WORKDAY(Main[[#This Row],[Tech Start Date]],19),IF(Main[[#This Row],[Class]]="A",WORKDAY(Main[[#This Row],[Tech Start Date]],9),""))))</f>
        <v/>
      </c>
      <c r="Q877" s="101">
        <v>40471</v>
      </c>
      <c r="R877" s="101"/>
      <c r="S877" s="99" t="s">
        <v>6</v>
      </c>
      <c r="T877" s="107" t="s">
        <v>4</v>
      </c>
      <c r="U877" s="99" t="s">
        <v>14</v>
      </c>
      <c r="V877" s="99" t="s">
        <v>1972</v>
      </c>
      <c r="W877" s="99" t="s">
        <v>1964</v>
      </c>
    </row>
    <row r="878" spans="1:23" ht="18.600000000000001" customHeight="1">
      <c r="A878" s="123" t="str">
        <f>IF(priority(Main[[#This Row],[Comments]])&lt;&gt;0, priority(Main[[#This Row],[Comments]]),"")</f>
        <v/>
      </c>
      <c r="B878" s="127" t="s">
        <v>1737</v>
      </c>
      <c r="C878" s="99" t="s">
        <v>280</v>
      </c>
      <c r="D878" s="100" t="s">
        <v>766</v>
      </c>
      <c r="E878" s="101"/>
      <c r="F878" s="101">
        <v>40451</v>
      </c>
      <c r="G878" s="102" t="str">
        <f>IF(stdProdLT(Main[[#This Row],[Comments]])=0.1,"N/A",IF(stdProdLT(Main[[#This Row],[Comments]])=0,"",stdProdLT(Main[[#This Row],[Comments]])))</f>
        <v/>
      </c>
      <c r="H878" s="103" t="str">
        <f>IF(AND(Main[[#This Row],[In Stock Date]]&lt;&gt;"",Main[[#This Row],[Revised Due Date]]&lt;&gt;""),Main[[#This Row],[In Stock Date]]-Main[[#This Row],[Revised Due Date]],"")</f>
        <v/>
      </c>
      <c r="I878" s="99" t="s">
        <v>4</v>
      </c>
      <c r="J878" s="99" t="s">
        <v>4</v>
      </c>
      <c r="K878" s="99" t="s">
        <v>4</v>
      </c>
      <c r="L878" s="101"/>
      <c r="M878" s="104" t="str">
        <f>IF(Main[[#This Row],[Tech Start Date]]&lt;1/1/1990,"",IF(Main[[#This Row],[Class]]="C",WORKDAY(Main[[#This Row],[Tech Start Date]],9),IF(Main[[#This Row],[Class]]="B", WORKDAY(Main[[#This Row],[Tech Start Date]],6),IF(Main[[#This Row],[Class]]="A",WORKDAY(Main[[#This Row],[Tech Start Date]],2),""))))</f>
        <v/>
      </c>
      <c r="N878" s="104" t="str">
        <f>IF(Main[[#This Row],[Tech Start Date]]&lt;1/1/1990,"",IF(Main[[#This Row],[Class]]="C",WORKDAY(Main[[#This Row],[Tech Start Date]],19),IF(Main[[#This Row],[Class]]="B", WORKDAY(Main[[#This Row],[Tech Start Date]],12),IF(Main[[#This Row],[Class]]="A",WORKDAY(Main[[#This Row],[Tech Start Date]],4),""))))</f>
        <v/>
      </c>
      <c r="O878" s="104" t="str">
        <f>IF(Main[[#This Row],[Tech Start Date]]&lt;1/1/1990,"",IF(Main[[#This Row],[Class]]="C",WORKDAY(Main[[#This Row],[Tech Start Date]],23),IF(Main[[#This Row],[Class]]="B", WORKDAY(Main[[#This Row],[Tech Start Date]],15),IF(Main[[#This Row],[Class]]="A",WORKDAY(Main[[#This Row],[Tech Start Date]],5),""))))</f>
        <v/>
      </c>
      <c r="P878" s="104" t="str">
        <f>IF(Main[[#This Row],[Tech Start Date]]&lt;1/1/1990,"",IF(Main[[#This Row],[Class]]="C",WORKDAY(Main[[#This Row],[Tech Start Date]],28),IF(Main[[#This Row],[Class]]="B", WORKDAY(Main[[#This Row],[Tech Start Date]],19),IF(Main[[#This Row],[Class]]="A",WORKDAY(Main[[#This Row],[Tech Start Date]],9),""))))</f>
        <v/>
      </c>
      <c r="Q878" s="101">
        <v>40269</v>
      </c>
      <c r="R878" s="101"/>
      <c r="S878" s="99" t="s">
        <v>11</v>
      </c>
      <c r="T878" s="107" t="s">
        <v>4</v>
      </c>
      <c r="U878" s="99" t="s">
        <v>14</v>
      </c>
      <c r="V878" s="99" t="s">
        <v>1965</v>
      </c>
      <c r="W878" s="99" t="s">
        <v>1967</v>
      </c>
    </row>
    <row r="879" spans="1:23" ht="18.600000000000001" customHeight="1">
      <c r="A879" s="123" t="str">
        <f>IF(priority(Main[[#This Row],[Comments]])&lt;&gt;0, priority(Main[[#This Row],[Comments]]),"")</f>
        <v/>
      </c>
      <c r="B879" s="127" t="s">
        <v>1744</v>
      </c>
      <c r="C879" s="99" t="s">
        <v>31</v>
      </c>
      <c r="D879" s="100" t="s">
        <v>767</v>
      </c>
      <c r="E879" s="101"/>
      <c r="F879" s="101">
        <v>40602</v>
      </c>
      <c r="G879" s="102" t="str">
        <f>IF(stdProdLT(Main[[#This Row],[Comments]])=0.1,"N/A",IF(stdProdLT(Main[[#This Row],[Comments]])=0,"",stdProdLT(Main[[#This Row],[Comments]])))</f>
        <v/>
      </c>
      <c r="H879" s="103" t="str">
        <f>IF(AND(Main[[#This Row],[In Stock Date]]&lt;&gt;"",Main[[#This Row],[Revised Due Date]]&lt;&gt;""),Main[[#This Row],[In Stock Date]]-Main[[#This Row],[Revised Due Date]],"")</f>
        <v/>
      </c>
      <c r="I879" s="99" t="s">
        <v>404</v>
      </c>
      <c r="J879" s="99" t="s">
        <v>75</v>
      </c>
      <c r="K879" s="99" t="s">
        <v>1971</v>
      </c>
      <c r="L879" s="101"/>
      <c r="M879" s="104" t="str">
        <f>IF(Main[[#This Row],[Tech Start Date]]&lt;1/1/1990,"",IF(Main[[#This Row],[Class]]="C",WORKDAY(Main[[#This Row],[Tech Start Date]],9),IF(Main[[#This Row],[Class]]="B", WORKDAY(Main[[#This Row],[Tech Start Date]],6),IF(Main[[#This Row],[Class]]="A",WORKDAY(Main[[#This Row],[Tech Start Date]],2),""))))</f>
        <v/>
      </c>
      <c r="N879" s="104" t="str">
        <f>IF(Main[[#This Row],[Tech Start Date]]&lt;1/1/1990,"",IF(Main[[#This Row],[Class]]="C",WORKDAY(Main[[#This Row],[Tech Start Date]],19),IF(Main[[#This Row],[Class]]="B", WORKDAY(Main[[#This Row],[Tech Start Date]],12),IF(Main[[#This Row],[Class]]="A",WORKDAY(Main[[#This Row],[Tech Start Date]],4),""))))</f>
        <v/>
      </c>
      <c r="O879" s="104" t="str">
        <f>IF(Main[[#This Row],[Tech Start Date]]&lt;1/1/1990,"",IF(Main[[#This Row],[Class]]="C",WORKDAY(Main[[#This Row],[Tech Start Date]],23),IF(Main[[#This Row],[Class]]="B", WORKDAY(Main[[#This Row],[Tech Start Date]],15),IF(Main[[#This Row],[Class]]="A",WORKDAY(Main[[#This Row],[Tech Start Date]],5),""))))</f>
        <v/>
      </c>
      <c r="P879" s="104" t="str">
        <f>IF(Main[[#This Row],[Tech Start Date]]&lt;1/1/1990,"",IF(Main[[#This Row],[Class]]="C",WORKDAY(Main[[#This Row],[Tech Start Date]],28),IF(Main[[#This Row],[Class]]="B", WORKDAY(Main[[#This Row],[Tech Start Date]],19),IF(Main[[#This Row],[Class]]="A",WORKDAY(Main[[#This Row],[Tech Start Date]],9),""))))</f>
        <v/>
      </c>
      <c r="Q879" s="101"/>
      <c r="R879" s="101"/>
      <c r="S879" s="99" t="s">
        <v>11</v>
      </c>
      <c r="T879" s="107" t="s">
        <v>4</v>
      </c>
      <c r="U879" s="99" t="s">
        <v>14</v>
      </c>
      <c r="V879" s="99" t="s">
        <v>1965</v>
      </c>
      <c r="W879" s="99" t="s">
        <v>1968</v>
      </c>
    </row>
    <row r="880" spans="1:23" ht="18.600000000000001" customHeight="1">
      <c r="A880" s="123" t="str">
        <f>IF(priority(Main[[#This Row],[Comments]])&lt;&gt;0, priority(Main[[#This Row],[Comments]]),"")</f>
        <v/>
      </c>
      <c r="B880" s="127" t="s">
        <v>1745</v>
      </c>
      <c r="C880" s="99" t="s">
        <v>93</v>
      </c>
      <c r="D880" s="100" t="s">
        <v>768</v>
      </c>
      <c r="E880" s="101"/>
      <c r="F880" s="101">
        <v>40302</v>
      </c>
      <c r="G880" s="102" t="str">
        <f>IF(stdProdLT(Main[[#This Row],[Comments]])=0.1,"N/A",IF(stdProdLT(Main[[#This Row],[Comments]])=0,"",stdProdLT(Main[[#This Row],[Comments]])))</f>
        <v/>
      </c>
      <c r="H880" s="103" t="str">
        <f>IF(AND(Main[[#This Row],[In Stock Date]]&lt;&gt;"",Main[[#This Row],[Revised Due Date]]&lt;&gt;""),Main[[#This Row],[In Stock Date]]-Main[[#This Row],[Revised Due Date]],"")</f>
        <v/>
      </c>
      <c r="I880" s="99" t="s">
        <v>4</v>
      </c>
      <c r="J880" s="99" t="s">
        <v>4</v>
      </c>
      <c r="K880" s="99" t="s">
        <v>4</v>
      </c>
      <c r="L880" s="101"/>
      <c r="M880" s="104" t="str">
        <f>IF(Main[[#This Row],[Tech Start Date]]&lt;1/1/1990,"",IF(Main[[#This Row],[Class]]="C",WORKDAY(Main[[#This Row],[Tech Start Date]],9),IF(Main[[#This Row],[Class]]="B", WORKDAY(Main[[#This Row],[Tech Start Date]],6),IF(Main[[#This Row],[Class]]="A",WORKDAY(Main[[#This Row],[Tech Start Date]],2),""))))</f>
        <v/>
      </c>
      <c r="N880" s="104" t="str">
        <f>IF(Main[[#This Row],[Tech Start Date]]&lt;1/1/1990,"",IF(Main[[#This Row],[Class]]="C",WORKDAY(Main[[#This Row],[Tech Start Date]],19),IF(Main[[#This Row],[Class]]="B", WORKDAY(Main[[#This Row],[Tech Start Date]],12),IF(Main[[#This Row],[Class]]="A",WORKDAY(Main[[#This Row],[Tech Start Date]],4),""))))</f>
        <v/>
      </c>
      <c r="O880" s="104" t="str">
        <f>IF(Main[[#This Row],[Tech Start Date]]&lt;1/1/1990,"",IF(Main[[#This Row],[Class]]="C",WORKDAY(Main[[#This Row],[Tech Start Date]],23),IF(Main[[#This Row],[Class]]="B", WORKDAY(Main[[#This Row],[Tech Start Date]],15),IF(Main[[#This Row],[Class]]="A",WORKDAY(Main[[#This Row],[Tech Start Date]],5),""))))</f>
        <v/>
      </c>
      <c r="P880" s="104" t="str">
        <f>IF(Main[[#This Row],[Tech Start Date]]&lt;1/1/1990,"",IF(Main[[#This Row],[Class]]="C",WORKDAY(Main[[#This Row],[Tech Start Date]],28),IF(Main[[#This Row],[Class]]="B", WORKDAY(Main[[#This Row],[Tech Start Date]],19),IF(Main[[#This Row],[Class]]="A",WORKDAY(Main[[#This Row],[Tech Start Date]],9),""))))</f>
        <v/>
      </c>
      <c r="Q880" s="101">
        <v>40190</v>
      </c>
      <c r="R880" s="101"/>
      <c r="S880" s="99" t="s">
        <v>11</v>
      </c>
      <c r="T880" s="107" t="s">
        <v>4</v>
      </c>
      <c r="U880" s="99" t="s">
        <v>12</v>
      </c>
      <c r="V880" s="99" t="s">
        <v>1972</v>
      </c>
      <c r="W880" s="99" t="s">
        <v>1968</v>
      </c>
    </row>
    <row r="881" spans="1:23" ht="18.600000000000001" customHeight="1">
      <c r="A881" s="123" t="str">
        <f>IF(priority(Main[[#This Row],[Comments]])&lt;&gt;0, priority(Main[[#This Row],[Comments]]),"")</f>
        <v/>
      </c>
      <c r="B881" s="127" t="s">
        <v>1903</v>
      </c>
      <c r="C881" s="99" t="s">
        <v>31</v>
      </c>
      <c r="D881" s="100" t="s">
        <v>934</v>
      </c>
      <c r="E881" s="101"/>
      <c r="F881" s="101">
        <v>40664</v>
      </c>
      <c r="G881" s="102" t="str">
        <f>IF(stdProdLT(Main[[#This Row],[Comments]])=0.1,"N/A",IF(stdProdLT(Main[[#This Row],[Comments]])=0,"",stdProdLT(Main[[#This Row],[Comments]])))</f>
        <v/>
      </c>
      <c r="H881" s="103">
        <f>IF(AND(Main[[#This Row],[In Stock Date]]&lt;&gt;"",Main[[#This Row],[Revised Due Date]]&lt;&gt;""),Main[[#This Row],[In Stock Date]]-Main[[#This Row],[Revised Due Date]],"")</f>
        <v>87</v>
      </c>
      <c r="I881" s="99" t="s">
        <v>404</v>
      </c>
      <c r="J881" s="99" t="s">
        <v>75</v>
      </c>
      <c r="K881" s="99" t="s">
        <v>1971</v>
      </c>
      <c r="L881" s="101"/>
      <c r="M881" s="104" t="str">
        <f>IF(Main[[#This Row],[Tech Start Date]]&lt;1/1/1990,"",IF(Main[[#This Row],[Class]]="C",WORKDAY(Main[[#This Row],[Tech Start Date]],9),IF(Main[[#This Row],[Class]]="B", WORKDAY(Main[[#This Row],[Tech Start Date]],6),IF(Main[[#This Row],[Class]]="A",WORKDAY(Main[[#This Row],[Tech Start Date]],2),""))))</f>
        <v/>
      </c>
      <c r="N881" s="104" t="str">
        <f>IF(Main[[#This Row],[Tech Start Date]]&lt;1/1/1990,"",IF(Main[[#This Row],[Class]]="C",WORKDAY(Main[[#This Row],[Tech Start Date]],19),IF(Main[[#This Row],[Class]]="B", WORKDAY(Main[[#This Row],[Tech Start Date]],12),IF(Main[[#This Row],[Class]]="A",WORKDAY(Main[[#This Row],[Tech Start Date]],4),""))))</f>
        <v/>
      </c>
      <c r="O881" s="104" t="str">
        <f>IF(Main[[#This Row],[Tech Start Date]]&lt;1/1/1990,"",IF(Main[[#This Row],[Class]]="C",WORKDAY(Main[[#This Row],[Tech Start Date]],23),IF(Main[[#This Row],[Class]]="B", WORKDAY(Main[[#This Row],[Tech Start Date]],15),IF(Main[[#This Row],[Class]]="A",WORKDAY(Main[[#This Row],[Tech Start Date]],5),""))))</f>
        <v/>
      </c>
      <c r="P881" s="104" t="str">
        <f>IF(Main[[#This Row],[Tech Start Date]]&lt;1/1/1990,"",IF(Main[[#This Row],[Class]]="C",WORKDAY(Main[[#This Row],[Tech Start Date]],28),IF(Main[[#This Row],[Class]]="B", WORKDAY(Main[[#This Row],[Tech Start Date]],19),IF(Main[[#This Row],[Class]]="A",WORKDAY(Main[[#This Row],[Tech Start Date]],9),""))))</f>
        <v/>
      </c>
      <c r="Q881" s="101"/>
      <c r="R881" s="101">
        <v>40577</v>
      </c>
      <c r="S881" s="99" t="s">
        <v>11</v>
      </c>
      <c r="T881" s="107" t="s">
        <v>4</v>
      </c>
      <c r="U881" s="99" t="s">
        <v>14</v>
      </c>
      <c r="V881" s="99" t="s">
        <v>1965</v>
      </c>
      <c r="W881" s="99" t="s">
        <v>1968</v>
      </c>
    </row>
    <row r="882" spans="1:23" ht="18.600000000000001" customHeight="1">
      <c r="A882" s="123" t="str">
        <f>IF(priority(Main[[#This Row],[Comments]])&lt;&gt;0, priority(Main[[#This Row],[Comments]]),"")</f>
        <v/>
      </c>
      <c r="B882" s="127" t="s">
        <v>1766</v>
      </c>
      <c r="C882" s="99" t="s">
        <v>4</v>
      </c>
      <c r="D882" s="100" t="s">
        <v>795</v>
      </c>
      <c r="E882" s="101"/>
      <c r="F882" s="101"/>
      <c r="G882" s="102" t="str">
        <f>IF(stdProdLT(Main[[#This Row],[Comments]])=0.1,"N/A",IF(stdProdLT(Main[[#This Row],[Comments]])=0,"",stdProdLT(Main[[#This Row],[Comments]])))</f>
        <v/>
      </c>
      <c r="H882" s="103" t="str">
        <f>IF(AND(Main[[#This Row],[In Stock Date]]&lt;&gt;"",Main[[#This Row],[Revised Due Date]]&lt;&gt;""),Main[[#This Row],[In Stock Date]]-Main[[#This Row],[Revised Due Date]],"")</f>
        <v/>
      </c>
      <c r="I882" s="99" t="s">
        <v>4</v>
      </c>
      <c r="J882" s="99" t="s">
        <v>4</v>
      </c>
      <c r="K882" s="99" t="s">
        <v>4</v>
      </c>
      <c r="L882" s="101"/>
      <c r="M882" s="104" t="str">
        <f>IF(Main[[#This Row],[Tech Start Date]]&lt;1/1/1990,"",IF(Main[[#This Row],[Class]]="C",WORKDAY(Main[[#This Row],[Tech Start Date]],9),IF(Main[[#This Row],[Class]]="B", WORKDAY(Main[[#This Row],[Tech Start Date]],6),IF(Main[[#This Row],[Class]]="A",WORKDAY(Main[[#This Row],[Tech Start Date]],2),""))))</f>
        <v/>
      </c>
      <c r="N882" s="104" t="str">
        <f>IF(Main[[#This Row],[Tech Start Date]]&lt;1/1/1990,"",IF(Main[[#This Row],[Class]]="C",WORKDAY(Main[[#This Row],[Tech Start Date]],19),IF(Main[[#This Row],[Class]]="B", WORKDAY(Main[[#This Row],[Tech Start Date]],12),IF(Main[[#This Row],[Class]]="A",WORKDAY(Main[[#This Row],[Tech Start Date]],4),""))))</f>
        <v/>
      </c>
      <c r="O882" s="104" t="str">
        <f>IF(Main[[#This Row],[Tech Start Date]]&lt;1/1/1990,"",IF(Main[[#This Row],[Class]]="C",WORKDAY(Main[[#This Row],[Tech Start Date]],23),IF(Main[[#This Row],[Class]]="B", WORKDAY(Main[[#This Row],[Tech Start Date]],15),IF(Main[[#This Row],[Class]]="A",WORKDAY(Main[[#This Row],[Tech Start Date]],5),""))))</f>
        <v/>
      </c>
      <c r="P882" s="104" t="str">
        <f>IF(Main[[#This Row],[Tech Start Date]]&lt;1/1/1990,"",IF(Main[[#This Row],[Class]]="C",WORKDAY(Main[[#This Row],[Tech Start Date]],28),IF(Main[[#This Row],[Class]]="B", WORKDAY(Main[[#This Row],[Tech Start Date]],19),IF(Main[[#This Row],[Class]]="A",WORKDAY(Main[[#This Row],[Tech Start Date]],9),""))))</f>
        <v/>
      </c>
      <c r="Q882" s="101"/>
      <c r="R882" s="101"/>
      <c r="S882" s="99" t="s">
        <v>49</v>
      </c>
      <c r="T882" s="107" t="s">
        <v>4</v>
      </c>
      <c r="U882" s="99" t="s">
        <v>103</v>
      </c>
      <c r="V882" s="99" t="s">
        <v>1963</v>
      </c>
      <c r="W882" s="99" t="s">
        <v>1966</v>
      </c>
    </row>
    <row r="883" spans="1:23" ht="18.600000000000001" customHeight="1">
      <c r="A883" s="123" t="str">
        <f>IF(priority(Main[[#This Row],[Comments]])&lt;&gt;0, priority(Main[[#This Row],[Comments]]),"")</f>
        <v/>
      </c>
      <c r="B883" s="127" t="s">
        <v>1841</v>
      </c>
      <c r="C883" s="99" t="s">
        <v>4</v>
      </c>
      <c r="D883" s="100" t="s">
        <v>859</v>
      </c>
      <c r="E883" s="101">
        <v>40674.741215277776</v>
      </c>
      <c r="F883" s="101"/>
      <c r="G883" s="102" t="str">
        <f>IF(stdProdLT(Main[[#This Row],[Comments]])=0.1,"N/A",IF(stdProdLT(Main[[#This Row],[Comments]])=0,"",stdProdLT(Main[[#This Row],[Comments]])))</f>
        <v/>
      </c>
      <c r="H883" s="103" t="str">
        <f>IF(AND(Main[[#This Row],[In Stock Date]]&lt;&gt;"",Main[[#This Row],[Revised Due Date]]&lt;&gt;""),Main[[#This Row],[In Stock Date]]-Main[[#This Row],[Revised Due Date]],"")</f>
        <v/>
      </c>
      <c r="I883" s="99" t="s">
        <v>536</v>
      </c>
      <c r="J883" s="99" t="s">
        <v>52</v>
      </c>
      <c r="K883" s="108" t="s">
        <v>1971</v>
      </c>
      <c r="L883" s="101"/>
      <c r="M883" s="104" t="str">
        <f>IF(Main[[#This Row],[Tech Start Date]]&lt;1/1/1990,"",IF(Main[[#This Row],[Class]]="C",WORKDAY(Main[[#This Row],[Tech Start Date]],9),IF(Main[[#This Row],[Class]]="B", WORKDAY(Main[[#This Row],[Tech Start Date]],6),IF(Main[[#This Row],[Class]]="A",WORKDAY(Main[[#This Row],[Tech Start Date]],2),""))))</f>
        <v/>
      </c>
      <c r="N883" s="104" t="str">
        <f>IF(Main[[#This Row],[Tech Start Date]]&lt;1/1/1990,"",IF(Main[[#This Row],[Class]]="C",WORKDAY(Main[[#This Row],[Tech Start Date]],19),IF(Main[[#This Row],[Class]]="B", WORKDAY(Main[[#This Row],[Tech Start Date]],12),IF(Main[[#This Row],[Class]]="A",WORKDAY(Main[[#This Row],[Tech Start Date]],4),""))))</f>
        <v/>
      </c>
      <c r="O883" s="104" t="str">
        <f>IF(Main[[#This Row],[Tech Start Date]]&lt;1/1/1990,"",IF(Main[[#This Row],[Class]]="C",WORKDAY(Main[[#This Row],[Tech Start Date]],23),IF(Main[[#This Row],[Class]]="B", WORKDAY(Main[[#This Row],[Tech Start Date]],15),IF(Main[[#This Row],[Class]]="A",WORKDAY(Main[[#This Row],[Tech Start Date]],5),""))))</f>
        <v/>
      </c>
      <c r="P883" s="104" t="str">
        <f>IF(Main[[#This Row],[Tech Start Date]]&lt;1/1/1990,"",IF(Main[[#This Row],[Class]]="C",WORKDAY(Main[[#This Row],[Tech Start Date]],28),IF(Main[[#This Row],[Class]]="B", WORKDAY(Main[[#This Row],[Tech Start Date]],19),IF(Main[[#This Row],[Class]]="A",WORKDAY(Main[[#This Row],[Tech Start Date]],9),""))))</f>
        <v/>
      </c>
      <c r="Q883" s="101"/>
      <c r="R883" s="101"/>
      <c r="S883" s="99" t="s">
        <v>6</v>
      </c>
      <c r="T883" s="107" t="s">
        <v>4</v>
      </c>
      <c r="U883" s="99" t="s">
        <v>29</v>
      </c>
      <c r="V883" s="99" t="s">
        <v>1965</v>
      </c>
      <c r="W883" s="99" t="s">
        <v>1966</v>
      </c>
    </row>
    <row r="884" spans="1:23" ht="18.600000000000001" customHeight="1">
      <c r="A884" s="123" t="str">
        <f>IF(priority(Main[[#This Row],[Comments]])&lt;&gt;0, priority(Main[[#This Row],[Comments]]),"")</f>
        <v/>
      </c>
      <c r="B884" s="127" t="s">
        <v>2262</v>
      </c>
      <c r="C884" s="99" t="s">
        <v>4</v>
      </c>
      <c r="D884" s="100" t="s">
        <v>2263</v>
      </c>
      <c r="E884" s="101"/>
      <c r="F884" s="101"/>
      <c r="G884" s="102" t="str">
        <f>IF(stdProdLT(Main[[#This Row],[Comments]])=0.1,"N/A",IF(stdProdLT(Main[[#This Row],[Comments]])=0,"",stdProdLT(Main[[#This Row],[Comments]])))</f>
        <v/>
      </c>
      <c r="H884" s="103" t="str">
        <f>IF(AND(Main[[#This Row],[In Stock Date]]&lt;&gt;"",Main[[#This Row],[Revised Due Date]]&lt;&gt;""),Main[[#This Row],[In Stock Date]]-Main[[#This Row],[Revised Due Date]],"")</f>
        <v/>
      </c>
      <c r="I884" s="99" t="s">
        <v>4</v>
      </c>
      <c r="J884" s="99" t="s">
        <v>4</v>
      </c>
      <c r="K884" s="99" t="s">
        <v>4</v>
      </c>
      <c r="L884" s="101"/>
      <c r="M884" s="104" t="str">
        <f>IF(Main[[#This Row],[Tech Start Date]]&lt;1/1/1990,"",IF(Main[[#This Row],[Class]]="C",WORKDAY(Main[[#This Row],[Tech Start Date]],9),IF(Main[[#This Row],[Class]]="B", WORKDAY(Main[[#This Row],[Tech Start Date]],6),IF(Main[[#This Row],[Class]]="A",WORKDAY(Main[[#This Row],[Tech Start Date]],2),""))))</f>
        <v/>
      </c>
      <c r="N884" s="104" t="str">
        <f>IF(Main[[#This Row],[Tech Start Date]]&lt;1/1/1990,"",IF(Main[[#This Row],[Class]]="C",WORKDAY(Main[[#This Row],[Tech Start Date]],19),IF(Main[[#This Row],[Class]]="B", WORKDAY(Main[[#This Row],[Tech Start Date]],12),IF(Main[[#This Row],[Class]]="A",WORKDAY(Main[[#This Row],[Tech Start Date]],4),""))))</f>
        <v/>
      </c>
      <c r="O884" s="104" t="str">
        <f>IF(Main[[#This Row],[Tech Start Date]]&lt;1/1/1990,"",IF(Main[[#This Row],[Class]]="C",WORKDAY(Main[[#This Row],[Tech Start Date]],23),IF(Main[[#This Row],[Class]]="B", WORKDAY(Main[[#This Row],[Tech Start Date]],15),IF(Main[[#This Row],[Class]]="A",WORKDAY(Main[[#This Row],[Tech Start Date]],5),""))))</f>
        <v/>
      </c>
      <c r="P884" s="104" t="str">
        <f>IF(Main[[#This Row],[Tech Start Date]]&lt;1/1/1990,"",IF(Main[[#This Row],[Class]]="C",WORKDAY(Main[[#This Row],[Tech Start Date]],28),IF(Main[[#This Row],[Class]]="B", WORKDAY(Main[[#This Row],[Tech Start Date]],19),IF(Main[[#This Row],[Class]]="A",WORKDAY(Main[[#This Row],[Tech Start Date]],9),""))))</f>
        <v/>
      </c>
      <c r="Q884" s="101"/>
      <c r="R884" s="101"/>
      <c r="S884" s="99" t="s">
        <v>6</v>
      </c>
      <c r="T884" s="107" t="s">
        <v>4</v>
      </c>
      <c r="U884" s="99" t="s">
        <v>14</v>
      </c>
      <c r="V884" s="99" t="s">
        <v>1977</v>
      </c>
      <c r="W884" s="99" t="s">
        <v>4</v>
      </c>
    </row>
    <row r="885" spans="1:23" ht="18.600000000000001" customHeight="1">
      <c r="A885" s="123" t="str">
        <f>IF(priority(Main[[#This Row],[Comments]])&lt;&gt;0, priority(Main[[#This Row],[Comments]]),"")</f>
        <v/>
      </c>
      <c r="B885" s="127" t="s">
        <v>1739</v>
      </c>
      <c r="C885" s="99" t="s">
        <v>769</v>
      </c>
      <c r="D885" s="100" t="s">
        <v>770</v>
      </c>
      <c r="E885" s="101"/>
      <c r="F885" s="101"/>
      <c r="G885" s="102" t="str">
        <f>IF(stdProdLT(Main[[#This Row],[Comments]])=0.1,"N/A",IF(stdProdLT(Main[[#This Row],[Comments]])=0,"",stdProdLT(Main[[#This Row],[Comments]])))</f>
        <v/>
      </c>
      <c r="H885" s="103" t="str">
        <f>IF(AND(Main[[#This Row],[In Stock Date]]&lt;&gt;"",Main[[#This Row],[Revised Due Date]]&lt;&gt;""),Main[[#This Row],[In Stock Date]]-Main[[#This Row],[Revised Due Date]],"")</f>
        <v/>
      </c>
      <c r="I885" s="99" t="s">
        <v>4</v>
      </c>
      <c r="J885" s="99" t="s">
        <v>4</v>
      </c>
      <c r="K885" s="99" t="s">
        <v>4</v>
      </c>
      <c r="L885" s="101"/>
      <c r="M885" s="104" t="str">
        <f>IF(Main[[#This Row],[Tech Start Date]]&lt;1/1/1990,"",IF(Main[[#This Row],[Class]]="C",WORKDAY(Main[[#This Row],[Tech Start Date]],9),IF(Main[[#This Row],[Class]]="B", WORKDAY(Main[[#This Row],[Tech Start Date]],6),IF(Main[[#This Row],[Class]]="A",WORKDAY(Main[[#This Row],[Tech Start Date]],2),""))))</f>
        <v/>
      </c>
      <c r="N885" s="104" t="str">
        <f>IF(Main[[#This Row],[Tech Start Date]]&lt;1/1/1990,"",IF(Main[[#This Row],[Class]]="C",WORKDAY(Main[[#This Row],[Tech Start Date]],19),IF(Main[[#This Row],[Class]]="B", WORKDAY(Main[[#This Row],[Tech Start Date]],12),IF(Main[[#This Row],[Class]]="A",WORKDAY(Main[[#This Row],[Tech Start Date]],4),""))))</f>
        <v/>
      </c>
      <c r="O885" s="104" t="str">
        <f>IF(Main[[#This Row],[Tech Start Date]]&lt;1/1/1990,"",IF(Main[[#This Row],[Class]]="C",WORKDAY(Main[[#This Row],[Tech Start Date]],23),IF(Main[[#This Row],[Class]]="B", WORKDAY(Main[[#This Row],[Tech Start Date]],15),IF(Main[[#This Row],[Class]]="A",WORKDAY(Main[[#This Row],[Tech Start Date]],5),""))))</f>
        <v/>
      </c>
      <c r="P885" s="104" t="str">
        <f>IF(Main[[#This Row],[Tech Start Date]]&lt;1/1/1990,"",IF(Main[[#This Row],[Class]]="C",WORKDAY(Main[[#This Row],[Tech Start Date]],28),IF(Main[[#This Row],[Class]]="B", WORKDAY(Main[[#This Row],[Tech Start Date]],19),IF(Main[[#This Row],[Class]]="A",WORKDAY(Main[[#This Row],[Tech Start Date]],9),""))))</f>
        <v/>
      </c>
      <c r="Q885" s="101"/>
      <c r="R885" s="101"/>
      <c r="S885" s="99" t="s">
        <v>11</v>
      </c>
      <c r="T885" s="107" t="s">
        <v>4</v>
      </c>
      <c r="U885" s="99" t="s">
        <v>14</v>
      </c>
      <c r="V885" s="99" t="s">
        <v>1963</v>
      </c>
      <c r="W885" s="99" t="s">
        <v>1970</v>
      </c>
    </row>
    <row r="886" spans="1:23" ht="18.600000000000001" customHeight="1">
      <c r="A886" s="123" t="str">
        <f>IF(priority(Main[[#This Row],[Comments]])&lt;&gt;0, priority(Main[[#This Row],[Comments]]),"")</f>
        <v/>
      </c>
      <c r="B886" s="127" t="s">
        <v>1740</v>
      </c>
      <c r="C886" s="99" t="s">
        <v>4</v>
      </c>
      <c r="D886" s="100" t="s">
        <v>771</v>
      </c>
      <c r="E886" s="101">
        <v>40436.644293981481</v>
      </c>
      <c r="F886" s="101"/>
      <c r="G886" s="102" t="str">
        <f>IF(stdProdLT(Main[[#This Row],[Comments]])=0.1,"N/A",IF(stdProdLT(Main[[#This Row],[Comments]])=0,"",stdProdLT(Main[[#This Row],[Comments]])))</f>
        <v/>
      </c>
      <c r="H886" s="103" t="str">
        <f>IF(AND(Main[[#This Row],[In Stock Date]]&lt;&gt;"",Main[[#This Row],[Revised Due Date]]&lt;&gt;""),Main[[#This Row],[In Stock Date]]-Main[[#This Row],[Revised Due Date]],"")</f>
        <v/>
      </c>
      <c r="I886" s="99" t="s">
        <v>4</v>
      </c>
      <c r="J886" s="99" t="s">
        <v>28</v>
      </c>
      <c r="K886" s="108" t="s">
        <v>4</v>
      </c>
      <c r="L886" s="101"/>
      <c r="M886" s="104" t="str">
        <f>IF(Main[[#This Row],[Tech Start Date]]&lt;1/1/1990,"",IF(Main[[#This Row],[Class]]="C",WORKDAY(Main[[#This Row],[Tech Start Date]],9),IF(Main[[#This Row],[Class]]="B", WORKDAY(Main[[#This Row],[Tech Start Date]],6),IF(Main[[#This Row],[Class]]="A",WORKDAY(Main[[#This Row],[Tech Start Date]],2),""))))</f>
        <v/>
      </c>
      <c r="N886" s="104" t="str">
        <f>IF(Main[[#This Row],[Tech Start Date]]&lt;1/1/1990,"",IF(Main[[#This Row],[Class]]="C",WORKDAY(Main[[#This Row],[Tech Start Date]],19),IF(Main[[#This Row],[Class]]="B", WORKDAY(Main[[#This Row],[Tech Start Date]],12),IF(Main[[#This Row],[Class]]="A",WORKDAY(Main[[#This Row],[Tech Start Date]],4),""))))</f>
        <v/>
      </c>
      <c r="O886" s="104" t="str">
        <f>IF(Main[[#This Row],[Tech Start Date]]&lt;1/1/1990,"",IF(Main[[#This Row],[Class]]="C",WORKDAY(Main[[#This Row],[Tech Start Date]],23),IF(Main[[#This Row],[Class]]="B", WORKDAY(Main[[#This Row],[Tech Start Date]],15),IF(Main[[#This Row],[Class]]="A",WORKDAY(Main[[#This Row],[Tech Start Date]],5),""))))</f>
        <v/>
      </c>
      <c r="P886" s="104" t="str">
        <f>IF(Main[[#This Row],[Tech Start Date]]&lt;1/1/1990,"",IF(Main[[#This Row],[Class]]="C",WORKDAY(Main[[#This Row],[Tech Start Date]],28),IF(Main[[#This Row],[Class]]="B", WORKDAY(Main[[#This Row],[Tech Start Date]],19),IF(Main[[#This Row],[Class]]="A",WORKDAY(Main[[#This Row],[Tech Start Date]],9),""))))</f>
        <v/>
      </c>
      <c r="Q886" s="101"/>
      <c r="R886" s="101"/>
      <c r="S886" s="99" t="s">
        <v>6</v>
      </c>
      <c r="T886" s="107" t="s">
        <v>4</v>
      </c>
      <c r="U886" s="99" t="s">
        <v>7</v>
      </c>
      <c r="V886" s="99" t="s">
        <v>1962</v>
      </c>
      <c r="W886" s="99" t="s">
        <v>1966</v>
      </c>
    </row>
    <row r="887" spans="1:23" ht="18.600000000000001" customHeight="1">
      <c r="A887" s="123" t="str">
        <f>IF(priority(Main[[#This Row],[Comments]])&lt;&gt;0, priority(Main[[#This Row],[Comments]]),"")</f>
        <v/>
      </c>
      <c r="B887" s="127" t="s">
        <v>1741</v>
      </c>
      <c r="C887" s="99" t="s">
        <v>772</v>
      </c>
      <c r="D887" s="100" t="s">
        <v>773</v>
      </c>
      <c r="E887" s="101"/>
      <c r="F887" s="101"/>
      <c r="G887" s="102" t="str">
        <f>IF(stdProdLT(Main[[#This Row],[Comments]])=0.1,"N/A",IF(stdProdLT(Main[[#This Row],[Comments]])=0,"",stdProdLT(Main[[#This Row],[Comments]])))</f>
        <v/>
      </c>
      <c r="H887" s="103" t="str">
        <f>IF(AND(Main[[#This Row],[In Stock Date]]&lt;&gt;"",Main[[#This Row],[Revised Due Date]]&lt;&gt;""),Main[[#This Row],[In Stock Date]]-Main[[#This Row],[Revised Due Date]],"")</f>
        <v/>
      </c>
      <c r="I887" s="99" t="s">
        <v>165</v>
      </c>
      <c r="J887" s="99" t="s">
        <v>4</v>
      </c>
      <c r="K887" s="99" t="s">
        <v>1969</v>
      </c>
      <c r="L887" s="101"/>
      <c r="M887" s="104" t="str">
        <f>IF(Main[[#This Row],[Tech Start Date]]&lt;1/1/1990,"",IF(Main[[#This Row],[Class]]="C",WORKDAY(Main[[#This Row],[Tech Start Date]],9),IF(Main[[#This Row],[Class]]="B", WORKDAY(Main[[#This Row],[Tech Start Date]],6),IF(Main[[#This Row],[Class]]="A",WORKDAY(Main[[#This Row],[Tech Start Date]],2),""))))</f>
        <v/>
      </c>
      <c r="N887" s="104" t="str">
        <f>IF(Main[[#This Row],[Tech Start Date]]&lt;1/1/1990,"",IF(Main[[#This Row],[Class]]="C",WORKDAY(Main[[#This Row],[Tech Start Date]],19),IF(Main[[#This Row],[Class]]="B", WORKDAY(Main[[#This Row],[Tech Start Date]],12),IF(Main[[#This Row],[Class]]="A",WORKDAY(Main[[#This Row],[Tech Start Date]],4),""))))</f>
        <v/>
      </c>
      <c r="O887" s="104" t="str">
        <f>IF(Main[[#This Row],[Tech Start Date]]&lt;1/1/1990,"",IF(Main[[#This Row],[Class]]="C",WORKDAY(Main[[#This Row],[Tech Start Date]],23),IF(Main[[#This Row],[Class]]="B", WORKDAY(Main[[#This Row],[Tech Start Date]],15),IF(Main[[#This Row],[Class]]="A",WORKDAY(Main[[#This Row],[Tech Start Date]],5),""))))</f>
        <v/>
      </c>
      <c r="P887" s="104" t="str">
        <f>IF(Main[[#This Row],[Tech Start Date]]&lt;1/1/1990,"",IF(Main[[#This Row],[Class]]="C",WORKDAY(Main[[#This Row],[Tech Start Date]],28),IF(Main[[#This Row],[Class]]="B", WORKDAY(Main[[#This Row],[Tech Start Date]],19),IF(Main[[#This Row],[Class]]="A",WORKDAY(Main[[#This Row],[Tech Start Date]],9),""))))</f>
        <v/>
      </c>
      <c r="Q887" s="101">
        <v>40421</v>
      </c>
      <c r="R887" s="101"/>
      <c r="S887" s="99" t="s">
        <v>17</v>
      </c>
      <c r="T887" s="107" t="s">
        <v>4</v>
      </c>
      <c r="U887" s="99" t="s">
        <v>14</v>
      </c>
      <c r="V887" s="99" t="s">
        <v>1965</v>
      </c>
      <c r="W887" s="99" t="s">
        <v>1966</v>
      </c>
    </row>
    <row r="888" spans="1:23" ht="18.600000000000001" customHeight="1">
      <c r="A888" s="123" t="str">
        <f>IF(priority(Main[[#This Row],[Comments]])&lt;&gt;0, priority(Main[[#This Row],[Comments]]),"")</f>
        <v/>
      </c>
      <c r="B888" s="127" t="s">
        <v>1742</v>
      </c>
      <c r="C888" s="99" t="s">
        <v>4</v>
      </c>
      <c r="D888" s="100" t="s">
        <v>774</v>
      </c>
      <c r="E888" s="101"/>
      <c r="F888" s="101"/>
      <c r="G888" s="102" t="str">
        <f>IF(stdProdLT(Main[[#This Row],[Comments]])=0.1,"N/A",IF(stdProdLT(Main[[#This Row],[Comments]])=0,"",stdProdLT(Main[[#This Row],[Comments]])))</f>
        <v/>
      </c>
      <c r="H888" s="103" t="str">
        <f>IF(AND(Main[[#This Row],[In Stock Date]]&lt;&gt;"",Main[[#This Row],[Revised Due Date]]&lt;&gt;""),Main[[#This Row],[In Stock Date]]-Main[[#This Row],[Revised Due Date]],"")</f>
        <v/>
      </c>
      <c r="I888" s="99" t="s">
        <v>4</v>
      </c>
      <c r="J888" s="99" t="s">
        <v>4</v>
      </c>
      <c r="K888" s="99" t="s">
        <v>4</v>
      </c>
      <c r="L888" s="101"/>
      <c r="M888" s="104" t="str">
        <f>IF(Main[[#This Row],[Tech Start Date]]&lt;1/1/1990,"",IF(Main[[#This Row],[Class]]="C",WORKDAY(Main[[#This Row],[Tech Start Date]],9),IF(Main[[#This Row],[Class]]="B", WORKDAY(Main[[#This Row],[Tech Start Date]],6),IF(Main[[#This Row],[Class]]="A",WORKDAY(Main[[#This Row],[Tech Start Date]],2),""))))</f>
        <v/>
      </c>
      <c r="N888" s="104" t="str">
        <f>IF(Main[[#This Row],[Tech Start Date]]&lt;1/1/1990,"",IF(Main[[#This Row],[Class]]="C",WORKDAY(Main[[#This Row],[Tech Start Date]],19),IF(Main[[#This Row],[Class]]="B", WORKDAY(Main[[#This Row],[Tech Start Date]],12),IF(Main[[#This Row],[Class]]="A",WORKDAY(Main[[#This Row],[Tech Start Date]],4),""))))</f>
        <v/>
      </c>
      <c r="O888" s="104" t="str">
        <f>IF(Main[[#This Row],[Tech Start Date]]&lt;1/1/1990,"",IF(Main[[#This Row],[Class]]="C",WORKDAY(Main[[#This Row],[Tech Start Date]],23),IF(Main[[#This Row],[Class]]="B", WORKDAY(Main[[#This Row],[Tech Start Date]],15),IF(Main[[#This Row],[Class]]="A",WORKDAY(Main[[#This Row],[Tech Start Date]],5),""))))</f>
        <v/>
      </c>
      <c r="P888" s="104" t="str">
        <f>IF(Main[[#This Row],[Tech Start Date]]&lt;1/1/1990,"",IF(Main[[#This Row],[Class]]="C",WORKDAY(Main[[#This Row],[Tech Start Date]],28),IF(Main[[#This Row],[Class]]="B", WORKDAY(Main[[#This Row],[Tech Start Date]],19),IF(Main[[#This Row],[Class]]="A",WORKDAY(Main[[#This Row],[Tech Start Date]],9),""))))</f>
        <v/>
      </c>
      <c r="Q888" s="101">
        <v>40500</v>
      </c>
      <c r="R888" s="101"/>
      <c r="S888" s="99" t="s">
        <v>11</v>
      </c>
      <c r="T888" s="107" t="s">
        <v>4</v>
      </c>
      <c r="U888" s="99" t="s">
        <v>14</v>
      </c>
      <c r="V888" s="99" t="s">
        <v>1962</v>
      </c>
      <c r="W888" s="99" t="s">
        <v>4</v>
      </c>
    </row>
    <row r="889" spans="1:23" ht="18.600000000000001" customHeight="1">
      <c r="A889" s="123" t="str">
        <f>IF(priority(Main[[#This Row],[Comments]])&lt;&gt;0, priority(Main[[#This Row],[Comments]]),"")</f>
        <v/>
      </c>
      <c r="B889" s="127" t="s">
        <v>1743</v>
      </c>
      <c r="C889" s="99" t="s">
        <v>122</v>
      </c>
      <c r="D889" s="100" t="s">
        <v>706</v>
      </c>
      <c r="E889" s="101"/>
      <c r="F889" s="101"/>
      <c r="G889" s="102" t="str">
        <f>IF(stdProdLT(Main[[#This Row],[Comments]])=0.1,"N/A",IF(stdProdLT(Main[[#This Row],[Comments]])=0,"",stdProdLT(Main[[#This Row],[Comments]])))</f>
        <v/>
      </c>
      <c r="H889" s="103" t="str">
        <f>IF(AND(Main[[#This Row],[In Stock Date]]&lt;&gt;"",Main[[#This Row],[Revised Due Date]]&lt;&gt;""),Main[[#This Row],[In Stock Date]]-Main[[#This Row],[Revised Due Date]],"")</f>
        <v/>
      </c>
      <c r="I889" s="99" t="s">
        <v>4</v>
      </c>
      <c r="J889" s="99" t="s">
        <v>4</v>
      </c>
      <c r="K889" s="99" t="s">
        <v>4</v>
      </c>
      <c r="L889" s="101"/>
      <c r="M889" s="104" t="str">
        <f>IF(Main[[#This Row],[Tech Start Date]]&lt;1/1/1990,"",IF(Main[[#This Row],[Class]]="C",WORKDAY(Main[[#This Row],[Tech Start Date]],9),IF(Main[[#This Row],[Class]]="B", WORKDAY(Main[[#This Row],[Tech Start Date]],6),IF(Main[[#This Row],[Class]]="A",WORKDAY(Main[[#This Row],[Tech Start Date]],2),""))))</f>
        <v/>
      </c>
      <c r="N889" s="104" t="str">
        <f>IF(Main[[#This Row],[Tech Start Date]]&lt;1/1/1990,"",IF(Main[[#This Row],[Class]]="C",WORKDAY(Main[[#This Row],[Tech Start Date]],19),IF(Main[[#This Row],[Class]]="B", WORKDAY(Main[[#This Row],[Tech Start Date]],12),IF(Main[[#This Row],[Class]]="A",WORKDAY(Main[[#This Row],[Tech Start Date]],4),""))))</f>
        <v/>
      </c>
      <c r="O889" s="104" t="str">
        <f>IF(Main[[#This Row],[Tech Start Date]]&lt;1/1/1990,"",IF(Main[[#This Row],[Class]]="C",WORKDAY(Main[[#This Row],[Tech Start Date]],23),IF(Main[[#This Row],[Class]]="B", WORKDAY(Main[[#This Row],[Tech Start Date]],15),IF(Main[[#This Row],[Class]]="A",WORKDAY(Main[[#This Row],[Tech Start Date]],5),""))))</f>
        <v/>
      </c>
      <c r="P889" s="104" t="str">
        <f>IF(Main[[#This Row],[Tech Start Date]]&lt;1/1/1990,"",IF(Main[[#This Row],[Class]]="C",WORKDAY(Main[[#This Row],[Tech Start Date]],28),IF(Main[[#This Row],[Class]]="B", WORKDAY(Main[[#This Row],[Tech Start Date]],19),IF(Main[[#This Row],[Class]]="A",WORKDAY(Main[[#This Row],[Tech Start Date]],9),""))))</f>
        <v/>
      </c>
      <c r="Q889" s="101"/>
      <c r="R889" s="101"/>
      <c r="S889" s="99" t="s">
        <v>11</v>
      </c>
      <c r="T889" s="107" t="s">
        <v>4</v>
      </c>
      <c r="U889" s="99" t="s">
        <v>14</v>
      </c>
      <c r="V889" s="99" t="s">
        <v>1962</v>
      </c>
      <c r="W889" s="99" t="s">
        <v>1973</v>
      </c>
    </row>
    <row r="890" spans="1:23" ht="18.600000000000001" customHeight="1">
      <c r="A890" s="123" t="str">
        <f>IF(priority(Main[[#This Row],[Comments]])&lt;&gt;0, priority(Main[[#This Row],[Comments]]),"")</f>
        <v/>
      </c>
      <c r="B890" s="127" t="s">
        <v>1746</v>
      </c>
      <c r="C890" s="99" t="s">
        <v>4</v>
      </c>
      <c r="D890" s="100" t="s">
        <v>780</v>
      </c>
      <c r="E890" s="101"/>
      <c r="F890" s="101"/>
      <c r="G890" s="102" t="str">
        <f>IF(stdProdLT(Main[[#This Row],[Comments]])=0.1,"N/A",IF(stdProdLT(Main[[#This Row],[Comments]])=0,"",stdProdLT(Main[[#This Row],[Comments]])))</f>
        <v/>
      </c>
      <c r="H890" s="103" t="str">
        <f>IF(AND(Main[[#This Row],[In Stock Date]]&lt;&gt;"",Main[[#This Row],[Revised Due Date]]&lt;&gt;""),Main[[#This Row],[In Stock Date]]-Main[[#This Row],[Revised Due Date]],"")</f>
        <v/>
      </c>
      <c r="I890" s="99" t="s">
        <v>4</v>
      </c>
      <c r="J890" s="99" t="s">
        <v>4</v>
      </c>
      <c r="K890" s="99" t="s">
        <v>4</v>
      </c>
      <c r="L890" s="101"/>
      <c r="M890" s="104" t="str">
        <f>IF(Main[[#This Row],[Tech Start Date]]&lt;1/1/1990,"",IF(Main[[#This Row],[Class]]="C",WORKDAY(Main[[#This Row],[Tech Start Date]],9),IF(Main[[#This Row],[Class]]="B", WORKDAY(Main[[#This Row],[Tech Start Date]],6),IF(Main[[#This Row],[Class]]="A",WORKDAY(Main[[#This Row],[Tech Start Date]],2),""))))</f>
        <v/>
      </c>
      <c r="N890" s="104" t="str">
        <f>IF(Main[[#This Row],[Tech Start Date]]&lt;1/1/1990,"",IF(Main[[#This Row],[Class]]="C",WORKDAY(Main[[#This Row],[Tech Start Date]],19),IF(Main[[#This Row],[Class]]="B", WORKDAY(Main[[#This Row],[Tech Start Date]],12),IF(Main[[#This Row],[Class]]="A",WORKDAY(Main[[#This Row],[Tech Start Date]],4),""))))</f>
        <v/>
      </c>
      <c r="O890" s="104" t="str">
        <f>IF(Main[[#This Row],[Tech Start Date]]&lt;1/1/1990,"",IF(Main[[#This Row],[Class]]="C",WORKDAY(Main[[#This Row],[Tech Start Date]],23),IF(Main[[#This Row],[Class]]="B", WORKDAY(Main[[#This Row],[Tech Start Date]],15),IF(Main[[#This Row],[Class]]="A",WORKDAY(Main[[#This Row],[Tech Start Date]],5),""))))</f>
        <v/>
      </c>
      <c r="P890" s="104" t="str">
        <f>IF(Main[[#This Row],[Tech Start Date]]&lt;1/1/1990,"",IF(Main[[#This Row],[Class]]="C",WORKDAY(Main[[#This Row],[Tech Start Date]],28),IF(Main[[#This Row],[Class]]="B", WORKDAY(Main[[#This Row],[Tech Start Date]],19),IF(Main[[#This Row],[Class]]="A",WORKDAY(Main[[#This Row],[Tech Start Date]],9),""))))</f>
        <v/>
      </c>
      <c r="Q890" s="101"/>
      <c r="R890" s="101"/>
      <c r="S890" s="99" t="s">
        <v>17</v>
      </c>
      <c r="T890" s="107" t="s">
        <v>4</v>
      </c>
      <c r="U890" s="99" t="s">
        <v>14</v>
      </c>
      <c r="V890" s="99" t="s">
        <v>1965</v>
      </c>
      <c r="W890" s="99" t="s">
        <v>4</v>
      </c>
    </row>
    <row r="891" spans="1:23" ht="18.600000000000001" customHeight="1">
      <c r="A891" s="123" t="str">
        <f>IF(priority(Main[[#This Row],[Comments]])&lt;&gt;0, priority(Main[[#This Row],[Comments]]),"")</f>
        <v/>
      </c>
      <c r="B891" s="127" t="s">
        <v>1747</v>
      </c>
      <c r="C891" s="99" t="s">
        <v>58</v>
      </c>
      <c r="D891" s="100" t="s">
        <v>205</v>
      </c>
      <c r="E891" s="101"/>
      <c r="F891" s="101">
        <v>40697</v>
      </c>
      <c r="G891" s="102" t="str">
        <f>IF(stdProdLT(Main[[#This Row],[Comments]])=0.1,"N/A",IF(stdProdLT(Main[[#This Row],[Comments]])=0,"",stdProdLT(Main[[#This Row],[Comments]])))</f>
        <v/>
      </c>
      <c r="H891" s="103" t="str">
        <f>IF(AND(Main[[#This Row],[In Stock Date]]&lt;&gt;"",Main[[#This Row],[Revised Due Date]]&lt;&gt;""),Main[[#This Row],[In Stock Date]]-Main[[#This Row],[Revised Due Date]],"")</f>
        <v/>
      </c>
      <c r="I891" s="99" t="s">
        <v>4</v>
      </c>
      <c r="J891" s="99" t="s">
        <v>4</v>
      </c>
      <c r="K891" s="99" t="s">
        <v>4</v>
      </c>
      <c r="L891" s="101"/>
      <c r="M891" s="104" t="str">
        <f>IF(Main[[#This Row],[Tech Start Date]]&lt;1/1/1990,"",IF(Main[[#This Row],[Class]]="C",WORKDAY(Main[[#This Row],[Tech Start Date]],9),IF(Main[[#This Row],[Class]]="B", WORKDAY(Main[[#This Row],[Tech Start Date]],6),IF(Main[[#This Row],[Class]]="A",WORKDAY(Main[[#This Row],[Tech Start Date]],2),""))))</f>
        <v/>
      </c>
      <c r="N891" s="104" t="str">
        <f>IF(Main[[#This Row],[Tech Start Date]]&lt;1/1/1990,"",IF(Main[[#This Row],[Class]]="C",WORKDAY(Main[[#This Row],[Tech Start Date]],19),IF(Main[[#This Row],[Class]]="B", WORKDAY(Main[[#This Row],[Tech Start Date]],12),IF(Main[[#This Row],[Class]]="A",WORKDAY(Main[[#This Row],[Tech Start Date]],4),""))))</f>
        <v/>
      </c>
      <c r="O891" s="104" t="str">
        <f>IF(Main[[#This Row],[Tech Start Date]]&lt;1/1/1990,"",IF(Main[[#This Row],[Class]]="C",WORKDAY(Main[[#This Row],[Tech Start Date]],23),IF(Main[[#This Row],[Class]]="B", WORKDAY(Main[[#This Row],[Tech Start Date]],15),IF(Main[[#This Row],[Class]]="A",WORKDAY(Main[[#This Row],[Tech Start Date]],5),""))))</f>
        <v/>
      </c>
      <c r="P891" s="104" t="str">
        <f>IF(Main[[#This Row],[Tech Start Date]]&lt;1/1/1990,"",IF(Main[[#This Row],[Class]]="C",WORKDAY(Main[[#This Row],[Tech Start Date]],28),IF(Main[[#This Row],[Class]]="B", WORKDAY(Main[[#This Row],[Tech Start Date]],19),IF(Main[[#This Row],[Class]]="A",WORKDAY(Main[[#This Row],[Tech Start Date]],9),""))))</f>
        <v/>
      </c>
      <c r="Q891" s="101">
        <v>40539</v>
      </c>
      <c r="R891" s="101"/>
      <c r="S891" s="99" t="s">
        <v>11</v>
      </c>
      <c r="T891" s="107" t="s">
        <v>4</v>
      </c>
      <c r="U891" s="99" t="s">
        <v>14</v>
      </c>
      <c r="V891" s="99" t="s">
        <v>1962</v>
      </c>
      <c r="W891" s="99" t="s">
        <v>1968</v>
      </c>
    </row>
    <row r="892" spans="1:23" ht="18.600000000000001" customHeight="1">
      <c r="A892" s="123" t="str">
        <f>IF(priority(Main[[#This Row],[Comments]])&lt;&gt;0, priority(Main[[#This Row],[Comments]]),"")</f>
        <v/>
      </c>
      <c r="B892" s="127" t="s">
        <v>1650</v>
      </c>
      <c r="C892" s="99" t="s">
        <v>4</v>
      </c>
      <c r="D892" s="100" t="s">
        <v>694</v>
      </c>
      <c r="E892" s="101">
        <v>40031.45721064815</v>
      </c>
      <c r="F892" s="101"/>
      <c r="G892" s="102" t="str">
        <f>IF(stdProdLT(Main[[#This Row],[Comments]])=0.1,"N/A",IF(stdProdLT(Main[[#This Row],[Comments]])=0,"",stdProdLT(Main[[#This Row],[Comments]])))</f>
        <v/>
      </c>
      <c r="H892" s="103" t="str">
        <f>IF(AND(Main[[#This Row],[In Stock Date]]&lt;&gt;"",Main[[#This Row],[Revised Due Date]]&lt;&gt;""),Main[[#This Row],[In Stock Date]]-Main[[#This Row],[Revised Due Date]],"")</f>
        <v/>
      </c>
      <c r="I892" s="99" t="s">
        <v>30</v>
      </c>
      <c r="J892" s="99" t="s">
        <v>21</v>
      </c>
      <c r="K892" s="99" t="s">
        <v>1971</v>
      </c>
      <c r="L892" s="101"/>
      <c r="M892" s="104" t="str">
        <f>IF(Main[[#This Row],[Tech Start Date]]&lt;1/1/1990,"",IF(Main[[#This Row],[Class]]="C",WORKDAY(Main[[#This Row],[Tech Start Date]],9),IF(Main[[#This Row],[Class]]="B", WORKDAY(Main[[#This Row],[Tech Start Date]],6),IF(Main[[#This Row],[Class]]="A",WORKDAY(Main[[#This Row],[Tech Start Date]],2),""))))</f>
        <v/>
      </c>
      <c r="N892" s="104" t="str">
        <f>IF(Main[[#This Row],[Tech Start Date]]&lt;1/1/1990,"",IF(Main[[#This Row],[Class]]="C",WORKDAY(Main[[#This Row],[Tech Start Date]],19),IF(Main[[#This Row],[Class]]="B", WORKDAY(Main[[#This Row],[Tech Start Date]],12),IF(Main[[#This Row],[Class]]="A",WORKDAY(Main[[#This Row],[Tech Start Date]],4),""))))</f>
        <v/>
      </c>
      <c r="O892" s="104" t="str">
        <f>IF(Main[[#This Row],[Tech Start Date]]&lt;1/1/1990,"",IF(Main[[#This Row],[Class]]="C",WORKDAY(Main[[#This Row],[Tech Start Date]],23),IF(Main[[#This Row],[Class]]="B", WORKDAY(Main[[#This Row],[Tech Start Date]],15),IF(Main[[#This Row],[Class]]="A",WORKDAY(Main[[#This Row],[Tech Start Date]],5),""))))</f>
        <v/>
      </c>
      <c r="P892" s="104" t="str">
        <f>IF(Main[[#This Row],[Tech Start Date]]&lt;1/1/1990,"",IF(Main[[#This Row],[Class]]="C",WORKDAY(Main[[#This Row],[Tech Start Date]],28),IF(Main[[#This Row],[Class]]="B", WORKDAY(Main[[#This Row],[Tech Start Date]],19),IF(Main[[#This Row],[Class]]="A",WORKDAY(Main[[#This Row],[Tech Start Date]],9),""))))</f>
        <v/>
      </c>
      <c r="Q892" s="101"/>
      <c r="R892" s="101"/>
      <c r="S892" s="99" t="s">
        <v>6</v>
      </c>
      <c r="T892" s="107" t="s">
        <v>4</v>
      </c>
      <c r="U892" s="99" t="s">
        <v>29</v>
      </c>
      <c r="V892" s="99" t="s">
        <v>1965</v>
      </c>
      <c r="W892" s="99" t="s">
        <v>1966</v>
      </c>
    </row>
    <row r="893" spans="1:23" ht="18.600000000000001" customHeight="1">
      <c r="A893" s="123" t="str">
        <f>IF(priority(Main[[#This Row],[Comments]])&lt;&gt;0, priority(Main[[#This Row],[Comments]]),"")</f>
        <v/>
      </c>
      <c r="B893" s="127" t="s">
        <v>1748</v>
      </c>
      <c r="C893" s="99" t="s">
        <v>4</v>
      </c>
      <c r="D893" s="100" t="s">
        <v>721</v>
      </c>
      <c r="E893" s="101"/>
      <c r="F893" s="101"/>
      <c r="G893" s="102" t="str">
        <f>IF(stdProdLT(Main[[#This Row],[Comments]])=0.1,"N/A",IF(stdProdLT(Main[[#This Row],[Comments]])=0,"",stdProdLT(Main[[#This Row],[Comments]])))</f>
        <v/>
      </c>
      <c r="H893" s="103" t="str">
        <f>IF(AND(Main[[#This Row],[In Stock Date]]&lt;&gt;"",Main[[#This Row],[Revised Due Date]]&lt;&gt;""),Main[[#This Row],[In Stock Date]]-Main[[#This Row],[Revised Due Date]],"")</f>
        <v/>
      </c>
      <c r="I893" s="99" t="s">
        <v>4</v>
      </c>
      <c r="J893" s="99" t="s">
        <v>28</v>
      </c>
      <c r="K893" s="99" t="s">
        <v>1971</v>
      </c>
      <c r="L893" s="101"/>
      <c r="M893" s="104" t="str">
        <f>IF(Main[[#This Row],[Tech Start Date]]&lt;1/1/1990,"",IF(Main[[#This Row],[Class]]="C",WORKDAY(Main[[#This Row],[Tech Start Date]],9),IF(Main[[#This Row],[Class]]="B", WORKDAY(Main[[#This Row],[Tech Start Date]],6),IF(Main[[#This Row],[Class]]="A",WORKDAY(Main[[#This Row],[Tech Start Date]],2),""))))</f>
        <v/>
      </c>
      <c r="N893" s="104" t="str">
        <f>IF(Main[[#This Row],[Tech Start Date]]&lt;1/1/1990,"",IF(Main[[#This Row],[Class]]="C",WORKDAY(Main[[#This Row],[Tech Start Date]],19),IF(Main[[#This Row],[Class]]="B", WORKDAY(Main[[#This Row],[Tech Start Date]],12),IF(Main[[#This Row],[Class]]="A",WORKDAY(Main[[#This Row],[Tech Start Date]],4),""))))</f>
        <v/>
      </c>
      <c r="O893" s="104" t="str">
        <f>IF(Main[[#This Row],[Tech Start Date]]&lt;1/1/1990,"",IF(Main[[#This Row],[Class]]="C",WORKDAY(Main[[#This Row],[Tech Start Date]],23),IF(Main[[#This Row],[Class]]="B", WORKDAY(Main[[#This Row],[Tech Start Date]],15),IF(Main[[#This Row],[Class]]="A",WORKDAY(Main[[#This Row],[Tech Start Date]],5),""))))</f>
        <v/>
      </c>
      <c r="P893" s="104" t="str">
        <f>IF(Main[[#This Row],[Tech Start Date]]&lt;1/1/1990,"",IF(Main[[#This Row],[Class]]="C",WORKDAY(Main[[#This Row],[Tech Start Date]],28),IF(Main[[#This Row],[Class]]="B", WORKDAY(Main[[#This Row],[Tech Start Date]],19),IF(Main[[#This Row],[Class]]="A",WORKDAY(Main[[#This Row],[Tech Start Date]],9),""))))</f>
        <v/>
      </c>
      <c r="Q893" s="101">
        <v>40647</v>
      </c>
      <c r="R893" s="101"/>
      <c r="S893" s="99" t="s">
        <v>6</v>
      </c>
      <c r="T893" s="107" t="s">
        <v>4</v>
      </c>
      <c r="U893" s="99" t="s">
        <v>14</v>
      </c>
      <c r="V893" s="99" t="s">
        <v>1962</v>
      </c>
      <c r="W893" s="99" t="s">
        <v>1966</v>
      </c>
    </row>
    <row r="894" spans="1:23" ht="18.600000000000001" customHeight="1">
      <c r="A894" s="123" t="str">
        <f>IF(priority(Main[[#This Row],[Comments]])&lt;&gt;0, priority(Main[[#This Row],[Comments]]),"")</f>
        <v/>
      </c>
      <c r="B894" s="127" t="s">
        <v>2134</v>
      </c>
      <c r="C894" s="99" t="s">
        <v>4</v>
      </c>
      <c r="D894" s="100" t="s">
        <v>2510</v>
      </c>
      <c r="E894" s="101">
        <v>40760.555381944447</v>
      </c>
      <c r="F894" s="101"/>
      <c r="G894" s="102" t="str">
        <f>IF(stdProdLT(Main[[#This Row],[Comments]])=0.1,"N/A",IF(stdProdLT(Main[[#This Row],[Comments]])=0,"",stdProdLT(Main[[#This Row],[Comments]])))</f>
        <v/>
      </c>
      <c r="H894" s="103" t="str">
        <f>IF(AND(Main[[#This Row],[In Stock Date]]&lt;&gt;"",Main[[#This Row],[Revised Due Date]]&lt;&gt;""),Main[[#This Row],[In Stock Date]]-Main[[#This Row],[Revised Due Date]],"")</f>
        <v/>
      </c>
      <c r="I894" s="99" t="s">
        <v>4</v>
      </c>
      <c r="J894" s="99" t="s">
        <v>4</v>
      </c>
      <c r="K894" s="99" t="s">
        <v>4</v>
      </c>
      <c r="L894" s="101"/>
      <c r="M894" s="104" t="str">
        <f>IF(Main[[#This Row],[Tech Start Date]]&lt;1/1/1990,"",IF(Main[[#This Row],[Class]]="C",WORKDAY(Main[[#This Row],[Tech Start Date]],9),IF(Main[[#This Row],[Class]]="B", WORKDAY(Main[[#This Row],[Tech Start Date]],6),IF(Main[[#This Row],[Class]]="A",WORKDAY(Main[[#This Row],[Tech Start Date]],2),""))))</f>
        <v/>
      </c>
      <c r="N894" s="104" t="str">
        <f>IF(Main[[#This Row],[Tech Start Date]]&lt;1/1/1990,"",IF(Main[[#This Row],[Class]]="C",WORKDAY(Main[[#This Row],[Tech Start Date]],19),IF(Main[[#This Row],[Class]]="B", WORKDAY(Main[[#This Row],[Tech Start Date]],12),IF(Main[[#This Row],[Class]]="A",WORKDAY(Main[[#This Row],[Tech Start Date]],4),""))))</f>
        <v/>
      </c>
      <c r="O894" s="104" t="str">
        <f>IF(Main[[#This Row],[Tech Start Date]]&lt;1/1/1990,"",IF(Main[[#This Row],[Class]]="C",WORKDAY(Main[[#This Row],[Tech Start Date]],23),IF(Main[[#This Row],[Class]]="B", WORKDAY(Main[[#This Row],[Tech Start Date]],15),IF(Main[[#This Row],[Class]]="A",WORKDAY(Main[[#This Row],[Tech Start Date]],5),""))))</f>
        <v/>
      </c>
      <c r="P894" s="104" t="str">
        <f>IF(Main[[#This Row],[Tech Start Date]]&lt;1/1/1990,"",IF(Main[[#This Row],[Class]]="C",WORKDAY(Main[[#This Row],[Tech Start Date]],28),IF(Main[[#This Row],[Class]]="B", WORKDAY(Main[[#This Row],[Tech Start Date]],19),IF(Main[[#This Row],[Class]]="A",WORKDAY(Main[[#This Row],[Tech Start Date]],9),""))))</f>
        <v/>
      </c>
      <c r="Q894" s="101"/>
      <c r="R894" s="101"/>
      <c r="S894" s="99" t="s">
        <v>6</v>
      </c>
      <c r="T894" s="107" t="s">
        <v>4</v>
      </c>
      <c r="U894" s="99" t="s">
        <v>7</v>
      </c>
      <c r="V894" s="99" t="s">
        <v>1962</v>
      </c>
      <c r="W894" s="99" t="s">
        <v>1966</v>
      </c>
    </row>
    <row r="895" spans="1:23" ht="18.600000000000001" customHeight="1">
      <c r="A895" s="123" t="str">
        <f>IF(priority(Main[[#This Row],[Comments]])&lt;&gt;0, priority(Main[[#This Row],[Comments]]),"")</f>
        <v/>
      </c>
      <c r="B895" s="127" t="s">
        <v>1753</v>
      </c>
      <c r="C895" s="99" t="s">
        <v>4</v>
      </c>
      <c r="D895" s="100" t="s">
        <v>777</v>
      </c>
      <c r="E895" s="101"/>
      <c r="F895" s="101"/>
      <c r="G895" s="102" t="str">
        <f>IF(stdProdLT(Main[[#This Row],[Comments]])=0.1,"N/A",IF(stdProdLT(Main[[#This Row],[Comments]])=0,"",stdProdLT(Main[[#This Row],[Comments]])))</f>
        <v/>
      </c>
      <c r="H895" s="103" t="str">
        <f>IF(AND(Main[[#This Row],[In Stock Date]]&lt;&gt;"",Main[[#This Row],[Revised Due Date]]&lt;&gt;""),Main[[#This Row],[In Stock Date]]-Main[[#This Row],[Revised Due Date]],"")</f>
        <v/>
      </c>
      <c r="I895" s="99" t="s">
        <v>404</v>
      </c>
      <c r="J895" s="99" t="s">
        <v>75</v>
      </c>
      <c r="K895" s="99" t="s">
        <v>4</v>
      </c>
      <c r="L895" s="101"/>
      <c r="M895" s="104" t="str">
        <f>IF(Main[[#This Row],[Tech Start Date]]&lt;1/1/1990,"",IF(Main[[#This Row],[Class]]="C",WORKDAY(Main[[#This Row],[Tech Start Date]],9),IF(Main[[#This Row],[Class]]="B", WORKDAY(Main[[#This Row],[Tech Start Date]],6),IF(Main[[#This Row],[Class]]="A",WORKDAY(Main[[#This Row],[Tech Start Date]],2),""))))</f>
        <v/>
      </c>
      <c r="N895" s="104" t="str">
        <f>IF(Main[[#This Row],[Tech Start Date]]&lt;1/1/1990,"",IF(Main[[#This Row],[Class]]="C",WORKDAY(Main[[#This Row],[Tech Start Date]],19),IF(Main[[#This Row],[Class]]="B", WORKDAY(Main[[#This Row],[Tech Start Date]],12),IF(Main[[#This Row],[Class]]="A",WORKDAY(Main[[#This Row],[Tech Start Date]],4),""))))</f>
        <v/>
      </c>
      <c r="O895" s="104" t="str">
        <f>IF(Main[[#This Row],[Tech Start Date]]&lt;1/1/1990,"",IF(Main[[#This Row],[Class]]="C",WORKDAY(Main[[#This Row],[Tech Start Date]],23),IF(Main[[#This Row],[Class]]="B", WORKDAY(Main[[#This Row],[Tech Start Date]],15),IF(Main[[#This Row],[Class]]="A",WORKDAY(Main[[#This Row],[Tech Start Date]],5),""))))</f>
        <v/>
      </c>
      <c r="P895" s="104" t="str">
        <f>IF(Main[[#This Row],[Tech Start Date]]&lt;1/1/1990,"",IF(Main[[#This Row],[Class]]="C",WORKDAY(Main[[#This Row],[Tech Start Date]],28),IF(Main[[#This Row],[Class]]="B", WORKDAY(Main[[#This Row],[Tech Start Date]],19),IF(Main[[#This Row],[Class]]="A",WORKDAY(Main[[#This Row],[Tech Start Date]],9),""))))</f>
        <v/>
      </c>
      <c r="Q895" s="101">
        <v>40401</v>
      </c>
      <c r="R895" s="101"/>
      <c r="S895" s="99" t="s">
        <v>6</v>
      </c>
      <c r="T895" s="107" t="s">
        <v>4</v>
      </c>
      <c r="U895" s="99" t="s">
        <v>14</v>
      </c>
      <c r="V895" s="99" t="s">
        <v>1965</v>
      </c>
      <c r="W895" s="99" t="s">
        <v>1966</v>
      </c>
    </row>
    <row r="896" spans="1:23" ht="18.600000000000001" customHeight="1">
      <c r="A896" s="123" t="str">
        <f>IF(priority(Main[[#This Row],[Comments]])&lt;&gt;0, priority(Main[[#This Row],[Comments]]),"")</f>
        <v/>
      </c>
      <c r="B896" s="127" t="s">
        <v>1754</v>
      </c>
      <c r="C896" s="99" t="s">
        <v>4</v>
      </c>
      <c r="D896" s="100" t="s">
        <v>779</v>
      </c>
      <c r="E896" s="101">
        <v>40647.40420138889</v>
      </c>
      <c r="F896" s="101"/>
      <c r="G896" s="102" t="str">
        <f>IF(stdProdLT(Main[[#This Row],[Comments]])=0.1,"N/A",IF(stdProdLT(Main[[#This Row],[Comments]])=0,"",stdProdLT(Main[[#This Row],[Comments]])))</f>
        <v/>
      </c>
      <c r="H896" s="103" t="str">
        <f>IF(AND(Main[[#This Row],[In Stock Date]]&lt;&gt;"",Main[[#This Row],[Revised Due Date]]&lt;&gt;""),Main[[#This Row],[In Stock Date]]-Main[[#This Row],[Revised Due Date]],"")</f>
        <v/>
      </c>
      <c r="I896" s="99" t="s">
        <v>4</v>
      </c>
      <c r="J896" s="99" t="s">
        <v>4</v>
      </c>
      <c r="K896" s="108" t="s">
        <v>4</v>
      </c>
      <c r="L896" s="101"/>
      <c r="M896" s="104" t="str">
        <f>IF(Main[[#This Row],[Tech Start Date]]&lt;1/1/1990,"",IF(Main[[#This Row],[Class]]="C",WORKDAY(Main[[#This Row],[Tech Start Date]],9),IF(Main[[#This Row],[Class]]="B", WORKDAY(Main[[#This Row],[Tech Start Date]],6),IF(Main[[#This Row],[Class]]="A",WORKDAY(Main[[#This Row],[Tech Start Date]],2),""))))</f>
        <v/>
      </c>
      <c r="N896" s="104" t="str">
        <f>IF(Main[[#This Row],[Tech Start Date]]&lt;1/1/1990,"",IF(Main[[#This Row],[Class]]="C",WORKDAY(Main[[#This Row],[Tech Start Date]],19),IF(Main[[#This Row],[Class]]="B", WORKDAY(Main[[#This Row],[Tech Start Date]],12),IF(Main[[#This Row],[Class]]="A",WORKDAY(Main[[#This Row],[Tech Start Date]],4),""))))</f>
        <v/>
      </c>
      <c r="O896" s="104" t="str">
        <f>IF(Main[[#This Row],[Tech Start Date]]&lt;1/1/1990,"",IF(Main[[#This Row],[Class]]="C",WORKDAY(Main[[#This Row],[Tech Start Date]],23),IF(Main[[#This Row],[Class]]="B", WORKDAY(Main[[#This Row],[Tech Start Date]],15),IF(Main[[#This Row],[Class]]="A",WORKDAY(Main[[#This Row],[Tech Start Date]],5),""))))</f>
        <v/>
      </c>
      <c r="P896" s="104" t="str">
        <f>IF(Main[[#This Row],[Tech Start Date]]&lt;1/1/1990,"",IF(Main[[#This Row],[Class]]="C",WORKDAY(Main[[#This Row],[Tech Start Date]],28),IF(Main[[#This Row],[Class]]="B", WORKDAY(Main[[#This Row],[Tech Start Date]],19),IF(Main[[#This Row],[Class]]="A",WORKDAY(Main[[#This Row],[Tech Start Date]],9),""))))</f>
        <v/>
      </c>
      <c r="Q896" s="101">
        <v>40676</v>
      </c>
      <c r="R896" s="101"/>
      <c r="S896" s="99" t="s">
        <v>6</v>
      </c>
      <c r="T896" s="107" t="s">
        <v>4</v>
      </c>
      <c r="U896" s="99" t="s">
        <v>7</v>
      </c>
      <c r="V896" s="99" t="s">
        <v>1962</v>
      </c>
      <c r="W896" s="99" t="s">
        <v>4</v>
      </c>
    </row>
    <row r="897" spans="1:23" ht="18.600000000000001" customHeight="1">
      <c r="A897" s="123" t="str">
        <f>IF(priority(Main[[#This Row],[Comments]])&lt;&gt;0, priority(Main[[#This Row],[Comments]]),"")</f>
        <v/>
      </c>
      <c r="B897" s="127" t="s">
        <v>1867</v>
      </c>
      <c r="C897" s="99" t="s">
        <v>47</v>
      </c>
      <c r="D897" s="100" t="s">
        <v>892</v>
      </c>
      <c r="E897" s="101">
        <v>39937.613564814812</v>
      </c>
      <c r="F897" s="101"/>
      <c r="G897" s="102" t="str">
        <f>IF(stdProdLT(Main[[#This Row],[Comments]])=0.1,"N/A",IF(stdProdLT(Main[[#This Row],[Comments]])=0,"",stdProdLT(Main[[#This Row],[Comments]])))</f>
        <v/>
      </c>
      <c r="H897" s="103" t="str">
        <f>IF(AND(Main[[#This Row],[In Stock Date]]&lt;&gt;"",Main[[#This Row],[Revised Due Date]]&lt;&gt;""),Main[[#This Row],[In Stock Date]]-Main[[#This Row],[Revised Due Date]],"")</f>
        <v/>
      </c>
      <c r="I897" s="99" t="s">
        <v>893</v>
      </c>
      <c r="J897" s="99" t="s">
        <v>4</v>
      </c>
      <c r="K897" s="99" t="s">
        <v>1974</v>
      </c>
      <c r="L897" s="101"/>
      <c r="M897" s="104" t="str">
        <f>IF(Main[[#This Row],[Tech Start Date]]&lt;1/1/1990,"",IF(Main[[#This Row],[Class]]="C",WORKDAY(Main[[#This Row],[Tech Start Date]],9),IF(Main[[#This Row],[Class]]="B", WORKDAY(Main[[#This Row],[Tech Start Date]],6),IF(Main[[#This Row],[Class]]="A",WORKDAY(Main[[#This Row],[Tech Start Date]],2),""))))</f>
        <v/>
      </c>
      <c r="N897" s="104" t="str">
        <f>IF(Main[[#This Row],[Tech Start Date]]&lt;1/1/1990,"",IF(Main[[#This Row],[Class]]="C",WORKDAY(Main[[#This Row],[Tech Start Date]],19),IF(Main[[#This Row],[Class]]="B", WORKDAY(Main[[#This Row],[Tech Start Date]],12),IF(Main[[#This Row],[Class]]="A",WORKDAY(Main[[#This Row],[Tech Start Date]],4),""))))</f>
        <v/>
      </c>
      <c r="O897" s="104" t="str">
        <f>IF(Main[[#This Row],[Tech Start Date]]&lt;1/1/1990,"",IF(Main[[#This Row],[Class]]="C",WORKDAY(Main[[#This Row],[Tech Start Date]],23),IF(Main[[#This Row],[Class]]="B", WORKDAY(Main[[#This Row],[Tech Start Date]],15),IF(Main[[#This Row],[Class]]="A",WORKDAY(Main[[#This Row],[Tech Start Date]],5),""))))</f>
        <v/>
      </c>
      <c r="P897" s="104" t="str">
        <f>IF(Main[[#This Row],[Tech Start Date]]&lt;1/1/1990,"",IF(Main[[#This Row],[Class]]="C",WORKDAY(Main[[#This Row],[Tech Start Date]],28),IF(Main[[#This Row],[Class]]="B", WORKDAY(Main[[#This Row],[Tech Start Date]],19),IF(Main[[#This Row],[Class]]="A",WORKDAY(Main[[#This Row],[Tech Start Date]],9),""))))</f>
        <v/>
      </c>
      <c r="Q897" s="101">
        <v>40267</v>
      </c>
      <c r="R897" s="101">
        <v>40359</v>
      </c>
      <c r="S897" s="99" t="s">
        <v>17</v>
      </c>
      <c r="T897" s="107" t="s">
        <v>4</v>
      </c>
      <c r="U897" s="99" t="s">
        <v>29</v>
      </c>
      <c r="V897" s="99" t="s">
        <v>1962</v>
      </c>
      <c r="W897" s="99" t="s">
        <v>1966</v>
      </c>
    </row>
    <row r="898" spans="1:23" ht="18.600000000000001" customHeight="1">
      <c r="A898" s="123" t="str">
        <f>IF(priority(Main[[#This Row],[Comments]])&lt;&gt;0, priority(Main[[#This Row],[Comments]]),"")</f>
        <v/>
      </c>
      <c r="B898" s="127" t="s">
        <v>1755</v>
      </c>
      <c r="C898" s="99" t="s">
        <v>4</v>
      </c>
      <c r="D898" s="100" t="s">
        <v>515</v>
      </c>
      <c r="E898" s="101"/>
      <c r="F898" s="101"/>
      <c r="G898" s="102" t="str">
        <f>IF(stdProdLT(Main[[#This Row],[Comments]])=0.1,"N/A",IF(stdProdLT(Main[[#This Row],[Comments]])=0,"",stdProdLT(Main[[#This Row],[Comments]])))</f>
        <v/>
      </c>
      <c r="H898" s="103" t="str">
        <f>IF(AND(Main[[#This Row],[In Stock Date]]&lt;&gt;"",Main[[#This Row],[Revised Due Date]]&lt;&gt;""),Main[[#This Row],[In Stock Date]]-Main[[#This Row],[Revised Due Date]],"")</f>
        <v/>
      </c>
      <c r="I898" s="99" t="s">
        <v>4</v>
      </c>
      <c r="J898" s="99" t="s">
        <v>4</v>
      </c>
      <c r="K898" s="99" t="s">
        <v>4</v>
      </c>
      <c r="L898" s="101"/>
      <c r="M898" s="104" t="str">
        <f>IF(Main[[#This Row],[Tech Start Date]]&lt;1/1/1990,"",IF(Main[[#This Row],[Class]]="C",WORKDAY(Main[[#This Row],[Tech Start Date]],9),IF(Main[[#This Row],[Class]]="B", WORKDAY(Main[[#This Row],[Tech Start Date]],6),IF(Main[[#This Row],[Class]]="A",WORKDAY(Main[[#This Row],[Tech Start Date]],2),""))))</f>
        <v/>
      </c>
      <c r="N898" s="104" t="str">
        <f>IF(Main[[#This Row],[Tech Start Date]]&lt;1/1/1990,"",IF(Main[[#This Row],[Class]]="C",WORKDAY(Main[[#This Row],[Tech Start Date]],19),IF(Main[[#This Row],[Class]]="B", WORKDAY(Main[[#This Row],[Tech Start Date]],12),IF(Main[[#This Row],[Class]]="A",WORKDAY(Main[[#This Row],[Tech Start Date]],4),""))))</f>
        <v/>
      </c>
      <c r="O898" s="104" t="str">
        <f>IF(Main[[#This Row],[Tech Start Date]]&lt;1/1/1990,"",IF(Main[[#This Row],[Class]]="C",WORKDAY(Main[[#This Row],[Tech Start Date]],23),IF(Main[[#This Row],[Class]]="B", WORKDAY(Main[[#This Row],[Tech Start Date]],15),IF(Main[[#This Row],[Class]]="A",WORKDAY(Main[[#This Row],[Tech Start Date]],5),""))))</f>
        <v/>
      </c>
      <c r="P898" s="104" t="str">
        <f>IF(Main[[#This Row],[Tech Start Date]]&lt;1/1/1990,"",IF(Main[[#This Row],[Class]]="C",WORKDAY(Main[[#This Row],[Tech Start Date]],28),IF(Main[[#This Row],[Class]]="B", WORKDAY(Main[[#This Row],[Tech Start Date]],19),IF(Main[[#This Row],[Class]]="A",WORKDAY(Main[[#This Row],[Tech Start Date]],9),""))))</f>
        <v/>
      </c>
      <c r="Q898" s="101"/>
      <c r="R898" s="101"/>
      <c r="S898" s="99" t="s">
        <v>4</v>
      </c>
      <c r="T898" s="107" t="s">
        <v>4</v>
      </c>
      <c r="U898" s="99" t="s">
        <v>14</v>
      </c>
      <c r="V898" s="99" t="s">
        <v>1965</v>
      </c>
      <c r="W898" s="99" t="s">
        <v>4</v>
      </c>
    </row>
    <row r="899" spans="1:23" ht="18.600000000000001" customHeight="1">
      <c r="A899" s="123" t="str">
        <f>IF(priority(Main[[#This Row],[Comments]])&lt;&gt;0, priority(Main[[#This Row],[Comments]]),"")</f>
        <v/>
      </c>
      <c r="B899" s="127" t="s">
        <v>1756</v>
      </c>
      <c r="C899" s="99" t="s">
        <v>282</v>
      </c>
      <c r="D899" s="100" t="s">
        <v>783</v>
      </c>
      <c r="E899" s="101"/>
      <c r="F899" s="101">
        <v>40602</v>
      </c>
      <c r="G899" s="102" t="str">
        <f>IF(stdProdLT(Main[[#This Row],[Comments]])=0.1,"N/A",IF(stdProdLT(Main[[#This Row],[Comments]])=0,"",stdProdLT(Main[[#This Row],[Comments]])))</f>
        <v/>
      </c>
      <c r="H899" s="103" t="str">
        <f>IF(AND(Main[[#This Row],[In Stock Date]]&lt;&gt;"",Main[[#This Row],[Revised Due Date]]&lt;&gt;""),Main[[#This Row],[In Stock Date]]-Main[[#This Row],[Revised Due Date]],"")</f>
        <v/>
      </c>
      <c r="I899" s="99" t="s">
        <v>4</v>
      </c>
      <c r="J899" s="99" t="s">
        <v>4</v>
      </c>
      <c r="K899" s="99" t="s">
        <v>4</v>
      </c>
      <c r="L899" s="101"/>
      <c r="M899" s="104" t="str">
        <f>IF(Main[[#This Row],[Tech Start Date]]&lt;1/1/1990,"",IF(Main[[#This Row],[Class]]="C",WORKDAY(Main[[#This Row],[Tech Start Date]],9),IF(Main[[#This Row],[Class]]="B", WORKDAY(Main[[#This Row],[Tech Start Date]],6),IF(Main[[#This Row],[Class]]="A",WORKDAY(Main[[#This Row],[Tech Start Date]],2),""))))</f>
        <v/>
      </c>
      <c r="N899" s="104" t="str">
        <f>IF(Main[[#This Row],[Tech Start Date]]&lt;1/1/1990,"",IF(Main[[#This Row],[Class]]="C",WORKDAY(Main[[#This Row],[Tech Start Date]],19),IF(Main[[#This Row],[Class]]="B", WORKDAY(Main[[#This Row],[Tech Start Date]],12),IF(Main[[#This Row],[Class]]="A",WORKDAY(Main[[#This Row],[Tech Start Date]],4),""))))</f>
        <v/>
      </c>
      <c r="O899" s="104" t="str">
        <f>IF(Main[[#This Row],[Tech Start Date]]&lt;1/1/1990,"",IF(Main[[#This Row],[Class]]="C",WORKDAY(Main[[#This Row],[Tech Start Date]],23),IF(Main[[#This Row],[Class]]="B", WORKDAY(Main[[#This Row],[Tech Start Date]],15),IF(Main[[#This Row],[Class]]="A",WORKDAY(Main[[#This Row],[Tech Start Date]],5),""))))</f>
        <v/>
      </c>
      <c r="P899" s="104" t="str">
        <f>IF(Main[[#This Row],[Tech Start Date]]&lt;1/1/1990,"",IF(Main[[#This Row],[Class]]="C",WORKDAY(Main[[#This Row],[Tech Start Date]],28),IF(Main[[#This Row],[Class]]="B", WORKDAY(Main[[#This Row],[Tech Start Date]],19),IF(Main[[#This Row],[Class]]="A",WORKDAY(Main[[#This Row],[Tech Start Date]],9),""))))</f>
        <v/>
      </c>
      <c r="Q899" s="101">
        <v>40602</v>
      </c>
      <c r="R899" s="101"/>
      <c r="S899" s="99" t="s">
        <v>11</v>
      </c>
      <c r="T899" s="107" t="s">
        <v>4</v>
      </c>
      <c r="U899" s="99" t="s">
        <v>12</v>
      </c>
      <c r="V899" s="99" t="s">
        <v>1963</v>
      </c>
      <c r="W899" s="99" t="s">
        <v>1967</v>
      </c>
    </row>
    <row r="900" spans="1:23" ht="18.600000000000001" customHeight="1">
      <c r="A900" s="123" t="str">
        <f>IF(priority(Main[[#This Row],[Comments]])&lt;&gt;0, priority(Main[[#This Row],[Comments]]),"")</f>
        <v/>
      </c>
      <c r="B900" s="127" t="s">
        <v>1757</v>
      </c>
      <c r="C900" s="99" t="s">
        <v>282</v>
      </c>
      <c r="D900" s="100" t="s">
        <v>784</v>
      </c>
      <c r="E900" s="101"/>
      <c r="F900" s="101">
        <v>40602</v>
      </c>
      <c r="G900" s="102" t="str">
        <f>IF(stdProdLT(Main[[#This Row],[Comments]])=0.1,"N/A",IF(stdProdLT(Main[[#This Row],[Comments]])=0,"",stdProdLT(Main[[#This Row],[Comments]])))</f>
        <v/>
      </c>
      <c r="H900" s="103" t="str">
        <f>IF(AND(Main[[#This Row],[In Stock Date]]&lt;&gt;"",Main[[#This Row],[Revised Due Date]]&lt;&gt;""),Main[[#This Row],[In Stock Date]]-Main[[#This Row],[Revised Due Date]],"")</f>
        <v/>
      </c>
      <c r="I900" s="99" t="s">
        <v>4</v>
      </c>
      <c r="J900" s="99" t="s">
        <v>4</v>
      </c>
      <c r="K900" s="99" t="s">
        <v>4</v>
      </c>
      <c r="L900" s="101"/>
      <c r="M900" s="104" t="str">
        <f>IF(Main[[#This Row],[Tech Start Date]]&lt;1/1/1990,"",IF(Main[[#This Row],[Class]]="C",WORKDAY(Main[[#This Row],[Tech Start Date]],9),IF(Main[[#This Row],[Class]]="B", WORKDAY(Main[[#This Row],[Tech Start Date]],6),IF(Main[[#This Row],[Class]]="A",WORKDAY(Main[[#This Row],[Tech Start Date]],2),""))))</f>
        <v/>
      </c>
      <c r="N900" s="104" t="str">
        <f>IF(Main[[#This Row],[Tech Start Date]]&lt;1/1/1990,"",IF(Main[[#This Row],[Class]]="C",WORKDAY(Main[[#This Row],[Tech Start Date]],19),IF(Main[[#This Row],[Class]]="B", WORKDAY(Main[[#This Row],[Tech Start Date]],12),IF(Main[[#This Row],[Class]]="A",WORKDAY(Main[[#This Row],[Tech Start Date]],4),""))))</f>
        <v/>
      </c>
      <c r="O900" s="104" t="str">
        <f>IF(Main[[#This Row],[Tech Start Date]]&lt;1/1/1990,"",IF(Main[[#This Row],[Class]]="C",WORKDAY(Main[[#This Row],[Tech Start Date]],23),IF(Main[[#This Row],[Class]]="B", WORKDAY(Main[[#This Row],[Tech Start Date]],15),IF(Main[[#This Row],[Class]]="A",WORKDAY(Main[[#This Row],[Tech Start Date]],5),""))))</f>
        <v/>
      </c>
      <c r="P900" s="104" t="str">
        <f>IF(Main[[#This Row],[Tech Start Date]]&lt;1/1/1990,"",IF(Main[[#This Row],[Class]]="C",WORKDAY(Main[[#This Row],[Tech Start Date]],28),IF(Main[[#This Row],[Class]]="B", WORKDAY(Main[[#This Row],[Tech Start Date]],19),IF(Main[[#This Row],[Class]]="A",WORKDAY(Main[[#This Row],[Tech Start Date]],9),""))))</f>
        <v/>
      </c>
      <c r="Q900" s="101">
        <v>40602</v>
      </c>
      <c r="R900" s="101"/>
      <c r="S900" s="99" t="s">
        <v>11</v>
      </c>
      <c r="T900" s="107" t="s">
        <v>4</v>
      </c>
      <c r="U900" s="99" t="s">
        <v>12</v>
      </c>
      <c r="V900" s="99" t="s">
        <v>1965</v>
      </c>
      <c r="W900" s="99" t="s">
        <v>1967</v>
      </c>
    </row>
    <row r="901" spans="1:23" ht="18.600000000000001" customHeight="1">
      <c r="A901" s="123" t="str">
        <f>IF(priority(Main[[#This Row],[Comments]])&lt;&gt;0, priority(Main[[#This Row],[Comments]]),"")</f>
        <v/>
      </c>
      <c r="B901" s="127" t="s">
        <v>1904</v>
      </c>
      <c r="C901" s="99" t="s">
        <v>31</v>
      </c>
      <c r="D901" s="100" t="s">
        <v>936</v>
      </c>
      <c r="E901" s="101"/>
      <c r="F901" s="101">
        <v>40664</v>
      </c>
      <c r="G901" s="102" t="str">
        <f>IF(stdProdLT(Main[[#This Row],[Comments]])=0.1,"N/A",IF(stdProdLT(Main[[#This Row],[Comments]])=0,"",stdProdLT(Main[[#This Row],[Comments]])))</f>
        <v/>
      </c>
      <c r="H901" s="103">
        <f>IF(AND(Main[[#This Row],[In Stock Date]]&lt;&gt;"",Main[[#This Row],[Revised Due Date]]&lt;&gt;""),Main[[#This Row],[In Stock Date]]-Main[[#This Row],[Revised Due Date]],"")</f>
        <v>87</v>
      </c>
      <c r="I901" s="99" t="s">
        <v>102</v>
      </c>
      <c r="J901" s="99" t="s">
        <v>75</v>
      </c>
      <c r="K901" s="108" t="s">
        <v>1971</v>
      </c>
      <c r="L901" s="101"/>
      <c r="M901" s="104" t="str">
        <f>IF(Main[[#This Row],[Tech Start Date]]&lt;1/1/1990,"",IF(Main[[#This Row],[Class]]="C",WORKDAY(Main[[#This Row],[Tech Start Date]],9),IF(Main[[#This Row],[Class]]="B", WORKDAY(Main[[#This Row],[Tech Start Date]],6),IF(Main[[#This Row],[Class]]="A",WORKDAY(Main[[#This Row],[Tech Start Date]],2),""))))</f>
        <v/>
      </c>
      <c r="N901" s="104" t="str">
        <f>IF(Main[[#This Row],[Tech Start Date]]&lt;1/1/1990,"",IF(Main[[#This Row],[Class]]="C",WORKDAY(Main[[#This Row],[Tech Start Date]],19),IF(Main[[#This Row],[Class]]="B", WORKDAY(Main[[#This Row],[Tech Start Date]],12),IF(Main[[#This Row],[Class]]="A",WORKDAY(Main[[#This Row],[Tech Start Date]],4),""))))</f>
        <v/>
      </c>
      <c r="O901" s="104" t="str">
        <f>IF(Main[[#This Row],[Tech Start Date]]&lt;1/1/1990,"",IF(Main[[#This Row],[Class]]="C",WORKDAY(Main[[#This Row],[Tech Start Date]],23),IF(Main[[#This Row],[Class]]="B", WORKDAY(Main[[#This Row],[Tech Start Date]],15),IF(Main[[#This Row],[Class]]="A",WORKDAY(Main[[#This Row],[Tech Start Date]],5),""))))</f>
        <v/>
      </c>
      <c r="P901" s="104" t="str">
        <f>IF(Main[[#This Row],[Tech Start Date]]&lt;1/1/1990,"",IF(Main[[#This Row],[Class]]="C",WORKDAY(Main[[#This Row],[Tech Start Date]],28),IF(Main[[#This Row],[Class]]="B", WORKDAY(Main[[#This Row],[Tech Start Date]],19),IF(Main[[#This Row],[Class]]="A",WORKDAY(Main[[#This Row],[Tech Start Date]],9),""))))</f>
        <v/>
      </c>
      <c r="Q901" s="101">
        <v>40589</v>
      </c>
      <c r="R901" s="101">
        <v>40577</v>
      </c>
      <c r="S901" s="99" t="s">
        <v>11</v>
      </c>
      <c r="T901" s="107" t="s">
        <v>4</v>
      </c>
      <c r="U901" s="99" t="s">
        <v>14</v>
      </c>
      <c r="V901" s="99" t="s">
        <v>1965</v>
      </c>
      <c r="W901" s="99" t="s">
        <v>1968</v>
      </c>
    </row>
    <row r="902" spans="1:23" ht="18.600000000000001" customHeight="1">
      <c r="A902" s="123" t="str">
        <f>IF(priority(Main[[#This Row],[Comments]])&lt;&gt;0, priority(Main[[#This Row],[Comments]]),"")</f>
        <v/>
      </c>
      <c r="B902" s="127" t="s">
        <v>1760</v>
      </c>
      <c r="C902" s="99" t="s">
        <v>4</v>
      </c>
      <c r="D902" s="100" t="s">
        <v>788</v>
      </c>
      <c r="E902" s="101"/>
      <c r="F902" s="101"/>
      <c r="G902" s="102" t="str">
        <f>IF(stdProdLT(Main[[#This Row],[Comments]])=0.1,"N/A",IF(stdProdLT(Main[[#This Row],[Comments]])=0,"",stdProdLT(Main[[#This Row],[Comments]])))</f>
        <v/>
      </c>
      <c r="H902" s="103" t="str">
        <f>IF(AND(Main[[#This Row],[In Stock Date]]&lt;&gt;"",Main[[#This Row],[Revised Due Date]]&lt;&gt;""),Main[[#This Row],[In Stock Date]]-Main[[#This Row],[Revised Due Date]],"")</f>
        <v/>
      </c>
      <c r="I902" s="99" t="s">
        <v>4</v>
      </c>
      <c r="J902" s="99" t="s">
        <v>4</v>
      </c>
      <c r="K902" s="99" t="s">
        <v>4</v>
      </c>
      <c r="L902" s="101"/>
      <c r="M902" s="104" t="str">
        <f>IF(Main[[#This Row],[Tech Start Date]]&lt;1/1/1990,"",IF(Main[[#This Row],[Class]]="C",WORKDAY(Main[[#This Row],[Tech Start Date]],9),IF(Main[[#This Row],[Class]]="B", WORKDAY(Main[[#This Row],[Tech Start Date]],6),IF(Main[[#This Row],[Class]]="A",WORKDAY(Main[[#This Row],[Tech Start Date]],2),""))))</f>
        <v/>
      </c>
      <c r="N902" s="104" t="str">
        <f>IF(Main[[#This Row],[Tech Start Date]]&lt;1/1/1990,"",IF(Main[[#This Row],[Class]]="C",WORKDAY(Main[[#This Row],[Tech Start Date]],19),IF(Main[[#This Row],[Class]]="B", WORKDAY(Main[[#This Row],[Tech Start Date]],12),IF(Main[[#This Row],[Class]]="A",WORKDAY(Main[[#This Row],[Tech Start Date]],4),""))))</f>
        <v/>
      </c>
      <c r="O902" s="104" t="str">
        <f>IF(Main[[#This Row],[Tech Start Date]]&lt;1/1/1990,"",IF(Main[[#This Row],[Class]]="C",WORKDAY(Main[[#This Row],[Tech Start Date]],23),IF(Main[[#This Row],[Class]]="B", WORKDAY(Main[[#This Row],[Tech Start Date]],15),IF(Main[[#This Row],[Class]]="A",WORKDAY(Main[[#This Row],[Tech Start Date]],5),""))))</f>
        <v/>
      </c>
      <c r="P902" s="104" t="str">
        <f>IF(Main[[#This Row],[Tech Start Date]]&lt;1/1/1990,"",IF(Main[[#This Row],[Class]]="C",WORKDAY(Main[[#This Row],[Tech Start Date]],28),IF(Main[[#This Row],[Class]]="B", WORKDAY(Main[[#This Row],[Tech Start Date]],19),IF(Main[[#This Row],[Class]]="A",WORKDAY(Main[[#This Row],[Tech Start Date]],9),""))))</f>
        <v/>
      </c>
      <c r="Q902" s="101"/>
      <c r="R902" s="101"/>
      <c r="S902" s="99" t="s">
        <v>4</v>
      </c>
      <c r="T902" s="107" t="s">
        <v>4</v>
      </c>
      <c r="U902" s="99" t="s">
        <v>12</v>
      </c>
      <c r="V902" s="99" t="s">
        <v>1965</v>
      </c>
      <c r="W902" s="99" t="s">
        <v>4</v>
      </c>
    </row>
    <row r="903" spans="1:23" ht="18.600000000000001" customHeight="1">
      <c r="A903" s="123" t="str">
        <f>IF(priority(Main[[#This Row],[Comments]])&lt;&gt;0, priority(Main[[#This Row],[Comments]]),"")</f>
        <v/>
      </c>
      <c r="B903" s="127" t="s">
        <v>1761</v>
      </c>
      <c r="C903" s="99" t="s">
        <v>4</v>
      </c>
      <c r="D903" s="100" t="s">
        <v>789</v>
      </c>
      <c r="E903" s="101"/>
      <c r="F903" s="101">
        <v>40025</v>
      </c>
      <c r="G903" s="102" t="str">
        <f>IF(stdProdLT(Main[[#This Row],[Comments]])=0.1,"N/A",IF(stdProdLT(Main[[#This Row],[Comments]])=0,"",stdProdLT(Main[[#This Row],[Comments]])))</f>
        <v/>
      </c>
      <c r="H903" s="103" t="str">
        <f>IF(AND(Main[[#This Row],[In Stock Date]]&lt;&gt;"",Main[[#This Row],[Revised Due Date]]&lt;&gt;""),Main[[#This Row],[In Stock Date]]-Main[[#This Row],[Revised Due Date]],"")</f>
        <v/>
      </c>
      <c r="I903" s="99" t="s">
        <v>4</v>
      </c>
      <c r="J903" s="99" t="s">
        <v>4</v>
      </c>
      <c r="K903" s="99" t="s">
        <v>4</v>
      </c>
      <c r="L903" s="101"/>
      <c r="M903" s="104" t="str">
        <f>IF(Main[[#This Row],[Tech Start Date]]&lt;1/1/1990,"",IF(Main[[#This Row],[Class]]="C",WORKDAY(Main[[#This Row],[Tech Start Date]],9),IF(Main[[#This Row],[Class]]="B", WORKDAY(Main[[#This Row],[Tech Start Date]],6),IF(Main[[#This Row],[Class]]="A",WORKDAY(Main[[#This Row],[Tech Start Date]],2),""))))</f>
        <v/>
      </c>
      <c r="N903" s="104" t="str">
        <f>IF(Main[[#This Row],[Tech Start Date]]&lt;1/1/1990,"",IF(Main[[#This Row],[Class]]="C",WORKDAY(Main[[#This Row],[Tech Start Date]],19),IF(Main[[#This Row],[Class]]="B", WORKDAY(Main[[#This Row],[Tech Start Date]],12),IF(Main[[#This Row],[Class]]="A",WORKDAY(Main[[#This Row],[Tech Start Date]],4),""))))</f>
        <v/>
      </c>
      <c r="O903" s="104" t="str">
        <f>IF(Main[[#This Row],[Tech Start Date]]&lt;1/1/1990,"",IF(Main[[#This Row],[Class]]="C",WORKDAY(Main[[#This Row],[Tech Start Date]],23),IF(Main[[#This Row],[Class]]="B", WORKDAY(Main[[#This Row],[Tech Start Date]],15),IF(Main[[#This Row],[Class]]="A",WORKDAY(Main[[#This Row],[Tech Start Date]],5),""))))</f>
        <v/>
      </c>
      <c r="P903" s="104" t="str">
        <f>IF(Main[[#This Row],[Tech Start Date]]&lt;1/1/1990,"",IF(Main[[#This Row],[Class]]="C",WORKDAY(Main[[#This Row],[Tech Start Date]],28),IF(Main[[#This Row],[Class]]="B", WORKDAY(Main[[#This Row],[Tech Start Date]],19),IF(Main[[#This Row],[Class]]="A",WORKDAY(Main[[#This Row],[Tech Start Date]],9),""))))</f>
        <v/>
      </c>
      <c r="Q903" s="101">
        <v>39963</v>
      </c>
      <c r="R903" s="101"/>
      <c r="S903" s="99" t="s">
        <v>11</v>
      </c>
      <c r="T903" s="107" t="s">
        <v>4</v>
      </c>
      <c r="U903" s="99" t="s">
        <v>14</v>
      </c>
      <c r="V903" s="99" t="s">
        <v>1972</v>
      </c>
      <c r="W903" s="99" t="s">
        <v>1970</v>
      </c>
    </row>
    <row r="904" spans="1:23" ht="18.600000000000001" customHeight="1">
      <c r="A904" s="123" t="str">
        <f>IF(priority(Main[[#This Row],[Comments]])&lt;&gt;0, priority(Main[[#This Row],[Comments]]),"")</f>
        <v/>
      </c>
      <c r="B904" s="127" t="s">
        <v>1762</v>
      </c>
      <c r="C904" s="99" t="s">
        <v>4</v>
      </c>
      <c r="D904" s="100" t="s">
        <v>790</v>
      </c>
      <c r="E904" s="101">
        <v>40506.439513888887</v>
      </c>
      <c r="F904" s="101"/>
      <c r="G904" s="102" t="str">
        <f>IF(stdProdLT(Main[[#This Row],[Comments]])=0.1,"N/A",IF(stdProdLT(Main[[#This Row],[Comments]])=0,"",stdProdLT(Main[[#This Row],[Comments]])))</f>
        <v/>
      </c>
      <c r="H904" s="103" t="str">
        <f>IF(AND(Main[[#This Row],[In Stock Date]]&lt;&gt;"",Main[[#This Row],[Revised Due Date]]&lt;&gt;""),Main[[#This Row],[In Stock Date]]-Main[[#This Row],[Revised Due Date]],"")</f>
        <v/>
      </c>
      <c r="I904" s="99" t="s">
        <v>4</v>
      </c>
      <c r="J904" s="99" t="s">
        <v>28</v>
      </c>
      <c r="K904" s="99" t="s">
        <v>1969</v>
      </c>
      <c r="L904" s="101"/>
      <c r="M904" s="104" t="str">
        <f>IF(Main[[#This Row],[Tech Start Date]]&lt;1/1/1990,"",IF(Main[[#This Row],[Class]]="C",WORKDAY(Main[[#This Row],[Tech Start Date]],9),IF(Main[[#This Row],[Class]]="B", WORKDAY(Main[[#This Row],[Tech Start Date]],6),IF(Main[[#This Row],[Class]]="A",WORKDAY(Main[[#This Row],[Tech Start Date]],2),""))))</f>
        <v/>
      </c>
      <c r="N904" s="104" t="str">
        <f>IF(Main[[#This Row],[Tech Start Date]]&lt;1/1/1990,"",IF(Main[[#This Row],[Class]]="C",WORKDAY(Main[[#This Row],[Tech Start Date]],19),IF(Main[[#This Row],[Class]]="B", WORKDAY(Main[[#This Row],[Tech Start Date]],12),IF(Main[[#This Row],[Class]]="A",WORKDAY(Main[[#This Row],[Tech Start Date]],4),""))))</f>
        <v/>
      </c>
      <c r="O904" s="104" t="str">
        <f>IF(Main[[#This Row],[Tech Start Date]]&lt;1/1/1990,"",IF(Main[[#This Row],[Class]]="C",WORKDAY(Main[[#This Row],[Tech Start Date]],23),IF(Main[[#This Row],[Class]]="B", WORKDAY(Main[[#This Row],[Tech Start Date]],15),IF(Main[[#This Row],[Class]]="A",WORKDAY(Main[[#This Row],[Tech Start Date]],5),""))))</f>
        <v/>
      </c>
      <c r="P904" s="104" t="str">
        <f>IF(Main[[#This Row],[Tech Start Date]]&lt;1/1/1990,"",IF(Main[[#This Row],[Class]]="C",WORKDAY(Main[[#This Row],[Tech Start Date]],28),IF(Main[[#This Row],[Class]]="B", WORKDAY(Main[[#This Row],[Tech Start Date]],19),IF(Main[[#This Row],[Class]]="A",WORKDAY(Main[[#This Row],[Tech Start Date]],9),""))))</f>
        <v/>
      </c>
      <c r="Q904" s="101">
        <v>40555</v>
      </c>
      <c r="R904" s="101"/>
      <c r="S904" s="99" t="s">
        <v>6</v>
      </c>
      <c r="T904" s="107" t="s">
        <v>4</v>
      </c>
      <c r="U904" s="99" t="s">
        <v>7</v>
      </c>
      <c r="V904" s="99" t="s">
        <v>1962</v>
      </c>
      <c r="W904" s="99" t="s">
        <v>1966</v>
      </c>
    </row>
    <row r="905" spans="1:23" ht="18.600000000000001" customHeight="1">
      <c r="A905" s="123" t="str">
        <f>IF(priority(Main[[#This Row],[Comments]])&lt;&gt;0, priority(Main[[#This Row],[Comments]]),"")</f>
        <v/>
      </c>
      <c r="B905" s="127" t="s">
        <v>1672</v>
      </c>
      <c r="C905" s="99" t="s">
        <v>4</v>
      </c>
      <c r="D905" s="100" t="s">
        <v>2511</v>
      </c>
      <c r="E905" s="101">
        <v>40567.655532407407</v>
      </c>
      <c r="F905" s="101">
        <v>40602</v>
      </c>
      <c r="G905" s="102" t="str">
        <f>IF(stdProdLT(Main[[#This Row],[Comments]])=0.1,"N/A",IF(stdProdLT(Main[[#This Row],[Comments]])=0,"",stdProdLT(Main[[#This Row],[Comments]])))</f>
        <v/>
      </c>
      <c r="H905" s="103" t="str">
        <f>IF(AND(Main[[#This Row],[In Stock Date]]&lt;&gt;"",Main[[#This Row],[Revised Due Date]]&lt;&gt;""),Main[[#This Row],[In Stock Date]]-Main[[#This Row],[Revised Due Date]],"")</f>
        <v/>
      </c>
      <c r="I905" s="99" t="s">
        <v>929</v>
      </c>
      <c r="J905" s="99" t="s">
        <v>52</v>
      </c>
      <c r="K905" s="99" t="s">
        <v>1971</v>
      </c>
      <c r="L905" s="101"/>
      <c r="M905" s="104" t="str">
        <f>IF(Main[[#This Row],[Tech Start Date]]&lt;1/1/1990,"",IF(Main[[#This Row],[Class]]="C",WORKDAY(Main[[#This Row],[Tech Start Date]],9),IF(Main[[#This Row],[Class]]="B", WORKDAY(Main[[#This Row],[Tech Start Date]],6),IF(Main[[#This Row],[Class]]="A",WORKDAY(Main[[#This Row],[Tech Start Date]],2),""))))</f>
        <v/>
      </c>
      <c r="N905" s="104" t="str">
        <f>IF(Main[[#This Row],[Tech Start Date]]&lt;1/1/1990,"",IF(Main[[#This Row],[Class]]="C",WORKDAY(Main[[#This Row],[Tech Start Date]],19),IF(Main[[#This Row],[Class]]="B", WORKDAY(Main[[#This Row],[Tech Start Date]],12),IF(Main[[#This Row],[Class]]="A",WORKDAY(Main[[#This Row],[Tech Start Date]],4),""))))</f>
        <v/>
      </c>
      <c r="O905" s="104" t="str">
        <f>IF(Main[[#This Row],[Tech Start Date]]&lt;1/1/1990,"",IF(Main[[#This Row],[Class]]="C",WORKDAY(Main[[#This Row],[Tech Start Date]],23),IF(Main[[#This Row],[Class]]="B", WORKDAY(Main[[#This Row],[Tech Start Date]],15),IF(Main[[#This Row],[Class]]="A",WORKDAY(Main[[#This Row],[Tech Start Date]],5),""))))</f>
        <v/>
      </c>
      <c r="P905" s="104" t="str">
        <f>IF(Main[[#This Row],[Tech Start Date]]&lt;1/1/1990,"",IF(Main[[#This Row],[Class]]="C",WORKDAY(Main[[#This Row],[Tech Start Date]],28),IF(Main[[#This Row],[Class]]="B", WORKDAY(Main[[#This Row],[Tech Start Date]],19),IF(Main[[#This Row],[Class]]="A",WORKDAY(Main[[#This Row],[Tech Start Date]],9),""))))</f>
        <v/>
      </c>
      <c r="Q905" s="101">
        <v>40602</v>
      </c>
      <c r="R905" s="101"/>
      <c r="S905" s="99" t="s">
        <v>6</v>
      </c>
      <c r="T905" s="107" t="s">
        <v>4</v>
      </c>
      <c r="U905" s="99" t="s">
        <v>29</v>
      </c>
      <c r="V905" s="99" t="s">
        <v>1962</v>
      </c>
      <c r="W905" s="99" t="s">
        <v>1964</v>
      </c>
    </row>
    <row r="906" spans="1:23" ht="18.600000000000001" customHeight="1">
      <c r="A906" s="123" t="str">
        <f>IF(priority(Main[[#This Row],[Comments]])&lt;&gt;0, priority(Main[[#This Row],[Comments]]),"")</f>
        <v/>
      </c>
      <c r="B906" s="127" t="s">
        <v>1749</v>
      </c>
      <c r="C906" s="99" t="s">
        <v>31</v>
      </c>
      <c r="D906" s="100" t="s">
        <v>781</v>
      </c>
      <c r="E906" s="101"/>
      <c r="F906" s="101">
        <v>40664</v>
      </c>
      <c r="G906" s="102" t="str">
        <f>IF(stdProdLT(Main[[#This Row],[Comments]])=0.1,"N/A",IF(stdProdLT(Main[[#This Row],[Comments]])=0,"",stdProdLT(Main[[#This Row],[Comments]])))</f>
        <v/>
      </c>
      <c r="H906" s="103" t="str">
        <f>IF(AND(Main[[#This Row],[In Stock Date]]&lt;&gt;"",Main[[#This Row],[Revised Due Date]]&lt;&gt;""),Main[[#This Row],[In Stock Date]]-Main[[#This Row],[Revised Due Date]],"")</f>
        <v/>
      </c>
      <c r="I906" s="99" t="s">
        <v>4</v>
      </c>
      <c r="J906" s="99" t="s">
        <v>28</v>
      </c>
      <c r="K906" s="99" t="s">
        <v>4</v>
      </c>
      <c r="L906" s="101"/>
      <c r="M906" s="104" t="str">
        <f>IF(Main[[#This Row],[Tech Start Date]]&lt;1/1/1990,"",IF(Main[[#This Row],[Class]]="C",WORKDAY(Main[[#This Row],[Tech Start Date]],9),IF(Main[[#This Row],[Class]]="B", WORKDAY(Main[[#This Row],[Tech Start Date]],6),IF(Main[[#This Row],[Class]]="A",WORKDAY(Main[[#This Row],[Tech Start Date]],2),""))))</f>
        <v/>
      </c>
      <c r="N906" s="104" t="str">
        <f>IF(Main[[#This Row],[Tech Start Date]]&lt;1/1/1990,"",IF(Main[[#This Row],[Class]]="C",WORKDAY(Main[[#This Row],[Tech Start Date]],19),IF(Main[[#This Row],[Class]]="B", WORKDAY(Main[[#This Row],[Tech Start Date]],12),IF(Main[[#This Row],[Class]]="A",WORKDAY(Main[[#This Row],[Tech Start Date]],4),""))))</f>
        <v/>
      </c>
      <c r="O906" s="104" t="str">
        <f>IF(Main[[#This Row],[Tech Start Date]]&lt;1/1/1990,"",IF(Main[[#This Row],[Class]]="C",WORKDAY(Main[[#This Row],[Tech Start Date]],23),IF(Main[[#This Row],[Class]]="B", WORKDAY(Main[[#This Row],[Tech Start Date]],15),IF(Main[[#This Row],[Class]]="A",WORKDAY(Main[[#This Row],[Tech Start Date]],5),""))))</f>
        <v/>
      </c>
      <c r="P906" s="104" t="str">
        <f>IF(Main[[#This Row],[Tech Start Date]]&lt;1/1/1990,"",IF(Main[[#This Row],[Class]]="C",WORKDAY(Main[[#This Row],[Tech Start Date]],28),IF(Main[[#This Row],[Class]]="B", WORKDAY(Main[[#This Row],[Tech Start Date]],19),IF(Main[[#This Row],[Class]]="A",WORKDAY(Main[[#This Row],[Tech Start Date]],9),""))))</f>
        <v/>
      </c>
      <c r="Q906" s="101">
        <v>40589</v>
      </c>
      <c r="R906" s="101"/>
      <c r="S906" s="99" t="s">
        <v>11</v>
      </c>
      <c r="T906" s="107" t="s">
        <v>4</v>
      </c>
      <c r="U906" s="99" t="s">
        <v>12</v>
      </c>
      <c r="V906" s="99" t="s">
        <v>1965</v>
      </c>
      <c r="W906" s="99" t="s">
        <v>1968</v>
      </c>
    </row>
    <row r="907" spans="1:23" ht="18.600000000000001" customHeight="1">
      <c r="A907" s="123" t="str">
        <f>IF(priority(Main[[#This Row],[Comments]])&lt;&gt;0, priority(Main[[#This Row],[Comments]]),"")</f>
        <v/>
      </c>
      <c r="B907" s="127" t="s">
        <v>1750</v>
      </c>
      <c r="C907" s="99" t="s">
        <v>4</v>
      </c>
      <c r="D907" s="100" t="s">
        <v>782</v>
      </c>
      <c r="E907" s="101"/>
      <c r="F907" s="101"/>
      <c r="G907" s="102" t="str">
        <f>IF(stdProdLT(Main[[#This Row],[Comments]])=0.1,"N/A",IF(stdProdLT(Main[[#This Row],[Comments]])=0,"",stdProdLT(Main[[#This Row],[Comments]])))</f>
        <v/>
      </c>
      <c r="H907" s="103" t="str">
        <f>IF(AND(Main[[#This Row],[In Stock Date]]&lt;&gt;"",Main[[#This Row],[Revised Due Date]]&lt;&gt;""),Main[[#This Row],[In Stock Date]]-Main[[#This Row],[Revised Due Date]],"")</f>
        <v/>
      </c>
      <c r="I907" s="99" t="s">
        <v>4</v>
      </c>
      <c r="J907" s="99" t="s">
        <v>4</v>
      </c>
      <c r="K907" s="99" t="s">
        <v>4</v>
      </c>
      <c r="L907" s="101"/>
      <c r="M907" s="104" t="str">
        <f>IF(Main[[#This Row],[Tech Start Date]]&lt;1/1/1990,"",IF(Main[[#This Row],[Class]]="C",WORKDAY(Main[[#This Row],[Tech Start Date]],9),IF(Main[[#This Row],[Class]]="B", WORKDAY(Main[[#This Row],[Tech Start Date]],6),IF(Main[[#This Row],[Class]]="A",WORKDAY(Main[[#This Row],[Tech Start Date]],2),""))))</f>
        <v/>
      </c>
      <c r="N907" s="104" t="str">
        <f>IF(Main[[#This Row],[Tech Start Date]]&lt;1/1/1990,"",IF(Main[[#This Row],[Class]]="C",WORKDAY(Main[[#This Row],[Tech Start Date]],19),IF(Main[[#This Row],[Class]]="B", WORKDAY(Main[[#This Row],[Tech Start Date]],12),IF(Main[[#This Row],[Class]]="A",WORKDAY(Main[[#This Row],[Tech Start Date]],4),""))))</f>
        <v/>
      </c>
      <c r="O907" s="104" t="str">
        <f>IF(Main[[#This Row],[Tech Start Date]]&lt;1/1/1990,"",IF(Main[[#This Row],[Class]]="C",WORKDAY(Main[[#This Row],[Tech Start Date]],23),IF(Main[[#This Row],[Class]]="B", WORKDAY(Main[[#This Row],[Tech Start Date]],15),IF(Main[[#This Row],[Class]]="A",WORKDAY(Main[[#This Row],[Tech Start Date]],5),""))))</f>
        <v/>
      </c>
      <c r="P907" s="104" t="str">
        <f>IF(Main[[#This Row],[Tech Start Date]]&lt;1/1/1990,"",IF(Main[[#This Row],[Class]]="C",WORKDAY(Main[[#This Row],[Tech Start Date]],28),IF(Main[[#This Row],[Class]]="B", WORKDAY(Main[[#This Row],[Tech Start Date]],19),IF(Main[[#This Row],[Class]]="A",WORKDAY(Main[[#This Row],[Tech Start Date]],9),""))))</f>
        <v/>
      </c>
      <c r="Q907" s="101"/>
      <c r="R907" s="101"/>
      <c r="S907" s="99" t="s">
        <v>6</v>
      </c>
      <c r="T907" s="107" t="s">
        <v>4</v>
      </c>
      <c r="U907" s="99" t="s">
        <v>12</v>
      </c>
      <c r="V907" s="99" t="s">
        <v>1962</v>
      </c>
      <c r="W907" s="99" t="s">
        <v>1966</v>
      </c>
    </row>
    <row r="908" spans="1:23" ht="18.600000000000001" customHeight="1">
      <c r="A908" s="123" t="str">
        <f>IF(priority(Main[[#This Row],[Comments]])&lt;&gt;0, priority(Main[[#This Row],[Comments]]),"")</f>
        <v/>
      </c>
      <c r="B908" s="127" t="s">
        <v>1681</v>
      </c>
      <c r="C908" s="99" t="s">
        <v>4</v>
      </c>
      <c r="D908" s="100" t="s">
        <v>722</v>
      </c>
      <c r="E908" s="101"/>
      <c r="F908" s="101"/>
      <c r="G908" s="102" t="str">
        <f>IF(stdProdLT(Main[[#This Row],[Comments]])=0.1,"N/A",IF(stdProdLT(Main[[#This Row],[Comments]])=0,"",stdProdLT(Main[[#This Row],[Comments]])))</f>
        <v/>
      </c>
      <c r="H908" s="103" t="str">
        <f>IF(AND(Main[[#This Row],[In Stock Date]]&lt;&gt;"",Main[[#This Row],[Revised Due Date]]&lt;&gt;""),Main[[#This Row],[In Stock Date]]-Main[[#This Row],[Revised Due Date]],"")</f>
        <v/>
      </c>
      <c r="I908" s="99" t="s">
        <v>4</v>
      </c>
      <c r="J908" s="99" t="s">
        <v>4</v>
      </c>
      <c r="K908" s="99" t="s">
        <v>4</v>
      </c>
      <c r="L908" s="101"/>
      <c r="M908" s="104" t="str">
        <f>IF(Main[[#This Row],[Tech Start Date]]&lt;1/1/1990,"",IF(Main[[#This Row],[Class]]="C",WORKDAY(Main[[#This Row],[Tech Start Date]],9),IF(Main[[#This Row],[Class]]="B", WORKDAY(Main[[#This Row],[Tech Start Date]],6),IF(Main[[#This Row],[Class]]="A",WORKDAY(Main[[#This Row],[Tech Start Date]],2),""))))</f>
        <v/>
      </c>
      <c r="N908" s="104" t="str">
        <f>IF(Main[[#This Row],[Tech Start Date]]&lt;1/1/1990,"",IF(Main[[#This Row],[Class]]="C",WORKDAY(Main[[#This Row],[Tech Start Date]],19),IF(Main[[#This Row],[Class]]="B", WORKDAY(Main[[#This Row],[Tech Start Date]],12),IF(Main[[#This Row],[Class]]="A",WORKDAY(Main[[#This Row],[Tech Start Date]],4),""))))</f>
        <v/>
      </c>
      <c r="O908" s="104" t="str">
        <f>IF(Main[[#This Row],[Tech Start Date]]&lt;1/1/1990,"",IF(Main[[#This Row],[Class]]="C",WORKDAY(Main[[#This Row],[Tech Start Date]],23),IF(Main[[#This Row],[Class]]="B", WORKDAY(Main[[#This Row],[Tech Start Date]],15),IF(Main[[#This Row],[Class]]="A",WORKDAY(Main[[#This Row],[Tech Start Date]],5),""))))</f>
        <v/>
      </c>
      <c r="P908" s="104" t="str">
        <f>IF(Main[[#This Row],[Tech Start Date]]&lt;1/1/1990,"",IF(Main[[#This Row],[Class]]="C",WORKDAY(Main[[#This Row],[Tech Start Date]],28),IF(Main[[#This Row],[Class]]="B", WORKDAY(Main[[#This Row],[Tech Start Date]],19),IF(Main[[#This Row],[Class]]="A",WORKDAY(Main[[#This Row],[Tech Start Date]],9),""))))</f>
        <v/>
      </c>
      <c r="Q908" s="101">
        <v>40672</v>
      </c>
      <c r="R908" s="101"/>
      <c r="S908" s="99" t="s">
        <v>6</v>
      </c>
      <c r="T908" s="107" t="s">
        <v>4</v>
      </c>
      <c r="U908" s="99" t="s">
        <v>14</v>
      </c>
      <c r="V908" s="99" t="s">
        <v>1965</v>
      </c>
      <c r="W908" s="99" t="s">
        <v>4</v>
      </c>
    </row>
    <row r="909" spans="1:23" ht="18.600000000000001" customHeight="1">
      <c r="A909" s="123" t="str">
        <f>IF(priority(Main[[#This Row],[Comments]])&lt;&gt;0, priority(Main[[#This Row],[Comments]]),"")</f>
        <v/>
      </c>
      <c r="B909" s="127" t="s">
        <v>1764</v>
      </c>
      <c r="C909" s="99" t="s">
        <v>792</v>
      </c>
      <c r="D909" s="100" t="s">
        <v>793</v>
      </c>
      <c r="E909" s="101"/>
      <c r="F909" s="101">
        <v>40591</v>
      </c>
      <c r="G909" s="102" t="str">
        <f>IF(stdProdLT(Main[[#This Row],[Comments]])=0.1,"N/A",IF(stdProdLT(Main[[#This Row],[Comments]])=0,"",stdProdLT(Main[[#This Row],[Comments]])))</f>
        <v/>
      </c>
      <c r="H909" s="103" t="str">
        <f>IF(AND(Main[[#This Row],[In Stock Date]]&lt;&gt;"",Main[[#This Row],[Revised Due Date]]&lt;&gt;""),Main[[#This Row],[In Stock Date]]-Main[[#This Row],[Revised Due Date]],"")</f>
        <v/>
      </c>
      <c r="I909" s="99" t="s">
        <v>4</v>
      </c>
      <c r="J909" s="99" t="s">
        <v>4</v>
      </c>
      <c r="K909" s="99" t="s">
        <v>1974</v>
      </c>
      <c r="L909" s="101"/>
      <c r="M909" s="104" t="str">
        <f>IF(Main[[#This Row],[Tech Start Date]]&lt;1/1/1990,"",IF(Main[[#This Row],[Class]]="C",WORKDAY(Main[[#This Row],[Tech Start Date]],9),IF(Main[[#This Row],[Class]]="B", WORKDAY(Main[[#This Row],[Tech Start Date]],6),IF(Main[[#This Row],[Class]]="A",WORKDAY(Main[[#This Row],[Tech Start Date]],2),""))))</f>
        <v/>
      </c>
      <c r="N909" s="104" t="str">
        <f>IF(Main[[#This Row],[Tech Start Date]]&lt;1/1/1990,"",IF(Main[[#This Row],[Class]]="C",WORKDAY(Main[[#This Row],[Tech Start Date]],19),IF(Main[[#This Row],[Class]]="B", WORKDAY(Main[[#This Row],[Tech Start Date]],12),IF(Main[[#This Row],[Class]]="A",WORKDAY(Main[[#This Row],[Tech Start Date]],4),""))))</f>
        <v/>
      </c>
      <c r="O909" s="104" t="str">
        <f>IF(Main[[#This Row],[Tech Start Date]]&lt;1/1/1990,"",IF(Main[[#This Row],[Class]]="C",WORKDAY(Main[[#This Row],[Tech Start Date]],23),IF(Main[[#This Row],[Class]]="B", WORKDAY(Main[[#This Row],[Tech Start Date]],15),IF(Main[[#This Row],[Class]]="A",WORKDAY(Main[[#This Row],[Tech Start Date]],5),""))))</f>
        <v/>
      </c>
      <c r="P909" s="104" t="str">
        <f>IF(Main[[#This Row],[Tech Start Date]]&lt;1/1/1990,"",IF(Main[[#This Row],[Class]]="C",WORKDAY(Main[[#This Row],[Tech Start Date]],28),IF(Main[[#This Row],[Class]]="B", WORKDAY(Main[[#This Row],[Tech Start Date]],19),IF(Main[[#This Row],[Class]]="A",WORKDAY(Main[[#This Row],[Tech Start Date]],9),""))))</f>
        <v/>
      </c>
      <c r="Q909" s="101">
        <v>40514</v>
      </c>
      <c r="R909" s="101"/>
      <c r="S909" s="99" t="s">
        <v>11</v>
      </c>
      <c r="T909" s="107" t="s">
        <v>794</v>
      </c>
      <c r="U909" s="99" t="s">
        <v>14</v>
      </c>
      <c r="V909" s="99" t="s">
        <v>1962</v>
      </c>
      <c r="W909" s="99" t="s">
        <v>1967</v>
      </c>
    </row>
    <row r="910" spans="1:23" ht="18.600000000000001" customHeight="1">
      <c r="A910" s="123" t="str">
        <f>IF(priority(Main[[#This Row],[Comments]])&lt;&gt;0, priority(Main[[#This Row],[Comments]]),"")</f>
        <v/>
      </c>
      <c r="B910" s="127" t="s">
        <v>1768</v>
      </c>
      <c r="C910" s="99" t="s">
        <v>4</v>
      </c>
      <c r="D910" s="100" t="s">
        <v>797</v>
      </c>
      <c r="E910" s="101">
        <v>40646.604930555557</v>
      </c>
      <c r="F910" s="101"/>
      <c r="G910" s="102" t="str">
        <f>IF(stdProdLT(Main[[#This Row],[Comments]])=0.1,"N/A",IF(stdProdLT(Main[[#This Row],[Comments]])=0,"",stdProdLT(Main[[#This Row],[Comments]])))</f>
        <v/>
      </c>
      <c r="H910" s="103" t="str">
        <f>IF(AND(Main[[#This Row],[In Stock Date]]&lt;&gt;"",Main[[#This Row],[Revised Due Date]]&lt;&gt;""),Main[[#This Row],[In Stock Date]]-Main[[#This Row],[Revised Due Date]],"")</f>
        <v/>
      </c>
      <c r="I910" s="99" t="s">
        <v>4</v>
      </c>
      <c r="J910" s="99" t="s">
        <v>4</v>
      </c>
      <c r="K910" s="99" t="s">
        <v>4</v>
      </c>
      <c r="L910" s="101"/>
      <c r="M910" s="104" t="str">
        <f>IF(Main[[#This Row],[Tech Start Date]]&lt;1/1/1990,"",IF(Main[[#This Row],[Class]]="C",WORKDAY(Main[[#This Row],[Tech Start Date]],9),IF(Main[[#This Row],[Class]]="B", WORKDAY(Main[[#This Row],[Tech Start Date]],6),IF(Main[[#This Row],[Class]]="A",WORKDAY(Main[[#This Row],[Tech Start Date]],2),""))))</f>
        <v/>
      </c>
      <c r="N910" s="104" t="str">
        <f>IF(Main[[#This Row],[Tech Start Date]]&lt;1/1/1990,"",IF(Main[[#This Row],[Class]]="C",WORKDAY(Main[[#This Row],[Tech Start Date]],19),IF(Main[[#This Row],[Class]]="B", WORKDAY(Main[[#This Row],[Tech Start Date]],12),IF(Main[[#This Row],[Class]]="A",WORKDAY(Main[[#This Row],[Tech Start Date]],4),""))))</f>
        <v/>
      </c>
      <c r="O910" s="104" t="str">
        <f>IF(Main[[#This Row],[Tech Start Date]]&lt;1/1/1990,"",IF(Main[[#This Row],[Class]]="C",WORKDAY(Main[[#This Row],[Tech Start Date]],23),IF(Main[[#This Row],[Class]]="B", WORKDAY(Main[[#This Row],[Tech Start Date]],15),IF(Main[[#This Row],[Class]]="A",WORKDAY(Main[[#This Row],[Tech Start Date]],5),""))))</f>
        <v/>
      </c>
      <c r="P910" s="104" t="str">
        <f>IF(Main[[#This Row],[Tech Start Date]]&lt;1/1/1990,"",IF(Main[[#This Row],[Class]]="C",WORKDAY(Main[[#This Row],[Tech Start Date]],28),IF(Main[[#This Row],[Class]]="B", WORKDAY(Main[[#This Row],[Tech Start Date]],19),IF(Main[[#This Row],[Class]]="A",WORKDAY(Main[[#This Row],[Tech Start Date]],9),""))))</f>
        <v/>
      </c>
      <c r="Q910" s="101">
        <v>40683</v>
      </c>
      <c r="R910" s="101"/>
      <c r="S910" s="99" t="s">
        <v>6</v>
      </c>
      <c r="T910" s="107" t="s">
        <v>4</v>
      </c>
      <c r="U910" s="99" t="s">
        <v>7</v>
      </c>
      <c r="V910" s="99" t="s">
        <v>1962</v>
      </c>
      <c r="W910" s="99" t="s">
        <v>4</v>
      </c>
    </row>
    <row r="911" spans="1:23" ht="18.600000000000001" customHeight="1">
      <c r="A911" s="123" t="str">
        <f>IF(priority(Main[[#This Row],[Comments]])&lt;&gt;0, priority(Main[[#This Row],[Comments]]),"")</f>
        <v/>
      </c>
      <c r="B911" s="127" t="s">
        <v>1771</v>
      </c>
      <c r="C911" s="99" t="s">
        <v>4</v>
      </c>
      <c r="D911" s="100" t="s">
        <v>799</v>
      </c>
      <c r="E911" s="101">
        <v>40371.351643518516</v>
      </c>
      <c r="F911" s="101"/>
      <c r="G911" s="102" t="str">
        <f>IF(stdProdLT(Main[[#This Row],[Comments]])=0.1,"N/A",IF(stdProdLT(Main[[#This Row],[Comments]])=0,"",stdProdLT(Main[[#This Row],[Comments]])))</f>
        <v/>
      </c>
      <c r="H911" s="103" t="str">
        <f>IF(AND(Main[[#This Row],[In Stock Date]]&lt;&gt;"",Main[[#This Row],[Revised Due Date]]&lt;&gt;""),Main[[#This Row],[In Stock Date]]-Main[[#This Row],[Revised Due Date]],"")</f>
        <v/>
      </c>
      <c r="I911" s="99" t="s">
        <v>4</v>
      </c>
      <c r="J911" s="99" t="s">
        <v>4</v>
      </c>
      <c r="K911" s="108" t="s">
        <v>4</v>
      </c>
      <c r="L911" s="101"/>
      <c r="M911" s="104" t="str">
        <f>IF(Main[[#This Row],[Tech Start Date]]&lt;1/1/1990,"",IF(Main[[#This Row],[Class]]="C",WORKDAY(Main[[#This Row],[Tech Start Date]],9),IF(Main[[#This Row],[Class]]="B", WORKDAY(Main[[#This Row],[Tech Start Date]],6),IF(Main[[#This Row],[Class]]="A",WORKDAY(Main[[#This Row],[Tech Start Date]],2),""))))</f>
        <v/>
      </c>
      <c r="N911" s="104" t="str">
        <f>IF(Main[[#This Row],[Tech Start Date]]&lt;1/1/1990,"",IF(Main[[#This Row],[Class]]="C",WORKDAY(Main[[#This Row],[Tech Start Date]],19),IF(Main[[#This Row],[Class]]="B", WORKDAY(Main[[#This Row],[Tech Start Date]],12),IF(Main[[#This Row],[Class]]="A",WORKDAY(Main[[#This Row],[Tech Start Date]],4),""))))</f>
        <v/>
      </c>
      <c r="O911" s="104" t="str">
        <f>IF(Main[[#This Row],[Tech Start Date]]&lt;1/1/1990,"",IF(Main[[#This Row],[Class]]="C",WORKDAY(Main[[#This Row],[Tech Start Date]],23),IF(Main[[#This Row],[Class]]="B", WORKDAY(Main[[#This Row],[Tech Start Date]],15),IF(Main[[#This Row],[Class]]="A",WORKDAY(Main[[#This Row],[Tech Start Date]],5),""))))</f>
        <v/>
      </c>
      <c r="P911" s="104" t="str">
        <f>IF(Main[[#This Row],[Tech Start Date]]&lt;1/1/1990,"",IF(Main[[#This Row],[Class]]="C",WORKDAY(Main[[#This Row],[Tech Start Date]],28),IF(Main[[#This Row],[Class]]="B", WORKDAY(Main[[#This Row],[Tech Start Date]],19),IF(Main[[#This Row],[Class]]="A",WORKDAY(Main[[#This Row],[Tech Start Date]],9),""))))</f>
        <v/>
      </c>
      <c r="Q911" s="101">
        <v>40385</v>
      </c>
      <c r="R911" s="101"/>
      <c r="S911" s="99" t="s">
        <v>6</v>
      </c>
      <c r="T911" s="107" t="s">
        <v>4</v>
      </c>
      <c r="U911" s="99" t="s">
        <v>7</v>
      </c>
      <c r="V911" s="99" t="s">
        <v>1962</v>
      </c>
      <c r="W911" s="99" t="s">
        <v>1964</v>
      </c>
    </row>
    <row r="912" spans="1:23" ht="18.600000000000001" customHeight="1">
      <c r="A912" s="123" t="str">
        <f>IF(priority(Main[[#This Row],[Comments]])&lt;&gt;0, priority(Main[[#This Row],[Comments]]),"")</f>
        <v/>
      </c>
      <c r="B912" s="127" t="s">
        <v>1796</v>
      </c>
      <c r="C912" s="99" t="s">
        <v>4</v>
      </c>
      <c r="D912" s="100" t="s">
        <v>808</v>
      </c>
      <c r="E912" s="101"/>
      <c r="F912" s="101"/>
      <c r="G912" s="102" t="str">
        <f>IF(stdProdLT(Main[[#This Row],[Comments]])=0.1,"N/A",IF(stdProdLT(Main[[#This Row],[Comments]])=0,"",stdProdLT(Main[[#This Row],[Comments]])))</f>
        <v/>
      </c>
      <c r="H912" s="103" t="str">
        <f>IF(AND(Main[[#This Row],[In Stock Date]]&lt;&gt;"",Main[[#This Row],[Revised Due Date]]&lt;&gt;""),Main[[#This Row],[In Stock Date]]-Main[[#This Row],[Revised Due Date]],"")</f>
        <v/>
      </c>
      <c r="I912" s="99" t="s">
        <v>4</v>
      </c>
      <c r="J912" s="99" t="s">
        <v>4</v>
      </c>
      <c r="K912" s="99" t="s">
        <v>4</v>
      </c>
      <c r="L912" s="101"/>
      <c r="M912" s="104" t="str">
        <f>IF(Main[[#This Row],[Tech Start Date]]&lt;1/1/1990,"",IF(Main[[#This Row],[Class]]="C",WORKDAY(Main[[#This Row],[Tech Start Date]],9),IF(Main[[#This Row],[Class]]="B", WORKDAY(Main[[#This Row],[Tech Start Date]],6),IF(Main[[#This Row],[Class]]="A",WORKDAY(Main[[#This Row],[Tech Start Date]],2),""))))</f>
        <v/>
      </c>
      <c r="N912" s="104" t="str">
        <f>IF(Main[[#This Row],[Tech Start Date]]&lt;1/1/1990,"",IF(Main[[#This Row],[Class]]="C",WORKDAY(Main[[#This Row],[Tech Start Date]],19),IF(Main[[#This Row],[Class]]="B", WORKDAY(Main[[#This Row],[Tech Start Date]],12),IF(Main[[#This Row],[Class]]="A",WORKDAY(Main[[#This Row],[Tech Start Date]],4),""))))</f>
        <v/>
      </c>
      <c r="O912" s="104" t="str">
        <f>IF(Main[[#This Row],[Tech Start Date]]&lt;1/1/1990,"",IF(Main[[#This Row],[Class]]="C",WORKDAY(Main[[#This Row],[Tech Start Date]],23),IF(Main[[#This Row],[Class]]="B", WORKDAY(Main[[#This Row],[Tech Start Date]],15),IF(Main[[#This Row],[Class]]="A",WORKDAY(Main[[#This Row],[Tech Start Date]],5),""))))</f>
        <v/>
      </c>
      <c r="P912" s="104" t="str">
        <f>IF(Main[[#This Row],[Tech Start Date]]&lt;1/1/1990,"",IF(Main[[#This Row],[Class]]="C",WORKDAY(Main[[#This Row],[Tech Start Date]],28),IF(Main[[#This Row],[Class]]="B", WORKDAY(Main[[#This Row],[Tech Start Date]],19),IF(Main[[#This Row],[Class]]="A",WORKDAY(Main[[#This Row],[Tech Start Date]],9),""))))</f>
        <v/>
      </c>
      <c r="Q912" s="101"/>
      <c r="R912" s="101"/>
      <c r="S912" s="99" t="s">
        <v>23</v>
      </c>
      <c r="T912" s="107" t="s">
        <v>4</v>
      </c>
      <c r="U912" s="99" t="s">
        <v>14</v>
      </c>
      <c r="V912" s="99" t="s">
        <v>1965</v>
      </c>
      <c r="W912" s="99" t="s">
        <v>1966</v>
      </c>
    </row>
    <row r="913" spans="1:23" ht="18.600000000000001" customHeight="1">
      <c r="A913" s="123" t="str">
        <f>IF(priority(Main[[#This Row],[Comments]])&lt;&gt;0, priority(Main[[#This Row],[Comments]]),"")</f>
        <v/>
      </c>
      <c r="B913" s="127" t="s">
        <v>1797</v>
      </c>
      <c r="C913" s="99" t="s">
        <v>122</v>
      </c>
      <c r="D913" s="100" t="s">
        <v>809</v>
      </c>
      <c r="E913" s="101"/>
      <c r="F913" s="101"/>
      <c r="G913" s="102" t="str">
        <f>IF(stdProdLT(Main[[#This Row],[Comments]])=0.1,"N/A",IF(stdProdLT(Main[[#This Row],[Comments]])=0,"",stdProdLT(Main[[#This Row],[Comments]])))</f>
        <v/>
      </c>
      <c r="H913" s="103" t="str">
        <f>IF(AND(Main[[#This Row],[In Stock Date]]&lt;&gt;"",Main[[#This Row],[Revised Due Date]]&lt;&gt;""),Main[[#This Row],[In Stock Date]]-Main[[#This Row],[Revised Due Date]],"")</f>
        <v/>
      </c>
      <c r="I913" s="99" t="s">
        <v>4</v>
      </c>
      <c r="J913" s="99" t="s">
        <v>4</v>
      </c>
      <c r="K913" s="108" t="s">
        <v>4</v>
      </c>
      <c r="L913" s="101"/>
      <c r="M913" s="104" t="str">
        <f>IF(Main[[#This Row],[Tech Start Date]]&lt;1/1/1990,"",IF(Main[[#This Row],[Class]]="C",WORKDAY(Main[[#This Row],[Tech Start Date]],9),IF(Main[[#This Row],[Class]]="B", WORKDAY(Main[[#This Row],[Tech Start Date]],6),IF(Main[[#This Row],[Class]]="A",WORKDAY(Main[[#This Row],[Tech Start Date]],2),""))))</f>
        <v/>
      </c>
      <c r="N913" s="104" t="str">
        <f>IF(Main[[#This Row],[Tech Start Date]]&lt;1/1/1990,"",IF(Main[[#This Row],[Class]]="C",WORKDAY(Main[[#This Row],[Tech Start Date]],19),IF(Main[[#This Row],[Class]]="B", WORKDAY(Main[[#This Row],[Tech Start Date]],12),IF(Main[[#This Row],[Class]]="A",WORKDAY(Main[[#This Row],[Tech Start Date]],4),""))))</f>
        <v/>
      </c>
      <c r="O913" s="104" t="str">
        <f>IF(Main[[#This Row],[Tech Start Date]]&lt;1/1/1990,"",IF(Main[[#This Row],[Class]]="C",WORKDAY(Main[[#This Row],[Tech Start Date]],23),IF(Main[[#This Row],[Class]]="B", WORKDAY(Main[[#This Row],[Tech Start Date]],15),IF(Main[[#This Row],[Class]]="A",WORKDAY(Main[[#This Row],[Tech Start Date]],5),""))))</f>
        <v/>
      </c>
      <c r="P913" s="104" t="str">
        <f>IF(Main[[#This Row],[Tech Start Date]]&lt;1/1/1990,"",IF(Main[[#This Row],[Class]]="C",WORKDAY(Main[[#This Row],[Tech Start Date]],28),IF(Main[[#This Row],[Class]]="B", WORKDAY(Main[[#This Row],[Tech Start Date]],19),IF(Main[[#This Row],[Class]]="A",WORKDAY(Main[[#This Row],[Tech Start Date]],9),""))))</f>
        <v/>
      </c>
      <c r="Q913" s="101">
        <v>40245</v>
      </c>
      <c r="R913" s="101"/>
      <c r="S913" s="99" t="s">
        <v>11</v>
      </c>
      <c r="T913" s="107" t="s">
        <v>4</v>
      </c>
      <c r="U913" s="99" t="s">
        <v>14</v>
      </c>
      <c r="V913" s="99" t="s">
        <v>1965</v>
      </c>
      <c r="W913" s="99" t="s">
        <v>1964</v>
      </c>
    </row>
    <row r="914" spans="1:23" ht="18.600000000000001" customHeight="1">
      <c r="A914" s="123" t="str">
        <f>IF(priority(Main[[#This Row],[Comments]])&lt;&gt;0, priority(Main[[#This Row],[Comments]]),"")</f>
        <v/>
      </c>
      <c r="B914" s="127" t="s">
        <v>1773</v>
      </c>
      <c r="C914" s="99" t="s">
        <v>4</v>
      </c>
      <c r="D914" s="100" t="s">
        <v>800</v>
      </c>
      <c r="E914" s="101"/>
      <c r="F914" s="101"/>
      <c r="G914" s="102" t="str">
        <f>IF(stdProdLT(Main[[#This Row],[Comments]])=0.1,"N/A",IF(stdProdLT(Main[[#This Row],[Comments]])=0,"",stdProdLT(Main[[#This Row],[Comments]])))</f>
        <v/>
      </c>
      <c r="H914" s="103" t="str">
        <f>IF(AND(Main[[#This Row],[In Stock Date]]&lt;&gt;"",Main[[#This Row],[Revised Due Date]]&lt;&gt;""),Main[[#This Row],[In Stock Date]]-Main[[#This Row],[Revised Due Date]],"")</f>
        <v/>
      </c>
      <c r="I914" s="99" t="s">
        <v>4</v>
      </c>
      <c r="J914" s="99" t="s">
        <v>28</v>
      </c>
      <c r="K914" s="99" t="s">
        <v>4</v>
      </c>
      <c r="L914" s="101"/>
      <c r="M914" s="104" t="str">
        <f>IF(Main[[#This Row],[Tech Start Date]]&lt;1/1/1990,"",IF(Main[[#This Row],[Class]]="C",WORKDAY(Main[[#This Row],[Tech Start Date]],9),IF(Main[[#This Row],[Class]]="B", WORKDAY(Main[[#This Row],[Tech Start Date]],6),IF(Main[[#This Row],[Class]]="A",WORKDAY(Main[[#This Row],[Tech Start Date]],2),""))))</f>
        <v/>
      </c>
      <c r="N914" s="104" t="str">
        <f>IF(Main[[#This Row],[Tech Start Date]]&lt;1/1/1990,"",IF(Main[[#This Row],[Class]]="C",WORKDAY(Main[[#This Row],[Tech Start Date]],19),IF(Main[[#This Row],[Class]]="B", WORKDAY(Main[[#This Row],[Tech Start Date]],12),IF(Main[[#This Row],[Class]]="A",WORKDAY(Main[[#This Row],[Tech Start Date]],4),""))))</f>
        <v/>
      </c>
      <c r="O914" s="104" t="str">
        <f>IF(Main[[#This Row],[Tech Start Date]]&lt;1/1/1990,"",IF(Main[[#This Row],[Class]]="C",WORKDAY(Main[[#This Row],[Tech Start Date]],23),IF(Main[[#This Row],[Class]]="B", WORKDAY(Main[[#This Row],[Tech Start Date]],15),IF(Main[[#This Row],[Class]]="A",WORKDAY(Main[[#This Row],[Tech Start Date]],5),""))))</f>
        <v/>
      </c>
      <c r="P914" s="104" t="str">
        <f>IF(Main[[#This Row],[Tech Start Date]]&lt;1/1/1990,"",IF(Main[[#This Row],[Class]]="C",WORKDAY(Main[[#This Row],[Tech Start Date]],28),IF(Main[[#This Row],[Class]]="B", WORKDAY(Main[[#This Row],[Tech Start Date]],19),IF(Main[[#This Row],[Class]]="A",WORKDAY(Main[[#This Row],[Tech Start Date]],9),""))))</f>
        <v/>
      </c>
      <c r="Q914" s="101">
        <v>40466</v>
      </c>
      <c r="R914" s="101"/>
      <c r="S914" s="99" t="s">
        <v>6</v>
      </c>
      <c r="T914" s="107" t="s">
        <v>4</v>
      </c>
      <c r="U914" s="99" t="s">
        <v>14</v>
      </c>
      <c r="V914" s="99" t="s">
        <v>1962</v>
      </c>
      <c r="W914" s="99" t="s">
        <v>1966</v>
      </c>
    </row>
    <row r="915" spans="1:23" ht="18.600000000000001" customHeight="1">
      <c r="A915" s="123" t="str">
        <f>IF(priority(Main[[#This Row],[Comments]])&lt;&gt;0, priority(Main[[#This Row],[Comments]]),"")</f>
        <v/>
      </c>
      <c r="B915" s="127" t="s">
        <v>1774</v>
      </c>
      <c r="C915" s="99" t="s">
        <v>47</v>
      </c>
      <c r="D915" s="100" t="s">
        <v>801</v>
      </c>
      <c r="E915" s="101">
        <v>39937.598969907405</v>
      </c>
      <c r="F915" s="101"/>
      <c r="G915" s="102" t="str">
        <f>IF(stdProdLT(Main[[#This Row],[Comments]])=0.1,"N/A",IF(stdProdLT(Main[[#This Row],[Comments]])=0,"",stdProdLT(Main[[#This Row],[Comments]])))</f>
        <v/>
      </c>
      <c r="H915" s="103" t="str">
        <f>IF(AND(Main[[#This Row],[In Stock Date]]&lt;&gt;"",Main[[#This Row],[Revised Due Date]]&lt;&gt;""),Main[[#This Row],[In Stock Date]]-Main[[#This Row],[Revised Due Date]],"")</f>
        <v/>
      </c>
      <c r="I915" s="99" t="s">
        <v>4</v>
      </c>
      <c r="J915" s="99" t="s">
        <v>4</v>
      </c>
      <c r="K915" s="99" t="s">
        <v>4</v>
      </c>
      <c r="L915" s="101"/>
      <c r="M915" s="104" t="str">
        <f>IF(Main[[#This Row],[Tech Start Date]]&lt;1/1/1990,"",IF(Main[[#This Row],[Class]]="C",WORKDAY(Main[[#This Row],[Tech Start Date]],9),IF(Main[[#This Row],[Class]]="B", WORKDAY(Main[[#This Row],[Tech Start Date]],6),IF(Main[[#This Row],[Class]]="A",WORKDAY(Main[[#This Row],[Tech Start Date]],2),""))))</f>
        <v/>
      </c>
      <c r="N915" s="104" t="str">
        <f>IF(Main[[#This Row],[Tech Start Date]]&lt;1/1/1990,"",IF(Main[[#This Row],[Class]]="C",WORKDAY(Main[[#This Row],[Tech Start Date]],19),IF(Main[[#This Row],[Class]]="B", WORKDAY(Main[[#This Row],[Tech Start Date]],12),IF(Main[[#This Row],[Class]]="A",WORKDAY(Main[[#This Row],[Tech Start Date]],4),""))))</f>
        <v/>
      </c>
      <c r="O915" s="104" t="str">
        <f>IF(Main[[#This Row],[Tech Start Date]]&lt;1/1/1990,"",IF(Main[[#This Row],[Class]]="C",WORKDAY(Main[[#This Row],[Tech Start Date]],23),IF(Main[[#This Row],[Class]]="B", WORKDAY(Main[[#This Row],[Tech Start Date]],15),IF(Main[[#This Row],[Class]]="A",WORKDAY(Main[[#This Row],[Tech Start Date]],5),""))))</f>
        <v/>
      </c>
      <c r="P915" s="104" t="str">
        <f>IF(Main[[#This Row],[Tech Start Date]]&lt;1/1/1990,"",IF(Main[[#This Row],[Class]]="C",WORKDAY(Main[[#This Row],[Tech Start Date]],28),IF(Main[[#This Row],[Class]]="B", WORKDAY(Main[[#This Row],[Tech Start Date]],19),IF(Main[[#This Row],[Class]]="A",WORKDAY(Main[[#This Row],[Tech Start Date]],9),""))))</f>
        <v/>
      </c>
      <c r="Q915" s="101"/>
      <c r="R915" s="101">
        <v>41172</v>
      </c>
      <c r="S915" s="99" t="s">
        <v>17</v>
      </c>
      <c r="T915" s="107" t="s">
        <v>4</v>
      </c>
      <c r="U915" s="99" t="s">
        <v>29</v>
      </c>
      <c r="V915" s="99" t="s">
        <v>1965</v>
      </c>
      <c r="W915" s="99" t="s">
        <v>4</v>
      </c>
    </row>
    <row r="916" spans="1:23" ht="18.600000000000001" customHeight="1">
      <c r="A916" s="123" t="str">
        <f>IF(priority(Main[[#This Row],[Comments]])&lt;&gt;0, priority(Main[[#This Row],[Comments]]),"")</f>
        <v/>
      </c>
      <c r="B916" s="127" t="s">
        <v>1776</v>
      </c>
      <c r="C916" s="99" t="s">
        <v>4</v>
      </c>
      <c r="D916" s="100" t="s">
        <v>436</v>
      </c>
      <c r="E916" s="101"/>
      <c r="F916" s="101"/>
      <c r="G916" s="102" t="str">
        <f>IF(stdProdLT(Main[[#This Row],[Comments]])=0.1,"N/A",IF(stdProdLT(Main[[#This Row],[Comments]])=0,"",stdProdLT(Main[[#This Row],[Comments]])))</f>
        <v/>
      </c>
      <c r="H916" s="103" t="str">
        <f>IF(AND(Main[[#This Row],[In Stock Date]]&lt;&gt;"",Main[[#This Row],[Revised Due Date]]&lt;&gt;""),Main[[#This Row],[In Stock Date]]-Main[[#This Row],[Revised Due Date]],"")</f>
        <v/>
      </c>
      <c r="I916" s="99" t="s">
        <v>4</v>
      </c>
      <c r="J916" s="99" t="s">
        <v>4</v>
      </c>
      <c r="K916" s="99" t="s">
        <v>4</v>
      </c>
      <c r="L916" s="101"/>
      <c r="M916" s="104" t="str">
        <f>IF(Main[[#This Row],[Tech Start Date]]&lt;1/1/1990,"",IF(Main[[#This Row],[Class]]="C",WORKDAY(Main[[#This Row],[Tech Start Date]],9),IF(Main[[#This Row],[Class]]="B", WORKDAY(Main[[#This Row],[Tech Start Date]],6),IF(Main[[#This Row],[Class]]="A",WORKDAY(Main[[#This Row],[Tech Start Date]],2),""))))</f>
        <v/>
      </c>
      <c r="N916" s="104" t="str">
        <f>IF(Main[[#This Row],[Tech Start Date]]&lt;1/1/1990,"",IF(Main[[#This Row],[Class]]="C",WORKDAY(Main[[#This Row],[Tech Start Date]],19),IF(Main[[#This Row],[Class]]="B", WORKDAY(Main[[#This Row],[Tech Start Date]],12),IF(Main[[#This Row],[Class]]="A",WORKDAY(Main[[#This Row],[Tech Start Date]],4),""))))</f>
        <v/>
      </c>
      <c r="O916" s="104" t="str">
        <f>IF(Main[[#This Row],[Tech Start Date]]&lt;1/1/1990,"",IF(Main[[#This Row],[Class]]="C",WORKDAY(Main[[#This Row],[Tech Start Date]],23),IF(Main[[#This Row],[Class]]="B", WORKDAY(Main[[#This Row],[Tech Start Date]],15),IF(Main[[#This Row],[Class]]="A",WORKDAY(Main[[#This Row],[Tech Start Date]],5),""))))</f>
        <v/>
      </c>
      <c r="P916" s="104" t="str">
        <f>IF(Main[[#This Row],[Tech Start Date]]&lt;1/1/1990,"",IF(Main[[#This Row],[Class]]="C",WORKDAY(Main[[#This Row],[Tech Start Date]],28),IF(Main[[#This Row],[Class]]="B", WORKDAY(Main[[#This Row],[Tech Start Date]],19),IF(Main[[#This Row],[Class]]="A",WORKDAY(Main[[#This Row],[Tech Start Date]],9),""))))</f>
        <v/>
      </c>
      <c r="Q916" s="101"/>
      <c r="R916" s="101"/>
      <c r="S916" s="99" t="s">
        <v>6</v>
      </c>
      <c r="T916" s="107" t="s">
        <v>4</v>
      </c>
      <c r="U916" s="99" t="s">
        <v>14</v>
      </c>
      <c r="V916" s="99" t="s">
        <v>1965</v>
      </c>
      <c r="W916" s="99" t="s">
        <v>1966</v>
      </c>
    </row>
    <row r="917" spans="1:23" ht="18.600000000000001" customHeight="1">
      <c r="A917" s="123" t="str">
        <f>IF(priority(Main[[#This Row],[Comments]])&lt;&gt;0, priority(Main[[#This Row],[Comments]]),"")</f>
        <v/>
      </c>
      <c r="B917" s="127" t="s">
        <v>1777</v>
      </c>
      <c r="C917" s="99" t="s">
        <v>442</v>
      </c>
      <c r="D917" s="100" t="s">
        <v>803</v>
      </c>
      <c r="E917" s="101"/>
      <c r="F917" s="101"/>
      <c r="G917" s="102" t="str">
        <f>IF(stdProdLT(Main[[#This Row],[Comments]])=0.1,"N/A",IF(stdProdLT(Main[[#This Row],[Comments]])=0,"",stdProdLT(Main[[#This Row],[Comments]])))</f>
        <v/>
      </c>
      <c r="H917" s="103" t="str">
        <f>IF(AND(Main[[#This Row],[In Stock Date]]&lt;&gt;"",Main[[#This Row],[Revised Due Date]]&lt;&gt;""),Main[[#This Row],[In Stock Date]]-Main[[#This Row],[Revised Due Date]],"")</f>
        <v/>
      </c>
      <c r="I917" s="99" t="s">
        <v>4</v>
      </c>
      <c r="J917" s="99" t="s">
        <v>4</v>
      </c>
      <c r="K917" s="99" t="s">
        <v>4</v>
      </c>
      <c r="L917" s="101"/>
      <c r="M917" s="104" t="str">
        <f>IF(Main[[#This Row],[Tech Start Date]]&lt;1/1/1990,"",IF(Main[[#This Row],[Class]]="C",WORKDAY(Main[[#This Row],[Tech Start Date]],9),IF(Main[[#This Row],[Class]]="B", WORKDAY(Main[[#This Row],[Tech Start Date]],6),IF(Main[[#This Row],[Class]]="A",WORKDAY(Main[[#This Row],[Tech Start Date]],2),""))))</f>
        <v/>
      </c>
      <c r="N917" s="104" t="str">
        <f>IF(Main[[#This Row],[Tech Start Date]]&lt;1/1/1990,"",IF(Main[[#This Row],[Class]]="C",WORKDAY(Main[[#This Row],[Tech Start Date]],19),IF(Main[[#This Row],[Class]]="B", WORKDAY(Main[[#This Row],[Tech Start Date]],12),IF(Main[[#This Row],[Class]]="A",WORKDAY(Main[[#This Row],[Tech Start Date]],4),""))))</f>
        <v/>
      </c>
      <c r="O917" s="104" t="str">
        <f>IF(Main[[#This Row],[Tech Start Date]]&lt;1/1/1990,"",IF(Main[[#This Row],[Class]]="C",WORKDAY(Main[[#This Row],[Tech Start Date]],23),IF(Main[[#This Row],[Class]]="B", WORKDAY(Main[[#This Row],[Tech Start Date]],15),IF(Main[[#This Row],[Class]]="A",WORKDAY(Main[[#This Row],[Tech Start Date]],5),""))))</f>
        <v/>
      </c>
      <c r="P917" s="104" t="str">
        <f>IF(Main[[#This Row],[Tech Start Date]]&lt;1/1/1990,"",IF(Main[[#This Row],[Class]]="C",WORKDAY(Main[[#This Row],[Tech Start Date]],28),IF(Main[[#This Row],[Class]]="B", WORKDAY(Main[[#This Row],[Tech Start Date]],19),IF(Main[[#This Row],[Class]]="A",WORKDAY(Main[[#This Row],[Tech Start Date]],9),""))))</f>
        <v/>
      </c>
      <c r="Q917" s="101"/>
      <c r="R917" s="101"/>
      <c r="S917" s="99" t="s">
        <v>11</v>
      </c>
      <c r="T917" s="107" t="s">
        <v>4</v>
      </c>
      <c r="U917" s="99" t="s">
        <v>14</v>
      </c>
      <c r="V917" s="99" t="s">
        <v>1962</v>
      </c>
      <c r="W917" s="99" t="s">
        <v>1970</v>
      </c>
    </row>
    <row r="918" spans="1:23" ht="18.600000000000001" customHeight="1">
      <c r="A918" s="123" t="str">
        <f>IF(priority(Main[[#This Row],[Comments]])&lt;&gt;0, priority(Main[[#This Row],[Comments]]),"")</f>
        <v/>
      </c>
      <c r="B918" s="127" t="s">
        <v>1778</v>
      </c>
      <c r="C918" s="99" t="s">
        <v>4</v>
      </c>
      <c r="D918" s="100" t="s">
        <v>804</v>
      </c>
      <c r="E918" s="101">
        <v>40479.428263888891</v>
      </c>
      <c r="F918" s="101"/>
      <c r="G918" s="102" t="str">
        <f>IF(stdProdLT(Main[[#This Row],[Comments]])=0.1,"N/A",IF(stdProdLT(Main[[#This Row],[Comments]])=0,"",stdProdLT(Main[[#This Row],[Comments]])))</f>
        <v/>
      </c>
      <c r="H918" s="103" t="str">
        <f>IF(AND(Main[[#This Row],[In Stock Date]]&lt;&gt;"",Main[[#This Row],[Revised Due Date]]&lt;&gt;""),Main[[#This Row],[In Stock Date]]-Main[[#This Row],[Revised Due Date]],"")</f>
        <v/>
      </c>
      <c r="I918" s="99" t="s">
        <v>30</v>
      </c>
      <c r="J918" s="99" t="s">
        <v>28</v>
      </c>
      <c r="K918" s="99" t="s">
        <v>1971</v>
      </c>
      <c r="L918" s="101"/>
      <c r="M918" s="104" t="str">
        <f>IF(Main[[#This Row],[Tech Start Date]]&lt;1/1/1990,"",IF(Main[[#This Row],[Class]]="C",WORKDAY(Main[[#This Row],[Tech Start Date]],9),IF(Main[[#This Row],[Class]]="B", WORKDAY(Main[[#This Row],[Tech Start Date]],6),IF(Main[[#This Row],[Class]]="A",WORKDAY(Main[[#This Row],[Tech Start Date]],2),""))))</f>
        <v/>
      </c>
      <c r="N918" s="104" t="str">
        <f>IF(Main[[#This Row],[Tech Start Date]]&lt;1/1/1990,"",IF(Main[[#This Row],[Class]]="C",WORKDAY(Main[[#This Row],[Tech Start Date]],19),IF(Main[[#This Row],[Class]]="B", WORKDAY(Main[[#This Row],[Tech Start Date]],12),IF(Main[[#This Row],[Class]]="A",WORKDAY(Main[[#This Row],[Tech Start Date]],4),""))))</f>
        <v/>
      </c>
      <c r="O918" s="104" t="str">
        <f>IF(Main[[#This Row],[Tech Start Date]]&lt;1/1/1990,"",IF(Main[[#This Row],[Class]]="C",WORKDAY(Main[[#This Row],[Tech Start Date]],23),IF(Main[[#This Row],[Class]]="B", WORKDAY(Main[[#This Row],[Tech Start Date]],15),IF(Main[[#This Row],[Class]]="A",WORKDAY(Main[[#This Row],[Tech Start Date]],5),""))))</f>
        <v/>
      </c>
      <c r="P918" s="104" t="str">
        <f>IF(Main[[#This Row],[Tech Start Date]]&lt;1/1/1990,"",IF(Main[[#This Row],[Class]]="C",WORKDAY(Main[[#This Row],[Tech Start Date]],28),IF(Main[[#This Row],[Class]]="B", WORKDAY(Main[[#This Row],[Tech Start Date]],19),IF(Main[[#This Row],[Class]]="A",WORKDAY(Main[[#This Row],[Tech Start Date]],9),""))))</f>
        <v/>
      </c>
      <c r="Q918" s="101">
        <v>40512</v>
      </c>
      <c r="R918" s="101"/>
      <c r="S918" s="99" t="s">
        <v>6</v>
      </c>
      <c r="T918" s="107" t="s">
        <v>4</v>
      </c>
      <c r="U918" s="99" t="s">
        <v>540</v>
      </c>
      <c r="V918" s="99" t="s">
        <v>1965</v>
      </c>
      <c r="W918" s="99" t="s">
        <v>1966</v>
      </c>
    </row>
    <row r="919" spans="1:23" ht="18.600000000000001" customHeight="1">
      <c r="A919" s="123" t="str">
        <f>IF(priority(Main[[#This Row],[Comments]])&lt;&gt;0, priority(Main[[#This Row],[Comments]]),"")</f>
        <v/>
      </c>
      <c r="B919" s="127" t="s">
        <v>1779</v>
      </c>
      <c r="C919" s="99" t="s">
        <v>4</v>
      </c>
      <c r="D919" s="100" t="s">
        <v>39</v>
      </c>
      <c r="E919" s="101"/>
      <c r="F919" s="101"/>
      <c r="G919" s="102" t="str">
        <f>IF(stdProdLT(Main[[#This Row],[Comments]])=0.1,"N/A",IF(stdProdLT(Main[[#This Row],[Comments]])=0,"",stdProdLT(Main[[#This Row],[Comments]])))</f>
        <v/>
      </c>
      <c r="H919" s="103" t="str">
        <f>IF(AND(Main[[#This Row],[In Stock Date]]&lt;&gt;"",Main[[#This Row],[Revised Due Date]]&lt;&gt;""),Main[[#This Row],[In Stock Date]]-Main[[#This Row],[Revised Due Date]],"")</f>
        <v/>
      </c>
      <c r="I919" s="99" t="s">
        <v>4</v>
      </c>
      <c r="J919" s="99" t="s">
        <v>4</v>
      </c>
      <c r="K919" s="99" t="s">
        <v>4</v>
      </c>
      <c r="L919" s="101"/>
      <c r="M919" s="104" t="str">
        <f>IF(Main[[#This Row],[Tech Start Date]]&lt;1/1/1990,"",IF(Main[[#This Row],[Class]]="C",WORKDAY(Main[[#This Row],[Tech Start Date]],9),IF(Main[[#This Row],[Class]]="B", WORKDAY(Main[[#This Row],[Tech Start Date]],6),IF(Main[[#This Row],[Class]]="A",WORKDAY(Main[[#This Row],[Tech Start Date]],2),""))))</f>
        <v/>
      </c>
      <c r="N919" s="104" t="str">
        <f>IF(Main[[#This Row],[Tech Start Date]]&lt;1/1/1990,"",IF(Main[[#This Row],[Class]]="C",WORKDAY(Main[[#This Row],[Tech Start Date]],19),IF(Main[[#This Row],[Class]]="B", WORKDAY(Main[[#This Row],[Tech Start Date]],12),IF(Main[[#This Row],[Class]]="A",WORKDAY(Main[[#This Row],[Tech Start Date]],4),""))))</f>
        <v/>
      </c>
      <c r="O919" s="104" t="str">
        <f>IF(Main[[#This Row],[Tech Start Date]]&lt;1/1/1990,"",IF(Main[[#This Row],[Class]]="C",WORKDAY(Main[[#This Row],[Tech Start Date]],23),IF(Main[[#This Row],[Class]]="B", WORKDAY(Main[[#This Row],[Tech Start Date]],15),IF(Main[[#This Row],[Class]]="A",WORKDAY(Main[[#This Row],[Tech Start Date]],5),""))))</f>
        <v/>
      </c>
      <c r="P919" s="104" t="str">
        <f>IF(Main[[#This Row],[Tech Start Date]]&lt;1/1/1990,"",IF(Main[[#This Row],[Class]]="C",WORKDAY(Main[[#This Row],[Tech Start Date]],28),IF(Main[[#This Row],[Class]]="B", WORKDAY(Main[[#This Row],[Tech Start Date]],19),IF(Main[[#This Row],[Class]]="A",WORKDAY(Main[[#This Row],[Tech Start Date]],9),""))))</f>
        <v/>
      </c>
      <c r="Q919" s="101">
        <v>40669</v>
      </c>
      <c r="R919" s="101"/>
      <c r="S919" s="99" t="s">
        <v>6</v>
      </c>
      <c r="T919" s="107" t="s">
        <v>4</v>
      </c>
      <c r="U919" s="99" t="s">
        <v>14</v>
      </c>
      <c r="V919" s="99" t="s">
        <v>1965</v>
      </c>
      <c r="W919" s="99" t="s">
        <v>4</v>
      </c>
    </row>
    <row r="920" spans="1:23" ht="18.600000000000001" customHeight="1">
      <c r="A920" s="123" t="str">
        <f>IF(priority(Main[[#This Row],[Comments]])&lt;&gt;0, priority(Main[[#This Row],[Comments]]),"")</f>
        <v/>
      </c>
      <c r="B920" s="127" t="s">
        <v>1780</v>
      </c>
      <c r="C920" s="99" t="s">
        <v>4</v>
      </c>
      <c r="D920" s="100" t="s">
        <v>805</v>
      </c>
      <c r="E920" s="101"/>
      <c r="F920" s="101"/>
      <c r="G920" s="102" t="str">
        <f>IF(stdProdLT(Main[[#This Row],[Comments]])=0.1,"N/A",IF(stdProdLT(Main[[#This Row],[Comments]])=0,"",stdProdLT(Main[[#This Row],[Comments]])))</f>
        <v/>
      </c>
      <c r="H920" s="103" t="str">
        <f>IF(AND(Main[[#This Row],[In Stock Date]]&lt;&gt;"",Main[[#This Row],[Revised Due Date]]&lt;&gt;""),Main[[#This Row],[In Stock Date]]-Main[[#This Row],[Revised Due Date]],"")</f>
        <v/>
      </c>
      <c r="I920" s="99" t="s">
        <v>4</v>
      </c>
      <c r="J920" s="99" t="s">
        <v>4</v>
      </c>
      <c r="K920" s="99" t="s">
        <v>4</v>
      </c>
      <c r="L920" s="101"/>
      <c r="M920" s="104" t="str">
        <f>IF(Main[[#This Row],[Tech Start Date]]&lt;1/1/1990,"",IF(Main[[#This Row],[Class]]="C",WORKDAY(Main[[#This Row],[Tech Start Date]],9),IF(Main[[#This Row],[Class]]="B", WORKDAY(Main[[#This Row],[Tech Start Date]],6),IF(Main[[#This Row],[Class]]="A",WORKDAY(Main[[#This Row],[Tech Start Date]],2),""))))</f>
        <v/>
      </c>
      <c r="N920" s="104" t="str">
        <f>IF(Main[[#This Row],[Tech Start Date]]&lt;1/1/1990,"",IF(Main[[#This Row],[Class]]="C",WORKDAY(Main[[#This Row],[Tech Start Date]],19),IF(Main[[#This Row],[Class]]="B", WORKDAY(Main[[#This Row],[Tech Start Date]],12),IF(Main[[#This Row],[Class]]="A",WORKDAY(Main[[#This Row],[Tech Start Date]],4),""))))</f>
        <v/>
      </c>
      <c r="O920" s="104" t="str">
        <f>IF(Main[[#This Row],[Tech Start Date]]&lt;1/1/1990,"",IF(Main[[#This Row],[Class]]="C",WORKDAY(Main[[#This Row],[Tech Start Date]],23),IF(Main[[#This Row],[Class]]="B", WORKDAY(Main[[#This Row],[Tech Start Date]],15),IF(Main[[#This Row],[Class]]="A",WORKDAY(Main[[#This Row],[Tech Start Date]],5),""))))</f>
        <v/>
      </c>
      <c r="P920" s="104" t="str">
        <f>IF(Main[[#This Row],[Tech Start Date]]&lt;1/1/1990,"",IF(Main[[#This Row],[Class]]="C",WORKDAY(Main[[#This Row],[Tech Start Date]],28),IF(Main[[#This Row],[Class]]="B", WORKDAY(Main[[#This Row],[Tech Start Date]],19),IF(Main[[#This Row],[Class]]="A",WORKDAY(Main[[#This Row],[Tech Start Date]],9),""))))</f>
        <v/>
      </c>
      <c r="Q920" s="101"/>
      <c r="R920" s="101"/>
      <c r="S920" s="99" t="s">
        <v>17</v>
      </c>
      <c r="T920" s="107" t="s">
        <v>4</v>
      </c>
      <c r="U920" s="99" t="s">
        <v>14</v>
      </c>
      <c r="V920" s="99" t="s">
        <v>1965</v>
      </c>
      <c r="W920" s="99" t="s">
        <v>4</v>
      </c>
    </row>
    <row r="921" spans="1:23" ht="18.600000000000001" customHeight="1">
      <c r="A921" s="123" t="str">
        <f>IF(priority(Main[[#This Row],[Comments]])&lt;&gt;0, priority(Main[[#This Row],[Comments]]),"")</f>
        <v/>
      </c>
      <c r="B921" s="127" t="s">
        <v>1526</v>
      </c>
      <c r="C921" s="99" t="s">
        <v>37</v>
      </c>
      <c r="D921" s="100" t="s">
        <v>2512</v>
      </c>
      <c r="E921" s="101">
        <v>40682.490115740744</v>
      </c>
      <c r="F921" s="101"/>
      <c r="G921" s="102" t="str">
        <f>IF(stdProdLT(Main[[#This Row],[Comments]])=0.1,"N/A",IF(stdProdLT(Main[[#This Row],[Comments]])=0,"",stdProdLT(Main[[#This Row],[Comments]])))</f>
        <v/>
      </c>
      <c r="H921" s="103" t="str">
        <f>IF(AND(Main[[#This Row],[In Stock Date]]&lt;&gt;"",Main[[#This Row],[Revised Due Date]]&lt;&gt;""),Main[[#This Row],[In Stock Date]]-Main[[#This Row],[Revised Due Date]],"")</f>
        <v/>
      </c>
      <c r="I921" s="99" t="s">
        <v>4</v>
      </c>
      <c r="J921" s="99" t="s">
        <v>4</v>
      </c>
      <c r="K921" s="99" t="s">
        <v>4</v>
      </c>
      <c r="L921" s="101"/>
      <c r="M921" s="104" t="str">
        <f>IF(Main[[#This Row],[Tech Start Date]]&lt;1/1/1990,"",IF(Main[[#This Row],[Class]]="C",WORKDAY(Main[[#This Row],[Tech Start Date]],9),IF(Main[[#This Row],[Class]]="B", WORKDAY(Main[[#This Row],[Tech Start Date]],6),IF(Main[[#This Row],[Class]]="A",WORKDAY(Main[[#This Row],[Tech Start Date]],2),""))))</f>
        <v/>
      </c>
      <c r="N921" s="104" t="str">
        <f>IF(Main[[#This Row],[Tech Start Date]]&lt;1/1/1990,"",IF(Main[[#This Row],[Class]]="C",WORKDAY(Main[[#This Row],[Tech Start Date]],19),IF(Main[[#This Row],[Class]]="B", WORKDAY(Main[[#This Row],[Tech Start Date]],12),IF(Main[[#This Row],[Class]]="A",WORKDAY(Main[[#This Row],[Tech Start Date]],4),""))))</f>
        <v/>
      </c>
      <c r="O921" s="104" t="str">
        <f>IF(Main[[#This Row],[Tech Start Date]]&lt;1/1/1990,"",IF(Main[[#This Row],[Class]]="C",WORKDAY(Main[[#This Row],[Tech Start Date]],23),IF(Main[[#This Row],[Class]]="B", WORKDAY(Main[[#This Row],[Tech Start Date]],15),IF(Main[[#This Row],[Class]]="A",WORKDAY(Main[[#This Row],[Tech Start Date]],5),""))))</f>
        <v/>
      </c>
      <c r="P921" s="104" t="str">
        <f>IF(Main[[#This Row],[Tech Start Date]]&lt;1/1/1990,"",IF(Main[[#This Row],[Class]]="C",WORKDAY(Main[[#This Row],[Tech Start Date]],28),IF(Main[[#This Row],[Class]]="B", WORKDAY(Main[[#This Row],[Tech Start Date]],19),IF(Main[[#This Row],[Class]]="A",WORKDAY(Main[[#This Row],[Tech Start Date]],9),""))))</f>
        <v/>
      </c>
      <c r="Q921" s="101">
        <v>40703</v>
      </c>
      <c r="R921" s="101"/>
      <c r="S921" s="99" t="s">
        <v>6</v>
      </c>
      <c r="T921" s="107" t="s">
        <v>4</v>
      </c>
      <c r="U921" s="99" t="s">
        <v>7</v>
      </c>
      <c r="V921" s="99" t="s">
        <v>1962</v>
      </c>
      <c r="W921" s="99" t="s">
        <v>1973</v>
      </c>
    </row>
    <row r="922" spans="1:23" ht="18.600000000000001" customHeight="1">
      <c r="A922" s="123" t="str">
        <f>IF(priority(Main[[#This Row],[Comments]])&lt;&gt;0, priority(Main[[#This Row],[Comments]]),"")</f>
        <v/>
      </c>
      <c r="B922" s="127" t="s">
        <v>1782</v>
      </c>
      <c r="C922" s="99" t="s">
        <v>4</v>
      </c>
      <c r="D922" s="100" t="s">
        <v>691</v>
      </c>
      <c r="E922" s="101"/>
      <c r="F922" s="101"/>
      <c r="G922" s="102" t="str">
        <f>IF(stdProdLT(Main[[#This Row],[Comments]])=0.1,"N/A",IF(stdProdLT(Main[[#This Row],[Comments]])=0,"",stdProdLT(Main[[#This Row],[Comments]])))</f>
        <v/>
      </c>
      <c r="H922" s="103" t="str">
        <f>IF(AND(Main[[#This Row],[In Stock Date]]&lt;&gt;"",Main[[#This Row],[Revised Due Date]]&lt;&gt;""),Main[[#This Row],[In Stock Date]]-Main[[#This Row],[Revised Due Date]],"")</f>
        <v/>
      </c>
      <c r="I922" s="99" t="s">
        <v>4</v>
      </c>
      <c r="J922" s="99" t="s">
        <v>4</v>
      </c>
      <c r="K922" s="108" t="s">
        <v>4</v>
      </c>
      <c r="L922" s="101"/>
      <c r="M922" s="104" t="str">
        <f>IF(Main[[#This Row],[Tech Start Date]]&lt;1/1/1990,"",IF(Main[[#This Row],[Class]]="C",WORKDAY(Main[[#This Row],[Tech Start Date]],9),IF(Main[[#This Row],[Class]]="B", WORKDAY(Main[[#This Row],[Tech Start Date]],6),IF(Main[[#This Row],[Class]]="A",WORKDAY(Main[[#This Row],[Tech Start Date]],2),""))))</f>
        <v/>
      </c>
      <c r="N922" s="104" t="str">
        <f>IF(Main[[#This Row],[Tech Start Date]]&lt;1/1/1990,"",IF(Main[[#This Row],[Class]]="C",WORKDAY(Main[[#This Row],[Tech Start Date]],19),IF(Main[[#This Row],[Class]]="B", WORKDAY(Main[[#This Row],[Tech Start Date]],12),IF(Main[[#This Row],[Class]]="A",WORKDAY(Main[[#This Row],[Tech Start Date]],4),""))))</f>
        <v/>
      </c>
      <c r="O922" s="104" t="str">
        <f>IF(Main[[#This Row],[Tech Start Date]]&lt;1/1/1990,"",IF(Main[[#This Row],[Class]]="C",WORKDAY(Main[[#This Row],[Tech Start Date]],23),IF(Main[[#This Row],[Class]]="B", WORKDAY(Main[[#This Row],[Tech Start Date]],15),IF(Main[[#This Row],[Class]]="A",WORKDAY(Main[[#This Row],[Tech Start Date]],5),""))))</f>
        <v/>
      </c>
      <c r="P922" s="104" t="str">
        <f>IF(Main[[#This Row],[Tech Start Date]]&lt;1/1/1990,"",IF(Main[[#This Row],[Class]]="C",WORKDAY(Main[[#This Row],[Tech Start Date]],28),IF(Main[[#This Row],[Class]]="B", WORKDAY(Main[[#This Row],[Tech Start Date]],19),IF(Main[[#This Row],[Class]]="A",WORKDAY(Main[[#This Row],[Tech Start Date]],9),""))))</f>
        <v/>
      </c>
      <c r="Q922" s="101"/>
      <c r="R922" s="101"/>
      <c r="S922" s="99" t="s">
        <v>23</v>
      </c>
      <c r="T922" s="107" t="s">
        <v>4</v>
      </c>
      <c r="U922" s="99" t="s">
        <v>14</v>
      </c>
      <c r="V922" s="99" t="s">
        <v>1965</v>
      </c>
      <c r="W922" s="99" t="s">
        <v>1966</v>
      </c>
    </row>
    <row r="923" spans="1:23" ht="18.600000000000001" customHeight="1">
      <c r="A923" s="123" t="str">
        <f>IF(priority(Main[[#This Row],[Comments]])&lt;&gt;0, priority(Main[[#This Row],[Comments]]),"")</f>
        <v/>
      </c>
      <c r="B923" s="127" t="s">
        <v>1783</v>
      </c>
      <c r="C923" s="99" t="s">
        <v>31</v>
      </c>
      <c r="D923" s="100" t="s">
        <v>806</v>
      </c>
      <c r="E923" s="101"/>
      <c r="F923" s="101"/>
      <c r="G923" s="102" t="str">
        <f>IF(stdProdLT(Main[[#This Row],[Comments]])=0.1,"N/A",IF(stdProdLT(Main[[#This Row],[Comments]])=0,"",stdProdLT(Main[[#This Row],[Comments]])))</f>
        <v/>
      </c>
      <c r="H923" s="103" t="str">
        <f>IF(AND(Main[[#This Row],[In Stock Date]]&lt;&gt;"",Main[[#This Row],[Revised Due Date]]&lt;&gt;""),Main[[#This Row],[In Stock Date]]-Main[[#This Row],[Revised Due Date]],"")</f>
        <v/>
      </c>
      <c r="I923" s="99" t="s">
        <v>4</v>
      </c>
      <c r="J923" s="99" t="s">
        <v>4</v>
      </c>
      <c r="K923" s="99" t="s">
        <v>4</v>
      </c>
      <c r="L923" s="101"/>
      <c r="M923" s="104" t="str">
        <f>IF(Main[[#This Row],[Tech Start Date]]&lt;1/1/1990,"",IF(Main[[#This Row],[Class]]="C",WORKDAY(Main[[#This Row],[Tech Start Date]],9),IF(Main[[#This Row],[Class]]="B", WORKDAY(Main[[#This Row],[Tech Start Date]],6),IF(Main[[#This Row],[Class]]="A",WORKDAY(Main[[#This Row],[Tech Start Date]],2),""))))</f>
        <v/>
      </c>
      <c r="N923" s="104" t="str">
        <f>IF(Main[[#This Row],[Tech Start Date]]&lt;1/1/1990,"",IF(Main[[#This Row],[Class]]="C",WORKDAY(Main[[#This Row],[Tech Start Date]],19),IF(Main[[#This Row],[Class]]="B", WORKDAY(Main[[#This Row],[Tech Start Date]],12),IF(Main[[#This Row],[Class]]="A",WORKDAY(Main[[#This Row],[Tech Start Date]],4),""))))</f>
        <v/>
      </c>
      <c r="O923" s="104" t="str">
        <f>IF(Main[[#This Row],[Tech Start Date]]&lt;1/1/1990,"",IF(Main[[#This Row],[Class]]="C",WORKDAY(Main[[#This Row],[Tech Start Date]],23),IF(Main[[#This Row],[Class]]="B", WORKDAY(Main[[#This Row],[Tech Start Date]],15),IF(Main[[#This Row],[Class]]="A",WORKDAY(Main[[#This Row],[Tech Start Date]],5),""))))</f>
        <v/>
      </c>
      <c r="P923" s="104" t="str">
        <f>IF(Main[[#This Row],[Tech Start Date]]&lt;1/1/1990,"",IF(Main[[#This Row],[Class]]="C",WORKDAY(Main[[#This Row],[Tech Start Date]],28),IF(Main[[#This Row],[Class]]="B", WORKDAY(Main[[#This Row],[Tech Start Date]],19),IF(Main[[#This Row],[Class]]="A",WORKDAY(Main[[#This Row],[Tech Start Date]],9),""))))</f>
        <v/>
      </c>
      <c r="Q923" s="101">
        <v>40318</v>
      </c>
      <c r="R923" s="101"/>
      <c r="S923" s="99" t="s">
        <v>11</v>
      </c>
      <c r="T923" s="107" t="s">
        <v>4</v>
      </c>
      <c r="U923" s="99" t="s">
        <v>14</v>
      </c>
      <c r="V923" s="99" t="s">
        <v>1972</v>
      </c>
      <c r="W923" s="99" t="s">
        <v>1964</v>
      </c>
    </row>
    <row r="924" spans="1:23" ht="18.600000000000001" customHeight="1">
      <c r="A924" s="123" t="str">
        <f>IF(priority(Main[[#This Row],[Comments]])&lt;&gt;0, priority(Main[[#This Row],[Comments]]),"")</f>
        <v/>
      </c>
      <c r="B924" s="127" t="s">
        <v>1810</v>
      </c>
      <c r="C924" s="99" t="s">
        <v>4</v>
      </c>
      <c r="D924" s="100" t="s">
        <v>819</v>
      </c>
      <c r="E924" s="101"/>
      <c r="F924" s="101"/>
      <c r="G924" s="102" t="str">
        <f>IF(stdProdLT(Main[[#This Row],[Comments]])=0.1,"N/A",IF(stdProdLT(Main[[#This Row],[Comments]])=0,"",stdProdLT(Main[[#This Row],[Comments]])))</f>
        <v/>
      </c>
      <c r="H924" s="103" t="str">
        <f>IF(AND(Main[[#This Row],[In Stock Date]]&lt;&gt;"",Main[[#This Row],[Revised Due Date]]&lt;&gt;""),Main[[#This Row],[In Stock Date]]-Main[[#This Row],[Revised Due Date]],"")</f>
        <v/>
      </c>
      <c r="I924" s="99" t="s">
        <v>4</v>
      </c>
      <c r="J924" s="99" t="s">
        <v>4</v>
      </c>
      <c r="K924" s="108" t="s">
        <v>4</v>
      </c>
      <c r="L924" s="101"/>
      <c r="M924" s="104" t="str">
        <f>IF(Main[[#This Row],[Tech Start Date]]&lt;1/1/1990,"",IF(Main[[#This Row],[Class]]="C",WORKDAY(Main[[#This Row],[Tech Start Date]],9),IF(Main[[#This Row],[Class]]="B", WORKDAY(Main[[#This Row],[Tech Start Date]],6),IF(Main[[#This Row],[Class]]="A",WORKDAY(Main[[#This Row],[Tech Start Date]],2),""))))</f>
        <v/>
      </c>
      <c r="N924" s="104" t="str">
        <f>IF(Main[[#This Row],[Tech Start Date]]&lt;1/1/1990,"",IF(Main[[#This Row],[Class]]="C",WORKDAY(Main[[#This Row],[Tech Start Date]],19),IF(Main[[#This Row],[Class]]="B", WORKDAY(Main[[#This Row],[Tech Start Date]],12),IF(Main[[#This Row],[Class]]="A",WORKDAY(Main[[#This Row],[Tech Start Date]],4),""))))</f>
        <v/>
      </c>
      <c r="O924" s="104" t="str">
        <f>IF(Main[[#This Row],[Tech Start Date]]&lt;1/1/1990,"",IF(Main[[#This Row],[Class]]="C",WORKDAY(Main[[#This Row],[Tech Start Date]],23),IF(Main[[#This Row],[Class]]="B", WORKDAY(Main[[#This Row],[Tech Start Date]],15),IF(Main[[#This Row],[Class]]="A",WORKDAY(Main[[#This Row],[Tech Start Date]],5),""))))</f>
        <v/>
      </c>
      <c r="P924" s="104" t="str">
        <f>IF(Main[[#This Row],[Tech Start Date]]&lt;1/1/1990,"",IF(Main[[#This Row],[Class]]="C",WORKDAY(Main[[#This Row],[Tech Start Date]],28),IF(Main[[#This Row],[Class]]="B", WORKDAY(Main[[#This Row],[Tech Start Date]],19),IF(Main[[#This Row],[Class]]="A",WORKDAY(Main[[#This Row],[Tech Start Date]],9),""))))</f>
        <v/>
      </c>
      <c r="Q924" s="101"/>
      <c r="R924" s="101"/>
      <c r="S924" s="99" t="s">
        <v>49</v>
      </c>
      <c r="T924" s="107" t="s">
        <v>4</v>
      </c>
      <c r="U924" s="99" t="s">
        <v>14</v>
      </c>
      <c r="V924" s="99" t="s">
        <v>1965</v>
      </c>
      <c r="W924" s="99" t="s">
        <v>1966</v>
      </c>
    </row>
    <row r="925" spans="1:23" ht="18.600000000000001" customHeight="1">
      <c r="A925" s="123" t="str">
        <f>IF(priority(Main[[#This Row],[Comments]])&lt;&gt;0, priority(Main[[#This Row],[Comments]]),"")</f>
        <v/>
      </c>
      <c r="B925" s="127" t="s">
        <v>1811</v>
      </c>
      <c r="C925" s="99" t="s">
        <v>4</v>
      </c>
      <c r="D925" s="100" t="s">
        <v>820</v>
      </c>
      <c r="E925" s="101"/>
      <c r="F925" s="101"/>
      <c r="G925" s="102" t="str">
        <f>IF(stdProdLT(Main[[#This Row],[Comments]])=0.1,"N/A",IF(stdProdLT(Main[[#This Row],[Comments]])=0,"",stdProdLT(Main[[#This Row],[Comments]])))</f>
        <v/>
      </c>
      <c r="H925" s="103" t="str">
        <f>IF(AND(Main[[#This Row],[In Stock Date]]&lt;&gt;"",Main[[#This Row],[Revised Due Date]]&lt;&gt;""),Main[[#This Row],[In Stock Date]]-Main[[#This Row],[Revised Due Date]],"")</f>
        <v/>
      </c>
      <c r="I925" s="99" t="s">
        <v>4</v>
      </c>
      <c r="J925" s="99" t="s">
        <v>4</v>
      </c>
      <c r="K925" s="99" t="s">
        <v>4</v>
      </c>
      <c r="L925" s="101"/>
      <c r="M925" s="104" t="str">
        <f>IF(Main[[#This Row],[Tech Start Date]]&lt;1/1/1990,"",IF(Main[[#This Row],[Class]]="C",WORKDAY(Main[[#This Row],[Tech Start Date]],9),IF(Main[[#This Row],[Class]]="B", WORKDAY(Main[[#This Row],[Tech Start Date]],6),IF(Main[[#This Row],[Class]]="A",WORKDAY(Main[[#This Row],[Tech Start Date]],2),""))))</f>
        <v/>
      </c>
      <c r="N925" s="104" t="str">
        <f>IF(Main[[#This Row],[Tech Start Date]]&lt;1/1/1990,"",IF(Main[[#This Row],[Class]]="C",WORKDAY(Main[[#This Row],[Tech Start Date]],19),IF(Main[[#This Row],[Class]]="B", WORKDAY(Main[[#This Row],[Tech Start Date]],12),IF(Main[[#This Row],[Class]]="A",WORKDAY(Main[[#This Row],[Tech Start Date]],4),""))))</f>
        <v/>
      </c>
      <c r="O925" s="104" t="str">
        <f>IF(Main[[#This Row],[Tech Start Date]]&lt;1/1/1990,"",IF(Main[[#This Row],[Class]]="C",WORKDAY(Main[[#This Row],[Tech Start Date]],23),IF(Main[[#This Row],[Class]]="B", WORKDAY(Main[[#This Row],[Tech Start Date]],15),IF(Main[[#This Row],[Class]]="A",WORKDAY(Main[[#This Row],[Tech Start Date]],5),""))))</f>
        <v/>
      </c>
      <c r="P925" s="104" t="str">
        <f>IF(Main[[#This Row],[Tech Start Date]]&lt;1/1/1990,"",IF(Main[[#This Row],[Class]]="C",WORKDAY(Main[[#This Row],[Tech Start Date]],28),IF(Main[[#This Row],[Class]]="B", WORKDAY(Main[[#This Row],[Tech Start Date]],19),IF(Main[[#This Row],[Class]]="A",WORKDAY(Main[[#This Row],[Tech Start Date]],9),""))))</f>
        <v/>
      </c>
      <c r="Q925" s="101"/>
      <c r="R925" s="101"/>
      <c r="S925" s="99" t="s">
        <v>6</v>
      </c>
      <c r="T925" s="107" t="s">
        <v>4</v>
      </c>
      <c r="U925" s="99" t="s">
        <v>12</v>
      </c>
      <c r="V925" s="99" t="s">
        <v>1962</v>
      </c>
      <c r="W925" s="99" t="s">
        <v>1966</v>
      </c>
    </row>
    <row r="926" spans="1:23" ht="18.600000000000001" customHeight="1">
      <c r="A926" s="123" t="str">
        <f>IF(priority(Main[[#This Row],[Comments]])&lt;&gt;0, priority(Main[[#This Row],[Comments]]),"")</f>
        <v/>
      </c>
      <c r="B926" s="127" t="s">
        <v>1785</v>
      </c>
      <c r="C926" s="99" t="s">
        <v>289</v>
      </c>
      <c r="D926" s="100" t="s">
        <v>810</v>
      </c>
      <c r="E926" s="101"/>
      <c r="F926" s="101"/>
      <c r="G926" s="102" t="str">
        <f>IF(stdProdLT(Main[[#This Row],[Comments]])=0.1,"N/A",IF(stdProdLT(Main[[#This Row],[Comments]])=0,"",stdProdLT(Main[[#This Row],[Comments]])))</f>
        <v/>
      </c>
      <c r="H926" s="103" t="str">
        <f>IF(AND(Main[[#This Row],[In Stock Date]]&lt;&gt;"",Main[[#This Row],[Revised Due Date]]&lt;&gt;""),Main[[#This Row],[In Stock Date]]-Main[[#This Row],[Revised Due Date]],"")</f>
        <v/>
      </c>
      <c r="I926" s="99" t="s">
        <v>4</v>
      </c>
      <c r="J926" s="99" t="s">
        <v>4</v>
      </c>
      <c r="K926" s="99" t="s">
        <v>4</v>
      </c>
      <c r="L926" s="101"/>
      <c r="M926" s="104" t="str">
        <f>IF(Main[[#This Row],[Tech Start Date]]&lt;1/1/1990,"",IF(Main[[#This Row],[Class]]="C",WORKDAY(Main[[#This Row],[Tech Start Date]],9),IF(Main[[#This Row],[Class]]="B", WORKDAY(Main[[#This Row],[Tech Start Date]],6),IF(Main[[#This Row],[Class]]="A",WORKDAY(Main[[#This Row],[Tech Start Date]],2),""))))</f>
        <v/>
      </c>
      <c r="N926" s="104" t="str">
        <f>IF(Main[[#This Row],[Tech Start Date]]&lt;1/1/1990,"",IF(Main[[#This Row],[Class]]="C",WORKDAY(Main[[#This Row],[Tech Start Date]],19),IF(Main[[#This Row],[Class]]="B", WORKDAY(Main[[#This Row],[Tech Start Date]],12),IF(Main[[#This Row],[Class]]="A",WORKDAY(Main[[#This Row],[Tech Start Date]],4),""))))</f>
        <v/>
      </c>
      <c r="O926" s="104" t="str">
        <f>IF(Main[[#This Row],[Tech Start Date]]&lt;1/1/1990,"",IF(Main[[#This Row],[Class]]="C",WORKDAY(Main[[#This Row],[Tech Start Date]],23),IF(Main[[#This Row],[Class]]="B", WORKDAY(Main[[#This Row],[Tech Start Date]],15),IF(Main[[#This Row],[Class]]="A",WORKDAY(Main[[#This Row],[Tech Start Date]],5),""))))</f>
        <v/>
      </c>
      <c r="P926" s="104" t="str">
        <f>IF(Main[[#This Row],[Tech Start Date]]&lt;1/1/1990,"",IF(Main[[#This Row],[Class]]="C",WORKDAY(Main[[#This Row],[Tech Start Date]],28),IF(Main[[#This Row],[Class]]="B", WORKDAY(Main[[#This Row],[Tech Start Date]],19),IF(Main[[#This Row],[Class]]="A",WORKDAY(Main[[#This Row],[Tech Start Date]],9),""))))</f>
        <v/>
      </c>
      <c r="Q926" s="101">
        <v>40134</v>
      </c>
      <c r="R926" s="101"/>
      <c r="S926" s="99" t="s">
        <v>11</v>
      </c>
      <c r="T926" s="107" t="s">
        <v>4</v>
      </c>
      <c r="U926" s="99" t="s">
        <v>14</v>
      </c>
      <c r="V926" s="99" t="s">
        <v>1972</v>
      </c>
      <c r="W926" s="99" t="s">
        <v>1970</v>
      </c>
    </row>
    <row r="927" spans="1:23" ht="18.600000000000001" customHeight="1">
      <c r="A927" s="123" t="str">
        <f>IF(priority(Main[[#This Row],[Comments]])&lt;&gt;0, priority(Main[[#This Row],[Comments]]),"")</f>
        <v/>
      </c>
      <c r="B927" s="127" t="s">
        <v>1786</v>
      </c>
      <c r="C927" s="99" t="s">
        <v>4</v>
      </c>
      <c r="D927" s="100" t="s">
        <v>811</v>
      </c>
      <c r="E927" s="101"/>
      <c r="F927" s="101">
        <v>40598</v>
      </c>
      <c r="G927" s="102" t="str">
        <f>IF(stdProdLT(Main[[#This Row],[Comments]])=0.1,"N/A",IF(stdProdLT(Main[[#This Row],[Comments]])=0,"",stdProdLT(Main[[#This Row],[Comments]])))</f>
        <v/>
      </c>
      <c r="H927" s="103" t="str">
        <f>IF(AND(Main[[#This Row],[In Stock Date]]&lt;&gt;"",Main[[#This Row],[Revised Due Date]]&lt;&gt;""),Main[[#This Row],[In Stock Date]]-Main[[#This Row],[Revised Due Date]],"")</f>
        <v/>
      </c>
      <c r="I927" s="99" t="s">
        <v>4</v>
      </c>
      <c r="J927" s="99" t="s">
        <v>4</v>
      </c>
      <c r="K927" s="108" t="s">
        <v>4</v>
      </c>
      <c r="L927" s="101"/>
      <c r="M927" s="104" t="str">
        <f>IF(Main[[#This Row],[Tech Start Date]]&lt;1/1/1990,"",IF(Main[[#This Row],[Class]]="C",WORKDAY(Main[[#This Row],[Tech Start Date]],9),IF(Main[[#This Row],[Class]]="B", WORKDAY(Main[[#This Row],[Tech Start Date]],6),IF(Main[[#This Row],[Class]]="A",WORKDAY(Main[[#This Row],[Tech Start Date]],2),""))))</f>
        <v/>
      </c>
      <c r="N927" s="104" t="str">
        <f>IF(Main[[#This Row],[Tech Start Date]]&lt;1/1/1990,"",IF(Main[[#This Row],[Class]]="C",WORKDAY(Main[[#This Row],[Tech Start Date]],19),IF(Main[[#This Row],[Class]]="B", WORKDAY(Main[[#This Row],[Tech Start Date]],12),IF(Main[[#This Row],[Class]]="A",WORKDAY(Main[[#This Row],[Tech Start Date]],4),""))))</f>
        <v/>
      </c>
      <c r="O927" s="104" t="str">
        <f>IF(Main[[#This Row],[Tech Start Date]]&lt;1/1/1990,"",IF(Main[[#This Row],[Class]]="C",WORKDAY(Main[[#This Row],[Tech Start Date]],23),IF(Main[[#This Row],[Class]]="B", WORKDAY(Main[[#This Row],[Tech Start Date]],15),IF(Main[[#This Row],[Class]]="A",WORKDAY(Main[[#This Row],[Tech Start Date]],5),""))))</f>
        <v/>
      </c>
      <c r="P927" s="104" t="str">
        <f>IF(Main[[#This Row],[Tech Start Date]]&lt;1/1/1990,"",IF(Main[[#This Row],[Class]]="C",WORKDAY(Main[[#This Row],[Tech Start Date]],28),IF(Main[[#This Row],[Class]]="B", WORKDAY(Main[[#This Row],[Tech Start Date]],19),IF(Main[[#This Row],[Class]]="A",WORKDAY(Main[[#This Row],[Tech Start Date]],9),""))))</f>
        <v/>
      </c>
      <c r="Q927" s="101">
        <v>40598</v>
      </c>
      <c r="R927" s="101"/>
      <c r="S927" s="99" t="s">
        <v>11</v>
      </c>
      <c r="T927" s="107" t="s">
        <v>4</v>
      </c>
      <c r="U927" s="99" t="s">
        <v>14</v>
      </c>
      <c r="V927" s="99" t="s">
        <v>1972</v>
      </c>
      <c r="W927" s="99" t="s">
        <v>1968</v>
      </c>
    </row>
    <row r="928" spans="1:23" ht="18.600000000000001" customHeight="1">
      <c r="A928" s="123" t="str">
        <f>IF(priority(Main[[#This Row],[Comments]])&lt;&gt;0, priority(Main[[#This Row],[Comments]]),"")</f>
        <v/>
      </c>
      <c r="B928" s="127" t="s">
        <v>1787</v>
      </c>
      <c r="C928" s="99" t="s">
        <v>442</v>
      </c>
      <c r="D928" s="100" t="s">
        <v>803</v>
      </c>
      <c r="E928" s="101"/>
      <c r="F928" s="101"/>
      <c r="G928" s="102" t="str">
        <f>IF(stdProdLT(Main[[#This Row],[Comments]])=0.1,"N/A",IF(stdProdLT(Main[[#This Row],[Comments]])=0,"",stdProdLT(Main[[#This Row],[Comments]])))</f>
        <v/>
      </c>
      <c r="H928" s="103" t="str">
        <f>IF(AND(Main[[#This Row],[In Stock Date]]&lt;&gt;"",Main[[#This Row],[Revised Due Date]]&lt;&gt;""),Main[[#This Row],[In Stock Date]]-Main[[#This Row],[Revised Due Date]],"")</f>
        <v/>
      </c>
      <c r="I928" s="99" t="s">
        <v>4</v>
      </c>
      <c r="J928" s="99" t="s">
        <v>4</v>
      </c>
      <c r="K928" s="108" t="s">
        <v>4</v>
      </c>
      <c r="L928" s="101"/>
      <c r="M928" s="104" t="str">
        <f>IF(Main[[#This Row],[Tech Start Date]]&lt;1/1/1990,"",IF(Main[[#This Row],[Class]]="C",WORKDAY(Main[[#This Row],[Tech Start Date]],9),IF(Main[[#This Row],[Class]]="B", WORKDAY(Main[[#This Row],[Tech Start Date]],6),IF(Main[[#This Row],[Class]]="A",WORKDAY(Main[[#This Row],[Tech Start Date]],2),""))))</f>
        <v/>
      </c>
      <c r="N928" s="104" t="str">
        <f>IF(Main[[#This Row],[Tech Start Date]]&lt;1/1/1990,"",IF(Main[[#This Row],[Class]]="C",WORKDAY(Main[[#This Row],[Tech Start Date]],19),IF(Main[[#This Row],[Class]]="B", WORKDAY(Main[[#This Row],[Tech Start Date]],12),IF(Main[[#This Row],[Class]]="A",WORKDAY(Main[[#This Row],[Tech Start Date]],4),""))))</f>
        <v/>
      </c>
      <c r="O928" s="104" t="str">
        <f>IF(Main[[#This Row],[Tech Start Date]]&lt;1/1/1990,"",IF(Main[[#This Row],[Class]]="C",WORKDAY(Main[[#This Row],[Tech Start Date]],23),IF(Main[[#This Row],[Class]]="B", WORKDAY(Main[[#This Row],[Tech Start Date]],15),IF(Main[[#This Row],[Class]]="A",WORKDAY(Main[[#This Row],[Tech Start Date]],5),""))))</f>
        <v/>
      </c>
      <c r="P928" s="104" t="str">
        <f>IF(Main[[#This Row],[Tech Start Date]]&lt;1/1/1990,"",IF(Main[[#This Row],[Class]]="C",WORKDAY(Main[[#This Row],[Tech Start Date]],28),IF(Main[[#This Row],[Class]]="B", WORKDAY(Main[[#This Row],[Tech Start Date]],19),IF(Main[[#This Row],[Class]]="A",WORKDAY(Main[[#This Row],[Tech Start Date]],9),""))))</f>
        <v/>
      </c>
      <c r="Q928" s="101"/>
      <c r="R928" s="101"/>
      <c r="S928" s="99" t="s">
        <v>11</v>
      </c>
      <c r="T928" s="107" t="s">
        <v>4</v>
      </c>
      <c r="U928" s="99" t="s">
        <v>14</v>
      </c>
      <c r="V928" s="99" t="s">
        <v>1962</v>
      </c>
      <c r="W928" s="99" t="s">
        <v>1970</v>
      </c>
    </row>
    <row r="929" spans="1:23" ht="18.600000000000001" customHeight="1">
      <c r="A929" s="123" t="str">
        <f>IF(priority(Main[[#This Row],[Comments]])&lt;&gt;0, priority(Main[[#This Row],[Comments]]),"")</f>
        <v/>
      </c>
      <c r="B929" s="127" t="s">
        <v>1789</v>
      </c>
      <c r="C929" s="99" t="s">
        <v>4</v>
      </c>
      <c r="D929" s="100" t="s">
        <v>812</v>
      </c>
      <c r="E929" s="101"/>
      <c r="F929" s="101"/>
      <c r="G929" s="102" t="str">
        <f>IF(stdProdLT(Main[[#This Row],[Comments]])=0.1,"N/A",IF(stdProdLT(Main[[#This Row],[Comments]])=0,"",stdProdLT(Main[[#This Row],[Comments]])))</f>
        <v/>
      </c>
      <c r="H929" s="103" t="str">
        <f>IF(AND(Main[[#This Row],[In Stock Date]]&lt;&gt;"",Main[[#This Row],[Revised Due Date]]&lt;&gt;""),Main[[#This Row],[In Stock Date]]-Main[[#This Row],[Revised Due Date]],"")</f>
        <v/>
      </c>
      <c r="I929" s="99" t="s">
        <v>4</v>
      </c>
      <c r="J929" s="99" t="s">
        <v>4</v>
      </c>
      <c r="K929" s="99" t="s">
        <v>4</v>
      </c>
      <c r="L929" s="101"/>
      <c r="M929" s="104" t="str">
        <f>IF(Main[[#This Row],[Tech Start Date]]&lt;1/1/1990,"",IF(Main[[#This Row],[Class]]="C",WORKDAY(Main[[#This Row],[Tech Start Date]],9),IF(Main[[#This Row],[Class]]="B", WORKDAY(Main[[#This Row],[Tech Start Date]],6),IF(Main[[#This Row],[Class]]="A",WORKDAY(Main[[#This Row],[Tech Start Date]],2),""))))</f>
        <v/>
      </c>
      <c r="N929" s="104" t="str">
        <f>IF(Main[[#This Row],[Tech Start Date]]&lt;1/1/1990,"",IF(Main[[#This Row],[Class]]="C",WORKDAY(Main[[#This Row],[Tech Start Date]],19),IF(Main[[#This Row],[Class]]="B", WORKDAY(Main[[#This Row],[Tech Start Date]],12),IF(Main[[#This Row],[Class]]="A",WORKDAY(Main[[#This Row],[Tech Start Date]],4),""))))</f>
        <v/>
      </c>
      <c r="O929" s="104" t="str">
        <f>IF(Main[[#This Row],[Tech Start Date]]&lt;1/1/1990,"",IF(Main[[#This Row],[Class]]="C",WORKDAY(Main[[#This Row],[Tech Start Date]],23),IF(Main[[#This Row],[Class]]="B", WORKDAY(Main[[#This Row],[Tech Start Date]],15),IF(Main[[#This Row],[Class]]="A",WORKDAY(Main[[#This Row],[Tech Start Date]],5),""))))</f>
        <v/>
      </c>
      <c r="P929" s="104" t="str">
        <f>IF(Main[[#This Row],[Tech Start Date]]&lt;1/1/1990,"",IF(Main[[#This Row],[Class]]="C",WORKDAY(Main[[#This Row],[Tech Start Date]],28),IF(Main[[#This Row],[Class]]="B", WORKDAY(Main[[#This Row],[Tech Start Date]],19),IF(Main[[#This Row],[Class]]="A",WORKDAY(Main[[#This Row],[Tech Start Date]],9),""))))</f>
        <v/>
      </c>
      <c r="Q929" s="101"/>
      <c r="R929" s="101"/>
      <c r="S929" s="99" t="s">
        <v>23</v>
      </c>
      <c r="T929" s="107" t="s">
        <v>4</v>
      </c>
      <c r="U929" s="99" t="s">
        <v>14</v>
      </c>
      <c r="V929" s="99" t="s">
        <v>1972</v>
      </c>
      <c r="W929" s="99" t="s">
        <v>1966</v>
      </c>
    </row>
    <row r="930" spans="1:23" ht="18.600000000000001" customHeight="1">
      <c r="A930" s="123" t="str">
        <f>IF(priority(Main[[#This Row],[Comments]])&lt;&gt;0, priority(Main[[#This Row],[Comments]]),"")</f>
        <v/>
      </c>
      <c r="B930" s="127" t="s">
        <v>1128</v>
      </c>
      <c r="C930" s="99" t="s">
        <v>4</v>
      </c>
      <c r="D930" s="100" t="s">
        <v>146</v>
      </c>
      <c r="E930" s="101"/>
      <c r="F930" s="101"/>
      <c r="G930" s="102" t="str">
        <f>IF(stdProdLT(Main[[#This Row],[Comments]])=0.1,"N/A",IF(stdProdLT(Main[[#This Row],[Comments]])=0,"",stdProdLT(Main[[#This Row],[Comments]])))</f>
        <v/>
      </c>
      <c r="H930" s="103" t="str">
        <f>IF(AND(Main[[#This Row],[In Stock Date]]&lt;&gt;"",Main[[#This Row],[Revised Due Date]]&lt;&gt;""),Main[[#This Row],[In Stock Date]]-Main[[#This Row],[Revised Due Date]],"")</f>
        <v/>
      </c>
      <c r="I930" s="99" t="s">
        <v>4</v>
      </c>
      <c r="J930" s="99" t="s">
        <v>4</v>
      </c>
      <c r="K930" s="99" t="s">
        <v>4</v>
      </c>
      <c r="L930" s="101"/>
      <c r="M930" s="104" t="str">
        <f>IF(Main[[#This Row],[Tech Start Date]]&lt;1/1/1990,"",IF(Main[[#This Row],[Class]]="C",WORKDAY(Main[[#This Row],[Tech Start Date]],9),IF(Main[[#This Row],[Class]]="B", WORKDAY(Main[[#This Row],[Tech Start Date]],6),IF(Main[[#This Row],[Class]]="A",WORKDAY(Main[[#This Row],[Tech Start Date]],2),""))))</f>
        <v/>
      </c>
      <c r="N930" s="104" t="str">
        <f>IF(Main[[#This Row],[Tech Start Date]]&lt;1/1/1990,"",IF(Main[[#This Row],[Class]]="C",WORKDAY(Main[[#This Row],[Tech Start Date]],19),IF(Main[[#This Row],[Class]]="B", WORKDAY(Main[[#This Row],[Tech Start Date]],12),IF(Main[[#This Row],[Class]]="A",WORKDAY(Main[[#This Row],[Tech Start Date]],4),""))))</f>
        <v/>
      </c>
      <c r="O930" s="104" t="str">
        <f>IF(Main[[#This Row],[Tech Start Date]]&lt;1/1/1990,"",IF(Main[[#This Row],[Class]]="C",WORKDAY(Main[[#This Row],[Tech Start Date]],23),IF(Main[[#This Row],[Class]]="B", WORKDAY(Main[[#This Row],[Tech Start Date]],15),IF(Main[[#This Row],[Class]]="A",WORKDAY(Main[[#This Row],[Tech Start Date]],5),""))))</f>
        <v/>
      </c>
      <c r="P930" s="104" t="str">
        <f>IF(Main[[#This Row],[Tech Start Date]]&lt;1/1/1990,"",IF(Main[[#This Row],[Class]]="C",WORKDAY(Main[[#This Row],[Tech Start Date]],28),IF(Main[[#This Row],[Class]]="B", WORKDAY(Main[[#This Row],[Tech Start Date]],19),IF(Main[[#This Row],[Class]]="A",WORKDAY(Main[[#This Row],[Tech Start Date]],9),""))))</f>
        <v/>
      </c>
      <c r="Q930" s="101"/>
      <c r="R930" s="101"/>
      <c r="S930" s="99" t="s">
        <v>17</v>
      </c>
      <c r="T930" s="107" t="s">
        <v>4</v>
      </c>
      <c r="U930" s="99" t="s">
        <v>14</v>
      </c>
      <c r="V930" s="99" t="s">
        <v>1977</v>
      </c>
      <c r="W930" s="99" t="s">
        <v>1964</v>
      </c>
    </row>
    <row r="931" spans="1:23" ht="18.600000000000001" customHeight="1">
      <c r="A931" s="123" t="str">
        <f>IF(priority(Main[[#This Row],[Comments]])&lt;&gt;0, priority(Main[[#This Row],[Comments]]),"")</f>
        <v/>
      </c>
      <c r="B931" s="127" t="s">
        <v>1721</v>
      </c>
      <c r="C931" s="99" t="s">
        <v>37</v>
      </c>
      <c r="D931" s="100" t="s">
        <v>2513</v>
      </c>
      <c r="E931" s="101">
        <v>40682.483831018515</v>
      </c>
      <c r="F931" s="101"/>
      <c r="G931" s="102" t="str">
        <f>IF(stdProdLT(Main[[#This Row],[Comments]])=0.1,"N/A",IF(stdProdLT(Main[[#This Row],[Comments]])=0,"",stdProdLT(Main[[#This Row],[Comments]])))</f>
        <v/>
      </c>
      <c r="H931" s="103" t="str">
        <f>IF(AND(Main[[#This Row],[In Stock Date]]&lt;&gt;"",Main[[#This Row],[Revised Due Date]]&lt;&gt;""),Main[[#This Row],[In Stock Date]]-Main[[#This Row],[Revised Due Date]],"")</f>
        <v/>
      </c>
      <c r="I931" s="99" t="s">
        <v>4</v>
      </c>
      <c r="J931" s="99" t="s">
        <v>4</v>
      </c>
      <c r="K931" s="99" t="s">
        <v>4</v>
      </c>
      <c r="L931" s="101"/>
      <c r="M931" s="104" t="str">
        <f>IF(Main[[#This Row],[Tech Start Date]]&lt;1/1/1990,"",IF(Main[[#This Row],[Class]]="C",WORKDAY(Main[[#This Row],[Tech Start Date]],9),IF(Main[[#This Row],[Class]]="B", WORKDAY(Main[[#This Row],[Tech Start Date]],6),IF(Main[[#This Row],[Class]]="A",WORKDAY(Main[[#This Row],[Tech Start Date]],2),""))))</f>
        <v/>
      </c>
      <c r="N931" s="104" t="str">
        <f>IF(Main[[#This Row],[Tech Start Date]]&lt;1/1/1990,"",IF(Main[[#This Row],[Class]]="C",WORKDAY(Main[[#This Row],[Tech Start Date]],19),IF(Main[[#This Row],[Class]]="B", WORKDAY(Main[[#This Row],[Tech Start Date]],12),IF(Main[[#This Row],[Class]]="A",WORKDAY(Main[[#This Row],[Tech Start Date]],4),""))))</f>
        <v/>
      </c>
      <c r="O931" s="104" t="str">
        <f>IF(Main[[#This Row],[Tech Start Date]]&lt;1/1/1990,"",IF(Main[[#This Row],[Class]]="C",WORKDAY(Main[[#This Row],[Tech Start Date]],23),IF(Main[[#This Row],[Class]]="B", WORKDAY(Main[[#This Row],[Tech Start Date]],15),IF(Main[[#This Row],[Class]]="A",WORKDAY(Main[[#This Row],[Tech Start Date]],5),""))))</f>
        <v/>
      </c>
      <c r="P931" s="104" t="str">
        <f>IF(Main[[#This Row],[Tech Start Date]]&lt;1/1/1990,"",IF(Main[[#This Row],[Class]]="C",WORKDAY(Main[[#This Row],[Tech Start Date]],28),IF(Main[[#This Row],[Class]]="B", WORKDAY(Main[[#This Row],[Tech Start Date]],19),IF(Main[[#This Row],[Class]]="A",WORKDAY(Main[[#This Row],[Tech Start Date]],9),""))))</f>
        <v/>
      </c>
      <c r="Q931" s="101">
        <v>40700</v>
      </c>
      <c r="R931" s="101"/>
      <c r="S931" s="99" t="s">
        <v>6</v>
      </c>
      <c r="T931" s="107" t="s">
        <v>4</v>
      </c>
      <c r="U931" s="99" t="s">
        <v>540</v>
      </c>
      <c r="V931" s="99" t="s">
        <v>1962</v>
      </c>
      <c r="W931" s="99" t="s">
        <v>1973</v>
      </c>
    </row>
    <row r="932" spans="1:23" ht="18.600000000000001" customHeight="1">
      <c r="A932" s="123" t="str">
        <f>IF(priority(Main[[#This Row],[Comments]])&lt;&gt;0, priority(Main[[#This Row],[Comments]]),"")</f>
        <v/>
      </c>
      <c r="B932" s="127" t="s">
        <v>1790</v>
      </c>
      <c r="C932" s="99" t="s">
        <v>702</v>
      </c>
      <c r="D932" s="100" t="s">
        <v>703</v>
      </c>
      <c r="E932" s="101"/>
      <c r="F932" s="101"/>
      <c r="G932" s="102" t="str">
        <f>IF(stdProdLT(Main[[#This Row],[Comments]])=0.1,"N/A",IF(stdProdLT(Main[[#This Row],[Comments]])=0,"",stdProdLT(Main[[#This Row],[Comments]])))</f>
        <v/>
      </c>
      <c r="H932" s="103" t="str">
        <f>IF(AND(Main[[#This Row],[In Stock Date]]&lt;&gt;"",Main[[#This Row],[Revised Due Date]]&lt;&gt;""),Main[[#This Row],[In Stock Date]]-Main[[#This Row],[Revised Due Date]],"")</f>
        <v/>
      </c>
      <c r="I932" s="99" t="s">
        <v>4</v>
      </c>
      <c r="J932" s="99" t="s">
        <v>4</v>
      </c>
      <c r="K932" s="99" t="s">
        <v>4</v>
      </c>
      <c r="L932" s="101"/>
      <c r="M932" s="104" t="str">
        <f>IF(Main[[#This Row],[Tech Start Date]]&lt;1/1/1990,"",IF(Main[[#This Row],[Class]]="C",WORKDAY(Main[[#This Row],[Tech Start Date]],9),IF(Main[[#This Row],[Class]]="B", WORKDAY(Main[[#This Row],[Tech Start Date]],6),IF(Main[[#This Row],[Class]]="A",WORKDAY(Main[[#This Row],[Tech Start Date]],2),""))))</f>
        <v/>
      </c>
      <c r="N932" s="104" t="str">
        <f>IF(Main[[#This Row],[Tech Start Date]]&lt;1/1/1990,"",IF(Main[[#This Row],[Class]]="C",WORKDAY(Main[[#This Row],[Tech Start Date]],19),IF(Main[[#This Row],[Class]]="B", WORKDAY(Main[[#This Row],[Tech Start Date]],12),IF(Main[[#This Row],[Class]]="A",WORKDAY(Main[[#This Row],[Tech Start Date]],4),""))))</f>
        <v/>
      </c>
      <c r="O932" s="104" t="str">
        <f>IF(Main[[#This Row],[Tech Start Date]]&lt;1/1/1990,"",IF(Main[[#This Row],[Class]]="C",WORKDAY(Main[[#This Row],[Tech Start Date]],23),IF(Main[[#This Row],[Class]]="B", WORKDAY(Main[[#This Row],[Tech Start Date]],15),IF(Main[[#This Row],[Class]]="A",WORKDAY(Main[[#This Row],[Tech Start Date]],5),""))))</f>
        <v/>
      </c>
      <c r="P932" s="104" t="str">
        <f>IF(Main[[#This Row],[Tech Start Date]]&lt;1/1/1990,"",IF(Main[[#This Row],[Class]]="C",WORKDAY(Main[[#This Row],[Tech Start Date]],28),IF(Main[[#This Row],[Class]]="B", WORKDAY(Main[[#This Row],[Tech Start Date]],19),IF(Main[[#This Row],[Class]]="A",WORKDAY(Main[[#This Row],[Tech Start Date]],9),""))))</f>
        <v/>
      </c>
      <c r="Q932" s="101">
        <v>40672</v>
      </c>
      <c r="R932" s="101"/>
      <c r="S932" s="99" t="s">
        <v>11</v>
      </c>
      <c r="T932" s="107" t="s">
        <v>4</v>
      </c>
      <c r="U932" s="99" t="s">
        <v>12</v>
      </c>
      <c r="V932" s="99" t="s">
        <v>1962</v>
      </c>
      <c r="W932" s="99" t="s">
        <v>1964</v>
      </c>
    </row>
    <row r="933" spans="1:23" ht="18.600000000000001" customHeight="1">
      <c r="A933" s="123" t="str">
        <f>IF(priority(Main[[#This Row],[Comments]])&lt;&gt;0, priority(Main[[#This Row],[Comments]]),"")</f>
        <v/>
      </c>
      <c r="B933" s="127" t="s">
        <v>1791</v>
      </c>
      <c r="C933" s="99" t="s">
        <v>4</v>
      </c>
      <c r="D933" s="100" t="s">
        <v>813</v>
      </c>
      <c r="E933" s="101"/>
      <c r="F933" s="101"/>
      <c r="G933" s="102" t="str">
        <f>IF(stdProdLT(Main[[#This Row],[Comments]])=0.1,"N/A",IF(stdProdLT(Main[[#This Row],[Comments]])=0,"",stdProdLT(Main[[#This Row],[Comments]])))</f>
        <v/>
      </c>
      <c r="H933" s="103" t="str">
        <f>IF(AND(Main[[#This Row],[In Stock Date]]&lt;&gt;"",Main[[#This Row],[Revised Due Date]]&lt;&gt;""),Main[[#This Row],[In Stock Date]]-Main[[#This Row],[Revised Due Date]],"")</f>
        <v/>
      </c>
      <c r="I933" s="99" t="s">
        <v>4</v>
      </c>
      <c r="J933" s="99" t="s">
        <v>28</v>
      </c>
      <c r="K933" s="108" t="s">
        <v>1971</v>
      </c>
      <c r="L933" s="101"/>
      <c r="M933" s="104" t="str">
        <f>IF(Main[[#This Row],[Tech Start Date]]&lt;1/1/1990,"",IF(Main[[#This Row],[Class]]="C",WORKDAY(Main[[#This Row],[Tech Start Date]],9),IF(Main[[#This Row],[Class]]="B", WORKDAY(Main[[#This Row],[Tech Start Date]],6),IF(Main[[#This Row],[Class]]="A",WORKDAY(Main[[#This Row],[Tech Start Date]],2),""))))</f>
        <v/>
      </c>
      <c r="N933" s="104" t="str">
        <f>IF(Main[[#This Row],[Tech Start Date]]&lt;1/1/1990,"",IF(Main[[#This Row],[Class]]="C",WORKDAY(Main[[#This Row],[Tech Start Date]],19),IF(Main[[#This Row],[Class]]="B", WORKDAY(Main[[#This Row],[Tech Start Date]],12),IF(Main[[#This Row],[Class]]="A",WORKDAY(Main[[#This Row],[Tech Start Date]],4),""))))</f>
        <v/>
      </c>
      <c r="O933" s="104" t="str">
        <f>IF(Main[[#This Row],[Tech Start Date]]&lt;1/1/1990,"",IF(Main[[#This Row],[Class]]="C",WORKDAY(Main[[#This Row],[Tech Start Date]],23),IF(Main[[#This Row],[Class]]="B", WORKDAY(Main[[#This Row],[Tech Start Date]],15),IF(Main[[#This Row],[Class]]="A",WORKDAY(Main[[#This Row],[Tech Start Date]],5),""))))</f>
        <v/>
      </c>
      <c r="P933" s="104" t="str">
        <f>IF(Main[[#This Row],[Tech Start Date]]&lt;1/1/1990,"",IF(Main[[#This Row],[Class]]="C",WORKDAY(Main[[#This Row],[Tech Start Date]],28),IF(Main[[#This Row],[Class]]="B", WORKDAY(Main[[#This Row],[Tech Start Date]],19),IF(Main[[#This Row],[Class]]="A",WORKDAY(Main[[#This Row],[Tech Start Date]],9),""))))</f>
        <v/>
      </c>
      <c r="Q933" s="101">
        <v>40672</v>
      </c>
      <c r="R933" s="101"/>
      <c r="S933" s="99" t="s">
        <v>6</v>
      </c>
      <c r="T933" s="107" t="s">
        <v>4</v>
      </c>
      <c r="U933" s="99" t="s">
        <v>14</v>
      </c>
      <c r="V933" s="99" t="s">
        <v>1965</v>
      </c>
      <c r="W933" s="99" t="s">
        <v>1964</v>
      </c>
    </row>
    <row r="934" spans="1:23" ht="18.600000000000001" customHeight="1">
      <c r="A934" s="123" t="str">
        <f>IF(priority(Main[[#This Row],[Comments]])&lt;&gt;0, priority(Main[[#This Row],[Comments]]),"")</f>
        <v/>
      </c>
      <c r="B934" s="127" t="s">
        <v>1792</v>
      </c>
      <c r="C934" s="99" t="s">
        <v>72</v>
      </c>
      <c r="D934" s="100" t="s">
        <v>814</v>
      </c>
      <c r="E934" s="101"/>
      <c r="F934" s="101"/>
      <c r="G934" s="102" t="str">
        <f>IF(stdProdLT(Main[[#This Row],[Comments]])=0.1,"N/A",IF(stdProdLT(Main[[#This Row],[Comments]])=0,"",stdProdLT(Main[[#This Row],[Comments]])))</f>
        <v/>
      </c>
      <c r="H934" s="103" t="str">
        <f>IF(AND(Main[[#This Row],[In Stock Date]]&lt;&gt;"",Main[[#This Row],[Revised Due Date]]&lt;&gt;""),Main[[#This Row],[In Stock Date]]-Main[[#This Row],[Revised Due Date]],"")</f>
        <v/>
      </c>
      <c r="I934" s="99" t="s">
        <v>4</v>
      </c>
      <c r="J934" s="99" t="s">
        <v>52</v>
      </c>
      <c r="K934" s="99" t="s">
        <v>4</v>
      </c>
      <c r="L934" s="101"/>
      <c r="M934" s="104" t="str">
        <f>IF(Main[[#This Row],[Tech Start Date]]&lt;1/1/1990,"",IF(Main[[#This Row],[Class]]="C",WORKDAY(Main[[#This Row],[Tech Start Date]],9),IF(Main[[#This Row],[Class]]="B", WORKDAY(Main[[#This Row],[Tech Start Date]],6),IF(Main[[#This Row],[Class]]="A",WORKDAY(Main[[#This Row],[Tech Start Date]],2),""))))</f>
        <v/>
      </c>
      <c r="N934" s="104" t="str">
        <f>IF(Main[[#This Row],[Tech Start Date]]&lt;1/1/1990,"",IF(Main[[#This Row],[Class]]="C",WORKDAY(Main[[#This Row],[Tech Start Date]],19),IF(Main[[#This Row],[Class]]="B", WORKDAY(Main[[#This Row],[Tech Start Date]],12),IF(Main[[#This Row],[Class]]="A",WORKDAY(Main[[#This Row],[Tech Start Date]],4),""))))</f>
        <v/>
      </c>
      <c r="O934" s="104" t="str">
        <f>IF(Main[[#This Row],[Tech Start Date]]&lt;1/1/1990,"",IF(Main[[#This Row],[Class]]="C",WORKDAY(Main[[#This Row],[Tech Start Date]],23),IF(Main[[#This Row],[Class]]="B", WORKDAY(Main[[#This Row],[Tech Start Date]],15),IF(Main[[#This Row],[Class]]="A",WORKDAY(Main[[#This Row],[Tech Start Date]],5),""))))</f>
        <v/>
      </c>
      <c r="P934" s="104" t="str">
        <f>IF(Main[[#This Row],[Tech Start Date]]&lt;1/1/1990,"",IF(Main[[#This Row],[Class]]="C",WORKDAY(Main[[#This Row],[Tech Start Date]],28),IF(Main[[#This Row],[Class]]="B", WORKDAY(Main[[#This Row],[Tech Start Date]],19),IF(Main[[#This Row],[Class]]="A",WORKDAY(Main[[#This Row],[Tech Start Date]],9),""))))</f>
        <v/>
      </c>
      <c r="Q934" s="101">
        <v>40482</v>
      </c>
      <c r="R934" s="101"/>
      <c r="S934" s="99" t="s">
        <v>11</v>
      </c>
      <c r="T934" s="107" t="s">
        <v>4</v>
      </c>
      <c r="U934" s="99" t="s">
        <v>14</v>
      </c>
      <c r="V934" s="99" t="s">
        <v>1965</v>
      </c>
      <c r="W934" s="99" t="s">
        <v>1970</v>
      </c>
    </row>
    <row r="935" spans="1:23" ht="18.600000000000001" customHeight="1">
      <c r="A935" s="123" t="str">
        <f>IF(priority(Main[[#This Row],[Comments]])&lt;&gt;0, priority(Main[[#This Row],[Comments]]),"")</f>
        <v/>
      </c>
      <c r="B935" s="127" t="s">
        <v>1793</v>
      </c>
      <c r="C935" s="99" t="s">
        <v>4</v>
      </c>
      <c r="D935" s="100" t="s">
        <v>815</v>
      </c>
      <c r="E935" s="101"/>
      <c r="F935" s="101"/>
      <c r="G935" s="102" t="str">
        <f>IF(stdProdLT(Main[[#This Row],[Comments]])=0.1,"N/A",IF(stdProdLT(Main[[#This Row],[Comments]])=0,"",stdProdLT(Main[[#This Row],[Comments]])))</f>
        <v/>
      </c>
      <c r="H935" s="103" t="str">
        <f>IF(AND(Main[[#This Row],[In Stock Date]]&lt;&gt;"",Main[[#This Row],[Revised Due Date]]&lt;&gt;""),Main[[#This Row],[In Stock Date]]-Main[[#This Row],[Revised Due Date]],"")</f>
        <v/>
      </c>
      <c r="I935" s="99" t="s">
        <v>404</v>
      </c>
      <c r="J935" s="99" t="s">
        <v>4</v>
      </c>
      <c r="K935" s="99" t="s">
        <v>4</v>
      </c>
      <c r="L935" s="101"/>
      <c r="M935" s="104" t="str">
        <f>IF(Main[[#This Row],[Tech Start Date]]&lt;1/1/1990,"",IF(Main[[#This Row],[Class]]="C",WORKDAY(Main[[#This Row],[Tech Start Date]],9),IF(Main[[#This Row],[Class]]="B", WORKDAY(Main[[#This Row],[Tech Start Date]],6),IF(Main[[#This Row],[Class]]="A",WORKDAY(Main[[#This Row],[Tech Start Date]],2),""))))</f>
        <v/>
      </c>
      <c r="N935" s="104" t="str">
        <f>IF(Main[[#This Row],[Tech Start Date]]&lt;1/1/1990,"",IF(Main[[#This Row],[Class]]="C",WORKDAY(Main[[#This Row],[Tech Start Date]],19),IF(Main[[#This Row],[Class]]="B", WORKDAY(Main[[#This Row],[Tech Start Date]],12),IF(Main[[#This Row],[Class]]="A",WORKDAY(Main[[#This Row],[Tech Start Date]],4),""))))</f>
        <v/>
      </c>
      <c r="O935" s="104" t="str">
        <f>IF(Main[[#This Row],[Tech Start Date]]&lt;1/1/1990,"",IF(Main[[#This Row],[Class]]="C",WORKDAY(Main[[#This Row],[Tech Start Date]],23),IF(Main[[#This Row],[Class]]="B", WORKDAY(Main[[#This Row],[Tech Start Date]],15),IF(Main[[#This Row],[Class]]="A",WORKDAY(Main[[#This Row],[Tech Start Date]],5),""))))</f>
        <v/>
      </c>
      <c r="P935" s="104" t="str">
        <f>IF(Main[[#This Row],[Tech Start Date]]&lt;1/1/1990,"",IF(Main[[#This Row],[Class]]="C",WORKDAY(Main[[#This Row],[Tech Start Date]],28),IF(Main[[#This Row],[Class]]="B", WORKDAY(Main[[#This Row],[Tech Start Date]],19),IF(Main[[#This Row],[Class]]="A",WORKDAY(Main[[#This Row],[Tech Start Date]],9),""))))</f>
        <v/>
      </c>
      <c r="Q935" s="101">
        <v>40359</v>
      </c>
      <c r="R935" s="101"/>
      <c r="S935" s="99" t="s">
        <v>11</v>
      </c>
      <c r="T935" s="107" t="s">
        <v>4</v>
      </c>
      <c r="U935" s="99" t="s">
        <v>14</v>
      </c>
      <c r="V935" s="99" t="s">
        <v>1965</v>
      </c>
      <c r="W935" s="99" t="s">
        <v>1968</v>
      </c>
    </row>
    <row r="936" spans="1:23" ht="18.600000000000001" customHeight="1">
      <c r="A936" s="123" t="str">
        <f>IF(priority(Main[[#This Row],[Comments]])&lt;&gt;0, priority(Main[[#This Row],[Comments]]),"")</f>
        <v/>
      </c>
      <c r="B936" s="127" t="s">
        <v>1794</v>
      </c>
      <c r="C936" s="99" t="s">
        <v>42</v>
      </c>
      <c r="D936" s="100" t="s">
        <v>816</v>
      </c>
      <c r="E936" s="101">
        <v>39932.448611111111</v>
      </c>
      <c r="F936" s="101"/>
      <c r="G936" s="102" t="str">
        <f>IF(stdProdLT(Main[[#This Row],[Comments]])=0.1,"N/A",IF(stdProdLT(Main[[#This Row],[Comments]])=0,"",stdProdLT(Main[[#This Row],[Comments]])))</f>
        <v/>
      </c>
      <c r="H936" s="103" t="str">
        <f>IF(AND(Main[[#This Row],[In Stock Date]]&lt;&gt;"",Main[[#This Row],[Revised Due Date]]&lt;&gt;""),Main[[#This Row],[In Stock Date]]-Main[[#This Row],[Revised Due Date]],"")</f>
        <v/>
      </c>
      <c r="I936" s="99" t="s">
        <v>4</v>
      </c>
      <c r="J936" s="99" t="s">
        <v>4</v>
      </c>
      <c r="K936" s="99" t="s">
        <v>4</v>
      </c>
      <c r="L936" s="101"/>
      <c r="M936" s="104" t="str">
        <f>IF(Main[[#This Row],[Tech Start Date]]&lt;1/1/1990,"",IF(Main[[#This Row],[Class]]="C",WORKDAY(Main[[#This Row],[Tech Start Date]],9),IF(Main[[#This Row],[Class]]="B", WORKDAY(Main[[#This Row],[Tech Start Date]],6),IF(Main[[#This Row],[Class]]="A",WORKDAY(Main[[#This Row],[Tech Start Date]],2),""))))</f>
        <v/>
      </c>
      <c r="N936" s="104" t="str">
        <f>IF(Main[[#This Row],[Tech Start Date]]&lt;1/1/1990,"",IF(Main[[#This Row],[Class]]="C",WORKDAY(Main[[#This Row],[Tech Start Date]],19),IF(Main[[#This Row],[Class]]="B", WORKDAY(Main[[#This Row],[Tech Start Date]],12),IF(Main[[#This Row],[Class]]="A",WORKDAY(Main[[#This Row],[Tech Start Date]],4),""))))</f>
        <v/>
      </c>
      <c r="O936" s="104" t="str">
        <f>IF(Main[[#This Row],[Tech Start Date]]&lt;1/1/1990,"",IF(Main[[#This Row],[Class]]="C",WORKDAY(Main[[#This Row],[Tech Start Date]],23),IF(Main[[#This Row],[Class]]="B", WORKDAY(Main[[#This Row],[Tech Start Date]],15),IF(Main[[#This Row],[Class]]="A",WORKDAY(Main[[#This Row],[Tech Start Date]],5),""))))</f>
        <v/>
      </c>
      <c r="P936" s="104" t="str">
        <f>IF(Main[[#This Row],[Tech Start Date]]&lt;1/1/1990,"",IF(Main[[#This Row],[Class]]="C",WORKDAY(Main[[#This Row],[Tech Start Date]],28),IF(Main[[#This Row],[Class]]="B", WORKDAY(Main[[#This Row],[Tech Start Date]],19),IF(Main[[#This Row],[Class]]="A",WORKDAY(Main[[#This Row],[Tech Start Date]],9),""))))</f>
        <v/>
      </c>
      <c r="Q936" s="101"/>
      <c r="R936" s="101"/>
      <c r="S936" s="99" t="s">
        <v>17</v>
      </c>
      <c r="T936" s="107" t="s">
        <v>4</v>
      </c>
      <c r="U936" s="99" t="s">
        <v>7</v>
      </c>
      <c r="V936" s="99" t="s">
        <v>1965</v>
      </c>
      <c r="W936" s="99" t="s">
        <v>4</v>
      </c>
    </row>
    <row r="937" spans="1:23" ht="18.600000000000001" customHeight="1">
      <c r="A937" s="123" t="str">
        <f>IF(priority(Main[[#This Row],[Comments]])&lt;&gt;0, priority(Main[[#This Row],[Comments]]),"")</f>
        <v/>
      </c>
      <c r="B937" s="127" t="s">
        <v>3035</v>
      </c>
      <c r="C937" s="99" t="s">
        <v>4</v>
      </c>
      <c r="D937" s="100" t="s">
        <v>3036</v>
      </c>
      <c r="E937" s="101">
        <v>40879.405844907407</v>
      </c>
      <c r="F937" s="101"/>
      <c r="G937" s="102" t="str">
        <f>IF(stdProdLT(Main[[#This Row],[Comments]])=0.1,"N/A",IF(stdProdLT(Main[[#This Row],[Comments]])=0,"",stdProdLT(Main[[#This Row],[Comments]])))</f>
        <v/>
      </c>
      <c r="H937" s="103" t="str">
        <f>IF(AND(Main[[#This Row],[In Stock Date]]&lt;&gt;"",Main[[#This Row],[Revised Due Date]]&lt;&gt;""),Main[[#This Row],[In Stock Date]]-Main[[#This Row],[Revised Due Date]],"")</f>
        <v/>
      </c>
      <c r="I937" s="99" t="s">
        <v>2110</v>
      </c>
      <c r="J937" s="99" t="s">
        <v>28</v>
      </c>
      <c r="K937" s="108" t="s">
        <v>1971</v>
      </c>
      <c r="L937" s="101"/>
      <c r="M937" s="104" t="str">
        <f>IF(Main[[#This Row],[Tech Start Date]]&lt;1/1/1990,"",IF(Main[[#This Row],[Class]]="C",WORKDAY(Main[[#This Row],[Tech Start Date]],9),IF(Main[[#This Row],[Class]]="B", WORKDAY(Main[[#This Row],[Tech Start Date]],6),IF(Main[[#This Row],[Class]]="A",WORKDAY(Main[[#This Row],[Tech Start Date]],2),""))))</f>
        <v/>
      </c>
      <c r="N937" s="104" t="str">
        <f>IF(Main[[#This Row],[Tech Start Date]]&lt;1/1/1990,"",IF(Main[[#This Row],[Class]]="C",WORKDAY(Main[[#This Row],[Tech Start Date]],19),IF(Main[[#This Row],[Class]]="B", WORKDAY(Main[[#This Row],[Tech Start Date]],12),IF(Main[[#This Row],[Class]]="A",WORKDAY(Main[[#This Row],[Tech Start Date]],4),""))))</f>
        <v/>
      </c>
      <c r="O937" s="104" t="str">
        <f>IF(Main[[#This Row],[Tech Start Date]]&lt;1/1/1990,"",IF(Main[[#This Row],[Class]]="C",WORKDAY(Main[[#This Row],[Tech Start Date]],23),IF(Main[[#This Row],[Class]]="B", WORKDAY(Main[[#This Row],[Tech Start Date]],15),IF(Main[[#This Row],[Class]]="A",WORKDAY(Main[[#This Row],[Tech Start Date]],5),""))))</f>
        <v/>
      </c>
      <c r="P937" s="104" t="str">
        <f>IF(Main[[#This Row],[Tech Start Date]]&lt;1/1/1990,"",IF(Main[[#This Row],[Class]]="C",WORKDAY(Main[[#This Row],[Tech Start Date]],28),IF(Main[[#This Row],[Class]]="B", WORKDAY(Main[[#This Row],[Tech Start Date]],19),IF(Main[[#This Row],[Class]]="A",WORKDAY(Main[[#This Row],[Tech Start Date]],9),""))))</f>
        <v/>
      </c>
      <c r="Q937" s="101">
        <v>40892</v>
      </c>
      <c r="R937" s="101"/>
      <c r="S937" s="99" t="s">
        <v>6</v>
      </c>
      <c r="T937" s="107" t="s">
        <v>4</v>
      </c>
      <c r="U937" s="99" t="s">
        <v>29</v>
      </c>
      <c r="V937" s="99" t="s">
        <v>1965</v>
      </c>
      <c r="W937" s="99" t="s">
        <v>1966</v>
      </c>
    </row>
    <row r="938" spans="1:23" ht="18.600000000000001" customHeight="1">
      <c r="A938" s="123" t="str">
        <f>IF(priority(Main[[#This Row],[Comments]])&lt;&gt;0, priority(Main[[#This Row],[Comments]]),"")</f>
        <v/>
      </c>
      <c r="B938" s="127" t="s">
        <v>1799</v>
      </c>
      <c r="C938" s="99" t="s">
        <v>4</v>
      </c>
      <c r="D938" s="100" t="s">
        <v>818</v>
      </c>
      <c r="E938" s="101">
        <v>40626.476493055554</v>
      </c>
      <c r="F938" s="101"/>
      <c r="G938" s="102" t="str">
        <f>IF(stdProdLT(Main[[#This Row],[Comments]])=0.1,"N/A",IF(stdProdLT(Main[[#This Row],[Comments]])=0,"",stdProdLT(Main[[#This Row],[Comments]])))</f>
        <v/>
      </c>
      <c r="H938" s="103" t="str">
        <f>IF(AND(Main[[#This Row],[In Stock Date]]&lt;&gt;"",Main[[#This Row],[Revised Due Date]]&lt;&gt;""),Main[[#This Row],[In Stock Date]]-Main[[#This Row],[Revised Due Date]],"")</f>
        <v/>
      </c>
      <c r="I938" s="99" t="s">
        <v>375</v>
      </c>
      <c r="J938" s="99" t="s">
        <v>28</v>
      </c>
      <c r="K938" s="99" t="s">
        <v>1971</v>
      </c>
      <c r="L938" s="101"/>
      <c r="M938" s="104" t="str">
        <f>IF(Main[[#This Row],[Tech Start Date]]&lt;1/1/1990,"",IF(Main[[#This Row],[Class]]="C",WORKDAY(Main[[#This Row],[Tech Start Date]],9),IF(Main[[#This Row],[Class]]="B", WORKDAY(Main[[#This Row],[Tech Start Date]],6),IF(Main[[#This Row],[Class]]="A",WORKDAY(Main[[#This Row],[Tech Start Date]],2),""))))</f>
        <v/>
      </c>
      <c r="N938" s="104" t="str">
        <f>IF(Main[[#This Row],[Tech Start Date]]&lt;1/1/1990,"",IF(Main[[#This Row],[Class]]="C",WORKDAY(Main[[#This Row],[Tech Start Date]],19),IF(Main[[#This Row],[Class]]="B", WORKDAY(Main[[#This Row],[Tech Start Date]],12),IF(Main[[#This Row],[Class]]="A",WORKDAY(Main[[#This Row],[Tech Start Date]],4),""))))</f>
        <v/>
      </c>
      <c r="O938" s="104" t="str">
        <f>IF(Main[[#This Row],[Tech Start Date]]&lt;1/1/1990,"",IF(Main[[#This Row],[Class]]="C",WORKDAY(Main[[#This Row],[Tech Start Date]],23),IF(Main[[#This Row],[Class]]="B", WORKDAY(Main[[#This Row],[Tech Start Date]],15),IF(Main[[#This Row],[Class]]="A",WORKDAY(Main[[#This Row],[Tech Start Date]],5),""))))</f>
        <v/>
      </c>
      <c r="P938" s="104" t="str">
        <f>IF(Main[[#This Row],[Tech Start Date]]&lt;1/1/1990,"",IF(Main[[#This Row],[Class]]="C",WORKDAY(Main[[#This Row],[Tech Start Date]],28),IF(Main[[#This Row],[Class]]="B", WORKDAY(Main[[#This Row],[Tech Start Date]],19),IF(Main[[#This Row],[Class]]="A",WORKDAY(Main[[#This Row],[Tech Start Date]],9),""))))</f>
        <v/>
      </c>
      <c r="Q938" s="101"/>
      <c r="R938" s="101"/>
      <c r="S938" s="99" t="s">
        <v>6</v>
      </c>
      <c r="T938" s="107" t="s">
        <v>4</v>
      </c>
      <c r="U938" s="99" t="s">
        <v>29</v>
      </c>
      <c r="V938" s="99" t="s">
        <v>1965</v>
      </c>
      <c r="W938" s="99" t="s">
        <v>1966</v>
      </c>
    </row>
    <row r="939" spans="1:23" ht="18.600000000000001" customHeight="1">
      <c r="A939" s="123" t="str">
        <f>IF(priority(Main[[#This Row],[Comments]])&lt;&gt;0, priority(Main[[#This Row],[Comments]]),"")</f>
        <v/>
      </c>
      <c r="B939" s="127" t="s">
        <v>1240</v>
      </c>
      <c r="C939" s="99" t="s">
        <v>116</v>
      </c>
      <c r="D939" s="100" t="s">
        <v>268</v>
      </c>
      <c r="E939" s="101">
        <v>40681.362476851849</v>
      </c>
      <c r="F939" s="101">
        <v>40734</v>
      </c>
      <c r="G939" s="102" t="str">
        <f>IF(stdProdLT(Main[[#This Row],[Comments]])=0.1,"N/A",IF(stdProdLT(Main[[#This Row],[Comments]])=0,"",stdProdLT(Main[[#This Row],[Comments]])))</f>
        <v/>
      </c>
      <c r="H939" s="103" t="str">
        <f>IF(AND(Main[[#This Row],[In Stock Date]]&lt;&gt;"",Main[[#This Row],[Revised Due Date]]&lt;&gt;""),Main[[#This Row],[In Stock Date]]-Main[[#This Row],[Revised Due Date]],"")</f>
        <v/>
      </c>
      <c r="I939" s="99" t="s">
        <v>4</v>
      </c>
      <c r="J939" s="99" t="s">
        <v>4</v>
      </c>
      <c r="K939" s="99" t="s">
        <v>4</v>
      </c>
      <c r="L939" s="101"/>
      <c r="M939" s="104" t="str">
        <f>IF(Main[[#This Row],[Tech Start Date]]&lt;1/1/1990,"",IF(Main[[#This Row],[Class]]="C",WORKDAY(Main[[#This Row],[Tech Start Date]],9),IF(Main[[#This Row],[Class]]="B", WORKDAY(Main[[#This Row],[Tech Start Date]],6),IF(Main[[#This Row],[Class]]="A",WORKDAY(Main[[#This Row],[Tech Start Date]],2),""))))</f>
        <v/>
      </c>
      <c r="N939" s="104" t="str">
        <f>IF(Main[[#This Row],[Tech Start Date]]&lt;1/1/1990,"",IF(Main[[#This Row],[Class]]="C",WORKDAY(Main[[#This Row],[Tech Start Date]],19),IF(Main[[#This Row],[Class]]="B", WORKDAY(Main[[#This Row],[Tech Start Date]],12),IF(Main[[#This Row],[Class]]="A",WORKDAY(Main[[#This Row],[Tech Start Date]],4),""))))</f>
        <v/>
      </c>
      <c r="O939" s="104" t="str">
        <f>IF(Main[[#This Row],[Tech Start Date]]&lt;1/1/1990,"",IF(Main[[#This Row],[Class]]="C",WORKDAY(Main[[#This Row],[Tech Start Date]],23),IF(Main[[#This Row],[Class]]="B", WORKDAY(Main[[#This Row],[Tech Start Date]],15),IF(Main[[#This Row],[Class]]="A",WORKDAY(Main[[#This Row],[Tech Start Date]],5),""))))</f>
        <v/>
      </c>
      <c r="P939" s="104" t="str">
        <f>IF(Main[[#This Row],[Tech Start Date]]&lt;1/1/1990,"",IF(Main[[#This Row],[Class]]="C",WORKDAY(Main[[#This Row],[Tech Start Date]],28),IF(Main[[#This Row],[Class]]="B", WORKDAY(Main[[#This Row],[Tech Start Date]],19),IF(Main[[#This Row],[Class]]="A",WORKDAY(Main[[#This Row],[Tech Start Date]],9),""))))</f>
        <v/>
      </c>
      <c r="Q939" s="101">
        <v>40724</v>
      </c>
      <c r="R939" s="101"/>
      <c r="S939" s="99" t="s">
        <v>17</v>
      </c>
      <c r="T939" s="107" t="s">
        <v>4</v>
      </c>
      <c r="U939" s="99" t="s">
        <v>7</v>
      </c>
      <c r="V939" s="99" t="s">
        <v>1965</v>
      </c>
      <c r="W939" s="99" t="s">
        <v>1966</v>
      </c>
    </row>
    <row r="940" spans="1:23" ht="18.600000000000001" customHeight="1">
      <c r="A940" s="123" t="str">
        <f>IF(priority(Main[[#This Row],[Comments]])&lt;&gt;0, priority(Main[[#This Row],[Comments]]),"")</f>
        <v/>
      </c>
      <c r="B940" s="127" t="s">
        <v>2516</v>
      </c>
      <c r="C940" s="99" t="s">
        <v>4</v>
      </c>
      <c r="D940" s="100" t="s">
        <v>2517</v>
      </c>
      <c r="E940" s="101"/>
      <c r="F940" s="101"/>
      <c r="G940" s="102" t="str">
        <f>IF(stdProdLT(Main[[#This Row],[Comments]])=0.1,"N/A",IF(stdProdLT(Main[[#This Row],[Comments]])=0,"",stdProdLT(Main[[#This Row],[Comments]])))</f>
        <v/>
      </c>
      <c r="H940" s="103" t="str">
        <f>IF(AND(Main[[#This Row],[In Stock Date]]&lt;&gt;"",Main[[#This Row],[Revised Due Date]]&lt;&gt;""),Main[[#This Row],[In Stock Date]]-Main[[#This Row],[Revised Due Date]],"")</f>
        <v/>
      </c>
      <c r="I940" s="99" t="s">
        <v>4</v>
      </c>
      <c r="J940" s="99" t="s">
        <v>4</v>
      </c>
      <c r="K940" s="99" t="s">
        <v>4</v>
      </c>
      <c r="L940" s="101"/>
      <c r="M940" s="104" t="str">
        <f>IF(Main[[#This Row],[Tech Start Date]]&lt;1/1/1990,"",IF(Main[[#This Row],[Class]]="C",WORKDAY(Main[[#This Row],[Tech Start Date]],9),IF(Main[[#This Row],[Class]]="B", WORKDAY(Main[[#This Row],[Tech Start Date]],6),IF(Main[[#This Row],[Class]]="A",WORKDAY(Main[[#This Row],[Tech Start Date]],2),""))))</f>
        <v/>
      </c>
      <c r="N940" s="104" t="str">
        <f>IF(Main[[#This Row],[Tech Start Date]]&lt;1/1/1990,"",IF(Main[[#This Row],[Class]]="C",WORKDAY(Main[[#This Row],[Tech Start Date]],19),IF(Main[[#This Row],[Class]]="B", WORKDAY(Main[[#This Row],[Tech Start Date]],12),IF(Main[[#This Row],[Class]]="A",WORKDAY(Main[[#This Row],[Tech Start Date]],4),""))))</f>
        <v/>
      </c>
      <c r="O940" s="104" t="str">
        <f>IF(Main[[#This Row],[Tech Start Date]]&lt;1/1/1990,"",IF(Main[[#This Row],[Class]]="C",WORKDAY(Main[[#This Row],[Tech Start Date]],23),IF(Main[[#This Row],[Class]]="B", WORKDAY(Main[[#This Row],[Tech Start Date]],15),IF(Main[[#This Row],[Class]]="A",WORKDAY(Main[[#This Row],[Tech Start Date]],5),""))))</f>
        <v/>
      </c>
      <c r="P940" s="104" t="str">
        <f>IF(Main[[#This Row],[Tech Start Date]]&lt;1/1/1990,"",IF(Main[[#This Row],[Class]]="C",WORKDAY(Main[[#This Row],[Tech Start Date]],28),IF(Main[[#This Row],[Class]]="B", WORKDAY(Main[[#This Row],[Tech Start Date]],19),IF(Main[[#This Row],[Class]]="A",WORKDAY(Main[[#This Row],[Tech Start Date]],9),""))))</f>
        <v/>
      </c>
      <c r="Q940" s="101"/>
      <c r="R940" s="101"/>
      <c r="S940" s="99" t="s">
        <v>11</v>
      </c>
      <c r="T940" s="107" t="s">
        <v>4</v>
      </c>
      <c r="U940" s="99" t="s">
        <v>14</v>
      </c>
      <c r="V940" s="99" t="s">
        <v>1963</v>
      </c>
      <c r="W940" s="99" t="s">
        <v>4</v>
      </c>
    </row>
    <row r="941" spans="1:23" ht="18.600000000000001" customHeight="1">
      <c r="A941" s="123" t="str">
        <f>IF(priority(Main[[#This Row],[Comments]])&lt;&gt;0, priority(Main[[#This Row],[Comments]]),"")</f>
        <v/>
      </c>
      <c r="B941" s="127" t="s">
        <v>1869</v>
      </c>
      <c r="C941" s="99" t="s">
        <v>370</v>
      </c>
      <c r="D941" s="100" t="s">
        <v>2181</v>
      </c>
      <c r="E941" s="101">
        <v>40002.664317129631</v>
      </c>
      <c r="F941" s="101">
        <v>40074</v>
      </c>
      <c r="G941" s="102">
        <f>IF(stdProdLT(Main[[#This Row],[Comments]])=0.1,"N/A",IF(stdProdLT(Main[[#This Row],[Comments]])=0,"",stdProdLT(Main[[#This Row],[Comments]])))</f>
        <v>126</v>
      </c>
      <c r="H941" s="103">
        <f>IF(AND(Main[[#This Row],[In Stock Date]]&lt;&gt;"",Main[[#This Row],[Revised Due Date]]&lt;&gt;""),Main[[#This Row],[In Stock Date]]-Main[[#This Row],[Revised Due Date]],"")</f>
        <v>-399</v>
      </c>
      <c r="I941" s="99" t="s">
        <v>2112</v>
      </c>
      <c r="J941" s="99" t="s">
        <v>28</v>
      </c>
      <c r="K941" s="108" t="s">
        <v>1975</v>
      </c>
      <c r="L941" s="101"/>
      <c r="M941" s="104" t="str">
        <f>IF(Main[[#This Row],[Tech Start Date]]&lt;1/1/1990,"",IF(Main[[#This Row],[Class]]="C",WORKDAY(Main[[#This Row],[Tech Start Date]],9),IF(Main[[#This Row],[Class]]="B", WORKDAY(Main[[#This Row],[Tech Start Date]],6),IF(Main[[#This Row],[Class]]="A",WORKDAY(Main[[#This Row],[Tech Start Date]],2),""))))</f>
        <v/>
      </c>
      <c r="N941" s="104" t="str">
        <f>IF(Main[[#This Row],[Tech Start Date]]&lt;1/1/1990,"",IF(Main[[#This Row],[Class]]="C",WORKDAY(Main[[#This Row],[Tech Start Date]],19),IF(Main[[#This Row],[Class]]="B", WORKDAY(Main[[#This Row],[Tech Start Date]],12),IF(Main[[#This Row],[Class]]="A",WORKDAY(Main[[#This Row],[Tech Start Date]],4),""))))</f>
        <v/>
      </c>
      <c r="O941" s="104" t="str">
        <f>IF(Main[[#This Row],[Tech Start Date]]&lt;1/1/1990,"",IF(Main[[#This Row],[Class]]="C",WORKDAY(Main[[#This Row],[Tech Start Date]],23),IF(Main[[#This Row],[Class]]="B", WORKDAY(Main[[#This Row],[Tech Start Date]],15),IF(Main[[#This Row],[Class]]="A",WORKDAY(Main[[#This Row],[Tech Start Date]],5),""))))</f>
        <v/>
      </c>
      <c r="P941" s="104" t="str">
        <f>IF(Main[[#This Row],[Tech Start Date]]&lt;1/1/1990,"",IF(Main[[#This Row],[Class]]="C",WORKDAY(Main[[#This Row],[Tech Start Date]],28),IF(Main[[#This Row],[Class]]="B", WORKDAY(Main[[#This Row],[Tech Start Date]],19),IF(Main[[#This Row],[Class]]="A",WORKDAY(Main[[#This Row],[Tech Start Date]],9),""))))</f>
        <v/>
      </c>
      <c r="Q941" s="101">
        <v>40057</v>
      </c>
      <c r="R941" s="101">
        <v>40473</v>
      </c>
      <c r="S941" s="99" t="s">
        <v>6</v>
      </c>
      <c r="T941" s="107" t="s">
        <v>2182</v>
      </c>
      <c r="U941" s="99" t="s">
        <v>29</v>
      </c>
      <c r="V941" s="99" t="s">
        <v>1963</v>
      </c>
      <c r="W941" s="99" t="s">
        <v>1966</v>
      </c>
    </row>
    <row r="942" spans="1:23" ht="18.600000000000001" customHeight="1">
      <c r="A942" s="123" t="str">
        <f>IF(priority(Main[[#This Row],[Comments]])&lt;&gt;0, priority(Main[[#This Row],[Comments]]),"")</f>
        <v/>
      </c>
      <c r="B942" s="127" t="s">
        <v>1800</v>
      </c>
      <c r="C942" s="99" t="s">
        <v>72</v>
      </c>
      <c r="D942" s="100" t="s">
        <v>821</v>
      </c>
      <c r="E942" s="101"/>
      <c r="F942" s="101">
        <v>40756</v>
      </c>
      <c r="G942" s="102" t="str">
        <f>IF(stdProdLT(Main[[#This Row],[Comments]])=0.1,"N/A",IF(stdProdLT(Main[[#This Row],[Comments]])=0,"",stdProdLT(Main[[#This Row],[Comments]])))</f>
        <v/>
      </c>
      <c r="H942" s="103" t="str">
        <f>IF(AND(Main[[#This Row],[In Stock Date]]&lt;&gt;"",Main[[#This Row],[Revised Due Date]]&lt;&gt;""),Main[[#This Row],[In Stock Date]]-Main[[#This Row],[Revised Due Date]],"")</f>
        <v/>
      </c>
      <c r="I942" s="99" t="s">
        <v>4</v>
      </c>
      <c r="J942" s="99" t="s">
        <v>28</v>
      </c>
      <c r="K942" s="99" t="s">
        <v>4</v>
      </c>
      <c r="L942" s="101"/>
      <c r="M942" s="104" t="str">
        <f>IF(Main[[#This Row],[Tech Start Date]]&lt;1/1/1990,"",IF(Main[[#This Row],[Class]]="C",WORKDAY(Main[[#This Row],[Tech Start Date]],9),IF(Main[[#This Row],[Class]]="B", WORKDAY(Main[[#This Row],[Tech Start Date]],6),IF(Main[[#This Row],[Class]]="A",WORKDAY(Main[[#This Row],[Tech Start Date]],2),""))))</f>
        <v/>
      </c>
      <c r="N942" s="104" t="str">
        <f>IF(Main[[#This Row],[Tech Start Date]]&lt;1/1/1990,"",IF(Main[[#This Row],[Class]]="C",WORKDAY(Main[[#This Row],[Tech Start Date]],19),IF(Main[[#This Row],[Class]]="B", WORKDAY(Main[[#This Row],[Tech Start Date]],12),IF(Main[[#This Row],[Class]]="A",WORKDAY(Main[[#This Row],[Tech Start Date]],4),""))))</f>
        <v/>
      </c>
      <c r="O942" s="104" t="str">
        <f>IF(Main[[#This Row],[Tech Start Date]]&lt;1/1/1990,"",IF(Main[[#This Row],[Class]]="C",WORKDAY(Main[[#This Row],[Tech Start Date]],23),IF(Main[[#This Row],[Class]]="B", WORKDAY(Main[[#This Row],[Tech Start Date]],15),IF(Main[[#This Row],[Class]]="A",WORKDAY(Main[[#This Row],[Tech Start Date]],5),""))))</f>
        <v/>
      </c>
      <c r="P942" s="104" t="str">
        <f>IF(Main[[#This Row],[Tech Start Date]]&lt;1/1/1990,"",IF(Main[[#This Row],[Class]]="C",WORKDAY(Main[[#This Row],[Tech Start Date]],28),IF(Main[[#This Row],[Class]]="B", WORKDAY(Main[[#This Row],[Tech Start Date]],19),IF(Main[[#This Row],[Class]]="A",WORKDAY(Main[[#This Row],[Tech Start Date]],9),""))))</f>
        <v/>
      </c>
      <c r="Q942" s="101"/>
      <c r="R942" s="101"/>
      <c r="S942" s="99" t="s">
        <v>11</v>
      </c>
      <c r="T942" s="107" t="s">
        <v>4</v>
      </c>
      <c r="U942" s="99" t="s">
        <v>12</v>
      </c>
      <c r="V942" s="99" t="s">
        <v>1965</v>
      </c>
      <c r="W942" s="99" t="s">
        <v>1967</v>
      </c>
    </row>
    <row r="943" spans="1:23" ht="18.600000000000001" customHeight="1">
      <c r="A943" s="123" t="str">
        <f>IF(priority(Main[[#This Row],[Comments]])&lt;&gt;0, priority(Main[[#This Row],[Comments]]),"")</f>
        <v/>
      </c>
      <c r="B943" s="127" t="s">
        <v>1801</v>
      </c>
      <c r="C943" s="99" t="s">
        <v>47</v>
      </c>
      <c r="D943" s="100" t="s">
        <v>822</v>
      </c>
      <c r="E943" s="101"/>
      <c r="F943" s="101"/>
      <c r="G943" s="102" t="str">
        <f>IF(stdProdLT(Main[[#This Row],[Comments]])=0.1,"N/A",IF(stdProdLT(Main[[#This Row],[Comments]])=0,"",stdProdLT(Main[[#This Row],[Comments]])))</f>
        <v/>
      </c>
      <c r="H943" s="103" t="str">
        <f>IF(AND(Main[[#This Row],[In Stock Date]]&lt;&gt;"",Main[[#This Row],[Revised Due Date]]&lt;&gt;""),Main[[#This Row],[In Stock Date]]-Main[[#This Row],[Revised Due Date]],"")</f>
        <v/>
      </c>
      <c r="I943" s="99" t="s">
        <v>4</v>
      </c>
      <c r="J943" s="99" t="s">
        <v>4</v>
      </c>
      <c r="K943" s="99" t="s">
        <v>4</v>
      </c>
      <c r="L943" s="101"/>
      <c r="M943" s="104" t="str">
        <f>IF(Main[[#This Row],[Tech Start Date]]&lt;1/1/1990,"",IF(Main[[#This Row],[Class]]="C",WORKDAY(Main[[#This Row],[Tech Start Date]],9),IF(Main[[#This Row],[Class]]="B", WORKDAY(Main[[#This Row],[Tech Start Date]],6),IF(Main[[#This Row],[Class]]="A",WORKDAY(Main[[#This Row],[Tech Start Date]],2),""))))</f>
        <v/>
      </c>
      <c r="N943" s="104" t="str">
        <f>IF(Main[[#This Row],[Tech Start Date]]&lt;1/1/1990,"",IF(Main[[#This Row],[Class]]="C",WORKDAY(Main[[#This Row],[Tech Start Date]],19),IF(Main[[#This Row],[Class]]="B", WORKDAY(Main[[#This Row],[Tech Start Date]],12),IF(Main[[#This Row],[Class]]="A",WORKDAY(Main[[#This Row],[Tech Start Date]],4),""))))</f>
        <v/>
      </c>
      <c r="O943" s="104" t="str">
        <f>IF(Main[[#This Row],[Tech Start Date]]&lt;1/1/1990,"",IF(Main[[#This Row],[Class]]="C",WORKDAY(Main[[#This Row],[Tech Start Date]],23),IF(Main[[#This Row],[Class]]="B", WORKDAY(Main[[#This Row],[Tech Start Date]],15),IF(Main[[#This Row],[Class]]="A",WORKDAY(Main[[#This Row],[Tech Start Date]],5),""))))</f>
        <v/>
      </c>
      <c r="P943" s="104" t="str">
        <f>IF(Main[[#This Row],[Tech Start Date]]&lt;1/1/1990,"",IF(Main[[#This Row],[Class]]="C",WORKDAY(Main[[#This Row],[Tech Start Date]],28),IF(Main[[#This Row],[Class]]="B", WORKDAY(Main[[#This Row],[Tech Start Date]],19),IF(Main[[#This Row],[Class]]="A",WORKDAY(Main[[#This Row],[Tech Start Date]],9),""))))</f>
        <v/>
      </c>
      <c r="Q943" s="101"/>
      <c r="R943" s="101"/>
      <c r="S943" s="99" t="s">
        <v>17</v>
      </c>
      <c r="T943" s="107" t="s">
        <v>4</v>
      </c>
      <c r="U943" s="99" t="s">
        <v>14</v>
      </c>
      <c r="V943" s="99" t="s">
        <v>1963</v>
      </c>
      <c r="W943" s="99" t="s">
        <v>1970</v>
      </c>
    </row>
    <row r="944" spans="1:23" ht="18.600000000000001" customHeight="1">
      <c r="A944" s="123" t="str">
        <f>IF(priority(Main[[#This Row],[Comments]])&lt;&gt;0, priority(Main[[#This Row],[Comments]]),"")</f>
        <v/>
      </c>
      <c r="B944" s="127" t="s">
        <v>1802</v>
      </c>
      <c r="C944" s="99" t="s">
        <v>4</v>
      </c>
      <c r="D944" s="100" t="s">
        <v>823</v>
      </c>
      <c r="E944" s="101">
        <v>40634.342361111114</v>
      </c>
      <c r="F944" s="101"/>
      <c r="G944" s="102" t="str">
        <f>IF(stdProdLT(Main[[#This Row],[Comments]])=0.1,"N/A",IF(stdProdLT(Main[[#This Row],[Comments]])=0,"",stdProdLT(Main[[#This Row],[Comments]])))</f>
        <v/>
      </c>
      <c r="H944" s="103" t="str">
        <f>IF(AND(Main[[#This Row],[In Stock Date]]&lt;&gt;"",Main[[#This Row],[Revised Due Date]]&lt;&gt;""),Main[[#This Row],[In Stock Date]]-Main[[#This Row],[Revised Due Date]],"")</f>
        <v/>
      </c>
      <c r="I944" s="99" t="s">
        <v>4</v>
      </c>
      <c r="J944" s="99" t="s">
        <v>4</v>
      </c>
      <c r="K944" s="108" t="s">
        <v>4</v>
      </c>
      <c r="L944" s="101"/>
      <c r="M944" s="104" t="str">
        <f>IF(Main[[#This Row],[Tech Start Date]]&lt;1/1/1990,"",IF(Main[[#This Row],[Class]]="C",WORKDAY(Main[[#This Row],[Tech Start Date]],9),IF(Main[[#This Row],[Class]]="B", WORKDAY(Main[[#This Row],[Tech Start Date]],6),IF(Main[[#This Row],[Class]]="A",WORKDAY(Main[[#This Row],[Tech Start Date]],2),""))))</f>
        <v/>
      </c>
      <c r="N944" s="104" t="str">
        <f>IF(Main[[#This Row],[Tech Start Date]]&lt;1/1/1990,"",IF(Main[[#This Row],[Class]]="C",WORKDAY(Main[[#This Row],[Tech Start Date]],19),IF(Main[[#This Row],[Class]]="B", WORKDAY(Main[[#This Row],[Tech Start Date]],12),IF(Main[[#This Row],[Class]]="A",WORKDAY(Main[[#This Row],[Tech Start Date]],4),""))))</f>
        <v/>
      </c>
      <c r="O944" s="104" t="str">
        <f>IF(Main[[#This Row],[Tech Start Date]]&lt;1/1/1990,"",IF(Main[[#This Row],[Class]]="C",WORKDAY(Main[[#This Row],[Tech Start Date]],23),IF(Main[[#This Row],[Class]]="B", WORKDAY(Main[[#This Row],[Tech Start Date]],15),IF(Main[[#This Row],[Class]]="A",WORKDAY(Main[[#This Row],[Tech Start Date]],5),""))))</f>
        <v/>
      </c>
      <c r="P944" s="104" t="str">
        <f>IF(Main[[#This Row],[Tech Start Date]]&lt;1/1/1990,"",IF(Main[[#This Row],[Class]]="C",WORKDAY(Main[[#This Row],[Tech Start Date]],28),IF(Main[[#This Row],[Class]]="B", WORKDAY(Main[[#This Row],[Tech Start Date]],19),IF(Main[[#This Row],[Class]]="A",WORKDAY(Main[[#This Row],[Tech Start Date]],9),""))))</f>
        <v/>
      </c>
      <c r="Q944" s="101">
        <v>40676</v>
      </c>
      <c r="R944" s="101"/>
      <c r="S944" s="99" t="s">
        <v>6</v>
      </c>
      <c r="T944" s="107" t="s">
        <v>4</v>
      </c>
      <c r="U944" s="99" t="s">
        <v>7</v>
      </c>
      <c r="V944" s="99" t="s">
        <v>1963</v>
      </c>
      <c r="W944" s="99" t="s">
        <v>4</v>
      </c>
    </row>
    <row r="945" spans="1:23" ht="18.600000000000001" customHeight="1">
      <c r="A945" s="123" t="str">
        <f>IF(priority(Main[[#This Row],[Comments]])&lt;&gt;0, priority(Main[[#This Row],[Comments]]),"")</f>
        <v/>
      </c>
      <c r="B945" s="127" t="s">
        <v>1803</v>
      </c>
      <c r="C945" s="99" t="s">
        <v>31</v>
      </c>
      <c r="D945" s="100" t="s">
        <v>824</v>
      </c>
      <c r="E945" s="101"/>
      <c r="F945" s="101"/>
      <c r="G945" s="102" t="str">
        <f>IF(stdProdLT(Main[[#This Row],[Comments]])=0.1,"N/A",IF(stdProdLT(Main[[#This Row],[Comments]])=0,"",stdProdLT(Main[[#This Row],[Comments]])))</f>
        <v/>
      </c>
      <c r="H945" s="103" t="str">
        <f>IF(AND(Main[[#This Row],[In Stock Date]]&lt;&gt;"",Main[[#This Row],[Revised Due Date]]&lt;&gt;""),Main[[#This Row],[In Stock Date]]-Main[[#This Row],[Revised Due Date]],"")</f>
        <v/>
      </c>
      <c r="I945" s="99" t="s">
        <v>4</v>
      </c>
      <c r="J945" s="99" t="s">
        <v>4</v>
      </c>
      <c r="K945" s="99" t="s">
        <v>4</v>
      </c>
      <c r="L945" s="101"/>
      <c r="M945" s="104" t="str">
        <f>IF(Main[[#This Row],[Tech Start Date]]&lt;1/1/1990,"",IF(Main[[#This Row],[Class]]="C",WORKDAY(Main[[#This Row],[Tech Start Date]],9),IF(Main[[#This Row],[Class]]="B", WORKDAY(Main[[#This Row],[Tech Start Date]],6),IF(Main[[#This Row],[Class]]="A",WORKDAY(Main[[#This Row],[Tech Start Date]],2),""))))</f>
        <v/>
      </c>
      <c r="N945" s="104" t="str">
        <f>IF(Main[[#This Row],[Tech Start Date]]&lt;1/1/1990,"",IF(Main[[#This Row],[Class]]="C",WORKDAY(Main[[#This Row],[Tech Start Date]],19),IF(Main[[#This Row],[Class]]="B", WORKDAY(Main[[#This Row],[Tech Start Date]],12),IF(Main[[#This Row],[Class]]="A",WORKDAY(Main[[#This Row],[Tech Start Date]],4),""))))</f>
        <v/>
      </c>
      <c r="O945" s="104" t="str">
        <f>IF(Main[[#This Row],[Tech Start Date]]&lt;1/1/1990,"",IF(Main[[#This Row],[Class]]="C",WORKDAY(Main[[#This Row],[Tech Start Date]],23),IF(Main[[#This Row],[Class]]="B", WORKDAY(Main[[#This Row],[Tech Start Date]],15),IF(Main[[#This Row],[Class]]="A",WORKDAY(Main[[#This Row],[Tech Start Date]],5),""))))</f>
        <v/>
      </c>
      <c r="P945" s="104" t="str">
        <f>IF(Main[[#This Row],[Tech Start Date]]&lt;1/1/1990,"",IF(Main[[#This Row],[Class]]="C",WORKDAY(Main[[#This Row],[Tech Start Date]],28),IF(Main[[#This Row],[Class]]="B", WORKDAY(Main[[#This Row],[Tech Start Date]],19),IF(Main[[#This Row],[Class]]="A",WORKDAY(Main[[#This Row],[Tech Start Date]],9),""))))</f>
        <v/>
      </c>
      <c r="Q945" s="101">
        <v>40318</v>
      </c>
      <c r="R945" s="101"/>
      <c r="S945" s="99" t="s">
        <v>11</v>
      </c>
      <c r="T945" s="107" t="s">
        <v>4</v>
      </c>
      <c r="U945" s="99" t="s">
        <v>14</v>
      </c>
      <c r="V945" s="99" t="s">
        <v>1965</v>
      </c>
      <c r="W945" s="99" t="s">
        <v>1964</v>
      </c>
    </row>
    <row r="946" spans="1:23" ht="18.600000000000001" customHeight="1">
      <c r="A946" s="123" t="str">
        <f>IF(priority(Main[[#This Row],[Comments]])&lt;&gt;0, priority(Main[[#This Row],[Comments]]),"")</f>
        <v/>
      </c>
      <c r="B946" s="127" t="s">
        <v>1804</v>
      </c>
      <c r="C946" s="99" t="s">
        <v>4</v>
      </c>
      <c r="D946" s="100" t="s">
        <v>120</v>
      </c>
      <c r="E946" s="101"/>
      <c r="F946" s="101"/>
      <c r="G946" s="102" t="str">
        <f>IF(stdProdLT(Main[[#This Row],[Comments]])=0.1,"N/A",IF(stdProdLT(Main[[#This Row],[Comments]])=0,"",stdProdLT(Main[[#This Row],[Comments]])))</f>
        <v/>
      </c>
      <c r="H946" s="103" t="str">
        <f>IF(AND(Main[[#This Row],[In Stock Date]]&lt;&gt;"",Main[[#This Row],[Revised Due Date]]&lt;&gt;""),Main[[#This Row],[In Stock Date]]-Main[[#This Row],[Revised Due Date]],"")</f>
        <v/>
      </c>
      <c r="I946" s="99" t="s">
        <v>4</v>
      </c>
      <c r="J946" s="99" t="s">
        <v>4</v>
      </c>
      <c r="K946" s="99" t="s">
        <v>4</v>
      </c>
      <c r="L946" s="101"/>
      <c r="M946" s="104" t="str">
        <f>IF(Main[[#This Row],[Tech Start Date]]&lt;1/1/1990,"",IF(Main[[#This Row],[Class]]="C",WORKDAY(Main[[#This Row],[Tech Start Date]],9),IF(Main[[#This Row],[Class]]="B", WORKDAY(Main[[#This Row],[Tech Start Date]],6),IF(Main[[#This Row],[Class]]="A",WORKDAY(Main[[#This Row],[Tech Start Date]],2),""))))</f>
        <v/>
      </c>
      <c r="N946" s="104" t="str">
        <f>IF(Main[[#This Row],[Tech Start Date]]&lt;1/1/1990,"",IF(Main[[#This Row],[Class]]="C",WORKDAY(Main[[#This Row],[Tech Start Date]],19),IF(Main[[#This Row],[Class]]="B", WORKDAY(Main[[#This Row],[Tech Start Date]],12),IF(Main[[#This Row],[Class]]="A",WORKDAY(Main[[#This Row],[Tech Start Date]],4),""))))</f>
        <v/>
      </c>
      <c r="O946" s="104" t="str">
        <f>IF(Main[[#This Row],[Tech Start Date]]&lt;1/1/1990,"",IF(Main[[#This Row],[Class]]="C",WORKDAY(Main[[#This Row],[Tech Start Date]],23),IF(Main[[#This Row],[Class]]="B", WORKDAY(Main[[#This Row],[Tech Start Date]],15),IF(Main[[#This Row],[Class]]="A",WORKDAY(Main[[#This Row],[Tech Start Date]],5),""))))</f>
        <v/>
      </c>
      <c r="P946" s="104" t="str">
        <f>IF(Main[[#This Row],[Tech Start Date]]&lt;1/1/1990,"",IF(Main[[#This Row],[Class]]="C",WORKDAY(Main[[#This Row],[Tech Start Date]],28),IF(Main[[#This Row],[Class]]="B", WORKDAY(Main[[#This Row],[Tech Start Date]],19),IF(Main[[#This Row],[Class]]="A",WORKDAY(Main[[#This Row],[Tech Start Date]],9),""))))</f>
        <v/>
      </c>
      <c r="Q946" s="101"/>
      <c r="R946" s="101"/>
      <c r="S946" s="99" t="s">
        <v>11</v>
      </c>
      <c r="T946" s="107" t="s">
        <v>4</v>
      </c>
      <c r="U946" s="99" t="s">
        <v>14</v>
      </c>
      <c r="V946" s="99" t="s">
        <v>1965</v>
      </c>
      <c r="W946" s="99" t="s">
        <v>1976</v>
      </c>
    </row>
    <row r="947" spans="1:23" ht="18.600000000000001" customHeight="1">
      <c r="A947" s="123" t="str">
        <f>IF(priority(Main[[#This Row],[Comments]])&lt;&gt;0, priority(Main[[#This Row],[Comments]]),"")</f>
        <v/>
      </c>
      <c r="B947" s="127" t="s">
        <v>1805</v>
      </c>
      <c r="C947" s="99" t="s">
        <v>4</v>
      </c>
      <c r="D947" s="100" t="s">
        <v>825</v>
      </c>
      <c r="E947" s="101">
        <v>40687.166759259257</v>
      </c>
      <c r="F947" s="101"/>
      <c r="G947" s="102" t="str">
        <f>IF(stdProdLT(Main[[#This Row],[Comments]])=0.1,"N/A",IF(stdProdLT(Main[[#This Row],[Comments]])=0,"",stdProdLT(Main[[#This Row],[Comments]])))</f>
        <v/>
      </c>
      <c r="H947" s="103" t="str">
        <f>IF(AND(Main[[#This Row],[In Stock Date]]&lt;&gt;"",Main[[#This Row],[Revised Due Date]]&lt;&gt;""),Main[[#This Row],[In Stock Date]]-Main[[#This Row],[Revised Due Date]],"")</f>
        <v/>
      </c>
      <c r="I947" s="99" t="s">
        <v>4</v>
      </c>
      <c r="J947" s="99" t="s">
        <v>4</v>
      </c>
      <c r="K947" s="99" t="s">
        <v>4</v>
      </c>
      <c r="L947" s="101"/>
      <c r="M947" s="104" t="str">
        <f>IF(Main[[#This Row],[Tech Start Date]]&lt;1/1/1990,"",IF(Main[[#This Row],[Class]]="C",WORKDAY(Main[[#This Row],[Tech Start Date]],9),IF(Main[[#This Row],[Class]]="B", WORKDAY(Main[[#This Row],[Tech Start Date]],6),IF(Main[[#This Row],[Class]]="A",WORKDAY(Main[[#This Row],[Tech Start Date]],2),""))))</f>
        <v/>
      </c>
      <c r="N947" s="104" t="str">
        <f>IF(Main[[#This Row],[Tech Start Date]]&lt;1/1/1990,"",IF(Main[[#This Row],[Class]]="C",WORKDAY(Main[[#This Row],[Tech Start Date]],19),IF(Main[[#This Row],[Class]]="B", WORKDAY(Main[[#This Row],[Tech Start Date]],12),IF(Main[[#This Row],[Class]]="A",WORKDAY(Main[[#This Row],[Tech Start Date]],4),""))))</f>
        <v/>
      </c>
      <c r="O947" s="104" t="str">
        <f>IF(Main[[#This Row],[Tech Start Date]]&lt;1/1/1990,"",IF(Main[[#This Row],[Class]]="C",WORKDAY(Main[[#This Row],[Tech Start Date]],23),IF(Main[[#This Row],[Class]]="B", WORKDAY(Main[[#This Row],[Tech Start Date]],15),IF(Main[[#This Row],[Class]]="A",WORKDAY(Main[[#This Row],[Tech Start Date]],5),""))))</f>
        <v/>
      </c>
      <c r="P947" s="104" t="str">
        <f>IF(Main[[#This Row],[Tech Start Date]]&lt;1/1/1990,"",IF(Main[[#This Row],[Class]]="C",WORKDAY(Main[[#This Row],[Tech Start Date]],28),IF(Main[[#This Row],[Class]]="B", WORKDAY(Main[[#This Row],[Tech Start Date]],19),IF(Main[[#This Row],[Class]]="A",WORKDAY(Main[[#This Row],[Tech Start Date]],9),""))))</f>
        <v/>
      </c>
      <c r="Q947" s="101">
        <v>40724</v>
      </c>
      <c r="R947" s="101"/>
      <c r="S947" s="99" t="s">
        <v>6</v>
      </c>
      <c r="T947" s="107" t="s">
        <v>4</v>
      </c>
      <c r="U947" s="99" t="s">
        <v>7</v>
      </c>
      <c r="V947" s="99" t="s">
        <v>1962</v>
      </c>
      <c r="W947" s="99" t="s">
        <v>4</v>
      </c>
    </row>
    <row r="948" spans="1:23" ht="18.600000000000001" customHeight="1">
      <c r="A948" s="123" t="str">
        <f>IF(priority(Main[[#This Row],[Comments]])&lt;&gt;0, priority(Main[[#This Row],[Comments]]),"")</f>
        <v/>
      </c>
      <c r="B948" s="127" t="s">
        <v>1807</v>
      </c>
      <c r="C948" s="99" t="s">
        <v>4</v>
      </c>
      <c r="D948" s="100" t="s">
        <v>826</v>
      </c>
      <c r="E948" s="101"/>
      <c r="F948" s="101">
        <v>40598</v>
      </c>
      <c r="G948" s="102" t="str">
        <f>IF(stdProdLT(Main[[#This Row],[Comments]])=0.1,"N/A",IF(stdProdLT(Main[[#This Row],[Comments]])=0,"",stdProdLT(Main[[#This Row],[Comments]])))</f>
        <v/>
      </c>
      <c r="H948" s="103" t="str">
        <f>IF(AND(Main[[#This Row],[In Stock Date]]&lt;&gt;"",Main[[#This Row],[Revised Due Date]]&lt;&gt;""),Main[[#This Row],[In Stock Date]]-Main[[#This Row],[Revised Due Date]],"")</f>
        <v/>
      </c>
      <c r="I948" s="99" t="s">
        <v>4</v>
      </c>
      <c r="J948" s="99" t="s">
        <v>4</v>
      </c>
      <c r="K948" s="99" t="s">
        <v>4</v>
      </c>
      <c r="L948" s="101"/>
      <c r="M948" s="104" t="str">
        <f>IF(Main[[#This Row],[Tech Start Date]]&lt;1/1/1990,"",IF(Main[[#This Row],[Class]]="C",WORKDAY(Main[[#This Row],[Tech Start Date]],9),IF(Main[[#This Row],[Class]]="B", WORKDAY(Main[[#This Row],[Tech Start Date]],6),IF(Main[[#This Row],[Class]]="A",WORKDAY(Main[[#This Row],[Tech Start Date]],2),""))))</f>
        <v/>
      </c>
      <c r="N948" s="104" t="str">
        <f>IF(Main[[#This Row],[Tech Start Date]]&lt;1/1/1990,"",IF(Main[[#This Row],[Class]]="C",WORKDAY(Main[[#This Row],[Tech Start Date]],19),IF(Main[[#This Row],[Class]]="B", WORKDAY(Main[[#This Row],[Tech Start Date]],12),IF(Main[[#This Row],[Class]]="A",WORKDAY(Main[[#This Row],[Tech Start Date]],4),""))))</f>
        <v/>
      </c>
      <c r="O948" s="104" t="str">
        <f>IF(Main[[#This Row],[Tech Start Date]]&lt;1/1/1990,"",IF(Main[[#This Row],[Class]]="C",WORKDAY(Main[[#This Row],[Tech Start Date]],23),IF(Main[[#This Row],[Class]]="B", WORKDAY(Main[[#This Row],[Tech Start Date]],15),IF(Main[[#This Row],[Class]]="A",WORKDAY(Main[[#This Row],[Tech Start Date]],5),""))))</f>
        <v/>
      </c>
      <c r="P948" s="104" t="str">
        <f>IF(Main[[#This Row],[Tech Start Date]]&lt;1/1/1990,"",IF(Main[[#This Row],[Class]]="C",WORKDAY(Main[[#This Row],[Tech Start Date]],28),IF(Main[[#This Row],[Class]]="B", WORKDAY(Main[[#This Row],[Tech Start Date]],19),IF(Main[[#This Row],[Class]]="A",WORKDAY(Main[[#This Row],[Tech Start Date]],9),""))))</f>
        <v/>
      </c>
      <c r="Q948" s="101">
        <v>40598</v>
      </c>
      <c r="R948" s="101"/>
      <c r="S948" s="99" t="s">
        <v>11</v>
      </c>
      <c r="T948" s="107" t="s">
        <v>4</v>
      </c>
      <c r="U948" s="99" t="s">
        <v>14</v>
      </c>
      <c r="V948" s="99" t="s">
        <v>1972</v>
      </c>
      <c r="W948" s="99" t="s">
        <v>1968</v>
      </c>
    </row>
    <row r="949" spans="1:23" ht="18.600000000000001" customHeight="1">
      <c r="A949" s="123" t="str">
        <f>IF(priority(Main[[#This Row],[Comments]])&lt;&gt;0, priority(Main[[#This Row],[Comments]]),"")</f>
        <v/>
      </c>
      <c r="B949" s="127" t="s">
        <v>1955</v>
      </c>
      <c r="C949" s="99" t="s">
        <v>4</v>
      </c>
      <c r="D949" s="100" t="s">
        <v>980</v>
      </c>
      <c r="E949" s="101">
        <v>40140.581273148149</v>
      </c>
      <c r="F949" s="101"/>
      <c r="G949" s="102" t="str">
        <f>IF(stdProdLT(Main[[#This Row],[Comments]])=0.1,"N/A",IF(stdProdLT(Main[[#This Row],[Comments]])=0,"",stdProdLT(Main[[#This Row],[Comments]])))</f>
        <v/>
      </c>
      <c r="H949" s="103" t="str">
        <f>IF(AND(Main[[#This Row],[In Stock Date]]&lt;&gt;"",Main[[#This Row],[Revised Due Date]]&lt;&gt;""),Main[[#This Row],[In Stock Date]]-Main[[#This Row],[Revised Due Date]],"")</f>
        <v/>
      </c>
      <c r="I949" s="99" t="s">
        <v>437</v>
      </c>
      <c r="J949" s="99" t="s">
        <v>28</v>
      </c>
      <c r="K949" s="99" t="s">
        <v>1974</v>
      </c>
      <c r="L949" s="101"/>
      <c r="M949" s="104" t="str">
        <f>IF(Main[[#This Row],[Tech Start Date]]&lt;1/1/1990,"",IF(Main[[#This Row],[Class]]="C",WORKDAY(Main[[#This Row],[Tech Start Date]],9),IF(Main[[#This Row],[Class]]="B", WORKDAY(Main[[#This Row],[Tech Start Date]],6),IF(Main[[#This Row],[Class]]="A",WORKDAY(Main[[#This Row],[Tech Start Date]],2),""))))</f>
        <v/>
      </c>
      <c r="N949" s="104" t="str">
        <f>IF(Main[[#This Row],[Tech Start Date]]&lt;1/1/1990,"",IF(Main[[#This Row],[Class]]="C",WORKDAY(Main[[#This Row],[Tech Start Date]],19),IF(Main[[#This Row],[Class]]="B", WORKDAY(Main[[#This Row],[Tech Start Date]],12),IF(Main[[#This Row],[Class]]="A",WORKDAY(Main[[#This Row],[Tech Start Date]],4),""))))</f>
        <v/>
      </c>
      <c r="O949" s="104" t="str">
        <f>IF(Main[[#This Row],[Tech Start Date]]&lt;1/1/1990,"",IF(Main[[#This Row],[Class]]="C",WORKDAY(Main[[#This Row],[Tech Start Date]],23),IF(Main[[#This Row],[Class]]="B", WORKDAY(Main[[#This Row],[Tech Start Date]],15),IF(Main[[#This Row],[Class]]="A",WORKDAY(Main[[#This Row],[Tech Start Date]],5),""))))</f>
        <v/>
      </c>
      <c r="P949" s="104" t="str">
        <f>IF(Main[[#This Row],[Tech Start Date]]&lt;1/1/1990,"",IF(Main[[#This Row],[Class]]="C",WORKDAY(Main[[#This Row],[Tech Start Date]],28),IF(Main[[#This Row],[Class]]="B", WORKDAY(Main[[#This Row],[Tech Start Date]],19),IF(Main[[#This Row],[Class]]="A",WORKDAY(Main[[#This Row],[Tech Start Date]],9),""))))</f>
        <v/>
      </c>
      <c r="Q949" s="101">
        <v>40326</v>
      </c>
      <c r="R949" s="101">
        <v>40966</v>
      </c>
      <c r="S949" s="99" t="s">
        <v>17</v>
      </c>
      <c r="T949" s="107" t="s">
        <v>4</v>
      </c>
      <c r="U949" s="99" t="s">
        <v>29</v>
      </c>
      <c r="V949" s="99" t="s">
        <v>1965</v>
      </c>
      <c r="W949" s="99" t="s">
        <v>1967</v>
      </c>
    </row>
    <row r="950" spans="1:23" ht="18.600000000000001" customHeight="1">
      <c r="A950" s="123" t="str">
        <f>IF(priority(Main[[#This Row],[Comments]])&lt;&gt;0, priority(Main[[#This Row],[Comments]]),"")</f>
        <v/>
      </c>
      <c r="B950" s="127" t="s">
        <v>1813</v>
      </c>
      <c r="C950" s="99" t="s">
        <v>4</v>
      </c>
      <c r="D950" s="100" t="s">
        <v>2183</v>
      </c>
      <c r="E950" s="101"/>
      <c r="F950" s="101"/>
      <c r="G950" s="102" t="str">
        <f>IF(stdProdLT(Main[[#This Row],[Comments]])=0.1,"N/A",IF(stdProdLT(Main[[#This Row],[Comments]])=0,"",stdProdLT(Main[[#This Row],[Comments]])))</f>
        <v/>
      </c>
      <c r="H950" s="103" t="str">
        <f>IF(AND(Main[[#This Row],[In Stock Date]]&lt;&gt;"",Main[[#This Row],[Revised Due Date]]&lt;&gt;""),Main[[#This Row],[In Stock Date]]-Main[[#This Row],[Revised Due Date]],"")</f>
        <v/>
      </c>
      <c r="I950" s="99" t="s">
        <v>435</v>
      </c>
      <c r="J950" s="99" t="s">
        <v>70</v>
      </c>
      <c r="K950" s="99" t="s">
        <v>1971</v>
      </c>
      <c r="L950" s="101"/>
      <c r="M950" s="104" t="str">
        <f>IF(Main[[#This Row],[Tech Start Date]]&lt;1/1/1990,"",IF(Main[[#This Row],[Class]]="C",WORKDAY(Main[[#This Row],[Tech Start Date]],9),IF(Main[[#This Row],[Class]]="B", WORKDAY(Main[[#This Row],[Tech Start Date]],6),IF(Main[[#This Row],[Class]]="A",WORKDAY(Main[[#This Row],[Tech Start Date]],2),""))))</f>
        <v/>
      </c>
      <c r="N950" s="104" t="str">
        <f>IF(Main[[#This Row],[Tech Start Date]]&lt;1/1/1990,"",IF(Main[[#This Row],[Class]]="C",WORKDAY(Main[[#This Row],[Tech Start Date]],19),IF(Main[[#This Row],[Class]]="B", WORKDAY(Main[[#This Row],[Tech Start Date]],12),IF(Main[[#This Row],[Class]]="A",WORKDAY(Main[[#This Row],[Tech Start Date]],4),""))))</f>
        <v/>
      </c>
      <c r="O950" s="104" t="str">
        <f>IF(Main[[#This Row],[Tech Start Date]]&lt;1/1/1990,"",IF(Main[[#This Row],[Class]]="C",WORKDAY(Main[[#This Row],[Tech Start Date]],23),IF(Main[[#This Row],[Class]]="B", WORKDAY(Main[[#This Row],[Tech Start Date]],15),IF(Main[[#This Row],[Class]]="A",WORKDAY(Main[[#This Row],[Tech Start Date]],5),""))))</f>
        <v/>
      </c>
      <c r="P950" s="104" t="str">
        <f>IF(Main[[#This Row],[Tech Start Date]]&lt;1/1/1990,"",IF(Main[[#This Row],[Class]]="C",WORKDAY(Main[[#This Row],[Tech Start Date]],28),IF(Main[[#This Row],[Class]]="B", WORKDAY(Main[[#This Row],[Tech Start Date]],19),IF(Main[[#This Row],[Class]]="A",WORKDAY(Main[[#This Row],[Tech Start Date]],9),""))))</f>
        <v/>
      </c>
      <c r="Q950" s="101">
        <v>40714</v>
      </c>
      <c r="R950" s="101"/>
      <c r="S950" s="99" t="s">
        <v>6</v>
      </c>
      <c r="T950" s="107" t="s">
        <v>4</v>
      </c>
      <c r="U950" s="99" t="s">
        <v>14</v>
      </c>
      <c r="V950" s="99" t="s">
        <v>1965</v>
      </c>
      <c r="W950" s="99" t="s">
        <v>1966</v>
      </c>
    </row>
    <row r="951" spans="1:23" ht="18.600000000000001" customHeight="1">
      <c r="A951" s="123" t="str">
        <f>IF(priority(Main[[#This Row],[Comments]])&lt;&gt;0, priority(Main[[#This Row],[Comments]]),"")</f>
        <v/>
      </c>
      <c r="B951" s="127" t="s">
        <v>1814</v>
      </c>
      <c r="C951" s="99" t="s">
        <v>4</v>
      </c>
      <c r="D951" s="100" t="s">
        <v>832</v>
      </c>
      <c r="E951" s="101"/>
      <c r="F951" s="101"/>
      <c r="G951" s="102" t="str">
        <f>IF(stdProdLT(Main[[#This Row],[Comments]])=0.1,"N/A",IF(stdProdLT(Main[[#This Row],[Comments]])=0,"",stdProdLT(Main[[#This Row],[Comments]])))</f>
        <v/>
      </c>
      <c r="H951" s="103" t="str">
        <f>IF(AND(Main[[#This Row],[In Stock Date]]&lt;&gt;"",Main[[#This Row],[Revised Due Date]]&lt;&gt;""),Main[[#This Row],[In Stock Date]]-Main[[#This Row],[Revised Due Date]],"")</f>
        <v/>
      </c>
      <c r="I951" s="99" t="s">
        <v>4</v>
      </c>
      <c r="J951" s="99" t="s">
        <v>4</v>
      </c>
      <c r="K951" s="99" t="s">
        <v>4</v>
      </c>
      <c r="L951" s="101"/>
      <c r="M951" s="104" t="str">
        <f>IF(Main[[#This Row],[Tech Start Date]]&lt;1/1/1990,"",IF(Main[[#This Row],[Class]]="C",WORKDAY(Main[[#This Row],[Tech Start Date]],9),IF(Main[[#This Row],[Class]]="B", WORKDAY(Main[[#This Row],[Tech Start Date]],6),IF(Main[[#This Row],[Class]]="A",WORKDAY(Main[[#This Row],[Tech Start Date]],2),""))))</f>
        <v/>
      </c>
      <c r="N951" s="104" t="str">
        <f>IF(Main[[#This Row],[Tech Start Date]]&lt;1/1/1990,"",IF(Main[[#This Row],[Class]]="C",WORKDAY(Main[[#This Row],[Tech Start Date]],19),IF(Main[[#This Row],[Class]]="B", WORKDAY(Main[[#This Row],[Tech Start Date]],12),IF(Main[[#This Row],[Class]]="A",WORKDAY(Main[[#This Row],[Tech Start Date]],4),""))))</f>
        <v/>
      </c>
      <c r="O951" s="104" t="str">
        <f>IF(Main[[#This Row],[Tech Start Date]]&lt;1/1/1990,"",IF(Main[[#This Row],[Class]]="C",WORKDAY(Main[[#This Row],[Tech Start Date]],23),IF(Main[[#This Row],[Class]]="B", WORKDAY(Main[[#This Row],[Tech Start Date]],15),IF(Main[[#This Row],[Class]]="A",WORKDAY(Main[[#This Row],[Tech Start Date]],5),""))))</f>
        <v/>
      </c>
      <c r="P951" s="104" t="str">
        <f>IF(Main[[#This Row],[Tech Start Date]]&lt;1/1/1990,"",IF(Main[[#This Row],[Class]]="C",WORKDAY(Main[[#This Row],[Tech Start Date]],28),IF(Main[[#This Row],[Class]]="B", WORKDAY(Main[[#This Row],[Tech Start Date]],19),IF(Main[[#This Row],[Class]]="A",WORKDAY(Main[[#This Row],[Tech Start Date]],9),""))))</f>
        <v/>
      </c>
      <c r="Q951" s="101"/>
      <c r="R951" s="101"/>
      <c r="S951" s="99" t="s">
        <v>6</v>
      </c>
      <c r="T951" s="107" t="s">
        <v>4</v>
      </c>
      <c r="U951" s="99" t="s">
        <v>14</v>
      </c>
      <c r="V951" s="99" t="s">
        <v>1962</v>
      </c>
      <c r="W951" s="99" t="s">
        <v>1966</v>
      </c>
    </row>
    <row r="952" spans="1:23" ht="18.600000000000001" customHeight="1">
      <c r="A952" s="123" t="str">
        <f>IF(priority(Main[[#This Row],[Comments]])&lt;&gt;0, priority(Main[[#This Row],[Comments]]),"")</f>
        <v/>
      </c>
      <c r="B952" s="127" t="s">
        <v>1815</v>
      </c>
      <c r="C952" s="99" t="s">
        <v>833</v>
      </c>
      <c r="D952" s="100" t="s">
        <v>834</v>
      </c>
      <c r="E952" s="101"/>
      <c r="F952" s="101">
        <v>40421</v>
      </c>
      <c r="G952" s="102" t="str">
        <f>IF(stdProdLT(Main[[#This Row],[Comments]])=0.1,"N/A",IF(stdProdLT(Main[[#This Row],[Comments]])=0,"",stdProdLT(Main[[#This Row],[Comments]])))</f>
        <v/>
      </c>
      <c r="H952" s="103" t="str">
        <f>IF(AND(Main[[#This Row],[In Stock Date]]&lt;&gt;"",Main[[#This Row],[Revised Due Date]]&lt;&gt;""),Main[[#This Row],[In Stock Date]]-Main[[#This Row],[Revised Due Date]],"")</f>
        <v/>
      </c>
      <c r="I952" s="99" t="s">
        <v>4</v>
      </c>
      <c r="J952" s="99" t="s">
        <v>4</v>
      </c>
      <c r="K952" s="99" t="s">
        <v>4</v>
      </c>
      <c r="L952" s="101"/>
      <c r="M952" s="104" t="str">
        <f>IF(Main[[#This Row],[Tech Start Date]]&lt;1/1/1990,"",IF(Main[[#This Row],[Class]]="C",WORKDAY(Main[[#This Row],[Tech Start Date]],9),IF(Main[[#This Row],[Class]]="B", WORKDAY(Main[[#This Row],[Tech Start Date]],6),IF(Main[[#This Row],[Class]]="A",WORKDAY(Main[[#This Row],[Tech Start Date]],2),""))))</f>
        <v/>
      </c>
      <c r="N952" s="104" t="str">
        <f>IF(Main[[#This Row],[Tech Start Date]]&lt;1/1/1990,"",IF(Main[[#This Row],[Class]]="C",WORKDAY(Main[[#This Row],[Tech Start Date]],19),IF(Main[[#This Row],[Class]]="B", WORKDAY(Main[[#This Row],[Tech Start Date]],12),IF(Main[[#This Row],[Class]]="A",WORKDAY(Main[[#This Row],[Tech Start Date]],4),""))))</f>
        <v/>
      </c>
      <c r="O952" s="104" t="str">
        <f>IF(Main[[#This Row],[Tech Start Date]]&lt;1/1/1990,"",IF(Main[[#This Row],[Class]]="C",WORKDAY(Main[[#This Row],[Tech Start Date]],23),IF(Main[[#This Row],[Class]]="B", WORKDAY(Main[[#This Row],[Tech Start Date]],15),IF(Main[[#This Row],[Class]]="A",WORKDAY(Main[[#This Row],[Tech Start Date]],5),""))))</f>
        <v/>
      </c>
      <c r="P952" s="104" t="str">
        <f>IF(Main[[#This Row],[Tech Start Date]]&lt;1/1/1990,"",IF(Main[[#This Row],[Class]]="C",WORKDAY(Main[[#This Row],[Tech Start Date]],28),IF(Main[[#This Row],[Class]]="B", WORKDAY(Main[[#This Row],[Tech Start Date]],19),IF(Main[[#This Row],[Class]]="A",WORKDAY(Main[[#This Row],[Tech Start Date]],9),""))))</f>
        <v/>
      </c>
      <c r="Q952" s="101"/>
      <c r="R952" s="101"/>
      <c r="S952" s="99" t="s">
        <v>11</v>
      </c>
      <c r="T952" s="107" t="s">
        <v>4</v>
      </c>
      <c r="U952" s="99" t="s">
        <v>12</v>
      </c>
      <c r="V952" s="99" t="s">
        <v>1972</v>
      </c>
      <c r="W952" s="99" t="s">
        <v>1968</v>
      </c>
    </row>
    <row r="953" spans="1:23" ht="18.600000000000001" customHeight="1">
      <c r="A953" s="123" t="str">
        <f>IF(priority(Main[[#This Row],[Comments]])&lt;&gt;0, priority(Main[[#This Row],[Comments]]),"")</f>
        <v/>
      </c>
      <c r="B953" s="127" t="s">
        <v>1816</v>
      </c>
      <c r="C953" s="99" t="s">
        <v>4</v>
      </c>
      <c r="D953" s="100" t="s">
        <v>835</v>
      </c>
      <c r="E953" s="101"/>
      <c r="F953" s="101"/>
      <c r="G953" s="102" t="str">
        <f>IF(stdProdLT(Main[[#This Row],[Comments]])=0.1,"N/A",IF(stdProdLT(Main[[#This Row],[Comments]])=0,"",stdProdLT(Main[[#This Row],[Comments]])))</f>
        <v/>
      </c>
      <c r="H953" s="103" t="str">
        <f>IF(AND(Main[[#This Row],[In Stock Date]]&lt;&gt;"",Main[[#This Row],[Revised Due Date]]&lt;&gt;""),Main[[#This Row],[In Stock Date]]-Main[[#This Row],[Revised Due Date]],"")</f>
        <v/>
      </c>
      <c r="I953" s="99" t="s">
        <v>423</v>
      </c>
      <c r="J953" s="99" t="s">
        <v>75</v>
      </c>
      <c r="K953" s="99" t="s">
        <v>1969</v>
      </c>
      <c r="L953" s="101"/>
      <c r="M953" s="104" t="str">
        <f>IF(Main[[#This Row],[Tech Start Date]]&lt;1/1/1990,"",IF(Main[[#This Row],[Class]]="C",WORKDAY(Main[[#This Row],[Tech Start Date]],9),IF(Main[[#This Row],[Class]]="B", WORKDAY(Main[[#This Row],[Tech Start Date]],6),IF(Main[[#This Row],[Class]]="A",WORKDAY(Main[[#This Row],[Tech Start Date]],2),""))))</f>
        <v/>
      </c>
      <c r="N953" s="104" t="str">
        <f>IF(Main[[#This Row],[Tech Start Date]]&lt;1/1/1990,"",IF(Main[[#This Row],[Class]]="C",WORKDAY(Main[[#This Row],[Tech Start Date]],19),IF(Main[[#This Row],[Class]]="B", WORKDAY(Main[[#This Row],[Tech Start Date]],12),IF(Main[[#This Row],[Class]]="A",WORKDAY(Main[[#This Row],[Tech Start Date]],4),""))))</f>
        <v/>
      </c>
      <c r="O953" s="104" t="str">
        <f>IF(Main[[#This Row],[Tech Start Date]]&lt;1/1/1990,"",IF(Main[[#This Row],[Class]]="C",WORKDAY(Main[[#This Row],[Tech Start Date]],23),IF(Main[[#This Row],[Class]]="B", WORKDAY(Main[[#This Row],[Tech Start Date]],15),IF(Main[[#This Row],[Class]]="A",WORKDAY(Main[[#This Row],[Tech Start Date]],5),""))))</f>
        <v/>
      </c>
      <c r="P953" s="104" t="str">
        <f>IF(Main[[#This Row],[Tech Start Date]]&lt;1/1/1990,"",IF(Main[[#This Row],[Class]]="C",WORKDAY(Main[[#This Row],[Tech Start Date]],28),IF(Main[[#This Row],[Class]]="B", WORKDAY(Main[[#This Row],[Tech Start Date]],19),IF(Main[[#This Row],[Class]]="A",WORKDAY(Main[[#This Row],[Tech Start Date]],9),""))))</f>
        <v/>
      </c>
      <c r="Q953" s="101">
        <v>40529</v>
      </c>
      <c r="R953" s="101"/>
      <c r="S953" s="99" t="s">
        <v>6</v>
      </c>
      <c r="T953" s="107" t="s">
        <v>4</v>
      </c>
      <c r="U953" s="99" t="s">
        <v>14</v>
      </c>
      <c r="V953" s="99" t="s">
        <v>1965</v>
      </c>
      <c r="W953" s="99" t="s">
        <v>1973</v>
      </c>
    </row>
    <row r="954" spans="1:23" ht="18.600000000000001" customHeight="1">
      <c r="A954" s="123" t="str">
        <f>IF(priority(Main[[#This Row],[Comments]])&lt;&gt;0, priority(Main[[#This Row],[Comments]]),"")</f>
        <v/>
      </c>
      <c r="B954" s="127" t="s">
        <v>1817</v>
      </c>
      <c r="C954" s="99" t="s">
        <v>4</v>
      </c>
      <c r="D954" s="100" t="s">
        <v>836</v>
      </c>
      <c r="E954" s="101"/>
      <c r="F954" s="101">
        <v>40602</v>
      </c>
      <c r="G954" s="102" t="str">
        <f>IF(stdProdLT(Main[[#This Row],[Comments]])=0.1,"N/A",IF(stdProdLT(Main[[#This Row],[Comments]])=0,"",stdProdLT(Main[[#This Row],[Comments]])))</f>
        <v/>
      </c>
      <c r="H954" s="103" t="str">
        <f>IF(AND(Main[[#This Row],[In Stock Date]]&lt;&gt;"",Main[[#This Row],[Revised Due Date]]&lt;&gt;""),Main[[#This Row],[In Stock Date]]-Main[[#This Row],[Revised Due Date]],"")</f>
        <v/>
      </c>
      <c r="I954" s="99" t="s">
        <v>4</v>
      </c>
      <c r="J954" s="99" t="s">
        <v>28</v>
      </c>
      <c r="K954" s="99" t="s">
        <v>4</v>
      </c>
      <c r="L954" s="101"/>
      <c r="M954" s="104" t="str">
        <f>IF(Main[[#This Row],[Tech Start Date]]&lt;1/1/1990,"",IF(Main[[#This Row],[Class]]="C",WORKDAY(Main[[#This Row],[Tech Start Date]],9),IF(Main[[#This Row],[Class]]="B", WORKDAY(Main[[#This Row],[Tech Start Date]],6),IF(Main[[#This Row],[Class]]="A",WORKDAY(Main[[#This Row],[Tech Start Date]],2),""))))</f>
        <v/>
      </c>
      <c r="N954" s="104" t="str">
        <f>IF(Main[[#This Row],[Tech Start Date]]&lt;1/1/1990,"",IF(Main[[#This Row],[Class]]="C",WORKDAY(Main[[#This Row],[Tech Start Date]],19),IF(Main[[#This Row],[Class]]="B", WORKDAY(Main[[#This Row],[Tech Start Date]],12),IF(Main[[#This Row],[Class]]="A",WORKDAY(Main[[#This Row],[Tech Start Date]],4),""))))</f>
        <v/>
      </c>
      <c r="O954" s="104" t="str">
        <f>IF(Main[[#This Row],[Tech Start Date]]&lt;1/1/1990,"",IF(Main[[#This Row],[Class]]="C",WORKDAY(Main[[#This Row],[Tech Start Date]],23),IF(Main[[#This Row],[Class]]="B", WORKDAY(Main[[#This Row],[Tech Start Date]],15),IF(Main[[#This Row],[Class]]="A",WORKDAY(Main[[#This Row],[Tech Start Date]],5),""))))</f>
        <v/>
      </c>
      <c r="P954" s="104" t="str">
        <f>IF(Main[[#This Row],[Tech Start Date]]&lt;1/1/1990,"",IF(Main[[#This Row],[Class]]="C",WORKDAY(Main[[#This Row],[Tech Start Date]],28),IF(Main[[#This Row],[Class]]="B", WORKDAY(Main[[#This Row],[Tech Start Date]],19),IF(Main[[#This Row],[Class]]="A",WORKDAY(Main[[#This Row],[Tech Start Date]],9),""))))</f>
        <v/>
      </c>
      <c r="Q954" s="101">
        <v>40612</v>
      </c>
      <c r="R954" s="101"/>
      <c r="S954" s="99" t="s">
        <v>6</v>
      </c>
      <c r="T954" s="107" t="s">
        <v>4</v>
      </c>
      <c r="U954" s="99" t="s">
        <v>14</v>
      </c>
      <c r="V954" s="99" t="s">
        <v>1972</v>
      </c>
      <c r="W954" s="99" t="s">
        <v>1966</v>
      </c>
    </row>
    <row r="955" spans="1:23" ht="18.600000000000001" customHeight="1">
      <c r="A955" s="123" t="str">
        <f>IF(priority(Main[[#This Row],[Comments]])&lt;&gt;0, priority(Main[[#This Row],[Comments]]),"")</f>
        <v/>
      </c>
      <c r="B955" s="127" t="s">
        <v>1843</v>
      </c>
      <c r="C955" s="99" t="s">
        <v>356</v>
      </c>
      <c r="D955" s="100" t="s">
        <v>837</v>
      </c>
      <c r="E955" s="101"/>
      <c r="F955" s="101">
        <v>40360</v>
      </c>
      <c r="G955" s="102" t="str">
        <f>IF(stdProdLT(Main[[#This Row],[Comments]])=0.1,"N/A",IF(stdProdLT(Main[[#This Row],[Comments]])=0,"",stdProdLT(Main[[#This Row],[Comments]])))</f>
        <v/>
      </c>
      <c r="H955" s="103" t="str">
        <f>IF(AND(Main[[#This Row],[In Stock Date]]&lt;&gt;"",Main[[#This Row],[Revised Due Date]]&lt;&gt;""),Main[[#This Row],[In Stock Date]]-Main[[#This Row],[Revised Due Date]],"")</f>
        <v/>
      </c>
      <c r="I955" s="99" t="s">
        <v>4</v>
      </c>
      <c r="J955" s="99" t="s">
        <v>4</v>
      </c>
      <c r="K955" s="99" t="s">
        <v>4</v>
      </c>
      <c r="L955" s="101"/>
      <c r="M955" s="104" t="str">
        <f>IF(Main[[#This Row],[Tech Start Date]]&lt;1/1/1990,"",IF(Main[[#This Row],[Class]]="C",WORKDAY(Main[[#This Row],[Tech Start Date]],9),IF(Main[[#This Row],[Class]]="B", WORKDAY(Main[[#This Row],[Tech Start Date]],6),IF(Main[[#This Row],[Class]]="A",WORKDAY(Main[[#This Row],[Tech Start Date]],2),""))))</f>
        <v/>
      </c>
      <c r="N955" s="104" t="str">
        <f>IF(Main[[#This Row],[Tech Start Date]]&lt;1/1/1990,"",IF(Main[[#This Row],[Class]]="C",WORKDAY(Main[[#This Row],[Tech Start Date]],19),IF(Main[[#This Row],[Class]]="B", WORKDAY(Main[[#This Row],[Tech Start Date]],12),IF(Main[[#This Row],[Class]]="A",WORKDAY(Main[[#This Row],[Tech Start Date]],4),""))))</f>
        <v/>
      </c>
      <c r="O955" s="104" t="str">
        <f>IF(Main[[#This Row],[Tech Start Date]]&lt;1/1/1990,"",IF(Main[[#This Row],[Class]]="C",WORKDAY(Main[[#This Row],[Tech Start Date]],23),IF(Main[[#This Row],[Class]]="B", WORKDAY(Main[[#This Row],[Tech Start Date]],15),IF(Main[[#This Row],[Class]]="A",WORKDAY(Main[[#This Row],[Tech Start Date]],5),""))))</f>
        <v/>
      </c>
      <c r="P955" s="104" t="str">
        <f>IF(Main[[#This Row],[Tech Start Date]]&lt;1/1/1990,"",IF(Main[[#This Row],[Class]]="C",WORKDAY(Main[[#This Row],[Tech Start Date]],28),IF(Main[[#This Row],[Class]]="B", WORKDAY(Main[[#This Row],[Tech Start Date]],19),IF(Main[[#This Row],[Class]]="A",WORKDAY(Main[[#This Row],[Tech Start Date]],9),""))))</f>
        <v/>
      </c>
      <c r="Q955" s="101">
        <v>40329</v>
      </c>
      <c r="R955" s="101"/>
      <c r="S955" s="99" t="s">
        <v>11</v>
      </c>
      <c r="T955" s="107" t="s">
        <v>4</v>
      </c>
      <c r="U955" s="99" t="s">
        <v>12</v>
      </c>
      <c r="V955" s="99" t="s">
        <v>1972</v>
      </c>
      <c r="W955" s="99" t="s">
        <v>1968</v>
      </c>
    </row>
    <row r="956" spans="1:23" ht="18.600000000000001" customHeight="1">
      <c r="A956" s="123" t="str">
        <f>IF(priority(Main[[#This Row],[Comments]])&lt;&gt;0, priority(Main[[#This Row],[Comments]]),"")</f>
        <v/>
      </c>
      <c r="B956" s="127" t="s">
        <v>1819</v>
      </c>
      <c r="C956" s="99" t="s">
        <v>4</v>
      </c>
      <c r="D956" s="100" t="s">
        <v>862</v>
      </c>
      <c r="E956" s="101"/>
      <c r="F956" s="101"/>
      <c r="G956" s="102" t="str">
        <f>IF(stdProdLT(Main[[#This Row],[Comments]])=0.1,"N/A",IF(stdProdLT(Main[[#This Row],[Comments]])=0,"",stdProdLT(Main[[#This Row],[Comments]])))</f>
        <v/>
      </c>
      <c r="H956" s="103" t="str">
        <f>IF(AND(Main[[#This Row],[In Stock Date]]&lt;&gt;"",Main[[#This Row],[Revised Due Date]]&lt;&gt;""),Main[[#This Row],[In Stock Date]]-Main[[#This Row],[Revised Due Date]],"")</f>
        <v/>
      </c>
      <c r="I956" s="99" t="s">
        <v>4</v>
      </c>
      <c r="J956" s="99" t="s">
        <v>4</v>
      </c>
      <c r="K956" s="99" t="s">
        <v>4</v>
      </c>
      <c r="L956" s="101"/>
      <c r="M956" s="104" t="str">
        <f>IF(Main[[#This Row],[Tech Start Date]]&lt;1/1/1990,"",IF(Main[[#This Row],[Class]]="C",WORKDAY(Main[[#This Row],[Tech Start Date]],9),IF(Main[[#This Row],[Class]]="B", WORKDAY(Main[[#This Row],[Tech Start Date]],6),IF(Main[[#This Row],[Class]]="A",WORKDAY(Main[[#This Row],[Tech Start Date]],2),""))))</f>
        <v/>
      </c>
      <c r="N956" s="104" t="str">
        <f>IF(Main[[#This Row],[Tech Start Date]]&lt;1/1/1990,"",IF(Main[[#This Row],[Class]]="C",WORKDAY(Main[[#This Row],[Tech Start Date]],19),IF(Main[[#This Row],[Class]]="B", WORKDAY(Main[[#This Row],[Tech Start Date]],12),IF(Main[[#This Row],[Class]]="A",WORKDAY(Main[[#This Row],[Tech Start Date]],4),""))))</f>
        <v/>
      </c>
      <c r="O956" s="104" t="str">
        <f>IF(Main[[#This Row],[Tech Start Date]]&lt;1/1/1990,"",IF(Main[[#This Row],[Class]]="C",WORKDAY(Main[[#This Row],[Tech Start Date]],23),IF(Main[[#This Row],[Class]]="B", WORKDAY(Main[[#This Row],[Tech Start Date]],15),IF(Main[[#This Row],[Class]]="A",WORKDAY(Main[[#This Row],[Tech Start Date]],5),""))))</f>
        <v/>
      </c>
      <c r="P956" s="104" t="str">
        <f>IF(Main[[#This Row],[Tech Start Date]]&lt;1/1/1990,"",IF(Main[[#This Row],[Class]]="C",WORKDAY(Main[[#This Row],[Tech Start Date]],28),IF(Main[[#This Row],[Class]]="B", WORKDAY(Main[[#This Row],[Tech Start Date]],19),IF(Main[[#This Row],[Class]]="A",WORKDAY(Main[[#This Row],[Tech Start Date]],9),""))))</f>
        <v/>
      </c>
      <c r="Q956" s="101"/>
      <c r="R956" s="101"/>
      <c r="S956" s="99" t="s">
        <v>49</v>
      </c>
      <c r="T956" s="107" t="s">
        <v>4</v>
      </c>
      <c r="U956" s="99" t="s">
        <v>14</v>
      </c>
      <c r="V956" s="99" t="s">
        <v>1965</v>
      </c>
      <c r="W956" s="99" t="s">
        <v>1966</v>
      </c>
    </row>
    <row r="957" spans="1:23" ht="18.600000000000001" customHeight="1">
      <c r="A957" s="123" t="str">
        <f>IF(priority(Main[[#This Row],[Comments]])&lt;&gt;0, priority(Main[[#This Row],[Comments]]),"")</f>
        <v/>
      </c>
      <c r="B957" s="127" t="s">
        <v>1820</v>
      </c>
      <c r="C957" s="99" t="s">
        <v>4</v>
      </c>
      <c r="D957" s="100" t="s">
        <v>863</v>
      </c>
      <c r="E957" s="101"/>
      <c r="F957" s="101"/>
      <c r="G957" s="102" t="str">
        <f>IF(stdProdLT(Main[[#This Row],[Comments]])=0.1,"N/A",IF(stdProdLT(Main[[#This Row],[Comments]])=0,"",stdProdLT(Main[[#This Row],[Comments]])))</f>
        <v/>
      </c>
      <c r="H957" s="103" t="str">
        <f>IF(AND(Main[[#This Row],[In Stock Date]]&lt;&gt;"",Main[[#This Row],[Revised Due Date]]&lt;&gt;""),Main[[#This Row],[In Stock Date]]-Main[[#This Row],[Revised Due Date]],"")</f>
        <v/>
      </c>
      <c r="I957" s="99" t="s">
        <v>4</v>
      </c>
      <c r="J957" s="99" t="s">
        <v>4</v>
      </c>
      <c r="K957" s="99" t="s">
        <v>4</v>
      </c>
      <c r="L957" s="101"/>
      <c r="M957" s="104" t="str">
        <f>IF(Main[[#This Row],[Tech Start Date]]&lt;1/1/1990,"",IF(Main[[#This Row],[Class]]="C",WORKDAY(Main[[#This Row],[Tech Start Date]],9),IF(Main[[#This Row],[Class]]="B", WORKDAY(Main[[#This Row],[Tech Start Date]],6),IF(Main[[#This Row],[Class]]="A",WORKDAY(Main[[#This Row],[Tech Start Date]],2),""))))</f>
        <v/>
      </c>
      <c r="N957" s="104" t="str">
        <f>IF(Main[[#This Row],[Tech Start Date]]&lt;1/1/1990,"",IF(Main[[#This Row],[Class]]="C",WORKDAY(Main[[#This Row],[Tech Start Date]],19),IF(Main[[#This Row],[Class]]="B", WORKDAY(Main[[#This Row],[Tech Start Date]],12),IF(Main[[#This Row],[Class]]="A",WORKDAY(Main[[#This Row],[Tech Start Date]],4),""))))</f>
        <v/>
      </c>
      <c r="O957" s="104" t="str">
        <f>IF(Main[[#This Row],[Tech Start Date]]&lt;1/1/1990,"",IF(Main[[#This Row],[Class]]="C",WORKDAY(Main[[#This Row],[Tech Start Date]],23),IF(Main[[#This Row],[Class]]="B", WORKDAY(Main[[#This Row],[Tech Start Date]],15),IF(Main[[#This Row],[Class]]="A",WORKDAY(Main[[#This Row],[Tech Start Date]],5),""))))</f>
        <v/>
      </c>
      <c r="P957" s="104" t="str">
        <f>IF(Main[[#This Row],[Tech Start Date]]&lt;1/1/1990,"",IF(Main[[#This Row],[Class]]="C",WORKDAY(Main[[#This Row],[Tech Start Date]],28),IF(Main[[#This Row],[Class]]="B", WORKDAY(Main[[#This Row],[Tech Start Date]],19),IF(Main[[#This Row],[Class]]="A",WORKDAY(Main[[#This Row],[Tech Start Date]],9),""))))</f>
        <v/>
      </c>
      <c r="Q957" s="101"/>
      <c r="R957" s="101"/>
      <c r="S957" s="99" t="s">
        <v>23</v>
      </c>
      <c r="T957" s="107" t="s">
        <v>4</v>
      </c>
      <c r="U957" s="99" t="s">
        <v>14</v>
      </c>
      <c r="V957" s="99" t="s">
        <v>1965</v>
      </c>
      <c r="W957" s="99" t="s">
        <v>1966</v>
      </c>
    </row>
    <row r="958" spans="1:23" ht="18.600000000000001" customHeight="1">
      <c r="A958" s="123" t="str">
        <f>IF(priority(Main[[#This Row],[Comments]])&lt;&gt;0, priority(Main[[#This Row],[Comments]]),"")</f>
        <v/>
      </c>
      <c r="B958" s="127" t="s">
        <v>1808</v>
      </c>
      <c r="C958" s="99" t="s">
        <v>4</v>
      </c>
      <c r="D958" s="100" t="s">
        <v>827</v>
      </c>
      <c r="E958" s="101"/>
      <c r="F958" s="101"/>
      <c r="G958" s="102" t="str">
        <f>IF(stdProdLT(Main[[#This Row],[Comments]])=0.1,"N/A",IF(stdProdLT(Main[[#This Row],[Comments]])=0,"",stdProdLT(Main[[#This Row],[Comments]])))</f>
        <v/>
      </c>
      <c r="H958" s="103" t="str">
        <f>IF(AND(Main[[#This Row],[In Stock Date]]&lt;&gt;"",Main[[#This Row],[Revised Due Date]]&lt;&gt;""),Main[[#This Row],[In Stock Date]]-Main[[#This Row],[Revised Due Date]],"")</f>
        <v/>
      </c>
      <c r="I958" s="99" t="s">
        <v>4</v>
      </c>
      <c r="J958" s="99" t="s">
        <v>4</v>
      </c>
      <c r="K958" s="99" t="s">
        <v>4</v>
      </c>
      <c r="L958" s="101"/>
      <c r="M958" s="104" t="str">
        <f>IF(Main[[#This Row],[Tech Start Date]]&lt;1/1/1990,"",IF(Main[[#This Row],[Class]]="C",WORKDAY(Main[[#This Row],[Tech Start Date]],9),IF(Main[[#This Row],[Class]]="B", WORKDAY(Main[[#This Row],[Tech Start Date]],6),IF(Main[[#This Row],[Class]]="A",WORKDAY(Main[[#This Row],[Tech Start Date]],2),""))))</f>
        <v/>
      </c>
      <c r="N958" s="104" t="str">
        <f>IF(Main[[#This Row],[Tech Start Date]]&lt;1/1/1990,"",IF(Main[[#This Row],[Class]]="C",WORKDAY(Main[[#This Row],[Tech Start Date]],19),IF(Main[[#This Row],[Class]]="B", WORKDAY(Main[[#This Row],[Tech Start Date]],12),IF(Main[[#This Row],[Class]]="A",WORKDAY(Main[[#This Row],[Tech Start Date]],4),""))))</f>
        <v/>
      </c>
      <c r="O958" s="104" t="str">
        <f>IF(Main[[#This Row],[Tech Start Date]]&lt;1/1/1990,"",IF(Main[[#This Row],[Class]]="C",WORKDAY(Main[[#This Row],[Tech Start Date]],23),IF(Main[[#This Row],[Class]]="B", WORKDAY(Main[[#This Row],[Tech Start Date]],15),IF(Main[[#This Row],[Class]]="A",WORKDAY(Main[[#This Row],[Tech Start Date]],5),""))))</f>
        <v/>
      </c>
      <c r="P958" s="104" t="str">
        <f>IF(Main[[#This Row],[Tech Start Date]]&lt;1/1/1990,"",IF(Main[[#This Row],[Class]]="C",WORKDAY(Main[[#This Row],[Tech Start Date]],28),IF(Main[[#This Row],[Class]]="B", WORKDAY(Main[[#This Row],[Tech Start Date]],19),IF(Main[[#This Row],[Class]]="A",WORKDAY(Main[[#This Row],[Tech Start Date]],9),""))))</f>
        <v/>
      </c>
      <c r="Q958" s="101">
        <v>40209</v>
      </c>
      <c r="R958" s="101"/>
      <c r="S958" s="99" t="s">
        <v>6</v>
      </c>
      <c r="T958" s="107" t="s">
        <v>4</v>
      </c>
      <c r="U958" s="99" t="s">
        <v>14</v>
      </c>
      <c r="V958" s="99" t="s">
        <v>1965</v>
      </c>
      <c r="W958" s="99" t="s">
        <v>4</v>
      </c>
    </row>
    <row r="959" spans="1:23" ht="18.600000000000001" customHeight="1">
      <c r="A959" s="123" t="str">
        <f>IF(priority(Main[[#This Row],[Comments]])&lt;&gt;0, priority(Main[[#This Row],[Comments]]),"")</f>
        <v/>
      </c>
      <c r="B959" s="127" t="s">
        <v>1809</v>
      </c>
      <c r="C959" s="99" t="s">
        <v>828</v>
      </c>
      <c r="D959" s="100" t="s">
        <v>829</v>
      </c>
      <c r="E959" s="101"/>
      <c r="F959" s="101">
        <v>40678</v>
      </c>
      <c r="G959" s="102" t="str">
        <f>IF(stdProdLT(Main[[#This Row],[Comments]])=0.1,"N/A",IF(stdProdLT(Main[[#This Row],[Comments]])=0,"",stdProdLT(Main[[#This Row],[Comments]])))</f>
        <v/>
      </c>
      <c r="H959" s="103" t="str">
        <f>IF(AND(Main[[#This Row],[In Stock Date]]&lt;&gt;"",Main[[#This Row],[Revised Due Date]]&lt;&gt;""),Main[[#This Row],[In Stock Date]]-Main[[#This Row],[Revised Due Date]],"")</f>
        <v/>
      </c>
      <c r="I959" s="99" t="s">
        <v>4</v>
      </c>
      <c r="J959" s="99" t="s">
        <v>4</v>
      </c>
      <c r="K959" s="99" t="s">
        <v>4</v>
      </c>
      <c r="L959" s="101"/>
      <c r="M959" s="104" t="str">
        <f>IF(Main[[#This Row],[Tech Start Date]]&lt;1/1/1990,"",IF(Main[[#This Row],[Class]]="C",WORKDAY(Main[[#This Row],[Tech Start Date]],9),IF(Main[[#This Row],[Class]]="B", WORKDAY(Main[[#This Row],[Tech Start Date]],6),IF(Main[[#This Row],[Class]]="A",WORKDAY(Main[[#This Row],[Tech Start Date]],2),""))))</f>
        <v/>
      </c>
      <c r="N959" s="104" t="str">
        <f>IF(Main[[#This Row],[Tech Start Date]]&lt;1/1/1990,"",IF(Main[[#This Row],[Class]]="C",WORKDAY(Main[[#This Row],[Tech Start Date]],19),IF(Main[[#This Row],[Class]]="B", WORKDAY(Main[[#This Row],[Tech Start Date]],12),IF(Main[[#This Row],[Class]]="A",WORKDAY(Main[[#This Row],[Tech Start Date]],4),""))))</f>
        <v/>
      </c>
      <c r="O959" s="104" t="str">
        <f>IF(Main[[#This Row],[Tech Start Date]]&lt;1/1/1990,"",IF(Main[[#This Row],[Class]]="C",WORKDAY(Main[[#This Row],[Tech Start Date]],23),IF(Main[[#This Row],[Class]]="B", WORKDAY(Main[[#This Row],[Tech Start Date]],15),IF(Main[[#This Row],[Class]]="A",WORKDAY(Main[[#This Row],[Tech Start Date]],5),""))))</f>
        <v/>
      </c>
      <c r="P959" s="104" t="str">
        <f>IF(Main[[#This Row],[Tech Start Date]]&lt;1/1/1990,"",IF(Main[[#This Row],[Class]]="C",WORKDAY(Main[[#This Row],[Tech Start Date]],28),IF(Main[[#This Row],[Class]]="B", WORKDAY(Main[[#This Row],[Tech Start Date]],19),IF(Main[[#This Row],[Class]]="A",WORKDAY(Main[[#This Row],[Tech Start Date]],9),""))))</f>
        <v/>
      </c>
      <c r="Q959" s="101">
        <v>40602</v>
      </c>
      <c r="R959" s="101"/>
      <c r="S959" s="99" t="s">
        <v>11</v>
      </c>
      <c r="T959" s="107" t="s">
        <v>4</v>
      </c>
      <c r="U959" s="99" t="s">
        <v>14</v>
      </c>
      <c r="V959" s="99" t="s">
        <v>1962</v>
      </c>
      <c r="W959" s="99" t="s">
        <v>1968</v>
      </c>
    </row>
    <row r="960" spans="1:23" ht="18.600000000000001" customHeight="1">
      <c r="A960" s="123" t="str">
        <f>IF(priority(Main[[#This Row],[Comments]])&lt;&gt;0, priority(Main[[#This Row],[Comments]]),"")</f>
        <v/>
      </c>
      <c r="B960" s="127" t="s">
        <v>1812</v>
      </c>
      <c r="C960" s="99" t="s">
        <v>830</v>
      </c>
      <c r="D960" s="100" t="s">
        <v>831</v>
      </c>
      <c r="E960" s="101"/>
      <c r="F960" s="101"/>
      <c r="G960" s="102" t="str">
        <f>IF(stdProdLT(Main[[#This Row],[Comments]])=0.1,"N/A",IF(stdProdLT(Main[[#This Row],[Comments]])=0,"",stdProdLT(Main[[#This Row],[Comments]])))</f>
        <v/>
      </c>
      <c r="H960" s="103" t="str">
        <f>IF(AND(Main[[#This Row],[In Stock Date]]&lt;&gt;"",Main[[#This Row],[Revised Due Date]]&lt;&gt;""),Main[[#This Row],[In Stock Date]]-Main[[#This Row],[Revised Due Date]],"")</f>
        <v/>
      </c>
      <c r="I960" s="99" t="s">
        <v>4</v>
      </c>
      <c r="J960" s="99" t="s">
        <v>4</v>
      </c>
      <c r="K960" s="99" t="s">
        <v>4</v>
      </c>
      <c r="L960" s="101"/>
      <c r="M960" s="104" t="str">
        <f>IF(Main[[#This Row],[Tech Start Date]]&lt;1/1/1990,"",IF(Main[[#This Row],[Class]]="C",WORKDAY(Main[[#This Row],[Tech Start Date]],9),IF(Main[[#This Row],[Class]]="B", WORKDAY(Main[[#This Row],[Tech Start Date]],6),IF(Main[[#This Row],[Class]]="A",WORKDAY(Main[[#This Row],[Tech Start Date]],2),""))))</f>
        <v/>
      </c>
      <c r="N960" s="104" t="str">
        <f>IF(Main[[#This Row],[Tech Start Date]]&lt;1/1/1990,"",IF(Main[[#This Row],[Class]]="C",WORKDAY(Main[[#This Row],[Tech Start Date]],19),IF(Main[[#This Row],[Class]]="B", WORKDAY(Main[[#This Row],[Tech Start Date]],12),IF(Main[[#This Row],[Class]]="A",WORKDAY(Main[[#This Row],[Tech Start Date]],4),""))))</f>
        <v/>
      </c>
      <c r="O960" s="104" t="str">
        <f>IF(Main[[#This Row],[Tech Start Date]]&lt;1/1/1990,"",IF(Main[[#This Row],[Class]]="C",WORKDAY(Main[[#This Row],[Tech Start Date]],23),IF(Main[[#This Row],[Class]]="B", WORKDAY(Main[[#This Row],[Tech Start Date]],15),IF(Main[[#This Row],[Class]]="A",WORKDAY(Main[[#This Row],[Tech Start Date]],5),""))))</f>
        <v/>
      </c>
      <c r="P960" s="104" t="str">
        <f>IF(Main[[#This Row],[Tech Start Date]]&lt;1/1/1990,"",IF(Main[[#This Row],[Class]]="C",WORKDAY(Main[[#This Row],[Tech Start Date]],28),IF(Main[[#This Row],[Class]]="B", WORKDAY(Main[[#This Row],[Tech Start Date]],19),IF(Main[[#This Row],[Class]]="A",WORKDAY(Main[[#This Row],[Tech Start Date]],9),""))))</f>
        <v/>
      </c>
      <c r="Q960" s="101">
        <v>40715</v>
      </c>
      <c r="R960" s="101"/>
      <c r="S960" s="99" t="s">
        <v>11</v>
      </c>
      <c r="T960" s="107" t="s">
        <v>4</v>
      </c>
      <c r="U960" s="99" t="s">
        <v>14</v>
      </c>
      <c r="V960" s="99" t="s">
        <v>1963</v>
      </c>
      <c r="W960" s="99" t="s">
        <v>1964</v>
      </c>
    </row>
    <row r="961" spans="1:23" ht="18.600000000000001" customHeight="1">
      <c r="A961" s="123" t="str">
        <f>IF(priority(Main[[#This Row],[Comments]])&lt;&gt;0, priority(Main[[#This Row],[Comments]]),"")</f>
        <v/>
      </c>
      <c r="B961" s="127" t="s">
        <v>2234</v>
      </c>
      <c r="C961" s="99" t="s">
        <v>2228</v>
      </c>
      <c r="D961" s="100" t="s">
        <v>2229</v>
      </c>
      <c r="E961" s="101">
        <v>40781.39603009259</v>
      </c>
      <c r="F961" s="101"/>
      <c r="G961" s="102" t="str">
        <f>IF(stdProdLT(Main[[#This Row],[Comments]])=0.1,"N/A",IF(stdProdLT(Main[[#This Row],[Comments]])=0,"",stdProdLT(Main[[#This Row],[Comments]])))</f>
        <v/>
      </c>
      <c r="H961" s="103" t="str">
        <f>IF(AND(Main[[#This Row],[In Stock Date]]&lt;&gt;"",Main[[#This Row],[Revised Due Date]]&lt;&gt;""),Main[[#This Row],[In Stock Date]]-Main[[#This Row],[Revised Due Date]],"")</f>
        <v/>
      </c>
      <c r="I961" s="99" t="s">
        <v>69</v>
      </c>
      <c r="J961" s="99" t="s">
        <v>2029</v>
      </c>
      <c r="K961" s="99" t="s">
        <v>1971</v>
      </c>
      <c r="L961" s="101"/>
      <c r="M961" s="104" t="str">
        <f>IF(Main[[#This Row],[Tech Start Date]]&lt;1/1/1990,"",IF(Main[[#This Row],[Class]]="C",WORKDAY(Main[[#This Row],[Tech Start Date]],9),IF(Main[[#This Row],[Class]]="B", WORKDAY(Main[[#This Row],[Tech Start Date]],6),IF(Main[[#This Row],[Class]]="A",WORKDAY(Main[[#This Row],[Tech Start Date]],2),""))))</f>
        <v/>
      </c>
      <c r="N961" s="104" t="str">
        <f>IF(Main[[#This Row],[Tech Start Date]]&lt;1/1/1990,"",IF(Main[[#This Row],[Class]]="C",WORKDAY(Main[[#This Row],[Tech Start Date]],19),IF(Main[[#This Row],[Class]]="B", WORKDAY(Main[[#This Row],[Tech Start Date]],12),IF(Main[[#This Row],[Class]]="A",WORKDAY(Main[[#This Row],[Tech Start Date]],4),""))))</f>
        <v/>
      </c>
      <c r="O961" s="104" t="str">
        <f>IF(Main[[#This Row],[Tech Start Date]]&lt;1/1/1990,"",IF(Main[[#This Row],[Class]]="C",WORKDAY(Main[[#This Row],[Tech Start Date]],23),IF(Main[[#This Row],[Class]]="B", WORKDAY(Main[[#This Row],[Tech Start Date]],15),IF(Main[[#This Row],[Class]]="A",WORKDAY(Main[[#This Row],[Tech Start Date]],5),""))))</f>
        <v/>
      </c>
      <c r="P961" s="104" t="str">
        <f>IF(Main[[#This Row],[Tech Start Date]]&lt;1/1/1990,"",IF(Main[[#This Row],[Class]]="C",WORKDAY(Main[[#This Row],[Tech Start Date]],28),IF(Main[[#This Row],[Class]]="B", WORKDAY(Main[[#This Row],[Tech Start Date]],19),IF(Main[[#This Row],[Class]]="A",WORKDAY(Main[[#This Row],[Tech Start Date]],9),""))))</f>
        <v/>
      </c>
      <c r="Q961" s="101">
        <v>40836</v>
      </c>
      <c r="R961" s="101"/>
      <c r="S961" s="99" t="s">
        <v>6</v>
      </c>
      <c r="T961" s="107" t="s">
        <v>4</v>
      </c>
      <c r="U961" s="99" t="s">
        <v>29</v>
      </c>
      <c r="V961" s="99" t="s">
        <v>1965</v>
      </c>
      <c r="W961" s="99" t="s">
        <v>1966</v>
      </c>
    </row>
    <row r="962" spans="1:23" ht="18.600000000000001" customHeight="1">
      <c r="A962" s="123" t="str">
        <f>IF(priority(Main[[#This Row],[Comments]])&lt;&gt;0, priority(Main[[#This Row],[Comments]]),"")</f>
        <v/>
      </c>
      <c r="B962" s="127" t="s">
        <v>1822</v>
      </c>
      <c r="C962" s="99" t="s">
        <v>183</v>
      </c>
      <c r="D962" s="100" t="s">
        <v>838</v>
      </c>
      <c r="E962" s="101"/>
      <c r="F962" s="101">
        <v>40389</v>
      </c>
      <c r="G962" s="102" t="str">
        <f>IF(stdProdLT(Main[[#This Row],[Comments]])=0.1,"N/A",IF(stdProdLT(Main[[#This Row],[Comments]])=0,"",stdProdLT(Main[[#This Row],[Comments]])))</f>
        <v/>
      </c>
      <c r="H962" s="103" t="str">
        <f>IF(AND(Main[[#This Row],[In Stock Date]]&lt;&gt;"",Main[[#This Row],[Revised Due Date]]&lt;&gt;""),Main[[#This Row],[In Stock Date]]-Main[[#This Row],[Revised Due Date]],"")</f>
        <v/>
      </c>
      <c r="I962" s="99" t="s">
        <v>4</v>
      </c>
      <c r="J962" s="99" t="s">
        <v>4</v>
      </c>
      <c r="K962" s="108" t="s">
        <v>4</v>
      </c>
      <c r="L962" s="101"/>
      <c r="M962" s="104" t="str">
        <f>IF(Main[[#This Row],[Tech Start Date]]&lt;1/1/1990,"",IF(Main[[#This Row],[Class]]="C",WORKDAY(Main[[#This Row],[Tech Start Date]],9),IF(Main[[#This Row],[Class]]="B", WORKDAY(Main[[#This Row],[Tech Start Date]],6),IF(Main[[#This Row],[Class]]="A",WORKDAY(Main[[#This Row],[Tech Start Date]],2),""))))</f>
        <v/>
      </c>
      <c r="N962" s="104" t="str">
        <f>IF(Main[[#This Row],[Tech Start Date]]&lt;1/1/1990,"",IF(Main[[#This Row],[Class]]="C",WORKDAY(Main[[#This Row],[Tech Start Date]],19),IF(Main[[#This Row],[Class]]="B", WORKDAY(Main[[#This Row],[Tech Start Date]],12),IF(Main[[#This Row],[Class]]="A",WORKDAY(Main[[#This Row],[Tech Start Date]],4),""))))</f>
        <v/>
      </c>
      <c r="O962" s="104" t="str">
        <f>IF(Main[[#This Row],[Tech Start Date]]&lt;1/1/1990,"",IF(Main[[#This Row],[Class]]="C",WORKDAY(Main[[#This Row],[Tech Start Date]],23),IF(Main[[#This Row],[Class]]="B", WORKDAY(Main[[#This Row],[Tech Start Date]],15),IF(Main[[#This Row],[Class]]="A",WORKDAY(Main[[#This Row],[Tech Start Date]],5),""))))</f>
        <v/>
      </c>
      <c r="P962" s="104" t="str">
        <f>IF(Main[[#This Row],[Tech Start Date]]&lt;1/1/1990,"",IF(Main[[#This Row],[Class]]="C",WORKDAY(Main[[#This Row],[Tech Start Date]],28),IF(Main[[#This Row],[Class]]="B", WORKDAY(Main[[#This Row],[Tech Start Date]],19),IF(Main[[#This Row],[Class]]="A",WORKDAY(Main[[#This Row],[Tech Start Date]],9),""))))</f>
        <v/>
      </c>
      <c r="Q962" s="101">
        <v>40298</v>
      </c>
      <c r="R962" s="101"/>
      <c r="S962" s="99" t="s">
        <v>11</v>
      </c>
      <c r="T962" s="107" t="s">
        <v>4</v>
      </c>
      <c r="U962" s="99" t="s">
        <v>14</v>
      </c>
      <c r="V962" s="99" t="s">
        <v>1962</v>
      </c>
      <c r="W962" s="99" t="s">
        <v>1968</v>
      </c>
    </row>
    <row r="963" spans="1:23" ht="18.600000000000001" customHeight="1">
      <c r="A963" s="123" t="str">
        <f>IF(priority(Main[[#This Row],[Comments]])&lt;&gt;0, priority(Main[[#This Row],[Comments]]),"")</f>
        <v/>
      </c>
      <c r="B963" s="127" t="s">
        <v>1823</v>
      </c>
      <c r="C963" s="99" t="s">
        <v>839</v>
      </c>
      <c r="D963" s="100" t="s">
        <v>840</v>
      </c>
      <c r="E963" s="101"/>
      <c r="F963" s="101"/>
      <c r="G963" s="102" t="str">
        <f>IF(stdProdLT(Main[[#This Row],[Comments]])=0.1,"N/A",IF(stdProdLT(Main[[#This Row],[Comments]])=0,"",stdProdLT(Main[[#This Row],[Comments]])))</f>
        <v/>
      </c>
      <c r="H963" s="103" t="str">
        <f>IF(AND(Main[[#This Row],[In Stock Date]]&lt;&gt;"",Main[[#This Row],[Revised Due Date]]&lt;&gt;""),Main[[#This Row],[In Stock Date]]-Main[[#This Row],[Revised Due Date]],"")</f>
        <v/>
      </c>
      <c r="I963" s="99" t="s">
        <v>4</v>
      </c>
      <c r="J963" s="99" t="s">
        <v>4</v>
      </c>
      <c r="K963" s="99" t="s">
        <v>4</v>
      </c>
      <c r="L963" s="101"/>
      <c r="M963" s="104" t="str">
        <f>IF(Main[[#This Row],[Tech Start Date]]&lt;1/1/1990,"",IF(Main[[#This Row],[Class]]="C",WORKDAY(Main[[#This Row],[Tech Start Date]],9),IF(Main[[#This Row],[Class]]="B", WORKDAY(Main[[#This Row],[Tech Start Date]],6),IF(Main[[#This Row],[Class]]="A",WORKDAY(Main[[#This Row],[Tech Start Date]],2),""))))</f>
        <v/>
      </c>
      <c r="N963" s="104" t="str">
        <f>IF(Main[[#This Row],[Tech Start Date]]&lt;1/1/1990,"",IF(Main[[#This Row],[Class]]="C",WORKDAY(Main[[#This Row],[Tech Start Date]],19),IF(Main[[#This Row],[Class]]="B", WORKDAY(Main[[#This Row],[Tech Start Date]],12),IF(Main[[#This Row],[Class]]="A",WORKDAY(Main[[#This Row],[Tech Start Date]],4),""))))</f>
        <v/>
      </c>
      <c r="O963" s="104" t="str">
        <f>IF(Main[[#This Row],[Tech Start Date]]&lt;1/1/1990,"",IF(Main[[#This Row],[Class]]="C",WORKDAY(Main[[#This Row],[Tech Start Date]],23),IF(Main[[#This Row],[Class]]="B", WORKDAY(Main[[#This Row],[Tech Start Date]],15),IF(Main[[#This Row],[Class]]="A",WORKDAY(Main[[#This Row],[Tech Start Date]],5),""))))</f>
        <v/>
      </c>
      <c r="P963" s="104" t="str">
        <f>IF(Main[[#This Row],[Tech Start Date]]&lt;1/1/1990,"",IF(Main[[#This Row],[Class]]="C",WORKDAY(Main[[#This Row],[Tech Start Date]],28),IF(Main[[#This Row],[Class]]="B", WORKDAY(Main[[#This Row],[Tech Start Date]],19),IF(Main[[#This Row],[Class]]="A",WORKDAY(Main[[#This Row],[Tech Start Date]],9),""))))</f>
        <v/>
      </c>
      <c r="Q963" s="101"/>
      <c r="R963" s="101"/>
      <c r="S963" s="99" t="s">
        <v>11</v>
      </c>
      <c r="T963" s="107" t="s">
        <v>4</v>
      </c>
      <c r="U963" s="99" t="s">
        <v>14</v>
      </c>
      <c r="V963" s="99" t="s">
        <v>1965</v>
      </c>
      <c r="W963" s="99" t="s">
        <v>1973</v>
      </c>
    </row>
    <row r="964" spans="1:23" ht="18.600000000000001" customHeight="1">
      <c r="A964" s="123" t="str">
        <f>IF(priority(Main[[#This Row],[Comments]])&lt;&gt;0, priority(Main[[#This Row],[Comments]]),"")</f>
        <v/>
      </c>
      <c r="B964" s="127" t="s">
        <v>1825</v>
      </c>
      <c r="C964" s="99" t="s">
        <v>4</v>
      </c>
      <c r="D964" s="100" t="s">
        <v>843</v>
      </c>
      <c r="E964" s="101"/>
      <c r="F964" s="101"/>
      <c r="G964" s="102" t="str">
        <f>IF(stdProdLT(Main[[#This Row],[Comments]])=0.1,"N/A",IF(stdProdLT(Main[[#This Row],[Comments]])=0,"",stdProdLT(Main[[#This Row],[Comments]])))</f>
        <v/>
      </c>
      <c r="H964" s="103" t="str">
        <f>IF(AND(Main[[#This Row],[In Stock Date]]&lt;&gt;"",Main[[#This Row],[Revised Due Date]]&lt;&gt;""),Main[[#This Row],[In Stock Date]]-Main[[#This Row],[Revised Due Date]],"")</f>
        <v/>
      </c>
      <c r="I964" s="99" t="s">
        <v>4</v>
      </c>
      <c r="J964" s="99" t="s">
        <v>4</v>
      </c>
      <c r="K964" s="99" t="s">
        <v>4</v>
      </c>
      <c r="L964" s="101"/>
      <c r="M964" s="104" t="str">
        <f>IF(Main[[#This Row],[Tech Start Date]]&lt;1/1/1990,"",IF(Main[[#This Row],[Class]]="C",WORKDAY(Main[[#This Row],[Tech Start Date]],9),IF(Main[[#This Row],[Class]]="B", WORKDAY(Main[[#This Row],[Tech Start Date]],6),IF(Main[[#This Row],[Class]]="A",WORKDAY(Main[[#This Row],[Tech Start Date]],2),""))))</f>
        <v/>
      </c>
      <c r="N964" s="104" t="str">
        <f>IF(Main[[#This Row],[Tech Start Date]]&lt;1/1/1990,"",IF(Main[[#This Row],[Class]]="C",WORKDAY(Main[[#This Row],[Tech Start Date]],19),IF(Main[[#This Row],[Class]]="B", WORKDAY(Main[[#This Row],[Tech Start Date]],12),IF(Main[[#This Row],[Class]]="A",WORKDAY(Main[[#This Row],[Tech Start Date]],4),""))))</f>
        <v/>
      </c>
      <c r="O964" s="104" t="str">
        <f>IF(Main[[#This Row],[Tech Start Date]]&lt;1/1/1990,"",IF(Main[[#This Row],[Class]]="C",WORKDAY(Main[[#This Row],[Tech Start Date]],23),IF(Main[[#This Row],[Class]]="B", WORKDAY(Main[[#This Row],[Tech Start Date]],15),IF(Main[[#This Row],[Class]]="A",WORKDAY(Main[[#This Row],[Tech Start Date]],5),""))))</f>
        <v/>
      </c>
      <c r="P964" s="104" t="str">
        <f>IF(Main[[#This Row],[Tech Start Date]]&lt;1/1/1990,"",IF(Main[[#This Row],[Class]]="C",WORKDAY(Main[[#This Row],[Tech Start Date]],28),IF(Main[[#This Row],[Class]]="B", WORKDAY(Main[[#This Row],[Tech Start Date]],19),IF(Main[[#This Row],[Class]]="A",WORKDAY(Main[[#This Row],[Tech Start Date]],9),""))))</f>
        <v/>
      </c>
      <c r="Q964" s="101"/>
      <c r="R964" s="101"/>
      <c r="S964" s="99" t="s">
        <v>11</v>
      </c>
      <c r="T964" s="107" t="s">
        <v>4</v>
      </c>
      <c r="U964" s="99" t="s">
        <v>12</v>
      </c>
      <c r="V964" s="99" t="s">
        <v>1963</v>
      </c>
      <c r="W964" s="99" t="s">
        <v>1967</v>
      </c>
    </row>
    <row r="965" spans="1:23" ht="18.600000000000001" customHeight="1">
      <c r="A965" s="123" t="str">
        <f>IF(priority(Main[[#This Row],[Comments]])&lt;&gt;0, priority(Main[[#This Row],[Comments]]),"")</f>
        <v/>
      </c>
      <c r="B965" s="127" t="s">
        <v>1827</v>
      </c>
      <c r="C965" s="99" t="s">
        <v>845</v>
      </c>
      <c r="D965" s="100" t="s">
        <v>846</v>
      </c>
      <c r="E965" s="101"/>
      <c r="F965" s="101"/>
      <c r="G965" s="102" t="str">
        <f>IF(stdProdLT(Main[[#This Row],[Comments]])=0.1,"N/A",IF(stdProdLT(Main[[#This Row],[Comments]])=0,"",stdProdLT(Main[[#This Row],[Comments]])))</f>
        <v/>
      </c>
      <c r="H965" s="103" t="str">
        <f>IF(AND(Main[[#This Row],[In Stock Date]]&lt;&gt;"",Main[[#This Row],[Revised Due Date]]&lt;&gt;""),Main[[#This Row],[In Stock Date]]-Main[[#This Row],[Revised Due Date]],"")</f>
        <v/>
      </c>
      <c r="I965" s="99" t="s">
        <v>4</v>
      </c>
      <c r="J965" s="99" t="s">
        <v>4</v>
      </c>
      <c r="K965" s="99" t="s">
        <v>4</v>
      </c>
      <c r="L965" s="101"/>
      <c r="M965" s="104" t="str">
        <f>IF(Main[[#This Row],[Tech Start Date]]&lt;1/1/1990,"",IF(Main[[#This Row],[Class]]="C",WORKDAY(Main[[#This Row],[Tech Start Date]],9),IF(Main[[#This Row],[Class]]="B", WORKDAY(Main[[#This Row],[Tech Start Date]],6),IF(Main[[#This Row],[Class]]="A",WORKDAY(Main[[#This Row],[Tech Start Date]],2),""))))</f>
        <v/>
      </c>
      <c r="N965" s="104" t="str">
        <f>IF(Main[[#This Row],[Tech Start Date]]&lt;1/1/1990,"",IF(Main[[#This Row],[Class]]="C",WORKDAY(Main[[#This Row],[Tech Start Date]],19),IF(Main[[#This Row],[Class]]="B", WORKDAY(Main[[#This Row],[Tech Start Date]],12),IF(Main[[#This Row],[Class]]="A",WORKDAY(Main[[#This Row],[Tech Start Date]],4),""))))</f>
        <v/>
      </c>
      <c r="O965" s="104" t="str">
        <f>IF(Main[[#This Row],[Tech Start Date]]&lt;1/1/1990,"",IF(Main[[#This Row],[Class]]="C",WORKDAY(Main[[#This Row],[Tech Start Date]],23),IF(Main[[#This Row],[Class]]="B", WORKDAY(Main[[#This Row],[Tech Start Date]],15),IF(Main[[#This Row],[Class]]="A",WORKDAY(Main[[#This Row],[Tech Start Date]],5),""))))</f>
        <v/>
      </c>
      <c r="P965" s="104" t="str">
        <f>IF(Main[[#This Row],[Tech Start Date]]&lt;1/1/1990,"",IF(Main[[#This Row],[Class]]="C",WORKDAY(Main[[#This Row],[Tech Start Date]],28),IF(Main[[#This Row],[Class]]="B", WORKDAY(Main[[#This Row],[Tech Start Date]],19),IF(Main[[#This Row],[Class]]="A",WORKDAY(Main[[#This Row],[Tech Start Date]],9),""))))</f>
        <v/>
      </c>
      <c r="Q965" s="101"/>
      <c r="R965" s="101"/>
      <c r="S965" s="99" t="s">
        <v>11</v>
      </c>
      <c r="T965" s="107" t="s">
        <v>4</v>
      </c>
      <c r="U965" s="99" t="s">
        <v>14</v>
      </c>
      <c r="V965" s="99" t="s">
        <v>1963</v>
      </c>
      <c r="W965" s="99" t="s">
        <v>1970</v>
      </c>
    </row>
    <row r="966" spans="1:23" ht="18.600000000000001" customHeight="1">
      <c r="A966" s="123" t="str">
        <f>IF(priority(Main[[#This Row],[Comments]])&lt;&gt;0, priority(Main[[#This Row],[Comments]]),"")</f>
        <v/>
      </c>
      <c r="B966" s="127" t="s">
        <v>1828</v>
      </c>
      <c r="C966" s="99" t="s">
        <v>93</v>
      </c>
      <c r="D966" s="100" t="s">
        <v>847</v>
      </c>
      <c r="E966" s="101"/>
      <c r="F966" s="101">
        <v>40299</v>
      </c>
      <c r="G966" s="102" t="str">
        <f>IF(stdProdLT(Main[[#This Row],[Comments]])=0.1,"N/A",IF(stdProdLT(Main[[#This Row],[Comments]])=0,"",stdProdLT(Main[[#This Row],[Comments]])))</f>
        <v/>
      </c>
      <c r="H966" s="103" t="str">
        <f>IF(AND(Main[[#This Row],[In Stock Date]]&lt;&gt;"",Main[[#This Row],[Revised Due Date]]&lt;&gt;""),Main[[#This Row],[In Stock Date]]-Main[[#This Row],[Revised Due Date]],"")</f>
        <v/>
      </c>
      <c r="I966" s="99" t="s">
        <v>4</v>
      </c>
      <c r="J966" s="99" t="s">
        <v>4</v>
      </c>
      <c r="K966" s="99" t="s">
        <v>4</v>
      </c>
      <c r="L966" s="101"/>
      <c r="M966" s="104" t="str">
        <f>IF(Main[[#This Row],[Tech Start Date]]&lt;1/1/1990,"",IF(Main[[#This Row],[Class]]="C",WORKDAY(Main[[#This Row],[Tech Start Date]],9),IF(Main[[#This Row],[Class]]="B", WORKDAY(Main[[#This Row],[Tech Start Date]],6),IF(Main[[#This Row],[Class]]="A",WORKDAY(Main[[#This Row],[Tech Start Date]],2),""))))</f>
        <v/>
      </c>
      <c r="N966" s="104" t="str">
        <f>IF(Main[[#This Row],[Tech Start Date]]&lt;1/1/1990,"",IF(Main[[#This Row],[Class]]="C",WORKDAY(Main[[#This Row],[Tech Start Date]],19),IF(Main[[#This Row],[Class]]="B", WORKDAY(Main[[#This Row],[Tech Start Date]],12),IF(Main[[#This Row],[Class]]="A",WORKDAY(Main[[#This Row],[Tech Start Date]],4),""))))</f>
        <v/>
      </c>
      <c r="O966" s="104" t="str">
        <f>IF(Main[[#This Row],[Tech Start Date]]&lt;1/1/1990,"",IF(Main[[#This Row],[Class]]="C",WORKDAY(Main[[#This Row],[Tech Start Date]],23),IF(Main[[#This Row],[Class]]="B", WORKDAY(Main[[#This Row],[Tech Start Date]],15),IF(Main[[#This Row],[Class]]="A",WORKDAY(Main[[#This Row],[Tech Start Date]],5),""))))</f>
        <v/>
      </c>
      <c r="P966" s="104" t="str">
        <f>IF(Main[[#This Row],[Tech Start Date]]&lt;1/1/1990,"",IF(Main[[#This Row],[Class]]="C",WORKDAY(Main[[#This Row],[Tech Start Date]],28),IF(Main[[#This Row],[Class]]="B", WORKDAY(Main[[#This Row],[Tech Start Date]],19),IF(Main[[#This Row],[Class]]="A",WORKDAY(Main[[#This Row],[Tech Start Date]],9),""))))</f>
        <v/>
      </c>
      <c r="Q966" s="101">
        <v>40171</v>
      </c>
      <c r="R966" s="101"/>
      <c r="S966" s="99" t="s">
        <v>11</v>
      </c>
      <c r="T966" s="107" t="s">
        <v>4</v>
      </c>
      <c r="U966" s="99" t="s">
        <v>14</v>
      </c>
      <c r="V966" s="99" t="s">
        <v>1965</v>
      </c>
      <c r="W966" s="99" t="s">
        <v>1968</v>
      </c>
    </row>
    <row r="967" spans="1:23" ht="18.600000000000001" customHeight="1">
      <c r="A967" s="123" t="str">
        <f>IF(priority(Main[[#This Row],[Comments]])&lt;&gt;0, priority(Main[[#This Row],[Comments]]),"")</f>
        <v/>
      </c>
      <c r="B967" s="127" t="s">
        <v>1829</v>
      </c>
      <c r="C967" s="99" t="s">
        <v>4</v>
      </c>
      <c r="D967" s="100" t="s">
        <v>848</v>
      </c>
      <c r="E967" s="101">
        <v>40682.311319444445</v>
      </c>
      <c r="F967" s="101"/>
      <c r="G967" s="102" t="str">
        <f>IF(stdProdLT(Main[[#This Row],[Comments]])=0.1,"N/A",IF(stdProdLT(Main[[#This Row],[Comments]])=0,"",stdProdLT(Main[[#This Row],[Comments]])))</f>
        <v/>
      </c>
      <c r="H967" s="103" t="str">
        <f>IF(AND(Main[[#This Row],[In Stock Date]]&lt;&gt;"",Main[[#This Row],[Revised Due Date]]&lt;&gt;""),Main[[#This Row],[In Stock Date]]-Main[[#This Row],[Revised Due Date]],"")</f>
        <v/>
      </c>
      <c r="I967" s="99" t="s">
        <v>4</v>
      </c>
      <c r="J967" s="99" t="s">
        <v>4</v>
      </c>
      <c r="K967" s="99" t="s">
        <v>4</v>
      </c>
      <c r="L967" s="101"/>
      <c r="M967" s="104" t="str">
        <f>IF(Main[[#This Row],[Tech Start Date]]&lt;1/1/1990,"",IF(Main[[#This Row],[Class]]="C",WORKDAY(Main[[#This Row],[Tech Start Date]],9),IF(Main[[#This Row],[Class]]="B", WORKDAY(Main[[#This Row],[Tech Start Date]],6),IF(Main[[#This Row],[Class]]="A",WORKDAY(Main[[#This Row],[Tech Start Date]],2),""))))</f>
        <v/>
      </c>
      <c r="N967" s="104" t="str">
        <f>IF(Main[[#This Row],[Tech Start Date]]&lt;1/1/1990,"",IF(Main[[#This Row],[Class]]="C",WORKDAY(Main[[#This Row],[Tech Start Date]],19),IF(Main[[#This Row],[Class]]="B", WORKDAY(Main[[#This Row],[Tech Start Date]],12),IF(Main[[#This Row],[Class]]="A",WORKDAY(Main[[#This Row],[Tech Start Date]],4),""))))</f>
        <v/>
      </c>
      <c r="O967" s="104" t="str">
        <f>IF(Main[[#This Row],[Tech Start Date]]&lt;1/1/1990,"",IF(Main[[#This Row],[Class]]="C",WORKDAY(Main[[#This Row],[Tech Start Date]],23),IF(Main[[#This Row],[Class]]="B", WORKDAY(Main[[#This Row],[Tech Start Date]],15),IF(Main[[#This Row],[Class]]="A",WORKDAY(Main[[#This Row],[Tech Start Date]],5),""))))</f>
        <v/>
      </c>
      <c r="P967" s="104" t="str">
        <f>IF(Main[[#This Row],[Tech Start Date]]&lt;1/1/1990,"",IF(Main[[#This Row],[Class]]="C",WORKDAY(Main[[#This Row],[Tech Start Date]],28),IF(Main[[#This Row],[Class]]="B", WORKDAY(Main[[#This Row],[Tech Start Date]],19),IF(Main[[#This Row],[Class]]="A",WORKDAY(Main[[#This Row],[Tech Start Date]],9),""))))</f>
        <v/>
      </c>
      <c r="Q967" s="101">
        <v>40724</v>
      </c>
      <c r="R967" s="101"/>
      <c r="S967" s="99" t="s">
        <v>6</v>
      </c>
      <c r="T967" s="107" t="s">
        <v>4</v>
      </c>
      <c r="U967" s="99" t="s">
        <v>7</v>
      </c>
      <c r="V967" s="99" t="s">
        <v>1962</v>
      </c>
      <c r="W967" s="99" t="s">
        <v>4</v>
      </c>
    </row>
    <row r="968" spans="1:23" ht="18.600000000000001" customHeight="1">
      <c r="A968" s="123" t="str">
        <f>IF(priority(Main[[#This Row],[Comments]])&lt;&gt;0, priority(Main[[#This Row],[Comments]]),"")</f>
        <v/>
      </c>
      <c r="B968" s="127" t="s">
        <v>1830</v>
      </c>
      <c r="C968" s="99" t="s">
        <v>4</v>
      </c>
      <c r="D968" s="100" t="s">
        <v>849</v>
      </c>
      <c r="E968" s="101"/>
      <c r="F968" s="101"/>
      <c r="G968" s="102" t="str">
        <f>IF(stdProdLT(Main[[#This Row],[Comments]])=0.1,"N/A",IF(stdProdLT(Main[[#This Row],[Comments]])=0,"",stdProdLT(Main[[#This Row],[Comments]])))</f>
        <v/>
      </c>
      <c r="H968" s="103" t="str">
        <f>IF(AND(Main[[#This Row],[In Stock Date]]&lt;&gt;"",Main[[#This Row],[Revised Due Date]]&lt;&gt;""),Main[[#This Row],[In Stock Date]]-Main[[#This Row],[Revised Due Date]],"")</f>
        <v/>
      </c>
      <c r="I968" s="99" t="s">
        <v>4</v>
      </c>
      <c r="J968" s="99" t="s">
        <v>4</v>
      </c>
      <c r="K968" s="99" t="s">
        <v>4</v>
      </c>
      <c r="L968" s="101"/>
      <c r="M968" s="104" t="str">
        <f>IF(Main[[#This Row],[Tech Start Date]]&lt;1/1/1990,"",IF(Main[[#This Row],[Class]]="C",WORKDAY(Main[[#This Row],[Tech Start Date]],9),IF(Main[[#This Row],[Class]]="B", WORKDAY(Main[[#This Row],[Tech Start Date]],6),IF(Main[[#This Row],[Class]]="A",WORKDAY(Main[[#This Row],[Tech Start Date]],2),""))))</f>
        <v/>
      </c>
      <c r="N968" s="104" t="str">
        <f>IF(Main[[#This Row],[Tech Start Date]]&lt;1/1/1990,"",IF(Main[[#This Row],[Class]]="C",WORKDAY(Main[[#This Row],[Tech Start Date]],19),IF(Main[[#This Row],[Class]]="B", WORKDAY(Main[[#This Row],[Tech Start Date]],12),IF(Main[[#This Row],[Class]]="A",WORKDAY(Main[[#This Row],[Tech Start Date]],4),""))))</f>
        <v/>
      </c>
      <c r="O968" s="104" t="str">
        <f>IF(Main[[#This Row],[Tech Start Date]]&lt;1/1/1990,"",IF(Main[[#This Row],[Class]]="C",WORKDAY(Main[[#This Row],[Tech Start Date]],23),IF(Main[[#This Row],[Class]]="B", WORKDAY(Main[[#This Row],[Tech Start Date]],15),IF(Main[[#This Row],[Class]]="A",WORKDAY(Main[[#This Row],[Tech Start Date]],5),""))))</f>
        <v/>
      </c>
      <c r="P968" s="104" t="str">
        <f>IF(Main[[#This Row],[Tech Start Date]]&lt;1/1/1990,"",IF(Main[[#This Row],[Class]]="C",WORKDAY(Main[[#This Row],[Tech Start Date]],28),IF(Main[[#This Row],[Class]]="B", WORKDAY(Main[[#This Row],[Tech Start Date]],19),IF(Main[[#This Row],[Class]]="A",WORKDAY(Main[[#This Row],[Tech Start Date]],9),""))))</f>
        <v/>
      </c>
      <c r="Q968" s="101"/>
      <c r="R968" s="101"/>
      <c r="S968" s="99" t="s">
        <v>6</v>
      </c>
      <c r="T968" s="107" t="s">
        <v>4</v>
      </c>
      <c r="U968" s="99" t="s">
        <v>14</v>
      </c>
      <c r="V968" s="99" t="s">
        <v>1965</v>
      </c>
      <c r="W968" s="99" t="s">
        <v>1966</v>
      </c>
    </row>
    <row r="969" spans="1:23" ht="18.600000000000001" customHeight="1">
      <c r="A969" s="123" t="str">
        <f>IF(priority(Main[[#This Row],[Comments]])&lt;&gt;0, priority(Main[[#This Row],[Comments]]),"")</f>
        <v/>
      </c>
      <c r="B969" s="127" t="s">
        <v>1831</v>
      </c>
      <c r="C969" s="99" t="s">
        <v>4</v>
      </c>
      <c r="D969" s="100" t="s">
        <v>850</v>
      </c>
      <c r="E969" s="101">
        <v>40686.396180555559</v>
      </c>
      <c r="F969" s="101"/>
      <c r="G969" s="102" t="str">
        <f>IF(stdProdLT(Main[[#This Row],[Comments]])=0.1,"N/A",IF(stdProdLT(Main[[#This Row],[Comments]])=0,"",stdProdLT(Main[[#This Row],[Comments]])))</f>
        <v/>
      </c>
      <c r="H969" s="103" t="str">
        <f>IF(AND(Main[[#This Row],[In Stock Date]]&lt;&gt;"",Main[[#This Row],[Revised Due Date]]&lt;&gt;""),Main[[#This Row],[In Stock Date]]-Main[[#This Row],[Revised Due Date]],"")</f>
        <v/>
      </c>
      <c r="I969" s="99" t="s">
        <v>4</v>
      </c>
      <c r="J969" s="99" t="s">
        <v>4</v>
      </c>
      <c r="K969" s="99" t="s">
        <v>4</v>
      </c>
      <c r="L969" s="101"/>
      <c r="M969" s="104" t="str">
        <f>IF(Main[[#This Row],[Tech Start Date]]&lt;1/1/1990,"",IF(Main[[#This Row],[Class]]="C",WORKDAY(Main[[#This Row],[Tech Start Date]],9),IF(Main[[#This Row],[Class]]="B", WORKDAY(Main[[#This Row],[Tech Start Date]],6),IF(Main[[#This Row],[Class]]="A",WORKDAY(Main[[#This Row],[Tech Start Date]],2),""))))</f>
        <v/>
      </c>
      <c r="N969" s="104" t="str">
        <f>IF(Main[[#This Row],[Tech Start Date]]&lt;1/1/1990,"",IF(Main[[#This Row],[Class]]="C",WORKDAY(Main[[#This Row],[Tech Start Date]],19),IF(Main[[#This Row],[Class]]="B", WORKDAY(Main[[#This Row],[Tech Start Date]],12),IF(Main[[#This Row],[Class]]="A",WORKDAY(Main[[#This Row],[Tech Start Date]],4),""))))</f>
        <v/>
      </c>
      <c r="O969" s="104" t="str">
        <f>IF(Main[[#This Row],[Tech Start Date]]&lt;1/1/1990,"",IF(Main[[#This Row],[Class]]="C",WORKDAY(Main[[#This Row],[Tech Start Date]],23),IF(Main[[#This Row],[Class]]="B", WORKDAY(Main[[#This Row],[Tech Start Date]],15),IF(Main[[#This Row],[Class]]="A",WORKDAY(Main[[#This Row],[Tech Start Date]],5),""))))</f>
        <v/>
      </c>
      <c r="P969" s="104" t="str">
        <f>IF(Main[[#This Row],[Tech Start Date]]&lt;1/1/1990,"",IF(Main[[#This Row],[Class]]="C",WORKDAY(Main[[#This Row],[Tech Start Date]],28),IF(Main[[#This Row],[Class]]="B", WORKDAY(Main[[#This Row],[Tech Start Date]],19),IF(Main[[#This Row],[Class]]="A",WORKDAY(Main[[#This Row],[Tech Start Date]],9),""))))</f>
        <v/>
      </c>
      <c r="Q969" s="101">
        <v>40704</v>
      </c>
      <c r="R969" s="101"/>
      <c r="S969" s="99" t="s">
        <v>6</v>
      </c>
      <c r="T969" s="107" t="s">
        <v>4</v>
      </c>
      <c r="U969" s="99" t="s">
        <v>7</v>
      </c>
      <c r="V969" s="99" t="s">
        <v>1962</v>
      </c>
      <c r="W969" s="99" t="s">
        <v>1966</v>
      </c>
    </row>
    <row r="970" spans="1:23" ht="18.600000000000001" customHeight="1">
      <c r="A970" s="123" t="str">
        <f>IF(priority(Main[[#This Row],[Comments]])&lt;&gt;0, priority(Main[[#This Row],[Comments]]),"")</f>
        <v/>
      </c>
      <c r="B970" s="127" t="s">
        <v>1186</v>
      </c>
      <c r="C970" s="99" t="s">
        <v>4</v>
      </c>
      <c r="D970" s="100" t="s">
        <v>97</v>
      </c>
      <c r="E970" s="101">
        <v>40667.587465277778</v>
      </c>
      <c r="F970" s="101"/>
      <c r="G970" s="102" t="str">
        <f>IF(stdProdLT(Main[[#This Row],[Comments]])=0.1,"N/A",IF(stdProdLT(Main[[#This Row],[Comments]])=0,"",stdProdLT(Main[[#This Row],[Comments]])))</f>
        <v/>
      </c>
      <c r="H970" s="103" t="str">
        <f>IF(AND(Main[[#This Row],[In Stock Date]]&lt;&gt;"",Main[[#This Row],[Revised Due Date]]&lt;&gt;""),Main[[#This Row],[In Stock Date]]-Main[[#This Row],[Revised Due Date]],"")</f>
        <v/>
      </c>
      <c r="I970" s="99" t="s">
        <v>4</v>
      </c>
      <c r="J970" s="99" t="s">
        <v>4</v>
      </c>
      <c r="K970" s="99" t="s">
        <v>4</v>
      </c>
      <c r="L970" s="101"/>
      <c r="M970" s="104" t="str">
        <f>IF(Main[[#This Row],[Tech Start Date]]&lt;1/1/1990,"",IF(Main[[#This Row],[Class]]="C",WORKDAY(Main[[#This Row],[Tech Start Date]],9),IF(Main[[#This Row],[Class]]="B", WORKDAY(Main[[#This Row],[Tech Start Date]],6),IF(Main[[#This Row],[Class]]="A",WORKDAY(Main[[#This Row],[Tech Start Date]],2),""))))</f>
        <v/>
      </c>
      <c r="N970" s="104" t="str">
        <f>IF(Main[[#This Row],[Tech Start Date]]&lt;1/1/1990,"",IF(Main[[#This Row],[Class]]="C",WORKDAY(Main[[#This Row],[Tech Start Date]],19),IF(Main[[#This Row],[Class]]="B", WORKDAY(Main[[#This Row],[Tech Start Date]],12),IF(Main[[#This Row],[Class]]="A",WORKDAY(Main[[#This Row],[Tech Start Date]],4),""))))</f>
        <v/>
      </c>
      <c r="O970" s="104" t="str">
        <f>IF(Main[[#This Row],[Tech Start Date]]&lt;1/1/1990,"",IF(Main[[#This Row],[Class]]="C",WORKDAY(Main[[#This Row],[Tech Start Date]],23),IF(Main[[#This Row],[Class]]="B", WORKDAY(Main[[#This Row],[Tech Start Date]],15),IF(Main[[#This Row],[Class]]="A",WORKDAY(Main[[#This Row],[Tech Start Date]],5),""))))</f>
        <v/>
      </c>
      <c r="P970" s="104" t="str">
        <f>IF(Main[[#This Row],[Tech Start Date]]&lt;1/1/1990,"",IF(Main[[#This Row],[Class]]="C",WORKDAY(Main[[#This Row],[Tech Start Date]],28),IF(Main[[#This Row],[Class]]="B", WORKDAY(Main[[#This Row],[Tech Start Date]],19),IF(Main[[#This Row],[Class]]="A",WORKDAY(Main[[#This Row],[Tech Start Date]],9),""))))</f>
        <v/>
      </c>
      <c r="Q970" s="101">
        <v>40858</v>
      </c>
      <c r="R970" s="101"/>
      <c r="S970" s="99" t="s">
        <v>17</v>
      </c>
      <c r="T970" s="107" t="s">
        <v>4</v>
      </c>
      <c r="U970" s="99" t="s">
        <v>7</v>
      </c>
      <c r="V970" s="99" t="s">
        <v>1962</v>
      </c>
      <c r="W970" s="99" t="s">
        <v>1967</v>
      </c>
    </row>
    <row r="971" spans="1:23" ht="18.600000000000001" customHeight="1">
      <c r="A971" s="123" t="str">
        <f>IF(priority(Main[[#This Row],[Comments]])&lt;&gt;0, priority(Main[[#This Row],[Comments]]),"")</f>
        <v/>
      </c>
      <c r="B971" s="127" t="s">
        <v>1832</v>
      </c>
      <c r="C971" s="99" t="s">
        <v>4</v>
      </c>
      <c r="D971" s="100" t="s">
        <v>97</v>
      </c>
      <c r="E971" s="101"/>
      <c r="F971" s="101"/>
      <c r="G971" s="102" t="str">
        <f>IF(stdProdLT(Main[[#This Row],[Comments]])=0.1,"N/A",IF(stdProdLT(Main[[#This Row],[Comments]])=0,"",stdProdLT(Main[[#This Row],[Comments]])))</f>
        <v/>
      </c>
      <c r="H971" s="103" t="str">
        <f>IF(AND(Main[[#This Row],[In Stock Date]]&lt;&gt;"",Main[[#This Row],[Revised Due Date]]&lt;&gt;""),Main[[#This Row],[In Stock Date]]-Main[[#This Row],[Revised Due Date]],"")</f>
        <v/>
      </c>
      <c r="I971" s="99" t="s">
        <v>4</v>
      </c>
      <c r="J971" s="99" t="s">
        <v>4</v>
      </c>
      <c r="K971" s="99" t="s">
        <v>4</v>
      </c>
      <c r="L971" s="101"/>
      <c r="M971" s="104" t="str">
        <f>IF(Main[[#This Row],[Tech Start Date]]&lt;1/1/1990,"",IF(Main[[#This Row],[Class]]="C",WORKDAY(Main[[#This Row],[Tech Start Date]],9),IF(Main[[#This Row],[Class]]="B", WORKDAY(Main[[#This Row],[Tech Start Date]],6),IF(Main[[#This Row],[Class]]="A",WORKDAY(Main[[#This Row],[Tech Start Date]],2),""))))</f>
        <v/>
      </c>
      <c r="N971" s="104" t="str">
        <f>IF(Main[[#This Row],[Tech Start Date]]&lt;1/1/1990,"",IF(Main[[#This Row],[Class]]="C",WORKDAY(Main[[#This Row],[Tech Start Date]],19),IF(Main[[#This Row],[Class]]="B", WORKDAY(Main[[#This Row],[Tech Start Date]],12),IF(Main[[#This Row],[Class]]="A",WORKDAY(Main[[#This Row],[Tech Start Date]],4),""))))</f>
        <v/>
      </c>
      <c r="O971" s="104" t="str">
        <f>IF(Main[[#This Row],[Tech Start Date]]&lt;1/1/1990,"",IF(Main[[#This Row],[Class]]="C",WORKDAY(Main[[#This Row],[Tech Start Date]],23),IF(Main[[#This Row],[Class]]="B", WORKDAY(Main[[#This Row],[Tech Start Date]],15),IF(Main[[#This Row],[Class]]="A",WORKDAY(Main[[#This Row],[Tech Start Date]],5),""))))</f>
        <v/>
      </c>
      <c r="P971" s="104" t="str">
        <f>IF(Main[[#This Row],[Tech Start Date]]&lt;1/1/1990,"",IF(Main[[#This Row],[Class]]="C",WORKDAY(Main[[#This Row],[Tech Start Date]],28),IF(Main[[#This Row],[Class]]="B", WORKDAY(Main[[#This Row],[Tech Start Date]],19),IF(Main[[#This Row],[Class]]="A",WORKDAY(Main[[#This Row],[Tech Start Date]],9),""))))</f>
        <v/>
      </c>
      <c r="Q971" s="101">
        <v>40858</v>
      </c>
      <c r="R971" s="101"/>
      <c r="S971" s="99" t="s">
        <v>17</v>
      </c>
      <c r="T971" s="107" t="s">
        <v>4</v>
      </c>
      <c r="U971" s="99" t="s">
        <v>14</v>
      </c>
      <c r="V971" s="99" t="s">
        <v>1962</v>
      </c>
      <c r="W971" s="99" t="s">
        <v>1967</v>
      </c>
    </row>
    <row r="972" spans="1:23" ht="18.600000000000001" customHeight="1">
      <c r="A972" s="123" t="str">
        <f>IF(priority(Main[[#This Row],[Comments]])&lt;&gt;0, priority(Main[[#This Row],[Comments]]),"")</f>
        <v/>
      </c>
      <c r="B972" s="127" t="s">
        <v>1833</v>
      </c>
      <c r="C972" s="99" t="s">
        <v>4</v>
      </c>
      <c r="D972" s="100" t="s">
        <v>851</v>
      </c>
      <c r="E972" s="101"/>
      <c r="F972" s="101">
        <v>40574</v>
      </c>
      <c r="G972" s="102" t="str">
        <f>IF(stdProdLT(Main[[#This Row],[Comments]])=0.1,"N/A",IF(stdProdLT(Main[[#This Row],[Comments]])=0,"",stdProdLT(Main[[#This Row],[Comments]])))</f>
        <v/>
      </c>
      <c r="H972" s="103" t="str">
        <f>IF(AND(Main[[#This Row],[In Stock Date]]&lt;&gt;"",Main[[#This Row],[Revised Due Date]]&lt;&gt;""),Main[[#This Row],[In Stock Date]]-Main[[#This Row],[Revised Due Date]],"")</f>
        <v/>
      </c>
      <c r="I972" s="99" t="s">
        <v>4</v>
      </c>
      <c r="J972" s="99" t="s">
        <v>4</v>
      </c>
      <c r="K972" s="108" t="s">
        <v>4</v>
      </c>
      <c r="L972" s="101"/>
      <c r="M972" s="104" t="str">
        <f>IF(Main[[#This Row],[Tech Start Date]]&lt;1/1/1990,"",IF(Main[[#This Row],[Class]]="C",WORKDAY(Main[[#This Row],[Tech Start Date]],9),IF(Main[[#This Row],[Class]]="B", WORKDAY(Main[[#This Row],[Tech Start Date]],6),IF(Main[[#This Row],[Class]]="A",WORKDAY(Main[[#This Row],[Tech Start Date]],2),""))))</f>
        <v/>
      </c>
      <c r="N972" s="104" t="str">
        <f>IF(Main[[#This Row],[Tech Start Date]]&lt;1/1/1990,"",IF(Main[[#This Row],[Class]]="C",WORKDAY(Main[[#This Row],[Tech Start Date]],19),IF(Main[[#This Row],[Class]]="B", WORKDAY(Main[[#This Row],[Tech Start Date]],12),IF(Main[[#This Row],[Class]]="A",WORKDAY(Main[[#This Row],[Tech Start Date]],4),""))))</f>
        <v/>
      </c>
      <c r="O972" s="104" t="str">
        <f>IF(Main[[#This Row],[Tech Start Date]]&lt;1/1/1990,"",IF(Main[[#This Row],[Class]]="C",WORKDAY(Main[[#This Row],[Tech Start Date]],23),IF(Main[[#This Row],[Class]]="B", WORKDAY(Main[[#This Row],[Tech Start Date]],15),IF(Main[[#This Row],[Class]]="A",WORKDAY(Main[[#This Row],[Tech Start Date]],5),""))))</f>
        <v/>
      </c>
      <c r="P972" s="104" t="str">
        <f>IF(Main[[#This Row],[Tech Start Date]]&lt;1/1/1990,"",IF(Main[[#This Row],[Class]]="C",WORKDAY(Main[[#This Row],[Tech Start Date]],28),IF(Main[[#This Row],[Class]]="B", WORKDAY(Main[[#This Row],[Tech Start Date]],19),IF(Main[[#This Row],[Class]]="A",WORKDAY(Main[[#This Row],[Tech Start Date]],9),""))))</f>
        <v/>
      </c>
      <c r="Q972" s="101"/>
      <c r="R972" s="101"/>
      <c r="S972" s="99" t="s">
        <v>17</v>
      </c>
      <c r="T972" s="107" t="s">
        <v>4</v>
      </c>
      <c r="U972" s="99" t="s">
        <v>14</v>
      </c>
      <c r="V972" s="99" t="s">
        <v>1965</v>
      </c>
      <c r="W972" s="99" t="s">
        <v>1967</v>
      </c>
    </row>
    <row r="973" spans="1:23" ht="18.600000000000001" customHeight="1">
      <c r="A973" s="123" t="str">
        <f>IF(priority(Main[[#This Row],[Comments]])&lt;&gt;0, priority(Main[[#This Row],[Comments]]),"")</f>
        <v/>
      </c>
      <c r="B973" s="127" t="s">
        <v>1834</v>
      </c>
      <c r="C973" s="99" t="s">
        <v>93</v>
      </c>
      <c r="D973" s="100" t="s">
        <v>852</v>
      </c>
      <c r="E973" s="101"/>
      <c r="F973" s="101">
        <v>40132</v>
      </c>
      <c r="G973" s="102" t="str">
        <f>IF(stdProdLT(Main[[#This Row],[Comments]])=0.1,"N/A",IF(stdProdLT(Main[[#This Row],[Comments]])=0,"",stdProdLT(Main[[#This Row],[Comments]])))</f>
        <v/>
      </c>
      <c r="H973" s="103" t="str">
        <f>IF(AND(Main[[#This Row],[In Stock Date]]&lt;&gt;"",Main[[#This Row],[Revised Due Date]]&lt;&gt;""),Main[[#This Row],[In Stock Date]]-Main[[#This Row],[Revised Due Date]],"")</f>
        <v/>
      </c>
      <c r="I973" s="99" t="s">
        <v>4</v>
      </c>
      <c r="J973" s="99" t="s">
        <v>4</v>
      </c>
      <c r="K973" s="99" t="s">
        <v>4</v>
      </c>
      <c r="L973" s="101"/>
      <c r="M973" s="104" t="str">
        <f>IF(Main[[#This Row],[Tech Start Date]]&lt;1/1/1990,"",IF(Main[[#This Row],[Class]]="C",WORKDAY(Main[[#This Row],[Tech Start Date]],9),IF(Main[[#This Row],[Class]]="B", WORKDAY(Main[[#This Row],[Tech Start Date]],6),IF(Main[[#This Row],[Class]]="A",WORKDAY(Main[[#This Row],[Tech Start Date]],2),""))))</f>
        <v/>
      </c>
      <c r="N973" s="104" t="str">
        <f>IF(Main[[#This Row],[Tech Start Date]]&lt;1/1/1990,"",IF(Main[[#This Row],[Class]]="C",WORKDAY(Main[[#This Row],[Tech Start Date]],19),IF(Main[[#This Row],[Class]]="B", WORKDAY(Main[[#This Row],[Tech Start Date]],12),IF(Main[[#This Row],[Class]]="A",WORKDAY(Main[[#This Row],[Tech Start Date]],4),""))))</f>
        <v/>
      </c>
      <c r="O973" s="104" t="str">
        <f>IF(Main[[#This Row],[Tech Start Date]]&lt;1/1/1990,"",IF(Main[[#This Row],[Class]]="C",WORKDAY(Main[[#This Row],[Tech Start Date]],23),IF(Main[[#This Row],[Class]]="B", WORKDAY(Main[[#This Row],[Tech Start Date]],15),IF(Main[[#This Row],[Class]]="A",WORKDAY(Main[[#This Row],[Tech Start Date]],5),""))))</f>
        <v/>
      </c>
      <c r="P973" s="104" t="str">
        <f>IF(Main[[#This Row],[Tech Start Date]]&lt;1/1/1990,"",IF(Main[[#This Row],[Class]]="C",WORKDAY(Main[[#This Row],[Tech Start Date]],28),IF(Main[[#This Row],[Class]]="B", WORKDAY(Main[[#This Row],[Tech Start Date]],19),IF(Main[[#This Row],[Class]]="A",WORKDAY(Main[[#This Row],[Tech Start Date]],9),""))))</f>
        <v/>
      </c>
      <c r="Q973" s="101">
        <v>40132</v>
      </c>
      <c r="R973" s="101"/>
      <c r="S973" s="99" t="s">
        <v>11</v>
      </c>
      <c r="T973" s="107" t="s">
        <v>4</v>
      </c>
      <c r="U973" s="99" t="s">
        <v>14</v>
      </c>
      <c r="V973" s="99" t="s">
        <v>1965</v>
      </c>
      <c r="W973" s="99" t="s">
        <v>1973</v>
      </c>
    </row>
    <row r="974" spans="1:23" ht="18.600000000000001" customHeight="1">
      <c r="A974" s="123" t="str">
        <f>IF(priority(Main[[#This Row],[Comments]])&lt;&gt;0, priority(Main[[#This Row],[Comments]]),"")</f>
        <v/>
      </c>
      <c r="B974" s="127" t="s">
        <v>1835</v>
      </c>
      <c r="C974" s="99" t="s">
        <v>113</v>
      </c>
      <c r="D974" s="100" t="s">
        <v>853</v>
      </c>
      <c r="E974" s="101"/>
      <c r="F974" s="101"/>
      <c r="G974" s="102" t="str">
        <f>IF(stdProdLT(Main[[#This Row],[Comments]])=0.1,"N/A",IF(stdProdLT(Main[[#This Row],[Comments]])=0,"",stdProdLT(Main[[#This Row],[Comments]])))</f>
        <v/>
      </c>
      <c r="H974" s="103" t="str">
        <f>IF(AND(Main[[#This Row],[In Stock Date]]&lt;&gt;"",Main[[#This Row],[Revised Due Date]]&lt;&gt;""),Main[[#This Row],[In Stock Date]]-Main[[#This Row],[Revised Due Date]],"")</f>
        <v/>
      </c>
      <c r="I974" s="99" t="s">
        <v>4</v>
      </c>
      <c r="J974" s="99" t="s">
        <v>28</v>
      </c>
      <c r="K974" s="99" t="s">
        <v>1974</v>
      </c>
      <c r="L974" s="101"/>
      <c r="M974" s="104" t="str">
        <f>IF(Main[[#This Row],[Tech Start Date]]&lt;1/1/1990,"",IF(Main[[#This Row],[Class]]="C",WORKDAY(Main[[#This Row],[Tech Start Date]],9),IF(Main[[#This Row],[Class]]="B", WORKDAY(Main[[#This Row],[Tech Start Date]],6),IF(Main[[#This Row],[Class]]="A",WORKDAY(Main[[#This Row],[Tech Start Date]],2),""))))</f>
        <v/>
      </c>
      <c r="N974" s="104" t="str">
        <f>IF(Main[[#This Row],[Tech Start Date]]&lt;1/1/1990,"",IF(Main[[#This Row],[Class]]="C",WORKDAY(Main[[#This Row],[Tech Start Date]],19),IF(Main[[#This Row],[Class]]="B", WORKDAY(Main[[#This Row],[Tech Start Date]],12),IF(Main[[#This Row],[Class]]="A",WORKDAY(Main[[#This Row],[Tech Start Date]],4),""))))</f>
        <v/>
      </c>
      <c r="O974" s="104" t="str">
        <f>IF(Main[[#This Row],[Tech Start Date]]&lt;1/1/1990,"",IF(Main[[#This Row],[Class]]="C",WORKDAY(Main[[#This Row],[Tech Start Date]],23),IF(Main[[#This Row],[Class]]="B", WORKDAY(Main[[#This Row],[Tech Start Date]],15),IF(Main[[#This Row],[Class]]="A",WORKDAY(Main[[#This Row],[Tech Start Date]],5),""))))</f>
        <v/>
      </c>
      <c r="P974" s="104" t="str">
        <f>IF(Main[[#This Row],[Tech Start Date]]&lt;1/1/1990,"",IF(Main[[#This Row],[Class]]="C",WORKDAY(Main[[#This Row],[Tech Start Date]],28),IF(Main[[#This Row],[Class]]="B", WORKDAY(Main[[#This Row],[Tech Start Date]],19),IF(Main[[#This Row],[Class]]="A",WORKDAY(Main[[#This Row],[Tech Start Date]],9),""))))</f>
        <v/>
      </c>
      <c r="Q974" s="101"/>
      <c r="R974" s="101"/>
      <c r="S974" s="99" t="s">
        <v>17</v>
      </c>
      <c r="T974" s="107" t="s">
        <v>4</v>
      </c>
      <c r="U974" s="99" t="s">
        <v>14</v>
      </c>
      <c r="V974" s="99" t="s">
        <v>1963</v>
      </c>
      <c r="W974" s="99" t="s">
        <v>1970</v>
      </c>
    </row>
    <row r="975" spans="1:23" ht="18.600000000000001" customHeight="1">
      <c r="A975" s="123" t="str">
        <f>IF(priority(Main[[#This Row],[Comments]])&lt;&gt;0, priority(Main[[#This Row],[Comments]]),"")</f>
        <v/>
      </c>
      <c r="B975" s="127" t="s">
        <v>1837</v>
      </c>
      <c r="C975" s="99" t="s">
        <v>4</v>
      </c>
      <c r="D975" s="100" t="s">
        <v>855</v>
      </c>
      <c r="E975" s="101"/>
      <c r="F975" s="101">
        <v>40435</v>
      </c>
      <c r="G975" s="102" t="str">
        <f>IF(stdProdLT(Main[[#This Row],[Comments]])=0.1,"N/A",IF(stdProdLT(Main[[#This Row],[Comments]])=0,"",stdProdLT(Main[[#This Row],[Comments]])))</f>
        <v/>
      </c>
      <c r="H975" s="103" t="str">
        <f>IF(AND(Main[[#This Row],[In Stock Date]]&lt;&gt;"",Main[[#This Row],[Revised Due Date]]&lt;&gt;""),Main[[#This Row],[In Stock Date]]-Main[[#This Row],[Revised Due Date]],"")</f>
        <v/>
      </c>
      <c r="I975" s="99" t="s">
        <v>4</v>
      </c>
      <c r="J975" s="99" t="s">
        <v>28</v>
      </c>
      <c r="K975" s="99" t="s">
        <v>4</v>
      </c>
      <c r="L975" s="101"/>
      <c r="M975" s="104" t="str">
        <f>IF(Main[[#This Row],[Tech Start Date]]&lt;1/1/1990,"",IF(Main[[#This Row],[Class]]="C",WORKDAY(Main[[#This Row],[Tech Start Date]],9),IF(Main[[#This Row],[Class]]="B", WORKDAY(Main[[#This Row],[Tech Start Date]],6),IF(Main[[#This Row],[Class]]="A",WORKDAY(Main[[#This Row],[Tech Start Date]],2),""))))</f>
        <v/>
      </c>
      <c r="N975" s="104" t="str">
        <f>IF(Main[[#This Row],[Tech Start Date]]&lt;1/1/1990,"",IF(Main[[#This Row],[Class]]="C",WORKDAY(Main[[#This Row],[Tech Start Date]],19),IF(Main[[#This Row],[Class]]="B", WORKDAY(Main[[#This Row],[Tech Start Date]],12),IF(Main[[#This Row],[Class]]="A",WORKDAY(Main[[#This Row],[Tech Start Date]],4),""))))</f>
        <v/>
      </c>
      <c r="O975" s="104" t="str">
        <f>IF(Main[[#This Row],[Tech Start Date]]&lt;1/1/1990,"",IF(Main[[#This Row],[Class]]="C",WORKDAY(Main[[#This Row],[Tech Start Date]],23),IF(Main[[#This Row],[Class]]="B", WORKDAY(Main[[#This Row],[Tech Start Date]],15),IF(Main[[#This Row],[Class]]="A",WORKDAY(Main[[#This Row],[Tech Start Date]],5),""))))</f>
        <v/>
      </c>
      <c r="P975" s="104" t="str">
        <f>IF(Main[[#This Row],[Tech Start Date]]&lt;1/1/1990,"",IF(Main[[#This Row],[Class]]="C",WORKDAY(Main[[#This Row],[Tech Start Date]],28),IF(Main[[#This Row],[Class]]="B", WORKDAY(Main[[#This Row],[Tech Start Date]],19),IF(Main[[#This Row],[Class]]="A",WORKDAY(Main[[#This Row],[Tech Start Date]],9),""))))</f>
        <v/>
      </c>
      <c r="Q975" s="101"/>
      <c r="R975" s="101"/>
      <c r="S975" s="99" t="s">
        <v>11</v>
      </c>
      <c r="T975" s="107" t="s">
        <v>4</v>
      </c>
      <c r="U975" s="99" t="s">
        <v>14</v>
      </c>
      <c r="V975" s="99" t="s">
        <v>1965</v>
      </c>
      <c r="W975" s="99" t="s">
        <v>1967</v>
      </c>
    </row>
    <row r="976" spans="1:23" ht="18.600000000000001" customHeight="1">
      <c r="A976" s="123" t="str">
        <f>IF(priority(Main[[#This Row],[Comments]])&lt;&gt;0, priority(Main[[#This Row],[Comments]]),"")</f>
        <v/>
      </c>
      <c r="B976" s="127" t="s">
        <v>1838</v>
      </c>
      <c r="C976" s="99" t="s">
        <v>99</v>
      </c>
      <c r="D976" s="100" t="s">
        <v>856</v>
      </c>
      <c r="E976" s="101"/>
      <c r="F976" s="101">
        <v>40435</v>
      </c>
      <c r="G976" s="102" t="str">
        <f>IF(stdProdLT(Main[[#This Row],[Comments]])=0.1,"N/A",IF(stdProdLT(Main[[#This Row],[Comments]])=0,"",stdProdLT(Main[[#This Row],[Comments]])))</f>
        <v/>
      </c>
      <c r="H976" s="103" t="str">
        <f>IF(AND(Main[[#This Row],[In Stock Date]]&lt;&gt;"",Main[[#This Row],[Revised Due Date]]&lt;&gt;""),Main[[#This Row],[In Stock Date]]-Main[[#This Row],[Revised Due Date]],"")</f>
        <v/>
      </c>
      <c r="I976" s="99" t="s">
        <v>4</v>
      </c>
      <c r="J976" s="99" t="s">
        <v>28</v>
      </c>
      <c r="K976" s="99" t="s">
        <v>4</v>
      </c>
      <c r="L976" s="101"/>
      <c r="M976" s="104" t="str">
        <f>IF(Main[[#This Row],[Tech Start Date]]&lt;1/1/1990,"",IF(Main[[#This Row],[Class]]="C",WORKDAY(Main[[#This Row],[Tech Start Date]],9),IF(Main[[#This Row],[Class]]="B", WORKDAY(Main[[#This Row],[Tech Start Date]],6),IF(Main[[#This Row],[Class]]="A",WORKDAY(Main[[#This Row],[Tech Start Date]],2),""))))</f>
        <v/>
      </c>
      <c r="N976" s="104" t="str">
        <f>IF(Main[[#This Row],[Tech Start Date]]&lt;1/1/1990,"",IF(Main[[#This Row],[Class]]="C",WORKDAY(Main[[#This Row],[Tech Start Date]],19),IF(Main[[#This Row],[Class]]="B", WORKDAY(Main[[#This Row],[Tech Start Date]],12),IF(Main[[#This Row],[Class]]="A",WORKDAY(Main[[#This Row],[Tech Start Date]],4),""))))</f>
        <v/>
      </c>
      <c r="O976" s="104" t="str">
        <f>IF(Main[[#This Row],[Tech Start Date]]&lt;1/1/1990,"",IF(Main[[#This Row],[Class]]="C",WORKDAY(Main[[#This Row],[Tech Start Date]],23),IF(Main[[#This Row],[Class]]="B", WORKDAY(Main[[#This Row],[Tech Start Date]],15),IF(Main[[#This Row],[Class]]="A",WORKDAY(Main[[#This Row],[Tech Start Date]],5),""))))</f>
        <v/>
      </c>
      <c r="P976" s="104" t="str">
        <f>IF(Main[[#This Row],[Tech Start Date]]&lt;1/1/1990,"",IF(Main[[#This Row],[Class]]="C",WORKDAY(Main[[#This Row],[Tech Start Date]],28),IF(Main[[#This Row],[Class]]="B", WORKDAY(Main[[#This Row],[Tech Start Date]],19),IF(Main[[#This Row],[Class]]="A",WORKDAY(Main[[#This Row],[Tech Start Date]],9),""))))</f>
        <v/>
      </c>
      <c r="Q976" s="101">
        <v>40435</v>
      </c>
      <c r="R976" s="101"/>
      <c r="S976" s="99" t="s">
        <v>11</v>
      </c>
      <c r="T976" s="107" t="s">
        <v>4</v>
      </c>
      <c r="U976" s="99" t="s">
        <v>14</v>
      </c>
      <c r="V976" s="99" t="s">
        <v>1965</v>
      </c>
      <c r="W976" s="99" t="s">
        <v>1967</v>
      </c>
    </row>
    <row r="977" spans="1:23" ht="18.600000000000001" customHeight="1">
      <c r="A977" s="123" t="str">
        <f>IF(priority(Main[[#This Row],[Comments]])&lt;&gt;0, priority(Main[[#This Row],[Comments]]),"")</f>
        <v/>
      </c>
      <c r="B977" s="127" t="s">
        <v>1057</v>
      </c>
      <c r="C977" s="99" t="s">
        <v>4</v>
      </c>
      <c r="D977" s="100" t="s">
        <v>3088</v>
      </c>
      <c r="E977" s="101">
        <v>40294.37054398148</v>
      </c>
      <c r="F977" s="101"/>
      <c r="G977" s="102" t="str">
        <f>IF(stdProdLT(Main[[#This Row],[Comments]])=0.1,"N/A",IF(stdProdLT(Main[[#This Row],[Comments]])=0,"",stdProdLT(Main[[#This Row],[Comments]])))</f>
        <v/>
      </c>
      <c r="H977" s="103" t="str">
        <f>IF(AND(Main[[#This Row],[In Stock Date]]&lt;&gt;"",Main[[#This Row],[Revised Due Date]]&lt;&gt;""),Main[[#This Row],[In Stock Date]]-Main[[#This Row],[Revised Due Date]],"")</f>
        <v/>
      </c>
      <c r="I977" s="99" t="s">
        <v>2280</v>
      </c>
      <c r="J977" s="99" t="s">
        <v>75</v>
      </c>
      <c r="K977" s="99" t="s">
        <v>1971</v>
      </c>
      <c r="L977" s="101"/>
      <c r="M977" s="104" t="str">
        <f>IF(Main[[#This Row],[Tech Start Date]]&lt;1/1/1990,"",IF(Main[[#This Row],[Class]]="C",WORKDAY(Main[[#This Row],[Tech Start Date]],9),IF(Main[[#This Row],[Class]]="B", WORKDAY(Main[[#This Row],[Tech Start Date]],6),IF(Main[[#This Row],[Class]]="A",WORKDAY(Main[[#This Row],[Tech Start Date]],2),""))))</f>
        <v/>
      </c>
      <c r="N977" s="104" t="str">
        <f>IF(Main[[#This Row],[Tech Start Date]]&lt;1/1/1990,"",IF(Main[[#This Row],[Class]]="C",WORKDAY(Main[[#This Row],[Tech Start Date]],19),IF(Main[[#This Row],[Class]]="B", WORKDAY(Main[[#This Row],[Tech Start Date]],12),IF(Main[[#This Row],[Class]]="A",WORKDAY(Main[[#This Row],[Tech Start Date]],4),""))))</f>
        <v/>
      </c>
      <c r="O977" s="104" t="str">
        <f>IF(Main[[#This Row],[Tech Start Date]]&lt;1/1/1990,"",IF(Main[[#This Row],[Class]]="C",WORKDAY(Main[[#This Row],[Tech Start Date]],23),IF(Main[[#This Row],[Class]]="B", WORKDAY(Main[[#This Row],[Tech Start Date]],15),IF(Main[[#This Row],[Class]]="A",WORKDAY(Main[[#This Row],[Tech Start Date]],5),""))))</f>
        <v/>
      </c>
      <c r="P977" s="104" t="str">
        <f>IF(Main[[#This Row],[Tech Start Date]]&lt;1/1/1990,"",IF(Main[[#This Row],[Class]]="C",WORKDAY(Main[[#This Row],[Tech Start Date]],28),IF(Main[[#This Row],[Class]]="B", WORKDAY(Main[[#This Row],[Tech Start Date]],19),IF(Main[[#This Row],[Class]]="A",WORKDAY(Main[[#This Row],[Tech Start Date]],9),""))))</f>
        <v/>
      </c>
      <c r="Q977" s="101">
        <v>40909</v>
      </c>
      <c r="R977" s="101"/>
      <c r="S977" s="99" t="s">
        <v>6</v>
      </c>
      <c r="T977" s="107" t="s">
        <v>4</v>
      </c>
      <c r="U977" s="99" t="s">
        <v>29</v>
      </c>
      <c r="V977" s="99" t="s">
        <v>1965</v>
      </c>
      <c r="W977" s="99" t="s">
        <v>1966</v>
      </c>
    </row>
    <row r="978" spans="1:23" ht="18.600000000000001" customHeight="1">
      <c r="A978" s="123" t="str">
        <f>IF(priority(Main[[#This Row],[Comments]])&lt;&gt;0, priority(Main[[#This Row],[Comments]]),"")</f>
        <v/>
      </c>
      <c r="B978" s="127" t="s">
        <v>1824</v>
      </c>
      <c r="C978" s="99" t="s">
        <v>841</v>
      </c>
      <c r="D978" s="100" t="s">
        <v>842</v>
      </c>
      <c r="E978" s="101"/>
      <c r="F978" s="101"/>
      <c r="G978" s="102" t="str">
        <f>IF(stdProdLT(Main[[#This Row],[Comments]])=0.1,"N/A",IF(stdProdLT(Main[[#This Row],[Comments]])=0,"",stdProdLT(Main[[#This Row],[Comments]])))</f>
        <v/>
      </c>
      <c r="H978" s="103" t="str">
        <f>IF(AND(Main[[#This Row],[In Stock Date]]&lt;&gt;"",Main[[#This Row],[Revised Due Date]]&lt;&gt;""),Main[[#This Row],[In Stock Date]]-Main[[#This Row],[Revised Due Date]],"")</f>
        <v/>
      </c>
      <c r="I978" s="99" t="s">
        <v>4</v>
      </c>
      <c r="J978" s="99" t="s">
        <v>4</v>
      </c>
      <c r="K978" s="99" t="s">
        <v>4</v>
      </c>
      <c r="L978" s="101"/>
      <c r="M978" s="104" t="str">
        <f>IF(Main[[#This Row],[Tech Start Date]]&lt;1/1/1990,"",IF(Main[[#This Row],[Class]]="C",WORKDAY(Main[[#This Row],[Tech Start Date]],9),IF(Main[[#This Row],[Class]]="B", WORKDAY(Main[[#This Row],[Tech Start Date]],6),IF(Main[[#This Row],[Class]]="A",WORKDAY(Main[[#This Row],[Tech Start Date]],2),""))))</f>
        <v/>
      </c>
      <c r="N978" s="104" t="str">
        <f>IF(Main[[#This Row],[Tech Start Date]]&lt;1/1/1990,"",IF(Main[[#This Row],[Class]]="C",WORKDAY(Main[[#This Row],[Tech Start Date]],19),IF(Main[[#This Row],[Class]]="B", WORKDAY(Main[[#This Row],[Tech Start Date]],12),IF(Main[[#This Row],[Class]]="A",WORKDAY(Main[[#This Row],[Tech Start Date]],4),""))))</f>
        <v/>
      </c>
      <c r="O978" s="104" t="str">
        <f>IF(Main[[#This Row],[Tech Start Date]]&lt;1/1/1990,"",IF(Main[[#This Row],[Class]]="C",WORKDAY(Main[[#This Row],[Tech Start Date]],23),IF(Main[[#This Row],[Class]]="B", WORKDAY(Main[[#This Row],[Tech Start Date]],15),IF(Main[[#This Row],[Class]]="A",WORKDAY(Main[[#This Row],[Tech Start Date]],5),""))))</f>
        <v/>
      </c>
      <c r="P978" s="104" t="str">
        <f>IF(Main[[#This Row],[Tech Start Date]]&lt;1/1/1990,"",IF(Main[[#This Row],[Class]]="C",WORKDAY(Main[[#This Row],[Tech Start Date]],28),IF(Main[[#This Row],[Class]]="B", WORKDAY(Main[[#This Row],[Tech Start Date]],19),IF(Main[[#This Row],[Class]]="A",WORKDAY(Main[[#This Row],[Tech Start Date]],9),""))))</f>
        <v/>
      </c>
      <c r="Q978" s="101"/>
      <c r="R978" s="101"/>
      <c r="S978" s="99" t="s">
        <v>11</v>
      </c>
      <c r="T978" s="107" t="s">
        <v>4</v>
      </c>
      <c r="U978" s="99" t="s">
        <v>14</v>
      </c>
      <c r="V978" s="99" t="s">
        <v>1963</v>
      </c>
      <c r="W978" s="99" t="s">
        <v>1967</v>
      </c>
    </row>
    <row r="979" spans="1:23" ht="18.600000000000001" customHeight="1">
      <c r="A979" s="123" t="str">
        <f>IF(priority(Main[[#This Row],[Comments]])&lt;&gt;0, priority(Main[[#This Row],[Comments]]),"")</f>
        <v/>
      </c>
      <c r="B979" s="127" t="s">
        <v>2190</v>
      </c>
      <c r="C979" s="99" t="s">
        <v>4</v>
      </c>
      <c r="D979" s="100" t="s">
        <v>2191</v>
      </c>
      <c r="E979" s="101">
        <v>40760.662685185183</v>
      </c>
      <c r="F979" s="101"/>
      <c r="G979" s="102" t="str">
        <f>IF(stdProdLT(Main[[#This Row],[Comments]])=0.1,"N/A",IF(stdProdLT(Main[[#This Row],[Comments]])=0,"",stdProdLT(Main[[#This Row],[Comments]])))</f>
        <v/>
      </c>
      <c r="H979" s="103" t="str">
        <f>IF(AND(Main[[#This Row],[In Stock Date]]&lt;&gt;"",Main[[#This Row],[Revised Due Date]]&lt;&gt;""),Main[[#This Row],[In Stock Date]]-Main[[#This Row],[Revised Due Date]],"")</f>
        <v/>
      </c>
      <c r="I979" s="99" t="s">
        <v>4</v>
      </c>
      <c r="J979" s="99" t="s">
        <v>4</v>
      </c>
      <c r="K979" s="99" t="s">
        <v>4</v>
      </c>
      <c r="L979" s="101"/>
      <c r="M979" s="104" t="str">
        <f>IF(Main[[#This Row],[Tech Start Date]]&lt;1/1/1990,"",IF(Main[[#This Row],[Class]]="C",WORKDAY(Main[[#This Row],[Tech Start Date]],9),IF(Main[[#This Row],[Class]]="B", WORKDAY(Main[[#This Row],[Tech Start Date]],6),IF(Main[[#This Row],[Class]]="A",WORKDAY(Main[[#This Row],[Tech Start Date]],2),""))))</f>
        <v/>
      </c>
      <c r="N979" s="104" t="str">
        <f>IF(Main[[#This Row],[Tech Start Date]]&lt;1/1/1990,"",IF(Main[[#This Row],[Class]]="C",WORKDAY(Main[[#This Row],[Tech Start Date]],19),IF(Main[[#This Row],[Class]]="B", WORKDAY(Main[[#This Row],[Tech Start Date]],12),IF(Main[[#This Row],[Class]]="A",WORKDAY(Main[[#This Row],[Tech Start Date]],4),""))))</f>
        <v/>
      </c>
      <c r="O979" s="104" t="str">
        <f>IF(Main[[#This Row],[Tech Start Date]]&lt;1/1/1990,"",IF(Main[[#This Row],[Class]]="C",WORKDAY(Main[[#This Row],[Tech Start Date]],23),IF(Main[[#This Row],[Class]]="B", WORKDAY(Main[[#This Row],[Tech Start Date]],15),IF(Main[[#This Row],[Class]]="A",WORKDAY(Main[[#This Row],[Tech Start Date]],5),""))))</f>
        <v/>
      </c>
      <c r="P979" s="104" t="str">
        <f>IF(Main[[#This Row],[Tech Start Date]]&lt;1/1/1990,"",IF(Main[[#This Row],[Class]]="C",WORKDAY(Main[[#This Row],[Tech Start Date]],28),IF(Main[[#This Row],[Class]]="B", WORKDAY(Main[[#This Row],[Tech Start Date]],19),IF(Main[[#This Row],[Class]]="A",WORKDAY(Main[[#This Row],[Tech Start Date]],9),""))))</f>
        <v/>
      </c>
      <c r="Q979" s="101"/>
      <c r="R979" s="101"/>
      <c r="S979" s="99" t="s">
        <v>6</v>
      </c>
      <c r="T979" s="107" t="s">
        <v>4</v>
      </c>
      <c r="U979" s="99" t="s">
        <v>7</v>
      </c>
      <c r="V979" s="99" t="s">
        <v>1962</v>
      </c>
      <c r="W979" s="99" t="s">
        <v>4</v>
      </c>
    </row>
    <row r="980" spans="1:23" ht="18.600000000000001" customHeight="1">
      <c r="A980" s="123" t="str">
        <f>IF(priority(Main[[#This Row],[Comments]])&lt;&gt;0, priority(Main[[#This Row],[Comments]]),"")</f>
        <v/>
      </c>
      <c r="B980" s="127" t="s">
        <v>1767</v>
      </c>
      <c r="C980" s="99" t="s">
        <v>4</v>
      </c>
      <c r="D980" s="100" t="s">
        <v>796</v>
      </c>
      <c r="E980" s="101">
        <v>40584.407268518517</v>
      </c>
      <c r="F980" s="101"/>
      <c r="G980" s="102" t="str">
        <f>IF(stdProdLT(Main[[#This Row],[Comments]])=0.1,"N/A",IF(stdProdLT(Main[[#This Row],[Comments]])=0,"",stdProdLT(Main[[#This Row],[Comments]])))</f>
        <v/>
      </c>
      <c r="H980" s="103" t="str">
        <f>IF(AND(Main[[#This Row],[In Stock Date]]&lt;&gt;"",Main[[#This Row],[Revised Due Date]]&lt;&gt;""),Main[[#This Row],[In Stock Date]]-Main[[#This Row],[Revised Due Date]],"")</f>
        <v/>
      </c>
      <c r="I980" s="99" t="s">
        <v>4</v>
      </c>
      <c r="J980" s="99" t="s">
        <v>4</v>
      </c>
      <c r="K980" s="99" t="s">
        <v>4</v>
      </c>
      <c r="L980" s="101"/>
      <c r="M980" s="104" t="str">
        <f>IF(Main[[#This Row],[Tech Start Date]]&lt;1/1/1990,"",IF(Main[[#This Row],[Class]]="C",WORKDAY(Main[[#This Row],[Tech Start Date]],9),IF(Main[[#This Row],[Class]]="B", WORKDAY(Main[[#This Row],[Tech Start Date]],6),IF(Main[[#This Row],[Class]]="A",WORKDAY(Main[[#This Row],[Tech Start Date]],2),""))))</f>
        <v/>
      </c>
      <c r="N980" s="104" t="str">
        <f>IF(Main[[#This Row],[Tech Start Date]]&lt;1/1/1990,"",IF(Main[[#This Row],[Class]]="C",WORKDAY(Main[[#This Row],[Tech Start Date]],19),IF(Main[[#This Row],[Class]]="B", WORKDAY(Main[[#This Row],[Tech Start Date]],12),IF(Main[[#This Row],[Class]]="A",WORKDAY(Main[[#This Row],[Tech Start Date]],4),""))))</f>
        <v/>
      </c>
      <c r="O980" s="104" t="str">
        <f>IF(Main[[#This Row],[Tech Start Date]]&lt;1/1/1990,"",IF(Main[[#This Row],[Class]]="C",WORKDAY(Main[[#This Row],[Tech Start Date]],23),IF(Main[[#This Row],[Class]]="B", WORKDAY(Main[[#This Row],[Tech Start Date]],15),IF(Main[[#This Row],[Class]]="A",WORKDAY(Main[[#This Row],[Tech Start Date]],5),""))))</f>
        <v/>
      </c>
      <c r="P980" s="104" t="str">
        <f>IF(Main[[#This Row],[Tech Start Date]]&lt;1/1/1990,"",IF(Main[[#This Row],[Class]]="C",WORKDAY(Main[[#This Row],[Tech Start Date]],28),IF(Main[[#This Row],[Class]]="B", WORKDAY(Main[[#This Row],[Tech Start Date]],19),IF(Main[[#This Row],[Class]]="A",WORKDAY(Main[[#This Row],[Tech Start Date]],9),""))))</f>
        <v/>
      </c>
      <c r="Q980" s="101">
        <v>40602</v>
      </c>
      <c r="R980" s="101"/>
      <c r="S980" s="99" t="s">
        <v>17</v>
      </c>
      <c r="T980" s="107" t="s">
        <v>4</v>
      </c>
      <c r="U980" s="99" t="s">
        <v>7</v>
      </c>
      <c r="V980" s="99" t="s">
        <v>1962</v>
      </c>
      <c r="W980" s="99" t="s">
        <v>1970</v>
      </c>
    </row>
    <row r="981" spans="1:23" ht="18.600000000000001" customHeight="1">
      <c r="A981" s="123" t="str">
        <f>IF(priority(Main[[#This Row],[Comments]])&lt;&gt;0, priority(Main[[#This Row],[Comments]]),"")</f>
        <v/>
      </c>
      <c r="B981" s="127" t="s">
        <v>1826</v>
      </c>
      <c r="C981" s="99" t="s">
        <v>4</v>
      </c>
      <c r="D981" s="100" t="s">
        <v>844</v>
      </c>
      <c r="E981" s="101"/>
      <c r="F981" s="101"/>
      <c r="G981" s="102" t="str">
        <f>IF(stdProdLT(Main[[#This Row],[Comments]])=0.1,"N/A",IF(stdProdLT(Main[[#This Row],[Comments]])=0,"",stdProdLT(Main[[#This Row],[Comments]])))</f>
        <v/>
      </c>
      <c r="H981" s="103" t="str">
        <f>IF(AND(Main[[#This Row],[In Stock Date]]&lt;&gt;"",Main[[#This Row],[Revised Due Date]]&lt;&gt;""),Main[[#This Row],[In Stock Date]]-Main[[#This Row],[Revised Due Date]],"")</f>
        <v/>
      </c>
      <c r="I981" s="99" t="s">
        <v>4</v>
      </c>
      <c r="J981" s="99" t="s">
        <v>4</v>
      </c>
      <c r="K981" s="99" t="s">
        <v>4</v>
      </c>
      <c r="L981" s="101"/>
      <c r="M981" s="104" t="str">
        <f>IF(Main[[#This Row],[Tech Start Date]]&lt;1/1/1990,"",IF(Main[[#This Row],[Class]]="C",WORKDAY(Main[[#This Row],[Tech Start Date]],9),IF(Main[[#This Row],[Class]]="B", WORKDAY(Main[[#This Row],[Tech Start Date]],6),IF(Main[[#This Row],[Class]]="A",WORKDAY(Main[[#This Row],[Tech Start Date]],2),""))))</f>
        <v/>
      </c>
      <c r="N981" s="104" t="str">
        <f>IF(Main[[#This Row],[Tech Start Date]]&lt;1/1/1990,"",IF(Main[[#This Row],[Class]]="C",WORKDAY(Main[[#This Row],[Tech Start Date]],19),IF(Main[[#This Row],[Class]]="B", WORKDAY(Main[[#This Row],[Tech Start Date]],12),IF(Main[[#This Row],[Class]]="A",WORKDAY(Main[[#This Row],[Tech Start Date]],4),""))))</f>
        <v/>
      </c>
      <c r="O981" s="104" t="str">
        <f>IF(Main[[#This Row],[Tech Start Date]]&lt;1/1/1990,"",IF(Main[[#This Row],[Class]]="C",WORKDAY(Main[[#This Row],[Tech Start Date]],23),IF(Main[[#This Row],[Class]]="B", WORKDAY(Main[[#This Row],[Tech Start Date]],15),IF(Main[[#This Row],[Class]]="A",WORKDAY(Main[[#This Row],[Tech Start Date]],5),""))))</f>
        <v/>
      </c>
      <c r="P981" s="104" t="str">
        <f>IF(Main[[#This Row],[Tech Start Date]]&lt;1/1/1990,"",IF(Main[[#This Row],[Class]]="C",WORKDAY(Main[[#This Row],[Tech Start Date]],28),IF(Main[[#This Row],[Class]]="B", WORKDAY(Main[[#This Row],[Tech Start Date]],19),IF(Main[[#This Row],[Class]]="A",WORKDAY(Main[[#This Row],[Tech Start Date]],9),""))))</f>
        <v/>
      </c>
      <c r="Q981" s="101"/>
      <c r="R981" s="101"/>
      <c r="S981" s="99" t="s">
        <v>23</v>
      </c>
      <c r="T981" s="107" t="s">
        <v>4</v>
      </c>
      <c r="U981" s="99" t="s">
        <v>14</v>
      </c>
      <c r="V981" s="99" t="s">
        <v>1962</v>
      </c>
      <c r="W981" s="99" t="s">
        <v>1966</v>
      </c>
    </row>
    <row r="982" spans="1:23" ht="18.600000000000001" customHeight="1">
      <c r="A982" s="123" t="str">
        <f>IF(priority(Main[[#This Row],[Comments]])&lt;&gt;0, priority(Main[[#This Row],[Comments]]),"")</f>
        <v/>
      </c>
      <c r="B982" s="127" t="s">
        <v>1846</v>
      </c>
      <c r="C982" s="99" t="s">
        <v>95</v>
      </c>
      <c r="D982" s="100" t="s">
        <v>867</v>
      </c>
      <c r="E982" s="101">
        <v>40060.34884259259</v>
      </c>
      <c r="F982" s="101">
        <v>40195</v>
      </c>
      <c r="G982" s="102" t="str">
        <f>IF(stdProdLT(Main[[#This Row],[Comments]])=0.1,"N/A",IF(stdProdLT(Main[[#This Row],[Comments]])=0,"",stdProdLT(Main[[#This Row],[Comments]])))</f>
        <v/>
      </c>
      <c r="H982" s="103">
        <f>IF(AND(Main[[#This Row],[In Stock Date]]&lt;&gt;"",Main[[#This Row],[Revised Due Date]]&lt;&gt;""),Main[[#This Row],[In Stock Date]]-Main[[#This Row],[Revised Due Date]],"")</f>
        <v>17</v>
      </c>
      <c r="I982" s="99" t="s">
        <v>868</v>
      </c>
      <c r="J982" s="99" t="s">
        <v>4</v>
      </c>
      <c r="K982" s="108" t="s">
        <v>4</v>
      </c>
      <c r="L982" s="101"/>
      <c r="M982" s="104" t="str">
        <f>IF(Main[[#This Row],[Tech Start Date]]&lt;1/1/1990,"",IF(Main[[#This Row],[Class]]="C",WORKDAY(Main[[#This Row],[Tech Start Date]],9),IF(Main[[#This Row],[Class]]="B", WORKDAY(Main[[#This Row],[Tech Start Date]],6),IF(Main[[#This Row],[Class]]="A",WORKDAY(Main[[#This Row],[Tech Start Date]],2),""))))</f>
        <v/>
      </c>
      <c r="N982" s="104" t="str">
        <f>IF(Main[[#This Row],[Tech Start Date]]&lt;1/1/1990,"",IF(Main[[#This Row],[Class]]="C",WORKDAY(Main[[#This Row],[Tech Start Date]],19),IF(Main[[#This Row],[Class]]="B", WORKDAY(Main[[#This Row],[Tech Start Date]],12),IF(Main[[#This Row],[Class]]="A",WORKDAY(Main[[#This Row],[Tech Start Date]],4),""))))</f>
        <v/>
      </c>
      <c r="O982" s="104" t="str">
        <f>IF(Main[[#This Row],[Tech Start Date]]&lt;1/1/1990,"",IF(Main[[#This Row],[Class]]="C",WORKDAY(Main[[#This Row],[Tech Start Date]],23),IF(Main[[#This Row],[Class]]="B", WORKDAY(Main[[#This Row],[Tech Start Date]],15),IF(Main[[#This Row],[Class]]="A",WORKDAY(Main[[#This Row],[Tech Start Date]],5),""))))</f>
        <v/>
      </c>
      <c r="P982" s="104" t="str">
        <f>IF(Main[[#This Row],[Tech Start Date]]&lt;1/1/1990,"",IF(Main[[#This Row],[Class]]="C",WORKDAY(Main[[#This Row],[Tech Start Date]],28),IF(Main[[#This Row],[Class]]="B", WORKDAY(Main[[#This Row],[Tech Start Date]],19),IF(Main[[#This Row],[Class]]="A",WORKDAY(Main[[#This Row],[Tech Start Date]],9),""))))</f>
        <v/>
      </c>
      <c r="Q982" s="101">
        <v>40080</v>
      </c>
      <c r="R982" s="101">
        <v>40178</v>
      </c>
      <c r="S982" s="99" t="s">
        <v>17</v>
      </c>
      <c r="T982" s="107" t="s">
        <v>4</v>
      </c>
      <c r="U982" s="99" t="s">
        <v>29</v>
      </c>
      <c r="V982" s="99" t="s">
        <v>1965</v>
      </c>
      <c r="W982" s="99" t="s">
        <v>1970</v>
      </c>
    </row>
    <row r="983" spans="1:23" ht="18.600000000000001" customHeight="1">
      <c r="A983" s="123" t="str">
        <f>IF(priority(Main[[#This Row],[Comments]])&lt;&gt;0, priority(Main[[#This Row],[Comments]]),"")</f>
        <v/>
      </c>
      <c r="B983" s="127" t="s">
        <v>2192</v>
      </c>
      <c r="C983" s="99" t="s">
        <v>974</v>
      </c>
      <c r="D983" s="100" t="s">
        <v>2193</v>
      </c>
      <c r="E983" s="101"/>
      <c r="F983" s="101">
        <v>40871</v>
      </c>
      <c r="G983" s="102" t="str">
        <f>IF(stdProdLT(Main[[#This Row],[Comments]])=0.1,"N/A",IF(stdProdLT(Main[[#This Row],[Comments]])=0,"",stdProdLT(Main[[#This Row],[Comments]])))</f>
        <v/>
      </c>
      <c r="H983" s="103" t="str">
        <f>IF(AND(Main[[#This Row],[In Stock Date]]&lt;&gt;"",Main[[#This Row],[Revised Due Date]]&lt;&gt;""),Main[[#This Row],[In Stock Date]]-Main[[#This Row],[Revised Due Date]],"")</f>
        <v/>
      </c>
      <c r="I983" s="99" t="s">
        <v>404</v>
      </c>
      <c r="J983" s="99" t="s">
        <v>51</v>
      </c>
      <c r="K983" s="99" t="s">
        <v>1971</v>
      </c>
      <c r="L983" s="101"/>
      <c r="M983" s="104" t="str">
        <f>IF(Main[[#This Row],[Tech Start Date]]&lt;1/1/1990,"",IF(Main[[#This Row],[Class]]="C",WORKDAY(Main[[#This Row],[Tech Start Date]],9),IF(Main[[#This Row],[Class]]="B", WORKDAY(Main[[#This Row],[Tech Start Date]],6),IF(Main[[#This Row],[Class]]="A",WORKDAY(Main[[#This Row],[Tech Start Date]],2),""))))</f>
        <v/>
      </c>
      <c r="N983" s="104" t="str">
        <f>IF(Main[[#This Row],[Tech Start Date]]&lt;1/1/1990,"",IF(Main[[#This Row],[Class]]="C",WORKDAY(Main[[#This Row],[Tech Start Date]],19),IF(Main[[#This Row],[Class]]="B", WORKDAY(Main[[#This Row],[Tech Start Date]],12),IF(Main[[#This Row],[Class]]="A",WORKDAY(Main[[#This Row],[Tech Start Date]],4),""))))</f>
        <v/>
      </c>
      <c r="O983" s="104" t="str">
        <f>IF(Main[[#This Row],[Tech Start Date]]&lt;1/1/1990,"",IF(Main[[#This Row],[Class]]="C",WORKDAY(Main[[#This Row],[Tech Start Date]],23),IF(Main[[#This Row],[Class]]="B", WORKDAY(Main[[#This Row],[Tech Start Date]],15),IF(Main[[#This Row],[Class]]="A",WORKDAY(Main[[#This Row],[Tech Start Date]],5),""))))</f>
        <v/>
      </c>
      <c r="P983" s="104" t="str">
        <f>IF(Main[[#This Row],[Tech Start Date]]&lt;1/1/1990,"",IF(Main[[#This Row],[Class]]="C",WORKDAY(Main[[#This Row],[Tech Start Date]],28),IF(Main[[#This Row],[Class]]="B", WORKDAY(Main[[#This Row],[Tech Start Date]],19),IF(Main[[#This Row],[Class]]="A",WORKDAY(Main[[#This Row],[Tech Start Date]],9),""))))</f>
        <v/>
      </c>
      <c r="Q983" s="101"/>
      <c r="R983" s="101"/>
      <c r="S983" s="99" t="s">
        <v>11</v>
      </c>
      <c r="T983" s="107" t="s">
        <v>4</v>
      </c>
      <c r="U983" s="99" t="s">
        <v>14</v>
      </c>
      <c r="V983" s="99" t="s">
        <v>1962</v>
      </c>
      <c r="W983" s="99" t="s">
        <v>1968</v>
      </c>
    </row>
    <row r="984" spans="1:23" ht="18.600000000000001" customHeight="1">
      <c r="A984" s="123" t="str">
        <f>IF(priority(Main[[#This Row],[Comments]])&lt;&gt;0, priority(Main[[#This Row],[Comments]]),"")</f>
        <v/>
      </c>
      <c r="B984" s="127" t="s">
        <v>2194</v>
      </c>
      <c r="C984" s="99" t="s">
        <v>974</v>
      </c>
      <c r="D984" s="100" t="s">
        <v>2195</v>
      </c>
      <c r="E984" s="101"/>
      <c r="F984" s="101">
        <v>40871</v>
      </c>
      <c r="G984" s="102" t="str">
        <f>IF(stdProdLT(Main[[#This Row],[Comments]])=0.1,"N/A",IF(stdProdLT(Main[[#This Row],[Comments]])=0,"",stdProdLT(Main[[#This Row],[Comments]])))</f>
        <v/>
      </c>
      <c r="H984" s="103" t="str">
        <f>IF(AND(Main[[#This Row],[In Stock Date]]&lt;&gt;"",Main[[#This Row],[Revised Due Date]]&lt;&gt;""),Main[[#This Row],[In Stock Date]]-Main[[#This Row],[Revised Due Date]],"")</f>
        <v/>
      </c>
      <c r="I984" s="99" t="s">
        <v>4</v>
      </c>
      <c r="J984" s="99" t="s">
        <v>4</v>
      </c>
      <c r="K984" s="99" t="s">
        <v>4</v>
      </c>
      <c r="L984" s="101"/>
      <c r="M984" s="104" t="str">
        <f>IF(Main[[#This Row],[Tech Start Date]]&lt;1/1/1990,"",IF(Main[[#This Row],[Class]]="C",WORKDAY(Main[[#This Row],[Tech Start Date]],9),IF(Main[[#This Row],[Class]]="B", WORKDAY(Main[[#This Row],[Tech Start Date]],6),IF(Main[[#This Row],[Class]]="A",WORKDAY(Main[[#This Row],[Tech Start Date]],2),""))))</f>
        <v/>
      </c>
      <c r="N984" s="104" t="str">
        <f>IF(Main[[#This Row],[Tech Start Date]]&lt;1/1/1990,"",IF(Main[[#This Row],[Class]]="C",WORKDAY(Main[[#This Row],[Tech Start Date]],19),IF(Main[[#This Row],[Class]]="B", WORKDAY(Main[[#This Row],[Tech Start Date]],12),IF(Main[[#This Row],[Class]]="A",WORKDAY(Main[[#This Row],[Tech Start Date]],4),""))))</f>
        <v/>
      </c>
      <c r="O984" s="104" t="str">
        <f>IF(Main[[#This Row],[Tech Start Date]]&lt;1/1/1990,"",IF(Main[[#This Row],[Class]]="C",WORKDAY(Main[[#This Row],[Tech Start Date]],23),IF(Main[[#This Row],[Class]]="B", WORKDAY(Main[[#This Row],[Tech Start Date]],15),IF(Main[[#This Row],[Class]]="A",WORKDAY(Main[[#This Row],[Tech Start Date]],5),""))))</f>
        <v/>
      </c>
      <c r="P984" s="104" t="str">
        <f>IF(Main[[#This Row],[Tech Start Date]]&lt;1/1/1990,"",IF(Main[[#This Row],[Class]]="C",WORKDAY(Main[[#This Row],[Tech Start Date]],28),IF(Main[[#This Row],[Class]]="B", WORKDAY(Main[[#This Row],[Tech Start Date]],19),IF(Main[[#This Row],[Class]]="A",WORKDAY(Main[[#This Row],[Tech Start Date]],9),""))))</f>
        <v/>
      </c>
      <c r="Q984" s="101"/>
      <c r="R984" s="101"/>
      <c r="S984" s="99" t="s">
        <v>11</v>
      </c>
      <c r="T984" s="107" t="s">
        <v>4</v>
      </c>
      <c r="U984" s="99" t="s">
        <v>14</v>
      </c>
      <c r="V984" s="99" t="s">
        <v>1965</v>
      </c>
      <c r="W984" s="99" t="s">
        <v>1970</v>
      </c>
    </row>
    <row r="985" spans="1:23" ht="18.600000000000001" customHeight="1">
      <c r="A985" s="123" t="str">
        <f>IF(priority(Main[[#This Row],[Comments]])&lt;&gt;0, priority(Main[[#This Row],[Comments]]),"")</f>
        <v/>
      </c>
      <c r="B985" s="127" t="s">
        <v>2689</v>
      </c>
      <c r="C985" s="99" t="s">
        <v>47</v>
      </c>
      <c r="D985" s="100" t="s">
        <v>2690</v>
      </c>
      <c r="E985" s="101">
        <v>40857.653622685182</v>
      </c>
      <c r="F985" s="101"/>
      <c r="G985" s="102" t="str">
        <f>IF(stdProdLT(Main[[#This Row],[Comments]])=0.1,"N/A",IF(stdProdLT(Main[[#This Row],[Comments]])=0,"",stdProdLT(Main[[#This Row],[Comments]])))</f>
        <v/>
      </c>
      <c r="H985" s="103" t="str">
        <f>IF(AND(Main[[#This Row],[In Stock Date]]&lt;&gt;"",Main[[#This Row],[Revised Due Date]]&lt;&gt;""),Main[[#This Row],[In Stock Date]]-Main[[#This Row],[Revised Due Date]],"")</f>
        <v/>
      </c>
      <c r="I985" s="99" t="s">
        <v>4</v>
      </c>
      <c r="J985" s="99" t="s">
        <v>4</v>
      </c>
      <c r="K985" s="99" t="s">
        <v>4</v>
      </c>
      <c r="L985" s="101"/>
      <c r="M985" s="104" t="str">
        <f>IF(Main[[#This Row],[Tech Start Date]]&lt;1/1/1990,"",IF(Main[[#This Row],[Class]]="C",WORKDAY(Main[[#This Row],[Tech Start Date]],9),IF(Main[[#This Row],[Class]]="B", WORKDAY(Main[[#This Row],[Tech Start Date]],6),IF(Main[[#This Row],[Class]]="A",WORKDAY(Main[[#This Row],[Tech Start Date]],2),""))))</f>
        <v/>
      </c>
      <c r="N985" s="104" t="str">
        <f>IF(Main[[#This Row],[Tech Start Date]]&lt;1/1/1990,"",IF(Main[[#This Row],[Class]]="C",WORKDAY(Main[[#This Row],[Tech Start Date]],19),IF(Main[[#This Row],[Class]]="B", WORKDAY(Main[[#This Row],[Tech Start Date]],12),IF(Main[[#This Row],[Class]]="A",WORKDAY(Main[[#This Row],[Tech Start Date]],4),""))))</f>
        <v/>
      </c>
      <c r="O985" s="104" t="str">
        <f>IF(Main[[#This Row],[Tech Start Date]]&lt;1/1/1990,"",IF(Main[[#This Row],[Class]]="C",WORKDAY(Main[[#This Row],[Tech Start Date]],23),IF(Main[[#This Row],[Class]]="B", WORKDAY(Main[[#This Row],[Tech Start Date]],15),IF(Main[[#This Row],[Class]]="A",WORKDAY(Main[[#This Row],[Tech Start Date]],5),""))))</f>
        <v/>
      </c>
      <c r="P985" s="104" t="str">
        <f>IF(Main[[#This Row],[Tech Start Date]]&lt;1/1/1990,"",IF(Main[[#This Row],[Class]]="C",WORKDAY(Main[[#This Row],[Tech Start Date]],28),IF(Main[[#This Row],[Class]]="B", WORKDAY(Main[[#This Row],[Tech Start Date]],19),IF(Main[[#This Row],[Class]]="A",WORKDAY(Main[[#This Row],[Tech Start Date]],9),""))))</f>
        <v/>
      </c>
      <c r="Q985" s="101">
        <v>40892</v>
      </c>
      <c r="R985" s="101"/>
      <c r="S985" s="99" t="s">
        <v>6</v>
      </c>
      <c r="T985" s="107" t="s">
        <v>4</v>
      </c>
      <c r="U985" s="99" t="s">
        <v>29</v>
      </c>
      <c r="V985" s="99" t="s">
        <v>2362</v>
      </c>
      <c r="W985" s="99" t="s">
        <v>4</v>
      </c>
    </row>
    <row r="986" spans="1:23" ht="18.600000000000001" customHeight="1">
      <c r="A986" s="123" t="str">
        <f>IF(priority(Main[[#This Row],[Comments]])&lt;&gt;0, priority(Main[[#This Row],[Comments]]),"")</f>
        <v/>
      </c>
      <c r="B986" s="127" t="s">
        <v>2178</v>
      </c>
      <c r="C986" s="99" t="s">
        <v>4</v>
      </c>
      <c r="D986" s="100" t="s">
        <v>2179</v>
      </c>
      <c r="E986" s="101"/>
      <c r="F986" s="101"/>
      <c r="G986" s="102" t="str">
        <f>IF(stdProdLT(Main[[#This Row],[Comments]])=0.1,"N/A",IF(stdProdLT(Main[[#This Row],[Comments]])=0,"",stdProdLT(Main[[#This Row],[Comments]])))</f>
        <v/>
      </c>
      <c r="H986" s="103" t="str">
        <f>IF(AND(Main[[#This Row],[In Stock Date]]&lt;&gt;"",Main[[#This Row],[Revised Due Date]]&lt;&gt;""),Main[[#This Row],[In Stock Date]]-Main[[#This Row],[Revised Due Date]],"")</f>
        <v/>
      </c>
      <c r="I986" s="99" t="s">
        <v>69</v>
      </c>
      <c r="J986" s="99" t="s">
        <v>70</v>
      </c>
      <c r="K986" s="99" t="s">
        <v>1971</v>
      </c>
      <c r="L986" s="101"/>
      <c r="M986" s="104" t="str">
        <f>IF(Main[[#This Row],[Tech Start Date]]&lt;1/1/1990,"",IF(Main[[#This Row],[Class]]="C",WORKDAY(Main[[#This Row],[Tech Start Date]],9),IF(Main[[#This Row],[Class]]="B", WORKDAY(Main[[#This Row],[Tech Start Date]],6),IF(Main[[#This Row],[Class]]="A",WORKDAY(Main[[#This Row],[Tech Start Date]],2),""))))</f>
        <v/>
      </c>
      <c r="N986" s="104" t="str">
        <f>IF(Main[[#This Row],[Tech Start Date]]&lt;1/1/1990,"",IF(Main[[#This Row],[Class]]="C",WORKDAY(Main[[#This Row],[Tech Start Date]],19),IF(Main[[#This Row],[Class]]="B", WORKDAY(Main[[#This Row],[Tech Start Date]],12),IF(Main[[#This Row],[Class]]="A",WORKDAY(Main[[#This Row],[Tech Start Date]],4),""))))</f>
        <v/>
      </c>
      <c r="O986" s="104" t="str">
        <f>IF(Main[[#This Row],[Tech Start Date]]&lt;1/1/1990,"",IF(Main[[#This Row],[Class]]="C",WORKDAY(Main[[#This Row],[Tech Start Date]],23),IF(Main[[#This Row],[Class]]="B", WORKDAY(Main[[#This Row],[Tech Start Date]],15),IF(Main[[#This Row],[Class]]="A",WORKDAY(Main[[#This Row],[Tech Start Date]],5),""))))</f>
        <v/>
      </c>
      <c r="P986" s="104" t="str">
        <f>IF(Main[[#This Row],[Tech Start Date]]&lt;1/1/1990,"",IF(Main[[#This Row],[Class]]="C",WORKDAY(Main[[#This Row],[Tech Start Date]],28),IF(Main[[#This Row],[Class]]="B", WORKDAY(Main[[#This Row],[Tech Start Date]],19),IF(Main[[#This Row],[Class]]="A",WORKDAY(Main[[#This Row],[Tech Start Date]],9),""))))</f>
        <v/>
      </c>
      <c r="Q986" s="101">
        <v>40816</v>
      </c>
      <c r="R986" s="101"/>
      <c r="S986" s="99" t="s">
        <v>6</v>
      </c>
      <c r="T986" s="107" t="s">
        <v>4</v>
      </c>
      <c r="U986" s="99" t="s">
        <v>14</v>
      </c>
      <c r="V986" s="99" t="s">
        <v>1965</v>
      </c>
      <c r="W986" s="99" t="s">
        <v>1966</v>
      </c>
    </row>
    <row r="987" spans="1:23" ht="18.600000000000001" customHeight="1">
      <c r="A987" s="123" t="str">
        <f>IF(priority(Main[[#This Row],[Comments]])&lt;&gt;0, priority(Main[[#This Row],[Comments]]),"")</f>
        <v/>
      </c>
      <c r="B987" s="127" t="s">
        <v>2250</v>
      </c>
      <c r="C987" s="99" t="s">
        <v>4</v>
      </c>
      <c r="D987" s="100" t="s">
        <v>2251</v>
      </c>
      <c r="E987" s="101">
        <v>40784.630833333336</v>
      </c>
      <c r="F987" s="101">
        <v>41153</v>
      </c>
      <c r="G987" s="102" t="str">
        <f>IF(stdProdLT(Main[[#This Row],[Comments]])=0.1,"N/A",IF(stdProdLT(Main[[#This Row],[Comments]])=0,"",stdProdLT(Main[[#This Row],[Comments]])))</f>
        <v/>
      </c>
      <c r="H987" s="103" t="str">
        <f>IF(AND(Main[[#This Row],[In Stock Date]]&lt;&gt;"",Main[[#This Row],[Revised Due Date]]&lt;&gt;""),Main[[#This Row],[In Stock Date]]-Main[[#This Row],[Revised Due Date]],"")</f>
        <v/>
      </c>
      <c r="I987" s="99" t="s">
        <v>4</v>
      </c>
      <c r="J987" s="99" t="s">
        <v>4</v>
      </c>
      <c r="K987" s="99" t="s">
        <v>4</v>
      </c>
      <c r="L987" s="101"/>
      <c r="M987" s="104" t="str">
        <f>IF(Main[[#This Row],[Tech Start Date]]&lt;1/1/1990,"",IF(Main[[#This Row],[Class]]="C",WORKDAY(Main[[#This Row],[Tech Start Date]],9),IF(Main[[#This Row],[Class]]="B", WORKDAY(Main[[#This Row],[Tech Start Date]],6),IF(Main[[#This Row],[Class]]="A",WORKDAY(Main[[#This Row],[Tech Start Date]],2),""))))</f>
        <v/>
      </c>
      <c r="N987" s="104" t="str">
        <f>IF(Main[[#This Row],[Tech Start Date]]&lt;1/1/1990,"",IF(Main[[#This Row],[Class]]="C",WORKDAY(Main[[#This Row],[Tech Start Date]],19),IF(Main[[#This Row],[Class]]="B", WORKDAY(Main[[#This Row],[Tech Start Date]],12),IF(Main[[#This Row],[Class]]="A",WORKDAY(Main[[#This Row],[Tech Start Date]],4),""))))</f>
        <v/>
      </c>
      <c r="O987" s="104" t="str">
        <f>IF(Main[[#This Row],[Tech Start Date]]&lt;1/1/1990,"",IF(Main[[#This Row],[Class]]="C",WORKDAY(Main[[#This Row],[Tech Start Date]],23),IF(Main[[#This Row],[Class]]="B", WORKDAY(Main[[#This Row],[Tech Start Date]],15),IF(Main[[#This Row],[Class]]="A",WORKDAY(Main[[#This Row],[Tech Start Date]],5),""))))</f>
        <v/>
      </c>
      <c r="P987" s="104" t="str">
        <f>IF(Main[[#This Row],[Tech Start Date]]&lt;1/1/1990,"",IF(Main[[#This Row],[Class]]="C",WORKDAY(Main[[#This Row],[Tech Start Date]],28),IF(Main[[#This Row],[Class]]="B", WORKDAY(Main[[#This Row],[Tech Start Date]],19),IF(Main[[#This Row],[Class]]="A",WORKDAY(Main[[#This Row],[Tech Start Date]],9),""))))</f>
        <v/>
      </c>
      <c r="Q987" s="101"/>
      <c r="R987" s="101"/>
      <c r="S987" s="99" t="s">
        <v>17</v>
      </c>
      <c r="T987" s="107" t="s">
        <v>4</v>
      </c>
      <c r="U987" s="99" t="s">
        <v>7</v>
      </c>
      <c r="V987" s="99" t="s">
        <v>1965</v>
      </c>
      <c r="W987" s="99" t="s">
        <v>1967</v>
      </c>
    </row>
    <row r="988" spans="1:23" ht="18.600000000000001" customHeight="1">
      <c r="A988" s="123" t="str">
        <f>IF(priority(Main[[#This Row],[Comments]])&lt;&gt;0, priority(Main[[#This Row],[Comments]]),"")</f>
        <v/>
      </c>
      <c r="B988" s="127" t="s">
        <v>2119</v>
      </c>
      <c r="C988" s="99" t="s">
        <v>4</v>
      </c>
      <c r="D988" s="100" t="s">
        <v>2120</v>
      </c>
      <c r="E988" s="101">
        <v>40758.348310185182</v>
      </c>
      <c r="F988" s="101"/>
      <c r="G988" s="102" t="str">
        <f>IF(stdProdLT(Main[[#This Row],[Comments]])=0.1,"N/A",IF(stdProdLT(Main[[#This Row],[Comments]])=0,"",stdProdLT(Main[[#This Row],[Comments]])))</f>
        <v/>
      </c>
      <c r="H988" s="103" t="str">
        <f>IF(AND(Main[[#This Row],[In Stock Date]]&lt;&gt;"",Main[[#This Row],[Revised Due Date]]&lt;&gt;""),Main[[#This Row],[In Stock Date]]-Main[[#This Row],[Revised Due Date]],"")</f>
        <v/>
      </c>
      <c r="I988" s="99" t="s">
        <v>421</v>
      </c>
      <c r="J988" s="99" t="s">
        <v>28</v>
      </c>
      <c r="K988" s="108" t="s">
        <v>1969</v>
      </c>
      <c r="L988" s="101"/>
      <c r="M988" s="104" t="str">
        <f>IF(Main[[#This Row],[Tech Start Date]]&lt;1/1/1990,"",IF(Main[[#This Row],[Class]]="C",WORKDAY(Main[[#This Row],[Tech Start Date]],9),IF(Main[[#This Row],[Class]]="B", WORKDAY(Main[[#This Row],[Tech Start Date]],6),IF(Main[[#This Row],[Class]]="A",WORKDAY(Main[[#This Row],[Tech Start Date]],2),""))))</f>
        <v/>
      </c>
      <c r="N988" s="104" t="str">
        <f>IF(Main[[#This Row],[Tech Start Date]]&lt;1/1/1990,"",IF(Main[[#This Row],[Class]]="C",WORKDAY(Main[[#This Row],[Tech Start Date]],19),IF(Main[[#This Row],[Class]]="B", WORKDAY(Main[[#This Row],[Tech Start Date]],12),IF(Main[[#This Row],[Class]]="A",WORKDAY(Main[[#This Row],[Tech Start Date]],4),""))))</f>
        <v/>
      </c>
      <c r="O988" s="104" t="str">
        <f>IF(Main[[#This Row],[Tech Start Date]]&lt;1/1/1990,"",IF(Main[[#This Row],[Class]]="C",WORKDAY(Main[[#This Row],[Tech Start Date]],23),IF(Main[[#This Row],[Class]]="B", WORKDAY(Main[[#This Row],[Tech Start Date]],15),IF(Main[[#This Row],[Class]]="A",WORKDAY(Main[[#This Row],[Tech Start Date]],5),""))))</f>
        <v/>
      </c>
      <c r="P988" s="104" t="str">
        <f>IF(Main[[#This Row],[Tech Start Date]]&lt;1/1/1990,"",IF(Main[[#This Row],[Class]]="C",WORKDAY(Main[[#This Row],[Tech Start Date]],28),IF(Main[[#This Row],[Class]]="B", WORKDAY(Main[[#This Row],[Tech Start Date]],19),IF(Main[[#This Row],[Class]]="A",WORKDAY(Main[[#This Row],[Tech Start Date]],9),""))))</f>
        <v/>
      </c>
      <c r="Q988" s="101"/>
      <c r="R988" s="101"/>
      <c r="S988" s="99" t="s">
        <v>6</v>
      </c>
      <c r="T988" s="107" t="s">
        <v>4</v>
      </c>
      <c r="U988" s="99" t="s">
        <v>29</v>
      </c>
      <c r="V988" s="99" t="s">
        <v>1965</v>
      </c>
      <c r="W988" s="99" t="s">
        <v>1964</v>
      </c>
    </row>
    <row r="989" spans="1:23" ht="18.600000000000001" customHeight="1">
      <c r="A989" s="123" t="str">
        <f>IF(priority(Main[[#This Row],[Comments]])&lt;&gt;0, priority(Main[[#This Row],[Comments]]),"")</f>
        <v/>
      </c>
      <c r="B989" s="127" t="s">
        <v>1775</v>
      </c>
      <c r="C989" s="99" t="s">
        <v>4</v>
      </c>
      <c r="D989" s="100" t="s">
        <v>802</v>
      </c>
      <c r="E989" s="101">
        <v>40540.606365740743</v>
      </c>
      <c r="F989" s="101"/>
      <c r="G989" s="102" t="str">
        <f>IF(stdProdLT(Main[[#This Row],[Comments]])=0.1,"N/A",IF(stdProdLT(Main[[#This Row],[Comments]])=0,"",stdProdLT(Main[[#This Row],[Comments]])))</f>
        <v/>
      </c>
      <c r="H989" s="103" t="str">
        <f>IF(AND(Main[[#This Row],[In Stock Date]]&lt;&gt;"",Main[[#This Row],[Revised Due Date]]&lt;&gt;""),Main[[#This Row],[In Stock Date]]-Main[[#This Row],[Revised Due Date]],"")</f>
        <v/>
      </c>
      <c r="I989" s="99" t="s">
        <v>2027</v>
      </c>
      <c r="J989" s="99" t="s">
        <v>28</v>
      </c>
      <c r="K989" s="99" t="s">
        <v>1974</v>
      </c>
      <c r="L989" s="101"/>
      <c r="M989" s="104" t="str">
        <f>IF(Main[[#This Row],[Tech Start Date]]&lt;1/1/1990,"",IF(Main[[#This Row],[Class]]="C",WORKDAY(Main[[#This Row],[Tech Start Date]],9),IF(Main[[#This Row],[Class]]="B", WORKDAY(Main[[#This Row],[Tech Start Date]],6),IF(Main[[#This Row],[Class]]="A",WORKDAY(Main[[#This Row],[Tech Start Date]],2),""))))</f>
        <v/>
      </c>
      <c r="N989" s="104" t="str">
        <f>IF(Main[[#This Row],[Tech Start Date]]&lt;1/1/1990,"",IF(Main[[#This Row],[Class]]="C",WORKDAY(Main[[#This Row],[Tech Start Date]],19),IF(Main[[#This Row],[Class]]="B", WORKDAY(Main[[#This Row],[Tech Start Date]],12),IF(Main[[#This Row],[Class]]="A",WORKDAY(Main[[#This Row],[Tech Start Date]],4),""))))</f>
        <v/>
      </c>
      <c r="O989" s="104" t="str">
        <f>IF(Main[[#This Row],[Tech Start Date]]&lt;1/1/1990,"",IF(Main[[#This Row],[Class]]="C",WORKDAY(Main[[#This Row],[Tech Start Date]],23),IF(Main[[#This Row],[Class]]="B", WORKDAY(Main[[#This Row],[Tech Start Date]],15),IF(Main[[#This Row],[Class]]="A",WORKDAY(Main[[#This Row],[Tech Start Date]],5),""))))</f>
        <v/>
      </c>
      <c r="P989" s="104" t="str">
        <f>IF(Main[[#This Row],[Tech Start Date]]&lt;1/1/1990,"",IF(Main[[#This Row],[Class]]="C",WORKDAY(Main[[#This Row],[Tech Start Date]],28),IF(Main[[#This Row],[Class]]="B", WORKDAY(Main[[#This Row],[Tech Start Date]],19),IF(Main[[#This Row],[Class]]="A",WORKDAY(Main[[#This Row],[Tech Start Date]],9),""))))</f>
        <v/>
      </c>
      <c r="Q989" s="101"/>
      <c r="R989" s="101">
        <v>40875</v>
      </c>
      <c r="S989" s="99" t="s">
        <v>17</v>
      </c>
      <c r="T989" s="107" t="s">
        <v>4</v>
      </c>
      <c r="U989" s="99" t="s">
        <v>29</v>
      </c>
      <c r="V989" s="99" t="s">
        <v>1965</v>
      </c>
      <c r="W989" s="99" t="s">
        <v>1967</v>
      </c>
    </row>
    <row r="990" spans="1:23" ht="18.600000000000001" customHeight="1">
      <c r="A990" s="123" t="str">
        <f>IF(priority(Main[[#This Row],[Comments]])&lt;&gt;0, priority(Main[[#This Row],[Comments]]),"")</f>
        <v/>
      </c>
      <c r="B990" s="127" t="s">
        <v>2269</v>
      </c>
      <c r="C990" s="99" t="s">
        <v>4</v>
      </c>
      <c r="D990" s="100" t="s">
        <v>2270</v>
      </c>
      <c r="E990" s="101">
        <v>40784.953148148146</v>
      </c>
      <c r="F990" s="101"/>
      <c r="G990" s="102" t="str">
        <f>IF(stdProdLT(Main[[#This Row],[Comments]])=0.1,"N/A",IF(stdProdLT(Main[[#This Row],[Comments]])=0,"",stdProdLT(Main[[#This Row],[Comments]])))</f>
        <v/>
      </c>
      <c r="H990" s="103" t="str">
        <f>IF(AND(Main[[#This Row],[In Stock Date]]&lt;&gt;"",Main[[#This Row],[Revised Due Date]]&lt;&gt;""),Main[[#This Row],[In Stock Date]]-Main[[#This Row],[Revised Due Date]],"")</f>
        <v/>
      </c>
      <c r="I990" s="99" t="s">
        <v>495</v>
      </c>
      <c r="J990" s="99" t="s">
        <v>70</v>
      </c>
      <c r="K990" s="99" t="s">
        <v>1971</v>
      </c>
      <c r="L990" s="101"/>
      <c r="M990" s="104" t="str">
        <f>IF(Main[[#This Row],[Tech Start Date]]&lt;1/1/1990,"",IF(Main[[#This Row],[Class]]="C",WORKDAY(Main[[#This Row],[Tech Start Date]],9),IF(Main[[#This Row],[Class]]="B", WORKDAY(Main[[#This Row],[Tech Start Date]],6),IF(Main[[#This Row],[Class]]="A",WORKDAY(Main[[#This Row],[Tech Start Date]],2),""))))</f>
        <v/>
      </c>
      <c r="N990" s="104" t="str">
        <f>IF(Main[[#This Row],[Tech Start Date]]&lt;1/1/1990,"",IF(Main[[#This Row],[Class]]="C",WORKDAY(Main[[#This Row],[Tech Start Date]],19),IF(Main[[#This Row],[Class]]="B", WORKDAY(Main[[#This Row],[Tech Start Date]],12),IF(Main[[#This Row],[Class]]="A",WORKDAY(Main[[#This Row],[Tech Start Date]],4),""))))</f>
        <v/>
      </c>
      <c r="O990" s="104" t="str">
        <f>IF(Main[[#This Row],[Tech Start Date]]&lt;1/1/1990,"",IF(Main[[#This Row],[Class]]="C",WORKDAY(Main[[#This Row],[Tech Start Date]],23),IF(Main[[#This Row],[Class]]="B", WORKDAY(Main[[#This Row],[Tech Start Date]],15),IF(Main[[#This Row],[Class]]="A",WORKDAY(Main[[#This Row],[Tech Start Date]],5),""))))</f>
        <v/>
      </c>
      <c r="P990" s="104" t="str">
        <f>IF(Main[[#This Row],[Tech Start Date]]&lt;1/1/1990,"",IF(Main[[#This Row],[Class]]="C",WORKDAY(Main[[#This Row],[Tech Start Date]],28),IF(Main[[#This Row],[Class]]="B", WORKDAY(Main[[#This Row],[Tech Start Date]],19),IF(Main[[#This Row],[Class]]="A",WORKDAY(Main[[#This Row],[Tech Start Date]],9),""))))</f>
        <v/>
      </c>
      <c r="Q990" s="101">
        <v>40847</v>
      </c>
      <c r="R990" s="101"/>
      <c r="S990" s="99" t="s">
        <v>6</v>
      </c>
      <c r="T990" s="107" t="s">
        <v>4</v>
      </c>
      <c r="U990" s="99" t="s">
        <v>29</v>
      </c>
      <c r="V990" s="99" t="s">
        <v>1965</v>
      </c>
      <c r="W990" s="99" t="s">
        <v>1966</v>
      </c>
    </row>
    <row r="991" spans="1:23" ht="18.600000000000001" customHeight="1">
      <c r="A991" s="123" t="str">
        <f>IF(priority(Main[[#This Row],[Comments]])&lt;&gt;0, priority(Main[[#This Row],[Comments]]),"")</f>
        <v/>
      </c>
      <c r="B991" s="127" t="s">
        <v>2033</v>
      </c>
      <c r="C991" s="99" t="s">
        <v>4</v>
      </c>
      <c r="D991" s="100" t="s">
        <v>2069</v>
      </c>
      <c r="E991" s="101">
        <v>40737.35056712963</v>
      </c>
      <c r="F991" s="101"/>
      <c r="G991" s="102" t="str">
        <f>IF(stdProdLT(Main[[#This Row],[Comments]])=0.1,"N/A",IF(stdProdLT(Main[[#This Row],[Comments]])=0,"",stdProdLT(Main[[#This Row],[Comments]])))</f>
        <v/>
      </c>
      <c r="H991" s="103" t="str">
        <f>IF(AND(Main[[#This Row],[In Stock Date]]&lt;&gt;"",Main[[#This Row],[Revised Due Date]]&lt;&gt;""),Main[[#This Row],[In Stock Date]]-Main[[#This Row],[Revised Due Date]],"")</f>
        <v/>
      </c>
      <c r="I991" s="99" t="s">
        <v>2066</v>
      </c>
      <c r="J991" s="99" t="s">
        <v>28</v>
      </c>
      <c r="K991" s="99" t="s">
        <v>4</v>
      </c>
      <c r="L991" s="101"/>
      <c r="M991" s="104" t="str">
        <f>IF(Main[[#This Row],[Tech Start Date]]&lt;1/1/1990,"",IF(Main[[#This Row],[Class]]="C",WORKDAY(Main[[#This Row],[Tech Start Date]],9),IF(Main[[#This Row],[Class]]="B", WORKDAY(Main[[#This Row],[Tech Start Date]],6),IF(Main[[#This Row],[Class]]="A",WORKDAY(Main[[#This Row],[Tech Start Date]],2),""))))</f>
        <v/>
      </c>
      <c r="N991" s="104" t="str">
        <f>IF(Main[[#This Row],[Tech Start Date]]&lt;1/1/1990,"",IF(Main[[#This Row],[Class]]="C",WORKDAY(Main[[#This Row],[Tech Start Date]],19),IF(Main[[#This Row],[Class]]="B", WORKDAY(Main[[#This Row],[Tech Start Date]],12),IF(Main[[#This Row],[Class]]="A",WORKDAY(Main[[#This Row],[Tech Start Date]],4),""))))</f>
        <v/>
      </c>
      <c r="O991" s="104" t="str">
        <f>IF(Main[[#This Row],[Tech Start Date]]&lt;1/1/1990,"",IF(Main[[#This Row],[Class]]="C",WORKDAY(Main[[#This Row],[Tech Start Date]],23),IF(Main[[#This Row],[Class]]="B", WORKDAY(Main[[#This Row],[Tech Start Date]],15),IF(Main[[#This Row],[Class]]="A",WORKDAY(Main[[#This Row],[Tech Start Date]],5),""))))</f>
        <v/>
      </c>
      <c r="P991" s="104" t="str">
        <f>IF(Main[[#This Row],[Tech Start Date]]&lt;1/1/1990,"",IF(Main[[#This Row],[Class]]="C",WORKDAY(Main[[#This Row],[Tech Start Date]],28),IF(Main[[#This Row],[Class]]="B", WORKDAY(Main[[#This Row],[Tech Start Date]],19),IF(Main[[#This Row],[Class]]="A",WORKDAY(Main[[#This Row],[Tech Start Date]],9),""))))</f>
        <v/>
      </c>
      <c r="Q991" s="101"/>
      <c r="R991" s="101"/>
      <c r="S991" s="99" t="s">
        <v>17</v>
      </c>
      <c r="T991" s="107" t="s">
        <v>4</v>
      </c>
      <c r="U991" s="99" t="s">
        <v>7</v>
      </c>
      <c r="V991" s="99" t="s">
        <v>1977</v>
      </c>
      <c r="W991" s="99" t="s">
        <v>1966</v>
      </c>
    </row>
    <row r="992" spans="1:23" ht="18.600000000000001" customHeight="1">
      <c r="A992" s="123" t="str">
        <f>IF(priority(Main[[#This Row],[Comments]])&lt;&gt;0, priority(Main[[#This Row],[Comments]]),"")</f>
        <v/>
      </c>
      <c r="B992" s="127" t="s">
        <v>1110</v>
      </c>
      <c r="C992" s="99" t="s">
        <v>4</v>
      </c>
      <c r="D992" s="100" t="s">
        <v>2230</v>
      </c>
      <c r="E992" s="101">
        <v>40696.780057870368</v>
      </c>
      <c r="F992" s="101"/>
      <c r="G992" s="102" t="str">
        <f>IF(stdProdLT(Main[[#This Row],[Comments]])=0.1,"N/A",IF(stdProdLT(Main[[#This Row],[Comments]])=0,"",stdProdLT(Main[[#This Row],[Comments]])))</f>
        <v/>
      </c>
      <c r="H992" s="103" t="str">
        <f>IF(AND(Main[[#This Row],[In Stock Date]]&lt;&gt;"",Main[[#This Row],[Revised Due Date]]&lt;&gt;""),Main[[#This Row],[In Stock Date]]-Main[[#This Row],[Revised Due Date]],"")</f>
        <v/>
      </c>
      <c r="I992" s="99" t="s">
        <v>495</v>
      </c>
      <c r="J992" s="99" t="s">
        <v>52</v>
      </c>
      <c r="K992" s="99" t="s">
        <v>1971</v>
      </c>
      <c r="L992" s="101"/>
      <c r="M992" s="104" t="str">
        <f>IF(Main[[#This Row],[Tech Start Date]]&lt;1/1/1990,"",IF(Main[[#This Row],[Class]]="C",WORKDAY(Main[[#This Row],[Tech Start Date]],9),IF(Main[[#This Row],[Class]]="B", WORKDAY(Main[[#This Row],[Tech Start Date]],6),IF(Main[[#This Row],[Class]]="A",WORKDAY(Main[[#This Row],[Tech Start Date]],2),""))))</f>
        <v/>
      </c>
      <c r="N992" s="104" t="str">
        <f>IF(Main[[#This Row],[Tech Start Date]]&lt;1/1/1990,"",IF(Main[[#This Row],[Class]]="C",WORKDAY(Main[[#This Row],[Tech Start Date]],19),IF(Main[[#This Row],[Class]]="B", WORKDAY(Main[[#This Row],[Tech Start Date]],12),IF(Main[[#This Row],[Class]]="A",WORKDAY(Main[[#This Row],[Tech Start Date]],4),""))))</f>
        <v/>
      </c>
      <c r="O992" s="104" t="str">
        <f>IF(Main[[#This Row],[Tech Start Date]]&lt;1/1/1990,"",IF(Main[[#This Row],[Class]]="C",WORKDAY(Main[[#This Row],[Tech Start Date]],23),IF(Main[[#This Row],[Class]]="B", WORKDAY(Main[[#This Row],[Tech Start Date]],15),IF(Main[[#This Row],[Class]]="A",WORKDAY(Main[[#This Row],[Tech Start Date]],5),""))))</f>
        <v/>
      </c>
      <c r="P992" s="104" t="str">
        <f>IF(Main[[#This Row],[Tech Start Date]]&lt;1/1/1990,"",IF(Main[[#This Row],[Class]]="C",WORKDAY(Main[[#This Row],[Tech Start Date]],28),IF(Main[[#This Row],[Class]]="B", WORKDAY(Main[[#This Row],[Tech Start Date]],19),IF(Main[[#This Row],[Class]]="A",WORKDAY(Main[[#This Row],[Tech Start Date]],9),""))))</f>
        <v/>
      </c>
      <c r="Q992" s="101">
        <v>40753</v>
      </c>
      <c r="R992" s="101"/>
      <c r="S992" s="99" t="s">
        <v>6</v>
      </c>
      <c r="T992" s="107" t="s">
        <v>4</v>
      </c>
      <c r="U992" s="99" t="s">
        <v>29</v>
      </c>
      <c r="V992" s="99" t="s">
        <v>1972</v>
      </c>
      <c r="W992" s="99" t="s">
        <v>1966</v>
      </c>
    </row>
    <row r="993" spans="1:23" ht="18.600000000000001" customHeight="1">
      <c r="A993" s="123" t="str">
        <f>IF(priority(Main[[#This Row],[Comments]])&lt;&gt;0, priority(Main[[#This Row],[Comments]]),"")</f>
        <v/>
      </c>
      <c r="B993" s="127" t="s">
        <v>1854</v>
      </c>
      <c r="C993" s="99" t="s">
        <v>67</v>
      </c>
      <c r="D993" s="100" t="s">
        <v>877</v>
      </c>
      <c r="E993" s="101">
        <v>39981.506990740738</v>
      </c>
      <c r="F993" s="101"/>
      <c r="G993" s="102" t="str">
        <f>IF(stdProdLT(Main[[#This Row],[Comments]])=0.1,"N/A",IF(stdProdLT(Main[[#This Row],[Comments]])=0,"",stdProdLT(Main[[#This Row],[Comments]])))</f>
        <v/>
      </c>
      <c r="H993" s="103" t="str">
        <f>IF(AND(Main[[#This Row],[In Stock Date]]&lt;&gt;"",Main[[#This Row],[Revised Due Date]]&lt;&gt;""),Main[[#This Row],[In Stock Date]]-Main[[#This Row],[Revised Due Date]],"")</f>
        <v/>
      </c>
      <c r="I993" s="99" t="s">
        <v>868</v>
      </c>
      <c r="J993" s="99" t="s">
        <v>4</v>
      </c>
      <c r="K993" s="99" t="s">
        <v>1975</v>
      </c>
      <c r="L993" s="101"/>
      <c r="M993" s="104" t="str">
        <f>IF(Main[[#This Row],[Tech Start Date]]&lt;1/1/1990,"",IF(Main[[#This Row],[Class]]="C",WORKDAY(Main[[#This Row],[Tech Start Date]],9),IF(Main[[#This Row],[Class]]="B", WORKDAY(Main[[#This Row],[Tech Start Date]],6),IF(Main[[#This Row],[Class]]="A",WORKDAY(Main[[#This Row],[Tech Start Date]],2),""))))</f>
        <v/>
      </c>
      <c r="N993" s="104" t="str">
        <f>IF(Main[[#This Row],[Tech Start Date]]&lt;1/1/1990,"",IF(Main[[#This Row],[Class]]="C",WORKDAY(Main[[#This Row],[Tech Start Date]],19),IF(Main[[#This Row],[Class]]="B", WORKDAY(Main[[#This Row],[Tech Start Date]],12),IF(Main[[#This Row],[Class]]="A",WORKDAY(Main[[#This Row],[Tech Start Date]],4),""))))</f>
        <v/>
      </c>
      <c r="O993" s="104" t="str">
        <f>IF(Main[[#This Row],[Tech Start Date]]&lt;1/1/1990,"",IF(Main[[#This Row],[Class]]="C",WORKDAY(Main[[#This Row],[Tech Start Date]],23),IF(Main[[#This Row],[Class]]="B", WORKDAY(Main[[#This Row],[Tech Start Date]],15),IF(Main[[#This Row],[Class]]="A",WORKDAY(Main[[#This Row],[Tech Start Date]],5),""))))</f>
        <v/>
      </c>
      <c r="P993" s="104" t="str">
        <f>IF(Main[[#This Row],[Tech Start Date]]&lt;1/1/1990,"",IF(Main[[#This Row],[Class]]="C",WORKDAY(Main[[#This Row],[Tech Start Date]],28),IF(Main[[#This Row],[Class]]="B", WORKDAY(Main[[#This Row],[Tech Start Date]],19),IF(Main[[#This Row],[Class]]="A",WORKDAY(Main[[#This Row],[Tech Start Date]],9),""))))</f>
        <v/>
      </c>
      <c r="Q993" s="101">
        <v>40142</v>
      </c>
      <c r="R993" s="101">
        <v>40259</v>
      </c>
      <c r="S993" s="99" t="s">
        <v>17</v>
      </c>
      <c r="T993" s="107" t="s">
        <v>4</v>
      </c>
      <c r="U993" s="99" t="s">
        <v>29</v>
      </c>
      <c r="V993" s="99" t="s">
        <v>1972</v>
      </c>
      <c r="W993" s="99" t="s">
        <v>1967</v>
      </c>
    </row>
    <row r="994" spans="1:23" ht="18.600000000000001" customHeight="1">
      <c r="A994" s="123" t="str">
        <f>IF(priority(Main[[#This Row],[Comments]])&lt;&gt;0, priority(Main[[#This Row],[Comments]]),"")</f>
        <v/>
      </c>
      <c r="B994" s="127" t="s">
        <v>2327</v>
      </c>
      <c r="C994" s="99" t="s">
        <v>4</v>
      </c>
      <c r="D994" s="100" t="s">
        <v>2328</v>
      </c>
      <c r="E994" s="101">
        <v>40806.34847222222</v>
      </c>
      <c r="F994" s="101"/>
      <c r="G994" s="102" t="str">
        <f>IF(stdProdLT(Main[[#This Row],[Comments]])=0.1,"N/A",IF(stdProdLT(Main[[#This Row],[Comments]])=0,"",stdProdLT(Main[[#This Row],[Comments]])))</f>
        <v/>
      </c>
      <c r="H994" s="103" t="str">
        <f>IF(AND(Main[[#This Row],[In Stock Date]]&lt;&gt;"",Main[[#This Row],[Revised Due Date]]&lt;&gt;""),Main[[#This Row],[In Stock Date]]-Main[[#This Row],[Revised Due Date]],"")</f>
        <v/>
      </c>
      <c r="I994" s="99" t="s">
        <v>4</v>
      </c>
      <c r="J994" s="99" t="s">
        <v>4</v>
      </c>
      <c r="K994" s="99" t="s">
        <v>4</v>
      </c>
      <c r="L994" s="101"/>
      <c r="M994" s="104" t="str">
        <f>IF(Main[[#This Row],[Tech Start Date]]&lt;1/1/1990,"",IF(Main[[#This Row],[Class]]="C",WORKDAY(Main[[#This Row],[Tech Start Date]],9),IF(Main[[#This Row],[Class]]="B", WORKDAY(Main[[#This Row],[Tech Start Date]],6),IF(Main[[#This Row],[Class]]="A",WORKDAY(Main[[#This Row],[Tech Start Date]],2),""))))</f>
        <v/>
      </c>
      <c r="N994" s="104" t="str">
        <f>IF(Main[[#This Row],[Tech Start Date]]&lt;1/1/1990,"",IF(Main[[#This Row],[Class]]="C",WORKDAY(Main[[#This Row],[Tech Start Date]],19),IF(Main[[#This Row],[Class]]="B", WORKDAY(Main[[#This Row],[Tech Start Date]],12),IF(Main[[#This Row],[Class]]="A",WORKDAY(Main[[#This Row],[Tech Start Date]],4),""))))</f>
        <v/>
      </c>
      <c r="O994" s="104" t="str">
        <f>IF(Main[[#This Row],[Tech Start Date]]&lt;1/1/1990,"",IF(Main[[#This Row],[Class]]="C",WORKDAY(Main[[#This Row],[Tech Start Date]],23),IF(Main[[#This Row],[Class]]="B", WORKDAY(Main[[#This Row],[Tech Start Date]],15),IF(Main[[#This Row],[Class]]="A",WORKDAY(Main[[#This Row],[Tech Start Date]],5),""))))</f>
        <v/>
      </c>
      <c r="P994" s="104" t="str">
        <f>IF(Main[[#This Row],[Tech Start Date]]&lt;1/1/1990,"",IF(Main[[#This Row],[Class]]="C",WORKDAY(Main[[#This Row],[Tech Start Date]],28),IF(Main[[#This Row],[Class]]="B", WORKDAY(Main[[#This Row],[Tech Start Date]],19),IF(Main[[#This Row],[Class]]="A",WORKDAY(Main[[#This Row],[Tech Start Date]],9),""))))</f>
        <v/>
      </c>
      <c r="Q994" s="101">
        <v>40820</v>
      </c>
      <c r="R994" s="101"/>
      <c r="S994" s="99" t="s">
        <v>6</v>
      </c>
      <c r="T994" s="107" t="s">
        <v>4</v>
      </c>
      <c r="U994" s="99" t="s">
        <v>7</v>
      </c>
      <c r="V994" s="99" t="s">
        <v>1962</v>
      </c>
      <c r="W994" s="99" t="s">
        <v>4</v>
      </c>
    </row>
    <row r="995" spans="1:23" ht="18.600000000000001" customHeight="1">
      <c r="A995" s="123" t="str">
        <f>IF(priority(Main[[#This Row],[Comments]])&lt;&gt;0, priority(Main[[#This Row],[Comments]]),"")</f>
        <v/>
      </c>
      <c r="B995" s="127" t="s">
        <v>2184</v>
      </c>
      <c r="C995" s="99" t="s">
        <v>4</v>
      </c>
      <c r="D995" s="100" t="s">
        <v>2185</v>
      </c>
      <c r="E995" s="101">
        <v>40764.689583333333</v>
      </c>
      <c r="F995" s="101"/>
      <c r="G995" s="102" t="str">
        <f>IF(stdProdLT(Main[[#This Row],[Comments]])=0.1,"N/A",IF(stdProdLT(Main[[#This Row],[Comments]])=0,"",stdProdLT(Main[[#This Row],[Comments]])))</f>
        <v/>
      </c>
      <c r="H995" s="103" t="str">
        <f>IF(AND(Main[[#This Row],[In Stock Date]]&lt;&gt;"",Main[[#This Row],[Revised Due Date]]&lt;&gt;""),Main[[#This Row],[In Stock Date]]-Main[[#This Row],[Revised Due Date]],"")</f>
        <v/>
      </c>
      <c r="I995" s="99" t="s">
        <v>893</v>
      </c>
      <c r="J995" s="99" t="s">
        <v>4</v>
      </c>
      <c r="K995" s="99" t="s">
        <v>4</v>
      </c>
      <c r="L995" s="101"/>
      <c r="M995" s="104" t="str">
        <f>IF(Main[[#This Row],[Tech Start Date]]&lt;1/1/1990,"",IF(Main[[#This Row],[Class]]="C",WORKDAY(Main[[#This Row],[Tech Start Date]],9),IF(Main[[#This Row],[Class]]="B", WORKDAY(Main[[#This Row],[Tech Start Date]],6),IF(Main[[#This Row],[Class]]="A",WORKDAY(Main[[#This Row],[Tech Start Date]],2),""))))</f>
        <v/>
      </c>
      <c r="N995" s="104" t="str">
        <f>IF(Main[[#This Row],[Tech Start Date]]&lt;1/1/1990,"",IF(Main[[#This Row],[Class]]="C",WORKDAY(Main[[#This Row],[Tech Start Date]],19),IF(Main[[#This Row],[Class]]="B", WORKDAY(Main[[#This Row],[Tech Start Date]],12),IF(Main[[#This Row],[Class]]="A",WORKDAY(Main[[#This Row],[Tech Start Date]],4),""))))</f>
        <v/>
      </c>
      <c r="O995" s="104" t="str">
        <f>IF(Main[[#This Row],[Tech Start Date]]&lt;1/1/1990,"",IF(Main[[#This Row],[Class]]="C",WORKDAY(Main[[#This Row],[Tech Start Date]],23),IF(Main[[#This Row],[Class]]="B", WORKDAY(Main[[#This Row],[Tech Start Date]],15),IF(Main[[#This Row],[Class]]="A",WORKDAY(Main[[#This Row],[Tech Start Date]],5),""))))</f>
        <v/>
      </c>
      <c r="P995" s="104" t="str">
        <f>IF(Main[[#This Row],[Tech Start Date]]&lt;1/1/1990,"",IF(Main[[#This Row],[Class]]="C",WORKDAY(Main[[#This Row],[Tech Start Date]],28),IF(Main[[#This Row],[Class]]="B", WORKDAY(Main[[#This Row],[Tech Start Date]],19),IF(Main[[#This Row],[Class]]="A",WORKDAY(Main[[#This Row],[Tech Start Date]],9),""))))</f>
        <v/>
      </c>
      <c r="Q995" s="101"/>
      <c r="R995" s="101"/>
      <c r="S995" s="99" t="s">
        <v>6</v>
      </c>
      <c r="T995" s="107" t="s">
        <v>4</v>
      </c>
      <c r="U995" s="99" t="s">
        <v>7</v>
      </c>
      <c r="V995" s="99" t="s">
        <v>1962</v>
      </c>
      <c r="W995" s="99" t="s">
        <v>1964</v>
      </c>
    </row>
    <row r="996" spans="1:23" ht="18.600000000000001" customHeight="1">
      <c r="A996" s="123" t="str">
        <f>IF(priority(Main[[#This Row],[Comments]])&lt;&gt;0, priority(Main[[#This Row],[Comments]]),"")</f>
        <v/>
      </c>
      <c r="B996" s="127" t="s">
        <v>1108</v>
      </c>
      <c r="C996" s="99" t="s">
        <v>4</v>
      </c>
      <c r="D996" s="100" t="s">
        <v>2307</v>
      </c>
      <c r="E996" s="101">
        <v>40659.528229166666</v>
      </c>
      <c r="F996" s="101"/>
      <c r="G996" s="102" t="str">
        <f>IF(stdProdLT(Main[[#This Row],[Comments]])=0.1,"N/A",IF(stdProdLT(Main[[#This Row],[Comments]])=0,"",stdProdLT(Main[[#This Row],[Comments]])))</f>
        <v/>
      </c>
      <c r="H996" s="103" t="str">
        <f>IF(AND(Main[[#This Row],[In Stock Date]]&lt;&gt;"",Main[[#This Row],[Revised Due Date]]&lt;&gt;""),Main[[#This Row],[In Stock Date]]-Main[[#This Row],[Revised Due Date]],"")</f>
        <v/>
      </c>
      <c r="I996" s="99" t="s">
        <v>102</v>
      </c>
      <c r="J996" s="99" t="s">
        <v>51</v>
      </c>
      <c r="K996" s="99" t="s">
        <v>1971</v>
      </c>
      <c r="L996" s="101"/>
      <c r="M996" s="104" t="str">
        <f>IF(Main[[#This Row],[Tech Start Date]]&lt;1/1/1990,"",IF(Main[[#This Row],[Class]]="C",WORKDAY(Main[[#This Row],[Tech Start Date]],9),IF(Main[[#This Row],[Class]]="B", WORKDAY(Main[[#This Row],[Tech Start Date]],6),IF(Main[[#This Row],[Class]]="A",WORKDAY(Main[[#This Row],[Tech Start Date]],2),""))))</f>
        <v/>
      </c>
      <c r="N996" s="104" t="str">
        <f>IF(Main[[#This Row],[Tech Start Date]]&lt;1/1/1990,"",IF(Main[[#This Row],[Class]]="C",WORKDAY(Main[[#This Row],[Tech Start Date]],19),IF(Main[[#This Row],[Class]]="B", WORKDAY(Main[[#This Row],[Tech Start Date]],12),IF(Main[[#This Row],[Class]]="A",WORKDAY(Main[[#This Row],[Tech Start Date]],4),""))))</f>
        <v/>
      </c>
      <c r="O996" s="104" t="str">
        <f>IF(Main[[#This Row],[Tech Start Date]]&lt;1/1/1990,"",IF(Main[[#This Row],[Class]]="C",WORKDAY(Main[[#This Row],[Tech Start Date]],23),IF(Main[[#This Row],[Class]]="B", WORKDAY(Main[[#This Row],[Tech Start Date]],15),IF(Main[[#This Row],[Class]]="A",WORKDAY(Main[[#This Row],[Tech Start Date]],5),""))))</f>
        <v/>
      </c>
      <c r="P996" s="104" t="str">
        <f>IF(Main[[#This Row],[Tech Start Date]]&lt;1/1/1990,"",IF(Main[[#This Row],[Class]]="C",WORKDAY(Main[[#This Row],[Tech Start Date]],28),IF(Main[[#This Row],[Class]]="B", WORKDAY(Main[[#This Row],[Tech Start Date]],19),IF(Main[[#This Row],[Class]]="A",WORKDAY(Main[[#This Row],[Tech Start Date]],9),""))))</f>
        <v/>
      </c>
      <c r="Q996" s="101"/>
      <c r="R996" s="101"/>
      <c r="S996" s="99" t="s">
        <v>6</v>
      </c>
      <c r="T996" s="107" t="s">
        <v>4</v>
      </c>
      <c r="U996" s="99" t="s">
        <v>29</v>
      </c>
      <c r="V996" s="99" t="s">
        <v>1965</v>
      </c>
      <c r="W996" s="99" t="s">
        <v>1966</v>
      </c>
    </row>
    <row r="997" spans="1:23" ht="18.600000000000001" customHeight="1">
      <c r="A997" s="123" t="str">
        <f>IF(priority(Main[[#This Row],[Comments]])&lt;&gt;0, priority(Main[[#This Row],[Comments]]),"")</f>
        <v/>
      </c>
      <c r="B997" s="127" t="s">
        <v>2363</v>
      </c>
      <c r="C997" s="99" t="s">
        <v>4</v>
      </c>
      <c r="D997" s="100" t="s">
        <v>2541</v>
      </c>
      <c r="E997" s="101">
        <v>40814.079965277779</v>
      </c>
      <c r="F997" s="101"/>
      <c r="G997" s="102" t="str">
        <f>IF(stdProdLT(Main[[#This Row],[Comments]])=0.1,"N/A",IF(stdProdLT(Main[[#This Row],[Comments]])=0,"",stdProdLT(Main[[#This Row],[Comments]])))</f>
        <v/>
      </c>
      <c r="H997" s="103" t="str">
        <f>IF(AND(Main[[#This Row],[In Stock Date]]&lt;&gt;"",Main[[#This Row],[Revised Due Date]]&lt;&gt;""),Main[[#This Row],[In Stock Date]]-Main[[#This Row],[Revised Due Date]],"")</f>
        <v/>
      </c>
      <c r="I997" s="99" t="s">
        <v>2110</v>
      </c>
      <c r="J997" s="99" t="s">
        <v>28</v>
      </c>
      <c r="K997" s="99" t="s">
        <v>1971</v>
      </c>
      <c r="L997" s="101"/>
      <c r="M997" s="104" t="str">
        <f>IF(Main[[#This Row],[Tech Start Date]]&lt;1/1/1990,"",IF(Main[[#This Row],[Class]]="C",WORKDAY(Main[[#This Row],[Tech Start Date]],9),IF(Main[[#This Row],[Class]]="B", WORKDAY(Main[[#This Row],[Tech Start Date]],6),IF(Main[[#This Row],[Class]]="A",WORKDAY(Main[[#This Row],[Tech Start Date]],2),""))))</f>
        <v/>
      </c>
      <c r="N997" s="104" t="str">
        <f>IF(Main[[#This Row],[Tech Start Date]]&lt;1/1/1990,"",IF(Main[[#This Row],[Class]]="C",WORKDAY(Main[[#This Row],[Tech Start Date]],19),IF(Main[[#This Row],[Class]]="B", WORKDAY(Main[[#This Row],[Tech Start Date]],12),IF(Main[[#This Row],[Class]]="A",WORKDAY(Main[[#This Row],[Tech Start Date]],4),""))))</f>
        <v/>
      </c>
      <c r="O997" s="104" t="str">
        <f>IF(Main[[#This Row],[Tech Start Date]]&lt;1/1/1990,"",IF(Main[[#This Row],[Class]]="C",WORKDAY(Main[[#This Row],[Tech Start Date]],23),IF(Main[[#This Row],[Class]]="B", WORKDAY(Main[[#This Row],[Tech Start Date]],15),IF(Main[[#This Row],[Class]]="A",WORKDAY(Main[[#This Row],[Tech Start Date]],5),""))))</f>
        <v/>
      </c>
      <c r="P997" s="104" t="str">
        <f>IF(Main[[#This Row],[Tech Start Date]]&lt;1/1/1990,"",IF(Main[[#This Row],[Class]]="C",WORKDAY(Main[[#This Row],[Tech Start Date]],28),IF(Main[[#This Row],[Class]]="B", WORKDAY(Main[[#This Row],[Tech Start Date]],19),IF(Main[[#This Row],[Class]]="A",WORKDAY(Main[[#This Row],[Tech Start Date]],9),""))))</f>
        <v/>
      </c>
      <c r="Q997" s="101">
        <v>40877</v>
      </c>
      <c r="R997" s="101"/>
      <c r="S997" s="99" t="s">
        <v>6</v>
      </c>
      <c r="T997" s="107" t="s">
        <v>4</v>
      </c>
      <c r="U997" s="99" t="s">
        <v>29</v>
      </c>
      <c r="V997" s="99" t="s">
        <v>1965</v>
      </c>
      <c r="W997" s="99" t="s">
        <v>1966</v>
      </c>
    </row>
    <row r="998" spans="1:23" ht="18.600000000000001" customHeight="1">
      <c r="A998" s="123" t="str">
        <f>IF(priority(Main[[#This Row],[Comments]])&lt;&gt;0, priority(Main[[#This Row],[Comments]]),"")</f>
        <v/>
      </c>
      <c r="B998" s="127" t="s">
        <v>1910</v>
      </c>
      <c r="C998" s="99" t="s">
        <v>4</v>
      </c>
      <c r="D998" s="100" t="s">
        <v>941</v>
      </c>
      <c r="E998" s="101">
        <v>39968.4141087963</v>
      </c>
      <c r="F998" s="101">
        <v>40298</v>
      </c>
      <c r="G998" s="102" t="str">
        <f>IF(stdProdLT(Main[[#This Row],[Comments]])=0.1,"N/A",IF(stdProdLT(Main[[#This Row],[Comments]])=0,"",stdProdLT(Main[[#This Row],[Comments]])))</f>
        <v/>
      </c>
      <c r="H998" s="103">
        <f>IF(AND(Main[[#This Row],[In Stock Date]]&lt;&gt;"",Main[[#This Row],[Revised Due Date]]&lt;&gt;""),Main[[#This Row],[In Stock Date]]-Main[[#This Row],[Revised Due Date]],"")</f>
        <v>-697</v>
      </c>
      <c r="I998" s="99" t="s">
        <v>997</v>
      </c>
      <c r="J998" s="99" t="s">
        <v>4</v>
      </c>
      <c r="K998" s="108" t="s">
        <v>1974</v>
      </c>
      <c r="L998" s="101"/>
      <c r="M998" s="104" t="str">
        <f>IF(Main[[#This Row],[Tech Start Date]]&lt;1/1/1990,"",IF(Main[[#This Row],[Class]]="C",WORKDAY(Main[[#This Row],[Tech Start Date]],9),IF(Main[[#This Row],[Class]]="B", WORKDAY(Main[[#This Row],[Tech Start Date]],6),IF(Main[[#This Row],[Class]]="A",WORKDAY(Main[[#This Row],[Tech Start Date]],2),""))))</f>
        <v/>
      </c>
      <c r="N998" s="104" t="str">
        <f>IF(Main[[#This Row],[Tech Start Date]]&lt;1/1/1990,"",IF(Main[[#This Row],[Class]]="C",WORKDAY(Main[[#This Row],[Tech Start Date]],19),IF(Main[[#This Row],[Class]]="B", WORKDAY(Main[[#This Row],[Tech Start Date]],12),IF(Main[[#This Row],[Class]]="A",WORKDAY(Main[[#This Row],[Tech Start Date]],4),""))))</f>
        <v/>
      </c>
      <c r="O998" s="104" t="str">
        <f>IF(Main[[#This Row],[Tech Start Date]]&lt;1/1/1990,"",IF(Main[[#This Row],[Class]]="C",WORKDAY(Main[[#This Row],[Tech Start Date]],23),IF(Main[[#This Row],[Class]]="B", WORKDAY(Main[[#This Row],[Tech Start Date]],15),IF(Main[[#This Row],[Class]]="A",WORKDAY(Main[[#This Row],[Tech Start Date]],5),""))))</f>
        <v/>
      </c>
      <c r="P998" s="104" t="str">
        <f>IF(Main[[#This Row],[Tech Start Date]]&lt;1/1/1990,"",IF(Main[[#This Row],[Class]]="C",WORKDAY(Main[[#This Row],[Tech Start Date]],28),IF(Main[[#This Row],[Class]]="B", WORKDAY(Main[[#This Row],[Tech Start Date]],19),IF(Main[[#This Row],[Class]]="A",WORKDAY(Main[[#This Row],[Tech Start Date]],9),""))))</f>
        <v/>
      </c>
      <c r="Q998" s="101">
        <v>40165</v>
      </c>
      <c r="R998" s="101">
        <v>40995</v>
      </c>
      <c r="S998" s="99" t="s">
        <v>17</v>
      </c>
      <c r="T998" s="107" t="s">
        <v>4</v>
      </c>
      <c r="U998" s="99" t="s">
        <v>29</v>
      </c>
      <c r="V998" s="99" t="s">
        <v>1965</v>
      </c>
      <c r="W998" s="99" t="s">
        <v>1970</v>
      </c>
    </row>
    <row r="999" spans="1:23" ht="18.600000000000001" customHeight="1">
      <c r="A999" s="123" t="str">
        <f>IF(priority(Main[[#This Row],[Comments]])&lt;&gt;0, priority(Main[[#This Row],[Comments]]),"")</f>
        <v/>
      </c>
      <c r="B999" s="127" t="s">
        <v>2366</v>
      </c>
      <c r="C999" s="99" t="s">
        <v>4</v>
      </c>
      <c r="D999" s="100" t="s">
        <v>2534</v>
      </c>
      <c r="E999" s="101">
        <v>40814.080497685187</v>
      </c>
      <c r="F999" s="101"/>
      <c r="G999" s="102" t="str">
        <f>IF(stdProdLT(Main[[#This Row],[Comments]])=0.1,"N/A",IF(stdProdLT(Main[[#This Row],[Comments]])=0,"",stdProdLT(Main[[#This Row],[Comments]])))</f>
        <v/>
      </c>
      <c r="H999" s="103" t="str">
        <f>IF(AND(Main[[#This Row],[In Stock Date]]&lt;&gt;"",Main[[#This Row],[Revised Due Date]]&lt;&gt;""),Main[[#This Row],[In Stock Date]]-Main[[#This Row],[Revised Due Date]],"")</f>
        <v/>
      </c>
      <c r="I999" s="99" t="s">
        <v>2110</v>
      </c>
      <c r="J999" s="99" t="s">
        <v>28</v>
      </c>
      <c r="K999" s="99" t="s">
        <v>1971</v>
      </c>
      <c r="L999" s="101"/>
      <c r="M999" s="104" t="str">
        <f>IF(Main[[#This Row],[Tech Start Date]]&lt;1/1/1990,"",IF(Main[[#This Row],[Class]]="C",WORKDAY(Main[[#This Row],[Tech Start Date]],9),IF(Main[[#This Row],[Class]]="B", WORKDAY(Main[[#This Row],[Tech Start Date]],6),IF(Main[[#This Row],[Class]]="A",WORKDAY(Main[[#This Row],[Tech Start Date]],2),""))))</f>
        <v/>
      </c>
      <c r="N999" s="104" t="str">
        <f>IF(Main[[#This Row],[Tech Start Date]]&lt;1/1/1990,"",IF(Main[[#This Row],[Class]]="C",WORKDAY(Main[[#This Row],[Tech Start Date]],19),IF(Main[[#This Row],[Class]]="B", WORKDAY(Main[[#This Row],[Tech Start Date]],12),IF(Main[[#This Row],[Class]]="A",WORKDAY(Main[[#This Row],[Tech Start Date]],4),""))))</f>
        <v/>
      </c>
      <c r="O999" s="104" t="str">
        <f>IF(Main[[#This Row],[Tech Start Date]]&lt;1/1/1990,"",IF(Main[[#This Row],[Class]]="C",WORKDAY(Main[[#This Row],[Tech Start Date]],23),IF(Main[[#This Row],[Class]]="B", WORKDAY(Main[[#This Row],[Tech Start Date]],15),IF(Main[[#This Row],[Class]]="A",WORKDAY(Main[[#This Row],[Tech Start Date]],5),""))))</f>
        <v/>
      </c>
      <c r="P999" s="104" t="str">
        <f>IF(Main[[#This Row],[Tech Start Date]]&lt;1/1/1990,"",IF(Main[[#This Row],[Class]]="C",WORKDAY(Main[[#This Row],[Tech Start Date]],28),IF(Main[[#This Row],[Class]]="B", WORKDAY(Main[[#This Row],[Tech Start Date]],19),IF(Main[[#This Row],[Class]]="A",WORKDAY(Main[[#This Row],[Tech Start Date]],9),""))))</f>
        <v/>
      </c>
      <c r="Q999" s="101">
        <v>40905</v>
      </c>
      <c r="R999" s="101"/>
      <c r="S999" s="99" t="s">
        <v>6</v>
      </c>
      <c r="T999" s="107" t="s">
        <v>4</v>
      </c>
      <c r="U999" s="99" t="s">
        <v>29</v>
      </c>
      <c r="V999" s="99" t="s">
        <v>1965</v>
      </c>
      <c r="W999" s="99" t="s">
        <v>1966</v>
      </c>
    </row>
    <row r="1000" spans="1:23" ht="18.600000000000001" customHeight="1">
      <c r="A1000" s="123" t="str">
        <f>IF(priority(Main[[#This Row],[Comments]])&lt;&gt;0, priority(Main[[#This Row],[Comments]]),"")</f>
        <v/>
      </c>
      <c r="B1000" s="127" t="s">
        <v>1839</v>
      </c>
      <c r="C1000" s="99" t="s">
        <v>4</v>
      </c>
      <c r="D1000" s="100" t="s">
        <v>857</v>
      </c>
      <c r="E1000" s="101"/>
      <c r="F1000" s="101"/>
      <c r="G1000" s="102" t="str">
        <f>IF(stdProdLT(Main[[#This Row],[Comments]])=0.1,"N/A",IF(stdProdLT(Main[[#This Row],[Comments]])=0,"",stdProdLT(Main[[#This Row],[Comments]])))</f>
        <v/>
      </c>
      <c r="H1000" s="103" t="str">
        <f>IF(AND(Main[[#This Row],[In Stock Date]]&lt;&gt;"",Main[[#This Row],[Revised Due Date]]&lt;&gt;""),Main[[#This Row],[In Stock Date]]-Main[[#This Row],[Revised Due Date]],"")</f>
        <v/>
      </c>
      <c r="I1000" s="99" t="s">
        <v>50</v>
      </c>
      <c r="J1000" s="99" t="s">
        <v>28</v>
      </c>
      <c r="K1000" s="99" t="s">
        <v>1971</v>
      </c>
      <c r="L1000" s="101"/>
      <c r="M1000" s="104" t="str">
        <f>IF(Main[[#This Row],[Tech Start Date]]&lt;1/1/1990,"",IF(Main[[#This Row],[Class]]="C",WORKDAY(Main[[#This Row],[Tech Start Date]],9),IF(Main[[#This Row],[Class]]="B", WORKDAY(Main[[#This Row],[Tech Start Date]],6),IF(Main[[#This Row],[Class]]="A",WORKDAY(Main[[#This Row],[Tech Start Date]],2),""))))</f>
        <v/>
      </c>
      <c r="N1000" s="104" t="str">
        <f>IF(Main[[#This Row],[Tech Start Date]]&lt;1/1/1990,"",IF(Main[[#This Row],[Class]]="C",WORKDAY(Main[[#This Row],[Tech Start Date]],19),IF(Main[[#This Row],[Class]]="B", WORKDAY(Main[[#This Row],[Tech Start Date]],12),IF(Main[[#This Row],[Class]]="A",WORKDAY(Main[[#This Row],[Tech Start Date]],4),""))))</f>
        <v/>
      </c>
      <c r="O1000" s="104" t="str">
        <f>IF(Main[[#This Row],[Tech Start Date]]&lt;1/1/1990,"",IF(Main[[#This Row],[Class]]="C",WORKDAY(Main[[#This Row],[Tech Start Date]],23),IF(Main[[#This Row],[Class]]="B", WORKDAY(Main[[#This Row],[Tech Start Date]],15),IF(Main[[#This Row],[Class]]="A",WORKDAY(Main[[#This Row],[Tech Start Date]],5),""))))</f>
        <v/>
      </c>
      <c r="P1000" s="104" t="str">
        <f>IF(Main[[#This Row],[Tech Start Date]]&lt;1/1/1990,"",IF(Main[[#This Row],[Class]]="C",WORKDAY(Main[[#This Row],[Tech Start Date]],28),IF(Main[[#This Row],[Class]]="B", WORKDAY(Main[[#This Row],[Tech Start Date]],19),IF(Main[[#This Row],[Class]]="A",WORKDAY(Main[[#This Row],[Tech Start Date]],9),""))))</f>
        <v/>
      </c>
      <c r="Q1000" s="101"/>
      <c r="R1000" s="101"/>
      <c r="S1000" s="99" t="s">
        <v>6</v>
      </c>
      <c r="T1000" s="107" t="s">
        <v>4</v>
      </c>
      <c r="U1000" s="99" t="s">
        <v>14</v>
      </c>
      <c r="V1000" s="99" t="s">
        <v>1965</v>
      </c>
      <c r="W1000" s="99" t="s">
        <v>1966</v>
      </c>
    </row>
    <row r="1001" spans="1:23" ht="18.600000000000001" customHeight="1">
      <c r="A1001" s="123" t="str">
        <f>IF(priority(Main[[#This Row],[Comments]])&lt;&gt;0, priority(Main[[#This Row],[Comments]]),"")</f>
        <v/>
      </c>
      <c r="B1001" s="127" t="s">
        <v>1840</v>
      </c>
      <c r="C1001" s="99" t="s">
        <v>499</v>
      </c>
      <c r="D1001" s="100" t="s">
        <v>858</v>
      </c>
      <c r="E1001" s="101"/>
      <c r="F1001" s="101"/>
      <c r="G1001" s="102" t="str">
        <f>IF(stdProdLT(Main[[#This Row],[Comments]])=0.1,"N/A",IF(stdProdLT(Main[[#This Row],[Comments]])=0,"",stdProdLT(Main[[#This Row],[Comments]])))</f>
        <v/>
      </c>
      <c r="H1001" s="103" t="str">
        <f>IF(AND(Main[[#This Row],[In Stock Date]]&lt;&gt;"",Main[[#This Row],[Revised Due Date]]&lt;&gt;""),Main[[#This Row],[In Stock Date]]-Main[[#This Row],[Revised Due Date]],"")</f>
        <v/>
      </c>
      <c r="I1001" s="99" t="s">
        <v>4</v>
      </c>
      <c r="J1001" s="99" t="s">
        <v>4</v>
      </c>
      <c r="K1001" s="99" t="s">
        <v>4</v>
      </c>
      <c r="L1001" s="101"/>
      <c r="M1001" s="104" t="str">
        <f>IF(Main[[#This Row],[Tech Start Date]]&lt;1/1/1990,"",IF(Main[[#This Row],[Class]]="C",WORKDAY(Main[[#This Row],[Tech Start Date]],9),IF(Main[[#This Row],[Class]]="B", WORKDAY(Main[[#This Row],[Tech Start Date]],6),IF(Main[[#This Row],[Class]]="A",WORKDAY(Main[[#This Row],[Tech Start Date]],2),""))))</f>
        <v/>
      </c>
      <c r="N1001" s="104" t="str">
        <f>IF(Main[[#This Row],[Tech Start Date]]&lt;1/1/1990,"",IF(Main[[#This Row],[Class]]="C",WORKDAY(Main[[#This Row],[Tech Start Date]],19),IF(Main[[#This Row],[Class]]="B", WORKDAY(Main[[#This Row],[Tech Start Date]],12),IF(Main[[#This Row],[Class]]="A",WORKDAY(Main[[#This Row],[Tech Start Date]],4),""))))</f>
        <v/>
      </c>
      <c r="O1001" s="104" t="str">
        <f>IF(Main[[#This Row],[Tech Start Date]]&lt;1/1/1990,"",IF(Main[[#This Row],[Class]]="C",WORKDAY(Main[[#This Row],[Tech Start Date]],23),IF(Main[[#This Row],[Class]]="B", WORKDAY(Main[[#This Row],[Tech Start Date]],15),IF(Main[[#This Row],[Class]]="A",WORKDAY(Main[[#This Row],[Tech Start Date]],5),""))))</f>
        <v/>
      </c>
      <c r="P1001" s="104" t="str">
        <f>IF(Main[[#This Row],[Tech Start Date]]&lt;1/1/1990,"",IF(Main[[#This Row],[Class]]="C",WORKDAY(Main[[#This Row],[Tech Start Date]],28),IF(Main[[#This Row],[Class]]="B", WORKDAY(Main[[#This Row],[Tech Start Date]],19),IF(Main[[#This Row],[Class]]="A",WORKDAY(Main[[#This Row],[Tech Start Date]],9),""))))</f>
        <v/>
      </c>
      <c r="Q1001" s="101">
        <v>40239</v>
      </c>
      <c r="R1001" s="101"/>
      <c r="S1001" s="99" t="s">
        <v>11</v>
      </c>
      <c r="T1001" s="107" t="s">
        <v>4</v>
      </c>
      <c r="U1001" s="99" t="s">
        <v>14</v>
      </c>
      <c r="V1001" s="99" t="s">
        <v>1965</v>
      </c>
      <c r="W1001" s="99" t="s">
        <v>1964</v>
      </c>
    </row>
    <row r="1002" spans="1:23" ht="18.600000000000001" customHeight="1">
      <c r="A1002" s="123" t="str">
        <f>IF(priority(Main[[#This Row],[Comments]])&lt;&gt;0, priority(Main[[#This Row],[Comments]]),"")</f>
        <v/>
      </c>
      <c r="B1002" s="127" t="s">
        <v>1842</v>
      </c>
      <c r="C1002" s="99" t="s">
        <v>4</v>
      </c>
      <c r="D1002" s="100" t="s">
        <v>860</v>
      </c>
      <c r="E1002" s="101"/>
      <c r="F1002" s="101"/>
      <c r="G1002" s="102" t="str">
        <f>IF(stdProdLT(Main[[#This Row],[Comments]])=0.1,"N/A",IF(stdProdLT(Main[[#This Row],[Comments]])=0,"",stdProdLT(Main[[#This Row],[Comments]])))</f>
        <v/>
      </c>
      <c r="H1002" s="103" t="str">
        <f>IF(AND(Main[[#This Row],[In Stock Date]]&lt;&gt;"",Main[[#This Row],[Revised Due Date]]&lt;&gt;""),Main[[#This Row],[In Stock Date]]-Main[[#This Row],[Revised Due Date]],"")</f>
        <v/>
      </c>
      <c r="I1002" s="99" t="s">
        <v>4</v>
      </c>
      <c r="J1002" s="99" t="s">
        <v>4</v>
      </c>
      <c r="K1002" s="99" t="s">
        <v>4</v>
      </c>
      <c r="L1002" s="101"/>
      <c r="M1002" s="104" t="str">
        <f>IF(Main[[#This Row],[Tech Start Date]]&lt;1/1/1990,"",IF(Main[[#This Row],[Class]]="C",WORKDAY(Main[[#This Row],[Tech Start Date]],9),IF(Main[[#This Row],[Class]]="B", WORKDAY(Main[[#This Row],[Tech Start Date]],6),IF(Main[[#This Row],[Class]]="A",WORKDAY(Main[[#This Row],[Tech Start Date]],2),""))))</f>
        <v/>
      </c>
      <c r="N1002" s="104" t="str">
        <f>IF(Main[[#This Row],[Tech Start Date]]&lt;1/1/1990,"",IF(Main[[#This Row],[Class]]="C",WORKDAY(Main[[#This Row],[Tech Start Date]],19),IF(Main[[#This Row],[Class]]="B", WORKDAY(Main[[#This Row],[Tech Start Date]],12),IF(Main[[#This Row],[Class]]="A",WORKDAY(Main[[#This Row],[Tech Start Date]],4),""))))</f>
        <v/>
      </c>
      <c r="O1002" s="104" t="str">
        <f>IF(Main[[#This Row],[Tech Start Date]]&lt;1/1/1990,"",IF(Main[[#This Row],[Class]]="C",WORKDAY(Main[[#This Row],[Tech Start Date]],23),IF(Main[[#This Row],[Class]]="B", WORKDAY(Main[[#This Row],[Tech Start Date]],15),IF(Main[[#This Row],[Class]]="A",WORKDAY(Main[[#This Row],[Tech Start Date]],5),""))))</f>
        <v/>
      </c>
      <c r="P1002" s="104" t="str">
        <f>IF(Main[[#This Row],[Tech Start Date]]&lt;1/1/1990,"",IF(Main[[#This Row],[Class]]="C",WORKDAY(Main[[#This Row],[Tech Start Date]],28),IF(Main[[#This Row],[Class]]="B", WORKDAY(Main[[#This Row],[Tech Start Date]],19),IF(Main[[#This Row],[Class]]="A",WORKDAY(Main[[#This Row],[Tech Start Date]],9),""))))</f>
        <v/>
      </c>
      <c r="Q1002" s="101">
        <v>40349</v>
      </c>
      <c r="R1002" s="101"/>
      <c r="S1002" s="99" t="s">
        <v>6</v>
      </c>
      <c r="T1002" s="107" t="s">
        <v>4</v>
      </c>
      <c r="U1002" s="99" t="s">
        <v>14</v>
      </c>
      <c r="V1002" s="99" t="s">
        <v>1965</v>
      </c>
      <c r="W1002" s="99" t="s">
        <v>4</v>
      </c>
    </row>
    <row r="1003" spans="1:23" ht="18.600000000000001" customHeight="1">
      <c r="A1003" s="123" t="str">
        <f>IF(priority(Main[[#This Row],[Comments]])&lt;&gt;0, priority(Main[[#This Row],[Comments]]),"")</f>
        <v/>
      </c>
      <c r="B1003" s="127" t="s">
        <v>2267</v>
      </c>
      <c r="C1003" s="99" t="s">
        <v>4</v>
      </c>
      <c r="D1003" s="100" t="s">
        <v>2268</v>
      </c>
      <c r="E1003" s="101"/>
      <c r="F1003" s="101"/>
      <c r="G1003" s="102" t="str">
        <f>IF(stdProdLT(Main[[#This Row],[Comments]])=0.1,"N/A",IF(stdProdLT(Main[[#This Row],[Comments]])=0,"",stdProdLT(Main[[#This Row],[Comments]])))</f>
        <v/>
      </c>
      <c r="H1003" s="103" t="str">
        <f>IF(AND(Main[[#This Row],[In Stock Date]]&lt;&gt;"",Main[[#This Row],[Revised Due Date]]&lt;&gt;""),Main[[#This Row],[In Stock Date]]-Main[[#This Row],[Revised Due Date]],"")</f>
        <v/>
      </c>
      <c r="I1003" s="99" t="s">
        <v>4</v>
      </c>
      <c r="J1003" s="99" t="s">
        <v>4</v>
      </c>
      <c r="K1003" s="108" t="s">
        <v>4</v>
      </c>
      <c r="L1003" s="101"/>
      <c r="M1003" s="104" t="str">
        <f>IF(Main[[#This Row],[Tech Start Date]]&lt;1/1/1990,"",IF(Main[[#This Row],[Class]]="C",WORKDAY(Main[[#This Row],[Tech Start Date]],9),IF(Main[[#This Row],[Class]]="B", WORKDAY(Main[[#This Row],[Tech Start Date]],6),IF(Main[[#This Row],[Class]]="A",WORKDAY(Main[[#This Row],[Tech Start Date]],2),""))))</f>
        <v/>
      </c>
      <c r="N1003" s="104" t="str">
        <f>IF(Main[[#This Row],[Tech Start Date]]&lt;1/1/1990,"",IF(Main[[#This Row],[Class]]="C",WORKDAY(Main[[#This Row],[Tech Start Date]],19),IF(Main[[#This Row],[Class]]="B", WORKDAY(Main[[#This Row],[Tech Start Date]],12),IF(Main[[#This Row],[Class]]="A",WORKDAY(Main[[#This Row],[Tech Start Date]],4),""))))</f>
        <v/>
      </c>
      <c r="O1003" s="104" t="str">
        <f>IF(Main[[#This Row],[Tech Start Date]]&lt;1/1/1990,"",IF(Main[[#This Row],[Class]]="C",WORKDAY(Main[[#This Row],[Tech Start Date]],23),IF(Main[[#This Row],[Class]]="B", WORKDAY(Main[[#This Row],[Tech Start Date]],15),IF(Main[[#This Row],[Class]]="A",WORKDAY(Main[[#This Row],[Tech Start Date]],5),""))))</f>
        <v/>
      </c>
      <c r="P1003" s="104" t="str">
        <f>IF(Main[[#This Row],[Tech Start Date]]&lt;1/1/1990,"",IF(Main[[#This Row],[Class]]="C",WORKDAY(Main[[#This Row],[Tech Start Date]],28),IF(Main[[#This Row],[Class]]="B", WORKDAY(Main[[#This Row],[Tech Start Date]],19),IF(Main[[#This Row],[Class]]="A",WORKDAY(Main[[#This Row],[Tech Start Date]],9),""))))</f>
        <v/>
      </c>
      <c r="Q1003" s="101"/>
      <c r="R1003" s="101"/>
      <c r="S1003" s="99" t="s">
        <v>6</v>
      </c>
      <c r="T1003" s="107" t="s">
        <v>4</v>
      </c>
      <c r="U1003" s="99" t="s">
        <v>14</v>
      </c>
      <c r="V1003" s="99" t="s">
        <v>1963</v>
      </c>
      <c r="W1003" s="99" t="s">
        <v>4</v>
      </c>
    </row>
    <row r="1004" spans="1:23" ht="18.600000000000001" customHeight="1">
      <c r="A1004" s="123" t="str">
        <f>IF(priority(Main[[#This Row],[Comments]])&lt;&gt;0, priority(Main[[#This Row],[Comments]]),"")</f>
        <v/>
      </c>
      <c r="B1004" s="127" t="s">
        <v>1844</v>
      </c>
      <c r="C1004" s="99" t="s">
        <v>47</v>
      </c>
      <c r="D1004" s="100" t="s">
        <v>865</v>
      </c>
      <c r="E1004" s="101"/>
      <c r="F1004" s="101"/>
      <c r="G1004" s="102" t="str">
        <f>IF(stdProdLT(Main[[#This Row],[Comments]])=0.1,"N/A",IF(stdProdLT(Main[[#This Row],[Comments]])=0,"",stdProdLT(Main[[#This Row],[Comments]])))</f>
        <v/>
      </c>
      <c r="H1004" s="103" t="str">
        <f>IF(AND(Main[[#This Row],[In Stock Date]]&lt;&gt;"",Main[[#This Row],[Revised Due Date]]&lt;&gt;""),Main[[#This Row],[In Stock Date]]-Main[[#This Row],[Revised Due Date]],"")</f>
        <v/>
      </c>
      <c r="I1004" s="99" t="s">
        <v>4</v>
      </c>
      <c r="J1004" s="99" t="s">
        <v>4</v>
      </c>
      <c r="K1004" s="99" t="s">
        <v>4</v>
      </c>
      <c r="L1004" s="101"/>
      <c r="M1004" s="104" t="str">
        <f>IF(Main[[#This Row],[Tech Start Date]]&lt;1/1/1990,"",IF(Main[[#This Row],[Class]]="C",WORKDAY(Main[[#This Row],[Tech Start Date]],9),IF(Main[[#This Row],[Class]]="B", WORKDAY(Main[[#This Row],[Tech Start Date]],6),IF(Main[[#This Row],[Class]]="A",WORKDAY(Main[[#This Row],[Tech Start Date]],2),""))))</f>
        <v/>
      </c>
      <c r="N1004" s="104" t="str">
        <f>IF(Main[[#This Row],[Tech Start Date]]&lt;1/1/1990,"",IF(Main[[#This Row],[Class]]="C",WORKDAY(Main[[#This Row],[Tech Start Date]],19),IF(Main[[#This Row],[Class]]="B", WORKDAY(Main[[#This Row],[Tech Start Date]],12),IF(Main[[#This Row],[Class]]="A",WORKDAY(Main[[#This Row],[Tech Start Date]],4),""))))</f>
        <v/>
      </c>
      <c r="O1004" s="104" t="str">
        <f>IF(Main[[#This Row],[Tech Start Date]]&lt;1/1/1990,"",IF(Main[[#This Row],[Class]]="C",WORKDAY(Main[[#This Row],[Tech Start Date]],23),IF(Main[[#This Row],[Class]]="B", WORKDAY(Main[[#This Row],[Tech Start Date]],15),IF(Main[[#This Row],[Class]]="A",WORKDAY(Main[[#This Row],[Tech Start Date]],5),""))))</f>
        <v/>
      </c>
      <c r="P1004" s="104" t="str">
        <f>IF(Main[[#This Row],[Tech Start Date]]&lt;1/1/1990,"",IF(Main[[#This Row],[Class]]="C",WORKDAY(Main[[#This Row],[Tech Start Date]],28),IF(Main[[#This Row],[Class]]="B", WORKDAY(Main[[#This Row],[Tech Start Date]],19),IF(Main[[#This Row],[Class]]="A",WORKDAY(Main[[#This Row],[Tech Start Date]],9),""))))</f>
        <v/>
      </c>
      <c r="Q1004" s="101"/>
      <c r="R1004" s="101"/>
      <c r="S1004" s="99" t="s">
        <v>17</v>
      </c>
      <c r="T1004" s="107" t="s">
        <v>4</v>
      </c>
      <c r="U1004" s="99" t="s">
        <v>14</v>
      </c>
      <c r="V1004" s="99" t="s">
        <v>1965</v>
      </c>
      <c r="W1004" s="99" t="s">
        <v>1967</v>
      </c>
    </row>
    <row r="1005" spans="1:23" ht="18.600000000000001" customHeight="1">
      <c r="A1005" s="123" t="str">
        <f>IF(priority(Main[[#This Row],[Comments]])&lt;&gt;0, priority(Main[[#This Row],[Comments]]),"")</f>
        <v/>
      </c>
      <c r="B1005" s="127" t="s">
        <v>1770</v>
      </c>
      <c r="C1005" s="99" t="s">
        <v>4</v>
      </c>
      <c r="D1005" s="100" t="s">
        <v>798</v>
      </c>
      <c r="E1005" s="101">
        <v>40584.401712962965</v>
      </c>
      <c r="F1005" s="101">
        <v>40602</v>
      </c>
      <c r="G1005" s="102" t="str">
        <f>IF(stdProdLT(Main[[#This Row],[Comments]])=0.1,"N/A",IF(stdProdLT(Main[[#This Row],[Comments]])=0,"",stdProdLT(Main[[#This Row],[Comments]])))</f>
        <v/>
      </c>
      <c r="H1005" s="103" t="str">
        <f>IF(AND(Main[[#This Row],[In Stock Date]]&lt;&gt;"",Main[[#This Row],[Revised Due Date]]&lt;&gt;""),Main[[#This Row],[In Stock Date]]-Main[[#This Row],[Revised Due Date]],"")</f>
        <v/>
      </c>
      <c r="I1005" s="99" t="s">
        <v>4</v>
      </c>
      <c r="J1005" s="99" t="s">
        <v>28</v>
      </c>
      <c r="K1005" s="99" t="s">
        <v>1974</v>
      </c>
      <c r="L1005" s="101"/>
      <c r="M1005" s="104" t="str">
        <f>IF(Main[[#This Row],[Tech Start Date]]&lt;1/1/1990,"",IF(Main[[#This Row],[Class]]="C",WORKDAY(Main[[#This Row],[Tech Start Date]],9),IF(Main[[#This Row],[Class]]="B", WORKDAY(Main[[#This Row],[Tech Start Date]],6),IF(Main[[#This Row],[Class]]="A",WORKDAY(Main[[#This Row],[Tech Start Date]],2),""))))</f>
        <v/>
      </c>
      <c r="N1005" s="104" t="str">
        <f>IF(Main[[#This Row],[Tech Start Date]]&lt;1/1/1990,"",IF(Main[[#This Row],[Class]]="C",WORKDAY(Main[[#This Row],[Tech Start Date]],19),IF(Main[[#This Row],[Class]]="B", WORKDAY(Main[[#This Row],[Tech Start Date]],12),IF(Main[[#This Row],[Class]]="A",WORKDAY(Main[[#This Row],[Tech Start Date]],4),""))))</f>
        <v/>
      </c>
      <c r="O1005" s="104" t="str">
        <f>IF(Main[[#This Row],[Tech Start Date]]&lt;1/1/1990,"",IF(Main[[#This Row],[Class]]="C",WORKDAY(Main[[#This Row],[Tech Start Date]],23),IF(Main[[#This Row],[Class]]="B", WORKDAY(Main[[#This Row],[Tech Start Date]],15),IF(Main[[#This Row],[Class]]="A",WORKDAY(Main[[#This Row],[Tech Start Date]],5),""))))</f>
        <v/>
      </c>
      <c r="P1005" s="104" t="str">
        <f>IF(Main[[#This Row],[Tech Start Date]]&lt;1/1/1990,"",IF(Main[[#This Row],[Class]]="C",WORKDAY(Main[[#This Row],[Tech Start Date]],28),IF(Main[[#This Row],[Class]]="B", WORKDAY(Main[[#This Row],[Tech Start Date]],19),IF(Main[[#This Row],[Class]]="A",WORKDAY(Main[[#This Row],[Tech Start Date]],9),""))))</f>
        <v/>
      </c>
      <c r="Q1005" s="101">
        <v>40602</v>
      </c>
      <c r="R1005" s="101"/>
      <c r="S1005" s="99" t="s">
        <v>17</v>
      </c>
      <c r="T1005" s="107" t="s">
        <v>4</v>
      </c>
      <c r="U1005" s="99" t="s">
        <v>7</v>
      </c>
      <c r="V1005" s="99" t="s">
        <v>1962</v>
      </c>
      <c r="W1005" s="99" t="s">
        <v>1970</v>
      </c>
    </row>
    <row r="1006" spans="1:23" ht="18.600000000000001" customHeight="1">
      <c r="A1006" s="123" t="str">
        <f>IF(priority(Main[[#This Row],[Comments]])&lt;&gt;0, priority(Main[[#This Row],[Comments]]),"")</f>
        <v/>
      </c>
      <c r="B1006" s="127" t="s">
        <v>2146</v>
      </c>
      <c r="C1006" s="99" t="s">
        <v>4</v>
      </c>
      <c r="D1006" s="100" t="s">
        <v>2518</v>
      </c>
      <c r="E1006" s="101">
        <v>40764.689201388886</v>
      </c>
      <c r="F1006" s="101"/>
      <c r="G1006" s="102" t="str">
        <f>IF(stdProdLT(Main[[#This Row],[Comments]])=0.1,"N/A",IF(stdProdLT(Main[[#This Row],[Comments]])=0,"",stdProdLT(Main[[#This Row],[Comments]])))</f>
        <v/>
      </c>
      <c r="H1006" s="103" t="str">
        <f>IF(AND(Main[[#This Row],[In Stock Date]]&lt;&gt;"",Main[[#This Row],[Revised Due Date]]&lt;&gt;""),Main[[#This Row],[In Stock Date]]-Main[[#This Row],[Revised Due Date]],"")</f>
        <v/>
      </c>
      <c r="I1006" s="99" t="s">
        <v>4</v>
      </c>
      <c r="J1006" s="99" t="s">
        <v>4</v>
      </c>
      <c r="K1006" s="108" t="s">
        <v>4</v>
      </c>
      <c r="L1006" s="101"/>
      <c r="M1006" s="104" t="str">
        <f>IF(Main[[#This Row],[Tech Start Date]]&lt;1/1/1990,"",IF(Main[[#This Row],[Class]]="C",WORKDAY(Main[[#This Row],[Tech Start Date]],9),IF(Main[[#This Row],[Class]]="B", WORKDAY(Main[[#This Row],[Tech Start Date]],6),IF(Main[[#This Row],[Class]]="A",WORKDAY(Main[[#This Row],[Tech Start Date]],2),""))))</f>
        <v/>
      </c>
      <c r="N1006" s="104" t="str">
        <f>IF(Main[[#This Row],[Tech Start Date]]&lt;1/1/1990,"",IF(Main[[#This Row],[Class]]="C",WORKDAY(Main[[#This Row],[Tech Start Date]],19),IF(Main[[#This Row],[Class]]="B", WORKDAY(Main[[#This Row],[Tech Start Date]],12),IF(Main[[#This Row],[Class]]="A",WORKDAY(Main[[#This Row],[Tech Start Date]],4),""))))</f>
        <v/>
      </c>
      <c r="O1006" s="104" t="str">
        <f>IF(Main[[#This Row],[Tech Start Date]]&lt;1/1/1990,"",IF(Main[[#This Row],[Class]]="C",WORKDAY(Main[[#This Row],[Tech Start Date]],23),IF(Main[[#This Row],[Class]]="B", WORKDAY(Main[[#This Row],[Tech Start Date]],15),IF(Main[[#This Row],[Class]]="A",WORKDAY(Main[[#This Row],[Tech Start Date]],5),""))))</f>
        <v/>
      </c>
      <c r="P1006" s="104" t="str">
        <f>IF(Main[[#This Row],[Tech Start Date]]&lt;1/1/1990,"",IF(Main[[#This Row],[Class]]="C",WORKDAY(Main[[#This Row],[Tech Start Date]],28),IF(Main[[#This Row],[Class]]="B", WORKDAY(Main[[#This Row],[Tech Start Date]],19),IF(Main[[#This Row],[Class]]="A",WORKDAY(Main[[#This Row],[Tech Start Date]],9),""))))</f>
        <v/>
      </c>
      <c r="Q1006" s="101"/>
      <c r="R1006" s="101"/>
      <c r="S1006" s="99" t="s">
        <v>6</v>
      </c>
      <c r="T1006" s="107" t="s">
        <v>4</v>
      </c>
      <c r="U1006" s="99" t="s">
        <v>7</v>
      </c>
      <c r="V1006" s="99" t="s">
        <v>1963</v>
      </c>
      <c r="W1006" s="99" t="s">
        <v>1964</v>
      </c>
    </row>
    <row r="1007" spans="1:23" ht="18.600000000000001" customHeight="1">
      <c r="A1007" s="123" t="str">
        <f>IF(priority(Main[[#This Row],[Comments]])&lt;&gt;0, priority(Main[[#This Row],[Comments]]),"")</f>
        <v/>
      </c>
      <c r="B1007" s="127" t="s">
        <v>2575</v>
      </c>
      <c r="C1007" s="99" t="s">
        <v>4</v>
      </c>
      <c r="D1007" s="100" t="s">
        <v>2576</v>
      </c>
      <c r="E1007" s="101">
        <v>40849.410127314812</v>
      </c>
      <c r="F1007" s="101"/>
      <c r="G1007" s="102" t="str">
        <f>IF(stdProdLT(Main[[#This Row],[Comments]])=0.1,"N/A",IF(stdProdLT(Main[[#This Row],[Comments]])=0,"",stdProdLT(Main[[#This Row],[Comments]])))</f>
        <v/>
      </c>
      <c r="H1007" s="103" t="str">
        <f>IF(AND(Main[[#This Row],[In Stock Date]]&lt;&gt;"",Main[[#This Row],[Revised Due Date]]&lt;&gt;""),Main[[#This Row],[In Stock Date]]-Main[[#This Row],[Revised Due Date]],"")</f>
        <v/>
      </c>
      <c r="I1007" s="99" t="s">
        <v>2102</v>
      </c>
      <c r="J1007" s="99" t="s">
        <v>28</v>
      </c>
      <c r="K1007" s="99" t="s">
        <v>1971</v>
      </c>
      <c r="L1007" s="101"/>
      <c r="M1007" s="104" t="str">
        <f>IF(Main[[#This Row],[Tech Start Date]]&lt;1/1/1990,"",IF(Main[[#This Row],[Class]]="C",WORKDAY(Main[[#This Row],[Tech Start Date]],9),IF(Main[[#This Row],[Class]]="B", WORKDAY(Main[[#This Row],[Tech Start Date]],6),IF(Main[[#This Row],[Class]]="A",WORKDAY(Main[[#This Row],[Tech Start Date]],2),""))))</f>
        <v/>
      </c>
      <c r="N1007" s="104" t="str">
        <f>IF(Main[[#This Row],[Tech Start Date]]&lt;1/1/1990,"",IF(Main[[#This Row],[Class]]="C",WORKDAY(Main[[#This Row],[Tech Start Date]],19),IF(Main[[#This Row],[Class]]="B", WORKDAY(Main[[#This Row],[Tech Start Date]],12),IF(Main[[#This Row],[Class]]="A",WORKDAY(Main[[#This Row],[Tech Start Date]],4),""))))</f>
        <v/>
      </c>
      <c r="O1007" s="104" t="str">
        <f>IF(Main[[#This Row],[Tech Start Date]]&lt;1/1/1990,"",IF(Main[[#This Row],[Class]]="C",WORKDAY(Main[[#This Row],[Tech Start Date]],23),IF(Main[[#This Row],[Class]]="B", WORKDAY(Main[[#This Row],[Tech Start Date]],15),IF(Main[[#This Row],[Class]]="A",WORKDAY(Main[[#This Row],[Tech Start Date]],5),""))))</f>
        <v/>
      </c>
      <c r="P1007" s="104" t="str">
        <f>IF(Main[[#This Row],[Tech Start Date]]&lt;1/1/1990,"",IF(Main[[#This Row],[Class]]="C",WORKDAY(Main[[#This Row],[Tech Start Date]],28),IF(Main[[#This Row],[Class]]="B", WORKDAY(Main[[#This Row],[Tech Start Date]],19),IF(Main[[#This Row],[Class]]="A",WORKDAY(Main[[#This Row],[Tech Start Date]],9),""))))</f>
        <v/>
      </c>
      <c r="Q1007" s="101">
        <v>40886</v>
      </c>
      <c r="R1007" s="101"/>
      <c r="S1007" s="99" t="s">
        <v>6</v>
      </c>
      <c r="T1007" s="107" t="s">
        <v>4</v>
      </c>
      <c r="U1007" s="99" t="s">
        <v>29</v>
      </c>
      <c r="V1007" s="99" t="s">
        <v>1965</v>
      </c>
      <c r="W1007" s="99" t="s">
        <v>1966</v>
      </c>
    </row>
    <row r="1008" spans="1:23" ht="18.600000000000001" customHeight="1">
      <c r="A1008" s="123" t="str">
        <f>IF(priority(Main[[#This Row],[Comments]])&lt;&gt;0, priority(Main[[#This Row],[Comments]]),"")</f>
        <v/>
      </c>
      <c r="B1008" s="127" t="s">
        <v>1551</v>
      </c>
      <c r="C1008" s="99" t="s">
        <v>4</v>
      </c>
      <c r="D1008" s="100" t="s">
        <v>596</v>
      </c>
      <c r="E1008" s="101"/>
      <c r="F1008" s="101"/>
      <c r="G1008" s="102" t="str">
        <f>IF(stdProdLT(Main[[#This Row],[Comments]])=0.1,"N/A",IF(stdProdLT(Main[[#This Row],[Comments]])=0,"",stdProdLT(Main[[#This Row],[Comments]])))</f>
        <v/>
      </c>
      <c r="H1008" s="103" t="str">
        <f>IF(AND(Main[[#This Row],[In Stock Date]]&lt;&gt;"",Main[[#This Row],[Revised Due Date]]&lt;&gt;""),Main[[#This Row],[In Stock Date]]-Main[[#This Row],[Revised Due Date]],"")</f>
        <v/>
      </c>
      <c r="I1008" s="99" t="s">
        <v>311</v>
      </c>
      <c r="J1008" s="99" t="s">
        <v>28</v>
      </c>
      <c r="K1008" s="108" t="s">
        <v>4</v>
      </c>
      <c r="L1008" s="101"/>
      <c r="M1008" s="104" t="str">
        <f>IF(Main[[#This Row],[Tech Start Date]]&lt;1/1/1990,"",IF(Main[[#This Row],[Class]]="C",WORKDAY(Main[[#This Row],[Tech Start Date]],9),IF(Main[[#This Row],[Class]]="B", WORKDAY(Main[[#This Row],[Tech Start Date]],6),IF(Main[[#This Row],[Class]]="A",WORKDAY(Main[[#This Row],[Tech Start Date]],2),""))))</f>
        <v/>
      </c>
      <c r="N1008" s="104" t="str">
        <f>IF(Main[[#This Row],[Tech Start Date]]&lt;1/1/1990,"",IF(Main[[#This Row],[Class]]="C",WORKDAY(Main[[#This Row],[Tech Start Date]],19),IF(Main[[#This Row],[Class]]="B", WORKDAY(Main[[#This Row],[Tech Start Date]],12),IF(Main[[#This Row],[Class]]="A",WORKDAY(Main[[#This Row],[Tech Start Date]],4),""))))</f>
        <v/>
      </c>
      <c r="O1008" s="104" t="str">
        <f>IF(Main[[#This Row],[Tech Start Date]]&lt;1/1/1990,"",IF(Main[[#This Row],[Class]]="C",WORKDAY(Main[[#This Row],[Tech Start Date]],23),IF(Main[[#This Row],[Class]]="B", WORKDAY(Main[[#This Row],[Tech Start Date]],15),IF(Main[[#This Row],[Class]]="A",WORKDAY(Main[[#This Row],[Tech Start Date]],5),""))))</f>
        <v/>
      </c>
      <c r="P1008" s="104" t="str">
        <f>IF(Main[[#This Row],[Tech Start Date]]&lt;1/1/1990,"",IF(Main[[#This Row],[Class]]="C",WORKDAY(Main[[#This Row],[Tech Start Date]],28),IF(Main[[#This Row],[Class]]="B", WORKDAY(Main[[#This Row],[Tech Start Date]],19),IF(Main[[#This Row],[Class]]="A",WORKDAY(Main[[#This Row],[Tech Start Date]],9),""))))</f>
        <v/>
      </c>
      <c r="Q1008" s="101"/>
      <c r="R1008" s="101"/>
      <c r="S1008" s="99" t="s">
        <v>6</v>
      </c>
      <c r="T1008" s="107" t="s">
        <v>4</v>
      </c>
      <c r="U1008" s="99" t="s">
        <v>14</v>
      </c>
      <c r="V1008" s="99" t="s">
        <v>1965</v>
      </c>
      <c r="W1008" s="99" t="s">
        <v>1964</v>
      </c>
    </row>
    <row r="1009" spans="1:23" ht="18.600000000000001" customHeight="1">
      <c r="A1009" s="123" t="str">
        <f>IF(priority(Main[[#This Row],[Comments]])&lt;&gt;0, priority(Main[[#This Row],[Comments]]),"")</f>
        <v/>
      </c>
      <c r="B1009" s="127" t="s">
        <v>1772</v>
      </c>
      <c r="C1009" s="99" t="s">
        <v>4</v>
      </c>
      <c r="D1009" s="100" t="s">
        <v>2302</v>
      </c>
      <c r="E1009" s="101"/>
      <c r="F1009" s="101"/>
      <c r="G1009" s="102" t="str">
        <f>IF(stdProdLT(Main[[#This Row],[Comments]])=0.1,"N/A",IF(stdProdLT(Main[[#This Row],[Comments]])=0,"",stdProdLT(Main[[#This Row],[Comments]])))</f>
        <v/>
      </c>
      <c r="H1009" s="103" t="str">
        <f>IF(AND(Main[[#This Row],[In Stock Date]]&lt;&gt;"",Main[[#This Row],[Revised Due Date]]&lt;&gt;""),Main[[#This Row],[In Stock Date]]-Main[[#This Row],[Revised Due Date]],"")</f>
        <v/>
      </c>
      <c r="I1009" s="99" t="s">
        <v>929</v>
      </c>
      <c r="J1009" s="99" t="s">
        <v>21</v>
      </c>
      <c r="K1009" s="99" t="s">
        <v>1971</v>
      </c>
      <c r="L1009" s="101"/>
      <c r="M1009" s="104" t="str">
        <f>IF(Main[[#This Row],[Tech Start Date]]&lt;1/1/1990,"",IF(Main[[#This Row],[Class]]="C",WORKDAY(Main[[#This Row],[Tech Start Date]],9),IF(Main[[#This Row],[Class]]="B", WORKDAY(Main[[#This Row],[Tech Start Date]],6),IF(Main[[#This Row],[Class]]="A",WORKDAY(Main[[#This Row],[Tech Start Date]],2),""))))</f>
        <v/>
      </c>
      <c r="N1009" s="104" t="str">
        <f>IF(Main[[#This Row],[Tech Start Date]]&lt;1/1/1990,"",IF(Main[[#This Row],[Class]]="C",WORKDAY(Main[[#This Row],[Tech Start Date]],19),IF(Main[[#This Row],[Class]]="B", WORKDAY(Main[[#This Row],[Tech Start Date]],12),IF(Main[[#This Row],[Class]]="A",WORKDAY(Main[[#This Row],[Tech Start Date]],4),""))))</f>
        <v/>
      </c>
      <c r="O1009" s="104" t="str">
        <f>IF(Main[[#This Row],[Tech Start Date]]&lt;1/1/1990,"",IF(Main[[#This Row],[Class]]="C",WORKDAY(Main[[#This Row],[Tech Start Date]],23),IF(Main[[#This Row],[Class]]="B", WORKDAY(Main[[#This Row],[Tech Start Date]],15),IF(Main[[#This Row],[Class]]="A",WORKDAY(Main[[#This Row],[Tech Start Date]],5),""))))</f>
        <v/>
      </c>
      <c r="P1009" s="104" t="str">
        <f>IF(Main[[#This Row],[Tech Start Date]]&lt;1/1/1990,"",IF(Main[[#This Row],[Class]]="C",WORKDAY(Main[[#This Row],[Tech Start Date]],28),IF(Main[[#This Row],[Class]]="B", WORKDAY(Main[[#This Row],[Tech Start Date]],19),IF(Main[[#This Row],[Class]]="A",WORKDAY(Main[[#This Row],[Tech Start Date]],9),""))))</f>
        <v/>
      </c>
      <c r="Q1009" s="101"/>
      <c r="R1009" s="101"/>
      <c r="S1009" s="99" t="s">
        <v>23</v>
      </c>
      <c r="T1009" s="107" t="s">
        <v>4</v>
      </c>
      <c r="U1009" s="99" t="s">
        <v>14</v>
      </c>
      <c r="V1009" s="99" t="s">
        <v>1962</v>
      </c>
      <c r="W1009" s="99" t="s">
        <v>1966</v>
      </c>
    </row>
    <row r="1010" spans="1:23" ht="18.600000000000001" customHeight="1">
      <c r="A1010" s="123" t="str">
        <f>IF(priority(Main[[#This Row],[Comments]])&lt;&gt;0, priority(Main[[#This Row],[Comments]]),"")</f>
        <v/>
      </c>
      <c r="B1010" s="127" t="s">
        <v>1437</v>
      </c>
      <c r="C1010" s="99" t="s">
        <v>4</v>
      </c>
      <c r="D1010" s="100" t="s">
        <v>2266</v>
      </c>
      <c r="E1010" s="101"/>
      <c r="F1010" s="101"/>
      <c r="G1010" s="102" t="str">
        <f>IF(stdProdLT(Main[[#This Row],[Comments]])=0.1,"N/A",IF(stdProdLT(Main[[#This Row],[Comments]])=0,"",stdProdLT(Main[[#This Row],[Comments]])))</f>
        <v/>
      </c>
      <c r="H1010" s="103" t="str">
        <f>IF(AND(Main[[#This Row],[In Stock Date]]&lt;&gt;"",Main[[#This Row],[Revised Due Date]]&lt;&gt;""),Main[[#This Row],[In Stock Date]]-Main[[#This Row],[Revised Due Date]],"")</f>
        <v/>
      </c>
      <c r="I1010" s="99" t="s">
        <v>536</v>
      </c>
      <c r="J1010" s="99" t="s">
        <v>52</v>
      </c>
      <c r="K1010" s="99" t="s">
        <v>1971</v>
      </c>
      <c r="L1010" s="101"/>
      <c r="M1010" s="104" t="str">
        <f>IF(Main[[#This Row],[Tech Start Date]]&lt;1/1/1990,"",IF(Main[[#This Row],[Class]]="C",WORKDAY(Main[[#This Row],[Tech Start Date]],9),IF(Main[[#This Row],[Class]]="B", WORKDAY(Main[[#This Row],[Tech Start Date]],6),IF(Main[[#This Row],[Class]]="A",WORKDAY(Main[[#This Row],[Tech Start Date]],2),""))))</f>
        <v/>
      </c>
      <c r="N1010" s="104" t="str">
        <f>IF(Main[[#This Row],[Tech Start Date]]&lt;1/1/1990,"",IF(Main[[#This Row],[Class]]="C",WORKDAY(Main[[#This Row],[Tech Start Date]],19),IF(Main[[#This Row],[Class]]="B", WORKDAY(Main[[#This Row],[Tech Start Date]],12),IF(Main[[#This Row],[Class]]="A",WORKDAY(Main[[#This Row],[Tech Start Date]],4),""))))</f>
        <v/>
      </c>
      <c r="O1010" s="104" t="str">
        <f>IF(Main[[#This Row],[Tech Start Date]]&lt;1/1/1990,"",IF(Main[[#This Row],[Class]]="C",WORKDAY(Main[[#This Row],[Tech Start Date]],23),IF(Main[[#This Row],[Class]]="B", WORKDAY(Main[[#This Row],[Tech Start Date]],15),IF(Main[[#This Row],[Class]]="A",WORKDAY(Main[[#This Row],[Tech Start Date]],5),""))))</f>
        <v/>
      </c>
      <c r="P1010" s="104" t="str">
        <f>IF(Main[[#This Row],[Tech Start Date]]&lt;1/1/1990,"",IF(Main[[#This Row],[Class]]="C",WORKDAY(Main[[#This Row],[Tech Start Date]],28),IF(Main[[#This Row],[Class]]="B", WORKDAY(Main[[#This Row],[Tech Start Date]],19),IF(Main[[#This Row],[Class]]="A",WORKDAY(Main[[#This Row],[Tech Start Date]],9),""))))</f>
        <v/>
      </c>
      <c r="Q1010" s="101">
        <v>40390</v>
      </c>
      <c r="R1010" s="101"/>
      <c r="S1010" s="99" t="s">
        <v>6</v>
      </c>
      <c r="T1010" s="107" t="s">
        <v>4</v>
      </c>
      <c r="U1010" s="99" t="s">
        <v>14</v>
      </c>
      <c r="V1010" s="99" t="s">
        <v>1965</v>
      </c>
      <c r="W1010" s="99" t="s">
        <v>1966</v>
      </c>
    </row>
    <row r="1011" spans="1:23" ht="18.600000000000001" customHeight="1">
      <c r="A1011" s="123" t="str">
        <f>IF(priority(Main[[#This Row],[Comments]])&lt;&gt;0, priority(Main[[#This Row],[Comments]]),"")</f>
        <v/>
      </c>
      <c r="B1011" s="127" t="s">
        <v>1686</v>
      </c>
      <c r="C1011" s="99" t="s">
        <v>505</v>
      </c>
      <c r="D1011" s="100" t="s">
        <v>2242</v>
      </c>
      <c r="E1011" s="101">
        <v>40655.401631944442</v>
      </c>
      <c r="F1011" s="101"/>
      <c r="G1011" s="102" t="str">
        <f>IF(stdProdLT(Main[[#This Row],[Comments]])=0.1,"N/A",IF(stdProdLT(Main[[#This Row],[Comments]])=0,"",stdProdLT(Main[[#This Row],[Comments]])))</f>
        <v/>
      </c>
      <c r="H1011" s="103" t="str">
        <f>IF(AND(Main[[#This Row],[In Stock Date]]&lt;&gt;"",Main[[#This Row],[Revised Due Date]]&lt;&gt;""),Main[[#This Row],[In Stock Date]]-Main[[#This Row],[Revised Due Date]],"")</f>
        <v/>
      </c>
      <c r="I1011" s="99" t="s">
        <v>50</v>
      </c>
      <c r="J1011" s="99" t="s">
        <v>52</v>
      </c>
      <c r="K1011" s="99" t="s">
        <v>1971</v>
      </c>
      <c r="L1011" s="101"/>
      <c r="M1011" s="104" t="str">
        <f>IF(Main[[#This Row],[Tech Start Date]]&lt;1/1/1990,"",IF(Main[[#This Row],[Class]]="C",WORKDAY(Main[[#This Row],[Tech Start Date]],9),IF(Main[[#This Row],[Class]]="B", WORKDAY(Main[[#This Row],[Tech Start Date]],6),IF(Main[[#This Row],[Class]]="A",WORKDAY(Main[[#This Row],[Tech Start Date]],2),""))))</f>
        <v/>
      </c>
      <c r="N1011" s="104" t="str">
        <f>IF(Main[[#This Row],[Tech Start Date]]&lt;1/1/1990,"",IF(Main[[#This Row],[Class]]="C",WORKDAY(Main[[#This Row],[Tech Start Date]],19),IF(Main[[#This Row],[Class]]="B", WORKDAY(Main[[#This Row],[Tech Start Date]],12),IF(Main[[#This Row],[Class]]="A",WORKDAY(Main[[#This Row],[Tech Start Date]],4),""))))</f>
        <v/>
      </c>
      <c r="O1011" s="104" t="str">
        <f>IF(Main[[#This Row],[Tech Start Date]]&lt;1/1/1990,"",IF(Main[[#This Row],[Class]]="C",WORKDAY(Main[[#This Row],[Tech Start Date]],23),IF(Main[[#This Row],[Class]]="B", WORKDAY(Main[[#This Row],[Tech Start Date]],15),IF(Main[[#This Row],[Class]]="A",WORKDAY(Main[[#This Row],[Tech Start Date]],5),""))))</f>
        <v/>
      </c>
      <c r="P1011" s="104" t="str">
        <f>IF(Main[[#This Row],[Tech Start Date]]&lt;1/1/1990,"",IF(Main[[#This Row],[Class]]="C",WORKDAY(Main[[#This Row],[Tech Start Date]],28),IF(Main[[#This Row],[Class]]="B", WORKDAY(Main[[#This Row],[Tech Start Date]],19),IF(Main[[#This Row],[Class]]="A",WORKDAY(Main[[#This Row],[Tech Start Date]],9),""))))</f>
        <v/>
      </c>
      <c r="Q1011" s="101"/>
      <c r="R1011" s="101"/>
      <c r="S1011" s="99" t="s">
        <v>6</v>
      </c>
      <c r="T1011" s="107" t="s">
        <v>4</v>
      </c>
      <c r="U1011" s="99" t="s">
        <v>540</v>
      </c>
      <c r="V1011" s="99" t="s">
        <v>1962</v>
      </c>
      <c r="W1011" s="99" t="s">
        <v>1968</v>
      </c>
    </row>
    <row r="1012" spans="1:23" ht="18.600000000000001" customHeight="1">
      <c r="A1012" s="123" t="str">
        <f>IF(priority(Main[[#This Row],[Comments]])&lt;&gt;0, priority(Main[[#This Row],[Comments]]),"")</f>
        <v/>
      </c>
      <c r="B1012" s="127" t="s">
        <v>1906</v>
      </c>
      <c r="C1012" s="99" t="s">
        <v>4</v>
      </c>
      <c r="D1012" s="100" t="s">
        <v>3094</v>
      </c>
      <c r="E1012" s="101">
        <v>40501.677928240744</v>
      </c>
      <c r="F1012" s="101"/>
      <c r="G1012" s="102" t="str">
        <f>IF(stdProdLT(Main[[#This Row],[Comments]])=0.1,"N/A",IF(stdProdLT(Main[[#This Row],[Comments]])=0,"",stdProdLT(Main[[#This Row],[Comments]])))</f>
        <v/>
      </c>
      <c r="H1012" s="103" t="str">
        <f>IF(AND(Main[[#This Row],[In Stock Date]]&lt;&gt;"",Main[[#This Row],[Revised Due Date]]&lt;&gt;""),Main[[#This Row],[In Stock Date]]-Main[[#This Row],[Revised Due Date]],"")</f>
        <v/>
      </c>
      <c r="I1012" s="99" t="s">
        <v>924</v>
      </c>
      <c r="J1012" s="99" t="s">
        <v>28</v>
      </c>
      <c r="K1012" s="99" t="s">
        <v>1974</v>
      </c>
      <c r="L1012" s="101"/>
      <c r="M1012" s="104" t="str">
        <f>IF(Main[[#This Row],[Tech Start Date]]&lt;1/1/1990,"",IF(Main[[#This Row],[Class]]="C",WORKDAY(Main[[#This Row],[Tech Start Date]],9),IF(Main[[#This Row],[Class]]="B", WORKDAY(Main[[#This Row],[Tech Start Date]],6),IF(Main[[#This Row],[Class]]="A",WORKDAY(Main[[#This Row],[Tech Start Date]],2),""))))</f>
        <v/>
      </c>
      <c r="N1012" s="104" t="str">
        <f>IF(Main[[#This Row],[Tech Start Date]]&lt;1/1/1990,"",IF(Main[[#This Row],[Class]]="C",WORKDAY(Main[[#This Row],[Tech Start Date]],19),IF(Main[[#This Row],[Class]]="B", WORKDAY(Main[[#This Row],[Tech Start Date]],12),IF(Main[[#This Row],[Class]]="A",WORKDAY(Main[[#This Row],[Tech Start Date]],4),""))))</f>
        <v/>
      </c>
      <c r="O1012" s="104" t="str">
        <f>IF(Main[[#This Row],[Tech Start Date]]&lt;1/1/1990,"",IF(Main[[#This Row],[Class]]="C",WORKDAY(Main[[#This Row],[Tech Start Date]],23),IF(Main[[#This Row],[Class]]="B", WORKDAY(Main[[#This Row],[Tech Start Date]],15),IF(Main[[#This Row],[Class]]="A",WORKDAY(Main[[#This Row],[Tech Start Date]],5),""))))</f>
        <v/>
      </c>
      <c r="P1012" s="104" t="str">
        <f>IF(Main[[#This Row],[Tech Start Date]]&lt;1/1/1990,"",IF(Main[[#This Row],[Class]]="C",WORKDAY(Main[[#This Row],[Tech Start Date]],28),IF(Main[[#This Row],[Class]]="B", WORKDAY(Main[[#This Row],[Tech Start Date]],19),IF(Main[[#This Row],[Class]]="A",WORKDAY(Main[[#This Row],[Tech Start Date]],9),""))))</f>
        <v/>
      </c>
      <c r="Q1012" s="101">
        <v>41274</v>
      </c>
      <c r="R1012" s="101">
        <v>41274</v>
      </c>
      <c r="S1012" s="99" t="s">
        <v>17</v>
      </c>
      <c r="T1012" s="107" t="s">
        <v>4</v>
      </c>
      <c r="U1012" s="99" t="s">
        <v>29</v>
      </c>
      <c r="V1012" s="99" t="s">
        <v>1962</v>
      </c>
      <c r="W1012" s="99" t="s">
        <v>1967</v>
      </c>
    </row>
    <row r="1013" spans="1:23" ht="18.600000000000001" customHeight="1">
      <c r="A1013" s="123" t="str">
        <f>IF(priority(Main[[#This Row],[Comments]])&lt;&gt;0, priority(Main[[#This Row],[Comments]]),"")</f>
        <v/>
      </c>
      <c r="B1013" s="127" t="s">
        <v>2542</v>
      </c>
      <c r="C1013" s="99" t="s">
        <v>4</v>
      </c>
      <c r="D1013" s="100" t="s">
        <v>2543</v>
      </c>
      <c r="E1013" s="101">
        <v>40820.81591435185</v>
      </c>
      <c r="F1013" s="101"/>
      <c r="G1013" s="102" t="str">
        <f>IF(stdProdLT(Main[[#This Row],[Comments]])=0.1,"N/A",IF(stdProdLT(Main[[#This Row],[Comments]])=0,"",stdProdLT(Main[[#This Row],[Comments]])))</f>
        <v/>
      </c>
      <c r="H1013" s="103" t="str">
        <f>IF(AND(Main[[#This Row],[In Stock Date]]&lt;&gt;"",Main[[#This Row],[Revised Due Date]]&lt;&gt;""),Main[[#This Row],[In Stock Date]]-Main[[#This Row],[Revised Due Date]],"")</f>
        <v/>
      </c>
      <c r="I1013" s="99" t="s">
        <v>242</v>
      </c>
      <c r="J1013" s="99" t="s">
        <v>28</v>
      </c>
      <c r="K1013" s="99" t="s">
        <v>1971</v>
      </c>
      <c r="L1013" s="101"/>
      <c r="M1013" s="104" t="str">
        <f>IF(Main[[#This Row],[Tech Start Date]]&lt;1/1/1990,"",IF(Main[[#This Row],[Class]]="C",WORKDAY(Main[[#This Row],[Tech Start Date]],9),IF(Main[[#This Row],[Class]]="B", WORKDAY(Main[[#This Row],[Tech Start Date]],6),IF(Main[[#This Row],[Class]]="A",WORKDAY(Main[[#This Row],[Tech Start Date]],2),""))))</f>
        <v/>
      </c>
      <c r="N1013" s="104" t="str">
        <f>IF(Main[[#This Row],[Tech Start Date]]&lt;1/1/1990,"",IF(Main[[#This Row],[Class]]="C",WORKDAY(Main[[#This Row],[Tech Start Date]],19),IF(Main[[#This Row],[Class]]="B", WORKDAY(Main[[#This Row],[Tech Start Date]],12),IF(Main[[#This Row],[Class]]="A",WORKDAY(Main[[#This Row],[Tech Start Date]],4),""))))</f>
        <v/>
      </c>
      <c r="O1013" s="104" t="str">
        <f>IF(Main[[#This Row],[Tech Start Date]]&lt;1/1/1990,"",IF(Main[[#This Row],[Class]]="C",WORKDAY(Main[[#This Row],[Tech Start Date]],23),IF(Main[[#This Row],[Class]]="B", WORKDAY(Main[[#This Row],[Tech Start Date]],15),IF(Main[[#This Row],[Class]]="A",WORKDAY(Main[[#This Row],[Tech Start Date]],5),""))))</f>
        <v/>
      </c>
      <c r="P1013" s="104" t="str">
        <f>IF(Main[[#This Row],[Tech Start Date]]&lt;1/1/1990,"",IF(Main[[#This Row],[Class]]="C",WORKDAY(Main[[#This Row],[Tech Start Date]],28),IF(Main[[#This Row],[Class]]="B", WORKDAY(Main[[#This Row],[Tech Start Date]],19),IF(Main[[#This Row],[Class]]="A",WORKDAY(Main[[#This Row],[Tech Start Date]],9),""))))</f>
        <v/>
      </c>
      <c r="Q1013" s="101">
        <v>40847</v>
      </c>
      <c r="R1013" s="101"/>
      <c r="S1013" s="99" t="s">
        <v>6</v>
      </c>
      <c r="T1013" s="107" t="s">
        <v>4</v>
      </c>
      <c r="U1013" s="99" t="s">
        <v>29</v>
      </c>
      <c r="V1013" s="99" t="s">
        <v>1965</v>
      </c>
      <c r="W1013" s="99" t="s">
        <v>1966</v>
      </c>
    </row>
    <row r="1014" spans="1:23" ht="18.600000000000001" customHeight="1">
      <c r="A1014" s="123" t="str">
        <f>IF(priority(Main[[#This Row],[Comments]])&lt;&gt;0, priority(Main[[#This Row],[Comments]]),"")</f>
        <v/>
      </c>
      <c r="B1014" s="127" t="s">
        <v>2308</v>
      </c>
      <c r="C1014" s="99" t="s">
        <v>4</v>
      </c>
      <c r="D1014" s="100" t="s">
        <v>2309</v>
      </c>
      <c r="E1014" s="101"/>
      <c r="F1014" s="101"/>
      <c r="G1014" s="102" t="str">
        <f>IF(stdProdLT(Main[[#This Row],[Comments]])=0.1,"N/A",IF(stdProdLT(Main[[#This Row],[Comments]])=0,"",stdProdLT(Main[[#This Row],[Comments]])))</f>
        <v/>
      </c>
      <c r="H1014" s="103" t="str">
        <f>IF(AND(Main[[#This Row],[In Stock Date]]&lt;&gt;"",Main[[#This Row],[Revised Due Date]]&lt;&gt;""),Main[[#This Row],[In Stock Date]]-Main[[#This Row],[Revised Due Date]],"")</f>
        <v/>
      </c>
      <c r="I1014" s="99" t="s">
        <v>4</v>
      </c>
      <c r="J1014" s="99" t="s">
        <v>4</v>
      </c>
      <c r="K1014" s="99" t="s">
        <v>4</v>
      </c>
      <c r="L1014" s="101"/>
      <c r="M1014" s="104" t="str">
        <f>IF(Main[[#This Row],[Tech Start Date]]&lt;1/1/1990,"",IF(Main[[#This Row],[Class]]="C",WORKDAY(Main[[#This Row],[Tech Start Date]],9),IF(Main[[#This Row],[Class]]="B", WORKDAY(Main[[#This Row],[Tech Start Date]],6),IF(Main[[#This Row],[Class]]="A",WORKDAY(Main[[#This Row],[Tech Start Date]],2),""))))</f>
        <v/>
      </c>
      <c r="N1014" s="104" t="str">
        <f>IF(Main[[#This Row],[Tech Start Date]]&lt;1/1/1990,"",IF(Main[[#This Row],[Class]]="C",WORKDAY(Main[[#This Row],[Tech Start Date]],19),IF(Main[[#This Row],[Class]]="B", WORKDAY(Main[[#This Row],[Tech Start Date]],12),IF(Main[[#This Row],[Class]]="A",WORKDAY(Main[[#This Row],[Tech Start Date]],4),""))))</f>
        <v/>
      </c>
      <c r="O1014" s="104" t="str">
        <f>IF(Main[[#This Row],[Tech Start Date]]&lt;1/1/1990,"",IF(Main[[#This Row],[Class]]="C",WORKDAY(Main[[#This Row],[Tech Start Date]],23),IF(Main[[#This Row],[Class]]="B", WORKDAY(Main[[#This Row],[Tech Start Date]],15),IF(Main[[#This Row],[Class]]="A",WORKDAY(Main[[#This Row],[Tech Start Date]],5),""))))</f>
        <v/>
      </c>
      <c r="P1014" s="104" t="str">
        <f>IF(Main[[#This Row],[Tech Start Date]]&lt;1/1/1990,"",IF(Main[[#This Row],[Class]]="C",WORKDAY(Main[[#This Row],[Tech Start Date]],28),IF(Main[[#This Row],[Class]]="B", WORKDAY(Main[[#This Row],[Tech Start Date]],19),IF(Main[[#This Row],[Class]]="A",WORKDAY(Main[[#This Row],[Tech Start Date]],9),""))))</f>
        <v/>
      </c>
      <c r="Q1014" s="101"/>
      <c r="R1014" s="101"/>
      <c r="S1014" s="99" t="s">
        <v>49</v>
      </c>
      <c r="T1014" s="107" t="s">
        <v>4</v>
      </c>
      <c r="U1014" s="99" t="s">
        <v>14</v>
      </c>
      <c r="V1014" s="99" t="s">
        <v>1977</v>
      </c>
      <c r="W1014" s="99" t="s">
        <v>1966</v>
      </c>
    </row>
    <row r="1015" spans="1:23" ht="18.600000000000001" customHeight="1">
      <c r="A1015" s="123" t="str">
        <f>IF(priority(Main[[#This Row],[Comments]])&lt;&gt;0, priority(Main[[#This Row],[Comments]]),"")</f>
        <v/>
      </c>
      <c r="B1015" s="127" t="s">
        <v>2544</v>
      </c>
      <c r="C1015" s="99" t="s">
        <v>2060</v>
      </c>
      <c r="D1015" s="100" t="s">
        <v>2491</v>
      </c>
      <c r="E1015" s="101"/>
      <c r="F1015" s="101"/>
      <c r="G1015" s="102" t="str">
        <f>IF(stdProdLT(Main[[#This Row],[Comments]])=0.1,"N/A",IF(stdProdLT(Main[[#This Row],[Comments]])=0,"",stdProdLT(Main[[#This Row],[Comments]])))</f>
        <v/>
      </c>
      <c r="H1015" s="103" t="str">
        <f>IF(AND(Main[[#This Row],[In Stock Date]]&lt;&gt;"",Main[[#This Row],[Revised Due Date]]&lt;&gt;""),Main[[#This Row],[In Stock Date]]-Main[[#This Row],[Revised Due Date]],"")</f>
        <v/>
      </c>
      <c r="I1015" s="99" t="s">
        <v>4</v>
      </c>
      <c r="J1015" s="99" t="s">
        <v>4</v>
      </c>
      <c r="K1015" s="99" t="s">
        <v>4</v>
      </c>
      <c r="L1015" s="101"/>
      <c r="M1015" s="104" t="str">
        <f>IF(Main[[#This Row],[Tech Start Date]]&lt;1/1/1990,"",IF(Main[[#This Row],[Class]]="C",WORKDAY(Main[[#This Row],[Tech Start Date]],9),IF(Main[[#This Row],[Class]]="B", WORKDAY(Main[[#This Row],[Tech Start Date]],6),IF(Main[[#This Row],[Class]]="A",WORKDAY(Main[[#This Row],[Tech Start Date]],2),""))))</f>
        <v/>
      </c>
      <c r="N1015" s="104" t="str">
        <f>IF(Main[[#This Row],[Tech Start Date]]&lt;1/1/1990,"",IF(Main[[#This Row],[Class]]="C",WORKDAY(Main[[#This Row],[Tech Start Date]],19),IF(Main[[#This Row],[Class]]="B", WORKDAY(Main[[#This Row],[Tech Start Date]],12),IF(Main[[#This Row],[Class]]="A",WORKDAY(Main[[#This Row],[Tech Start Date]],4),""))))</f>
        <v/>
      </c>
      <c r="O1015" s="104" t="str">
        <f>IF(Main[[#This Row],[Tech Start Date]]&lt;1/1/1990,"",IF(Main[[#This Row],[Class]]="C",WORKDAY(Main[[#This Row],[Tech Start Date]],23),IF(Main[[#This Row],[Class]]="B", WORKDAY(Main[[#This Row],[Tech Start Date]],15),IF(Main[[#This Row],[Class]]="A",WORKDAY(Main[[#This Row],[Tech Start Date]],5),""))))</f>
        <v/>
      </c>
      <c r="P1015" s="104" t="str">
        <f>IF(Main[[#This Row],[Tech Start Date]]&lt;1/1/1990,"",IF(Main[[#This Row],[Class]]="C",WORKDAY(Main[[#This Row],[Tech Start Date]],28),IF(Main[[#This Row],[Class]]="B", WORKDAY(Main[[#This Row],[Tech Start Date]],19),IF(Main[[#This Row],[Class]]="A",WORKDAY(Main[[#This Row],[Tech Start Date]],9),""))))</f>
        <v/>
      </c>
      <c r="Q1015" s="101">
        <v>40908</v>
      </c>
      <c r="R1015" s="101"/>
      <c r="S1015" s="99" t="s">
        <v>11</v>
      </c>
      <c r="T1015" s="107" t="s">
        <v>4</v>
      </c>
      <c r="U1015" s="99" t="s">
        <v>14</v>
      </c>
      <c r="V1015" s="99" t="s">
        <v>1965</v>
      </c>
      <c r="W1015" s="99" t="s">
        <v>1964</v>
      </c>
    </row>
    <row r="1016" spans="1:23" ht="18.600000000000001" customHeight="1">
      <c r="A1016" s="123" t="str">
        <f>IF(priority(Main[[#This Row],[Comments]])&lt;&gt;0, priority(Main[[#This Row],[Comments]]),"")</f>
        <v/>
      </c>
      <c r="B1016" s="127" t="s">
        <v>1589</v>
      </c>
      <c r="C1016" s="99" t="s">
        <v>4</v>
      </c>
      <c r="D1016" s="100" t="s">
        <v>641</v>
      </c>
      <c r="E1016" s="101">
        <v>40711.765081018515</v>
      </c>
      <c r="F1016" s="101"/>
      <c r="G1016" s="102" t="str">
        <f>IF(stdProdLT(Main[[#This Row],[Comments]])=0.1,"N/A",IF(stdProdLT(Main[[#This Row],[Comments]])=0,"",stdProdLT(Main[[#This Row],[Comments]])))</f>
        <v/>
      </c>
      <c r="H1016" s="103" t="str">
        <f>IF(AND(Main[[#This Row],[In Stock Date]]&lt;&gt;"",Main[[#This Row],[Revised Due Date]]&lt;&gt;""),Main[[#This Row],[In Stock Date]]-Main[[#This Row],[Revised Due Date]],"")</f>
        <v/>
      </c>
      <c r="I1016" s="99" t="s">
        <v>2112</v>
      </c>
      <c r="J1016" s="99" t="s">
        <v>21</v>
      </c>
      <c r="K1016" s="99" t="s">
        <v>1971</v>
      </c>
      <c r="L1016" s="101"/>
      <c r="M1016" s="104" t="str">
        <f>IF(Main[[#This Row],[Tech Start Date]]&lt;1/1/1990,"",IF(Main[[#This Row],[Class]]="C",WORKDAY(Main[[#This Row],[Tech Start Date]],9),IF(Main[[#This Row],[Class]]="B", WORKDAY(Main[[#This Row],[Tech Start Date]],6),IF(Main[[#This Row],[Class]]="A",WORKDAY(Main[[#This Row],[Tech Start Date]],2),""))))</f>
        <v/>
      </c>
      <c r="N1016" s="104" t="str">
        <f>IF(Main[[#This Row],[Tech Start Date]]&lt;1/1/1990,"",IF(Main[[#This Row],[Class]]="C",WORKDAY(Main[[#This Row],[Tech Start Date]],19),IF(Main[[#This Row],[Class]]="B", WORKDAY(Main[[#This Row],[Tech Start Date]],12),IF(Main[[#This Row],[Class]]="A",WORKDAY(Main[[#This Row],[Tech Start Date]],4),""))))</f>
        <v/>
      </c>
      <c r="O1016" s="104" t="str">
        <f>IF(Main[[#This Row],[Tech Start Date]]&lt;1/1/1990,"",IF(Main[[#This Row],[Class]]="C",WORKDAY(Main[[#This Row],[Tech Start Date]],23),IF(Main[[#This Row],[Class]]="B", WORKDAY(Main[[#This Row],[Tech Start Date]],15),IF(Main[[#This Row],[Class]]="A",WORKDAY(Main[[#This Row],[Tech Start Date]],5),""))))</f>
        <v/>
      </c>
      <c r="P1016" s="104" t="str">
        <f>IF(Main[[#This Row],[Tech Start Date]]&lt;1/1/1990,"",IF(Main[[#This Row],[Class]]="C",WORKDAY(Main[[#This Row],[Tech Start Date]],28),IF(Main[[#This Row],[Class]]="B", WORKDAY(Main[[#This Row],[Tech Start Date]],19),IF(Main[[#This Row],[Class]]="A",WORKDAY(Main[[#This Row],[Tech Start Date]],9),""))))</f>
        <v/>
      </c>
      <c r="Q1016" s="101">
        <v>40732</v>
      </c>
      <c r="R1016" s="101"/>
      <c r="S1016" s="99" t="s">
        <v>6</v>
      </c>
      <c r="T1016" s="107" t="s">
        <v>4</v>
      </c>
      <c r="U1016" s="99" t="s">
        <v>29</v>
      </c>
      <c r="V1016" s="99" t="s">
        <v>1963</v>
      </c>
      <c r="W1016" s="99" t="s">
        <v>1966</v>
      </c>
    </row>
    <row r="1017" spans="1:23" ht="18.600000000000001" customHeight="1">
      <c r="A1017" s="123" t="str">
        <f>IF(priority(Main[[#This Row],[Comments]])&lt;&gt;0, priority(Main[[#This Row],[Comments]]),"")</f>
        <v/>
      </c>
      <c r="B1017" s="127" t="s">
        <v>2359</v>
      </c>
      <c r="C1017" s="99" t="s">
        <v>2357</v>
      </c>
      <c r="D1017" s="100" t="s">
        <v>2360</v>
      </c>
      <c r="E1017" s="101"/>
      <c r="F1017" s="101">
        <v>40907</v>
      </c>
      <c r="G1017" s="102" t="str">
        <f>IF(stdProdLT(Main[[#This Row],[Comments]])=0.1,"N/A",IF(stdProdLT(Main[[#This Row],[Comments]])=0,"",stdProdLT(Main[[#This Row],[Comments]])))</f>
        <v/>
      </c>
      <c r="H1017" s="103" t="str">
        <f>IF(AND(Main[[#This Row],[In Stock Date]]&lt;&gt;"",Main[[#This Row],[Revised Due Date]]&lt;&gt;""),Main[[#This Row],[In Stock Date]]-Main[[#This Row],[Revised Due Date]],"")</f>
        <v/>
      </c>
      <c r="I1017" s="99" t="s">
        <v>4</v>
      </c>
      <c r="J1017" s="99" t="s">
        <v>4</v>
      </c>
      <c r="K1017" s="99" t="s">
        <v>4</v>
      </c>
      <c r="L1017" s="101"/>
      <c r="M1017" s="104" t="str">
        <f>IF(Main[[#This Row],[Tech Start Date]]&lt;1/1/1990,"",IF(Main[[#This Row],[Class]]="C",WORKDAY(Main[[#This Row],[Tech Start Date]],9),IF(Main[[#This Row],[Class]]="B", WORKDAY(Main[[#This Row],[Tech Start Date]],6),IF(Main[[#This Row],[Class]]="A",WORKDAY(Main[[#This Row],[Tech Start Date]],2),""))))</f>
        <v/>
      </c>
      <c r="N1017" s="104" t="str">
        <f>IF(Main[[#This Row],[Tech Start Date]]&lt;1/1/1990,"",IF(Main[[#This Row],[Class]]="C",WORKDAY(Main[[#This Row],[Tech Start Date]],19),IF(Main[[#This Row],[Class]]="B", WORKDAY(Main[[#This Row],[Tech Start Date]],12),IF(Main[[#This Row],[Class]]="A",WORKDAY(Main[[#This Row],[Tech Start Date]],4),""))))</f>
        <v/>
      </c>
      <c r="O1017" s="104" t="str">
        <f>IF(Main[[#This Row],[Tech Start Date]]&lt;1/1/1990,"",IF(Main[[#This Row],[Class]]="C",WORKDAY(Main[[#This Row],[Tech Start Date]],23),IF(Main[[#This Row],[Class]]="B", WORKDAY(Main[[#This Row],[Tech Start Date]],15),IF(Main[[#This Row],[Class]]="A",WORKDAY(Main[[#This Row],[Tech Start Date]],5),""))))</f>
        <v/>
      </c>
      <c r="P1017" s="104" t="str">
        <f>IF(Main[[#This Row],[Tech Start Date]]&lt;1/1/1990,"",IF(Main[[#This Row],[Class]]="C",WORKDAY(Main[[#This Row],[Tech Start Date]],28),IF(Main[[#This Row],[Class]]="B", WORKDAY(Main[[#This Row],[Tech Start Date]],19),IF(Main[[#This Row],[Class]]="A",WORKDAY(Main[[#This Row],[Tech Start Date]],9),""))))</f>
        <v/>
      </c>
      <c r="Q1017" s="101">
        <v>40816</v>
      </c>
      <c r="R1017" s="101"/>
      <c r="S1017" s="99" t="s">
        <v>301</v>
      </c>
      <c r="T1017" s="107" t="s">
        <v>4</v>
      </c>
      <c r="U1017" s="99" t="s">
        <v>14</v>
      </c>
      <c r="V1017" s="99" t="s">
        <v>1972</v>
      </c>
      <c r="W1017" s="99" t="s">
        <v>1970</v>
      </c>
    </row>
    <row r="1018" spans="1:23" ht="18.600000000000001" customHeight="1">
      <c r="A1018" s="123" t="str">
        <f>IF(priority(Main[[#This Row],[Comments]])&lt;&gt;0, priority(Main[[#This Row],[Comments]]),"")</f>
        <v/>
      </c>
      <c r="B1018" s="127" t="s">
        <v>2352</v>
      </c>
      <c r="C1018" s="99" t="s">
        <v>524</v>
      </c>
      <c r="D1018" s="100" t="s">
        <v>2353</v>
      </c>
      <c r="E1018" s="101"/>
      <c r="F1018" s="101">
        <v>40854</v>
      </c>
      <c r="G1018" s="102" t="str">
        <f>IF(stdProdLT(Main[[#This Row],[Comments]])=0.1,"N/A",IF(stdProdLT(Main[[#This Row],[Comments]])=0,"",stdProdLT(Main[[#This Row],[Comments]])))</f>
        <v/>
      </c>
      <c r="H1018" s="103" t="str">
        <f>IF(AND(Main[[#This Row],[In Stock Date]]&lt;&gt;"",Main[[#This Row],[Revised Due Date]]&lt;&gt;""),Main[[#This Row],[In Stock Date]]-Main[[#This Row],[Revised Due Date]],"")</f>
        <v/>
      </c>
      <c r="I1018" s="99" t="s">
        <v>4</v>
      </c>
      <c r="J1018" s="99" t="s">
        <v>4</v>
      </c>
      <c r="K1018" s="99" t="s">
        <v>4</v>
      </c>
      <c r="L1018" s="101"/>
      <c r="M1018" s="104" t="str">
        <f>IF(Main[[#This Row],[Tech Start Date]]&lt;1/1/1990,"",IF(Main[[#This Row],[Class]]="C",WORKDAY(Main[[#This Row],[Tech Start Date]],9),IF(Main[[#This Row],[Class]]="B", WORKDAY(Main[[#This Row],[Tech Start Date]],6),IF(Main[[#This Row],[Class]]="A",WORKDAY(Main[[#This Row],[Tech Start Date]],2),""))))</f>
        <v/>
      </c>
      <c r="N1018" s="104" t="str">
        <f>IF(Main[[#This Row],[Tech Start Date]]&lt;1/1/1990,"",IF(Main[[#This Row],[Class]]="C",WORKDAY(Main[[#This Row],[Tech Start Date]],19),IF(Main[[#This Row],[Class]]="B", WORKDAY(Main[[#This Row],[Tech Start Date]],12),IF(Main[[#This Row],[Class]]="A",WORKDAY(Main[[#This Row],[Tech Start Date]],4),""))))</f>
        <v/>
      </c>
      <c r="O1018" s="104" t="str">
        <f>IF(Main[[#This Row],[Tech Start Date]]&lt;1/1/1990,"",IF(Main[[#This Row],[Class]]="C",WORKDAY(Main[[#This Row],[Tech Start Date]],23),IF(Main[[#This Row],[Class]]="B", WORKDAY(Main[[#This Row],[Tech Start Date]],15),IF(Main[[#This Row],[Class]]="A",WORKDAY(Main[[#This Row],[Tech Start Date]],5),""))))</f>
        <v/>
      </c>
      <c r="P1018" s="104" t="str">
        <f>IF(Main[[#This Row],[Tech Start Date]]&lt;1/1/1990,"",IF(Main[[#This Row],[Class]]="C",WORKDAY(Main[[#This Row],[Tech Start Date]],28),IF(Main[[#This Row],[Class]]="B", WORKDAY(Main[[#This Row],[Tech Start Date]],19),IF(Main[[#This Row],[Class]]="A",WORKDAY(Main[[#This Row],[Tech Start Date]],9),""))))</f>
        <v/>
      </c>
      <c r="Q1018" s="101">
        <v>40816</v>
      </c>
      <c r="R1018" s="101"/>
      <c r="S1018" s="99" t="s">
        <v>301</v>
      </c>
      <c r="T1018" s="107" t="s">
        <v>4</v>
      </c>
      <c r="U1018" s="99" t="s">
        <v>14</v>
      </c>
      <c r="V1018" s="99" t="s">
        <v>1972</v>
      </c>
      <c r="W1018" s="99" t="s">
        <v>1970</v>
      </c>
    </row>
    <row r="1019" spans="1:23" ht="18.600000000000001" customHeight="1">
      <c r="A1019" s="123" t="str">
        <f>IF(priority(Main[[#This Row],[Comments]])&lt;&gt;0, priority(Main[[#This Row],[Comments]]),"")</f>
        <v/>
      </c>
      <c r="B1019" s="127" t="s">
        <v>2264</v>
      </c>
      <c r="C1019" s="99" t="s">
        <v>4</v>
      </c>
      <c r="D1019" s="100" t="s">
        <v>2265</v>
      </c>
      <c r="E1019" s="101">
        <v>40788.76971064815</v>
      </c>
      <c r="F1019" s="101"/>
      <c r="G1019" s="102" t="str">
        <f>IF(stdProdLT(Main[[#This Row],[Comments]])=0.1,"N/A",IF(stdProdLT(Main[[#This Row],[Comments]])=0,"",stdProdLT(Main[[#This Row],[Comments]])))</f>
        <v/>
      </c>
      <c r="H1019" s="103" t="str">
        <f>IF(AND(Main[[#This Row],[In Stock Date]]&lt;&gt;"",Main[[#This Row],[Revised Due Date]]&lt;&gt;""),Main[[#This Row],[In Stock Date]]-Main[[#This Row],[Revised Due Date]],"")</f>
        <v/>
      </c>
      <c r="I1019" s="99" t="s">
        <v>536</v>
      </c>
      <c r="J1019" s="99" t="s">
        <v>21</v>
      </c>
      <c r="K1019" s="99" t="s">
        <v>1971</v>
      </c>
      <c r="L1019" s="101"/>
      <c r="M1019" s="104" t="str">
        <f>IF(Main[[#This Row],[Tech Start Date]]&lt;1/1/1990,"",IF(Main[[#This Row],[Class]]="C",WORKDAY(Main[[#This Row],[Tech Start Date]],9),IF(Main[[#This Row],[Class]]="B", WORKDAY(Main[[#This Row],[Tech Start Date]],6),IF(Main[[#This Row],[Class]]="A",WORKDAY(Main[[#This Row],[Tech Start Date]],2),""))))</f>
        <v/>
      </c>
      <c r="N1019" s="104" t="str">
        <f>IF(Main[[#This Row],[Tech Start Date]]&lt;1/1/1990,"",IF(Main[[#This Row],[Class]]="C",WORKDAY(Main[[#This Row],[Tech Start Date]],19),IF(Main[[#This Row],[Class]]="B", WORKDAY(Main[[#This Row],[Tech Start Date]],12),IF(Main[[#This Row],[Class]]="A",WORKDAY(Main[[#This Row],[Tech Start Date]],4),""))))</f>
        <v/>
      </c>
      <c r="O1019" s="104" t="str">
        <f>IF(Main[[#This Row],[Tech Start Date]]&lt;1/1/1990,"",IF(Main[[#This Row],[Class]]="C",WORKDAY(Main[[#This Row],[Tech Start Date]],23),IF(Main[[#This Row],[Class]]="B", WORKDAY(Main[[#This Row],[Tech Start Date]],15),IF(Main[[#This Row],[Class]]="A",WORKDAY(Main[[#This Row],[Tech Start Date]],5),""))))</f>
        <v/>
      </c>
      <c r="P1019" s="104" t="str">
        <f>IF(Main[[#This Row],[Tech Start Date]]&lt;1/1/1990,"",IF(Main[[#This Row],[Class]]="C",WORKDAY(Main[[#This Row],[Tech Start Date]],28),IF(Main[[#This Row],[Class]]="B", WORKDAY(Main[[#This Row],[Tech Start Date]],19),IF(Main[[#This Row],[Class]]="A",WORKDAY(Main[[#This Row],[Tech Start Date]],9),""))))</f>
        <v/>
      </c>
      <c r="Q1019" s="101">
        <v>40879</v>
      </c>
      <c r="R1019" s="101"/>
      <c r="S1019" s="99" t="s">
        <v>6</v>
      </c>
      <c r="T1019" s="107" t="s">
        <v>4</v>
      </c>
      <c r="U1019" s="99" t="s">
        <v>29</v>
      </c>
      <c r="V1019" s="99" t="s">
        <v>1965</v>
      </c>
      <c r="W1019" s="99" t="s">
        <v>1966</v>
      </c>
    </row>
    <row r="1020" spans="1:23" ht="18.600000000000001" customHeight="1">
      <c r="A1020" s="123" t="str">
        <f>IF(priority(Main[[#This Row],[Comments]])&lt;&gt;0, priority(Main[[#This Row],[Comments]]),"")</f>
        <v/>
      </c>
      <c r="B1020" s="127" t="s">
        <v>2310</v>
      </c>
      <c r="C1020" s="99" t="s">
        <v>4</v>
      </c>
      <c r="D1020" s="100" t="s">
        <v>2311</v>
      </c>
      <c r="E1020" s="101"/>
      <c r="F1020" s="101"/>
      <c r="G1020" s="102" t="str">
        <f>IF(stdProdLT(Main[[#This Row],[Comments]])=0.1,"N/A",IF(stdProdLT(Main[[#This Row],[Comments]])=0,"",stdProdLT(Main[[#This Row],[Comments]])))</f>
        <v/>
      </c>
      <c r="H1020" s="103" t="str">
        <f>IF(AND(Main[[#This Row],[In Stock Date]]&lt;&gt;"",Main[[#This Row],[Revised Due Date]]&lt;&gt;""),Main[[#This Row],[In Stock Date]]-Main[[#This Row],[Revised Due Date]],"")</f>
        <v/>
      </c>
      <c r="I1020" s="99" t="s">
        <v>4</v>
      </c>
      <c r="J1020" s="99" t="s">
        <v>4</v>
      </c>
      <c r="K1020" s="99" t="s">
        <v>4</v>
      </c>
      <c r="L1020" s="101"/>
      <c r="M1020" s="104" t="str">
        <f>IF(Main[[#This Row],[Tech Start Date]]&lt;1/1/1990,"",IF(Main[[#This Row],[Class]]="C",WORKDAY(Main[[#This Row],[Tech Start Date]],9),IF(Main[[#This Row],[Class]]="B", WORKDAY(Main[[#This Row],[Tech Start Date]],6),IF(Main[[#This Row],[Class]]="A",WORKDAY(Main[[#This Row],[Tech Start Date]],2),""))))</f>
        <v/>
      </c>
      <c r="N1020" s="104" t="str">
        <f>IF(Main[[#This Row],[Tech Start Date]]&lt;1/1/1990,"",IF(Main[[#This Row],[Class]]="C",WORKDAY(Main[[#This Row],[Tech Start Date]],19),IF(Main[[#This Row],[Class]]="B", WORKDAY(Main[[#This Row],[Tech Start Date]],12),IF(Main[[#This Row],[Class]]="A",WORKDAY(Main[[#This Row],[Tech Start Date]],4),""))))</f>
        <v/>
      </c>
      <c r="O1020" s="104" t="str">
        <f>IF(Main[[#This Row],[Tech Start Date]]&lt;1/1/1990,"",IF(Main[[#This Row],[Class]]="C",WORKDAY(Main[[#This Row],[Tech Start Date]],23),IF(Main[[#This Row],[Class]]="B", WORKDAY(Main[[#This Row],[Tech Start Date]],15),IF(Main[[#This Row],[Class]]="A",WORKDAY(Main[[#This Row],[Tech Start Date]],5),""))))</f>
        <v/>
      </c>
      <c r="P1020" s="104" t="str">
        <f>IF(Main[[#This Row],[Tech Start Date]]&lt;1/1/1990,"",IF(Main[[#This Row],[Class]]="C",WORKDAY(Main[[#This Row],[Tech Start Date]],28),IF(Main[[#This Row],[Class]]="B", WORKDAY(Main[[#This Row],[Tech Start Date]],19),IF(Main[[#This Row],[Class]]="A",WORKDAY(Main[[#This Row],[Tech Start Date]],9),""))))</f>
        <v/>
      </c>
      <c r="Q1020" s="101"/>
      <c r="R1020" s="101"/>
      <c r="S1020" s="99" t="s">
        <v>49</v>
      </c>
      <c r="T1020" s="107" t="s">
        <v>4</v>
      </c>
      <c r="U1020" s="99" t="s">
        <v>14</v>
      </c>
      <c r="V1020" s="99" t="s">
        <v>1962</v>
      </c>
      <c r="W1020" s="99" t="s">
        <v>1966</v>
      </c>
    </row>
    <row r="1021" spans="1:23" ht="18.600000000000001" customHeight="1">
      <c r="A1021" s="123" t="str">
        <f>IF(priority(Main[[#This Row],[Comments]])&lt;&gt;0, priority(Main[[#This Row],[Comments]]),"")</f>
        <v/>
      </c>
      <c r="B1021" s="127" t="s">
        <v>1382</v>
      </c>
      <c r="C1021" s="99" t="s">
        <v>439</v>
      </c>
      <c r="D1021" s="100" t="s">
        <v>440</v>
      </c>
      <c r="E1021" s="101">
        <v>40505.653032407405</v>
      </c>
      <c r="F1021" s="101"/>
      <c r="G1021" s="102" t="str">
        <f>IF(stdProdLT(Main[[#This Row],[Comments]])=0.1,"N/A",IF(stdProdLT(Main[[#This Row],[Comments]])=0,"",stdProdLT(Main[[#This Row],[Comments]])))</f>
        <v/>
      </c>
      <c r="H1021" s="103" t="str">
        <f>IF(AND(Main[[#This Row],[In Stock Date]]&lt;&gt;"",Main[[#This Row],[Revised Due Date]]&lt;&gt;""),Main[[#This Row],[In Stock Date]]-Main[[#This Row],[Revised Due Date]],"")</f>
        <v/>
      </c>
      <c r="I1021" s="99" t="s">
        <v>30</v>
      </c>
      <c r="J1021" s="99" t="s">
        <v>28</v>
      </c>
      <c r="K1021" s="99" t="s">
        <v>1974</v>
      </c>
      <c r="L1021" s="101"/>
      <c r="M1021" s="104" t="str">
        <f>IF(Main[[#This Row],[Tech Start Date]]&lt;1/1/1990,"",IF(Main[[#This Row],[Class]]="C",WORKDAY(Main[[#This Row],[Tech Start Date]],9),IF(Main[[#This Row],[Class]]="B", WORKDAY(Main[[#This Row],[Tech Start Date]],6),IF(Main[[#This Row],[Class]]="A",WORKDAY(Main[[#This Row],[Tech Start Date]],2),""))))</f>
        <v/>
      </c>
      <c r="N1021" s="104" t="str">
        <f>IF(Main[[#This Row],[Tech Start Date]]&lt;1/1/1990,"",IF(Main[[#This Row],[Class]]="C",WORKDAY(Main[[#This Row],[Tech Start Date]],19),IF(Main[[#This Row],[Class]]="B", WORKDAY(Main[[#This Row],[Tech Start Date]],12),IF(Main[[#This Row],[Class]]="A",WORKDAY(Main[[#This Row],[Tech Start Date]],4),""))))</f>
        <v/>
      </c>
      <c r="O1021" s="104" t="str">
        <f>IF(Main[[#This Row],[Tech Start Date]]&lt;1/1/1990,"",IF(Main[[#This Row],[Class]]="C",WORKDAY(Main[[#This Row],[Tech Start Date]],23),IF(Main[[#This Row],[Class]]="B", WORKDAY(Main[[#This Row],[Tech Start Date]],15),IF(Main[[#This Row],[Class]]="A",WORKDAY(Main[[#This Row],[Tech Start Date]],5),""))))</f>
        <v/>
      </c>
      <c r="P1021" s="104" t="str">
        <f>IF(Main[[#This Row],[Tech Start Date]]&lt;1/1/1990,"",IF(Main[[#This Row],[Class]]="C",WORKDAY(Main[[#This Row],[Tech Start Date]],28),IF(Main[[#This Row],[Class]]="B", WORKDAY(Main[[#This Row],[Tech Start Date]],19),IF(Main[[#This Row],[Class]]="A",WORKDAY(Main[[#This Row],[Tech Start Date]],9),""))))</f>
        <v/>
      </c>
      <c r="Q1021" s="101">
        <v>40620</v>
      </c>
      <c r="R1021" s="101"/>
      <c r="S1021" s="99" t="s">
        <v>17</v>
      </c>
      <c r="T1021" s="107" t="s">
        <v>4</v>
      </c>
      <c r="U1021" s="99" t="s">
        <v>29</v>
      </c>
      <c r="V1021" s="99" t="s">
        <v>1965</v>
      </c>
      <c r="W1021" s="99" t="s">
        <v>1967</v>
      </c>
    </row>
    <row r="1022" spans="1:23" ht="18.600000000000001" customHeight="1">
      <c r="A1022" s="123" t="str">
        <f>IF(priority(Main[[#This Row],[Comments]])&lt;&gt;0, priority(Main[[#This Row],[Comments]]),"")</f>
        <v/>
      </c>
      <c r="B1022" s="127" t="s">
        <v>2545</v>
      </c>
      <c r="C1022" s="99" t="s">
        <v>4</v>
      </c>
      <c r="D1022" s="100" t="s">
        <v>2546</v>
      </c>
      <c r="E1022" s="101"/>
      <c r="F1022" s="101"/>
      <c r="G1022" s="102" t="str">
        <f>IF(stdProdLT(Main[[#This Row],[Comments]])=0.1,"N/A",IF(stdProdLT(Main[[#This Row],[Comments]])=0,"",stdProdLT(Main[[#This Row],[Comments]])))</f>
        <v/>
      </c>
      <c r="H1022" s="103" t="str">
        <f>IF(AND(Main[[#This Row],[In Stock Date]]&lt;&gt;"",Main[[#This Row],[Revised Due Date]]&lt;&gt;""),Main[[#This Row],[In Stock Date]]-Main[[#This Row],[Revised Due Date]],"")</f>
        <v/>
      </c>
      <c r="I1022" s="99" t="s">
        <v>4</v>
      </c>
      <c r="J1022" s="99" t="s">
        <v>28</v>
      </c>
      <c r="K1022" s="99" t="s">
        <v>4</v>
      </c>
      <c r="L1022" s="101"/>
      <c r="M1022" s="104" t="str">
        <f>IF(Main[[#This Row],[Tech Start Date]]&lt;1/1/1990,"",IF(Main[[#This Row],[Class]]="C",WORKDAY(Main[[#This Row],[Tech Start Date]],9),IF(Main[[#This Row],[Class]]="B", WORKDAY(Main[[#This Row],[Tech Start Date]],6),IF(Main[[#This Row],[Class]]="A",WORKDAY(Main[[#This Row],[Tech Start Date]],2),""))))</f>
        <v/>
      </c>
      <c r="N1022" s="104" t="str">
        <f>IF(Main[[#This Row],[Tech Start Date]]&lt;1/1/1990,"",IF(Main[[#This Row],[Class]]="C",WORKDAY(Main[[#This Row],[Tech Start Date]],19),IF(Main[[#This Row],[Class]]="B", WORKDAY(Main[[#This Row],[Tech Start Date]],12),IF(Main[[#This Row],[Class]]="A",WORKDAY(Main[[#This Row],[Tech Start Date]],4),""))))</f>
        <v/>
      </c>
      <c r="O1022" s="104" t="str">
        <f>IF(Main[[#This Row],[Tech Start Date]]&lt;1/1/1990,"",IF(Main[[#This Row],[Class]]="C",WORKDAY(Main[[#This Row],[Tech Start Date]],23),IF(Main[[#This Row],[Class]]="B", WORKDAY(Main[[#This Row],[Tech Start Date]],15),IF(Main[[#This Row],[Class]]="A",WORKDAY(Main[[#This Row],[Tech Start Date]],5),""))))</f>
        <v/>
      </c>
      <c r="P1022" s="104" t="str">
        <f>IF(Main[[#This Row],[Tech Start Date]]&lt;1/1/1990,"",IF(Main[[#This Row],[Class]]="C",WORKDAY(Main[[#This Row],[Tech Start Date]],28),IF(Main[[#This Row],[Class]]="B", WORKDAY(Main[[#This Row],[Tech Start Date]],19),IF(Main[[#This Row],[Class]]="A",WORKDAY(Main[[#This Row],[Tech Start Date]],9),""))))</f>
        <v/>
      </c>
      <c r="Q1022" s="101">
        <v>40847</v>
      </c>
      <c r="R1022" s="101"/>
      <c r="S1022" s="99" t="s">
        <v>6</v>
      </c>
      <c r="T1022" s="107" t="s">
        <v>4</v>
      </c>
      <c r="U1022" s="99" t="s">
        <v>12</v>
      </c>
      <c r="V1022" s="99" t="s">
        <v>1965</v>
      </c>
      <c r="W1022" s="99" t="s">
        <v>1966</v>
      </c>
    </row>
    <row r="1023" spans="1:23" ht="18.600000000000001" customHeight="1">
      <c r="A1023" s="123" t="str">
        <f>IF(priority(Main[[#This Row],[Comments]])&lt;&gt;0, priority(Main[[#This Row],[Comments]]),"")</f>
        <v/>
      </c>
      <c r="B1023" s="127" t="s">
        <v>1511</v>
      </c>
      <c r="C1023" s="99" t="s">
        <v>4</v>
      </c>
      <c r="D1023" s="100" t="s">
        <v>2547</v>
      </c>
      <c r="E1023" s="101">
        <v>40627.399282407408</v>
      </c>
      <c r="F1023" s="101"/>
      <c r="G1023" s="102" t="str">
        <f>IF(stdProdLT(Main[[#This Row],[Comments]])=0.1,"N/A",IF(stdProdLT(Main[[#This Row],[Comments]])=0,"",stdProdLT(Main[[#This Row],[Comments]])))</f>
        <v/>
      </c>
      <c r="H1023" s="103" t="str">
        <f>IF(AND(Main[[#This Row],[In Stock Date]]&lt;&gt;"",Main[[#This Row],[Revised Due Date]]&lt;&gt;""),Main[[#This Row],[In Stock Date]]-Main[[#This Row],[Revised Due Date]],"")</f>
        <v/>
      </c>
      <c r="I1023" s="99" t="s">
        <v>929</v>
      </c>
      <c r="J1023" s="99" t="s">
        <v>52</v>
      </c>
      <c r="K1023" s="99" t="s">
        <v>1971</v>
      </c>
      <c r="L1023" s="101"/>
      <c r="M1023" s="104" t="str">
        <f>IF(Main[[#This Row],[Tech Start Date]]&lt;1/1/1990,"",IF(Main[[#This Row],[Class]]="C",WORKDAY(Main[[#This Row],[Tech Start Date]],9),IF(Main[[#This Row],[Class]]="B", WORKDAY(Main[[#This Row],[Tech Start Date]],6),IF(Main[[#This Row],[Class]]="A",WORKDAY(Main[[#This Row],[Tech Start Date]],2),""))))</f>
        <v/>
      </c>
      <c r="N1023" s="104" t="str">
        <f>IF(Main[[#This Row],[Tech Start Date]]&lt;1/1/1990,"",IF(Main[[#This Row],[Class]]="C",WORKDAY(Main[[#This Row],[Tech Start Date]],19),IF(Main[[#This Row],[Class]]="B", WORKDAY(Main[[#This Row],[Tech Start Date]],12),IF(Main[[#This Row],[Class]]="A",WORKDAY(Main[[#This Row],[Tech Start Date]],4),""))))</f>
        <v/>
      </c>
      <c r="O1023" s="104" t="str">
        <f>IF(Main[[#This Row],[Tech Start Date]]&lt;1/1/1990,"",IF(Main[[#This Row],[Class]]="C",WORKDAY(Main[[#This Row],[Tech Start Date]],23),IF(Main[[#This Row],[Class]]="B", WORKDAY(Main[[#This Row],[Tech Start Date]],15),IF(Main[[#This Row],[Class]]="A",WORKDAY(Main[[#This Row],[Tech Start Date]],5),""))))</f>
        <v/>
      </c>
      <c r="P1023" s="104" t="str">
        <f>IF(Main[[#This Row],[Tech Start Date]]&lt;1/1/1990,"",IF(Main[[#This Row],[Class]]="C",WORKDAY(Main[[#This Row],[Tech Start Date]],28),IF(Main[[#This Row],[Class]]="B", WORKDAY(Main[[#This Row],[Tech Start Date]],19),IF(Main[[#This Row],[Class]]="A",WORKDAY(Main[[#This Row],[Tech Start Date]],9),""))))</f>
        <v/>
      </c>
      <c r="Q1023" s="101">
        <v>40632</v>
      </c>
      <c r="R1023" s="101"/>
      <c r="S1023" s="99" t="s">
        <v>6</v>
      </c>
      <c r="T1023" s="107" t="s">
        <v>4</v>
      </c>
      <c r="U1023" s="99" t="s">
        <v>29</v>
      </c>
      <c r="V1023" s="99" t="s">
        <v>1962</v>
      </c>
      <c r="W1023" s="99" t="s">
        <v>1966</v>
      </c>
    </row>
    <row r="1024" spans="1:23" ht="18.600000000000001" customHeight="1">
      <c r="A1024" s="123" t="str">
        <f>IF(priority(Main[[#This Row],[Comments]])&lt;&gt;0, priority(Main[[#This Row],[Comments]]),"")</f>
        <v/>
      </c>
      <c r="B1024" s="127" t="s">
        <v>1419</v>
      </c>
      <c r="C1024" s="99" t="s">
        <v>4</v>
      </c>
      <c r="D1024" s="100" t="s">
        <v>2548</v>
      </c>
      <c r="E1024" s="101">
        <v>40555.34138888889</v>
      </c>
      <c r="F1024" s="101">
        <v>40592</v>
      </c>
      <c r="G1024" s="102" t="str">
        <f>IF(stdProdLT(Main[[#This Row],[Comments]])=0.1,"N/A",IF(stdProdLT(Main[[#This Row],[Comments]])=0,"",stdProdLT(Main[[#This Row],[Comments]])))</f>
        <v/>
      </c>
      <c r="H1024" s="103" t="str">
        <f>IF(AND(Main[[#This Row],[In Stock Date]]&lt;&gt;"",Main[[#This Row],[Revised Due Date]]&lt;&gt;""),Main[[#This Row],[In Stock Date]]-Main[[#This Row],[Revised Due Date]],"")</f>
        <v/>
      </c>
      <c r="I1024" s="99" t="s">
        <v>929</v>
      </c>
      <c r="J1024" s="99" t="s">
        <v>52</v>
      </c>
      <c r="K1024" s="99" t="s">
        <v>1969</v>
      </c>
      <c r="L1024" s="101"/>
      <c r="M1024" s="104" t="str">
        <f>IF(Main[[#This Row],[Tech Start Date]]&lt;1/1/1990,"",IF(Main[[#This Row],[Class]]="C",WORKDAY(Main[[#This Row],[Tech Start Date]],9),IF(Main[[#This Row],[Class]]="B", WORKDAY(Main[[#This Row],[Tech Start Date]],6),IF(Main[[#This Row],[Class]]="A",WORKDAY(Main[[#This Row],[Tech Start Date]],2),""))))</f>
        <v/>
      </c>
      <c r="N1024" s="104" t="str">
        <f>IF(Main[[#This Row],[Tech Start Date]]&lt;1/1/1990,"",IF(Main[[#This Row],[Class]]="C",WORKDAY(Main[[#This Row],[Tech Start Date]],19),IF(Main[[#This Row],[Class]]="B", WORKDAY(Main[[#This Row],[Tech Start Date]],12),IF(Main[[#This Row],[Class]]="A",WORKDAY(Main[[#This Row],[Tech Start Date]],4),""))))</f>
        <v/>
      </c>
      <c r="O1024" s="104" t="str">
        <f>IF(Main[[#This Row],[Tech Start Date]]&lt;1/1/1990,"",IF(Main[[#This Row],[Class]]="C",WORKDAY(Main[[#This Row],[Tech Start Date]],23),IF(Main[[#This Row],[Class]]="B", WORKDAY(Main[[#This Row],[Tech Start Date]],15),IF(Main[[#This Row],[Class]]="A",WORKDAY(Main[[#This Row],[Tech Start Date]],5),""))))</f>
        <v/>
      </c>
      <c r="P1024" s="104" t="str">
        <f>IF(Main[[#This Row],[Tech Start Date]]&lt;1/1/1990,"",IF(Main[[#This Row],[Class]]="C",WORKDAY(Main[[#This Row],[Tech Start Date]],28),IF(Main[[#This Row],[Class]]="B", WORKDAY(Main[[#This Row],[Tech Start Date]],19),IF(Main[[#This Row],[Class]]="A",WORKDAY(Main[[#This Row],[Tech Start Date]],9),""))))</f>
        <v/>
      </c>
      <c r="Q1024" s="101">
        <v>40592</v>
      </c>
      <c r="R1024" s="101"/>
      <c r="S1024" s="99" t="s">
        <v>6</v>
      </c>
      <c r="T1024" s="107" t="s">
        <v>4</v>
      </c>
      <c r="U1024" s="99" t="s">
        <v>29</v>
      </c>
      <c r="V1024" s="99" t="s">
        <v>1962</v>
      </c>
      <c r="W1024" s="99" t="s">
        <v>1964</v>
      </c>
    </row>
    <row r="1025" spans="1:23" ht="18.600000000000001" customHeight="1">
      <c r="A1025" s="123" t="str">
        <f>IF(priority(Main[[#This Row],[Comments]])&lt;&gt;0, priority(Main[[#This Row],[Comments]]),"")</f>
        <v/>
      </c>
      <c r="B1025" s="127" t="s">
        <v>2121</v>
      </c>
      <c r="C1025" s="99" t="s">
        <v>4</v>
      </c>
      <c r="D1025" s="100" t="s">
        <v>2383</v>
      </c>
      <c r="E1025" s="101">
        <v>40758.6172337963</v>
      </c>
      <c r="F1025" s="101"/>
      <c r="G1025" s="102" t="str">
        <f>IF(stdProdLT(Main[[#This Row],[Comments]])=0.1,"N/A",IF(stdProdLT(Main[[#This Row],[Comments]])=0,"",stdProdLT(Main[[#This Row],[Comments]])))</f>
        <v/>
      </c>
      <c r="H1025" s="103" t="str">
        <f>IF(AND(Main[[#This Row],[In Stock Date]]&lt;&gt;"",Main[[#This Row],[Revised Due Date]]&lt;&gt;""),Main[[#This Row],[In Stock Date]]-Main[[#This Row],[Revised Due Date]],"")</f>
        <v/>
      </c>
      <c r="I1025" s="99" t="s">
        <v>536</v>
      </c>
      <c r="J1025" s="99" t="s">
        <v>21</v>
      </c>
      <c r="K1025" s="99" t="s">
        <v>1971</v>
      </c>
      <c r="L1025" s="101"/>
      <c r="M1025" s="104" t="str">
        <f>IF(Main[[#This Row],[Tech Start Date]]&lt;1/1/1990,"",IF(Main[[#This Row],[Class]]="C",WORKDAY(Main[[#This Row],[Tech Start Date]],9),IF(Main[[#This Row],[Class]]="B", WORKDAY(Main[[#This Row],[Tech Start Date]],6),IF(Main[[#This Row],[Class]]="A",WORKDAY(Main[[#This Row],[Tech Start Date]],2),""))))</f>
        <v/>
      </c>
      <c r="N1025" s="104" t="str">
        <f>IF(Main[[#This Row],[Tech Start Date]]&lt;1/1/1990,"",IF(Main[[#This Row],[Class]]="C",WORKDAY(Main[[#This Row],[Tech Start Date]],19),IF(Main[[#This Row],[Class]]="B", WORKDAY(Main[[#This Row],[Tech Start Date]],12),IF(Main[[#This Row],[Class]]="A",WORKDAY(Main[[#This Row],[Tech Start Date]],4),""))))</f>
        <v/>
      </c>
      <c r="O1025" s="104" t="str">
        <f>IF(Main[[#This Row],[Tech Start Date]]&lt;1/1/1990,"",IF(Main[[#This Row],[Class]]="C",WORKDAY(Main[[#This Row],[Tech Start Date]],23),IF(Main[[#This Row],[Class]]="B", WORKDAY(Main[[#This Row],[Tech Start Date]],15),IF(Main[[#This Row],[Class]]="A",WORKDAY(Main[[#This Row],[Tech Start Date]],5),""))))</f>
        <v/>
      </c>
      <c r="P1025" s="104" t="str">
        <f>IF(Main[[#This Row],[Tech Start Date]]&lt;1/1/1990,"",IF(Main[[#This Row],[Class]]="C",WORKDAY(Main[[#This Row],[Tech Start Date]],28),IF(Main[[#This Row],[Class]]="B", WORKDAY(Main[[#This Row],[Tech Start Date]],19),IF(Main[[#This Row],[Class]]="A",WORKDAY(Main[[#This Row],[Tech Start Date]],9),""))))</f>
        <v/>
      </c>
      <c r="Q1025" s="101"/>
      <c r="R1025" s="101"/>
      <c r="S1025" s="99" t="s">
        <v>6</v>
      </c>
      <c r="T1025" s="107" t="s">
        <v>4</v>
      </c>
      <c r="U1025" s="99" t="s">
        <v>29</v>
      </c>
      <c r="V1025" s="99" t="s">
        <v>1965</v>
      </c>
      <c r="W1025" s="99" t="s">
        <v>1966</v>
      </c>
    </row>
    <row r="1026" spans="1:23" ht="18.600000000000001" customHeight="1">
      <c r="A1026" s="123" t="str">
        <f>IF(priority(Main[[#This Row],[Comments]])&lt;&gt;0, priority(Main[[#This Row],[Comments]]),"")</f>
        <v/>
      </c>
      <c r="B1026" s="127" t="s">
        <v>2292</v>
      </c>
      <c r="C1026" s="99" t="s">
        <v>4</v>
      </c>
      <c r="D1026" s="100" t="s">
        <v>2549</v>
      </c>
      <c r="E1026" s="101">
        <v>40798.679803240739</v>
      </c>
      <c r="F1026" s="101"/>
      <c r="G1026" s="102" t="str">
        <f>IF(stdProdLT(Main[[#This Row],[Comments]])=0.1,"N/A",IF(stdProdLT(Main[[#This Row],[Comments]])=0,"",stdProdLT(Main[[#This Row],[Comments]])))</f>
        <v/>
      </c>
      <c r="H1026" s="103" t="str">
        <f>IF(AND(Main[[#This Row],[In Stock Date]]&lt;&gt;"",Main[[#This Row],[Revised Due Date]]&lt;&gt;""),Main[[#This Row],[In Stock Date]]-Main[[#This Row],[Revised Due Date]],"")</f>
        <v/>
      </c>
      <c r="I1026" s="99" t="s">
        <v>778</v>
      </c>
      <c r="J1026" s="99" t="s">
        <v>52</v>
      </c>
      <c r="K1026" s="99" t="s">
        <v>1971</v>
      </c>
      <c r="L1026" s="101"/>
      <c r="M1026" s="104" t="str">
        <f>IF(Main[[#This Row],[Tech Start Date]]&lt;1/1/1990,"",IF(Main[[#This Row],[Class]]="C",WORKDAY(Main[[#This Row],[Tech Start Date]],9),IF(Main[[#This Row],[Class]]="B", WORKDAY(Main[[#This Row],[Tech Start Date]],6),IF(Main[[#This Row],[Class]]="A",WORKDAY(Main[[#This Row],[Tech Start Date]],2),""))))</f>
        <v/>
      </c>
      <c r="N1026" s="104" t="str">
        <f>IF(Main[[#This Row],[Tech Start Date]]&lt;1/1/1990,"",IF(Main[[#This Row],[Class]]="C",WORKDAY(Main[[#This Row],[Tech Start Date]],19),IF(Main[[#This Row],[Class]]="B", WORKDAY(Main[[#This Row],[Tech Start Date]],12),IF(Main[[#This Row],[Class]]="A",WORKDAY(Main[[#This Row],[Tech Start Date]],4),""))))</f>
        <v/>
      </c>
      <c r="O1026" s="104" t="str">
        <f>IF(Main[[#This Row],[Tech Start Date]]&lt;1/1/1990,"",IF(Main[[#This Row],[Class]]="C",WORKDAY(Main[[#This Row],[Tech Start Date]],23),IF(Main[[#This Row],[Class]]="B", WORKDAY(Main[[#This Row],[Tech Start Date]],15),IF(Main[[#This Row],[Class]]="A",WORKDAY(Main[[#This Row],[Tech Start Date]],5),""))))</f>
        <v/>
      </c>
      <c r="P1026" s="104" t="str">
        <f>IF(Main[[#This Row],[Tech Start Date]]&lt;1/1/1990,"",IF(Main[[#This Row],[Class]]="C",WORKDAY(Main[[#This Row],[Tech Start Date]],28),IF(Main[[#This Row],[Class]]="B", WORKDAY(Main[[#This Row],[Tech Start Date]],19),IF(Main[[#This Row],[Class]]="A",WORKDAY(Main[[#This Row],[Tech Start Date]],9),""))))</f>
        <v/>
      </c>
      <c r="Q1026" s="101">
        <v>40847</v>
      </c>
      <c r="R1026" s="101"/>
      <c r="S1026" s="99" t="s">
        <v>6</v>
      </c>
      <c r="T1026" s="107" t="s">
        <v>4</v>
      </c>
      <c r="U1026" s="99" t="s">
        <v>29</v>
      </c>
      <c r="V1026" s="99" t="s">
        <v>1965</v>
      </c>
      <c r="W1026" s="99" t="s">
        <v>1966</v>
      </c>
    </row>
    <row r="1027" spans="1:23" ht="18.600000000000001" customHeight="1">
      <c r="A1027" s="123" t="str">
        <f>IF(priority(Main[[#This Row],[Comments]])&lt;&gt;0, priority(Main[[#This Row],[Comments]]),"")</f>
        <v/>
      </c>
      <c r="B1027" s="127" t="s">
        <v>2550</v>
      </c>
      <c r="C1027" s="99" t="s">
        <v>4</v>
      </c>
      <c r="D1027" s="100" t="s">
        <v>2551</v>
      </c>
      <c r="E1027" s="101">
        <v>40843.719166666669</v>
      </c>
      <c r="F1027" s="101"/>
      <c r="G1027" s="102" t="str">
        <f>IF(stdProdLT(Main[[#This Row],[Comments]])=0.1,"N/A",IF(stdProdLT(Main[[#This Row],[Comments]])=0,"",stdProdLT(Main[[#This Row],[Comments]])))</f>
        <v/>
      </c>
      <c r="H1027" s="103" t="str">
        <f>IF(AND(Main[[#This Row],[In Stock Date]]&lt;&gt;"",Main[[#This Row],[Revised Due Date]]&lt;&gt;""),Main[[#This Row],[In Stock Date]]-Main[[#This Row],[Revised Due Date]],"")</f>
        <v/>
      </c>
      <c r="I1027" s="99" t="s">
        <v>4</v>
      </c>
      <c r="J1027" s="99" t="s">
        <v>51</v>
      </c>
      <c r="K1027" s="99" t="s">
        <v>4</v>
      </c>
      <c r="L1027" s="101"/>
      <c r="M1027" s="104" t="str">
        <f>IF(Main[[#This Row],[Tech Start Date]]&lt;1/1/1990,"",IF(Main[[#This Row],[Class]]="C",WORKDAY(Main[[#This Row],[Tech Start Date]],9),IF(Main[[#This Row],[Class]]="B", WORKDAY(Main[[#This Row],[Tech Start Date]],6),IF(Main[[#This Row],[Class]]="A",WORKDAY(Main[[#This Row],[Tech Start Date]],2),""))))</f>
        <v/>
      </c>
      <c r="N1027" s="104" t="str">
        <f>IF(Main[[#This Row],[Tech Start Date]]&lt;1/1/1990,"",IF(Main[[#This Row],[Class]]="C",WORKDAY(Main[[#This Row],[Tech Start Date]],19),IF(Main[[#This Row],[Class]]="B", WORKDAY(Main[[#This Row],[Tech Start Date]],12),IF(Main[[#This Row],[Class]]="A",WORKDAY(Main[[#This Row],[Tech Start Date]],4),""))))</f>
        <v/>
      </c>
      <c r="O1027" s="104" t="str">
        <f>IF(Main[[#This Row],[Tech Start Date]]&lt;1/1/1990,"",IF(Main[[#This Row],[Class]]="C",WORKDAY(Main[[#This Row],[Tech Start Date]],23),IF(Main[[#This Row],[Class]]="B", WORKDAY(Main[[#This Row],[Tech Start Date]],15),IF(Main[[#This Row],[Class]]="A",WORKDAY(Main[[#This Row],[Tech Start Date]],5),""))))</f>
        <v/>
      </c>
      <c r="P1027" s="104" t="str">
        <f>IF(Main[[#This Row],[Tech Start Date]]&lt;1/1/1990,"",IF(Main[[#This Row],[Class]]="C",WORKDAY(Main[[#This Row],[Tech Start Date]],28),IF(Main[[#This Row],[Class]]="B", WORKDAY(Main[[#This Row],[Tech Start Date]],19),IF(Main[[#This Row],[Class]]="A",WORKDAY(Main[[#This Row],[Tech Start Date]],9),""))))</f>
        <v/>
      </c>
      <c r="Q1027" s="101"/>
      <c r="R1027" s="101"/>
      <c r="S1027" s="99" t="s">
        <v>6</v>
      </c>
      <c r="T1027" s="107" t="s">
        <v>2552</v>
      </c>
      <c r="U1027" s="99" t="s">
        <v>540</v>
      </c>
      <c r="V1027" s="99" t="s">
        <v>1962</v>
      </c>
      <c r="W1027" s="99" t="s">
        <v>1968</v>
      </c>
    </row>
    <row r="1028" spans="1:23" ht="18.600000000000001" customHeight="1">
      <c r="A1028" s="123" t="str">
        <f>IF(priority(Main[[#This Row],[Comments]])&lt;&gt;0, priority(Main[[#This Row],[Comments]]),"")</f>
        <v/>
      </c>
      <c r="B1028" s="127" t="s">
        <v>2138</v>
      </c>
      <c r="C1028" s="99" t="s">
        <v>4</v>
      </c>
      <c r="D1028" s="100" t="s">
        <v>2139</v>
      </c>
      <c r="E1028" s="101"/>
      <c r="F1028" s="101"/>
      <c r="G1028" s="102" t="str">
        <f>IF(stdProdLT(Main[[#This Row],[Comments]])=0.1,"N/A",IF(stdProdLT(Main[[#This Row],[Comments]])=0,"",stdProdLT(Main[[#This Row],[Comments]])))</f>
        <v/>
      </c>
      <c r="H1028" s="103" t="str">
        <f>IF(AND(Main[[#This Row],[In Stock Date]]&lt;&gt;"",Main[[#This Row],[Revised Due Date]]&lt;&gt;""),Main[[#This Row],[In Stock Date]]-Main[[#This Row],[Revised Due Date]],"")</f>
        <v/>
      </c>
      <c r="I1028" s="99" t="s">
        <v>4</v>
      </c>
      <c r="J1028" s="99" t="s">
        <v>4</v>
      </c>
      <c r="K1028" s="99" t="s">
        <v>4</v>
      </c>
      <c r="L1028" s="101"/>
      <c r="M1028" s="104" t="str">
        <f>IF(Main[[#This Row],[Tech Start Date]]&lt;1/1/1990,"",IF(Main[[#This Row],[Class]]="C",WORKDAY(Main[[#This Row],[Tech Start Date]],9),IF(Main[[#This Row],[Class]]="B", WORKDAY(Main[[#This Row],[Tech Start Date]],6),IF(Main[[#This Row],[Class]]="A",WORKDAY(Main[[#This Row],[Tech Start Date]],2),""))))</f>
        <v/>
      </c>
      <c r="N1028" s="104" t="str">
        <f>IF(Main[[#This Row],[Tech Start Date]]&lt;1/1/1990,"",IF(Main[[#This Row],[Class]]="C",WORKDAY(Main[[#This Row],[Tech Start Date]],19),IF(Main[[#This Row],[Class]]="B", WORKDAY(Main[[#This Row],[Tech Start Date]],12),IF(Main[[#This Row],[Class]]="A",WORKDAY(Main[[#This Row],[Tech Start Date]],4),""))))</f>
        <v/>
      </c>
      <c r="O1028" s="104" t="str">
        <f>IF(Main[[#This Row],[Tech Start Date]]&lt;1/1/1990,"",IF(Main[[#This Row],[Class]]="C",WORKDAY(Main[[#This Row],[Tech Start Date]],23),IF(Main[[#This Row],[Class]]="B", WORKDAY(Main[[#This Row],[Tech Start Date]],15),IF(Main[[#This Row],[Class]]="A",WORKDAY(Main[[#This Row],[Tech Start Date]],5),""))))</f>
        <v/>
      </c>
      <c r="P1028" s="104" t="str">
        <f>IF(Main[[#This Row],[Tech Start Date]]&lt;1/1/1990,"",IF(Main[[#This Row],[Class]]="C",WORKDAY(Main[[#This Row],[Tech Start Date]],28),IF(Main[[#This Row],[Class]]="B", WORKDAY(Main[[#This Row],[Tech Start Date]],19),IF(Main[[#This Row],[Class]]="A",WORKDAY(Main[[#This Row],[Tech Start Date]],9),""))))</f>
        <v/>
      </c>
      <c r="Q1028" s="101"/>
      <c r="R1028" s="101"/>
      <c r="S1028" s="99" t="s">
        <v>6</v>
      </c>
      <c r="T1028" s="107" t="s">
        <v>4</v>
      </c>
      <c r="U1028" s="99" t="s">
        <v>14</v>
      </c>
      <c r="V1028" s="99" t="s">
        <v>1962</v>
      </c>
      <c r="W1028" s="99" t="s">
        <v>1966</v>
      </c>
    </row>
    <row r="1029" spans="1:23" ht="18.600000000000001" customHeight="1">
      <c r="A1029" s="123" t="str">
        <f>IF(priority(Main[[#This Row],[Comments]])&lt;&gt;0, priority(Main[[#This Row],[Comments]]),"")</f>
        <v/>
      </c>
      <c r="B1029" s="127" t="s">
        <v>1798</v>
      </c>
      <c r="C1029" s="99" t="s">
        <v>4</v>
      </c>
      <c r="D1029" s="100" t="s">
        <v>2553</v>
      </c>
      <c r="E1029" s="101">
        <v>40616.425347222219</v>
      </c>
      <c r="F1029" s="101"/>
      <c r="G1029" s="102" t="str">
        <f>IF(stdProdLT(Main[[#This Row],[Comments]])=0.1,"N/A",IF(stdProdLT(Main[[#This Row],[Comments]])=0,"",stdProdLT(Main[[#This Row],[Comments]])))</f>
        <v/>
      </c>
      <c r="H1029" s="103" t="str">
        <f>IF(AND(Main[[#This Row],[In Stock Date]]&lt;&gt;"",Main[[#This Row],[Revised Due Date]]&lt;&gt;""),Main[[#This Row],[In Stock Date]]-Main[[#This Row],[Revised Due Date]],"")</f>
        <v/>
      </c>
      <c r="I1029" s="99" t="s">
        <v>929</v>
      </c>
      <c r="J1029" s="99" t="s">
        <v>52</v>
      </c>
      <c r="K1029" s="99" t="s">
        <v>1971</v>
      </c>
      <c r="L1029" s="101"/>
      <c r="M1029" s="104" t="str">
        <f>IF(Main[[#This Row],[Tech Start Date]]&lt;1/1/1990,"",IF(Main[[#This Row],[Class]]="C",WORKDAY(Main[[#This Row],[Tech Start Date]],9),IF(Main[[#This Row],[Class]]="B", WORKDAY(Main[[#This Row],[Tech Start Date]],6),IF(Main[[#This Row],[Class]]="A",WORKDAY(Main[[#This Row],[Tech Start Date]],2),""))))</f>
        <v/>
      </c>
      <c r="N1029" s="104" t="str">
        <f>IF(Main[[#This Row],[Tech Start Date]]&lt;1/1/1990,"",IF(Main[[#This Row],[Class]]="C",WORKDAY(Main[[#This Row],[Tech Start Date]],19),IF(Main[[#This Row],[Class]]="B", WORKDAY(Main[[#This Row],[Tech Start Date]],12),IF(Main[[#This Row],[Class]]="A",WORKDAY(Main[[#This Row],[Tech Start Date]],4),""))))</f>
        <v/>
      </c>
      <c r="O1029" s="104" t="str">
        <f>IF(Main[[#This Row],[Tech Start Date]]&lt;1/1/1990,"",IF(Main[[#This Row],[Class]]="C",WORKDAY(Main[[#This Row],[Tech Start Date]],23),IF(Main[[#This Row],[Class]]="B", WORKDAY(Main[[#This Row],[Tech Start Date]],15),IF(Main[[#This Row],[Class]]="A",WORKDAY(Main[[#This Row],[Tech Start Date]],5),""))))</f>
        <v/>
      </c>
      <c r="P1029" s="104" t="str">
        <f>IF(Main[[#This Row],[Tech Start Date]]&lt;1/1/1990,"",IF(Main[[#This Row],[Class]]="C",WORKDAY(Main[[#This Row],[Tech Start Date]],28),IF(Main[[#This Row],[Class]]="B", WORKDAY(Main[[#This Row],[Tech Start Date]],19),IF(Main[[#This Row],[Class]]="A",WORKDAY(Main[[#This Row],[Tech Start Date]],9),""))))</f>
        <v/>
      </c>
      <c r="Q1029" s="101"/>
      <c r="R1029" s="101"/>
      <c r="S1029" s="99" t="s">
        <v>6</v>
      </c>
      <c r="T1029" s="107" t="s">
        <v>4</v>
      </c>
      <c r="U1029" s="99" t="s">
        <v>29</v>
      </c>
      <c r="V1029" s="99" t="s">
        <v>1962</v>
      </c>
      <c r="W1029" s="99" t="s">
        <v>1966</v>
      </c>
    </row>
    <row r="1030" spans="1:23" ht="18.600000000000001" customHeight="1">
      <c r="A1030" s="123" t="str">
        <f>IF(priority(Main[[#This Row],[Comments]])&lt;&gt;0, priority(Main[[#This Row],[Comments]]),"")</f>
        <v/>
      </c>
      <c r="B1030" s="127" t="s">
        <v>2341</v>
      </c>
      <c r="C1030" s="99" t="s">
        <v>4</v>
      </c>
      <c r="D1030" s="100" t="s">
        <v>2342</v>
      </c>
      <c r="E1030" s="101">
        <v>40808.345057870371</v>
      </c>
      <c r="F1030" s="101"/>
      <c r="G1030" s="102" t="str">
        <f>IF(stdProdLT(Main[[#This Row],[Comments]])=0.1,"N/A",IF(stdProdLT(Main[[#This Row],[Comments]])=0,"",stdProdLT(Main[[#This Row],[Comments]])))</f>
        <v/>
      </c>
      <c r="H1030" s="103" t="str">
        <f>IF(AND(Main[[#This Row],[In Stock Date]]&lt;&gt;"",Main[[#This Row],[Revised Due Date]]&lt;&gt;""),Main[[#This Row],[In Stock Date]]-Main[[#This Row],[Revised Due Date]],"")</f>
        <v/>
      </c>
      <c r="I1030" s="99" t="s">
        <v>4</v>
      </c>
      <c r="J1030" s="99" t="s">
        <v>4</v>
      </c>
      <c r="K1030" s="99" t="s">
        <v>4</v>
      </c>
      <c r="L1030" s="101"/>
      <c r="M1030" s="104" t="str">
        <f>IF(Main[[#This Row],[Tech Start Date]]&lt;1/1/1990,"",IF(Main[[#This Row],[Class]]="C",WORKDAY(Main[[#This Row],[Tech Start Date]],9),IF(Main[[#This Row],[Class]]="B", WORKDAY(Main[[#This Row],[Tech Start Date]],6),IF(Main[[#This Row],[Class]]="A",WORKDAY(Main[[#This Row],[Tech Start Date]],2),""))))</f>
        <v/>
      </c>
      <c r="N1030" s="104" t="str">
        <f>IF(Main[[#This Row],[Tech Start Date]]&lt;1/1/1990,"",IF(Main[[#This Row],[Class]]="C",WORKDAY(Main[[#This Row],[Tech Start Date]],19),IF(Main[[#This Row],[Class]]="B", WORKDAY(Main[[#This Row],[Tech Start Date]],12),IF(Main[[#This Row],[Class]]="A",WORKDAY(Main[[#This Row],[Tech Start Date]],4),""))))</f>
        <v/>
      </c>
      <c r="O1030" s="104" t="str">
        <f>IF(Main[[#This Row],[Tech Start Date]]&lt;1/1/1990,"",IF(Main[[#This Row],[Class]]="C",WORKDAY(Main[[#This Row],[Tech Start Date]],23),IF(Main[[#This Row],[Class]]="B", WORKDAY(Main[[#This Row],[Tech Start Date]],15),IF(Main[[#This Row],[Class]]="A",WORKDAY(Main[[#This Row],[Tech Start Date]],5),""))))</f>
        <v/>
      </c>
      <c r="P1030" s="104" t="str">
        <f>IF(Main[[#This Row],[Tech Start Date]]&lt;1/1/1990,"",IF(Main[[#This Row],[Class]]="C",WORKDAY(Main[[#This Row],[Tech Start Date]],28),IF(Main[[#This Row],[Class]]="B", WORKDAY(Main[[#This Row],[Tech Start Date]],19),IF(Main[[#This Row],[Class]]="A",WORKDAY(Main[[#This Row],[Tech Start Date]],9),""))))</f>
        <v/>
      </c>
      <c r="Q1030" s="101"/>
      <c r="R1030" s="101"/>
      <c r="S1030" s="99" t="s">
        <v>17</v>
      </c>
      <c r="T1030" s="107" t="s">
        <v>4</v>
      </c>
      <c r="U1030" s="99" t="s">
        <v>7</v>
      </c>
      <c r="V1030" s="99" t="s">
        <v>1972</v>
      </c>
      <c r="W1030" s="99" t="s">
        <v>1964</v>
      </c>
    </row>
    <row r="1031" spans="1:23" ht="18.600000000000001" customHeight="1">
      <c r="A1031" s="123" t="str">
        <f>IF(priority(Main[[#This Row],[Comments]])&lt;&gt;0, priority(Main[[#This Row],[Comments]]),"")</f>
        <v/>
      </c>
      <c r="B1031" s="127" t="s">
        <v>2312</v>
      </c>
      <c r="C1031" s="99" t="s">
        <v>4</v>
      </c>
      <c r="D1031" s="100" t="s">
        <v>2313</v>
      </c>
      <c r="E1031" s="101"/>
      <c r="F1031" s="101"/>
      <c r="G1031" s="102" t="str">
        <f>IF(stdProdLT(Main[[#This Row],[Comments]])=0.1,"N/A",IF(stdProdLT(Main[[#This Row],[Comments]])=0,"",stdProdLT(Main[[#This Row],[Comments]])))</f>
        <v/>
      </c>
      <c r="H1031" s="103" t="str">
        <f>IF(AND(Main[[#This Row],[In Stock Date]]&lt;&gt;"",Main[[#This Row],[Revised Due Date]]&lt;&gt;""),Main[[#This Row],[In Stock Date]]-Main[[#This Row],[Revised Due Date]],"")</f>
        <v/>
      </c>
      <c r="I1031" s="99" t="s">
        <v>4</v>
      </c>
      <c r="J1031" s="99" t="s">
        <v>4</v>
      </c>
      <c r="K1031" s="99" t="s">
        <v>4</v>
      </c>
      <c r="L1031" s="101"/>
      <c r="M1031" s="104" t="str">
        <f>IF(Main[[#This Row],[Tech Start Date]]&lt;1/1/1990,"",IF(Main[[#This Row],[Class]]="C",WORKDAY(Main[[#This Row],[Tech Start Date]],9),IF(Main[[#This Row],[Class]]="B", WORKDAY(Main[[#This Row],[Tech Start Date]],6),IF(Main[[#This Row],[Class]]="A",WORKDAY(Main[[#This Row],[Tech Start Date]],2),""))))</f>
        <v/>
      </c>
      <c r="N1031" s="104" t="str">
        <f>IF(Main[[#This Row],[Tech Start Date]]&lt;1/1/1990,"",IF(Main[[#This Row],[Class]]="C",WORKDAY(Main[[#This Row],[Tech Start Date]],19),IF(Main[[#This Row],[Class]]="B", WORKDAY(Main[[#This Row],[Tech Start Date]],12),IF(Main[[#This Row],[Class]]="A",WORKDAY(Main[[#This Row],[Tech Start Date]],4),""))))</f>
        <v/>
      </c>
      <c r="O1031" s="104" t="str">
        <f>IF(Main[[#This Row],[Tech Start Date]]&lt;1/1/1990,"",IF(Main[[#This Row],[Class]]="C",WORKDAY(Main[[#This Row],[Tech Start Date]],23),IF(Main[[#This Row],[Class]]="B", WORKDAY(Main[[#This Row],[Tech Start Date]],15),IF(Main[[#This Row],[Class]]="A",WORKDAY(Main[[#This Row],[Tech Start Date]],5),""))))</f>
        <v/>
      </c>
      <c r="P1031" s="104" t="str">
        <f>IF(Main[[#This Row],[Tech Start Date]]&lt;1/1/1990,"",IF(Main[[#This Row],[Class]]="C",WORKDAY(Main[[#This Row],[Tech Start Date]],28),IF(Main[[#This Row],[Class]]="B", WORKDAY(Main[[#This Row],[Tech Start Date]],19),IF(Main[[#This Row],[Class]]="A",WORKDAY(Main[[#This Row],[Tech Start Date]],9),""))))</f>
        <v/>
      </c>
      <c r="Q1031" s="101"/>
      <c r="R1031" s="101"/>
      <c r="S1031" s="99" t="s">
        <v>6</v>
      </c>
      <c r="T1031" s="107" t="s">
        <v>4</v>
      </c>
      <c r="U1031" s="99" t="s">
        <v>14</v>
      </c>
      <c r="V1031" s="99" t="s">
        <v>1965</v>
      </c>
      <c r="W1031" s="99" t="s">
        <v>1966</v>
      </c>
    </row>
    <row r="1032" spans="1:23" ht="18.600000000000001" customHeight="1">
      <c r="A1032" s="123" t="str">
        <f>IF(priority(Main[[#This Row],[Comments]])&lt;&gt;0, priority(Main[[#This Row],[Comments]]),"")</f>
        <v/>
      </c>
      <c r="B1032" s="127" t="s">
        <v>2314</v>
      </c>
      <c r="C1032" s="99" t="s">
        <v>4</v>
      </c>
      <c r="D1032" s="100" t="s">
        <v>2315</v>
      </c>
      <c r="E1032" s="101">
        <v>40801.476770833331</v>
      </c>
      <c r="F1032" s="101"/>
      <c r="G1032" s="102" t="str">
        <f>IF(stdProdLT(Main[[#This Row],[Comments]])=0.1,"N/A",IF(stdProdLT(Main[[#This Row],[Comments]])=0,"",stdProdLT(Main[[#This Row],[Comments]])))</f>
        <v/>
      </c>
      <c r="H1032" s="103" t="str">
        <f>IF(AND(Main[[#This Row],[In Stock Date]]&lt;&gt;"",Main[[#This Row],[Revised Due Date]]&lt;&gt;""),Main[[#This Row],[In Stock Date]]-Main[[#This Row],[Revised Due Date]],"")</f>
        <v/>
      </c>
      <c r="I1032" s="99" t="s">
        <v>4</v>
      </c>
      <c r="J1032" s="99" t="s">
        <v>4</v>
      </c>
      <c r="K1032" s="99" t="s">
        <v>4</v>
      </c>
      <c r="L1032" s="101"/>
      <c r="M1032" s="104" t="str">
        <f>IF(Main[[#This Row],[Tech Start Date]]&lt;1/1/1990,"",IF(Main[[#This Row],[Class]]="C",WORKDAY(Main[[#This Row],[Tech Start Date]],9),IF(Main[[#This Row],[Class]]="B", WORKDAY(Main[[#This Row],[Tech Start Date]],6),IF(Main[[#This Row],[Class]]="A",WORKDAY(Main[[#This Row],[Tech Start Date]],2),""))))</f>
        <v/>
      </c>
      <c r="N1032" s="104" t="str">
        <f>IF(Main[[#This Row],[Tech Start Date]]&lt;1/1/1990,"",IF(Main[[#This Row],[Class]]="C",WORKDAY(Main[[#This Row],[Tech Start Date]],19),IF(Main[[#This Row],[Class]]="B", WORKDAY(Main[[#This Row],[Tech Start Date]],12),IF(Main[[#This Row],[Class]]="A",WORKDAY(Main[[#This Row],[Tech Start Date]],4),""))))</f>
        <v/>
      </c>
      <c r="O1032" s="104" t="str">
        <f>IF(Main[[#This Row],[Tech Start Date]]&lt;1/1/1990,"",IF(Main[[#This Row],[Class]]="C",WORKDAY(Main[[#This Row],[Tech Start Date]],23),IF(Main[[#This Row],[Class]]="B", WORKDAY(Main[[#This Row],[Tech Start Date]],15),IF(Main[[#This Row],[Class]]="A",WORKDAY(Main[[#This Row],[Tech Start Date]],5),""))))</f>
        <v/>
      </c>
      <c r="P1032" s="104" t="str">
        <f>IF(Main[[#This Row],[Tech Start Date]]&lt;1/1/1990,"",IF(Main[[#This Row],[Class]]="C",WORKDAY(Main[[#This Row],[Tech Start Date]],28),IF(Main[[#This Row],[Class]]="B", WORKDAY(Main[[#This Row],[Tech Start Date]],19),IF(Main[[#This Row],[Class]]="A",WORKDAY(Main[[#This Row],[Tech Start Date]],9),""))))</f>
        <v/>
      </c>
      <c r="Q1032" s="101">
        <v>40828</v>
      </c>
      <c r="R1032" s="101"/>
      <c r="S1032" s="99" t="s">
        <v>6</v>
      </c>
      <c r="T1032" s="107" t="s">
        <v>4</v>
      </c>
      <c r="U1032" s="99" t="s">
        <v>7</v>
      </c>
      <c r="V1032" s="99" t="s">
        <v>1962</v>
      </c>
      <c r="W1032" s="99" t="s">
        <v>1970</v>
      </c>
    </row>
    <row r="1033" spans="1:23" ht="18.600000000000001" customHeight="1">
      <c r="A1033" s="123" t="str">
        <f>IF(priority(Main[[#This Row],[Comments]])&lt;&gt;0, priority(Main[[#This Row],[Comments]]),"")</f>
        <v/>
      </c>
      <c r="B1033" s="127" t="s">
        <v>1208</v>
      </c>
      <c r="C1033" s="99" t="s">
        <v>4</v>
      </c>
      <c r="D1033" s="100" t="s">
        <v>232</v>
      </c>
      <c r="E1033" s="101">
        <v>40847.6950462963</v>
      </c>
      <c r="F1033" s="101"/>
      <c r="G1033" s="102" t="str">
        <f>IF(stdProdLT(Main[[#This Row],[Comments]])=0.1,"N/A",IF(stdProdLT(Main[[#This Row],[Comments]])=0,"",stdProdLT(Main[[#This Row],[Comments]])))</f>
        <v/>
      </c>
      <c r="H1033" s="103" t="str">
        <f>IF(AND(Main[[#This Row],[In Stock Date]]&lt;&gt;"",Main[[#This Row],[Revised Due Date]]&lt;&gt;""),Main[[#This Row],[In Stock Date]]-Main[[#This Row],[Revised Due Date]],"")</f>
        <v/>
      </c>
      <c r="I1033" s="99" t="s">
        <v>4</v>
      </c>
      <c r="J1033" s="99" t="s">
        <v>4</v>
      </c>
      <c r="K1033" s="99" t="s">
        <v>4</v>
      </c>
      <c r="L1033" s="101"/>
      <c r="M1033" s="104" t="str">
        <f>IF(Main[[#This Row],[Tech Start Date]]&lt;1/1/1990,"",IF(Main[[#This Row],[Class]]="C",WORKDAY(Main[[#This Row],[Tech Start Date]],9),IF(Main[[#This Row],[Class]]="B", WORKDAY(Main[[#This Row],[Tech Start Date]],6),IF(Main[[#This Row],[Class]]="A",WORKDAY(Main[[#This Row],[Tech Start Date]],2),""))))</f>
        <v/>
      </c>
      <c r="N1033" s="104" t="str">
        <f>IF(Main[[#This Row],[Tech Start Date]]&lt;1/1/1990,"",IF(Main[[#This Row],[Class]]="C",WORKDAY(Main[[#This Row],[Tech Start Date]],19),IF(Main[[#This Row],[Class]]="B", WORKDAY(Main[[#This Row],[Tech Start Date]],12),IF(Main[[#This Row],[Class]]="A",WORKDAY(Main[[#This Row],[Tech Start Date]],4),""))))</f>
        <v/>
      </c>
      <c r="O1033" s="104" t="str">
        <f>IF(Main[[#This Row],[Tech Start Date]]&lt;1/1/1990,"",IF(Main[[#This Row],[Class]]="C",WORKDAY(Main[[#This Row],[Tech Start Date]],23),IF(Main[[#This Row],[Class]]="B", WORKDAY(Main[[#This Row],[Tech Start Date]],15),IF(Main[[#This Row],[Class]]="A",WORKDAY(Main[[#This Row],[Tech Start Date]],5),""))))</f>
        <v/>
      </c>
      <c r="P1033" s="104" t="str">
        <f>IF(Main[[#This Row],[Tech Start Date]]&lt;1/1/1990,"",IF(Main[[#This Row],[Class]]="C",WORKDAY(Main[[#This Row],[Tech Start Date]],28),IF(Main[[#This Row],[Class]]="B", WORKDAY(Main[[#This Row],[Tech Start Date]],19),IF(Main[[#This Row],[Class]]="A",WORKDAY(Main[[#This Row],[Tech Start Date]],9),""))))</f>
        <v/>
      </c>
      <c r="Q1033" s="101"/>
      <c r="R1033" s="101"/>
      <c r="S1033" s="99" t="s">
        <v>49</v>
      </c>
      <c r="T1033" s="107" t="s">
        <v>4</v>
      </c>
      <c r="U1033" s="99" t="s">
        <v>7</v>
      </c>
      <c r="V1033" s="99" t="s">
        <v>1962</v>
      </c>
      <c r="W1033" s="99" t="s">
        <v>1966</v>
      </c>
    </row>
    <row r="1034" spans="1:23" ht="18.600000000000001" customHeight="1">
      <c r="A1034" s="123" t="str">
        <f>IF(priority(Main[[#This Row],[Comments]])&lt;&gt;0, priority(Main[[#This Row],[Comments]]),"")</f>
        <v/>
      </c>
      <c r="B1034" s="127" t="s">
        <v>1795</v>
      </c>
      <c r="C1034" s="99" t="s">
        <v>4</v>
      </c>
      <c r="D1034" s="100" t="s">
        <v>817</v>
      </c>
      <c r="E1034" s="101">
        <v>40584.403622685182</v>
      </c>
      <c r="F1034" s="101">
        <v>40602</v>
      </c>
      <c r="G1034" s="102" t="str">
        <f>IF(stdProdLT(Main[[#This Row],[Comments]])=0.1,"N/A",IF(stdProdLT(Main[[#This Row],[Comments]])=0,"",stdProdLT(Main[[#This Row],[Comments]])))</f>
        <v/>
      </c>
      <c r="H1034" s="103" t="str">
        <f>IF(AND(Main[[#This Row],[In Stock Date]]&lt;&gt;"",Main[[#This Row],[Revised Due Date]]&lt;&gt;""),Main[[#This Row],[In Stock Date]]-Main[[#This Row],[Revised Due Date]],"")</f>
        <v/>
      </c>
      <c r="I1034" s="99" t="s">
        <v>4</v>
      </c>
      <c r="J1034" s="99" t="s">
        <v>28</v>
      </c>
      <c r="K1034" s="99" t="s">
        <v>1974</v>
      </c>
      <c r="L1034" s="101"/>
      <c r="M1034" s="104" t="str">
        <f>IF(Main[[#This Row],[Tech Start Date]]&lt;1/1/1990,"",IF(Main[[#This Row],[Class]]="C",WORKDAY(Main[[#This Row],[Tech Start Date]],9),IF(Main[[#This Row],[Class]]="B", WORKDAY(Main[[#This Row],[Tech Start Date]],6),IF(Main[[#This Row],[Class]]="A",WORKDAY(Main[[#This Row],[Tech Start Date]],2),""))))</f>
        <v/>
      </c>
      <c r="N1034" s="104" t="str">
        <f>IF(Main[[#This Row],[Tech Start Date]]&lt;1/1/1990,"",IF(Main[[#This Row],[Class]]="C",WORKDAY(Main[[#This Row],[Tech Start Date]],19),IF(Main[[#This Row],[Class]]="B", WORKDAY(Main[[#This Row],[Tech Start Date]],12),IF(Main[[#This Row],[Class]]="A",WORKDAY(Main[[#This Row],[Tech Start Date]],4),""))))</f>
        <v/>
      </c>
      <c r="O1034" s="104" t="str">
        <f>IF(Main[[#This Row],[Tech Start Date]]&lt;1/1/1990,"",IF(Main[[#This Row],[Class]]="C",WORKDAY(Main[[#This Row],[Tech Start Date]],23),IF(Main[[#This Row],[Class]]="B", WORKDAY(Main[[#This Row],[Tech Start Date]],15),IF(Main[[#This Row],[Class]]="A",WORKDAY(Main[[#This Row],[Tech Start Date]],5),""))))</f>
        <v/>
      </c>
      <c r="P1034" s="104" t="str">
        <f>IF(Main[[#This Row],[Tech Start Date]]&lt;1/1/1990,"",IF(Main[[#This Row],[Class]]="C",WORKDAY(Main[[#This Row],[Tech Start Date]],28),IF(Main[[#This Row],[Class]]="B", WORKDAY(Main[[#This Row],[Tech Start Date]],19),IF(Main[[#This Row],[Class]]="A",WORKDAY(Main[[#This Row],[Tech Start Date]],9),""))))</f>
        <v/>
      </c>
      <c r="Q1034" s="101">
        <v>40602</v>
      </c>
      <c r="R1034" s="101"/>
      <c r="S1034" s="99" t="s">
        <v>17</v>
      </c>
      <c r="T1034" s="107" t="s">
        <v>4</v>
      </c>
      <c r="U1034" s="99" t="s">
        <v>7</v>
      </c>
      <c r="V1034" s="99" t="s">
        <v>1962</v>
      </c>
      <c r="W1034" s="99" t="s">
        <v>1970</v>
      </c>
    </row>
    <row r="1035" spans="1:23" ht="18.600000000000001" customHeight="1">
      <c r="A1035" s="123" t="str">
        <f>IF(priority(Main[[#This Row],[Comments]])&lt;&gt;0, priority(Main[[#This Row],[Comments]]),"")</f>
        <v/>
      </c>
      <c r="B1035" s="127" t="s">
        <v>1670</v>
      </c>
      <c r="C1035" s="99" t="s">
        <v>79</v>
      </c>
      <c r="D1035" s="100" t="s">
        <v>715</v>
      </c>
      <c r="E1035" s="101">
        <v>40610.683993055558</v>
      </c>
      <c r="F1035" s="101"/>
      <c r="G1035" s="102" t="str">
        <f>IF(stdProdLT(Main[[#This Row],[Comments]])=0.1,"N/A",IF(stdProdLT(Main[[#This Row],[Comments]])=0,"",stdProdLT(Main[[#This Row],[Comments]])))</f>
        <v/>
      </c>
      <c r="H1035" s="103" t="str">
        <f>IF(AND(Main[[#This Row],[In Stock Date]]&lt;&gt;"",Main[[#This Row],[Revised Due Date]]&lt;&gt;""),Main[[#This Row],[In Stock Date]]-Main[[#This Row],[Revised Due Date]],"")</f>
        <v/>
      </c>
      <c r="I1035" s="99" t="s">
        <v>536</v>
      </c>
      <c r="J1035" s="99" t="s">
        <v>28</v>
      </c>
      <c r="K1035" s="99" t="s">
        <v>1974</v>
      </c>
      <c r="L1035" s="101"/>
      <c r="M1035" s="104" t="str">
        <f>IF(Main[[#This Row],[Tech Start Date]]&lt;1/1/1990,"",IF(Main[[#This Row],[Class]]="C",WORKDAY(Main[[#This Row],[Tech Start Date]],9),IF(Main[[#This Row],[Class]]="B", WORKDAY(Main[[#This Row],[Tech Start Date]],6),IF(Main[[#This Row],[Class]]="A",WORKDAY(Main[[#This Row],[Tech Start Date]],2),""))))</f>
        <v/>
      </c>
      <c r="N1035" s="104" t="str">
        <f>IF(Main[[#This Row],[Tech Start Date]]&lt;1/1/1990,"",IF(Main[[#This Row],[Class]]="C",WORKDAY(Main[[#This Row],[Tech Start Date]],19),IF(Main[[#This Row],[Class]]="B", WORKDAY(Main[[#This Row],[Tech Start Date]],12),IF(Main[[#This Row],[Class]]="A",WORKDAY(Main[[#This Row],[Tech Start Date]],4),""))))</f>
        <v/>
      </c>
      <c r="O1035" s="104" t="str">
        <f>IF(Main[[#This Row],[Tech Start Date]]&lt;1/1/1990,"",IF(Main[[#This Row],[Class]]="C",WORKDAY(Main[[#This Row],[Tech Start Date]],23),IF(Main[[#This Row],[Class]]="B", WORKDAY(Main[[#This Row],[Tech Start Date]],15),IF(Main[[#This Row],[Class]]="A",WORKDAY(Main[[#This Row],[Tech Start Date]],5),""))))</f>
        <v/>
      </c>
      <c r="P1035" s="104" t="str">
        <f>IF(Main[[#This Row],[Tech Start Date]]&lt;1/1/1990,"",IF(Main[[#This Row],[Class]]="C",WORKDAY(Main[[#This Row],[Tech Start Date]],28),IF(Main[[#This Row],[Class]]="B", WORKDAY(Main[[#This Row],[Tech Start Date]],19),IF(Main[[#This Row],[Class]]="A",WORKDAY(Main[[#This Row],[Tech Start Date]],9),""))))</f>
        <v/>
      </c>
      <c r="Q1035" s="101">
        <v>40725</v>
      </c>
      <c r="R1035" s="101"/>
      <c r="S1035" s="99" t="s">
        <v>6</v>
      </c>
      <c r="T1035" s="107" t="s">
        <v>4</v>
      </c>
      <c r="U1035" s="99" t="s">
        <v>29</v>
      </c>
      <c r="V1035" s="99" t="s">
        <v>1965</v>
      </c>
      <c r="W1035" s="99" t="s">
        <v>1964</v>
      </c>
    </row>
    <row r="1036" spans="1:23" ht="18.600000000000001" customHeight="1">
      <c r="A1036" s="123" t="str">
        <f>IF(priority(Main[[#This Row],[Comments]])&lt;&gt;0, priority(Main[[#This Row],[Comments]]),"")</f>
        <v/>
      </c>
      <c r="B1036" s="127" t="s">
        <v>1880</v>
      </c>
      <c r="C1036" s="99" t="s">
        <v>42</v>
      </c>
      <c r="D1036" s="100" t="s">
        <v>909</v>
      </c>
      <c r="E1036" s="101">
        <v>39937.597175925926</v>
      </c>
      <c r="F1036" s="101"/>
      <c r="G1036" s="102" t="str">
        <f>IF(stdProdLT(Main[[#This Row],[Comments]])=0.1,"N/A",IF(stdProdLT(Main[[#This Row],[Comments]])=0,"",stdProdLT(Main[[#This Row],[Comments]])))</f>
        <v/>
      </c>
      <c r="H1036" s="103" t="str">
        <f>IF(AND(Main[[#This Row],[In Stock Date]]&lt;&gt;"",Main[[#This Row],[Revised Due Date]]&lt;&gt;""),Main[[#This Row],[In Stock Date]]-Main[[#This Row],[Revised Due Date]],"")</f>
        <v/>
      </c>
      <c r="I1036" s="99" t="s">
        <v>421</v>
      </c>
      <c r="J1036" s="99" t="s">
        <v>4</v>
      </c>
      <c r="K1036" s="99" t="s">
        <v>1974</v>
      </c>
      <c r="L1036" s="101"/>
      <c r="M1036" s="104" t="str">
        <f>IF(Main[[#This Row],[Tech Start Date]]&lt;1/1/1990,"",IF(Main[[#This Row],[Class]]="C",WORKDAY(Main[[#This Row],[Tech Start Date]],9),IF(Main[[#This Row],[Class]]="B", WORKDAY(Main[[#This Row],[Tech Start Date]],6),IF(Main[[#This Row],[Class]]="A",WORKDAY(Main[[#This Row],[Tech Start Date]],2),""))))</f>
        <v/>
      </c>
      <c r="N1036" s="104" t="str">
        <f>IF(Main[[#This Row],[Tech Start Date]]&lt;1/1/1990,"",IF(Main[[#This Row],[Class]]="C",WORKDAY(Main[[#This Row],[Tech Start Date]],19),IF(Main[[#This Row],[Class]]="B", WORKDAY(Main[[#This Row],[Tech Start Date]],12),IF(Main[[#This Row],[Class]]="A",WORKDAY(Main[[#This Row],[Tech Start Date]],4),""))))</f>
        <v/>
      </c>
      <c r="O1036" s="104" t="str">
        <f>IF(Main[[#This Row],[Tech Start Date]]&lt;1/1/1990,"",IF(Main[[#This Row],[Class]]="C",WORKDAY(Main[[#This Row],[Tech Start Date]],23),IF(Main[[#This Row],[Class]]="B", WORKDAY(Main[[#This Row],[Tech Start Date]],15),IF(Main[[#This Row],[Class]]="A",WORKDAY(Main[[#This Row],[Tech Start Date]],5),""))))</f>
        <v/>
      </c>
      <c r="P1036" s="104" t="str">
        <f>IF(Main[[#This Row],[Tech Start Date]]&lt;1/1/1990,"",IF(Main[[#This Row],[Class]]="C",WORKDAY(Main[[#This Row],[Tech Start Date]],28),IF(Main[[#This Row],[Class]]="B", WORKDAY(Main[[#This Row],[Tech Start Date]],19),IF(Main[[#This Row],[Class]]="A",WORKDAY(Main[[#This Row],[Tech Start Date]],9),""))))</f>
        <v/>
      </c>
      <c r="Q1036" s="101"/>
      <c r="R1036" s="101">
        <v>40862</v>
      </c>
      <c r="S1036" s="99" t="s">
        <v>17</v>
      </c>
      <c r="T1036" s="107" t="s">
        <v>4</v>
      </c>
      <c r="U1036" s="99" t="s">
        <v>29</v>
      </c>
      <c r="V1036" s="99" t="s">
        <v>1965</v>
      </c>
      <c r="W1036" s="99" t="s">
        <v>1967</v>
      </c>
    </row>
    <row r="1037" spans="1:23" ht="18.600000000000001" customHeight="1">
      <c r="A1037" s="123" t="str">
        <f>IF(priority(Main[[#This Row],[Comments]])&lt;&gt;0, priority(Main[[#This Row],[Comments]]),"")</f>
        <v/>
      </c>
      <c r="B1037" s="127" t="s">
        <v>1701</v>
      </c>
      <c r="C1037" s="99" t="s">
        <v>4</v>
      </c>
      <c r="D1037" s="100" t="s">
        <v>736</v>
      </c>
      <c r="E1037" s="101">
        <v>40528.434965277775</v>
      </c>
      <c r="F1037" s="101"/>
      <c r="G1037" s="102" t="str">
        <f>IF(stdProdLT(Main[[#This Row],[Comments]])=0.1,"N/A",IF(stdProdLT(Main[[#This Row],[Comments]])=0,"",stdProdLT(Main[[#This Row],[Comments]])))</f>
        <v/>
      </c>
      <c r="H1037" s="103" t="str">
        <f>IF(AND(Main[[#This Row],[In Stock Date]]&lt;&gt;"",Main[[#This Row],[Revised Due Date]]&lt;&gt;""),Main[[#This Row],[In Stock Date]]-Main[[#This Row],[Revised Due Date]],"")</f>
        <v/>
      </c>
      <c r="I1037" s="99" t="s">
        <v>4</v>
      </c>
      <c r="J1037" s="99" t="s">
        <v>28</v>
      </c>
      <c r="K1037" s="99" t="s">
        <v>1974</v>
      </c>
      <c r="L1037" s="101"/>
      <c r="M1037" s="104" t="str">
        <f>IF(Main[[#This Row],[Tech Start Date]]&lt;1/1/1990,"",IF(Main[[#This Row],[Class]]="C",WORKDAY(Main[[#This Row],[Tech Start Date]],9),IF(Main[[#This Row],[Class]]="B", WORKDAY(Main[[#This Row],[Tech Start Date]],6),IF(Main[[#This Row],[Class]]="A",WORKDAY(Main[[#This Row],[Tech Start Date]],2),""))))</f>
        <v/>
      </c>
      <c r="N1037" s="104" t="str">
        <f>IF(Main[[#This Row],[Tech Start Date]]&lt;1/1/1990,"",IF(Main[[#This Row],[Class]]="C",WORKDAY(Main[[#This Row],[Tech Start Date]],19),IF(Main[[#This Row],[Class]]="B", WORKDAY(Main[[#This Row],[Tech Start Date]],12),IF(Main[[#This Row],[Class]]="A",WORKDAY(Main[[#This Row],[Tech Start Date]],4),""))))</f>
        <v/>
      </c>
      <c r="O1037" s="104" t="str">
        <f>IF(Main[[#This Row],[Tech Start Date]]&lt;1/1/1990,"",IF(Main[[#This Row],[Class]]="C",WORKDAY(Main[[#This Row],[Tech Start Date]],23),IF(Main[[#This Row],[Class]]="B", WORKDAY(Main[[#This Row],[Tech Start Date]],15),IF(Main[[#This Row],[Class]]="A",WORKDAY(Main[[#This Row],[Tech Start Date]],5),""))))</f>
        <v/>
      </c>
      <c r="P1037" s="104" t="str">
        <f>IF(Main[[#This Row],[Tech Start Date]]&lt;1/1/1990,"",IF(Main[[#This Row],[Class]]="C",WORKDAY(Main[[#This Row],[Tech Start Date]],28),IF(Main[[#This Row],[Class]]="B", WORKDAY(Main[[#This Row],[Tech Start Date]],19),IF(Main[[#This Row],[Class]]="A",WORKDAY(Main[[#This Row],[Tech Start Date]],9),""))))</f>
        <v/>
      </c>
      <c r="Q1037" s="101">
        <v>41152</v>
      </c>
      <c r="R1037" s="101"/>
      <c r="S1037" s="99" t="s">
        <v>17</v>
      </c>
      <c r="T1037" s="107" t="s">
        <v>4</v>
      </c>
      <c r="U1037" s="99" t="s">
        <v>7</v>
      </c>
      <c r="V1037" s="99" t="s">
        <v>1962</v>
      </c>
      <c r="W1037" s="99" t="s">
        <v>1967</v>
      </c>
    </row>
    <row r="1038" spans="1:23" ht="18.600000000000001" customHeight="1">
      <c r="A1038" s="123" t="str">
        <f>IF(priority(Main[[#This Row],[Comments]])&lt;&gt;0, priority(Main[[#This Row],[Comments]]),"")</f>
        <v/>
      </c>
      <c r="B1038" s="127" t="s">
        <v>1205</v>
      </c>
      <c r="C1038" s="99" t="s">
        <v>4</v>
      </c>
      <c r="D1038" s="100" t="s">
        <v>2569</v>
      </c>
      <c r="E1038" s="101">
        <v>40567.661041666666</v>
      </c>
      <c r="F1038" s="101">
        <v>40602</v>
      </c>
      <c r="G1038" s="102" t="str">
        <f>IF(stdProdLT(Main[[#This Row],[Comments]])=0.1,"N/A",IF(stdProdLT(Main[[#This Row],[Comments]])=0,"",stdProdLT(Main[[#This Row],[Comments]])))</f>
        <v/>
      </c>
      <c r="H1038" s="103" t="str">
        <f>IF(AND(Main[[#This Row],[In Stock Date]]&lt;&gt;"",Main[[#This Row],[Revised Due Date]]&lt;&gt;""),Main[[#This Row],[In Stock Date]]-Main[[#This Row],[Revised Due Date]],"")</f>
        <v/>
      </c>
      <c r="I1038" s="99" t="s">
        <v>929</v>
      </c>
      <c r="J1038" s="99" t="s">
        <v>52</v>
      </c>
      <c r="K1038" s="99" t="s">
        <v>1971</v>
      </c>
      <c r="L1038" s="101"/>
      <c r="M1038" s="104" t="str">
        <f>IF(Main[[#This Row],[Tech Start Date]]&lt;1/1/1990,"",IF(Main[[#This Row],[Class]]="C",WORKDAY(Main[[#This Row],[Tech Start Date]],9),IF(Main[[#This Row],[Class]]="B", WORKDAY(Main[[#This Row],[Tech Start Date]],6),IF(Main[[#This Row],[Class]]="A",WORKDAY(Main[[#This Row],[Tech Start Date]],2),""))))</f>
        <v/>
      </c>
      <c r="N1038" s="104" t="str">
        <f>IF(Main[[#This Row],[Tech Start Date]]&lt;1/1/1990,"",IF(Main[[#This Row],[Class]]="C",WORKDAY(Main[[#This Row],[Tech Start Date]],19),IF(Main[[#This Row],[Class]]="B", WORKDAY(Main[[#This Row],[Tech Start Date]],12),IF(Main[[#This Row],[Class]]="A",WORKDAY(Main[[#This Row],[Tech Start Date]],4),""))))</f>
        <v/>
      </c>
      <c r="O1038" s="104" t="str">
        <f>IF(Main[[#This Row],[Tech Start Date]]&lt;1/1/1990,"",IF(Main[[#This Row],[Class]]="C",WORKDAY(Main[[#This Row],[Tech Start Date]],23),IF(Main[[#This Row],[Class]]="B", WORKDAY(Main[[#This Row],[Tech Start Date]],15),IF(Main[[#This Row],[Class]]="A",WORKDAY(Main[[#This Row],[Tech Start Date]],5),""))))</f>
        <v/>
      </c>
      <c r="P1038" s="104" t="str">
        <f>IF(Main[[#This Row],[Tech Start Date]]&lt;1/1/1990,"",IF(Main[[#This Row],[Class]]="C",WORKDAY(Main[[#This Row],[Tech Start Date]],28),IF(Main[[#This Row],[Class]]="B", WORKDAY(Main[[#This Row],[Tech Start Date]],19),IF(Main[[#This Row],[Class]]="A",WORKDAY(Main[[#This Row],[Tech Start Date]],9),""))))</f>
        <v/>
      </c>
      <c r="Q1038" s="101">
        <v>40602</v>
      </c>
      <c r="R1038" s="101"/>
      <c r="S1038" s="99" t="s">
        <v>6</v>
      </c>
      <c r="T1038" s="107" t="s">
        <v>4</v>
      </c>
      <c r="U1038" s="99" t="s">
        <v>29</v>
      </c>
      <c r="V1038" s="99" t="s">
        <v>1962</v>
      </c>
      <c r="W1038" s="99" t="s">
        <v>1964</v>
      </c>
    </row>
    <row r="1039" spans="1:23" ht="18.600000000000001" customHeight="1">
      <c r="A1039" s="123" t="str">
        <f>IF(priority(Main[[#This Row],[Comments]])&lt;&gt;0, priority(Main[[#This Row],[Comments]]),"")</f>
        <v/>
      </c>
      <c r="B1039" s="127" t="s">
        <v>1612</v>
      </c>
      <c r="C1039" s="99" t="s">
        <v>4</v>
      </c>
      <c r="D1039" s="100" t="s">
        <v>2570</v>
      </c>
      <c r="E1039" s="101">
        <v>40463.34134259259</v>
      </c>
      <c r="F1039" s="101"/>
      <c r="G1039" s="102" t="str">
        <f>IF(stdProdLT(Main[[#This Row],[Comments]])=0.1,"N/A",IF(stdProdLT(Main[[#This Row],[Comments]])=0,"",stdProdLT(Main[[#This Row],[Comments]])))</f>
        <v/>
      </c>
      <c r="H1039" s="103" t="str">
        <f>IF(AND(Main[[#This Row],[In Stock Date]]&lt;&gt;"",Main[[#This Row],[Revised Due Date]]&lt;&gt;""),Main[[#This Row],[In Stock Date]]-Main[[#This Row],[Revised Due Date]],"")</f>
        <v/>
      </c>
      <c r="I1039" s="99" t="s">
        <v>929</v>
      </c>
      <c r="J1039" s="99" t="s">
        <v>52</v>
      </c>
      <c r="K1039" s="99" t="s">
        <v>4</v>
      </c>
      <c r="L1039" s="101"/>
      <c r="M1039" s="104" t="str">
        <f>IF(Main[[#This Row],[Tech Start Date]]&lt;1/1/1990,"",IF(Main[[#This Row],[Class]]="C",WORKDAY(Main[[#This Row],[Tech Start Date]],9),IF(Main[[#This Row],[Class]]="B", WORKDAY(Main[[#This Row],[Tech Start Date]],6),IF(Main[[#This Row],[Class]]="A",WORKDAY(Main[[#This Row],[Tech Start Date]],2),""))))</f>
        <v/>
      </c>
      <c r="N1039" s="104" t="str">
        <f>IF(Main[[#This Row],[Tech Start Date]]&lt;1/1/1990,"",IF(Main[[#This Row],[Class]]="C",WORKDAY(Main[[#This Row],[Tech Start Date]],19),IF(Main[[#This Row],[Class]]="B", WORKDAY(Main[[#This Row],[Tech Start Date]],12),IF(Main[[#This Row],[Class]]="A",WORKDAY(Main[[#This Row],[Tech Start Date]],4),""))))</f>
        <v/>
      </c>
      <c r="O1039" s="104" t="str">
        <f>IF(Main[[#This Row],[Tech Start Date]]&lt;1/1/1990,"",IF(Main[[#This Row],[Class]]="C",WORKDAY(Main[[#This Row],[Tech Start Date]],23),IF(Main[[#This Row],[Class]]="B", WORKDAY(Main[[#This Row],[Tech Start Date]],15),IF(Main[[#This Row],[Class]]="A",WORKDAY(Main[[#This Row],[Tech Start Date]],5),""))))</f>
        <v/>
      </c>
      <c r="P1039" s="104" t="str">
        <f>IF(Main[[#This Row],[Tech Start Date]]&lt;1/1/1990,"",IF(Main[[#This Row],[Class]]="C",WORKDAY(Main[[#This Row],[Tech Start Date]],28),IF(Main[[#This Row],[Class]]="B", WORKDAY(Main[[#This Row],[Tech Start Date]],19),IF(Main[[#This Row],[Class]]="A",WORKDAY(Main[[#This Row],[Tech Start Date]],9),""))))</f>
        <v/>
      </c>
      <c r="Q1039" s="101">
        <v>40497</v>
      </c>
      <c r="R1039" s="101"/>
      <c r="S1039" s="99" t="s">
        <v>6</v>
      </c>
      <c r="T1039" s="107" t="s">
        <v>4</v>
      </c>
      <c r="U1039" s="99" t="s">
        <v>29</v>
      </c>
      <c r="V1039" s="99" t="s">
        <v>1962</v>
      </c>
      <c r="W1039" s="99" t="s">
        <v>1966</v>
      </c>
    </row>
    <row r="1040" spans="1:23" ht="18.600000000000001" customHeight="1">
      <c r="A1040" s="123" t="str">
        <f>IF(priority(Main[[#This Row],[Comments]])&lt;&gt;0, priority(Main[[#This Row],[Comments]]),"")</f>
        <v/>
      </c>
      <c r="B1040" s="127" t="s">
        <v>2571</v>
      </c>
      <c r="C1040" s="99" t="s">
        <v>4</v>
      </c>
      <c r="D1040" s="100" t="s">
        <v>2572</v>
      </c>
      <c r="E1040" s="101">
        <v>40833.65898148148</v>
      </c>
      <c r="F1040" s="101"/>
      <c r="G1040" s="102" t="str">
        <f>IF(stdProdLT(Main[[#This Row],[Comments]])=0.1,"N/A",IF(stdProdLT(Main[[#This Row],[Comments]])=0,"",stdProdLT(Main[[#This Row],[Comments]])))</f>
        <v/>
      </c>
      <c r="H1040" s="103" t="str">
        <f>IF(AND(Main[[#This Row],[In Stock Date]]&lt;&gt;"",Main[[#This Row],[Revised Due Date]]&lt;&gt;""),Main[[#This Row],[In Stock Date]]-Main[[#This Row],[Revised Due Date]],"")</f>
        <v/>
      </c>
      <c r="I1040" s="99" t="s">
        <v>536</v>
      </c>
      <c r="J1040" s="99" t="s">
        <v>28</v>
      </c>
      <c r="K1040" s="99" t="s">
        <v>1971</v>
      </c>
      <c r="L1040" s="101"/>
      <c r="M1040" s="104" t="str">
        <f>IF(Main[[#This Row],[Tech Start Date]]&lt;1/1/1990,"",IF(Main[[#This Row],[Class]]="C",WORKDAY(Main[[#This Row],[Tech Start Date]],9),IF(Main[[#This Row],[Class]]="B", WORKDAY(Main[[#This Row],[Tech Start Date]],6),IF(Main[[#This Row],[Class]]="A",WORKDAY(Main[[#This Row],[Tech Start Date]],2),""))))</f>
        <v/>
      </c>
      <c r="N1040" s="104" t="str">
        <f>IF(Main[[#This Row],[Tech Start Date]]&lt;1/1/1990,"",IF(Main[[#This Row],[Class]]="C",WORKDAY(Main[[#This Row],[Tech Start Date]],19),IF(Main[[#This Row],[Class]]="B", WORKDAY(Main[[#This Row],[Tech Start Date]],12),IF(Main[[#This Row],[Class]]="A",WORKDAY(Main[[#This Row],[Tech Start Date]],4),""))))</f>
        <v/>
      </c>
      <c r="O1040" s="104" t="str">
        <f>IF(Main[[#This Row],[Tech Start Date]]&lt;1/1/1990,"",IF(Main[[#This Row],[Class]]="C",WORKDAY(Main[[#This Row],[Tech Start Date]],23),IF(Main[[#This Row],[Class]]="B", WORKDAY(Main[[#This Row],[Tech Start Date]],15),IF(Main[[#This Row],[Class]]="A",WORKDAY(Main[[#This Row],[Tech Start Date]],5),""))))</f>
        <v/>
      </c>
      <c r="P1040" s="104" t="str">
        <f>IF(Main[[#This Row],[Tech Start Date]]&lt;1/1/1990,"",IF(Main[[#This Row],[Class]]="C",WORKDAY(Main[[#This Row],[Tech Start Date]],28),IF(Main[[#This Row],[Class]]="B", WORKDAY(Main[[#This Row],[Tech Start Date]],19),IF(Main[[#This Row],[Class]]="A",WORKDAY(Main[[#This Row],[Tech Start Date]],9),""))))</f>
        <v/>
      </c>
      <c r="Q1040" s="101">
        <v>40923</v>
      </c>
      <c r="R1040" s="101"/>
      <c r="S1040" s="99" t="s">
        <v>6</v>
      </c>
      <c r="T1040" s="107" t="s">
        <v>4</v>
      </c>
      <c r="U1040" s="99" t="s">
        <v>29</v>
      </c>
      <c r="V1040" s="99" t="s">
        <v>1965</v>
      </c>
      <c r="W1040" s="99" t="s">
        <v>1966</v>
      </c>
    </row>
    <row r="1041" spans="1:23" ht="18.600000000000001" customHeight="1">
      <c r="A1041" s="123" t="str">
        <f>IF(priority(Main[[#This Row],[Comments]])&lt;&gt;0, priority(Main[[#This Row],[Comments]]),"")</f>
        <v/>
      </c>
      <c r="B1041" s="127" t="s">
        <v>1806</v>
      </c>
      <c r="C1041" s="99" t="s">
        <v>4</v>
      </c>
      <c r="D1041" s="100" t="s">
        <v>2394</v>
      </c>
      <c r="E1041" s="101">
        <v>40660.402291666665</v>
      </c>
      <c r="F1041" s="101"/>
      <c r="G1041" s="102" t="str">
        <f>IF(stdProdLT(Main[[#This Row],[Comments]])=0.1,"N/A",IF(stdProdLT(Main[[#This Row],[Comments]])=0,"",stdProdLT(Main[[#This Row],[Comments]])))</f>
        <v/>
      </c>
      <c r="H1041" s="103" t="str">
        <f>IF(AND(Main[[#This Row],[In Stock Date]]&lt;&gt;"",Main[[#This Row],[Revised Due Date]]&lt;&gt;""),Main[[#This Row],[In Stock Date]]-Main[[#This Row],[Revised Due Date]],"")</f>
        <v/>
      </c>
      <c r="I1041" s="99" t="s">
        <v>568</v>
      </c>
      <c r="J1041" s="99" t="s">
        <v>21</v>
      </c>
      <c r="K1041" s="99" t="s">
        <v>4</v>
      </c>
      <c r="L1041" s="101"/>
      <c r="M1041" s="104" t="str">
        <f>IF(Main[[#This Row],[Tech Start Date]]&lt;1/1/1990,"",IF(Main[[#This Row],[Class]]="C",WORKDAY(Main[[#This Row],[Tech Start Date]],9),IF(Main[[#This Row],[Class]]="B", WORKDAY(Main[[#This Row],[Tech Start Date]],6),IF(Main[[#This Row],[Class]]="A",WORKDAY(Main[[#This Row],[Tech Start Date]],2),""))))</f>
        <v/>
      </c>
      <c r="N1041" s="104" t="str">
        <f>IF(Main[[#This Row],[Tech Start Date]]&lt;1/1/1990,"",IF(Main[[#This Row],[Class]]="C",WORKDAY(Main[[#This Row],[Tech Start Date]],19),IF(Main[[#This Row],[Class]]="B", WORKDAY(Main[[#This Row],[Tech Start Date]],12),IF(Main[[#This Row],[Class]]="A",WORKDAY(Main[[#This Row],[Tech Start Date]],4),""))))</f>
        <v/>
      </c>
      <c r="O1041" s="104" t="str">
        <f>IF(Main[[#This Row],[Tech Start Date]]&lt;1/1/1990,"",IF(Main[[#This Row],[Class]]="C",WORKDAY(Main[[#This Row],[Tech Start Date]],23),IF(Main[[#This Row],[Class]]="B", WORKDAY(Main[[#This Row],[Tech Start Date]],15),IF(Main[[#This Row],[Class]]="A",WORKDAY(Main[[#This Row],[Tech Start Date]],5),""))))</f>
        <v/>
      </c>
      <c r="P1041" s="104" t="str">
        <f>IF(Main[[#This Row],[Tech Start Date]]&lt;1/1/1990,"",IF(Main[[#This Row],[Class]]="C",WORKDAY(Main[[#This Row],[Tech Start Date]],28),IF(Main[[#This Row],[Class]]="B", WORKDAY(Main[[#This Row],[Tech Start Date]],19),IF(Main[[#This Row],[Class]]="A",WORKDAY(Main[[#This Row],[Tech Start Date]],9),""))))</f>
        <v/>
      </c>
      <c r="Q1041" s="101">
        <v>40676</v>
      </c>
      <c r="R1041" s="101"/>
      <c r="S1041" s="99" t="s">
        <v>6</v>
      </c>
      <c r="T1041" s="107" t="s">
        <v>4</v>
      </c>
      <c r="U1041" s="99" t="s">
        <v>29</v>
      </c>
      <c r="V1041" s="99" t="s">
        <v>1962</v>
      </c>
      <c r="W1041" s="99" t="s">
        <v>1966</v>
      </c>
    </row>
    <row r="1042" spans="1:23" ht="18.600000000000001" customHeight="1">
      <c r="A1042" s="123" t="str">
        <f>IF(priority(Main[[#This Row],[Comments]])&lt;&gt;0, priority(Main[[#This Row],[Comments]]),"")</f>
        <v/>
      </c>
      <c r="B1042" s="127" t="s">
        <v>2675</v>
      </c>
      <c r="C1042" s="99" t="s">
        <v>4</v>
      </c>
      <c r="D1042" s="100" t="s">
        <v>2676</v>
      </c>
      <c r="E1042" s="101"/>
      <c r="F1042" s="101"/>
      <c r="G1042" s="102" t="str">
        <f>IF(stdProdLT(Main[[#This Row],[Comments]])=0.1,"N/A",IF(stdProdLT(Main[[#This Row],[Comments]])=0,"",stdProdLT(Main[[#This Row],[Comments]])))</f>
        <v/>
      </c>
      <c r="H1042" s="103" t="str">
        <f>IF(AND(Main[[#This Row],[In Stock Date]]&lt;&gt;"",Main[[#This Row],[Revised Due Date]]&lt;&gt;""),Main[[#This Row],[In Stock Date]]-Main[[#This Row],[Revised Due Date]],"")</f>
        <v/>
      </c>
      <c r="I1042" s="99" t="s">
        <v>536</v>
      </c>
      <c r="J1042" s="99" t="s">
        <v>28</v>
      </c>
      <c r="K1042" s="99" t="s">
        <v>1971</v>
      </c>
      <c r="L1042" s="101"/>
      <c r="M1042" s="104" t="str">
        <f>IF(Main[[#This Row],[Tech Start Date]]&lt;1/1/1990,"",IF(Main[[#This Row],[Class]]="C",WORKDAY(Main[[#This Row],[Tech Start Date]],9),IF(Main[[#This Row],[Class]]="B", WORKDAY(Main[[#This Row],[Tech Start Date]],6),IF(Main[[#This Row],[Class]]="A",WORKDAY(Main[[#This Row],[Tech Start Date]],2),""))))</f>
        <v/>
      </c>
      <c r="N1042" s="104" t="str">
        <f>IF(Main[[#This Row],[Tech Start Date]]&lt;1/1/1990,"",IF(Main[[#This Row],[Class]]="C",WORKDAY(Main[[#This Row],[Tech Start Date]],19),IF(Main[[#This Row],[Class]]="B", WORKDAY(Main[[#This Row],[Tech Start Date]],12),IF(Main[[#This Row],[Class]]="A",WORKDAY(Main[[#This Row],[Tech Start Date]],4),""))))</f>
        <v/>
      </c>
      <c r="O1042" s="104" t="str">
        <f>IF(Main[[#This Row],[Tech Start Date]]&lt;1/1/1990,"",IF(Main[[#This Row],[Class]]="C",WORKDAY(Main[[#This Row],[Tech Start Date]],23),IF(Main[[#This Row],[Class]]="B", WORKDAY(Main[[#This Row],[Tech Start Date]],15),IF(Main[[#This Row],[Class]]="A",WORKDAY(Main[[#This Row],[Tech Start Date]],5),""))))</f>
        <v/>
      </c>
      <c r="P1042" s="104" t="str">
        <f>IF(Main[[#This Row],[Tech Start Date]]&lt;1/1/1990,"",IF(Main[[#This Row],[Class]]="C",WORKDAY(Main[[#This Row],[Tech Start Date]],28),IF(Main[[#This Row],[Class]]="B", WORKDAY(Main[[#This Row],[Tech Start Date]],19),IF(Main[[#This Row],[Class]]="A",WORKDAY(Main[[#This Row],[Tech Start Date]],9),""))))</f>
        <v/>
      </c>
      <c r="Q1042" s="101">
        <v>40939</v>
      </c>
      <c r="R1042" s="101"/>
      <c r="S1042" s="99" t="s">
        <v>6</v>
      </c>
      <c r="T1042" s="107" t="s">
        <v>4</v>
      </c>
      <c r="U1042" s="99" t="s">
        <v>14</v>
      </c>
      <c r="V1042" s="99" t="s">
        <v>1965</v>
      </c>
      <c r="W1042" s="99" t="s">
        <v>1966</v>
      </c>
    </row>
    <row r="1043" spans="1:23" ht="18.600000000000001" customHeight="1">
      <c r="A1043" s="123" t="str">
        <f>IF(priority(Main[[#This Row],[Comments]])&lt;&gt;0, priority(Main[[#This Row],[Comments]]),"")</f>
        <v/>
      </c>
      <c r="B1043" s="127" t="s">
        <v>2298</v>
      </c>
      <c r="C1043" s="99" t="s">
        <v>4</v>
      </c>
      <c r="D1043" s="100" t="s">
        <v>2299</v>
      </c>
      <c r="E1043" s="101">
        <v>40802.356851851851</v>
      </c>
      <c r="F1043" s="101"/>
      <c r="G1043" s="102" t="str">
        <f>IF(stdProdLT(Main[[#This Row],[Comments]])=0.1,"N/A",IF(stdProdLT(Main[[#This Row],[Comments]])=0,"",stdProdLT(Main[[#This Row],[Comments]])))</f>
        <v/>
      </c>
      <c r="H1043" s="103" t="str">
        <f>IF(AND(Main[[#This Row],[In Stock Date]]&lt;&gt;"",Main[[#This Row],[Revised Due Date]]&lt;&gt;""),Main[[#This Row],[In Stock Date]]-Main[[#This Row],[Revised Due Date]],"")</f>
        <v/>
      </c>
      <c r="I1043" s="99" t="s">
        <v>102</v>
      </c>
      <c r="J1043" s="99" t="s">
        <v>75</v>
      </c>
      <c r="K1043" s="108" t="s">
        <v>1975</v>
      </c>
      <c r="L1043" s="101"/>
      <c r="M1043" s="104" t="str">
        <f>IF(Main[[#This Row],[Tech Start Date]]&lt;1/1/1990,"",IF(Main[[#This Row],[Class]]="C",WORKDAY(Main[[#This Row],[Tech Start Date]],9),IF(Main[[#This Row],[Class]]="B", WORKDAY(Main[[#This Row],[Tech Start Date]],6),IF(Main[[#This Row],[Class]]="A",WORKDAY(Main[[#This Row],[Tech Start Date]],2),""))))</f>
        <v/>
      </c>
      <c r="N1043" s="104" t="str">
        <f>IF(Main[[#This Row],[Tech Start Date]]&lt;1/1/1990,"",IF(Main[[#This Row],[Class]]="C",WORKDAY(Main[[#This Row],[Tech Start Date]],19),IF(Main[[#This Row],[Class]]="B", WORKDAY(Main[[#This Row],[Tech Start Date]],12),IF(Main[[#This Row],[Class]]="A",WORKDAY(Main[[#This Row],[Tech Start Date]],4),""))))</f>
        <v/>
      </c>
      <c r="O1043" s="104" t="str">
        <f>IF(Main[[#This Row],[Tech Start Date]]&lt;1/1/1990,"",IF(Main[[#This Row],[Class]]="C",WORKDAY(Main[[#This Row],[Tech Start Date]],23),IF(Main[[#This Row],[Class]]="B", WORKDAY(Main[[#This Row],[Tech Start Date]],15),IF(Main[[#This Row],[Class]]="A",WORKDAY(Main[[#This Row],[Tech Start Date]],5),""))))</f>
        <v/>
      </c>
      <c r="P1043" s="104" t="str">
        <f>IF(Main[[#This Row],[Tech Start Date]]&lt;1/1/1990,"",IF(Main[[#This Row],[Class]]="C",WORKDAY(Main[[#This Row],[Tech Start Date]],28),IF(Main[[#This Row],[Class]]="B", WORKDAY(Main[[#This Row],[Tech Start Date]],19),IF(Main[[#This Row],[Class]]="A",WORKDAY(Main[[#This Row],[Tech Start Date]],9),""))))</f>
        <v/>
      </c>
      <c r="Q1043" s="101"/>
      <c r="R1043" s="101"/>
      <c r="S1043" s="99" t="s">
        <v>6</v>
      </c>
      <c r="T1043" s="107" t="s">
        <v>4</v>
      </c>
      <c r="U1043" s="99" t="s">
        <v>29</v>
      </c>
      <c r="V1043" s="99" t="s">
        <v>1965</v>
      </c>
      <c r="W1043" s="99" t="s">
        <v>1966</v>
      </c>
    </row>
    <row r="1044" spans="1:23" ht="18.600000000000001" customHeight="1">
      <c r="A1044" s="123" t="str">
        <f>IF(priority(Main[[#This Row],[Comments]])&lt;&gt;0, priority(Main[[#This Row],[Comments]]),"")</f>
        <v/>
      </c>
      <c r="B1044" s="127" t="s">
        <v>2172</v>
      </c>
      <c r="C1044" s="99" t="s">
        <v>4</v>
      </c>
      <c r="D1044" s="100" t="s">
        <v>2173</v>
      </c>
      <c r="E1044" s="101">
        <v>40777.376608796294</v>
      </c>
      <c r="F1044" s="101"/>
      <c r="G1044" s="102" t="str">
        <f>IF(stdProdLT(Main[[#This Row],[Comments]])=0.1,"N/A",IF(stdProdLT(Main[[#This Row],[Comments]])=0,"",stdProdLT(Main[[#This Row],[Comments]])))</f>
        <v/>
      </c>
      <c r="H1044" s="103" t="str">
        <f>IF(AND(Main[[#This Row],[In Stock Date]]&lt;&gt;"",Main[[#This Row],[Revised Due Date]]&lt;&gt;""),Main[[#This Row],[In Stock Date]]-Main[[#This Row],[Revised Due Date]],"")</f>
        <v/>
      </c>
      <c r="I1044" s="99" t="s">
        <v>2554</v>
      </c>
      <c r="J1044" s="99" t="s">
        <v>70</v>
      </c>
      <c r="K1044" s="108" t="s">
        <v>1971</v>
      </c>
      <c r="L1044" s="101"/>
      <c r="M1044" s="104" t="str">
        <f>IF(Main[[#This Row],[Tech Start Date]]&lt;1/1/1990,"",IF(Main[[#This Row],[Class]]="C",WORKDAY(Main[[#This Row],[Tech Start Date]],9),IF(Main[[#This Row],[Class]]="B", WORKDAY(Main[[#This Row],[Tech Start Date]],6),IF(Main[[#This Row],[Class]]="A",WORKDAY(Main[[#This Row],[Tech Start Date]],2),""))))</f>
        <v/>
      </c>
      <c r="N1044" s="104" t="str">
        <f>IF(Main[[#This Row],[Tech Start Date]]&lt;1/1/1990,"",IF(Main[[#This Row],[Class]]="C",WORKDAY(Main[[#This Row],[Tech Start Date]],19),IF(Main[[#This Row],[Class]]="B", WORKDAY(Main[[#This Row],[Tech Start Date]],12),IF(Main[[#This Row],[Class]]="A",WORKDAY(Main[[#This Row],[Tech Start Date]],4),""))))</f>
        <v/>
      </c>
      <c r="O1044" s="104" t="str">
        <f>IF(Main[[#This Row],[Tech Start Date]]&lt;1/1/1990,"",IF(Main[[#This Row],[Class]]="C",WORKDAY(Main[[#This Row],[Tech Start Date]],23),IF(Main[[#This Row],[Class]]="B", WORKDAY(Main[[#This Row],[Tech Start Date]],15),IF(Main[[#This Row],[Class]]="A",WORKDAY(Main[[#This Row],[Tech Start Date]],5),""))))</f>
        <v/>
      </c>
      <c r="P1044" s="104" t="str">
        <f>IF(Main[[#This Row],[Tech Start Date]]&lt;1/1/1990,"",IF(Main[[#This Row],[Class]]="C",WORKDAY(Main[[#This Row],[Tech Start Date]],28),IF(Main[[#This Row],[Class]]="B", WORKDAY(Main[[#This Row],[Tech Start Date]],19),IF(Main[[#This Row],[Class]]="A",WORKDAY(Main[[#This Row],[Tech Start Date]],9),""))))</f>
        <v/>
      </c>
      <c r="Q1044" s="101">
        <v>40816</v>
      </c>
      <c r="R1044" s="101"/>
      <c r="S1044" s="99" t="s">
        <v>6</v>
      </c>
      <c r="T1044" s="107" t="s">
        <v>4</v>
      </c>
      <c r="U1044" s="99" t="s">
        <v>29</v>
      </c>
      <c r="V1044" s="99" t="s">
        <v>1965</v>
      </c>
      <c r="W1044" s="99" t="s">
        <v>1966</v>
      </c>
    </row>
    <row r="1045" spans="1:23" ht="18.600000000000001" customHeight="1">
      <c r="A1045" s="123" t="str">
        <f>IF(priority(Main[[#This Row],[Comments]])&lt;&gt;0, priority(Main[[#This Row],[Comments]]),"")</f>
        <v/>
      </c>
      <c r="B1045" s="127" t="s">
        <v>2180</v>
      </c>
      <c r="C1045" s="99" t="s">
        <v>4</v>
      </c>
      <c r="D1045" s="100" t="s">
        <v>2555</v>
      </c>
      <c r="E1045" s="101">
        <v>40780.253831018519</v>
      </c>
      <c r="F1045" s="101"/>
      <c r="G1045" s="102" t="str">
        <f>IF(stdProdLT(Main[[#This Row],[Comments]])=0.1,"N/A",IF(stdProdLT(Main[[#This Row],[Comments]])=0,"",stdProdLT(Main[[#This Row],[Comments]])))</f>
        <v/>
      </c>
      <c r="H1045" s="103" t="str">
        <f>IF(AND(Main[[#This Row],[In Stock Date]]&lt;&gt;"",Main[[#This Row],[Revised Due Date]]&lt;&gt;""),Main[[#This Row],[In Stock Date]]-Main[[#This Row],[Revised Due Date]],"")</f>
        <v/>
      </c>
      <c r="I1045" s="99" t="s">
        <v>2110</v>
      </c>
      <c r="J1045" s="99" t="s">
        <v>28</v>
      </c>
      <c r="K1045" s="99" t="s">
        <v>1971</v>
      </c>
      <c r="L1045" s="101"/>
      <c r="M1045" s="104" t="str">
        <f>IF(Main[[#This Row],[Tech Start Date]]&lt;1/1/1990,"",IF(Main[[#This Row],[Class]]="C",WORKDAY(Main[[#This Row],[Tech Start Date]],9),IF(Main[[#This Row],[Class]]="B", WORKDAY(Main[[#This Row],[Tech Start Date]],6),IF(Main[[#This Row],[Class]]="A",WORKDAY(Main[[#This Row],[Tech Start Date]],2),""))))</f>
        <v/>
      </c>
      <c r="N1045" s="104" t="str">
        <f>IF(Main[[#This Row],[Tech Start Date]]&lt;1/1/1990,"",IF(Main[[#This Row],[Class]]="C",WORKDAY(Main[[#This Row],[Tech Start Date]],19),IF(Main[[#This Row],[Class]]="B", WORKDAY(Main[[#This Row],[Tech Start Date]],12),IF(Main[[#This Row],[Class]]="A",WORKDAY(Main[[#This Row],[Tech Start Date]],4),""))))</f>
        <v/>
      </c>
      <c r="O1045" s="104" t="str">
        <f>IF(Main[[#This Row],[Tech Start Date]]&lt;1/1/1990,"",IF(Main[[#This Row],[Class]]="C",WORKDAY(Main[[#This Row],[Tech Start Date]],23),IF(Main[[#This Row],[Class]]="B", WORKDAY(Main[[#This Row],[Tech Start Date]],15),IF(Main[[#This Row],[Class]]="A",WORKDAY(Main[[#This Row],[Tech Start Date]],5),""))))</f>
        <v/>
      </c>
      <c r="P1045" s="104" t="str">
        <f>IF(Main[[#This Row],[Tech Start Date]]&lt;1/1/1990,"",IF(Main[[#This Row],[Class]]="C",WORKDAY(Main[[#This Row],[Tech Start Date]],28),IF(Main[[#This Row],[Class]]="B", WORKDAY(Main[[#This Row],[Tech Start Date]],19),IF(Main[[#This Row],[Class]]="A",WORKDAY(Main[[#This Row],[Tech Start Date]],9),""))))</f>
        <v/>
      </c>
      <c r="Q1045" s="101">
        <v>40800</v>
      </c>
      <c r="R1045" s="101"/>
      <c r="S1045" s="99" t="s">
        <v>6</v>
      </c>
      <c r="T1045" s="107" t="s">
        <v>4</v>
      </c>
      <c r="U1045" s="99" t="s">
        <v>29</v>
      </c>
      <c r="V1045" s="99" t="s">
        <v>1965</v>
      </c>
      <c r="W1045" s="99" t="s">
        <v>1966</v>
      </c>
    </row>
    <row r="1046" spans="1:23" ht="18.600000000000001" customHeight="1">
      <c r="A1046" s="123" t="str">
        <f>IF(priority(Main[[#This Row],[Comments]])&lt;&gt;0, priority(Main[[#This Row],[Comments]]),"")</f>
        <v/>
      </c>
      <c r="B1046" s="127" t="s">
        <v>1884</v>
      </c>
      <c r="C1046" s="99" t="s">
        <v>4</v>
      </c>
      <c r="D1046" s="100" t="s">
        <v>914</v>
      </c>
      <c r="E1046" s="101">
        <v>40080.410775462966</v>
      </c>
      <c r="F1046" s="101"/>
      <c r="G1046" s="102" t="str">
        <f>IF(stdProdLT(Main[[#This Row],[Comments]])=0.1,"N/A",IF(stdProdLT(Main[[#This Row],[Comments]])=0,"",stdProdLT(Main[[#This Row],[Comments]])))</f>
        <v/>
      </c>
      <c r="H1046" s="103" t="str">
        <f>IF(AND(Main[[#This Row],[In Stock Date]]&lt;&gt;"",Main[[#This Row],[Revised Due Date]]&lt;&gt;""),Main[[#This Row],[In Stock Date]]-Main[[#This Row],[Revised Due Date]],"")</f>
        <v/>
      </c>
      <c r="I1046" s="99" t="s">
        <v>915</v>
      </c>
      <c r="J1046" s="99" t="s">
        <v>28</v>
      </c>
      <c r="K1046" s="99" t="s">
        <v>1971</v>
      </c>
      <c r="L1046" s="101"/>
      <c r="M1046" s="104" t="str">
        <f>IF(Main[[#This Row],[Tech Start Date]]&lt;1/1/1990,"",IF(Main[[#This Row],[Class]]="C",WORKDAY(Main[[#This Row],[Tech Start Date]],9),IF(Main[[#This Row],[Class]]="B", WORKDAY(Main[[#This Row],[Tech Start Date]],6),IF(Main[[#This Row],[Class]]="A",WORKDAY(Main[[#This Row],[Tech Start Date]],2),""))))</f>
        <v/>
      </c>
      <c r="N1046" s="104" t="str">
        <f>IF(Main[[#This Row],[Tech Start Date]]&lt;1/1/1990,"",IF(Main[[#This Row],[Class]]="C",WORKDAY(Main[[#This Row],[Tech Start Date]],19),IF(Main[[#This Row],[Class]]="B", WORKDAY(Main[[#This Row],[Tech Start Date]],12),IF(Main[[#This Row],[Class]]="A",WORKDAY(Main[[#This Row],[Tech Start Date]],4),""))))</f>
        <v/>
      </c>
      <c r="O1046" s="104" t="str">
        <f>IF(Main[[#This Row],[Tech Start Date]]&lt;1/1/1990,"",IF(Main[[#This Row],[Class]]="C",WORKDAY(Main[[#This Row],[Tech Start Date]],23),IF(Main[[#This Row],[Class]]="B", WORKDAY(Main[[#This Row],[Tech Start Date]],15),IF(Main[[#This Row],[Class]]="A",WORKDAY(Main[[#This Row],[Tech Start Date]],5),""))))</f>
        <v/>
      </c>
      <c r="P1046" s="104" t="str">
        <f>IF(Main[[#This Row],[Tech Start Date]]&lt;1/1/1990,"",IF(Main[[#This Row],[Class]]="C",WORKDAY(Main[[#This Row],[Tech Start Date]],28),IF(Main[[#This Row],[Class]]="B", WORKDAY(Main[[#This Row],[Tech Start Date]],19),IF(Main[[#This Row],[Class]]="A",WORKDAY(Main[[#This Row],[Tech Start Date]],9),""))))</f>
        <v/>
      </c>
      <c r="Q1046" s="101"/>
      <c r="R1046" s="101">
        <v>40494</v>
      </c>
      <c r="S1046" s="99" t="s">
        <v>6</v>
      </c>
      <c r="T1046" s="107" t="s">
        <v>4</v>
      </c>
      <c r="U1046" s="99" t="s">
        <v>29</v>
      </c>
      <c r="V1046" s="99" t="s">
        <v>1965</v>
      </c>
      <c r="W1046" s="99" t="s">
        <v>1966</v>
      </c>
    </row>
    <row r="1047" spans="1:23" ht="18.600000000000001" customHeight="1">
      <c r="A1047" s="123" t="str">
        <f>IF(priority(Main[[#This Row],[Comments]])&lt;&gt;0, priority(Main[[#This Row],[Comments]]),"")</f>
        <v/>
      </c>
      <c r="B1047" s="127" t="s">
        <v>1836</v>
      </c>
      <c r="C1047" s="99" t="s">
        <v>4</v>
      </c>
      <c r="D1047" s="100" t="s">
        <v>854</v>
      </c>
      <c r="E1047" s="101">
        <v>40639.681793981479</v>
      </c>
      <c r="F1047" s="101"/>
      <c r="G1047" s="102" t="str">
        <f>IF(stdProdLT(Main[[#This Row],[Comments]])=0.1,"N/A",IF(stdProdLT(Main[[#This Row],[Comments]])=0,"",stdProdLT(Main[[#This Row],[Comments]])))</f>
        <v/>
      </c>
      <c r="H1047" s="103" t="str">
        <f>IF(AND(Main[[#This Row],[In Stock Date]]&lt;&gt;"",Main[[#This Row],[Revised Due Date]]&lt;&gt;""),Main[[#This Row],[In Stock Date]]-Main[[#This Row],[Revised Due Date]],"")</f>
        <v/>
      </c>
      <c r="I1047" s="99" t="s">
        <v>131</v>
      </c>
      <c r="J1047" s="99" t="s">
        <v>70</v>
      </c>
      <c r="K1047" s="108" t="s">
        <v>1971</v>
      </c>
      <c r="L1047" s="101"/>
      <c r="M1047" s="104" t="str">
        <f>IF(Main[[#This Row],[Tech Start Date]]&lt;1/1/1990,"",IF(Main[[#This Row],[Class]]="C",WORKDAY(Main[[#This Row],[Tech Start Date]],9),IF(Main[[#This Row],[Class]]="B", WORKDAY(Main[[#This Row],[Tech Start Date]],6),IF(Main[[#This Row],[Class]]="A",WORKDAY(Main[[#This Row],[Tech Start Date]],2),""))))</f>
        <v/>
      </c>
      <c r="N1047" s="104" t="str">
        <f>IF(Main[[#This Row],[Tech Start Date]]&lt;1/1/1990,"",IF(Main[[#This Row],[Class]]="C",WORKDAY(Main[[#This Row],[Tech Start Date]],19),IF(Main[[#This Row],[Class]]="B", WORKDAY(Main[[#This Row],[Tech Start Date]],12),IF(Main[[#This Row],[Class]]="A",WORKDAY(Main[[#This Row],[Tech Start Date]],4),""))))</f>
        <v/>
      </c>
      <c r="O1047" s="104" t="str">
        <f>IF(Main[[#This Row],[Tech Start Date]]&lt;1/1/1990,"",IF(Main[[#This Row],[Class]]="C",WORKDAY(Main[[#This Row],[Tech Start Date]],23),IF(Main[[#This Row],[Class]]="B", WORKDAY(Main[[#This Row],[Tech Start Date]],15),IF(Main[[#This Row],[Class]]="A",WORKDAY(Main[[#This Row],[Tech Start Date]],5),""))))</f>
        <v/>
      </c>
      <c r="P1047" s="104" t="str">
        <f>IF(Main[[#This Row],[Tech Start Date]]&lt;1/1/1990,"",IF(Main[[#This Row],[Class]]="C",WORKDAY(Main[[#This Row],[Tech Start Date]],28),IF(Main[[#This Row],[Class]]="B", WORKDAY(Main[[#This Row],[Tech Start Date]],19),IF(Main[[#This Row],[Class]]="A",WORKDAY(Main[[#This Row],[Tech Start Date]],9),""))))</f>
        <v/>
      </c>
      <c r="Q1047" s="101">
        <v>40669</v>
      </c>
      <c r="R1047" s="101"/>
      <c r="S1047" s="99" t="s">
        <v>6</v>
      </c>
      <c r="T1047" s="107" t="s">
        <v>4</v>
      </c>
      <c r="U1047" s="99" t="s">
        <v>29</v>
      </c>
      <c r="V1047" s="99" t="s">
        <v>1965</v>
      </c>
      <c r="W1047" s="99" t="s">
        <v>1966</v>
      </c>
    </row>
    <row r="1048" spans="1:23" ht="18.600000000000001" customHeight="1">
      <c r="A1048" s="123" t="str">
        <f>IF(priority(Main[[#This Row],[Comments]])&lt;&gt;0, priority(Main[[#This Row],[Comments]]),"")</f>
        <v/>
      </c>
      <c r="B1048" s="127" t="s">
        <v>1936</v>
      </c>
      <c r="C1048" s="99" t="s">
        <v>116</v>
      </c>
      <c r="D1048" s="100" t="s">
        <v>2396</v>
      </c>
      <c r="E1048" s="101">
        <v>40673.421898148146</v>
      </c>
      <c r="F1048" s="101"/>
      <c r="G1048" s="102" t="str">
        <f>IF(stdProdLT(Main[[#This Row],[Comments]])=0.1,"N/A",IF(stdProdLT(Main[[#This Row],[Comments]])=0,"",stdProdLT(Main[[#This Row],[Comments]])))</f>
        <v/>
      </c>
      <c r="H1048" s="103" t="str">
        <f>IF(AND(Main[[#This Row],[In Stock Date]]&lt;&gt;"",Main[[#This Row],[Revised Due Date]]&lt;&gt;""),Main[[#This Row],[In Stock Date]]-Main[[#This Row],[Revised Due Date]],"")</f>
        <v/>
      </c>
      <c r="I1048" s="99" t="s">
        <v>955</v>
      </c>
      <c r="J1048" s="99" t="s">
        <v>28</v>
      </c>
      <c r="K1048" s="99" t="s">
        <v>1974</v>
      </c>
      <c r="L1048" s="101"/>
      <c r="M1048" s="104" t="str">
        <f>IF(Main[[#This Row],[Tech Start Date]]&lt;1/1/1990,"",IF(Main[[#This Row],[Class]]="C",WORKDAY(Main[[#This Row],[Tech Start Date]],9),IF(Main[[#This Row],[Class]]="B", WORKDAY(Main[[#This Row],[Tech Start Date]],6),IF(Main[[#This Row],[Class]]="A",WORKDAY(Main[[#This Row],[Tech Start Date]],2),""))))</f>
        <v/>
      </c>
      <c r="N1048" s="104" t="str">
        <f>IF(Main[[#This Row],[Tech Start Date]]&lt;1/1/1990,"",IF(Main[[#This Row],[Class]]="C",WORKDAY(Main[[#This Row],[Tech Start Date]],19),IF(Main[[#This Row],[Class]]="B", WORKDAY(Main[[#This Row],[Tech Start Date]],12),IF(Main[[#This Row],[Class]]="A",WORKDAY(Main[[#This Row],[Tech Start Date]],4),""))))</f>
        <v/>
      </c>
      <c r="O1048" s="104" t="str">
        <f>IF(Main[[#This Row],[Tech Start Date]]&lt;1/1/1990,"",IF(Main[[#This Row],[Class]]="C",WORKDAY(Main[[#This Row],[Tech Start Date]],23),IF(Main[[#This Row],[Class]]="B", WORKDAY(Main[[#This Row],[Tech Start Date]],15),IF(Main[[#This Row],[Class]]="A",WORKDAY(Main[[#This Row],[Tech Start Date]],5),""))))</f>
        <v/>
      </c>
      <c r="P1048" s="104" t="str">
        <f>IF(Main[[#This Row],[Tech Start Date]]&lt;1/1/1990,"",IF(Main[[#This Row],[Class]]="C",WORKDAY(Main[[#This Row],[Tech Start Date]],28),IF(Main[[#This Row],[Class]]="B", WORKDAY(Main[[#This Row],[Tech Start Date]],19),IF(Main[[#This Row],[Class]]="A",WORKDAY(Main[[#This Row],[Tech Start Date]],9),""))))</f>
        <v/>
      </c>
      <c r="Q1048" s="101">
        <v>40724</v>
      </c>
      <c r="R1048" s="101">
        <v>40847</v>
      </c>
      <c r="S1048" s="99" t="s">
        <v>6</v>
      </c>
      <c r="T1048" s="107" t="s">
        <v>2556</v>
      </c>
      <c r="U1048" s="99" t="s">
        <v>29</v>
      </c>
      <c r="V1048" s="99" t="s">
        <v>1962</v>
      </c>
      <c r="W1048" s="99" t="s">
        <v>1966</v>
      </c>
    </row>
    <row r="1049" spans="1:23" ht="18.600000000000001" customHeight="1">
      <c r="A1049" s="123" t="str">
        <f>IF(priority(Main[[#This Row],[Comments]])&lt;&gt;0, priority(Main[[#This Row],[Comments]]),"")</f>
        <v/>
      </c>
      <c r="B1049" s="127" t="s">
        <v>2557</v>
      </c>
      <c r="C1049" s="99" t="s">
        <v>216</v>
      </c>
      <c r="D1049" s="100" t="s">
        <v>2558</v>
      </c>
      <c r="E1049" s="101">
        <v>40861.655509259261</v>
      </c>
      <c r="F1049" s="101"/>
      <c r="G1049" s="102" t="str">
        <f>IF(stdProdLT(Main[[#This Row],[Comments]])=0.1,"N/A",IF(stdProdLT(Main[[#This Row],[Comments]])=0,"",stdProdLT(Main[[#This Row],[Comments]])))</f>
        <v/>
      </c>
      <c r="H1049" s="103" t="str">
        <f>IF(AND(Main[[#This Row],[In Stock Date]]&lt;&gt;"",Main[[#This Row],[Revised Due Date]]&lt;&gt;""),Main[[#This Row],[In Stock Date]]-Main[[#This Row],[Revised Due Date]],"")</f>
        <v/>
      </c>
      <c r="I1049" s="99" t="s">
        <v>4</v>
      </c>
      <c r="J1049" s="99" t="s">
        <v>4</v>
      </c>
      <c r="K1049" s="99" t="s">
        <v>4</v>
      </c>
      <c r="L1049" s="101"/>
      <c r="M1049" s="104" t="str">
        <f>IF(Main[[#This Row],[Tech Start Date]]&lt;1/1/1990,"",IF(Main[[#This Row],[Class]]="C",WORKDAY(Main[[#This Row],[Tech Start Date]],9),IF(Main[[#This Row],[Class]]="B", WORKDAY(Main[[#This Row],[Tech Start Date]],6),IF(Main[[#This Row],[Class]]="A",WORKDAY(Main[[#This Row],[Tech Start Date]],2),""))))</f>
        <v/>
      </c>
      <c r="N1049" s="104" t="str">
        <f>IF(Main[[#This Row],[Tech Start Date]]&lt;1/1/1990,"",IF(Main[[#This Row],[Class]]="C",WORKDAY(Main[[#This Row],[Tech Start Date]],19),IF(Main[[#This Row],[Class]]="B", WORKDAY(Main[[#This Row],[Tech Start Date]],12),IF(Main[[#This Row],[Class]]="A",WORKDAY(Main[[#This Row],[Tech Start Date]],4),""))))</f>
        <v/>
      </c>
      <c r="O1049" s="104" t="str">
        <f>IF(Main[[#This Row],[Tech Start Date]]&lt;1/1/1990,"",IF(Main[[#This Row],[Class]]="C",WORKDAY(Main[[#This Row],[Tech Start Date]],23),IF(Main[[#This Row],[Class]]="B", WORKDAY(Main[[#This Row],[Tech Start Date]],15),IF(Main[[#This Row],[Class]]="A",WORKDAY(Main[[#This Row],[Tech Start Date]],5),""))))</f>
        <v/>
      </c>
      <c r="P1049" s="104" t="str">
        <f>IF(Main[[#This Row],[Tech Start Date]]&lt;1/1/1990,"",IF(Main[[#This Row],[Class]]="C",WORKDAY(Main[[#This Row],[Tech Start Date]],28),IF(Main[[#This Row],[Class]]="B", WORKDAY(Main[[#This Row],[Tech Start Date]],19),IF(Main[[#This Row],[Class]]="A",WORKDAY(Main[[#This Row],[Tech Start Date]],9),""))))</f>
        <v/>
      </c>
      <c r="Q1049" s="101">
        <v>40967</v>
      </c>
      <c r="R1049" s="101"/>
      <c r="S1049" s="99" t="s">
        <v>17</v>
      </c>
      <c r="T1049" s="107" t="s">
        <v>4</v>
      </c>
      <c r="U1049" s="99" t="s">
        <v>7</v>
      </c>
      <c r="V1049" s="99" t="s">
        <v>1972</v>
      </c>
      <c r="W1049" s="99" t="s">
        <v>1967</v>
      </c>
    </row>
    <row r="1050" spans="1:23" ht="18.600000000000001" customHeight="1">
      <c r="A1050" s="123" t="str">
        <f>IF(priority(Main[[#This Row],[Comments]])&lt;&gt;0, priority(Main[[#This Row],[Comments]]),"")</f>
        <v/>
      </c>
      <c r="B1050" s="127" t="s">
        <v>2356</v>
      </c>
      <c r="C1050" s="99" t="s">
        <v>2357</v>
      </c>
      <c r="D1050" s="100" t="s">
        <v>2358</v>
      </c>
      <c r="E1050" s="101"/>
      <c r="F1050" s="101">
        <v>40816</v>
      </c>
      <c r="G1050" s="102" t="str">
        <f>IF(stdProdLT(Main[[#This Row],[Comments]])=0.1,"N/A",IF(stdProdLT(Main[[#This Row],[Comments]])=0,"",stdProdLT(Main[[#This Row],[Comments]])))</f>
        <v/>
      </c>
      <c r="H1050" s="103" t="str">
        <f>IF(AND(Main[[#This Row],[In Stock Date]]&lt;&gt;"",Main[[#This Row],[Revised Due Date]]&lt;&gt;""),Main[[#This Row],[In Stock Date]]-Main[[#This Row],[Revised Due Date]],"")</f>
        <v/>
      </c>
      <c r="I1050" s="99" t="s">
        <v>4</v>
      </c>
      <c r="J1050" s="99" t="s">
        <v>4</v>
      </c>
      <c r="K1050" s="99" t="s">
        <v>4</v>
      </c>
      <c r="L1050" s="101"/>
      <c r="M1050" s="104" t="str">
        <f>IF(Main[[#This Row],[Tech Start Date]]&lt;1/1/1990,"",IF(Main[[#This Row],[Class]]="C",WORKDAY(Main[[#This Row],[Tech Start Date]],9),IF(Main[[#This Row],[Class]]="B", WORKDAY(Main[[#This Row],[Tech Start Date]],6),IF(Main[[#This Row],[Class]]="A",WORKDAY(Main[[#This Row],[Tech Start Date]],2),""))))</f>
        <v/>
      </c>
      <c r="N1050" s="104" t="str">
        <f>IF(Main[[#This Row],[Tech Start Date]]&lt;1/1/1990,"",IF(Main[[#This Row],[Class]]="C",WORKDAY(Main[[#This Row],[Tech Start Date]],19),IF(Main[[#This Row],[Class]]="B", WORKDAY(Main[[#This Row],[Tech Start Date]],12),IF(Main[[#This Row],[Class]]="A",WORKDAY(Main[[#This Row],[Tech Start Date]],4),""))))</f>
        <v/>
      </c>
      <c r="O1050" s="104" t="str">
        <f>IF(Main[[#This Row],[Tech Start Date]]&lt;1/1/1990,"",IF(Main[[#This Row],[Class]]="C",WORKDAY(Main[[#This Row],[Tech Start Date]],23),IF(Main[[#This Row],[Class]]="B", WORKDAY(Main[[#This Row],[Tech Start Date]],15),IF(Main[[#This Row],[Class]]="A",WORKDAY(Main[[#This Row],[Tech Start Date]],5),""))))</f>
        <v/>
      </c>
      <c r="P1050" s="104" t="str">
        <f>IF(Main[[#This Row],[Tech Start Date]]&lt;1/1/1990,"",IF(Main[[#This Row],[Class]]="C",WORKDAY(Main[[#This Row],[Tech Start Date]],28),IF(Main[[#This Row],[Class]]="B", WORKDAY(Main[[#This Row],[Tech Start Date]],19),IF(Main[[#This Row],[Class]]="A",WORKDAY(Main[[#This Row],[Tech Start Date]],9),""))))</f>
        <v/>
      </c>
      <c r="Q1050" s="101">
        <v>40816</v>
      </c>
      <c r="R1050" s="101"/>
      <c r="S1050" s="99" t="s">
        <v>301</v>
      </c>
      <c r="T1050" s="107" t="s">
        <v>4</v>
      </c>
      <c r="U1050" s="99" t="s">
        <v>14</v>
      </c>
      <c r="V1050" s="99" t="s">
        <v>1972</v>
      </c>
      <c r="W1050" s="99" t="s">
        <v>1970</v>
      </c>
    </row>
    <row r="1051" spans="1:23" ht="18.600000000000001" customHeight="1">
      <c r="A1051" s="123" t="str">
        <f>IF(priority(Main[[#This Row],[Comments]])&lt;&gt;0, priority(Main[[#This Row],[Comments]]),"")</f>
        <v/>
      </c>
      <c r="B1051" s="127" t="s">
        <v>2559</v>
      </c>
      <c r="C1051" s="99" t="s">
        <v>4</v>
      </c>
      <c r="D1051" s="100" t="s">
        <v>2560</v>
      </c>
      <c r="E1051" s="101">
        <v>40826.139097222222</v>
      </c>
      <c r="F1051" s="101"/>
      <c r="G1051" s="102" t="str">
        <f>IF(stdProdLT(Main[[#This Row],[Comments]])=0.1,"N/A",IF(stdProdLT(Main[[#This Row],[Comments]])=0,"",stdProdLT(Main[[#This Row],[Comments]])))</f>
        <v/>
      </c>
      <c r="H1051" s="103" t="str">
        <f>IF(AND(Main[[#This Row],[In Stock Date]]&lt;&gt;"",Main[[#This Row],[Revised Due Date]]&lt;&gt;""),Main[[#This Row],[In Stock Date]]-Main[[#This Row],[Revised Due Date]],"")</f>
        <v/>
      </c>
      <c r="I1051" s="99" t="s">
        <v>4</v>
      </c>
      <c r="J1051" s="99" t="s">
        <v>4</v>
      </c>
      <c r="K1051" s="99" t="s">
        <v>4</v>
      </c>
      <c r="L1051" s="101"/>
      <c r="M1051" s="104" t="str">
        <f>IF(Main[[#This Row],[Tech Start Date]]&lt;1/1/1990,"",IF(Main[[#This Row],[Class]]="C",WORKDAY(Main[[#This Row],[Tech Start Date]],9),IF(Main[[#This Row],[Class]]="B", WORKDAY(Main[[#This Row],[Tech Start Date]],6),IF(Main[[#This Row],[Class]]="A",WORKDAY(Main[[#This Row],[Tech Start Date]],2),""))))</f>
        <v/>
      </c>
      <c r="N1051" s="104" t="str">
        <f>IF(Main[[#This Row],[Tech Start Date]]&lt;1/1/1990,"",IF(Main[[#This Row],[Class]]="C",WORKDAY(Main[[#This Row],[Tech Start Date]],19),IF(Main[[#This Row],[Class]]="B", WORKDAY(Main[[#This Row],[Tech Start Date]],12),IF(Main[[#This Row],[Class]]="A",WORKDAY(Main[[#This Row],[Tech Start Date]],4),""))))</f>
        <v/>
      </c>
      <c r="O1051" s="104" t="str">
        <f>IF(Main[[#This Row],[Tech Start Date]]&lt;1/1/1990,"",IF(Main[[#This Row],[Class]]="C",WORKDAY(Main[[#This Row],[Tech Start Date]],23),IF(Main[[#This Row],[Class]]="B", WORKDAY(Main[[#This Row],[Tech Start Date]],15),IF(Main[[#This Row],[Class]]="A",WORKDAY(Main[[#This Row],[Tech Start Date]],5),""))))</f>
        <v/>
      </c>
      <c r="P1051" s="104" t="str">
        <f>IF(Main[[#This Row],[Tech Start Date]]&lt;1/1/1990,"",IF(Main[[#This Row],[Class]]="C",WORKDAY(Main[[#This Row],[Tech Start Date]],28),IF(Main[[#This Row],[Class]]="B", WORKDAY(Main[[#This Row],[Tech Start Date]],19),IF(Main[[#This Row],[Class]]="A",WORKDAY(Main[[#This Row],[Tech Start Date]],9),""))))</f>
        <v/>
      </c>
      <c r="Q1051" s="101">
        <v>40847</v>
      </c>
      <c r="R1051" s="101"/>
      <c r="S1051" s="99" t="s">
        <v>6</v>
      </c>
      <c r="T1051" s="107" t="s">
        <v>4</v>
      </c>
      <c r="U1051" s="99" t="s">
        <v>7</v>
      </c>
      <c r="V1051" s="99" t="s">
        <v>1962</v>
      </c>
      <c r="W1051" s="99" t="s">
        <v>4</v>
      </c>
    </row>
    <row r="1052" spans="1:23" ht="18.600000000000001" customHeight="1">
      <c r="A1052" s="123" t="str">
        <f>IF(priority(Main[[#This Row],[Comments]])&lt;&gt;0, priority(Main[[#This Row],[Comments]]),"")</f>
        <v/>
      </c>
      <c r="B1052" s="127" t="s">
        <v>2434</v>
      </c>
      <c r="C1052" s="99" t="s">
        <v>4</v>
      </c>
      <c r="D1052" s="100" t="s">
        <v>2435</v>
      </c>
      <c r="E1052" s="101">
        <v>40826.635983796295</v>
      </c>
      <c r="F1052" s="101"/>
      <c r="G1052" s="102" t="str">
        <f>IF(stdProdLT(Main[[#This Row],[Comments]])=0.1,"N/A",IF(stdProdLT(Main[[#This Row],[Comments]])=0,"",stdProdLT(Main[[#This Row],[Comments]])))</f>
        <v/>
      </c>
      <c r="H1052" s="103" t="str">
        <f>IF(AND(Main[[#This Row],[In Stock Date]]&lt;&gt;"",Main[[#This Row],[Revised Due Date]]&lt;&gt;""),Main[[#This Row],[In Stock Date]]-Main[[#This Row],[Revised Due Date]],"")</f>
        <v/>
      </c>
      <c r="I1052" s="99" t="s">
        <v>30</v>
      </c>
      <c r="J1052" s="99" t="s">
        <v>21</v>
      </c>
      <c r="K1052" s="99" t="s">
        <v>1971</v>
      </c>
      <c r="L1052" s="101"/>
      <c r="M1052" s="104" t="str">
        <f>IF(Main[[#This Row],[Tech Start Date]]&lt;1/1/1990,"",IF(Main[[#This Row],[Class]]="C",WORKDAY(Main[[#This Row],[Tech Start Date]],9),IF(Main[[#This Row],[Class]]="B", WORKDAY(Main[[#This Row],[Tech Start Date]],6),IF(Main[[#This Row],[Class]]="A",WORKDAY(Main[[#This Row],[Tech Start Date]],2),""))))</f>
        <v/>
      </c>
      <c r="N1052" s="104" t="str">
        <f>IF(Main[[#This Row],[Tech Start Date]]&lt;1/1/1990,"",IF(Main[[#This Row],[Class]]="C",WORKDAY(Main[[#This Row],[Tech Start Date]],19),IF(Main[[#This Row],[Class]]="B", WORKDAY(Main[[#This Row],[Tech Start Date]],12),IF(Main[[#This Row],[Class]]="A",WORKDAY(Main[[#This Row],[Tech Start Date]],4),""))))</f>
        <v/>
      </c>
      <c r="O1052" s="104" t="str">
        <f>IF(Main[[#This Row],[Tech Start Date]]&lt;1/1/1990,"",IF(Main[[#This Row],[Class]]="C",WORKDAY(Main[[#This Row],[Tech Start Date]],23),IF(Main[[#This Row],[Class]]="B", WORKDAY(Main[[#This Row],[Tech Start Date]],15),IF(Main[[#This Row],[Class]]="A",WORKDAY(Main[[#This Row],[Tech Start Date]],5),""))))</f>
        <v/>
      </c>
      <c r="P1052" s="104" t="str">
        <f>IF(Main[[#This Row],[Tech Start Date]]&lt;1/1/1990,"",IF(Main[[#This Row],[Class]]="C",WORKDAY(Main[[#This Row],[Tech Start Date]],28),IF(Main[[#This Row],[Class]]="B", WORKDAY(Main[[#This Row],[Tech Start Date]],19),IF(Main[[#This Row],[Class]]="A",WORKDAY(Main[[#This Row],[Tech Start Date]],9),""))))</f>
        <v/>
      </c>
      <c r="Q1052" s="101">
        <v>40886</v>
      </c>
      <c r="R1052" s="101"/>
      <c r="S1052" s="99" t="s">
        <v>6</v>
      </c>
      <c r="T1052" s="107" t="s">
        <v>4</v>
      </c>
      <c r="U1052" s="99" t="s">
        <v>29</v>
      </c>
      <c r="V1052" s="99" t="s">
        <v>1965</v>
      </c>
      <c r="W1052" s="99" t="s">
        <v>1964</v>
      </c>
    </row>
    <row r="1053" spans="1:23" ht="18.600000000000001" customHeight="1">
      <c r="A1053" s="123" t="str">
        <f>IF(priority(Main[[#This Row],[Comments]])&lt;&gt;0, priority(Main[[#This Row],[Comments]]),"")</f>
        <v/>
      </c>
      <c r="B1053" s="127" t="s">
        <v>1124</v>
      </c>
      <c r="C1053" s="99" t="s">
        <v>4</v>
      </c>
      <c r="D1053" s="100" t="s">
        <v>2564</v>
      </c>
      <c r="E1053" s="101">
        <v>40086.707800925928</v>
      </c>
      <c r="F1053" s="101"/>
      <c r="G1053" s="102" t="str">
        <f>IF(stdProdLT(Main[[#This Row],[Comments]])=0.1,"N/A",IF(stdProdLT(Main[[#This Row],[Comments]])=0,"",stdProdLT(Main[[#This Row],[Comments]])))</f>
        <v/>
      </c>
      <c r="H1053" s="103" t="str">
        <f>IF(AND(Main[[#This Row],[In Stock Date]]&lt;&gt;"",Main[[#This Row],[Revised Due Date]]&lt;&gt;""),Main[[#This Row],[In Stock Date]]-Main[[#This Row],[Revised Due Date]],"")</f>
        <v/>
      </c>
      <c r="I1053" s="99" t="s">
        <v>924</v>
      </c>
      <c r="J1053" s="99" t="s">
        <v>4</v>
      </c>
      <c r="K1053" s="99" t="s">
        <v>1974</v>
      </c>
      <c r="L1053" s="101"/>
      <c r="M1053" s="104" t="str">
        <f>IF(Main[[#This Row],[Tech Start Date]]&lt;1/1/1990,"",IF(Main[[#This Row],[Class]]="C",WORKDAY(Main[[#This Row],[Tech Start Date]],9),IF(Main[[#This Row],[Class]]="B", WORKDAY(Main[[#This Row],[Tech Start Date]],6),IF(Main[[#This Row],[Class]]="A",WORKDAY(Main[[#This Row],[Tech Start Date]],2),""))))</f>
        <v/>
      </c>
      <c r="N1053" s="104" t="str">
        <f>IF(Main[[#This Row],[Tech Start Date]]&lt;1/1/1990,"",IF(Main[[#This Row],[Class]]="C",WORKDAY(Main[[#This Row],[Tech Start Date]],19),IF(Main[[#This Row],[Class]]="B", WORKDAY(Main[[#This Row],[Tech Start Date]],12),IF(Main[[#This Row],[Class]]="A",WORKDAY(Main[[#This Row],[Tech Start Date]],4),""))))</f>
        <v/>
      </c>
      <c r="O1053" s="104" t="str">
        <f>IF(Main[[#This Row],[Tech Start Date]]&lt;1/1/1990,"",IF(Main[[#This Row],[Class]]="C",WORKDAY(Main[[#This Row],[Tech Start Date]],23),IF(Main[[#This Row],[Class]]="B", WORKDAY(Main[[#This Row],[Tech Start Date]],15),IF(Main[[#This Row],[Class]]="A",WORKDAY(Main[[#This Row],[Tech Start Date]],5),""))))</f>
        <v/>
      </c>
      <c r="P1053" s="104" t="str">
        <f>IF(Main[[#This Row],[Tech Start Date]]&lt;1/1/1990,"",IF(Main[[#This Row],[Class]]="C",WORKDAY(Main[[#This Row],[Tech Start Date]],28),IF(Main[[#This Row],[Class]]="B", WORKDAY(Main[[#This Row],[Tech Start Date]],19),IF(Main[[#This Row],[Class]]="A",WORKDAY(Main[[#This Row],[Tech Start Date]],9),""))))</f>
        <v/>
      </c>
      <c r="Q1053" s="101">
        <v>41005</v>
      </c>
      <c r="R1053" s="101">
        <v>41005</v>
      </c>
      <c r="S1053" s="99" t="s">
        <v>17</v>
      </c>
      <c r="T1053" s="107" t="s">
        <v>4</v>
      </c>
      <c r="U1053" s="99" t="s">
        <v>29</v>
      </c>
      <c r="V1053" s="99" t="s">
        <v>1962</v>
      </c>
      <c r="W1053" s="99" t="s">
        <v>1967</v>
      </c>
    </row>
    <row r="1054" spans="1:23" ht="18.600000000000001" customHeight="1">
      <c r="A1054" s="123" t="str">
        <f>IF(priority(Main[[#This Row],[Comments]])&lt;&gt;0, priority(Main[[#This Row],[Comments]]),"")</f>
        <v/>
      </c>
      <c r="B1054" s="127" t="s">
        <v>2187</v>
      </c>
      <c r="C1054" s="99" t="s">
        <v>4</v>
      </c>
      <c r="D1054" s="100" t="s">
        <v>2565</v>
      </c>
      <c r="E1054" s="101"/>
      <c r="F1054" s="101"/>
      <c r="G1054" s="102" t="str">
        <f>IF(stdProdLT(Main[[#This Row],[Comments]])=0.1,"N/A",IF(stdProdLT(Main[[#This Row],[Comments]])=0,"",stdProdLT(Main[[#This Row],[Comments]])))</f>
        <v/>
      </c>
      <c r="H1054" s="103" t="str">
        <f>IF(AND(Main[[#This Row],[In Stock Date]]&lt;&gt;"",Main[[#This Row],[Revised Due Date]]&lt;&gt;""),Main[[#This Row],[In Stock Date]]-Main[[#This Row],[Revised Due Date]],"")</f>
        <v/>
      </c>
      <c r="I1054" s="99" t="s">
        <v>2110</v>
      </c>
      <c r="J1054" s="99" t="s">
        <v>28</v>
      </c>
      <c r="K1054" s="99" t="s">
        <v>1971</v>
      </c>
      <c r="L1054" s="101"/>
      <c r="M1054" s="104" t="str">
        <f>IF(Main[[#This Row],[Tech Start Date]]&lt;1/1/1990,"",IF(Main[[#This Row],[Class]]="C",WORKDAY(Main[[#This Row],[Tech Start Date]],9),IF(Main[[#This Row],[Class]]="B", WORKDAY(Main[[#This Row],[Tech Start Date]],6),IF(Main[[#This Row],[Class]]="A",WORKDAY(Main[[#This Row],[Tech Start Date]],2),""))))</f>
        <v/>
      </c>
      <c r="N1054" s="104" t="str">
        <f>IF(Main[[#This Row],[Tech Start Date]]&lt;1/1/1990,"",IF(Main[[#This Row],[Class]]="C",WORKDAY(Main[[#This Row],[Tech Start Date]],19),IF(Main[[#This Row],[Class]]="B", WORKDAY(Main[[#This Row],[Tech Start Date]],12),IF(Main[[#This Row],[Class]]="A",WORKDAY(Main[[#This Row],[Tech Start Date]],4),""))))</f>
        <v/>
      </c>
      <c r="O1054" s="104" t="str">
        <f>IF(Main[[#This Row],[Tech Start Date]]&lt;1/1/1990,"",IF(Main[[#This Row],[Class]]="C",WORKDAY(Main[[#This Row],[Tech Start Date]],23),IF(Main[[#This Row],[Class]]="B", WORKDAY(Main[[#This Row],[Tech Start Date]],15),IF(Main[[#This Row],[Class]]="A",WORKDAY(Main[[#This Row],[Tech Start Date]],5),""))))</f>
        <v/>
      </c>
      <c r="P1054" s="104" t="str">
        <f>IF(Main[[#This Row],[Tech Start Date]]&lt;1/1/1990,"",IF(Main[[#This Row],[Class]]="C",WORKDAY(Main[[#This Row],[Tech Start Date]],28),IF(Main[[#This Row],[Class]]="B", WORKDAY(Main[[#This Row],[Tech Start Date]],19),IF(Main[[#This Row],[Class]]="A",WORKDAY(Main[[#This Row],[Tech Start Date]],9),""))))</f>
        <v/>
      </c>
      <c r="Q1054" s="101">
        <v>40816</v>
      </c>
      <c r="R1054" s="101"/>
      <c r="S1054" s="99" t="s">
        <v>6</v>
      </c>
      <c r="T1054" s="107" t="s">
        <v>4</v>
      </c>
      <c r="U1054" s="99" t="s">
        <v>14</v>
      </c>
      <c r="V1054" s="99" t="s">
        <v>1972</v>
      </c>
      <c r="W1054" s="99" t="s">
        <v>1966</v>
      </c>
    </row>
    <row r="1055" spans="1:23" ht="18.600000000000001" customHeight="1">
      <c r="A1055" s="123" t="str">
        <f>IF(priority(Main[[#This Row],[Comments]])&lt;&gt;0, priority(Main[[#This Row],[Comments]]),"")</f>
        <v/>
      </c>
      <c r="B1055" s="127" t="s">
        <v>2823</v>
      </c>
      <c r="C1055" s="99" t="s">
        <v>4</v>
      </c>
      <c r="D1055" s="100" t="s">
        <v>2824</v>
      </c>
      <c r="E1055" s="101"/>
      <c r="F1055" s="101"/>
      <c r="G1055" s="102" t="str">
        <f>IF(stdProdLT(Main[[#This Row],[Comments]])=0.1,"N/A",IF(stdProdLT(Main[[#This Row],[Comments]])=0,"",stdProdLT(Main[[#This Row],[Comments]])))</f>
        <v/>
      </c>
      <c r="H1055" s="103" t="str">
        <f>IF(AND(Main[[#This Row],[In Stock Date]]&lt;&gt;"",Main[[#This Row],[Revised Due Date]]&lt;&gt;""),Main[[#This Row],[In Stock Date]]-Main[[#This Row],[Revised Due Date]],"")</f>
        <v/>
      </c>
      <c r="I1055" s="99" t="s">
        <v>4</v>
      </c>
      <c r="J1055" s="99" t="s">
        <v>4</v>
      </c>
      <c r="K1055" s="99" t="s">
        <v>4</v>
      </c>
      <c r="L1055" s="101"/>
      <c r="M1055" s="104" t="str">
        <f>IF(Main[[#This Row],[Tech Start Date]]&lt;1/1/1990,"",IF(Main[[#This Row],[Class]]="C",WORKDAY(Main[[#This Row],[Tech Start Date]],9),IF(Main[[#This Row],[Class]]="B", WORKDAY(Main[[#This Row],[Tech Start Date]],6),IF(Main[[#This Row],[Class]]="A",WORKDAY(Main[[#This Row],[Tech Start Date]],2),""))))</f>
        <v/>
      </c>
      <c r="N1055" s="104" t="str">
        <f>IF(Main[[#This Row],[Tech Start Date]]&lt;1/1/1990,"",IF(Main[[#This Row],[Class]]="C",WORKDAY(Main[[#This Row],[Tech Start Date]],19),IF(Main[[#This Row],[Class]]="B", WORKDAY(Main[[#This Row],[Tech Start Date]],12),IF(Main[[#This Row],[Class]]="A",WORKDAY(Main[[#This Row],[Tech Start Date]],4),""))))</f>
        <v/>
      </c>
      <c r="O1055" s="104" t="str">
        <f>IF(Main[[#This Row],[Tech Start Date]]&lt;1/1/1990,"",IF(Main[[#This Row],[Class]]="C",WORKDAY(Main[[#This Row],[Tech Start Date]],23),IF(Main[[#This Row],[Class]]="B", WORKDAY(Main[[#This Row],[Tech Start Date]],15),IF(Main[[#This Row],[Class]]="A",WORKDAY(Main[[#This Row],[Tech Start Date]],5),""))))</f>
        <v/>
      </c>
      <c r="P1055" s="104" t="str">
        <f>IF(Main[[#This Row],[Tech Start Date]]&lt;1/1/1990,"",IF(Main[[#This Row],[Class]]="C",WORKDAY(Main[[#This Row],[Tech Start Date]],28),IF(Main[[#This Row],[Class]]="B", WORKDAY(Main[[#This Row],[Tech Start Date]],19),IF(Main[[#This Row],[Class]]="A",WORKDAY(Main[[#This Row],[Tech Start Date]],9),""))))</f>
        <v/>
      </c>
      <c r="Q1055" s="101"/>
      <c r="R1055" s="101"/>
      <c r="S1055" s="99" t="s">
        <v>6</v>
      </c>
      <c r="T1055" s="107" t="s">
        <v>4</v>
      </c>
      <c r="U1055" s="99" t="s">
        <v>14</v>
      </c>
      <c r="V1055" s="99" t="s">
        <v>1965</v>
      </c>
      <c r="W1055" s="99" t="s">
        <v>1966</v>
      </c>
    </row>
    <row r="1056" spans="1:23" ht="18.600000000000001" customHeight="1">
      <c r="A1056" s="123" t="str">
        <f>IF(priority(Main[[#This Row],[Comments]])&lt;&gt;0, priority(Main[[#This Row],[Comments]]),"")</f>
        <v/>
      </c>
      <c r="B1056" s="127" t="s">
        <v>2350</v>
      </c>
      <c r="C1056" s="99" t="s">
        <v>4</v>
      </c>
      <c r="D1056" s="100" t="s">
        <v>2351</v>
      </c>
      <c r="E1056" s="101">
        <v>40809.888067129628</v>
      </c>
      <c r="F1056" s="101"/>
      <c r="G1056" s="102" t="str">
        <f>IF(stdProdLT(Main[[#This Row],[Comments]])=0.1,"N/A",IF(stdProdLT(Main[[#This Row],[Comments]])=0,"",stdProdLT(Main[[#This Row],[Comments]])))</f>
        <v/>
      </c>
      <c r="H1056" s="103" t="str">
        <f>IF(AND(Main[[#This Row],[In Stock Date]]&lt;&gt;"",Main[[#This Row],[Revised Due Date]]&lt;&gt;""),Main[[#This Row],[In Stock Date]]-Main[[#This Row],[Revised Due Date]],"")</f>
        <v/>
      </c>
      <c r="I1056" s="99" t="s">
        <v>81</v>
      </c>
      <c r="J1056" s="99" t="s">
        <v>52</v>
      </c>
      <c r="K1056" s="99" t="s">
        <v>1971</v>
      </c>
      <c r="L1056" s="101"/>
      <c r="M1056" s="104" t="str">
        <f>IF(Main[[#This Row],[Tech Start Date]]&lt;1/1/1990,"",IF(Main[[#This Row],[Class]]="C",WORKDAY(Main[[#This Row],[Tech Start Date]],9),IF(Main[[#This Row],[Class]]="B", WORKDAY(Main[[#This Row],[Tech Start Date]],6),IF(Main[[#This Row],[Class]]="A",WORKDAY(Main[[#This Row],[Tech Start Date]],2),""))))</f>
        <v/>
      </c>
      <c r="N1056" s="104" t="str">
        <f>IF(Main[[#This Row],[Tech Start Date]]&lt;1/1/1990,"",IF(Main[[#This Row],[Class]]="C",WORKDAY(Main[[#This Row],[Tech Start Date]],19),IF(Main[[#This Row],[Class]]="B", WORKDAY(Main[[#This Row],[Tech Start Date]],12),IF(Main[[#This Row],[Class]]="A",WORKDAY(Main[[#This Row],[Tech Start Date]],4),""))))</f>
        <v/>
      </c>
      <c r="O1056" s="104" t="str">
        <f>IF(Main[[#This Row],[Tech Start Date]]&lt;1/1/1990,"",IF(Main[[#This Row],[Class]]="C",WORKDAY(Main[[#This Row],[Tech Start Date]],23),IF(Main[[#This Row],[Class]]="B", WORKDAY(Main[[#This Row],[Tech Start Date]],15),IF(Main[[#This Row],[Class]]="A",WORKDAY(Main[[#This Row],[Tech Start Date]],5),""))))</f>
        <v/>
      </c>
      <c r="P1056" s="104" t="str">
        <f>IF(Main[[#This Row],[Tech Start Date]]&lt;1/1/1990,"",IF(Main[[#This Row],[Class]]="C",WORKDAY(Main[[#This Row],[Tech Start Date]],28),IF(Main[[#This Row],[Class]]="B", WORKDAY(Main[[#This Row],[Tech Start Date]],19),IF(Main[[#This Row],[Class]]="A",WORKDAY(Main[[#This Row],[Tech Start Date]],9),""))))</f>
        <v/>
      </c>
      <c r="Q1056" s="101"/>
      <c r="R1056" s="101"/>
      <c r="S1056" s="99" t="s">
        <v>6</v>
      </c>
      <c r="T1056" s="107" t="s">
        <v>4</v>
      </c>
      <c r="U1056" s="99" t="s">
        <v>29</v>
      </c>
      <c r="V1056" s="99" t="s">
        <v>1972</v>
      </c>
      <c r="W1056" s="99" t="s">
        <v>1966</v>
      </c>
    </row>
    <row r="1057" spans="1:23" ht="18.600000000000001" customHeight="1">
      <c r="A1057" s="123" t="str">
        <f>IF(priority(Main[[#This Row],[Comments]])&lt;&gt;0, priority(Main[[#This Row],[Comments]]),"")</f>
        <v/>
      </c>
      <c r="B1057" s="127" t="s">
        <v>2325</v>
      </c>
      <c r="C1057" s="99" t="s">
        <v>4</v>
      </c>
      <c r="D1057" s="100" t="s">
        <v>2326</v>
      </c>
      <c r="E1057" s="101">
        <v>40806.354490740741</v>
      </c>
      <c r="F1057" s="101"/>
      <c r="G1057" s="102" t="str">
        <f>IF(stdProdLT(Main[[#This Row],[Comments]])=0.1,"N/A",IF(stdProdLT(Main[[#This Row],[Comments]])=0,"",stdProdLT(Main[[#This Row],[Comments]])))</f>
        <v/>
      </c>
      <c r="H1057" s="103" t="str">
        <f>IF(AND(Main[[#This Row],[In Stock Date]]&lt;&gt;"",Main[[#This Row],[Revised Due Date]]&lt;&gt;""),Main[[#This Row],[In Stock Date]]-Main[[#This Row],[Revised Due Date]],"")</f>
        <v/>
      </c>
      <c r="I1057" s="99" t="s">
        <v>4</v>
      </c>
      <c r="J1057" s="99" t="s">
        <v>4</v>
      </c>
      <c r="K1057" s="99" t="s">
        <v>4</v>
      </c>
      <c r="L1057" s="101"/>
      <c r="M1057" s="104" t="str">
        <f>IF(Main[[#This Row],[Tech Start Date]]&lt;1/1/1990,"",IF(Main[[#This Row],[Class]]="C",WORKDAY(Main[[#This Row],[Tech Start Date]],9),IF(Main[[#This Row],[Class]]="B", WORKDAY(Main[[#This Row],[Tech Start Date]],6),IF(Main[[#This Row],[Class]]="A",WORKDAY(Main[[#This Row],[Tech Start Date]],2),""))))</f>
        <v/>
      </c>
      <c r="N1057" s="104" t="str">
        <f>IF(Main[[#This Row],[Tech Start Date]]&lt;1/1/1990,"",IF(Main[[#This Row],[Class]]="C",WORKDAY(Main[[#This Row],[Tech Start Date]],19),IF(Main[[#This Row],[Class]]="B", WORKDAY(Main[[#This Row],[Tech Start Date]],12),IF(Main[[#This Row],[Class]]="A",WORKDAY(Main[[#This Row],[Tech Start Date]],4),""))))</f>
        <v/>
      </c>
      <c r="O1057" s="104" t="str">
        <f>IF(Main[[#This Row],[Tech Start Date]]&lt;1/1/1990,"",IF(Main[[#This Row],[Class]]="C",WORKDAY(Main[[#This Row],[Tech Start Date]],23),IF(Main[[#This Row],[Class]]="B", WORKDAY(Main[[#This Row],[Tech Start Date]],15),IF(Main[[#This Row],[Class]]="A",WORKDAY(Main[[#This Row],[Tech Start Date]],5),""))))</f>
        <v/>
      </c>
      <c r="P1057" s="104" t="str">
        <f>IF(Main[[#This Row],[Tech Start Date]]&lt;1/1/1990,"",IF(Main[[#This Row],[Class]]="C",WORKDAY(Main[[#This Row],[Tech Start Date]],28),IF(Main[[#This Row],[Class]]="B", WORKDAY(Main[[#This Row],[Tech Start Date]],19),IF(Main[[#This Row],[Class]]="A",WORKDAY(Main[[#This Row],[Tech Start Date]],9),""))))</f>
        <v/>
      </c>
      <c r="Q1057" s="101"/>
      <c r="R1057" s="101"/>
      <c r="S1057" s="99" t="s">
        <v>17</v>
      </c>
      <c r="T1057" s="107" t="s">
        <v>4</v>
      </c>
      <c r="U1057" s="99" t="s">
        <v>7</v>
      </c>
      <c r="V1057" s="99" t="s">
        <v>1963</v>
      </c>
      <c r="W1057" s="99" t="s">
        <v>1964</v>
      </c>
    </row>
    <row r="1058" spans="1:23" ht="18.600000000000001" customHeight="1">
      <c r="A1058" s="123" t="str">
        <f>IF(priority(Main[[#This Row],[Comments]])&lt;&gt;0, priority(Main[[#This Row],[Comments]]),"")</f>
        <v/>
      </c>
      <c r="B1058" s="127" t="s">
        <v>1475</v>
      </c>
      <c r="C1058" s="99" t="s">
        <v>4</v>
      </c>
      <c r="D1058" s="100" t="s">
        <v>522</v>
      </c>
      <c r="E1058" s="101">
        <v>40584.460439814815</v>
      </c>
      <c r="F1058" s="101">
        <v>40599</v>
      </c>
      <c r="G1058" s="102" t="str">
        <f>IF(stdProdLT(Main[[#This Row],[Comments]])=0.1,"N/A",IF(stdProdLT(Main[[#This Row],[Comments]])=0,"",stdProdLT(Main[[#This Row],[Comments]])))</f>
        <v/>
      </c>
      <c r="H1058" s="103" t="str">
        <f>IF(AND(Main[[#This Row],[In Stock Date]]&lt;&gt;"",Main[[#This Row],[Revised Due Date]]&lt;&gt;""),Main[[#This Row],[In Stock Date]]-Main[[#This Row],[Revised Due Date]],"")</f>
        <v/>
      </c>
      <c r="I1058" s="99" t="s">
        <v>242</v>
      </c>
      <c r="J1058" s="99" t="s">
        <v>21</v>
      </c>
      <c r="K1058" s="99" t="s">
        <v>1971</v>
      </c>
      <c r="L1058" s="101"/>
      <c r="M1058" s="104" t="str">
        <f>IF(Main[[#This Row],[Tech Start Date]]&lt;1/1/1990,"",IF(Main[[#This Row],[Class]]="C",WORKDAY(Main[[#This Row],[Tech Start Date]],9),IF(Main[[#This Row],[Class]]="B", WORKDAY(Main[[#This Row],[Tech Start Date]],6),IF(Main[[#This Row],[Class]]="A",WORKDAY(Main[[#This Row],[Tech Start Date]],2),""))))</f>
        <v/>
      </c>
      <c r="N1058" s="104" t="str">
        <f>IF(Main[[#This Row],[Tech Start Date]]&lt;1/1/1990,"",IF(Main[[#This Row],[Class]]="C",WORKDAY(Main[[#This Row],[Tech Start Date]],19),IF(Main[[#This Row],[Class]]="B", WORKDAY(Main[[#This Row],[Tech Start Date]],12),IF(Main[[#This Row],[Class]]="A",WORKDAY(Main[[#This Row],[Tech Start Date]],4),""))))</f>
        <v/>
      </c>
      <c r="O1058" s="104" t="str">
        <f>IF(Main[[#This Row],[Tech Start Date]]&lt;1/1/1990,"",IF(Main[[#This Row],[Class]]="C",WORKDAY(Main[[#This Row],[Tech Start Date]],23),IF(Main[[#This Row],[Class]]="B", WORKDAY(Main[[#This Row],[Tech Start Date]],15),IF(Main[[#This Row],[Class]]="A",WORKDAY(Main[[#This Row],[Tech Start Date]],5),""))))</f>
        <v/>
      </c>
      <c r="P1058" s="104" t="str">
        <f>IF(Main[[#This Row],[Tech Start Date]]&lt;1/1/1990,"",IF(Main[[#This Row],[Class]]="C",WORKDAY(Main[[#This Row],[Tech Start Date]],28),IF(Main[[#This Row],[Class]]="B", WORKDAY(Main[[#This Row],[Tech Start Date]],19),IF(Main[[#This Row],[Class]]="A",WORKDAY(Main[[#This Row],[Tech Start Date]],9),""))))</f>
        <v/>
      </c>
      <c r="Q1058" s="101">
        <v>40599</v>
      </c>
      <c r="R1058" s="101"/>
      <c r="S1058" s="99" t="s">
        <v>6</v>
      </c>
      <c r="T1058" s="107" t="s">
        <v>4</v>
      </c>
      <c r="U1058" s="99" t="s">
        <v>29</v>
      </c>
      <c r="V1058" s="99" t="s">
        <v>1972</v>
      </c>
      <c r="W1058" s="99" t="s">
        <v>1964</v>
      </c>
    </row>
    <row r="1059" spans="1:23" ht="18.600000000000001" customHeight="1">
      <c r="A1059" s="123" t="str">
        <f>IF(priority(Main[[#This Row],[Comments]])&lt;&gt;0, priority(Main[[#This Row],[Comments]]),"")</f>
        <v/>
      </c>
      <c r="B1059" s="127" t="s">
        <v>2646</v>
      </c>
      <c r="C1059" s="99" t="s">
        <v>4</v>
      </c>
      <c r="D1059" s="100" t="s">
        <v>3171</v>
      </c>
      <c r="E1059" s="101">
        <v>40861.620081018518</v>
      </c>
      <c r="F1059" s="101"/>
      <c r="G1059" s="102" t="str">
        <f>IF(stdProdLT(Main[[#This Row],[Comments]])=0.1,"N/A",IF(stdProdLT(Main[[#This Row],[Comments]])=0,"",stdProdLT(Main[[#This Row],[Comments]])))</f>
        <v/>
      </c>
      <c r="H1059" s="103" t="str">
        <f>IF(AND(Main[[#This Row],[In Stock Date]]&lt;&gt;"",Main[[#This Row],[Revised Due Date]]&lt;&gt;""),Main[[#This Row],[In Stock Date]]-Main[[#This Row],[Revised Due Date]],"")</f>
        <v/>
      </c>
      <c r="I1059" s="99" t="s">
        <v>4</v>
      </c>
      <c r="J1059" s="99" t="s">
        <v>4</v>
      </c>
      <c r="K1059" s="99" t="s">
        <v>4</v>
      </c>
      <c r="L1059" s="101"/>
      <c r="M1059" s="104" t="str">
        <f>IF(Main[[#This Row],[Tech Start Date]]&lt;1/1/1990,"",IF(Main[[#This Row],[Class]]="C",WORKDAY(Main[[#This Row],[Tech Start Date]],9),IF(Main[[#This Row],[Class]]="B", WORKDAY(Main[[#This Row],[Tech Start Date]],6),IF(Main[[#This Row],[Class]]="A",WORKDAY(Main[[#This Row],[Tech Start Date]],2),""))))</f>
        <v/>
      </c>
      <c r="N1059" s="104" t="str">
        <f>IF(Main[[#This Row],[Tech Start Date]]&lt;1/1/1990,"",IF(Main[[#This Row],[Class]]="C",WORKDAY(Main[[#This Row],[Tech Start Date]],19),IF(Main[[#This Row],[Class]]="B", WORKDAY(Main[[#This Row],[Tech Start Date]],12),IF(Main[[#This Row],[Class]]="A",WORKDAY(Main[[#This Row],[Tech Start Date]],4),""))))</f>
        <v/>
      </c>
      <c r="O1059" s="104" t="str">
        <f>IF(Main[[#This Row],[Tech Start Date]]&lt;1/1/1990,"",IF(Main[[#This Row],[Class]]="C",WORKDAY(Main[[#This Row],[Tech Start Date]],23),IF(Main[[#This Row],[Class]]="B", WORKDAY(Main[[#This Row],[Tech Start Date]],15),IF(Main[[#This Row],[Class]]="A",WORKDAY(Main[[#This Row],[Tech Start Date]],5),""))))</f>
        <v/>
      </c>
      <c r="P1059" s="104" t="str">
        <f>IF(Main[[#This Row],[Tech Start Date]]&lt;1/1/1990,"",IF(Main[[#This Row],[Class]]="C",WORKDAY(Main[[#This Row],[Tech Start Date]],28),IF(Main[[#This Row],[Class]]="B", WORKDAY(Main[[#This Row],[Tech Start Date]],19),IF(Main[[#This Row],[Class]]="A",WORKDAY(Main[[#This Row],[Tech Start Date]],9),""))))</f>
        <v/>
      </c>
      <c r="Q1059" s="101"/>
      <c r="R1059" s="101"/>
      <c r="S1059" s="99" t="s">
        <v>6</v>
      </c>
      <c r="T1059" s="107" t="s">
        <v>4</v>
      </c>
      <c r="U1059" s="99" t="s">
        <v>7</v>
      </c>
      <c r="V1059" s="99" t="s">
        <v>1962</v>
      </c>
      <c r="W1059" s="99" t="s">
        <v>1966</v>
      </c>
    </row>
    <row r="1060" spans="1:23" ht="18.600000000000001" customHeight="1">
      <c r="A1060" s="123" t="str">
        <f>IF(priority(Main[[#This Row],[Comments]])&lt;&gt;0, priority(Main[[#This Row],[Comments]]),"")</f>
        <v/>
      </c>
      <c r="B1060" s="127" t="s">
        <v>2595</v>
      </c>
      <c r="C1060" s="99" t="s">
        <v>4</v>
      </c>
      <c r="D1060" s="100" t="s">
        <v>2596</v>
      </c>
      <c r="E1060" s="101">
        <v>40820.810810185183</v>
      </c>
      <c r="F1060" s="101"/>
      <c r="G1060" s="102" t="str">
        <f>IF(stdProdLT(Main[[#This Row],[Comments]])=0.1,"N/A",IF(stdProdLT(Main[[#This Row],[Comments]])=0,"",stdProdLT(Main[[#This Row],[Comments]])))</f>
        <v/>
      </c>
      <c r="H1060" s="103" t="str">
        <f>IF(AND(Main[[#This Row],[In Stock Date]]&lt;&gt;"",Main[[#This Row],[Revised Due Date]]&lt;&gt;""),Main[[#This Row],[In Stock Date]]-Main[[#This Row],[Revised Due Date]],"")</f>
        <v/>
      </c>
      <c r="I1060" s="99" t="s">
        <v>435</v>
      </c>
      <c r="J1060" s="99" t="s">
        <v>2029</v>
      </c>
      <c r="K1060" s="99" t="s">
        <v>1971</v>
      </c>
      <c r="L1060" s="101"/>
      <c r="M1060" s="104" t="str">
        <f>IF(Main[[#This Row],[Tech Start Date]]&lt;1/1/1990,"",IF(Main[[#This Row],[Class]]="C",WORKDAY(Main[[#This Row],[Tech Start Date]],9),IF(Main[[#This Row],[Class]]="B", WORKDAY(Main[[#This Row],[Tech Start Date]],6),IF(Main[[#This Row],[Class]]="A",WORKDAY(Main[[#This Row],[Tech Start Date]],2),""))))</f>
        <v/>
      </c>
      <c r="N1060" s="104" t="str">
        <f>IF(Main[[#This Row],[Tech Start Date]]&lt;1/1/1990,"",IF(Main[[#This Row],[Class]]="C",WORKDAY(Main[[#This Row],[Tech Start Date]],19),IF(Main[[#This Row],[Class]]="B", WORKDAY(Main[[#This Row],[Tech Start Date]],12),IF(Main[[#This Row],[Class]]="A",WORKDAY(Main[[#This Row],[Tech Start Date]],4),""))))</f>
        <v/>
      </c>
      <c r="O1060" s="104" t="str">
        <f>IF(Main[[#This Row],[Tech Start Date]]&lt;1/1/1990,"",IF(Main[[#This Row],[Class]]="C",WORKDAY(Main[[#This Row],[Tech Start Date]],23),IF(Main[[#This Row],[Class]]="B", WORKDAY(Main[[#This Row],[Tech Start Date]],15),IF(Main[[#This Row],[Class]]="A",WORKDAY(Main[[#This Row],[Tech Start Date]],5),""))))</f>
        <v/>
      </c>
      <c r="P1060" s="104" t="str">
        <f>IF(Main[[#This Row],[Tech Start Date]]&lt;1/1/1990,"",IF(Main[[#This Row],[Class]]="C",WORKDAY(Main[[#This Row],[Tech Start Date]],28),IF(Main[[#This Row],[Class]]="B", WORKDAY(Main[[#This Row],[Tech Start Date]],19),IF(Main[[#This Row],[Class]]="A",WORKDAY(Main[[#This Row],[Tech Start Date]],9),""))))</f>
        <v/>
      </c>
      <c r="Q1060" s="101">
        <v>40847</v>
      </c>
      <c r="R1060" s="101"/>
      <c r="S1060" s="99" t="s">
        <v>6</v>
      </c>
      <c r="T1060" s="107" t="s">
        <v>4</v>
      </c>
      <c r="U1060" s="99" t="s">
        <v>29</v>
      </c>
      <c r="V1060" s="99" t="s">
        <v>1965</v>
      </c>
      <c r="W1060" s="99" t="s">
        <v>1966</v>
      </c>
    </row>
    <row r="1061" spans="1:23" ht="18.600000000000001" customHeight="1">
      <c r="A1061" s="123" t="str">
        <f>IF(priority(Main[[#This Row],[Comments]])&lt;&gt;0, priority(Main[[#This Row],[Comments]]),"")</f>
        <v/>
      </c>
      <c r="B1061" s="127" t="s">
        <v>2597</v>
      </c>
      <c r="C1061" s="99" t="s">
        <v>4</v>
      </c>
      <c r="D1061" s="100" t="s">
        <v>2598</v>
      </c>
      <c r="E1061" s="101">
        <v>40834.538703703707</v>
      </c>
      <c r="F1061" s="101"/>
      <c r="G1061" s="102" t="str">
        <f>IF(stdProdLT(Main[[#This Row],[Comments]])=0.1,"N/A",IF(stdProdLT(Main[[#This Row],[Comments]])=0,"",stdProdLT(Main[[#This Row],[Comments]])))</f>
        <v/>
      </c>
      <c r="H1061" s="103" t="str">
        <f>IF(AND(Main[[#This Row],[In Stock Date]]&lt;&gt;"",Main[[#This Row],[Revised Due Date]]&lt;&gt;""),Main[[#This Row],[In Stock Date]]-Main[[#This Row],[Revised Due Date]],"")</f>
        <v/>
      </c>
      <c r="I1061" s="99" t="s">
        <v>4</v>
      </c>
      <c r="J1061" s="99" t="s">
        <v>4</v>
      </c>
      <c r="K1061" s="99" t="s">
        <v>4</v>
      </c>
      <c r="L1061" s="101"/>
      <c r="M1061" s="104" t="str">
        <f>IF(Main[[#This Row],[Tech Start Date]]&lt;1/1/1990,"",IF(Main[[#This Row],[Class]]="C",WORKDAY(Main[[#This Row],[Tech Start Date]],9),IF(Main[[#This Row],[Class]]="B", WORKDAY(Main[[#This Row],[Tech Start Date]],6),IF(Main[[#This Row],[Class]]="A",WORKDAY(Main[[#This Row],[Tech Start Date]],2),""))))</f>
        <v/>
      </c>
      <c r="N1061" s="104" t="str">
        <f>IF(Main[[#This Row],[Tech Start Date]]&lt;1/1/1990,"",IF(Main[[#This Row],[Class]]="C",WORKDAY(Main[[#This Row],[Tech Start Date]],19),IF(Main[[#This Row],[Class]]="B", WORKDAY(Main[[#This Row],[Tech Start Date]],12),IF(Main[[#This Row],[Class]]="A",WORKDAY(Main[[#This Row],[Tech Start Date]],4),""))))</f>
        <v/>
      </c>
      <c r="O1061" s="104" t="str">
        <f>IF(Main[[#This Row],[Tech Start Date]]&lt;1/1/1990,"",IF(Main[[#This Row],[Class]]="C",WORKDAY(Main[[#This Row],[Tech Start Date]],23),IF(Main[[#This Row],[Class]]="B", WORKDAY(Main[[#This Row],[Tech Start Date]],15),IF(Main[[#This Row],[Class]]="A",WORKDAY(Main[[#This Row],[Tech Start Date]],5),""))))</f>
        <v/>
      </c>
      <c r="P1061" s="104" t="str">
        <f>IF(Main[[#This Row],[Tech Start Date]]&lt;1/1/1990,"",IF(Main[[#This Row],[Class]]="C",WORKDAY(Main[[#This Row],[Tech Start Date]],28),IF(Main[[#This Row],[Class]]="B", WORKDAY(Main[[#This Row],[Tech Start Date]],19),IF(Main[[#This Row],[Class]]="A",WORKDAY(Main[[#This Row],[Tech Start Date]],9),""))))</f>
        <v/>
      </c>
      <c r="Q1061" s="101"/>
      <c r="R1061" s="101"/>
      <c r="S1061" s="99" t="s">
        <v>6</v>
      </c>
      <c r="T1061" s="107" t="s">
        <v>4</v>
      </c>
      <c r="U1061" s="99" t="s">
        <v>29</v>
      </c>
      <c r="V1061" s="99" t="s">
        <v>1962</v>
      </c>
      <c r="W1061" s="99" t="s">
        <v>1964</v>
      </c>
    </row>
    <row r="1062" spans="1:23" ht="18.600000000000001" customHeight="1">
      <c r="A1062" s="123" t="str">
        <f>IF(priority(Main[[#This Row],[Comments]])&lt;&gt;0, priority(Main[[#This Row],[Comments]]),"")</f>
        <v/>
      </c>
      <c r="B1062" s="127" t="s">
        <v>2600</v>
      </c>
      <c r="C1062" s="99" t="s">
        <v>2453</v>
      </c>
      <c r="D1062" s="100" t="s">
        <v>2601</v>
      </c>
      <c r="E1062" s="101"/>
      <c r="F1062" s="101">
        <v>40940</v>
      </c>
      <c r="G1062" s="102" t="str">
        <f>IF(stdProdLT(Main[[#This Row],[Comments]])=0.1,"N/A",IF(stdProdLT(Main[[#This Row],[Comments]])=0,"",stdProdLT(Main[[#This Row],[Comments]])))</f>
        <v/>
      </c>
      <c r="H1062" s="103" t="str">
        <f>IF(AND(Main[[#This Row],[In Stock Date]]&lt;&gt;"",Main[[#This Row],[Revised Due Date]]&lt;&gt;""),Main[[#This Row],[In Stock Date]]-Main[[#This Row],[Revised Due Date]],"")</f>
        <v/>
      </c>
      <c r="I1062" s="99" t="s">
        <v>4</v>
      </c>
      <c r="J1062" s="99" t="s">
        <v>4</v>
      </c>
      <c r="K1062" s="99" t="s">
        <v>4</v>
      </c>
      <c r="L1062" s="101"/>
      <c r="M1062" s="104" t="str">
        <f>IF(Main[[#This Row],[Tech Start Date]]&lt;1/1/1990,"",IF(Main[[#This Row],[Class]]="C",WORKDAY(Main[[#This Row],[Tech Start Date]],9),IF(Main[[#This Row],[Class]]="B", WORKDAY(Main[[#This Row],[Tech Start Date]],6),IF(Main[[#This Row],[Class]]="A",WORKDAY(Main[[#This Row],[Tech Start Date]],2),""))))</f>
        <v/>
      </c>
      <c r="N1062" s="104" t="str">
        <f>IF(Main[[#This Row],[Tech Start Date]]&lt;1/1/1990,"",IF(Main[[#This Row],[Class]]="C",WORKDAY(Main[[#This Row],[Tech Start Date]],19),IF(Main[[#This Row],[Class]]="B", WORKDAY(Main[[#This Row],[Tech Start Date]],12),IF(Main[[#This Row],[Class]]="A",WORKDAY(Main[[#This Row],[Tech Start Date]],4),""))))</f>
        <v/>
      </c>
      <c r="O1062" s="104" t="str">
        <f>IF(Main[[#This Row],[Tech Start Date]]&lt;1/1/1990,"",IF(Main[[#This Row],[Class]]="C",WORKDAY(Main[[#This Row],[Tech Start Date]],23),IF(Main[[#This Row],[Class]]="B", WORKDAY(Main[[#This Row],[Tech Start Date]],15),IF(Main[[#This Row],[Class]]="A",WORKDAY(Main[[#This Row],[Tech Start Date]],5),""))))</f>
        <v/>
      </c>
      <c r="P1062" s="104" t="str">
        <f>IF(Main[[#This Row],[Tech Start Date]]&lt;1/1/1990,"",IF(Main[[#This Row],[Class]]="C",WORKDAY(Main[[#This Row],[Tech Start Date]],28),IF(Main[[#This Row],[Class]]="B", WORKDAY(Main[[#This Row],[Tech Start Date]],19),IF(Main[[#This Row],[Class]]="A",WORKDAY(Main[[#This Row],[Tech Start Date]],9),""))))</f>
        <v/>
      </c>
      <c r="Q1062" s="101">
        <v>40878</v>
      </c>
      <c r="R1062" s="101"/>
      <c r="S1062" s="99" t="s">
        <v>11</v>
      </c>
      <c r="T1062" s="107" t="s">
        <v>4</v>
      </c>
      <c r="U1062" s="99" t="s">
        <v>14</v>
      </c>
      <c r="V1062" s="99" t="s">
        <v>1972</v>
      </c>
      <c r="W1062" s="99" t="s">
        <v>1970</v>
      </c>
    </row>
    <row r="1063" spans="1:23" ht="18.600000000000001" customHeight="1">
      <c r="A1063" s="123" t="str">
        <f>IF(priority(Main[[#This Row],[Comments]])&lt;&gt;0, priority(Main[[#This Row],[Comments]]),"")</f>
        <v/>
      </c>
      <c r="B1063" s="127" t="s">
        <v>2036</v>
      </c>
      <c r="C1063" s="99" t="s">
        <v>4</v>
      </c>
      <c r="D1063" s="100" t="s">
        <v>2603</v>
      </c>
      <c r="E1063" s="101">
        <v>40737.702951388892</v>
      </c>
      <c r="F1063" s="101">
        <v>40755</v>
      </c>
      <c r="G1063" s="102" t="str">
        <f>IF(stdProdLT(Main[[#This Row],[Comments]])=0.1,"N/A",IF(stdProdLT(Main[[#This Row],[Comments]])=0,"",stdProdLT(Main[[#This Row],[Comments]])))</f>
        <v/>
      </c>
      <c r="H1063" s="103" t="str">
        <f>IF(AND(Main[[#This Row],[In Stock Date]]&lt;&gt;"",Main[[#This Row],[Revised Due Date]]&lt;&gt;""),Main[[#This Row],[In Stock Date]]-Main[[#This Row],[Revised Due Date]],"")</f>
        <v/>
      </c>
      <c r="I1063" s="99" t="s">
        <v>536</v>
      </c>
      <c r="J1063" s="99" t="s">
        <v>21</v>
      </c>
      <c r="K1063" s="99" t="s">
        <v>1971</v>
      </c>
      <c r="L1063" s="101"/>
      <c r="M1063" s="104" t="str">
        <f>IF(Main[[#This Row],[Tech Start Date]]&lt;1/1/1990,"",IF(Main[[#This Row],[Class]]="C",WORKDAY(Main[[#This Row],[Tech Start Date]],9),IF(Main[[#This Row],[Class]]="B", WORKDAY(Main[[#This Row],[Tech Start Date]],6),IF(Main[[#This Row],[Class]]="A",WORKDAY(Main[[#This Row],[Tech Start Date]],2),""))))</f>
        <v/>
      </c>
      <c r="N1063" s="104" t="str">
        <f>IF(Main[[#This Row],[Tech Start Date]]&lt;1/1/1990,"",IF(Main[[#This Row],[Class]]="C",WORKDAY(Main[[#This Row],[Tech Start Date]],19),IF(Main[[#This Row],[Class]]="B", WORKDAY(Main[[#This Row],[Tech Start Date]],12),IF(Main[[#This Row],[Class]]="A",WORKDAY(Main[[#This Row],[Tech Start Date]],4),""))))</f>
        <v/>
      </c>
      <c r="O1063" s="104" t="str">
        <f>IF(Main[[#This Row],[Tech Start Date]]&lt;1/1/1990,"",IF(Main[[#This Row],[Class]]="C",WORKDAY(Main[[#This Row],[Tech Start Date]],23),IF(Main[[#This Row],[Class]]="B", WORKDAY(Main[[#This Row],[Tech Start Date]],15),IF(Main[[#This Row],[Class]]="A",WORKDAY(Main[[#This Row],[Tech Start Date]],5),""))))</f>
        <v/>
      </c>
      <c r="P1063" s="104" t="str">
        <f>IF(Main[[#This Row],[Tech Start Date]]&lt;1/1/1990,"",IF(Main[[#This Row],[Class]]="C",WORKDAY(Main[[#This Row],[Tech Start Date]],28),IF(Main[[#This Row],[Class]]="B", WORKDAY(Main[[#This Row],[Tech Start Date]],19),IF(Main[[#This Row],[Class]]="A",WORKDAY(Main[[#This Row],[Tech Start Date]],9),""))))</f>
        <v/>
      </c>
      <c r="Q1063" s="101">
        <v>40770</v>
      </c>
      <c r="R1063" s="101"/>
      <c r="S1063" s="99" t="s">
        <v>6</v>
      </c>
      <c r="T1063" s="107" t="s">
        <v>4</v>
      </c>
      <c r="U1063" s="99" t="s">
        <v>29</v>
      </c>
      <c r="V1063" s="99" t="s">
        <v>1972</v>
      </c>
      <c r="W1063" s="99" t="s">
        <v>1966</v>
      </c>
    </row>
    <row r="1064" spans="1:23" ht="18.600000000000001" customHeight="1">
      <c r="A1064" s="123" t="str">
        <f>IF(priority(Main[[#This Row],[Comments]])&lt;&gt;0, priority(Main[[#This Row],[Comments]]),"")</f>
        <v/>
      </c>
      <c r="B1064" s="127" t="s">
        <v>3075</v>
      </c>
      <c r="C1064" s="99" t="s">
        <v>4</v>
      </c>
      <c r="D1064" s="100" t="s">
        <v>3076</v>
      </c>
      <c r="E1064" s="101">
        <v>40879.618761574071</v>
      </c>
      <c r="F1064" s="101"/>
      <c r="G1064" s="102" t="str">
        <f>IF(stdProdLT(Main[[#This Row],[Comments]])=0.1,"N/A",IF(stdProdLT(Main[[#This Row],[Comments]])=0,"",stdProdLT(Main[[#This Row],[Comments]])))</f>
        <v/>
      </c>
      <c r="H1064" s="103" t="str">
        <f>IF(AND(Main[[#This Row],[In Stock Date]]&lt;&gt;"",Main[[#This Row],[Revised Due Date]]&lt;&gt;""),Main[[#This Row],[In Stock Date]]-Main[[#This Row],[Revised Due Date]],"")</f>
        <v/>
      </c>
      <c r="I1064" s="99" t="s">
        <v>4</v>
      </c>
      <c r="J1064" s="99" t="s">
        <v>4</v>
      </c>
      <c r="K1064" s="108" t="s">
        <v>4</v>
      </c>
      <c r="L1064" s="101"/>
      <c r="M1064" s="104" t="str">
        <f>IF(Main[[#This Row],[Tech Start Date]]&lt;1/1/1990,"",IF(Main[[#This Row],[Class]]="C",WORKDAY(Main[[#This Row],[Tech Start Date]],9),IF(Main[[#This Row],[Class]]="B", WORKDAY(Main[[#This Row],[Tech Start Date]],6),IF(Main[[#This Row],[Class]]="A",WORKDAY(Main[[#This Row],[Tech Start Date]],2),""))))</f>
        <v/>
      </c>
      <c r="N1064" s="104" t="str">
        <f>IF(Main[[#This Row],[Tech Start Date]]&lt;1/1/1990,"",IF(Main[[#This Row],[Class]]="C",WORKDAY(Main[[#This Row],[Tech Start Date]],19),IF(Main[[#This Row],[Class]]="B", WORKDAY(Main[[#This Row],[Tech Start Date]],12),IF(Main[[#This Row],[Class]]="A",WORKDAY(Main[[#This Row],[Tech Start Date]],4),""))))</f>
        <v/>
      </c>
      <c r="O1064" s="104" t="str">
        <f>IF(Main[[#This Row],[Tech Start Date]]&lt;1/1/1990,"",IF(Main[[#This Row],[Class]]="C",WORKDAY(Main[[#This Row],[Tech Start Date]],23),IF(Main[[#This Row],[Class]]="B", WORKDAY(Main[[#This Row],[Tech Start Date]],15),IF(Main[[#This Row],[Class]]="A",WORKDAY(Main[[#This Row],[Tech Start Date]],5),""))))</f>
        <v/>
      </c>
      <c r="P1064" s="104" t="str">
        <f>IF(Main[[#This Row],[Tech Start Date]]&lt;1/1/1990,"",IF(Main[[#This Row],[Class]]="C",WORKDAY(Main[[#This Row],[Tech Start Date]],28),IF(Main[[#This Row],[Class]]="B", WORKDAY(Main[[#This Row],[Tech Start Date]],19),IF(Main[[#This Row],[Class]]="A",WORKDAY(Main[[#This Row],[Tech Start Date]],9),""))))</f>
        <v/>
      </c>
      <c r="Q1064" s="101"/>
      <c r="R1064" s="101"/>
      <c r="S1064" s="99" t="s">
        <v>17</v>
      </c>
      <c r="T1064" s="107" t="s">
        <v>4</v>
      </c>
      <c r="U1064" s="99" t="s">
        <v>7</v>
      </c>
      <c r="V1064" s="99" t="s">
        <v>1965</v>
      </c>
      <c r="W1064" s="99" t="s">
        <v>1967</v>
      </c>
    </row>
    <row r="1065" spans="1:23" ht="18.600000000000001" customHeight="1">
      <c r="A1065" s="123" t="str">
        <f>IF(priority(Main[[#This Row],[Comments]])&lt;&gt;0, priority(Main[[#This Row],[Comments]]),"")</f>
        <v/>
      </c>
      <c r="B1065" s="127" t="s">
        <v>2577</v>
      </c>
      <c r="C1065" s="99" t="s">
        <v>4</v>
      </c>
      <c r="D1065" s="100" t="s">
        <v>2578</v>
      </c>
      <c r="E1065" s="101"/>
      <c r="F1065" s="101"/>
      <c r="G1065" s="102" t="str">
        <f>IF(stdProdLT(Main[[#This Row],[Comments]])=0.1,"N/A",IF(stdProdLT(Main[[#This Row],[Comments]])=0,"",stdProdLT(Main[[#This Row],[Comments]])))</f>
        <v/>
      </c>
      <c r="H1065" s="103" t="str">
        <f>IF(AND(Main[[#This Row],[In Stock Date]]&lt;&gt;"",Main[[#This Row],[Revised Due Date]]&lt;&gt;""),Main[[#This Row],[In Stock Date]]-Main[[#This Row],[Revised Due Date]],"")</f>
        <v/>
      </c>
      <c r="I1065" s="99" t="s">
        <v>4</v>
      </c>
      <c r="J1065" s="99" t="s">
        <v>4</v>
      </c>
      <c r="K1065" s="108" t="s">
        <v>4</v>
      </c>
      <c r="L1065" s="101"/>
      <c r="M1065" s="104" t="str">
        <f>IF(Main[[#This Row],[Tech Start Date]]&lt;1/1/1990,"",IF(Main[[#This Row],[Class]]="C",WORKDAY(Main[[#This Row],[Tech Start Date]],9),IF(Main[[#This Row],[Class]]="B", WORKDAY(Main[[#This Row],[Tech Start Date]],6),IF(Main[[#This Row],[Class]]="A",WORKDAY(Main[[#This Row],[Tech Start Date]],2),""))))</f>
        <v/>
      </c>
      <c r="N1065" s="104" t="str">
        <f>IF(Main[[#This Row],[Tech Start Date]]&lt;1/1/1990,"",IF(Main[[#This Row],[Class]]="C",WORKDAY(Main[[#This Row],[Tech Start Date]],19),IF(Main[[#This Row],[Class]]="B", WORKDAY(Main[[#This Row],[Tech Start Date]],12),IF(Main[[#This Row],[Class]]="A",WORKDAY(Main[[#This Row],[Tech Start Date]],4),""))))</f>
        <v/>
      </c>
      <c r="O1065" s="104" t="str">
        <f>IF(Main[[#This Row],[Tech Start Date]]&lt;1/1/1990,"",IF(Main[[#This Row],[Class]]="C",WORKDAY(Main[[#This Row],[Tech Start Date]],23),IF(Main[[#This Row],[Class]]="B", WORKDAY(Main[[#This Row],[Tech Start Date]],15),IF(Main[[#This Row],[Class]]="A",WORKDAY(Main[[#This Row],[Tech Start Date]],5),""))))</f>
        <v/>
      </c>
      <c r="P1065" s="104" t="str">
        <f>IF(Main[[#This Row],[Tech Start Date]]&lt;1/1/1990,"",IF(Main[[#This Row],[Class]]="C",WORKDAY(Main[[#This Row],[Tech Start Date]],28),IF(Main[[#This Row],[Class]]="B", WORKDAY(Main[[#This Row],[Tech Start Date]],19),IF(Main[[#This Row],[Class]]="A",WORKDAY(Main[[#This Row],[Tech Start Date]],9),""))))</f>
        <v/>
      </c>
      <c r="Q1065" s="101">
        <v>40907</v>
      </c>
      <c r="R1065" s="101"/>
      <c r="S1065" s="99" t="s">
        <v>6</v>
      </c>
      <c r="T1065" s="107" t="s">
        <v>4</v>
      </c>
      <c r="U1065" s="99" t="s">
        <v>14</v>
      </c>
      <c r="V1065" s="99" t="s">
        <v>1962</v>
      </c>
      <c r="W1065" s="99" t="s">
        <v>1966</v>
      </c>
    </row>
    <row r="1066" spans="1:23" ht="18.600000000000001" customHeight="1">
      <c r="A1066" s="123" t="str">
        <f>IF(priority(Main[[#This Row],[Comments]])&lt;&gt;0, priority(Main[[#This Row],[Comments]]),"")</f>
        <v/>
      </c>
      <c r="B1066" s="127" t="s">
        <v>1899</v>
      </c>
      <c r="C1066" s="99" t="s">
        <v>95</v>
      </c>
      <c r="D1066" s="100" t="s">
        <v>930</v>
      </c>
      <c r="E1066" s="101">
        <v>40428.412002314813</v>
      </c>
      <c r="F1066" s="101"/>
      <c r="G1066" s="102" t="str">
        <f>IF(stdProdLT(Main[[#This Row],[Comments]])=0.1,"N/A",IF(stdProdLT(Main[[#This Row],[Comments]])=0,"",stdProdLT(Main[[#This Row],[Comments]])))</f>
        <v/>
      </c>
      <c r="H1066" s="103" t="str">
        <f>IF(AND(Main[[#This Row],[In Stock Date]]&lt;&gt;"",Main[[#This Row],[Revised Due Date]]&lt;&gt;""),Main[[#This Row],[In Stock Date]]-Main[[#This Row],[Revised Due Date]],"")</f>
        <v/>
      </c>
      <c r="I1066" s="99" t="s">
        <v>421</v>
      </c>
      <c r="J1066" s="99" t="s">
        <v>28</v>
      </c>
      <c r="K1066" s="99" t="s">
        <v>1974</v>
      </c>
      <c r="L1066" s="101"/>
      <c r="M1066" s="104" t="str">
        <f>IF(Main[[#This Row],[Tech Start Date]]&lt;1/1/1990,"",IF(Main[[#This Row],[Class]]="C",WORKDAY(Main[[#This Row],[Tech Start Date]],9),IF(Main[[#This Row],[Class]]="B", WORKDAY(Main[[#This Row],[Tech Start Date]],6),IF(Main[[#This Row],[Class]]="A",WORKDAY(Main[[#This Row],[Tech Start Date]],2),""))))</f>
        <v/>
      </c>
      <c r="N1066" s="104" t="str">
        <f>IF(Main[[#This Row],[Tech Start Date]]&lt;1/1/1990,"",IF(Main[[#This Row],[Class]]="C",WORKDAY(Main[[#This Row],[Tech Start Date]],19),IF(Main[[#This Row],[Class]]="B", WORKDAY(Main[[#This Row],[Tech Start Date]],12),IF(Main[[#This Row],[Class]]="A",WORKDAY(Main[[#This Row],[Tech Start Date]],4),""))))</f>
        <v/>
      </c>
      <c r="O1066" s="104" t="str">
        <f>IF(Main[[#This Row],[Tech Start Date]]&lt;1/1/1990,"",IF(Main[[#This Row],[Class]]="C",WORKDAY(Main[[#This Row],[Tech Start Date]],23),IF(Main[[#This Row],[Class]]="B", WORKDAY(Main[[#This Row],[Tech Start Date]],15),IF(Main[[#This Row],[Class]]="A",WORKDAY(Main[[#This Row],[Tech Start Date]],5),""))))</f>
        <v/>
      </c>
      <c r="P1066" s="104" t="str">
        <f>IF(Main[[#This Row],[Tech Start Date]]&lt;1/1/1990,"",IF(Main[[#This Row],[Class]]="C",WORKDAY(Main[[#This Row],[Tech Start Date]],28),IF(Main[[#This Row],[Class]]="B", WORKDAY(Main[[#This Row],[Tech Start Date]],19),IF(Main[[#This Row],[Class]]="A",WORKDAY(Main[[#This Row],[Tech Start Date]],9),""))))</f>
        <v/>
      </c>
      <c r="Q1066" s="101">
        <v>40574</v>
      </c>
      <c r="R1066" s="101">
        <v>41046</v>
      </c>
      <c r="S1066" s="99" t="s">
        <v>17</v>
      </c>
      <c r="T1066" s="107" t="s">
        <v>4</v>
      </c>
      <c r="U1066" s="99" t="s">
        <v>29</v>
      </c>
      <c r="V1066" s="99" t="s">
        <v>1965</v>
      </c>
      <c r="W1066" s="99" t="s">
        <v>1968</v>
      </c>
    </row>
    <row r="1067" spans="1:23" ht="18.600000000000001" customHeight="1">
      <c r="A1067" s="123" t="str">
        <f>IF(priority(Main[[#This Row],[Comments]])&lt;&gt;0, priority(Main[[#This Row],[Comments]]),"")</f>
        <v/>
      </c>
      <c r="B1067" s="127" t="s">
        <v>2582</v>
      </c>
      <c r="C1067" s="99" t="s">
        <v>4</v>
      </c>
      <c r="D1067" s="100" t="s">
        <v>2583</v>
      </c>
      <c r="E1067" s="101">
        <v>40822.361354166664</v>
      </c>
      <c r="F1067" s="101"/>
      <c r="G1067" s="102" t="str">
        <f>IF(stdProdLT(Main[[#This Row],[Comments]])=0.1,"N/A",IF(stdProdLT(Main[[#This Row],[Comments]])=0,"",stdProdLT(Main[[#This Row],[Comments]])))</f>
        <v/>
      </c>
      <c r="H1067" s="103" t="str">
        <f>IF(AND(Main[[#This Row],[In Stock Date]]&lt;&gt;"",Main[[#This Row],[Revised Due Date]]&lt;&gt;""),Main[[#This Row],[In Stock Date]]-Main[[#This Row],[Revised Due Date]],"")</f>
        <v/>
      </c>
      <c r="I1067" s="99" t="s">
        <v>4</v>
      </c>
      <c r="J1067" s="99" t="s">
        <v>4</v>
      </c>
      <c r="K1067" s="99" t="s">
        <v>4</v>
      </c>
      <c r="L1067" s="101"/>
      <c r="M1067" s="104" t="str">
        <f>IF(Main[[#This Row],[Tech Start Date]]&lt;1/1/1990,"",IF(Main[[#This Row],[Class]]="C",WORKDAY(Main[[#This Row],[Tech Start Date]],9),IF(Main[[#This Row],[Class]]="B", WORKDAY(Main[[#This Row],[Tech Start Date]],6),IF(Main[[#This Row],[Class]]="A",WORKDAY(Main[[#This Row],[Tech Start Date]],2),""))))</f>
        <v/>
      </c>
      <c r="N1067" s="104" t="str">
        <f>IF(Main[[#This Row],[Tech Start Date]]&lt;1/1/1990,"",IF(Main[[#This Row],[Class]]="C",WORKDAY(Main[[#This Row],[Tech Start Date]],19),IF(Main[[#This Row],[Class]]="B", WORKDAY(Main[[#This Row],[Tech Start Date]],12),IF(Main[[#This Row],[Class]]="A",WORKDAY(Main[[#This Row],[Tech Start Date]],4),""))))</f>
        <v/>
      </c>
      <c r="O1067" s="104" t="str">
        <f>IF(Main[[#This Row],[Tech Start Date]]&lt;1/1/1990,"",IF(Main[[#This Row],[Class]]="C",WORKDAY(Main[[#This Row],[Tech Start Date]],23),IF(Main[[#This Row],[Class]]="B", WORKDAY(Main[[#This Row],[Tech Start Date]],15),IF(Main[[#This Row],[Class]]="A",WORKDAY(Main[[#This Row],[Tech Start Date]],5),""))))</f>
        <v/>
      </c>
      <c r="P1067" s="104" t="str">
        <f>IF(Main[[#This Row],[Tech Start Date]]&lt;1/1/1990,"",IF(Main[[#This Row],[Class]]="C",WORKDAY(Main[[#This Row],[Tech Start Date]],28),IF(Main[[#This Row],[Class]]="B", WORKDAY(Main[[#This Row],[Tech Start Date]],19),IF(Main[[#This Row],[Class]]="A",WORKDAY(Main[[#This Row],[Tech Start Date]],9),""))))</f>
        <v/>
      </c>
      <c r="Q1067" s="101">
        <v>40872</v>
      </c>
      <c r="R1067" s="101"/>
      <c r="S1067" s="99" t="s">
        <v>6</v>
      </c>
      <c r="T1067" s="107" t="s">
        <v>4</v>
      </c>
      <c r="U1067" s="99" t="s">
        <v>7</v>
      </c>
      <c r="V1067" s="99" t="s">
        <v>1962</v>
      </c>
      <c r="W1067" s="99" t="s">
        <v>4</v>
      </c>
    </row>
    <row r="1068" spans="1:23" ht="18.600000000000001" customHeight="1">
      <c r="A1068" s="123" t="str">
        <f>IF(priority(Main[[#This Row],[Comments]])&lt;&gt;0, priority(Main[[#This Row],[Comments]]),"")</f>
        <v/>
      </c>
      <c r="B1068" s="127" t="s">
        <v>2584</v>
      </c>
      <c r="C1068" s="99" t="s">
        <v>4</v>
      </c>
      <c r="D1068" s="100" t="s">
        <v>2585</v>
      </c>
      <c r="E1068" s="101">
        <v>40821.441296296296</v>
      </c>
      <c r="F1068" s="101"/>
      <c r="G1068" s="102" t="str">
        <f>IF(stdProdLT(Main[[#This Row],[Comments]])=0.1,"N/A",IF(stdProdLT(Main[[#This Row],[Comments]])=0,"",stdProdLT(Main[[#This Row],[Comments]])))</f>
        <v/>
      </c>
      <c r="H1068" s="103" t="str">
        <f>IF(AND(Main[[#This Row],[In Stock Date]]&lt;&gt;"",Main[[#This Row],[Revised Due Date]]&lt;&gt;""),Main[[#This Row],[In Stock Date]]-Main[[#This Row],[Revised Due Date]],"")</f>
        <v/>
      </c>
      <c r="I1068" s="99" t="s">
        <v>242</v>
      </c>
      <c r="J1068" s="99" t="s">
        <v>28</v>
      </c>
      <c r="K1068" s="99" t="s">
        <v>1971</v>
      </c>
      <c r="L1068" s="101"/>
      <c r="M1068" s="104" t="str">
        <f>IF(Main[[#This Row],[Tech Start Date]]&lt;1/1/1990,"",IF(Main[[#This Row],[Class]]="C",WORKDAY(Main[[#This Row],[Tech Start Date]],9),IF(Main[[#This Row],[Class]]="B", WORKDAY(Main[[#This Row],[Tech Start Date]],6),IF(Main[[#This Row],[Class]]="A",WORKDAY(Main[[#This Row],[Tech Start Date]],2),""))))</f>
        <v/>
      </c>
      <c r="N1068" s="104" t="str">
        <f>IF(Main[[#This Row],[Tech Start Date]]&lt;1/1/1990,"",IF(Main[[#This Row],[Class]]="C",WORKDAY(Main[[#This Row],[Tech Start Date]],19),IF(Main[[#This Row],[Class]]="B", WORKDAY(Main[[#This Row],[Tech Start Date]],12),IF(Main[[#This Row],[Class]]="A",WORKDAY(Main[[#This Row],[Tech Start Date]],4),""))))</f>
        <v/>
      </c>
      <c r="O1068" s="104" t="str">
        <f>IF(Main[[#This Row],[Tech Start Date]]&lt;1/1/1990,"",IF(Main[[#This Row],[Class]]="C",WORKDAY(Main[[#This Row],[Tech Start Date]],23),IF(Main[[#This Row],[Class]]="B", WORKDAY(Main[[#This Row],[Tech Start Date]],15),IF(Main[[#This Row],[Class]]="A",WORKDAY(Main[[#This Row],[Tech Start Date]],5),""))))</f>
        <v/>
      </c>
      <c r="P1068" s="104" t="str">
        <f>IF(Main[[#This Row],[Tech Start Date]]&lt;1/1/1990,"",IF(Main[[#This Row],[Class]]="C",WORKDAY(Main[[#This Row],[Tech Start Date]],28),IF(Main[[#This Row],[Class]]="B", WORKDAY(Main[[#This Row],[Tech Start Date]],19),IF(Main[[#This Row],[Class]]="A",WORKDAY(Main[[#This Row],[Tech Start Date]],9),""))))</f>
        <v/>
      </c>
      <c r="Q1068" s="101"/>
      <c r="R1068" s="101"/>
      <c r="S1068" s="99" t="s">
        <v>6</v>
      </c>
      <c r="T1068" s="107" t="s">
        <v>4</v>
      </c>
      <c r="U1068" s="99" t="s">
        <v>29</v>
      </c>
      <c r="V1068" s="99" t="s">
        <v>1965</v>
      </c>
      <c r="W1068" s="99" t="s">
        <v>1964</v>
      </c>
    </row>
    <row r="1069" spans="1:23" ht="18.600000000000001" customHeight="1">
      <c r="A1069" s="123" t="str">
        <f>IF(priority(Main[[#This Row],[Comments]])&lt;&gt;0, priority(Main[[#This Row],[Comments]]),"")</f>
        <v/>
      </c>
      <c r="B1069" s="127" t="s">
        <v>2586</v>
      </c>
      <c r="C1069" s="99" t="s">
        <v>4</v>
      </c>
      <c r="D1069" s="100" t="s">
        <v>2587</v>
      </c>
      <c r="E1069" s="101">
        <v>40861.647233796299</v>
      </c>
      <c r="F1069" s="101"/>
      <c r="G1069" s="102" t="str">
        <f>IF(stdProdLT(Main[[#This Row],[Comments]])=0.1,"N/A",IF(stdProdLT(Main[[#This Row],[Comments]])=0,"",stdProdLT(Main[[#This Row],[Comments]])))</f>
        <v/>
      </c>
      <c r="H1069" s="103" t="str">
        <f>IF(AND(Main[[#This Row],[In Stock Date]]&lt;&gt;"",Main[[#This Row],[Revised Due Date]]&lt;&gt;""),Main[[#This Row],[In Stock Date]]-Main[[#This Row],[Revised Due Date]],"")</f>
        <v/>
      </c>
      <c r="I1069" s="99" t="s">
        <v>778</v>
      </c>
      <c r="J1069" s="99" t="s">
        <v>52</v>
      </c>
      <c r="K1069" s="99" t="s">
        <v>1971</v>
      </c>
      <c r="L1069" s="101"/>
      <c r="M1069" s="104" t="str">
        <f>IF(Main[[#This Row],[Tech Start Date]]&lt;1/1/1990,"",IF(Main[[#This Row],[Class]]="C",WORKDAY(Main[[#This Row],[Tech Start Date]],9),IF(Main[[#This Row],[Class]]="B", WORKDAY(Main[[#This Row],[Tech Start Date]],6),IF(Main[[#This Row],[Class]]="A",WORKDAY(Main[[#This Row],[Tech Start Date]],2),""))))</f>
        <v/>
      </c>
      <c r="N1069" s="104" t="str">
        <f>IF(Main[[#This Row],[Tech Start Date]]&lt;1/1/1990,"",IF(Main[[#This Row],[Class]]="C",WORKDAY(Main[[#This Row],[Tech Start Date]],19),IF(Main[[#This Row],[Class]]="B", WORKDAY(Main[[#This Row],[Tech Start Date]],12),IF(Main[[#This Row],[Class]]="A",WORKDAY(Main[[#This Row],[Tech Start Date]],4),""))))</f>
        <v/>
      </c>
      <c r="O1069" s="104" t="str">
        <f>IF(Main[[#This Row],[Tech Start Date]]&lt;1/1/1990,"",IF(Main[[#This Row],[Class]]="C",WORKDAY(Main[[#This Row],[Tech Start Date]],23),IF(Main[[#This Row],[Class]]="B", WORKDAY(Main[[#This Row],[Tech Start Date]],15),IF(Main[[#This Row],[Class]]="A",WORKDAY(Main[[#This Row],[Tech Start Date]],5),""))))</f>
        <v/>
      </c>
      <c r="P1069" s="104" t="str">
        <f>IF(Main[[#This Row],[Tech Start Date]]&lt;1/1/1990,"",IF(Main[[#This Row],[Class]]="C",WORKDAY(Main[[#This Row],[Tech Start Date]],28),IF(Main[[#This Row],[Class]]="B", WORKDAY(Main[[#This Row],[Tech Start Date]],19),IF(Main[[#This Row],[Class]]="A",WORKDAY(Main[[#This Row],[Tech Start Date]],9),""))))</f>
        <v/>
      </c>
      <c r="Q1069" s="101">
        <v>40897</v>
      </c>
      <c r="R1069" s="101"/>
      <c r="S1069" s="99" t="s">
        <v>6</v>
      </c>
      <c r="T1069" s="107" t="s">
        <v>4</v>
      </c>
      <c r="U1069" s="99" t="s">
        <v>29</v>
      </c>
      <c r="V1069" s="99" t="s">
        <v>1965</v>
      </c>
      <c r="W1069" s="99" t="s">
        <v>1966</v>
      </c>
    </row>
    <row r="1070" spans="1:23" ht="18.600000000000001" customHeight="1">
      <c r="A1070" s="123" t="str">
        <f>IF(priority(Main[[#This Row],[Comments]])&lt;&gt;0, priority(Main[[#This Row],[Comments]]),"")</f>
        <v/>
      </c>
      <c r="B1070" s="127" t="s">
        <v>2599</v>
      </c>
      <c r="C1070" s="99" t="s">
        <v>4</v>
      </c>
      <c r="D1070" s="100" t="s">
        <v>3037</v>
      </c>
      <c r="E1070" s="101">
        <v>40820.793587962966</v>
      </c>
      <c r="F1070" s="101"/>
      <c r="G1070" s="102" t="str">
        <f>IF(stdProdLT(Main[[#This Row],[Comments]])=0.1,"N/A",IF(stdProdLT(Main[[#This Row],[Comments]])=0,"",stdProdLT(Main[[#This Row],[Comments]])))</f>
        <v/>
      </c>
      <c r="H1070" s="103" t="str">
        <f>IF(AND(Main[[#This Row],[In Stock Date]]&lt;&gt;"",Main[[#This Row],[Revised Due Date]]&lt;&gt;""),Main[[#This Row],[In Stock Date]]-Main[[#This Row],[Revised Due Date]],"")</f>
        <v/>
      </c>
      <c r="I1070" s="99" t="s">
        <v>2110</v>
      </c>
      <c r="J1070" s="99" t="s">
        <v>28</v>
      </c>
      <c r="K1070" s="99" t="s">
        <v>1971</v>
      </c>
      <c r="L1070" s="101"/>
      <c r="M1070" s="104" t="str">
        <f>IF(Main[[#This Row],[Tech Start Date]]&lt;1/1/1990,"",IF(Main[[#This Row],[Class]]="C",WORKDAY(Main[[#This Row],[Tech Start Date]],9),IF(Main[[#This Row],[Class]]="B", WORKDAY(Main[[#This Row],[Tech Start Date]],6),IF(Main[[#This Row],[Class]]="A",WORKDAY(Main[[#This Row],[Tech Start Date]],2),""))))</f>
        <v/>
      </c>
      <c r="N1070" s="104" t="str">
        <f>IF(Main[[#This Row],[Tech Start Date]]&lt;1/1/1990,"",IF(Main[[#This Row],[Class]]="C",WORKDAY(Main[[#This Row],[Tech Start Date]],19),IF(Main[[#This Row],[Class]]="B", WORKDAY(Main[[#This Row],[Tech Start Date]],12),IF(Main[[#This Row],[Class]]="A",WORKDAY(Main[[#This Row],[Tech Start Date]],4),""))))</f>
        <v/>
      </c>
      <c r="O1070" s="104" t="str">
        <f>IF(Main[[#This Row],[Tech Start Date]]&lt;1/1/1990,"",IF(Main[[#This Row],[Class]]="C",WORKDAY(Main[[#This Row],[Tech Start Date]],23),IF(Main[[#This Row],[Class]]="B", WORKDAY(Main[[#This Row],[Tech Start Date]],15),IF(Main[[#This Row],[Class]]="A",WORKDAY(Main[[#This Row],[Tech Start Date]],5),""))))</f>
        <v/>
      </c>
      <c r="P1070" s="104" t="str">
        <f>IF(Main[[#This Row],[Tech Start Date]]&lt;1/1/1990,"",IF(Main[[#This Row],[Class]]="C",WORKDAY(Main[[#This Row],[Tech Start Date]],28),IF(Main[[#This Row],[Class]]="B", WORKDAY(Main[[#This Row],[Tech Start Date]],19),IF(Main[[#This Row],[Class]]="A",WORKDAY(Main[[#This Row],[Tech Start Date]],9),""))))</f>
        <v/>
      </c>
      <c r="Q1070" s="101">
        <v>40847</v>
      </c>
      <c r="R1070" s="101"/>
      <c r="S1070" s="99" t="s">
        <v>6</v>
      </c>
      <c r="T1070" s="107" t="s">
        <v>4</v>
      </c>
      <c r="U1070" s="99" t="s">
        <v>29</v>
      </c>
      <c r="V1070" s="99" t="s">
        <v>1965</v>
      </c>
      <c r="W1070" s="99" t="s">
        <v>1966</v>
      </c>
    </row>
    <row r="1071" spans="1:23" ht="18.600000000000001" customHeight="1">
      <c r="A1071" s="123" t="str">
        <f>IF(priority(Main[[#This Row],[Comments]])&lt;&gt;0, priority(Main[[#This Row],[Comments]]),"")</f>
        <v/>
      </c>
      <c r="B1071" s="127" t="s">
        <v>1886</v>
      </c>
      <c r="C1071" s="99" t="s">
        <v>4</v>
      </c>
      <c r="D1071" s="100" t="s">
        <v>917</v>
      </c>
      <c r="E1071" s="101">
        <v>40478.709317129629</v>
      </c>
      <c r="F1071" s="101">
        <v>40492</v>
      </c>
      <c r="G1071" s="102" t="str">
        <f>IF(stdProdLT(Main[[#This Row],[Comments]])=0.1,"N/A",IF(stdProdLT(Main[[#This Row],[Comments]])=0,"",stdProdLT(Main[[#This Row],[Comments]])))</f>
        <v/>
      </c>
      <c r="H1071" s="103">
        <f>IF(AND(Main[[#This Row],[In Stock Date]]&lt;&gt;"",Main[[#This Row],[Revised Due Date]]&lt;&gt;""),Main[[#This Row],[In Stock Date]]-Main[[#This Row],[Revised Due Date]],"")</f>
        <v>-3</v>
      </c>
      <c r="I1071" s="99" t="s">
        <v>4</v>
      </c>
      <c r="J1071" s="99" t="s">
        <v>28</v>
      </c>
      <c r="K1071" s="99" t="s">
        <v>1969</v>
      </c>
      <c r="L1071" s="101"/>
      <c r="M1071" s="104" t="str">
        <f>IF(Main[[#This Row],[Tech Start Date]]&lt;1/1/1990,"",IF(Main[[#This Row],[Class]]="C",WORKDAY(Main[[#This Row],[Tech Start Date]],9),IF(Main[[#This Row],[Class]]="B", WORKDAY(Main[[#This Row],[Tech Start Date]],6),IF(Main[[#This Row],[Class]]="A",WORKDAY(Main[[#This Row],[Tech Start Date]],2),""))))</f>
        <v/>
      </c>
      <c r="N1071" s="104" t="str">
        <f>IF(Main[[#This Row],[Tech Start Date]]&lt;1/1/1990,"",IF(Main[[#This Row],[Class]]="C",WORKDAY(Main[[#This Row],[Tech Start Date]],19),IF(Main[[#This Row],[Class]]="B", WORKDAY(Main[[#This Row],[Tech Start Date]],12),IF(Main[[#This Row],[Class]]="A",WORKDAY(Main[[#This Row],[Tech Start Date]],4),""))))</f>
        <v/>
      </c>
      <c r="O1071" s="104" t="str">
        <f>IF(Main[[#This Row],[Tech Start Date]]&lt;1/1/1990,"",IF(Main[[#This Row],[Class]]="C",WORKDAY(Main[[#This Row],[Tech Start Date]],23),IF(Main[[#This Row],[Class]]="B", WORKDAY(Main[[#This Row],[Tech Start Date]],15),IF(Main[[#This Row],[Class]]="A",WORKDAY(Main[[#This Row],[Tech Start Date]],5),""))))</f>
        <v/>
      </c>
      <c r="P1071" s="104" t="str">
        <f>IF(Main[[#This Row],[Tech Start Date]]&lt;1/1/1990,"",IF(Main[[#This Row],[Class]]="C",WORKDAY(Main[[#This Row],[Tech Start Date]],28),IF(Main[[#This Row],[Class]]="B", WORKDAY(Main[[#This Row],[Tech Start Date]],19),IF(Main[[#This Row],[Class]]="A",WORKDAY(Main[[#This Row],[Tech Start Date]],9),""))))</f>
        <v/>
      </c>
      <c r="Q1071" s="101">
        <v>40908</v>
      </c>
      <c r="R1071" s="101">
        <v>40495</v>
      </c>
      <c r="S1071" s="99" t="s">
        <v>17</v>
      </c>
      <c r="T1071" s="107" t="s">
        <v>2588</v>
      </c>
      <c r="U1071" s="99" t="s">
        <v>29</v>
      </c>
      <c r="V1071" s="99" t="s">
        <v>1963</v>
      </c>
      <c r="W1071" s="99" t="s">
        <v>1964</v>
      </c>
    </row>
    <row r="1072" spans="1:23" ht="18.600000000000001" customHeight="1">
      <c r="A1072" s="123" t="str">
        <f>IF(priority(Main[[#This Row],[Comments]])&lt;&gt;0, priority(Main[[#This Row],[Comments]]),"")</f>
        <v/>
      </c>
      <c r="B1072" s="127" t="s">
        <v>1157</v>
      </c>
      <c r="C1072" s="99" t="s">
        <v>4</v>
      </c>
      <c r="D1072" s="100" t="s">
        <v>2589</v>
      </c>
      <c r="E1072" s="101">
        <v>40581.512430555558</v>
      </c>
      <c r="F1072" s="101">
        <v>40627</v>
      </c>
      <c r="G1072" s="102" t="str">
        <f>IF(stdProdLT(Main[[#This Row],[Comments]])=0.1,"N/A",IF(stdProdLT(Main[[#This Row],[Comments]])=0,"",stdProdLT(Main[[#This Row],[Comments]])))</f>
        <v/>
      </c>
      <c r="H1072" s="103" t="str">
        <f>IF(AND(Main[[#This Row],[In Stock Date]]&lt;&gt;"",Main[[#This Row],[Revised Due Date]]&lt;&gt;""),Main[[#This Row],[In Stock Date]]-Main[[#This Row],[Revised Due Date]],"")</f>
        <v/>
      </c>
      <c r="I1072" s="99" t="s">
        <v>929</v>
      </c>
      <c r="J1072" s="99" t="s">
        <v>52</v>
      </c>
      <c r="K1072" s="99" t="s">
        <v>1969</v>
      </c>
      <c r="L1072" s="101"/>
      <c r="M1072" s="104" t="str">
        <f>IF(Main[[#This Row],[Tech Start Date]]&lt;1/1/1990,"",IF(Main[[#This Row],[Class]]="C",WORKDAY(Main[[#This Row],[Tech Start Date]],9),IF(Main[[#This Row],[Class]]="B", WORKDAY(Main[[#This Row],[Tech Start Date]],6),IF(Main[[#This Row],[Class]]="A",WORKDAY(Main[[#This Row],[Tech Start Date]],2),""))))</f>
        <v/>
      </c>
      <c r="N1072" s="104" t="str">
        <f>IF(Main[[#This Row],[Tech Start Date]]&lt;1/1/1990,"",IF(Main[[#This Row],[Class]]="C",WORKDAY(Main[[#This Row],[Tech Start Date]],19),IF(Main[[#This Row],[Class]]="B", WORKDAY(Main[[#This Row],[Tech Start Date]],12),IF(Main[[#This Row],[Class]]="A",WORKDAY(Main[[#This Row],[Tech Start Date]],4),""))))</f>
        <v/>
      </c>
      <c r="O1072" s="104" t="str">
        <f>IF(Main[[#This Row],[Tech Start Date]]&lt;1/1/1990,"",IF(Main[[#This Row],[Class]]="C",WORKDAY(Main[[#This Row],[Tech Start Date]],23),IF(Main[[#This Row],[Class]]="B", WORKDAY(Main[[#This Row],[Tech Start Date]],15),IF(Main[[#This Row],[Class]]="A",WORKDAY(Main[[#This Row],[Tech Start Date]],5),""))))</f>
        <v/>
      </c>
      <c r="P1072" s="104" t="str">
        <f>IF(Main[[#This Row],[Tech Start Date]]&lt;1/1/1990,"",IF(Main[[#This Row],[Class]]="C",WORKDAY(Main[[#This Row],[Tech Start Date]],28),IF(Main[[#This Row],[Class]]="B", WORKDAY(Main[[#This Row],[Tech Start Date]],19),IF(Main[[#This Row],[Class]]="A",WORKDAY(Main[[#This Row],[Tech Start Date]],9),""))))</f>
        <v/>
      </c>
      <c r="Q1072" s="101">
        <v>40627</v>
      </c>
      <c r="R1072" s="101"/>
      <c r="S1072" s="99" t="s">
        <v>6</v>
      </c>
      <c r="T1072" s="107" t="s">
        <v>4</v>
      </c>
      <c r="U1072" s="99" t="s">
        <v>29</v>
      </c>
      <c r="V1072" s="99" t="s">
        <v>1962</v>
      </c>
      <c r="W1072" s="99" t="s">
        <v>1964</v>
      </c>
    </row>
    <row r="1073" spans="1:23" ht="18.600000000000001" customHeight="1">
      <c r="A1073" s="123" t="str">
        <f>IF(priority(Main[[#This Row],[Comments]])&lt;&gt;0, priority(Main[[#This Row],[Comments]]),"")</f>
        <v/>
      </c>
      <c r="B1073" s="127" t="s">
        <v>2590</v>
      </c>
      <c r="C1073" s="99" t="s">
        <v>4</v>
      </c>
      <c r="D1073" s="100" t="s">
        <v>2591</v>
      </c>
      <c r="E1073" s="101">
        <v>40843.415925925925</v>
      </c>
      <c r="F1073" s="101"/>
      <c r="G1073" s="102" t="str">
        <f>IF(stdProdLT(Main[[#This Row],[Comments]])=0.1,"N/A",IF(stdProdLT(Main[[#This Row],[Comments]])=0,"",stdProdLT(Main[[#This Row],[Comments]])))</f>
        <v/>
      </c>
      <c r="H1073" s="103" t="str">
        <f>IF(AND(Main[[#This Row],[In Stock Date]]&lt;&gt;"",Main[[#This Row],[Revised Due Date]]&lt;&gt;""),Main[[#This Row],[In Stock Date]]-Main[[#This Row],[Revised Due Date]],"")</f>
        <v/>
      </c>
      <c r="I1073" s="99" t="s">
        <v>4</v>
      </c>
      <c r="J1073" s="99" t="s">
        <v>4</v>
      </c>
      <c r="K1073" s="99" t="s">
        <v>4</v>
      </c>
      <c r="L1073" s="101"/>
      <c r="M1073" s="104" t="str">
        <f>IF(Main[[#This Row],[Tech Start Date]]&lt;1/1/1990,"",IF(Main[[#This Row],[Class]]="C",WORKDAY(Main[[#This Row],[Tech Start Date]],9),IF(Main[[#This Row],[Class]]="B", WORKDAY(Main[[#This Row],[Tech Start Date]],6),IF(Main[[#This Row],[Class]]="A",WORKDAY(Main[[#This Row],[Tech Start Date]],2),""))))</f>
        <v/>
      </c>
      <c r="N1073" s="104" t="str">
        <f>IF(Main[[#This Row],[Tech Start Date]]&lt;1/1/1990,"",IF(Main[[#This Row],[Class]]="C",WORKDAY(Main[[#This Row],[Tech Start Date]],19),IF(Main[[#This Row],[Class]]="B", WORKDAY(Main[[#This Row],[Tech Start Date]],12),IF(Main[[#This Row],[Class]]="A",WORKDAY(Main[[#This Row],[Tech Start Date]],4),""))))</f>
        <v/>
      </c>
      <c r="O1073" s="104" t="str">
        <f>IF(Main[[#This Row],[Tech Start Date]]&lt;1/1/1990,"",IF(Main[[#This Row],[Class]]="C",WORKDAY(Main[[#This Row],[Tech Start Date]],23),IF(Main[[#This Row],[Class]]="B", WORKDAY(Main[[#This Row],[Tech Start Date]],15),IF(Main[[#This Row],[Class]]="A",WORKDAY(Main[[#This Row],[Tech Start Date]],5),""))))</f>
        <v/>
      </c>
      <c r="P1073" s="104" t="str">
        <f>IF(Main[[#This Row],[Tech Start Date]]&lt;1/1/1990,"",IF(Main[[#This Row],[Class]]="C",WORKDAY(Main[[#This Row],[Tech Start Date]],28),IF(Main[[#This Row],[Class]]="B", WORKDAY(Main[[#This Row],[Tech Start Date]],19),IF(Main[[#This Row],[Class]]="A",WORKDAY(Main[[#This Row],[Tech Start Date]],9),""))))</f>
        <v/>
      </c>
      <c r="Q1073" s="101"/>
      <c r="R1073" s="101"/>
      <c r="S1073" s="99" t="s">
        <v>6</v>
      </c>
      <c r="T1073" s="107" t="s">
        <v>4</v>
      </c>
      <c r="U1073" s="99" t="s">
        <v>29</v>
      </c>
      <c r="V1073" s="99" t="s">
        <v>1972</v>
      </c>
      <c r="W1073" s="99" t="s">
        <v>1964</v>
      </c>
    </row>
    <row r="1074" spans="1:23" ht="18.600000000000001" customHeight="1">
      <c r="A1074" s="123" t="str">
        <f>IF(priority(Main[[#This Row],[Comments]])&lt;&gt;0, priority(Main[[#This Row],[Comments]]),"")</f>
        <v/>
      </c>
      <c r="B1074" s="127" t="s">
        <v>2235</v>
      </c>
      <c r="C1074" s="99" t="s">
        <v>2228</v>
      </c>
      <c r="D1074" s="100" t="s">
        <v>2229</v>
      </c>
      <c r="E1074" s="101">
        <v>40781.399756944447</v>
      </c>
      <c r="F1074" s="101"/>
      <c r="G1074" s="102" t="str">
        <f>IF(stdProdLT(Main[[#This Row],[Comments]])=0.1,"N/A",IF(stdProdLT(Main[[#This Row],[Comments]])=0,"",stdProdLT(Main[[#This Row],[Comments]])))</f>
        <v/>
      </c>
      <c r="H1074" s="103" t="str">
        <f>IF(AND(Main[[#This Row],[In Stock Date]]&lt;&gt;"",Main[[#This Row],[Revised Due Date]]&lt;&gt;""),Main[[#This Row],[In Stock Date]]-Main[[#This Row],[Revised Due Date]],"")</f>
        <v/>
      </c>
      <c r="I1074" s="99" t="s">
        <v>4</v>
      </c>
      <c r="J1074" s="99" t="s">
        <v>28</v>
      </c>
      <c r="K1074" s="99" t="s">
        <v>1971</v>
      </c>
      <c r="L1074" s="101"/>
      <c r="M1074" s="104" t="str">
        <f>IF(Main[[#This Row],[Tech Start Date]]&lt;1/1/1990,"",IF(Main[[#This Row],[Class]]="C",WORKDAY(Main[[#This Row],[Tech Start Date]],9),IF(Main[[#This Row],[Class]]="B", WORKDAY(Main[[#This Row],[Tech Start Date]],6),IF(Main[[#This Row],[Class]]="A",WORKDAY(Main[[#This Row],[Tech Start Date]],2),""))))</f>
        <v/>
      </c>
      <c r="N1074" s="104" t="str">
        <f>IF(Main[[#This Row],[Tech Start Date]]&lt;1/1/1990,"",IF(Main[[#This Row],[Class]]="C",WORKDAY(Main[[#This Row],[Tech Start Date]],19),IF(Main[[#This Row],[Class]]="B", WORKDAY(Main[[#This Row],[Tech Start Date]],12),IF(Main[[#This Row],[Class]]="A",WORKDAY(Main[[#This Row],[Tech Start Date]],4),""))))</f>
        <v/>
      </c>
      <c r="O1074" s="104" t="str">
        <f>IF(Main[[#This Row],[Tech Start Date]]&lt;1/1/1990,"",IF(Main[[#This Row],[Class]]="C",WORKDAY(Main[[#This Row],[Tech Start Date]],23),IF(Main[[#This Row],[Class]]="B", WORKDAY(Main[[#This Row],[Tech Start Date]],15),IF(Main[[#This Row],[Class]]="A",WORKDAY(Main[[#This Row],[Tech Start Date]],5),""))))</f>
        <v/>
      </c>
      <c r="P1074" s="104" t="str">
        <f>IF(Main[[#This Row],[Tech Start Date]]&lt;1/1/1990,"",IF(Main[[#This Row],[Class]]="C",WORKDAY(Main[[#This Row],[Tech Start Date]],28),IF(Main[[#This Row],[Class]]="B", WORKDAY(Main[[#This Row],[Tech Start Date]],19),IF(Main[[#This Row],[Class]]="A",WORKDAY(Main[[#This Row],[Tech Start Date]],9),""))))</f>
        <v/>
      </c>
      <c r="Q1074" s="101">
        <v>40836</v>
      </c>
      <c r="R1074" s="101"/>
      <c r="S1074" s="99" t="s">
        <v>6</v>
      </c>
      <c r="T1074" s="107" t="s">
        <v>4</v>
      </c>
      <c r="U1074" s="99" t="s">
        <v>29</v>
      </c>
      <c r="V1074" s="99" t="s">
        <v>1965</v>
      </c>
      <c r="W1074" s="99" t="s">
        <v>1966</v>
      </c>
    </row>
    <row r="1075" spans="1:23" ht="18.600000000000001" customHeight="1">
      <c r="A1075" s="123" t="str">
        <f>IF(priority(Main[[#This Row],[Comments]])&lt;&gt;0, priority(Main[[#This Row],[Comments]]),"")</f>
        <v/>
      </c>
      <c r="B1075" s="127" t="s">
        <v>1348</v>
      </c>
      <c r="C1075" s="99" t="s">
        <v>4</v>
      </c>
      <c r="D1075" s="100" t="s">
        <v>2386</v>
      </c>
      <c r="E1075" s="101">
        <v>40627.285358796296</v>
      </c>
      <c r="F1075" s="101"/>
      <c r="G1075" s="102" t="str">
        <f>IF(stdProdLT(Main[[#This Row],[Comments]])=0.1,"N/A",IF(stdProdLT(Main[[#This Row],[Comments]])=0,"",stdProdLT(Main[[#This Row],[Comments]])))</f>
        <v/>
      </c>
      <c r="H1075" s="103" t="str">
        <f>IF(AND(Main[[#This Row],[In Stock Date]]&lt;&gt;"",Main[[#This Row],[Revised Due Date]]&lt;&gt;""),Main[[#This Row],[In Stock Date]]-Main[[#This Row],[Revised Due Date]],"")</f>
        <v/>
      </c>
      <c r="I1075" s="99" t="s">
        <v>568</v>
      </c>
      <c r="J1075" s="99" t="s">
        <v>21</v>
      </c>
      <c r="K1075" s="99" t="s">
        <v>1971</v>
      </c>
      <c r="L1075" s="101"/>
      <c r="M1075" s="104" t="str">
        <f>IF(Main[[#This Row],[Tech Start Date]]&lt;1/1/1990,"",IF(Main[[#This Row],[Class]]="C",WORKDAY(Main[[#This Row],[Tech Start Date]],9),IF(Main[[#This Row],[Class]]="B", WORKDAY(Main[[#This Row],[Tech Start Date]],6),IF(Main[[#This Row],[Class]]="A",WORKDAY(Main[[#This Row],[Tech Start Date]],2),""))))</f>
        <v/>
      </c>
      <c r="N1075" s="104" t="str">
        <f>IF(Main[[#This Row],[Tech Start Date]]&lt;1/1/1990,"",IF(Main[[#This Row],[Class]]="C",WORKDAY(Main[[#This Row],[Tech Start Date]],19),IF(Main[[#This Row],[Class]]="B", WORKDAY(Main[[#This Row],[Tech Start Date]],12),IF(Main[[#This Row],[Class]]="A",WORKDAY(Main[[#This Row],[Tech Start Date]],4),""))))</f>
        <v/>
      </c>
      <c r="O1075" s="104" t="str">
        <f>IF(Main[[#This Row],[Tech Start Date]]&lt;1/1/1990,"",IF(Main[[#This Row],[Class]]="C",WORKDAY(Main[[#This Row],[Tech Start Date]],23),IF(Main[[#This Row],[Class]]="B", WORKDAY(Main[[#This Row],[Tech Start Date]],15),IF(Main[[#This Row],[Class]]="A",WORKDAY(Main[[#This Row],[Tech Start Date]],5),""))))</f>
        <v/>
      </c>
      <c r="P1075" s="104" t="str">
        <f>IF(Main[[#This Row],[Tech Start Date]]&lt;1/1/1990,"",IF(Main[[#This Row],[Class]]="C",WORKDAY(Main[[#This Row],[Tech Start Date]],28),IF(Main[[#This Row],[Class]]="B", WORKDAY(Main[[#This Row],[Tech Start Date]],19),IF(Main[[#This Row],[Class]]="A",WORKDAY(Main[[#This Row],[Tech Start Date]],9),""))))</f>
        <v/>
      </c>
      <c r="Q1075" s="101">
        <v>40658</v>
      </c>
      <c r="R1075" s="101"/>
      <c r="S1075" s="99" t="s">
        <v>6</v>
      </c>
      <c r="T1075" s="107" t="s">
        <v>4</v>
      </c>
      <c r="U1075" s="99" t="s">
        <v>29</v>
      </c>
      <c r="V1075" s="99" t="s">
        <v>1962</v>
      </c>
      <c r="W1075" s="99" t="s">
        <v>1964</v>
      </c>
    </row>
    <row r="1076" spans="1:23" ht="18.600000000000001" customHeight="1">
      <c r="A1076" s="123" t="str">
        <f>IF(priority(Main[[#This Row],[Comments]])&lt;&gt;0, priority(Main[[#This Row],[Comments]]),"")</f>
        <v/>
      </c>
      <c r="B1076" s="127" t="s">
        <v>2592</v>
      </c>
      <c r="C1076" s="99" t="s">
        <v>4</v>
      </c>
      <c r="D1076" s="100" t="s">
        <v>2593</v>
      </c>
      <c r="E1076" s="101"/>
      <c r="F1076" s="101"/>
      <c r="G1076" s="102" t="str">
        <f>IF(stdProdLT(Main[[#This Row],[Comments]])=0.1,"N/A",IF(stdProdLT(Main[[#This Row],[Comments]])=0,"",stdProdLT(Main[[#This Row],[Comments]])))</f>
        <v/>
      </c>
      <c r="H1076" s="103" t="str">
        <f>IF(AND(Main[[#This Row],[In Stock Date]]&lt;&gt;"",Main[[#This Row],[Revised Due Date]]&lt;&gt;""),Main[[#This Row],[In Stock Date]]-Main[[#This Row],[Revised Due Date]],"")</f>
        <v/>
      </c>
      <c r="I1076" s="99" t="s">
        <v>4</v>
      </c>
      <c r="J1076" s="99" t="s">
        <v>4</v>
      </c>
      <c r="K1076" s="108" t="s">
        <v>4</v>
      </c>
      <c r="L1076" s="101"/>
      <c r="M1076" s="104" t="str">
        <f>IF(Main[[#This Row],[Tech Start Date]]&lt;1/1/1990,"",IF(Main[[#This Row],[Class]]="C",WORKDAY(Main[[#This Row],[Tech Start Date]],9),IF(Main[[#This Row],[Class]]="B", WORKDAY(Main[[#This Row],[Tech Start Date]],6),IF(Main[[#This Row],[Class]]="A",WORKDAY(Main[[#This Row],[Tech Start Date]],2),""))))</f>
        <v/>
      </c>
      <c r="N1076" s="104" t="str">
        <f>IF(Main[[#This Row],[Tech Start Date]]&lt;1/1/1990,"",IF(Main[[#This Row],[Class]]="C",WORKDAY(Main[[#This Row],[Tech Start Date]],19),IF(Main[[#This Row],[Class]]="B", WORKDAY(Main[[#This Row],[Tech Start Date]],12),IF(Main[[#This Row],[Class]]="A",WORKDAY(Main[[#This Row],[Tech Start Date]],4),""))))</f>
        <v/>
      </c>
      <c r="O1076" s="104" t="str">
        <f>IF(Main[[#This Row],[Tech Start Date]]&lt;1/1/1990,"",IF(Main[[#This Row],[Class]]="C",WORKDAY(Main[[#This Row],[Tech Start Date]],23),IF(Main[[#This Row],[Class]]="B", WORKDAY(Main[[#This Row],[Tech Start Date]],15),IF(Main[[#This Row],[Class]]="A",WORKDAY(Main[[#This Row],[Tech Start Date]],5),""))))</f>
        <v/>
      </c>
      <c r="P1076" s="104" t="str">
        <f>IF(Main[[#This Row],[Tech Start Date]]&lt;1/1/1990,"",IF(Main[[#This Row],[Class]]="C",WORKDAY(Main[[#This Row],[Tech Start Date]],28),IF(Main[[#This Row],[Class]]="B", WORKDAY(Main[[#This Row],[Tech Start Date]],19),IF(Main[[#This Row],[Class]]="A",WORKDAY(Main[[#This Row],[Tech Start Date]],9),""))))</f>
        <v/>
      </c>
      <c r="Q1076" s="101">
        <v>40877</v>
      </c>
      <c r="R1076" s="101"/>
      <c r="S1076" s="99" t="s">
        <v>6</v>
      </c>
      <c r="T1076" s="107" t="s">
        <v>4</v>
      </c>
      <c r="U1076" s="99" t="s">
        <v>14</v>
      </c>
      <c r="V1076" s="99" t="s">
        <v>1962</v>
      </c>
      <c r="W1076" s="99" t="s">
        <v>1966</v>
      </c>
    </row>
    <row r="1077" spans="1:23" ht="18.600000000000001" customHeight="1">
      <c r="A1077" s="123" t="str">
        <f>IF(priority(Main[[#This Row],[Comments]])&lt;&gt;0, priority(Main[[#This Row],[Comments]]),"")</f>
        <v/>
      </c>
      <c r="B1077" s="127" t="s">
        <v>2594</v>
      </c>
      <c r="C1077" s="99" t="s">
        <v>2457</v>
      </c>
      <c r="D1077" s="100" t="s">
        <v>2458</v>
      </c>
      <c r="E1077" s="101"/>
      <c r="F1077" s="101">
        <v>41008</v>
      </c>
      <c r="G1077" s="102" t="str">
        <f>IF(stdProdLT(Main[[#This Row],[Comments]])=0.1,"N/A",IF(stdProdLT(Main[[#This Row],[Comments]])=0,"",stdProdLT(Main[[#This Row],[Comments]])))</f>
        <v/>
      </c>
      <c r="H1077" s="103" t="str">
        <f>IF(AND(Main[[#This Row],[In Stock Date]]&lt;&gt;"",Main[[#This Row],[Revised Due Date]]&lt;&gt;""),Main[[#This Row],[In Stock Date]]-Main[[#This Row],[Revised Due Date]],"")</f>
        <v/>
      </c>
      <c r="I1077" s="99" t="s">
        <v>4</v>
      </c>
      <c r="J1077" s="99" t="s">
        <v>4</v>
      </c>
      <c r="K1077" s="99" t="s">
        <v>4</v>
      </c>
      <c r="L1077" s="101"/>
      <c r="M1077" s="104" t="str">
        <f>IF(Main[[#This Row],[Tech Start Date]]&lt;1/1/1990,"",IF(Main[[#This Row],[Class]]="C",WORKDAY(Main[[#This Row],[Tech Start Date]],9),IF(Main[[#This Row],[Class]]="B", WORKDAY(Main[[#This Row],[Tech Start Date]],6),IF(Main[[#This Row],[Class]]="A",WORKDAY(Main[[#This Row],[Tech Start Date]],2),""))))</f>
        <v/>
      </c>
      <c r="N1077" s="104" t="str">
        <f>IF(Main[[#This Row],[Tech Start Date]]&lt;1/1/1990,"",IF(Main[[#This Row],[Class]]="C",WORKDAY(Main[[#This Row],[Tech Start Date]],19),IF(Main[[#This Row],[Class]]="B", WORKDAY(Main[[#This Row],[Tech Start Date]],12),IF(Main[[#This Row],[Class]]="A",WORKDAY(Main[[#This Row],[Tech Start Date]],4),""))))</f>
        <v/>
      </c>
      <c r="O1077" s="104" t="str">
        <f>IF(Main[[#This Row],[Tech Start Date]]&lt;1/1/1990,"",IF(Main[[#This Row],[Class]]="C",WORKDAY(Main[[#This Row],[Tech Start Date]],23),IF(Main[[#This Row],[Class]]="B", WORKDAY(Main[[#This Row],[Tech Start Date]],15),IF(Main[[#This Row],[Class]]="A",WORKDAY(Main[[#This Row],[Tech Start Date]],5),""))))</f>
        <v/>
      </c>
      <c r="P1077" s="104" t="str">
        <f>IF(Main[[#This Row],[Tech Start Date]]&lt;1/1/1990,"",IF(Main[[#This Row],[Class]]="C",WORKDAY(Main[[#This Row],[Tech Start Date]],28),IF(Main[[#This Row],[Class]]="B", WORKDAY(Main[[#This Row],[Tech Start Date]],19),IF(Main[[#This Row],[Class]]="A",WORKDAY(Main[[#This Row],[Tech Start Date]],9),""))))</f>
        <v/>
      </c>
      <c r="Q1077" s="101">
        <v>40826</v>
      </c>
      <c r="R1077" s="101"/>
      <c r="S1077" s="99" t="s">
        <v>11</v>
      </c>
      <c r="T1077" s="107" t="s">
        <v>4</v>
      </c>
      <c r="U1077" s="99" t="s">
        <v>12</v>
      </c>
      <c r="V1077" s="99" t="s">
        <v>1965</v>
      </c>
      <c r="W1077" s="99" t="s">
        <v>1968</v>
      </c>
    </row>
    <row r="1078" spans="1:23" ht="18.600000000000001" customHeight="1">
      <c r="A1078" s="123" t="str">
        <f>IF(priority(Main[[#This Row],[Comments]])&lt;&gt;0, priority(Main[[#This Row],[Comments]]),"")</f>
        <v/>
      </c>
      <c r="B1078" s="127" t="s">
        <v>2127</v>
      </c>
      <c r="C1078" s="99" t="s">
        <v>4</v>
      </c>
      <c r="D1078" s="100" t="s">
        <v>2604</v>
      </c>
      <c r="E1078" s="101">
        <v>40772.422800925924</v>
      </c>
      <c r="F1078" s="101"/>
      <c r="G1078" s="102" t="str">
        <f>IF(stdProdLT(Main[[#This Row],[Comments]])=0.1,"N/A",IF(stdProdLT(Main[[#This Row],[Comments]])=0,"",stdProdLT(Main[[#This Row],[Comments]])))</f>
        <v/>
      </c>
      <c r="H1078" s="103" t="str">
        <f>IF(AND(Main[[#This Row],[In Stock Date]]&lt;&gt;"",Main[[#This Row],[Revised Due Date]]&lt;&gt;""),Main[[#This Row],[In Stock Date]]-Main[[#This Row],[Revised Due Date]],"")</f>
        <v/>
      </c>
      <c r="I1078" s="99" t="s">
        <v>929</v>
      </c>
      <c r="J1078" s="99" t="s">
        <v>52</v>
      </c>
      <c r="K1078" s="99" t="s">
        <v>4</v>
      </c>
      <c r="L1078" s="101"/>
      <c r="M1078" s="104" t="str">
        <f>IF(Main[[#This Row],[Tech Start Date]]&lt;1/1/1990,"",IF(Main[[#This Row],[Class]]="C",WORKDAY(Main[[#This Row],[Tech Start Date]],9),IF(Main[[#This Row],[Class]]="B", WORKDAY(Main[[#This Row],[Tech Start Date]],6),IF(Main[[#This Row],[Class]]="A",WORKDAY(Main[[#This Row],[Tech Start Date]],2),""))))</f>
        <v/>
      </c>
      <c r="N1078" s="104" t="str">
        <f>IF(Main[[#This Row],[Tech Start Date]]&lt;1/1/1990,"",IF(Main[[#This Row],[Class]]="C",WORKDAY(Main[[#This Row],[Tech Start Date]],19),IF(Main[[#This Row],[Class]]="B", WORKDAY(Main[[#This Row],[Tech Start Date]],12),IF(Main[[#This Row],[Class]]="A",WORKDAY(Main[[#This Row],[Tech Start Date]],4),""))))</f>
        <v/>
      </c>
      <c r="O1078" s="104" t="str">
        <f>IF(Main[[#This Row],[Tech Start Date]]&lt;1/1/1990,"",IF(Main[[#This Row],[Class]]="C",WORKDAY(Main[[#This Row],[Tech Start Date]],23),IF(Main[[#This Row],[Class]]="B", WORKDAY(Main[[#This Row],[Tech Start Date]],15),IF(Main[[#This Row],[Class]]="A",WORKDAY(Main[[#This Row],[Tech Start Date]],5),""))))</f>
        <v/>
      </c>
      <c r="P1078" s="104" t="str">
        <f>IF(Main[[#This Row],[Tech Start Date]]&lt;1/1/1990,"",IF(Main[[#This Row],[Class]]="C",WORKDAY(Main[[#This Row],[Tech Start Date]],28),IF(Main[[#This Row],[Class]]="B", WORKDAY(Main[[#This Row],[Tech Start Date]],19),IF(Main[[#This Row],[Class]]="A",WORKDAY(Main[[#This Row],[Tech Start Date]],9),""))))</f>
        <v/>
      </c>
      <c r="Q1078" s="101"/>
      <c r="R1078" s="101"/>
      <c r="S1078" s="99" t="s">
        <v>6</v>
      </c>
      <c r="T1078" s="107" t="s">
        <v>4</v>
      </c>
      <c r="U1078" s="99" t="s">
        <v>29</v>
      </c>
      <c r="V1078" s="99" t="s">
        <v>1962</v>
      </c>
      <c r="W1078" s="99" t="s">
        <v>1966</v>
      </c>
    </row>
    <row r="1079" spans="1:23" ht="18.600000000000001" customHeight="1">
      <c r="A1079" s="123" t="str">
        <f>IF(priority(Main[[#This Row],[Comments]])&lt;&gt;0, priority(Main[[#This Row],[Comments]]),"")</f>
        <v/>
      </c>
      <c r="B1079" s="127" t="s">
        <v>2605</v>
      </c>
      <c r="C1079" s="99" t="s">
        <v>4</v>
      </c>
      <c r="D1079" s="100" t="s">
        <v>2606</v>
      </c>
      <c r="E1079" s="101">
        <v>40834.417719907404</v>
      </c>
      <c r="F1079" s="101"/>
      <c r="G1079" s="102" t="str">
        <f>IF(stdProdLT(Main[[#This Row],[Comments]])=0.1,"N/A",IF(stdProdLT(Main[[#This Row],[Comments]])=0,"",stdProdLT(Main[[#This Row],[Comments]])))</f>
        <v/>
      </c>
      <c r="H1079" s="103" t="str">
        <f>IF(AND(Main[[#This Row],[In Stock Date]]&lt;&gt;"",Main[[#This Row],[Revised Due Date]]&lt;&gt;""),Main[[#This Row],[In Stock Date]]-Main[[#This Row],[Revised Due Date]],"")</f>
        <v/>
      </c>
      <c r="I1079" s="99" t="s">
        <v>4</v>
      </c>
      <c r="J1079" s="99" t="s">
        <v>4</v>
      </c>
      <c r="K1079" s="99" t="s">
        <v>4</v>
      </c>
      <c r="L1079" s="101"/>
      <c r="M1079" s="104" t="str">
        <f>IF(Main[[#This Row],[Tech Start Date]]&lt;1/1/1990,"",IF(Main[[#This Row],[Class]]="C",WORKDAY(Main[[#This Row],[Tech Start Date]],9),IF(Main[[#This Row],[Class]]="B", WORKDAY(Main[[#This Row],[Tech Start Date]],6),IF(Main[[#This Row],[Class]]="A",WORKDAY(Main[[#This Row],[Tech Start Date]],2),""))))</f>
        <v/>
      </c>
      <c r="N1079" s="104" t="str">
        <f>IF(Main[[#This Row],[Tech Start Date]]&lt;1/1/1990,"",IF(Main[[#This Row],[Class]]="C",WORKDAY(Main[[#This Row],[Tech Start Date]],19),IF(Main[[#This Row],[Class]]="B", WORKDAY(Main[[#This Row],[Tech Start Date]],12),IF(Main[[#This Row],[Class]]="A",WORKDAY(Main[[#This Row],[Tech Start Date]],4),""))))</f>
        <v/>
      </c>
      <c r="O1079" s="104" t="str">
        <f>IF(Main[[#This Row],[Tech Start Date]]&lt;1/1/1990,"",IF(Main[[#This Row],[Class]]="C",WORKDAY(Main[[#This Row],[Tech Start Date]],23),IF(Main[[#This Row],[Class]]="B", WORKDAY(Main[[#This Row],[Tech Start Date]],15),IF(Main[[#This Row],[Class]]="A",WORKDAY(Main[[#This Row],[Tech Start Date]],5),""))))</f>
        <v/>
      </c>
      <c r="P1079" s="104" t="str">
        <f>IF(Main[[#This Row],[Tech Start Date]]&lt;1/1/1990,"",IF(Main[[#This Row],[Class]]="C",WORKDAY(Main[[#This Row],[Tech Start Date]],28),IF(Main[[#This Row],[Class]]="B", WORKDAY(Main[[#This Row],[Tech Start Date]],19),IF(Main[[#This Row],[Class]]="A",WORKDAY(Main[[#This Row],[Tech Start Date]],9),""))))</f>
        <v/>
      </c>
      <c r="Q1079" s="101"/>
      <c r="R1079" s="101"/>
      <c r="S1079" s="99" t="s">
        <v>6</v>
      </c>
      <c r="T1079" s="107" t="s">
        <v>4</v>
      </c>
      <c r="U1079" s="99" t="s">
        <v>29</v>
      </c>
      <c r="V1079" s="99" t="s">
        <v>1965</v>
      </c>
      <c r="W1079" s="99" t="s">
        <v>1966</v>
      </c>
    </row>
    <row r="1080" spans="1:23" ht="18.600000000000001" customHeight="1">
      <c r="A1080" s="123" t="str">
        <f>IF(priority(Main[[#This Row],[Comments]])&lt;&gt;0, priority(Main[[#This Row],[Comments]]),"")</f>
        <v/>
      </c>
      <c r="B1080" s="127" t="s">
        <v>2316</v>
      </c>
      <c r="C1080" s="99" t="s">
        <v>4</v>
      </c>
      <c r="D1080" s="100" t="s">
        <v>2607</v>
      </c>
      <c r="E1080" s="101">
        <v>40798.432673611111</v>
      </c>
      <c r="F1080" s="101"/>
      <c r="G1080" s="102" t="str">
        <f>IF(stdProdLT(Main[[#This Row],[Comments]])=0.1,"N/A",IF(stdProdLT(Main[[#This Row],[Comments]])=0,"",stdProdLT(Main[[#This Row],[Comments]])))</f>
        <v/>
      </c>
      <c r="H1080" s="103" t="str">
        <f>IF(AND(Main[[#This Row],[In Stock Date]]&lt;&gt;"",Main[[#This Row],[Revised Due Date]]&lt;&gt;""),Main[[#This Row],[In Stock Date]]-Main[[#This Row],[Revised Due Date]],"")</f>
        <v/>
      </c>
      <c r="I1080" s="99" t="s">
        <v>929</v>
      </c>
      <c r="J1080" s="99" t="s">
        <v>52</v>
      </c>
      <c r="K1080" s="99" t="s">
        <v>4</v>
      </c>
      <c r="L1080" s="101"/>
      <c r="M1080" s="104" t="str">
        <f>IF(Main[[#This Row],[Tech Start Date]]&lt;1/1/1990,"",IF(Main[[#This Row],[Class]]="C",WORKDAY(Main[[#This Row],[Tech Start Date]],9),IF(Main[[#This Row],[Class]]="B", WORKDAY(Main[[#This Row],[Tech Start Date]],6),IF(Main[[#This Row],[Class]]="A",WORKDAY(Main[[#This Row],[Tech Start Date]],2),""))))</f>
        <v/>
      </c>
      <c r="N1080" s="104" t="str">
        <f>IF(Main[[#This Row],[Tech Start Date]]&lt;1/1/1990,"",IF(Main[[#This Row],[Class]]="C",WORKDAY(Main[[#This Row],[Tech Start Date]],19),IF(Main[[#This Row],[Class]]="B", WORKDAY(Main[[#This Row],[Tech Start Date]],12),IF(Main[[#This Row],[Class]]="A",WORKDAY(Main[[#This Row],[Tech Start Date]],4),""))))</f>
        <v/>
      </c>
      <c r="O1080" s="104" t="str">
        <f>IF(Main[[#This Row],[Tech Start Date]]&lt;1/1/1990,"",IF(Main[[#This Row],[Class]]="C",WORKDAY(Main[[#This Row],[Tech Start Date]],23),IF(Main[[#This Row],[Class]]="B", WORKDAY(Main[[#This Row],[Tech Start Date]],15),IF(Main[[#This Row],[Class]]="A",WORKDAY(Main[[#This Row],[Tech Start Date]],5),""))))</f>
        <v/>
      </c>
      <c r="P1080" s="104" t="str">
        <f>IF(Main[[#This Row],[Tech Start Date]]&lt;1/1/1990,"",IF(Main[[#This Row],[Class]]="C",WORKDAY(Main[[#This Row],[Tech Start Date]],28),IF(Main[[#This Row],[Class]]="B", WORKDAY(Main[[#This Row],[Tech Start Date]],19),IF(Main[[#This Row],[Class]]="A",WORKDAY(Main[[#This Row],[Tech Start Date]],9),""))))</f>
        <v/>
      </c>
      <c r="Q1080" s="101"/>
      <c r="R1080" s="101"/>
      <c r="S1080" s="99" t="s">
        <v>6</v>
      </c>
      <c r="T1080" s="107" t="s">
        <v>4</v>
      </c>
      <c r="U1080" s="99" t="s">
        <v>29</v>
      </c>
      <c r="V1080" s="99" t="s">
        <v>1962</v>
      </c>
      <c r="W1080" s="99" t="s">
        <v>1966</v>
      </c>
    </row>
    <row r="1081" spans="1:23" ht="18.600000000000001" customHeight="1">
      <c r="A1081" s="123" t="str">
        <f>IF(priority(Main[[#This Row],[Comments]])&lt;&gt;0, priority(Main[[#This Row],[Comments]]),"")</f>
        <v/>
      </c>
      <c r="B1081" s="127" t="s">
        <v>2608</v>
      </c>
      <c r="C1081" s="99" t="s">
        <v>4</v>
      </c>
      <c r="D1081" s="100" t="s">
        <v>2609</v>
      </c>
      <c r="E1081" s="101">
        <v>40841.609861111108</v>
      </c>
      <c r="F1081" s="101"/>
      <c r="G1081" s="102" t="str">
        <f>IF(stdProdLT(Main[[#This Row],[Comments]])=0.1,"N/A",IF(stdProdLT(Main[[#This Row],[Comments]])=0,"",stdProdLT(Main[[#This Row],[Comments]])))</f>
        <v/>
      </c>
      <c r="H1081" s="103" t="str">
        <f>IF(AND(Main[[#This Row],[In Stock Date]]&lt;&gt;"",Main[[#This Row],[Revised Due Date]]&lt;&gt;""),Main[[#This Row],[In Stock Date]]-Main[[#This Row],[Revised Due Date]],"")</f>
        <v/>
      </c>
      <c r="I1081" s="99" t="s">
        <v>4</v>
      </c>
      <c r="J1081" s="99" t="s">
        <v>4</v>
      </c>
      <c r="K1081" s="108" t="s">
        <v>4</v>
      </c>
      <c r="L1081" s="101"/>
      <c r="M1081" s="104" t="str">
        <f>IF(Main[[#This Row],[Tech Start Date]]&lt;1/1/1990,"",IF(Main[[#This Row],[Class]]="C",WORKDAY(Main[[#This Row],[Tech Start Date]],9),IF(Main[[#This Row],[Class]]="B", WORKDAY(Main[[#This Row],[Tech Start Date]],6),IF(Main[[#This Row],[Class]]="A",WORKDAY(Main[[#This Row],[Tech Start Date]],2),""))))</f>
        <v/>
      </c>
      <c r="N1081" s="104" t="str">
        <f>IF(Main[[#This Row],[Tech Start Date]]&lt;1/1/1990,"",IF(Main[[#This Row],[Class]]="C",WORKDAY(Main[[#This Row],[Tech Start Date]],19),IF(Main[[#This Row],[Class]]="B", WORKDAY(Main[[#This Row],[Tech Start Date]],12),IF(Main[[#This Row],[Class]]="A",WORKDAY(Main[[#This Row],[Tech Start Date]],4),""))))</f>
        <v/>
      </c>
      <c r="O1081" s="104" t="str">
        <f>IF(Main[[#This Row],[Tech Start Date]]&lt;1/1/1990,"",IF(Main[[#This Row],[Class]]="C",WORKDAY(Main[[#This Row],[Tech Start Date]],23),IF(Main[[#This Row],[Class]]="B", WORKDAY(Main[[#This Row],[Tech Start Date]],15),IF(Main[[#This Row],[Class]]="A",WORKDAY(Main[[#This Row],[Tech Start Date]],5),""))))</f>
        <v/>
      </c>
      <c r="P1081" s="104" t="str">
        <f>IF(Main[[#This Row],[Tech Start Date]]&lt;1/1/1990,"",IF(Main[[#This Row],[Class]]="C",WORKDAY(Main[[#This Row],[Tech Start Date]],28),IF(Main[[#This Row],[Class]]="B", WORKDAY(Main[[#This Row],[Tech Start Date]],19),IF(Main[[#This Row],[Class]]="A",WORKDAY(Main[[#This Row],[Tech Start Date]],9),""))))</f>
        <v/>
      </c>
      <c r="Q1081" s="101"/>
      <c r="R1081" s="101"/>
      <c r="S1081" s="99" t="s">
        <v>6</v>
      </c>
      <c r="T1081" s="107" t="s">
        <v>4</v>
      </c>
      <c r="U1081" s="99" t="s">
        <v>7</v>
      </c>
      <c r="V1081" s="99" t="s">
        <v>1962</v>
      </c>
      <c r="W1081" s="99" t="s">
        <v>4</v>
      </c>
    </row>
    <row r="1082" spans="1:23" ht="18.600000000000001" customHeight="1">
      <c r="A1082" s="123" t="str">
        <f>IF(priority(Main[[#This Row],[Comments]])&lt;&gt;0, priority(Main[[#This Row],[Comments]]),"")</f>
        <v/>
      </c>
      <c r="B1082" s="127" t="s">
        <v>1939</v>
      </c>
      <c r="C1082" s="99" t="s">
        <v>4</v>
      </c>
      <c r="D1082" s="100" t="s">
        <v>970</v>
      </c>
      <c r="E1082" s="101">
        <v>40112.566631944443</v>
      </c>
      <c r="F1082" s="101"/>
      <c r="G1082" s="102" t="str">
        <f>IF(stdProdLT(Main[[#This Row],[Comments]])=0.1,"N/A",IF(stdProdLT(Main[[#This Row],[Comments]])=0,"",stdProdLT(Main[[#This Row],[Comments]])))</f>
        <v/>
      </c>
      <c r="H1082" s="103" t="str">
        <f>IF(AND(Main[[#This Row],[In Stock Date]]&lt;&gt;"",Main[[#This Row],[Revised Due Date]]&lt;&gt;""),Main[[#This Row],[In Stock Date]]-Main[[#This Row],[Revised Due Date]],"")</f>
        <v/>
      </c>
      <c r="I1082" s="99" t="s">
        <v>915</v>
      </c>
      <c r="J1082" s="99" t="s">
        <v>4</v>
      </c>
      <c r="K1082" s="99" t="s">
        <v>1974</v>
      </c>
      <c r="L1082" s="101"/>
      <c r="M1082" s="104" t="str">
        <f>IF(Main[[#This Row],[Tech Start Date]]&lt;1/1/1990,"",IF(Main[[#This Row],[Class]]="C",WORKDAY(Main[[#This Row],[Tech Start Date]],9),IF(Main[[#This Row],[Class]]="B", WORKDAY(Main[[#This Row],[Tech Start Date]],6),IF(Main[[#This Row],[Class]]="A",WORKDAY(Main[[#This Row],[Tech Start Date]],2),""))))</f>
        <v/>
      </c>
      <c r="N1082" s="104" t="str">
        <f>IF(Main[[#This Row],[Tech Start Date]]&lt;1/1/1990,"",IF(Main[[#This Row],[Class]]="C",WORKDAY(Main[[#This Row],[Tech Start Date]],19),IF(Main[[#This Row],[Class]]="B", WORKDAY(Main[[#This Row],[Tech Start Date]],12),IF(Main[[#This Row],[Class]]="A",WORKDAY(Main[[#This Row],[Tech Start Date]],4),""))))</f>
        <v/>
      </c>
      <c r="O1082" s="104" t="str">
        <f>IF(Main[[#This Row],[Tech Start Date]]&lt;1/1/1990,"",IF(Main[[#This Row],[Class]]="C",WORKDAY(Main[[#This Row],[Tech Start Date]],23),IF(Main[[#This Row],[Class]]="B", WORKDAY(Main[[#This Row],[Tech Start Date]],15),IF(Main[[#This Row],[Class]]="A",WORKDAY(Main[[#This Row],[Tech Start Date]],5),""))))</f>
        <v/>
      </c>
      <c r="P1082" s="104" t="str">
        <f>IF(Main[[#This Row],[Tech Start Date]]&lt;1/1/1990,"",IF(Main[[#This Row],[Class]]="C",WORKDAY(Main[[#This Row],[Tech Start Date]],28),IF(Main[[#This Row],[Class]]="B", WORKDAY(Main[[#This Row],[Tech Start Date]],19),IF(Main[[#This Row],[Class]]="A",WORKDAY(Main[[#This Row],[Tech Start Date]],9),""))))</f>
        <v/>
      </c>
      <c r="Q1082" s="101">
        <v>40564</v>
      </c>
      <c r="R1082" s="101">
        <v>41264</v>
      </c>
      <c r="S1082" s="99" t="s">
        <v>17</v>
      </c>
      <c r="T1082" s="107" t="s">
        <v>4</v>
      </c>
      <c r="U1082" s="99" t="s">
        <v>29</v>
      </c>
      <c r="V1082" s="99" t="s">
        <v>1965</v>
      </c>
      <c r="W1082" s="99" t="s">
        <v>1967</v>
      </c>
    </row>
    <row r="1083" spans="1:23" ht="18.600000000000001" customHeight="1">
      <c r="A1083" s="123" t="str">
        <f>IF(priority(Main[[#This Row],[Comments]])&lt;&gt;0, priority(Main[[#This Row],[Comments]]),"")</f>
        <v/>
      </c>
      <c r="B1083" s="127" t="s">
        <v>1675</v>
      </c>
      <c r="C1083" s="99" t="s">
        <v>4</v>
      </c>
      <c r="D1083" s="100" t="s">
        <v>718</v>
      </c>
      <c r="E1083" s="101">
        <v>40634.328217592592</v>
      </c>
      <c r="F1083" s="101"/>
      <c r="G1083" s="102" t="str">
        <f>IF(stdProdLT(Main[[#This Row],[Comments]])=0.1,"N/A",IF(stdProdLT(Main[[#This Row],[Comments]])=0,"",stdProdLT(Main[[#This Row],[Comments]])))</f>
        <v/>
      </c>
      <c r="H1083" s="103" t="str">
        <f>IF(AND(Main[[#This Row],[In Stock Date]]&lt;&gt;"",Main[[#This Row],[Revised Due Date]]&lt;&gt;""),Main[[#This Row],[In Stock Date]]-Main[[#This Row],[Revised Due Date]],"")</f>
        <v/>
      </c>
      <c r="I1083" s="99" t="s">
        <v>929</v>
      </c>
      <c r="J1083" s="99" t="s">
        <v>4</v>
      </c>
      <c r="K1083" s="99" t="s">
        <v>4</v>
      </c>
      <c r="L1083" s="101"/>
      <c r="M1083" s="104" t="str">
        <f>IF(Main[[#This Row],[Tech Start Date]]&lt;1/1/1990,"",IF(Main[[#This Row],[Class]]="C",WORKDAY(Main[[#This Row],[Tech Start Date]],9),IF(Main[[#This Row],[Class]]="B", WORKDAY(Main[[#This Row],[Tech Start Date]],6),IF(Main[[#This Row],[Class]]="A",WORKDAY(Main[[#This Row],[Tech Start Date]],2),""))))</f>
        <v/>
      </c>
      <c r="N1083" s="104" t="str">
        <f>IF(Main[[#This Row],[Tech Start Date]]&lt;1/1/1990,"",IF(Main[[#This Row],[Class]]="C",WORKDAY(Main[[#This Row],[Tech Start Date]],19),IF(Main[[#This Row],[Class]]="B", WORKDAY(Main[[#This Row],[Tech Start Date]],12),IF(Main[[#This Row],[Class]]="A",WORKDAY(Main[[#This Row],[Tech Start Date]],4),""))))</f>
        <v/>
      </c>
      <c r="O1083" s="104" t="str">
        <f>IF(Main[[#This Row],[Tech Start Date]]&lt;1/1/1990,"",IF(Main[[#This Row],[Class]]="C",WORKDAY(Main[[#This Row],[Tech Start Date]],23),IF(Main[[#This Row],[Class]]="B", WORKDAY(Main[[#This Row],[Tech Start Date]],15),IF(Main[[#This Row],[Class]]="A",WORKDAY(Main[[#This Row],[Tech Start Date]],5),""))))</f>
        <v/>
      </c>
      <c r="P1083" s="104" t="str">
        <f>IF(Main[[#This Row],[Tech Start Date]]&lt;1/1/1990,"",IF(Main[[#This Row],[Class]]="C",WORKDAY(Main[[#This Row],[Tech Start Date]],28),IF(Main[[#This Row],[Class]]="B", WORKDAY(Main[[#This Row],[Tech Start Date]],19),IF(Main[[#This Row],[Class]]="A",WORKDAY(Main[[#This Row],[Tech Start Date]],9),""))))</f>
        <v/>
      </c>
      <c r="Q1083" s="101"/>
      <c r="R1083" s="101"/>
      <c r="S1083" s="99" t="s">
        <v>6</v>
      </c>
      <c r="T1083" s="107" t="s">
        <v>4</v>
      </c>
      <c r="U1083" s="99" t="s">
        <v>7</v>
      </c>
      <c r="V1083" s="99" t="s">
        <v>1962</v>
      </c>
      <c r="W1083" s="99" t="s">
        <v>1966</v>
      </c>
    </row>
    <row r="1084" spans="1:23" ht="18.600000000000001" customHeight="1">
      <c r="A1084" s="123" t="str">
        <f>IF(priority(Main[[#This Row],[Comments]])&lt;&gt;0, priority(Main[[#This Row],[Comments]]),"")</f>
        <v/>
      </c>
      <c r="B1084" s="127" t="s">
        <v>1877</v>
      </c>
      <c r="C1084" s="99" t="s">
        <v>4</v>
      </c>
      <c r="D1084" s="100" t="s">
        <v>906</v>
      </c>
      <c r="E1084" s="101">
        <v>40351.730219907404</v>
      </c>
      <c r="F1084" s="101"/>
      <c r="G1084" s="102" t="str">
        <f>IF(stdProdLT(Main[[#This Row],[Comments]])=0.1,"N/A",IF(stdProdLT(Main[[#This Row],[Comments]])=0,"",stdProdLT(Main[[#This Row],[Comments]])))</f>
        <v/>
      </c>
      <c r="H1084" s="103" t="str">
        <f>IF(AND(Main[[#This Row],[In Stock Date]]&lt;&gt;"",Main[[#This Row],[Revised Due Date]]&lt;&gt;""),Main[[#This Row],[In Stock Date]]-Main[[#This Row],[Revised Due Date]],"")</f>
        <v/>
      </c>
      <c r="I1084" s="99" t="s">
        <v>2112</v>
      </c>
      <c r="J1084" s="99" t="s">
        <v>28</v>
      </c>
      <c r="K1084" s="99" t="s">
        <v>1974</v>
      </c>
      <c r="L1084" s="101"/>
      <c r="M1084" s="104" t="str">
        <f>IF(Main[[#This Row],[Tech Start Date]]&lt;1/1/1990,"",IF(Main[[#This Row],[Class]]="C",WORKDAY(Main[[#This Row],[Tech Start Date]],9),IF(Main[[#This Row],[Class]]="B", WORKDAY(Main[[#This Row],[Tech Start Date]],6),IF(Main[[#This Row],[Class]]="A",WORKDAY(Main[[#This Row],[Tech Start Date]],2),""))))</f>
        <v/>
      </c>
      <c r="N1084" s="104" t="str">
        <f>IF(Main[[#This Row],[Tech Start Date]]&lt;1/1/1990,"",IF(Main[[#This Row],[Class]]="C",WORKDAY(Main[[#This Row],[Tech Start Date]],19),IF(Main[[#This Row],[Class]]="B", WORKDAY(Main[[#This Row],[Tech Start Date]],12),IF(Main[[#This Row],[Class]]="A",WORKDAY(Main[[#This Row],[Tech Start Date]],4),""))))</f>
        <v/>
      </c>
      <c r="O1084" s="104" t="str">
        <f>IF(Main[[#This Row],[Tech Start Date]]&lt;1/1/1990,"",IF(Main[[#This Row],[Class]]="C",WORKDAY(Main[[#This Row],[Tech Start Date]],23),IF(Main[[#This Row],[Class]]="B", WORKDAY(Main[[#This Row],[Tech Start Date]],15),IF(Main[[#This Row],[Class]]="A",WORKDAY(Main[[#This Row],[Tech Start Date]],5),""))))</f>
        <v/>
      </c>
      <c r="P1084" s="104" t="str">
        <f>IF(Main[[#This Row],[Tech Start Date]]&lt;1/1/1990,"",IF(Main[[#This Row],[Class]]="C",WORKDAY(Main[[#This Row],[Tech Start Date]],28),IF(Main[[#This Row],[Class]]="B", WORKDAY(Main[[#This Row],[Tech Start Date]],19),IF(Main[[#This Row],[Class]]="A",WORKDAY(Main[[#This Row],[Tech Start Date]],9),""))))</f>
        <v/>
      </c>
      <c r="Q1084" s="101">
        <v>40906</v>
      </c>
      <c r="R1084" s="101">
        <v>40436</v>
      </c>
      <c r="S1084" s="99" t="s">
        <v>17</v>
      </c>
      <c r="T1084" s="107" t="s">
        <v>4</v>
      </c>
      <c r="U1084" s="99" t="s">
        <v>29</v>
      </c>
      <c r="V1084" s="99" t="s">
        <v>1963</v>
      </c>
      <c r="W1084" s="99" t="s">
        <v>1967</v>
      </c>
    </row>
    <row r="1085" spans="1:23" ht="18.600000000000001" customHeight="1">
      <c r="A1085" s="123" t="str">
        <f>IF(priority(Main[[#This Row],[Comments]])&lt;&gt;0, priority(Main[[#This Row],[Comments]]),"")</f>
        <v/>
      </c>
      <c r="B1085" s="127" t="s">
        <v>1586</v>
      </c>
      <c r="C1085" s="99" t="s">
        <v>4</v>
      </c>
      <c r="D1085" s="100" t="s">
        <v>2610</v>
      </c>
      <c r="E1085" s="101">
        <v>40718.447500000002</v>
      </c>
      <c r="F1085" s="101"/>
      <c r="G1085" s="102" t="str">
        <f>IF(stdProdLT(Main[[#This Row],[Comments]])=0.1,"N/A",IF(stdProdLT(Main[[#This Row],[Comments]])=0,"",stdProdLT(Main[[#This Row],[Comments]])))</f>
        <v/>
      </c>
      <c r="H1085" s="103" t="str">
        <f>IF(AND(Main[[#This Row],[In Stock Date]]&lt;&gt;"",Main[[#This Row],[Revised Due Date]]&lt;&gt;""),Main[[#This Row],[In Stock Date]]-Main[[#This Row],[Revised Due Date]],"")</f>
        <v/>
      </c>
      <c r="I1085" s="99" t="s">
        <v>242</v>
      </c>
      <c r="J1085" s="99" t="s">
        <v>28</v>
      </c>
      <c r="K1085" s="99" t="s">
        <v>1971</v>
      </c>
      <c r="L1085" s="101"/>
      <c r="M1085" s="104" t="str">
        <f>IF(Main[[#This Row],[Tech Start Date]]&lt;1/1/1990,"",IF(Main[[#This Row],[Class]]="C",WORKDAY(Main[[#This Row],[Tech Start Date]],9),IF(Main[[#This Row],[Class]]="B", WORKDAY(Main[[#This Row],[Tech Start Date]],6),IF(Main[[#This Row],[Class]]="A",WORKDAY(Main[[#This Row],[Tech Start Date]],2),""))))</f>
        <v/>
      </c>
      <c r="N1085" s="104" t="str">
        <f>IF(Main[[#This Row],[Tech Start Date]]&lt;1/1/1990,"",IF(Main[[#This Row],[Class]]="C",WORKDAY(Main[[#This Row],[Tech Start Date]],19),IF(Main[[#This Row],[Class]]="B", WORKDAY(Main[[#This Row],[Tech Start Date]],12),IF(Main[[#This Row],[Class]]="A",WORKDAY(Main[[#This Row],[Tech Start Date]],4),""))))</f>
        <v/>
      </c>
      <c r="O1085" s="104" t="str">
        <f>IF(Main[[#This Row],[Tech Start Date]]&lt;1/1/1990,"",IF(Main[[#This Row],[Class]]="C",WORKDAY(Main[[#This Row],[Tech Start Date]],23),IF(Main[[#This Row],[Class]]="B", WORKDAY(Main[[#This Row],[Tech Start Date]],15),IF(Main[[#This Row],[Class]]="A",WORKDAY(Main[[#This Row],[Tech Start Date]],5),""))))</f>
        <v/>
      </c>
      <c r="P1085" s="104" t="str">
        <f>IF(Main[[#This Row],[Tech Start Date]]&lt;1/1/1990,"",IF(Main[[#This Row],[Class]]="C",WORKDAY(Main[[#This Row],[Tech Start Date]],28),IF(Main[[#This Row],[Class]]="B", WORKDAY(Main[[#This Row],[Tech Start Date]],19),IF(Main[[#This Row],[Class]]="A",WORKDAY(Main[[#This Row],[Tech Start Date]],9),""))))</f>
        <v/>
      </c>
      <c r="Q1085" s="101">
        <v>40786</v>
      </c>
      <c r="R1085" s="101"/>
      <c r="S1085" s="99" t="s">
        <v>6</v>
      </c>
      <c r="T1085" s="107" t="s">
        <v>4</v>
      </c>
      <c r="U1085" s="99" t="s">
        <v>29</v>
      </c>
      <c r="V1085" s="99" t="s">
        <v>1965</v>
      </c>
      <c r="W1085" s="99" t="s">
        <v>1966</v>
      </c>
    </row>
    <row r="1086" spans="1:23" ht="18.600000000000001" customHeight="1">
      <c r="A1086" s="123" t="str">
        <f>IF(priority(Main[[#This Row],[Comments]])&lt;&gt;0, priority(Main[[#This Row],[Comments]]),"")</f>
        <v/>
      </c>
      <c r="B1086" s="127" t="s">
        <v>2369</v>
      </c>
      <c r="C1086" s="99" t="s">
        <v>67</v>
      </c>
      <c r="D1086" s="100" t="s">
        <v>2365</v>
      </c>
      <c r="E1086" s="101">
        <v>40813.66920138889</v>
      </c>
      <c r="F1086" s="101">
        <v>41075</v>
      </c>
      <c r="G1086" s="102" t="str">
        <f>IF(stdProdLT(Main[[#This Row],[Comments]])=0.1,"N/A",IF(stdProdLT(Main[[#This Row],[Comments]])=0,"",stdProdLT(Main[[#This Row],[Comments]])))</f>
        <v/>
      </c>
      <c r="H1086" s="103" t="str">
        <f>IF(AND(Main[[#This Row],[In Stock Date]]&lt;&gt;"",Main[[#This Row],[Revised Due Date]]&lt;&gt;""),Main[[#This Row],[In Stock Date]]-Main[[#This Row],[Revised Due Date]],"")</f>
        <v/>
      </c>
      <c r="I1086" s="99" t="s">
        <v>242</v>
      </c>
      <c r="J1086" s="99" t="s">
        <v>28</v>
      </c>
      <c r="K1086" s="99" t="s">
        <v>1974</v>
      </c>
      <c r="L1086" s="101"/>
      <c r="M1086" s="104" t="str">
        <f>IF(Main[[#This Row],[Tech Start Date]]&lt;1/1/1990,"",IF(Main[[#This Row],[Class]]="C",WORKDAY(Main[[#This Row],[Tech Start Date]],9),IF(Main[[#This Row],[Class]]="B", WORKDAY(Main[[#This Row],[Tech Start Date]],6),IF(Main[[#This Row],[Class]]="A",WORKDAY(Main[[#This Row],[Tech Start Date]],2),""))))</f>
        <v/>
      </c>
      <c r="N1086" s="104" t="str">
        <f>IF(Main[[#This Row],[Tech Start Date]]&lt;1/1/1990,"",IF(Main[[#This Row],[Class]]="C",WORKDAY(Main[[#This Row],[Tech Start Date]],19),IF(Main[[#This Row],[Class]]="B", WORKDAY(Main[[#This Row],[Tech Start Date]],12),IF(Main[[#This Row],[Class]]="A",WORKDAY(Main[[#This Row],[Tech Start Date]],4),""))))</f>
        <v/>
      </c>
      <c r="O1086" s="104" t="str">
        <f>IF(Main[[#This Row],[Tech Start Date]]&lt;1/1/1990,"",IF(Main[[#This Row],[Class]]="C",WORKDAY(Main[[#This Row],[Tech Start Date]],23),IF(Main[[#This Row],[Class]]="B", WORKDAY(Main[[#This Row],[Tech Start Date]],15),IF(Main[[#This Row],[Class]]="A",WORKDAY(Main[[#This Row],[Tech Start Date]],5),""))))</f>
        <v/>
      </c>
      <c r="P1086" s="104" t="str">
        <f>IF(Main[[#This Row],[Tech Start Date]]&lt;1/1/1990,"",IF(Main[[#This Row],[Class]]="C",WORKDAY(Main[[#This Row],[Tech Start Date]],28),IF(Main[[#This Row],[Class]]="B", WORKDAY(Main[[#This Row],[Tech Start Date]],19),IF(Main[[#This Row],[Class]]="A",WORKDAY(Main[[#This Row],[Tech Start Date]],9),""))))</f>
        <v/>
      </c>
      <c r="Q1086" s="101">
        <v>41258</v>
      </c>
      <c r="R1086" s="101"/>
      <c r="S1086" s="99" t="s">
        <v>17</v>
      </c>
      <c r="T1086" s="107" t="s">
        <v>4</v>
      </c>
      <c r="U1086" s="99" t="s">
        <v>29</v>
      </c>
      <c r="V1086" s="99" t="s">
        <v>1972</v>
      </c>
      <c r="W1086" s="99" t="s">
        <v>1973</v>
      </c>
    </row>
    <row r="1087" spans="1:23" ht="18.600000000000001" customHeight="1">
      <c r="A1087" s="123" t="str">
        <f>IF(priority(Main[[#This Row],[Comments]])&lt;&gt;0, priority(Main[[#This Row],[Comments]]),"")</f>
        <v/>
      </c>
      <c r="B1087" s="127" t="s">
        <v>2425</v>
      </c>
      <c r="C1087" s="99" t="s">
        <v>4</v>
      </c>
      <c r="D1087" s="100" t="s">
        <v>2426</v>
      </c>
      <c r="E1087" s="101"/>
      <c r="F1087" s="101"/>
      <c r="G1087" s="102" t="str">
        <f>IF(stdProdLT(Main[[#This Row],[Comments]])=0.1,"N/A",IF(stdProdLT(Main[[#This Row],[Comments]])=0,"",stdProdLT(Main[[#This Row],[Comments]])))</f>
        <v/>
      </c>
      <c r="H1087" s="103" t="str">
        <f>IF(AND(Main[[#This Row],[In Stock Date]]&lt;&gt;"",Main[[#This Row],[Revised Due Date]]&lt;&gt;""),Main[[#This Row],[In Stock Date]]-Main[[#This Row],[Revised Due Date]],"")</f>
        <v/>
      </c>
      <c r="I1087" s="99" t="s">
        <v>4</v>
      </c>
      <c r="J1087" s="99" t="s">
        <v>4</v>
      </c>
      <c r="K1087" s="99" t="s">
        <v>4</v>
      </c>
      <c r="L1087" s="101"/>
      <c r="M1087" s="104" t="str">
        <f>IF(Main[[#This Row],[Tech Start Date]]&lt;1/1/1990,"",IF(Main[[#This Row],[Class]]="C",WORKDAY(Main[[#This Row],[Tech Start Date]],9),IF(Main[[#This Row],[Class]]="B", WORKDAY(Main[[#This Row],[Tech Start Date]],6),IF(Main[[#This Row],[Class]]="A",WORKDAY(Main[[#This Row],[Tech Start Date]],2),""))))</f>
        <v/>
      </c>
      <c r="N1087" s="104" t="str">
        <f>IF(Main[[#This Row],[Tech Start Date]]&lt;1/1/1990,"",IF(Main[[#This Row],[Class]]="C",WORKDAY(Main[[#This Row],[Tech Start Date]],19),IF(Main[[#This Row],[Class]]="B", WORKDAY(Main[[#This Row],[Tech Start Date]],12),IF(Main[[#This Row],[Class]]="A",WORKDAY(Main[[#This Row],[Tech Start Date]],4),""))))</f>
        <v/>
      </c>
      <c r="O1087" s="104" t="str">
        <f>IF(Main[[#This Row],[Tech Start Date]]&lt;1/1/1990,"",IF(Main[[#This Row],[Class]]="C",WORKDAY(Main[[#This Row],[Tech Start Date]],23),IF(Main[[#This Row],[Class]]="B", WORKDAY(Main[[#This Row],[Tech Start Date]],15),IF(Main[[#This Row],[Class]]="A",WORKDAY(Main[[#This Row],[Tech Start Date]],5),""))))</f>
        <v/>
      </c>
      <c r="P1087" s="104" t="str">
        <f>IF(Main[[#This Row],[Tech Start Date]]&lt;1/1/1990,"",IF(Main[[#This Row],[Class]]="C",WORKDAY(Main[[#This Row],[Tech Start Date]],28),IF(Main[[#This Row],[Class]]="B", WORKDAY(Main[[#This Row],[Tech Start Date]],19),IF(Main[[#This Row],[Class]]="A",WORKDAY(Main[[#This Row],[Tech Start Date]],9),""))))</f>
        <v/>
      </c>
      <c r="Q1087" s="101"/>
      <c r="R1087" s="101"/>
      <c r="S1087" s="99" t="s">
        <v>11</v>
      </c>
      <c r="T1087" s="107" t="s">
        <v>4</v>
      </c>
      <c r="U1087" s="99" t="s">
        <v>12</v>
      </c>
      <c r="V1087" s="99" t="s">
        <v>1962</v>
      </c>
      <c r="W1087" s="99" t="s">
        <v>1970</v>
      </c>
    </row>
    <row r="1088" spans="1:23" ht="18.600000000000001" customHeight="1">
      <c r="A1088" s="123" t="str">
        <f>IF(priority(Main[[#This Row],[Comments]])&lt;&gt;0, priority(Main[[#This Row],[Comments]]),"")</f>
        <v/>
      </c>
      <c r="B1088" s="127" t="s">
        <v>2602</v>
      </c>
      <c r="C1088" s="99" t="s">
        <v>4</v>
      </c>
      <c r="D1088" s="100" t="s">
        <v>3172</v>
      </c>
      <c r="E1088" s="101">
        <v>40869.337650462963</v>
      </c>
      <c r="F1088" s="101"/>
      <c r="G1088" s="102" t="str">
        <f>IF(stdProdLT(Main[[#This Row],[Comments]])=0.1,"N/A",IF(stdProdLT(Main[[#This Row],[Comments]])=0,"",stdProdLT(Main[[#This Row],[Comments]])))</f>
        <v/>
      </c>
      <c r="H1088" s="103" t="str">
        <f>IF(AND(Main[[#This Row],[In Stock Date]]&lt;&gt;"",Main[[#This Row],[Revised Due Date]]&lt;&gt;""),Main[[#This Row],[In Stock Date]]-Main[[#This Row],[Revised Due Date]],"")</f>
        <v/>
      </c>
      <c r="I1088" s="99" t="s">
        <v>4</v>
      </c>
      <c r="J1088" s="99" t="s">
        <v>4</v>
      </c>
      <c r="K1088" s="108" t="s">
        <v>4</v>
      </c>
      <c r="L1088" s="101"/>
      <c r="M1088" s="104" t="str">
        <f>IF(Main[[#This Row],[Tech Start Date]]&lt;1/1/1990,"",IF(Main[[#This Row],[Class]]="C",WORKDAY(Main[[#This Row],[Tech Start Date]],9),IF(Main[[#This Row],[Class]]="B", WORKDAY(Main[[#This Row],[Tech Start Date]],6),IF(Main[[#This Row],[Class]]="A",WORKDAY(Main[[#This Row],[Tech Start Date]],2),""))))</f>
        <v/>
      </c>
      <c r="N1088" s="104" t="str">
        <f>IF(Main[[#This Row],[Tech Start Date]]&lt;1/1/1990,"",IF(Main[[#This Row],[Class]]="C",WORKDAY(Main[[#This Row],[Tech Start Date]],19),IF(Main[[#This Row],[Class]]="B", WORKDAY(Main[[#This Row],[Tech Start Date]],12),IF(Main[[#This Row],[Class]]="A",WORKDAY(Main[[#This Row],[Tech Start Date]],4),""))))</f>
        <v/>
      </c>
      <c r="O1088" s="104" t="str">
        <f>IF(Main[[#This Row],[Tech Start Date]]&lt;1/1/1990,"",IF(Main[[#This Row],[Class]]="C",WORKDAY(Main[[#This Row],[Tech Start Date]],23),IF(Main[[#This Row],[Class]]="B", WORKDAY(Main[[#This Row],[Tech Start Date]],15),IF(Main[[#This Row],[Class]]="A",WORKDAY(Main[[#This Row],[Tech Start Date]],5),""))))</f>
        <v/>
      </c>
      <c r="P1088" s="104" t="str">
        <f>IF(Main[[#This Row],[Tech Start Date]]&lt;1/1/1990,"",IF(Main[[#This Row],[Class]]="C",WORKDAY(Main[[#This Row],[Tech Start Date]],28),IF(Main[[#This Row],[Class]]="B", WORKDAY(Main[[#This Row],[Tech Start Date]],19),IF(Main[[#This Row],[Class]]="A",WORKDAY(Main[[#This Row],[Tech Start Date]],9),""))))</f>
        <v/>
      </c>
      <c r="Q1088" s="101"/>
      <c r="R1088" s="101"/>
      <c r="S1088" s="99" t="s">
        <v>6</v>
      </c>
      <c r="T1088" s="107" t="s">
        <v>4</v>
      </c>
      <c r="U1088" s="99" t="s">
        <v>29</v>
      </c>
      <c r="V1088" s="99" t="s">
        <v>1962</v>
      </c>
      <c r="W1088" s="99" t="s">
        <v>1966</v>
      </c>
    </row>
    <row r="1089" spans="1:23" ht="18.600000000000001" customHeight="1">
      <c r="A1089" s="123" t="str">
        <f>IF(priority(Main[[#This Row],[Comments]])&lt;&gt;0, priority(Main[[#This Row],[Comments]]),"")</f>
        <v/>
      </c>
      <c r="B1089" s="127" t="s">
        <v>2627</v>
      </c>
      <c r="C1089" s="99" t="s">
        <v>95</v>
      </c>
      <c r="D1089" s="100" t="s">
        <v>2628</v>
      </c>
      <c r="E1089" s="101">
        <v>40876.601030092592</v>
      </c>
      <c r="F1089" s="101"/>
      <c r="G1089" s="102" t="str">
        <f>IF(stdProdLT(Main[[#This Row],[Comments]])=0.1,"N/A",IF(stdProdLT(Main[[#This Row],[Comments]])=0,"",stdProdLT(Main[[#This Row],[Comments]])))</f>
        <v/>
      </c>
      <c r="H1089" s="103" t="str">
        <f>IF(AND(Main[[#This Row],[In Stock Date]]&lt;&gt;"",Main[[#This Row],[Revised Due Date]]&lt;&gt;""),Main[[#This Row],[In Stock Date]]-Main[[#This Row],[Revised Due Date]],"")</f>
        <v/>
      </c>
      <c r="I1089" s="99" t="s">
        <v>4</v>
      </c>
      <c r="J1089" s="99" t="s">
        <v>4</v>
      </c>
      <c r="K1089" s="99" t="s">
        <v>4</v>
      </c>
      <c r="L1089" s="101"/>
      <c r="M1089" s="104" t="str">
        <f>IF(Main[[#This Row],[Tech Start Date]]&lt;1/1/1990,"",IF(Main[[#This Row],[Class]]="C",WORKDAY(Main[[#This Row],[Tech Start Date]],9),IF(Main[[#This Row],[Class]]="B", WORKDAY(Main[[#This Row],[Tech Start Date]],6),IF(Main[[#This Row],[Class]]="A",WORKDAY(Main[[#This Row],[Tech Start Date]],2),""))))</f>
        <v/>
      </c>
      <c r="N1089" s="104" t="str">
        <f>IF(Main[[#This Row],[Tech Start Date]]&lt;1/1/1990,"",IF(Main[[#This Row],[Class]]="C",WORKDAY(Main[[#This Row],[Tech Start Date]],19),IF(Main[[#This Row],[Class]]="B", WORKDAY(Main[[#This Row],[Tech Start Date]],12),IF(Main[[#This Row],[Class]]="A",WORKDAY(Main[[#This Row],[Tech Start Date]],4),""))))</f>
        <v/>
      </c>
      <c r="O1089" s="104" t="str">
        <f>IF(Main[[#This Row],[Tech Start Date]]&lt;1/1/1990,"",IF(Main[[#This Row],[Class]]="C",WORKDAY(Main[[#This Row],[Tech Start Date]],23),IF(Main[[#This Row],[Class]]="B", WORKDAY(Main[[#This Row],[Tech Start Date]],15),IF(Main[[#This Row],[Class]]="A",WORKDAY(Main[[#This Row],[Tech Start Date]],5),""))))</f>
        <v/>
      </c>
      <c r="P1089" s="104" t="str">
        <f>IF(Main[[#This Row],[Tech Start Date]]&lt;1/1/1990,"",IF(Main[[#This Row],[Class]]="C",WORKDAY(Main[[#This Row],[Tech Start Date]],28),IF(Main[[#This Row],[Class]]="B", WORKDAY(Main[[#This Row],[Tech Start Date]],19),IF(Main[[#This Row],[Class]]="A",WORKDAY(Main[[#This Row],[Tech Start Date]],9),""))))</f>
        <v/>
      </c>
      <c r="Q1089" s="101">
        <v>40900</v>
      </c>
      <c r="R1089" s="101"/>
      <c r="S1089" s="99" t="s">
        <v>6</v>
      </c>
      <c r="T1089" s="107" t="s">
        <v>4</v>
      </c>
      <c r="U1089" s="99" t="s">
        <v>7</v>
      </c>
      <c r="V1089" s="99" t="s">
        <v>1972</v>
      </c>
      <c r="W1089" s="99" t="s">
        <v>1970</v>
      </c>
    </row>
    <row r="1090" spans="1:23" ht="18.600000000000001" customHeight="1">
      <c r="A1090" s="123" t="str">
        <f>IF(priority(Main[[#This Row],[Comments]])&lt;&gt;0, priority(Main[[#This Row],[Comments]]),"")</f>
        <v/>
      </c>
      <c r="B1090" s="127" t="s">
        <v>3043</v>
      </c>
      <c r="C1090" s="99" t="s">
        <v>4</v>
      </c>
      <c r="D1090" s="100" t="s">
        <v>3095</v>
      </c>
      <c r="E1090" s="101">
        <v>40879.345219907409</v>
      </c>
      <c r="F1090" s="101"/>
      <c r="G1090" s="102" t="str">
        <f>IF(stdProdLT(Main[[#This Row],[Comments]])=0.1,"N/A",IF(stdProdLT(Main[[#This Row],[Comments]])=0,"",stdProdLT(Main[[#This Row],[Comments]])))</f>
        <v/>
      </c>
      <c r="H1090" s="103" t="str">
        <f>IF(AND(Main[[#This Row],[In Stock Date]]&lt;&gt;"",Main[[#This Row],[Revised Due Date]]&lt;&gt;""),Main[[#This Row],[In Stock Date]]-Main[[#This Row],[Revised Due Date]],"")</f>
        <v/>
      </c>
      <c r="I1090" s="99" t="s">
        <v>955</v>
      </c>
      <c r="J1090" s="99" t="s">
        <v>4</v>
      </c>
      <c r="K1090" s="99" t="s">
        <v>4</v>
      </c>
      <c r="L1090" s="101"/>
      <c r="M1090" s="104" t="str">
        <f>IF(Main[[#This Row],[Tech Start Date]]&lt;1/1/1990,"",IF(Main[[#This Row],[Class]]="C",WORKDAY(Main[[#This Row],[Tech Start Date]],9),IF(Main[[#This Row],[Class]]="B", WORKDAY(Main[[#This Row],[Tech Start Date]],6),IF(Main[[#This Row],[Class]]="A",WORKDAY(Main[[#This Row],[Tech Start Date]],2),""))))</f>
        <v/>
      </c>
      <c r="N1090" s="104" t="str">
        <f>IF(Main[[#This Row],[Tech Start Date]]&lt;1/1/1990,"",IF(Main[[#This Row],[Class]]="C",WORKDAY(Main[[#This Row],[Tech Start Date]],19),IF(Main[[#This Row],[Class]]="B", WORKDAY(Main[[#This Row],[Tech Start Date]],12),IF(Main[[#This Row],[Class]]="A",WORKDAY(Main[[#This Row],[Tech Start Date]],4),""))))</f>
        <v/>
      </c>
      <c r="O1090" s="104" t="str">
        <f>IF(Main[[#This Row],[Tech Start Date]]&lt;1/1/1990,"",IF(Main[[#This Row],[Class]]="C",WORKDAY(Main[[#This Row],[Tech Start Date]],23),IF(Main[[#This Row],[Class]]="B", WORKDAY(Main[[#This Row],[Tech Start Date]],15),IF(Main[[#This Row],[Class]]="A",WORKDAY(Main[[#This Row],[Tech Start Date]],5),""))))</f>
        <v/>
      </c>
      <c r="P1090" s="104" t="str">
        <f>IF(Main[[#This Row],[Tech Start Date]]&lt;1/1/1990,"",IF(Main[[#This Row],[Class]]="C",WORKDAY(Main[[#This Row],[Tech Start Date]],28),IF(Main[[#This Row],[Class]]="B", WORKDAY(Main[[#This Row],[Tech Start Date]],19),IF(Main[[#This Row],[Class]]="A",WORKDAY(Main[[#This Row],[Tech Start Date]],9),""))))</f>
        <v/>
      </c>
      <c r="Q1090" s="101"/>
      <c r="R1090" s="101"/>
      <c r="S1090" s="99" t="s">
        <v>6</v>
      </c>
      <c r="T1090" s="107" t="s">
        <v>4</v>
      </c>
      <c r="U1090" s="99" t="s">
        <v>29</v>
      </c>
      <c r="V1090" s="99" t="s">
        <v>1962</v>
      </c>
      <c r="W1090" s="99" t="s">
        <v>1966</v>
      </c>
    </row>
    <row r="1091" spans="1:23" ht="18.600000000000001" customHeight="1">
      <c r="A1091" s="123" t="str">
        <f>IF(priority(Main[[#This Row],[Comments]])&lt;&gt;0, priority(Main[[#This Row],[Comments]]),"")</f>
        <v/>
      </c>
      <c r="B1091" s="127" t="s">
        <v>2227</v>
      </c>
      <c r="C1091" s="99" t="s">
        <v>2228</v>
      </c>
      <c r="D1091" s="100" t="s">
        <v>2433</v>
      </c>
      <c r="E1091" s="101">
        <v>40781.400787037041</v>
      </c>
      <c r="F1091" s="101"/>
      <c r="G1091" s="102" t="str">
        <f>IF(stdProdLT(Main[[#This Row],[Comments]])=0.1,"N/A",IF(stdProdLT(Main[[#This Row],[Comments]])=0,"",stdProdLT(Main[[#This Row],[Comments]])))</f>
        <v/>
      </c>
      <c r="H1091" s="103" t="str">
        <f>IF(AND(Main[[#This Row],[In Stock Date]]&lt;&gt;"",Main[[#This Row],[Revised Due Date]]&lt;&gt;""),Main[[#This Row],[In Stock Date]]-Main[[#This Row],[Revised Due Date]],"")</f>
        <v/>
      </c>
      <c r="I1091" s="99" t="s">
        <v>4</v>
      </c>
      <c r="J1091" s="99" t="s">
        <v>28</v>
      </c>
      <c r="K1091" s="99" t="s">
        <v>1971</v>
      </c>
      <c r="L1091" s="101"/>
      <c r="M1091" s="104" t="str">
        <f>IF(Main[[#This Row],[Tech Start Date]]&lt;1/1/1990,"",IF(Main[[#This Row],[Class]]="C",WORKDAY(Main[[#This Row],[Tech Start Date]],9),IF(Main[[#This Row],[Class]]="B", WORKDAY(Main[[#This Row],[Tech Start Date]],6),IF(Main[[#This Row],[Class]]="A",WORKDAY(Main[[#This Row],[Tech Start Date]],2),""))))</f>
        <v/>
      </c>
      <c r="N1091" s="104" t="str">
        <f>IF(Main[[#This Row],[Tech Start Date]]&lt;1/1/1990,"",IF(Main[[#This Row],[Class]]="C",WORKDAY(Main[[#This Row],[Tech Start Date]],19),IF(Main[[#This Row],[Class]]="B", WORKDAY(Main[[#This Row],[Tech Start Date]],12),IF(Main[[#This Row],[Class]]="A",WORKDAY(Main[[#This Row],[Tech Start Date]],4),""))))</f>
        <v/>
      </c>
      <c r="O1091" s="104" t="str">
        <f>IF(Main[[#This Row],[Tech Start Date]]&lt;1/1/1990,"",IF(Main[[#This Row],[Class]]="C",WORKDAY(Main[[#This Row],[Tech Start Date]],23),IF(Main[[#This Row],[Class]]="B", WORKDAY(Main[[#This Row],[Tech Start Date]],15),IF(Main[[#This Row],[Class]]="A",WORKDAY(Main[[#This Row],[Tech Start Date]],5),""))))</f>
        <v/>
      </c>
      <c r="P1091" s="104" t="str">
        <f>IF(Main[[#This Row],[Tech Start Date]]&lt;1/1/1990,"",IF(Main[[#This Row],[Class]]="C",WORKDAY(Main[[#This Row],[Tech Start Date]],28),IF(Main[[#This Row],[Class]]="B", WORKDAY(Main[[#This Row],[Tech Start Date]],19),IF(Main[[#This Row],[Class]]="A",WORKDAY(Main[[#This Row],[Tech Start Date]],9),""))))</f>
        <v/>
      </c>
      <c r="Q1091" s="101">
        <v>40836</v>
      </c>
      <c r="R1091" s="101"/>
      <c r="S1091" s="99" t="s">
        <v>6</v>
      </c>
      <c r="T1091" s="107" t="s">
        <v>4</v>
      </c>
      <c r="U1091" s="99" t="s">
        <v>29</v>
      </c>
      <c r="V1091" s="99" t="s">
        <v>1965</v>
      </c>
      <c r="W1091" s="99" t="s">
        <v>1966</v>
      </c>
    </row>
    <row r="1092" spans="1:23" ht="18.600000000000001" customHeight="1">
      <c r="A1092" s="123" t="str">
        <f>IF(priority(Main[[#This Row],[Comments]])&lt;&gt;0, priority(Main[[#This Row],[Comments]]),"")</f>
        <v/>
      </c>
      <c r="B1092" s="127" t="s">
        <v>2611</v>
      </c>
      <c r="C1092" s="99" t="s">
        <v>4</v>
      </c>
      <c r="D1092" s="100" t="s">
        <v>2612</v>
      </c>
      <c r="E1092" s="101"/>
      <c r="F1092" s="101"/>
      <c r="G1092" s="102" t="str">
        <f>IF(stdProdLT(Main[[#This Row],[Comments]])=0.1,"N/A",IF(stdProdLT(Main[[#This Row],[Comments]])=0,"",stdProdLT(Main[[#This Row],[Comments]])))</f>
        <v/>
      </c>
      <c r="H1092" s="103" t="str">
        <f>IF(AND(Main[[#This Row],[In Stock Date]]&lt;&gt;"",Main[[#This Row],[Revised Due Date]]&lt;&gt;""),Main[[#This Row],[In Stock Date]]-Main[[#This Row],[Revised Due Date]],"")</f>
        <v/>
      </c>
      <c r="I1092" s="99" t="s">
        <v>536</v>
      </c>
      <c r="J1092" s="99" t="s">
        <v>28</v>
      </c>
      <c r="K1092" s="99" t="s">
        <v>1971</v>
      </c>
      <c r="L1092" s="101"/>
      <c r="M1092" s="104" t="str">
        <f>IF(Main[[#This Row],[Tech Start Date]]&lt;1/1/1990,"",IF(Main[[#This Row],[Class]]="C",WORKDAY(Main[[#This Row],[Tech Start Date]],9),IF(Main[[#This Row],[Class]]="B", WORKDAY(Main[[#This Row],[Tech Start Date]],6),IF(Main[[#This Row],[Class]]="A",WORKDAY(Main[[#This Row],[Tech Start Date]],2),""))))</f>
        <v/>
      </c>
      <c r="N1092" s="104" t="str">
        <f>IF(Main[[#This Row],[Tech Start Date]]&lt;1/1/1990,"",IF(Main[[#This Row],[Class]]="C",WORKDAY(Main[[#This Row],[Tech Start Date]],19),IF(Main[[#This Row],[Class]]="B", WORKDAY(Main[[#This Row],[Tech Start Date]],12),IF(Main[[#This Row],[Class]]="A",WORKDAY(Main[[#This Row],[Tech Start Date]],4),""))))</f>
        <v/>
      </c>
      <c r="O1092" s="104" t="str">
        <f>IF(Main[[#This Row],[Tech Start Date]]&lt;1/1/1990,"",IF(Main[[#This Row],[Class]]="C",WORKDAY(Main[[#This Row],[Tech Start Date]],23),IF(Main[[#This Row],[Class]]="B", WORKDAY(Main[[#This Row],[Tech Start Date]],15),IF(Main[[#This Row],[Class]]="A",WORKDAY(Main[[#This Row],[Tech Start Date]],5),""))))</f>
        <v/>
      </c>
      <c r="P1092" s="104" t="str">
        <f>IF(Main[[#This Row],[Tech Start Date]]&lt;1/1/1990,"",IF(Main[[#This Row],[Class]]="C",WORKDAY(Main[[#This Row],[Tech Start Date]],28),IF(Main[[#This Row],[Class]]="B", WORKDAY(Main[[#This Row],[Tech Start Date]],19),IF(Main[[#This Row],[Class]]="A",WORKDAY(Main[[#This Row],[Tech Start Date]],9),""))))</f>
        <v/>
      </c>
      <c r="Q1092" s="101">
        <v>40954</v>
      </c>
      <c r="R1092" s="101"/>
      <c r="S1092" s="99" t="s">
        <v>6</v>
      </c>
      <c r="T1092" s="107" t="s">
        <v>4</v>
      </c>
      <c r="U1092" s="99" t="s">
        <v>14</v>
      </c>
      <c r="V1092" s="99" t="s">
        <v>1965</v>
      </c>
      <c r="W1092" s="99" t="s">
        <v>1966</v>
      </c>
    </row>
    <row r="1093" spans="1:23" ht="18.600000000000001" customHeight="1">
      <c r="A1093" s="123" t="str">
        <f>IF(priority(Main[[#This Row],[Comments]])&lt;&gt;0, priority(Main[[#This Row],[Comments]]),"")</f>
        <v/>
      </c>
      <c r="B1093" s="127" t="s">
        <v>2613</v>
      </c>
      <c r="C1093" s="99" t="s">
        <v>113</v>
      </c>
      <c r="D1093" s="100" t="s">
        <v>2614</v>
      </c>
      <c r="E1093" s="101"/>
      <c r="F1093" s="101">
        <v>40841</v>
      </c>
      <c r="G1093" s="102" t="str">
        <f>IF(stdProdLT(Main[[#This Row],[Comments]])=0.1,"N/A",IF(stdProdLT(Main[[#This Row],[Comments]])=0,"",stdProdLT(Main[[#This Row],[Comments]])))</f>
        <v/>
      </c>
      <c r="H1093" s="103" t="str">
        <f>IF(AND(Main[[#This Row],[In Stock Date]]&lt;&gt;"",Main[[#This Row],[Revised Due Date]]&lt;&gt;""),Main[[#This Row],[In Stock Date]]-Main[[#This Row],[Revised Due Date]],"")</f>
        <v/>
      </c>
      <c r="I1093" s="99" t="s">
        <v>4</v>
      </c>
      <c r="J1093" s="99" t="s">
        <v>4</v>
      </c>
      <c r="K1093" s="99" t="s">
        <v>4</v>
      </c>
      <c r="L1093" s="101"/>
      <c r="M1093" s="104" t="str">
        <f>IF(Main[[#This Row],[Tech Start Date]]&lt;1/1/1990,"",IF(Main[[#This Row],[Class]]="C",WORKDAY(Main[[#This Row],[Tech Start Date]],9),IF(Main[[#This Row],[Class]]="B", WORKDAY(Main[[#This Row],[Tech Start Date]],6),IF(Main[[#This Row],[Class]]="A",WORKDAY(Main[[#This Row],[Tech Start Date]],2),""))))</f>
        <v/>
      </c>
      <c r="N1093" s="104" t="str">
        <f>IF(Main[[#This Row],[Tech Start Date]]&lt;1/1/1990,"",IF(Main[[#This Row],[Class]]="C",WORKDAY(Main[[#This Row],[Tech Start Date]],19),IF(Main[[#This Row],[Class]]="B", WORKDAY(Main[[#This Row],[Tech Start Date]],12),IF(Main[[#This Row],[Class]]="A",WORKDAY(Main[[#This Row],[Tech Start Date]],4),""))))</f>
        <v/>
      </c>
      <c r="O1093" s="104" t="str">
        <f>IF(Main[[#This Row],[Tech Start Date]]&lt;1/1/1990,"",IF(Main[[#This Row],[Class]]="C",WORKDAY(Main[[#This Row],[Tech Start Date]],23),IF(Main[[#This Row],[Class]]="B", WORKDAY(Main[[#This Row],[Tech Start Date]],15),IF(Main[[#This Row],[Class]]="A",WORKDAY(Main[[#This Row],[Tech Start Date]],5),""))))</f>
        <v/>
      </c>
      <c r="P1093" s="104" t="str">
        <f>IF(Main[[#This Row],[Tech Start Date]]&lt;1/1/1990,"",IF(Main[[#This Row],[Class]]="C",WORKDAY(Main[[#This Row],[Tech Start Date]],28),IF(Main[[#This Row],[Class]]="B", WORKDAY(Main[[#This Row],[Tech Start Date]],19),IF(Main[[#This Row],[Class]]="A",WORKDAY(Main[[#This Row],[Tech Start Date]],9),""))))</f>
        <v/>
      </c>
      <c r="Q1093" s="101"/>
      <c r="R1093" s="101"/>
      <c r="S1093" s="99" t="s">
        <v>11</v>
      </c>
      <c r="T1093" s="107" t="s">
        <v>4</v>
      </c>
      <c r="U1093" s="99" t="s">
        <v>12</v>
      </c>
      <c r="V1093" s="99" t="s">
        <v>1962</v>
      </c>
      <c r="W1093" s="99" t="s">
        <v>1964</v>
      </c>
    </row>
    <row r="1094" spans="1:23" ht="18.600000000000001" customHeight="1">
      <c r="A1094" s="123" t="str">
        <f>IF(priority(Main[[#This Row],[Comments]])&lt;&gt;0, priority(Main[[#This Row],[Comments]]),"")</f>
        <v/>
      </c>
      <c r="B1094" s="127" t="s">
        <v>2853</v>
      </c>
      <c r="C1094" s="99" t="s">
        <v>31</v>
      </c>
      <c r="D1094" s="100" t="s">
        <v>2854</v>
      </c>
      <c r="E1094" s="101">
        <v>40820.728263888886</v>
      </c>
      <c r="F1094" s="101"/>
      <c r="G1094" s="102" t="str">
        <f>IF(stdProdLT(Main[[#This Row],[Comments]])=0.1,"N/A",IF(stdProdLT(Main[[#This Row],[Comments]])=0,"",stdProdLT(Main[[#This Row],[Comments]])))</f>
        <v/>
      </c>
      <c r="H1094" s="103" t="str">
        <f>IF(AND(Main[[#This Row],[In Stock Date]]&lt;&gt;"",Main[[#This Row],[Revised Due Date]]&lt;&gt;""),Main[[#This Row],[In Stock Date]]-Main[[#This Row],[Revised Due Date]],"")</f>
        <v/>
      </c>
      <c r="I1094" s="99" t="s">
        <v>939</v>
      </c>
      <c r="J1094" s="99" t="s">
        <v>4</v>
      </c>
      <c r="K1094" s="99" t="s">
        <v>4</v>
      </c>
      <c r="L1094" s="101"/>
      <c r="M1094" s="104" t="str">
        <f>IF(Main[[#This Row],[Tech Start Date]]&lt;1/1/1990,"",IF(Main[[#This Row],[Class]]="C",WORKDAY(Main[[#This Row],[Tech Start Date]],9),IF(Main[[#This Row],[Class]]="B", WORKDAY(Main[[#This Row],[Tech Start Date]],6),IF(Main[[#This Row],[Class]]="A",WORKDAY(Main[[#This Row],[Tech Start Date]],2),""))))</f>
        <v/>
      </c>
      <c r="N1094" s="104" t="str">
        <f>IF(Main[[#This Row],[Tech Start Date]]&lt;1/1/1990,"",IF(Main[[#This Row],[Class]]="C",WORKDAY(Main[[#This Row],[Tech Start Date]],19),IF(Main[[#This Row],[Class]]="B", WORKDAY(Main[[#This Row],[Tech Start Date]],12),IF(Main[[#This Row],[Class]]="A",WORKDAY(Main[[#This Row],[Tech Start Date]],4),""))))</f>
        <v/>
      </c>
      <c r="O1094" s="104" t="str">
        <f>IF(Main[[#This Row],[Tech Start Date]]&lt;1/1/1990,"",IF(Main[[#This Row],[Class]]="C",WORKDAY(Main[[#This Row],[Tech Start Date]],23),IF(Main[[#This Row],[Class]]="B", WORKDAY(Main[[#This Row],[Tech Start Date]],15),IF(Main[[#This Row],[Class]]="A",WORKDAY(Main[[#This Row],[Tech Start Date]],5),""))))</f>
        <v/>
      </c>
      <c r="P1094" s="104" t="str">
        <f>IF(Main[[#This Row],[Tech Start Date]]&lt;1/1/1990,"",IF(Main[[#This Row],[Class]]="C",WORKDAY(Main[[#This Row],[Tech Start Date]],28),IF(Main[[#This Row],[Class]]="B", WORKDAY(Main[[#This Row],[Tech Start Date]],19),IF(Main[[#This Row],[Class]]="A",WORKDAY(Main[[#This Row],[Tech Start Date]],9),""))))</f>
        <v/>
      </c>
      <c r="Q1094" s="101">
        <v>40841</v>
      </c>
      <c r="R1094" s="101"/>
      <c r="S1094" s="99" t="s">
        <v>11</v>
      </c>
      <c r="T1094" s="107" t="s">
        <v>2855</v>
      </c>
      <c r="U1094" s="99" t="s">
        <v>7</v>
      </c>
      <c r="V1094" s="99" t="s">
        <v>1977</v>
      </c>
      <c r="W1094" s="99" t="s">
        <v>1970</v>
      </c>
    </row>
    <row r="1095" spans="1:23" ht="18.600000000000001" customHeight="1">
      <c r="A1095" s="123" t="str">
        <f>IF(priority(Main[[#This Row],[Comments]])&lt;&gt;0, priority(Main[[#This Row],[Comments]]),"")</f>
        <v/>
      </c>
      <c r="B1095" s="127" t="s">
        <v>2617</v>
      </c>
      <c r="C1095" s="99" t="s">
        <v>4</v>
      </c>
      <c r="D1095" s="100" t="s">
        <v>3096</v>
      </c>
      <c r="E1095" s="101">
        <v>40865.334965277776</v>
      </c>
      <c r="F1095" s="101"/>
      <c r="G1095" s="102" t="str">
        <f>IF(stdProdLT(Main[[#This Row],[Comments]])=0.1,"N/A",IF(stdProdLT(Main[[#This Row],[Comments]])=0,"",stdProdLT(Main[[#This Row],[Comments]])))</f>
        <v/>
      </c>
      <c r="H1095" s="103" t="str">
        <f>IF(AND(Main[[#This Row],[In Stock Date]]&lt;&gt;"",Main[[#This Row],[Revised Due Date]]&lt;&gt;""),Main[[#This Row],[In Stock Date]]-Main[[#This Row],[Revised Due Date]],"")</f>
        <v/>
      </c>
      <c r="I1095" s="99" t="s">
        <v>4</v>
      </c>
      <c r="J1095" s="99" t="s">
        <v>4</v>
      </c>
      <c r="K1095" s="99" t="s">
        <v>4</v>
      </c>
      <c r="L1095" s="101"/>
      <c r="M1095" s="104" t="str">
        <f>IF(Main[[#This Row],[Tech Start Date]]&lt;1/1/1990,"",IF(Main[[#This Row],[Class]]="C",WORKDAY(Main[[#This Row],[Tech Start Date]],9),IF(Main[[#This Row],[Class]]="B", WORKDAY(Main[[#This Row],[Tech Start Date]],6),IF(Main[[#This Row],[Class]]="A",WORKDAY(Main[[#This Row],[Tech Start Date]],2),""))))</f>
        <v/>
      </c>
      <c r="N1095" s="104" t="str">
        <f>IF(Main[[#This Row],[Tech Start Date]]&lt;1/1/1990,"",IF(Main[[#This Row],[Class]]="C",WORKDAY(Main[[#This Row],[Tech Start Date]],19),IF(Main[[#This Row],[Class]]="B", WORKDAY(Main[[#This Row],[Tech Start Date]],12),IF(Main[[#This Row],[Class]]="A",WORKDAY(Main[[#This Row],[Tech Start Date]],4),""))))</f>
        <v/>
      </c>
      <c r="O1095" s="104" t="str">
        <f>IF(Main[[#This Row],[Tech Start Date]]&lt;1/1/1990,"",IF(Main[[#This Row],[Class]]="C",WORKDAY(Main[[#This Row],[Tech Start Date]],23),IF(Main[[#This Row],[Class]]="B", WORKDAY(Main[[#This Row],[Tech Start Date]],15),IF(Main[[#This Row],[Class]]="A",WORKDAY(Main[[#This Row],[Tech Start Date]],5),""))))</f>
        <v/>
      </c>
      <c r="P1095" s="104" t="str">
        <f>IF(Main[[#This Row],[Tech Start Date]]&lt;1/1/1990,"",IF(Main[[#This Row],[Class]]="C",WORKDAY(Main[[#This Row],[Tech Start Date]],28),IF(Main[[#This Row],[Class]]="B", WORKDAY(Main[[#This Row],[Tech Start Date]],19),IF(Main[[#This Row],[Class]]="A",WORKDAY(Main[[#This Row],[Tech Start Date]],9),""))))</f>
        <v/>
      </c>
      <c r="Q1095" s="101"/>
      <c r="R1095" s="101"/>
      <c r="S1095" s="99" t="s">
        <v>6</v>
      </c>
      <c r="T1095" s="107" t="s">
        <v>4</v>
      </c>
      <c r="U1095" s="99" t="s">
        <v>7</v>
      </c>
      <c r="V1095" s="99" t="s">
        <v>1962</v>
      </c>
      <c r="W1095" s="99" t="s">
        <v>1966</v>
      </c>
    </row>
    <row r="1096" spans="1:23" ht="18.600000000000001" customHeight="1">
      <c r="A1096" s="123" t="str">
        <f>IF(priority(Main[[#This Row],[Comments]])&lt;&gt;0, priority(Main[[#This Row],[Comments]]),"")</f>
        <v/>
      </c>
      <c r="B1096" s="127" t="s">
        <v>2618</v>
      </c>
      <c r="C1096" s="99" t="s">
        <v>4</v>
      </c>
      <c r="D1096" s="100" t="s">
        <v>3097</v>
      </c>
      <c r="E1096" s="101">
        <v>40875.448009259257</v>
      </c>
      <c r="F1096" s="101"/>
      <c r="G1096" s="102" t="str">
        <f>IF(stdProdLT(Main[[#This Row],[Comments]])=0.1,"N/A",IF(stdProdLT(Main[[#This Row],[Comments]])=0,"",stdProdLT(Main[[#This Row],[Comments]])))</f>
        <v/>
      </c>
      <c r="H1096" s="103" t="str">
        <f>IF(AND(Main[[#This Row],[In Stock Date]]&lt;&gt;"",Main[[#This Row],[Revised Due Date]]&lt;&gt;""),Main[[#This Row],[In Stock Date]]-Main[[#This Row],[Revised Due Date]],"")</f>
        <v/>
      </c>
      <c r="I1096" s="99" t="s">
        <v>4</v>
      </c>
      <c r="J1096" s="99" t="s">
        <v>4</v>
      </c>
      <c r="K1096" s="99" t="s">
        <v>4</v>
      </c>
      <c r="L1096" s="101"/>
      <c r="M1096" s="104" t="str">
        <f>IF(Main[[#This Row],[Tech Start Date]]&lt;1/1/1990,"",IF(Main[[#This Row],[Class]]="C",WORKDAY(Main[[#This Row],[Tech Start Date]],9),IF(Main[[#This Row],[Class]]="B", WORKDAY(Main[[#This Row],[Tech Start Date]],6),IF(Main[[#This Row],[Class]]="A",WORKDAY(Main[[#This Row],[Tech Start Date]],2),""))))</f>
        <v/>
      </c>
      <c r="N1096" s="104" t="str">
        <f>IF(Main[[#This Row],[Tech Start Date]]&lt;1/1/1990,"",IF(Main[[#This Row],[Class]]="C",WORKDAY(Main[[#This Row],[Tech Start Date]],19),IF(Main[[#This Row],[Class]]="B", WORKDAY(Main[[#This Row],[Tech Start Date]],12),IF(Main[[#This Row],[Class]]="A",WORKDAY(Main[[#This Row],[Tech Start Date]],4),""))))</f>
        <v/>
      </c>
      <c r="O1096" s="104" t="str">
        <f>IF(Main[[#This Row],[Tech Start Date]]&lt;1/1/1990,"",IF(Main[[#This Row],[Class]]="C",WORKDAY(Main[[#This Row],[Tech Start Date]],23),IF(Main[[#This Row],[Class]]="B", WORKDAY(Main[[#This Row],[Tech Start Date]],15),IF(Main[[#This Row],[Class]]="A",WORKDAY(Main[[#This Row],[Tech Start Date]],5),""))))</f>
        <v/>
      </c>
      <c r="P1096" s="104" t="str">
        <f>IF(Main[[#This Row],[Tech Start Date]]&lt;1/1/1990,"",IF(Main[[#This Row],[Class]]="C",WORKDAY(Main[[#This Row],[Tech Start Date]],28),IF(Main[[#This Row],[Class]]="B", WORKDAY(Main[[#This Row],[Tech Start Date]],19),IF(Main[[#This Row],[Class]]="A",WORKDAY(Main[[#This Row],[Tech Start Date]],9),""))))</f>
        <v/>
      </c>
      <c r="Q1096" s="101"/>
      <c r="R1096" s="101"/>
      <c r="S1096" s="99" t="s">
        <v>11</v>
      </c>
      <c r="T1096" s="107" t="s">
        <v>3098</v>
      </c>
      <c r="U1096" s="99" t="s">
        <v>7</v>
      </c>
      <c r="V1096" s="99" t="s">
        <v>1962</v>
      </c>
      <c r="W1096" s="99" t="s">
        <v>1970</v>
      </c>
    </row>
    <row r="1097" spans="1:23" ht="18.600000000000001" customHeight="1">
      <c r="A1097" s="123" t="str">
        <f>IF(priority(Main[[#This Row],[Comments]])&lt;&gt;0, priority(Main[[#This Row],[Comments]]),"")</f>
        <v/>
      </c>
      <c r="B1097" s="127" t="s">
        <v>2662</v>
      </c>
      <c r="C1097" s="99" t="s">
        <v>4</v>
      </c>
      <c r="D1097" s="100" t="s">
        <v>2663</v>
      </c>
      <c r="E1097" s="101">
        <v>40833.637280092589</v>
      </c>
      <c r="F1097" s="101"/>
      <c r="G1097" s="102" t="str">
        <f>IF(stdProdLT(Main[[#This Row],[Comments]])=0.1,"N/A",IF(stdProdLT(Main[[#This Row],[Comments]])=0,"",stdProdLT(Main[[#This Row],[Comments]])))</f>
        <v/>
      </c>
      <c r="H1097" s="103" t="str">
        <f>IF(AND(Main[[#This Row],[In Stock Date]]&lt;&gt;"",Main[[#This Row],[Revised Due Date]]&lt;&gt;""),Main[[#This Row],[In Stock Date]]-Main[[#This Row],[Revised Due Date]],"")</f>
        <v/>
      </c>
      <c r="I1097" s="99" t="s">
        <v>911</v>
      </c>
      <c r="J1097" s="99" t="s">
        <v>28</v>
      </c>
      <c r="K1097" s="99" t="s">
        <v>1971</v>
      </c>
      <c r="L1097" s="101"/>
      <c r="M1097" s="104" t="str">
        <f>IF(Main[[#This Row],[Tech Start Date]]&lt;1/1/1990,"",IF(Main[[#This Row],[Class]]="C",WORKDAY(Main[[#This Row],[Tech Start Date]],9),IF(Main[[#This Row],[Class]]="B", WORKDAY(Main[[#This Row],[Tech Start Date]],6),IF(Main[[#This Row],[Class]]="A",WORKDAY(Main[[#This Row],[Tech Start Date]],2),""))))</f>
        <v/>
      </c>
      <c r="N1097" s="104" t="str">
        <f>IF(Main[[#This Row],[Tech Start Date]]&lt;1/1/1990,"",IF(Main[[#This Row],[Class]]="C",WORKDAY(Main[[#This Row],[Tech Start Date]],19),IF(Main[[#This Row],[Class]]="B", WORKDAY(Main[[#This Row],[Tech Start Date]],12),IF(Main[[#This Row],[Class]]="A",WORKDAY(Main[[#This Row],[Tech Start Date]],4),""))))</f>
        <v/>
      </c>
      <c r="O1097" s="104" t="str">
        <f>IF(Main[[#This Row],[Tech Start Date]]&lt;1/1/1990,"",IF(Main[[#This Row],[Class]]="C",WORKDAY(Main[[#This Row],[Tech Start Date]],23),IF(Main[[#This Row],[Class]]="B", WORKDAY(Main[[#This Row],[Tech Start Date]],15),IF(Main[[#This Row],[Class]]="A",WORKDAY(Main[[#This Row],[Tech Start Date]],5),""))))</f>
        <v/>
      </c>
      <c r="P1097" s="104" t="str">
        <f>IF(Main[[#This Row],[Tech Start Date]]&lt;1/1/1990,"",IF(Main[[#This Row],[Class]]="C",WORKDAY(Main[[#This Row],[Tech Start Date]],28),IF(Main[[#This Row],[Class]]="B", WORKDAY(Main[[#This Row],[Tech Start Date]],19),IF(Main[[#This Row],[Class]]="A",WORKDAY(Main[[#This Row],[Tech Start Date]],9),""))))</f>
        <v/>
      </c>
      <c r="Q1097" s="101">
        <v>40939</v>
      </c>
      <c r="R1097" s="101"/>
      <c r="S1097" s="99" t="s">
        <v>6</v>
      </c>
      <c r="T1097" s="107" t="s">
        <v>4</v>
      </c>
      <c r="U1097" s="99" t="s">
        <v>29</v>
      </c>
      <c r="V1097" s="99" t="s">
        <v>1965</v>
      </c>
      <c r="W1097" s="99" t="s">
        <v>1966</v>
      </c>
    </row>
    <row r="1098" spans="1:23" ht="18.600000000000001" customHeight="1">
      <c r="A1098" s="123" t="str">
        <f>IF(priority(Main[[#This Row],[Comments]])&lt;&gt;0, priority(Main[[#This Row],[Comments]]),"")</f>
        <v/>
      </c>
      <c r="B1098" s="127" t="s">
        <v>2624</v>
      </c>
      <c r="C1098" s="99" t="s">
        <v>4</v>
      </c>
      <c r="D1098" s="100" t="s">
        <v>2625</v>
      </c>
      <c r="E1098" s="101">
        <v>40869.535266203704</v>
      </c>
      <c r="F1098" s="101"/>
      <c r="G1098" s="102" t="str">
        <f>IF(stdProdLT(Main[[#This Row],[Comments]])=0.1,"N/A",IF(stdProdLT(Main[[#This Row],[Comments]])=0,"",stdProdLT(Main[[#This Row],[Comments]])))</f>
        <v/>
      </c>
      <c r="H1098" s="103" t="str">
        <f>IF(AND(Main[[#This Row],[In Stock Date]]&lt;&gt;"",Main[[#This Row],[Revised Due Date]]&lt;&gt;""),Main[[#This Row],[In Stock Date]]-Main[[#This Row],[Revised Due Date]],"")</f>
        <v/>
      </c>
      <c r="I1098" s="99" t="s">
        <v>81</v>
      </c>
      <c r="J1098" s="99" t="s">
        <v>52</v>
      </c>
      <c r="K1098" s="99" t="s">
        <v>4</v>
      </c>
      <c r="L1098" s="101"/>
      <c r="M1098" s="104" t="str">
        <f>IF(Main[[#This Row],[Tech Start Date]]&lt;1/1/1990,"",IF(Main[[#This Row],[Class]]="C",WORKDAY(Main[[#This Row],[Tech Start Date]],9),IF(Main[[#This Row],[Class]]="B", WORKDAY(Main[[#This Row],[Tech Start Date]],6),IF(Main[[#This Row],[Class]]="A",WORKDAY(Main[[#This Row],[Tech Start Date]],2),""))))</f>
        <v/>
      </c>
      <c r="N1098" s="104" t="str">
        <f>IF(Main[[#This Row],[Tech Start Date]]&lt;1/1/1990,"",IF(Main[[#This Row],[Class]]="C",WORKDAY(Main[[#This Row],[Tech Start Date]],19),IF(Main[[#This Row],[Class]]="B", WORKDAY(Main[[#This Row],[Tech Start Date]],12),IF(Main[[#This Row],[Class]]="A",WORKDAY(Main[[#This Row],[Tech Start Date]],4),""))))</f>
        <v/>
      </c>
      <c r="O1098" s="104" t="str">
        <f>IF(Main[[#This Row],[Tech Start Date]]&lt;1/1/1990,"",IF(Main[[#This Row],[Class]]="C",WORKDAY(Main[[#This Row],[Tech Start Date]],23),IF(Main[[#This Row],[Class]]="B", WORKDAY(Main[[#This Row],[Tech Start Date]],15),IF(Main[[#This Row],[Class]]="A",WORKDAY(Main[[#This Row],[Tech Start Date]],5),""))))</f>
        <v/>
      </c>
      <c r="P1098" s="104" t="str">
        <f>IF(Main[[#This Row],[Tech Start Date]]&lt;1/1/1990,"",IF(Main[[#This Row],[Class]]="C",WORKDAY(Main[[#This Row],[Tech Start Date]],28),IF(Main[[#This Row],[Class]]="B", WORKDAY(Main[[#This Row],[Tech Start Date]],19),IF(Main[[#This Row],[Class]]="A",WORKDAY(Main[[#This Row],[Tech Start Date]],9),""))))</f>
        <v/>
      </c>
      <c r="Q1098" s="101"/>
      <c r="R1098" s="101"/>
      <c r="S1098" s="99" t="s">
        <v>6</v>
      </c>
      <c r="T1098" s="107" t="s">
        <v>4</v>
      </c>
      <c r="U1098" s="99" t="s">
        <v>29</v>
      </c>
      <c r="V1098" s="99" t="s">
        <v>1972</v>
      </c>
      <c r="W1098" s="99" t="s">
        <v>1966</v>
      </c>
    </row>
    <row r="1099" spans="1:23" ht="18.600000000000001" customHeight="1">
      <c r="A1099" s="123" t="str">
        <f>IF(priority(Main[[#This Row],[Comments]])&lt;&gt;0, priority(Main[[#This Row],[Comments]]),"")</f>
        <v/>
      </c>
      <c r="B1099" s="127" t="s">
        <v>3078</v>
      </c>
      <c r="C1099" s="99" t="s">
        <v>4</v>
      </c>
      <c r="D1099" s="100" t="s">
        <v>3079</v>
      </c>
      <c r="E1099" s="101">
        <v>40879.610138888886</v>
      </c>
      <c r="F1099" s="101"/>
      <c r="G1099" s="102" t="str">
        <f>IF(stdProdLT(Main[[#This Row],[Comments]])=0.1,"N/A",IF(stdProdLT(Main[[#This Row],[Comments]])=0,"",stdProdLT(Main[[#This Row],[Comments]])))</f>
        <v/>
      </c>
      <c r="H1099" s="103" t="str">
        <f>IF(AND(Main[[#This Row],[In Stock Date]]&lt;&gt;"",Main[[#This Row],[Revised Due Date]]&lt;&gt;""),Main[[#This Row],[In Stock Date]]-Main[[#This Row],[Revised Due Date]],"")</f>
        <v/>
      </c>
      <c r="I1099" s="99" t="s">
        <v>2102</v>
      </c>
      <c r="J1099" s="99" t="s">
        <v>28</v>
      </c>
      <c r="K1099" s="99" t="s">
        <v>1971</v>
      </c>
      <c r="L1099" s="101"/>
      <c r="M1099" s="104" t="str">
        <f>IF(Main[[#This Row],[Tech Start Date]]&lt;1/1/1990,"",IF(Main[[#This Row],[Class]]="C",WORKDAY(Main[[#This Row],[Tech Start Date]],9),IF(Main[[#This Row],[Class]]="B", WORKDAY(Main[[#This Row],[Tech Start Date]],6),IF(Main[[#This Row],[Class]]="A",WORKDAY(Main[[#This Row],[Tech Start Date]],2),""))))</f>
        <v/>
      </c>
      <c r="N1099" s="104" t="str">
        <f>IF(Main[[#This Row],[Tech Start Date]]&lt;1/1/1990,"",IF(Main[[#This Row],[Class]]="C",WORKDAY(Main[[#This Row],[Tech Start Date]],19),IF(Main[[#This Row],[Class]]="B", WORKDAY(Main[[#This Row],[Tech Start Date]],12),IF(Main[[#This Row],[Class]]="A",WORKDAY(Main[[#This Row],[Tech Start Date]],4),""))))</f>
        <v/>
      </c>
      <c r="O1099" s="104" t="str">
        <f>IF(Main[[#This Row],[Tech Start Date]]&lt;1/1/1990,"",IF(Main[[#This Row],[Class]]="C",WORKDAY(Main[[#This Row],[Tech Start Date]],23),IF(Main[[#This Row],[Class]]="B", WORKDAY(Main[[#This Row],[Tech Start Date]],15),IF(Main[[#This Row],[Class]]="A",WORKDAY(Main[[#This Row],[Tech Start Date]],5),""))))</f>
        <v/>
      </c>
      <c r="P1099" s="104" t="str">
        <f>IF(Main[[#This Row],[Tech Start Date]]&lt;1/1/1990,"",IF(Main[[#This Row],[Class]]="C",WORKDAY(Main[[#This Row],[Tech Start Date]],28),IF(Main[[#This Row],[Class]]="B", WORKDAY(Main[[#This Row],[Tech Start Date]],19),IF(Main[[#This Row],[Class]]="A",WORKDAY(Main[[#This Row],[Tech Start Date]],9),""))))</f>
        <v/>
      </c>
      <c r="Q1099" s="101">
        <v>40921</v>
      </c>
      <c r="R1099" s="101"/>
      <c r="S1099" s="99" t="s">
        <v>6</v>
      </c>
      <c r="T1099" s="107" t="s">
        <v>4</v>
      </c>
      <c r="U1099" s="99" t="s">
        <v>29</v>
      </c>
      <c r="V1099" s="99" t="s">
        <v>1972</v>
      </c>
      <c r="W1099" s="99" t="s">
        <v>1966</v>
      </c>
    </row>
    <row r="1100" spans="1:23" ht="18.600000000000001" customHeight="1">
      <c r="A1100" s="123" t="str">
        <f>IF(priority(Main[[#This Row],[Comments]])&lt;&gt;0, priority(Main[[#This Row],[Comments]]),"")</f>
        <v/>
      </c>
      <c r="B1100" s="127" t="s">
        <v>2629</v>
      </c>
      <c r="C1100" s="99" t="s">
        <v>4</v>
      </c>
      <c r="D1100" s="100" t="s">
        <v>2630</v>
      </c>
      <c r="E1100" s="101">
        <v>40876.411770833336</v>
      </c>
      <c r="F1100" s="101"/>
      <c r="G1100" s="102" t="str">
        <f>IF(stdProdLT(Main[[#This Row],[Comments]])=0.1,"N/A",IF(stdProdLT(Main[[#This Row],[Comments]])=0,"",stdProdLT(Main[[#This Row],[Comments]])))</f>
        <v/>
      </c>
      <c r="H1100" s="103" t="str">
        <f>IF(AND(Main[[#This Row],[In Stock Date]]&lt;&gt;"",Main[[#This Row],[Revised Due Date]]&lt;&gt;""),Main[[#This Row],[In Stock Date]]-Main[[#This Row],[Revised Due Date]],"")</f>
        <v/>
      </c>
      <c r="I1100" s="99" t="s">
        <v>4</v>
      </c>
      <c r="J1100" s="99" t="s">
        <v>4</v>
      </c>
      <c r="K1100" s="99" t="s">
        <v>4</v>
      </c>
      <c r="L1100" s="101"/>
      <c r="M1100" s="104" t="str">
        <f>IF(Main[[#This Row],[Tech Start Date]]&lt;1/1/1990,"",IF(Main[[#This Row],[Class]]="C",WORKDAY(Main[[#This Row],[Tech Start Date]],9),IF(Main[[#This Row],[Class]]="B", WORKDAY(Main[[#This Row],[Tech Start Date]],6),IF(Main[[#This Row],[Class]]="A",WORKDAY(Main[[#This Row],[Tech Start Date]],2),""))))</f>
        <v/>
      </c>
      <c r="N1100" s="104" t="str">
        <f>IF(Main[[#This Row],[Tech Start Date]]&lt;1/1/1990,"",IF(Main[[#This Row],[Class]]="C",WORKDAY(Main[[#This Row],[Tech Start Date]],19),IF(Main[[#This Row],[Class]]="B", WORKDAY(Main[[#This Row],[Tech Start Date]],12),IF(Main[[#This Row],[Class]]="A",WORKDAY(Main[[#This Row],[Tech Start Date]],4),""))))</f>
        <v/>
      </c>
      <c r="O1100" s="104" t="str">
        <f>IF(Main[[#This Row],[Tech Start Date]]&lt;1/1/1990,"",IF(Main[[#This Row],[Class]]="C",WORKDAY(Main[[#This Row],[Tech Start Date]],23),IF(Main[[#This Row],[Class]]="B", WORKDAY(Main[[#This Row],[Tech Start Date]],15),IF(Main[[#This Row],[Class]]="A",WORKDAY(Main[[#This Row],[Tech Start Date]],5),""))))</f>
        <v/>
      </c>
      <c r="P1100" s="104" t="str">
        <f>IF(Main[[#This Row],[Tech Start Date]]&lt;1/1/1990,"",IF(Main[[#This Row],[Class]]="C",WORKDAY(Main[[#This Row],[Tech Start Date]],28),IF(Main[[#This Row],[Class]]="B", WORKDAY(Main[[#This Row],[Tech Start Date]],19),IF(Main[[#This Row],[Class]]="A",WORKDAY(Main[[#This Row],[Tech Start Date]],9),""))))</f>
        <v/>
      </c>
      <c r="Q1100" s="101"/>
      <c r="R1100" s="101"/>
      <c r="S1100" s="99" t="s">
        <v>6</v>
      </c>
      <c r="T1100" s="107" t="s">
        <v>4</v>
      </c>
      <c r="U1100" s="99" t="s">
        <v>7</v>
      </c>
      <c r="V1100" s="99" t="s">
        <v>1962</v>
      </c>
      <c r="W1100" s="99" t="s">
        <v>1970</v>
      </c>
    </row>
    <row r="1101" spans="1:23" ht="18.600000000000001" customHeight="1">
      <c r="A1101" s="123" t="str">
        <f>IF(priority(Main[[#This Row],[Comments]])&lt;&gt;0, priority(Main[[#This Row],[Comments]]),"")</f>
        <v/>
      </c>
      <c r="B1101" s="127" t="s">
        <v>2498</v>
      </c>
      <c r="C1101" s="99" t="s">
        <v>72</v>
      </c>
      <c r="D1101" s="100" t="s">
        <v>2499</v>
      </c>
      <c r="E1101" s="101">
        <v>40856.064849537041</v>
      </c>
      <c r="F1101" s="101"/>
      <c r="G1101" s="102" t="str">
        <f>IF(stdProdLT(Main[[#This Row],[Comments]])=0.1,"N/A",IF(stdProdLT(Main[[#This Row],[Comments]])=0,"",stdProdLT(Main[[#This Row],[Comments]])))</f>
        <v/>
      </c>
      <c r="H1101" s="103" t="str">
        <f>IF(AND(Main[[#This Row],[In Stock Date]]&lt;&gt;"",Main[[#This Row],[Revised Due Date]]&lt;&gt;""),Main[[#This Row],[In Stock Date]]-Main[[#This Row],[Revised Due Date]],"")</f>
        <v/>
      </c>
      <c r="I1101" s="99" t="s">
        <v>4</v>
      </c>
      <c r="J1101" s="99" t="s">
        <v>4</v>
      </c>
      <c r="K1101" s="108" t="s">
        <v>4</v>
      </c>
      <c r="L1101" s="101"/>
      <c r="M1101" s="104" t="str">
        <f>IF(Main[[#This Row],[Tech Start Date]]&lt;1/1/1990,"",IF(Main[[#This Row],[Class]]="C",WORKDAY(Main[[#This Row],[Tech Start Date]],9),IF(Main[[#This Row],[Class]]="B", WORKDAY(Main[[#This Row],[Tech Start Date]],6),IF(Main[[#This Row],[Class]]="A",WORKDAY(Main[[#This Row],[Tech Start Date]],2),""))))</f>
        <v/>
      </c>
      <c r="N1101" s="104" t="str">
        <f>IF(Main[[#This Row],[Tech Start Date]]&lt;1/1/1990,"",IF(Main[[#This Row],[Class]]="C",WORKDAY(Main[[#This Row],[Tech Start Date]],19),IF(Main[[#This Row],[Class]]="B", WORKDAY(Main[[#This Row],[Tech Start Date]],12),IF(Main[[#This Row],[Class]]="A",WORKDAY(Main[[#This Row],[Tech Start Date]],4),""))))</f>
        <v/>
      </c>
      <c r="O1101" s="104" t="str">
        <f>IF(Main[[#This Row],[Tech Start Date]]&lt;1/1/1990,"",IF(Main[[#This Row],[Class]]="C",WORKDAY(Main[[#This Row],[Tech Start Date]],23),IF(Main[[#This Row],[Class]]="B", WORKDAY(Main[[#This Row],[Tech Start Date]],15),IF(Main[[#This Row],[Class]]="A",WORKDAY(Main[[#This Row],[Tech Start Date]],5),""))))</f>
        <v/>
      </c>
      <c r="P1101" s="104" t="str">
        <f>IF(Main[[#This Row],[Tech Start Date]]&lt;1/1/1990,"",IF(Main[[#This Row],[Class]]="C",WORKDAY(Main[[#This Row],[Tech Start Date]],28),IF(Main[[#This Row],[Class]]="B", WORKDAY(Main[[#This Row],[Tech Start Date]],19),IF(Main[[#This Row],[Class]]="A",WORKDAY(Main[[#This Row],[Tech Start Date]],9),""))))</f>
        <v/>
      </c>
      <c r="Q1101" s="101"/>
      <c r="R1101" s="101"/>
      <c r="S1101" s="99" t="s">
        <v>17</v>
      </c>
      <c r="T1101" s="107" t="s">
        <v>4</v>
      </c>
      <c r="U1101" s="99" t="s">
        <v>7</v>
      </c>
      <c r="V1101" s="99" t="s">
        <v>1963</v>
      </c>
      <c r="W1101" s="99" t="s">
        <v>1964</v>
      </c>
    </row>
    <row r="1102" spans="1:23" ht="18.600000000000001" customHeight="1">
      <c r="A1102" s="123" t="str">
        <f>IF(priority(Main[[#This Row],[Comments]])&lt;&gt;0, priority(Main[[#This Row],[Comments]]),"")</f>
        <v/>
      </c>
      <c r="B1102" s="127" t="s">
        <v>1941</v>
      </c>
      <c r="C1102" s="99" t="s">
        <v>4</v>
      </c>
      <c r="D1102" s="100" t="s">
        <v>2631</v>
      </c>
      <c r="E1102" s="101">
        <v>40203.692094907405</v>
      </c>
      <c r="F1102" s="101"/>
      <c r="G1102" s="102" t="str">
        <f>IF(stdProdLT(Main[[#This Row],[Comments]])=0.1,"N/A",IF(stdProdLT(Main[[#This Row],[Comments]])=0,"",stdProdLT(Main[[#This Row],[Comments]])))</f>
        <v/>
      </c>
      <c r="H1102" s="103" t="str">
        <f>IF(AND(Main[[#This Row],[In Stock Date]]&lt;&gt;"",Main[[#This Row],[Revised Due Date]]&lt;&gt;""),Main[[#This Row],[In Stock Date]]-Main[[#This Row],[Revised Due Date]],"")</f>
        <v/>
      </c>
      <c r="I1102" s="99" t="s">
        <v>893</v>
      </c>
      <c r="J1102" s="99" t="s">
        <v>28</v>
      </c>
      <c r="K1102" s="99" t="s">
        <v>1974</v>
      </c>
      <c r="L1102" s="101"/>
      <c r="M1102" s="104" t="str">
        <f>IF(Main[[#This Row],[Tech Start Date]]&lt;1/1/1990,"",IF(Main[[#This Row],[Class]]="C",WORKDAY(Main[[#This Row],[Tech Start Date]],9),IF(Main[[#This Row],[Class]]="B", WORKDAY(Main[[#This Row],[Tech Start Date]],6),IF(Main[[#This Row],[Class]]="A",WORKDAY(Main[[#This Row],[Tech Start Date]],2),""))))</f>
        <v/>
      </c>
      <c r="N1102" s="104" t="str">
        <f>IF(Main[[#This Row],[Tech Start Date]]&lt;1/1/1990,"",IF(Main[[#This Row],[Class]]="C",WORKDAY(Main[[#This Row],[Tech Start Date]],19),IF(Main[[#This Row],[Class]]="B", WORKDAY(Main[[#This Row],[Tech Start Date]],12),IF(Main[[#This Row],[Class]]="A",WORKDAY(Main[[#This Row],[Tech Start Date]],4),""))))</f>
        <v/>
      </c>
      <c r="O1102" s="104" t="str">
        <f>IF(Main[[#This Row],[Tech Start Date]]&lt;1/1/1990,"",IF(Main[[#This Row],[Class]]="C",WORKDAY(Main[[#This Row],[Tech Start Date]],23),IF(Main[[#This Row],[Class]]="B", WORKDAY(Main[[#This Row],[Tech Start Date]],15),IF(Main[[#This Row],[Class]]="A",WORKDAY(Main[[#This Row],[Tech Start Date]],5),""))))</f>
        <v/>
      </c>
      <c r="P1102" s="104" t="str">
        <f>IF(Main[[#This Row],[Tech Start Date]]&lt;1/1/1990,"",IF(Main[[#This Row],[Class]]="C",WORKDAY(Main[[#This Row],[Tech Start Date]],28),IF(Main[[#This Row],[Class]]="B", WORKDAY(Main[[#This Row],[Tech Start Date]],19),IF(Main[[#This Row],[Class]]="A",WORKDAY(Main[[#This Row],[Tech Start Date]],9),""))))</f>
        <v/>
      </c>
      <c r="Q1102" s="101">
        <v>40724</v>
      </c>
      <c r="R1102" s="101">
        <v>40998</v>
      </c>
      <c r="S1102" s="99" t="s">
        <v>17</v>
      </c>
      <c r="T1102" s="107" t="s">
        <v>2632</v>
      </c>
      <c r="U1102" s="99" t="s">
        <v>29</v>
      </c>
      <c r="V1102" s="99" t="s">
        <v>1962</v>
      </c>
      <c r="W1102" s="99" t="s">
        <v>1967</v>
      </c>
    </row>
    <row r="1103" spans="1:23" ht="18.600000000000001" customHeight="1">
      <c r="A1103" s="123" t="str">
        <f>IF(priority(Main[[#This Row],[Comments]])&lt;&gt;0, priority(Main[[#This Row],[Comments]]),"")</f>
        <v/>
      </c>
      <c r="B1103" s="127" t="s">
        <v>1559</v>
      </c>
      <c r="C1103" s="99" t="s">
        <v>4</v>
      </c>
      <c r="D1103" s="100" t="s">
        <v>2870</v>
      </c>
      <c r="E1103" s="101">
        <v>40436.377106481479</v>
      </c>
      <c r="F1103" s="101"/>
      <c r="G1103" s="102" t="str">
        <f>IF(stdProdLT(Main[[#This Row],[Comments]])=0.1,"N/A",IF(stdProdLT(Main[[#This Row],[Comments]])=0,"",stdProdLT(Main[[#This Row],[Comments]])))</f>
        <v/>
      </c>
      <c r="H1103" s="103" t="str">
        <f>IF(AND(Main[[#This Row],[In Stock Date]]&lt;&gt;"",Main[[#This Row],[Revised Due Date]]&lt;&gt;""),Main[[#This Row],[In Stock Date]]-Main[[#This Row],[Revised Due Date]],"")</f>
        <v/>
      </c>
      <c r="I1103" s="99" t="s">
        <v>4</v>
      </c>
      <c r="J1103" s="99" t="s">
        <v>4</v>
      </c>
      <c r="K1103" s="99" t="s">
        <v>1974</v>
      </c>
      <c r="L1103" s="101"/>
      <c r="M1103" s="104" t="str">
        <f>IF(Main[[#This Row],[Tech Start Date]]&lt;1/1/1990,"",IF(Main[[#This Row],[Class]]="C",WORKDAY(Main[[#This Row],[Tech Start Date]],9),IF(Main[[#This Row],[Class]]="B", WORKDAY(Main[[#This Row],[Tech Start Date]],6),IF(Main[[#This Row],[Class]]="A",WORKDAY(Main[[#This Row],[Tech Start Date]],2),""))))</f>
        <v/>
      </c>
      <c r="N1103" s="104" t="str">
        <f>IF(Main[[#This Row],[Tech Start Date]]&lt;1/1/1990,"",IF(Main[[#This Row],[Class]]="C",WORKDAY(Main[[#This Row],[Tech Start Date]],19),IF(Main[[#This Row],[Class]]="B", WORKDAY(Main[[#This Row],[Tech Start Date]],12),IF(Main[[#This Row],[Class]]="A",WORKDAY(Main[[#This Row],[Tech Start Date]],4),""))))</f>
        <v/>
      </c>
      <c r="O1103" s="104" t="str">
        <f>IF(Main[[#This Row],[Tech Start Date]]&lt;1/1/1990,"",IF(Main[[#This Row],[Class]]="C",WORKDAY(Main[[#This Row],[Tech Start Date]],23),IF(Main[[#This Row],[Class]]="B", WORKDAY(Main[[#This Row],[Tech Start Date]],15),IF(Main[[#This Row],[Class]]="A",WORKDAY(Main[[#This Row],[Tech Start Date]],5),""))))</f>
        <v/>
      </c>
      <c r="P1103" s="104" t="str">
        <f>IF(Main[[#This Row],[Tech Start Date]]&lt;1/1/1990,"",IF(Main[[#This Row],[Class]]="C",WORKDAY(Main[[#This Row],[Tech Start Date]],28),IF(Main[[#This Row],[Class]]="B", WORKDAY(Main[[#This Row],[Tech Start Date]],19),IF(Main[[#This Row],[Class]]="A",WORKDAY(Main[[#This Row],[Tech Start Date]],9),""))))</f>
        <v/>
      </c>
      <c r="Q1103" s="101">
        <v>41274</v>
      </c>
      <c r="R1103" s="101"/>
      <c r="S1103" s="99" t="s">
        <v>17</v>
      </c>
      <c r="T1103" s="107" t="s">
        <v>2871</v>
      </c>
      <c r="U1103" s="99" t="s">
        <v>29</v>
      </c>
      <c r="V1103" s="99" t="s">
        <v>1962</v>
      </c>
      <c r="W1103" s="99" t="s">
        <v>1967</v>
      </c>
    </row>
    <row r="1104" spans="1:23" ht="18.600000000000001" customHeight="1">
      <c r="A1104" s="123" t="str">
        <f>IF(priority(Main[[#This Row],[Comments]])&lt;&gt;0, priority(Main[[#This Row],[Comments]]),"")</f>
        <v/>
      </c>
      <c r="B1104" s="127" t="s">
        <v>1918</v>
      </c>
      <c r="C1104" s="99" t="s">
        <v>99</v>
      </c>
      <c r="D1104" s="100" t="s">
        <v>945</v>
      </c>
      <c r="E1104" s="101"/>
      <c r="F1104" s="101">
        <v>40644</v>
      </c>
      <c r="G1104" s="102" t="str">
        <f>IF(stdProdLT(Main[[#This Row],[Comments]])=0.1,"N/A",IF(stdProdLT(Main[[#This Row],[Comments]])=0,"",stdProdLT(Main[[#This Row],[Comments]])))</f>
        <v/>
      </c>
      <c r="H1104" s="103">
        <f>IF(AND(Main[[#This Row],[In Stock Date]]&lt;&gt;"",Main[[#This Row],[Revised Due Date]]&lt;&gt;""),Main[[#This Row],[In Stock Date]]-Main[[#This Row],[Revised Due Date]],"")</f>
        <v>-19</v>
      </c>
      <c r="I1104" s="99" t="s">
        <v>4</v>
      </c>
      <c r="J1104" s="99" t="s">
        <v>21</v>
      </c>
      <c r="K1104" s="99" t="s">
        <v>1974</v>
      </c>
      <c r="L1104" s="101"/>
      <c r="M1104" s="104" t="str">
        <f>IF(Main[[#This Row],[Tech Start Date]]&lt;1/1/1990,"",IF(Main[[#This Row],[Class]]="C",WORKDAY(Main[[#This Row],[Tech Start Date]],9),IF(Main[[#This Row],[Class]]="B", WORKDAY(Main[[#This Row],[Tech Start Date]],6),IF(Main[[#This Row],[Class]]="A",WORKDAY(Main[[#This Row],[Tech Start Date]],2),""))))</f>
        <v/>
      </c>
      <c r="N1104" s="104" t="str">
        <f>IF(Main[[#This Row],[Tech Start Date]]&lt;1/1/1990,"",IF(Main[[#This Row],[Class]]="C",WORKDAY(Main[[#This Row],[Tech Start Date]],19),IF(Main[[#This Row],[Class]]="B", WORKDAY(Main[[#This Row],[Tech Start Date]],12),IF(Main[[#This Row],[Class]]="A",WORKDAY(Main[[#This Row],[Tech Start Date]],4),""))))</f>
        <v/>
      </c>
      <c r="O1104" s="104" t="str">
        <f>IF(Main[[#This Row],[Tech Start Date]]&lt;1/1/1990,"",IF(Main[[#This Row],[Class]]="C",WORKDAY(Main[[#This Row],[Tech Start Date]],23),IF(Main[[#This Row],[Class]]="B", WORKDAY(Main[[#This Row],[Tech Start Date]],15),IF(Main[[#This Row],[Class]]="A",WORKDAY(Main[[#This Row],[Tech Start Date]],5),""))))</f>
        <v/>
      </c>
      <c r="P1104" s="104" t="str">
        <f>IF(Main[[#This Row],[Tech Start Date]]&lt;1/1/1990,"",IF(Main[[#This Row],[Class]]="C",WORKDAY(Main[[#This Row],[Tech Start Date]],28),IF(Main[[#This Row],[Class]]="B", WORKDAY(Main[[#This Row],[Tech Start Date]],19),IF(Main[[#This Row],[Class]]="A",WORKDAY(Main[[#This Row],[Tech Start Date]],9),""))))</f>
        <v/>
      </c>
      <c r="Q1104" s="101">
        <v>40663</v>
      </c>
      <c r="R1104" s="101">
        <v>40663</v>
      </c>
      <c r="S1104" s="99" t="s">
        <v>11</v>
      </c>
      <c r="T1104" s="107" t="s">
        <v>4</v>
      </c>
      <c r="U1104" s="99" t="s">
        <v>14</v>
      </c>
      <c r="V1104" s="99" t="s">
        <v>1962</v>
      </c>
      <c r="W1104" s="99" t="s">
        <v>1967</v>
      </c>
    </row>
    <row r="1105" spans="1:23" ht="18.600000000000001" customHeight="1">
      <c r="A1105" s="123" t="str">
        <f>IF(priority(Main[[#This Row],[Comments]])&lt;&gt;0, priority(Main[[#This Row],[Comments]]),"")</f>
        <v/>
      </c>
      <c r="B1105" s="127" t="s">
        <v>3100</v>
      </c>
      <c r="C1105" s="99" t="s">
        <v>3101</v>
      </c>
      <c r="D1105" s="100" t="s">
        <v>3102</v>
      </c>
      <c r="E1105" s="101">
        <v>40882.451157407406</v>
      </c>
      <c r="F1105" s="101"/>
      <c r="G1105" s="102" t="str">
        <f>IF(stdProdLT(Main[[#This Row],[Comments]])=0.1,"N/A",IF(stdProdLT(Main[[#This Row],[Comments]])=0,"",stdProdLT(Main[[#This Row],[Comments]])))</f>
        <v/>
      </c>
      <c r="H1105" s="103" t="str">
        <f>IF(AND(Main[[#This Row],[In Stock Date]]&lt;&gt;"",Main[[#This Row],[Revised Due Date]]&lt;&gt;""),Main[[#This Row],[In Stock Date]]-Main[[#This Row],[Revised Due Date]],"")</f>
        <v/>
      </c>
      <c r="I1105" s="99" t="s">
        <v>4</v>
      </c>
      <c r="J1105" s="99" t="s">
        <v>4</v>
      </c>
      <c r="K1105" s="99" t="s">
        <v>4</v>
      </c>
      <c r="L1105" s="101"/>
      <c r="M1105" s="104" t="str">
        <f>IF(Main[[#This Row],[Tech Start Date]]&lt;1/1/1990,"",IF(Main[[#This Row],[Class]]="C",WORKDAY(Main[[#This Row],[Tech Start Date]],9),IF(Main[[#This Row],[Class]]="B", WORKDAY(Main[[#This Row],[Tech Start Date]],6),IF(Main[[#This Row],[Class]]="A",WORKDAY(Main[[#This Row],[Tech Start Date]],2),""))))</f>
        <v/>
      </c>
      <c r="N1105" s="104" t="str">
        <f>IF(Main[[#This Row],[Tech Start Date]]&lt;1/1/1990,"",IF(Main[[#This Row],[Class]]="C",WORKDAY(Main[[#This Row],[Tech Start Date]],19),IF(Main[[#This Row],[Class]]="B", WORKDAY(Main[[#This Row],[Tech Start Date]],12),IF(Main[[#This Row],[Class]]="A",WORKDAY(Main[[#This Row],[Tech Start Date]],4),""))))</f>
        <v/>
      </c>
      <c r="O1105" s="104" t="str">
        <f>IF(Main[[#This Row],[Tech Start Date]]&lt;1/1/1990,"",IF(Main[[#This Row],[Class]]="C",WORKDAY(Main[[#This Row],[Tech Start Date]],23),IF(Main[[#This Row],[Class]]="B", WORKDAY(Main[[#This Row],[Tech Start Date]],15),IF(Main[[#This Row],[Class]]="A",WORKDAY(Main[[#This Row],[Tech Start Date]],5),""))))</f>
        <v/>
      </c>
      <c r="P1105" s="104" t="str">
        <f>IF(Main[[#This Row],[Tech Start Date]]&lt;1/1/1990,"",IF(Main[[#This Row],[Class]]="C",WORKDAY(Main[[#This Row],[Tech Start Date]],28),IF(Main[[#This Row],[Class]]="B", WORKDAY(Main[[#This Row],[Tech Start Date]],19),IF(Main[[#This Row],[Class]]="A",WORKDAY(Main[[#This Row],[Tech Start Date]],9),""))))</f>
        <v/>
      </c>
      <c r="Q1105" s="101"/>
      <c r="R1105" s="101"/>
      <c r="S1105" s="99" t="s">
        <v>11</v>
      </c>
      <c r="T1105" s="107" t="s">
        <v>4</v>
      </c>
      <c r="U1105" s="99" t="s">
        <v>7</v>
      </c>
      <c r="V1105" s="99" t="s">
        <v>1963</v>
      </c>
      <c r="W1105" s="99" t="s">
        <v>1967</v>
      </c>
    </row>
    <row r="1106" spans="1:23" ht="18.600000000000001" customHeight="1">
      <c r="A1106" s="123" t="str">
        <f>IF(priority(Main[[#This Row],[Comments]])&lt;&gt;0, priority(Main[[#This Row],[Comments]]),"")</f>
        <v/>
      </c>
      <c r="B1106" s="127" t="s">
        <v>2639</v>
      </c>
      <c r="C1106" s="99" t="s">
        <v>4</v>
      </c>
      <c r="D1106" s="100" t="s">
        <v>2640</v>
      </c>
      <c r="E1106" s="101"/>
      <c r="F1106" s="101"/>
      <c r="G1106" s="102" t="str">
        <f>IF(stdProdLT(Main[[#This Row],[Comments]])=0.1,"N/A",IF(stdProdLT(Main[[#This Row],[Comments]])=0,"",stdProdLT(Main[[#This Row],[Comments]])))</f>
        <v/>
      </c>
      <c r="H1106" s="103" t="str">
        <f>IF(AND(Main[[#This Row],[In Stock Date]]&lt;&gt;"",Main[[#This Row],[Revised Due Date]]&lt;&gt;""),Main[[#This Row],[In Stock Date]]-Main[[#This Row],[Revised Due Date]],"")</f>
        <v/>
      </c>
      <c r="I1106" s="99" t="s">
        <v>4</v>
      </c>
      <c r="J1106" s="99" t="s">
        <v>4</v>
      </c>
      <c r="K1106" s="99" t="s">
        <v>4</v>
      </c>
      <c r="L1106" s="101"/>
      <c r="M1106" s="104" t="str">
        <f>IF(Main[[#This Row],[Tech Start Date]]&lt;1/1/1990,"",IF(Main[[#This Row],[Class]]="C",WORKDAY(Main[[#This Row],[Tech Start Date]],9),IF(Main[[#This Row],[Class]]="B", WORKDAY(Main[[#This Row],[Tech Start Date]],6),IF(Main[[#This Row],[Class]]="A",WORKDAY(Main[[#This Row],[Tech Start Date]],2),""))))</f>
        <v/>
      </c>
      <c r="N1106" s="104" t="str">
        <f>IF(Main[[#This Row],[Tech Start Date]]&lt;1/1/1990,"",IF(Main[[#This Row],[Class]]="C",WORKDAY(Main[[#This Row],[Tech Start Date]],19),IF(Main[[#This Row],[Class]]="B", WORKDAY(Main[[#This Row],[Tech Start Date]],12),IF(Main[[#This Row],[Class]]="A",WORKDAY(Main[[#This Row],[Tech Start Date]],4),""))))</f>
        <v/>
      </c>
      <c r="O1106" s="104" t="str">
        <f>IF(Main[[#This Row],[Tech Start Date]]&lt;1/1/1990,"",IF(Main[[#This Row],[Class]]="C",WORKDAY(Main[[#This Row],[Tech Start Date]],23),IF(Main[[#This Row],[Class]]="B", WORKDAY(Main[[#This Row],[Tech Start Date]],15),IF(Main[[#This Row],[Class]]="A",WORKDAY(Main[[#This Row],[Tech Start Date]],5),""))))</f>
        <v/>
      </c>
      <c r="P1106" s="104" t="str">
        <f>IF(Main[[#This Row],[Tech Start Date]]&lt;1/1/1990,"",IF(Main[[#This Row],[Class]]="C",WORKDAY(Main[[#This Row],[Tech Start Date]],28),IF(Main[[#This Row],[Class]]="B", WORKDAY(Main[[#This Row],[Tech Start Date]],19),IF(Main[[#This Row],[Class]]="A",WORKDAY(Main[[#This Row],[Tech Start Date]],9),""))))</f>
        <v/>
      </c>
      <c r="Q1106" s="101"/>
      <c r="R1106" s="101"/>
      <c r="S1106" s="99" t="s">
        <v>11</v>
      </c>
      <c r="T1106" s="107" t="s">
        <v>4</v>
      </c>
      <c r="U1106" s="99" t="s">
        <v>14</v>
      </c>
      <c r="V1106" s="99" t="s">
        <v>1963</v>
      </c>
      <c r="W1106" s="99" t="s">
        <v>4</v>
      </c>
    </row>
    <row r="1107" spans="1:23" ht="18.600000000000001" customHeight="1">
      <c r="A1107" s="123" t="str">
        <f>IF(priority(Main[[#This Row],[Comments]])&lt;&gt;0, priority(Main[[#This Row],[Comments]]),"")</f>
        <v/>
      </c>
      <c r="B1107" s="127" t="s">
        <v>2641</v>
      </c>
      <c r="C1107" s="99" t="s">
        <v>2562</v>
      </c>
      <c r="D1107" s="100" t="s">
        <v>2642</v>
      </c>
      <c r="E1107" s="101"/>
      <c r="F1107" s="101">
        <v>40969</v>
      </c>
      <c r="G1107" s="102" t="str">
        <f>IF(stdProdLT(Main[[#This Row],[Comments]])=0.1,"N/A",IF(stdProdLT(Main[[#This Row],[Comments]])=0,"",stdProdLT(Main[[#This Row],[Comments]])))</f>
        <v/>
      </c>
      <c r="H1107" s="103" t="str">
        <f>IF(AND(Main[[#This Row],[In Stock Date]]&lt;&gt;"",Main[[#This Row],[Revised Due Date]]&lt;&gt;""),Main[[#This Row],[In Stock Date]]-Main[[#This Row],[Revised Due Date]],"")</f>
        <v/>
      </c>
      <c r="I1107" s="99" t="s">
        <v>4</v>
      </c>
      <c r="J1107" s="99" t="s">
        <v>4</v>
      </c>
      <c r="K1107" s="108" t="s">
        <v>4</v>
      </c>
      <c r="L1107" s="101"/>
      <c r="M1107" s="104" t="str">
        <f>IF(Main[[#This Row],[Tech Start Date]]&lt;1/1/1990,"",IF(Main[[#This Row],[Class]]="C",WORKDAY(Main[[#This Row],[Tech Start Date]],9),IF(Main[[#This Row],[Class]]="B", WORKDAY(Main[[#This Row],[Tech Start Date]],6),IF(Main[[#This Row],[Class]]="A",WORKDAY(Main[[#This Row],[Tech Start Date]],2),""))))</f>
        <v/>
      </c>
      <c r="N1107" s="104" t="str">
        <f>IF(Main[[#This Row],[Tech Start Date]]&lt;1/1/1990,"",IF(Main[[#This Row],[Class]]="C",WORKDAY(Main[[#This Row],[Tech Start Date]],19),IF(Main[[#This Row],[Class]]="B", WORKDAY(Main[[#This Row],[Tech Start Date]],12),IF(Main[[#This Row],[Class]]="A",WORKDAY(Main[[#This Row],[Tech Start Date]],4),""))))</f>
        <v/>
      </c>
      <c r="O1107" s="104" t="str">
        <f>IF(Main[[#This Row],[Tech Start Date]]&lt;1/1/1990,"",IF(Main[[#This Row],[Class]]="C",WORKDAY(Main[[#This Row],[Tech Start Date]],23),IF(Main[[#This Row],[Class]]="B", WORKDAY(Main[[#This Row],[Tech Start Date]],15),IF(Main[[#This Row],[Class]]="A",WORKDAY(Main[[#This Row],[Tech Start Date]],5),""))))</f>
        <v/>
      </c>
      <c r="P1107" s="104" t="str">
        <f>IF(Main[[#This Row],[Tech Start Date]]&lt;1/1/1990,"",IF(Main[[#This Row],[Class]]="C",WORKDAY(Main[[#This Row],[Tech Start Date]],28),IF(Main[[#This Row],[Class]]="B", WORKDAY(Main[[#This Row],[Tech Start Date]],19),IF(Main[[#This Row],[Class]]="A",WORKDAY(Main[[#This Row],[Tech Start Date]],9),""))))</f>
        <v/>
      </c>
      <c r="Q1107" s="101"/>
      <c r="R1107" s="101"/>
      <c r="S1107" s="99" t="s">
        <v>4</v>
      </c>
      <c r="T1107" s="107" t="s">
        <v>2643</v>
      </c>
      <c r="U1107" s="99" t="s">
        <v>14</v>
      </c>
      <c r="V1107" s="99" t="s">
        <v>1965</v>
      </c>
      <c r="W1107" s="99" t="s">
        <v>4</v>
      </c>
    </row>
    <row r="1108" spans="1:23" ht="18.600000000000001" customHeight="1">
      <c r="A1108" s="123" t="str">
        <f>IF(priority(Main[[#This Row],[Comments]])&lt;&gt;0, priority(Main[[#This Row],[Comments]]),"")</f>
        <v/>
      </c>
      <c r="B1108" s="127" t="s">
        <v>2644</v>
      </c>
      <c r="C1108" s="99" t="s">
        <v>4</v>
      </c>
      <c r="D1108" s="100" t="s">
        <v>2645</v>
      </c>
      <c r="E1108" s="101">
        <v>40849.40829861111</v>
      </c>
      <c r="F1108" s="101"/>
      <c r="G1108" s="102" t="str">
        <f>IF(stdProdLT(Main[[#This Row],[Comments]])=0.1,"N/A",IF(stdProdLT(Main[[#This Row],[Comments]])=0,"",stdProdLT(Main[[#This Row],[Comments]])))</f>
        <v/>
      </c>
      <c r="H1108" s="103" t="str">
        <f>IF(AND(Main[[#This Row],[In Stock Date]]&lt;&gt;"",Main[[#This Row],[Revised Due Date]]&lt;&gt;""),Main[[#This Row],[In Stock Date]]-Main[[#This Row],[Revised Due Date]],"")</f>
        <v/>
      </c>
      <c r="I1108" s="99" t="s">
        <v>69</v>
      </c>
      <c r="J1108" s="99" t="s">
        <v>70</v>
      </c>
      <c r="K1108" s="108" t="s">
        <v>1971</v>
      </c>
      <c r="L1108" s="101"/>
      <c r="M1108" s="104" t="str">
        <f>IF(Main[[#This Row],[Tech Start Date]]&lt;1/1/1990,"",IF(Main[[#This Row],[Class]]="C",WORKDAY(Main[[#This Row],[Tech Start Date]],9),IF(Main[[#This Row],[Class]]="B", WORKDAY(Main[[#This Row],[Tech Start Date]],6),IF(Main[[#This Row],[Class]]="A",WORKDAY(Main[[#This Row],[Tech Start Date]],2),""))))</f>
        <v/>
      </c>
      <c r="N1108" s="104" t="str">
        <f>IF(Main[[#This Row],[Tech Start Date]]&lt;1/1/1990,"",IF(Main[[#This Row],[Class]]="C",WORKDAY(Main[[#This Row],[Tech Start Date]],19),IF(Main[[#This Row],[Class]]="B", WORKDAY(Main[[#This Row],[Tech Start Date]],12),IF(Main[[#This Row],[Class]]="A",WORKDAY(Main[[#This Row],[Tech Start Date]],4),""))))</f>
        <v/>
      </c>
      <c r="O1108" s="104" t="str">
        <f>IF(Main[[#This Row],[Tech Start Date]]&lt;1/1/1990,"",IF(Main[[#This Row],[Class]]="C",WORKDAY(Main[[#This Row],[Tech Start Date]],23),IF(Main[[#This Row],[Class]]="B", WORKDAY(Main[[#This Row],[Tech Start Date]],15),IF(Main[[#This Row],[Class]]="A",WORKDAY(Main[[#This Row],[Tech Start Date]],5),""))))</f>
        <v/>
      </c>
      <c r="P1108" s="104" t="str">
        <f>IF(Main[[#This Row],[Tech Start Date]]&lt;1/1/1990,"",IF(Main[[#This Row],[Class]]="C",WORKDAY(Main[[#This Row],[Tech Start Date]],28),IF(Main[[#This Row],[Class]]="B", WORKDAY(Main[[#This Row],[Tech Start Date]],19),IF(Main[[#This Row],[Class]]="A",WORKDAY(Main[[#This Row],[Tech Start Date]],9),""))))</f>
        <v/>
      </c>
      <c r="Q1108" s="101">
        <v>40856</v>
      </c>
      <c r="R1108" s="101"/>
      <c r="S1108" s="99" t="s">
        <v>6</v>
      </c>
      <c r="T1108" s="107" t="s">
        <v>4</v>
      </c>
      <c r="U1108" s="99" t="s">
        <v>29</v>
      </c>
      <c r="V1108" s="99" t="s">
        <v>1965</v>
      </c>
      <c r="W1108" s="99" t="s">
        <v>1966</v>
      </c>
    </row>
    <row r="1109" spans="1:23" ht="18.600000000000001" customHeight="1">
      <c r="A1109" s="123" t="str">
        <f>IF(priority(Main[[#This Row],[Comments]])&lt;&gt;0, priority(Main[[#This Row],[Comments]]),"")</f>
        <v/>
      </c>
      <c r="B1109" s="127" t="s">
        <v>2647</v>
      </c>
      <c r="C1109" s="99" t="s">
        <v>4</v>
      </c>
      <c r="D1109" s="100" t="s">
        <v>2648</v>
      </c>
      <c r="E1109" s="101">
        <v>40834.323900462965</v>
      </c>
      <c r="F1109" s="101"/>
      <c r="G1109" s="102" t="str">
        <f>IF(stdProdLT(Main[[#This Row],[Comments]])=0.1,"N/A",IF(stdProdLT(Main[[#This Row],[Comments]])=0,"",stdProdLT(Main[[#This Row],[Comments]])))</f>
        <v/>
      </c>
      <c r="H1109" s="103" t="str">
        <f>IF(AND(Main[[#This Row],[In Stock Date]]&lt;&gt;"",Main[[#This Row],[Revised Due Date]]&lt;&gt;""),Main[[#This Row],[In Stock Date]]-Main[[#This Row],[Revised Due Date]],"")</f>
        <v/>
      </c>
      <c r="I1109" s="99" t="s">
        <v>4</v>
      </c>
      <c r="J1109" s="99" t="s">
        <v>4</v>
      </c>
      <c r="K1109" s="99" t="s">
        <v>4</v>
      </c>
      <c r="L1109" s="101"/>
      <c r="M1109" s="104" t="str">
        <f>IF(Main[[#This Row],[Tech Start Date]]&lt;1/1/1990,"",IF(Main[[#This Row],[Class]]="C",WORKDAY(Main[[#This Row],[Tech Start Date]],9),IF(Main[[#This Row],[Class]]="B", WORKDAY(Main[[#This Row],[Tech Start Date]],6),IF(Main[[#This Row],[Class]]="A",WORKDAY(Main[[#This Row],[Tech Start Date]],2),""))))</f>
        <v/>
      </c>
      <c r="N1109" s="104" t="str">
        <f>IF(Main[[#This Row],[Tech Start Date]]&lt;1/1/1990,"",IF(Main[[#This Row],[Class]]="C",WORKDAY(Main[[#This Row],[Tech Start Date]],19),IF(Main[[#This Row],[Class]]="B", WORKDAY(Main[[#This Row],[Tech Start Date]],12),IF(Main[[#This Row],[Class]]="A",WORKDAY(Main[[#This Row],[Tech Start Date]],4),""))))</f>
        <v/>
      </c>
      <c r="O1109" s="104" t="str">
        <f>IF(Main[[#This Row],[Tech Start Date]]&lt;1/1/1990,"",IF(Main[[#This Row],[Class]]="C",WORKDAY(Main[[#This Row],[Tech Start Date]],23),IF(Main[[#This Row],[Class]]="B", WORKDAY(Main[[#This Row],[Tech Start Date]],15),IF(Main[[#This Row],[Class]]="A",WORKDAY(Main[[#This Row],[Tech Start Date]],5),""))))</f>
        <v/>
      </c>
      <c r="P1109" s="104" t="str">
        <f>IF(Main[[#This Row],[Tech Start Date]]&lt;1/1/1990,"",IF(Main[[#This Row],[Class]]="C",WORKDAY(Main[[#This Row],[Tech Start Date]],28),IF(Main[[#This Row],[Class]]="B", WORKDAY(Main[[#This Row],[Tech Start Date]],19),IF(Main[[#This Row],[Class]]="A",WORKDAY(Main[[#This Row],[Tech Start Date]],9),""))))</f>
        <v/>
      </c>
      <c r="Q1109" s="101"/>
      <c r="R1109" s="101"/>
      <c r="S1109" s="99" t="s">
        <v>6</v>
      </c>
      <c r="T1109" s="107" t="s">
        <v>4</v>
      </c>
      <c r="U1109" s="99" t="s">
        <v>7</v>
      </c>
      <c r="V1109" s="99" t="s">
        <v>1962</v>
      </c>
      <c r="W1109" s="99" t="s">
        <v>1966</v>
      </c>
    </row>
    <row r="1110" spans="1:23" ht="18.600000000000001" customHeight="1">
      <c r="A1110" s="123" t="str">
        <f>IF(priority(Main[[#This Row],[Comments]])&lt;&gt;0, priority(Main[[#This Row],[Comments]]),"")</f>
        <v/>
      </c>
      <c r="B1110" s="127" t="s">
        <v>2649</v>
      </c>
      <c r="C1110" s="99" t="s">
        <v>352</v>
      </c>
      <c r="D1110" s="100" t="s">
        <v>2428</v>
      </c>
      <c r="E1110" s="101">
        <v>40827.600601851853</v>
      </c>
      <c r="F1110" s="101"/>
      <c r="G1110" s="102" t="str">
        <f>IF(stdProdLT(Main[[#This Row],[Comments]])=0.1,"N/A",IF(stdProdLT(Main[[#This Row],[Comments]])=0,"",stdProdLT(Main[[#This Row],[Comments]])))</f>
        <v/>
      </c>
      <c r="H1110" s="103" t="str">
        <f>IF(AND(Main[[#This Row],[In Stock Date]]&lt;&gt;"",Main[[#This Row],[Revised Due Date]]&lt;&gt;""),Main[[#This Row],[In Stock Date]]-Main[[#This Row],[Revised Due Date]],"")</f>
        <v/>
      </c>
      <c r="I1110" s="99" t="s">
        <v>4</v>
      </c>
      <c r="J1110" s="99" t="s">
        <v>4</v>
      </c>
      <c r="K1110" s="99" t="s">
        <v>4</v>
      </c>
      <c r="L1110" s="101"/>
      <c r="M1110" s="104" t="str">
        <f>IF(Main[[#This Row],[Tech Start Date]]&lt;1/1/1990,"",IF(Main[[#This Row],[Class]]="C",WORKDAY(Main[[#This Row],[Tech Start Date]],9),IF(Main[[#This Row],[Class]]="B", WORKDAY(Main[[#This Row],[Tech Start Date]],6),IF(Main[[#This Row],[Class]]="A",WORKDAY(Main[[#This Row],[Tech Start Date]],2),""))))</f>
        <v/>
      </c>
      <c r="N1110" s="104" t="str">
        <f>IF(Main[[#This Row],[Tech Start Date]]&lt;1/1/1990,"",IF(Main[[#This Row],[Class]]="C",WORKDAY(Main[[#This Row],[Tech Start Date]],19),IF(Main[[#This Row],[Class]]="B", WORKDAY(Main[[#This Row],[Tech Start Date]],12),IF(Main[[#This Row],[Class]]="A",WORKDAY(Main[[#This Row],[Tech Start Date]],4),""))))</f>
        <v/>
      </c>
      <c r="O1110" s="104" t="str">
        <f>IF(Main[[#This Row],[Tech Start Date]]&lt;1/1/1990,"",IF(Main[[#This Row],[Class]]="C",WORKDAY(Main[[#This Row],[Tech Start Date]],23),IF(Main[[#This Row],[Class]]="B", WORKDAY(Main[[#This Row],[Tech Start Date]],15),IF(Main[[#This Row],[Class]]="A",WORKDAY(Main[[#This Row],[Tech Start Date]],5),""))))</f>
        <v/>
      </c>
      <c r="P1110" s="104" t="str">
        <f>IF(Main[[#This Row],[Tech Start Date]]&lt;1/1/1990,"",IF(Main[[#This Row],[Class]]="C",WORKDAY(Main[[#This Row],[Tech Start Date]],28),IF(Main[[#This Row],[Class]]="B", WORKDAY(Main[[#This Row],[Tech Start Date]],19),IF(Main[[#This Row],[Class]]="A",WORKDAY(Main[[#This Row],[Tech Start Date]],9),""))))</f>
        <v/>
      </c>
      <c r="Q1110" s="101">
        <v>40847</v>
      </c>
      <c r="R1110" s="101"/>
      <c r="S1110" s="99" t="s">
        <v>4</v>
      </c>
      <c r="T1110" s="107" t="s">
        <v>4</v>
      </c>
      <c r="U1110" s="99" t="s">
        <v>7</v>
      </c>
      <c r="V1110" s="99" t="s">
        <v>1962</v>
      </c>
      <c r="W1110" s="99" t="s">
        <v>4</v>
      </c>
    </row>
    <row r="1111" spans="1:23" ht="18.600000000000001" customHeight="1">
      <c r="A1111" s="123" t="str">
        <f>IF(priority(Main[[#This Row],[Comments]])&lt;&gt;0, priority(Main[[#This Row],[Comments]]),"")</f>
        <v/>
      </c>
      <c r="B1111" s="127" t="s">
        <v>2650</v>
      </c>
      <c r="C1111" s="99" t="s">
        <v>352</v>
      </c>
      <c r="D1111" s="100" t="s">
        <v>2651</v>
      </c>
      <c r="E1111" s="101">
        <v>40827.603530092594</v>
      </c>
      <c r="F1111" s="101"/>
      <c r="G1111" s="102" t="str">
        <f>IF(stdProdLT(Main[[#This Row],[Comments]])=0.1,"N/A",IF(stdProdLT(Main[[#This Row],[Comments]])=0,"",stdProdLT(Main[[#This Row],[Comments]])))</f>
        <v/>
      </c>
      <c r="H1111" s="103" t="str">
        <f>IF(AND(Main[[#This Row],[In Stock Date]]&lt;&gt;"",Main[[#This Row],[Revised Due Date]]&lt;&gt;""),Main[[#This Row],[In Stock Date]]-Main[[#This Row],[Revised Due Date]],"")</f>
        <v/>
      </c>
      <c r="I1111" s="99" t="s">
        <v>4</v>
      </c>
      <c r="J1111" s="99" t="s">
        <v>4</v>
      </c>
      <c r="K1111" s="99" t="s">
        <v>4</v>
      </c>
      <c r="L1111" s="101"/>
      <c r="M1111" s="104" t="str">
        <f>IF(Main[[#This Row],[Tech Start Date]]&lt;1/1/1990,"",IF(Main[[#This Row],[Class]]="C",WORKDAY(Main[[#This Row],[Tech Start Date]],9),IF(Main[[#This Row],[Class]]="B", WORKDAY(Main[[#This Row],[Tech Start Date]],6),IF(Main[[#This Row],[Class]]="A",WORKDAY(Main[[#This Row],[Tech Start Date]],2),""))))</f>
        <v/>
      </c>
      <c r="N1111" s="104" t="str">
        <f>IF(Main[[#This Row],[Tech Start Date]]&lt;1/1/1990,"",IF(Main[[#This Row],[Class]]="C",WORKDAY(Main[[#This Row],[Tech Start Date]],19),IF(Main[[#This Row],[Class]]="B", WORKDAY(Main[[#This Row],[Tech Start Date]],12),IF(Main[[#This Row],[Class]]="A",WORKDAY(Main[[#This Row],[Tech Start Date]],4),""))))</f>
        <v/>
      </c>
      <c r="O1111" s="104" t="str">
        <f>IF(Main[[#This Row],[Tech Start Date]]&lt;1/1/1990,"",IF(Main[[#This Row],[Class]]="C",WORKDAY(Main[[#This Row],[Tech Start Date]],23),IF(Main[[#This Row],[Class]]="B", WORKDAY(Main[[#This Row],[Tech Start Date]],15),IF(Main[[#This Row],[Class]]="A",WORKDAY(Main[[#This Row],[Tech Start Date]],5),""))))</f>
        <v/>
      </c>
      <c r="P1111" s="104" t="str">
        <f>IF(Main[[#This Row],[Tech Start Date]]&lt;1/1/1990,"",IF(Main[[#This Row],[Class]]="C",WORKDAY(Main[[#This Row],[Tech Start Date]],28),IF(Main[[#This Row],[Class]]="B", WORKDAY(Main[[#This Row],[Tech Start Date]],19),IF(Main[[#This Row],[Class]]="A",WORKDAY(Main[[#This Row],[Tech Start Date]],9),""))))</f>
        <v/>
      </c>
      <c r="Q1111" s="101">
        <v>40847</v>
      </c>
      <c r="R1111" s="101"/>
      <c r="S1111" s="99" t="s">
        <v>11</v>
      </c>
      <c r="T1111" s="107" t="s">
        <v>4</v>
      </c>
      <c r="U1111" s="99" t="s">
        <v>7</v>
      </c>
      <c r="V1111" s="99" t="s">
        <v>1962</v>
      </c>
      <c r="W1111" s="99" t="s">
        <v>4</v>
      </c>
    </row>
    <row r="1112" spans="1:23" ht="18.600000000000001" customHeight="1">
      <c r="A1112" s="123" t="str">
        <f>IF(priority(Main[[#This Row],[Comments]])&lt;&gt;0, priority(Main[[#This Row],[Comments]]),"")</f>
        <v/>
      </c>
      <c r="B1112" s="127" t="s">
        <v>2652</v>
      </c>
      <c r="C1112" s="99" t="s">
        <v>4</v>
      </c>
      <c r="D1112" s="100" t="s">
        <v>2653</v>
      </c>
      <c r="E1112" s="101"/>
      <c r="F1112" s="101"/>
      <c r="G1112" s="102" t="str">
        <f>IF(stdProdLT(Main[[#This Row],[Comments]])=0.1,"N/A",IF(stdProdLT(Main[[#This Row],[Comments]])=0,"",stdProdLT(Main[[#This Row],[Comments]])))</f>
        <v/>
      </c>
      <c r="H1112" s="103" t="str">
        <f>IF(AND(Main[[#This Row],[In Stock Date]]&lt;&gt;"",Main[[#This Row],[Revised Due Date]]&lt;&gt;""),Main[[#This Row],[In Stock Date]]-Main[[#This Row],[Revised Due Date]],"")</f>
        <v/>
      </c>
      <c r="I1112" s="99" t="s">
        <v>4</v>
      </c>
      <c r="J1112" s="99" t="s">
        <v>4</v>
      </c>
      <c r="K1112" s="99" t="s">
        <v>4</v>
      </c>
      <c r="L1112" s="101"/>
      <c r="M1112" s="104" t="str">
        <f>IF(Main[[#This Row],[Tech Start Date]]&lt;1/1/1990,"",IF(Main[[#This Row],[Class]]="C",WORKDAY(Main[[#This Row],[Tech Start Date]],9),IF(Main[[#This Row],[Class]]="B", WORKDAY(Main[[#This Row],[Tech Start Date]],6),IF(Main[[#This Row],[Class]]="A",WORKDAY(Main[[#This Row],[Tech Start Date]],2),""))))</f>
        <v/>
      </c>
      <c r="N1112" s="104" t="str">
        <f>IF(Main[[#This Row],[Tech Start Date]]&lt;1/1/1990,"",IF(Main[[#This Row],[Class]]="C",WORKDAY(Main[[#This Row],[Tech Start Date]],19),IF(Main[[#This Row],[Class]]="B", WORKDAY(Main[[#This Row],[Tech Start Date]],12),IF(Main[[#This Row],[Class]]="A",WORKDAY(Main[[#This Row],[Tech Start Date]],4),""))))</f>
        <v/>
      </c>
      <c r="O1112" s="104" t="str">
        <f>IF(Main[[#This Row],[Tech Start Date]]&lt;1/1/1990,"",IF(Main[[#This Row],[Class]]="C",WORKDAY(Main[[#This Row],[Tech Start Date]],23),IF(Main[[#This Row],[Class]]="B", WORKDAY(Main[[#This Row],[Tech Start Date]],15),IF(Main[[#This Row],[Class]]="A",WORKDAY(Main[[#This Row],[Tech Start Date]],5),""))))</f>
        <v/>
      </c>
      <c r="P1112" s="104" t="str">
        <f>IF(Main[[#This Row],[Tech Start Date]]&lt;1/1/1990,"",IF(Main[[#This Row],[Class]]="C",WORKDAY(Main[[#This Row],[Tech Start Date]],28),IF(Main[[#This Row],[Class]]="B", WORKDAY(Main[[#This Row],[Tech Start Date]],19),IF(Main[[#This Row],[Class]]="A",WORKDAY(Main[[#This Row],[Tech Start Date]],9),""))))</f>
        <v/>
      </c>
      <c r="Q1112" s="101"/>
      <c r="R1112" s="101"/>
      <c r="S1112" s="99" t="s">
        <v>11</v>
      </c>
      <c r="T1112" s="107" t="s">
        <v>4</v>
      </c>
      <c r="U1112" s="99" t="s">
        <v>14</v>
      </c>
      <c r="V1112" s="99" t="s">
        <v>1963</v>
      </c>
      <c r="W1112" s="99" t="s">
        <v>4</v>
      </c>
    </row>
    <row r="1113" spans="1:23" ht="18.600000000000001" customHeight="1">
      <c r="A1113" s="123" t="str">
        <f>IF(priority(Main[[#This Row],[Comments]])&lt;&gt;0, priority(Main[[#This Row],[Comments]]),"")</f>
        <v/>
      </c>
      <c r="B1113" s="127" t="s">
        <v>2637</v>
      </c>
      <c r="C1113" s="99" t="s">
        <v>47</v>
      </c>
      <c r="D1113" s="100" t="s">
        <v>2638</v>
      </c>
      <c r="E1113" s="101">
        <v>40847.703182870369</v>
      </c>
      <c r="F1113" s="101"/>
      <c r="G1113" s="102" t="str">
        <f>IF(stdProdLT(Main[[#This Row],[Comments]])=0.1,"N/A",IF(stdProdLT(Main[[#This Row],[Comments]])=0,"",stdProdLT(Main[[#This Row],[Comments]])))</f>
        <v/>
      </c>
      <c r="H1113" s="103" t="str">
        <f>IF(AND(Main[[#This Row],[In Stock Date]]&lt;&gt;"",Main[[#This Row],[Revised Due Date]]&lt;&gt;""),Main[[#This Row],[In Stock Date]]-Main[[#This Row],[Revised Due Date]],"")</f>
        <v/>
      </c>
      <c r="I1113" s="99" t="s">
        <v>69</v>
      </c>
      <c r="J1113" s="99" t="s">
        <v>28</v>
      </c>
      <c r="K1113" s="99" t="s">
        <v>1971</v>
      </c>
      <c r="L1113" s="101"/>
      <c r="M1113" s="104" t="str">
        <f>IF(Main[[#This Row],[Tech Start Date]]&lt;1/1/1990,"",IF(Main[[#This Row],[Class]]="C",WORKDAY(Main[[#This Row],[Tech Start Date]],9),IF(Main[[#This Row],[Class]]="B", WORKDAY(Main[[#This Row],[Tech Start Date]],6),IF(Main[[#This Row],[Class]]="A",WORKDAY(Main[[#This Row],[Tech Start Date]],2),""))))</f>
        <v/>
      </c>
      <c r="N1113" s="104" t="str">
        <f>IF(Main[[#This Row],[Tech Start Date]]&lt;1/1/1990,"",IF(Main[[#This Row],[Class]]="C",WORKDAY(Main[[#This Row],[Tech Start Date]],19),IF(Main[[#This Row],[Class]]="B", WORKDAY(Main[[#This Row],[Tech Start Date]],12),IF(Main[[#This Row],[Class]]="A",WORKDAY(Main[[#This Row],[Tech Start Date]],4),""))))</f>
        <v/>
      </c>
      <c r="O1113" s="104" t="str">
        <f>IF(Main[[#This Row],[Tech Start Date]]&lt;1/1/1990,"",IF(Main[[#This Row],[Class]]="C",WORKDAY(Main[[#This Row],[Tech Start Date]],23),IF(Main[[#This Row],[Class]]="B", WORKDAY(Main[[#This Row],[Tech Start Date]],15),IF(Main[[#This Row],[Class]]="A",WORKDAY(Main[[#This Row],[Tech Start Date]],5),""))))</f>
        <v/>
      </c>
      <c r="P1113" s="104" t="str">
        <f>IF(Main[[#This Row],[Tech Start Date]]&lt;1/1/1990,"",IF(Main[[#This Row],[Class]]="C",WORKDAY(Main[[#This Row],[Tech Start Date]],28),IF(Main[[#This Row],[Class]]="B", WORKDAY(Main[[#This Row],[Tech Start Date]],19),IF(Main[[#This Row],[Class]]="A",WORKDAY(Main[[#This Row],[Tech Start Date]],9),""))))</f>
        <v/>
      </c>
      <c r="Q1113" s="101">
        <v>40862</v>
      </c>
      <c r="R1113" s="101"/>
      <c r="S1113" s="99" t="s">
        <v>6</v>
      </c>
      <c r="T1113" s="107" t="s">
        <v>4</v>
      </c>
      <c r="U1113" s="99" t="s">
        <v>29</v>
      </c>
      <c r="V1113" s="99" t="s">
        <v>1965</v>
      </c>
      <c r="W1113" s="99" t="s">
        <v>1966</v>
      </c>
    </row>
    <row r="1114" spans="1:23" ht="18.600000000000001" customHeight="1">
      <c r="A1114" s="123" t="str">
        <f>IF(priority(Main[[#This Row],[Comments]])&lt;&gt;0, priority(Main[[#This Row],[Comments]]),"")</f>
        <v/>
      </c>
      <c r="B1114" s="127" t="s">
        <v>1318</v>
      </c>
      <c r="C1114" s="99" t="s">
        <v>37</v>
      </c>
      <c r="D1114" s="100" t="s">
        <v>2654</v>
      </c>
      <c r="E1114" s="101">
        <v>40767.457106481481</v>
      </c>
      <c r="F1114" s="101"/>
      <c r="G1114" s="102" t="str">
        <f>IF(stdProdLT(Main[[#This Row],[Comments]])=0.1,"N/A",IF(stdProdLT(Main[[#This Row],[Comments]])=0,"",stdProdLT(Main[[#This Row],[Comments]])))</f>
        <v/>
      </c>
      <c r="H1114" s="103" t="str">
        <f>IF(AND(Main[[#This Row],[In Stock Date]]&lt;&gt;"",Main[[#This Row],[Revised Due Date]]&lt;&gt;""),Main[[#This Row],[In Stock Date]]-Main[[#This Row],[Revised Due Date]],"")</f>
        <v/>
      </c>
      <c r="I1114" s="99" t="s">
        <v>4</v>
      </c>
      <c r="J1114" s="99" t="s">
        <v>4</v>
      </c>
      <c r="K1114" s="99" t="s">
        <v>4</v>
      </c>
      <c r="L1114" s="101"/>
      <c r="M1114" s="104" t="str">
        <f>IF(Main[[#This Row],[Tech Start Date]]&lt;1/1/1990,"",IF(Main[[#This Row],[Class]]="C",WORKDAY(Main[[#This Row],[Tech Start Date]],9),IF(Main[[#This Row],[Class]]="B", WORKDAY(Main[[#This Row],[Tech Start Date]],6),IF(Main[[#This Row],[Class]]="A",WORKDAY(Main[[#This Row],[Tech Start Date]],2),""))))</f>
        <v/>
      </c>
      <c r="N1114" s="104" t="str">
        <f>IF(Main[[#This Row],[Tech Start Date]]&lt;1/1/1990,"",IF(Main[[#This Row],[Class]]="C",WORKDAY(Main[[#This Row],[Tech Start Date]],19),IF(Main[[#This Row],[Class]]="B", WORKDAY(Main[[#This Row],[Tech Start Date]],12),IF(Main[[#This Row],[Class]]="A",WORKDAY(Main[[#This Row],[Tech Start Date]],4),""))))</f>
        <v/>
      </c>
      <c r="O1114" s="104" t="str">
        <f>IF(Main[[#This Row],[Tech Start Date]]&lt;1/1/1990,"",IF(Main[[#This Row],[Class]]="C",WORKDAY(Main[[#This Row],[Tech Start Date]],23),IF(Main[[#This Row],[Class]]="B", WORKDAY(Main[[#This Row],[Tech Start Date]],15),IF(Main[[#This Row],[Class]]="A",WORKDAY(Main[[#This Row],[Tech Start Date]],5),""))))</f>
        <v/>
      </c>
      <c r="P1114" s="104" t="str">
        <f>IF(Main[[#This Row],[Tech Start Date]]&lt;1/1/1990,"",IF(Main[[#This Row],[Class]]="C",WORKDAY(Main[[#This Row],[Tech Start Date]],28),IF(Main[[#This Row],[Class]]="B", WORKDAY(Main[[#This Row],[Tech Start Date]],19),IF(Main[[#This Row],[Class]]="A",WORKDAY(Main[[#This Row],[Tech Start Date]],9),""))))</f>
        <v/>
      </c>
      <c r="Q1114" s="101">
        <v>40715</v>
      </c>
      <c r="R1114" s="101"/>
      <c r="S1114" s="99" t="s">
        <v>6</v>
      </c>
      <c r="T1114" s="107" t="s">
        <v>4</v>
      </c>
      <c r="U1114" s="99" t="s">
        <v>7</v>
      </c>
      <c r="V1114" s="99" t="s">
        <v>1962</v>
      </c>
      <c r="W1114" s="99" t="s">
        <v>1973</v>
      </c>
    </row>
    <row r="1115" spans="1:23" ht="18.600000000000001" customHeight="1">
      <c r="A1115" s="123" t="str">
        <f>IF(priority(Main[[#This Row],[Comments]])&lt;&gt;0, priority(Main[[#This Row],[Comments]]),"")</f>
        <v/>
      </c>
      <c r="B1115" s="127" t="s">
        <v>1146</v>
      </c>
      <c r="C1115" s="99" t="s">
        <v>37</v>
      </c>
      <c r="D1115" s="100" t="s">
        <v>2655</v>
      </c>
      <c r="E1115" s="101">
        <v>40767.459861111114</v>
      </c>
      <c r="F1115" s="101"/>
      <c r="G1115" s="102" t="str">
        <f>IF(stdProdLT(Main[[#This Row],[Comments]])=0.1,"N/A",IF(stdProdLT(Main[[#This Row],[Comments]])=0,"",stdProdLT(Main[[#This Row],[Comments]])))</f>
        <v/>
      </c>
      <c r="H1115" s="103" t="str">
        <f>IF(AND(Main[[#This Row],[In Stock Date]]&lt;&gt;"",Main[[#This Row],[Revised Due Date]]&lt;&gt;""),Main[[#This Row],[In Stock Date]]-Main[[#This Row],[Revised Due Date]],"")</f>
        <v/>
      </c>
      <c r="I1115" s="99" t="s">
        <v>4</v>
      </c>
      <c r="J1115" s="99" t="s">
        <v>4</v>
      </c>
      <c r="K1115" s="99" t="s">
        <v>4</v>
      </c>
      <c r="L1115" s="101"/>
      <c r="M1115" s="104" t="str">
        <f>IF(Main[[#This Row],[Tech Start Date]]&lt;1/1/1990,"",IF(Main[[#This Row],[Class]]="C",WORKDAY(Main[[#This Row],[Tech Start Date]],9),IF(Main[[#This Row],[Class]]="B", WORKDAY(Main[[#This Row],[Tech Start Date]],6),IF(Main[[#This Row],[Class]]="A",WORKDAY(Main[[#This Row],[Tech Start Date]],2),""))))</f>
        <v/>
      </c>
      <c r="N1115" s="104" t="str">
        <f>IF(Main[[#This Row],[Tech Start Date]]&lt;1/1/1990,"",IF(Main[[#This Row],[Class]]="C",WORKDAY(Main[[#This Row],[Tech Start Date]],19),IF(Main[[#This Row],[Class]]="B", WORKDAY(Main[[#This Row],[Tech Start Date]],12),IF(Main[[#This Row],[Class]]="A",WORKDAY(Main[[#This Row],[Tech Start Date]],4),""))))</f>
        <v/>
      </c>
      <c r="O1115" s="104" t="str">
        <f>IF(Main[[#This Row],[Tech Start Date]]&lt;1/1/1990,"",IF(Main[[#This Row],[Class]]="C",WORKDAY(Main[[#This Row],[Tech Start Date]],23),IF(Main[[#This Row],[Class]]="B", WORKDAY(Main[[#This Row],[Tech Start Date]],15),IF(Main[[#This Row],[Class]]="A",WORKDAY(Main[[#This Row],[Tech Start Date]],5),""))))</f>
        <v/>
      </c>
      <c r="P1115" s="104" t="str">
        <f>IF(Main[[#This Row],[Tech Start Date]]&lt;1/1/1990,"",IF(Main[[#This Row],[Class]]="C",WORKDAY(Main[[#This Row],[Tech Start Date]],28),IF(Main[[#This Row],[Class]]="B", WORKDAY(Main[[#This Row],[Tech Start Date]],19),IF(Main[[#This Row],[Class]]="A",WORKDAY(Main[[#This Row],[Tech Start Date]],9),""))))</f>
        <v/>
      </c>
      <c r="Q1115" s="101">
        <v>40716</v>
      </c>
      <c r="R1115" s="101"/>
      <c r="S1115" s="99" t="s">
        <v>6</v>
      </c>
      <c r="T1115" s="107" t="s">
        <v>4</v>
      </c>
      <c r="U1115" s="99" t="s">
        <v>7</v>
      </c>
      <c r="V1115" s="99" t="s">
        <v>1962</v>
      </c>
      <c r="W1115" s="99" t="s">
        <v>1973</v>
      </c>
    </row>
    <row r="1116" spans="1:23" ht="18.600000000000001" customHeight="1">
      <c r="A1116" s="123" t="str">
        <f>IF(priority(Main[[#This Row],[Comments]])&lt;&gt;0, priority(Main[[#This Row],[Comments]]),"")</f>
        <v/>
      </c>
      <c r="B1116" s="127" t="s">
        <v>2658</v>
      </c>
      <c r="C1116" s="99" t="s">
        <v>4</v>
      </c>
      <c r="D1116" s="100" t="s">
        <v>2659</v>
      </c>
      <c r="E1116" s="101">
        <v>40857.542858796296</v>
      </c>
      <c r="F1116" s="101"/>
      <c r="G1116" s="102" t="str">
        <f>IF(stdProdLT(Main[[#This Row],[Comments]])=0.1,"N/A",IF(stdProdLT(Main[[#This Row],[Comments]])=0,"",stdProdLT(Main[[#This Row],[Comments]])))</f>
        <v/>
      </c>
      <c r="H1116" s="103" t="str">
        <f>IF(AND(Main[[#This Row],[In Stock Date]]&lt;&gt;"",Main[[#This Row],[Revised Due Date]]&lt;&gt;""),Main[[#This Row],[In Stock Date]]-Main[[#This Row],[Revised Due Date]],"")</f>
        <v/>
      </c>
      <c r="I1116" s="99" t="s">
        <v>4</v>
      </c>
      <c r="J1116" s="99" t="s">
        <v>4</v>
      </c>
      <c r="K1116" s="99" t="s">
        <v>4</v>
      </c>
      <c r="L1116" s="101"/>
      <c r="M1116" s="104" t="str">
        <f>IF(Main[[#This Row],[Tech Start Date]]&lt;1/1/1990,"",IF(Main[[#This Row],[Class]]="C",WORKDAY(Main[[#This Row],[Tech Start Date]],9),IF(Main[[#This Row],[Class]]="B", WORKDAY(Main[[#This Row],[Tech Start Date]],6),IF(Main[[#This Row],[Class]]="A",WORKDAY(Main[[#This Row],[Tech Start Date]],2),""))))</f>
        <v/>
      </c>
      <c r="N1116" s="104" t="str">
        <f>IF(Main[[#This Row],[Tech Start Date]]&lt;1/1/1990,"",IF(Main[[#This Row],[Class]]="C",WORKDAY(Main[[#This Row],[Tech Start Date]],19),IF(Main[[#This Row],[Class]]="B", WORKDAY(Main[[#This Row],[Tech Start Date]],12),IF(Main[[#This Row],[Class]]="A",WORKDAY(Main[[#This Row],[Tech Start Date]],4),""))))</f>
        <v/>
      </c>
      <c r="O1116" s="104" t="str">
        <f>IF(Main[[#This Row],[Tech Start Date]]&lt;1/1/1990,"",IF(Main[[#This Row],[Class]]="C",WORKDAY(Main[[#This Row],[Tech Start Date]],23),IF(Main[[#This Row],[Class]]="B", WORKDAY(Main[[#This Row],[Tech Start Date]],15),IF(Main[[#This Row],[Class]]="A",WORKDAY(Main[[#This Row],[Tech Start Date]],5),""))))</f>
        <v/>
      </c>
      <c r="P1116" s="104" t="str">
        <f>IF(Main[[#This Row],[Tech Start Date]]&lt;1/1/1990,"",IF(Main[[#This Row],[Class]]="C",WORKDAY(Main[[#This Row],[Tech Start Date]],28),IF(Main[[#This Row],[Class]]="B", WORKDAY(Main[[#This Row],[Tech Start Date]],19),IF(Main[[#This Row],[Class]]="A",WORKDAY(Main[[#This Row],[Tech Start Date]],9),""))))</f>
        <v/>
      </c>
      <c r="Q1116" s="101"/>
      <c r="R1116" s="101"/>
      <c r="S1116" s="99" t="s">
        <v>11</v>
      </c>
      <c r="T1116" s="107" t="s">
        <v>4</v>
      </c>
      <c r="U1116" s="99" t="s">
        <v>29</v>
      </c>
      <c r="V1116" s="99" t="s">
        <v>1963</v>
      </c>
      <c r="W1116" s="99" t="s">
        <v>4</v>
      </c>
    </row>
    <row r="1117" spans="1:23" ht="18.600000000000001" customHeight="1">
      <c r="A1117" s="123" t="str">
        <f>IF(priority(Main[[#This Row],[Comments]])&lt;&gt;0, priority(Main[[#This Row],[Comments]]),"")</f>
        <v/>
      </c>
      <c r="B1117" s="127" t="s">
        <v>2660</v>
      </c>
      <c r="C1117" s="99" t="s">
        <v>4</v>
      </c>
      <c r="D1117" s="100" t="s">
        <v>2661</v>
      </c>
      <c r="E1117" s="101">
        <v>40820.695763888885</v>
      </c>
      <c r="F1117" s="101"/>
      <c r="G1117" s="102" t="str">
        <f>IF(stdProdLT(Main[[#This Row],[Comments]])=0.1,"N/A",IF(stdProdLT(Main[[#This Row],[Comments]])=0,"",stdProdLT(Main[[#This Row],[Comments]])))</f>
        <v/>
      </c>
      <c r="H1117" s="103" t="str">
        <f>IF(AND(Main[[#This Row],[In Stock Date]]&lt;&gt;"",Main[[#This Row],[Revised Due Date]]&lt;&gt;""),Main[[#This Row],[In Stock Date]]-Main[[#This Row],[Revised Due Date]],"")</f>
        <v/>
      </c>
      <c r="I1117" s="99" t="s">
        <v>4</v>
      </c>
      <c r="J1117" s="99" t="s">
        <v>4</v>
      </c>
      <c r="K1117" s="99" t="s">
        <v>4</v>
      </c>
      <c r="L1117" s="101"/>
      <c r="M1117" s="104" t="str">
        <f>IF(Main[[#This Row],[Tech Start Date]]&lt;1/1/1990,"",IF(Main[[#This Row],[Class]]="C",WORKDAY(Main[[#This Row],[Tech Start Date]],9),IF(Main[[#This Row],[Class]]="B", WORKDAY(Main[[#This Row],[Tech Start Date]],6),IF(Main[[#This Row],[Class]]="A",WORKDAY(Main[[#This Row],[Tech Start Date]],2),""))))</f>
        <v/>
      </c>
      <c r="N1117" s="104" t="str">
        <f>IF(Main[[#This Row],[Tech Start Date]]&lt;1/1/1990,"",IF(Main[[#This Row],[Class]]="C",WORKDAY(Main[[#This Row],[Tech Start Date]],19),IF(Main[[#This Row],[Class]]="B", WORKDAY(Main[[#This Row],[Tech Start Date]],12),IF(Main[[#This Row],[Class]]="A",WORKDAY(Main[[#This Row],[Tech Start Date]],4),""))))</f>
        <v/>
      </c>
      <c r="O1117" s="104" t="str">
        <f>IF(Main[[#This Row],[Tech Start Date]]&lt;1/1/1990,"",IF(Main[[#This Row],[Class]]="C",WORKDAY(Main[[#This Row],[Tech Start Date]],23),IF(Main[[#This Row],[Class]]="B", WORKDAY(Main[[#This Row],[Tech Start Date]],15),IF(Main[[#This Row],[Class]]="A",WORKDAY(Main[[#This Row],[Tech Start Date]],5),""))))</f>
        <v/>
      </c>
      <c r="P1117" s="104" t="str">
        <f>IF(Main[[#This Row],[Tech Start Date]]&lt;1/1/1990,"",IF(Main[[#This Row],[Class]]="C",WORKDAY(Main[[#This Row],[Tech Start Date]],28),IF(Main[[#This Row],[Class]]="B", WORKDAY(Main[[#This Row],[Tech Start Date]],19),IF(Main[[#This Row],[Class]]="A",WORKDAY(Main[[#This Row],[Tech Start Date]],9),""))))</f>
        <v/>
      </c>
      <c r="Q1117" s="101"/>
      <c r="R1117" s="101"/>
      <c r="S1117" s="99" t="s">
        <v>6</v>
      </c>
      <c r="T1117" s="107" t="s">
        <v>4</v>
      </c>
      <c r="U1117" s="99" t="s">
        <v>29</v>
      </c>
      <c r="V1117" s="99" t="s">
        <v>1965</v>
      </c>
      <c r="W1117" s="99" t="s">
        <v>1966</v>
      </c>
    </row>
    <row r="1118" spans="1:23" ht="18.600000000000001" customHeight="1">
      <c r="A1118" s="123" t="str">
        <f>IF(priority(Main[[#This Row],[Comments]])&lt;&gt;0, priority(Main[[#This Row],[Comments]]),"")</f>
        <v/>
      </c>
      <c r="B1118" s="127" t="s">
        <v>2734</v>
      </c>
      <c r="C1118" s="99" t="s">
        <v>4</v>
      </c>
      <c r="D1118" s="100" t="s">
        <v>2735</v>
      </c>
      <c r="E1118" s="101">
        <v>40854.504016203704</v>
      </c>
      <c r="F1118" s="101"/>
      <c r="G1118" s="102" t="str">
        <f>IF(stdProdLT(Main[[#This Row],[Comments]])=0.1,"N/A",IF(stdProdLT(Main[[#This Row],[Comments]])=0,"",stdProdLT(Main[[#This Row],[Comments]])))</f>
        <v/>
      </c>
      <c r="H1118" s="103" t="str">
        <f>IF(AND(Main[[#This Row],[In Stock Date]]&lt;&gt;"",Main[[#This Row],[Revised Due Date]]&lt;&gt;""),Main[[#This Row],[In Stock Date]]-Main[[#This Row],[Revised Due Date]],"")</f>
        <v/>
      </c>
      <c r="I1118" s="99" t="s">
        <v>74</v>
      </c>
      <c r="J1118" s="99" t="s">
        <v>21</v>
      </c>
      <c r="K1118" s="99" t="s">
        <v>1971</v>
      </c>
      <c r="L1118" s="101"/>
      <c r="M1118" s="104" t="str">
        <f>IF(Main[[#This Row],[Tech Start Date]]&lt;1/1/1990,"",IF(Main[[#This Row],[Class]]="C",WORKDAY(Main[[#This Row],[Tech Start Date]],9),IF(Main[[#This Row],[Class]]="B", WORKDAY(Main[[#This Row],[Tech Start Date]],6),IF(Main[[#This Row],[Class]]="A",WORKDAY(Main[[#This Row],[Tech Start Date]],2),""))))</f>
        <v/>
      </c>
      <c r="N1118" s="104" t="str">
        <f>IF(Main[[#This Row],[Tech Start Date]]&lt;1/1/1990,"",IF(Main[[#This Row],[Class]]="C",WORKDAY(Main[[#This Row],[Tech Start Date]],19),IF(Main[[#This Row],[Class]]="B", WORKDAY(Main[[#This Row],[Tech Start Date]],12),IF(Main[[#This Row],[Class]]="A",WORKDAY(Main[[#This Row],[Tech Start Date]],4),""))))</f>
        <v/>
      </c>
      <c r="O1118" s="104" t="str">
        <f>IF(Main[[#This Row],[Tech Start Date]]&lt;1/1/1990,"",IF(Main[[#This Row],[Class]]="C",WORKDAY(Main[[#This Row],[Tech Start Date]],23),IF(Main[[#This Row],[Class]]="B", WORKDAY(Main[[#This Row],[Tech Start Date]],15),IF(Main[[#This Row],[Class]]="A",WORKDAY(Main[[#This Row],[Tech Start Date]],5),""))))</f>
        <v/>
      </c>
      <c r="P1118" s="104" t="str">
        <f>IF(Main[[#This Row],[Tech Start Date]]&lt;1/1/1990,"",IF(Main[[#This Row],[Class]]="C",WORKDAY(Main[[#This Row],[Tech Start Date]],28),IF(Main[[#This Row],[Class]]="B", WORKDAY(Main[[#This Row],[Tech Start Date]],19),IF(Main[[#This Row],[Class]]="A",WORKDAY(Main[[#This Row],[Tech Start Date]],9),""))))</f>
        <v/>
      </c>
      <c r="Q1118" s="101">
        <v>40877</v>
      </c>
      <c r="R1118" s="101"/>
      <c r="S1118" s="99" t="s">
        <v>6</v>
      </c>
      <c r="T1118" s="107" t="s">
        <v>4</v>
      </c>
      <c r="U1118" s="99" t="s">
        <v>29</v>
      </c>
      <c r="V1118" s="99" t="s">
        <v>1965</v>
      </c>
      <c r="W1118" s="99" t="s">
        <v>1966</v>
      </c>
    </row>
    <row r="1119" spans="1:23" ht="18.600000000000001" customHeight="1">
      <c r="A1119" s="123" t="str">
        <f>IF(priority(Main[[#This Row],[Comments]])&lt;&gt;0, priority(Main[[#This Row],[Comments]]),"")</f>
        <v/>
      </c>
      <c r="B1119" s="127" t="s">
        <v>2667</v>
      </c>
      <c r="C1119" s="99" t="s">
        <v>4</v>
      </c>
      <c r="D1119" s="100" t="s">
        <v>2668</v>
      </c>
      <c r="E1119" s="101">
        <v>40855.647002314814</v>
      </c>
      <c r="F1119" s="101"/>
      <c r="G1119" s="102" t="str">
        <f>IF(stdProdLT(Main[[#This Row],[Comments]])=0.1,"N/A",IF(stdProdLT(Main[[#This Row],[Comments]])=0,"",stdProdLT(Main[[#This Row],[Comments]])))</f>
        <v/>
      </c>
      <c r="H1119" s="103" t="str">
        <f>IF(AND(Main[[#This Row],[In Stock Date]]&lt;&gt;"",Main[[#This Row],[Revised Due Date]]&lt;&gt;""),Main[[#This Row],[In Stock Date]]-Main[[#This Row],[Revised Due Date]],"")</f>
        <v/>
      </c>
      <c r="I1119" s="99" t="s">
        <v>4</v>
      </c>
      <c r="J1119" s="99" t="s">
        <v>4</v>
      </c>
      <c r="K1119" s="99" t="s">
        <v>4</v>
      </c>
      <c r="L1119" s="101"/>
      <c r="M1119" s="104" t="str">
        <f>IF(Main[[#This Row],[Tech Start Date]]&lt;1/1/1990,"",IF(Main[[#This Row],[Class]]="C",WORKDAY(Main[[#This Row],[Tech Start Date]],9),IF(Main[[#This Row],[Class]]="B", WORKDAY(Main[[#This Row],[Tech Start Date]],6),IF(Main[[#This Row],[Class]]="A",WORKDAY(Main[[#This Row],[Tech Start Date]],2),""))))</f>
        <v/>
      </c>
      <c r="N1119" s="104" t="str">
        <f>IF(Main[[#This Row],[Tech Start Date]]&lt;1/1/1990,"",IF(Main[[#This Row],[Class]]="C",WORKDAY(Main[[#This Row],[Tech Start Date]],19),IF(Main[[#This Row],[Class]]="B", WORKDAY(Main[[#This Row],[Tech Start Date]],12),IF(Main[[#This Row],[Class]]="A",WORKDAY(Main[[#This Row],[Tech Start Date]],4),""))))</f>
        <v/>
      </c>
      <c r="O1119" s="104" t="str">
        <f>IF(Main[[#This Row],[Tech Start Date]]&lt;1/1/1990,"",IF(Main[[#This Row],[Class]]="C",WORKDAY(Main[[#This Row],[Tech Start Date]],23),IF(Main[[#This Row],[Class]]="B", WORKDAY(Main[[#This Row],[Tech Start Date]],15),IF(Main[[#This Row],[Class]]="A",WORKDAY(Main[[#This Row],[Tech Start Date]],5),""))))</f>
        <v/>
      </c>
      <c r="P1119" s="104" t="str">
        <f>IF(Main[[#This Row],[Tech Start Date]]&lt;1/1/1990,"",IF(Main[[#This Row],[Class]]="C",WORKDAY(Main[[#This Row],[Tech Start Date]],28),IF(Main[[#This Row],[Class]]="B", WORKDAY(Main[[#This Row],[Tech Start Date]],19),IF(Main[[#This Row],[Class]]="A",WORKDAY(Main[[#This Row],[Tech Start Date]],9),""))))</f>
        <v/>
      </c>
      <c r="Q1119" s="101">
        <v>40892</v>
      </c>
      <c r="R1119" s="101"/>
      <c r="S1119" s="99" t="s">
        <v>6</v>
      </c>
      <c r="T1119" s="107" t="s">
        <v>4</v>
      </c>
      <c r="U1119" s="99" t="s">
        <v>7</v>
      </c>
      <c r="V1119" s="99" t="s">
        <v>1962</v>
      </c>
      <c r="W1119" s="99" t="s">
        <v>1970</v>
      </c>
    </row>
    <row r="1120" spans="1:23" ht="18.600000000000001" customHeight="1">
      <c r="A1120" s="123" t="str">
        <f>IF(priority(Main[[#This Row],[Comments]])&lt;&gt;0, priority(Main[[#This Row],[Comments]]),"")</f>
        <v/>
      </c>
      <c r="B1120" s="127" t="s">
        <v>2671</v>
      </c>
      <c r="C1120" s="99" t="s">
        <v>47</v>
      </c>
      <c r="D1120" s="100" t="s">
        <v>2672</v>
      </c>
      <c r="E1120" s="101">
        <v>40865.812858796293</v>
      </c>
      <c r="F1120" s="101"/>
      <c r="G1120" s="102" t="str">
        <f>IF(stdProdLT(Main[[#This Row],[Comments]])=0.1,"N/A",IF(stdProdLT(Main[[#This Row],[Comments]])=0,"",stdProdLT(Main[[#This Row],[Comments]])))</f>
        <v/>
      </c>
      <c r="H1120" s="103" t="str">
        <f>IF(AND(Main[[#This Row],[In Stock Date]]&lt;&gt;"",Main[[#This Row],[Revised Due Date]]&lt;&gt;""),Main[[#This Row],[In Stock Date]]-Main[[#This Row],[Revised Due Date]],"")</f>
        <v/>
      </c>
      <c r="I1120" s="99" t="s">
        <v>4</v>
      </c>
      <c r="J1120" s="99" t="s">
        <v>4</v>
      </c>
      <c r="K1120" s="99" t="s">
        <v>4</v>
      </c>
      <c r="L1120" s="101"/>
      <c r="M1120" s="104" t="str">
        <f>IF(Main[[#This Row],[Tech Start Date]]&lt;1/1/1990,"",IF(Main[[#This Row],[Class]]="C",WORKDAY(Main[[#This Row],[Tech Start Date]],9),IF(Main[[#This Row],[Class]]="B", WORKDAY(Main[[#This Row],[Tech Start Date]],6),IF(Main[[#This Row],[Class]]="A",WORKDAY(Main[[#This Row],[Tech Start Date]],2),""))))</f>
        <v/>
      </c>
      <c r="N1120" s="104" t="str">
        <f>IF(Main[[#This Row],[Tech Start Date]]&lt;1/1/1990,"",IF(Main[[#This Row],[Class]]="C",WORKDAY(Main[[#This Row],[Tech Start Date]],19),IF(Main[[#This Row],[Class]]="B", WORKDAY(Main[[#This Row],[Tech Start Date]],12),IF(Main[[#This Row],[Class]]="A",WORKDAY(Main[[#This Row],[Tech Start Date]],4),""))))</f>
        <v/>
      </c>
      <c r="O1120" s="104" t="str">
        <f>IF(Main[[#This Row],[Tech Start Date]]&lt;1/1/1990,"",IF(Main[[#This Row],[Class]]="C",WORKDAY(Main[[#This Row],[Tech Start Date]],23),IF(Main[[#This Row],[Class]]="B", WORKDAY(Main[[#This Row],[Tech Start Date]],15),IF(Main[[#This Row],[Class]]="A",WORKDAY(Main[[#This Row],[Tech Start Date]],5),""))))</f>
        <v/>
      </c>
      <c r="P1120" s="104" t="str">
        <f>IF(Main[[#This Row],[Tech Start Date]]&lt;1/1/1990,"",IF(Main[[#This Row],[Class]]="C",WORKDAY(Main[[#This Row],[Tech Start Date]],28),IF(Main[[#This Row],[Class]]="B", WORKDAY(Main[[#This Row],[Tech Start Date]],19),IF(Main[[#This Row],[Class]]="A",WORKDAY(Main[[#This Row],[Tech Start Date]],9),""))))</f>
        <v/>
      </c>
      <c r="Q1120" s="101">
        <v>40906</v>
      </c>
      <c r="R1120" s="101"/>
      <c r="S1120" s="99" t="s">
        <v>6</v>
      </c>
      <c r="T1120" s="107" t="s">
        <v>4</v>
      </c>
      <c r="U1120" s="99" t="s">
        <v>29</v>
      </c>
      <c r="V1120" s="99" t="s">
        <v>2362</v>
      </c>
      <c r="W1120" s="99" t="s">
        <v>4</v>
      </c>
    </row>
    <row r="1121" spans="1:23" ht="18.600000000000001" customHeight="1">
      <c r="A1121" s="123" t="str">
        <f>IF(priority(Main[[#This Row],[Comments]])&lt;&gt;0, priority(Main[[#This Row],[Comments]]),"")</f>
        <v/>
      </c>
      <c r="B1121" s="127" t="s">
        <v>2464</v>
      </c>
      <c r="C1121" s="99" t="s">
        <v>4</v>
      </c>
      <c r="D1121" s="100" t="s">
        <v>2465</v>
      </c>
      <c r="E1121" s="101">
        <v>40854.718263888892</v>
      </c>
      <c r="F1121" s="101"/>
      <c r="G1121" s="102" t="str">
        <f>IF(stdProdLT(Main[[#This Row],[Comments]])=0.1,"N/A",IF(stdProdLT(Main[[#This Row],[Comments]])=0,"",stdProdLT(Main[[#This Row],[Comments]])))</f>
        <v/>
      </c>
      <c r="H1121" s="103" t="str">
        <f>IF(AND(Main[[#This Row],[In Stock Date]]&lt;&gt;"",Main[[#This Row],[Revised Due Date]]&lt;&gt;""),Main[[#This Row],[In Stock Date]]-Main[[#This Row],[Revised Due Date]],"")</f>
        <v/>
      </c>
      <c r="I1121" s="99" t="s">
        <v>4</v>
      </c>
      <c r="J1121" s="99" t="s">
        <v>4</v>
      </c>
      <c r="K1121" s="99" t="s">
        <v>4</v>
      </c>
      <c r="L1121" s="101"/>
      <c r="M1121" s="104" t="str">
        <f>IF(Main[[#This Row],[Tech Start Date]]&lt;1/1/1990,"",IF(Main[[#This Row],[Class]]="C",WORKDAY(Main[[#This Row],[Tech Start Date]],9),IF(Main[[#This Row],[Class]]="B", WORKDAY(Main[[#This Row],[Tech Start Date]],6),IF(Main[[#This Row],[Class]]="A",WORKDAY(Main[[#This Row],[Tech Start Date]],2),""))))</f>
        <v/>
      </c>
      <c r="N1121" s="104" t="str">
        <f>IF(Main[[#This Row],[Tech Start Date]]&lt;1/1/1990,"",IF(Main[[#This Row],[Class]]="C",WORKDAY(Main[[#This Row],[Tech Start Date]],19),IF(Main[[#This Row],[Class]]="B", WORKDAY(Main[[#This Row],[Tech Start Date]],12),IF(Main[[#This Row],[Class]]="A",WORKDAY(Main[[#This Row],[Tech Start Date]],4),""))))</f>
        <v/>
      </c>
      <c r="O1121" s="104" t="str">
        <f>IF(Main[[#This Row],[Tech Start Date]]&lt;1/1/1990,"",IF(Main[[#This Row],[Class]]="C",WORKDAY(Main[[#This Row],[Tech Start Date]],23),IF(Main[[#This Row],[Class]]="B", WORKDAY(Main[[#This Row],[Tech Start Date]],15),IF(Main[[#This Row],[Class]]="A",WORKDAY(Main[[#This Row],[Tech Start Date]],5),""))))</f>
        <v/>
      </c>
      <c r="P1121" s="104" t="str">
        <f>IF(Main[[#This Row],[Tech Start Date]]&lt;1/1/1990,"",IF(Main[[#This Row],[Class]]="C",WORKDAY(Main[[#This Row],[Tech Start Date]],28),IF(Main[[#This Row],[Class]]="B", WORKDAY(Main[[#This Row],[Tech Start Date]],19),IF(Main[[#This Row],[Class]]="A",WORKDAY(Main[[#This Row],[Tech Start Date]],9),""))))</f>
        <v/>
      </c>
      <c r="Q1121" s="101">
        <v>40884</v>
      </c>
      <c r="R1121" s="101"/>
      <c r="S1121" s="99" t="s">
        <v>6</v>
      </c>
      <c r="T1121" s="107" t="s">
        <v>4</v>
      </c>
      <c r="U1121" s="99" t="s">
        <v>7</v>
      </c>
      <c r="V1121" s="99" t="s">
        <v>2362</v>
      </c>
      <c r="W1121" s="99" t="s">
        <v>4</v>
      </c>
    </row>
    <row r="1122" spans="1:23" ht="18.600000000000001" customHeight="1">
      <c r="A1122" s="123" t="str">
        <f>IF(priority(Main[[#This Row],[Comments]])&lt;&gt;0, priority(Main[[#This Row],[Comments]]),"")</f>
        <v/>
      </c>
      <c r="B1122" s="127" t="s">
        <v>2677</v>
      </c>
      <c r="C1122" s="99" t="s">
        <v>4</v>
      </c>
      <c r="D1122" s="100" t="s">
        <v>2678</v>
      </c>
      <c r="E1122" s="101"/>
      <c r="F1122" s="101"/>
      <c r="G1122" s="102" t="str">
        <f>IF(stdProdLT(Main[[#This Row],[Comments]])=0.1,"N/A",IF(stdProdLT(Main[[#This Row],[Comments]])=0,"",stdProdLT(Main[[#This Row],[Comments]])))</f>
        <v/>
      </c>
      <c r="H1122" s="103" t="str">
        <f>IF(AND(Main[[#This Row],[In Stock Date]]&lt;&gt;"",Main[[#This Row],[Revised Due Date]]&lt;&gt;""),Main[[#This Row],[In Stock Date]]-Main[[#This Row],[Revised Due Date]],"")</f>
        <v/>
      </c>
      <c r="I1122" s="99" t="s">
        <v>4</v>
      </c>
      <c r="J1122" s="99" t="s">
        <v>4</v>
      </c>
      <c r="K1122" s="99" t="s">
        <v>4</v>
      </c>
      <c r="L1122" s="101"/>
      <c r="M1122" s="104" t="str">
        <f>IF(Main[[#This Row],[Tech Start Date]]&lt;1/1/1990,"",IF(Main[[#This Row],[Class]]="C",WORKDAY(Main[[#This Row],[Tech Start Date]],9),IF(Main[[#This Row],[Class]]="B", WORKDAY(Main[[#This Row],[Tech Start Date]],6),IF(Main[[#This Row],[Class]]="A",WORKDAY(Main[[#This Row],[Tech Start Date]],2),""))))</f>
        <v/>
      </c>
      <c r="N1122" s="104" t="str">
        <f>IF(Main[[#This Row],[Tech Start Date]]&lt;1/1/1990,"",IF(Main[[#This Row],[Class]]="C",WORKDAY(Main[[#This Row],[Tech Start Date]],19),IF(Main[[#This Row],[Class]]="B", WORKDAY(Main[[#This Row],[Tech Start Date]],12),IF(Main[[#This Row],[Class]]="A",WORKDAY(Main[[#This Row],[Tech Start Date]],4),""))))</f>
        <v/>
      </c>
      <c r="O1122" s="104" t="str">
        <f>IF(Main[[#This Row],[Tech Start Date]]&lt;1/1/1990,"",IF(Main[[#This Row],[Class]]="C",WORKDAY(Main[[#This Row],[Tech Start Date]],23),IF(Main[[#This Row],[Class]]="B", WORKDAY(Main[[#This Row],[Tech Start Date]],15),IF(Main[[#This Row],[Class]]="A",WORKDAY(Main[[#This Row],[Tech Start Date]],5),""))))</f>
        <v/>
      </c>
      <c r="P1122" s="104" t="str">
        <f>IF(Main[[#This Row],[Tech Start Date]]&lt;1/1/1990,"",IF(Main[[#This Row],[Class]]="C",WORKDAY(Main[[#This Row],[Tech Start Date]],28),IF(Main[[#This Row],[Class]]="B", WORKDAY(Main[[#This Row],[Tech Start Date]],19),IF(Main[[#This Row],[Class]]="A",WORKDAY(Main[[#This Row],[Tech Start Date]],9),""))))</f>
        <v/>
      </c>
      <c r="Q1122" s="101"/>
      <c r="R1122" s="101"/>
      <c r="S1122" s="99" t="s">
        <v>11</v>
      </c>
      <c r="T1122" s="107" t="s">
        <v>4</v>
      </c>
      <c r="U1122" s="99" t="s">
        <v>14</v>
      </c>
      <c r="V1122" s="99" t="s">
        <v>1962</v>
      </c>
      <c r="W1122" s="99" t="s">
        <v>1970</v>
      </c>
    </row>
    <row r="1123" spans="1:23" ht="18.600000000000001" customHeight="1">
      <c r="A1123" s="123" t="str">
        <f>IF(priority(Main[[#This Row],[Comments]])&lt;&gt;0, priority(Main[[#This Row],[Comments]]),"")</f>
        <v/>
      </c>
      <c r="B1123" s="127" t="s">
        <v>1891</v>
      </c>
      <c r="C1123" s="99" t="s">
        <v>4</v>
      </c>
      <c r="D1123" s="100" t="s">
        <v>921</v>
      </c>
      <c r="E1123" s="101">
        <v>39968.569513888891</v>
      </c>
      <c r="F1123" s="101">
        <v>40298</v>
      </c>
      <c r="G1123" s="102" t="str">
        <f>IF(stdProdLT(Main[[#This Row],[Comments]])=0.1,"N/A",IF(stdProdLT(Main[[#This Row],[Comments]])=0,"",stdProdLT(Main[[#This Row],[Comments]])))</f>
        <v/>
      </c>
      <c r="H1123" s="103">
        <f>IF(AND(Main[[#This Row],[In Stock Date]]&lt;&gt;"",Main[[#This Row],[Revised Due Date]]&lt;&gt;""),Main[[#This Row],[In Stock Date]]-Main[[#This Row],[Revised Due Date]],"")</f>
        <v>-704</v>
      </c>
      <c r="I1123" s="99" t="s">
        <v>997</v>
      </c>
      <c r="J1123" s="99" t="s">
        <v>4</v>
      </c>
      <c r="K1123" s="99" t="s">
        <v>1974</v>
      </c>
      <c r="L1123" s="101"/>
      <c r="M1123" s="104" t="str">
        <f>IF(Main[[#This Row],[Tech Start Date]]&lt;1/1/1990,"",IF(Main[[#This Row],[Class]]="C",WORKDAY(Main[[#This Row],[Tech Start Date]],9),IF(Main[[#This Row],[Class]]="B", WORKDAY(Main[[#This Row],[Tech Start Date]],6),IF(Main[[#This Row],[Class]]="A",WORKDAY(Main[[#This Row],[Tech Start Date]],2),""))))</f>
        <v/>
      </c>
      <c r="N1123" s="104" t="str">
        <f>IF(Main[[#This Row],[Tech Start Date]]&lt;1/1/1990,"",IF(Main[[#This Row],[Class]]="C",WORKDAY(Main[[#This Row],[Tech Start Date]],19),IF(Main[[#This Row],[Class]]="B", WORKDAY(Main[[#This Row],[Tech Start Date]],12),IF(Main[[#This Row],[Class]]="A",WORKDAY(Main[[#This Row],[Tech Start Date]],4),""))))</f>
        <v/>
      </c>
      <c r="O1123" s="104" t="str">
        <f>IF(Main[[#This Row],[Tech Start Date]]&lt;1/1/1990,"",IF(Main[[#This Row],[Class]]="C",WORKDAY(Main[[#This Row],[Tech Start Date]],23),IF(Main[[#This Row],[Class]]="B", WORKDAY(Main[[#This Row],[Tech Start Date]],15),IF(Main[[#This Row],[Class]]="A",WORKDAY(Main[[#This Row],[Tech Start Date]],5),""))))</f>
        <v/>
      </c>
      <c r="P1123" s="104" t="str">
        <f>IF(Main[[#This Row],[Tech Start Date]]&lt;1/1/1990,"",IF(Main[[#This Row],[Class]]="C",WORKDAY(Main[[#This Row],[Tech Start Date]],28),IF(Main[[#This Row],[Class]]="B", WORKDAY(Main[[#This Row],[Tech Start Date]],19),IF(Main[[#This Row],[Class]]="A",WORKDAY(Main[[#This Row],[Tech Start Date]],9),""))))</f>
        <v/>
      </c>
      <c r="Q1123" s="101">
        <v>40165</v>
      </c>
      <c r="R1123" s="101">
        <v>41002</v>
      </c>
      <c r="S1123" s="99" t="s">
        <v>17</v>
      </c>
      <c r="T1123" s="107" t="s">
        <v>4</v>
      </c>
      <c r="U1123" s="99" t="s">
        <v>29</v>
      </c>
      <c r="V1123" s="99" t="s">
        <v>1965</v>
      </c>
      <c r="W1123" s="99" t="s">
        <v>1967</v>
      </c>
    </row>
    <row r="1124" spans="1:23" ht="18.600000000000001" customHeight="1">
      <c r="A1124" s="123" t="str">
        <f>IF(priority(Main[[#This Row],[Comments]])&lt;&gt;0, priority(Main[[#This Row],[Comments]]),"")</f>
        <v/>
      </c>
      <c r="B1124" s="127" t="s">
        <v>2684</v>
      </c>
      <c r="C1124" s="99" t="s">
        <v>4</v>
      </c>
      <c r="D1124" s="100" t="s">
        <v>2685</v>
      </c>
      <c r="E1124" s="101"/>
      <c r="F1124" s="101"/>
      <c r="G1124" s="102" t="str">
        <f>IF(stdProdLT(Main[[#This Row],[Comments]])=0.1,"N/A",IF(stdProdLT(Main[[#This Row],[Comments]])=0,"",stdProdLT(Main[[#This Row],[Comments]])))</f>
        <v/>
      </c>
      <c r="H1124" s="103" t="str">
        <f>IF(AND(Main[[#This Row],[In Stock Date]]&lt;&gt;"",Main[[#This Row],[Revised Due Date]]&lt;&gt;""),Main[[#This Row],[In Stock Date]]-Main[[#This Row],[Revised Due Date]],"")</f>
        <v/>
      </c>
      <c r="I1124" s="99" t="s">
        <v>4</v>
      </c>
      <c r="J1124" s="99" t="s">
        <v>4</v>
      </c>
      <c r="K1124" s="99" t="s">
        <v>4</v>
      </c>
      <c r="L1124" s="101"/>
      <c r="M1124" s="104" t="str">
        <f>IF(Main[[#This Row],[Tech Start Date]]&lt;1/1/1990,"",IF(Main[[#This Row],[Class]]="C",WORKDAY(Main[[#This Row],[Tech Start Date]],9),IF(Main[[#This Row],[Class]]="B", WORKDAY(Main[[#This Row],[Tech Start Date]],6),IF(Main[[#This Row],[Class]]="A",WORKDAY(Main[[#This Row],[Tech Start Date]],2),""))))</f>
        <v/>
      </c>
      <c r="N1124" s="104" t="str">
        <f>IF(Main[[#This Row],[Tech Start Date]]&lt;1/1/1990,"",IF(Main[[#This Row],[Class]]="C",WORKDAY(Main[[#This Row],[Tech Start Date]],19),IF(Main[[#This Row],[Class]]="B", WORKDAY(Main[[#This Row],[Tech Start Date]],12),IF(Main[[#This Row],[Class]]="A",WORKDAY(Main[[#This Row],[Tech Start Date]],4),""))))</f>
        <v/>
      </c>
      <c r="O1124" s="104" t="str">
        <f>IF(Main[[#This Row],[Tech Start Date]]&lt;1/1/1990,"",IF(Main[[#This Row],[Class]]="C",WORKDAY(Main[[#This Row],[Tech Start Date]],23),IF(Main[[#This Row],[Class]]="B", WORKDAY(Main[[#This Row],[Tech Start Date]],15),IF(Main[[#This Row],[Class]]="A",WORKDAY(Main[[#This Row],[Tech Start Date]],5),""))))</f>
        <v/>
      </c>
      <c r="P1124" s="104" t="str">
        <f>IF(Main[[#This Row],[Tech Start Date]]&lt;1/1/1990,"",IF(Main[[#This Row],[Class]]="C",WORKDAY(Main[[#This Row],[Tech Start Date]],28),IF(Main[[#This Row],[Class]]="B", WORKDAY(Main[[#This Row],[Tech Start Date]],19),IF(Main[[#This Row],[Class]]="A",WORKDAY(Main[[#This Row],[Tech Start Date]],9),""))))</f>
        <v/>
      </c>
      <c r="Q1124" s="101">
        <v>40837</v>
      </c>
      <c r="R1124" s="101"/>
      <c r="S1124" s="99" t="s">
        <v>11</v>
      </c>
      <c r="T1124" s="107" t="s">
        <v>4</v>
      </c>
      <c r="U1124" s="99" t="s">
        <v>14</v>
      </c>
      <c r="V1124" s="99" t="s">
        <v>1963</v>
      </c>
      <c r="W1124" s="99" t="s">
        <v>1970</v>
      </c>
    </row>
    <row r="1125" spans="1:23" ht="18.600000000000001" customHeight="1">
      <c r="A1125" s="123" t="str">
        <f>IF(priority(Main[[#This Row],[Comments]])&lt;&gt;0, priority(Main[[#This Row],[Comments]]),"")</f>
        <v/>
      </c>
      <c r="B1125" s="127" t="s">
        <v>1417</v>
      </c>
      <c r="C1125" s="99" t="s">
        <v>4</v>
      </c>
      <c r="D1125" s="100" t="s">
        <v>2067</v>
      </c>
      <c r="E1125" s="101"/>
      <c r="F1125" s="101"/>
      <c r="G1125" s="102" t="str">
        <f>IF(stdProdLT(Main[[#This Row],[Comments]])=0.1,"N/A",IF(stdProdLT(Main[[#This Row],[Comments]])=0,"",stdProdLT(Main[[#This Row],[Comments]])))</f>
        <v/>
      </c>
      <c r="H1125" s="103" t="str">
        <f>IF(AND(Main[[#This Row],[In Stock Date]]&lt;&gt;"",Main[[#This Row],[Revised Due Date]]&lt;&gt;""),Main[[#This Row],[In Stock Date]]-Main[[#This Row],[Revised Due Date]],"")</f>
        <v/>
      </c>
      <c r="I1125" s="99" t="s">
        <v>4</v>
      </c>
      <c r="J1125" s="99" t="s">
        <v>4</v>
      </c>
      <c r="K1125" s="99" t="s">
        <v>4</v>
      </c>
      <c r="L1125" s="101"/>
      <c r="M1125" s="104" t="str">
        <f>IF(Main[[#This Row],[Tech Start Date]]&lt;1/1/1990,"",IF(Main[[#This Row],[Class]]="C",WORKDAY(Main[[#This Row],[Tech Start Date]],9),IF(Main[[#This Row],[Class]]="B", WORKDAY(Main[[#This Row],[Tech Start Date]],6),IF(Main[[#This Row],[Class]]="A",WORKDAY(Main[[#This Row],[Tech Start Date]],2),""))))</f>
        <v/>
      </c>
      <c r="N1125" s="104" t="str">
        <f>IF(Main[[#This Row],[Tech Start Date]]&lt;1/1/1990,"",IF(Main[[#This Row],[Class]]="C",WORKDAY(Main[[#This Row],[Tech Start Date]],19),IF(Main[[#This Row],[Class]]="B", WORKDAY(Main[[#This Row],[Tech Start Date]],12),IF(Main[[#This Row],[Class]]="A",WORKDAY(Main[[#This Row],[Tech Start Date]],4),""))))</f>
        <v/>
      </c>
      <c r="O1125" s="104" t="str">
        <f>IF(Main[[#This Row],[Tech Start Date]]&lt;1/1/1990,"",IF(Main[[#This Row],[Class]]="C",WORKDAY(Main[[#This Row],[Tech Start Date]],23),IF(Main[[#This Row],[Class]]="B", WORKDAY(Main[[#This Row],[Tech Start Date]],15),IF(Main[[#This Row],[Class]]="A",WORKDAY(Main[[#This Row],[Tech Start Date]],5),""))))</f>
        <v/>
      </c>
      <c r="P1125" s="104" t="str">
        <f>IF(Main[[#This Row],[Tech Start Date]]&lt;1/1/1990,"",IF(Main[[#This Row],[Class]]="C",WORKDAY(Main[[#This Row],[Tech Start Date]],28),IF(Main[[#This Row],[Class]]="B", WORKDAY(Main[[#This Row],[Tech Start Date]],19),IF(Main[[#This Row],[Class]]="A",WORKDAY(Main[[#This Row],[Tech Start Date]],9),""))))</f>
        <v/>
      </c>
      <c r="Q1125" s="101">
        <v>40310</v>
      </c>
      <c r="R1125" s="101"/>
      <c r="S1125" s="99" t="s">
        <v>6</v>
      </c>
      <c r="T1125" s="107" t="s">
        <v>4</v>
      </c>
      <c r="U1125" s="99" t="s">
        <v>14</v>
      </c>
      <c r="V1125" s="99" t="s">
        <v>1962</v>
      </c>
      <c r="W1125" s="99" t="s">
        <v>1967</v>
      </c>
    </row>
    <row r="1126" spans="1:23" ht="18.600000000000001" customHeight="1">
      <c r="A1126" s="123" t="str">
        <f>IF(priority(Main[[#This Row],[Comments]])&lt;&gt;0, priority(Main[[#This Row],[Comments]]),"")</f>
        <v/>
      </c>
      <c r="B1126" s="127" t="s">
        <v>2686</v>
      </c>
      <c r="C1126" s="99" t="s">
        <v>2687</v>
      </c>
      <c r="D1126" s="100" t="s">
        <v>2688</v>
      </c>
      <c r="E1126" s="101"/>
      <c r="F1126" s="101"/>
      <c r="G1126" s="102" t="str">
        <f>IF(stdProdLT(Main[[#This Row],[Comments]])=0.1,"N/A",IF(stdProdLT(Main[[#This Row],[Comments]])=0,"",stdProdLT(Main[[#This Row],[Comments]])))</f>
        <v/>
      </c>
      <c r="H1126" s="103" t="str">
        <f>IF(AND(Main[[#This Row],[In Stock Date]]&lt;&gt;"",Main[[#This Row],[Revised Due Date]]&lt;&gt;""),Main[[#This Row],[In Stock Date]]-Main[[#This Row],[Revised Due Date]],"")</f>
        <v/>
      </c>
      <c r="I1126" s="99" t="s">
        <v>4</v>
      </c>
      <c r="J1126" s="99" t="s">
        <v>4</v>
      </c>
      <c r="K1126" s="99" t="s">
        <v>4</v>
      </c>
      <c r="L1126" s="101"/>
      <c r="M1126" s="104" t="str">
        <f>IF(Main[[#This Row],[Tech Start Date]]&lt;1/1/1990,"",IF(Main[[#This Row],[Class]]="C",WORKDAY(Main[[#This Row],[Tech Start Date]],9),IF(Main[[#This Row],[Class]]="B", WORKDAY(Main[[#This Row],[Tech Start Date]],6),IF(Main[[#This Row],[Class]]="A",WORKDAY(Main[[#This Row],[Tech Start Date]],2),""))))</f>
        <v/>
      </c>
      <c r="N1126" s="104" t="str">
        <f>IF(Main[[#This Row],[Tech Start Date]]&lt;1/1/1990,"",IF(Main[[#This Row],[Class]]="C",WORKDAY(Main[[#This Row],[Tech Start Date]],19),IF(Main[[#This Row],[Class]]="B", WORKDAY(Main[[#This Row],[Tech Start Date]],12),IF(Main[[#This Row],[Class]]="A",WORKDAY(Main[[#This Row],[Tech Start Date]],4),""))))</f>
        <v/>
      </c>
      <c r="O1126" s="104" t="str">
        <f>IF(Main[[#This Row],[Tech Start Date]]&lt;1/1/1990,"",IF(Main[[#This Row],[Class]]="C",WORKDAY(Main[[#This Row],[Tech Start Date]],23),IF(Main[[#This Row],[Class]]="B", WORKDAY(Main[[#This Row],[Tech Start Date]],15),IF(Main[[#This Row],[Class]]="A",WORKDAY(Main[[#This Row],[Tech Start Date]],5),""))))</f>
        <v/>
      </c>
      <c r="P1126" s="104" t="str">
        <f>IF(Main[[#This Row],[Tech Start Date]]&lt;1/1/1990,"",IF(Main[[#This Row],[Class]]="C",WORKDAY(Main[[#This Row],[Tech Start Date]],28),IF(Main[[#This Row],[Class]]="B", WORKDAY(Main[[#This Row],[Tech Start Date]],19),IF(Main[[#This Row],[Class]]="A",WORKDAY(Main[[#This Row],[Tech Start Date]],9),""))))</f>
        <v/>
      </c>
      <c r="Q1126" s="101"/>
      <c r="R1126" s="101"/>
      <c r="S1126" s="99" t="s">
        <v>11</v>
      </c>
      <c r="T1126" s="107" t="s">
        <v>4</v>
      </c>
      <c r="U1126" s="99" t="s">
        <v>14</v>
      </c>
      <c r="V1126" s="99" t="s">
        <v>1963</v>
      </c>
      <c r="W1126" s="99" t="s">
        <v>1970</v>
      </c>
    </row>
    <row r="1127" spans="1:23" ht="18.600000000000001" customHeight="1">
      <c r="A1127" s="123" t="str">
        <f>IF(priority(Main[[#This Row],[Comments]])&lt;&gt;0, priority(Main[[#This Row],[Comments]]),"")</f>
        <v/>
      </c>
      <c r="B1127" s="127" t="s">
        <v>2664</v>
      </c>
      <c r="C1127" s="99" t="s">
        <v>4</v>
      </c>
      <c r="D1127" s="100" t="s">
        <v>2665</v>
      </c>
      <c r="E1127" s="101">
        <v>40840.360682870371</v>
      </c>
      <c r="F1127" s="101"/>
      <c r="G1127" s="102" t="str">
        <f>IF(stdProdLT(Main[[#This Row],[Comments]])=0.1,"N/A",IF(stdProdLT(Main[[#This Row],[Comments]])=0,"",stdProdLT(Main[[#This Row],[Comments]])))</f>
        <v/>
      </c>
      <c r="H1127" s="103" t="str">
        <f>IF(AND(Main[[#This Row],[In Stock Date]]&lt;&gt;"",Main[[#This Row],[Revised Due Date]]&lt;&gt;""),Main[[#This Row],[In Stock Date]]-Main[[#This Row],[Revised Due Date]],"")</f>
        <v/>
      </c>
      <c r="I1127" s="99" t="s">
        <v>4</v>
      </c>
      <c r="J1127" s="99" t="s">
        <v>4</v>
      </c>
      <c r="K1127" s="99" t="s">
        <v>4</v>
      </c>
      <c r="L1127" s="101"/>
      <c r="M1127" s="104" t="str">
        <f>IF(Main[[#This Row],[Tech Start Date]]&lt;1/1/1990,"",IF(Main[[#This Row],[Class]]="C",WORKDAY(Main[[#This Row],[Tech Start Date]],9),IF(Main[[#This Row],[Class]]="B", WORKDAY(Main[[#This Row],[Tech Start Date]],6),IF(Main[[#This Row],[Class]]="A",WORKDAY(Main[[#This Row],[Tech Start Date]],2),""))))</f>
        <v/>
      </c>
      <c r="N1127" s="104" t="str">
        <f>IF(Main[[#This Row],[Tech Start Date]]&lt;1/1/1990,"",IF(Main[[#This Row],[Class]]="C",WORKDAY(Main[[#This Row],[Tech Start Date]],19),IF(Main[[#This Row],[Class]]="B", WORKDAY(Main[[#This Row],[Tech Start Date]],12),IF(Main[[#This Row],[Class]]="A",WORKDAY(Main[[#This Row],[Tech Start Date]],4),""))))</f>
        <v/>
      </c>
      <c r="O1127" s="104" t="str">
        <f>IF(Main[[#This Row],[Tech Start Date]]&lt;1/1/1990,"",IF(Main[[#This Row],[Class]]="C",WORKDAY(Main[[#This Row],[Tech Start Date]],23),IF(Main[[#This Row],[Class]]="B", WORKDAY(Main[[#This Row],[Tech Start Date]],15),IF(Main[[#This Row],[Class]]="A",WORKDAY(Main[[#This Row],[Tech Start Date]],5),""))))</f>
        <v/>
      </c>
      <c r="P1127" s="104" t="str">
        <f>IF(Main[[#This Row],[Tech Start Date]]&lt;1/1/1990,"",IF(Main[[#This Row],[Class]]="C",WORKDAY(Main[[#This Row],[Tech Start Date]],28),IF(Main[[#This Row],[Class]]="B", WORKDAY(Main[[#This Row],[Tech Start Date]],19),IF(Main[[#This Row],[Class]]="A",WORKDAY(Main[[#This Row],[Tech Start Date]],9),""))))</f>
        <v/>
      </c>
      <c r="Q1127" s="101">
        <v>40857</v>
      </c>
      <c r="R1127" s="101"/>
      <c r="S1127" s="99" t="s">
        <v>6</v>
      </c>
      <c r="T1127" s="107" t="s">
        <v>2666</v>
      </c>
      <c r="U1127" s="99" t="s">
        <v>7</v>
      </c>
      <c r="V1127" s="99" t="s">
        <v>1962</v>
      </c>
      <c r="W1127" s="99" t="s">
        <v>1970</v>
      </c>
    </row>
    <row r="1128" spans="1:23" ht="18.600000000000001" customHeight="1">
      <c r="A1128" s="123" t="str">
        <f>IF(priority(Main[[#This Row],[Comments]])&lt;&gt;0, priority(Main[[#This Row],[Comments]]),"")</f>
        <v/>
      </c>
      <c r="B1128" s="127" t="s">
        <v>2693</v>
      </c>
      <c r="C1128" s="99" t="s">
        <v>4</v>
      </c>
      <c r="D1128" s="100" t="s">
        <v>2694</v>
      </c>
      <c r="E1128" s="101"/>
      <c r="F1128" s="101"/>
      <c r="G1128" s="102" t="str">
        <f>IF(stdProdLT(Main[[#This Row],[Comments]])=0.1,"N/A",IF(stdProdLT(Main[[#This Row],[Comments]])=0,"",stdProdLT(Main[[#This Row],[Comments]])))</f>
        <v/>
      </c>
      <c r="H1128" s="103" t="str">
        <f>IF(AND(Main[[#This Row],[In Stock Date]]&lt;&gt;"",Main[[#This Row],[Revised Due Date]]&lt;&gt;""),Main[[#This Row],[In Stock Date]]-Main[[#This Row],[Revised Due Date]],"")</f>
        <v/>
      </c>
      <c r="I1128" s="99" t="s">
        <v>4</v>
      </c>
      <c r="J1128" s="99" t="s">
        <v>4</v>
      </c>
      <c r="K1128" s="99" t="s">
        <v>4</v>
      </c>
      <c r="L1128" s="101"/>
      <c r="M1128" s="104" t="str">
        <f>IF(Main[[#This Row],[Tech Start Date]]&lt;1/1/1990,"",IF(Main[[#This Row],[Class]]="C",WORKDAY(Main[[#This Row],[Tech Start Date]],9),IF(Main[[#This Row],[Class]]="B", WORKDAY(Main[[#This Row],[Tech Start Date]],6),IF(Main[[#This Row],[Class]]="A",WORKDAY(Main[[#This Row],[Tech Start Date]],2),""))))</f>
        <v/>
      </c>
      <c r="N1128" s="104" t="str">
        <f>IF(Main[[#This Row],[Tech Start Date]]&lt;1/1/1990,"",IF(Main[[#This Row],[Class]]="C",WORKDAY(Main[[#This Row],[Tech Start Date]],19),IF(Main[[#This Row],[Class]]="B", WORKDAY(Main[[#This Row],[Tech Start Date]],12),IF(Main[[#This Row],[Class]]="A",WORKDAY(Main[[#This Row],[Tech Start Date]],4),""))))</f>
        <v/>
      </c>
      <c r="O1128" s="104" t="str">
        <f>IF(Main[[#This Row],[Tech Start Date]]&lt;1/1/1990,"",IF(Main[[#This Row],[Class]]="C",WORKDAY(Main[[#This Row],[Tech Start Date]],23),IF(Main[[#This Row],[Class]]="B", WORKDAY(Main[[#This Row],[Tech Start Date]],15),IF(Main[[#This Row],[Class]]="A",WORKDAY(Main[[#This Row],[Tech Start Date]],5),""))))</f>
        <v/>
      </c>
      <c r="P1128" s="104" t="str">
        <f>IF(Main[[#This Row],[Tech Start Date]]&lt;1/1/1990,"",IF(Main[[#This Row],[Class]]="C",WORKDAY(Main[[#This Row],[Tech Start Date]],28),IF(Main[[#This Row],[Class]]="B", WORKDAY(Main[[#This Row],[Tech Start Date]],19),IF(Main[[#This Row],[Class]]="A",WORKDAY(Main[[#This Row],[Tech Start Date]],9),""))))</f>
        <v/>
      </c>
      <c r="Q1128" s="101">
        <v>40878</v>
      </c>
      <c r="R1128" s="101"/>
      <c r="S1128" s="99" t="s">
        <v>6</v>
      </c>
      <c r="T1128" s="107" t="s">
        <v>4</v>
      </c>
      <c r="U1128" s="99" t="s">
        <v>12</v>
      </c>
      <c r="V1128" s="99" t="s">
        <v>2362</v>
      </c>
      <c r="W1128" s="99" t="s">
        <v>4</v>
      </c>
    </row>
    <row r="1129" spans="1:23" ht="18.600000000000001" customHeight="1">
      <c r="A1129" s="123" t="str">
        <f>IF(priority(Main[[#This Row],[Comments]])&lt;&gt;0, priority(Main[[#This Row],[Comments]]),"")</f>
        <v/>
      </c>
      <c r="B1129" s="127" t="s">
        <v>2695</v>
      </c>
      <c r="C1129" s="99" t="s">
        <v>4</v>
      </c>
      <c r="D1129" s="100" t="s">
        <v>2696</v>
      </c>
      <c r="E1129" s="101">
        <v>40870.466527777775</v>
      </c>
      <c r="F1129" s="101"/>
      <c r="G1129" s="102" t="str">
        <f>IF(stdProdLT(Main[[#This Row],[Comments]])=0.1,"N/A",IF(stdProdLT(Main[[#This Row],[Comments]])=0,"",stdProdLT(Main[[#This Row],[Comments]])))</f>
        <v/>
      </c>
      <c r="H1129" s="103" t="str">
        <f>IF(AND(Main[[#This Row],[In Stock Date]]&lt;&gt;"",Main[[#This Row],[Revised Due Date]]&lt;&gt;""),Main[[#This Row],[In Stock Date]]-Main[[#This Row],[Revised Due Date]],"")</f>
        <v/>
      </c>
      <c r="I1129" s="99" t="s">
        <v>2110</v>
      </c>
      <c r="J1129" s="99" t="s">
        <v>28</v>
      </c>
      <c r="K1129" s="99" t="s">
        <v>1971</v>
      </c>
      <c r="L1129" s="101"/>
      <c r="M1129" s="104" t="str">
        <f>IF(Main[[#This Row],[Tech Start Date]]&lt;1/1/1990,"",IF(Main[[#This Row],[Class]]="C",WORKDAY(Main[[#This Row],[Tech Start Date]],9),IF(Main[[#This Row],[Class]]="B", WORKDAY(Main[[#This Row],[Tech Start Date]],6),IF(Main[[#This Row],[Class]]="A",WORKDAY(Main[[#This Row],[Tech Start Date]],2),""))))</f>
        <v/>
      </c>
      <c r="N1129" s="104" t="str">
        <f>IF(Main[[#This Row],[Tech Start Date]]&lt;1/1/1990,"",IF(Main[[#This Row],[Class]]="C",WORKDAY(Main[[#This Row],[Tech Start Date]],19),IF(Main[[#This Row],[Class]]="B", WORKDAY(Main[[#This Row],[Tech Start Date]],12),IF(Main[[#This Row],[Class]]="A",WORKDAY(Main[[#This Row],[Tech Start Date]],4),""))))</f>
        <v/>
      </c>
      <c r="O1129" s="104" t="str">
        <f>IF(Main[[#This Row],[Tech Start Date]]&lt;1/1/1990,"",IF(Main[[#This Row],[Class]]="C",WORKDAY(Main[[#This Row],[Tech Start Date]],23),IF(Main[[#This Row],[Class]]="B", WORKDAY(Main[[#This Row],[Tech Start Date]],15),IF(Main[[#This Row],[Class]]="A",WORKDAY(Main[[#This Row],[Tech Start Date]],5),""))))</f>
        <v/>
      </c>
      <c r="P1129" s="104" t="str">
        <f>IF(Main[[#This Row],[Tech Start Date]]&lt;1/1/1990,"",IF(Main[[#This Row],[Class]]="C",WORKDAY(Main[[#This Row],[Tech Start Date]],28),IF(Main[[#This Row],[Class]]="B", WORKDAY(Main[[#This Row],[Tech Start Date]],19),IF(Main[[#This Row],[Class]]="A",WORKDAY(Main[[#This Row],[Tech Start Date]],9),""))))</f>
        <v/>
      </c>
      <c r="Q1129" s="101">
        <v>40905</v>
      </c>
      <c r="R1129" s="101"/>
      <c r="S1129" s="99" t="s">
        <v>6</v>
      </c>
      <c r="T1129" s="107" t="s">
        <v>4</v>
      </c>
      <c r="U1129" s="99" t="s">
        <v>29</v>
      </c>
      <c r="V1129" s="99" t="s">
        <v>1965</v>
      </c>
      <c r="W1129" s="99" t="s">
        <v>1966</v>
      </c>
    </row>
    <row r="1130" spans="1:23" ht="18.600000000000001" customHeight="1">
      <c r="A1130" s="123" t="str">
        <f>IF(priority(Main[[#This Row],[Comments]])&lt;&gt;0, priority(Main[[#This Row],[Comments]]),"")</f>
        <v/>
      </c>
      <c r="B1130" s="127" t="s">
        <v>2697</v>
      </c>
      <c r="C1130" s="99" t="s">
        <v>4</v>
      </c>
      <c r="D1130" s="100" t="s">
        <v>2698</v>
      </c>
      <c r="E1130" s="101">
        <v>40840.652592592596</v>
      </c>
      <c r="F1130" s="101"/>
      <c r="G1130" s="102" t="str">
        <f>IF(stdProdLT(Main[[#This Row],[Comments]])=0.1,"N/A",IF(stdProdLT(Main[[#This Row],[Comments]])=0,"",stdProdLT(Main[[#This Row],[Comments]])))</f>
        <v/>
      </c>
      <c r="H1130" s="103" t="str">
        <f>IF(AND(Main[[#This Row],[In Stock Date]]&lt;&gt;"",Main[[#This Row],[Revised Due Date]]&lt;&gt;""),Main[[#This Row],[In Stock Date]]-Main[[#This Row],[Revised Due Date]],"")</f>
        <v/>
      </c>
      <c r="I1130" s="99" t="s">
        <v>4</v>
      </c>
      <c r="J1130" s="99" t="s">
        <v>4</v>
      </c>
      <c r="K1130" s="99" t="s">
        <v>4</v>
      </c>
      <c r="L1130" s="101"/>
      <c r="M1130" s="104" t="str">
        <f>IF(Main[[#This Row],[Tech Start Date]]&lt;1/1/1990,"",IF(Main[[#This Row],[Class]]="C",WORKDAY(Main[[#This Row],[Tech Start Date]],9),IF(Main[[#This Row],[Class]]="B", WORKDAY(Main[[#This Row],[Tech Start Date]],6),IF(Main[[#This Row],[Class]]="A",WORKDAY(Main[[#This Row],[Tech Start Date]],2),""))))</f>
        <v/>
      </c>
      <c r="N1130" s="104" t="str">
        <f>IF(Main[[#This Row],[Tech Start Date]]&lt;1/1/1990,"",IF(Main[[#This Row],[Class]]="C",WORKDAY(Main[[#This Row],[Tech Start Date]],19),IF(Main[[#This Row],[Class]]="B", WORKDAY(Main[[#This Row],[Tech Start Date]],12),IF(Main[[#This Row],[Class]]="A",WORKDAY(Main[[#This Row],[Tech Start Date]],4),""))))</f>
        <v/>
      </c>
      <c r="O1130" s="104" t="str">
        <f>IF(Main[[#This Row],[Tech Start Date]]&lt;1/1/1990,"",IF(Main[[#This Row],[Class]]="C",WORKDAY(Main[[#This Row],[Tech Start Date]],23),IF(Main[[#This Row],[Class]]="B", WORKDAY(Main[[#This Row],[Tech Start Date]],15),IF(Main[[#This Row],[Class]]="A",WORKDAY(Main[[#This Row],[Tech Start Date]],5),""))))</f>
        <v/>
      </c>
      <c r="P1130" s="104" t="str">
        <f>IF(Main[[#This Row],[Tech Start Date]]&lt;1/1/1990,"",IF(Main[[#This Row],[Class]]="C",WORKDAY(Main[[#This Row],[Tech Start Date]],28),IF(Main[[#This Row],[Class]]="B", WORKDAY(Main[[#This Row],[Tech Start Date]],19),IF(Main[[#This Row],[Class]]="A",WORKDAY(Main[[#This Row],[Tech Start Date]],9),""))))</f>
        <v/>
      </c>
      <c r="Q1130" s="101"/>
      <c r="R1130" s="101"/>
      <c r="S1130" s="99" t="s">
        <v>6</v>
      </c>
      <c r="T1130" s="107" t="s">
        <v>4</v>
      </c>
      <c r="U1130" s="99" t="s">
        <v>29</v>
      </c>
      <c r="V1130" s="99" t="s">
        <v>1962</v>
      </c>
      <c r="W1130" s="99" t="s">
        <v>4</v>
      </c>
    </row>
    <row r="1131" spans="1:23" ht="18.600000000000001" customHeight="1">
      <c r="A1131" s="123" t="str">
        <f>IF(priority(Main[[#This Row],[Comments]])&lt;&gt;0, priority(Main[[#This Row],[Comments]]),"")</f>
        <v/>
      </c>
      <c r="B1131" s="127" t="s">
        <v>1496</v>
      </c>
      <c r="C1131" s="99" t="s">
        <v>200</v>
      </c>
      <c r="D1131" s="100" t="s">
        <v>2699</v>
      </c>
      <c r="E1131" s="101">
        <v>40711.410266203704</v>
      </c>
      <c r="F1131" s="101"/>
      <c r="G1131" s="102" t="str">
        <f>IF(stdProdLT(Main[[#This Row],[Comments]])=0.1,"N/A",IF(stdProdLT(Main[[#This Row],[Comments]])=0,"",stdProdLT(Main[[#This Row],[Comments]])))</f>
        <v/>
      </c>
      <c r="H1131" s="103" t="str">
        <f>IF(AND(Main[[#This Row],[In Stock Date]]&lt;&gt;"",Main[[#This Row],[Revised Due Date]]&lt;&gt;""),Main[[#This Row],[In Stock Date]]-Main[[#This Row],[Revised Due Date]],"")</f>
        <v/>
      </c>
      <c r="I1131" s="99" t="s">
        <v>4</v>
      </c>
      <c r="J1131" s="99" t="s">
        <v>4</v>
      </c>
      <c r="K1131" s="99" t="s">
        <v>4</v>
      </c>
      <c r="L1131" s="101"/>
      <c r="M1131" s="104" t="str">
        <f>IF(Main[[#This Row],[Tech Start Date]]&lt;1/1/1990,"",IF(Main[[#This Row],[Class]]="C",WORKDAY(Main[[#This Row],[Tech Start Date]],9),IF(Main[[#This Row],[Class]]="B", WORKDAY(Main[[#This Row],[Tech Start Date]],6),IF(Main[[#This Row],[Class]]="A",WORKDAY(Main[[#This Row],[Tech Start Date]],2),""))))</f>
        <v/>
      </c>
      <c r="N1131" s="104" t="str">
        <f>IF(Main[[#This Row],[Tech Start Date]]&lt;1/1/1990,"",IF(Main[[#This Row],[Class]]="C",WORKDAY(Main[[#This Row],[Tech Start Date]],19),IF(Main[[#This Row],[Class]]="B", WORKDAY(Main[[#This Row],[Tech Start Date]],12),IF(Main[[#This Row],[Class]]="A",WORKDAY(Main[[#This Row],[Tech Start Date]],4),""))))</f>
        <v/>
      </c>
      <c r="O1131" s="104" t="str">
        <f>IF(Main[[#This Row],[Tech Start Date]]&lt;1/1/1990,"",IF(Main[[#This Row],[Class]]="C",WORKDAY(Main[[#This Row],[Tech Start Date]],23),IF(Main[[#This Row],[Class]]="B", WORKDAY(Main[[#This Row],[Tech Start Date]],15),IF(Main[[#This Row],[Class]]="A",WORKDAY(Main[[#This Row],[Tech Start Date]],5),""))))</f>
        <v/>
      </c>
      <c r="P1131" s="104" t="str">
        <f>IF(Main[[#This Row],[Tech Start Date]]&lt;1/1/1990,"",IF(Main[[#This Row],[Class]]="C",WORKDAY(Main[[#This Row],[Tech Start Date]],28),IF(Main[[#This Row],[Class]]="B", WORKDAY(Main[[#This Row],[Tech Start Date]],19),IF(Main[[#This Row],[Class]]="A",WORKDAY(Main[[#This Row],[Tech Start Date]],9),""))))</f>
        <v/>
      </c>
      <c r="Q1131" s="101">
        <v>40846</v>
      </c>
      <c r="R1131" s="101"/>
      <c r="S1131" s="99" t="s">
        <v>17</v>
      </c>
      <c r="T1131" s="107" t="s">
        <v>4</v>
      </c>
      <c r="U1131" s="99" t="s">
        <v>29</v>
      </c>
      <c r="V1131" s="99" t="s">
        <v>1965</v>
      </c>
      <c r="W1131" s="99" t="s">
        <v>1970</v>
      </c>
    </row>
    <row r="1132" spans="1:23" ht="18.600000000000001" customHeight="1">
      <c r="A1132" s="123" t="str">
        <f>IF(priority(Main[[#This Row],[Comments]])&lt;&gt;0, priority(Main[[#This Row],[Comments]]),"")</f>
        <v/>
      </c>
      <c r="B1132" s="127" t="s">
        <v>2399</v>
      </c>
      <c r="C1132" s="99" t="s">
        <v>4</v>
      </c>
      <c r="D1132" s="100" t="s">
        <v>2400</v>
      </c>
      <c r="E1132" s="101">
        <v>40819.669872685183</v>
      </c>
      <c r="F1132" s="101"/>
      <c r="G1132" s="102" t="str">
        <f>IF(stdProdLT(Main[[#This Row],[Comments]])=0.1,"N/A",IF(stdProdLT(Main[[#This Row],[Comments]])=0,"",stdProdLT(Main[[#This Row],[Comments]])))</f>
        <v/>
      </c>
      <c r="H1132" s="103" t="str">
        <f>IF(AND(Main[[#This Row],[In Stock Date]]&lt;&gt;"",Main[[#This Row],[Revised Due Date]]&lt;&gt;""),Main[[#This Row],[In Stock Date]]-Main[[#This Row],[Revised Due Date]],"")</f>
        <v/>
      </c>
      <c r="I1132" s="99" t="s">
        <v>242</v>
      </c>
      <c r="J1132" s="99" t="s">
        <v>28</v>
      </c>
      <c r="K1132" s="99" t="s">
        <v>1971</v>
      </c>
      <c r="L1132" s="101"/>
      <c r="M1132" s="104" t="str">
        <f>IF(Main[[#This Row],[Tech Start Date]]&lt;1/1/1990,"",IF(Main[[#This Row],[Class]]="C",WORKDAY(Main[[#This Row],[Tech Start Date]],9),IF(Main[[#This Row],[Class]]="B", WORKDAY(Main[[#This Row],[Tech Start Date]],6),IF(Main[[#This Row],[Class]]="A",WORKDAY(Main[[#This Row],[Tech Start Date]],2),""))))</f>
        <v/>
      </c>
      <c r="N1132" s="104" t="str">
        <f>IF(Main[[#This Row],[Tech Start Date]]&lt;1/1/1990,"",IF(Main[[#This Row],[Class]]="C",WORKDAY(Main[[#This Row],[Tech Start Date]],19),IF(Main[[#This Row],[Class]]="B", WORKDAY(Main[[#This Row],[Tech Start Date]],12),IF(Main[[#This Row],[Class]]="A",WORKDAY(Main[[#This Row],[Tech Start Date]],4),""))))</f>
        <v/>
      </c>
      <c r="O1132" s="104" t="str">
        <f>IF(Main[[#This Row],[Tech Start Date]]&lt;1/1/1990,"",IF(Main[[#This Row],[Class]]="C",WORKDAY(Main[[#This Row],[Tech Start Date]],23),IF(Main[[#This Row],[Class]]="B", WORKDAY(Main[[#This Row],[Tech Start Date]],15),IF(Main[[#This Row],[Class]]="A",WORKDAY(Main[[#This Row],[Tech Start Date]],5),""))))</f>
        <v/>
      </c>
      <c r="P1132" s="104" t="str">
        <f>IF(Main[[#This Row],[Tech Start Date]]&lt;1/1/1990,"",IF(Main[[#This Row],[Class]]="C",WORKDAY(Main[[#This Row],[Tech Start Date]],28),IF(Main[[#This Row],[Class]]="B", WORKDAY(Main[[#This Row],[Tech Start Date]],19),IF(Main[[#This Row],[Class]]="A",WORKDAY(Main[[#This Row],[Tech Start Date]],9),""))))</f>
        <v/>
      </c>
      <c r="Q1132" s="101">
        <v>40847</v>
      </c>
      <c r="R1132" s="101"/>
      <c r="S1132" s="99" t="s">
        <v>6</v>
      </c>
      <c r="T1132" s="107" t="s">
        <v>4</v>
      </c>
      <c r="U1132" s="99" t="s">
        <v>29</v>
      </c>
      <c r="V1132" s="99" t="s">
        <v>1965</v>
      </c>
      <c r="W1132" s="99" t="s">
        <v>1966</v>
      </c>
    </row>
    <row r="1133" spans="1:23" ht="18.600000000000001" customHeight="1">
      <c r="A1133" s="123" t="str">
        <f>IF(priority(Main[[#This Row],[Comments]])&lt;&gt;0, priority(Main[[#This Row],[Comments]]),"")</f>
        <v/>
      </c>
      <c r="B1133" s="127" t="s">
        <v>2700</v>
      </c>
      <c r="C1133" s="99" t="s">
        <v>2687</v>
      </c>
      <c r="D1133" s="100" t="s">
        <v>2701</v>
      </c>
      <c r="E1133" s="101"/>
      <c r="F1133" s="101"/>
      <c r="G1133" s="102" t="str">
        <f>IF(stdProdLT(Main[[#This Row],[Comments]])=0.1,"N/A",IF(stdProdLT(Main[[#This Row],[Comments]])=0,"",stdProdLT(Main[[#This Row],[Comments]])))</f>
        <v/>
      </c>
      <c r="H1133" s="103" t="str">
        <f>IF(AND(Main[[#This Row],[In Stock Date]]&lt;&gt;"",Main[[#This Row],[Revised Due Date]]&lt;&gt;""),Main[[#This Row],[In Stock Date]]-Main[[#This Row],[Revised Due Date]],"")</f>
        <v/>
      </c>
      <c r="I1133" s="99" t="s">
        <v>4</v>
      </c>
      <c r="J1133" s="99" t="s">
        <v>4</v>
      </c>
      <c r="K1133" s="99" t="s">
        <v>4</v>
      </c>
      <c r="L1133" s="101"/>
      <c r="M1133" s="104" t="str">
        <f>IF(Main[[#This Row],[Tech Start Date]]&lt;1/1/1990,"",IF(Main[[#This Row],[Class]]="C",WORKDAY(Main[[#This Row],[Tech Start Date]],9),IF(Main[[#This Row],[Class]]="B", WORKDAY(Main[[#This Row],[Tech Start Date]],6),IF(Main[[#This Row],[Class]]="A",WORKDAY(Main[[#This Row],[Tech Start Date]],2),""))))</f>
        <v/>
      </c>
      <c r="N1133" s="104" t="str">
        <f>IF(Main[[#This Row],[Tech Start Date]]&lt;1/1/1990,"",IF(Main[[#This Row],[Class]]="C",WORKDAY(Main[[#This Row],[Tech Start Date]],19),IF(Main[[#This Row],[Class]]="B", WORKDAY(Main[[#This Row],[Tech Start Date]],12),IF(Main[[#This Row],[Class]]="A",WORKDAY(Main[[#This Row],[Tech Start Date]],4),""))))</f>
        <v/>
      </c>
      <c r="O1133" s="104" t="str">
        <f>IF(Main[[#This Row],[Tech Start Date]]&lt;1/1/1990,"",IF(Main[[#This Row],[Class]]="C",WORKDAY(Main[[#This Row],[Tech Start Date]],23),IF(Main[[#This Row],[Class]]="B", WORKDAY(Main[[#This Row],[Tech Start Date]],15),IF(Main[[#This Row],[Class]]="A",WORKDAY(Main[[#This Row],[Tech Start Date]],5),""))))</f>
        <v/>
      </c>
      <c r="P1133" s="104" t="str">
        <f>IF(Main[[#This Row],[Tech Start Date]]&lt;1/1/1990,"",IF(Main[[#This Row],[Class]]="C",WORKDAY(Main[[#This Row],[Tech Start Date]],28),IF(Main[[#This Row],[Class]]="B", WORKDAY(Main[[#This Row],[Tech Start Date]],19),IF(Main[[#This Row],[Class]]="A",WORKDAY(Main[[#This Row],[Tech Start Date]],9),""))))</f>
        <v/>
      </c>
      <c r="Q1133" s="101"/>
      <c r="R1133" s="101"/>
      <c r="S1133" s="99" t="s">
        <v>11</v>
      </c>
      <c r="T1133" s="107" t="s">
        <v>4</v>
      </c>
      <c r="U1133" s="99" t="s">
        <v>14</v>
      </c>
      <c r="V1133" s="99" t="s">
        <v>1963</v>
      </c>
      <c r="W1133" s="99" t="s">
        <v>1970</v>
      </c>
    </row>
    <row r="1134" spans="1:23" ht="18.600000000000001" customHeight="1">
      <c r="A1134" s="123" t="str">
        <f>IF(priority(Main[[#This Row],[Comments]])&lt;&gt;0, priority(Main[[#This Row],[Comments]]),"")</f>
        <v/>
      </c>
      <c r="B1134" s="127" t="s">
        <v>2702</v>
      </c>
      <c r="C1134" s="99" t="s">
        <v>2416</v>
      </c>
      <c r="D1134" s="100" t="s">
        <v>2703</v>
      </c>
      <c r="E1134" s="101">
        <v>40843.623680555553</v>
      </c>
      <c r="F1134" s="101"/>
      <c r="G1134" s="102" t="str">
        <f>IF(stdProdLT(Main[[#This Row],[Comments]])=0.1,"N/A",IF(stdProdLT(Main[[#This Row],[Comments]])=0,"",stdProdLT(Main[[#This Row],[Comments]])))</f>
        <v/>
      </c>
      <c r="H1134" s="103" t="str">
        <f>IF(AND(Main[[#This Row],[In Stock Date]]&lt;&gt;"",Main[[#This Row],[Revised Due Date]]&lt;&gt;""),Main[[#This Row],[In Stock Date]]-Main[[#This Row],[Revised Due Date]],"")</f>
        <v/>
      </c>
      <c r="I1134" s="99" t="s">
        <v>4</v>
      </c>
      <c r="J1134" s="99" t="s">
        <v>4</v>
      </c>
      <c r="K1134" s="108" t="s">
        <v>4</v>
      </c>
      <c r="L1134" s="101"/>
      <c r="M1134" s="104" t="str">
        <f>IF(Main[[#This Row],[Tech Start Date]]&lt;1/1/1990,"",IF(Main[[#This Row],[Class]]="C",WORKDAY(Main[[#This Row],[Tech Start Date]],9),IF(Main[[#This Row],[Class]]="B", WORKDAY(Main[[#This Row],[Tech Start Date]],6),IF(Main[[#This Row],[Class]]="A",WORKDAY(Main[[#This Row],[Tech Start Date]],2),""))))</f>
        <v/>
      </c>
      <c r="N1134" s="104" t="str">
        <f>IF(Main[[#This Row],[Tech Start Date]]&lt;1/1/1990,"",IF(Main[[#This Row],[Class]]="C",WORKDAY(Main[[#This Row],[Tech Start Date]],19),IF(Main[[#This Row],[Class]]="B", WORKDAY(Main[[#This Row],[Tech Start Date]],12),IF(Main[[#This Row],[Class]]="A",WORKDAY(Main[[#This Row],[Tech Start Date]],4),""))))</f>
        <v/>
      </c>
      <c r="O1134" s="104" t="str">
        <f>IF(Main[[#This Row],[Tech Start Date]]&lt;1/1/1990,"",IF(Main[[#This Row],[Class]]="C",WORKDAY(Main[[#This Row],[Tech Start Date]],23),IF(Main[[#This Row],[Class]]="B", WORKDAY(Main[[#This Row],[Tech Start Date]],15),IF(Main[[#This Row],[Class]]="A",WORKDAY(Main[[#This Row],[Tech Start Date]],5),""))))</f>
        <v/>
      </c>
      <c r="P1134" s="104" t="str">
        <f>IF(Main[[#This Row],[Tech Start Date]]&lt;1/1/1990,"",IF(Main[[#This Row],[Class]]="C",WORKDAY(Main[[#This Row],[Tech Start Date]],28),IF(Main[[#This Row],[Class]]="B", WORKDAY(Main[[#This Row],[Tech Start Date]],19),IF(Main[[#This Row],[Class]]="A",WORKDAY(Main[[#This Row],[Tech Start Date]],9),""))))</f>
        <v/>
      </c>
      <c r="Q1134" s="101"/>
      <c r="R1134" s="101"/>
      <c r="S1134" s="99" t="s">
        <v>6</v>
      </c>
      <c r="T1134" s="107" t="s">
        <v>4</v>
      </c>
      <c r="U1134" s="99" t="s">
        <v>7</v>
      </c>
      <c r="V1134" s="99" t="s">
        <v>1962</v>
      </c>
      <c r="W1134" s="99" t="s">
        <v>1966</v>
      </c>
    </row>
    <row r="1135" spans="1:23" ht="18.600000000000001" customHeight="1">
      <c r="A1135" s="123" t="str">
        <f>IF(priority(Main[[#This Row],[Comments]])&lt;&gt;0, priority(Main[[#This Row],[Comments]]),"")</f>
        <v/>
      </c>
      <c r="B1135" s="127" t="s">
        <v>2704</v>
      </c>
      <c r="C1135" s="99" t="s">
        <v>4</v>
      </c>
      <c r="D1135" s="100" t="s">
        <v>2705</v>
      </c>
      <c r="E1135" s="101"/>
      <c r="F1135" s="101"/>
      <c r="G1135" s="102" t="str">
        <f>IF(stdProdLT(Main[[#This Row],[Comments]])=0.1,"N/A",IF(stdProdLT(Main[[#This Row],[Comments]])=0,"",stdProdLT(Main[[#This Row],[Comments]])))</f>
        <v/>
      </c>
      <c r="H1135" s="103" t="str">
        <f>IF(AND(Main[[#This Row],[In Stock Date]]&lt;&gt;"",Main[[#This Row],[Revised Due Date]]&lt;&gt;""),Main[[#This Row],[In Stock Date]]-Main[[#This Row],[Revised Due Date]],"")</f>
        <v/>
      </c>
      <c r="I1135" s="99" t="s">
        <v>4</v>
      </c>
      <c r="J1135" s="99" t="s">
        <v>4</v>
      </c>
      <c r="K1135" s="99" t="s">
        <v>4</v>
      </c>
      <c r="L1135" s="101"/>
      <c r="M1135" s="104" t="str">
        <f>IF(Main[[#This Row],[Tech Start Date]]&lt;1/1/1990,"",IF(Main[[#This Row],[Class]]="C",WORKDAY(Main[[#This Row],[Tech Start Date]],9),IF(Main[[#This Row],[Class]]="B", WORKDAY(Main[[#This Row],[Tech Start Date]],6),IF(Main[[#This Row],[Class]]="A",WORKDAY(Main[[#This Row],[Tech Start Date]],2),""))))</f>
        <v/>
      </c>
      <c r="N1135" s="104" t="str">
        <f>IF(Main[[#This Row],[Tech Start Date]]&lt;1/1/1990,"",IF(Main[[#This Row],[Class]]="C",WORKDAY(Main[[#This Row],[Tech Start Date]],19),IF(Main[[#This Row],[Class]]="B", WORKDAY(Main[[#This Row],[Tech Start Date]],12),IF(Main[[#This Row],[Class]]="A",WORKDAY(Main[[#This Row],[Tech Start Date]],4),""))))</f>
        <v/>
      </c>
      <c r="O1135" s="104" t="str">
        <f>IF(Main[[#This Row],[Tech Start Date]]&lt;1/1/1990,"",IF(Main[[#This Row],[Class]]="C",WORKDAY(Main[[#This Row],[Tech Start Date]],23),IF(Main[[#This Row],[Class]]="B", WORKDAY(Main[[#This Row],[Tech Start Date]],15),IF(Main[[#This Row],[Class]]="A",WORKDAY(Main[[#This Row],[Tech Start Date]],5),""))))</f>
        <v/>
      </c>
      <c r="P1135" s="104" t="str">
        <f>IF(Main[[#This Row],[Tech Start Date]]&lt;1/1/1990,"",IF(Main[[#This Row],[Class]]="C",WORKDAY(Main[[#This Row],[Tech Start Date]],28),IF(Main[[#This Row],[Class]]="B", WORKDAY(Main[[#This Row],[Tech Start Date]],19),IF(Main[[#This Row],[Class]]="A",WORKDAY(Main[[#This Row],[Tech Start Date]],9),""))))</f>
        <v/>
      </c>
      <c r="Q1135" s="101">
        <v>40858</v>
      </c>
      <c r="R1135" s="101"/>
      <c r="S1135" s="99" t="s">
        <v>6</v>
      </c>
      <c r="T1135" s="107" t="s">
        <v>4</v>
      </c>
      <c r="U1135" s="99" t="s">
        <v>14</v>
      </c>
      <c r="V1135" s="99" t="s">
        <v>1965</v>
      </c>
      <c r="W1135" s="99" t="s">
        <v>4</v>
      </c>
    </row>
    <row r="1136" spans="1:23" ht="18.600000000000001" customHeight="1">
      <c r="A1136" s="123" t="str">
        <f>IF(priority(Main[[#This Row],[Comments]])&lt;&gt;0, priority(Main[[#This Row],[Comments]]),"")</f>
        <v/>
      </c>
      <c r="B1136" s="127" t="s">
        <v>2729</v>
      </c>
      <c r="C1136" s="99" t="s">
        <v>4</v>
      </c>
      <c r="D1136" s="100" t="s">
        <v>2730</v>
      </c>
      <c r="E1136" s="101"/>
      <c r="F1136" s="101"/>
      <c r="G1136" s="102" t="str">
        <f>IF(stdProdLT(Main[[#This Row],[Comments]])=0.1,"N/A",IF(stdProdLT(Main[[#This Row],[Comments]])=0,"",stdProdLT(Main[[#This Row],[Comments]])))</f>
        <v/>
      </c>
      <c r="H1136" s="103" t="str">
        <f>IF(AND(Main[[#This Row],[In Stock Date]]&lt;&gt;"",Main[[#This Row],[Revised Due Date]]&lt;&gt;""),Main[[#This Row],[In Stock Date]]-Main[[#This Row],[Revised Due Date]],"")</f>
        <v/>
      </c>
      <c r="I1136" s="99" t="s">
        <v>4</v>
      </c>
      <c r="J1136" s="99" t="s">
        <v>4</v>
      </c>
      <c r="K1136" s="99" t="s">
        <v>4</v>
      </c>
      <c r="L1136" s="101"/>
      <c r="M1136" s="104" t="str">
        <f>IF(Main[[#This Row],[Tech Start Date]]&lt;1/1/1990,"",IF(Main[[#This Row],[Class]]="C",WORKDAY(Main[[#This Row],[Tech Start Date]],9),IF(Main[[#This Row],[Class]]="B", WORKDAY(Main[[#This Row],[Tech Start Date]],6),IF(Main[[#This Row],[Class]]="A",WORKDAY(Main[[#This Row],[Tech Start Date]],2),""))))</f>
        <v/>
      </c>
      <c r="N1136" s="104" t="str">
        <f>IF(Main[[#This Row],[Tech Start Date]]&lt;1/1/1990,"",IF(Main[[#This Row],[Class]]="C",WORKDAY(Main[[#This Row],[Tech Start Date]],19),IF(Main[[#This Row],[Class]]="B", WORKDAY(Main[[#This Row],[Tech Start Date]],12),IF(Main[[#This Row],[Class]]="A",WORKDAY(Main[[#This Row],[Tech Start Date]],4),""))))</f>
        <v/>
      </c>
      <c r="O1136" s="104" t="str">
        <f>IF(Main[[#This Row],[Tech Start Date]]&lt;1/1/1990,"",IF(Main[[#This Row],[Class]]="C",WORKDAY(Main[[#This Row],[Tech Start Date]],23),IF(Main[[#This Row],[Class]]="B", WORKDAY(Main[[#This Row],[Tech Start Date]],15),IF(Main[[#This Row],[Class]]="A",WORKDAY(Main[[#This Row],[Tech Start Date]],5),""))))</f>
        <v/>
      </c>
      <c r="P1136" s="104" t="str">
        <f>IF(Main[[#This Row],[Tech Start Date]]&lt;1/1/1990,"",IF(Main[[#This Row],[Class]]="C",WORKDAY(Main[[#This Row],[Tech Start Date]],28),IF(Main[[#This Row],[Class]]="B", WORKDAY(Main[[#This Row],[Tech Start Date]],19),IF(Main[[#This Row],[Class]]="A",WORKDAY(Main[[#This Row],[Tech Start Date]],9),""))))</f>
        <v/>
      </c>
      <c r="Q1136" s="101"/>
      <c r="R1136" s="101"/>
      <c r="S1136" s="99" t="s">
        <v>11</v>
      </c>
      <c r="T1136" s="107" t="s">
        <v>4</v>
      </c>
      <c r="U1136" s="99" t="s">
        <v>14</v>
      </c>
      <c r="V1136" s="99" t="s">
        <v>1963</v>
      </c>
      <c r="W1136" s="99" t="s">
        <v>4</v>
      </c>
    </row>
    <row r="1137" spans="1:23" ht="18.600000000000001" customHeight="1">
      <c r="A1137" s="123" t="str">
        <f>IF(priority(Main[[#This Row],[Comments]])&lt;&gt;0, priority(Main[[#This Row],[Comments]]),"")</f>
        <v/>
      </c>
      <c r="B1137" s="127" t="s">
        <v>2680</v>
      </c>
      <c r="C1137" s="99" t="s">
        <v>2681</v>
      </c>
      <c r="D1137" s="100" t="s">
        <v>3039</v>
      </c>
      <c r="E1137" s="101">
        <v>40871.220509259256</v>
      </c>
      <c r="F1137" s="101"/>
      <c r="G1137" s="102" t="str">
        <f>IF(stdProdLT(Main[[#This Row],[Comments]])=0.1,"N/A",IF(stdProdLT(Main[[#This Row],[Comments]])=0,"",stdProdLT(Main[[#This Row],[Comments]])))</f>
        <v/>
      </c>
      <c r="H1137" s="103" t="str">
        <f>IF(AND(Main[[#This Row],[In Stock Date]]&lt;&gt;"",Main[[#This Row],[Revised Due Date]]&lt;&gt;""),Main[[#This Row],[In Stock Date]]-Main[[#This Row],[Revised Due Date]],"")</f>
        <v/>
      </c>
      <c r="I1137" s="99" t="s">
        <v>4</v>
      </c>
      <c r="J1137" s="99" t="s">
        <v>4</v>
      </c>
      <c r="K1137" s="99" t="s">
        <v>4</v>
      </c>
      <c r="L1137" s="101"/>
      <c r="M1137" s="104" t="str">
        <f>IF(Main[[#This Row],[Tech Start Date]]&lt;1/1/1990,"",IF(Main[[#This Row],[Class]]="C",WORKDAY(Main[[#This Row],[Tech Start Date]],9),IF(Main[[#This Row],[Class]]="B", WORKDAY(Main[[#This Row],[Tech Start Date]],6),IF(Main[[#This Row],[Class]]="A",WORKDAY(Main[[#This Row],[Tech Start Date]],2),""))))</f>
        <v/>
      </c>
      <c r="N1137" s="104" t="str">
        <f>IF(Main[[#This Row],[Tech Start Date]]&lt;1/1/1990,"",IF(Main[[#This Row],[Class]]="C",WORKDAY(Main[[#This Row],[Tech Start Date]],19),IF(Main[[#This Row],[Class]]="B", WORKDAY(Main[[#This Row],[Tech Start Date]],12),IF(Main[[#This Row],[Class]]="A",WORKDAY(Main[[#This Row],[Tech Start Date]],4),""))))</f>
        <v/>
      </c>
      <c r="O1137" s="104" t="str">
        <f>IF(Main[[#This Row],[Tech Start Date]]&lt;1/1/1990,"",IF(Main[[#This Row],[Class]]="C",WORKDAY(Main[[#This Row],[Tech Start Date]],23),IF(Main[[#This Row],[Class]]="B", WORKDAY(Main[[#This Row],[Tech Start Date]],15),IF(Main[[#This Row],[Class]]="A",WORKDAY(Main[[#This Row],[Tech Start Date]],5),""))))</f>
        <v/>
      </c>
      <c r="P1137" s="104" t="str">
        <f>IF(Main[[#This Row],[Tech Start Date]]&lt;1/1/1990,"",IF(Main[[#This Row],[Class]]="C",WORKDAY(Main[[#This Row],[Tech Start Date]],28),IF(Main[[#This Row],[Class]]="B", WORKDAY(Main[[#This Row],[Tech Start Date]],19),IF(Main[[#This Row],[Class]]="A",WORKDAY(Main[[#This Row],[Tech Start Date]],9),""))))</f>
        <v/>
      </c>
      <c r="Q1137" s="101">
        <v>40875</v>
      </c>
      <c r="R1137" s="101"/>
      <c r="S1137" s="99" t="s">
        <v>11</v>
      </c>
      <c r="T1137" s="107" t="s">
        <v>3040</v>
      </c>
      <c r="U1137" s="99" t="s">
        <v>704</v>
      </c>
      <c r="V1137" s="99" t="s">
        <v>1965</v>
      </c>
      <c r="W1137" s="99" t="s">
        <v>1970</v>
      </c>
    </row>
    <row r="1138" spans="1:23" ht="18.600000000000001" customHeight="1">
      <c r="A1138" s="123" t="str">
        <f>IF(priority(Main[[#This Row],[Comments]])&lt;&gt;0, priority(Main[[#This Row],[Comments]]),"")</f>
        <v/>
      </c>
      <c r="B1138" s="127" t="s">
        <v>1436</v>
      </c>
      <c r="C1138" s="99" t="s">
        <v>489</v>
      </c>
      <c r="D1138" s="100" t="s">
        <v>2736</v>
      </c>
      <c r="E1138" s="101"/>
      <c r="F1138" s="101">
        <v>40452</v>
      </c>
      <c r="G1138" s="102" t="str">
        <f>IF(stdProdLT(Main[[#This Row],[Comments]])=0.1,"N/A",IF(stdProdLT(Main[[#This Row],[Comments]])=0,"",stdProdLT(Main[[#This Row],[Comments]])))</f>
        <v/>
      </c>
      <c r="H1138" s="103" t="str">
        <f>IF(AND(Main[[#This Row],[In Stock Date]]&lt;&gt;"",Main[[#This Row],[Revised Due Date]]&lt;&gt;""),Main[[#This Row],[In Stock Date]]-Main[[#This Row],[Revised Due Date]],"")</f>
        <v/>
      </c>
      <c r="I1138" s="99" t="s">
        <v>4</v>
      </c>
      <c r="J1138" s="99" t="s">
        <v>4</v>
      </c>
      <c r="K1138" s="99" t="s">
        <v>4</v>
      </c>
      <c r="L1138" s="101"/>
      <c r="M1138" s="104" t="str">
        <f>IF(Main[[#This Row],[Tech Start Date]]&lt;1/1/1990,"",IF(Main[[#This Row],[Class]]="C",WORKDAY(Main[[#This Row],[Tech Start Date]],9),IF(Main[[#This Row],[Class]]="B", WORKDAY(Main[[#This Row],[Tech Start Date]],6),IF(Main[[#This Row],[Class]]="A",WORKDAY(Main[[#This Row],[Tech Start Date]],2),""))))</f>
        <v/>
      </c>
      <c r="N1138" s="104" t="str">
        <f>IF(Main[[#This Row],[Tech Start Date]]&lt;1/1/1990,"",IF(Main[[#This Row],[Class]]="C",WORKDAY(Main[[#This Row],[Tech Start Date]],19),IF(Main[[#This Row],[Class]]="B", WORKDAY(Main[[#This Row],[Tech Start Date]],12),IF(Main[[#This Row],[Class]]="A",WORKDAY(Main[[#This Row],[Tech Start Date]],4),""))))</f>
        <v/>
      </c>
      <c r="O1138" s="104" t="str">
        <f>IF(Main[[#This Row],[Tech Start Date]]&lt;1/1/1990,"",IF(Main[[#This Row],[Class]]="C",WORKDAY(Main[[#This Row],[Tech Start Date]],23),IF(Main[[#This Row],[Class]]="B", WORKDAY(Main[[#This Row],[Tech Start Date]],15),IF(Main[[#This Row],[Class]]="A",WORKDAY(Main[[#This Row],[Tech Start Date]],5),""))))</f>
        <v/>
      </c>
      <c r="P1138" s="104" t="str">
        <f>IF(Main[[#This Row],[Tech Start Date]]&lt;1/1/1990,"",IF(Main[[#This Row],[Class]]="C",WORKDAY(Main[[#This Row],[Tech Start Date]],28),IF(Main[[#This Row],[Class]]="B", WORKDAY(Main[[#This Row],[Tech Start Date]],19),IF(Main[[#This Row],[Class]]="A",WORKDAY(Main[[#This Row],[Tech Start Date]],9),""))))</f>
        <v/>
      </c>
      <c r="Q1138" s="101">
        <v>40391</v>
      </c>
      <c r="R1138" s="101"/>
      <c r="S1138" s="99" t="s">
        <v>6</v>
      </c>
      <c r="T1138" s="107" t="s">
        <v>4</v>
      </c>
      <c r="U1138" s="99" t="s">
        <v>14</v>
      </c>
      <c r="V1138" s="99" t="s">
        <v>1962</v>
      </c>
      <c r="W1138" s="99" t="s">
        <v>1967</v>
      </c>
    </row>
    <row r="1139" spans="1:23" ht="18.600000000000001" customHeight="1">
      <c r="A1139" s="123" t="str">
        <f>IF(priority(Main[[#This Row],[Comments]])&lt;&gt;0, priority(Main[[#This Row],[Comments]]),"")</f>
        <v/>
      </c>
      <c r="B1139" s="127" t="s">
        <v>2737</v>
      </c>
      <c r="C1139" s="99" t="s">
        <v>4</v>
      </c>
      <c r="D1139" s="100" t="s">
        <v>2738</v>
      </c>
      <c r="E1139" s="101">
        <v>40855.624421296299</v>
      </c>
      <c r="F1139" s="101"/>
      <c r="G1139" s="102" t="str">
        <f>IF(stdProdLT(Main[[#This Row],[Comments]])=0.1,"N/A",IF(stdProdLT(Main[[#This Row],[Comments]])=0,"",stdProdLT(Main[[#This Row],[Comments]])))</f>
        <v/>
      </c>
      <c r="H1139" s="103" t="str">
        <f>IF(AND(Main[[#This Row],[In Stock Date]]&lt;&gt;"",Main[[#This Row],[Revised Due Date]]&lt;&gt;""),Main[[#This Row],[In Stock Date]]-Main[[#This Row],[Revised Due Date]],"")</f>
        <v/>
      </c>
      <c r="I1139" s="99" t="s">
        <v>81</v>
      </c>
      <c r="J1139" s="99" t="s">
        <v>21</v>
      </c>
      <c r="K1139" s="99" t="s">
        <v>4</v>
      </c>
      <c r="L1139" s="101"/>
      <c r="M1139" s="104" t="str">
        <f>IF(Main[[#This Row],[Tech Start Date]]&lt;1/1/1990,"",IF(Main[[#This Row],[Class]]="C",WORKDAY(Main[[#This Row],[Tech Start Date]],9),IF(Main[[#This Row],[Class]]="B", WORKDAY(Main[[#This Row],[Tech Start Date]],6),IF(Main[[#This Row],[Class]]="A",WORKDAY(Main[[#This Row],[Tech Start Date]],2),""))))</f>
        <v/>
      </c>
      <c r="N1139" s="104" t="str">
        <f>IF(Main[[#This Row],[Tech Start Date]]&lt;1/1/1990,"",IF(Main[[#This Row],[Class]]="C",WORKDAY(Main[[#This Row],[Tech Start Date]],19),IF(Main[[#This Row],[Class]]="B", WORKDAY(Main[[#This Row],[Tech Start Date]],12),IF(Main[[#This Row],[Class]]="A",WORKDAY(Main[[#This Row],[Tech Start Date]],4),""))))</f>
        <v/>
      </c>
      <c r="O1139" s="104" t="str">
        <f>IF(Main[[#This Row],[Tech Start Date]]&lt;1/1/1990,"",IF(Main[[#This Row],[Class]]="C",WORKDAY(Main[[#This Row],[Tech Start Date]],23),IF(Main[[#This Row],[Class]]="B", WORKDAY(Main[[#This Row],[Tech Start Date]],15),IF(Main[[#This Row],[Class]]="A",WORKDAY(Main[[#This Row],[Tech Start Date]],5),""))))</f>
        <v/>
      </c>
      <c r="P1139" s="104" t="str">
        <f>IF(Main[[#This Row],[Tech Start Date]]&lt;1/1/1990,"",IF(Main[[#This Row],[Class]]="C",WORKDAY(Main[[#This Row],[Tech Start Date]],28),IF(Main[[#This Row],[Class]]="B", WORKDAY(Main[[#This Row],[Tech Start Date]],19),IF(Main[[#This Row],[Class]]="A",WORKDAY(Main[[#This Row],[Tech Start Date]],9),""))))</f>
        <v/>
      </c>
      <c r="Q1139" s="101">
        <v>40908</v>
      </c>
      <c r="R1139" s="101"/>
      <c r="S1139" s="99" t="s">
        <v>6</v>
      </c>
      <c r="T1139" s="107" t="s">
        <v>4</v>
      </c>
      <c r="U1139" s="99" t="s">
        <v>29</v>
      </c>
      <c r="V1139" s="99" t="s">
        <v>1972</v>
      </c>
      <c r="W1139" s="99" t="s">
        <v>1967</v>
      </c>
    </row>
    <row r="1140" spans="1:23" ht="18.600000000000001" customHeight="1">
      <c r="A1140" s="123" t="str">
        <f>IF(priority(Main[[#This Row],[Comments]])&lt;&gt;0, priority(Main[[#This Row],[Comments]]),"")</f>
        <v/>
      </c>
      <c r="B1140" s="127" t="s">
        <v>2739</v>
      </c>
      <c r="C1140" s="99" t="s">
        <v>122</v>
      </c>
      <c r="D1140" s="100" t="s">
        <v>2740</v>
      </c>
      <c r="E1140" s="101">
        <v>40848.481932870367</v>
      </c>
      <c r="F1140" s="101">
        <v>41030</v>
      </c>
      <c r="G1140" s="102">
        <f>IF(stdProdLT(Main[[#This Row],[Comments]])=0.1,"N/A",IF(stdProdLT(Main[[#This Row],[Comments]])=0,"",stdProdLT(Main[[#This Row],[Comments]])))</f>
        <v>126</v>
      </c>
      <c r="H1140" s="103" t="str">
        <f>IF(AND(Main[[#This Row],[In Stock Date]]&lt;&gt;"",Main[[#This Row],[Revised Due Date]]&lt;&gt;""),Main[[#This Row],[In Stock Date]]-Main[[#This Row],[Revised Due Date]],"")</f>
        <v/>
      </c>
      <c r="I1140" s="99" t="s">
        <v>4</v>
      </c>
      <c r="J1140" s="99" t="s">
        <v>4</v>
      </c>
      <c r="K1140" s="99" t="s">
        <v>4</v>
      </c>
      <c r="L1140" s="101"/>
      <c r="M1140" s="104" t="str">
        <f>IF(Main[[#This Row],[Tech Start Date]]&lt;1/1/1990,"",IF(Main[[#This Row],[Class]]="C",WORKDAY(Main[[#This Row],[Tech Start Date]],9),IF(Main[[#This Row],[Class]]="B", WORKDAY(Main[[#This Row],[Tech Start Date]],6),IF(Main[[#This Row],[Class]]="A",WORKDAY(Main[[#This Row],[Tech Start Date]],2),""))))</f>
        <v/>
      </c>
      <c r="N1140" s="104" t="str">
        <f>IF(Main[[#This Row],[Tech Start Date]]&lt;1/1/1990,"",IF(Main[[#This Row],[Class]]="C",WORKDAY(Main[[#This Row],[Tech Start Date]],19),IF(Main[[#This Row],[Class]]="B", WORKDAY(Main[[#This Row],[Tech Start Date]],12),IF(Main[[#This Row],[Class]]="A",WORKDAY(Main[[#This Row],[Tech Start Date]],4),""))))</f>
        <v/>
      </c>
      <c r="O1140" s="104" t="str">
        <f>IF(Main[[#This Row],[Tech Start Date]]&lt;1/1/1990,"",IF(Main[[#This Row],[Class]]="C",WORKDAY(Main[[#This Row],[Tech Start Date]],23),IF(Main[[#This Row],[Class]]="B", WORKDAY(Main[[#This Row],[Tech Start Date]],15),IF(Main[[#This Row],[Class]]="A",WORKDAY(Main[[#This Row],[Tech Start Date]],5),""))))</f>
        <v/>
      </c>
      <c r="P1140" s="104" t="str">
        <f>IF(Main[[#This Row],[Tech Start Date]]&lt;1/1/1990,"",IF(Main[[#This Row],[Class]]="C",WORKDAY(Main[[#This Row],[Tech Start Date]],28),IF(Main[[#This Row],[Class]]="B", WORKDAY(Main[[#This Row],[Tech Start Date]],19),IF(Main[[#This Row],[Class]]="A",WORKDAY(Main[[#This Row],[Tech Start Date]],9),""))))</f>
        <v/>
      </c>
      <c r="Q1140" s="101">
        <v>40907</v>
      </c>
      <c r="R1140" s="101"/>
      <c r="S1140" s="99" t="s">
        <v>11</v>
      </c>
      <c r="T1140" s="107" t="s">
        <v>2741</v>
      </c>
      <c r="U1140" s="99" t="s">
        <v>7</v>
      </c>
      <c r="V1140" s="99" t="s">
        <v>1962</v>
      </c>
      <c r="W1140" s="99" t="s">
        <v>1968</v>
      </c>
    </row>
    <row r="1141" spans="1:23" ht="18.600000000000001" customHeight="1">
      <c r="A1141" s="123" t="str">
        <f>IF(priority(Main[[#This Row],[Comments]])&lt;&gt;0, priority(Main[[#This Row],[Comments]]),"")</f>
        <v/>
      </c>
      <c r="B1141" s="127" t="s">
        <v>2742</v>
      </c>
      <c r="C1141" s="99" t="s">
        <v>4</v>
      </c>
      <c r="D1141" s="100" t="s">
        <v>2743</v>
      </c>
      <c r="E1141" s="101">
        <v>40861.6484837963</v>
      </c>
      <c r="F1141" s="101"/>
      <c r="G1141" s="102" t="str">
        <f>IF(stdProdLT(Main[[#This Row],[Comments]])=0.1,"N/A",IF(stdProdLT(Main[[#This Row],[Comments]])=0,"",stdProdLT(Main[[#This Row],[Comments]])))</f>
        <v/>
      </c>
      <c r="H1141" s="103" t="str">
        <f>IF(AND(Main[[#This Row],[In Stock Date]]&lt;&gt;"",Main[[#This Row],[Revised Due Date]]&lt;&gt;""),Main[[#This Row],[In Stock Date]]-Main[[#This Row],[Revised Due Date]],"")</f>
        <v/>
      </c>
      <c r="I1141" s="99" t="s">
        <v>4</v>
      </c>
      <c r="J1141" s="99" t="s">
        <v>4</v>
      </c>
      <c r="K1141" s="99" t="s">
        <v>4</v>
      </c>
      <c r="L1141" s="101"/>
      <c r="M1141" s="104" t="str">
        <f>IF(Main[[#This Row],[Tech Start Date]]&lt;1/1/1990,"",IF(Main[[#This Row],[Class]]="C",WORKDAY(Main[[#This Row],[Tech Start Date]],9),IF(Main[[#This Row],[Class]]="B", WORKDAY(Main[[#This Row],[Tech Start Date]],6),IF(Main[[#This Row],[Class]]="A",WORKDAY(Main[[#This Row],[Tech Start Date]],2),""))))</f>
        <v/>
      </c>
      <c r="N1141" s="104" t="str">
        <f>IF(Main[[#This Row],[Tech Start Date]]&lt;1/1/1990,"",IF(Main[[#This Row],[Class]]="C",WORKDAY(Main[[#This Row],[Tech Start Date]],19),IF(Main[[#This Row],[Class]]="B", WORKDAY(Main[[#This Row],[Tech Start Date]],12),IF(Main[[#This Row],[Class]]="A",WORKDAY(Main[[#This Row],[Tech Start Date]],4),""))))</f>
        <v/>
      </c>
      <c r="O1141" s="104" t="str">
        <f>IF(Main[[#This Row],[Tech Start Date]]&lt;1/1/1990,"",IF(Main[[#This Row],[Class]]="C",WORKDAY(Main[[#This Row],[Tech Start Date]],23),IF(Main[[#This Row],[Class]]="B", WORKDAY(Main[[#This Row],[Tech Start Date]],15),IF(Main[[#This Row],[Class]]="A",WORKDAY(Main[[#This Row],[Tech Start Date]],5),""))))</f>
        <v/>
      </c>
      <c r="P1141" s="104" t="str">
        <f>IF(Main[[#This Row],[Tech Start Date]]&lt;1/1/1990,"",IF(Main[[#This Row],[Class]]="C",WORKDAY(Main[[#This Row],[Tech Start Date]],28),IF(Main[[#This Row],[Class]]="B", WORKDAY(Main[[#This Row],[Tech Start Date]],19),IF(Main[[#This Row],[Class]]="A",WORKDAY(Main[[#This Row],[Tech Start Date]],9),""))))</f>
        <v/>
      </c>
      <c r="Q1141" s="101">
        <v>41372</v>
      </c>
      <c r="R1141" s="101"/>
      <c r="S1141" s="99" t="s">
        <v>17</v>
      </c>
      <c r="T1141" s="107" t="s">
        <v>4</v>
      </c>
      <c r="U1141" s="99" t="s">
        <v>7</v>
      </c>
      <c r="V1141" s="99" t="s">
        <v>1965</v>
      </c>
      <c r="W1141" s="99" t="s">
        <v>1967</v>
      </c>
    </row>
    <row r="1142" spans="1:23" ht="18.600000000000001" customHeight="1">
      <c r="A1142" s="123" t="str">
        <f>IF(priority(Main[[#This Row],[Comments]])&lt;&gt;0, priority(Main[[#This Row],[Comments]]),"")</f>
        <v/>
      </c>
      <c r="B1142" s="127" t="s">
        <v>2706</v>
      </c>
      <c r="C1142" s="99" t="s">
        <v>4</v>
      </c>
      <c r="D1142" s="100" t="s">
        <v>2707</v>
      </c>
      <c r="E1142" s="101"/>
      <c r="F1142" s="101"/>
      <c r="G1142" s="102" t="str">
        <f>IF(stdProdLT(Main[[#This Row],[Comments]])=0.1,"N/A",IF(stdProdLT(Main[[#This Row],[Comments]])=0,"",stdProdLT(Main[[#This Row],[Comments]])))</f>
        <v/>
      </c>
      <c r="H1142" s="103" t="str">
        <f>IF(AND(Main[[#This Row],[In Stock Date]]&lt;&gt;"",Main[[#This Row],[Revised Due Date]]&lt;&gt;""),Main[[#This Row],[In Stock Date]]-Main[[#This Row],[Revised Due Date]],"")</f>
        <v/>
      </c>
      <c r="I1142" s="99" t="s">
        <v>4</v>
      </c>
      <c r="J1142" s="99" t="s">
        <v>4</v>
      </c>
      <c r="K1142" s="99" t="s">
        <v>4</v>
      </c>
      <c r="L1142" s="101"/>
      <c r="M1142" s="104" t="str">
        <f>IF(Main[[#This Row],[Tech Start Date]]&lt;1/1/1990,"",IF(Main[[#This Row],[Class]]="C",WORKDAY(Main[[#This Row],[Tech Start Date]],9),IF(Main[[#This Row],[Class]]="B", WORKDAY(Main[[#This Row],[Tech Start Date]],6),IF(Main[[#This Row],[Class]]="A",WORKDAY(Main[[#This Row],[Tech Start Date]],2),""))))</f>
        <v/>
      </c>
      <c r="N1142" s="104" t="str">
        <f>IF(Main[[#This Row],[Tech Start Date]]&lt;1/1/1990,"",IF(Main[[#This Row],[Class]]="C",WORKDAY(Main[[#This Row],[Tech Start Date]],19),IF(Main[[#This Row],[Class]]="B", WORKDAY(Main[[#This Row],[Tech Start Date]],12),IF(Main[[#This Row],[Class]]="A",WORKDAY(Main[[#This Row],[Tech Start Date]],4),""))))</f>
        <v/>
      </c>
      <c r="O1142" s="104" t="str">
        <f>IF(Main[[#This Row],[Tech Start Date]]&lt;1/1/1990,"",IF(Main[[#This Row],[Class]]="C",WORKDAY(Main[[#This Row],[Tech Start Date]],23),IF(Main[[#This Row],[Class]]="B", WORKDAY(Main[[#This Row],[Tech Start Date]],15),IF(Main[[#This Row],[Class]]="A",WORKDAY(Main[[#This Row],[Tech Start Date]],5),""))))</f>
        <v/>
      </c>
      <c r="P1142" s="104" t="str">
        <f>IF(Main[[#This Row],[Tech Start Date]]&lt;1/1/1990,"",IF(Main[[#This Row],[Class]]="C",WORKDAY(Main[[#This Row],[Tech Start Date]],28),IF(Main[[#This Row],[Class]]="B", WORKDAY(Main[[#This Row],[Tech Start Date]],19),IF(Main[[#This Row],[Class]]="A",WORKDAY(Main[[#This Row],[Tech Start Date]],9),""))))</f>
        <v/>
      </c>
      <c r="Q1142" s="101"/>
      <c r="R1142" s="101"/>
      <c r="S1142" s="99" t="s">
        <v>23</v>
      </c>
      <c r="T1142" s="107" t="s">
        <v>4</v>
      </c>
      <c r="U1142" s="99" t="s">
        <v>14</v>
      </c>
      <c r="V1142" s="99" t="s">
        <v>1962</v>
      </c>
      <c r="W1142" s="99" t="s">
        <v>1968</v>
      </c>
    </row>
    <row r="1143" spans="1:23" ht="18.600000000000001" customHeight="1">
      <c r="A1143" s="123" t="str">
        <f>IF(priority(Main[[#This Row],[Comments]])&lt;&gt;0, priority(Main[[#This Row],[Comments]]),"")</f>
        <v/>
      </c>
      <c r="B1143" s="127" t="s">
        <v>2727</v>
      </c>
      <c r="C1143" s="99" t="s">
        <v>3077</v>
      </c>
      <c r="D1143" s="100" t="s">
        <v>2728</v>
      </c>
      <c r="E1143" s="101">
        <v>40877.312037037038</v>
      </c>
      <c r="F1143" s="101">
        <v>41030</v>
      </c>
      <c r="G1143" s="102">
        <f>IF(stdProdLT(Main[[#This Row],[Comments]])=0.1,"N/A",IF(stdProdLT(Main[[#This Row],[Comments]])=0,"",stdProdLT(Main[[#This Row],[Comments]])))</f>
        <v>168</v>
      </c>
      <c r="H1143" s="103" t="str">
        <f>IF(AND(Main[[#This Row],[In Stock Date]]&lt;&gt;"",Main[[#This Row],[Revised Due Date]]&lt;&gt;""),Main[[#This Row],[In Stock Date]]-Main[[#This Row],[Revised Due Date]],"")</f>
        <v/>
      </c>
      <c r="I1143" s="99" t="s">
        <v>4</v>
      </c>
      <c r="J1143" s="99" t="s">
        <v>28</v>
      </c>
      <c r="K1143" s="99" t="s">
        <v>4</v>
      </c>
      <c r="L1143" s="101"/>
      <c r="M1143" s="104" t="str">
        <f>IF(Main[[#This Row],[Tech Start Date]]&lt;1/1/1990,"",IF(Main[[#This Row],[Class]]="C",WORKDAY(Main[[#This Row],[Tech Start Date]],9),IF(Main[[#This Row],[Class]]="B", WORKDAY(Main[[#This Row],[Tech Start Date]],6),IF(Main[[#This Row],[Class]]="A",WORKDAY(Main[[#This Row],[Tech Start Date]],2),""))))</f>
        <v/>
      </c>
      <c r="N1143" s="104" t="str">
        <f>IF(Main[[#This Row],[Tech Start Date]]&lt;1/1/1990,"",IF(Main[[#This Row],[Class]]="C",WORKDAY(Main[[#This Row],[Tech Start Date]],19),IF(Main[[#This Row],[Class]]="B", WORKDAY(Main[[#This Row],[Tech Start Date]],12),IF(Main[[#This Row],[Class]]="A",WORKDAY(Main[[#This Row],[Tech Start Date]],4),""))))</f>
        <v/>
      </c>
      <c r="O1143" s="104" t="str">
        <f>IF(Main[[#This Row],[Tech Start Date]]&lt;1/1/1990,"",IF(Main[[#This Row],[Class]]="C",WORKDAY(Main[[#This Row],[Tech Start Date]],23),IF(Main[[#This Row],[Class]]="B", WORKDAY(Main[[#This Row],[Tech Start Date]],15),IF(Main[[#This Row],[Class]]="A",WORKDAY(Main[[#This Row],[Tech Start Date]],5),""))))</f>
        <v/>
      </c>
      <c r="P1143" s="104" t="str">
        <f>IF(Main[[#This Row],[Tech Start Date]]&lt;1/1/1990,"",IF(Main[[#This Row],[Class]]="C",WORKDAY(Main[[#This Row],[Tech Start Date]],28),IF(Main[[#This Row],[Class]]="B", WORKDAY(Main[[#This Row],[Tech Start Date]],19),IF(Main[[#This Row],[Class]]="A",WORKDAY(Main[[#This Row],[Tech Start Date]],9),""))))</f>
        <v/>
      </c>
      <c r="Q1143" s="101">
        <v>40923</v>
      </c>
      <c r="R1143" s="101"/>
      <c r="S1143" s="99" t="s">
        <v>11</v>
      </c>
      <c r="T1143" s="107" t="s">
        <v>3089</v>
      </c>
      <c r="U1143" s="99" t="s">
        <v>7</v>
      </c>
      <c r="V1143" s="99" t="s">
        <v>1962</v>
      </c>
      <c r="W1143" s="99" t="s">
        <v>1968</v>
      </c>
    </row>
    <row r="1144" spans="1:23" ht="18.600000000000001" customHeight="1">
      <c r="A1144" s="123" t="str">
        <f>IF(priority(Main[[#This Row],[Comments]])&lt;&gt;0, priority(Main[[#This Row],[Comments]]),"")</f>
        <v/>
      </c>
      <c r="B1144" s="127" t="s">
        <v>2744</v>
      </c>
      <c r="C1144" s="99" t="s">
        <v>2453</v>
      </c>
      <c r="D1144" s="100" t="s">
        <v>2745</v>
      </c>
      <c r="E1144" s="101"/>
      <c r="F1144" s="101">
        <v>41030</v>
      </c>
      <c r="G1144" s="102" t="str">
        <f>IF(stdProdLT(Main[[#This Row],[Comments]])=0.1,"N/A",IF(stdProdLT(Main[[#This Row],[Comments]])=0,"",stdProdLT(Main[[#This Row],[Comments]])))</f>
        <v/>
      </c>
      <c r="H1144" s="103" t="str">
        <f>IF(AND(Main[[#This Row],[In Stock Date]]&lt;&gt;"",Main[[#This Row],[Revised Due Date]]&lt;&gt;""),Main[[#This Row],[In Stock Date]]-Main[[#This Row],[Revised Due Date]],"")</f>
        <v/>
      </c>
      <c r="I1144" s="99" t="s">
        <v>4</v>
      </c>
      <c r="J1144" s="99" t="s">
        <v>75</v>
      </c>
      <c r="K1144" s="99" t="s">
        <v>4</v>
      </c>
      <c r="L1144" s="101"/>
      <c r="M1144" s="104" t="str">
        <f>IF(Main[[#This Row],[Tech Start Date]]&lt;1/1/1990,"",IF(Main[[#This Row],[Class]]="C",WORKDAY(Main[[#This Row],[Tech Start Date]],9),IF(Main[[#This Row],[Class]]="B", WORKDAY(Main[[#This Row],[Tech Start Date]],6),IF(Main[[#This Row],[Class]]="A",WORKDAY(Main[[#This Row],[Tech Start Date]],2),""))))</f>
        <v/>
      </c>
      <c r="N1144" s="104" t="str">
        <f>IF(Main[[#This Row],[Tech Start Date]]&lt;1/1/1990,"",IF(Main[[#This Row],[Class]]="C",WORKDAY(Main[[#This Row],[Tech Start Date]],19),IF(Main[[#This Row],[Class]]="B", WORKDAY(Main[[#This Row],[Tech Start Date]],12),IF(Main[[#This Row],[Class]]="A",WORKDAY(Main[[#This Row],[Tech Start Date]],4),""))))</f>
        <v/>
      </c>
      <c r="O1144" s="104" t="str">
        <f>IF(Main[[#This Row],[Tech Start Date]]&lt;1/1/1990,"",IF(Main[[#This Row],[Class]]="C",WORKDAY(Main[[#This Row],[Tech Start Date]],23),IF(Main[[#This Row],[Class]]="B", WORKDAY(Main[[#This Row],[Tech Start Date]],15),IF(Main[[#This Row],[Class]]="A",WORKDAY(Main[[#This Row],[Tech Start Date]],5),""))))</f>
        <v/>
      </c>
      <c r="P1144" s="104" t="str">
        <f>IF(Main[[#This Row],[Tech Start Date]]&lt;1/1/1990,"",IF(Main[[#This Row],[Class]]="C",WORKDAY(Main[[#This Row],[Tech Start Date]],28),IF(Main[[#This Row],[Class]]="B", WORKDAY(Main[[#This Row],[Tech Start Date]],19),IF(Main[[#This Row],[Class]]="A",WORKDAY(Main[[#This Row],[Tech Start Date]],9),""))))</f>
        <v/>
      </c>
      <c r="Q1144" s="101">
        <v>40923</v>
      </c>
      <c r="R1144" s="101"/>
      <c r="S1144" s="99" t="s">
        <v>11</v>
      </c>
      <c r="T1144" s="107" t="s">
        <v>4</v>
      </c>
      <c r="U1144" s="99" t="s">
        <v>12</v>
      </c>
      <c r="V1144" s="99" t="s">
        <v>1972</v>
      </c>
      <c r="W1144" s="99" t="s">
        <v>1968</v>
      </c>
    </row>
    <row r="1145" spans="1:23" ht="18.600000000000001" customHeight="1">
      <c r="A1145" s="123" t="str">
        <f>IF(priority(Main[[#This Row],[Comments]])&lt;&gt;0, priority(Main[[#This Row],[Comments]]),"")</f>
        <v/>
      </c>
      <c r="B1145" s="127" t="s">
        <v>2748</v>
      </c>
      <c r="C1145" s="99" t="s">
        <v>4</v>
      </c>
      <c r="D1145" s="100" t="s">
        <v>2749</v>
      </c>
      <c r="E1145" s="101"/>
      <c r="F1145" s="101"/>
      <c r="G1145" s="102" t="str">
        <f>IF(stdProdLT(Main[[#This Row],[Comments]])=0.1,"N/A",IF(stdProdLT(Main[[#This Row],[Comments]])=0,"",stdProdLT(Main[[#This Row],[Comments]])))</f>
        <v/>
      </c>
      <c r="H1145" s="103" t="str">
        <f>IF(AND(Main[[#This Row],[In Stock Date]]&lt;&gt;"",Main[[#This Row],[Revised Due Date]]&lt;&gt;""),Main[[#This Row],[In Stock Date]]-Main[[#This Row],[Revised Due Date]],"")</f>
        <v/>
      </c>
      <c r="I1145" s="99" t="s">
        <v>4</v>
      </c>
      <c r="J1145" s="99" t="s">
        <v>4</v>
      </c>
      <c r="K1145" s="99" t="s">
        <v>4</v>
      </c>
      <c r="L1145" s="101"/>
      <c r="M1145" s="104" t="str">
        <f>IF(Main[[#This Row],[Tech Start Date]]&lt;1/1/1990,"",IF(Main[[#This Row],[Class]]="C",WORKDAY(Main[[#This Row],[Tech Start Date]],9),IF(Main[[#This Row],[Class]]="B", WORKDAY(Main[[#This Row],[Tech Start Date]],6),IF(Main[[#This Row],[Class]]="A",WORKDAY(Main[[#This Row],[Tech Start Date]],2),""))))</f>
        <v/>
      </c>
      <c r="N1145" s="104" t="str">
        <f>IF(Main[[#This Row],[Tech Start Date]]&lt;1/1/1990,"",IF(Main[[#This Row],[Class]]="C",WORKDAY(Main[[#This Row],[Tech Start Date]],19),IF(Main[[#This Row],[Class]]="B", WORKDAY(Main[[#This Row],[Tech Start Date]],12),IF(Main[[#This Row],[Class]]="A",WORKDAY(Main[[#This Row],[Tech Start Date]],4),""))))</f>
        <v/>
      </c>
      <c r="O1145" s="104" t="str">
        <f>IF(Main[[#This Row],[Tech Start Date]]&lt;1/1/1990,"",IF(Main[[#This Row],[Class]]="C",WORKDAY(Main[[#This Row],[Tech Start Date]],23),IF(Main[[#This Row],[Class]]="B", WORKDAY(Main[[#This Row],[Tech Start Date]],15),IF(Main[[#This Row],[Class]]="A",WORKDAY(Main[[#This Row],[Tech Start Date]],5),""))))</f>
        <v/>
      </c>
      <c r="P1145" s="104" t="str">
        <f>IF(Main[[#This Row],[Tech Start Date]]&lt;1/1/1990,"",IF(Main[[#This Row],[Class]]="C",WORKDAY(Main[[#This Row],[Tech Start Date]],28),IF(Main[[#This Row],[Class]]="B", WORKDAY(Main[[#This Row],[Tech Start Date]],19),IF(Main[[#This Row],[Class]]="A",WORKDAY(Main[[#This Row],[Tech Start Date]],9),""))))</f>
        <v/>
      </c>
      <c r="Q1145" s="101"/>
      <c r="R1145" s="101"/>
      <c r="S1145" s="99" t="s">
        <v>6</v>
      </c>
      <c r="T1145" s="107" t="s">
        <v>4</v>
      </c>
      <c r="U1145" s="99" t="s">
        <v>14</v>
      </c>
      <c r="V1145" s="99" t="s">
        <v>1972</v>
      </c>
      <c r="W1145" s="99" t="s">
        <v>1966</v>
      </c>
    </row>
    <row r="1146" spans="1:23" ht="18.600000000000001" customHeight="1">
      <c r="A1146" s="123" t="str">
        <f>IF(priority(Main[[#This Row],[Comments]])&lt;&gt;0, priority(Main[[#This Row],[Comments]]),"")</f>
        <v/>
      </c>
      <c r="B1146" s="127" t="s">
        <v>1897</v>
      </c>
      <c r="C1146" s="99" t="s">
        <v>47</v>
      </c>
      <c r="D1146" s="100" t="s">
        <v>927</v>
      </c>
      <c r="E1146" s="101">
        <v>39937.598483796297</v>
      </c>
      <c r="F1146" s="101"/>
      <c r="G1146" s="102" t="str">
        <f>IF(stdProdLT(Main[[#This Row],[Comments]])=0.1,"N/A",IF(stdProdLT(Main[[#This Row],[Comments]])=0,"",stdProdLT(Main[[#This Row],[Comments]])))</f>
        <v/>
      </c>
      <c r="H1146" s="103" t="str">
        <f>IF(AND(Main[[#This Row],[In Stock Date]]&lt;&gt;"",Main[[#This Row],[Revised Due Date]]&lt;&gt;""),Main[[#This Row],[In Stock Date]]-Main[[#This Row],[Revised Due Date]],"")</f>
        <v/>
      </c>
      <c r="I1146" s="99" t="s">
        <v>915</v>
      </c>
      <c r="J1146" s="99" t="s">
        <v>4</v>
      </c>
      <c r="K1146" s="99" t="s">
        <v>1974</v>
      </c>
      <c r="L1146" s="101"/>
      <c r="M1146" s="104" t="str">
        <f>IF(Main[[#This Row],[Tech Start Date]]&lt;1/1/1990,"",IF(Main[[#This Row],[Class]]="C",WORKDAY(Main[[#This Row],[Tech Start Date]],9),IF(Main[[#This Row],[Class]]="B", WORKDAY(Main[[#This Row],[Tech Start Date]],6),IF(Main[[#This Row],[Class]]="A",WORKDAY(Main[[#This Row],[Tech Start Date]],2),""))))</f>
        <v/>
      </c>
      <c r="N1146" s="104" t="str">
        <f>IF(Main[[#This Row],[Tech Start Date]]&lt;1/1/1990,"",IF(Main[[#This Row],[Class]]="C",WORKDAY(Main[[#This Row],[Tech Start Date]],19),IF(Main[[#This Row],[Class]]="B", WORKDAY(Main[[#This Row],[Tech Start Date]],12),IF(Main[[#This Row],[Class]]="A",WORKDAY(Main[[#This Row],[Tech Start Date]],4),""))))</f>
        <v/>
      </c>
      <c r="O1146" s="104" t="str">
        <f>IF(Main[[#This Row],[Tech Start Date]]&lt;1/1/1990,"",IF(Main[[#This Row],[Class]]="C",WORKDAY(Main[[#This Row],[Tech Start Date]],23),IF(Main[[#This Row],[Class]]="B", WORKDAY(Main[[#This Row],[Tech Start Date]],15),IF(Main[[#This Row],[Class]]="A",WORKDAY(Main[[#This Row],[Tech Start Date]],5),""))))</f>
        <v/>
      </c>
      <c r="P1146" s="104" t="str">
        <f>IF(Main[[#This Row],[Tech Start Date]]&lt;1/1/1990,"",IF(Main[[#This Row],[Class]]="C",WORKDAY(Main[[#This Row],[Tech Start Date]],28),IF(Main[[#This Row],[Class]]="B", WORKDAY(Main[[#This Row],[Tech Start Date]],19),IF(Main[[#This Row],[Class]]="A",WORKDAY(Main[[#This Row],[Tech Start Date]],9),""))))</f>
        <v/>
      </c>
      <c r="Q1146" s="101"/>
      <c r="R1146" s="101">
        <v>40945</v>
      </c>
      <c r="S1146" s="99" t="s">
        <v>17</v>
      </c>
      <c r="T1146" s="107" t="s">
        <v>4</v>
      </c>
      <c r="U1146" s="99" t="s">
        <v>29</v>
      </c>
      <c r="V1146" s="99" t="s">
        <v>1965</v>
      </c>
      <c r="W1146" s="99" t="s">
        <v>1967</v>
      </c>
    </row>
    <row r="1147" spans="1:23" ht="18.600000000000001" customHeight="1">
      <c r="A1147" s="123" t="str">
        <f>IF(priority(Main[[#This Row],[Comments]])&lt;&gt;0, priority(Main[[#This Row],[Comments]]),"")</f>
        <v/>
      </c>
      <c r="B1147" s="127" t="s">
        <v>2846</v>
      </c>
      <c r="C1147" s="99" t="s">
        <v>122</v>
      </c>
      <c r="D1147" s="100" t="s">
        <v>2847</v>
      </c>
      <c r="E1147" s="101">
        <v>40848.443101851852</v>
      </c>
      <c r="F1147" s="101">
        <v>41030</v>
      </c>
      <c r="G1147" s="102">
        <f>IF(stdProdLT(Main[[#This Row],[Comments]])=0.1,"N/A",IF(stdProdLT(Main[[#This Row],[Comments]])=0,"",stdProdLT(Main[[#This Row],[Comments]])))</f>
        <v>126</v>
      </c>
      <c r="H1147" s="103" t="str">
        <f>IF(AND(Main[[#This Row],[In Stock Date]]&lt;&gt;"",Main[[#This Row],[Revised Due Date]]&lt;&gt;""),Main[[#This Row],[In Stock Date]]-Main[[#This Row],[Revised Due Date]],"")</f>
        <v/>
      </c>
      <c r="I1147" s="99" t="s">
        <v>4</v>
      </c>
      <c r="J1147" s="99" t="s">
        <v>4</v>
      </c>
      <c r="K1147" s="99" t="s">
        <v>4</v>
      </c>
      <c r="L1147" s="101"/>
      <c r="M1147" s="104" t="str">
        <f>IF(Main[[#This Row],[Tech Start Date]]&lt;1/1/1990,"",IF(Main[[#This Row],[Class]]="C",WORKDAY(Main[[#This Row],[Tech Start Date]],9),IF(Main[[#This Row],[Class]]="B", WORKDAY(Main[[#This Row],[Tech Start Date]],6),IF(Main[[#This Row],[Class]]="A",WORKDAY(Main[[#This Row],[Tech Start Date]],2),""))))</f>
        <v/>
      </c>
      <c r="N1147" s="104" t="str">
        <f>IF(Main[[#This Row],[Tech Start Date]]&lt;1/1/1990,"",IF(Main[[#This Row],[Class]]="C",WORKDAY(Main[[#This Row],[Tech Start Date]],19),IF(Main[[#This Row],[Class]]="B", WORKDAY(Main[[#This Row],[Tech Start Date]],12),IF(Main[[#This Row],[Class]]="A",WORKDAY(Main[[#This Row],[Tech Start Date]],4),""))))</f>
        <v/>
      </c>
      <c r="O1147" s="104" t="str">
        <f>IF(Main[[#This Row],[Tech Start Date]]&lt;1/1/1990,"",IF(Main[[#This Row],[Class]]="C",WORKDAY(Main[[#This Row],[Tech Start Date]],23),IF(Main[[#This Row],[Class]]="B", WORKDAY(Main[[#This Row],[Tech Start Date]],15),IF(Main[[#This Row],[Class]]="A",WORKDAY(Main[[#This Row],[Tech Start Date]],5),""))))</f>
        <v/>
      </c>
      <c r="P1147" s="104" t="str">
        <f>IF(Main[[#This Row],[Tech Start Date]]&lt;1/1/1990,"",IF(Main[[#This Row],[Class]]="C",WORKDAY(Main[[#This Row],[Tech Start Date]],28),IF(Main[[#This Row],[Class]]="B", WORKDAY(Main[[#This Row],[Tech Start Date]],19),IF(Main[[#This Row],[Class]]="A",WORKDAY(Main[[#This Row],[Tech Start Date]],9),""))))</f>
        <v/>
      </c>
      <c r="Q1147" s="101"/>
      <c r="R1147" s="101"/>
      <c r="S1147" s="99" t="s">
        <v>11</v>
      </c>
      <c r="T1147" s="107" t="s">
        <v>2741</v>
      </c>
      <c r="U1147" s="99" t="s">
        <v>7</v>
      </c>
      <c r="V1147" s="99" t="s">
        <v>1962</v>
      </c>
      <c r="W1147" s="99" t="s">
        <v>1968</v>
      </c>
    </row>
    <row r="1148" spans="1:23" ht="18.600000000000001" customHeight="1">
      <c r="A1148" s="123" t="str">
        <f>IF(priority(Main[[#This Row],[Comments]])&lt;&gt;0, priority(Main[[#This Row],[Comments]]),"")</f>
        <v/>
      </c>
      <c r="B1148" s="127" t="s">
        <v>2755</v>
      </c>
      <c r="C1148" s="99" t="s">
        <v>4</v>
      </c>
      <c r="D1148" s="100" t="s">
        <v>2756</v>
      </c>
      <c r="E1148" s="101">
        <v>40834.332835648151</v>
      </c>
      <c r="F1148" s="101"/>
      <c r="G1148" s="102" t="str">
        <f>IF(stdProdLT(Main[[#This Row],[Comments]])=0.1,"N/A",IF(stdProdLT(Main[[#This Row],[Comments]])=0,"",stdProdLT(Main[[#This Row],[Comments]])))</f>
        <v/>
      </c>
      <c r="H1148" s="103" t="str">
        <f>IF(AND(Main[[#This Row],[In Stock Date]]&lt;&gt;"",Main[[#This Row],[Revised Due Date]]&lt;&gt;""),Main[[#This Row],[In Stock Date]]-Main[[#This Row],[Revised Due Date]],"")</f>
        <v/>
      </c>
      <c r="I1148" s="99" t="s">
        <v>4</v>
      </c>
      <c r="J1148" s="99" t="s">
        <v>4</v>
      </c>
      <c r="K1148" s="108" t="s">
        <v>4</v>
      </c>
      <c r="L1148" s="101"/>
      <c r="M1148" s="104" t="str">
        <f>IF(Main[[#This Row],[Tech Start Date]]&lt;1/1/1990,"",IF(Main[[#This Row],[Class]]="C",WORKDAY(Main[[#This Row],[Tech Start Date]],9),IF(Main[[#This Row],[Class]]="B", WORKDAY(Main[[#This Row],[Tech Start Date]],6),IF(Main[[#This Row],[Class]]="A",WORKDAY(Main[[#This Row],[Tech Start Date]],2),""))))</f>
        <v/>
      </c>
      <c r="N1148" s="104" t="str">
        <f>IF(Main[[#This Row],[Tech Start Date]]&lt;1/1/1990,"",IF(Main[[#This Row],[Class]]="C",WORKDAY(Main[[#This Row],[Tech Start Date]],19),IF(Main[[#This Row],[Class]]="B", WORKDAY(Main[[#This Row],[Tech Start Date]],12),IF(Main[[#This Row],[Class]]="A",WORKDAY(Main[[#This Row],[Tech Start Date]],4),""))))</f>
        <v/>
      </c>
      <c r="O1148" s="104" t="str">
        <f>IF(Main[[#This Row],[Tech Start Date]]&lt;1/1/1990,"",IF(Main[[#This Row],[Class]]="C",WORKDAY(Main[[#This Row],[Tech Start Date]],23),IF(Main[[#This Row],[Class]]="B", WORKDAY(Main[[#This Row],[Tech Start Date]],15),IF(Main[[#This Row],[Class]]="A",WORKDAY(Main[[#This Row],[Tech Start Date]],5),""))))</f>
        <v/>
      </c>
      <c r="P1148" s="104" t="str">
        <f>IF(Main[[#This Row],[Tech Start Date]]&lt;1/1/1990,"",IF(Main[[#This Row],[Class]]="C",WORKDAY(Main[[#This Row],[Tech Start Date]],28),IF(Main[[#This Row],[Class]]="B", WORKDAY(Main[[#This Row],[Tech Start Date]],19),IF(Main[[#This Row],[Class]]="A",WORKDAY(Main[[#This Row],[Tech Start Date]],9),""))))</f>
        <v/>
      </c>
      <c r="Q1148" s="101"/>
      <c r="R1148" s="101"/>
      <c r="S1148" s="99" t="s">
        <v>6</v>
      </c>
      <c r="T1148" s="107" t="s">
        <v>4</v>
      </c>
      <c r="U1148" s="99" t="s">
        <v>29</v>
      </c>
      <c r="V1148" s="99" t="s">
        <v>1965</v>
      </c>
      <c r="W1148" s="99" t="s">
        <v>1966</v>
      </c>
    </row>
    <row r="1149" spans="1:23" ht="18.600000000000001" customHeight="1">
      <c r="A1149" s="123" t="str">
        <f>IF(priority(Main[[#This Row],[Comments]])&lt;&gt;0, priority(Main[[#This Row],[Comments]]),"")</f>
        <v/>
      </c>
      <c r="B1149" s="127" t="s">
        <v>1331</v>
      </c>
      <c r="C1149" s="99" t="s">
        <v>4</v>
      </c>
      <c r="D1149" s="100" t="s">
        <v>374</v>
      </c>
      <c r="E1149" s="101">
        <v>40610.689421296294</v>
      </c>
      <c r="F1149" s="101"/>
      <c r="G1149" s="102" t="str">
        <f>IF(stdProdLT(Main[[#This Row],[Comments]])=0.1,"N/A",IF(stdProdLT(Main[[#This Row],[Comments]])=0,"",stdProdLT(Main[[#This Row],[Comments]])))</f>
        <v/>
      </c>
      <c r="H1149" s="103" t="str">
        <f>IF(AND(Main[[#This Row],[In Stock Date]]&lt;&gt;"",Main[[#This Row],[Revised Due Date]]&lt;&gt;""),Main[[#This Row],[In Stock Date]]-Main[[#This Row],[Revised Due Date]],"")</f>
        <v/>
      </c>
      <c r="I1149" s="99" t="s">
        <v>242</v>
      </c>
      <c r="J1149" s="99" t="s">
        <v>28</v>
      </c>
      <c r="K1149" s="99" t="s">
        <v>1971</v>
      </c>
      <c r="L1149" s="101"/>
      <c r="M1149" s="104" t="str">
        <f>IF(Main[[#This Row],[Tech Start Date]]&lt;1/1/1990,"",IF(Main[[#This Row],[Class]]="C",WORKDAY(Main[[#This Row],[Tech Start Date]],9),IF(Main[[#This Row],[Class]]="B", WORKDAY(Main[[#This Row],[Tech Start Date]],6),IF(Main[[#This Row],[Class]]="A",WORKDAY(Main[[#This Row],[Tech Start Date]],2),""))))</f>
        <v/>
      </c>
      <c r="N1149" s="104" t="str">
        <f>IF(Main[[#This Row],[Tech Start Date]]&lt;1/1/1990,"",IF(Main[[#This Row],[Class]]="C",WORKDAY(Main[[#This Row],[Tech Start Date]],19),IF(Main[[#This Row],[Class]]="B", WORKDAY(Main[[#This Row],[Tech Start Date]],12),IF(Main[[#This Row],[Class]]="A",WORKDAY(Main[[#This Row],[Tech Start Date]],4),""))))</f>
        <v/>
      </c>
      <c r="O1149" s="104" t="str">
        <f>IF(Main[[#This Row],[Tech Start Date]]&lt;1/1/1990,"",IF(Main[[#This Row],[Class]]="C",WORKDAY(Main[[#This Row],[Tech Start Date]],23),IF(Main[[#This Row],[Class]]="B", WORKDAY(Main[[#This Row],[Tech Start Date]],15),IF(Main[[#This Row],[Class]]="A",WORKDAY(Main[[#This Row],[Tech Start Date]],5),""))))</f>
        <v/>
      </c>
      <c r="P1149" s="104" t="str">
        <f>IF(Main[[#This Row],[Tech Start Date]]&lt;1/1/1990,"",IF(Main[[#This Row],[Class]]="C",WORKDAY(Main[[#This Row],[Tech Start Date]],28),IF(Main[[#This Row],[Class]]="B", WORKDAY(Main[[#This Row],[Tech Start Date]],19),IF(Main[[#This Row],[Class]]="A",WORKDAY(Main[[#This Row],[Tech Start Date]],9),""))))</f>
        <v/>
      </c>
      <c r="Q1149" s="101">
        <v>40695</v>
      </c>
      <c r="R1149" s="101"/>
      <c r="S1149" s="99" t="s">
        <v>6</v>
      </c>
      <c r="T1149" s="107" t="s">
        <v>4</v>
      </c>
      <c r="U1149" s="99" t="s">
        <v>29</v>
      </c>
      <c r="V1149" s="99" t="s">
        <v>1965</v>
      </c>
      <c r="W1149" s="99" t="s">
        <v>1964</v>
      </c>
    </row>
    <row r="1150" spans="1:23" ht="18.600000000000001" customHeight="1">
      <c r="A1150" s="123" t="str">
        <f>IF(priority(Main[[#This Row],[Comments]])&lt;&gt;0, priority(Main[[#This Row],[Comments]]),"")</f>
        <v/>
      </c>
      <c r="B1150" s="127" t="s">
        <v>2757</v>
      </c>
      <c r="C1150" s="99" t="s">
        <v>2758</v>
      </c>
      <c r="D1150" s="100" t="s">
        <v>2759</v>
      </c>
      <c r="E1150" s="101"/>
      <c r="F1150" s="101"/>
      <c r="G1150" s="102" t="str">
        <f>IF(stdProdLT(Main[[#This Row],[Comments]])=0.1,"N/A",IF(stdProdLT(Main[[#This Row],[Comments]])=0,"",stdProdLT(Main[[#This Row],[Comments]])))</f>
        <v/>
      </c>
      <c r="H1150" s="103" t="str">
        <f>IF(AND(Main[[#This Row],[In Stock Date]]&lt;&gt;"",Main[[#This Row],[Revised Due Date]]&lt;&gt;""),Main[[#This Row],[In Stock Date]]-Main[[#This Row],[Revised Due Date]],"")</f>
        <v/>
      </c>
      <c r="I1150" s="99" t="s">
        <v>4</v>
      </c>
      <c r="J1150" s="99" t="s">
        <v>4</v>
      </c>
      <c r="K1150" s="99" t="s">
        <v>4</v>
      </c>
      <c r="L1150" s="101"/>
      <c r="M1150" s="104" t="str">
        <f>IF(Main[[#This Row],[Tech Start Date]]&lt;1/1/1990,"",IF(Main[[#This Row],[Class]]="C",WORKDAY(Main[[#This Row],[Tech Start Date]],9),IF(Main[[#This Row],[Class]]="B", WORKDAY(Main[[#This Row],[Tech Start Date]],6),IF(Main[[#This Row],[Class]]="A",WORKDAY(Main[[#This Row],[Tech Start Date]],2),""))))</f>
        <v/>
      </c>
      <c r="N1150" s="104" t="str">
        <f>IF(Main[[#This Row],[Tech Start Date]]&lt;1/1/1990,"",IF(Main[[#This Row],[Class]]="C",WORKDAY(Main[[#This Row],[Tech Start Date]],19),IF(Main[[#This Row],[Class]]="B", WORKDAY(Main[[#This Row],[Tech Start Date]],12),IF(Main[[#This Row],[Class]]="A",WORKDAY(Main[[#This Row],[Tech Start Date]],4),""))))</f>
        <v/>
      </c>
      <c r="O1150" s="104" t="str">
        <f>IF(Main[[#This Row],[Tech Start Date]]&lt;1/1/1990,"",IF(Main[[#This Row],[Class]]="C",WORKDAY(Main[[#This Row],[Tech Start Date]],23),IF(Main[[#This Row],[Class]]="B", WORKDAY(Main[[#This Row],[Tech Start Date]],15),IF(Main[[#This Row],[Class]]="A",WORKDAY(Main[[#This Row],[Tech Start Date]],5),""))))</f>
        <v/>
      </c>
      <c r="P1150" s="104" t="str">
        <f>IF(Main[[#This Row],[Tech Start Date]]&lt;1/1/1990,"",IF(Main[[#This Row],[Class]]="C",WORKDAY(Main[[#This Row],[Tech Start Date]],28),IF(Main[[#This Row],[Class]]="B", WORKDAY(Main[[#This Row],[Tech Start Date]],19),IF(Main[[#This Row],[Class]]="A",WORKDAY(Main[[#This Row],[Tech Start Date]],9),""))))</f>
        <v/>
      </c>
      <c r="Q1150" s="101"/>
      <c r="R1150" s="101"/>
      <c r="S1150" s="99" t="s">
        <v>11</v>
      </c>
      <c r="T1150" s="107" t="s">
        <v>4</v>
      </c>
      <c r="U1150" s="99" t="s">
        <v>14</v>
      </c>
      <c r="V1150" s="99" t="s">
        <v>1963</v>
      </c>
      <c r="W1150" s="99" t="s">
        <v>1964</v>
      </c>
    </row>
    <row r="1151" spans="1:23" ht="18.600000000000001" customHeight="1">
      <c r="A1151" s="123" t="str">
        <f>IF(priority(Main[[#This Row],[Comments]])&lt;&gt;0, priority(Main[[#This Row],[Comments]]),"")</f>
        <v/>
      </c>
      <c r="B1151" s="127" t="s">
        <v>2766</v>
      </c>
      <c r="C1151" s="99" t="s">
        <v>4</v>
      </c>
      <c r="D1151" s="100" t="s">
        <v>2767</v>
      </c>
      <c r="E1151" s="101">
        <v>40876.276597222219</v>
      </c>
      <c r="F1151" s="101"/>
      <c r="G1151" s="102" t="str">
        <f>IF(stdProdLT(Main[[#This Row],[Comments]])=0.1,"N/A",IF(stdProdLT(Main[[#This Row],[Comments]])=0,"",stdProdLT(Main[[#This Row],[Comments]])))</f>
        <v/>
      </c>
      <c r="H1151" s="103" t="str">
        <f>IF(AND(Main[[#This Row],[In Stock Date]]&lt;&gt;"",Main[[#This Row],[Revised Due Date]]&lt;&gt;""),Main[[#This Row],[In Stock Date]]-Main[[#This Row],[Revised Due Date]],"")</f>
        <v/>
      </c>
      <c r="I1151" s="99" t="s">
        <v>2102</v>
      </c>
      <c r="J1151" s="99" t="s">
        <v>28</v>
      </c>
      <c r="K1151" s="99" t="s">
        <v>1971</v>
      </c>
      <c r="L1151" s="101"/>
      <c r="M1151" s="104" t="str">
        <f>IF(Main[[#This Row],[Tech Start Date]]&lt;1/1/1990,"",IF(Main[[#This Row],[Class]]="C",WORKDAY(Main[[#This Row],[Tech Start Date]],9),IF(Main[[#This Row],[Class]]="B", WORKDAY(Main[[#This Row],[Tech Start Date]],6),IF(Main[[#This Row],[Class]]="A",WORKDAY(Main[[#This Row],[Tech Start Date]],2),""))))</f>
        <v/>
      </c>
      <c r="N1151" s="104" t="str">
        <f>IF(Main[[#This Row],[Tech Start Date]]&lt;1/1/1990,"",IF(Main[[#This Row],[Class]]="C",WORKDAY(Main[[#This Row],[Tech Start Date]],19),IF(Main[[#This Row],[Class]]="B", WORKDAY(Main[[#This Row],[Tech Start Date]],12),IF(Main[[#This Row],[Class]]="A",WORKDAY(Main[[#This Row],[Tech Start Date]],4),""))))</f>
        <v/>
      </c>
      <c r="O1151" s="104" t="str">
        <f>IF(Main[[#This Row],[Tech Start Date]]&lt;1/1/1990,"",IF(Main[[#This Row],[Class]]="C",WORKDAY(Main[[#This Row],[Tech Start Date]],23),IF(Main[[#This Row],[Class]]="B", WORKDAY(Main[[#This Row],[Tech Start Date]],15),IF(Main[[#This Row],[Class]]="A",WORKDAY(Main[[#This Row],[Tech Start Date]],5),""))))</f>
        <v/>
      </c>
      <c r="P1151" s="104" t="str">
        <f>IF(Main[[#This Row],[Tech Start Date]]&lt;1/1/1990,"",IF(Main[[#This Row],[Class]]="C",WORKDAY(Main[[#This Row],[Tech Start Date]],28),IF(Main[[#This Row],[Class]]="B", WORKDAY(Main[[#This Row],[Tech Start Date]],19),IF(Main[[#This Row],[Class]]="A",WORKDAY(Main[[#This Row],[Tech Start Date]],9),""))))</f>
        <v/>
      </c>
      <c r="Q1151" s="101">
        <v>40907</v>
      </c>
      <c r="R1151" s="101"/>
      <c r="S1151" s="99" t="s">
        <v>6</v>
      </c>
      <c r="T1151" s="107" t="s">
        <v>4</v>
      </c>
      <c r="U1151" s="99" t="s">
        <v>29</v>
      </c>
      <c r="V1151" s="99" t="s">
        <v>1972</v>
      </c>
      <c r="W1151" s="99" t="s">
        <v>1966</v>
      </c>
    </row>
    <row r="1152" spans="1:23" ht="18.600000000000001" customHeight="1">
      <c r="A1152" s="123" t="str">
        <f>IF(priority(Main[[#This Row],[Comments]])&lt;&gt;0, priority(Main[[#This Row],[Comments]]),"")</f>
        <v/>
      </c>
      <c r="B1152" s="127" t="s">
        <v>2760</v>
      </c>
      <c r="C1152" s="99" t="s">
        <v>4</v>
      </c>
      <c r="D1152" s="100" t="s">
        <v>2761</v>
      </c>
      <c r="E1152" s="101">
        <v>40870.465879629628</v>
      </c>
      <c r="F1152" s="101"/>
      <c r="G1152" s="102" t="str">
        <f>IF(stdProdLT(Main[[#This Row],[Comments]])=0.1,"N/A",IF(stdProdLT(Main[[#This Row],[Comments]])=0,"",stdProdLT(Main[[#This Row],[Comments]])))</f>
        <v/>
      </c>
      <c r="H1152" s="103" t="str">
        <f>IF(AND(Main[[#This Row],[In Stock Date]]&lt;&gt;"",Main[[#This Row],[Revised Due Date]]&lt;&gt;""),Main[[#This Row],[In Stock Date]]-Main[[#This Row],[Revised Due Date]],"")</f>
        <v/>
      </c>
      <c r="I1152" s="99" t="s">
        <v>2110</v>
      </c>
      <c r="J1152" s="99" t="s">
        <v>28</v>
      </c>
      <c r="K1152" s="99" t="s">
        <v>1971</v>
      </c>
      <c r="L1152" s="101"/>
      <c r="M1152" s="104" t="str">
        <f>IF(Main[[#This Row],[Tech Start Date]]&lt;1/1/1990,"",IF(Main[[#This Row],[Class]]="C",WORKDAY(Main[[#This Row],[Tech Start Date]],9),IF(Main[[#This Row],[Class]]="B", WORKDAY(Main[[#This Row],[Tech Start Date]],6),IF(Main[[#This Row],[Class]]="A",WORKDAY(Main[[#This Row],[Tech Start Date]],2),""))))</f>
        <v/>
      </c>
      <c r="N1152" s="104" t="str">
        <f>IF(Main[[#This Row],[Tech Start Date]]&lt;1/1/1990,"",IF(Main[[#This Row],[Class]]="C",WORKDAY(Main[[#This Row],[Tech Start Date]],19),IF(Main[[#This Row],[Class]]="B", WORKDAY(Main[[#This Row],[Tech Start Date]],12),IF(Main[[#This Row],[Class]]="A",WORKDAY(Main[[#This Row],[Tech Start Date]],4),""))))</f>
        <v/>
      </c>
      <c r="O1152" s="104" t="str">
        <f>IF(Main[[#This Row],[Tech Start Date]]&lt;1/1/1990,"",IF(Main[[#This Row],[Class]]="C",WORKDAY(Main[[#This Row],[Tech Start Date]],23),IF(Main[[#This Row],[Class]]="B", WORKDAY(Main[[#This Row],[Tech Start Date]],15),IF(Main[[#This Row],[Class]]="A",WORKDAY(Main[[#This Row],[Tech Start Date]],5),""))))</f>
        <v/>
      </c>
      <c r="P1152" s="104" t="str">
        <f>IF(Main[[#This Row],[Tech Start Date]]&lt;1/1/1990,"",IF(Main[[#This Row],[Class]]="C",WORKDAY(Main[[#This Row],[Tech Start Date]],28),IF(Main[[#This Row],[Class]]="B", WORKDAY(Main[[#This Row],[Tech Start Date]],19),IF(Main[[#This Row],[Class]]="A",WORKDAY(Main[[#This Row],[Tech Start Date]],9),""))))</f>
        <v/>
      </c>
      <c r="Q1152" s="101">
        <v>40905</v>
      </c>
      <c r="R1152" s="101"/>
      <c r="S1152" s="99" t="s">
        <v>6</v>
      </c>
      <c r="T1152" s="107" t="s">
        <v>4</v>
      </c>
      <c r="U1152" s="99" t="s">
        <v>29</v>
      </c>
      <c r="V1152" s="99" t="s">
        <v>1965</v>
      </c>
      <c r="W1152" s="99" t="s">
        <v>1966</v>
      </c>
    </row>
    <row r="1153" spans="1:23" ht="18.600000000000001" customHeight="1">
      <c r="A1153" s="123" t="str">
        <f>IF(priority(Main[[#This Row],[Comments]])&lt;&gt;0, priority(Main[[#This Row],[Comments]]),"")</f>
        <v/>
      </c>
      <c r="B1153" s="127" t="s">
        <v>2762</v>
      </c>
      <c r="C1153" s="99" t="s">
        <v>2763</v>
      </c>
      <c r="D1153" s="100" t="s">
        <v>3104</v>
      </c>
      <c r="E1153" s="101">
        <v>40855.339328703703</v>
      </c>
      <c r="F1153" s="101">
        <v>40890</v>
      </c>
      <c r="G1153" s="102" t="str">
        <f>IF(stdProdLT(Main[[#This Row],[Comments]])=0.1,"N/A",IF(stdProdLT(Main[[#This Row],[Comments]])=0,"",stdProdLT(Main[[#This Row],[Comments]])))</f>
        <v/>
      </c>
      <c r="H1153" s="103" t="str">
        <f>IF(AND(Main[[#This Row],[In Stock Date]]&lt;&gt;"",Main[[#This Row],[Revised Due Date]]&lt;&gt;""),Main[[#This Row],[In Stock Date]]-Main[[#This Row],[Revised Due Date]],"")</f>
        <v/>
      </c>
      <c r="I1153" s="99" t="s">
        <v>4</v>
      </c>
      <c r="J1153" s="99" t="s">
        <v>4</v>
      </c>
      <c r="K1153" s="99" t="s">
        <v>4</v>
      </c>
      <c r="L1153" s="101"/>
      <c r="M1153" s="104" t="str">
        <f>IF(Main[[#This Row],[Tech Start Date]]&lt;1/1/1990,"",IF(Main[[#This Row],[Class]]="C",WORKDAY(Main[[#This Row],[Tech Start Date]],9),IF(Main[[#This Row],[Class]]="B", WORKDAY(Main[[#This Row],[Tech Start Date]],6),IF(Main[[#This Row],[Class]]="A",WORKDAY(Main[[#This Row],[Tech Start Date]],2),""))))</f>
        <v/>
      </c>
      <c r="N1153" s="104" t="str">
        <f>IF(Main[[#This Row],[Tech Start Date]]&lt;1/1/1990,"",IF(Main[[#This Row],[Class]]="C",WORKDAY(Main[[#This Row],[Tech Start Date]],19),IF(Main[[#This Row],[Class]]="B", WORKDAY(Main[[#This Row],[Tech Start Date]],12),IF(Main[[#This Row],[Class]]="A",WORKDAY(Main[[#This Row],[Tech Start Date]],4),""))))</f>
        <v/>
      </c>
      <c r="O1153" s="104" t="str">
        <f>IF(Main[[#This Row],[Tech Start Date]]&lt;1/1/1990,"",IF(Main[[#This Row],[Class]]="C",WORKDAY(Main[[#This Row],[Tech Start Date]],23),IF(Main[[#This Row],[Class]]="B", WORKDAY(Main[[#This Row],[Tech Start Date]],15),IF(Main[[#This Row],[Class]]="A",WORKDAY(Main[[#This Row],[Tech Start Date]],5),""))))</f>
        <v/>
      </c>
      <c r="P1153" s="104" t="str">
        <f>IF(Main[[#This Row],[Tech Start Date]]&lt;1/1/1990,"",IF(Main[[#This Row],[Class]]="C",WORKDAY(Main[[#This Row],[Tech Start Date]],28),IF(Main[[#This Row],[Class]]="B", WORKDAY(Main[[#This Row],[Tech Start Date]],19),IF(Main[[#This Row],[Class]]="A",WORKDAY(Main[[#This Row],[Tech Start Date]],9),""))))</f>
        <v/>
      </c>
      <c r="Q1153" s="101">
        <v>40877</v>
      </c>
      <c r="R1153" s="101"/>
      <c r="S1153" s="99" t="s">
        <v>11</v>
      </c>
      <c r="T1153" s="107" t="s">
        <v>4</v>
      </c>
      <c r="U1153" s="99" t="s">
        <v>7</v>
      </c>
      <c r="V1153" s="99" t="s">
        <v>1962</v>
      </c>
      <c r="W1153" s="99" t="s">
        <v>1976</v>
      </c>
    </row>
    <row r="1154" spans="1:23" ht="18.600000000000001" customHeight="1">
      <c r="A1154" s="123" t="str">
        <f>IF(priority(Main[[#This Row],[Comments]])&lt;&gt;0, priority(Main[[#This Row],[Comments]]),"")</f>
        <v/>
      </c>
      <c r="B1154" s="127" t="s">
        <v>2774</v>
      </c>
      <c r="C1154" s="99" t="s">
        <v>4</v>
      </c>
      <c r="D1154" s="100" t="s">
        <v>2775</v>
      </c>
      <c r="E1154" s="101">
        <v>40861.17015046296</v>
      </c>
      <c r="F1154" s="101"/>
      <c r="G1154" s="102" t="str">
        <f>IF(stdProdLT(Main[[#This Row],[Comments]])=0.1,"N/A",IF(stdProdLT(Main[[#This Row],[Comments]])=0,"",stdProdLT(Main[[#This Row],[Comments]])))</f>
        <v/>
      </c>
      <c r="H1154" s="103" t="str">
        <f>IF(AND(Main[[#This Row],[In Stock Date]]&lt;&gt;"",Main[[#This Row],[Revised Due Date]]&lt;&gt;""),Main[[#This Row],[In Stock Date]]-Main[[#This Row],[Revised Due Date]],"")</f>
        <v/>
      </c>
      <c r="I1154" s="99" t="s">
        <v>4</v>
      </c>
      <c r="J1154" s="99" t="s">
        <v>4</v>
      </c>
      <c r="K1154" s="99" t="s">
        <v>4</v>
      </c>
      <c r="L1154" s="101"/>
      <c r="M1154" s="104" t="str">
        <f>IF(Main[[#This Row],[Tech Start Date]]&lt;1/1/1990,"",IF(Main[[#This Row],[Class]]="C",WORKDAY(Main[[#This Row],[Tech Start Date]],9),IF(Main[[#This Row],[Class]]="B", WORKDAY(Main[[#This Row],[Tech Start Date]],6),IF(Main[[#This Row],[Class]]="A",WORKDAY(Main[[#This Row],[Tech Start Date]],2),""))))</f>
        <v/>
      </c>
      <c r="N1154" s="104" t="str">
        <f>IF(Main[[#This Row],[Tech Start Date]]&lt;1/1/1990,"",IF(Main[[#This Row],[Class]]="C",WORKDAY(Main[[#This Row],[Tech Start Date]],19),IF(Main[[#This Row],[Class]]="B", WORKDAY(Main[[#This Row],[Tech Start Date]],12),IF(Main[[#This Row],[Class]]="A",WORKDAY(Main[[#This Row],[Tech Start Date]],4),""))))</f>
        <v/>
      </c>
      <c r="O1154" s="104" t="str">
        <f>IF(Main[[#This Row],[Tech Start Date]]&lt;1/1/1990,"",IF(Main[[#This Row],[Class]]="C",WORKDAY(Main[[#This Row],[Tech Start Date]],23),IF(Main[[#This Row],[Class]]="B", WORKDAY(Main[[#This Row],[Tech Start Date]],15),IF(Main[[#This Row],[Class]]="A",WORKDAY(Main[[#This Row],[Tech Start Date]],5),""))))</f>
        <v/>
      </c>
      <c r="P1154" s="104" t="str">
        <f>IF(Main[[#This Row],[Tech Start Date]]&lt;1/1/1990,"",IF(Main[[#This Row],[Class]]="C",WORKDAY(Main[[#This Row],[Tech Start Date]],28),IF(Main[[#This Row],[Class]]="B", WORKDAY(Main[[#This Row],[Tech Start Date]],19),IF(Main[[#This Row],[Class]]="A",WORKDAY(Main[[#This Row],[Tech Start Date]],9),""))))</f>
        <v/>
      </c>
      <c r="Q1154" s="101">
        <v>40891</v>
      </c>
      <c r="R1154" s="101"/>
      <c r="S1154" s="99" t="s">
        <v>6</v>
      </c>
      <c r="T1154" s="107" t="s">
        <v>4</v>
      </c>
      <c r="U1154" s="99" t="s">
        <v>7</v>
      </c>
      <c r="V1154" s="99" t="s">
        <v>1965</v>
      </c>
      <c r="W1154" s="99" t="s">
        <v>4</v>
      </c>
    </row>
    <row r="1155" spans="1:23" ht="18.600000000000001" customHeight="1">
      <c r="A1155" s="123" t="str">
        <f>IF(priority(Main[[#This Row],[Comments]])&lt;&gt;0, priority(Main[[#This Row],[Comments]]),"")</f>
        <v/>
      </c>
      <c r="B1155" s="127" t="s">
        <v>2776</v>
      </c>
      <c r="C1155" s="99" t="s">
        <v>4</v>
      </c>
      <c r="D1155" s="100" t="s">
        <v>2775</v>
      </c>
      <c r="E1155" s="101"/>
      <c r="F1155" s="101"/>
      <c r="G1155" s="102" t="str">
        <f>IF(stdProdLT(Main[[#This Row],[Comments]])=0.1,"N/A",IF(stdProdLT(Main[[#This Row],[Comments]])=0,"",stdProdLT(Main[[#This Row],[Comments]])))</f>
        <v/>
      </c>
      <c r="H1155" s="103" t="str">
        <f>IF(AND(Main[[#This Row],[In Stock Date]]&lt;&gt;"",Main[[#This Row],[Revised Due Date]]&lt;&gt;""),Main[[#This Row],[In Stock Date]]-Main[[#This Row],[Revised Due Date]],"")</f>
        <v/>
      </c>
      <c r="I1155" s="99" t="s">
        <v>4</v>
      </c>
      <c r="J1155" s="99" t="s">
        <v>4</v>
      </c>
      <c r="K1155" s="108" t="s">
        <v>4</v>
      </c>
      <c r="L1155" s="101"/>
      <c r="M1155" s="104" t="str">
        <f>IF(Main[[#This Row],[Tech Start Date]]&lt;1/1/1990,"",IF(Main[[#This Row],[Class]]="C",WORKDAY(Main[[#This Row],[Tech Start Date]],9),IF(Main[[#This Row],[Class]]="B", WORKDAY(Main[[#This Row],[Tech Start Date]],6),IF(Main[[#This Row],[Class]]="A",WORKDAY(Main[[#This Row],[Tech Start Date]],2),""))))</f>
        <v/>
      </c>
      <c r="N1155" s="104" t="str">
        <f>IF(Main[[#This Row],[Tech Start Date]]&lt;1/1/1990,"",IF(Main[[#This Row],[Class]]="C",WORKDAY(Main[[#This Row],[Tech Start Date]],19),IF(Main[[#This Row],[Class]]="B", WORKDAY(Main[[#This Row],[Tech Start Date]],12),IF(Main[[#This Row],[Class]]="A",WORKDAY(Main[[#This Row],[Tech Start Date]],4),""))))</f>
        <v/>
      </c>
      <c r="O1155" s="104" t="str">
        <f>IF(Main[[#This Row],[Tech Start Date]]&lt;1/1/1990,"",IF(Main[[#This Row],[Class]]="C",WORKDAY(Main[[#This Row],[Tech Start Date]],23),IF(Main[[#This Row],[Class]]="B", WORKDAY(Main[[#This Row],[Tech Start Date]],15),IF(Main[[#This Row],[Class]]="A",WORKDAY(Main[[#This Row],[Tech Start Date]],5),""))))</f>
        <v/>
      </c>
      <c r="P1155" s="104" t="str">
        <f>IF(Main[[#This Row],[Tech Start Date]]&lt;1/1/1990,"",IF(Main[[#This Row],[Class]]="C",WORKDAY(Main[[#This Row],[Tech Start Date]],28),IF(Main[[#This Row],[Class]]="B", WORKDAY(Main[[#This Row],[Tech Start Date]],19),IF(Main[[#This Row],[Class]]="A",WORKDAY(Main[[#This Row],[Tech Start Date]],9),""))))</f>
        <v/>
      </c>
      <c r="Q1155" s="101">
        <v>40891</v>
      </c>
      <c r="R1155" s="101"/>
      <c r="S1155" s="99" t="s">
        <v>6</v>
      </c>
      <c r="T1155" s="107" t="s">
        <v>4</v>
      </c>
      <c r="U1155" s="99" t="s">
        <v>12</v>
      </c>
      <c r="V1155" s="99" t="s">
        <v>1965</v>
      </c>
      <c r="W1155" s="99" t="s">
        <v>4</v>
      </c>
    </row>
    <row r="1156" spans="1:23" ht="18.600000000000001" customHeight="1">
      <c r="A1156" s="123" t="str">
        <f>IF(priority(Main[[#This Row],[Comments]])&lt;&gt;0, priority(Main[[#This Row],[Comments]]),"")</f>
        <v/>
      </c>
      <c r="B1156" s="127" t="s">
        <v>2777</v>
      </c>
      <c r="C1156" s="99" t="s">
        <v>4</v>
      </c>
      <c r="D1156" s="100" t="s">
        <v>2778</v>
      </c>
      <c r="E1156" s="101">
        <v>40844.312905092593</v>
      </c>
      <c r="F1156" s="101"/>
      <c r="G1156" s="102" t="str">
        <f>IF(stdProdLT(Main[[#This Row],[Comments]])=0.1,"N/A",IF(stdProdLT(Main[[#This Row],[Comments]])=0,"",stdProdLT(Main[[#This Row],[Comments]])))</f>
        <v/>
      </c>
      <c r="H1156" s="103" t="str">
        <f>IF(AND(Main[[#This Row],[In Stock Date]]&lt;&gt;"",Main[[#This Row],[Revised Due Date]]&lt;&gt;""),Main[[#This Row],[In Stock Date]]-Main[[#This Row],[Revised Due Date]],"")</f>
        <v/>
      </c>
      <c r="I1156" s="99" t="s">
        <v>893</v>
      </c>
      <c r="J1156" s="99" t="s">
        <v>21</v>
      </c>
      <c r="K1156" s="99" t="s">
        <v>1969</v>
      </c>
      <c r="L1156" s="101"/>
      <c r="M1156" s="104" t="str">
        <f>IF(Main[[#This Row],[Tech Start Date]]&lt;1/1/1990,"",IF(Main[[#This Row],[Class]]="C",WORKDAY(Main[[#This Row],[Tech Start Date]],9),IF(Main[[#This Row],[Class]]="B", WORKDAY(Main[[#This Row],[Tech Start Date]],6),IF(Main[[#This Row],[Class]]="A",WORKDAY(Main[[#This Row],[Tech Start Date]],2),""))))</f>
        <v/>
      </c>
      <c r="N1156" s="104" t="str">
        <f>IF(Main[[#This Row],[Tech Start Date]]&lt;1/1/1990,"",IF(Main[[#This Row],[Class]]="C",WORKDAY(Main[[#This Row],[Tech Start Date]],19),IF(Main[[#This Row],[Class]]="B", WORKDAY(Main[[#This Row],[Tech Start Date]],12),IF(Main[[#This Row],[Class]]="A",WORKDAY(Main[[#This Row],[Tech Start Date]],4),""))))</f>
        <v/>
      </c>
      <c r="O1156" s="104" t="str">
        <f>IF(Main[[#This Row],[Tech Start Date]]&lt;1/1/1990,"",IF(Main[[#This Row],[Class]]="C",WORKDAY(Main[[#This Row],[Tech Start Date]],23),IF(Main[[#This Row],[Class]]="B", WORKDAY(Main[[#This Row],[Tech Start Date]],15),IF(Main[[#This Row],[Class]]="A",WORKDAY(Main[[#This Row],[Tech Start Date]],5),""))))</f>
        <v/>
      </c>
      <c r="P1156" s="104" t="str">
        <f>IF(Main[[#This Row],[Tech Start Date]]&lt;1/1/1990,"",IF(Main[[#This Row],[Class]]="C",WORKDAY(Main[[#This Row],[Tech Start Date]],28),IF(Main[[#This Row],[Class]]="B", WORKDAY(Main[[#This Row],[Tech Start Date]],19),IF(Main[[#This Row],[Class]]="A",WORKDAY(Main[[#This Row],[Tech Start Date]],9),""))))</f>
        <v/>
      </c>
      <c r="Q1156" s="101">
        <v>40877</v>
      </c>
      <c r="R1156" s="101">
        <v>40877</v>
      </c>
      <c r="S1156" s="99" t="s">
        <v>6</v>
      </c>
      <c r="T1156" s="107" t="s">
        <v>4</v>
      </c>
      <c r="U1156" s="99" t="s">
        <v>29</v>
      </c>
      <c r="V1156" s="99" t="s">
        <v>1962</v>
      </c>
      <c r="W1156" s="99" t="s">
        <v>1966</v>
      </c>
    </row>
    <row r="1157" spans="1:23" ht="18.600000000000001" customHeight="1">
      <c r="A1157" s="123" t="str">
        <f>IF(priority(Main[[#This Row],[Comments]])&lt;&gt;0, priority(Main[[#This Row],[Comments]]),"")</f>
        <v/>
      </c>
      <c r="B1157" s="127" t="s">
        <v>2768</v>
      </c>
      <c r="C1157" s="99" t="s">
        <v>4</v>
      </c>
      <c r="D1157" s="100" t="s">
        <v>2769</v>
      </c>
      <c r="E1157" s="101">
        <v>40876.548576388886</v>
      </c>
      <c r="F1157" s="101"/>
      <c r="G1157" s="102" t="str">
        <f>IF(stdProdLT(Main[[#This Row],[Comments]])=0.1,"N/A",IF(stdProdLT(Main[[#This Row],[Comments]])=0,"",stdProdLT(Main[[#This Row],[Comments]])))</f>
        <v/>
      </c>
      <c r="H1157" s="103" t="str">
        <f>IF(AND(Main[[#This Row],[In Stock Date]]&lt;&gt;"",Main[[#This Row],[Revised Due Date]]&lt;&gt;""),Main[[#This Row],[In Stock Date]]-Main[[#This Row],[Revised Due Date]],"")</f>
        <v/>
      </c>
      <c r="I1157" s="99" t="s">
        <v>4</v>
      </c>
      <c r="J1157" s="99" t="s">
        <v>4</v>
      </c>
      <c r="K1157" s="108" t="s">
        <v>4</v>
      </c>
      <c r="L1157" s="101"/>
      <c r="M1157" s="104" t="str">
        <f>IF(Main[[#This Row],[Tech Start Date]]&lt;1/1/1990,"",IF(Main[[#This Row],[Class]]="C",WORKDAY(Main[[#This Row],[Tech Start Date]],9),IF(Main[[#This Row],[Class]]="B", WORKDAY(Main[[#This Row],[Tech Start Date]],6),IF(Main[[#This Row],[Class]]="A",WORKDAY(Main[[#This Row],[Tech Start Date]],2),""))))</f>
        <v/>
      </c>
      <c r="N1157" s="104" t="str">
        <f>IF(Main[[#This Row],[Tech Start Date]]&lt;1/1/1990,"",IF(Main[[#This Row],[Class]]="C",WORKDAY(Main[[#This Row],[Tech Start Date]],19),IF(Main[[#This Row],[Class]]="B", WORKDAY(Main[[#This Row],[Tech Start Date]],12),IF(Main[[#This Row],[Class]]="A",WORKDAY(Main[[#This Row],[Tech Start Date]],4),""))))</f>
        <v/>
      </c>
      <c r="O1157" s="104" t="str">
        <f>IF(Main[[#This Row],[Tech Start Date]]&lt;1/1/1990,"",IF(Main[[#This Row],[Class]]="C",WORKDAY(Main[[#This Row],[Tech Start Date]],23),IF(Main[[#This Row],[Class]]="B", WORKDAY(Main[[#This Row],[Tech Start Date]],15),IF(Main[[#This Row],[Class]]="A",WORKDAY(Main[[#This Row],[Tech Start Date]],5),""))))</f>
        <v/>
      </c>
      <c r="P1157" s="104" t="str">
        <f>IF(Main[[#This Row],[Tech Start Date]]&lt;1/1/1990,"",IF(Main[[#This Row],[Class]]="C",WORKDAY(Main[[#This Row],[Tech Start Date]],28),IF(Main[[#This Row],[Class]]="B", WORKDAY(Main[[#This Row],[Tech Start Date]],19),IF(Main[[#This Row],[Class]]="A",WORKDAY(Main[[#This Row],[Tech Start Date]],9),""))))</f>
        <v/>
      </c>
      <c r="Q1157" s="101"/>
      <c r="R1157" s="101"/>
      <c r="S1157" s="99" t="s">
        <v>6</v>
      </c>
      <c r="T1157" s="107" t="s">
        <v>4</v>
      </c>
      <c r="U1157" s="99" t="s">
        <v>29</v>
      </c>
      <c r="V1157" s="99" t="s">
        <v>1965</v>
      </c>
      <c r="W1157" s="99" t="s">
        <v>1966</v>
      </c>
    </row>
    <row r="1158" spans="1:23" ht="18.600000000000001" customHeight="1">
      <c r="A1158" s="123" t="str">
        <f>IF(priority(Main[[#This Row],[Comments]])&lt;&gt;0, priority(Main[[#This Row],[Comments]]),"")</f>
        <v/>
      </c>
      <c r="B1158" s="127" t="s">
        <v>1376</v>
      </c>
      <c r="C1158" s="99" t="s">
        <v>4</v>
      </c>
      <c r="D1158" s="100" t="s">
        <v>2779</v>
      </c>
      <c r="E1158" s="101">
        <v>40625.74931712963</v>
      </c>
      <c r="F1158" s="101"/>
      <c r="G1158" s="102" t="str">
        <f>IF(stdProdLT(Main[[#This Row],[Comments]])=0.1,"N/A",IF(stdProdLT(Main[[#This Row],[Comments]])=0,"",stdProdLT(Main[[#This Row],[Comments]])))</f>
        <v/>
      </c>
      <c r="H1158" s="103" t="str">
        <f>IF(AND(Main[[#This Row],[In Stock Date]]&lt;&gt;"",Main[[#This Row],[Revised Due Date]]&lt;&gt;""),Main[[#This Row],[In Stock Date]]-Main[[#This Row],[Revised Due Date]],"")</f>
        <v/>
      </c>
      <c r="I1158" s="99" t="s">
        <v>911</v>
      </c>
      <c r="J1158" s="99" t="s">
        <v>28</v>
      </c>
      <c r="K1158" s="99" t="s">
        <v>1971</v>
      </c>
      <c r="L1158" s="101"/>
      <c r="M1158" s="104" t="str">
        <f>IF(Main[[#This Row],[Tech Start Date]]&lt;1/1/1990,"",IF(Main[[#This Row],[Class]]="C",WORKDAY(Main[[#This Row],[Tech Start Date]],9),IF(Main[[#This Row],[Class]]="B", WORKDAY(Main[[#This Row],[Tech Start Date]],6),IF(Main[[#This Row],[Class]]="A",WORKDAY(Main[[#This Row],[Tech Start Date]],2),""))))</f>
        <v/>
      </c>
      <c r="N1158" s="104" t="str">
        <f>IF(Main[[#This Row],[Tech Start Date]]&lt;1/1/1990,"",IF(Main[[#This Row],[Class]]="C",WORKDAY(Main[[#This Row],[Tech Start Date]],19),IF(Main[[#This Row],[Class]]="B", WORKDAY(Main[[#This Row],[Tech Start Date]],12),IF(Main[[#This Row],[Class]]="A",WORKDAY(Main[[#This Row],[Tech Start Date]],4),""))))</f>
        <v/>
      </c>
      <c r="O1158" s="104" t="str">
        <f>IF(Main[[#This Row],[Tech Start Date]]&lt;1/1/1990,"",IF(Main[[#This Row],[Class]]="C",WORKDAY(Main[[#This Row],[Tech Start Date]],23),IF(Main[[#This Row],[Class]]="B", WORKDAY(Main[[#This Row],[Tech Start Date]],15),IF(Main[[#This Row],[Class]]="A",WORKDAY(Main[[#This Row],[Tech Start Date]],5),""))))</f>
        <v/>
      </c>
      <c r="P1158" s="104" t="str">
        <f>IF(Main[[#This Row],[Tech Start Date]]&lt;1/1/1990,"",IF(Main[[#This Row],[Class]]="C",WORKDAY(Main[[#This Row],[Tech Start Date]],28),IF(Main[[#This Row],[Class]]="B", WORKDAY(Main[[#This Row],[Tech Start Date]],19),IF(Main[[#This Row],[Class]]="A",WORKDAY(Main[[#This Row],[Tech Start Date]],9),""))))</f>
        <v/>
      </c>
      <c r="Q1158" s="101">
        <v>40655</v>
      </c>
      <c r="R1158" s="101"/>
      <c r="S1158" s="99" t="s">
        <v>6</v>
      </c>
      <c r="T1158" s="107" t="s">
        <v>4</v>
      </c>
      <c r="U1158" s="99" t="s">
        <v>29</v>
      </c>
      <c r="V1158" s="99" t="s">
        <v>1965</v>
      </c>
      <c r="W1158" s="99" t="s">
        <v>1966</v>
      </c>
    </row>
    <row r="1159" spans="1:23" ht="18.600000000000001" customHeight="1">
      <c r="A1159" s="123" t="str">
        <f>IF(priority(Main[[#This Row],[Comments]])&lt;&gt;0, priority(Main[[#This Row],[Comments]]),"")</f>
        <v/>
      </c>
      <c r="B1159" s="127" t="s">
        <v>2418</v>
      </c>
      <c r="C1159" s="99" t="s">
        <v>2017</v>
      </c>
      <c r="D1159" s="100" t="s">
        <v>3080</v>
      </c>
      <c r="E1159" s="101">
        <v>40875.421516203707</v>
      </c>
      <c r="F1159" s="101"/>
      <c r="G1159" s="102">
        <f>IF(stdProdLT(Main[[#This Row],[Comments]])=0.1,"N/A",IF(stdProdLT(Main[[#This Row],[Comments]])=0,"",stdProdLT(Main[[#This Row],[Comments]])))</f>
        <v>140</v>
      </c>
      <c r="H1159" s="103" t="str">
        <f>IF(AND(Main[[#This Row],[In Stock Date]]&lt;&gt;"",Main[[#This Row],[Revised Due Date]]&lt;&gt;""),Main[[#This Row],[In Stock Date]]-Main[[#This Row],[Revised Due Date]],"")</f>
        <v/>
      </c>
      <c r="I1159" s="99" t="s">
        <v>4</v>
      </c>
      <c r="J1159" s="99" t="s">
        <v>4</v>
      </c>
      <c r="K1159" s="99" t="s">
        <v>4</v>
      </c>
      <c r="L1159" s="101"/>
      <c r="M1159" s="104" t="str">
        <f>IF(Main[[#This Row],[Tech Start Date]]&lt;1/1/1990,"",IF(Main[[#This Row],[Class]]="C",WORKDAY(Main[[#This Row],[Tech Start Date]],9),IF(Main[[#This Row],[Class]]="B", WORKDAY(Main[[#This Row],[Tech Start Date]],6),IF(Main[[#This Row],[Class]]="A",WORKDAY(Main[[#This Row],[Tech Start Date]],2),""))))</f>
        <v/>
      </c>
      <c r="N1159" s="104" t="str">
        <f>IF(Main[[#This Row],[Tech Start Date]]&lt;1/1/1990,"",IF(Main[[#This Row],[Class]]="C",WORKDAY(Main[[#This Row],[Tech Start Date]],19),IF(Main[[#This Row],[Class]]="B", WORKDAY(Main[[#This Row],[Tech Start Date]],12),IF(Main[[#This Row],[Class]]="A",WORKDAY(Main[[#This Row],[Tech Start Date]],4),""))))</f>
        <v/>
      </c>
      <c r="O1159" s="104" t="str">
        <f>IF(Main[[#This Row],[Tech Start Date]]&lt;1/1/1990,"",IF(Main[[#This Row],[Class]]="C",WORKDAY(Main[[#This Row],[Tech Start Date]],23),IF(Main[[#This Row],[Class]]="B", WORKDAY(Main[[#This Row],[Tech Start Date]],15),IF(Main[[#This Row],[Class]]="A",WORKDAY(Main[[#This Row],[Tech Start Date]],5),""))))</f>
        <v/>
      </c>
      <c r="P1159" s="104" t="str">
        <f>IF(Main[[#This Row],[Tech Start Date]]&lt;1/1/1990,"",IF(Main[[#This Row],[Class]]="C",WORKDAY(Main[[#This Row],[Tech Start Date]],28),IF(Main[[#This Row],[Class]]="B", WORKDAY(Main[[#This Row],[Tech Start Date]],19),IF(Main[[#This Row],[Class]]="A",WORKDAY(Main[[#This Row],[Tech Start Date]],9),""))))</f>
        <v/>
      </c>
      <c r="Q1159" s="101"/>
      <c r="R1159" s="101"/>
      <c r="S1159" s="99" t="s">
        <v>11</v>
      </c>
      <c r="T1159" s="107" t="s">
        <v>3081</v>
      </c>
      <c r="U1159" s="99" t="s">
        <v>704</v>
      </c>
      <c r="V1159" s="99" t="s">
        <v>1965</v>
      </c>
      <c r="W1159" s="99" t="s">
        <v>1970</v>
      </c>
    </row>
    <row r="1160" spans="1:23" ht="18.600000000000001" customHeight="1">
      <c r="A1160" s="123" t="str">
        <f>IF(priority(Main[[#This Row],[Comments]])&lt;&gt;0, priority(Main[[#This Row],[Comments]]),"")</f>
        <v/>
      </c>
      <c r="B1160" s="127" t="s">
        <v>3019</v>
      </c>
      <c r="C1160" s="99" t="s">
        <v>4</v>
      </c>
      <c r="D1160" s="100" t="s">
        <v>3020</v>
      </c>
      <c r="E1160" s="101">
        <v>40877.71733796296</v>
      </c>
      <c r="F1160" s="101"/>
      <c r="G1160" s="102" t="str">
        <f>IF(stdProdLT(Main[[#This Row],[Comments]])=0.1,"N/A",IF(stdProdLT(Main[[#This Row],[Comments]])=0,"",stdProdLT(Main[[#This Row],[Comments]])))</f>
        <v/>
      </c>
      <c r="H1160" s="103" t="str">
        <f>IF(AND(Main[[#This Row],[In Stock Date]]&lt;&gt;"",Main[[#This Row],[Revised Due Date]]&lt;&gt;""),Main[[#This Row],[In Stock Date]]-Main[[#This Row],[Revised Due Date]],"")</f>
        <v/>
      </c>
      <c r="I1160" s="99" t="s">
        <v>4</v>
      </c>
      <c r="J1160" s="99" t="s">
        <v>4</v>
      </c>
      <c r="K1160" s="99" t="s">
        <v>4</v>
      </c>
      <c r="L1160" s="101"/>
      <c r="M1160" s="104" t="str">
        <f>IF(Main[[#This Row],[Tech Start Date]]&lt;1/1/1990,"",IF(Main[[#This Row],[Class]]="C",WORKDAY(Main[[#This Row],[Tech Start Date]],9),IF(Main[[#This Row],[Class]]="B", WORKDAY(Main[[#This Row],[Tech Start Date]],6),IF(Main[[#This Row],[Class]]="A",WORKDAY(Main[[#This Row],[Tech Start Date]],2),""))))</f>
        <v/>
      </c>
      <c r="N1160" s="104" t="str">
        <f>IF(Main[[#This Row],[Tech Start Date]]&lt;1/1/1990,"",IF(Main[[#This Row],[Class]]="C",WORKDAY(Main[[#This Row],[Tech Start Date]],19),IF(Main[[#This Row],[Class]]="B", WORKDAY(Main[[#This Row],[Tech Start Date]],12),IF(Main[[#This Row],[Class]]="A",WORKDAY(Main[[#This Row],[Tech Start Date]],4),""))))</f>
        <v/>
      </c>
      <c r="O1160" s="104" t="str">
        <f>IF(Main[[#This Row],[Tech Start Date]]&lt;1/1/1990,"",IF(Main[[#This Row],[Class]]="C",WORKDAY(Main[[#This Row],[Tech Start Date]],23),IF(Main[[#This Row],[Class]]="B", WORKDAY(Main[[#This Row],[Tech Start Date]],15),IF(Main[[#This Row],[Class]]="A",WORKDAY(Main[[#This Row],[Tech Start Date]],5),""))))</f>
        <v/>
      </c>
      <c r="P1160" s="104" t="str">
        <f>IF(Main[[#This Row],[Tech Start Date]]&lt;1/1/1990,"",IF(Main[[#This Row],[Class]]="C",WORKDAY(Main[[#This Row],[Tech Start Date]],28),IF(Main[[#This Row],[Class]]="B", WORKDAY(Main[[#This Row],[Tech Start Date]],19),IF(Main[[#This Row],[Class]]="A",WORKDAY(Main[[#This Row],[Tech Start Date]],9),""))))</f>
        <v/>
      </c>
      <c r="Q1160" s="101">
        <v>40907</v>
      </c>
      <c r="R1160" s="101"/>
      <c r="S1160" s="99" t="s">
        <v>6</v>
      </c>
      <c r="T1160" s="107" t="s">
        <v>4</v>
      </c>
      <c r="U1160" s="99" t="s">
        <v>7</v>
      </c>
      <c r="V1160" s="99" t="s">
        <v>1962</v>
      </c>
      <c r="W1160" s="99" t="s">
        <v>4</v>
      </c>
    </row>
    <row r="1161" spans="1:23" ht="18.600000000000001" customHeight="1">
      <c r="A1161" s="123" t="str">
        <f>IF(priority(Main[[#This Row],[Comments]])&lt;&gt;0, priority(Main[[#This Row],[Comments]]),"")</f>
        <v/>
      </c>
      <c r="B1161" s="127" t="s">
        <v>2349</v>
      </c>
      <c r="C1161" s="99" t="s">
        <v>4</v>
      </c>
      <c r="D1161" s="100" t="s">
        <v>2780</v>
      </c>
      <c r="E1161" s="101">
        <v>40809.3827662037</v>
      </c>
      <c r="F1161" s="101"/>
      <c r="G1161" s="102" t="str">
        <f>IF(stdProdLT(Main[[#This Row],[Comments]])=0.1,"N/A",IF(stdProdLT(Main[[#This Row],[Comments]])=0,"",stdProdLT(Main[[#This Row],[Comments]])))</f>
        <v/>
      </c>
      <c r="H1161" s="103" t="str">
        <f>IF(AND(Main[[#This Row],[In Stock Date]]&lt;&gt;"",Main[[#This Row],[Revised Due Date]]&lt;&gt;""),Main[[#This Row],[In Stock Date]]-Main[[#This Row],[Revised Due Date]],"")</f>
        <v/>
      </c>
      <c r="I1161" s="99" t="s">
        <v>929</v>
      </c>
      <c r="J1161" s="99" t="s">
        <v>52</v>
      </c>
      <c r="K1161" s="99" t="s">
        <v>4</v>
      </c>
      <c r="L1161" s="101"/>
      <c r="M1161" s="104" t="str">
        <f>IF(Main[[#This Row],[Tech Start Date]]&lt;1/1/1990,"",IF(Main[[#This Row],[Class]]="C",WORKDAY(Main[[#This Row],[Tech Start Date]],9),IF(Main[[#This Row],[Class]]="B", WORKDAY(Main[[#This Row],[Tech Start Date]],6),IF(Main[[#This Row],[Class]]="A",WORKDAY(Main[[#This Row],[Tech Start Date]],2),""))))</f>
        <v/>
      </c>
      <c r="N1161" s="104" t="str">
        <f>IF(Main[[#This Row],[Tech Start Date]]&lt;1/1/1990,"",IF(Main[[#This Row],[Class]]="C",WORKDAY(Main[[#This Row],[Tech Start Date]],19),IF(Main[[#This Row],[Class]]="B", WORKDAY(Main[[#This Row],[Tech Start Date]],12),IF(Main[[#This Row],[Class]]="A",WORKDAY(Main[[#This Row],[Tech Start Date]],4),""))))</f>
        <v/>
      </c>
      <c r="O1161" s="104" t="str">
        <f>IF(Main[[#This Row],[Tech Start Date]]&lt;1/1/1990,"",IF(Main[[#This Row],[Class]]="C",WORKDAY(Main[[#This Row],[Tech Start Date]],23),IF(Main[[#This Row],[Class]]="B", WORKDAY(Main[[#This Row],[Tech Start Date]],15),IF(Main[[#This Row],[Class]]="A",WORKDAY(Main[[#This Row],[Tech Start Date]],5),""))))</f>
        <v/>
      </c>
      <c r="P1161" s="104" t="str">
        <f>IF(Main[[#This Row],[Tech Start Date]]&lt;1/1/1990,"",IF(Main[[#This Row],[Class]]="C",WORKDAY(Main[[#This Row],[Tech Start Date]],28),IF(Main[[#This Row],[Class]]="B", WORKDAY(Main[[#This Row],[Tech Start Date]],19),IF(Main[[#This Row],[Class]]="A",WORKDAY(Main[[#This Row],[Tech Start Date]],9),""))))</f>
        <v/>
      </c>
      <c r="Q1161" s="101"/>
      <c r="R1161" s="101">
        <v>40840</v>
      </c>
      <c r="S1161" s="99" t="s">
        <v>6</v>
      </c>
      <c r="T1161" s="107" t="s">
        <v>4</v>
      </c>
      <c r="U1161" s="99" t="s">
        <v>29</v>
      </c>
      <c r="V1161" s="99" t="s">
        <v>1962</v>
      </c>
      <c r="W1161" s="99" t="s">
        <v>1966</v>
      </c>
    </row>
    <row r="1162" spans="1:23" ht="18.600000000000001" customHeight="1">
      <c r="A1162" s="123" t="str">
        <f>IF(priority(Main[[#This Row],[Comments]])&lt;&gt;0, priority(Main[[#This Row],[Comments]]),"")</f>
        <v/>
      </c>
      <c r="B1162" s="127" t="s">
        <v>2781</v>
      </c>
      <c r="C1162" s="99" t="s">
        <v>4</v>
      </c>
      <c r="D1162" s="100" t="s">
        <v>2782</v>
      </c>
      <c r="E1162" s="101">
        <v>40823.31144675926</v>
      </c>
      <c r="F1162" s="101"/>
      <c r="G1162" s="102" t="str">
        <f>IF(stdProdLT(Main[[#This Row],[Comments]])=0.1,"N/A",IF(stdProdLT(Main[[#This Row],[Comments]])=0,"",stdProdLT(Main[[#This Row],[Comments]])))</f>
        <v/>
      </c>
      <c r="H1162" s="103" t="str">
        <f>IF(AND(Main[[#This Row],[In Stock Date]]&lt;&gt;"",Main[[#This Row],[Revised Due Date]]&lt;&gt;""),Main[[#This Row],[In Stock Date]]-Main[[#This Row],[Revised Due Date]],"")</f>
        <v/>
      </c>
      <c r="I1162" s="99" t="s">
        <v>30</v>
      </c>
      <c r="J1162" s="99" t="s">
        <v>21</v>
      </c>
      <c r="K1162" s="99" t="s">
        <v>4</v>
      </c>
      <c r="L1162" s="101"/>
      <c r="M1162" s="104" t="str">
        <f>IF(Main[[#This Row],[Tech Start Date]]&lt;1/1/1990,"",IF(Main[[#This Row],[Class]]="C",WORKDAY(Main[[#This Row],[Tech Start Date]],9),IF(Main[[#This Row],[Class]]="B", WORKDAY(Main[[#This Row],[Tech Start Date]],6),IF(Main[[#This Row],[Class]]="A",WORKDAY(Main[[#This Row],[Tech Start Date]],2),""))))</f>
        <v/>
      </c>
      <c r="N1162" s="104" t="str">
        <f>IF(Main[[#This Row],[Tech Start Date]]&lt;1/1/1990,"",IF(Main[[#This Row],[Class]]="C",WORKDAY(Main[[#This Row],[Tech Start Date]],19),IF(Main[[#This Row],[Class]]="B", WORKDAY(Main[[#This Row],[Tech Start Date]],12),IF(Main[[#This Row],[Class]]="A",WORKDAY(Main[[#This Row],[Tech Start Date]],4),""))))</f>
        <v/>
      </c>
      <c r="O1162" s="104" t="str">
        <f>IF(Main[[#This Row],[Tech Start Date]]&lt;1/1/1990,"",IF(Main[[#This Row],[Class]]="C",WORKDAY(Main[[#This Row],[Tech Start Date]],23),IF(Main[[#This Row],[Class]]="B", WORKDAY(Main[[#This Row],[Tech Start Date]],15),IF(Main[[#This Row],[Class]]="A",WORKDAY(Main[[#This Row],[Tech Start Date]],5),""))))</f>
        <v/>
      </c>
      <c r="P1162" s="104" t="str">
        <f>IF(Main[[#This Row],[Tech Start Date]]&lt;1/1/1990,"",IF(Main[[#This Row],[Class]]="C",WORKDAY(Main[[#This Row],[Tech Start Date]],28),IF(Main[[#This Row],[Class]]="B", WORKDAY(Main[[#This Row],[Tech Start Date]],19),IF(Main[[#This Row],[Class]]="A",WORKDAY(Main[[#This Row],[Tech Start Date]],9),""))))</f>
        <v/>
      </c>
      <c r="Q1162" s="101"/>
      <c r="R1162" s="101"/>
      <c r="S1162" s="99" t="s">
        <v>6</v>
      </c>
      <c r="T1162" s="107" t="s">
        <v>4</v>
      </c>
      <c r="U1162" s="99" t="s">
        <v>29</v>
      </c>
      <c r="V1162" s="99" t="s">
        <v>1965</v>
      </c>
      <c r="W1162" s="99" t="s">
        <v>1964</v>
      </c>
    </row>
    <row r="1163" spans="1:23" ht="18.600000000000001" customHeight="1">
      <c r="A1163" s="123" t="str">
        <f>IF(priority(Main[[#This Row],[Comments]])&lt;&gt;0, priority(Main[[#This Row],[Comments]]),"")</f>
        <v/>
      </c>
      <c r="B1163" s="127" t="s">
        <v>2785</v>
      </c>
      <c r="C1163" s="99" t="s">
        <v>4</v>
      </c>
      <c r="D1163" s="100" t="s">
        <v>2786</v>
      </c>
      <c r="E1163" s="101"/>
      <c r="F1163" s="101"/>
      <c r="G1163" s="102" t="str">
        <f>IF(stdProdLT(Main[[#This Row],[Comments]])=0.1,"N/A",IF(stdProdLT(Main[[#This Row],[Comments]])=0,"",stdProdLT(Main[[#This Row],[Comments]])))</f>
        <v/>
      </c>
      <c r="H1163" s="103" t="str">
        <f>IF(AND(Main[[#This Row],[In Stock Date]]&lt;&gt;"",Main[[#This Row],[Revised Due Date]]&lt;&gt;""),Main[[#This Row],[In Stock Date]]-Main[[#This Row],[Revised Due Date]],"")</f>
        <v/>
      </c>
      <c r="I1163" s="99" t="s">
        <v>4</v>
      </c>
      <c r="J1163" s="99" t="s">
        <v>4</v>
      </c>
      <c r="K1163" s="99" t="s">
        <v>4</v>
      </c>
      <c r="L1163" s="101"/>
      <c r="M1163" s="104" t="str">
        <f>IF(Main[[#This Row],[Tech Start Date]]&lt;1/1/1990,"",IF(Main[[#This Row],[Class]]="C",WORKDAY(Main[[#This Row],[Tech Start Date]],9),IF(Main[[#This Row],[Class]]="B", WORKDAY(Main[[#This Row],[Tech Start Date]],6),IF(Main[[#This Row],[Class]]="A",WORKDAY(Main[[#This Row],[Tech Start Date]],2),""))))</f>
        <v/>
      </c>
      <c r="N1163" s="104" t="str">
        <f>IF(Main[[#This Row],[Tech Start Date]]&lt;1/1/1990,"",IF(Main[[#This Row],[Class]]="C",WORKDAY(Main[[#This Row],[Tech Start Date]],19),IF(Main[[#This Row],[Class]]="B", WORKDAY(Main[[#This Row],[Tech Start Date]],12),IF(Main[[#This Row],[Class]]="A",WORKDAY(Main[[#This Row],[Tech Start Date]],4),""))))</f>
        <v/>
      </c>
      <c r="O1163" s="104" t="str">
        <f>IF(Main[[#This Row],[Tech Start Date]]&lt;1/1/1990,"",IF(Main[[#This Row],[Class]]="C",WORKDAY(Main[[#This Row],[Tech Start Date]],23),IF(Main[[#This Row],[Class]]="B", WORKDAY(Main[[#This Row],[Tech Start Date]],15),IF(Main[[#This Row],[Class]]="A",WORKDAY(Main[[#This Row],[Tech Start Date]],5),""))))</f>
        <v/>
      </c>
      <c r="P1163" s="104" t="str">
        <f>IF(Main[[#This Row],[Tech Start Date]]&lt;1/1/1990,"",IF(Main[[#This Row],[Class]]="C",WORKDAY(Main[[#This Row],[Tech Start Date]],28),IF(Main[[#This Row],[Class]]="B", WORKDAY(Main[[#This Row],[Tech Start Date]],19),IF(Main[[#This Row],[Class]]="A",WORKDAY(Main[[#This Row],[Tech Start Date]],9),""))))</f>
        <v/>
      </c>
      <c r="Q1163" s="101"/>
      <c r="R1163" s="101"/>
      <c r="S1163" s="99" t="s">
        <v>11</v>
      </c>
      <c r="T1163" s="107" t="s">
        <v>4</v>
      </c>
      <c r="U1163" s="99" t="s">
        <v>14</v>
      </c>
      <c r="V1163" s="99" t="s">
        <v>1963</v>
      </c>
      <c r="W1163" s="99" t="s">
        <v>4</v>
      </c>
    </row>
    <row r="1164" spans="1:23" ht="18.600000000000001" customHeight="1">
      <c r="A1164" s="123" t="str">
        <f>IF(priority(Main[[#This Row],[Comments]])&lt;&gt;0, priority(Main[[#This Row],[Comments]]),"")</f>
        <v/>
      </c>
      <c r="B1164" s="127" t="s">
        <v>2374</v>
      </c>
      <c r="C1164" s="99" t="s">
        <v>4</v>
      </c>
      <c r="D1164" s="100" t="s">
        <v>2787</v>
      </c>
      <c r="E1164" s="101">
        <v>40814.667314814818</v>
      </c>
      <c r="F1164" s="101"/>
      <c r="G1164" s="102" t="str">
        <f>IF(stdProdLT(Main[[#This Row],[Comments]])=0.1,"N/A",IF(stdProdLT(Main[[#This Row],[Comments]])=0,"",stdProdLT(Main[[#This Row],[Comments]])))</f>
        <v/>
      </c>
      <c r="H1164" s="103" t="str">
        <f>IF(AND(Main[[#This Row],[In Stock Date]]&lt;&gt;"",Main[[#This Row],[Revised Due Date]]&lt;&gt;""),Main[[#This Row],[In Stock Date]]-Main[[#This Row],[Revised Due Date]],"")</f>
        <v/>
      </c>
      <c r="I1164" s="99" t="s">
        <v>404</v>
      </c>
      <c r="J1164" s="99" t="s">
        <v>75</v>
      </c>
      <c r="K1164" s="108" t="s">
        <v>1971</v>
      </c>
      <c r="L1164" s="101"/>
      <c r="M1164" s="104" t="str">
        <f>IF(Main[[#This Row],[Tech Start Date]]&lt;1/1/1990,"",IF(Main[[#This Row],[Class]]="C",WORKDAY(Main[[#This Row],[Tech Start Date]],9),IF(Main[[#This Row],[Class]]="B", WORKDAY(Main[[#This Row],[Tech Start Date]],6),IF(Main[[#This Row],[Class]]="A",WORKDAY(Main[[#This Row],[Tech Start Date]],2),""))))</f>
        <v/>
      </c>
      <c r="N1164" s="104" t="str">
        <f>IF(Main[[#This Row],[Tech Start Date]]&lt;1/1/1990,"",IF(Main[[#This Row],[Class]]="C",WORKDAY(Main[[#This Row],[Tech Start Date]],19),IF(Main[[#This Row],[Class]]="B", WORKDAY(Main[[#This Row],[Tech Start Date]],12),IF(Main[[#This Row],[Class]]="A",WORKDAY(Main[[#This Row],[Tech Start Date]],4),""))))</f>
        <v/>
      </c>
      <c r="O1164" s="104" t="str">
        <f>IF(Main[[#This Row],[Tech Start Date]]&lt;1/1/1990,"",IF(Main[[#This Row],[Class]]="C",WORKDAY(Main[[#This Row],[Tech Start Date]],23),IF(Main[[#This Row],[Class]]="B", WORKDAY(Main[[#This Row],[Tech Start Date]],15),IF(Main[[#This Row],[Class]]="A",WORKDAY(Main[[#This Row],[Tech Start Date]],5),""))))</f>
        <v/>
      </c>
      <c r="P1164" s="104" t="str">
        <f>IF(Main[[#This Row],[Tech Start Date]]&lt;1/1/1990,"",IF(Main[[#This Row],[Class]]="C",WORKDAY(Main[[#This Row],[Tech Start Date]],28),IF(Main[[#This Row],[Class]]="B", WORKDAY(Main[[#This Row],[Tech Start Date]],19),IF(Main[[#This Row],[Class]]="A",WORKDAY(Main[[#This Row],[Tech Start Date]],9),""))))</f>
        <v/>
      </c>
      <c r="Q1164" s="101"/>
      <c r="R1164" s="101"/>
      <c r="S1164" s="99" t="s">
        <v>6</v>
      </c>
      <c r="T1164" s="107" t="s">
        <v>4</v>
      </c>
      <c r="U1164" s="99" t="s">
        <v>29</v>
      </c>
      <c r="V1164" s="99" t="s">
        <v>1965</v>
      </c>
      <c r="W1164" s="99" t="s">
        <v>1966</v>
      </c>
    </row>
    <row r="1165" spans="1:23" ht="18.600000000000001" customHeight="1">
      <c r="A1165" s="123" t="str">
        <f>IF(priority(Main[[#This Row],[Comments]])&lt;&gt;0, priority(Main[[#This Row],[Comments]]),"")</f>
        <v/>
      </c>
      <c r="B1165" s="127" t="s">
        <v>1738</v>
      </c>
      <c r="C1165" s="99" t="s">
        <v>4</v>
      </c>
      <c r="D1165" s="100" t="s">
        <v>2176</v>
      </c>
      <c r="E1165" s="101"/>
      <c r="F1165" s="101"/>
      <c r="G1165" s="102" t="str">
        <f>IF(stdProdLT(Main[[#This Row],[Comments]])=0.1,"N/A",IF(stdProdLT(Main[[#This Row],[Comments]])=0,"",stdProdLT(Main[[#This Row],[Comments]])))</f>
        <v/>
      </c>
      <c r="H1165" s="103" t="str">
        <f>IF(AND(Main[[#This Row],[In Stock Date]]&lt;&gt;"",Main[[#This Row],[Revised Due Date]]&lt;&gt;""),Main[[#This Row],[In Stock Date]]-Main[[#This Row],[Revised Due Date]],"")</f>
        <v/>
      </c>
      <c r="I1165" s="99" t="s">
        <v>69</v>
      </c>
      <c r="J1165" s="99" t="s">
        <v>70</v>
      </c>
      <c r="K1165" s="99" t="s">
        <v>1971</v>
      </c>
      <c r="L1165" s="101"/>
      <c r="M1165" s="104" t="str">
        <f>IF(Main[[#This Row],[Tech Start Date]]&lt;1/1/1990,"",IF(Main[[#This Row],[Class]]="C",WORKDAY(Main[[#This Row],[Tech Start Date]],9),IF(Main[[#This Row],[Class]]="B", WORKDAY(Main[[#This Row],[Tech Start Date]],6),IF(Main[[#This Row],[Class]]="A",WORKDAY(Main[[#This Row],[Tech Start Date]],2),""))))</f>
        <v/>
      </c>
      <c r="N1165" s="104" t="str">
        <f>IF(Main[[#This Row],[Tech Start Date]]&lt;1/1/1990,"",IF(Main[[#This Row],[Class]]="C",WORKDAY(Main[[#This Row],[Tech Start Date]],19),IF(Main[[#This Row],[Class]]="B", WORKDAY(Main[[#This Row],[Tech Start Date]],12),IF(Main[[#This Row],[Class]]="A",WORKDAY(Main[[#This Row],[Tech Start Date]],4),""))))</f>
        <v/>
      </c>
      <c r="O1165" s="104" t="str">
        <f>IF(Main[[#This Row],[Tech Start Date]]&lt;1/1/1990,"",IF(Main[[#This Row],[Class]]="C",WORKDAY(Main[[#This Row],[Tech Start Date]],23),IF(Main[[#This Row],[Class]]="B", WORKDAY(Main[[#This Row],[Tech Start Date]],15),IF(Main[[#This Row],[Class]]="A",WORKDAY(Main[[#This Row],[Tech Start Date]],5),""))))</f>
        <v/>
      </c>
      <c r="P1165" s="104" t="str">
        <f>IF(Main[[#This Row],[Tech Start Date]]&lt;1/1/1990,"",IF(Main[[#This Row],[Class]]="C",WORKDAY(Main[[#This Row],[Tech Start Date]],28),IF(Main[[#This Row],[Class]]="B", WORKDAY(Main[[#This Row],[Tech Start Date]],19),IF(Main[[#This Row],[Class]]="A",WORKDAY(Main[[#This Row],[Tech Start Date]],9),""))))</f>
        <v/>
      </c>
      <c r="Q1165" s="101">
        <v>40816</v>
      </c>
      <c r="R1165" s="101"/>
      <c r="S1165" s="99" t="s">
        <v>6</v>
      </c>
      <c r="T1165" s="107" t="s">
        <v>4</v>
      </c>
      <c r="U1165" s="99" t="s">
        <v>14</v>
      </c>
      <c r="V1165" s="99" t="s">
        <v>1965</v>
      </c>
      <c r="W1165" s="99" t="s">
        <v>1967</v>
      </c>
    </row>
    <row r="1166" spans="1:23" ht="18.600000000000001" customHeight="1">
      <c r="A1166" s="123" t="str">
        <f>IF(priority(Main[[#This Row],[Comments]])&lt;&gt;0, priority(Main[[#This Row],[Comments]]),"")</f>
        <v/>
      </c>
      <c r="B1166" s="127" t="s">
        <v>2792</v>
      </c>
      <c r="C1166" s="99" t="s">
        <v>3077</v>
      </c>
      <c r="D1166" s="100" t="s">
        <v>2793</v>
      </c>
      <c r="E1166" s="101">
        <v>40877.307962962965</v>
      </c>
      <c r="F1166" s="101">
        <v>41030</v>
      </c>
      <c r="G1166" s="102">
        <f>IF(stdProdLT(Main[[#This Row],[Comments]])=0.1,"N/A",IF(stdProdLT(Main[[#This Row],[Comments]])=0,"",stdProdLT(Main[[#This Row],[Comments]])))</f>
        <v>168</v>
      </c>
      <c r="H1166" s="103" t="str">
        <f>IF(AND(Main[[#This Row],[In Stock Date]]&lt;&gt;"",Main[[#This Row],[Revised Due Date]]&lt;&gt;""),Main[[#This Row],[In Stock Date]]-Main[[#This Row],[Revised Due Date]],"")</f>
        <v/>
      </c>
      <c r="I1166" s="99" t="s">
        <v>4</v>
      </c>
      <c r="J1166" s="99" t="s">
        <v>28</v>
      </c>
      <c r="K1166" s="99" t="s">
        <v>4</v>
      </c>
      <c r="L1166" s="101"/>
      <c r="M1166" s="104" t="str">
        <f>IF(Main[[#This Row],[Tech Start Date]]&lt;1/1/1990,"",IF(Main[[#This Row],[Class]]="C",WORKDAY(Main[[#This Row],[Tech Start Date]],9),IF(Main[[#This Row],[Class]]="B", WORKDAY(Main[[#This Row],[Tech Start Date]],6),IF(Main[[#This Row],[Class]]="A",WORKDAY(Main[[#This Row],[Tech Start Date]],2),""))))</f>
        <v/>
      </c>
      <c r="N1166" s="104" t="str">
        <f>IF(Main[[#This Row],[Tech Start Date]]&lt;1/1/1990,"",IF(Main[[#This Row],[Class]]="C",WORKDAY(Main[[#This Row],[Tech Start Date]],19),IF(Main[[#This Row],[Class]]="B", WORKDAY(Main[[#This Row],[Tech Start Date]],12),IF(Main[[#This Row],[Class]]="A",WORKDAY(Main[[#This Row],[Tech Start Date]],4),""))))</f>
        <v/>
      </c>
      <c r="O1166" s="104" t="str">
        <f>IF(Main[[#This Row],[Tech Start Date]]&lt;1/1/1990,"",IF(Main[[#This Row],[Class]]="C",WORKDAY(Main[[#This Row],[Tech Start Date]],23),IF(Main[[#This Row],[Class]]="B", WORKDAY(Main[[#This Row],[Tech Start Date]],15),IF(Main[[#This Row],[Class]]="A",WORKDAY(Main[[#This Row],[Tech Start Date]],5),""))))</f>
        <v/>
      </c>
      <c r="P1166" s="104" t="str">
        <f>IF(Main[[#This Row],[Tech Start Date]]&lt;1/1/1990,"",IF(Main[[#This Row],[Class]]="C",WORKDAY(Main[[#This Row],[Tech Start Date]],28),IF(Main[[#This Row],[Class]]="B", WORKDAY(Main[[#This Row],[Tech Start Date]],19),IF(Main[[#This Row],[Class]]="A",WORKDAY(Main[[#This Row],[Tech Start Date]],9),""))))</f>
        <v/>
      </c>
      <c r="Q1166" s="101">
        <v>40923</v>
      </c>
      <c r="R1166" s="101"/>
      <c r="S1166" s="99" t="s">
        <v>11</v>
      </c>
      <c r="T1166" s="107" t="s">
        <v>2794</v>
      </c>
      <c r="U1166" s="99" t="s">
        <v>7</v>
      </c>
      <c r="V1166" s="99" t="s">
        <v>1962</v>
      </c>
      <c r="W1166" s="99" t="s">
        <v>1968</v>
      </c>
    </row>
    <row r="1167" spans="1:23" ht="18.600000000000001" customHeight="1">
      <c r="A1167" s="123" t="str">
        <f>IF(priority(Main[[#This Row],[Comments]])&lt;&gt;0, priority(Main[[#This Row],[Comments]]),"")</f>
        <v/>
      </c>
      <c r="B1167" s="127" t="s">
        <v>2367</v>
      </c>
      <c r="C1167" s="99" t="s">
        <v>4</v>
      </c>
      <c r="D1167" s="100" t="s">
        <v>2799</v>
      </c>
      <c r="E1167" s="101"/>
      <c r="F1167" s="101"/>
      <c r="G1167" s="102" t="str">
        <f>IF(stdProdLT(Main[[#This Row],[Comments]])=0.1,"N/A",IF(stdProdLT(Main[[#This Row],[Comments]])=0,"",stdProdLT(Main[[#This Row],[Comments]])))</f>
        <v/>
      </c>
      <c r="H1167" s="103" t="str">
        <f>IF(AND(Main[[#This Row],[In Stock Date]]&lt;&gt;"",Main[[#This Row],[Revised Due Date]]&lt;&gt;""),Main[[#This Row],[In Stock Date]]-Main[[#This Row],[Revised Due Date]],"")</f>
        <v/>
      </c>
      <c r="I1167" s="99" t="s">
        <v>2280</v>
      </c>
      <c r="J1167" s="99" t="s">
        <v>75</v>
      </c>
      <c r="K1167" s="99" t="s">
        <v>1971</v>
      </c>
      <c r="L1167" s="101"/>
      <c r="M1167" s="104" t="str">
        <f>IF(Main[[#This Row],[Tech Start Date]]&lt;1/1/1990,"",IF(Main[[#This Row],[Class]]="C",WORKDAY(Main[[#This Row],[Tech Start Date]],9),IF(Main[[#This Row],[Class]]="B", WORKDAY(Main[[#This Row],[Tech Start Date]],6),IF(Main[[#This Row],[Class]]="A",WORKDAY(Main[[#This Row],[Tech Start Date]],2),""))))</f>
        <v/>
      </c>
      <c r="N1167" s="104" t="str">
        <f>IF(Main[[#This Row],[Tech Start Date]]&lt;1/1/1990,"",IF(Main[[#This Row],[Class]]="C",WORKDAY(Main[[#This Row],[Tech Start Date]],19),IF(Main[[#This Row],[Class]]="B", WORKDAY(Main[[#This Row],[Tech Start Date]],12),IF(Main[[#This Row],[Class]]="A",WORKDAY(Main[[#This Row],[Tech Start Date]],4),""))))</f>
        <v/>
      </c>
      <c r="O1167" s="104" t="str">
        <f>IF(Main[[#This Row],[Tech Start Date]]&lt;1/1/1990,"",IF(Main[[#This Row],[Class]]="C",WORKDAY(Main[[#This Row],[Tech Start Date]],23),IF(Main[[#This Row],[Class]]="B", WORKDAY(Main[[#This Row],[Tech Start Date]],15),IF(Main[[#This Row],[Class]]="A",WORKDAY(Main[[#This Row],[Tech Start Date]],5),""))))</f>
        <v/>
      </c>
      <c r="P1167" s="104" t="str">
        <f>IF(Main[[#This Row],[Tech Start Date]]&lt;1/1/1990,"",IF(Main[[#This Row],[Class]]="C",WORKDAY(Main[[#This Row],[Tech Start Date]],28),IF(Main[[#This Row],[Class]]="B", WORKDAY(Main[[#This Row],[Tech Start Date]],19),IF(Main[[#This Row],[Class]]="A",WORKDAY(Main[[#This Row],[Tech Start Date]],9),""))))</f>
        <v/>
      </c>
      <c r="Q1167" s="101"/>
      <c r="R1167" s="101"/>
      <c r="S1167" s="99" t="s">
        <v>6</v>
      </c>
      <c r="T1167" s="107" t="s">
        <v>4</v>
      </c>
      <c r="U1167" s="99" t="s">
        <v>14</v>
      </c>
      <c r="V1167" s="99" t="s">
        <v>1972</v>
      </c>
      <c r="W1167" s="99" t="s">
        <v>1966</v>
      </c>
    </row>
    <row r="1168" spans="1:23" ht="18.600000000000001" customHeight="1">
      <c r="A1168" s="123" t="str">
        <f>IF(priority(Main[[#This Row],[Comments]])&lt;&gt;0, priority(Main[[#This Row],[Comments]]),"")</f>
        <v/>
      </c>
      <c r="B1168" s="127" t="s">
        <v>1629</v>
      </c>
      <c r="C1168" s="99" t="s">
        <v>4</v>
      </c>
      <c r="D1168" s="100" t="s">
        <v>676</v>
      </c>
      <c r="E1168" s="101"/>
      <c r="F1168" s="101"/>
      <c r="G1168" s="102" t="str">
        <f>IF(stdProdLT(Main[[#This Row],[Comments]])=0.1,"N/A",IF(stdProdLT(Main[[#This Row],[Comments]])=0,"",stdProdLT(Main[[#This Row],[Comments]])))</f>
        <v/>
      </c>
      <c r="H1168" s="103" t="str">
        <f>IF(AND(Main[[#This Row],[In Stock Date]]&lt;&gt;"",Main[[#This Row],[Revised Due Date]]&lt;&gt;""),Main[[#This Row],[In Stock Date]]-Main[[#This Row],[Revised Due Date]],"")</f>
        <v/>
      </c>
      <c r="I1168" s="99" t="s">
        <v>4</v>
      </c>
      <c r="J1168" s="99" t="s">
        <v>4</v>
      </c>
      <c r="K1168" s="99" t="s">
        <v>4</v>
      </c>
      <c r="L1168" s="101"/>
      <c r="M1168" s="104" t="str">
        <f>IF(Main[[#This Row],[Tech Start Date]]&lt;1/1/1990,"",IF(Main[[#This Row],[Class]]="C",WORKDAY(Main[[#This Row],[Tech Start Date]],9),IF(Main[[#This Row],[Class]]="B", WORKDAY(Main[[#This Row],[Tech Start Date]],6),IF(Main[[#This Row],[Class]]="A",WORKDAY(Main[[#This Row],[Tech Start Date]],2),""))))</f>
        <v/>
      </c>
      <c r="N1168" s="104" t="str">
        <f>IF(Main[[#This Row],[Tech Start Date]]&lt;1/1/1990,"",IF(Main[[#This Row],[Class]]="C",WORKDAY(Main[[#This Row],[Tech Start Date]],19),IF(Main[[#This Row],[Class]]="B", WORKDAY(Main[[#This Row],[Tech Start Date]],12),IF(Main[[#This Row],[Class]]="A",WORKDAY(Main[[#This Row],[Tech Start Date]],4),""))))</f>
        <v/>
      </c>
      <c r="O1168" s="104" t="str">
        <f>IF(Main[[#This Row],[Tech Start Date]]&lt;1/1/1990,"",IF(Main[[#This Row],[Class]]="C",WORKDAY(Main[[#This Row],[Tech Start Date]],23),IF(Main[[#This Row],[Class]]="B", WORKDAY(Main[[#This Row],[Tech Start Date]],15),IF(Main[[#This Row],[Class]]="A",WORKDAY(Main[[#This Row],[Tech Start Date]],5),""))))</f>
        <v/>
      </c>
      <c r="P1168" s="104" t="str">
        <f>IF(Main[[#This Row],[Tech Start Date]]&lt;1/1/1990,"",IF(Main[[#This Row],[Class]]="C",WORKDAY(Main[[#This Row],[Tech Start Date]],28),IF(Main[[#This Row],[Class]]="B", WORKDAY(Main[[#This Row],[Tech Start Date]],19),IF(Main[[#This Row],[Class]]="A",WORKDAY(Main[[#This Row],[Tech Start Date]],9),""))))</f>
        <v/>
      </c>
      <c r="Q1168" s="101"/>
      <c r="R1168" s="101"/>
      <c r="S1168" s="99" t="s">
        <v>6</v>
      </c>
      <c r="T1168" s="107" t="s">
        <v>4</v>
      </c>
      <c r="U1168" s="99" t="s">
        <v>14</v>
      </c>
      <c r="V1168" s="99" t="s">
        <v>1962</v>
      </c>
      <c r="W1168" s="99" t="s">
        <v>1970</v>
      </c>
    </row>
    <row r="1169" spans="1:23" ht="18.600000000000001" customHeight="1">
      <c r="A1169" s="123" t="str">
        <f>IF(priority(Main[[#This Row],[Comments]])&lt;&gt;0, priority(Main[[#This Row],[Comments]]),"")</f>
        <v/>
      </c>
      <c r="B1169" s="127" t="s">
        <v>3041</v>
      </c>
      <c r="C1169" s="99" t="s">
        <v>4</v>
      </c>
      <c r="D1169" s="100" t="s">
        <v>3042</v>
      </c>
      <c r="E1169" s="101"/>
      <c r="F1169" s="101"/>
      <c r="G1169" s="102" t="str">
        <f>IF(stdProdLT(Main[[#This Row],[Comments]])=0.1,"N/A",IF(stdProdLT(Main[[#This Row],[Comments]])=0,"",stdProdLT(Main[[#This Row],[Comments]])))</f>
        <v/>
      </c>
      <c r="H1169" s="103" t="str">
        <f>IF(AND(Main[[#This Row],[In Stock Date]]&lt;&gt;"",Main[[#This Row],[Revised Due Date]]&lt;&gt;""),Main[[#This Row],[In Stock Date]]-Main[[#This Row],[Revised Due Date]],"")</f>
        <v/>
      </c>
      <c r="I1169" s="99" t="s">
        <v>4</v>
      </c>
      <c r="J1169" s="99" t="s">
        <v>4</v>
      </c>
      <c r="K1169" s="99" t="s">
        <v>4</v>
      </c>
      <c r="L1169" s="101"/>
      <c r="M1169" s="104" t="str">
        <f>IF(Main[[#This Row],[Tech Start Date]]&lt;1/1/1990,"",IF(Main[[#This Row],[Class]]="C",WORKDAY(Main[[#This Row],[Tech Start Date]],9),IF(Main[[#This Row],[Class]]="B", WORKDAY(Main[[#This Row],[Tech Start Date]],6),IF(Main[[#This Row],[Class]]="A",WORKDAY(Main[[#This Row],[Tech Start Date]],2),""))))</f>
        <v/>
      </c>
      <c r="N1169" s="104" t="str">
        <f>IF(Main[[#This Row],[Tech Start Date]]&lt;1/1/1990,"",IF(Main[[#This Row],[Class]]="C",WORKDAY(Main[[#This Row],[Tech Start Date]],19),IF(Main[[#This Row],[Class]]="B", WORKDAY(Main[[#This Row],[Tech Start Date]],12),IF(Main[[#This Row],[Class]]="A",WORKDAY(Main[[#This Row],[Tech Start Date]],4),""))))</f>
        <v/>
      </c>
      <c r="O1169" s="104" t="str">
        <f>IF(Main[[#This Row],[Tech Start Date]]&lt;1/1/1990,"",IF(Main[[#This Row],[Class]]="C",WORKDAY(Main[[#This Row],[Tech Start Date]],23),IF(Main[[#This Row],[Class]]="B", WORKDAY(Main[[#This Row],[Tech Start Date]],15),IF(Main[[#This Row],[Class]]="A",WORKDAY(Main[[#This Row],[Tech Start Date]],5),""))))</f>
        <v/>
      </c>
      <c r="P1169" s="104" t="str">
        <f>IF(Main[[#This Row],[Tech Start Date]]&lt;1/1/1990,"",IF(Main[[#This Row],[Class]]="C",WORKDAY(Main[[#This Row],[Tech Start Date]],28),IF(Main[[#This Row],[Class]]="B", WORKDAY(Main[[#This Row],[Tech Start Date]],19),IF(Main[[#This Row],[Class]]="A",WORKDAY(Main[[#This Row],[Tech Start Date]],9),""))))</f>
        <v/>
      </c>
      <c r="Q1169" s="101"/>
      <c r="R1169" s="101"/>
      <c r="S1169" s="99" t="s">
        <v>11</v>
      </c>
      <c r="T1169" s="107" t="s">
        <v>4</v>
      </c>
      <c r="U1169" s="99" t="s">
        <v>14</v>
      </c>
      <c r="V1169" s="99" t="s">
        <v>1972</v>
      </c>
      <c r="W1169" s="99" t="s">
        <v>1970</v>
      </c>
    </row>
    <row r="1170" spans="1:23" ht="18.600000000000001" customHeight="1">
      <c r="A1170" s="123" t="str">
        <f>IF(priority(Main[[#This Row],[Comments]])&lt;&gt;0, priority(Main[[#This Row],[Comments]]),"")</f>
        <v/>
      </c>
      <c r="B1170" s="127" t="s">
        <v>2783</v>
      </c>
      <c r="C1170" s="99" t="s">
        <v>4</v>
      </c>
      <c r="D1170" s="100" t="s">
        <v>2784</v>
      </c>
      <c r="E1170" s="101">
        <v>40835.766481481478</v>
      </c>
      <c r="F1170" s="101"/>
      <c r="G1170" s="102" t="str">
        <f>IF(stdProdLT(Main[[#This Row],[Comments]])=0.1,"N/A",IF(stdProdLT(Main[[#This Row],[Comments]])=0,"",stdProdLT(Main[[#This Row],[Comments]])))</f>
        <v/>
      </c>
      <c r="H1170" s="103" t="str">
        <f>IF(AND(Main[[#This Row],[In Stock Date]]&lt;&gt;"",Main[[#This Row],[Revised Due Date]]&lt;&gt;""),Main[[#This Row],[In Stock Date]]-Main[[#This Row],[Revised Due Date]],"")</f>
        <v/>
      </c>
      <c r="I1170" s="99" t="s">
        <v>4</v>
      </c>
      <c r="J1170" s="99" t="s">
        <v>4</v>
      </c>
      <c r="K1170" s="99" t="s">
        <v>4</v>
      </c>
      <c r="L1170" s="101"/>
      <c r="M1170" s="104" t="str">
        <f>IF(Main[[#This Row],[Tech Start Date]]&lt;1/1/1990,"",IF(Main[[#This Row],[Class]]="C",WORKDAY(Main[[#This Row],[Tech Start Date]],9),IF(Main[[#This Row],[Class]]="B", WORKDAY(Main[[#This Row],[Tech Start Date]],6),IF(Main[[#This Row],[Class]]="A",WORKDAY(Main[[#This Row],[Tech Start Date]],2),""))))</f>
        <v/>
      </c>
      <c r="N1170" s="104" t="str">
        <f>IF(Main[[#This Row],[Tech Start Date]]&lt;1/1/1990,"",IF(Main[[#This Row],[Class]]="C",WORKDAY(Main[[#This Row],[Tech Start Date]],19),IF(Main[[#This Row],[Class]]="B", WORKDAY(Main[[#This Row],[Tech Start Date]],12),IF(Main[[#This Row],[Class]]="A",WORKDAY(Main[[#This Row],[Tech Start Date]],4),""))))</f>
        <v/>
      </c>
      <c r="O1170" s="104" t="str">
        <f>IF(Main[[#This Row],[Tech Start Date]]&lt;1/1/1990,"",IF(Main[[#This Row],[Class]]="C",WORKDAY(Main[[#This Row],[Tech Start Date]],23),IF(Main[[#This Row],[Class]]="B", WORKDAY(Main[[#This Row],[Tech Start Date]],15),IF(Main[[#This Row],[Class]]="A",WORKDAY(Main[[#This Row],[Tech Start Date]],5),""))))</f>
        <v/>
      </c>
      <c r="P1170" s="104" t="str">
        <f>IF(Main[[#This Row],[Tech Start Date]]&lt;1/1/1990,"",IF(Main[[#This Row],[Class]]="C",WORKDAY(Main[[#This Row],[Tech Start Date]],28),IF(Main[[#This Row],[Class]]="B", WORKDAY(Main[[#This Row],[Tech Start Date]],19),IF(Main[[#This Row],[Class]]="A",WORKDAY(Main[[#This Row],[Tech Start Date]],9),""))))</f>
        <v/>
      </c>
      <c r="Q1170" s="101">
        <v>40858</v>
      </c>
      <c r="R1170" s="101"/>
      <c r="S1170" s="99" t="s">
        <v>6</v>
      </c>
      <c r="T1170" s="107" t="s">
        <v>4</v>
      </c>
      <c r="U1170" s="99" t="s">
        <v>7</v>
      </c>
      <c r="V1170" s="99" t="s">
        <v>1965</v>
      </c>
      <c r="W1170" s="99" t="s">
        <v>4</v>
      </c>
    </row>
    <row r="1171" spans="1:23" ht="18.600000000000001" customHeight="1">
      <c r="A1171" s="123" t="str">
        <f>IF(priority(Main[[#This Row],[Comments]])&lt;&gt;0, priority(Main[[#This Row],[Comments]]),"")</f>
        <v/>
      </c>
      <c r="B1171" s="127" t="s">
        <v>3044</v>
      </c>
      <c r="C1171" s="99" t="s">
        <v>47</v>
      </c>
      <c r="D1171" s="100" t="s">
        <v>3045</v>
      </c>
      <c r="E1171" s="101"/>
      <c r="F1171" s="101"/>
      <c r="G1171" s="102" t="str">
        <f>IF(stdProdLT(Main[[#This Row],[Comments]])=0.1,"N/A",IF(stdProdLT(Main[[#This Row],[Comments]])=0,"",stdProdLT(Main[[#This Row],[Comments]])))</f>
        <v/>
      </c>
      <c r="H1171" s="103" t="str">
        <f>IF(AND(Main[[#This Row],[In Stock Date]]&lt;&gt;"",Main[[#This Row],[Revised Due Date]]&lt;&gt;""),Main[[#This Row],[In Stock Date]]-Main[[#This Row],[Revised Due Date]],"")</f>
        <v/>
      </c>
      <c r="I1171" s="99" t="s">
        <v>4</v>
      </c>
      <c r="J1171" s="99" t="s">
        <v>4</v>
      </c>
      <c r="K1171" s="99" t="s">
        <v>4</v>
      </c>
      <c r="L1171" s="101"/>
      <c r="M1171" s="104" t="str">
        <f>IF(Main[[#This Row],[Tech Start Date]]&lt;1/1/1990,"",IF(Main[[#This Row],[Class]]="C",WORKDAY(Main[[#This Row],[Tech Start Date]],9),IF(Main[[#This Row],[Class]]="B", WORKDAY(Main[[#This Row],[Tech Start Date]],6),IF(Main[[#This Row],[Class]]="A",WORKDAY(Main[[#This Row],[Tech Start Date]],2),""))))</f>
        <v/>
      </c>
      <c r="N1171" s="104" t="str">
        <f>IF(Main[[#This Row],[Tech Start Date]]&lt;1/1/1990,"",IF(Main[[#This Row],[Class]]="C",WORKDAY(Main[[#This Row],[Tech Start Date]],19),IF(Main[[#This Row],[Class]]="B", WORKDAY(Main[[#This Row],[Tech Start Date]],12),IF(Main[[#This Row],[Class]]="A",WORKDAY(Main[[#This Row],[Tech Start Date]],4),""))))</f>
        <v/>
      </c>
      <c r="O1171" s="104" t="str">
        <f>IF(Main[[#This Row],[Tech Start Date]]&lt;1/1/1990,"",IF(Main[[#This Row],[Class]]="C",WORKDAY(Main[[#This Row],[Tech Start Date]],23),IF(Main[[#This Row],[Class]]="B", WORKDAY(Main[[#This Row],[Tech Start Date]],15),IF(Main[[#This Row],[Class]]="A",WORKDAY(Main[[#This Row],[Tech Start Date]],5),""))))</f>
        <v/>
      </c>
      <c r="P1171" s="104" t="str">
        <f>IF(Main[[#This Row],[Tech Start Date]]&lt;1/1/1990,"",IF(Main[[#This Row],[Class]]="C",WORKDAY(Main[[#This Row],[Tech Start Date]],28),IF(Main[[#This Row],[Class]]="B", WORKDAY(Main[[#This Row],[Tech Start Date]],19),IF(Main[[#This Row],[Class]]="A",WORKDAY(Main[[#This Row],[Tech Start Date]],9),""))))</f>
        <v/>
      </c>
      <c r="Q1171" s="101">
        <v>40913</v>
      </c>
      <c r="R1171" s="101"/>
      <c r="S1171" s="99" t="s">
        <v>6</v>
      </c>
      <c r="T1171" s="107" t="s">
        <v>4</v>
      </c>
      <c r="U1171" s="99" t="s">
        <v>12</v>
      </c>
      <c r="V1171" s="99" t="s">
        <v>2362</v>
      </c>
      <c r="W1171" s="99" t="s">
        <v>4</v>
      </c>
    </row>
    <row r="1172" spans="1:23" ht="18.600000000000001" customHeight="1">
      <c r="A1172" s="123" t="str">
        <f>IF(priority(Main[[#This Row],[Comments]])&lt;&gt;0, priority(Main[[#This Row],[Comments]]),"")</f>
        <v/>
      </c>
      <c r="B1172" s="127" t="s">
        <v>2472</v>
      </c>
      <c r="C1172" s="99" t="s">
        <v>4</v>
      </c>
      <c r="D1172" s="100" t="s">
        <v>2473</v>
      </c>
      <c r="E1172" s="101">
        <v>40856.690810185188</v>
      </c>
      <c r="F1172" s="101"/>
      <c r="G1172" s="102" t="str">
        <f>IF(stdProdLT(Main[[#This Row],[Comments]])=0.1,"N/A",IF(stdProdLT(Main[[#This Row],[Comments]])=0,"",stdProdLT(Main[[#This Row],[Comments]])))</f>
        <v/>
      </c>
      <c r="H1172" s="103" t="str">
        <f>IF(AND(Main[[#This Row],[In Stock Date]]&lt;&gt;"",Main[[#This Row],[Revised Due Date]]&lt;&gt;""),Main[[#This Row],[In Stock Date]]-Main[[#This Row],[Revised Due Date]],"")</f>
        <v/>
      </c>
      <c r="I1172" s="99" t="s">
        <v>4</v>
      </c>
      <c r="J1172" s="99" t="s">
        <v>4</v>
      </c>
      <c r="K1172" s="99" t="s">
        <v>4</v>
      </c>
      <c r="L1172" s="101"/>
      <c r="M1172" s="104" t="str">
        <f>IF(Main[[#This Row],[Tech Start Date]]&lt;1/1/1990,"",IF(Main[[#This Row],[Class]]="C",WORKDAY(Main[[#This Row],[Tech Start Date]],9),IF(Main[[#This Row],[Class]]="B", WORKDAY(Main[[#This Row],[Tech Start Date]],6),IF(Main[[#This Row],[Class]]="A",WORKDAY(Main[[#This Row],[Tech Start Date]],2),""))))</f>
        <v/>
      </c>
      <c r="N1172" s="104" t="str">
        <f>IF(Main[[#This Row],[Tech Start Date]]&lt;1/1/1990,"",IF(Main[[#This Row],[Class]]="C",WORKDAY(Main[[#This Row],[Tech Start Date]],19),IF(Main[[#This Row],[Class]]="B", WORKDAY(Main[[#This Row],[Tech Start Date]],12),IF(Main[[#This Row],[Class]]="A",WORKDAY(Main[[#This Row],[Tech Start Date]],4),""))))</f>
        <v/>
      </c>
      <c r="O1172" s="104" t="str">
        <f>IF(Main[[#This Row],[Tech Start Date]]&lt;1/1/1990,"",IF(Main[[#This Row],[Class]]="C",WORKDAY(Main[[#This Row],[Tech Start Date]],23),IF(Main[[#This Row],[Class]]="B", WORKDAY(Main[[#This Row],[Tech Start Date]],15),IF(Main[[#This Row],[Class]]="A",WORKDAY(Main[[#This Row],[Tech Start Date]],5),""))))</f>
        <v/>
      </c>
      <c r="P1172" s="104" t="str">
        <f>IF(Main[[#This Row],[Tech Start Date]]&lt;1/1/1990,"",IF(Main[[#This Row],[Class]]="C",WORKDAY(Main[[#This Row],[Tech Start Date]],28),IF(Main[[#This Row],[Class]]="B", WORKDAY(Main[[#This Row],[Tech Start Date]],19),IF(Main[[#This Row],[Class]]="A",WORKDAY(Main[[#This Row],[Tech Start Date]],9),""))))</f>
        <v/>
      </c>
      <c r="Q1172" s="101"/>
      <c r="R1172" s="101"/>
      <c r="S1172" s="99" t="s">
        <v>6</v>
      </c>
      <c r="T1172" s="107" t="s">
        <v>4</v>
      </c>
      <c r="U1172" s="99" t="s">
        <v>7</v>
      </c>
      <c r="V1172" s="99" t="s">
        <v>1962</v>
      </c>
      <c r="W1172" s="99" t="s">
        <v>1966</v>
      </c>
    </row>
    <row r="1173" spans="1:23" ht="18.600000000000001" customHeight="1">
      <c r="A1173" s="123" t="str">
        <f>IF(priority(Main[[#This Row],[Comments]])&lt;&gt;0, priority(Main[[#This Row],[Comments]]),"")</f>
        <v/>
      </c>
      <c r="B1173" s="127" t="s">
        <v>3163</v>
      </c>
      <c r="C1173" s="99" t="s">
        <v>3164</v>
      </c>
      <c r="D1173" s="100" t="s">
        <v>3165</v>
      </c>
      <c r="E1173" s="101">
        <v>40882.549398148149</v>
      </c>
      <c r="F1173" s="101"/>
      <c r="G1173" s="102" t="str">
        <f>IF(stdProdLT(Main[[#This Row],[Comments]])=0.1,"N/A",IF(stdProdLT(Main[[#This Row],[Comments]])=0,"",stdProdLT(Main[[#This Row],[Comments]])))</f>
        <v/>
      </c>
      <c r="H1173" s="103" t="str">
        <f>IF(AND(Main[[#This Row],[In Stock Date]]&lt;&gt;"",Main[[#This Row],[Revised Due Date]]&lt;&gt;""),Main[[#This Row],[In Stock Date]]-Main[[#This Row],[Revised Due Date]],"")</f>
        <v/>
      </c>
      <c r="I1173" s="99" t="s">
        <v>4</v>
      </c>
      <c r="J1173" s="99" t="s">
        <v>4</v>
      </c>
      <c r="K1173" s="99" t="s">
        <v>4</v>
      </c>
      <c r="L1173" s="101"/>
      <c r="M1173" s="104" t="str">
        <f>IF(Main[[#This Row],[Tech Start Date]]&lt;1/1/1990,"",IF(Main[[#This Row],[Class]]="C",WORKDAY(Main[[#This Row],[Tech Start Date]],9),IF(Main[[#This Row],[Class]]="B", WORKDAY(Main[[#This Row],[Tech Start Date]],6),IF(Main[[#This Row],[Class]]="A",WORKDAY(Main[[#This Row],[Tech Start Date]],2),""))))</f>
        <v/>
      </c>
      <c r="N1173" s="104" t="str">
        <f>IF(Main[[#This Row],[Tech Start Date]]&lt;1/1/1990,"",IF(Main[[#This Row],[Class]]="C",WORKDAY(Main[[#This Row],[Tech Start Date]],19),IF(Main[[#This Row],[Class]]="B", WORKDAY(Main[[#This Row],[Tech Start Date]],12),IF(Main[[#This Row],[Class]]="A",WORKDAY(Main[[#This Row],[Tech Start Date]],4),""))))</f>
        <v/>
      </c>
      <c r="O1173" s="104" t="str">
        <f>IF(Main[[#This Row],[Tech Start Date]]&lt;1/1/1990,"",IF(Main[[#This Row],[Class]]="C",WORKDAY(Main[[#This Row],[Tech Start Date]],23),IF(Main[[#This Row],[Class]]="B", WORKDAY(Main[[#This Row],[Tech Start Date]],15),IF(Main[[#This Row],[Class]]="A",WORKDAY(Main[[#This Row],[Tech Start Date]],5),""))))</f>
        <v/>
      </c>
      <c r="P1173" s="104" t="str">
        <f>IF(Main[[#This Row],[Tech Start Date]]&lt;1/1/1990,"",IF(Main[[#This Row],[Class]]="C",WORKDAY(Main[[#This Row],[Tech Start Date]],28),IF(Main[[#This Row],[Class]]="B", WORKDAY(Main[[#This Row],[Tech Start Date]],19),IF(Main[[#This Row],[Class]]="A",WORKDAY(Main[[#This Row],[Tech Start Date]],9),""))))</f>
        <v/>
      </c>
      <c r="Q1173" s="101"/>
      <c r="R1173" s="101"/>
      <c r="S1173" s="99" t="s">
        <v>11</v>
      </c>
      <c r="T1173" s="107" t="s">
        <v>3166</v>
      </c>
      <c r="U1173" s="99" t="s">
        <v>704</v>
      </c>
      <c r="V1173" s="99" t="s">
        <v>1972</v>
      </c>
      <c r="W1173" s="99" t="s">
        <v>1970</v>
      </c>
    </row>
    <row r="1174" spans="1:23" ht="18.600000000000001" customHeight="1">
      <c r="A1174" s="123" t="str">
        <f>IF(priority(Main[[#This Row],[Comments]])&lt;&gt;0, priority(Main[[#This Row],[Comments]]),"")</f>
        <v/>
      </c>
      <c r="B1174" s="127" t="s">
        <v>1621</v>
      </c>
      <c r="C1174" s="99" t="s">
        <v>4</v>
      </c>
      <c r="D1174" s="100" t="s">
        <v>3106</v>
      </c>
      <c r="E1174" s="101">
        <v>40455.90111111111</v>
      </c>
      <c r="F1174" s="101"/>
      <c r="G1174" s="102" t="str">
        <f>IF(stdProdLT(Main[[#This Row],[Comments]])=0.1,"N/A",IF(stdProdLT(Main[[#This Row],[Comments]])=0,"",stdProdLT(Main[[#This Row],[Comments]])))</f>
        <v/>
      </c>
      <c r="H1174" s="103" t="str">
        <f>IF(AND(Main[[#This Row],[In Stock Date]]&lt;&gt;"",Main[[#This Row],[Revised Due Date]]&lt;&gt;""),Main[[#This Row],[In Stock Date]]-Main[[#This Row],[Revised Due Date]],"")</f>
        <v/>
      </c>
      <c r="I1174" s="99" t="s">
        <v>4</v>
      </c>
      <c r="J1174" s="99" t="s">
        <v>28</v>
      </c>
      <c r="K1174" s="99" t="s">
        <v>1974</v>
      </c>
      <c r="L1174" s="101"/>
      <c r="M1174" s="104" t="str">
        <f>IF(Main[[#This Row],[Tech Start Date]]&lt;1/1/1990,"",IF(Main[[#This Row],[Class]]="C",WORKDAY(Main[[#This Row],[Tech Start Date]],9),IF(Main[[#This Row],[Class]]="B", WORKDAY(Main[[#This Row],[Tech Start Date]],6),IF(Main[[#This Row],[Class]]="A",WORKDAY(Main[[#This Row],[Tech Start Date]],2),""))))</f>
        <v/>
      </c>
      <c r="N1174" s="104" t="str">
        <f>IF(Main[[#This Row],[Tech Start Date]]&lt;1/1/1990,"",IF(Main[[#This Row],[Class]]="C",WORKDAY(Main[[#This Row],[Tech Start Date]],19),IF(Main[[#This Row],[Class]]="B", WORKDAY(Main[[#This Row],[Tech Start Date]],12),IF(Main[[#This Row],[Class]]="A",WORKDAY(Main[[#This Row],[Tech Start Date]],4),""))))</f>
        <v/>
      </c>
      <c r="O1174" s="104" t="str">
        <f>IF(Main[[#This Row],[Tech Start Date]]&lt;1/1/1990,"",IF(Main[[#This Row],[Class]]="C",WORKDAY(Main[[#This Row],[Tech Start Date]],23),IF(Main[[#This Row],[Class]]="B", WORKDAY(Main[[#This Row],[Tech Start Date]],15),IF(Main[[#This Row],[Class]]="A",WORKDAY(Main[[#This Row],[Tech Start Date]],5),""))))</f>
        <v/>
      </c>
      <c r="P1174" s="104" t="str">
        <f>IF(Main[[#This Row],[Tech Start Date]]&lt;1/1/1990,"",IF(Main[[#This Row],[Class]]="C",WORKDAY(Main[[#This Row],[Tech Start Date]],28),IF(Main[[#This Row],[Class]]="B", WORKDAY(Main[[#This Row],[Tech Start Date]],19),IF(Main[[#This Row],[Class]]="A",WORKDAY(Main[[#This Row],[Tech Start Date]],9),""))))</f>
        <v/>
      </c>
      <c r="Q1174" s="101">
        <v>41060</v>
      </c>
      <c r="R1174" s="101"/>
      <c r="S1174" s="99" t="s">
        <v>17</v>
      </c>
      <c r="T1174" s="107" t="s">
        <v>4</v>
      </c>
      <c r="U1174" s="99" t="s">
        <v>7</v>
      </c>
      <c r="V1174" s="99" t="s">
        <v>1962</v>
      </c>
      <c r="W1174" s="99" t="s">
        <v>1964</v>
      </c>
    </row>
    <row r="1175" spans="1:23" ht="18.600000000000001" customHeight="1">
      <c r="A1175" s="123" t="str">
        <f>IF(priority(Main[[#This Row],[Comments]])&lt;&gt;0, priority(Main[[#This Row],[Comments]]),"")</f>
        <v/>
      </c>
      <c r="B1175" s="127" t="s">
        <v>2806</v>
      </c>
      <c r="C1175" s="99" t="s">
        <v>4</v>
      </c>
      <c r="D1175" s="100" t="s">
        <v>2807</v>
      </c>
      <c r="E1175" s="101">
        <v>40876.146770833337</v>
      </c>
      <c r="F1175" s="101"/>
      <c r="G1175" s="102" t="str">
        <f>IF(stdProdLT(Main[[#This Row],[Comments]])=0.1,"N/A",IF(stdProdLT(Main[[#This Row],[Comments]])=0,"",stdProdLT(Main[[#This Row],[Comments]])))</f>
        <v/>
      </c>
      <c r="H1175" s="103" t="str">
        <f>IF(AND(Main[[#This Row],[In Stock Date]]&lt;&gt;"",Main[[#This Row],[Revised Due Date]]&lt;&gt;""),Main[[#This Row],[In Stock Date]]-Main[[#This Row],[Revised Due Date]],"")</f>
        <v/>
      </c>
      <c r="I1175" s="99" t="s">
        <v>4</v>
      </c>
      <c r="J1175" s="99" t="s">
        <v>4</v>
      </c>
      <c r="K1175" s="99" t="s">
        <v>4</v>
      </c>
      <c r="L1175" s="101"/>
      <c r="M1175" s="104" t="str">
        <f>IF(Main[[#This Row],[Tech Start Date]]&lt;1/1/1990,"",IF(Main[[#This Row],[Class]]="C",WORKDAY(Main[[#This Row],[Tech Start Date]],9),IF(Main[[#This Row],[Class]]="B", WORKDAY(Main[[#This Row],[Tech Start Date]],6),IF(Main[[#This Row],[Class]]="A",WORKDAY(Main[[#This Row],[Tech Start Date]],2),""))))</f>
        <v/>
      </c>
      <c r="N1175" s="104" t="str">
        <f>IF(Main[[#This Row],[Tech Start Date]]&lt;1/1/1990,"",IF(Main[[#This Row],[Class]]="C",WORKDAY(Main[[#This Row],[Tech Start Date]],19),IF(Main[[#This Row],[Class]]="B", WORKDAY(Main[[#This Row],[Tech Start Date]],12),IF(Main[[#This Row],[Class]]="A",WORKDAY(Main[[#This Row],[Tech Start Date]],4),""))))</f>
        <v/>
      </c>
      <c r="O1175" s="104" t="str">
        <f>IF(Main[[#This Row],[Tech Start Date]]&lt;1/1/1990,"",IF(Main[[#This Row],[Class]]="C",WORKDAY(Main[[#This Row],[Tech Start Date]],23),IF(Main[[#This Row],[Class]]="B", WORKDAY(Main[[#This Row],[Tech Start Date]],15),IF(Main[[#This Row],[Class]]="A",WORKDAY(Main[[#This Row],[Tech Start Date]],5),""))))</f>
        <v/>
      </c>
      <c r="P1175" s="104" t="str">
        <f>IF(Main[[#This Row],[Tech Start Date]]&lt;1/1/1990,"",IF(Main[[#This Row],[Class]]="C",WORKDAY(Main[[#This Row],[Tech Start Date]],28),IF(Main[[#This Row],[Class]]="B", WORKDAY(Main[[#This Row],[Tech Start Date]],19),IF(Main[[#This Row],[Class]]="A",WORKDAY(Main[[#This Row],[Tech Start Date]],9),""))))</f>
        <v/>
      </c>
      <c r="Q1175" s="101">
        <v>40882</v>
      </c>
      <c r="R1175" s="101"/>
      <c r="S1175" s="99" t="s">
        <v>6</v>
      </c>
      <c r="T1175" s="107" t="s">
        <v>4</v>
      </c>
      <c r="U1175" s="99" t="s">
        <v>7</v>
      </c>
      <c r="V1175" s="99" t="s">
        <v>1962</v>
      </c>
      <c r="W1175" s="99" t="s">
        <v>4</v>
      </c>
    </row>
    <row r="1176" spans="1:23" ht="18.600000000000001" customHeight="1">
      <c r="A1176" s="123" t="str">
        <f>IF(priority(Main[[#This Row],[Comments]])&lt;&gt;0, priority(Main[[#This Row],[Comments]]),"")</f>
        <v/>
      </c>
      <c r="B1176" s="127" t="s">
        <v>1676</v>
      </c>
      <c r="C1176" s="99" t="s">
        <v>4</v>
      </c>
      <c r="D1176" s="100" t="s">
        <v>2808</v>
      </c>
      <c r="E1176" s="101"/>
      <c r="F1176" s="101"/>
      <c r="G1176" s="102" t="str">
        <f>IF(stdProdLT(Main[[#This Row],[Comments]])=0.1,"N/A",IF(stdProdLT(Main[[#This Row],[Comments]])=0,"",stdProdLT(Main[[#This Row],[Comments]])))</f>
        <v/>
      </c>
      <c r="H1176" s="103" t="str">
        <f>IF(AND(Main[[#This Row],[In Stock Date]]&lt;&gt;"",Main[[#This Row],[Revised Due Date]]&lt;&gt;""),Main[[#This Row],[In Stock Date]]-Main[[#This Row],[Revised Due Date]],"")</f>
        <v/>
      </c>
      <c r="I1176" s="99" t="s">
        <v>4</v>
      </c>
      <c r="J1176" s="99" t="s">
        <v>28</v>
      </c>
      <c r="K1176" s="99" t="s">
        <v>1969</v>
      </c>
      <c r="L1176" s="101"/>
      <c r="M1176" s="104" t="str">
        <f>IF(Main[[#This Row],[Tech Start Date]]&lt;1/1/1990,"",IF(Main[[#This Row],[Class]]="C",WORKDAY(Main[[#This Row],[Tech Start Date]],9),IF(Main[[#This Row],[Class]]="B", WORKDAY(Main[[#This Row],[Tech Start Date]],6),IF(Main[[#This Row],[Class]]="A",WORKDAY(Main[[#This Row],[Tech Start Date]],2),""))))</f>
        <v/>
      </c>
      <c r="N1176" s="104" t="str">
        <f>IF(Main[[#This Row],[Tech Start Date]]&lt;1/1/1990,"",IF(Main[[#This Row],[Class]]="C",WORKDAY(Main[[#This Row],[Tech Start Date]],19),IF(Main[[#This Row],[Class]]="B", WORKDAY(Main[[#This Row],[Tech Start Date]],12),IF(Main[[#This Row],[Class]]="A",WORKDAY(Main[[#This Row],[Tech Start Date]],4),""))))</f>
        <v/>
      </c>
      <c r="O1176" s="104" t="str">
        <f>IF(Main[[#This Row],[Tech Start Date]]&lt;1/1/1990,"",IF(Main[[#This Row],[Class]]="C",WORKDAY(Main[[#This Row],[Tech Start Date]],23),IF(Main[[#This Row],[Class]]="B", WORKDAY(Main[[#This Row],[Tech Start Date]],15),IF(Main[[#This Row],[Class]]="A",WORKDAY(Main[[#This Row],[Tech Start Date]],5),""))))</f>
        <v/>
      </c>
      <c r="P1176" s="104" t="str">
        <f>IF(Main[[#This Row],[Tech Start Date]]&lt;1/1/1990,"",IF(Main[[#This Row],[Class]]="C",WORKDAY(Main[[#This Row],[Tech Start Date]],28),IF(Main[[#This Row],[Class]]="B", WORKDAY(Main[[#This Row],[Tech Start Date]],19),IF(Main[[#This Row],[Class]]="A",WORKDAY(Main[[#This Row],[Tech Start Date]],9),""))))</f>
        <v/>
      </c>
      <c r="Q1176" s="101">
        <v>40611</v>
      </c>
      <c r="R1176" s="101"/>
      <c r="S1176" s="99" t="s">
        <v>6</v>
      </c>
      <c r="T1176" s="107" t="s">
        <v>4</v>
      </c>
      <c r="U1176" s="99" t="s">
        <v>14</v>
      </c>
      <c r="V1176" s="99" t="s">
        <v>1962</v>
      </c>
      <c r="W1176" s="99" t="s">
        <v>1966</v>
      </c>
    </row>
    <row r="1177" spans="1:23" ht="18.600000000000001" customHeight="1">
      <c r="A1177" s="123" t="str">
        <f>IF(priority(Main[[#This Row],[Comments]])&lt;&gt;0, priority(Main[[#This Row],[Comments]]),"")</f>
        <v/>
      </c>
      <c r="B1177" s="127" t="s">
        <v>2810</v>
      </c>
      <c r="C1177" s="99" t="s">
        <v>4</v>
      </c>
      <c r="D1177" s="100" t="s">
        <v>2811</v>
      </c>
      <c r="E1177" s="101">
        <v>40867.404594907406</v>
      </c>
      <c r="F1177" s="101"/>
      <c r="G1177" s="102">
        <f>IF(stdProdLT(Main[[#This Row],[Comments]])=0.1,"N/A",IF(stdProdLT(Main[[#This Row],[Comments]])=0,"",stdProdLT(Main[[#This Row],[Comments]])))</f>
        <v>98</v>
      </c>
      <c r="H1177" s="103" t="str">
        <f>IF(AND(Main[[#This Row],[In Stock Date]]&lt;&gt;"",Main[[#This Row],[Revised Due Date]]&lt;&gt;""),Main[[#This Row],[In Stock Date]]-Main[[#This Row],[Revised Due Date]],"")</f>
        <v/>
      </c>
      <c r="I1177" s="99" t="s">
        <v>4</v>
      </c>
      <c r="J1177" s="99" t="s">
        <v>4</v>
      </c>
      <c r="K1177" s="99" t="s">
        <v>4</v>
      </c>
      <c r="L1177" s="101"/>
      <c r="M1177" s="104" t="str">
        <f>IF(Main[[#This Row],[Tech Start Date]]&lt;1/1/1990,"",IF(Main[[#This Row],[Class]]="C",WORKDAY(Main[[#This Row],[Tech Start Date]],9),IF(Main[[#This Row],[Class]]="B", WORKDAY(Main[[#This Row],[Tech Start Date]],6),IF(Main[[#This Row],[Class]]="A",WORKDAY(Main[[#This Row],[Tech Start Date]],2),""))))</f>
        <v/>
      </c>
      <c r="N1177" s="104" t="str">
        <f>IF(Main[[#This Row],[Tech Start Date]]&lt;1/1/1990,"",IF(Main[[#This Row],[Class]]="C",WORKDAY(Main[[#This Row],[Tech Start Date]],19),IF(Main[[#This Row],[Class]]="B", WORKDAY(Main[[#This Row],[Tech Start Date]],12),IF(Main[[#This Row],[Class]]="A",WORKDAY(Main[[#This Row],[Tech Start Date]],4),""))))</f>
        <v/>
      </c>
      <c r="O1177" s="104" t="str">
        <f>IF(Main[[#This Row],[Tech Start Date]]&lt;1/1/1990,"",IF(Main[[#This Row],[Class]]="C",WORKDAY(Main[[#This Row],[Tech Start Date]],23),IF(Main[[#This Row],[Class]]="B", WORKDAY(Main[[#This Row],[Tech Start Date]],15),IF(Main[[#This Row],[Class]]="A",WORKDAY(Main[[#This Row],[Tech Start Date]],5),""))))</f>
        <v/>
      </c>
      <c r="P1177" s="104" t="str">
        <f>IF(Main[[#This Row],[Tech Start Date]]&lt;1/1/1990,"",IF(Main[[#This Row],[Class]]="C",WORKDAY(Main[[#This Row],[Tech Start Date]],28),IF(Main[[#This Row],[Class]]="B", WORKDAY(Main[[#This Row],[Tech Start Date]],19),IF(Main[[#This Row],[Class]]="A",WORKDAY(Main[[#This Row],[Tech Start Date]],9),""))))</f>
        <v/>
      </c>
      <c r="Q1177" s="101">
        <v>40877</v>
      </c>
      <c r="R1177" s="101"/>
      <c r="S1177" s="99" t="s">
        <v>11</v>
      </c>
      <c r="T1177" s="107" t="s">
        <v>2812</v>
      </c>
      <c r="U1177" s="99" t="s">
        <v>7</v>
      </c>
      <c r="V1177" s="99" t="s">
        <v>1962</v>
      </c>
      <c r="W1177" s="99" t="s">
        <v>1970</v>
      </c>
    </row>
    <row r="1178" spans="1:23" ht="18.600000000000001" customHeight="1">
      <c r="A1178" s="123" t="str">
        <f>IF(priority(Main[[#This Row],[Comments]])&lt;&gt;0, priority(Main[[#This Row],[Comments]]),"")</f>
        <v/>
      </c>
      <c r="B1178" s="127" t="s">
        <v>2813</v>
      </c>
      <c r="C1178" s="99" t="s">
        <v>4</v>
      </c>
      <c r="D1178" s="100" t="s">
        <v>2814</v>
      </c>
      <c r="E1178" s="101">
        <v>40867.38380787037</v>
      </c>
      <c r="F1178" s="101"/>
      <c r="G1178" s="102">
        <f>IF(stdProdLT(Main[[#This Row],[Comments]])=0.1,"N/A",IF(stdProdLT(Main[[#This Row],[Comments]])=0,"",stdProdLT(Main[[#This Row],[Comments]])))</f>
        <v>168</v>
      </c>
      <c r="H1178" s="103" t="str">
        <f>IF(AND(Main[[#This Row],[In Stock Date]]&lt;&gt;"",Main[[#This Row],[Revised Due Date]]&lt;&gt;""),Main[[#This Row],[In Stock Date]]-Main[[#This Row],[Revised Due Date]],"")</f>
        <v/>
      </c>
      <c r="I1178" s="99" t="s">
        <v>4</v>
      </c>
      <c r="J1178" s="99" t="s">
        <v>4</v>
      </c>
      <c r="K1178" s="99" t="s">
        <v>4</v>
      </c>
      <c r="L1178" s="101"/>
      <c r="M1178" s="104" t="str">
        <f>IF(Main[[#This Row],[Tech Start Date]]&lt;1/1/1990,"",IF(Main[[#This Row],[Class]]="C",WORKDAY(Main[[#This Row],[Tech Start Date]],9),IF(Main[[#This Row],[Class]]="B", WORKDAY(Main[[#This Row],[Tech Start Date]],6),IF(Main[[#This Row],[Class]]="A",WORKDAY(Main[[#This Row],[Tech Start Date]],2),""))))</f>
        <v/>
      </c>
      <c r="N1178" s="104" t="str">
        <f>IF(Main[[#This Row],[Tech Start Date]]&lt;1/1/1990,"",IF(Main[[#This Row],[Class]]="C",WORKDAY(Main[[#This Row],[Tech Start Date]],19),IF(Main[[#This Row],[Class]]="B", WORKDAY(Main[[#This Row],[Tech Start Date]],12),IF(Main[[#This Row],[Class]]="A",WORKDAY(Main[[#This Row],[Tech Start Date]],4),""))))</f>
        <v/>
      </c>
      <c r="O1178" s="104" t="str">
        <f>IF(Main[[#This Row],[Tech Start Date]]&lt;1/1/1990,"",IF(Main[[#This Row],[Class]]="C",WORKDAY(Main[[#This Row],[Tech Start Date]],23),IF(Main[[#This Row],[Class]]="B", WORKDAY(Main[[#This Row],[Tech Start Date]],15),IF(Main[[#This Row],[Class]]="A",WORKDAY(Main[[#This Row],[Tech Start Date]],5),""))))</f>
        <v/>
      </c>
      <c r="P1178" s="104" t="str">
        <f>IF(Main[[#This Row],[Tech Start Date]]&lt;1/1/1990,"",IF(Main[[#This Row],[Class]]="C",WORKDAY(Main[[#This Row],[Tech Start Date]],28),IF(Main[[#This Row],[Class]]="B", WORKDAY(Main[[#This Row],[Tech Start Date]],19),IF(Main[[#This Row],[Class]]="A",WORKDAY(Main[[#This Row],[Tech Start Date]],9),""))))</f>
        <v/>
      </c>
      <c r="Q1178" s="101">
        <v>40877</v>
      </c>
      <c r="R1178" s="101"/>
      <c r="S1178" s="99" t="s">
        <v>11</v>
      </c>
      <c r="T1178" s="107" t="s">
        <v>2815</v>
      </c>
      <c r="U1178" s="99" t="s">
        <v>704</v>
      </c>
      <c r="V1178" s="99" t="s">
        <v>1965</v>
      </c>
      <c r="W1178" s="99" t="s">
        <v>1970</v>
      </c>
    </row>
    <row r="1179" spans="1:23" ht="18.600000000000001" customHeight="1">
      <c r="A1179" s="123" t="str">
        <f>IF(priority(Main[[#This Row],[Comments]])&lt;&gt;0, priority(Main[[#This Row],[Comments]]),"")</f>
        <v/>
      </c>
      <c r="B1179" s="127" t="s">
        <v>2816</v>
      </c>
      <c r="C1179" s="99" t="s">
        <v>4</v>
      </c>
      <c r="D1179" s="100" t="s">
        <v>2817</v>
      </c>
      <c r="E1179" s="101">
        <v>40855.461817129632</v>
      </c>
      <c r="F1179" s="101"/>
      <c r="G1179" s="102" t="str">
        <f>IF(stdProdLT(Main[[#This Row],[Comments]])=0.1,"N/A",IF(stdProdLT(Main[[#This Row],[Comments]])=0,"",stdProdLT(Main[[#This Row],[Comments]])))</f>
        <v/>
      </c>
      <c r="H1179" s="103" t="str">
        <f>IF(AND(Main[[#This Row],[In Stock Date]]&lt;&gt;"",Main[[#This Row],[Revised Due Date]]&lt;&gt;""),Main[[#This Row],[In Stock Date]]-Main[[#This Row],[Revised Due Date]],"")</f>
        <v/>
      </c>
      <c r="I1179" s="99" t="s">
        <v>4</v>
      </c>
      <c r="J1179" s="99" t="s">
        <v>4</v>
      </c>
      <c r="K1179" s="99" t="s">
        <v>4</v>
      </c>
      <c r="L1179" s="101"/>
      <c r="M1179" s="104" t="str">
        <f>IF(Main[[#This Row],[Tech Start Date]]&lt;1/1/1990,"",IF(Main[[#This Row],[Class]]="C",WORKDAY(Main[[#This Row],[Tech Start Date]],9),IF(Main[[#This Row],[Class]]="B", WORKDAY(Main[[#This Row],[Tech Start Date]],6),IF(Main[[#This Row],[Class]]="A",WORKDAY(Main[[#This Row],[Tech Start Date]],2),""))))</f>
        <v/>
      </c>
      <c r="N1179" s="104" t="str">
        <f>IF(Main[[#This Row],[Tech Start Date]]&lt;1/1/1990,"",IF(Main[[#This Row],[Class]]="C",WORKDAY(Main[[#This Row],[Tech Start Date]],19),IF(Main[[#This Row],[Class]]="B", WORKDAY(Main[[#This Row],[Tech Start Date]],12),IF(Main[[#This Row],[Class]]="A",WORKDAY(Main[[#This Row],[Tech Start Date]],4),""))))</f>
        <v/>
      </c>
      <c r="O1179" s="104" t="str">
        <f>IF(Main[[#This Row],[Tech Start Date]]&lt;1/1/1990,"",IF(Main[[#This Row],[Class]]="C",WORKDAY(Main[[#This Row],[Tech Start Date]],23),IF(Main[[#This Row],[Class]]="B", WORKDAY(Main[[#This Row],[Tech Start Date]],15),IF(Main[[#This Row],[Class]]="A",WORKDAY(Main[[#This Row],[Tech Start Date]],5),""))))</f>
        <v/>
      </c>
      <c r="P1179" s="104" t="str">
        <f>IF(Main[[#This Row],[Tech Start Date]]&lt;1/1/1990,"",IF(Main[[#This Row],[Class]]="C",WORKDAY(Main[[#This Row],[Tech Start Date]],28),IF(Main[[#This Row],[Class]]="B", WORKDAY(Main[[#This Row],[Tech Start Date]],19),IF(Main[[#This Row],[Class]]="A",WORKDAY(Main[[#This Row],[Tech Start Date]],9),""))))</f>
        <v/>
      </c>
      <c r="Q1179" s="101"/>
      <c r="R1179" s="101"/>
      <c r="S1179" s="99" t="s">
        <v>6</v>
      </c>
      <c r="T1179" s="107" t="s">
        <v>4</v>
      </c>
      <c r="U1179" s="99" t="s">
        <v>7</v>
      </c>
      <c r="V1179" s="99" t="s">
        <v>1962</v>
      </c>
      <c r="W1179" s="99" t="s">
        <v>1966</v>
      </c>
    </row>
    <row r="1180" spans="1:23" ht="18.600000000000001" customHeight="1">
      <c r="A1180" s="123" t="str">
        <f>IF(priority(Main[[#This Row],[Comments]])&lt;&gt;0, priority(Main[[#This Row],[Comments]]),"")</f>
        <v/>
      </c>
      <c r="B1180" s="127" t="s">
        <v>2818</v>
      </c>
      <c r="C1180" s="99" t="s">
        <v>47</v>
      </c>
      <c r="D1180" s="100" t="s">
        <v>2819</v>
      </c>
      <c r="E1180" s="101">
        <v>40858.400219907409</v>
      </c>
      <c r="F1180" s="101"/>
      <c r="G1180" s="102" t="str">
        <f>IF(stdProdLT(Main[[#This Row],[Comments]])=0.1,"N/A",IF(stdProdLT(Main[[#This Row],[Comments]])=0,"",stdProdLT(Main[[#This Row],[Comments]])))</f>
        <v/>
      </c>
      <c r="H1180" s="103" t="str">
        <f>IF(AND(Main[[#This Row],[In Stock Date]]&lt;&gt;"",Main[[#This Row],[Revised Due Date]]&lt;&gt;""),Main[[#This Row],[In Stock Date]]-Main[[#This Row],[Revised Due Date]],"")</f>
        <v/>
      </c>
      <c r="I1180" s="99" t="s">
        <v>536</v>
      </c>
      <c r="J1180" s="99" t="s">
        <v>21</v>
      </c>
      <c r="K1180" s="99" t="s">
        <v>1971</v>
      </c>
      <c r="L1180" s="101"/>
      <c r="M1180" s="104" t="str">
        <f>IF(Main[[#This Row],[Tech Start Date]]&lt;1/1/1990,"",IF(Main[[#This Row],[Class]]="C",WORKDAY(Main[[#This Row],[Tech Start Date]],9),IF(Main[[#This Row],[Class]]="B", WORKDAY(Main[[#This Row],[Tech Start Date]],6),IF(Main[[#This Row],[Class]]="A",WORKDAY(Main[[#This Row],[Tech Start Date]],2),""))))</f>
        <v/>
      </c>
      <c r="N1180" s="104" t="str">
        <f>IF(Main[[#This Row],[Tech Start Date]]&lt;1/1/1990,"",IF(Main[[#This Row],[Class]]="C",WORKDAY(Main[[#This Row],[Tech Start Date]],19),IF(Main[[#This Row],[Class]]="B", WORKDAY(Main[[#This Row],[Tech Start Date]],12),IF(Main[[#This Row],[Class]]="A",WORKDAY(Main[[#This Row],[Tech Start Date]],4),""))))</f>
        <v/>
      </c>
      <c r="O1180" s="104" t="str">
        <f>IF(Main[[#This Row],[Tech Start Date]]&lt;1/1/1990,"",IF(Main[[#This Row],[Class]]="C",WORKDAY(Main[[#This Row],[Tech Start Date]],23),IF(Main[[#This Row],[Class]]="B", WORKDAY(Main[[#This Row],[Tech Start Date]],15),IF(Main[[#This Row],[Class]]="A",WORKDAY(Main[[#This Row],[Tech Start Date]],5),""))))</f>
        <v/>
      </c>
      <c r="P1180" s="104" t="str">
        <f>IF(Main[[#This Row],[Tech Start Date]]&lt;1/1/1990,"",IF(Main[[#This Row],[Class]]="C",WORKDAY(Main[[#This Row],[Tech Start Date]],28),IF(Main[[#This Row],[Class]]="B", WORKDAY(Main[[#This Row],[Tech Start Date]],19),IF(Main[[#This Row],[Class]]="A",WORKDAY(Main[[#This Row],[Tech Start Date]],9),""))))</f>
        <v/>
      </c>
      <c r="Q1180" s="101">
        <v>40907</v>
      </c>
      <c r="R1180" s="101"/>
      <c r="S1180" s="99" t="s">
        <v>6</v>
      </c>
      <c r="T1180" s="107" t="s">
        <v>4</v>
      </c>
      <c r="U1180" s="99" t="s">
        <v>29</v>
      </c>
      <c r="V1180" s="99" t="s">
        <v>1972</v>
      </c>
      <c r="W1180" s="99" t="s">
        <v>1966</v>
      </c>
    </row>
    <row r="1181" spans="1:23" ht="18.600000000000001" customHeight="1">
      <c r="A1181" s="123" t="str">
        <f>IF(priority(Main[[#This Row],[Comments]])&lt;&gt;0, priority(Main[[#This Row],[Comments]]),"")</f>
        <v/>
      </c>
      <c r="B1181" s="127" t="s">
        <v>1866</v>
      </c>
      <c r="C1181" s="99" t="s">
        <v>47</v>
      </c>
      <c r="D1181" s="100" t="s">
        <v>891</v>
      </c>
      <c r="E1181" s="101"/>
      <c r="F1181" s="101"/>
      <c r="G1181" s="102" t="str">
        <f>IF(stdProdLT(Main[[#This Row],[Comments]])=0.1,"N/A",IF(stdProdLT(Main[[#This Row],[Comments]])=0,"",stdProdLT(Main[[#This Row],[Comments]])))</f>
        <v/>
      </c>
      <c r="H1181" s="103" t="str">
        <f>IF(AND(Main[[#This Row],[In Stock Date]]&lt;&gt;"",Main[[#This Row],[Revised Due Date]]&lt;&gt;""),Main[[#This Row],[In Stock Date]]-Main[[#This Row],[Revised Due Date]],"")</f>
        <v/>
      </c>
      <c r="I1181" s="99" t="s">
        <v>4</v>
      </c>
      <c r="J1181" s="99" t="s">
        <v>4</v>
      </c>
      <c r="K1181" s="99" t="s">
        <v>1974</v>
      </c>
      <c r="L1181" s="101"/>
      <c r="M1181" s="104" t="str">
        <f>IF(Main[[#This Row],[Tech Start Date]]&lt;1/1/1990,"",IF(Main[[#This Row],[Class]]="C",WORKDAY(Main[[#This Row],[Tech Start Date]],9),IF(Main[[#This Row],[Class]]="B", WORKDAY(Main[[#This Row],[Tech Start Date]],6),IF(Main[[#This Row],[Class]]="A",WORKDAY(Main[[#This Row],[Tech Start Date]],2),""))))</f>
        <v/>
      </c>
      <c r="N1181" s="104" t="str">
        <f>IF(Main[[#This Row],[Tech Start Date]]&lt;1/1/1990,"",IF(Main[[#This Row],[Class]]="C",WORKDAY(Main[[#This Row],[Tech Start Date]],19),IF(Main[[#This Row],[Class]]="B", WORKDAY(Main[[#This Row],[Tech Start Date]],12),IF(Main[[#This Row],[Class]]="A",WORKDAY(Main[[#This Row],[Tech Start Date]],4),""))))</f>
        <v/>
      </c>
      <c r="O1181" s="104" t="str">
        <f>IF(Main[[#This Row],[Tech Start Date]]&lt;1/1/1990,"",IF(Main[[#This Row],[Class]]="C",WORKDAY(Main[[#This Row],[Tech Start Date]],23),IF(Main[[#This Row],[Class]]="B", WORKDAY(Main[[#This Row],[Tech Start Date]],15),IF(Main[[#This Row],[Class]]="A",WORKDAY(Main[[#This Row],[Tech Start Date]],5),""))))</f>
        <v/>
      </c>
      <c r="P1181" s="104" t="str">
        <f>IF(Main[[#This Row],[Tech Start Date]]&lt;1/1/1990,"",IF(Main[[#This Row],[Class]]="C",WORKDAY(Main[[#This Row],[Tech Start Date]],28),IF(Main[[#This Row],[Class]]="B", WORKDAY(Main[[#This Row],[Tech Start Date]],19),IF(Main[[#This Row],[Class]]="A",WORKDAY(Main[[#This Row],[Tech Start Date]],9),""))))</f>
        <v/>
      </c>
      <c r="Q1181" s="101"/>
      <c r="R1181" s="101">
        <v>40359</v>
      </c>
      <c r="S1181" s="99" t="s">
        <v>17</v>
      </c>
      <c r="T1181" s="107" t="s">
        <v>4</v>
      </c>
      <c r="U1181" s="99" t="s">
        <v>14</v>
      </c>
      <c r="V1181" s="99" t="s">
        <v>1962</v>
      </c>
      <c r="W1181" s="99" t="s">
        <v>1967</v>
      </c>
    </row>
    <row r="1182" spans="1:23" ht="18.600000000000001" customHeight="1">
      <c r="A1182" s="123" t="str">
        <f>IF(priority(Main[[#This Row],[Comments]])&lt;&gt;0, priority(Main[[#This Row],[Comments]]),"")</f>
        <v/>
      </c>
      <c r="B1182" s="127" t="s">
        <v>1673</v>
      </c>
      <c r="C1182" s="99" t="s">
        <v>4</v>
      </c>
      <c r="D1182" s="100" t="s">
        <v>717</v>
      </c>
      <c r="E1182" s="101"/>
      <c r="F1182" s="101"/>
      <c r="G1182" s="102" t="str">
        <f>IF(stdProdLT(Main[[#This Row],[Comments]])=0.1,"N/A",IF(stdProdLT(Main[[#This Row],[Comments]])=0,"",stdProdLT(Main[[#This Row],[Comments]])))</f>
        <v/>
      </c>
      <c r="H1182" s="103" t="str">
        <f>IF(AND(Main[[#This Row],[In Stock Date]]&lt;&gt;"",Main[[#This Row],[Revised Due Date]]&lt;&gt;""),Main[[#This Row],[In Stock Date]]-Main[[#This Row],[Revised Due Date]],"")</f>
        <v/>
      </c>
      <c r="I1182" s="99" t="s">
        <v>4</v>
      </c>
      <c r="J1182" s="99" t="s">
        <v>28</v>
      </c>
      <c r="K1182" s="99" t="s">
        <v>1971</v>
      </c>
      <c r="L1182" s="101"/>
      <c r="M1182" s="104" t="str">
        <f>IF(Main[[#This Row],[Tech Start Date]]&lt;1/1/1990,"",IF(Main[[#This Row],[Class]]="C",WORKDAY(Main[[#This Row],[Tech Start Date]],9),IF(Main[[#This Row],[Class]]="B", WORKDAY(Main[[#This Row],[Tech Start Date]],6),IF(Main[[#This Row],[Class]]="A",WORKDAY(Main[[#This Row],[Tech Start Date]],2),""))))</f>
        <v/>
      </c>
      <c r="N1182" s="104" t="str">
        <f>IF(Main[[#This Row],[Tech Start Date]]&lt;1/1/1990,"",IF(Main[[#This Row],[Class]]="C",WORKDAY(Main[[#This Row],[Tech Start Date]],19),IF(Main[[#This Row],[Class]]="B", WORKDAY(Main[[#This Row],[Tech Start Date]],12),IF(Main[[#This Row],[Class]]="A",WORKDAY(Main[[#This Row],[Tech Start Date]],4),""))))</f>
        <v/>
      </c>
      <c r="O1182" s="104" t="str">
        <f>IF(Main[[#This Row],[Tech Start Date]]&lt;1/1/1990,"",IF(Main[[#This Row],[Class]]="C",WORKDAY(Main[[#This Row],[Tech Start Date]],23),IF(Main[[#This Row],[Class]]="B", WORKDAY(Main[[#This Row],[Tech Start Date]],15),IF(Main[[#This Row],[Class]]="A",WORKDAY(Main[[#This Row],[Tech Start Date]],5),""))))</f>
        <v/>
      </c>
      <c r="P1182" s="104" t="str">
        <f>IF(Main[[#This Row],[Tech Start Date]]&lt;1/1/1990,"",IF(Main[[#This Row],[Class]]="C",WORKDAY(Main[[#This Row],[Tech Start Date]],28),IF(Main[[#This Row],[Class]]="B", WORKDAY(Main[[#This Row],[Tech Start Date]],19),IF(Main[[#This Row],[Class]]="A",WORKDAY(Main[[#This Row],[Tech Start Date]],9),""))))</f>
        <v/>
      </c>
      <c r="Q1182" s="101"/>
      <c r="R1182" s="101"/>
      <c r="S1182" s="99" t="s">
        <v>6</v>
      </c>
      <c r="T1182" s="107" t="s">
        <v>4</v>
      </c>
      <c r="U1182" s="99" t="s">
        <v>14</v>
      </c>
      <c r="V1182" s="99" t="s">
        <v>1962</v>
      </c>
      <c r="W1182" s="99" t="s">
        <v>1966</v>
      </c>
    </row>
    <row r="1183" spans="1:23" ht="18.600000000000001" customHeight="1">
      <c r="A1183" s="123" t="str">
        <f>IF(priority(Main[[#This Row],[Comments]])&lt;&gt;0, priority(Main[[#This Row],[Comments]]),"")</f>
        <v/>
      </c>
      <c r="B1183" s="127" t="s">
        <v>2753</v>
      </c>
      <c r="C1183" s="99" t="s">
        <v>4</v>
      </c>
      <c r="D1183" s="100" t="s">
        <v>3082</v>
      </c>
      <c r="E1183" s="101">
        <v>40875.348738425928</v>
      </c>
      <c r="F1183" s="101"/>
      <c r="G1183" s="102" t="str">
        <f>IF(stdProdLT(Main[[#This Row],[Comments]])=0.1,"N/A",IF(stdProdLT(Main[[#This Row],[Comments]])=0,"",stdProdLT(Main[[#This Row],[Comments]])))</f>
        <v/>
      </c>
      <c r="H1183" s="103" t="str">
        <f>IF(AND(Main[[#This Row],[In Stock Date]]&lt;&gt;"",Main[[#This Row],[Revised Due Date]]&lt;&gt;""),Main[[#This Row],[In Stock Date]]-Main[[#This Row],[Revised Due Date]],"")</f>
        <v/>
      </c>
      <c r="I1183" s="99" t="s">
        <v>4</v>
      </c>
      <c r="J1183" s="99" t="s">
        <v>4</v>
      </c>
      <c r="K1183" s="99" t="s">
        <v>4</v>
      </c>
      <c r="L1183" s="101"/>
      <c r="M1183" s="104" t="str">
        <f>IF(Main[[#This Row],[Tech Start Date]]&lt;1/1/1990,"",IF(Main[[#This Row],[Class]]="C",WORKDAY(Main[[#This Row],[Tech Start Date]],9),IF(Main[[#This Row],[Class]]="B", WORKDAY(Main[[#This Row],[Tech Start Date]],6),IF(Main[[#This Row],[Class]]="A",WORKDAY(Main[[#This Row],[Tech Start Date]],2),""))))</f>
        <v/>
      </c>
      <c r="N1183" s="104" t="str">
        <f>IF(Main[[#This Row],[Tech Start Date]]&lt;1/1/1990,"",IF(Main[[#This Row],[Class]]="C",WORKDAY(Main[[#This Row],[Tech Start Date]],19),IF(Main[[#This Row],[Class]]="B", WORKDAY(Main[[#This Row],[Tech Start Date]],12),IF(Main[[#This Row],[Class]]="A",WORKDAY(Main[[#This Row],[Tech Start Date]],4),""))))</f>
        <v/>
      </c>
      <c r="O1183" s="104" t="str">
        <f>IF(Main[[#This Row],[Tech Start Date]]&lt;1/1/1990,"",IF(Main[[#This Row],[Class]]="C",WORKDAY(Main[[#This Row],[Tech Start Date]],23),IF(Main[[#This Row],[Class]]="B", WORKDAY(Main[[#This Row],[Tech Start Date]],15),IF(Main[[#This Row],[Class]]="A",WORKDAY(Main[[#This Row],[Tech Start Date]],5),""))))</f>
        <v/>
      </c>
      <c r="P1183" s="104" t="str">
        <f>IF(Main[[#This Row],[Tech Start Date]]&lt;1/1/1990,"",IF(Main[[#This Row],[Class]]="C",WORKDAY(Main[[#This Row],[Tech Start Date]],28),IF(Main[[#This Row],[Class]]="B", WORKDAY(Main[[#This Row],[Tech Start Date]],19),IF(Main[[#This Row],[Class]]="A",WORKDAY(Main[[#This Row],[Tech Start Date]],9),""))))</f>
        <v/>
      </c>
      <c r="Q1183" s="101"/>
      <c r="R1183" s="101"/>
      <c r="S1183" s="99" t="s">
        <v>11</v>
      </c>
      <c r="T1183" s="107" t="s">
        <v>2754</v>
      </c>
      <c r="U1183" s="99" t="s">
        <v>704</v>
      </c>
      <c r="V1183" s="99" t="s">
        <v>1965</v>
      </c>
      <c r="W1183" s="99" t="s">
        <v>1970</v>
      </c>
    </row>
    <row r="1184" spans="1:23" ht="18.600000000000001" customHeight="1">
      <c r="A1184" s="123" t="str">
        <f>IF(priority(Main[[#This Row],[Comments]])&lt;&gt;0, priority(Main[[#This Row],[Comments]]),"")</f>
        <v/>
      </c>
      <c r="B1184" s="127" t="s">
        <v>3107</v>
      </c>
      <c r="C1184" s="99" t="s">
        <v>72</v>
      </c>
      <c r="D1184" s="100" t="s">
        <v>3108</v>
      </c>
      <c r="E1184" s="101">
        <v>40881.918298611112</v>
      </c>
      <c r="F1184" s="101"/>
      <c r="G1184" s="102" t="str">
        <f>IF(stdProdLT(Main[[#This Row],[Comments]])=0.1,"N/A",IF(stdProdLT(Main[[#This Row],[Comments]])=0,"",stdProdLT(Main[[#This Row],[Comments]])))</f>
        <v/>
      </c>
      <c r="H1184" s="103" t="str">
        <f>IF(AND(Main[[#This Row],[In Stock Date]]&lt;&gt;"",Main[[#This Row],[Revised Due Date]]&lt;&gt;""),Main[[#This Row],[In Stock Date]]-Main[[#This Row],[Revised Due Date]],"")</f>
        <v/>
      </c>
      <c r="I1184" s="99" t="s">
        <v>4</v>
      </c>
      <c r="J1184" s="99" t="s">
        <v>4</v>
      </c>
      <c r="K1184" s="99" t="s">
        <v>4</v>
      </c>
      <c r="L1184" s="101"/>
      <c r="M1184" s="104" t="str">
        <f>IF(Main[[#This Row],[Tech Start Date]]&lt;1/1/1990,"",IF(Main[[#This Row],[Class]]="C",WORKDAY(Main[[#This Row],[Tech Start Date]],9),IF(Main[[#This Row],[Class]]="B", WORKDAY(Main[[#This Row],[Tech Start Date]],6),IF(Main[[#This Row],[Class]]="A",WORKDAY(Main[[#This Row],[Tech Start Date]],2),""))))</f>
        <v/>
      </c>
      <c r="N1184" s="104" t="str">
        <f>IF(Main[[#This Row],[Tech Start Date]]&lt;1/1/1990,"",IF(Main[[#This Row],[Class]]="C",WORKDAY(Main[[#This Row],[Tech Start Date]],19),IF(Main[[#This Row],[Class]]="B", WORKDAY(Main[[#This Row],[Tech Start Date]],12),IF(Main[[#This Row],[Class]]="A",WORKDAY(Main[[#This Row],[Tech Start Date]],4),""))))</f>
        <v/>
      </c>
      <c r="O1184" s="104" t="str">
        <f>IF(Main[[#This Row],[Tech Start Date]]&lt;1/1/1990,"",IF(Main[[#This Row],[Class]]="C",WORKDAY(Main[[#This Row],[Tech Start Date]],23),IF(Main[[#This Row],[Class]]="B", WORKDAY(Main[[#This Row],[Tech Start Date]],15),IF(Main[[#This Row],[Class]]="A",WORKDAY(Main[[#This Row],[Tech Start Date]],5),""))))</f>
        <v/>
      </c>
      <c r="P1184" s="104" t="str">
        <f>IF(Main[[#This Row],[Tech Start Date]]&lt;1/1/1990,"",IF(Main[[#This Row],[Class]]="C",WORKDAY(Main[[#This Row],[Tech Start Date]],28),IF(Main[[#This Row],[Class]]="B", WORKDAY(Main[[#This Row],[Tech Start Date]],19),IF(Main[[#This Row],[Class]]="A",WORKDAY(Main[[#This Row],[Tech Start Date]],9),""))))</f>
        <v/>
      </c>
      <c r="Q1184" s="101">
        <v>40886</v>
      </c>
      <c r="R1184" s="101"/>
      <c r="S1184" s="99" t="s">
        <v>301</v>
      </c>
      <c r="T1184" s="107" t="s">
        <v>4</v>
      </c>
      <c r="U1184" s="99" t="s">
        <v>7</v>
      </c>
      <c r="V1184" s="99" t="s">
        <v>1972</v>
      </c>
      <c r="W1184" s="99" t="s">
        <v>1970</v>
      </c>
    </row>
    <row r="1185" spans="1:23" ht="18.600000000000001" customHeight="1">
      <c r="A1185" s="123" t="str">
        <f>IF(priority(Main[[#This Row],[Comments]])&lt;&gt;0, priority(Main[[#This Row],[Comments]]),"")</f>
        <v/>
      </c>
      <c r="B1185" s="127" t="s">
        <v>2825</v>
      </c>
      <c r="C1185" s="99" t="s">
        <v>4</v>
      </c>
      <c r="D1185" s="100" t="s">
        <v>2826</v>
      </c>
      <c r="E1185" s="101">
        <v>40870.473611111112</v>
      </c>
      <c r="F1185" s="101"/>
      <c r="G1185" s="102" t="str">
        <f>IF(stdProdLT(Main[[#This Row],[Comments]])=0.1,"N/A",IF(stdProdLT(Main[[#This Row],[Comments]])=0,"",stdProdLT(Main[[#This Row],[Comments]])))</f>
        <v/>
      </c>
      <c r="H1185" s="103" t="str">
        <f>IF(AND(Main[[#This Row],[In Stock Date]]&lt;&gt;"",Main[[#This Row],[Revised Due Date]]&lt;&gt;""),Main[[#This Row],[In Stock Date]]-Main[[#This Row],[Revised Due Date]],"")</f>
        <v/>
      </c>
      <c r="I1185" s="99" t="s">
        <v>2110</v>
      </c>
      <c r="J1185" s="99" t="s">
        <v>28</v>
      </c>
      <c r="K1185" s="99" t="s">
        <v>1971</v>
      </c>
      <c r="L1185" s="101"/>
      <c r="M1185" s="104" t="str">
        <f>IF(Main[[#This Row],[Tech Start Date]]&lt;1/1/1990,"",IF(Main[[#This Row],[Class]]="C",WORKDAY(Main[[#This Row],[Tech Start Date]],9),IF(Main[[#This Row],[Class]]="B", WORKDAY(Main[[#This Row],[Tech Start Date]],6),IF(Main[[#This Row],[Class]]="A",WORKDAY(Main[[#This Row],[Tech Start Date]],2),""))))</f>
        <v/>
      </c>
      <c r="N1185" s="104" t="str">
        <f>IF(Main[[#This Row],[Tech Start Date]]&lt;1/1/1990,"",IF(Main[[#This Row],[Class]]="C",WORKDAY(Main[[#This Row],[Tech Start Date]],19),IF(Main[[#This Row],[Class]]="B", WORKDAY(Main[[#This Row],[Tech Start Date]],12),IF(Main[[#This Row],[Class]]="A",WORKDAY(Main[[#This Row],[Tech Start Date]],4),""))))</f>
        <v/>
      </c>
      <c r="O1185" s="104" t="str">
        <f>IF(Main[[#This Row],[Tech Start Date]]&lt;1/1/1990,"",IF(Main[[#This Row],[Class]]="C",WORKDAY(Main[[#This Row],[Tech Start Date]],23),IF(Main[[#This Row],[Class]]="B", WORKDAY(Main[[#This Row],[Tech Start Date]],15),IF(Main[[#This Row],[Class]]="A",WORKDAY(Main[[#This Row],[Tech Start Date]],5),""))))</f>
        <v/>
      </c>
      <c r="P1185" s="104" t="str">
        <f>IF(Main[[#This Row],[Tech Start Date]]&lt;1/1/1990,"",IF(Main[[#This Row],[Class]]="C",WORKDAY(Main[[#This Row],[Tech Start Date]],28),IF(Main[[#This Row],[Class]]="B", WORKDAY(Main[[#This Row],[Tech Start Date]],19),IF(Main[[#This Row],[Class]]="A",WORKDAY(Main[[#This Row],[Tech Start Date]],9),""))))</f>
        <v/>
      </c>
      <c r="Q1185" s="101">
        <v>40905</v>
      </c>
      <c r="R1185" s="101"/>
      <c r="S1185" s="99" t="s">
        <v>6</v>
      </c>
      <c r="T1185" s="107" t="s">
        <v>4</v>
      </c>
      <c r="U1185" s="99" t="s">
        <v>29</v>
      </c>
      <c r="V1185" s="99" t="s">
        <v>1965</v>
      </c>
      <c r="W1185" s="99" t="s">
        <v>1966</v>
      </c>
    </row>
    <row r="1186" spans="1:23" ht="18.600000000000001" customHeight="1">
      <c r="A1186" s="123" t="str">
        <f>IF(priority(Main[[#This Row],[Comments]])&lt;&gt;0, priority(Main[[#This Row],[Comments]]),"")</f>
        <v/>
      </c>
      <c r="B1186" s="127" t="s">
        <v>1160</v>
      </c>
      <c r="C1186" s="99" t="s">
        <v>4</v>
      </c>
      <c r="D1186" s="100" t="s">
        <v>180</v>
      </c>
      <c r="E1186" s="101">
        <v>40430.633981481478</v>
      </c>
      <c r="F1186" s="101">
        <v>40522</v>
      </c>
      <c r="G1186" s="102" t="str">
        <f>IF(stdProdLT(Main[[#This Row],[Comments]])=0.1,"N/A",IF(stdProdLT(Main[[#This Row],[Comments]])=0,"",stdProdLT(Main[[#This Row],[Comments]])))</f>
        <v/>
      </c>
      <c r="H1186" s="103" t="str">
        <f>IF(AND(Main[[#This Row],[In Stock Date]]&lt;&gt;"",Main[[#This Row],[Revised Due Date]]&lt;&gt;""),Main[[#This Row],[In Stock Date]]-Main[[#This Row],[Revised Due Date]],"")</f>
        <v/>
      </c>
      <c r="I1186" s="99" t="s">
        <v>242</v>
      </c>
      <c r="J1186" s="99" t="s">
        <v>21</v>
      </c>
      <c r="K1186" s="99" t="s">
        <v>4</v>
      </c>
      <c r="L1186" s="101"/>
      <c r="M1186" s="104" t="str">
        <f>IF(Main[[#This Row],[Tech Start Date]]&lt;1/1/1990,"",IF(Main[[#This Row],[Class]]="C",WORKDAY(Main[[#This Row],[Tech Start Date]],9),IF(Main[[#This Row],[Class]]="B", WORKDAY(Main[[#This Row],[Tech Start Date]],6),IF(Main[[#This Row],[Class]]="A",WORKDAY(Main[[#This Row],[Tech Start Date]],2),""))))</f>
        <v/>
      </c>
      <c r="N1186" s="104" t="str">
        <f>IF(Main[[#This Row],[Tech Start Date]]&lt;1/1/1990,"",IF(Main[[#This Row],[Class]]="C",WORKDAY(Main[[#This Row],[Tech Start Date]],19),IF(Main[[#This Row],[Class]]="B", WORKDAY(Main[[#This Row],[Tech Start Date]],12),IF(Main[[#This Row],[Class]]="A",WORKDAY(Main[[#This Row],[Tech Start Date]],4),""))))</f>
        <v/>
      </c>
      <c r="O1186" s="104" t="str">
        <f>IF(Main[[#This Row],[Tech Start Date]]&lt;1/1/1990,"",IF(Main[[#This Row],[Class]]="C",WORKDAY(Main[[#This Row],[Tech Start Date]],23),IF(Main[[#This Row],[Class]]="B", WORKDAY(Main[[#This Row],[Tech Start Date]],15),IF(Main[[#This Row],[Class]]="A",WORKDAY(Main[[#This Row],[Tech Start Date]],5),""))))</f>
        <v/>
      </c>
      <c r="P1186" s="104" t="str">
        <f>IF(Main[[#This Row],[Tech Start Date]]&lt;1/1/1990,"",IF(Main[[#This Row],[Class]]="C",WORKDAY(Main[[#This Row],[Tech Start Date]],28),IF(Main[[#This Row],[Class]]="B", WORKDAY(Main[[#This Row],[Tech Start Date]],19),IF(Main[[#This Row],[Class]]="A",WORKDAY(Main[[#This Row],[Tech Start Date]],9),""))))</f>
        <v/>
      </c>
      <c r="Q1186" s="101">
        <v>40522</v>
      </c>
      <c r="R1186" s="101"/>
      <c r="S1186" s="99" t="s">
        <v>6</v>
      </c>
      <c r="T1186" s="107" t="s">
        <v>4</v>
      </c>
      <c r="U1186" s="99" t="s">
        <v>29</v>
      </c>
      <c r="V1186" s="99" t="s">
        <v>1965</v>
      </c>
      <c r="W1186" s="99" t="s">
        <v>1966</v>
      </c>
    </row>
    <row r="1187" spans="1:23" ht="18.600000000000001" customHeight="1">
      <c r="A1187" s="123" t="str">
        <f>IF(priority(Main[[#This Row],[Comments]])&lt;&gt;0, priority(Main[[#This Row],[Comments]]),"")</f>
        <v/>
      </c>
      <c r="B1187" s="127" t="s">
        <v>2841</v>
      </c>
      <c r="C1187" s="99" t="s">
        <v>4</v>
      </c>
      <c r="D1187" s="100" t="s">
        <v>2842</v>
      </c>
      <c r="E1187" s="101">
        <v>40861.654675925929</v>
      </c>
      <c r="F1187" s="101"/>
      <c r="G1187" s="102" t="str">
        <f>IF(stdProdLT(Main[[#This Row],[Comments]])=0.1,"N/A",IF(stdProdLT(Main[[#This Row],[Comments]])=0,"",stdProdLT(Main[[#This Row],[Comments]])))</f>
        <v/>
      </c>
      <c r="H1187" s="103" t="str">
        <f>IF(AND(Main[[#This Row],[In Stock Date]]&lt;&gt;"",Main[[#This Row],[Revised Due Date]]&lt;&gt;""),Main[[#This Row],[In Stock Date]]-Main[[#This Row],[Revised Due Date]],"")</f>
        <v/>
      </c>
      <c r="I1187" s="99" t="s">
        <v>2102</v>
      </c>
      <c r="J1187" s="99" t="s">
        <v>28</v>
      </c>
      <c r="K1187" s="108" t="s">
        <v>1971</v>
      </c>
      <c r="L1187" s="101"/>
      <c r="M1187" s="104" t="str">
        <f>IF(Main[[#This Row],[Tech Start Date]]&lt;1/1/1990,"",IF(Main[[#This Row],[Class]]="C",WORKDAY(Main[[#This Row],[Tech Start Date]],9),IF(Main[[#This Row],[Class]]="B", WORKDAY(Main[[#This Row],[Tech Start Date]],6),IF(Main[[#This Row],[Class]]="A",WORKDAY(Main[[#This Row],[Tech Start Date]],2),""))))</f>
        <v/>
      </c>
      <c r="N1187" s="104" t="str">
        <f>IF(Main[[#This Row],[Tech Start Date]]&lt;1/1/1990,"",IF(Main[[#This Row],[Class]]="C",WORKDAY(Main[[#This Row],[Tech Start Date]],19),IF(Main[[#This Row],[Class]]="B", WORKDAY(Main[[#This Row],[Tech Start Date]],12),IF(Main[[#This Row],[Class]]="A",WORKDAY(Main[[#This Row],[Tech Start Date]],4),""))))</f>
        <v/>
      </c>
      <c r="O1187" s="104" t="str">
        <f>IF(Main[[#This Row],[Tech Start Date]]&lt;1/1/1990,"",IF(Main[[#This Row],[Class]]="C",WORKDAY(Main[[#This Row],[Tech Start Date]],23),IF(Main[[#This Row],[Class]]="B", WORKDAY(Main[[#This Row],[Tech Start Date]],15),IF(Main[[#This Row],[Class]]="A",WORKDAY(Main[[#This Row],[Tech Start Date]],5),""))))</f>
        <v/>
      </c>
      <c r="P1187" s="104" t="str">
        <f>IF(Main[[#This Row],[Tech Start Date]]&lt;1/1/1990,"",IF(Main[[#This Row],[Class]]="C",WORKDAY(Main[[#This Row],[Tech Start Date]],28),IF(Main[[#This Row],[Class]]="B", WORKDAY(Main[[#This Row],[Tech Start Date]],19),IF(Main[[#This Row],[Class]]="A",WORKDAY(Main[[#This Row],[Tech Start Date]],9),""))))</f>
        <v/>
      </c>
      <c r="Q1187" s="101">
        <v>40897</v>
      </c>
      <c r="R1187" s="101"/>
      <c r="S1187" s="99" t="s">
        <v>6</v>
      </c>
      <c r="T1187" s="107" t="s">
        <v>4</v>
      </c>
      <c r="U1187" s="99" t="s">
        <v>29</v>
      </c>
      <c r="V1187" s="99" t="s">
        <v>1965</v>
      </c>
      <c r="W1187" s="99" t="s">
        <v>1966</v>
      </c>
    </row>
    <row r="1188" spans="1:23" ht="18.600000000000001" customHeight="1">
      <c r="A1188" s="123" t="str">
        <f>IF(priority(Main[[#This Row],[Comments]])&lt;&gt;0, priority(Main[[#This Row],[Comments]]),"")</f>
        <v/>
      </c>
      <c r="B1188" s="127" t="s">
        <v>2843</v>
      </c>
      <c r="C1188" s="99" t="s">
        <v>4</v>
      </c>
      <c r="D1188" s="100" t="s">
        <v>2844</v>
      </c>
      <c r="E1188" s="101">
        <v>40875.439270833333</v>
      </c>
      <c r="F1188" s="101"/>
      <c r="G1188" s="102" t="str">
        <f>IF(stdProdLT(Main[[#This Row],[Comments]])=0.1,"N/A",IF(stdProdLT(Main[[#This Row],[Comments]])=0,"",stdProdLT(Main[[#This Row],[Comments]])))</f>
        <v/>
      </c>
      <c r="H1188" s="103" t="str">
        <f>IF(AND(Main[[#This Row],[In Stock Date]]&lt;&gt;"",Main[[#This Row],[Revised Due Date]]&lt;&gt;""),Main[[#This Row],[In Stock Date]]-Main[[#This Row],[Revised Due Date]],"")</f>
        <v/>
      </c>
      <c r="I1188" s="99" t="s">
        <v>4</v>
      </c>
      <c r="J1188" s="99" t="s">
        <v>4</v>
      </c>
      <c r="K1188" s="99" t="s">
        <v>4</v>
      </c>
      <c r="L1188" s="101"/>
      <c r="M1188" s="104" t="str">
        <f>IF(Main[[#This Row],[Tech Start Date]]&lt;1/1/1990,"",IF(Main[[#This Row],[Class]]="C",WORKDAY(Main[[#This Row],[Tech Start Date]],9),IF(Main[[#This Row],[Class]]="B", WORKDAY(Main[[#This Row],[Tech Start Date]],6),IF(Main[[#This Row],[Class]]="A",WORKDAY(Main[[#This Row],[Tech Start Date]],2),""))))</f>
        <v/>
      </c>
      <c r="N1188" s="104" t="str">
        <f>IF(Main[[#This Row],[Tech Start Date]]&lt;1/1/1990,"",IF(Main[[#This Row],[Class]]="C",WORKDAY(Main[[#This Row],[Tech Start Date]],19),IF(Main[[#This Row],[Class]]="B", WORKDAY(Main[[#This Row],[Tech Start Date]],12),IF(Main[[#This Row],[Class]]="A",WORKDAY(Main[[#This Row],[Tech Start Date]],4),""))))</f>
        <v/>
      </c>
      <c r="O1188" s="104" t="str">
        <f>IF(Main[[#This Row],[Tech Start Date]]&lt;1/1/1990,"",IF(Main[[#This Row],[Class]]="C",WORKDAY(Main[[#This Row],[Tech Start Date]],23),IF(Main[[#This Row],[Class]]="B", WORKDAY(Main[[#This Row],[Tech Start Date]],15),IF(Main[[#This Row],[Class]]="A",WORKDAY(Main[[#This Row],[Tech Start Date]],5),""))))</f>
        <v/>
      </c>
      <c r="P1188" s="104" t="str">
        <f>IF(Main[[#This Row],[Tech Start Date]]&lt;1/1/1990,"",IF(Main[[#This Row],[Class]]="C",WORKDAY(Main[[#This Row],[Tech Start Date]],28),IF(Main[[#This Row],[Class]]="B", WORKDAY(Main[[#This Row],[Tech Start Date]],19),IF(Main[[#This Row],[Class]]="A",WORKDAY(Main[[#This Row],[Tech Start Date]],9),""))))</f>
        <v/>
      </c>
      <c r="Q1188" s="101">
        <v>40907</v>
      </c>
      <c r="R1188" s="101"/>
      <c r="S1188" s="99" t="s">
        <v>6</v>
      </c>
      <c r="T1188" s="107" t="s">
        <v>4</v>
      </c>
      <c r="U1188" s="99" t="s">
        <v>7</v>
      </c>
      <c r="V1188" s="99" t="s">
        <v>1965</v>
      </c>
      <c r="W1188" s="99" t="s">
        <v>4</v>
      </c>
    </row>
    <row r="1189" spans="1:23" ht="18.600000000000001" customHeight="1">
      <c r="A1189" s="123" t="str">
        <f>IF(priority(Main[[#This Row],[Comments]])&lt;&gt;0, priority(Main[[#This Row],[Comments]]),"")</f>
        <v/>
      </c>
      <c r="B1189" s="127" t="s">
        <v>3109</v>
      </c>
      <c r="C1189" s="99" t="s">
        <v>72</v>
      </c>
      <c r="D1189" s="100" t="s">
        <v>3110</v>
      </c>
      <c r="E1189" s="101">
        <v>40881.914895833332</v>
      </c>
      <c r="F1189" s="101"/>
      <c r="G1189" s="102" t="str">
        <f>IF(stdProdLT(Main[[#This Row],[Comments]])=0.1,"N/A",IF(stdProdLT(Main[[#This Row],[Comments]])=0,"",stdProdLT(Main[[#This Row],[Comments]])))</f>
        <v/>
      </c>
      <c r="H1189" s="103" t="str">
        <f>IF(AND(Main[[#This Row],[In Stock Date]]&lt;&gt;"",Main[[#This Row],[Revised Due Date]]&lt;&gt;""),Main[[#This Row],[In Stock Date]]-Main[[#This Row],[Revised Due Date]],"")</f>
        <v/>
      </c>
      <c r="I1189" s="99" t="s">
        <v>4</v>
      </c>
      <c r="J1189" s="99" t="s">
        <v>4</v>
      </c>
      <c r="K1189" s="108" t="s">
        <v>4</v>
      </c>
      <c r="L1189" s="101"/>
      <c r="M1189" s="104" t="str">
        <f>IF(Main[[#This Row],[Tech Start Date]]&lt;1/1/1990,"",IF(Main[[#This Row],[Class]]="C",WORKDAY(Main[[#This Row],[Tech Start Date]],9),IF(Main[[#This Row],[Class]]="B", WORKDAY(Main[[#This Row],[Tech Start Date]],6),IF(Main[[#This Row],[Class]]="A",WORKDAY(Main[[#This Row],[Tech Start Date]],2),""))))</f>
        <v/>
      </c>
      <c r="N1189" s="104" t="str">
        <f>IF(Main[[#This Row],[Tech Start Date]]&lt;1/1/1990,"",IF(Main[[#This Row],[Class]]="C",WORKDAY(Main[[#This Row],[Tech Start Date]],19),IF(Main[[#This Row],[Class]]="B", WORKDAY(Main[[#This Row],[Tech Start Date]],12),IF(Main[[#This Row],[Class]]="A",WORKDAY(Main[[#This Row],[Tech Start Date]],4),""))))</f>
        <v/>
      </c>
      <c r="O1189" s="104" t="str">
        <f>IF(Main[[#This Row],[Tech Start Date]]&lt;1/1/1990,"",IF(Main[[#This Row],[Class]]="C",WORKDAY(Main[[#This Row],[Tech Start Date]],23),IF(Main[[#This Row],[Class]]="B", WORKDAY(Main[[#This Row],[Tech Start Date]],15),IF(Main[[#This Row],[Class]]="A",WORKDAY(Main[[#This Row],[Tech Start Date]],5),""))))</f>
        <v/>
      </c>
      <c r="P1189" s="104" t="str">
        <f>IF(Main[[#This Row],[Tech Start Date]]&lt;1/1/1990,"",IF(Main[[#This Row],[Class]]="C",WORKDAY(Main[[#This Row],[Tech Start Date]],28),IF(Main[[#This Row],[Class]]="B", WORKDAY(Main[[#This Row],[Tech Start Date]],19),IF(Main[[#This Row],[Class]]="A",WORKDAY(Main[[#This Row],[Tech Start Date]],9),""))))</f>
        <v/>
      </c>
      <c r="Q1189" s="101">
        <v>40886</v>
      </c>
      <c r="R1189" s="101"/>
      <c r="S1189" s="99" t="s">
        <v>301</v>
      </c>
      <c r="T1189" s="107" t="s">
        <v>4</v>
      </c>
      <c r="U1189" s="99" t="s">
        <v>7</v>
      </c>
      <c r="V1189" s="99" t="s">
        <v>1972</v>
      </c>
      <c r="W1189" s="99" t="s">
        <v>1970</v>
      </c>
    </row>
    <row r="1190" spans="1:23" ht="18.600000000000001" customHeight="1">
      <c r="A1190" s="123" t="str">
        <f>IF(priority(Main[[#This Row],[Comments]])&lt;&gt;0, priority(Main[[#This Row],[Comments]]),"")</f>
        <v/>
      </c>
      <c r="B1190" s="127" t="s">
        <v>3111</v>
      </c>
      <c r="C1190" s="99" t="s">
        <v>72</v>
      </c>
      <c r="D1190" s="100" t="s">
        <v>3112</v>
      </c>
      <c r="E1190" s="101">
        <v>40881.911481481482</v>
      </c>
      <c r="F1190" s="101"/>
      <c r="G1190" s="102" t="str">
        <f>IF(stdProdLT(Main[[#This Row],[Comments]])=0.1,"N/A",IF(stdProdLT(Main[[#This Row],[Comments]])=0,"",stdProdLT(Main[[#This Row],[Comments]])))</f>
        <v/>
      </c>
      <c r="H1190" s="103" t="str">
        <f>IF(AND(Main[[#This Row],[In Stock Date]]&lt;&gt;"",Main[[#This Row],[Revised Due Date]]&lt;&gt;""),Main[[#This Row],[In Stock Date]]-Main[[#This Row],[Revised Due Date]],"")</f>
        <v/>
      </c>
      <c r="I1190" s="99" t="s">
        <v>4</v>
      </c>
      <c r="J1190" s="99" t="s">
        <v>4</v>
      </c>
      <c r="K1190" s="108" t="s">
        <v>4</v>
      </c>
      <c r="L1190" s="101"/>
      <c r="M1190" s="104" t="str">
        <f>IF(Main[[#This Row],[Tech Start Date]]&lt;1/1/1990,"",IF(Main[[#This Row],[Class]]="C",WORKDAY(Main[[#This Row],[Tech Start Date]],9),IF(Main[[#This Row],[Class]]="B", WORKDAY(Main[[#This Row],[Tech Start Date]],6),IF(Main[[#This Row],[Class]]="A",WORKDAY(Main[[#This Row],[Tech Start Date]],2),""))))</f>
        <v/>
      </c>
      <c r="N1190" s="104" t="str">
        <f>IF(Main[[#This Row],[Tech Start Date]]&lt;1/1/1990,"",IF(Main[[#This Row],[Class]]="C",WORKDAY(Main[[#This Row],[Tech Start Date]],19),IF(Main[[#This Row],[Class]]="B", WORKDAY(Main[[#This Row],[Tech Start Date]],12),IF(Main[[#This Row],[Class]]="A",WORKDAY(Main[[#This Row],[Tech Start Date]],4),""))))</f>
        <v/>
      </c>
      <c r="O1190" s="104" t="str">
        <f>IF(Main[[#This Row],[Tech Start Date]]&lt;1/1/1990,"",IF(Main[[#This Row],[Class]]="C",WORKDAY(Main[[#This Row],[Tech Start Date]],23),IF(Main[[#This Row],[Class]]="B", WORKDAY(Main[[#This Row],[Tech Start Date]],15),IF(Main[[#This Row],[Class]]="A",WORKDAY(Main[[#This Row],[Tech Start Date]],5),""))))</f>
        <v/>
      </c>
      <c r="P1190" s="104" t="str">
        <f>IF(Main[[#This Row],[Tech Start Date]]&lt;1/1/1990,"",IF(Main[[#This Row],[Class]]="C",WORKDAY(Main[[#This Row],[Tech Start Date]],28),IF(Main[[#This Row],[Class]]="B", WORKDAY(Main[[#This Row],[Tech Start Date]],19),IF(Main[[#This Row],[Class]]="A",WORKDAY(Main[[#This Row],[Tech Start Date]],9),""))))</f>
        <v/>
      </c>
      <c r="Q1190" s="101">
        <v>40886</v>
      </c>
      <c r="R1190" s="101"/>
      <c r="S1190" s="99" t="s">
        <v>301</v>
      </c>
      <c r="T1190" s="107" t="s">
        <v>4</v>
      </c>
      <c r="U1190" s="99" t="s">
        <v>7</v>
      </c>
      <c r="V1190" s="99" t="s">
        <v>1972</v>
      </c>
      <c r="W1190" s="99" t="s">
        <v>1970</v>
      </c>
    </row>
    <row r="1191" spans="1:23" ht="18.600000000000001" customHeight="1">
      <c r="A1191" s="123" t="str">
        <f>IF(priority(Main[[#This Row],[Comments]])&lt;&gt;0, priority(Main[[#This Row],[Comments]]),"")</f>
        <v/>
      </c>
      <c r="B1191" s="127" t="s">
        <v>3113</v>
      </c>
      <c r="C1191" s="99" t="s">
        <v>72</v>
      </c>
      <c r="D1191" s="100" t="s">
        <v>3114</v>
      </c>
      <c r="E1191" s="101">
        <v>40881.912974537037</v>
      </c>
      <c r="F1191" s="101"/>
      <c r="G1191" s="102" t="str">
        <f>IF(stdProdLT(Main[[#This Row],[Comments]])=0.1,"N/A",IF(stdProdLT(Main[[#This Row],[Comments]])=0,"",stdProdLT(Main[[#This Row],[Comments]])))</f>
        <v/>
      </c>
      <c r="H1191" s="103" t="str">
        <f>IF(AND(Main[[#This Row],[In Stock Date]]&lt;&gt;"",Main[[#This Row],[Revised Due Date]]&lt;&gt;""),Main[[#This Row],[In Stock Date]]-Main[[#This Row],[Revised Due Date]],"")</f>
        <v/>
      </c>
      <c r="I1191" s="99" t="s">
        <v>4</v>
      </c>
      <c r="J1191" s="99" t="s">
        <v>4</v>
      </c>
      <c r="K1191" s="99" t="s">
        <v>4</v>
      </c>
      <c r="L1191" s="101"/>
      <c r="M1191" s="104" t="str">
        <f>IF(Main[[#This Row],[Tech Start Date]]&lt;1/1/1990,"",IF(Main[[#This Row],[Class]]="C",WORKDAY(Main[[#This Row],[Tech Start Date]],9),IF(Main[[#This Row],[Class]]="B", WORKDAY(Main[[#This Row],[Tech Start Date]],6),IF(Main[[#This Row],[Class]]="A",WORKDAY(Main[[#This Row],[Tech Start Date]],2),""))))</f>
        <v/>
      </c>
      <c r="N1191" s="104" t="str">
        <f>IF(Main[[#This Row],[Tech Start Date]]&lt;1/1/1990,"",IF(Main[[#This Row],[Class]]="C",WORKDAY(Main[[#This Row],[Tech Start Date]],19),IF(Main[[#This Row],[Class]]="B", WORKDAY(Main[[#This Row],[Tech Start Date]],12),IF(Main[[#This Row],[Class]]="A",WORKDAY(Main[[#This Row],[Tech Start Date]],4),""))))</f>
        <v/>
      </c>
      <c r="O1191" s="104" t="str">
        <f>IF(Main[[#This Row],[Tech Start Date]]&lt;1/1/1990,"",IF(Main[[#This Row],[Class]]="C",WORKDAY(Main[[#This Row],[Tech Start Date]],23),IF(Main[[#This Row],[Class]]="B", WORKDAY(Main[[#This Row],[Tech Start Date]],15),IF(Main[[#This Row],[Class]]="A",WORKDAY(Main[[#This Row],[Tech Start Date]],5),""))))</f>
        <v/>
      </c>
      <c r="P1191" s="104" t="str">
        <f>IF(Main[[#This Row],[Tech Start Date]]&lt;1/1/1990,"",IF(Main[[#This Row],[Class]]="C",WORKDAY(Main[[#This Row],[Tech Start Date]],28),IF(Main[[#This Row],[Class]]="B", WORKDAY(Main[[#This Row],[Tech Start Date]],19),IF(Main[[#This Row],[Class]]="A",WORKDAY(Main[[#This Row],[Tech Start Date]],9),""))))</f>
        <v/>
      </c>
      <c r="Q1191" s="101">
        <v>40886</v>
      </c>
      <c r="R1191" s="101"/>
      <c r="S1191" s="99" t="s">
        <v>301</v>
      </c>
      <c r="T1191" s="107" t="s">
        <v>4</v>
      </c>
      <c r="U1191" s="99" t="s">
        <v>7</v>
      </c>
      <c r="V1191" s="99" t="s">
        <v>1972</v>
      </c>
      <c r="W1191" s="99" t="s">
        <v>1970</v>
      </c>
    </row>
    <row r="1192" spans="1:23" ht="18.600000000000001" customHeight="1">
      <c r="A1192" s="123" t="str">
        <f>IF(priority(Main[[#This Row],[Comments]])&lt;&gt;0, priority(Main[[#This Row],[Comments]]),"")</f>
        <v/>
      </c>
      <c r="B1192" s="127" t="s">
        <v>3115</v>
      </c>
      <c r="C1192" s="99" t="s">
        <v>72</v>
      </c>
      <c r="D1192" s="100" t="s">
        <v>3116</v>
      </c>
      <c r="E1192" s="101">
        <v>40881.905509259261</v>
      </c>
      <c r="F1192" s="101"/>
      <c r="G1192" s="102" t="str">
        <f>IF(stdProdLT(Main[[#This Row],[Comments]])=0.1,"N/A",IF(stdProdLT(Main[[#This Row],[Comments]])=0,"",stdProdLT(Main[[#This Row],[Comments]])))</f>
        <v/>
      </c>
      <c r="H1192" s="103" t="str">
        <f>IF(AND(Main[[#This Row],[In Stock Date]]&lt;&gt;"",Main[[#This Row],[Revised Due Date]]&lt;&gt;""),Main[[#This Row],[In Stock Date]]-Main[[#This Row],[Revised Due Date]],"")</f>
        <v/>
      </c>
      <c r="I1192" s="99" t="s">
        <v>4</v>
      </c>
      <c r="J1192" s="99" t="s">
        <v>4</v>
      </c>
      <c r="K1192" s="99" t="s">
        <v>4</v>
      </c>
      <c r="L1192" s="101"/>
      <c r="M1192" s="104" t="str">
        <f>IF(Main[[#This Row],[Tech Start Date]]&lt;1/1/1990,"",IF(Main[[#This Row],[Class]]="C",WORKDAY(Main[[#This Row],[Tech Start Date]],9),IF(Main[[#This Row],[Class]]="B", WORKDAY(Main[[#This Row],[Tech Start Date]],6),IF(Main[[#This Row],[Class]]="A",WORKDAY(Main[[#This Row],[Tech Start Date]],2),""))))</f>
        <v/>
      </c>
      <c r="N1192" s="104" t="str">
        <f>IF(Main[[#This Row],[Tech Start Date]]&lt;1/1/1990,"",IF(Main[[#This Row],[Class]]="C",WORKDAY(Main[[#This Row],[Tech Start Date]],19),IF(Main[[#This Row],[Class]]="B", WORKDAY(Main[[#This Row],[Tech Start Date]],12),IF(Main[[#This Row],[Class]]="A",WORKDAY(Main[[#This Row],[Tech Start Date]],4),""))))</f>
        <v/>
      </c>
      <c r="O1192" s="104" t="str">
        <f>IF(Main[[#This Row],[Tech Start Date]]&lt;1/1/1990,"",IF(Main[[#This Row],[Class]]="C",WORKDAY(Main[[#This Row],[Tech Start Date]],23),IF(Main[[#This Row],[Class]]="B", WORKDAY(Main[[#This Row],[Tech Start Date]],15),IF(Main[[#This Row],[Class]]="A",WORKDAY(Main[[#This Row],[Tech Start Date]],5),""))))</f>
        <v/>
      </c>
      <c r="P1192" s="104" t="str">
        <f>IF(Main[[#This Row],[Tech Start Date]]&lt;1/1/1990,"",IF(Main[[#This Row],[Class]]="C",WORKDAY(Main[[#This Row],[Tech Start Date]],28),IF(Main[[#This Row],[Class]]="B", WORKDAY(Main[[#This Row],[Tech Start Date]],19),IF(Main[[#This Row],[Class]]="A",WORKDAY(Main[[#This Row],[Tech Start Date]],9),""))))</f>
        <v/>
      </c>
      <c r="Q1192" s="101">
        <v>40886</v>
      </c>
      <c r="R1192" s="101"/>
      <c r="S1192" s="99" t="s">
        <v>301</v>
      </c>
      <c r="T1192" s="107" t="s">
        <v>4</v>
      </c>
      <c r="U1192" s="99" t="s">
        <v>7</v>
      </c>
      <c r="V1192" s="99" t="s">
        <v>1972</v>
      </c>
      <c r="W1192" s="99" t="s">
        <v>1970</v>
      </c>
    </row>
    <row r="1193" spans="1:23" ht="18.600000000000001" customHeight="1">
      <c r="A1193" s="123" t="str">
        <f>IF(priority(Main[[#This Row],[Comments]])&lt;&gt;0, priority(Main[[#This Row],[Comments]]),"")</f>
        <v/>
      </c>
      <c r="B1193" s="127" t="s">
        <v>2682</v>
      </c>
      <c r="C1193" s="99" t="s">
        <v>4</v>
      </c>
      <c r="D1193" s="100" t="s">
        <v>2683</v>
      </c>
      <c r="E1193" s="101">
        <v>40849.455775462964</v>
      </c>
      <c r="F1193" s="101"/>
      <c r="G1193" s="102" t="str">
        <f>IF(stdProdLT(Main[[#This Row],[Comments]])=0.1,"N/A",IF(stdProdLT(Main[[#This Row],[Comments]])=0,"",stdProdLT(Main[[#This Row],[Comments]])))</f>
        <v/>
      </c>
      <c r="H1193" s="103" t="str">
        <f>IF(AND(Main[[#This Row],[In Stock Date]]&lt;&gt;"",Main[[#This Row],[Revised Due Date]]&lt;&gt;""),Main[[#This Row],[In Stock Date]]-Main[[#This Row],[Revised Due Date]],"")</f>
        <v/>
      </c>
      <c r="I1193" s="99" t="s">
        <v>2102</v>
      </c>
      <c r="J1193" s="99" t="s">
        <v>28</v>
      </c>
      <c r="K1193" s="108" t="s">
        <v>1971</v>
      </c>
      <c r="L1193" s="101"/>
      <c r="M1193" s="104" t="str">
        <f>IF(Main[[#This Row],[Tech Start Date]]&lt;1/1/1990,"",IF(Main[[#This Row],[Class]]="C",WORKDAY(Main[[#This Row],[Tech Start Date]],9),IF(Main[[#This Row],[Class]]="B", WORKDAY(Main[[#This Row],[Tech Start Date]],6),IF(Main[[#This Row],[Class]]="A",WORKDAY(Main[[#This Row],[Tech Start Date]],2),""))))</f>
        <v/>
      </c>
      <c r="N1193" s="104" t="str">
        <f>IF(Main[[#This Row],[Tech Start Date]]&lt;1/1/1990,"",IF(Main[[#This Row],[Class]]="C",WORKDAY(Main[[#This Row],[Tech Start Date]],19),IF(Main[[#This Row],[Class]]="B", WORKDAY(Main[[#This Row],[Tech Start Date]],12),IF(Main[[#This Row],[Class]]="A",WORKDAY(Main[[#This Row],[Tech Start Date]],4),""))))</f>
        <v/>
      </c>
      <c r="O1193" s="104" t="str">
        <f>IF(Main[[#This Row],[Tech Start Date]]&lt;1/1/1990,"",IF(Main[[#This Row],[Class]]="C",WORKDAY(Main[[#This Row],[Tech Start Date]],23),IF(Main[[#This Row],[Class]]="B", WORKDAY(Main[[#This Row],[Tech Start Date]],15),IF(Main[[#This Row],[Class]]="A",WORKDAY(Main[[#This Row],[Tech Start Date]],5),""))))</f>
        <v/>
      </c>
      <c r="P1193" s="104" t="str">
        <f>IF(Main[[#This Row],[Tech Start Date]]&lt;1/1/1990,"",IF(Main[[#This Row],[Class]]="C",WORKDAY(Main[[#This Row],[Tech Start Date]],28),IF(Main[[#This Row],[Class]]="B", WORKDAY(Main[[#This Row],[Tech Start Date]],19),IF(Main[[#This Row],[Class]]="A",WORKDAY(Main[[#This Row],[Tech Start Date]],9),""))))</f>
        <v/>
      </c>
      <c r="Q1193" s="101">
        <v>40879</v>
      </c>
      <c r="R1193" s="101"/>
      <c r="S1193" s="99" t="s">
        <v>6</v>
      </c>
      <c r="T1193" s="107" t="s">
        <v>4</v>
      </c>
      <c r="U1193" s="99" t="s">
        <v>29</v>
      </c>
      <c r="V1193" s="99" t="s">
        <v>1965</v>
      </c>
      <c r="W1193" s="99" t="s">
        <v>1966</v>
      </c>
    </row>
    <row r="1194" spans="1:23" ht="18.600000000000001" customHeight="1">
      <c r="A1194" s="123" t="str">
        <f>IF(priority(Main[[#This Row],[Comments]])&lt;&gt;0, priority(Main[[#This Row],[Comments]]),"")</f>
        <v/>
      </c>
      <c r="B1194" s="127" t="s">
        <v>2770</v>
      </c>
      <c r="C1194" s="99" t="s">
        <v>4</v>
      </c>
      <c r="D1194" s="100" t="s">
        <v>2771</v>
      </c>
      <c r="E1194" s="101">
        <v>40854.407685185186</v>
      </c>
      <c r="F1194" s="101"/>
      <c r="G1194" s="102" t="str">
        <f>IF(stdProdLT(Main[[#This Row],[Comments]])=0.1,"N/A",IF(stdProdLT(Main[[#This Row],[Comments]])=0,"",stdProdLT(Main[[#This Row],[Comments]])))</f>
        <v/>
      </c>
      <c r="H1194" s="103" t="str">
        <f>IF(AND(Main[[#This Row],[In Stock Date]]&lt;&gt;"",Main[[#This Row],[Revised Due Date]]&lt;&gt;""),Main[[#This Row],[In Stock Date]]-Main[[#This Row],[Revised Due Date]],"")</f>
        <v/>
      </c>
      <c r="I1194" s="99" t="s">
        <v>2102</v>
      </c>
      <c r="J1194" s="99" t="s">
        <v>28</v>
      </c>
      <c r="K1194" s="99" t="s">
        <v>1971</v>
      </c>
      <c r="L1194" s="101"/>
      <c r="M1194" s="104" t="str">
        <f>IF(Main[[#This Row],[Tech Start Date]]&lt;1/1/1990,"",IF(Main[[#This Row],[Class]]="C",WORKDAY(Main[[#This Row],[Tech Start Date]],9),IF(Main[[#This Row],[Class]]="B", WORKDAY(Main[[#This Row],[Tech Start Date]],6),IF(Main[[#This Row],[Class]]="A",WORKDAY(Main[[#This Row],[Tech Start Date]],2),""))))</f>
        <v/>
      </c>
      <c r="N1194" s="104" t="str">
        <f>IF(Main[[#This Row],[Tech Start Date]]&lt;1/1/1990,"",IF(Main[[#This Row],[Class]]="C",WORKDAY(Main[[#This Row],[Tech Start Date]],19),IF(Main[[#This Row],[Class]]="B", WORKDAY(Main[[#This Row],[Tech Start Date]],12),IF(Main[[#This Row],[Class]]="A",WORKDAY(Main[[#This Row],[Tech Start Date]],4),""))))</f>
        <v/>
      </c>
      <c r="O1194" s="104" t="str">
        <f>IF(Main[[#This Row],[Tech Start Date]]&lt;1/1/1990,"",IF(Main[[#This Row],[Class]]="C",WORKDAY(Main[[#This Row],[Tech Start Date]],23),IF(Main[[#This Row],[Class]]="B", WORKDAY(Main[[#This Row],[Tech Start Date]],15),IF(Main[[#This Row],[Class]]="A",WORKDAY(Main[[#This Row],[Tech Start Date]],5),""))))</f>
        <v/>
      </c>
      <c r="P1194" s="104" t="str">
        <f>IF(Main[[#This Row],[Tech Start Date]]&lt;1/1/1990,"",IF(Main[[#This Row],[Class]]="C",WORKDAY(Main[[#This Row],[Tech Start Date]],28),IF(Main[[#This Row],[Class]]="B", WORKDAY(Main[[#This Row],[Tech Start Date]],19),IF(Main[[#This Row],[Class]]="A",WORKDAY(Main[[#This Row],[Tech Start Date]],9),""))))</f>
        <v/>
      </c>
      <c r="Q1194" s="101">
        <v>40893</v>
      </c>
      <c r="R1194" s="101"/>
      <c r="S1194" s="99" t="s">
        <v>6</v>
      </c>
      <c r="T1194" s="107" t="s">
        <v>4</v>
      </c>
      <c r="U1194" s="99" t="s">
        <v>29</v>
      </c>
      <c r="V1194" s="99" t="s">
        <v>1972</v>
      </c>
      <c r="W1194" s="99" t="s">
        <v>1966</v>
      </c>
    </row>
    <row r="1195" spans="1:23" ht="18.600000000000001" customHeight="1">
      <c r="A1195" s="123" t="str">
        <f>IF(priority(Main[[#This Row],[Comments]])&lt;&gt;0, priority(Main[[#This Row],[Comments]]),"")</f>
        <v/>
      </c>
      <c r="B1195" s="127" t="s">
        <v>3117</v>
      </c>
      <c r="C1195" s="99" t="s">
        <v>4</v>
      </c>
      <c r="D1195" s="100" t="s">
        <v>3118</v>
      </c>
      <c r="E1195" s="101">
        <v>40882.142546296294</v>
      </c>
      <c r="F1195" s="101"/>
      <c r="G1195" s="102" t="str">
        <f>IF(stdProdLT(Main[[#This Row],[Comments]])=0.1,"N/A",IF(stdProdLT(Main[[#This Row],[Comments]])=0,"",stdProdLT(Main[[#This Row],[Comments]])))</f>
        <v/>
      </c>
      <c r="H1195" s="103" t="str">
        <f>IF(AND(Main[[#This Row],[In Stock Date]]&lt;&gt;"",Main[[#This Row],[Revised Due Date]]&lt;&gt;""),Main[[#This Row],[In Stock Date]]-Main[[#This Row],[Revised Due Date]],"")</f>
        <v/>
      </c>
      <c r="I1195" s="99" t="s">
        <v>4</v>
      </c>
      <c r="J1195" s="99" t="s">
        <v>4</v>
      </c>
      <c r="K1195" s="99" t="s">
        <v>4</v>
      </c>
      <c r="L1195" s="101"/>
      <c r="M1195" s="104" t="str">
        <f>IF(Main[[#This Row],[Tech Start Date]]&lt;1/1/1990,"",IF(Main[[#This Row],[Class]]="C",WORKDAY(Main[[#This Row],[Tech Start Date]],9),IF(Main[[#This Row],[Class]]="B", WORKDAY(Main[[#This Row],[Tech Start Date]],6),IF(Main[[#This Row],[Class]]="A",WORKDAY(Main[[#This Row],[Tech Start Date]],2),""))))</f>
        <v/>
      </c>
      <c r="N1195" s="104" t="str">
        <f>IF(Main[[#This Row],[Tech Start Date]]&lt;1/1/1990,"",IF(Main[[#This Row],[Class]]="C",WORKDAY(Main[[#This Row],[Tech Start Date]],19),IF(Main[[#This Row],[Class]]="B", WORKDAY(Main[[#This Row],[Tech Start Date]],12),IF(Main[[#This Row],[Class]]="A",WORKDAY(Main[[#This Row],[Tech Start Date]],4),""))))</f>
        <v/>
      </c>
      <c r="O1195" s="104" t="str">
        <f>IF(Main[[#This Row],[Tech Start Date]]&lt;1/1/1990,"",IF(Main[[#This Row],[Class]]="C",WORKDAY(Main[[#This Row],[Tech Start Date]],23),IF(Main[[#This Row],[Class]]="B", WORKDAY(Main[[#This Row],[Tech Start Date]],15),IF(Main[[#This Row],[Class]]="A",WORKDAY(Main[[#This Row],[Tech Start Date]],5),""))))</f>
        <v/>
      </c>
      <c r="P1195" s="104" t="str">
        <f>IF(Main[[#This Row],[Tech Start Date]]&lt;1/1/1990,"",IF(Main[[#This Row],[Class]]="C",WORKDAY(Main[[#This Row],[Tech Start Date]],28),IF(Main[[#This Row],[Class]]="B", WORKDAY(Main[[#This Row],[Tech Start Date]],19),IF(Main[[#This Row],[Class]]="A",WORKDAY(Main[[#This Row],[Tech Start Date]],9),""))))</f>
        <v/>
      </c>
      <c r="Q1195" s="101">
        <v>40913</v>
      </c>
      <c r="R1195" s="101"/>
      <c r="S1195" s="99" t="s">
        <v>6</v>
      </c>
      <c r="T1195" s="107" t="s">
        <v>4</v>
      </c>
      <c r="U1195" s="99" t="s">
        <v>7</v>
      </c>
      <c r="V1195" s="99" t="s">
        <v>1965</v>
      </c>
      <c r="W1195" s="99" t="s">
        <v>4</v>
      </c>
    </row>
    <row r="1196" spans="1:23" ht="18.600000000000001" customHeight="1">
      <c r="A1196" s="123" t="str">
        <f>IF(priority(Main[[#This Row],[Comments]])&lt;&gt;0, priority(Main[[#This Row],[Comments]]),"")</f>
        <v/>
      </c>
      <c r="B1196" s="127" t="s">
        <v>3119</v>
      </c>
      <c r="C1196" s="99" t="s">
        <v>4</v>
      </c>
      <c r="D1196" s="100" t="s">
        <v>3120</v>
      </c>
      <c r="E1196" s="101">
        <v>40882.367037037038</v>
      </c>
      <c r="F1196" s="101"/>
      <c r="G1196" s="102" t="str">
        <f>IF(stdProdLT(Main[[#This Row],[Comments]])=0.1,"N/A",IF(stdProdLT(Main[[#This Row],[Comments]])=0,"",stdProdLT(Main[[#This Row],[Comments]])))</f>
        <v/>
      </c>
      <c r="H1196" s="103" t="str">
        <f>IF(AND(Main[[#This Row],[In Stock Date]]&lt;&gt;"",Main[[#This Row],[Revised Due Date]]&lt;&gt;""),Main[[#This Row],[In Stock Date]]-Main[[#This Row],[Revised Due Date]],"")</f>
        <v/>
      </c>
      <c r="I1196" s="99" t="s">
        <v>4</v>
      </c>
      <c r="J1196" s="99" t="s">
        <v>4</v>
      </c>
      <c r="K1196" s="99" t="s">
        <v>4</v>
      </c>
      <c r="L1196" s="101"/>
      <c r="M1196" s="104" t="str">
        <f>IF(Main[[#This Row],[Tech Start Date]]&lt;1/1/1990,"",IF(Main[[#This Row],[Class]]="C",WORKDAY(Main[[#This Row],[Tech Start Date]],9),IF(Main[[#This Row],[Class]]="B", WORKDAY(Main[[#This Row],[Tech Start Date]],6),IF(Main[[#This Row],[Class]]="A",WORKDAY(Main[[#This Row],[Tech Start Date]],2),""))))</f>
        <v/>
      </c>
      <c r="N1196" s="104" t="str">
        <f>IF(Main[[#This Row],[Tech Start Date]]&lt;1/1/1990,"",IF(Main[[#This Row],[Class]]="C",WORKDAY(Main[[#This Row],[Tech Start Date]],19),IF(Main[[#This Row],[Class]]="B", WORKDAY(Main[[#This Row],[Tech Start Date]],12),IF(Main[[#This Row],[Class]]="A",WORKDAY(Main[[#This Row],[Tech Start Date]],4),""))))</f>
        <v/>
      </c>
      <c r="O1196" s="104" t="str">
        <f>IF(Main[[#This Row],[Tech Start Date]]&lt;1/1/1990,"",IF(Main[[#This Row],[Class]]="C",WORKDAY(Main[[#This Row],[Tech Start Date]],23),IF(Main[[#This Row],[Class]]="B", WORKDAY(Main[[#This Row],[Tech Start Date]],15),IF(Main[[#This Row],[Class]]="A",WORKDAY(Main[[#This Row],[Tech Start Date]],5),""))))</f>
        <v/>
      </c>
      <c r="P1196" s="104" t="str">
        <f>IF(Main[[#This Row],[Tech Start Date]]&lt;1/1/1990,"",IF(Main[[#This Row],[Class]]="C",WORKDAY(Main[[#This Row],[Tech Start Date]],28),IF(Main[[#This Row],[Class]]="B", WORKDAY(Main[[#This Row],[Tech Start Date]],19),IF(Main[[#This Row],[Class]]="A",WORKDAY(Main[[#This Row],[Tech Start Date]],9),""))))</f>
        <v/>
      </c>
      <c r="Q1196" s="101">
        <v>40928</v>
      </c>
      <c r="R1196" s="101"/>
      <c r="S1196" s="99" t="s">
        <v>6</v>
      </c>
      <c r="T1196" s="107" t="s">
        <v>4</v>
      </c>
      <c r="U1196" s="99" t="s">
        <v>7</v>
      </c>
      <c r="V1196" s="99" t="s">
        <v>1965</v>
      </c>
      <c r="W1196" s="99" t="s">
        <v>4</v>
      </c>
    </row>
    <row r="1197" spans="1:23" ht="18.600000000000001" customHeight="1">
      <c r="A1197" s="123" t="str">
        <f>IF(priority(Main[[#This Row],[Comments]])&lt;&gt;0, priority(Main[[#This Row],[Comments]]),"")</f>
        <v/>
      </c>
      <c r="B1197" s="127" t="s">
        <v>2232</v>
      </c>
      <c r="C1197" s="99" t="s">
        <v>4</v>
      </c>
      <c r="D1197" s="100" t="s">
        <v>2848</v>
      </c>
      <c r="E1197" s="101">
        <v>40780.676446759258</v>
      </c>
      <c r="F1197" s="101"/>
      <c r="G1197" s="102" t="str">
        <f>IF(stdProdLT(Main[[#This Row],[Comments]])=0.1,"N/A",IF(stdProdLT(Main[[#This Row],[Comments]])=0,"",stdProdLT(Main[[#This Row],[Comments]])))</f>
        <v/>
      </c>
      <c r="H1197" s="103" t="str">
        <f>IF(AND(Main[[#This Row],[In Stock Date]]&lt;&gt;"",Main[[#This Row],[Revised Due Date]]&lt;&gt;""),Main[[#This Row],[In Stock Date]]-Main[[#This Row],[Revised Due Date]],"")</f>
        <v/>
      </c>
      <c r="I1197" s="99" t="s">
        <v>4</v>
      </c>
      <c r="J1197" s="99" t="s">
        <v>4</v>
      </c>
      <c r="K1197" s="99" t="s">
        <v>4</v>
      </c>
      <c r="L1197" s="101"/>
      <c r="M1197" s="104" t="str">
        <f>IF(Main[[#This Row],[Tech Start Date]]&lt;1/1/1990,"",IF(Main[[#This Row],[Class]]="C",WORKDAY(Main[[#This Row],[Tech Start Date]],9),IF(Main[[#This Row],[Class]]="B", WORKDAY(Main[[#This Row],[Tech Start Date]],6),IF(Main[[#This Row],[Class]]="A",WORKDAY(Main[[#This Row],[Tech Start Date]],2),""))))</f>
        <v/>
      </c>
      <c r="N1197" s="104" t="str">
        <f>IF(Main[[#This Row],[Tech Start Date]]&lt;1/1/1990,"",IF(Main[[#This Row],[Class]]="C",WORKDAY(Main[[#This Row],[Tech Start Date]],19),IF(Main[[#This Row],[Class]]="B", WORKDAY(Main[[#This Row],[Tech Start Date]],12),IF(Main[[#This Row],[Class]]="A",WORKDAY(Main[[#This Row],[Tech Start Date]],4),""))))</f>
        <v/>
      </c>
      <c r="O1197" s="104" t="str">
        <f>IF(Main[[#This Row],[Tech Start Date]]&lt;1/1/1990,"",IF(Main[[#This Row],[Class]]="C",WORKDAY(Main[[#This Row],[Tech Start Date]],23),IF(Main[[#This Row],[Class]]="B", WORKDAY(Main[[#This Row],[Tech Start Date]],15),IF(Main[[#This Row],[Class]]="A",WORKDAY(Main[[#This Row],[Tech Start Date]],5),""))))</f>
        <v/>
      </c>
      <c r="P1197" s="104" t="str">
        <f>IF(Main[[#This Row],[Tech Start Date]]&lt;1/1/1990,"",IF(Main[[#This Row],[Class]]="C",WORKDAY(Main[[#This Row],[Tech Start Date]],28),IF(Main[[#This Row],[Class]]="B", WORKDAY(Main[[#This Row],[Tech Start Date]],19),IF(Main[[#This Row],[Class]]="A",WORKDAY(Main[[#This Row],[Tech Start Date]],9),""))))</f>
        <v/>
      </c>
      <c r="Q1197" s="101">
        <v>40787</v>
      </c>
      <c r="R1197" s="101"/>
      <c r="S1197" s="99" t="s">
        <v>6</v>
      </c>
      <c r="T1197" s="107" t="s">
        <v>4</v>
      </c>
      <c r="U1197" s="99" t="s">
        <v>7</v>
      </c>
      <c r="V1197" s="99" t="s">
        <v>1962</v>
      </c>
      <c r="W1197" s="99" t="s">
        <v>1970</v>
      </c>
    </row>
    <row r="1198" spans="1:23" ht="18.600000000000001" customHeight="1">
      <c r="A1198" s="123" t="str">
        <f>IF(priority(Main[[#This Row],[Comments]])&lt;&gt;0, priority(Main[[#This Row],[Comments]]),"")</f>
        <v/>
      </c>
      <c r="B1198" s="127" t="s">
        <v>1907</v>
      </c>
      <c r="C1198" s="99" t="s">
        <v>47</v>
      </c>
      <c r="D1198" s="100" t="s">
        <v>937</v>
      </c>
      <c r="E1198" s="101">
        <v>39937.596770833334</v>
      </c>
      <c r="F1198" s="101"/>
      <c r="G1198" s="102" t="str">
        <f>IF(stdProdLT(Main[[#This Row],[Comments]])=0.1,"N/A",IF(stdProdLT(Main[[#This Row],[Comments]])=0,"",stdProdLT(Main[[#This Row],[Comments]])))</f>
        <v/>
      </c>
      <c r="H1198" s="103" t="str">
        <f>IF(AND(Main[[#This Row],[In Stock Date]]&lt;&gt;"",Main[[#This Row],[Revised Due Date]]&lt;&gt;""),Main[[#This Row],[In Stock Date]]-Main[[#This Row],[Revised Due Date]],"")</f>
        <v/>
      </c>
      <c r="I1198" s="99" t="s">
        <v>997</v>
      </c>
      <c r="J1198" s="99" t="s">
        <v>4</v>
      </c>
      <c r="K1198" s="99" t="s">
        <v>1974</v>
      </c>
      <c r="L1198" s="101"/>
      <c r="M1198" s="104" t="str">
        <f>IF(Main[[#This Row],[Tech Start Date]]&lt;1/1/1990,"",IF(Main[[#This Row],[Class]]="C",WORKDAY(Main[[#This Row],[Tech Start Date]],9),IF(Main[[#This Row],[Class]]="B", WORKDAY(Main[[#This Row],[Tech Start Date]],6),IF(Main[[#This Row],[Class]]="A",WORKDAY(Main[[#This Row],[Tech Start Date]],2),""))))</f>
        <v/>
      </c>
      <c r="N1198" s="104" t="str">
        <f>IF(Main[[#This Row],[Tech Start Date]]&lt;1/1/1990,"",IF(Main[[#This Row],[Class]]="C",WORKDAY(Main[[#This Row],[Tech Start Date]],19),IF(Main[[#This Row],[Class]]="B", WORKDAY(Main[[#This Row],[Tech Start Date]],12),IF(Main[[#This Row],[Class]]="A",WORKDAY(Main[[#This Row],[Tech Start Date]],4),""))))</f>
        <v/>
      </c>
      <c r="O1198" s="104" t="str">
        <f>IF(Main[[#This Row],[Tech Start Date]]&lt;1/1/1990,"",IF(Main[[#This Row],[Class]]="C",WORKDAY(Main[[#This Row],[Tech Start Date]],23),IF(Main[[#This Row],[Class]]="B", WORKDAY(Main[[#This Row],[Tech Start Date]],15),IF(Main[[#This Row],[Class]]="A",WORKDAY(Main[[#This Row],[Tech Start Date]],5),""))))</f>
        <v/>
      </c>
      <c r="P1198" s="104" t="str">
        <f>IF(Main[[#This Row],[Tech Start Date]]&lt;1/1/1990,"",IF(Main[[#This Row],[Class]]="C",WORKDAY(Main[[#This Row],[Tech Start Date]],28),IF(Main[[#This Row],[Class]]="B", WORKDAY(Main[[#This Row],[Tech Start Date]],19),IF(Main[[#This Row],[Class]]="A",WORKDAY(Main[[#This Row],[Tech Start Date]],9),""))))</f>
        <v/>
      </c>
      <c r="Q1198" s="101"/>
      <c r="R1198" s="101">
        <v>40999</v>
      </c>
      <c r="S1198" s="99" t="s">
        <v>17</v>
      </c>
      <c r="T1198" s="107" t="s">
        <v>4</v>
      </c>
      <c r="U1198" s="99" t="s">
        <v>29</v>
      </c>
      <c r="V1198" s="99" t="s">
        <v>1965</v>
      </c>
      <c r="W1198" s="99" t="s">
        <v>1967</v>
      </c>
    </row>
    <row r="1199" spans="1:23" ht="18.600000000000001" customHeight="1">
      <c r="A1199" s="123" t="str">
        <f>IF(priority(Main[[#This Row],[Comments]])&lt;&gt;0, priority(Main[[#This Row],[Comments]]),"")</f>
        <v/>
      </c>
      <c r="B1199" s="127" t="s">
        <v>2827</v>
      </c>
      <c r="C1199" s="99" t="s">
        <v>4</v>
      </c>
      <c r="D1199" s="100" t="s">
        <v>2828</v>
      </c>
      <c r="E1199" s="101">
        <v>40870.475462962961</v>
      </c>
      <c r="F1199" s="101"/>
      <c r="G1199" s="102" t="str">
        <f>IF(stdProdLT(Main[[#This Row],[Comments]])=0.1,"N/A",IF(stdProdLT(Main[[#This Row],[Comments]])=0,"",stdProdLT(Main[[#This Row],[Comments]])))</f>
        <v/>
      </c>
      <c r="H1199" s="103" t="str">
        <f>IF(AND(Main[[#This Row],[In Stock Date]]&lt;&gt;"",Main[[#This Row],[Revised Due Date]]&lt;&gt;""),Main[[#This Row],[In Stock Date]]-Main[[#This Row],[Revised Due Date]],"")</f>
        <v/>
      </c>
      <c r="I1199" s="99" t="s">
        <v>2110</v>
      </c>
      <c r="J1199" s="99" t="s">
        <v>28</v>
      </c>
      <c r="K1199" s="99" t="s">
        <v>1969</v>
      </c>
      <c r="L1199" s="101"/>
      <c r="M1199" s="104" t="str">
        <f>IF(Main[[#This Row],[Tech Start Date]]&lt;1/1/1990,"",IF(Main[[#This Row],[Class]]="C",WORKDAY(Main[[#This Row],[Tech Start Date]],9),IF(Main[[#This Row],[Class]]="B", WORKDAY(Main[[#This Row],[Tech Start Date]],6),IF(Main[[#This Row],[Class]]="A",WORKDAY(Main[[#This Row],[Tech Start Date]],2),""))))</f>
        <v/>
      </c>
      <c r="N1199" s="104" t="str">
        <f>IF(Main[[#This Row],[Tech Start Date]]&lt;1/1/1990,"",IF(Main[[#This Row],[Class]]="C",WORKDAY(Main[[#This Row],[Tech Start Date]],19),IF(Main[[#This Row],[Class]]="B", WORKDAY(Main[[#This Row],[Tech Start Date]],12),IF(Main[[#This Row],[Class]]="A",WORKDAY(Main[[#This Row],[Tech Start Date]],4),""))))</f>
        <v/>
      </c>
      <c r="O1199" s="104" t="str">
        <f>IF(Main[[#This Row],[Tech Start Date]]&lt;1/1/1990,"",IF(Main[[#This Row],[Class]]="C",WORKDAY(Main[[#This Row],[Tech Start Date]],23),IF(Main[[#This Row],[Class]]="B", WORKDAY(Main[[#This Row],[Tech Start Date]],15),IF(Main[[#This Row],[Class]]="A",WORKDAY(Main[[#This Row],[Tech Start Date]],5),""))))</f>
        <v/>
      </c>
      <c r="P1199" s="104" t="str">
        <f>IF(Main[[#This Row],[Tech Start Date]]&lt;1/1/1990,"",IF(Main[[#This Row],[Class]]="C",WORKDAY(Main[[#This Row],[Tech Start Date]],28),IF(Main[[#This Row],[Class]]="B", WORKDAY(Main[[#This Row],[Tech Start Date]],19),IF(Main[[#This Row],[Class]]="A",WORKDAY(Main[[#This Row],[Tech Start Date]],9),""))))</f>
        <v/>
      </c>
      <c r="Q1199" s="101">
        <v>40905</v>
      </c>
      <c r="R1199" s="101"/>
      <c r="S1199" s="99" t="s">
        <v>6</v>
      </c>
      <c r="T1199" s="107" t="s">
        <v>4</v>
      </c>
      <c r="U1199" s="99" t="s">
        <v>29</v>
      </c>
      <c r="V1199" s="99" t="s">
        <v>1965</v>
      </c>
      <c r="W1199" s="99" t="s">
        <v>1966</v>
      </c>
    </row>
    <row r="1200" spans="1:23" ht="18.600000000000001" customHeight="1">
      <c r="A1200" s="123" t="str">
        <f>IF(priority(Main[[#This Row],[Comments]])&lt;&gt;0, priority(Main[[#This Row],[Comments]]),"")</f>
        <v/>
      </c>
      <c r="B1200" s="127" t="s">
        <v>2288</v>
      </c>
      <c r="C1200" s="99" t="s">
        <v>4</v>
      </c>
      <c r="D1200" s="100" t="s">
        <v>2289</v>
      </c>
      <c r="E1200" s="101"/>
      <c r="F1200" s="101"/>
      <c r="G1200" s="102" t="str">
        <f>IF(stdProdLT(Main[[#This Row],[Comments]])=0.1,"N/A",IF(stdProdLT(Main[[#This Row],[Comments]])=0,"",stdProdLT(Main[[#This Row],[Comments]])))</f>
        <v/>
      </c>
      <c r="H1200" s="103" t="str">
        <f>IF(AND(Main[[#This Row],[In Stock Date]]&lt;&gt;"",Main[[#This Row],[Revised Due Date]]&lt;&gt;""),Main[[#This Row],[In Stock Date]]-Main[[#This Row],[Revised Due Date]],"")</f>
        <v/>
      </c>
      <c r="I1200" s="99" t="s">
        <v>536</v>
      </c>
      <c r="J1200" s="99" t="s">
        <v>28</v>
      </c>
      <c r="K1200" s="99" t="s">
        <v>1971</v>
      </c>
      <c r="L1200" s="101"/>
      <c r="M1200" s="104" t="str">
        <f>IF(Main[[#This Row],[Tech Start Date]]&lt;1/1/1990,"",IF(Main[[#This Row],[Class]]="C",WORKDAY(Main[[#This Row],[Tech Start Date]],9),IF(Main[[#This Row],[Class]]="B", WORKDAY(Main[[#This Row],[Tech Start Date]],6),IF(Main[[#This Row],[Class]]="A",WORKDAY(Main[[#This Row],[Tech Start Date]],2),""))))</f>
        <v/>
      </c>
      <c r="N1200" s="104" t="str">
        <f>IF(Main[[#This Row],[Tech Start Date]]&lt;1/1/1990,"",IF(Main[[#This Row],[Class]]="C",WORKDAY(Main[[#This Row],[Tech Start Date]],19),IF(Main[[#This Row],[Class]]="B", WORKDAY(Main[[#This Row],[Tech Start Date]],12),IF(Main[[#This Row],[Class]]="A",WORKDAY(Main[[#This Row],[Tech Start Date]],4),""))))</f>
        <v/>
      </c>
      <c r="O1200" s="104" t="str">
        <f>IF(Main[[#This Row],[Tech Start Date]]&lt;1/1/1990,"",IF(Main[[#This Row],[Class]]="C",WORKDAY(Main[[#This Row],[Tech Start Date]],23),IF(Main[[#This Row],[Class]]="B", WORKDAY(Main[[#This Row],[Tech Start Date]],15),IF(Main[[#This Row],[Class]]="A",WORKDAY(Main[[#This Row],[Tech Start Date]],5),""))))</f>
        <v/>
      </c>
      <c r="P1200" s="104" t="str">
        <f>IF(Main[[#This Row],[Tech Start Date]]&lt;1/1/1990,"",IF(Main[[#This Row],[Class]]="C",WORKDAY(Main[[#This Row],[Tech Start Date]],28),IF(Main[[#This Row],[Class]]="B", WORKDAY(Main[[#This Row],[Tech Start Date]],19),IF(Main[[#This Row],[Class]]="A",WORKDAY(Main[[#This Row],[Tech Start Date]],9),""))))</f>
        <v/>
      </c>
      <c r="Q1200" s="101"/>
      <c r="R1200" s="101"/>
      <c r="S1200" s="99" t="s">
        <v>6</v>
      </c>
      <c r="T1200" s="107" t="s">
        <v>4</v>
      </c>
      <c r="U1200" s="99" t="s">
        <v>14</v>
      </c>
      <c r="V1200" s="99" t="s">
        <v>1965</v>
      </c>
      <c r="W1200" s="99" t="s">
        <v>1966</v>
      </c>
    </row>
    <row r="1201" spans="1:23" ht="18.600000000000001" customHeight="1">
      <c r="A1201" s="123" t="str">
        <f>IF(priority(Main[[#This Row],[Comments]])&lt;&gt;0, priority(Main[[#This Row],[Comments]]),"")</f>
        <v/>
      </c>
      <c r="B1201" s="127" t="s">
        <v>2830</v>
      </c>
      <c r="C1201" s="99" t="s">
        <v>4</v>
      </c>
      <c r="D1201" s="100" t="s">
        <v>2831</v>
      </c>
      <c r="E1201" s="101"/>
      <c r="F1201" s="101"/>
      <c r="G1201" s="102" t="str">
        <f>IF(stdProdLT(Main[[#This Row],[Comments]])=0.1,"N/A",IF(stdProdLT(Main[[#This Row],[Comments]])=0,"",stdProdLT(Main[[#This Row],[Comments]])))</f>
        <v/>
      </c>
      <c r="H1201" s="103" t="str">
        <f>IF(AND(Main[[#This Row],[In Stock Date]]&lt;&gt;"",Main[[#This Row],[Revised Due Date]]&lt;&gt;""),Main[[#This Row],[In Stock Date]]-Main[[#This Row],[Revised Due Date]],"")</f>
        <v/>
      </c>
      <c r="I1201" s="99" t="s">
        <v>4</v>
      </c>
      <c r="J1201" s="99" t="s">
        <v>4</v>
      </c>
      <c r="K1201" s="99" t="s">
        <v>4</v>
      </c>
      <c r="L1201" s="101"/>
      <c r="M1201" s="104" t="str">
        <f>IF(Main[[#This Row],[Tech Start Date]]&lt;1/1/1990,"",IF(Main[[#This Row],[Class]]="C",WORKDAY(Main[[#This Row],[Tech Start Date]],9),IF(Main[[#This Row],[Class]]="B", WORKDAY(Main[[#This Row],[Tech Start Date]],6),IF(Main[[#This Row],[Class]]="A",WORKDAY(Main[[#This Row],[Tech Start Date]],2),""))))</f>
        <v/>
      </c>
      <c r="N1201" s="104" t="str">
        <f>IF(Main[[#This Row],[Tech Start Date]]&lt;1/1/1990,"",IF(Main[[#This Row],[Class]]="C",WORKDAY(Main[[#This Row],[Tech Start Date]],19),IF(Main[[#This Row],[Class]]="B", WORKDAY(Main[[#This Row],[Tech Start Date]],12),IF(Main[[#This Row],[Class]]="A",WORKDAY(Main[[#This Row],[Tech Start Date]],4),""))))</f>
        <v/>
      </c>
      <c r="O1201" s="104" t="str">
        <f>IF(Main[[#This Row],[Tech Start Date]]&lt;1/1/1990,"",IF(Main[[#This Row],[Class]]="C",WORKDAY(Main[[#This Row],[Tech Start Date]],23),IF(Main[[#This Row],[Class]]="B", WORKDAY(Main[[#This Row],[Tech Start Date]],15),IF(Main[[#This Row],[Class]]="A",WORKDAY(Main[[#This Row],[Tech Start Date]],5),""))))</f>
        <v/>
      </c>
      <c r="P1201" s="104" t="str">
        <f>IF(Main[[#This Row],[Tech Start Date]]&lt;1/1/1990,"",IF(Main[[#This Row],[Class]]="C",WORKDAY(Main[[#This Row],[Tech Start Date]],28),IF(Main[[#This Row],[Class]]="B", WORKDAY(Main[[#This Row],[Tech Start Date]],19),IF(Main[[#This Row],[Class]]="A",WORKDAY(Main[[#This Row],[Tech Start Date]],9),""))))</f>
        <v/>
      </c>
      <c r="Q1201" s="101"/>
      <c r="R1201" s="101"/>
      <c r="S1201" s="99" t="s">
        <v>6</v>
      </c>
      <c r="T1201" s="107" t="s">
        <v>4</v>
      </c>
      <c r="U1201" s="99" t="s">
        <v>12</v>
      </c>
      <c r="V1201" s="99" t="s">
        <v>1965</v>
      </c>
      <c r="W1201" s="99" t="s">
        <v>1967</v>
      </c>
    </row>
    <row r="1202" spans="1:23" ht="18.600000000000001" customHeight="1">
      <c r="A1202" s="123" t="str">
        <f>IF(priority(Main[[#This Row],[Comments]])&lt;&gt;0, priority(Main[[#This Row],[Comments]]),"")</f>
        <v/>
      </c>
      <c r="B1202" s="127" t="s">
        <v>1888</v>
      </c>
      <c r="C1202" s="99" t="s">
        <v>67</v>
      </c>
      <c r="D1202" s="100" t="s">
        <v>2832</v>
      </c>
      <c r="E1202" s="101">
        <v>40343.573750000003</v>
      </c>
      <c r="F1202" s="101"/>
      <c r="G1202" s="102" t="str">
        <f>IF(stdProdLT(Main[[#This Row],[Comments]])=0.1,"N/A",IF(stdProdLT(Main[[#This Row],[Comments]])=0,"",stdProdLT(Main[[#This Row],[Comments]])))</f>
        <v/>
      </c>
      <c r="H1202" s="103" t="str">
        <f>IF(AND(Main[[#This Row],[In Stock Date]]&lt;&gt;"",Main[[#This Row],[Revised Due Date]]&lt;&gt;""),Main[[#This Row],[In Stock Date]]-Main[[#This Row],[Revised Due Date]],"")</f>
        <v/>
      </c>
      <c r="I1202" s="99" t="s">
        <v>74</v>
      </c>
      <c r="J1202" s="99" t="s">
        <v>28</v>
      </c>
      <c r="K1202" s="99" t="s">
        <v>1974</v>
      </c>
      <c r="L1202" s="101"/>
      <c r="M1202" s="104" t="str">
        <f>IF(Main[[#This Row],[Tech Start Date]]&lt;1/1/1990,"",IF(Main[[#This Row],[Class]]="C",WORKDAY(Main[[#This Row],[Tech Start Date]],9),IF(Main[[#This Row],[Class]]="B", WORKDAY(Main[[#This Row],[Tech Start Date]],6),IF(Main[[#This Row],[Class]]="A",WORKDAY(Main[[#This Row],[Tech Start Date]],2),""))))</f>
        <v/>
      </c>
      <c r="N1202" s="104" t="str">
        <f>IF(Main[[#This Row],[Tech Start Date]]&lt;1/1/1990,"",IF(Main[[#This Row],[Class]]="C",WORKDAY(Main[[#This Row],[Tech Start Date]],19),IF(Main[[#This Row],[Class]]="B", WORKDAY(Main[[#This Row],[Tech Start Date]],12),IF(Main[[#This Row],[Class]]="A",WORKDAY(Main[[#This Row],[Tech Start Date]],4),""))))</f>
        <v/>
      </c>
      <c r="O1202" s="104" t="str">
        <f>IF(Main[[#This Row],[Tech Start Date]]&lt;1/1/1990,"",IF(Main[[#This Row],[Class]]="C",WORKDAY(Main[[#This Row],[Tech Start Date]],23),IF(Main[[#This Row],[Class]]="B", WORKDAY(Main[[#This Row],[Tech Start Date]],15),IF(Main[[#This Row],[Class]]="A",WORKDAY(Main[[#This Row],[Tech Start Date]],5),""))))</f>
        <v/>
      </c>
      <c r="P1202" s="104" t="str">
        <f>IF(Main[[#This Row],[Tech Start Date]]&lt;1/1/1990,"",IF(Main[[#This Row],[Class]]="C",WORKDAY(Main[[#This Row],[Tech Start Date]],28),IF(Main[[#This Row],[Class]]="B", WORKDAY(Main[[#This Row],[Tech Start Date]],19),IF(Main[[#This Row],[Class]]="A",WORKDAY(Main[[#This Row],[Tech Start Date]],9),""))))</f>
        <v/>
      </c>
      <c r="Q1202" s="101">
        <v>40466</v>
      </c>
      <c r="R1202" s="101">
        <v>40868</v>
      </c>
      <c r="S1202" s="99" t="s">
        <v>17</v>
      </c>
      <c r="T1202" s="107" t="s">
        <v>4</v>
      </c>
      <c r="U1202" s="99" t="s">
        <v>29</v>
      </c>
      <c r="V1202" s="99" t="s">
        <v>1965</v>
      </c>
      <c r="W1202" s="99" t="s">
        <v>1968</v>
      </c>
    </row>
    <row r="1203" spans="1:23" ht="18.600000000000001" customHeight="1">
      <c r="A1203" s="123" t="str">
        <f>IF(priority(Main[[#This Row],[Comments]])&lt;&gt;0, priority(Main[[#This Row],[Comments]]),"")</f>
        <v/>
      </c>
      <c r="B1203" s="127" t="s">
        <v>1781</v>
      </c>
      <c r="C1203" s="99" t="s">
        <v>37</v>
      </c>
      <c r="D1203" s="100" t="s">
        <v>2833</v>
      </c>
      <c r="E1203" s="101">
        <v>40682.487210648149</v>
      </c>
      <c r="F1203" s="101"/>
      <c r="G1203" s="102" t="str">
        <f>IF(stdProdLT(Main[[#This Row],[Comments]])=0.1,"N/A",IF(stdProdLT(Main[[#This Row],[Comments]])=0,"",stdProdLT(Main[[#This Row],[Comments]])))</f>
        <v/>
      </c>
      <c r="H1203" s="103" t="str">
        <f>IF(AND(Main[[#This Row],[In Stock Date]]&lt;&gt;"",Main[[#This Row],[Revised Due Date]]&lt;&gt;""),Main[[#This Row],[In Stock Date]]-Main[[#This Row],[Revised Due Date]],"")</f>
        <v/>
      </c>
      <c r="I1203" s="99" t="s">
        <v>4</v>
      </c>
      <c r="J1203" s="99" t="s">
        <v>4</v>
      </c>
      <c r="K1203" s="99" t="s">
        <v>4</v>
      </c>
      <c r="L1203" s="101"/>
      <c r="M1203" s="104" t="str">
        <f>IF(Main[[#This Row],[Tech Start Date]]&lt;1/1/1990,"",IF(Main[[#This Row],[Class]]="C",WORKDAY(Main[[#This Row],[Tech Start Date]],9),IF(Main[[#This Row],[Class]]="B", WORKDAY(Main[[#This Row],[Tech Start Date]],6),IF(Main[[#This Row],[Class]]="A",WORKDAY(Main[[#This Row],[Tech Start Date]],2),""))))</f>
        <v/>
      </c>
      <c r="N1203" s="104" t="str">
        <f>IF(Main[[#This Row],[Tech Start Date]]&lt;1/1/1990,"",IF(Main[[#This Row],[Class]]="C",WORKDAY(Main[[#This Row],[Tech Start Date]],19),IF(Main[[#This Row],[Class]]="B", WORKDAY(Main[[#This Row],[Tech Start Date]],12),IF(Main[[#This Row],[Class]]="A",WORKDAY(Main[[#This Row],[Tech Start Date]],4),""))))</f>
        <v/>
      </c>
      <c r="O1203" s="104" t="str">
        <f>IF(Main[[#This Row],[Tech Start Date]]&lt;1/1/1990,"",IF(Main[[#This Row],[Class]]="C",WORKDAY(Main[[#This Row],[Tech Start Date]],23),IF(Main[[#This Row],[Class]]="B", WORKDAY(Main[[#This Row],[Tech Start Date]],15),IF(Main[[#This Row],[Class]]="A",WORKDAY(Main[[#This Row],[Tech Start Date]],5),""))))</f>
        <v/>
      </c>
      <c r="P1203" s="104" t="str">
        <f>IF(Main[[#This Row],[Tech Start Date]]&lt;1/1/1990,"",IF(Main[[#This Row],[Class]]="C",WORKDAY(Main[[#This Row],[Tech Start Date]],28),IF(Main[[#This Row],[Class]]="B", WORKDAY(Main[[#This Row],[Tech Start Date]],19),IF(Main[[#This Row],[Class]]="A",WORKDAY(Main[[#This Row],[Tech Start Date]],9),""))))</f>
        <v/>
      </c>
      <c r="Q1203" s="101">
        <v>40701</v>
      </c>
      <c r="R1203" s="101"/>
      <c r="S1203" s="99" t="s">
        <v>6</v>
      </c>
      <c r="T1203" s="107" t="s">
        <v>4</v>
      </c>
      <c r="U1203" s="99" t="s">
        <v>7</v>
      </c>
      <c r="V1203" s="99" t="s">
        <v>1962</v>
      </c>
      <c r="W1203" s="99" t="s">
        <v>1973</v>
      </c>
    </row>
    <row r="1204" spans="1:23" ht="18.600000000000001" customHeight="1">
      <c r="A1204" s="123" t="str">
        <f>IF(priority(Main[[#This Row],[Comments]])&lt;&gt;0, priority(Main[[#This Row],[Comments]]),"")</f>
        <v/>
      </c>
      <c r="B1204" s="127" t="s">
        <v>1889</v>
      </c>
      <c r="C1204" s="99" t="s">
        <v>67</v>
      </c>
      <c r="D1204" s="100" t="s">
        <v>919</v>
      </c>
      <c r="E1204" s="101">
        <v>39937.597453703704</v>
      </c>
      <c r="F1204" s="101">
        <v>40533</v>
      </c>
      <c r="G1204" s="102" t="str">
        <f>IF(stdProdLT(Main[[#This Row],[Comments]])=0.1,"N/A",IF(stdProdLT(Main[[#This Row],[Comments]])=0,"",stdProdLT(Main[[#This Row],[Comments]])))</f>
        <v/>
      </c>
      <c r="H1204" s="103">
        <f>IF(AND(Main[[#This Row],[In Stock Date]]&lt;&gt;"",Main[[#This Row],[Revised Due Date]]&lt;&gt;""),Main[[#This Row],[In Stock Date]]-Main[[#This Row],[Revised Due Date]],"")</f>
        <v>-342</v>
      </c>
      <c r="I1204" s="99" t="s">
        <v>74</v>
      </c>
      <c r="J1204" s="99" t="s">
        <v>28</v>
      </c>
      <c r="K1204" s="99" t="s">
        <v>1974</v>
      </c>
      <c r="L1204" s="101"/>
      <c r="M1204" s="104" t="str">
        <f>IF(Main[[#This Row],[Tech Start Date]]&lt;1/1/1990,"",IF(Main[[#This Row],[Class]]="C",WORKDAY(Main[[#This Row],[Tech Start Date]],9),IF(Main[[#This Row],[Class]]="B", WORKDAY(Main[[#This Row],[Tech Start Date]],6),IF(Main[[#This Row],[Class]]="A",WORKDAY(Main[[#This Row],[Tech Start Date]],2),""))))</f>
        <v/>
      </c>
      <c r="N1204" s="104" t="str">
        <f>IF(Main[[#This Row],[Tech Start Date]]&lt;1/1/1990,"",IF(Main[[#This Row],[Class]]="C",WORKDAY(Main[[#This Row],[Tech Start Date]],19),IF(Main[[#This Row],[Class]]="B", WORKDAY(Main[[#This Row],[Tech Start Date]],12),IF(Main[[#This Row],[Class]]="A",WORKDAY(Main[[#This Row],[Tech Start Date]],4),""))))</f>
        <v/>
      </c>
      <c r="O1204" s="104" t="str">
        <f>IF(Main[[#This Row],[Tech Start Date]]&lt;1/1/1990,"",IF(Main[[#This Row],[Class]]="C",WORKDAY(Main[[#This Row],[Tech Start Date]],23),IF(Main[[#This Row],[Class]]="B", WORKDAY(Main[[#This Row],[Tech Start Date]],15),IF(Main[[#This Row],[Class]]="A",WORKDAY(Main[[#This Row],[Tech Start Date]],5),""))))</f>
        <v/>
      </c>
      <c r="P1204" s="104" t="str">
        <f>IF(Main[[#This Row],[Tech Start Date]]&lt;1/1/1990,"",IF(Main[[#This Row],[Class]]="C",WORKDAY(Main[[#This Row],[Tech Start Date]],28),IF(Main[[#This Row],[Class]]="B", WORKDAY(Main[[#This Row],[Tech Start Date]],19),IF(Main[[#This Row],[Class]]="A",WORKDAY(Main[[#This Row],[Tech Start Date]],9),""))))</f>
        <v/>
      </c>
      <c r="Q1204" s="101"/>
      <c r="R1204" s="101">
        <v>40875</v>
      </c>
      <c r="S1204" s="99" t="s">
        <v>17</v>
      </c>
      <c r="T1204" s="107" t="s">
        <v>4</v>
      </c>
      <c r="U1204" s="99" t="s">
        <v>29</v>
      </c>
      <c r="V1204" s="99" t="s">
        <v>1965</v>
      </c>
      <c r="W1204" s="99" t="s">
        <v>1970</v>
      </c>
    </row>
    <row r="1205" spans="1:23" ht="18.600000000000001" customHeight="1">
      <c r="A1205" s="123" t="str">
        <f>IF(priority(Main[[#This Row],[Comments]])&lt;&gt;0, priority(Main[[#This Row],[Comments]]),"")</f>
        <v/>
      </c>
      <c r="B1205" s="127" t="s">
        <v>1664</v>
      </c>
      <c r="C1205" s="99" t="s">
        <v>4</v>
      </c>
      <c r="D1205" s="100" t="s">
        <v>711</v>
      </c>
      <c r="E1205" s="101">
        <v>40218.669039351851</v>
      </c>
      <c r="F1205" s="101"/>
      <c r="G1205" s="102" t="str">
        <f>IF(stdProdLT(Main[[#This Row],[Comments]])=0.1,"N/A",IF(stdProdLT(Main[[#This Row],[Comments]])=0,"",stdProdLT(Main[[#This Row],[Comments]])))</f>
        <v/>
      </c>
      <c r="H1205" s="103" t="str">
        <f>IF(AND(Main[[#This Row],[In Stock Date]]&lt;&gt;"",Main[[#This Row],[Revised Due Date]]&lt;&gt;""),Main[[#This Row],[In Stock Date]]-Main[[#This Row],[Revised Due Date]],"")</f>
        <v/>
      </c>
      <c r="I1205" s="99" t="s">
        <v>4</v>
      </c>
      <c r="J1205" s="99" t="s">
        <v>4</v>
      </c>
      <c r="K1205" s="99" t="s">
        <v>4</v>
      </c>
      <c r="L1205" s="101"/>
      <c r="M1205" s="104" t="str">
        <f>IF(Main[[#This Row],[Tech Start Date]]&lt;1/1/1990,"",IF(Main[[#This Row],[Class]]="C",WORKDAY(Main[[#This Row],[Tech Start Date]],9),IF(Main[[#This Row],[Class]]="B", WORKDAY(Main[[#This Row],[Tech Start Date]],6),IF(Main[[#This Row],[Class]]="A",WORKDAY(Main[[#This Row],[Tech Start Date]],2),""))))</f>
        <v/>
      </c>
      <c r="N1205" s="104" t="str">
        <f>IF(Main[[#This Row],[Tech Start Date]]&lt;1/1/1990,"",IF(Main[[#This Row],[Class]]="C",WORKDAY(Main[[#This Row],[Tech Start Date]],19),IF(Main[[#This Row],[Class]]="B", WORKDAY(Main[[#This Row],[Tech Start Date]],12),IF(Main[[#This Row],[Class]]="A",WORKDAY(Main[[#This Row],[Tech Start Date]],4),""))))</f>
        <v/>
      </c>
      <c r="O1205" s="104" t="str">
        <f>IF(Main[[#This Row],[Tech Start Date]]&lt;1/1/1990,"",IF(Main[[#This Row],[Class]]="C",WORKDAY(Main[[#This Row],[Tech Start Date]],23),IF(Main[[#This Row],[Class]]="B", WORKDAY(Main[[#This Row],[Tech Start Date]],15),IF(Main[[#This Row],[Class]]="A",WORKDAY(Main[[#This Row],[Tech Start Date]],5),""))))</f>
        <v/>
      </c>
      <c r="P1205" s="104" t="str">
        <f>IF(Main[[#This Row],[Tech Start Date]]&lt;1/1/1990,"",IF(Main[[#This Row],[Class]]="C",WORKDAY(Main[[#This Row],[Tech Start Date]],28),IF(Main[[#This Row],[Class]]="B", WORKDAY(Main[[#This Row],[Tech Start Date]],19),IF(Main[[#This Row],[Class]]="A",WORKDAY(Main[[#This Row],[Tech Start Date]],9),""))))</f>
        <v/>
      </c>
      <c r="Q1205" s="101">
        <v>40237</v>
      </c>
      <c r="R1205" s="101"/>
      <c r="S1205" s="99" t="s">
        <v>17</v>
      </c>
      <c r="T1205" s="107" t="s">
        <v>4</v>
      </c>
      <c r="U1205" s="99" t="s">
        <v>29</v>
      </c>
      <c r="V1205" s="99" t="s">
        <v>1965</v>
      </c>
      <c r="W1205" s="99" t="s">
        <v>4</v>
      </c>
    </row>
    <row r="1206" spans="1:23" ht="18.600000000000001" customHeight="1">
      <c r="A1206" s="123" t="str">
        <f>IF(priority(Main[[#This Row],[Comments]])&lt;&gt;0, priority(Main[[#This Row],[Comments]]),"")</f>
        <v/>
      </c>
      <c r="B1206" s="127" t="s">
        <v>1217</v>
      </c>
      <c r="C1206" s="99" t="s">
        <v>42</v>
      </c>
      <c r="D1206" s="100" t="s">
        <v>245</v>
      </c>
      <c r="E1206" s="101">
        <v>39937.598217592589</v>
      </c>
      <c r="F1206" s="101"/>
      <c r="G1206" s="102" t="str">
        <f>IF(stdProdLT(Main[[#This Row],[Comments]])=0.1,"N/A",IF(stdProdLT(Main[[#This Row],[Comments]])=0,"",stdProdLT(Main[[#This Row],[Comments]])))</f>
        <v/>
      </c>
      <c r="H1206" s="103" t="str">
        <f>IF(AND(Main[[#This Row],[In Stock Date]]&lt;&gt;"",Main[[#This Row],[Revised Due Date]]&lt;&gt;""),Main[[#This Row],[In Stock Date]]-Main[[#This Row],[Revised Due Date]],"")</f>
        <v/>
      </c>
      <c r="I1206" s="99" t="s">
        <v>4</v>
      </c>
      <c r="J1206" s="99" t="s">
        <v>4</v>
      </c>
      <c r="K1206" s="99" t="s">
        <v>4</v>
      </c>
      <c r="L1206" s="101"/>
      <c r="M1206" s="104" t="str">
        <f>IF(Main[[#This Row],[Tech Start Date]]&lt;1/1/1990,"",IF(Main[[#This Row],[Class]]="C",WORKDAY(Main[[#This Row],[Tech Start Date]],9),IF(Main[[#This Row],[Class]]="B", WORKDAY(Main[[#This Row],[Tech Start Date]],6),IF(Main[[#This Row],[Class]]="A",WORKDAY(Main[[#This Row],[Tech Start Date]],2),""))))</f>
        <v/>
      </c>
      <c r="N1206" s="104" t="str">
        <f>IF(Main[[#This Row],[Tech Start Date]]&lt;1/1/1990,"",IF(Main[[#This Row],[Class]]="C",WORKDAY(Main[[#This Row],[Tech Start Date]],19),IF(Main[[#This Row],[Class]]="B", WORKDAY(Main[[#This Row],[Tech Start Date]],12),IF(Main[[#This Row],[Class]]="A",WORKDAY(Main[[#This Row],[Tech Start Date]],4),""))))</f>
        <v/>
      </c>
      <c r="O1206" s="104" t="str">
        <f>IF(Main[[#This Row],[Tech Start Date]]&lt;1/1/1990,"",IF(Main[[#This Row],[Class]]="C",WORKDAY(Main[[#This Row],[Tech Start Date]],23),IF(Main[[#This Row],[Class]]="B", WORKDAY(Main[[#This Row],[Tech Start Date]],15),IF(Main[[#This Row],[Class]]="A",WORKDAY(Main[[#This Row],[Tech Start Date]],5),""))))</f>
        <v/>
      </c>
      <c r="P1206" s="104" t="str">
        <f>IF(Main[[#This Row],[Tech Start Date]]&lt;1/1/1990,"",IF(Main[[#This Row],[Class]]="C",WORKDAY(Main[[#This Row],[Tech Start Date]],28),IF(Main[[#This Row],[Class]]="B", WORKDAY(Main[[#This Row],[Tech Start Date]],19),IF(Main[[#This Row],[Class]]="A",WORKDAY(Main[[#This Row],[Tech Start Date]],9),""))))</f>
        <v/>
      </c>
      <c r="Q1206" s="101"/>
      <c r="R1206" s="101">
        <v>41289</v>
      </c>
      <c r="S1206" s="99" t="s">
        <v>17</v>
      </c>
      <c r="T1206" s="107" t="s">
        <v>4</v>
      </c>
      <c r="U1206" s="99" t="s">
        <v>29</v>
      </c>
      <c r="V1206" s="99" t="s">
        <v>1965</v>
      </c>
      <c r="W1206" s="99" t="s">
        <v>4</v>
      </c>
    </row>
    <row r="1207" spans="1:23" ht="18.600000000000001" customHeight="1">
      <c r="A1207" s="123" t="str">
        <f>IF(priority(Main[[#This Row],[Comments]])&lt;&gt;0, priority(Main[[#This Row],[Comments]]),"")</f>
        <v/>
      </c>
      <c r="B1207" s="127" t="s">
        <v>1871</v>
      </c>
      <c r="C1207" s="99" t="s">
        <v>4</v>
      </c>
      <c r="D1207" s="100" t="s">
        <v>897</v>
      </c>
      <c r="E1207" s="101">
        <v>40284.719155092593</v>
      </c>
      <c r="F1207" s="101"/>
      <c r="G1207" s="102" t="str">
        <f>IF(stdProdLT(Main[[#This Row],[Comments]])=0.1,"N/A",IF(stdProdLT(Main[[#This Row],[Comments]])=0,"",stdProdLT(Main[[#This Row],[Comments]])))</f>
        <v/>
      </c>
      <c r="H1207" s="103" t="str">
        <f>IF(AND(Main[[#This Row],[In Stock Date]]&lt;&gt;"",Main[[#This Row],[Revised Due Date]]&lt;&gt;""),Main[[#This Row],[In Stock Date]]-Main[[#This Row],[Revised Due Date]],"")</f>
        <v/>
      </c>
      <c r="I1207" s="99" t="s">
        <v>4</v>
      </c>
      <c r="J1207" s="99" t="s">
        <v>52</v>
      </c>
      <c r="K1207" s="99" t="s">
        <v>1974</v>
      </c>
      <c r="L1207" s="101"/>
      <c r="M1207" s="104" t="str">
        <f>IF(Main[[#This Row],[Tech Start Date]]&lt;1/1/1990,"",IF(Main[[#This Row],[Class]]="C",WORKDAY(Main[[#This Row],[Tech Start Date]],9),IF(Main[[#This Row],[Class]]="B", WORKDAY(Main[[#This Row],[Tech Start Date]],6),IF(Main[[#This Row],[Class]]="A",WORKDAY(Main[[#This Row],[Tech Start Date]],2),""))))</f>
        <v/>
      </c>
      <c r="N1207" s="104" t="str">
        <f>IF(Main[[#This Row],[Tech Start Date]]&lt;1/1/1990,"",IF(Main[[#This Row],[Class]]="C",WORKDAY(Main[[#This Row],[Tech Start Date]],19),IF(Main[[#This Row],[Class]]="B", WORKDAY(Main[[#This Row],[Tech Start Date]],12),IF(Main[[#This Row],[Class]]="A",WORKDAY(Main[[#This Row],[Tech Start Date]],4),""))))</f>
        <v/>
      </c>
      <c r="O1207" s="104" t="str">
        <f>IF(Main[[#This Row],[Tech Start Date]]&lt;1/1/1990,"",IF(Main[[#This Row],[Class]]="C",WORKDAY(Main[[#This Row],[Tech Start Date]],23),IF(Main[[#This Row],[Class]]="B", WORKDAY(Main[[#This Row],[Tech Start Date]],15),IF(Main[[#This Row],[Class]]="A",WORKDAY(Main[[#This Row],[Tech Start Date]],5),""))))</f>
        <v/>
      </c>
      <c r="P1207" s="104" t="str">
        <f>IF(Main[[#This Row],[Tech Start Date]]&lt;1/1/1990,"",IF(Main[[#This Row],[Class]]="C",WORKDAY(Main[[#This Row],[Tech Start Date]],28),IF(Main[[#This Row],[Class]]="B", WORKDAY(Main[[#This Row],[Tech Start Date]],19),IF(Main[[#This Row],[Class]]="A",WORKDAY(Main[[#This Row],[Tech Start Date]],9),""))))</f>
        <v/>
      </c>
      <c r="Q1207" s="101">
        <v>40389</v>
      </c>
      <c r="R1207" s="101">
        <v>40403</v>
      </c>
      <c r="S1207" s="99" t="s">
        <v>17</v>
      </c>
      <c r="T1207" s="107" t="s">
        <v>4</v>
      </c>
      <c r="U1207" s="99" t="s">
        <v>29</v>
      </c>
      <c r="V1207" s="99" t="s">
        <v>1962</v>
      </c>
      <c r="W1207" s="99" t="s">
        <v>1976</v>
      </c>
    </row>
    <row r="1208" spans="1:23" ht="18.600000000000001" customHeight="1">
      <c r="A1208" s="123" t="str">
        <f>IF(priority(Main[[#This Row],[Comments]])&lt;&gt;0, priority(Main[[#This Row],[Comments]]),"")</f>
        <v/>
      </c>
      <c r="B1208" s="127" t="s">
        <v>2115</v>
      </c>
      <c r="C1208" s="99" t="s">
        <v>4</v>
      </c>
      <c r="D1208" s="100" t="s">
        <v>2116</v>
      </c>
      <c r="E1208" s="101">
        <v>40757.464699074073</v>
      </c>
      <c r="F1208" s="101"/>
      <c r="G1208" s="102" t="str">
        <f>IF(stdProdLT(Main[[#This Row],[Comments]])=0.1,"N/A",IF(stdProdLT(Main[[#This Row],[Comments]])=0,"",stdProdLT(Main[[#This Row],[Comments]])))</f>
        <v/>
      </c>
      <c r="H1208" s="103" t="str">
        <f>IF(AND(Main[[#This Row],[In Stock Date]]&lt;&gt;"",Main[[#This Row],[Revised Due Date]]&lt;&gt;""),Main[[#This Row],[In Stock Date]]-Main[[#This Row],[Revised Due Date]],"")</f>
        <v/>
      </c>
      <c r="I1208" s="99" t="s">
        <v>4</v>
      </c>
      <c r="J1208" s="99" t="s">
        <v>4</v>
      </c>
      <c r="K1208" s="99" t="s">
        <v>4</v>
      </c>
      <c r="L1208" s="101"/>
      <c r="M1208" s="104" t="str">
        <f>IF(Main[[#This Row],[Tech Start Date]]&lt;1/1/1990,"",IF(Main[[#This Row],[Class]]="C",WORKDAY(Main[[#This Row],[Tech Start Date]],9),IF(Main[[#This Row],[Class]]="B", WORKDAY(Main[[#This Row],[Tech Start Date]],6),IF(Main[[#This Row],[Class]]="A",WORKDAY(Main[[#This Row],[Tech Start Date]],2),""))))</f>
        <v/>
      </c>
      <c r="N1208" s="104" t="str">
        <f>IF(Main[[#This Row],[Tech Start Date]]&lt;1/1/1990,"",IF(Main[[#This Row],[Class]]="C",WORKDAY(Main[[#This Row],[Tech Start Date]],19),IF(Main[[#This Row],[Class]]="B", WORKDAY(Main[[#This Row],[Tech Start Date]],12),IF(Main[[#This Row],[Class]]="A",WORKDAY(Main[[#This Row],[Tech Start Date]],4),""))))</f>
        <v/>
      </c>
      <c r="O1208" s="104" t="str">
        <f>IF(Main[[#This Row],[Tech Start Date]]&lt;1/1/1990,"",IF(Main[[#This Row],[Class]]="C",WORKDAY(Main[[#This Row],[Tech Start Date]],23),IF(Main[[#This Row],[Class]]="B", WORKDAY(Main[[#This Row],[Tech Start Date]],15),IF(Main[[#This Row],[Class]]="A",WORKDAY(Main[[#This Row],[Tech Start Date]],5),""))))</f>
        <v/>
      </c>
      <c r="P1208" s="104" t="str">
        <f>IF(Main[[#This Row],[Tech Start Date]]&lt;1/1/1990,"",IF(Main[[#This Row],[Class]]="C",WORKDAY(Main[[#This Row],[Tech Start Date]],28),IF(Main[[#This Row],[Class]]="B", WORKDAY(Main[[#This Row],[Tech Start Date]],19),IF(Main[[#This Row],[Class]]="A",WORKDAY(Main[[#This Row],[Tech Start Date]],9),""))))</f>
        <v/>
      </c>
      <c r="Q1208" s="101"/>
      <c r="R1208" s="101"/>
      <c r="S1208" s="99" t="s">
        <v>17</v>
      </c>
      <c r="T1208" s="107" t="s">
        <v>4</v>
      </c>
      <c r="U1208" s="99" t="s">
        <v>29</v>
      </c>
      <c r="V1208" s="99" t="s">
        <v>1965</v>
      </c>
      <c r="W1208" s="99" t="s">
        <v>4</v>
      </c>
    </row>
    <row r="1209" spans="1:23" ht="18.600000000000001" customHeight="1">
      <c r="A1209" s="123" t="str">
        <f>IF(priority(Main[[#This Row],[Comments]])&lt;&gt;0, priority(Main[[#This Row],[Comments]]),"")</f>
        <v/>
      </c>
      <c r="B1209" s="127" t="s">
        <v>1541</v>
      </c>
      <c r="C1209" s="99" t="s">
        <v>584</v>
      </c>
      <c r="D1209" s="100" t="s">
        <v>2834</v>
      </c>
      <c r="E1209" s="101"/>
      <c r="F1209" s="101"/>
      <c r="G1209" s="102" t="str">
        <f>IF(stdProdLT(Main[[#This Row],[Comments]])=0.1,"N/A",IF(stdProdLT(Main[[#This Row],[Comments]])=0,"",stdProdLT(Main[[#This Row],[Comments]])))</f>
        <v/>
      </c>
      <c r="H1209" s="103" t="str">
        <f>IF(AND(Main[[#This Row],[In Stock Date]]&lt;&gt;"",Main[[#This Row],[Revised Due Date]]&lt;&gt;""),Main[[#This Row],[In Stock Date]]-Main[[#This Row],[Revised Due Date]],"")</f>
        <v/>
      </c>
      <c r="I1209" s="99" t="s">
        <v>4</v>
      </c>
      <c r="J1209" s="99" t="s">
        <v>28</v>
      </c>
      <c r="K1209" s="99" t="s">
        <v>1969</v>
      </c>
      <c r="L1209" s="101"/>
      <c r="M1209" s="104" t="str">
        <f>IF(Main[[#This Row],[Tech Start Date]]&lt;1/1/1990,"",IF(Main[[#This Row],[Class]]="C",WORKDAY(Main[[#This Row],[Tech Start Date]],9),IF(Main[[#This Row],[Class]]="B", WORKDAY(Main[[#This Row],[Tech Start Date]],6),IF(Main[[#This Row],[Class]]="A",WORKDAY(Main[[#This Row],[Tech Start Date]],2),""))))</f>
        <v/>
      </c>
      <c r="N1209" s="104" t="str">
        <f>IF(Main[[#This Row],[Tech Start Date]]&lt;1/1/1990,"",IF(Main[[#This Row],[Class]]="C",WORKDAY(Main[[#This Row],[Tech Start Date]],19),IF(Main[[#This Row],[Class]]="B", WORKDAY(Main[[#This Row],[Tech Start Date]],12),IF(Main[[#This Row],[Class]]="A",WORKDAY(Main[[#This Row],[Tech Start Date]],4),""))))</f>
        <v/>
      </c>
      <c r="O1209" s="104" t="str">
        <f>IF(Main[[#This Row],[Tech Start Date]]&lt;1/1/1990,"",IF(Main[[#This Row],[Class]]="C",WORKDAY(Main[[#This Row],[Tech Start Date]],23),IF(Main[[#This Row],[Class]]="B", WORKDAY(Main[[#This Row],[Tech Start Date]],15),IF(Main[[#This Row],[Class]]="A",WORKDAY(Main[[#This Row],[Tech Start Date]],5),""))))</f>
        <v/>
      </c>
      <c r="P1209" s="104" t="str">
        <f>IF(Main[[#This Row],[Tech Start Date]]&lt;1/1/1990,"",IF(Main[[#This Row],[Class]]="C",WORKDAY(Main[[#This Row],[Tech Start Date]],28),IF(Main[[#This Row],[Class]]="B", WORKDAY(Main[[#This Row],[Tech Start Date]],19),IF(Main[[#This Row],[Class]]="A",WORKDAY(Main[[#This Row],[Tech Start Date]],9),""))))</f>
        <v/>
      </c>
      <c r="Q1209" s="101">
        <v>40486</v>
      </c>
      <c r="R1209" s="101"/>
      <c r="S1209" s="99" t="s">
        <v>6</v>
      </c>
      <c r="T1209" s="107" t="s">
        <v>4</v>
      </c>
      <c r="U1209" s="99" t="s">
        <v>14</v>
      </c>
      <c r="V1209" s="99" t="s">
        <v>1962</v>
      </c>
      <c r="W1209" s="99" t="s">
        <v>1966</v>
      </c>
    </row>
    <row r="1210" spans="1:23" ht="18.600000000000001" customHeight="1">
      <c r="A1210" s="123" t="str">
        <f>IF(priority(Main[[#This Row],[Comments]])&lt;&gt;0, priority(Main[[#This Row],[Comments]]),"")</f>
        <v/>
      </c>
      <c r="B1210" s="127" t="s">
        <v>2152</v>
      </c>
      <c r="C1210" s="99" t="s">
        <v>4</v>
      </c>
      <c r="D1210" s="100" t="s">
        <v>2835</v>
      </c>
      <c r="E1210" s="101">
        <v>40760.553842592592</v>
      </c>
      <c r="F1210" s="101"/>
      <c r="G1210" s="102" t="str">
        <f>IF(stdProdLT(Main[[#This Row],[Comments]])=0.1,"N/A",IF(stdProdLT(Main[[#This Row],[Comments]])=0,"",stdProdLT(Main[[#This Row],[Comments]])))</f>
        <v/>
      </c>
      <c r="H1210" s="103" t="str">
        <f>IF(AND(Main[[#This Row],[In Stock Date]]&lt;&gt;"",Main[[#This Row],[Revised Due Date]]&lt;&gt;""),Main[[#This Row],[In Stock Date]]-Main[[#This Row],[Revised Due Date]],"")</f>
        <v/>
      </c>
      <c r="I1210" s="99" t="s">
        <v>4</v>
      </c>
      <c r="J1210" s="99" t="s">
        <v>4</v>
      </c>
      <c r="K1210" s="99" t="s">
        <v>4</v>
      </c>
      <c r="L1210" s="101"/>
      <c r="M1210" s="104" t="str">
        <f>IF(Main[[#This Row],[Tech Start Date]]&lt;1/1/1990,"",IF(Main[[#This Row],[Class]]="C",WORKDAY(Main[[#This Row],[Tech Start Date]],9),IF(Main[[#This Row],[Class]]="B", WORKDAY(Main[[#This Row],[Tech Start Date]],6),IF(Main[[#This Row],[Class]]="A",WORKDAY(Main[[#This Row],[Tech Start Date]],2),""))))</f>
        <v/>
      </c>
      <c r="N1210" s="104" t="str">
        <f>IF(Main[[#This Row],[Tech Start Date]]&lt;1/1/1990,"",IF(Main[[#This Row],[Class]]="C",WORKDAY(Main[[#This Row],[Tech Start Date]],19),IF(Main[[#This Row],[Class]]="B", WORKDAY(Main[[#This Row],[Tech Start Date]],12),IF(Main[[#This Row],[Class]]="A",WORKDAY(Main[[#This Row],[Tech Start Date]],4),""))))</f>
        <v/>
      </c>
      <c r="O1210" s="104" t="str">
        <f>IF(Main[[#This Row],[Tech Start Date]]&lt;1/1/1990,"",IF(Main[[#This Row],[Class]]="C",WORKDAY(Main[[#This Row],[Tech Start Date]],23),IF(Main[[#This Row],[Class]]="B", WORKDAY(Main[[#This Row],[Tech Start Date]],15),IF(Main[[#This Row],[Class]]="A",WORKDAY(Main[[#This Row],[Tech Start Date]],5),""))))</f>
        <v/>
      </c>
      <c r="P1210" s="104" t="str">
        <f>IF(Main[[#This Row],[Tech Start Date]]&lt;1/1/1990,"",IF(Main[[#This Row],[Class]]="C",WORKDAY(Main[[#This Row],[Tech Start Date]],28),IF(Main[[#This Row],[Class]]="B", WORKDAY(Main[[#This Row],[Tech Start Date]],19),IF(Main[[#This Row],[Class]]="A",WORKDAY(Main[[#This Row],[Tech Start Date]],9),""))))</f>
        <v/>
      </c>
      <c r="Q1210" s="101"/>
      <c r="R1210" s="101"/>
      <c r="S1210" s="99" t="s">
        <v>6</v>
      </c>
      <c r="T1210" s="107" t="s">
        <v>4</v>
      </c>
      <c r="U1210" s="99" t="s">
        <v>7</v>
      </c>
      <c r="V1210" s="99" t="s">
        <v>1962</v>
      </c>
      <c r="W1210" s="99" t="s">
        <v>1966</v>
      </c>
    </row>
    <row r="1211" spans="1:23" ht="18.600000000000001" customHeight="1">
      <c r="A1211" s="123" t="str">
        <f>IF(priority(Main[[#This Row],[Comments]])&lt;&gt;0, priority(Main[[#This Row],[Comments]]),"")</f>
        <v/>
      </c>
      <c r="B1211" s="127" t="s">
        <v>2514</v>
      </c>
      <c r="C1211" s="99" t="s">
        <v>4</v>
      </c>
      <c r="D1211" s="100" t="s">
        <v>2515</v>
      </c>
      <c r="E1211" s="101"/>
      <c r="F1211" s="101"/>
      <c r="G1211" s="102" t="str">
        <f>IF(stdProdLT(Main[[#This Row],[Comments]])=0.1,"N/A",IF(stdProdLT(Main[[#This Row],[Comments]])=0,"",stdProdLT(Main[[#This Row],[Comments]])))</f>
        <v/>
      </c>
      <c r="H1211" s="103" t="str">
        <f>IF(AND(Main[[#This Row],[In Stock Date]]&lt;&gt;"",Main[[#This Row],[Revised Due Date]]&lt;&gt;""),Main[[#This Row],[In Stock Date]]-Main[[#This Row],[Revised Due Date]],"")</f>
        <v/>
      </c>
      <c r="I1211" s="99" t="s">
        <v>4</v>
      </c>
      <c r="J1211" s="99" t="s">
        <v>4</v>
      </c>
      <c r="K1211" s="99" t="s">
        <v>4</v>
      </c>
      <c r="L1211" s="101"/>
      <c r="M1211" s="104" t="str">
        <f>IF(Main[[#This Row],[Tech Start Date]]&lt;1/1/1990,"",IF(Main[[#This Row],[Class]]="C",WORKDAY(Main[[#This Row],[Tech Start Date]],9),IF(Main[[#This Row],[Class]]="B", WORKDAY(Main[[#This Row],[Tech Start Date]],6),IF(Main[[#This Row],[Class]]="A",WORKDAY(Main[[#This Row],[Tech Start Date]],2),""))))</f>
        <v/>
      </c>
      <c r="N1211" s="104" t="str">
        <f>IF(Main[[#This Row],[Tech Start Date]]&lt;1/1/1990,"",IF(Main[[#This Row],[Class]]="C",WORKDAY(Main[[#This Row],[Tech Start Date]],19),IF(Main[[#This Row],[Class]]="B", WORKDAY(Main[[#This Row],[Tech Start Date]],12),IF(Main[[#This Row],[Class]]="A",WORKDAY(Main[[#This Row],[Tech Start Date]],4),""))))</f>
        <v/>
      </c>
      <c r="O1211" s="104" t="str">
        <f>IF(Main[[#This Row],[Tech Start Date]]&lt;1/1/1990,"",IF(Main[[#This Row],[Class]]="C",WORKDAY(Main[[#This Row],[Tech Start Date]],23),IF(Main[[#This Row],[Class]]="B", WORKDAY(Main[[#This Row],[Tech Start Date]],15),IF(Main[[#This Row],[Class]]="A",WORKDAY(Main[[#This Row],[Tech Start Date]],5),""))))</f>
        <v/>
      </c>
      <c r="P1211" s="104" t="str">
        <f>IF(Main[[#This Row],[Tech Start Date]]&lt;1/1/1990,"",IF(Main[[#This Row],[Class]]="C",WORKDAY(Main[[#This Row],[Tech Start Date]],28),IF(Main[[#This Row],[Class]]="B", WORKDAY(Main[[#This Row],[Tech Start Date]],19),IF(Main[[#This Row],[Class]]="A",WORKDAY(Main[[#This Row],[Tech Start Date]],9),""))))</f>
        <v/>
      </c>
      <c r="Q1211" s="101"/>
      <c r="R1211" s="101"/>
      <c r="S1211" s="99" t="s">
        <v>6</v>
      </c>
      <c r="T1211" s="107" t="s">
        <v>4</v>
      </c>
      <c r="U1211" s="99" t="s">
        <v>14</v>
      </c>
      <c r="V1211" s="99" t="s">
        <v>1962</v>
      </c>
      <c r="W1211" s="99" t="s">
        <v>1966</v>
      </c>
    </row>
    <row r="1212" spans="1:23" ht="18.600000000000001" customHeight="1">
      <c r="A1212" s="123" t="str">
        <f>IF(priority(Main[[#This Row],[Comments]])&lt;&gt;0, priority(Main[[#This Row],[Comments]]),"")</f>
        <v/>
      </c>
      <c r="B1212" s="127" t="s">
        <v>2829</v>
      </c>
      <c r="C1212" s="99" t="s">
        <v>4</v>
      </c>
      <c r="D1212" s="100" t="s">
        <v>738</v>
      </c>
      <c r="E1212" s="101"/>
      <c r="F1212" s="101"/>
      <c r="G1212" s="102" t="str">
        <f>IF(stdProdLT(Main[[#This Row],[Comments]])=0.1,"N/A",IF(stdProdLT(Main[[#This Row],[Comments]])=0,"",stdProdLT(Main[[#This Row],[Comments]])))</f>
        <v/>
      </c>
      <c r="H1212" s="103" t="str">
        <f>IF(AND(Main[[#This Row],[In Stock Date]]&lt;&gt;"",Main[[#This Row],[Revised Due Date]]&lt;&gt;""),Main[[#This Row],[In Stock Date]]-Main[[#This Row],[Revised Due Date]],"")</f>
        <v/>
      </c>
      <c r="I1212" s="99" t="s">
        <v>4</v>
      </c>
      <c r="J1212" s="99" t="s">
        <v>4</v>
      </c>
      <c r="K1212" s="99" t="s">
        <v>4</v>
      </c>
      <c r="L1212" s="101"/>
      <c r="M1212" s="104" t="str">
        <f>IF(Main[[#This Row],[Tech Start Date]]&lt;1/1/1990,"",IF(Main[[#This Row],[Class]]="C",WORKDAY(Main[[#This Row],[Tech Start Date]],9),IF(Main[[#This Row],[Class]]="B", WORKDAY(Main[[#This Row],[Tech Start Date]],6),IF(Main[[#This Row],[Class]]="A",WORKDAY(Main[[#This Row],[Tech Start Date]],2),""))))</f>
        <v/>
      </c>
      <c r="N1212" s="104" t="str">
        <f>IF(Main[[#This Row],[Tech Start Date]]&lt;1/1/1990,"",IF(Main[[#This Row],[Class]]="C",WORKDAY(Main[[#This Row],[Tech Start Date]],19),IF(Main[[#This Row],[Class]]="B", WORKDAY(Main[[#This Row],[Tech Start Date]],12),IF(Main[[#This Row],[Class]]="A",WORKDAY(Main[[#This Row],[Tech Start Date]],4),""))))</f>
        <v/>
      </c>
      <c r="O1212" s="104" t="str">
        <f>IF(Main[[#This Row],[Tech Start Date]]&lt;1/1/1990,"",IF(Main[[#This Row],[Class]]="C",WORKDAY(Main[[#This Row],[Tech Start Date]],23),IF(Main[[#This Row],[Class]]="B", WORKDAY(Main[[#This Row],[Tech Start Date]],15),IF(Main[[#This Row],[Class]]="A",WORKDAY(Main[[#This Row],[Tech Start Date]],5),""))))</f>
        <v/>
      </c>
      <c r="P1212" s="104" t="str">
        <f>IF(Main[[#This Row],[Tech Start Date]]&lt;1/1/1990,"",IF(Main[[#This Row],[Class]]="C",WORKDAY(Main[[#This Row],[Tech Start Date]],28),IF(Main[[#This Row],[Class]]="B", WORKDAY(Main[[#This Row],[Tech Start Date]],19),IF(Main[[#This Row],[Class]]="A",WORKDAY(Main[[#This Row],[Tech Start Date]],9),""))))</f>
        <v/>
      </c>
      <c r="Q1212" s="101"/>
      <c r="R1212" s="101"/>
      <c r="S1212" s="99" t="s">
        <v>4</v>
      </c>
      <c r="T1212" s="107" t="s">
        <v>4</v>
      </c>
      <c r="U1212" s="99" t="s">
        <v>14</v>
      </c>
      <c r="V1212" s="99" t="s">
        <v>1965</v>
      </c>
      <c r="W1212" s="99" t="s">
        <v>4</v>
      </c>
    </row>
    <row r="1213" spans="1:23" ht="18.600000000000001" customHeight="1">
      <c r="A1213" s="123" t="str">
        <f>IF(priority(Main[[#This Row],[Comments]])&lt;&gt;0, priority(Main[[#This Row],[Comments]]),"")</f>
        <v/>
      </c>
      <c r="B1213" s="127" t="s">
        <v>2271</v>
      </c>
      <c r="C1213" s="99" t="s">
        <v>4</v>
      </c>
      <c r="D1213" s="100" t="s">
        <v>2840</v>
      </c>
      <c r="E1213" s="101">
        <v>40787.597581018519</v>
      </c>
      <c r="F1213" s="101"/>
      <c r="G1213" s="102" t="str">
        <f>IF(stdProdLT(Main[[#This Row],[Comments]])=0.1,"N/A",IF(stdProdLT(Main[[#This Row],[Comments]])=0,"",stdProdLT(Main[[#This Row],[Comments]])))</f>
        <v/>
      </c>
      <c r="H1213" s="103" t="str">
        <f>IF(AND(Main[[#This Row],[In Stock Date]]&lt;&gt;"",Main[[#This Row],[Revised Due Date]]&lt;&gt;""),Main[[#This Row],[In Stock Date]]-Main[[#This Row],[Revised Due Date]],"")</f>
        <v/>
      </c>
      <c r="I1213" s="99" t="s">
        <v>536</v>
      </c>
      <c r="J1213" s="99" t="s">
        <v>28</v>
      </c>
      <c r="K1213" s="99" t="s">
        <v>1969</v>
      </c>
      <c r="L1213" s="101"/>
      <c r="M1213" s="104" t="str">
        <f>IF(Main[[#This Row],[Tech Start Date]]&lt;1/1/1990,"",IF(Main[[#This Row],[Class]]="C",WORKDAY(Main[[#This Row],[Tech Start Date]],9),IF(Main[[#This Row],[Class]]="B", WORKDAY(Main[[#This Row],[Tech Start Date]],6),IF(Main[[#This Row],[Class]]="A",WORKDAY(Main[[#This Row],[Tech Start Date]],2),""))))</f>
        <v/>
      </c>
      <c r="N1213" s="104" t="str">
        <f>IF(Main[[#This Row],[Tech Start Date]]&lt;1/1/1990,"",IF(Main[[#This Row],[Class]]="C",WORKDAY(Main[[#This Row],[Tech Start Date]],19),IF(Main[[#This Row],[Class]]="B", WORKDAY(Main[[#This Row],[Tech Start Date]],12),IF(Main[[#This Row],[Class]]="A",WORKDAY(Main[[#This Row],[Tech Start Date]],4),""))))</f>
        <v/>
      </c>
      <c r="O1213" s="104" t="str">
        <f>IF(Main[[#This Row],[Tech Start Date]]&lt;1/1/1990,"",IF(Main[[#This Row],[Class]]="C",WORKDAY(Main[[#This Row],[Tech Start Date]],23),IF(Main[[#This Row],[Class]]="B", WORKDAY(Main[[#This Row],[Tech Start Date]],15),IF(Main[[#This Row],[Class]]="A",WORKDAY(Main[[#This Row],[Tech Start Date]],5),""))))</f>
        <v/>
      </c>
      <c r="P1213" s="104" t="str">
        <f>IF(Main[[#This Row],[Tech Start Date]]&lt;1/1/1990,"",IF(Main[[#This Row],[Class]]="C",WORKDAY(Main[[#This Row],[Tech Start Date]],28),IF(Main[[#This Row],[Class]]="B", WORKDAY(Main[[#This Row],[Tech Start Date]],19),IF(Main[[#This Row],[Class]]="A",WORKDAY(Main[[#This Row],[Tech Start Date]],9),""))))</f>
        <v/>
      </c>
      <c r="Q1213" s="101"/>
      <c r="R1213" s="101"/>
      <c r="S1213" s="99" t="s">
        <v>6</v>
      </c>
      <c r="T1213" s="107" t="s">
        <v>4</v>
      </c>
      <c r="U1213" s="99" t="s">
        <v>29</v>
      </c>
      <c r="V1213" s="99" t="s">
        <v>1965</v>
      </c>
      <c r="W1213" s="99" t="s">
        <v>1966</v>
      </c>
    </row>
    <row r="1214" spans="1:23" ht="18.600000000000001" customHeight="1">
      <c r="A1214" s="123" t="str">
        <f>IF(priority(Main[[#This Row],[Comments]])&lt;&gt;0, priority(Main[[#This Row],[Comments]]),"")</f>
        <v/>
      </c>
      <c r="B1214" s="127" t="s">
        <v>2456</v>
      </c>
      <c r="C1214" s="99" t="s">
        <v>2457</v>
      </c>
      <c r="D1214" s="100" t="s">
        <v>2458</v>
      </c>
      <c r="E1214" s="101"/>
      <c r="F1214" s="101">
        <v>41008</v>
      </c>
      <c r="G1214" s="102" t="str">
        <f>IF(stdProdLT(Main[[#This Row],[Comments]])=0.1,"N/A",IF(stdProdLT(Main[[#This Row],[Comments]])=0,"",stdProdLT(Main[[#This Row],[Comments]])))</f>
        <v/>
      </c>
      <c r="H1214" s="103" t="str">
        <f>IF(AND(Main[[#This Row],[In Stock Date]]&lt;&gt;"",Main[[#This Row],[Revised Due Date]]&lt;&gt;""),Main[[#This Row],[In Stock Date]]-Main[[#This Row],[Revised Due Date]],"")</f>
        <v/>
      </c>
      <c r="I1214" s="99" t="s">
        <v>4</v>
      </c>
      <c r="J1214" s="99" t="s">
        <v>4</v>
      </c>
      <c r="K1214" s="99" t="s">
        <v>4</v>
      </c>
      <c r="L1214" s="101"/>
      <c r="M1214" s="104" t="str">
        <f>IF(Main[[#This Row],[Tech Start Date]]&lt;1/1/1990,"",IF(Main[[#This Row],[Class]]="C",WORKDAY(Main[[#This Row],[Tech Start Date]],9),IF(Main[[#This Row],[Class]]="B", WORKDAY(Main[[#This Row],[Tech Start Date]],6),IF(Main[[#This Row],[Class]]="A",WORKDAY(Main[[#This Row],[Tech Start Date]],2),""))))</f>
        <v/>
      </c>
      <c r="N1214" s="104" t="str">
        <f>IF(Main[[#This Row],[Tech Start Date]]&lt;1/1/1990,"",IF(Main[[#This Row],[Class]]="C",WORKDAY(Main[[#This Row],[Tech Start Date]],19),IF(Main[[#This Row],[Class]]="B", WORKDAY(Main[[#This Row],[Tech Start Date]],12),IF(Main[[#This Row],[Class]]="A",WORKDAY(Main[[#This Row],[Tech Start Date]],4),""))))</f>
        <v/>
      </c>
      <c r="O1214" s="104" t="str">
        <f>IF(Main[[#This Row],[Tech Start Date]]&lt;1/1/1990,"",IF(Main[[#This Row],[Class]]="C",WORKDAY(Main[[#This Row],[Tech Start Date]],23),IF(Main[[#This Row],[Class]]="B", WORKDAY(Main[[#This Row],[Tech Start Date]],15),IF(Main[[#This Row],[Class]]="A",WORKDAY(Main[[#This Row],[Tech Start Date]],5),""))))</f>
        <v/>
      </c>
      <c r="P1214" s="104" t="str">
        <f>IF(Main[[#This Row],[Tech Start Date]]&lt;1/1/1990,"",IF(Main[[#This Row],[Class]]="C",WORKDAY(Main[[#This Row],[Tech Start Date]],28),IF(Main[[#This Row],[Class]]="B", WORKDAY(Main[[#This Row],[Tech Start Date]],19),IF(Main[[#This Row],[Class]]="A",WORKDAY(Main[[#This Row],[Tech Start Date]],9),""))))</f>
        <v/>
      </c>
      <c r="Q1214" s="101">
        <v>40826</v>
      </c>
      <c r="R1214" s="101"/>
      <c r="S1214" s="99" t="s">
        <v>11</v>
      </c>
      <c r="T1214" s="107" t="s">
        <v>4</v>
      </c>
      <c r="U1214" s="99" t="s">
        <v>12</v>
      </c>
      <c r="V1214" s="99" t="s">
        <v>1965</v>
      </c>
      <c r="W1214" s="99" t="s">
        <v>1968</v>
      </c>
    </row>
    <row r="1215" spans="1:23" ht="18.600000000000001" customHeight="1">
      <c r="A1215" s="123" t="str">
        <f>IF(priority(Main[[#This Row],[Comments]])&lt;&gt;0, priority(Main[[#This Row],[Comments]]),"")</f>
        <v/>
      </c>
      <c r="B1215" s="127" t="s">
        <v>2376</v>
      </c>
      <c r="C1215" s="99" t="s">
        <v>4</v>
      </c>
      <c r="D1215" s="100" t="s">
        <v>2859</v>
      </c>
      <c r="E1215" s="101">
        <v>40815.078680555554</v>
      </c>
      <c r="F1215" s="101"/>
      <c r="G1215" s="102" t="str">
        <f>IF(stdProdLT(Main[[#This Row],[Comments]])=0.1,"N/A",IF(stdProdLT(Main[[#This Row],[Comments]])=0,"",stdProdLT(Main[[#This Row],[Comments]])))</f>
        <v/>
      </c>
      <c r="H1215" s="103" t="str">
        <f>IF(AND(Main[[#This Row],[In Stock Date]]&lt;&gt;"",Main[[#This Row],[Revised Due Date]]&lt;&gt;""),Main[[#This Row],[In Stock Date]]-Main[[#This Row],[Revised Due Date]],"")</f>
        <v/>
      </c>
      <c r="I1215" s="99" t="s">
        <v>536</v>
      </c>
      <c r="J1215" s="99" t="s">
        <v>28</v>
      </c>
      <c r="K1215" s="99" t="s">
        <v>1971</v>
      </c>
      <c r="L1215" s="101"/>
      <c r="M1215" s="104" t="str">
        <f>IF(Main[[#This Row],[Tech Start Date]]&lt;1/1/1990,"",IF(Main[[#This Row],[Class]]="C",WORKDAY(Main[[#This Row],[Tech Start Date]],9),IF(Main[[#This Row],[Class]]="B", WORKDAY(Main[[#This Row],[Tech Start Date]],6),IF(Main[[#This Row],[Class]]="A",WORKDAY(Main[[#This Row],[Tech Start Date]],2),""))))</f>
        <v/>
      </c>
      <c r="N1215" s="104" t="str">
        <f>IF(Main[[#This Row],[Tech Start Date]]&lt;1/1/1990,"",IF(Main[[#This Row],[Class]]="C",WORKDAY(Main[[#This Row],[Tech Start Date]],19),IF(Main[[#This Row],[Class]]="B", WORKDAY(Main[[#This Row],[Tech Start Date]],12),IF(Main[[#This Row],[Class]]="A",WORKDAY(Main[[#This Row],[Tech Start Date]],4),""))))</f>
        <v/>
      </c>
      <c r="O1215" s="104" t="str">
        <f>IF(Main[[#This Row],[Tech Start Date]]&lt;1/1/1990,"",IF(Main[[#This Row],[Class]]="C",WORKDAY(Main[[#This Row],[Tech Start Date]],23),IF(Main[[#This Row],[Class]]="B", WORKDAY(Main[[#This Row],[Tech Start Date]],15),IF(Main[[#This Row],[Class]]="A",WORKDAY(Main[[#This Row],[Tech Start Date]],5),""))))</f>
        <v/>
      </c>
      <c r="P1215" s="104" t="str">
        <f>IF(Main[[#This Row],[Tech Start Date]]&lt;1/1/1990,"",IF(Main[[#This Row],[Class]]="C",WORKDAY(Main[[#This Row],[Tech Start Date]],28),IF(Main[[#This Row],[Class]]="B", WORKDAY(Main[[#This Row],[Tech Start Date]],19),IF(Main[[#This Row],[Class]]="A",WORKDAY(Main[[#This Row],[Tech Start Date]],9),""))))</f>
        <v/>
      </c>
      <c r="Q1215" s="101">
        <v>40829</v>
      </c>
      <c r="R1215" s="101"/>
      <c r="S1215" s="99" t="s">
        <v>6</v>
      </c>
      <c r="T1215" s="107" t="s">
        <v>4</v>
      </c>
      <c r="U1215" s="99" t="s">
        <v>29</v>
      </c>
      <c r="V1215" s="99" t="s">
        <v>1965</v>
      </c>
      <c r="W1215" s="99" t="s">
        <v>1966</v>
      </c>
    </row>
    <row r="1216" spans="1:23" ht="18.600000000000001" customHeight="1">
      <c r="A1216" s="123" t="str">
        <f>IF(priority(Main[[#This Row],[Comments]])&lt;&gt;0, priority(Main[[#This Row],[Comments]]),"")</f>
        <v/>
      </c>
      <c r="B1216" s="127" t="s">
        <v>1894</v>
      </c>
      <c r="C1216" s="99" t="s">
        <v>4</v>
      </c>
      <c r="D1216" s="100" t="s">
        <v>3121</v>
      </c>
      <c r="E1216" s="101">
        <v>40365.451284722221</v>
      </c>
      <c r="F1216" s="101"/>
      <c r="G1216" s="102" t="str">
        <f>IF(stdProdLT(Main[[#This Row],[Comments]])=0.1,"N/A",IF(stdProdLT(Main[[#This Row],[Comments]])=0,"",stdProdLT(Main[[#This Row],[Comments]])))</f>
        <v/>
      </c>
      <c r="H1216" s="103" t="str">
        <f>IF(AND(Main[[#This Row],[In Stock Date]]&lt;&gt;"",Main[[#This Row],[Revised Due Date]]&lt;&gt;""),Main[[#This Row],[In Stock Date]]-Main[[#This Row],[Revised Due Date]],"")</f>
        <v/>
      </c>
      <c r="I1216" s="99" t="s">
        <v>924</v>
      </c>
      <c r="J1216" s="99" t="s">
        <v>28</v>
      </c>
      <c r="K1216" s="99" t="s">
        <v>1974</v>
      </c>
      <c r="L1216" s="101"/>
      <c r="M1216" s="104" t="str">
        <f>IF(Main[[#This Row],[Tech Start Date]]&lt;1/1/1990,"",IF(Main[[#This Row],[Class]]="C",WORKDAY(Main[[#This Row],[Tech Start Date]],9),IF(Main[[#This Row],[Class]]="B", WORKDAY(Main[[#This Row],[Tech Start Date]],6),IF(Main[[#This Row],[Class]]="A",WORKDAY(Main[[#This Row],[Tech Start Date]],2),""))))</f>
        <v/>
      </c>
      <c r="N1216" s="104" t="str">
        <f>IF(Main[[#This Row],[Tech Start Date]]&lt;1/1/1990,"",IF(Main[[#This Row],[Class]]="C",WORKDAY(Main[[#This Row],[Tech Start Date]],19),IF(Main[[#This Row],[Class]]="B", WORKDAY(Main[[#This Row],[Tech Start Date]],12),IF(Main[[#This Row],[Class]]="A",WORKDAY(Main[[#This Row],[Tech Start Date]],4),""))))</f>
        <v/>
      </c>
      <c r="O1216" s="104" t="str">
        <f>IF(Main[[#This Row],[Tech Start Date]]&lt;1/1/1990,"",IF(Main[[#This Row],[Class]]="C",WORKDAY(Main[[#This Row],[Tech Start Date]],23),IF(Main[[#This Row],[Class]]="B", WORKDAY(Main[[#This Row],[Tech Start Date]],15),IF(Main[[#This Row],[Class]]="A",WORKDAY(Main[[#This Row],[Tech Start Date]],5),""))))</f>
        <v/>
      </c>
      <c r="P1216" s="104" t="str">
        <f>IF(Main[[#This Row],[Tech Start Date]]&lt;1/1/1990,"",IF(Main[[#This Row],[Class]]="C",WORKDAY(Main[[#This Row],[Tech Start Date]],28),IF(Main[[#This Row],[Class]]="B", WORKDAY(Main[[#This Row],[Tech Start Date]],19),IF(Main[[#This Row],[Class]]="A",WORKDAY(Main[[#This Row],[Tech Start Date]],9),""))))</f>
        <v/>
      </c>
      <c r="Q1216" s="101">
        <v>40968</v>
      </c>
      <c r="R1216" s="101">
        <v>40939</v>
      </c>
      <c r="S1216" s="99" t="s">
        <v>17</v>
      </c>
      <c r="T1216" s="107" t="s">
        <v>2860</v>
      </c>
      <c r="U1216" s="99" t="s">
        <v>29</v>
      </c>
      <c r="V1216" s="99" t="s">
        <v>1962</v>
      </c>
      <c r="W1216" s="99" t="s">
        <v>1967</v>
      </c>
    </row>
    <row r="1217" spans="1:23" ht="18.600000000000001" customHeight="1">
      <c r="A1217" s="123" t="str">
        <f>IF(priority(Main[[#This Row],[Comments]])&lt;&gt;0, priority(Main[[#This Row],[Comments]]),"")</f>
        <v/>
      </c>
      <c r="B1217" s="127" t="s">
        <v>2849</v>
      </c>
      <c r="C1217" s="99" t="s">
        <v>4</v>
      </c>
      <c r="D1217" s="100" t="s">
        <v>2850</v>
      </c>
      <c r="E1217" s="101">
        <v>40843.713865740741</v>
      </c>
      <c r="F1217" s="101"/>
      <c r="G1217" s="102" t="str">
        <f>IF(stdProdLT(Main[[#This Row],[Comments]])=0.1,"N/A",IF(stdProdLT(Main[[#This Row],[Comments]])=0,"",stdProdLT(Main[[#This Row],[Comments]])))</f>
        <v/>
      </c>
      <c r="H1217" s="103" t="str">
        <f>IF(AND(Main[[#This Row],[In Stock Date]]&lt;&gt;"",Main[[#This Row],[Revised Due Date]]&lt;&gt;""),Main[[#This Row],[In Stock Date]]-Main[[#This Row],[Revised Due Date]],"")</f>
        <v/>
      </c>
      <c r="I1217" s="99" t="s">
        <v>4</v>
      </c>
      <c r="J1217" s="99" t="s">
        <v>51</v>
      </c>
      <c r="K1217" s="99" t="s">
        <v>4</v>
      </c>
      <c r="L1217" s="101"/>
      <c r="M1217" s="104" t="str">
        <f>IF(Main[[#This Row],[Tech Start Date]]&lt;1/1/1990,"",IF(Main[[#This Row],[Class]]="C",WORKDAY(Main[[#This Row],[Tech Start Date]],9),IF(Main[[#This Row],[Class]]="B", WORKDAY(Main[[#This Row],[Tech Start Date]],6),IF(Main[[#This Row],[Class]]="A",WORKDAY(Main[[#This Row],[Tech Start Date]],2),""))))</f>
        <v/>
      </c>
      <c r="N1217" s="104" t="str">
        <f>IF(Main[[#This Row],[Tech Start Date]]&lt;1/1/1990,"",IF(Main[[#This Row],[Class]]="C",WORKDAY(Main[[#This Row],[Tech Start Date]],19),IF(Main[[#This Row],[Class]]="B", WORKDAY(Main[[#This Row],[Tech Start Date]],12),IF(Main[[#This Row],[Class]]="A",WORKDAY(Main[[#This Row],[Tech Start Date]],4),""))))</f>
        <v/>
      </c>
      <c r="O1217" s="104" t="str">
        <f>IF(Main[[#This Row],[Tech Start Date]]&lt;1/1/1990,"",IF(Main[[#This Row],[Class]]="C",WORKDAY(Main[[#This Row],[Tech Start Date]],23),IF(Main[[#This Row],[Class]]="B", WORKDAY(Main[[#This Row],[Tech Start Date]],15),IF(Main[[#This Row],[Class]]="A",WORKDAY(Main[[#This Row],[Tech Start Date]],5),""))))</f>
        <v/>
      </c>
      <c r="P1217" s="104" t="str">
        <f>IF(Main[[#This Row],[Tech Start Date]]&lt;1/1/1990,"",IF(Main[[#This Row],[Class]]="C",WORKDAY(Main[[#This Row],[Tech Start Date]],28),IF(Main[[#This Row],[Class]]="B", WORKDAY(Main[[#This Row],[Tech Start Date]],19),IF(Main[[#This Row],[Class]]="A",WORKDAY(Main[[#This Row],[Tech Start Date]],9),""))))</f>
        <v/>
      </c>
      <c r="Q1217" s="101"/>
      <c r="R1217" s="101"/>
      <c r="S1217" s="99" t="s">
        <v>6</v>
      </c>
      <c r="T1217" s="107" t="s">
        <v>2552</v>
      </c>
      <c r="U1217" s="99" t="s">
        <v>540</v>
      </c>
      <c r="V1217" s="99" t="s">
        <v>1962</v>
      </c>
      <c r="W1217" s="99" t="s">
        <v>1968</v>
      </c>
    </row>
    <row r="1218" spans="1:23" ht="18.600000000000001" customHeight="1">
      <c r="A1218" s="123" t="str">
        <f>IF(priority(Main[[#This Row],[Comments]])&lt;&gt;0, priority(Main[[#This Row],[Comments]]),"")</f>
        <v/>
      </c>
      <c r="B1218" s="127" t="s">
        <v>2377</v>
      </c>
      <c r="C1218" s="99" t="s">
        <v>4</v>
      </c>
      <c r="D1218" s="100" t="s">
        <v>2378</v>
      </c>
      <c r="E1218" s="101">
        <v>40815.373611111114</v>
      </c>
      <c r="F1218" s="101"/>
      <c r="G1218" s="102" t="str">
        <f>IF(stdProdLT(Main[[#This Row],[Comments]])=0.1,"N/A",IF(stdProdLT(Main[[#This Row],[Comments]])=0,"",stdProdLT(Main[[#This Row],[Comments]])))</f>
        <v/>
      </c>
      <c r="H1218" s="103" t="str">
        <f>IF(AND(Main[[#This Row],[In Stock Date]]&lt;&gt;"",Main[[#This Row],[Revised Due Date]]&lt;&gt;""),Main[[#This Row],[In Stock Date]]-Main[[#This Row],[Revised Due Date]],"")</f>
        <v/>
      </c>
      <c r="I1218" s="99" t="s">
        <v>4</v>
      </c>
      <c r="J1218" s="99" t="s">
        <v>4</v>
      </c>
      <c r="K1218" s="99" t="s">
        <v>4</v>
      </c>
      <c r="L1218" s="101"/>
      <c r="M1218" s="104" t="str">
        <f>IF(Main[[#This Row],[Tech Start Date]]&lt;1/1/1990,"",IF(Main[[#This Row],[Class]]="C",WORKDAY(Main[[#This Row],[Tech Start Date]],9),IF(Main[[#This Row],[Class]]="B", WORKDAY(Main[[#This Row],[Tech Start Date]],6),IF(Main[[#This Row],[Class]]="A",WORKDAY(Main[[#This Row],[Tech Start Date]],2),""))))</f>
        <v/>
      </c>
      <c r="N1218" s="104" t="str">
        <f>IF(Main[[#This Row],[Tech Start Date]]&lt;1/1/1990,"",IF(Main[[#This Row],[Class]]="C",WORKDAY(Main[[#This Row],[Tech Start Date]],19),IF(Main[[#This Row],[Class]]="B", WORKDAY(Main[[#This Row],[Tech Start Date]],12),IF(Main[[#This Row],[Class]]="A",WORKDAY(Main[[#This Row],[Tech Start Date]],4),""))))</f>
        <v/>
      </c>
      <c r="O1218" s="104" t="str">
        <f>IF(Main[[#This Row],[Tech Start Date]]&lt;1/1/1990,"",IF(Main[[#This Row],[Class]]="C",WORKDAY(Main[[#This Row],[Tech Start Date]],23),IF(Main[[#This Row],[Class]]="B", WORKDAY(Main[[#This Row],[Tech Start Date]],15),IF(Main[[#This Row],[Class]]="A",WORKDAY(Main[[#This Row],[Tech Start Date]],5),""))))</f>
        <v/>
      </c>
      <c r="P1218" s="104" t="str">
        <f>IF(Main[[#This Row],[Tech Start Date]]&lt;1/1/1990,"",IF(Main[[#This Row],[Class]]="C",WORKDAY(Main[[#This Row],[Tech Start Date]],28),IF(Main[[#This Row],[Class]]="B", WORKDAY(Main[[#This Row],[Tech Start Date]],19),IF(Main[[#This Row],[Class]]="A",WORKDAY(Main[[#This Row],[Tech Start Date]],9),""))))</f>
        <v/>
      </c>
      <c r="Q1218" s="101"/>
      <c r="R1218" s="101"/>
      <c r="S1218" s="99" t="s">
        <v>6</v>
      </c>
      <c r="T1218" s="107" t="s">
        <v>4</v>
      </c>
      <c r="U1218" s="99" t="s">
        <v>29</v>
      </c>
      <c r="V1218" s="99" t="s">
        <v>1965</v>
      </c>
      <c r="W1218" s="99" t="s">
        <v>1966</v>
      </c>
    </row>
    <row r="1219" spans="1:23" ht="18.600000000000001" customHeight="1">
      <c r="A1219" s="123" t="str">
        <f>IF(priority(Main[[#This Row],[Comments]])&lt;&gt;0, priority(Main[[#This Row],[Comments]]),"")</f>
        <v/>
      </c>
      <c r="B1219" s="127" t="s">
        <v>2851</v>
      </c>
      <c r="C1219" s="99" t="s">
        <v>4</v>
      </c>
      <c r="D1219" s="100" t="s">
        <v>2852</v>
      </c>
      <c r="E1219" s="101"/>
      <c r="F1219" s="101"/>
      <c r="G1219" s="102" t="str">
        <f>IF(stdProdLT(Main[[#This Row],[Comments]])=0.1,"N/A",IF(stdProdLT(Main[[#This Row],[Comments]])=0,"",stdProdLT(Main[[#This Row],[Comments]])))</f>
        <v/>
      </c>
      <c r="H1219" s="103" t="str">
        <f>IF(AND(Main[[#This Row],[In Stock Date]]&lt;&gt;"",Main[[#This Row],[Revised Due Date]]&lt;&gt;""),Main[[#This Row],[In Stock Date]]-Main[[#This Row],[Revised Due Date]],"")</f>
        <v/>
      </c>
      <c r="I1219" s="99" t="s">
        <v>4</v>
      </c>
      <c r="J1219" s="99" t="s">
        <v>4</v>
      </c>
      <c r="K1219" s="99" t="s">
        <v>4</v>
      </c>
      <c r="L1219" s="101"/>
      <c r="M1219" s="104" t="str">
        <f>IF(Main[[#This Row],[Tech Start Date]]&lt;1/1/1990,"",IF(Main[[#This Row],[Class]]="C",WORKDAY(Main[[#This Row],[Tech Start Date]],9),IF(Main[[#This Row],[Class]]="B", WORKDAY(Main[[#This Row],[Tech Start Date]],6),IF(Main[[#This Row],[Class]]="A",WORKDAY(Main[[#This Row],[Tech Start Date]],2),""))))</f>
        <v/>
      </c>
      <c r="N1219" s="104" t="str">
        <f>IF(Main[[#This Row],[Tech Start Date]]&lt;1/1/1990,"",IF(Main[[#This Row],[Class]]="C",WORKDAY(Main[[#This Row],[Tech Start Date]],19),IF(Main[[#This Row],[Class]]="B", WORKDAY(Main[[#This Row],[Tech Start Date]],12),IF(Main[[#This Row],[Class]]="A",WORKDAY(Main[[#This Row],[Tech Start Date]],4),""))))</f>
        <v/>
      </c>
      <c r="O1219" s="104" t="str">
        <f>IF(Main[[#This Row],[Tech Start Date]]&lt;1/1/1990,"",IF(Main[[#This Row],[Class]]="C",WORKDAY(Main[[#This Row],[Tech Start Date]],23),IF(Main[[#This Row],[Class]]="B", WORKDAY(Main[[#This Row],[Tech Start Date]],15),IF(Main[[#This Row],[Class]]="A",WORKDAY(Main[[#This Row],[Tech Start Date]],5),""))))</f>
        <v/>
      </c>
      <c r="P1219" s="104" t="str">
        <f>IF(Main[[#This Row],[Tech Start Date]]&lt;1/1/1990,"",IF(Main[[#This Row],[Class]]="C",WORKDAY(Main[[#This Row],[Tech Start Date]],28),IF(Main[[#This Row],[Class]]="B", WORKDAY(Main[[#This Row],[Tech Start Date]],19),IF(Main[[#This Row],[Class]]="A",WORKDAY(Main[[#This Row],[Tech Start Date]],9),""))))</f>
        <v/>
      </c>
      <c r="Q1219" s="101"/>
      <c r="R1219" s="101"/>
      <c r="S1219" s="99" t="s">
        <v>11</v>
      </c>
      <c r="T1219" s="107" t="s">
        <v>4</v>
      </c>
      <c r="U1219" s="99" t="s">
        <v>14</v>
      </c>
      <c r="V1219" s="99" t="s">
        <v>1965</v>
      </c>
      <c r="W1219" s="99" t="s">
        <v>1970</v>
      </c>
    </row>
    <row r="1220" spans="1:23" ht="18.600000000000001" customHeight="1">
      <c r="A1220" s="123" t="str">
        <f>IF(priority(Main[[#This Row],[Comments]])&lt;&gt;0, priority(Main[[#This Row],[Comments]]),"")</f>
        <v/>
      </c>
      <c r="B1220" s="127" t="s">
        <v>2364</v>
      </c>
      <c r="C1220" s="99" t="s">
        <v>67</v>
      </c>
      <c r="D1220" s="100" t="s">
        <v>2365</v>
      </c>
      <c r="E1220" s="101"/>
      <c r="F1220" s="101">
        <v>41075</v>
      </c>
      <c r="G1220" s="102" t="str">
        <f>IF(stdProdLT(Main[[#This Row],[Comments]])=0.1,"N/A",IF(stdProdLT(Main[[#This Row],[Comments]])=0,"",stdProdLT(Main[[#This Row],[Comments]])))</f>
        <v/>
      </c>
      <c r="H1220" s="103" t="str">
        <f>IF(AND(Main[[#This Row],[In Stock Date]]&lt;&gt;"",Main[[#This Row],[Revised Due Date]]&lt;&gt;""),Main[[#This Row],[In Stock Date]]-Main[[#This Row],[Revised Due Date]],"")</f>
        <v/>
      </c>
      <c r="I1220" s="99" t="s">
        <v>4</v>
      </c>
      <c r="J1220" s="99" t="s">
        <v>4</v>
      </c>
      <c r="K1220" s="99" t="s">
        <v>4</v>
      </c>
      <c r="L1220" s="101"/>
      <c r="M1220" s="104" t="str">
        <f>IF(Main[[#This Row],[Tech Start Date]]&lt;1/1/1990,"",IF(Main[[#This Row],[Class]]="C",WORKDAY(Main[[#This Row],[Tech Start Date]],9),IF(Main[[#This Row],[Class]]="B", WORKDAY(Main[[#This Row],[Tech Start Date]],6),IF(Main[[#This Row],[Class]]="A",WORKDAY(Main[[#This Row],[Tech Start Date]],2),""))))</f>
        <v/>
      </c>
      <c r="N1220" s="104" t="str">
        <f>IF(Main[[#This Row],[Tech Start Date]]&lt;1/1/1990,"",IF(Main[[#This Row],[Class]]="C",WORKDAY(Main[[#This Row],[Tech Start Date]],19),IF(Main[[#This Row],[Class]]="B", WORKDAY(Main[[#This Row],[Tech Start Date]],12),IF(Main[[#This Row],[Class]]="A",WORKDAY(Main[[#This Row],[Tech Start Date]],4),""))))</f>
        <v/>
      </c>
      <c r="O1220" s="104" t="str">
        <f>IF(Main[[#This Row],[Tech Start Date]]&lt;1/1/1990,"",IF(Main[[#This Row],[Class]]="C",WORKDAY(Main[[#This Row],[Tech Start Date]],23),IF(Main[[#This Row],[Class]]="B", WORKDAY(Main[[#This Row],[Tech Start Date]],15),IF(Main[[#This Row],[Class]]="A",WORKDAY(Main[[#This Row],[Tech Start Date]],5),""))))</f>
        <v/>
      </c>
      <c r="P1220" s="104" t="str">
        <f>IF(Main[[#This Row],[Tech Start Date]]&lt;1/1/1990,"",IF(Main[[#This Row],[Class]]="C",WORKDAY(Main[[#This Row],[Tech Start Date]],28),IF(Main[[#This Row],[Class]]="B", WORKDAY(Main[[#This Row],[Tech Start Date]],19),IF(Main[[#This Row],[Class]]="A",WORKDAY(Main[[#This Row],[Tech Start Date]],9),""))))</f>
        <v/>
      </c>
      <c r="Q1220" s="101">
        <v>40908</v>
      </c>
      <c r="R1220" s="101"/>
      <c r="S1220" s="99" t="s">
        <v>17</v>
      </c>
      <c r="T1220" s="107" t="s">
        <v>4</v>
      </c>
      <c r="U1220" s="99" t="s">
        <v>14</v>
      </c>
      <c r="V1220" s="99" t="s">
        <v>1972</v>
      </c>
      <c r="W1220" s="99" t="s">
        <v>1973</v>
      </c>
    </row>
    <row r="1221" spans="1:23" ht="18.600000000000001" customHeight="1">
      <c r="A1221" s="123" t="str">
        <f>IF(priority(Main[[#This Row],[Comments]])&lt;&gt;0, priority(Main[[#This Row],[Comments]]),"")</f>
        <v/>
      </c>
      <c r="B1221" s="127" t="s">
        <v>2382</v>
      </c>
      <c r="C1221" s="99" t="s">
        <v>4</v>
      </c>
      <c r="D1221" s="100" t="s">
        <v>2856</v>
      </c>
      <c r="E1221" s="101">
        <v>40820.42082175926</v>
      </c>
      <c r="F1221" s="101"/>
      <c r="G1221" s="102" t="str">
        <f>IF(stdProdLT(Main[[#This Row],[Comments]])=0.1,"N/A",IF(stdProdLT(Main[[#This Row],[Comments]])=0,"",stdProdLT(Main[[#This Row],[Comments]])))</f>
        <v/>
      </c>
      <c r="H1221" s="103" t="str">
        <f>IF(AND(Main[[#This Row],[In Stock Date]]&lt;&gt;"",Main[[#This Row],[Revised Due Date]]&lt;&gt;""),Main[[#This Row],[In Stock Date]]-Main[[#This Row],[Revised Due Date]],"")</f>
        <v/>
      </c>
      <c r="I1221" s="99" t="s">
        <v>568</v>
      </c>
      <c r="J1221" s="99" t="s">
        <v>21</v>
      </c>
      <c r="K1221" s="99" t="s">
        <v>4</v>
      </c>
      <c r="L1221" s="101"/>
      <c r="M1221" s="104" t="str">
        <f>IF(Main[[#This Row],[Tech Start Date]]&lt;1/1/1990,"",IF(Main[[#This Row],[Class]]="C",WORKDAY(Main[[#This Row],[Tech Start Date]],9),IF(Main[[#This Row],[Class]]="B", WORKDAY(Main[[#This Row],[Tech Start Date]],6),IF(Main[[#This Row],[Class]]="A",WORKDAY(Main[[#This Row],[Tech Start Date]],2),""))))</f>
        <v/>
      </c>
      <c r="N1221" s="104" t="str">
        <f>IF(Main[[#This Row],[Tech Start Date]]&lt;1/1/1990,"",IF(Main[[#This Row],[Class]]="C",WORKDAY(Main[[#This Row],[Tech Start Date]],19),IF(Main[[#This Row],[Class]]="B", WORKDAY(Main[[#This Row],[Tech Start Date]],12),IF(Main[[#This Row],[Class]]="A",WORKDAY(Main[[#This Row],[Tech Start Date]],4),""))))</f>
        <v/>
      </c>
      <c r="O1221" s="104" t="str">
        <f>IF(Main[[#This Row],[Tech Start Date]]&lt;1/1/1990,"",IF(Main[[#This Row],[Class]]="C",WORKDAY(Main[[#This Row],[Tech Start Date]],23),IF(Main[[#This Row],[Class]]="B", WORKDAY(Main[[#This Row],[Tech Start Date]],15),IF(Main[[#This Row],[Class]]="A",WORKDAY(Main[[#This Row],[Tech Start Date]],5),""))))</f>
        <v/>
      </c>
      <c r="P1221" s="104" t="str">
        <f>IF(Main[[#This Row],[Tech Start Date]]&lt;1/1/1990,"",IF(Main[[#This Row],[Class]]="C",WORKDAY(Main[[#This Row],[Tech Start Date]],28),IF(Main[[#This Row],[Class]]="B", WORKDAY(Main[[#This Row],[Tech Start Date]],19),IF(Main[[#This Row],[Class]]="A",WORKDAY(Main[[#This Row],[Tech Start Date]],9),""))))</f>
        <v/>
      </c>
      <c r="Q1221" s="101"/>
      <c r="R1221" s="101">
        <v>40840</v>
      </c>
      <c r="S1221" s="99" t="s">
        <v>6</v>
      </c>
      <c r="T1221" s="107" t="s">
        <v>4</v>
      </c>
      <c r="U1221" s="99" t="s">
        <v>29</v>
      </c>
      <c r="V1221" s="99" t="s">
        <v>1962</v>
      </c>
      <c r="W1221" s="99" t="s">
        <v>1970</v>
      </c>
    </row>
    <row r="1222" spans="1:23" ht="18.600000000000001" customHeight="1">
      <c r="A1222" s="123" t="str">
        <f>IF(priority(Main[[#This Row],[Comments]])&lt;&gt;0, priority(Main[[#This Row],[Comments]]),"")</f>
        <v/>
      </c>
      <c r="B1222" s="127" t="s">
        <v>2398</v>
      </c>
      <c r="C1222" s="99" t="s">
        <v>2384</v>
      </c>
      <c r="D1222" s="100" t="s">
        <v>2385</v>
      </c>
      <c r="E1222" s="101"/>
      <c r="F1222" s="101">
        <v>40544</v>
      </c>
      <c r="G1222" s="102" t="str">
        <f>IF(stdProdLT(Main[[#This Row],[Comments]])=0.1,"N/A",IF(stdProdLT(Main[[#This Row],[Comments]])=0,"",stdProdLT(Main[[#This Row],[Comments]])))</f>
        <v/>
      </c>
      <c r="H1222" s="103" t="str">
        <f>IF(AND(Main[[#This Row],[In Stock Date]]&lt;&gt;"",Main[[#This Row],[Revised Due Date]]&lt;&gt;""),Main[[#This Row],[In Stock Date]]-Main[[#This Row],[Revised Due Date]],"")</f>
        <v/>
      </c>
      <c r="I1222" s="99" t="s">
        <v>4</v>
      </c>
      <c r="J1222" s="99" t="s">
        <v>4</v>
      </c>
      <c r="K1222" s="99" t="s">
        <v>4</v>
      </c>
      <c r="L1222" s="101"/>
      <c r="M1222" s="104" t="str">
        <f>IF(Main[[#This Row],[Tech Start Date]]&lt;1/1/1990,"",IF(Main[[#This Row],[Class]]="C",WORKDAY(Main[[#This Row],[Tech Start Date]],9),IF(Main[[#This Row],[Class]]="B", WORKDAY(Main[[#This Row],[Tech Start Date]],6),IF(Main[[#This Row],[Class]]="A",WORKDAY(Main[[#This Row],[Tech Start Date]],2),""))))</f>
        <v/>
      </c>
      <c r="N1222" s="104" t="str">
        <f>IF(Main[[#This Row],[Tech Start Date]]&lt;1/1/1990,"",IF(Main[[#This Row],[Class]]="C",WORKDAY(Main[[#This Row],[Tech Start Date]],19),IF(Main[[#This Row],[Class]]="B", WORKDAY(Main[[#This Row],[Tech Start Date]],12),IF(Main[[#This Row],[Class]]="A",WORKDAY(Main[[#This Row],[Tech Start Date]],4),""))))</f>
        <v/>
      </c>
      <c r="O1222" s="104" t="str">
        <f>IF(Main[[#This Row],[Tech Start Date]]&lt;1/1/1990,"",IF(Main[[#This Row],[Class]]="C",WORKDAY(Main[[#This Row],[Tech Start Date]],23),IF(Main[[#This Row],[Class]]="B", WORKDAY(Main[[#This Row],[Tech Start Date]],15),IF(Main[[#This Row],[Class]]="A",WORKDAY(Main[[#This Row],[Tech Start Date]],5),""))))</f>
        <v/>
      </c>
      <c r="P1222" s="104" t="str">
        <f>IF(Main[[#This Row],[Tech Start Date]]&lt;1/1/1990,"",IF(Main[[#This Row],[Class]]="C",WORKDAY(Main[[#This Row],[Tech Start Date]],28),IF(Main[[#This Row],[Class]]="B", WORKDAY(Main[[#This Row],[Tech Start Date]],19),IF(Main[[#This Row],[Class]]="A",WORKDAY(Main[[#This Row],[Tech Start Date]],9),""))))</f>
        <v/>
      </c>
      <c r="Q1222" s="101"/>
      <c r="R1222" s="101"/>
      <c r="S1222" s="99" t="s">
        <v>11</v>
      </c>
      <c r="T1222" s="107" t="s">
        <v>4</v>
      </c>
      <c r="U1222" s="99" t="s">
        <v>12</v>
      </c>
      <c r="V1222" s="99" t="s">
        <v>1965</v>
      </c>
      <c r="W1222" s="99" t="s">
        <v>1970</v>
      </c>
    </row>
    <row r="1223" spans="1:23" ht="18.600000000000001" customHeight="1">
      <c r="A1223" s="123" t="str">
        <f>IF(priority(Main[[#This Row],[Comments]])&lt;&gt;0, priority(Main[[#This Row],[Comments]]),"")</f>
        <v/>
      </c>
      <c r="B1223" s="127" t="s">
        <v>2615</v>
      </c>
      <c r="C1223" s="99" t="s">
        <v>4</v>
      </c>
      <c r="D1223" s="100" t="s">
        <v>2616</v>
      </c>
      <c r="E1223" s="101">
        <v>40855.432083333333</v>
      </c>
      <c r="F1223" s="101">
        <v>40877</v>
      </c>
      <c r="G1223" s="102" t="str">
        <f>IF(stdProdLT(Main[[#This Row],[Comments]])=0.1,"N/A",IF(stdProdLT(Main[[#This Row],[Comments]])=0,"",stdProdLT(Main[[#This Row],[Comments]])))</f>
        <v/>
      </c>
      <c r="H1223" s="103" t="str">
        <f>IF(AND(Main[[#This Row],[In Stock Date]]&lt;&gt;"",Main[[#This Row],[Revised Due Date]]&lt;&gt;""),Main[[#This Row],[In Stock Date]]-Main[[#This Row],[Revised Due Date]],"")</f>
        <v/>
      </c>
      <c r="I1223" s="99" t="s">
        <v>4</v>
      </c>
      <c r="J1223" s="99" t="s">
        <v>4</v>
      </c>
      <c r="K1223" s="108" t="s">
        <v>4</v>
      </c>
      <c r="L1223" s="101"/>
      <c r="M1223" s="104" t="str">
        <f>IF(Main[[#This Row],[Tech Start Date]]&lt;1/1/1990,"",IF(Main[[#This Row],[Class]]="C",WORKDAY(Main[[#This Row],[Tech Start Date]],9),IF(Main[[#This Row],[Class]]="B", WORKDAY(Main[[#This Row],[Tech Start Date]],6),IF(Main[[#This Row],[Class]]="A",WORKDAY(Main[[#This Row],[Tech Start Date]],2),""))))</f>
        <v/>
      </c>
      <c r="N1223" s="104" t="str">
        <f>IF(Main[[#This Row],[Tech Start Date]]&lt;1/1/1990,"",IF(Main[[#This Row],[Class]]="C",WORKDAY(Main[[#This Row],[Tech Start Date]],19),IF(Main[[#This Row],[Class]]="B", WORKDAY(Main[[#This Row],[Tech Start Date]],12),IF(Main[[#This Row],[Class]]="A",WORKDAY(Main[[#This Row],[Tech Start Date]],4),""))))</f>
        <v/>
      </c>
      <c r="O1223" s="104" t="str">
        <f>IF(Main[[#This Row],[Tech Start Date]]&lt;1/1/1990,"",IF(Main[[#This Row],[Class]]="C",WORKDAY(Main[[#This Row],[Tech Start Date]],23),IF(Main[[#This Row],[Class]]="B", WORKDAY(Main[[#This Row],[Tech Start Date]],15),IF(Main[[#This Row],[Class]]="A",WORKDAY(Main[[#This Row],[Tech Start Date]],5),""))))</f>
        <v/>
      </c>
      <c r="P1223" s="104" t="str">
        <f>IF(Main[[#This Row],[Tech Start Date]]&lt;1/1/1990,"",IF(Main[[#This Row],[Class]]="C",WORKDAY(Main[[#This Row],[Tech Start Date]],28),IF(Main[[#This Row],[Class]]="B", WORKDAY(Main[[#This Row],[Tech Start Date]],19),IF(Main[[#This Row],[Class]]="A",WORKDAY(Main[[#This Row],[Tech Start Date]],9),""))))</f>
        <v/>
      </c>
      <c r="Q1223" s="101">
        <v>40865</v>
      </c>
      <c r="R1223" s="101"/>
      <c r="S1223" s="99" t="s">
        <v>11</v>
      </c>
      <c r="T1223" s="107" t="s">
        <v>4</v>
      </c>
      <c r="U1223" s="99" t="s">
        <v>7</v>
      </c>
      <c r="V1223" s="99" t="s">
        <v>2362</v>
      </c>
      <c r="W1223" s="99" t="s">
        <v>1970</v>
      </c>
    </row>
    <row r="1224" spans="1:23" ht="18.600000000000001" customHeight="1">
      <c r="A1224" s="123" t="str">
        <f>IF(priority(Main[[#This Row],[Comments]])&lt;&gt;0, priority(Main[[#This Row],[Comments]]),"")</f>
        <v/>
      </c>
      <c r="B1224" s="127" t="s">
        <v>2656</v>
      </c>
      <c r="C1224" s="99" t="s">
        <v>4</v>
      </c>
      <c r="D1224" s="100" t="s">
        <v>2657</v>
      </c>
      <c r="E1224" s="101">
        <v>40864.625219907408</v>
      </c>
      <c r="F1224" s="101"/>
      <c r="G1224" s="102" t="str">
        <f>IF(stdProdLT(Main[[#This Row],[Comments]])=0.1,"N/A",IF(stdProdLT(Main[[#This Row],[Comments]])=0,"",stdProdLT(Main[[#This Row],[Comments]])))</f>
        <v/>
      </c>
      <c r="H1224" s="103" t="str">
        <f>IF(AND(Main[[#This Row],[In Stock Date]]&lt;&gt;"",Main[[#This Row],[Revised Due Date]]&lt;&gt;""),Main[[#This Row],[In Stock Date]]-Main[[#This Row],[Revised Due Date]],"")</f>
        <v/>
      </c>
      <c r="I1224" s="99" t="s">
        <v>4</v>
      </c>
      <c r="J1224" s="99" t="s">
        <v>4</v>
      </c>
      <c r="K1224" s="99" t="s">
        <v>4</v>
      </c>
      <c r="L1224" s="101"/>
      <c r="M1224" s="104" t="str">
        <f>IF(Main[[#This Row],[Tech Start Date]]&lt;1/1/1990,"",IF(Main[[#This Row],[Class]]="C",WORKDAY(Main[[#This Row],[Tech Start Date]],9),IF(Main[[#This Row],[Class]]="B", WORKDAY(Main[[#This Row],[Tech Start Date]],6),IF(Main[[#This Row],[Class]]="A",WORKDAY(Main[[#This Row],[Tech Start Date]],2),""))))</f>
        <v/>
      </c>
      <c r="N1224" s="104" t="str">
        <f>IF(Main[[#This Row],[Tech Start Date]]&lt;1/1/1990,"",IF(Main[[#This Row],[Class]]="C",WORKDAY(Main[[#This Row],[Tech Start Date]],19),IF(Main[[#This Row],[Class]]="B", WORKDAY(Main[[#This Row],[Tech Start Date]],12),IF(Main[[#This Row],[Class]]="A",WORKDAY(Main[[#This Row],[Tech Start Date]],4),""))))</f>
        <v/>
      </c>
      <c r="O1224" s="104" t="str">
        <f>IF(Main[[#This Row],[Tech Start Date]]&lt;1/1/1990,"",IF(Main[[#This Row],[Class]]="C",WORKDAY(Main[[#This Row],[Tech Start Date]],23),IF(Main[[#This Row],[Class]]="B", WORKDAY(Main[[#This Row],[Tech Start Date]],15),IF(Main[[#This Row],[Class]]="A",WORKDAY(Main[[#This Row],[Tech Start Date]],5),""))))</f>
        <v/>
      </c>
      <c r="P1224" s="104" t="str">
        <f>IF(Main[[#This Row],[Tech Start Date]]&lt;1/1/1990,"",IF(Main[[#This Row],[Class]]="C",WORKDAY(Main[[#This Row],[Tech Start Date]],28),IF(Main[[#This Row],[Class]]="B", WORKDAY(Main[[#This Row],[Tech Start Date]],19),IF(Main[[#This Row],[Class]]="A",WORKDAY(Main[[#This Row],[Tech Start Date]],9),""))))</f>
        <v/>
      </c>
      <c r="Q1224" s="101"/>
      <c r="R1224" s="101"/>
      <c r="S1224" s="99" t="s">
        <v>17</v>
      </c>
      <c r="T1224" s="107" t="s">
        <v>4</v>
      </c>
      <c r="U1224" s="99" t="s">
        <v>7</v>
      </c>
      <c r="V1224" s="99" t="s">
        <v>1963</v>
      </c>
      <c r="W1224" s="99" t="s">
        <v>1966</v>
      </c>
    </row>
    <row r="1225" spans="1:23" ht="18.600000000000001" customHeight="1">
      <c r="A1225" s="123" t="str">
        <f>IF(priority(Main[[#This Row],[Comments]])&lt;&gt;0, priority(Main[[#This Row],[Comments]]),"")</f>
        <v/>
      </c>
      <c r="B1225" s="127" t="s">
        <v>2306</v>
      </c>
      <c r="C1225" s="99" t="s">
        <v>4</v>
      </c>
      <c r="D1225" s="100" t="s">
        <v>2809</v>
      </c>
      <c r="E1225" s="101">
        <v>40798.47016203704</v>
      </c>
      <c r="F1225" s="101"/>
      <c r="G1225" s="102" t="str">
        <f>IF(stdProdLT(Main[[#This Row],[Comments]])=0.1,"N/A",IF(stdProdLT(Main[[#This Row],[Comments]])=0,"",stdProdLT(Main[[#This Row],[Comments]])))</f>
        <v/>
      </c>
      <c r="H1225" s="103" t="str">
        <f>IF(AND(Main[[#This Row],[In Stock Date]]&lt;&gt;"",Main[[#This Row],[Revised Due Date]]&lt;&gt;""),Main[[#This Row],[In Stock Date]]-Main[[#This Row],[Revised Due Date]],"")</f>
        <v/>
      </c>
      <c r="I1225" s="99" t="s">
        <v>131</v>
      </c>
      <c r="J1225" s="99" t="s">
        <v>28</v>
      </c>
      <c r="K1225" s="99" t="s">
        <v>1971</v>
      </c>
      <c r="L1225" s="101"/>
      <c r="M1225" s="104" t="str">
        <f>IF(Main[[#This Row],[Tech Start Date]]&lt;1/1/1990,"",IF(Main[[#This Row],[Class]]="C",WORKDAY(Main[[#This Row],[Tech Start Date]],9),IF(Main[[#This Row],[Class]]="B", WORKDAY(Main[[#This Row],[Tech Start Date]],6),IF(Main[[#This Row],[Class]]="A",WORKDAY(Main[[#This Row],[Tech Start Date]],2),""))))</f>
        <v/>
      </c>
      <c r="N1225" s="104" t="str">
        <f>IF(Main[[#This Row],[Tech Start Date]]&lt;1/1/1990,"",IF(Main[[#This Row],[Class]]="C",WORKDAY(Main[[#This Row],[Tech Start Date]],19),IF(Main[[#This Row],[Class]]="B", WORKDAY(Main[[#This Row],[Tech Start Date]],12),IF(Main[[#This Row],[Class]]="A",WORKDAY(Main[[#This Row],[Tech Start Date]],4),""))))</f>
        <v/>
      </c>
      <c r="O1225" s="104" t="str">
        <f>IF(Main[[#This Row],[Tech Start Date]]&lt;1/1/1990,"",IF(Main[[#This Row],[Class]]="C",WORKDAY(Main[[#This Row],[Tech Start Date]],23),IF(Main[[#This Row],[Class]]="B", WORKDAY(Main[[#This Row],[Tech Start Date]],15),IF(Main[[#This Row],[Class]]="A",WORKDAY(Main[[#This Row],[Tech Start Date]],5),""))))</f>
        <v/>
      </c>
      <c r="P1225" s="104" t="str">
        <f>IF(Main[[#This Row],[Tech Start Date]]&lt;1/1/1990,"",IF(Main[[#This Row],[Class]]="C",WORKDAY(Main[[#This Row],[Tech Start Date]],28),IF(Main[[#This Row],[Class]]="B", WORKDAY(Main[[#This Row],[Tech Start Date]],19),IF(Main[[#This Row],[Class]]="A",WORKDAY(Main[[#This Row],[Tech Start Date]],9),""))))</f>
        <v/>
      </c>
      <c r="Q1225" s="101">
        <v>40847</v>
      </c>
      <c r="R1225" s="101"/>
      <c r="S1225" s="99" t="s">
        <v>6</v>
      </c>
      <c r="T1225" s="107" t="s">
        <v>4</v>
      </c>
      <c r="U1225" s="99" t="s">
        <v>29</v>
      </c>
      <c r="V1225" s="99" t="s">
        <v>1965</v>
      </c>
      <c r="W1225" s="99" t="s">
        <v>1966</v>
      </c>
    </row>
    <row r="1226" spans="1:23" ht="18.600000000000001" customHeight="1">
      <c r="A1226" s="123" t="str">
        <f>IF(priority(Main[[#This Row],[Comments]])&lt;&gt;0, priority(Main[[#This Row],[Comments]]),"")</f>
        <v/>
      </c>
      <c r="B1226" s="127" t="s">
        <v>2861</v>
      </c>
      <c r="C1226" s="99" t="s">
        <v>4</v>
      </c>
      <c r="D1226" s="100" t="s">
        <v>2862</v>
      </c>
      <c r="E1226" s="101">
        <v>40868.429988425924</v>
      </c>
      <c r="F1226" s="101"/>
      <c r="G1226" s="102" t="str">
        <f>IF(stdProdLT(Main[[#This Row],[Comments]])=0.1,"N/A",IF(stdProdLT(Main[[#This Row],[Comments]])=0,"",stdProdLT(Main[[#This Row],[Comments]])))</f>
        <v/>
      </c>
      <c r="H1226" s="103" t="str">
        <f>IF(AND(Main[[#This Row],[In Stock Date]]&lt;&gt;"",Main[[#This Row],[Revised Due Date]]&lt;&gt;""),Main[[#This Row],[In Stock Date]]-Main[[#This Row],[Revised Due Date]],"")</f>
        <v/>
      </c>
      <c r="I1226" s="99" t="s">
        <v>242</v>
      </c>
      <c r="J1226" s="99" t="s">
        <v>21</v>
      </c>
      <c r="K1226" s="99" t="s">
        <v>4</v>
      </c>
      <c r="L1226" s="101"/>
      <c r="M1226" s="104" t="str">
        <f>IF(Main[[#This Row],[Tech Start Date]]&lt;1/1/1990,"",IF(Main[[#This Row],[Class]]="C",WORKDAY(Main[[#This Row],[Tech Start Date]],9),IF(Main[[#This Row],[Class]]="B", WORKDAY(Main[[#This Row],[Tech Start Date]],6),IF(Main[[#This Row],[Class]]="A",WORKDAY(Main[[#This Row],[Tech Start Date]],2),""))))</f>
        <v/>
      </c>
      <c r="N1226" s="104" t="str">
        <f>IF(Main[[#This Row],[Tech Start Date]]&lt;1/1/1990,"",IF(Main[[#This Row],[Class]]="C",WORKDAY(Main[[#This Row],[Tech Start Date]],19),IF(Main[[#This Row],[Class]]="B", WORKDAY(Main[[#This Row],[Tech Start Date]],12),IF(Main[[#This Row],[Class]]="A",WORKDAY(Main[[#This Row],[Tech Start Date]],4),""))))</f>
        <v/>
      </c>
      <c r="O1226" s="104" t="str">
        <f>IF(Main[[#This Row],[Tech Start Date]]&lt;1/1/1990,"",IF(Main[[#This Row],[Class]]="C",WORKDAY(Main[[#This Row],[Tech Start Date]],23),IF(Main[[#This Row],[Class]]="B", WORKDAY(Main[[#This Row],[Tech Start Date]],15),IF(Main[[#This Row],[Class]]="A",WORKDAY(Main[[#This Row],[Tech Start Date]],5),""))))</f>
        <v/>
      </c>
      <c r="P1226" s="104" t="str">
        <f>IF(Main[[#This Row],[Tech Start Date]]&lt;1/1/1990,"",IF(Main[[#This Row],[Class]]="C",WORKDAY(Main[[#This Row],[Tech Start Date]],28),IF(Main[[#This Row],[Class]]="B", WORKDAY(Main[[#This Row],[Tech Start Date]],19),IF(Main[[#This Row],[Class]]="A",WORKDAY(Main[[#This Row],[Tech Start Date]],9),""))))</f>
        <v/>
      </c>
      <c r="Q1226" s="101">
        <v>40877</v>
      </c>
      <c r="R1226" s="101"/>
      <c r="S1226" s="99" t="s">
        <v>6</v>
      </c>
      <c r="T1226" s="107" t="s">
        <v>4</v>
      </c>
      <c r="U1226" s="99" t="s">
        <v>29</v>
      </c>
      <c r="V1226" s="99" t="s">
        <v>1965</v>
      </c>
      <c r="W1226" s="99" t="s">
        <v>1966</v>
      </c>
    </row>
    <row r="1227" spans="1:23" ht="18.600000000000001" customHeight="1">
      <c r="A1227" s="123" t="str">
        <f>IF(priority(Main[[#This Row],[Comments]])&lt;&gt;0, priority(Main[[#This Row],[Comments]]),"")</f>
        <v/>
      </c>
      <c r="B1227" s="127" t="s">
        <v>1713</v>
      </c>
      <c r="C1227" s="99" t="s">
        <v>37</v>
      </c>
      <c r="D1227" s="100" t="s">
        <v>2865</v>
      </c>
      <c r="E1227" s="101">
        <v>40681.624918981484</v>
      </c>
      <c r="F1227" s="101"/>
      <c r="G1227" s="102" t="str">
        <f>IF(stdProdLT(Main[[#This Row],[Comments]])=0.1,"N/A",IF(stdProdLT(Main[[#This Row],[Comments]])=0,"",stdProdLT(Main[[#This Row],[Comments]])))</f>
        <v/>
      </c>
      <c r="H1227" s="103" t="str">
        <f>IF(AND(Main[[#This Row],[In Stock Date]]&lt;&gt;"",Main[[#This Row],[Revised Due Date]]&lt;&gt;""),Main[[#This Row],[In Stock Date]]-Main[[#This Row],[Revised Due Date]],"")</f>
        <v/>
      </c>
      <c r="I1227" s="99" t="s">
        <v>4</v>
      </c>
      <c r="J1227" s="99" t="s">
        <v>4</v>
      </c>
      <c r="K1227" s="99" t="s">
        <v>4</v>
      </c>
      <c r="L1227" s="101"/>
      <c r="M1227" s="104" t="str">
        <f>IF(Main[[#This Row],[Tech Start Date]]&lt;1/1/1990,"",IF(Main[[#This Row],[Class]]="C",WORKDAY(Main[[#This Row],[Tech Start Date]],9),IF(Main[[#This Row],[Class]]="B", WORKDAY(Main[[#This Row],[Tech Start Date]],6),IF(Main[[#This Row],[Class]]="A",WORKDAY(Main[[#This Row],[Tech Start Date]],2),""))))</f>
        <v/>
      </c>
      <c r="N1227" s="104" t="str">
        <f>IF(Main[[#This Row],[Tech Start Date]]&lt;1/1/1990,"",IF(Main[[#This Row],[Class]]="C",WORKDAY(Main[[#This Row],[Tech Start Date]],19),IF(Main[[#This Row],[Class]]="B", WORKDAY(Main[[#This Row],[Tech Start Date]],12),IF(Main[[#This Row],[Class]]="A",WORKDAY(Main[[#This Row],[Tech Start Date]],4),""))))</f>
        <v/>
      </c>
      <c r="O1227" s="104" t="str">
        <f>IF(Main[[#This Row],[Tech Start Date]]&lt;1/1/1990,"",IF(Main[[#This Row],[Class]]="C",WORKDAY(Main[[#This Row],[Tech Start Date]],23),IF(Main[[#This Row],[Class]]="B", WORKDAY(Main[[#This Row],[Tech Start Date]],15),IF(Main[[#This Row],[Class]]="A",WORKDAY(Main[[#This Row],[Tech Start Date]],5),""))))</f>
        <v/>
      </c>
      <c r="P1227" s="104" t="str">
        <f>IF(Main[[#This Row],[Tech Start Date]]&lt;1/1/1990,"",IF(Main[[#This Row],[Class]]="C",WORKDAY(Main[[#This Row],[Tech Start Date]],28),IF(Main[[#This Row],[Class]]="B", WORKDAY(Main[[#This Row],[Tech Start Date]],19),IF(Main[[#This Row],[Class]]="A",WORKDAY(Main[[#This Row],[Tech Start Date]],9),""))))</f>
        <v/>
      </c>
      <c r="Q1227" s="101"/>
      <c r="R1227" s="101"/>
      <c r="S1227" s="99" t="s">
        <v>6</v>
      </c>
      <c r="T1227" s="107" t="s">
        <v>4</v>
      </c>
      <c r="U1227" s="99" t="s">
        <v>540</v>
      </c>
      <c r="V1227" s="99" t="s">
        <v>1962</v>
      </c>
      <c r="W1227" s="99" t="s">
        <v>1973</v>
      </c>
    </row>
    <row r="1228" spans="1:23" ht="18.600000000000001" customHeight="1">
      <c r="A1228" s="123" t="str">
        <f>IF(priority(Main[[#This Row],[Comments]])&lt;&gt;0, priority(Main[[#This Row],[Comments]]),"")</f>
        <v/>
      </c>
      <c r="B1228" s="127" t="s">
        <v>2519</v>
      </c>
      <c r="C1228" s="99" t="s">
        <v>4</v>
      </c>
      <c r="D1228" s="100" t="s">
        <v>2520</v>
      </c>
      <c r="E1228" s="101">
        <v>40856.429768518516</v>
      </c>
      <c r="F1228" s="101"/>
      <c r="G1228" s="102" t="str">
        <f>IF(stdProdLT(Main[[#This Row],[Comments]])=0.1,"N/A",IF(stdProdLT(Main[[#This Row],[Comments]])=0,"",stdProdLT(Main[[#This Row],[Comments]])))</f>
        <v/>
      </c>
      <c r="H1228" s="103" t="str">
        <f>IF(AND(Main[[#This Row],[In Stock Date]]&lt;&gt;"",Main[[#This Row],[Revised Due Date]]&lt;&gt;""),Main[[#This Row],[In Stock Date]]-Main[[#This Row],[Revised Due Date]],"")</f>
        <v/>
      </c>
      <c r="I1228" s="99" t="s">
        <v>536</v>
      </c>
      <c r="J1228" s="99" t="s">
        <v>52</v>
      </c>
      <c r="K1228" s="99" t="s">
        <v>1971</v>
      </c>
      <c r="L1228" s="101"/>
      <c r="M1228" s="104" t="str">
        <f>IF(Main[[#This Row],[Tech Start Date]]&lt;1/1/1990,"",IF(Main[[#This Row],[Class]]="C",WORKDAY(Main[[#This Row],[Tech Start Date]],9),IF(Main[[#This Row],[Class]]="B", WORKDAY(Main[[#This Row],[Tech Start Date]],6),IF(Main[[#This Row],[Class]]="A",WORKDAY(Main[[#This Row],[Tech Start Date]],2),""))))</f>
        <v/>
      </c>
      <c r="N1228" s="104" t="str">
        <f>IF(Main[[#This Row],[Tech Start Date]]&lt;1/1/1990,"",IF(Main[[#This Row],[Class]]="C",WORKDAY(Main[[#This Row],[Tech Start Date]],19),IF(Main[[#This Row],[Class]]="B", WORKDAY(Main[[#This Row],[Tech Start Date]],12),IF(Main[[#This Row],[Class]]="A",WORKDAY(Main[[#This Row],[Tech Start Date]],4),""))))</f>
        <v/>
      </c>
      <c r="O1228" s="104" t="str">
        <f>IF(Main[[#This Row],[Tech Start Date]]&lt;1/1/1990,"",IF(Main[[#This Row],[Class]]="C",WORKDAY(Main[[#This Row],[Tech Start Date]],23),IF(Main[[#This Row],[Class]]="B", WORKDAY(Main[[#This Row],[Tech Start Date]],15),IF(Main[[#This Row],[Class]]="A",WORKDAY(Main[[#This Row],[Tech Start Date]],5),""))))</f>
        <v/>
      </c>
      <c r="P1228" s="104" t="str">
        <f>IF(Main[[#This Row],[Tech Start Date]]&lt;1/1/1990,"",IF(Main[[#This Row],[Class]]="C",WORKDAY(Main[[#This Row],[Tech Start Date]],28),IF(Main[[#This Row],[Class]]="B", WORKDAY(Main[[#This Row],[Tech Start Date]],19),IF(Main[[#This Row],[Class]]="A",WORKDAY(Main[[#This Row],[Tech Start Date]],9),""))))</f>
        <v/>
      </c>
      <c r="Q1228" s="101">
        <v>40887</v>
      </c>
      <c r="R1228" s="101"/>
      <c r="S1228" s="99" t="s">
        <v>6</v>
      </c>
      <c r="T1228" s="107" t="s">
        <v>4</v>
      </c>
      <c r="U1228" s="99" t="s">
        <v>29</v>
      </c>
      <c r="V1228" s="99" t="s">
        <v>1972</v>
      </c>
      <c r="W1228" s="99" t="s">
        <v>1966</v>
      </c>
    </row>
    <row r="1229" spans="1:23" ht="18.600000000000001" customHeight="1">
      <c r="A1229" s="123" t="str">
        <f>IF(priority(Main[[#This Row],[Comments]])&lt;&gt;0, priority(Main[[#This Row],[Comments]]),"")</f>
        <v/>
      </c>
      <c r="B1229" s="127" t="s">
        <v>2673</v>
      </c>
      <c r="C1229" s="99" t="s">
        <v>4</v>
      </c>
      <c r="D1229" s="100" t="s">
        <v>2674</v>
      </c>
      <c r="E1229" s="101">
        <v>40855.421446759261</v>
      </c>
      <c r="F1229" s="101"/>
      <c r="G1229" s="102" t="str">
        <f>IF(stdProdLT(Main[[#This Row],[Comments]])=0.1,"N/A",IF(stdProdLT(Main[[#This Row],[Comments]])=0,"",stdProdLT(Main[[#This Row],[Comments]])))</f>
        <v/>
      </c>
      <c r="H1229" s="103" t="str">
        <f>IF(AND(Main[[#This Row],[In Stock Date]]&lt;&gt;"",Main[[#This Row],[Revised Due Date]]&lt;&gt;""),Main[[#This Row],[In Stock Date]]-Main[[#This Row],[Revised Due Date]],"")</f>
        <v/>
      </c>
      <c r="I1229" s="99" t="s">
        <v>69</v>
      </c>
      <c r="J1229" s="99" t="s">
        <v>70</v>
      </c>
      <c r="K1229" s="99" t="s">
        <v>1974</v>
      </c>
      <c r="L1229" s="101"/>
      <c r="M1229" s="104" t="str">
        <f>IF(Main[[#This Row],[Tech Start Date]]&lt;1/1/1990,"",IF(Main[[#This Row],[Class]]="C",WORKDAY(Main[[#This Row],[Tech Start Date]],9),IF(Main[[#This Row],[Class]]="B", WORKDAY(Main[[#This Row],[Tech Start Date]],6),IF(Main[[#This Row],[Class]]="A",WORKDAY(Main[[#This Row],[Tech Start Date]],2),""))))</f>
        <v/>
      </c>
      <c r="N1229" s="104" t="str">
        <f>IF(Main[[#This Row],[Tech Start Date]]&lt;1/1/1990,"",IF(Main[[#This Row],[Class]]="C",WORKDAY(Main[[#This Row],[Tech Start Date]],19),IF(Main[[#This Row],[Class]]="B", WORKDAY(Main[[#This Row],[Tech Start Date]],12),IF(Main[[#This Row],[Class]]="A",WORKDAY(Main[[#This Row],[Tech Start Date]],4),""))))</f>
        <v/>
      </c>
      <c r="O1229" s="104" t="str">
        <f>IF(Main[[#This Row],[Tech Start Date]]&lt;1/1/1990,"",IF(Main[[#This Row],[Class]]="C",WORKDAY(Main[[#This Row],[Tech Start Date]],23),IF(Main[[#This Row],[Class]]="B", WORKDAY(Main[[#This Row],[Tech Start Date]],15),IF(Main[[#This Row],[Class]]="A",WORKDAY(Main[[#This Row],[Tech Start Date]],5),""))))</f>
        <v/>
      </c>
      <c r="P1229" s="104" t="str">
        <f>IF(Main[[#This Row],[Tech Start Date]]&lt;1/1/1990,"",IF(Main[[#This Row],[Class]]="C",WORKDAY(Main[[#This Row],[Tech Start Date]],28),IF(Main[[#This Row],[Class]]="B", WORKDAY(Main[[#This Row],[Tech Start Date]],19),IF(Main[[#This Row],[Class]]="A",WORKDAY(Main[[#This Row],[Tech Start Date]],9),""))))</f>
        <v/>
      </c>
      <c r="Q1229" s="101">
        <v>40907</v>
      </c>
      <c r="R1229" s="101"/>
      <c r="S1229" s="99" t="s">
        <v>17</v>
      </c>
      <c r="T1229" s="107" t="s">
        <v>4</v>
      </c>
      <c r="U1229" s="99" t="s">
        <v>29</v>
      </c>
      <c r="V1229" s="99" t="s">
        <v>1972</v>
      </c>
      <c r="W1229" s="99" t="s">
        <v>1964</v>
      </c>
    </row>
    <row r="1230" spans="1:23" ht="18.600000000000001" customHeight="1">
      <c r="A1230" s="123" t="str">
        <f>IF(priority(Main[[#This Row],[Comments]])&lt;&gt;0, priority(Main[[#This Row],[Comments]]),"")</f>
        <v/>
      </c>
      <c r="B1230" s="127" t="s">
        <v>2866</v>
      </c>
      <c r="C1230" s="99" t="s">
        <v>4</v>
      </c>
      <c r="D1230" s="100" t="s">
        <v>2867</v>
      </c>
      <c r="E1230" s="101">
        <v>40877.273229166669</v>
      </c>
      <c r="F1230" s="101"/>
      <c r="G1230" s="102" t="str">
        <f>IF(stdProdLT(Main[[#This Row],[Comments]])=0.1,"N/A",IF(stdProdLT(Main[[#This Row],[Comments]])=0,"",stdProdLT(Main[[#This Row],[Comments]])))</f>
        <v/>
      </c>
      <c r="H1230" s="103" t="str">
        <f>IF(AND(Main[[#This Row],[In Stock Date]]&lt;&gt;"",Main[[#This Row],[Revised Due Date]]&lt;&gt;""),Main[[#This Row],[In Stock Date]]-Main[[#This Row],[Revised Due Date]],"")</f>
        <v/>
      </c>
      <c r="I1230" s="99" t="s">
        <v>536</v>
      </c>
      <c r="J1230" s="99" t="s">
        <v>21</v>
      </c>
      <c r="K1230" s="108" t="s">
        <v>1971</v>
      </c>
      <c r="L1230" s="101"/>
      <c r="M1230" s="104" t="str">
        <f>IF(Main[[#This Row],[Tech Start Date]]&lt;1/1/1990,"",IF(Main[[#This Row],[Class]]="C",WORKDAY(Main[[#This Row],[Tech Start Date]],9),IF(Main[[#This Row],[Class]]="B", WORKDAY(Main[[#This Row],[Tech Start Date]],6),IF(Main[[#This Row],[Class]]="A",WORKDAY(Main[[#This Row],[Tech Start Date]],2),""))))</f>
        <v/>
      </c>
      <c r="N1230" s="104" t="str">
        <f>IF(Main[[#This Row],[Tech Start Date]]&lt;1/1/1990,"",IF(Main[[#This Row],[Class]]="C",WORKDAY(Main[[#This Row],[Tech Start Date]],19),IF(Main[[#This Row],[Class]]="B", WORKDAY(Main[[#This Row],[Tech Start Date]],12),IF(Main[[#This Row],[Class]]="A",WORKDAY(Main[[#This Row],[Tech Start Date]],4),""))))</f>
        <v/>
      </c>
      <c r="O1230" s="104" t="str">
        <f>IF(Main[[#This Row],[Tech Start Date]]&lt;1/1/1990,"",IF(Main[[#This Row],[Class]]="C",WORKDAY(Main[[#This Row],[Tech Start Date]],23),IF(Main[[#This Row],[Class]]="B", WORKDAY(Main[[#This Row],[Tech Start Date]],15),IF(Main[[#This Row],[Class]]="A",WORKDAY(Main[[#This Row],[Tech Start Date]],5),""))))</f>
        <v/>
      </c>
      <c r="P1230" s="104" t="str">
        <f>IF(Main[[#This Row],[Tech Start Date]]&lt;1/1/1990,"",IF(Main[[#This Row],[Class]]="C",WORKDAY(Main[[#This Row],[Tech Start Date]],28),IF(Main[[#This Row],[Class]]="B", WORKDAY(Main[[#This Row],[Tech Start Date]],19),IF(Main[[#This Row],[Class]]="A",WORKDAY(Main[[#This Row],[Tech Start Date]],9),""))))</f>
        <v/>
      </c>
      <c r="Q1230" s="101">
        <v>40906</v>
      </c>
      <c r="R1230" s="101"/>
      <c r="S1230" s="99" t="s">
        <v>6</v>
      </c>
      <c r="T1230" s="107" t="s">
        <v>4</v>
      </c>
      <c r="U1230" s="99" t="s">
        <v>29</v>
      </c>
      <c r="V1230" s="99" t="s">
        <v>1965</v>
      </c>
      <c r="W1230" s="99" t="s">
        <v>1966</v>
      </c>
    </row>
    <row r="1231" spans="1:23" ht="18.600000000000001" customHeight="1">
      <c r="A1231" s="123" t="str">
        <f>IF(priority(Main[[#This Row],[Comments]])&lt;&gt;0, priority(Main[[#This Row],[Comments]]),"")</f>
        <v/>
      </c>
      <c r="B1231" s="127" t="s">
        <v>2868</v>
      </c>
      <c r="C1231" s="99" t="s">
        <v>31</v>
      </c>
      <c r="D1231" s="100" t="s">
        <v>2869</v>
      </c>
      <c r="E1231" s="101"/>
      <c r="F1231" s="101">
        <v>40969</v>
      </c>
      <c r="G1231" s="102" t="str">
        <f>IF(stdProdLT(Main[[#This Row],[Comments]])=0.1,"N/A",IF(stdProdLT(Main[[#This Row],[Comments]])=0,"",stdProdLT(Main[[#This Row],[Comments]])))</f>
        <v/>
      </c>
      <c r="H1231" s="103" t="str">
        <f>IF(AND(Main[[#This Row],[In Stock Date]]&lt;&gt;"",Main[[#This Row],[Revised Due Date]]&lt;&gt;""),Main[[#This Row],[In Stock Date]]-Main[[#This Row],[Revised Due Date]],"")</f>
        <v/>
      </c>
      <c r="I1231" s="99" t="s">
        <v>4</v>
      </c>
      <c r="J1231" s="99" t="s">
        <v>4</v>
      </c>
      <c r="K1231" s="99" t="s">
        <v>4</v>
      </c>
      <c r="L1231" s="101"/>
      <c r="M1231" s="104" t="str">
        <f>IF(Main[[#This Row],[Tech Start Date]]&lt;1/1/1990,"",IF(Main[[#This Row],[Class]]="C",WORKDAY(Main[[#This Row],[Tech Start Date]],9),IF(Main[[#This Row],[Class]]="B", WORKDAY(Main[[#This Row],[Tech Start Date]],6),IF(Main[[#This Row],[Class]]="A",WORKDAY(Main[[#This Row],[Tech Start Date]],2),""))))</f>
        <v/>
      </c>
      <c r="N1231" s="104" t="str">
        <f>IF(Main[[#This Row],[Tech Start Date]]&lt;1/1/1990,"",IF(Main[[#This Row],[Class]]="C",WORKDAY(Main[[#This Row],[Tech Start Date]],19),IF(Main[[#This Row],[Class]]="B", WORKDAY(Main[[#This Row],[Tech Start Date]],12),IF(Main[[#This Row],[Class]]="A",WORKDAY(Main[[#This Row],[Tech Start Date]],4),""))))</f>
        <v/>
      </c>
      <c r="O1231" s="104" t="str">
        <f>IF(Main[[#This Row],[Tech Start Date]]&lt;1/1/1990,"",IF(Main[[#This Row],[Class]]="C",WORKDAY(Main[[#This Row],[Tech Start Date]],23),IF(Main[[#This Row],[Class]]="B", WORKDAY(Main[[#This Row],[Tech Start Date]],15),IF(Main[[#This Row],[Class]]="A",WORKDAY(Main[[#This Row],[Tech Start Date]],5),""))))</f>
        <v/>
      </c>
      <c r="P1231" s="104" t="str">
        <f>IF(Main[[#This Row],[Tech Start Date]]&lt;1/1/1990,"",IF(Main[[#This Row],[Class]]="C",WORKDAY(Main[[#This Row],[Tech Start Date]],28),IF(Main[[#This Row],[Class]]="B", WORKDAY(Main[[#This Row],[Tech Start Date]],19),IF(Main[[#This Row],[Class]]="A",WORKDAY(Main[[#This Row],[Tech Start Date]],9),""))))</f>
        <v/>
      </c>
      <c r="Q1231" s="101"/>
      <c r="R1231" s="101"/>
      <c r="S1231" s="99" t="s">
        <v>11</v>
      </c>
      <c r="T1231" s="107" t="s">
        <v>4</v>
      </c>
      <c r="U1231" s="99" t="s">
        <v>14</v>
      </c>
      <c r="V1231" s="99" t="s">
        <v>1962</v>
      </c>
      <c r="W1231" s="99" t="s">
        <v>1968</v>
      </c>
    </row>
    <row r="1232" spans="1:23" ht="18.600000000000001" customHeight="1">
      <c r="A1232" s="123" t="str">
        <f>IF(priority(Main[[#This Row],[Comments]])&lt;&gt;0, priority(Main[[#This Row],[Comments]]),"")</f>
        <v/>
      </c>
      <c r="B1232" s="127" t="s">
        <v>2863</v>
      </c>
      <c r="C1232" s="99" t="s">
        <v>4</v>
      </c>
      <c r="D1232" s="100" t="s">
        <v>2864</v>
      </c>
      <c r="E1232" s="101">
        <v>40870.471666666665</v>
      </c>
      <c r="F1232" s="101"/>
      <c r="G1232" s="102" t="str">
        <f>IF(stdProdLT(Main[[#This Row],[Comments]])=0.1,"N/A",IF(stdProdLT(Main[[#This Row],[Comments]])=0,"",stdProdLT(Main[[#This Row],[Comments]])))</f>
        <v/>
      </c>
      <c r="H1232" s="103" t="str">
        <f>IF(AND(Main[[#This Row],[In Stock Date]]&lt;&gt;"",Main[[#This Row],[Revised Due Date]]&lt;&gt;""),Main[[#This Row],[In Stock Date]]-Main[[#This Row],[Revised Due Date]],"")</f>
        <v/>
      </c>
      <c r="I1232" s="99" t="s">
        <v>2110</v>
      </c>
      <c r="J1232" s="99" t="s">
        <v>28</v>
      </c>
      <c r="K1232" s="99" t="s">
        <v>1971</v>
      </c>
      <c r="L1232" s="101"/>
      <c r="M1232" s="104" t="str">
        <f>IF(Main[[#This Row],[Tech Start Date]]&lt;1/1/1990,"",IF(Main[[#This Row],[Class]]="C",WORKDAY(Main[[#This Row],[Tech Start Date]],9),IF(Main[[#This Row],[Class]]="B", WORKDAY(Main[[#This Row],[Tech Start Date]],6),IF(Main[[#This Row],[Class]]="A",WORKDAY(Main[[#This Row],[Tech Start Date]],2),""))))</f>
        <v/>
      </c>
      <c r="N1232" s="104" t="str">
        <f>IF(Main[[#This Row],[Tech Start Date]]&lt;1/1/1990,"",IF(Main[[#This Row],[Class]]="C",WORKDAY(Main[[#This Row],[Tech Start Date]],19),IF(Main[[#This Row],[Class]]="B", WORKDAY(Main[[#This Row],[Tech Start Date]],12),IF(Main[[#This Row],[Class]]="A",WORKDAY(Main[[#This Row],[Tech Start Date]],4),""))))</f>
        <v/>
      </c>
      <c r="O1232" s="104" t="str">
        <f>IF(Main[[#This Row],[Tech Start Date]]&lt;1/1/1990,"",IF(Main[[#This Row],[Class]]="C",WORKDAY(Main[[#This Row],[Tech Start Date]],23),IF(Main[[#This Row],[Class]]="B", WORKDAY(Main[[#This Row],[Tech Start Date]],15),IF(Main[[#This Row],[Class]]="A",WORKDAY(Main[[#This Row],[Tech Start Date]],5),""))))</f>
        <v/>
      </c>
      <c r="P1232" s="104" t="str">
        <f>IF(Main[[#This Row],[Tech Start Date]]&lt;1/1/1990,"",IF(Main[[#This Row],[Class]]="C",WORKDAY(Main[[#This Row],[Tech Start Date]],28),IF(Main[[#This Row],[Class]]="B", WORKDAY(Main[[#This Row],[Tech Start Date]],19),IF(Main[[#This Row],[Class]]="A",WORKDAY(Main[[#This Row],[Tech Start Date]],9),""))))</f>
        <v/>
      </c>
      <c r="Q1232" s="101">
        <v>40905</v>
      </c>
      <c r="R1232" s="101"/>
      <c r="S1232" s="99" t="s">
        <v>6</v>
      </c>
      <c r="T1232" s="107" t="s">
        <v>4</v>
      </c>
      <c r="U1232" s="99" t="s">
        <v>29</v>
      </c>
      <c r="V1232" s="99" t="s">
        <v>1965</v>
      </c>
      <c r="W1232" s="99" t="s">
        <v>1966</v>
      </c>
    </row>
    <row r="1233" spans="1:23" ht="18.600000000000001" customHeight="1">
      <c r="A1233" s="123" t="str">
        <f>IF(priority(Main[[#This Row],[Comments]])&lt;&gt;0, priority(Main[[#This Row],[Comments]]),"")</f>
        <v/>
      </c>
      <c r="B1233" s="127" t="s">
        <v>2874</v>
      </c>
      <c r="C1233" s="99" t="s">
        <v>2457</v>
      </c>
      <c r="D1233" s="100" t="s">
        <v>2458</v>
      </c>
      <c r="E1233" s="101"/>
      <c r="F1233" s="101">
        <v>41036</v>
      </c>
      <c r="G1233" s="102" t="str">
        <f>IF(stdProdLT(Main[[#This Row],[Comments]])=0.1,"N/A",IF(stdProdLT(Main[[#This Row],[Comments]])=0,"",stdProdLT(Main[[#This Row],[Comments]])))</f>
        <v/>
      </c>
      <c r="H1233" s="103" t="str">
        <f>IF(AND(Main[[#This Row],[In Stock Date]]&lt;&gt;"",Main[[#This Row],[Revised Due Date]]&lt;&gt;""),Main[[#This Row],[In Stock Date]]-Main[[#This Row],[Revised Due Date]],"")</f>
        <v/>
      </c>
      <c r="I1233" s="99" t="s">
        <v>4</v>
      </c>
      <c r="J1233" s="99" t="s">
        <v>4</v>
      </c>
      <c r="K1233" s="99" t="s">
        <v>4</v>
      </c>
      <c r="L1233" s="101"/>
      <c r="M1233" s="104" t="str">
        <f>IF(Main[[#This Row],[Tech Start Date]]&lt;1/1/1990,"",IF(Main[[#This Row],[Class]]="C",WORKDAY(Main[[#This Row],[Tech Start Date]],9),IF(Main[[#This Row],[Class]]="B", WORKDAY(Main[[#This Row],[Tech Start Date]],6),IF(Main[[#This Row],[Class]]="A",WORKDAY(Main[[#This Row],[Tech Start Date]],2),""))))</f>
        <v/>
      </c>
      <c r="N1233" s="104" t="str">
        <f>IF(Main[[#This Row],[Tech Start Date]]&lt;1/1/1990,"",IF(Main[[#This Row],[Class]]="C",WORKDAY(Main[[#This Row],[Tech Start Date]],19),IF(Main[[#This Row],[Class]]="B", WORKDAY(Main[[#This Row],[Tech Start Date]],12),IF(Main[[#This Row],[Class]]="A",WORKDAY(Main[[#This Row],[Tech Start Date]],4),""))))</f>
        <v/>
      </c>
      <c r="O1233" s="104" t="str">
        <f>IF(Main[[#This Row],[Tech Start Date]]&lt;1/1/1990,"",IF(Main[[#This Row],[Class]]="C",WORKDAY(Main[[#This Row],[Tech Start Date]],23),IF(Main[[#This Row],[Class]]="B", WORKDAY(Main[[#This Row],[Tech Start Date]],15),IF(Main[[#This Row],[Class]]="A",WORKDAY(Main[[#This Row],[Tech Start Date]],5),""))))</f>
        <v/>
      </c>
      <c r="P1233" s="104" t="str">
        <f>IF(Main[[#This Row],[Tech Start Date]]&lt;1/1/1990,"",IF(Main[[#This Row],[Class]]="C",WORKDAY(Main[[#This Row],[Tech Start Date]],28),IF(Main[[#This Row],[Class]]="B", WORKDAY(Main[[#This Row],[Tech Start Date]],19),IF(Main[[#This Row],[Class]]="A",WORKDAY(Main[[#This Row],[Tech Start Date]],9),""))))</f>
        <v/>
      </c>
      <c r="Q1233" s="101">
        <v>40854</v>
      </c>
      <c r="R1233" s="101"/>
      <c r="S1233" s="99" t="s">
        <v>11</v>
      </c>
      <c r="T1233" s="107" t="s">
        <v>4</v>
      </c>
      <c r="U1233" s="99" t="s">
        <v>12</v>
      </c>
      <c r="V1233" s="99" t="s">
        <v>1965</v>
      </c>
      <c r="W1233" s="99" t="s">
        <v>1968</v>
      </c>
    </row>
    <row r="1234" spans="1:23" ht="18.600000000000001" customHeight="1">
      <c r="A1234" s="123" t="str">
        <f>IF(priority(Main[[#This Row],[Comments]])&lt;&gt;0, priority(Main[[#This Row],[Comments]]),"")</f>
        <v/>
      </c>
      <c r="B1234" s="127" t="s">
        <v>2318</v>
      </c>
      <c r="C1234" s="99" t="s">
        <v>2319</v>
      </c>
      <c r="D1234" s="100" t="s">
        <v>2320</v>
      </c>
      <c r="E1234" s="101"/>
      <c r="F1234" s="101"/>
      <c r="G1234" s="102" t="str">
        <f>IF(stdProdLT(Main[[#This Row],[Comments]])=0.1,"N/A",IF(stdProdLT(Main[[#This Row],[Comments]])=0,"",stdProdLT(Main[[#This Row],[Comments]])))</f>
        <v/>
      </c>
      <c r="H1234" s="103" t="str">
        <f>IF(AND(Main[[#This Row],[In Stock Date]]&lt;&gt;"",Main[[#This Row],[Revised Due Date]]&lt;&gt;""),Main[[#This Row],[In Stock Date]]-Main[[#This Row],[Revised Due Date]],"")</f>
        <v/>
      </c>
      <c r="I1234" s="99" t="s">
        <v>2277</v>
      </c>
      <c r="J1234" s="99" t="s">
        <v>4</v>
      </c>
      <c r="K1234" s="99" t="s">
        <v>1971</v>
      </c>
      <c r="L1234" s="101">
        <v>37622</v>
      </c>
      <c r="M1234" s="104">
        <f>IF(Main[[#This Row],[Tech Start Date]]&lt;1/1/1990,"",IF(Main[[#This Row],[Class]]="C",WORKDAY(Main[[#This Row],[Tech Start Date]],9),IF(Main[[#This Row],[Class]]="B", WORKDAY(Main[[#This Row],[Tech Start Date]],6),IF(Main[[#This Row],[Class]]="A",WORKDAY(Main[[#This Row],[Tech Start Date]],2),""))))</f>
        <v>37624</v>
      </c>
      <c r="N1234" s="104">
        <f>IF(Main[[#This Row],[Tech Start Date]]&lt;1/1/1990,"",IF(Main[[#This Row],[Class]]="C",WORKDAY(Main[[#This Row],[Tech Start Date]],19),IF(Main[[#This Row],[Class]]="B", WORKDAY(Main[[#This Row],[Tech Start Date]],12),IF(Main[[#This Row],[Class]]="A",WORKDAY(Main[[#This Row],[Tech Start Date]],4),""))))</f>
        <v>37628</v>
      </c>
      <c r="O1234" s="104">
        <f>IF(Main[[#This Row],[Tech Start Date]]&lt;1/1/1990,"",IF(Main[[#This Row],[Class]]="C",WORKDAY(Main[[#This Row],[Tech Start Date]],23),IF(Main[[#This Row],[Class]]="B", WORKDAY(Main[[#This Row],[Tech Start Date]],15),IF(Main[[#This Row],[Class]]="A",WORKDAY(Main[[#This Row],[Tech Start Date]],5),""))))</f>
        <v>37629</v>
      </c>
      <c r="P1234" s="104">
        <f>IF(Main[[#This Row],[Tech Start Date]]&lt;1/1/1990,"",IF(Main[[#This Row],[Class]]="C",WORKDAY(Main[[#This Row],[Tech Start Date]],28),IF(Main[[#This Row],[Class]]="B", WORKDAY(Main[[#This Row],[Tech Start Date]],19),IF(Main[[#This Row],[Class]]="A",WORKDAY(Main[[#This Row],[Tech Start Date]],9),""))))</f>
        <v>37635</v>
      </c>
      <c r="Q1234" s="101"/>
      <c r="R1234" s="101">
        <v>37623</v>
      </c>
      <c r="S1234" s="99" t="s">
        <v>11</v>
      </c>
      <c r="T1234" s="107" t="s">
        <v>4</v>
      </c>
      <c r="U1234" s="99" t="s">
        <v>14</v>
      </c>
      <c r="V1234" s="99" t="s">
        <v>1977</v>
      </c>
      <c r="W1234" s="99" t="s">
        <v>1970</v>
      </c>
    </row>
    <row r="1235" spans="1:23" ht="18.600000000000001" customHeight="1">
      <c r="A1235" s="123" t="str">
        <f>IF(priority(Main[[#This Row],[Comments]])&lt;&gt;0, priority(Main[[#This Row],[Comments]]),"")</f>
        <v/>
      </c>
      <c r="B1235" s="127" t="s">
        <v>2361</v>
      </c>
      <c r="C1235" s="99" t="s">
        <v>2275</v>
      </c>
      <c r="D1235" s="100" t="s">
        <v>2276</v>
      </c>
      <c r="E1235" s="101">
        <v>40813.570081018515</v>
      </c>
      <c r="F1235" s="101"/>
      <c r="G1235" s="102" t="str">
        <f>IF(stdProdLT(Main[[#This Row],[Comments]])=0.1,"N/A",IF(stdProdLT(Main[[#This Row],[Comments]])=0,"",stdProdLT(Main[[#This Row],[Comments]])))</f>
        <v/>
      </c>
      <c r="H1235" s="103" t="str">
        <f>IF(AND(Main[[#This Row],[In Stock Date]]&lt;&gt;"",Main[[#This Row],[Revised Due Date]]&lt;&gt;""),Main[[#This Row],[In Stock Date]]-Main[[#This Row],[Revised Due Date]],"")</f>
        <v/>
      </c>
      <c r="I1235" s="99" t="s">
        <v>2277</v>
      </c>
      <c r="J1235" s="99" t="s">
        <v>4</v>
      </c>
      <c r="K1235" s="99" t="s">
        <v>1971</v>
      </c>
      <c r="L1235" s="101">
        <v>37622</v>
      </c>
      <c r="M1235" s="104">
        <f>IF(Main[[#This Row],[Tech Start Date]]&lt;1/1/1990,"",IF(Main[[#This Row],[Class]]="C",WORKDAY(Main[[#This Row],[Tech Start Date]],9),IF(Main[[#This Row],[Class]]="B", WORKDAY(Main[[#This Row],[Tech Start Date]],6),IF(Main[[#This Row],[Class]]="A",WORKDAY(Main[[#This Row],[Tech Start Date]],2),""))))</f>
        <v>37624</v>
      </c>
      <c r="N1235" s="104">
        <f>IF(Main[[#This Row],[Tech Start Date]]&lt;1/1/1990,"",IF(Main[[#This Row],[Class]]="C",WORKDAY(Main[[#This Row],[Tech Start Date]],19),IF(Main[[#This Row],[Class]]="B", WORKDAY(Main[[#This Row],[Tech Start Date]],12),IF(Main[[#This Row],[Class]]="A",WORKDAY(Main[[#This Row],[Tech Start Date]],4),""))))</f>
        <v>37628</v>
      </c>
      <c r="O1235" s="104">
        <f>IF(Main[[#This Row],[Tech Start Date]]&lt;1/1/1990,"",IF(Main[[#This Row],[Class]]="C",WORKDAY(Main[[#This Row],[Tech Start Date]],23),IF(Main[[#This Row],[Class]]="B", WORKDAY(Main[[#This Row],[Tech Start Date]],15),IF(Main[[#This Row],[Class]]="A",WORKDAY(Main[[#This Row],[Tech Start Date]],5),""))))</f>
        <v>37629</v>
      </c>
      <c r="P1235" s="104">
        <f>IF(Main[[#This Row],[Tech Start Date]]&lt;1/1/1990,"",IF(Main[[#This Row],[Class]]="C",WORKDAY(Main[[#This Row],[Tech Start Date]],28),IF(Main[[#This Row],[Class]]="B", WORKDAY(Main[[#This Row],[Tech Start Date]],19),IF(Main[[#This Row],[Class]]="A",WORKDAY(Main[[#This Row],[Tech Start Date]],9),""))))</f>
        <v>37635</v>
      </c>
      <c r="Q1235" s="101"/>
      <c r="R1235" s="101">
        <v>37623</v>
      </c>
      <c r="S1235" s="99" t="s">
        <v>11</v>
      </c>
      <c r="T1235" s="107" t="s">
        <v>4</v>
      </c>
      <c r="U1235" s="99" t="s">
        <v>29</v>
      </c>
      <c r="V1235" s="99" t="s">
        <v>2362</v>
      </c>
      <c r="W1235" s="99" t="s">
        <v>1970</v>
      </c>
    </row>
    <row r="1236" spans="1:23" ht="18.600000000000001" customHeight="1">
      <c r="A1236" s="123" t="str">
        <f>IF(priority(Main[[#This Row],[Comments]])&lt;&gt;0, priority(Main[[#This Row],[Comments]]),"")</f>
        <v/>
      </c>
      <c r="B1236" s="127" t="s">
        <v>2317</v>
      </c>
      <c r="C1236" s="99" t="s">
        <v>2275</v>
      </c>
      <c r="D1236" s="100" t="s">
        <v>2276</v>
      </c>
      <c r="E1236" s="101"/>
      <c r="F1236" s="101"/>
      <c r="G1236" s="102" t="str">
        <f>IF(stdProdLT(Main[[#This Row],[Comments]])=0.1,"N/A",IF(stdProdLT(Main[[#This Row],[Comments]])=0,"",stdProdLT(Main[[#This Row],[Comments]])))</f>
        <v/>
      </c>
      <c r="H1236" s="103" t="str">
        <f>IF(AND(Main[[#This Row],[In Stock Date]]&lt;&gt;"",Main[[#This Row],[Revised Due Date]]&lt;&gt;""),Main[[#This Row],[In Stock Date]]-Main[[#This Row],[Revised Due Date]],"")</f>
        <v/>
      </c>
      <c r="I1236" s="99" t="s">
        <v>2277</v>
      </c>
      <c r="J1236" s="99" t="s">
        <v>4</v>
      </c>
      <c r="K1236" s="99" t="s">
        <v>1971</v>
      </c>
      <c r="L1236" s="101">
        <v>37622</v>
      </c>
      <c r="M1236" s="104">
        <f>IF(Main[[#This Row],[Tech Start Date]]&lt;1/1/1990,"",IF(Main[[#This Row],[Class]]="C",WORKDAY(Main[[#This Row],[Tech Start Date]],9),IF(Main[[#This Row],[Class]]="B", WORKDAY(Main[[#This Row],[Tech Start Date]],6),IF(Main[[#This Row],[Class]]="A",WORKDAY(Main[[#This Row],[Tech Start Date]],2),""))))</f>
        <v>37624</v>
      </c>
      <c r="N1236" s="104">
        <f>IF(Main[[#This Row],[Tech Start Date]]&lt;1/1/1990,"",IF(Main[[#This Row],[Class]]="C",WORKDAY(Main[[#This Row],[Tech Start Date]],19),IF(Main[[#This Row],[Class]]="B", WORKDAY(Main[[#This Row],[Tech Start Date]],12),IF(Main[[#This Row],[Class]]="A",WORKDAY(Main[[#This Row],[Tech Start Date]],4),""))))</f>
        <v>37628</v>
      </c>
      <c r="O1236" s="104">
        <f>IF(Main[[#This Row],[Tech Start Date]]&lt;1/1/1990,"",IF(Main[[#This Row],[Class]]="C",WORKDAY(Main[[#This Row],[Tech Start Date]],23),IF(Main[[#This Row],[Class]]="B", WORKDAY(Main[[#This Row],[Tech Start Date]],15),IF(Main[[#This Row],[Class]]="A",WORKDAY(Main[[#This Row],[Tech Start Date]],5),""))))</f>
        <v>37629</v>
      </c>
      <c r="P1236" s="104">
        <f>IF(Main[[#This Row],[Tech Start Date]]&lt;1/1/1990,"",IF(Main[[#This Row],[Class]]="C",WORKDAY(Main[[#This Row],[Tech Start Date]],28),IF(Main[[#This Row],[Class]]="B", WORKDAY(Main[[#This Row],[Tech Start Date]],19),IF(Main[[#This Row],[Class]]="A",WORKDAY(Main[[#This Row],[Tech Start Date]],9),""))))</f>
        <v>37635</v>
      </c>
      <c r="Q1236" s="101"/>
      <c r="R1236" s="101">
        <v>37623</v>
      </c>
      <c r="S1236" s="99" t="s">
        <v>11</v>
      </c>
      <c r="T1236" s="107" t="s">
        <v>4</v>
      </c>
      <c r="U1236" s="99" t="s">
        <v>14</v>
      </c>
      <c r="V1236" s="99" t="s">
        <v>1977</v>
      </c>
      <c r="W1236" s="99" t="s">
        <v>1970</v>
      </c>
    </row>
    <row r="1237" spans="1:23" ht="18.600000000000001" customHeight="1">
      <c r="A1237" s="123" t="str">
        <f>IF(priority(Main[[#This Row],[Comments]])&lt;&gt;0, priority(Main[[#This Row],[Comments]]),"")</f>
        <v/>
      </c>
      <c r="B1237" s="127" t="s">
        <v>2274</v>
      </c>
      <c r="C1237" s="99" t="s">
        <v>2275</v>
      </c>
      <c r="D1237" s="100" t="s">
        <v>2276</v>
      </c>
      <c r="E1237" s="101"/>
      <c r="F1237" s="101"/>
      <c r="G1237" s="102" t="str">
        <f>IF(stdProdLT(Main[[#This Row],[Comments]])=0.1,"N/A",IF(stdProdLT(Main[[#This Row],[Comments]])=0,"",stdProdLT(Main[[#This Row],[Comments]])))</f>
        <v/>
      </c>
      <c r="H1237" s="103" t="str">
        <f>IF(AND(Main[[#This Row],[In Stock Date]]&lt;&gt;"",Main[[#This Row],[Revised Due Date]]&lt;&gt;""),Main[[#This Row],[In Stock Date]]-Main[[#This Row],[Revised Due Date]],"")</f>
        <v/>
      </c>
      <c r="I1237" s="99" t="s">
        <v>2277</v>
      </c>
      <c r="J1237" s="99" t="s">
        <v>4</v>
      </c>
      <c r="K1237" s="99" t="s">
        <v>1971</v>
      </c>
      <c r="L1237" s="101">
        <v>37622</v>
      </c>
      <c r="M1237" s="104">
        <f>IF(Main[[#This Row],[Tech Start Date]]&lt;1/1/1990,"",IF(Main[[#This Row],[Class]]="C",WORKDAY(Main[[#This Row],[Tech Start Date]],9),IF(Main[[#This Row],[Class]]="B", WORKDAY(Main[[#This Row],[Tech Start Date]],6),IF(Main[[#This Row],[Class]]="A",WORKDAY(Main[[#This Row],[Tech Start Date]],2),""))))</f>
        <v>37624</v>
      </c>
      <c r="N1237" s="104">
        <f>IF(Main[[#This Row],[Tech Start Date]]&lt;1/1/1990,"",IF(Main[[#This Row],[Class]]="C",WORKDAY(Main[[#This Row],[Tech Start Date]],19),IF(Main[[#This Row],[Class]]="B", WORKDAY(Main[[#This Row],[Tech Start Date]],12),IF(Main[[#This Row],[Class]]="A",WORKDAY(Main[[#This Row],[Tech Start Date]],4),""))))</f>
        <v>37628</v>
      </c>
      <c r="O1237" s="104">
        <f>IF(Main[[#This Row],[Tech Start Date]]&lt;1/1/1990,"",IF(Main[[#This Row],[Class]]="C",WORKDAY(Main[[#This Row],[Tech Start Date]],23),IF(Main[[#This Row],[Class]]="B", WORKDAY(Main[[#This Row],[Tech Start Date]],15),IF(Main[[#This Row],[Class]]="A",WORKDAY(Main[[#This Row],[Tech Start Date]],5),""))))</f>
        <v>37629</v>
      </c>
      <c r="P1237" s="104">
        <f>IF(Main[[#This Row],[Tech Start Date]]&lt;1/1/1990,"",IF(Main[[#This Row],[Class]]="C",WORKDAY(Main[[#This Row],[Tech Start Date]],28),IF(Main[[#This Row],[Class]]="B", WORKDAY(Main[[#This Row],[Tech Start Date]],19),IF(Main[[#This Row],[Class]]="A",WORKDAY(Main[[#This Row],[Tech Start Date]],9),""))))</f>
        <v>37635</v>
      </c>
      <c r="Q1237" s="101"/>
      <c r="R1237" s="101">
        <v>37623</v>
      </c>
      <c r="S1237" s="99" t="s">
        <v>11</v>
      </c>
      <c r="T1237" s="107" t="s">
        <v>4</v>
      </c>
      <c r="U1237" s="99" t="s">
        <v>14</v>
      </c>
      <c r="V1237" s="99" t="s">
        <v>1977</v>
      </c>
      <c r="W1237" s="99" t="s">
        <v>1970</v>
      </c>
    </row>
    <row r="1238" spans="1:23" ht="18.600000000000001" customHeight="1">
      <c r="A1238" s="123" t="str">
        <f>IF(priority(Main[[#This Row],[Comments]])&lt;&gt;0, priority(Main[[#This Row],[Comments]]),"")</f>
        <v/>
      </c>
      <c r="B1238" s="127" t="s">
        <v>1852</v>
      </c>
      <c r="C1238" s="99" t="s">
        <v>871</v>
      </c>
      <c r="D1238" s="100" t="s">
        <v>875</v>
      </c>
      <c r="E1238" s="101">
        <v>40085.252314814818</v>
      </c>
      <c r="F1238" s="101">
        <v>40421</v>
      </c>
      <c r="G1238" s="102" t="str">
        <f>IF(stdProdLT(Main[[#This Row],[Comments]])=0.1,"N/A",IF(stdProdLT(Main[[#This Row],[Comments]])=0,"",stdProdLT(Main[[#This Row],[Comments]])))</f>
        <v/>
      </c>
      <c r="H1238" s="103">
        <f>IF(AND(Main[[#This Row],[In Stock Date]]&lt;&gt;"",Main[[#This Row],[Revised Due Date]]&lt;&gt;""),Main[[#This Row],[In Stock Date]]-Main[[#This Row],[Revised Due Date]],"")</f>
        <v>193</v>
      </c>
      <c r="I1238" s="99" t="s">
        <v>868</v>
      </c>
      <c r="J1238" s="99" t="s">
        <v>4</v>
      </c>
      <c r="K1238" s="99" t="s">
        <v>1974</v>
      </c>
      <c r="L1238" s="101">
        <v>40091</v>
      </c>
      <c r="M1238" s="104" t="str">
        <f>IF(Main[[#This Row],[Tech Start Date]]&lt;1/1/1990,"",IF(Main[[#This Row],[Class]]="C",WORKDAY(Main[[#This Row],[Tech Start Date]],9),IF(Main[[#This Row],[Class]]="B", WORKDAY(Main[[#This Row],[Tech Start Date]],6),IF(Main[[#This Row],[Class]]="A",WORKDAY(Main[[#This Row],[Tech Start Date]],2),""))))</f>
        <v/>
      </c>
      <c r="N1238" s="104" t="str">
        <f>IF(Main[[#This Row],[Tech Start Date]]&lt;1/1/1990,"",IF(Main[[#This Row],[Class]]="C",WORKDAY(Main[[#This Row],[Tech Start Date]],19),IF(Main[[#This Row],[Class]]="B", WORKDAY(Main[[#This Row],[Tech Start Date]],12),IF(Main[[#This Row],[Class]]="A",WORKDAY(Main[[#This Row],[Tech Start Date]],4),""))))</f>
        <v/>
      </c>
      <c r="O1238" s="104" t="str">
        <f>IF(Main[[#This Row],[Tech Start Date]]&lt;1/1/1990,"",IF(Main[[#This Row],[Class]]="C",WORKDAY(Main[[#This Row],[Tech Start Date]],23),IF(Main[[#This Row],[Class]]="B", WORKDAY(Main[[#This Row],[Tech Start Date]],15),IF(Main[[#This Row],[Class]]="A",WORKDAY(Main[[#This Row],[Tech Start Date]],5),""))))</f>
        <v/>
      </c>
      <c r="P1238" s="104" t="str">
        <f>IF(Main[[#This Row],[Tech Start Date]]&lt;1/1/1990,"",IF(Main[[#This Row],[Class]]="C",WORKDAY(Main[[#This Row],[Tech Start Date]],28),IF(Main[[#This Row],[Class]]="B", WORKDAY(Main[[#This Row],[Tech Start Date]],19),IF(Main[[#This Row],[Class]]="A",WORKDAY(Main[[#This Row],[Tech Start Date]],9),""))))</f>
        <v/>
      </c>
      <c r="Q1238" s="101">
        <v>40239</v>
      </c>
      <c r="R1238" s="101">
        <v>40228</v>
      </c>
      <c r="S1238" s="99" t="s">
        <v>17</v>
      </c>
      <c r="T1238" s="107" t="s">
        <v>4</v>
      </c>
      <c r="U1238" s="99" t="s">
        <v>29</v>
      </c>
      <c r="V1238" s="99" t="s">
        <v>1965</v>
      </c>
      <c r="W1238" s="99" t="s">
        <v>1967</v>
      </c>
    </row>
    <row r="1239" spans="1:23" ht="18.600000000000001" customHeight="1">
      <c r="A1239" s="123" t="str">
        <f>IF(priority(Main[[#This Row],[Comments]])&lt;&gt;0, priority(Main[[#This Row],[Comments]]),"")</f>
        <v/>
      </c>
      <c r="B1239" s="127" t="s">
        <v>1845</v>
      </c>
      <c r="C1239" s="99" t="s">
        <v>93</v>
      </c>
      <c r="D1239" s="100" t="s">
        <v>866</v>
      </c>
      <c r="E1239" s="101"/>
      <c r="F1239" s="101">
        <v>40238</v>
      </c>
      <c r="G1239" s="102" t="str">
        <f>IF(stdProdLT(Main[[#This Row],[Comments]])=0.1,"N/A",IF(stdProdLT(Main[[#This Row],[Comments]])=0,"",stdProdLT(Main[[#This Row],[Comments]])))</f>
        <v/>
      </c>
      <c r="H1239" s="103">
        <f>IF(AND(Main[[#This Row],[In Stock Date]]&lt;&gt;"",Main[[#This Row],[Revised Due Date]]&lt;&gt;""),Main[[#This Row],[In Stock Date]]-Main[[#This Row],[Revised Due Date]],"")</f>
        <v>81</v>
      </c>
      <c r="I1239" s="99" t="s">
        <v>44</v>
      </c>
      <c r="J1239" s="99" t="s">
        <v>4</v>
      </c>
      <c r="K1239" s="99" t="s">
        <v>4</v>
      </c>
      <c r="L1239" s="101">
        <v>40127</v>
      </c>
      <c r="M1239" s="104" t="str">
        <f>IF(Main[[#This Row],[Tech Start Date]]&lt;1/1/1990,"",IF(Main[[#This Row],[Class]]="C",WORKDAY(Main[[#This Row],[Tech Start Date]],9),IF(Main[[#This Row],[Class]]="B", WORKDAY(Main[[#This Row],[Tech Start Date]],6),IF(Main[[#This Row],[Class]]="A",WORKDAY(Main[[#This Row],[Tech Start Date]],2),""))))</f>
        <v/>
      </c>
      <c r="N1239" s="104" t="str">
        <f>IF(Main[[#This Row],[Tech Start Date]]&lt;1/1/1990,"",IF(Main[[#This Row],[Class]]="C",WORKDAY(Main[[#This Row],[Tech Start Date]],19),IF(Main[[#This Row],[Class]]="B", WORKDAY(Main[[#This Row],[Tech Start Date]],12),IF(Main[[#This Row],[Class]]="A",WORKDAY(Main[[#This Row],[Tech Start Date]],4),""))))</f>
        <v/>
      </c>
      <c r="O1239" s="104" t="str">
        <f>IF(Main[[#This Row],[Tech Start Date]]&lt;1/1/1990,"",IF(Main[[#This Row],[Class]]="C",WORKDAY(Main[[#This Row],[Tech Start Date]],23),IF(Main[[#This Row],[Class]]="B", WORKDAY(Main[[#This Row],[Tech Start Date]],15),IF(Main[[#This Row],[Class]]="A",WORKDAY(Main[[#This Row],[Tech Start Date]],5),""))))</f>
        <v/>
      </c>
      <c r="P1239" s="104" t="str">
        <f>IF(Main[[#This Row],[Tech Start Date]]&lt;1/1/1990,"",IF(Main[[#This Row],[Class]]="C",WORKDAY(Main[[#This Row],[Tech Start Date]],28),IF(Main[[#This Row],[Class]]="B", WORKDAY(Main[[#This Row],[Tech Start Date]],19),IF(Main[[#This Row],[Class]]="A",WORKDAY(Main[[#This Row],[Tech Start Date]],9),""))))</f>
        <v/>
      </c>
      <c r="Q1239" s="101">
        <v>40223</v>
      </c>
      <c r="R1239" s="101">
        <v>40157</v>
      </c>
      <c r="S1239" s="99" t="s">
        <v>11</v>
      </c>
      <c r="T1239" s="107" t="s">
        <v>4</v>
      </c>
      <c r="U1239" s="99" t="s">
        <v>14</v>
      </c>
      <c r="V1239" s="99" t="s">
        <v>1972</v>
      </c>
      <c r="W1239" s="99" t="s">
        <v>1973</v>
      </c>
    </row>
    <row r="1240" spans="1:23" ht="18.600000000000001" customHeight="1">
      <c r="A1240" s="123" t="str">
        <f>IF(priority(Main[[#This Row],[Comments]])&lt;&gt;0, priority(Main[[#This Row],[Comments]]),"")</f>
        <v/>
      </c>
      <c r="B1240" s="127" t="s">
        <v>1215</v>
      </c>
      <c r="C1240" s="99" t="s">
        <v>4</v>
      </c>
      <c r="D1240" s="100" t="s">
        <v>241</v>
      </c>
      <c r="E1240" s="101"/>
      <c r="F1240" s="101"/>
      <c r="G1240" s="102" t="str">
        <f>IF(stdProdLT(Main[[#This Row],[Comments]])=0.1,"N/A",IF(stdProdLT(Main[[#This Row],[Comments]])=0,"",stdProdLT(Main[[#This Row],[Comments]])))</f>
        <v/>
      </c>
      <c r="H1240" s="103" t="str">
        <f>IF(AND(Main[[#This Row],[In Stock Date]]&lt;&gt;"",Main[[#This Row],[Revised Due Date]]&lt;&gt;""),Main[[#This Row],[In Stock Date]]-Main[[#This Row],[Revised Due Date]],"")</f>
        <v/>
      </c>
      <c r="I1240" s="99" t="s">
        <v>242</v>
      </c>
      <c r="J1240" s="99" t="s">
        <v>4</v>
      </c>
      <c r="K1240" s="99" t="s">
        <v>4</v>
      </c>
      <c r="L1240" s="101">
        <v>40134</v>
      </c>
      <c r="M1240" s="104" t="str">
        <f>IF(Main[[#This Row],[Tech Start Date]]&lt;1/1/1990,"",IF(Main[[#This Row],[Class]]="C",WORKDAY(Main[[#This Row],[Tech Start Date]],9),IF(Main[[#This Row],[Class]]="B", WORKDAY(Main[[#This Row],[Tech Start Date]],6),IF(Main[[#This Row],[Class]]="A",WORKDAY(Main[[#This Row],[Tech Start Date]],2),""))))</f>
        <v/>
      </c>
      <c r="N1240" s="104" t="str">
        <f>IF(Main[[#This Row],[Tech Start Date]]&lt;1/1/1990,"",IF(Main[[#This Row],[Class]]="C",WORKDAY(Main[[#This Row],[Tech Start Date]],19),IF(Main[[#This Row],[Class]]="B", WORKDAY(Main[[#This Row],[Tech Start Date]],12),IF(Main[[#This Row],[Class]]="A",WORKDAY(Main[[#This Row],[Tech Start Date]],4),""))))</f>
        <v/>
      </c>
      <c r="O1240" s="104" t="str">
        <f>IF(Main[[#This Row],[Tech Start Date]]&lt;1/1/1990,"",IF(Main[[#This Row],[Class]]="C",WORKDAY(Main[[#This Row],[Tech Start Date]],23),IF(Main[[#This Row],[Class]]="B", WORKDAY(Main[[#This Row],[Tech Start Date]],15),IF(Main[[#This Row],[Class]]="A",WORKDAY(Main[[#This Row],[Tech Start Date]],5),""))))</f>
        <v/>
      </c>
      <c r="P1240" s="104" t="str">
        <f>IF(Main[[#This Row],[Tech Start Date]]&lt;1/1/1990,"",IF(Main[[#This Row],[Class]]="C",WORKDAY(Main[[#This Row],[Tech Start Date]],28),IF(Main[[#This Row],[Class]]="B", WORKDAY(Main[[#This Row],[Tech Start Date]],19),IF(Main[[#This Row],[Class]]="A",WORKDAY(Main[[#This Row],[Tech Start Date]],9),""))))</f>
        <v/>
      </c>
      <c r="Q1240" s="101"/>
      <c r="R1240" s="101"/>
      <c r="S1240" s="99" t="s">
        <v>6</v>
      </c>
      <c r="T1240" s="107" t="s">
        <v>4</v>
      </c>
      <c r="U1240" s="99" t="s">
        <v>14</v>
      </c>
      <c r="V1240" s="99" t="s">
        <v>1965</v>
      </c>
      <c r="W1240" s="99" t="s">
        <v>4</v>
      </c>
    </row>
    <row r="1241" spans="1:23" ht="18.600000000000001" customHeight="1">
      <c r="A1241" s="123" t="str">
        <f>IF(priority(Main[[#This Row],[Comments]])&lt;&gt;0, priority(Main[[#This Row],[Comments]]),"")</f>
        <v/>
      </c>
      <c r="B1241" s="127" t="s">
        <v>1892</v>
      </c>
      <c r="C1241" s="99" t="s">
        <v>873</v>
      </c>
      <c r="D1241" s="100" t="s">
        <v>922</v>
      </c>
      <c r="E1241" s="101"/>
      <c r="F1241" s="101">
        <v>40305</v>
      </c>
      <c r="G1241" s="102" t="str">
        <f>IF(stdProdLT(Main[[#This Row],[Comments]])=0.1,"N/A",IF(stdProdLT(Main[[#This Row],[Comments]])=0,"",stdProdLT(Main[[#This Row],[Comments]])))</f>
        <v/>
      </c>
      <c r="H1241" s="103">
        <f>IF(AND(Main[[#This Row],[In Stock Date]]&lt;&gt;"",Main[[#This Row],[Revised Due Date]]&lt;&gt;""),Main[[#This Row],[In Stock Date]]-Main[[#This Row],[Revised Due Date]],"")</f>
        <v>-226</v>
      </c>
      <c r="I1241" s="99" t="s">
        <v>437</v>
      </c>
      <c r="J1241" s="99" t="s">
        <v>4</v>
      </c>
      <c r="K1241" s="99" t="s">
        <v>1969</v>
      </c>
      <c r="L1241" s="101">
        <v>40162</v>
      </c>
      <c r="M1241" s="104">
        <f>IF(Main[[#This Row],[Tech Start Date]]&lt;1/1/1990,"",IF(Main[[#This Row],[Class]]="C",WORKDAY(Main[[#This Row],[Tech Start Date]],9),IF(Main[[#This Row],[Class]]="B", WORKDAY(Main[[#This Row],[Tech Start Date]],6),IF(Main[[#This Row],[Class]]="A",WORKDAY(Main[[#This Row],[Tech Start Date]],2),""))))</f>
        <v>40170</v>
      </c>
      <c r="N1241" s="104">
        <f>IF(Main[[#This Row],[Tech Start Date]]&lt;1/1/1990,"",IF(Main[[#This Row],[Class]]="C",WORKDAY(Main[[#This Row],[Tech Start Date]],19),IF(Main[[#This Row],[Class]]="B", WORKDAY(Main[[#This Row],[Tech Start Date]],12),IF(Main[[#This Row],[Class]]="A",WORKDAY(Main[[#This Row],[Tech Start Date]],4),""))))</f>
        <v>40178</v>
      </c>
      <c r="O1241" s="104">
        <f>IF(Main[[#This Row],[Tech Start Date]]&lt;1/1/1990,"",IF(Main[[#This Row],[Class]]="C",WORKDAY(Main[[#This Row],[Tech Start Date]],23),IF(Main[[#This Row],[Class]]="B", WORKDAY(Main[[#This Row],[Tech Start Date]],15),IF(Main[[#This Row],[Class]]="A",WORKDAY(Main[[#This Row],[Tech Start Date]],5),""))))</f>
        <v>40183</v>
      </c>
      <c r="P1241" s="104">
        <f>IF(Main[[#This Row],[Tech Start Date]]&lt;1/1/1990,"",IF(Main[[#This Row],[Class]]="C",WORKDAY(Main[[#This Row],[Tech Start Date]],28),IF(Main[[#This Row],[Class]]="B", WORKDAY(Main[[#This Row],[Tech Start Date]],19),IF(Main[[#This Row],[Class]]="A",WORKDAY(Main[[#This Row],[Tech Start Date]],9),""))))</f>
        <v>40189</v>
      </c>
      <c r="Q1241" s="101">
        <v>40531</v>
      </c>
      <c r="R1241" s="101">
        <v>40531</v>
      </c>
      <c r="S1241" s="99" t="s">
        <v>11</v>
      </c>
      <c r="T1241" s="107" t="s">
        <v>4</v>
      </c>
      <c r="U1241" s="99" t="s">
        <v>14</v>
      </c>
      <c r="V1241" s="99" t="s">
        <v>1965</v>
      </c>
      <c r="W1241" s="99" t="s">
        <v>1970</v>
      </c>
    </row>
    <row r="1242" spans="1:23" ht="18.600000000000001" customHeight="1">
      <c r="A1242" s="123" t="str">
        <f>IF(priority(Main[[#This Row],[Comments]])&lt;&gt;0, priority(Main[[#This Row],[Comments]]),"")</f>
        <v/>
      </c>
      <c r="B1242" s="127" t="s">
        <v>1849</v>
      </c>
      <c r="C1242" s="99" t="s">
        <v>31</v>
      </c>
      <c r="D1242" s="100" t="s">
        <v>870</v>
      </c>
      <c r="E1242" s="101"/>
      <c r="F1242" s="101">
        <v>40192</v>
      </c>
      <c r="G1242" s="102" t="str">
        <f>IF(stdProdLT(Main[[#This Row],[Comments]])=0.1,"N/A",IF(stdProdLT(Main[[#This Row],[Comments]])=0,"",stdProdLT(Main[[#This Row],[Comments]])))</f>
        <v/>
      </c>
      <c r="H1242" s="103">
        <f>IF(AND(Main[[#This Row],[In Stock Date]]&lt;&gt;"",Main[[#This Row],[Revised Due Date]]&lt;&gt;""),Main[[#This Row],[In Stock Date]]-Main[[#This Row],[Revised Due Date]],"")</f>
        <v>0</v>
      </c>
      <c r="I1242" s="99" t="s">
        <v>778</v>
      </c>
      <c r="J1242" s="99" t="s">
        <v>4</v>
      </c>
      <c r="K1242" s="99" t="s">
        <v>4</v>
      </c>
      <c r="L1242" s="101">
        <v>40163</v>
      </c>
      <c r="M1242" s="104" t="str">
        <f>IF(Main[[#This Row],[Tech Start Date]]&lt;1/1/1990,"",IF(Main[[#This Row],[Class]]="C",WORKDAY(Main[[#This Row],[Tech Start Date]],9),IF(Main[[#This Row],[Class]]="B", WORKDAY(Main[[#This Row],[Tech Start Date]],6),IF(Main[[#This Row],[Class]]="A",WORKDAY(Main[[#This Row],[Tech Start Date]],2),""))))</f>
        <v/>
      </c>
      <c r="N1242" s="104" t="str">
        <f>IF(Main[[#This Row],[Tech Start Date]]&lt;1/1/1990,"",IF(Main[[#This Row],[Class]]="C",WORKDAY(Main[[#This Row],[Tech Start Date]],19),IF(Main[[#This Row],[Class]]="B", WORKDAY(Main[[#This Row],[Tech Start Date]],12),IF(Main[[#This Row],[Class]]="A",WORKDAY(Main[[#This Row],[Tech Start Date]],4),""))))</f>
        <v/>
      </c>
      <c r="O1242" s="104" t="str">
        <f>IF(Main[[#This Row],[Tech Start Date]]&lt;1/1/1990,"",IF(Main[[#This Row],[Class]]="C",WORKDAY(Main[[#This Row],[Tech Start Date]],23),IF(Main[[#This Row],[Class]]="B", WORKDAY(Main[[#This Row],[Tech Start Date]],15),IF(Main[[#This Row],[Class]]="A",WORKDAY(Main[[#This Row],[Tech Start Date]],5),""))))</f>
        <v/>
      </c>
      <c r="P1242" s="104" t="str">
        <f>IF(Main[[#This Row],[Tech Start Date]]&lt;1/1/1990,"",IF(Main[[#This Row],[Class]]="C",WORKDAY(Main[[#This Row],[Tech Start Date]],28),IF(Main[[#This Row],[Class]]="B", WORKDAY(Main[[#This Row],[Tech Start Date]],19),IF(Main[[#This Row],[Class]]="A",WORKDAY(Main[[#This Row],[Tech Start Date]],9),""))))</f>
        <v/>
      </c>
      <c r="Q1242" s="101">
        <v>40226</v>
      </c>
      <c r="R1242" s="101">
        <v>40192</v>
      </c>
      <c r="S1242" s="99" t="s">
        <v>11</v>
      </c>
      <c r="T1242" s="107" t="s">
        <v>4</v>
      </c>
      <c r="U1242" s="99" t="s">
        <v>14</v>
      </c>
      <c r="V1242" s="99" t="s">
        <v>1972</v>
      </c>
      <c r="W1242" s="99" t="s">
        <v>1968</v>
      </c>
    </row>
    <row r="1243" spans="1:23" ht="18.600000000000001" customHeight="1">
      <c r="A1243" s="123" t="str">
        <f>IF(priority(Main[[#This Row],[Comments]])&lt;&gt;0, priority(Main[[#This Row],[Comments]]),"")</f>
        <v/>
      </c>
      <c r="B1243" s="127" t="s">
        <v>1848</v>
      </c>
      <c r="C1243" s="99" t="s">
        <v>31</v>
      </c>
      <c r="D1243" s="100" t="s">
        <v>869</v>
      </c>
      <c r="E1243" s="101"/>
      <c r="F1243" s="101">
        <v>40192</v>
      </c>
      <c r="G1243" s="102" t="str">
        <f>IF(stdProdLT(Main[[#This Row],[Comments]])=0.1,"N/A",IF(stdProdLT(Main[[#This Row],[Comments]])=0,"",stdProdLT(Main[[#This Row],[Comments]])))</f>
        <v/>
      </c>
      <c r="H1243" s="103">
        <f>IF(AND(Main[[#This Row],[In Stock Date]]&lt;&gt;"",Main[[#This Row],[Revised Due Date]]&lt;&gt;""),Main[[#This Row],[In Stock Date]]-Main[[#This Row],[Revised Due Date]],"")</f>
        <v>0</v>
      </c>
      <c r="I1243" s="99" t="s">
        <v>778</v>
      </c>
      <c r="J1243" s="99" t="s">
        <v>4</v>
      </c>
      <c r="K1243" s="108" t="s">
        <v>4</v>
      </c>
      <c r="L1243" s="101">
        <v>40163</v>
      </c>
      <c r="M1243" s="104" t="str">
        <f>IF(Main[[#This Row],[Tech Start Date]]&lt;1/1/1990,"",IF(Main[[#This Row],[Class]]="C",WORKDAY(Main[[#This Row],[Tech Start Date]],9),IF(Main[[#This Row],[Class]]="B", WORKDAY(Main[[#This Row],[Tech Start Date]],6),IF(Main[[#This Row],[Class]]="A",WORKDAY(Main[[#This Row],[Tech Start Date]],2),""))))</f>
        <v/>
      </c>
      <c r="N1243" s="104" t="str">
        <f>IF(Main[[#This Row],[Tech Start Date]]&lt;1/1/1990,"",IF(Main[[#This Row],[Class]]="C",WORKDAY(Main[[#This Row],[Tech Start Date]],19),IF(Main[[#This Row],[Class]]="B", WORKDAY(Main[[#This Row],[Tech Start Date]],12),IF(Main[[#This Row],[Class]]="A",WORKDAY(Main[[#This Row],[Tech Start Date]],4),""))))</f>
        <v/>
      </c>
      <c r="O1243" s="104" t="str">
        <f>IF(Main[[#This Row],[Tech Start Date]]&lt;1/1/1990,"",IF(Main[[#This Row],[Class]]="C",WORKDAY(Main[[#This Row],[Tech Start Date]],23),IF(Main[[#This Row],[Class]]="B", WORKDAY(Main[[#This Row],[Tech Start Date]],15),IF(Main[[#This Row],[Class]]="A",WORKDAY(Main[[#This Row],[Tech Start Date]],5),""))))</f>
        <v/>
      </c>
      <c r="P1243" s="104" t="str">
        <f>IF(Main[[#This Row],[Tech Start Date]]&lt;1/1/1990,"",IF(Main[[#This Row],[Class]]="C",WORKDAY(Main[[#This Row],[Tech Start Date]],28),IF(Main[[#This Row],[Class]]="B", WORKDAY(Main[[#This Row],[Tech Start Date]],19),IF(Main[[#This Row],[Class]]="A",WORKDAY(Main[[#This Row],[Tech Start Date]],9),""))))</f>
        <v/>
      </c>
      <c r="Q1243" s="101">
        <v>40226</v>
      </c>
      <c r="R1243" s="101">
        <v>40192</v>
      </c>
      <c r="S1243" s="99" t="s">
        <v>11</v>
      </c>
      <c r="T1243" s="107" t="s">
        <v>4</v>
      </c>
      <c r="U1243" s="99" t="s">
        <v>14</v>
      </c>
      <c r="V1243" s="99" t="s">
        <v>1972</v>
      </c>
      <c r="W1243" s="99" t="s">
        <v>1968</v>
      </c>
    </row>
    <row r="1244" spans="1:23" ht="18.600000000000001" customHeight="1">
      <c r="A1244" s="123" t="str">
        <f>IF(priority(Main[[#This Row],[Comments]])&lt;&gt;0, priority(Main[[#This Row],[Comments]]),"")</f>
        <v/>
      </c>
      <c r="B1244" s="127" t="s">
        <v>1851</v>
      </c>
      <c r="C1244" s="99" t="s">
        <v>873</v>
      </c>
      <c r="D1244" s="100" t="s">
        <v>874</v>
      </c>
      <c r="E1244" s="101"/>
      <c r="F1244" s="101">
        <v>40305</v>
      </c>
      <c r="G1244" s="102" t="str">
        <f>IF(stdProdLT(Main[[#This Row],[Comments]])=0.1,"N/A",IF(stdProdLT(Main[[#This Row],[Comments]])=0,"",stdProdLT(Main[[#This Row],[Comments]])))</f>
        <v/>
      </c>
      <c r="H1244" s="103">
        <f>IF(AND(Main[[#This Row],[In Stock Date]]&lt;&gt;"",Main[[#This Row],[Revised Due Date]]&lt;&gt;""),Main[[#This Row],[In Stock Date]]-Main[[#This Row],[Revised Due Date]],"")</f>
        <v>80</v>
      </c>
      <c r="I1244" s="99" t="s">
        <v>778</v>
      </c>
      <c r="J1244" s="99" t="s">
        <v>4</v>
      </c>
      <c r="K1244" s="108" t="s">
        <v>4</v>
      </c>
      <c r="L1244" s="101">
        <v>40192</v>
      </c>
      <c r="M1244" s="104" t="str">
        <f>IF(Main[[#This Row],[Tech Start Date]]&lt;1/1/1990,"",IF(Main[[#This Row],[Class]]="C",WORKDAY(Main[[#This Row],[Tech Start Date]],9),IF(Main[[#This Row],[Class]]="B", WORKDAY(Main[[#This Row],[Tech Start Date]],6),IF(Main[[#This Row],[Class]]="A",WORKDAY(Main[[#This Row],[Tech Start Date]],2),""))))</f>
        <v/>
      </c>
      <c r="N1244" s="104" t="str">
        <f>IF(Main[[#This Row],[Tech Start Date]]&lt;1/1/1990,"",IF(Main[[#This Row],[Class]]="C",WORKDAY(Main[[#This Row],[Tech Start Date]],19),IF(Main[[#This Row],[Class]]="B", WORKDAY(Main[[#This Row],[Tech Start Date]],12),IF(Main[[#This Row],[Class]]="A",WORKDAY(Main[[#This Row],[Tech Start Date]],4),""))))</f>
        <v/>
      </c>
      <c r="O1244" s="104" t="str">
        <f>IF(Main[[#This Row],[Tech Start Date]]&lt;1/1/1990,"",IF(Main[[#This Row],[Class]]="C",WORKDAY(Main[[#This Row],[Tech Start Date]],23),IF(Main[[#This Row],[Class]]="B", WORKDAY(Main[[#This Row],[Tech Start Date]],15),IF(Main[[#This Row],[Class]]="A",WORKDAY(Main[[#This Row],[Tech Start Date]],5),""))))</f>
        <v/>
      </c>
      <c r="P1244" s="104" t="str">
        <f>IF(Main[[#This Row],[Tech Start Date]]&lt;1/1/1990,"",IF(Main[[#This Row],[Class]]="C",WORKDAY(Main[[#This Row],[Tech Start Date]],28),IF(Main[[#This Row],[Class]]="B", WORKDAY(Main[[#This Row],[Tech Start Date]],19),IF(Main[[#This Row],[Class]]="A",WORKDAY(Main[[#This Row],[Tech Start Date]],9),""))))</f>
        <v/>
      </c>
      <c r="Q1244" s="101">
        <v>40178</v>
      </c>
      <c r="R1244" s="101">
        <v>40225</v>
      </c>
      <c r="S1244" s="99" t="s">
        <v>11</v>
      </c>
      <c r="T1244" s="107" t="s">
        <v>4</v>
      </c>
      <c r="U1244" s="99" t="s">
        <v>14</v>
      </c>
      <c r="V1244" s="99" t="s">
        <v>1965</v>
      </c>
      <c r="W1244" s="99" t="s">
        <v>1970</v>
      </c>
    </row>
    <row r="1245" spans="1:23" ht="18.600000000000001" customHeight="1">
      <c r="A1245" s="123" t="str">
        <f>IF(priority(Main[[#This Row],[Comments]])&lt;&gt;0, priority(Main[[#This Row],[Comments]]),"")</f>
        <v/>
      </c>
      <c r="B1245" s="127" t="s">
        <v>1850</v>
      </c>
      <c r="C1245" s="99" t="s">
        <v>871</v>
      </c>
      <c r="D1245" s="100" t="s">
        <v>872</v>
      </c>
      <c r="E1245" s="101"/>
      <c r="F1245" s="101">
        <v>40305</v>
      </c>
      <c r="G1245" s="102" t="str">
        <f>IF(stdProdLT(Main[[#This Row],[Comments]])=0.1,"N/A",IF(stdProdLT(Main[[#This Row],[Comments]])=0,"",stdProdLT(Main[[#This Row],[Comments]])))</f>
        <v/>
      </c>
      <c r="H1245" s="103">
        <f>IF(AND(Main[[#This Row],[In Stock Date]]&lt;&gt;"",Main[[#This Row],[Revised Due Date]]&lt;&gt;""),Main[[#This Row],[In Stock Date]]-Main[[#This Row],[Revised Due Date]],"")</f>
        <v>81</v>
      </c>
      <c r="I1245" s="99" t="s">
        <v>44</v>
      </c>
      <c r="J1245" s="99" t="s">
        <v>4</v>
      </c>
      <c r="K1245" s="108" t="s">
        <v>4</v>
      </c>
      <c r="L1245" s="101">
        <v>40192</v>
      </c>
      <c r="M1245" s="104" t="str">
        <f>IF(Main[[#This Row],[Tech Start Date]]&lt;1/1/1990,"",IF(Main[[#This Row],[Class]]="C",WORKDAY(Main[[#This Row],[Tech Start Date]],9),IF(Main[[#This Row],[Class]]="B", WORKDAY(Main[[#This Row],[Tech Start Date]],6),IF(Main[[#This Row],[Class]]="A",WORKDAY(Main[[#This Row],[Tech Start Date]],2),""))))</f>
        <v/>
      </c>
      <c r="N1245" s="104" t="str">
        <f>IF(Main[[#This Row],[Tech Start Date]]&lt;1/1/1990,"",IF(Main[[#This Row],[Class]]="C",WORKDAY(Main[[#This Row],[Tech Start Date]],19),IF(Main[[#This Row],[Class]]="B", WORKDAY(Main[[#This Row],[Tech Start Date]],12),IF(Main[[#This Row],[Class]]="A",WORKDAY(Main[[#This Row],[Tech Start Date]],4),""))))</f>
        <v/>
      </c>
      <c r="O1245" s="104" t="str">
        <f>IF(Main[[#This Row],[Tech Start Date]]&lt;1/1/1990,"",IF(Main[[#This Row],[Class]]="C",WORKDAY(Main[[#This Row],[Tech Start Date]],23),IF(Main[[#This Row],[Class]]="B", WORKDAY(Main[[#This Row],[Tech Start Date]],15),IF(Main[[#This Row],[Class]]="A",WORKDAY(Main[[#This Row],[Tech Start Date]],5),""))))</f>
        <v/>
      </c>
      <c r="P1245" s="104" t="str">
        <f>IF(Main[[#This Row],[Tech Start Date]]&lt;1/1/1990,"",IF(Main[[#This Row],[Class]]="C",WORKDAY(Main[[#This Row],[Tech Start Date]],28),IF(Main[[#This Row],[Class]]="B", WORKDAY(Main[[#This Row],[Tech Start Date]],19),IF(Main[[#This Row],[Class]]="A",WORKDAY(Main[[#This Row],[Tech Start Date]],9),""))))</f>
        <v/>
      </c>
      <c r="Q1245" s="101">
        <v>40178</v>
      </c>
      <c r="R1245" s="101">
        <v>40224</v>
      </c>
      <c r="S1245" s="99" t="s">
        <v>11</v>
      </c>
      <c r="T1245" s="107" t="s">
        <v>4</v>
      </c>
      <c r="U1245" s="99" t="s">
        <v>14</v>
      </c>
      <c r="V1245" s="99" t="s">
        <v>1965</v>
      </c>
      <c r="W1245" s="99" t="s">
        <v>1970</v>
      </c>
    </row>
    <row r="1246" spans="1:23" ht="18.600000000000001" customHeight="1">
      <c r="A1246" s="123" t="str">
        <f>IF(priority(Main[[#This Row],[Comments]])&lt;&gt;0, priority(Main[[#This Row],[Comments]]),"")</f>
        <v/>
      </c>
      <c r="B1246" s="127" t="s">
        <v>1853</v>
      </c>
      <c r="C1246" s="99" t="s">
        <v>4</v>
      </c>
      <c r="D1246" s="100" t="s">
        <v>876</v>
      </c>
      <c r="E1246" s="101"/>
      <c r="F1246" s="101"/>
      <c r="G1246" s="102" t="str">
        <f>IF(stdProdLT(Main[[#This Row],[Comments]])=0.1,"N/A",IF(stdProdLT(Main[[#This Row],[Comments]])=0,"",stdProdLT(Main[[#This Row],[Comments]])))</f>
        <v/>
      </c>
      <c r="H1246" s="103" t="str">
        <f>IF(AND(Main[[#This Row],[In Stock Date]]&lt;&gt;"",Main[[#This Row],[Revised Due Date]]&lt;&gt;""),Main[[#This Row],[In Stock Date]]-Main[[#This Row],[Revised Due Date]],"")</f>
        <v/>
      </c>
      <c r="I1246" s="99" t="s">
        <v>30</v>
      </c>
      <c r="J1246" s="99" t="s">
        <v>28</v>
      </c>
      <c r="K1246" s="99" t="s">
        <v>1969</v>
      </c>
      <c r="L1246" s="101">
        <v>40231</v>
      </c>
      <c r="M1246" s="104">
        <f>IF(Main[[#This Row],[Tech Start Date]]&lt;1/1/1990,"",IF(Main[[#This Row],[Class]]="C",WORKDAY(Main[[#This Row],[Tech Start Date]],9),IF(Main[[#This Row],[Class]]="B", WORKDAY(Main[[#This Row],[Tech Start Date]],6),IF(Main[[#This Row],[Class]]="A",WORKDAY(Main[[#This Row],[Tech Start Date]],2),""))))</f>
        <v>40239</v>
      </c>
      <c r="N1246" s="104">
        <f>IF(Main[[#This Row],[Tech Start Date]]&lt;1/1/1990,"",IF(Main[[#This Row],[Class]]="C",WORKDAY(Main[[#This Row],[Tech Start Date]],19),IF(Main[[#This Row],[Class]]="B", WORKDAY(Main[[#This Row],[Tech Start Date]],12),IF(Main[[#This Row],[Class]]="A",WORKDAY(Main[[#This Row],[Tech Start Date]],4),""))))</f>
        <v>40247</v>
      </c>
      <c r="O1246" s="104">
        <f>IF(Main[[#This Row],[Tech Start Date]]&lt;1/1/1990,"",IF(Main[[#This Row],[Class]]="C",WORKDAY(Main[[#This Row],[Tech Start Date]],23),IF(Main[[#This Row],[Class]]="B", WORKDAY(Main[[#This Row],[Tech Start Date]],15),IF(Main[[#This Row],[Class]]="A",WORKDAY(Main[[#This Row],[Tech Start Date]],5),""))))</f>
        <v>40252</v>
      </c>
      <c r="P1246" s="104">
        <f>IF(Main[[#This Row],[Tech Start Date]]&lt;1/1/1990,"",IF(Main[[#This Row],[Class]]="C",WORKDAY(Main[[#This Row],[Tech Start Date]],28),IF(Main[[#This Row],[Class]]="B", WORKDAY(Main[[#This Row],[Tech Start Date]],19),IF(Main[[#This Row],[Class]]="A",WORKDAY(Main[[#This Row],[Tech Start Date]],9),""))))</f>
        <v>40256</v>
      </c>
      <c r="Q1246" s="101">
        <v>40269</v>
      </c>
      <c r="R1246" s="101">
        <v>40246</v>
      </c>
      <c r="S1246" s="99" t="s">
        <v>6</v>
      </c>
      <c r="T1246" s="107" t="s">
        <v>4</v>
      </c>
      <c r="U1246" s="99" t="s">
        <v>14</v>
      </c>
      <c r="V1246" s="99" t="s">
        <v>1965</v>
      </c>
      <c r="W1246" s="99" t="s">
        <v>1964</v>
      </c>
    </row>
    <row r="1247" spans="1:23" ht="18.600000000000001" customHeight="1">
      <c r="A1247" s="123" t="str">
        <f>IF(priority(Main[[#This Row],[Comments]])&lt;&gt;0, priority(Main[[#This Row],[Comments]]),"")</f>
        <v/>
      </c>
      <c r="B1247" s="127" t="s">
        <v>1995</v>
      </c>
      <c r="C1247" s="99" t="s">
        <v>878</v>
      </c>
      <c r="D1247" s="100" t="s">
        <v>879</v>
      </c>
      <c r="E1247" s="101"/>
      <c r="F1247" s="101"/>
      <c r="G1247" s="102" t="str">
        <f>IF(stdProdLT(Main[[#This Row],[Comments]])=0.1,"N/A",IF(stdProdLT(Main[[#This Row],[Comments]])=0,"",stdProdLT(Main[[#This Row],[Comments]])))</f>
        <v/>
      </c>
      <c r="H1247" s="103" t="str">
        <f>IF(AND(Main[[#This Row],[In Stock Date]]&lt;&gt;"",Main[[#This Row],[Revised Due Date]]&lt;&gt;""),Main[[#This Row],[In Stock Date]]-Main[[#This Row],[Revised Due Date]],"")</f>
        <v/>
      </c>
      <c r="I1247" s="99" t="s">
        <v>778</v>
      </c>
      <c r="J1247" s="99" t="s">
        <v>4</v>
      </c>
      <c r="K1247" s="99" t="s">
        <v>1974</v>
      </c>
      <c r="L1247" s="101">
        <v>40231</v>
      </c>
      <c r="M1247" s="104" t="str">
        <f>IF(Main[[#This Row],[Tech Start Date]]&lt;1/1/1990,"",IF(Main[[#This Row],[Class]]="C",WORKDAY(Main[[#This Row],[Tech Start Date]],9),IF(Main[[#This Row],[Class]]="B", WORKDAY(Main[[#This Row],[Tech Start Date]],6),IF(Main[[#This Row],[Class]]="A",WORKDAY(Main[[#This Row],[Tech Start Date]],2),""))))</f>
        <v/>
      </c>
      <c r="N1247" s="104" t="str">
        <f>IF(Main[[#This Row],[Tech Start Date]]&lt;1/1/1990,"",IF(Main[[#This Row],[Class]]="C",WORKDAY(Main[[#This Row],[Tech Start Date]],19),IF(Main[[#This Row],[Class]]="B", WORKDAY(Main[[#This Row],[Tech Start Date]],12),IF(Main[[#This Row],[Class]]="A",WORKDAY(Main[[#This Row],[Tech Start Date]],4),""))))</f>
        <v/>
      </c>
      <c r="O1247" s="104" t="str">
        <f>IF(Main[[#This Row],[Tech Start Date]]&lt;1/1/1990,"",IF(Main[[#This Row],[Class]]="C",WORKDAY(Main[[#This Row],[Tech Start Date]],23),IF(Main[[#This Row],[Class]]="B", WORKDAY(Main[[#This Row],[Tech Start Date]],15),IF(Main[[#This Row],[Class]]="A",WORKDAY(Main[[#This Row],[Tech Start Date]],5),""))))</f>
        <v/>
      </c>
      <c r="P1247" s="104" t="str">
        <f>IF(Main[[#This Row],[Tech Start Date]]&lt;1/1/1990,"",IF(Main[[#This Row],[Class]]="C",WORKDAY(Main[[#This Row],[Tech Start Date]],28),IF(Main[[#This Row],[Class]]="B", WORKDAY(Main[[#This Row],[Tech Start Date]],19),IF(Main[[#This Row],[Class]]="A",WORKDAY(Main[[#This Row],[Tech Start Date]],9),""))))</f>
        <v/>
      </c>
      <c r="Q1247" s="101">
        <v>40268</v>
      </c>
      <c r="R1247" s="101">
        <v>40268</v>
      </c>
      <c r="S1247" s="99" t="s">
        <v>17</v>
      </c>
      <c r="T1247" s="107" t="s">
        <v>4</v>
      </c>
      <c r="U1247" s="99" t="s">
        <v>14</v>
      </c>
      <c r="V1247" s="99" t="s">
        <v>1965</v>
      </c>
      <c r="W1247" s="99" t="s">
        <v>1967</v>
      </c>
    </row>
    <row r="1248" spans="1:23" ht="18.600000000000001" customHeight="1">
      <c r="A1248" s="123" t="str">
        <f>IF(priority(Main[[#This Row],[Comments]])&lt;&gt;0, priority(Main[[#This Row],[Comments]]),"")</f>
        <v/>
      </c>
      <c r="B1248" s="127" t="s">
        <v>1861</v>
      </c>
      <c r="C1248" s="99" t="s">
        <v>47</v>
      </c>
      <c r="D1248" s="100" t="s">
        <v>887</v>
      </c>
      <c r="E1248" s="101">
        <v>40220.456550925926</v>
      </c>
      <c r="F1248" s="101"/>
      <c r="G1248" s="102" t="str">
        <f>IF(stdProdLT(Main[[#This Row],[Comments]])=0.1,"N/A",IF(stdProdLT(Main[[#This Row],[Comments]])=0,"",stdProdLT(Main[[#This Row],[Comments]])))</f>
        <v/>
      </c>
      <c r="H1248" s="103" t="str">
        <f>IF(AND(Main[[#This Row],[In Stock Date]]&lt;&gt;"",Main[[#This Row],[Revised Due Date]]&lt;&gt;""),Main[[#This Row],[In Stock Date]]-Main[[#This Row],[Revised Due Date]],"")</f>
        <v/>
      </c>
      <c r="I1248" s="99" t="s">
        <v>81</v>
      </c>
      <c r="J1248" s="99" t="s">
        <v>52</v>
      </c>
      <c r="K1248" s="99" t="s">
        <v>1974</v>
      </c>
      <c r="L1248" s="101">
        <v>40231</v>
      </c>
      <c r="M1248" s="104" t="str">
        <f>IF(Main[[#This Row],[Tech Start Date]]&lt;1/1/1990,"",IF(Main[[#This Row],[Class]]="C",WORKDAY(Main[[#This Row],[Tech Start Date]],9),IF(Main[[#This Row],[Class]]="B", WORKDAY(Main[[#This Row],[Tech Start Date]],6),IF(Main[[#This Row],[Class]]="A",WORKDAY(Main[[#This Row],[Tech Start Date]],2),""))))</f>
        <v/>
      </c>
      <c r="N1248" s="104" t="str">
        <f>IF(Main[[#This Row],[Tech Start Date]]&lt;1/1/1990,"",IF(Main[[#This Row],[Class]]="C",WORKDAY(Main[[#This Row],[Tech Start Date]],19),IF(Main[[#This Row],[Class]]="B", WORKDAY(Main[[#This Row],[Tech Start Date]],12),IF(Main[[#This Row],[Class]]="A",WORKDAY(Main[[#This Row],[Tech Start Date]],4),""))))</f>
        <v/>
      </c>
      <c r="O1248" s="104" t="str">
        <f>IF(Main[[#This Row],[Tech Start Date]]&lt;1/1/1990,"",IF(Main[[#This Row],[Class]]="C",WORKDAY(Main[[#This Row],[Tech Start Date]],23),IF(Main[[#This Row],[Class]]="B", WORKDAY(Main[[#This Row],[Tech Start Date]],15),IF(Main[[#This Row],[Class]]="A",WORKDAY(Main[[#This Row],[Tech Start Date]],5),""))))</f>
        <v/>
      </c>
      <c r="P1248" s="104" t="str">
        <f>IF(Main[[#This Row],[Tech Start Date]]&lt;1/1/1990,"",IF(Main[[#This Row],[Class]]="C",WORKDAY(Main[[#This Row],[Tech Start Date]],28),IF(Main[[#This Row],[Class]]="B", WORKDAY(Main[[#This Row],[Tech Start Date]],19),IF(Main[[#This Row],[Class]]="A",WORKDAY(Main[[#This Row],[Tech Start Date]],9),""))))</f>
        <v/>
      </c>
      <c r="Q1248" s="101">
        <v>40255</v>
      </c>
      <c r="R1248" s="101">
        <v>40310</v>
      </c>
      <c r="S1248" s="99" t="s">
        <v>17</v>
      </c>
      <c r="T1248" s="107" t="s">
        <v>4</v>
      </c>
      <c r="U1248" s="99" t="s">
        <v>29</v>
      </c>
      <c r="V1248" s="99" t="s">
        <v>1972</v>
      </c>
      <c r="W1248" s="99" t="s">
        <v>1964</v>
      </c>
    </row>
    <row r="1249" spans="1:23" ht="18.600000000000001" customHeight="1">
      <c r="A1249" s="123" t="str">
        <f>IF(priority(Main[[#This Row],[Comments]])&lt;&gt;0, priority(Main[[#This Row],[Comments]]),"")</f>
        <v/>
      </c>
      <c r="B1249" s="127" t="s">
        <v>1856</v>
      </c>
      <c r="C1249" s="99" t="s">
        <v>47</v>
      </c>
      <c r="D1249" s="100" t="s">
        <v>881</v>
      </c>
      <c r="E1249" s="101"/>
      <c r="F1249" s="101"/>
      <c r="G1249" s="102" t="str">
        <f>IF(stdProdLT(Main[[#This Row],[Comments]])=0.1,"N/A",IF(stdProdLT(Main[[#This Row],[Comments]])=0,"",stdProdLT(Main[[#This Row],[Comments]])))</f>
        <v/>
      </c>
      <c r="H1249" s="103" t="str">
        <f>IF(AND(Main[[#This Row],[In Stock Date]]&lt;&gt;"",Main[[#This Row],[Revised Due Date]]&lt;&gt;""),Main[[#This Row],[In Stock Date]]-Main[[#This Row],[Revised Due Date]],"")</f>
        <v/>
      </c>
      <c r="I1249" s="99" t="s">
        <v>437</v>
      </c>
      <c r="J1249" s="99" t="s">
        <v>4</v>
      </c>
      <c r="K1249" s="99" t="s">
        <v>1974</v>
      </c>
      <c r="L1249" s="101">
        <v>40248</v>
      </c>
      <c r="M1249" s="104" t="str">
        <f>IF(Main[[#This Row],[Tech Start Date]]&lt;1/1/1990,"",IF(Main[[#This Row],[Class]]="C",WORKDAY(Main[[#This Row],[Tech Start Date]],9),IF(Main[[#This Row],[Class]]="B", WORKDAY(Main[[#This Row],[Tech Start Date]],6),IF(Main[[#This Row],[Class]]="A",WORKDAY(Main[[#This Row],[Tech Start Date]],2),""))))</f>
        <v/>
      </c>
      <c r="N1249" s="104" t="str">
        <f>IF(Main[[#This Row],[Tech Start Date]]&lt;1/1/1990,"",IF(Main[[#This Row],[Class]]="C",WORKDAY(Main[[#This Row],[Tech Start Date]],19),IF(Main[[#This Row],[Class]]="B", WORKDAY(Main[[#This Row],[Tech Start Date]],12),IF(Main[[#This Row],[Class]]="A",WORKDAY(Main[[#This Row],[Tech Start Date]],4),""))))</f>
        <v/>
      </c>
      <c r="O1249" s="104" t="str">
        <f>IF(Main[[#This Row],[Tech Start Date]]&lt;1/1/1990,"",IF(Main[[#This Row],[Class]]="C",WORKDAY(Main[[#This Row],[Tech Start Date]],23),IF(Main[[#This Row],[Class]]="B", WORKDAY(Main[[#This Row],[Tech Start Date]],15),IF(Main[[#This Row],[Class]]="A",WORKDAY(Main[[#This Row],[Tech Start Date]],5),""))))</f>
        <v/>
      </c>
      <c r="P1249" s="104" t="str">
        <f>IF(Main[[#This Row],[Tech Start Date]]&lt;1/1/1990,"",IF(Main[[#This Row],[Class]]="C",WORKDAY(Main[[#This Row],[Tech Start Date]],28),IF(Main[[#This Row],[Class]]="B", WORKDAY(Main[[#This Row],[Tech Start Date]],19),IF(Main[[#This Row],[Class]]="A",WORKDAY(Main[[#This Row],[Tech Start Date]],9),""))))</f>
        <v/>
      </c>
      <c r="Q1249" s="101">
        <v>40289</v>
      </c>
      <c r="R1249" s="101">
        <v>40289</v>
      </c>
      <c r="S1249" s="99" t="s">
        <v>17</v>
      </c>
      <c r="T1249" s="107" t="s">
        <v>4</v>
      </c>
      <c r="U1249" s="99" t="s">
        <v>14</v>
      </c>
      <c r="V1249" s="99" t="s">
        <v>1965</v>
      </c>
      <c r="W1249" s="99" t="s">
        <v>1968</v>
      </c>
    </row>
    <row r="1250" spans="1:23" ht="18.600000000000001" customHeight="1">
      <c r="A1250" s="123" t="str">
        <f>IF(priority(Main[[#This Row],[Comments]])&lt;&gt;0, priority(Main[[#This Row],[Comments]]),"")</f>
        <v/>
      </c>
      <c r="B1250" s="127" t="s">
        <v>1857</v>
      </c>
      <c r="C1250" s="99" t="s">
        <v>883</v>
      </c>
      <c r="D1250" s="100" t="s">
        <v>884</v>
      </c>
      <c r="E1250" s="101"/>
      <c r="F1250" s="101">
        <v>40299</v>
      </c>
      <c r="G1250" s="102" t="str">
        <f>IF(stdProdLT(Main[[#This Row],[Comments]])=0.1,"N/A",IF(stdProdLT(Main[[#This Row],[Comments]])=0,"",stdProdLT(Main[[#This Row],[Comments]])))</f>
        <v/>
      </c>
      <c r="H1250" s="103">
        <f>IF(AND(Main[[#This Row],[In Stock Date]]&lt;&gt;"",Main[[#This Row],[Revised Due Date]]&lt;&gt;""),Main[[#This Row],[In Stock Date]]-Main[[#This Row],[Revised Due Date]],"")</f>
        <v>8</v>
      </c>
      <c r="I1250" s="99" t="s">
        <v>660</v>
      </c>
      <c r="J1250" s="99" t="s">
        <v>28</v>
      </c>
      <c r="K1250" s="99" t="s">
        <v>1974</v>
      </c>
      <c r="L1250" s="101">
        <v>40266</v>
      </c>
      <c r="M1250" s="104" t="str">
        <f>IF(Main[[#This Row],[Tech Start Date]]&lt;1/1/1990,"",IF(Main[[#This Row],[Class]]="C",WORKDAY(Main[[#This Row],[Tech Start Date]],9),IF(Main[[#This Row],[Class]]="B", WORKDAY(Main[[#This Row],[Tech Start Date]],6),IF(Main[[#This Row],[Class]]="A",WORKDAY(Main[[#This Row],[Tech Start Date]],2),""))))</f>
        <v/>
      </c>
      <c r="N1250" s="104" t="str">
        <f>IF(Main[[#This Row],[Tech Start Date]]&lt;1/1/1990,"",IF(Main[[#This Row],[Class]]="C",WORKDAY(Main[[#This Row],[Tech Start Date]],19),IF(Main[[#This Row],[Class]]="B", WORKDAY(Main[[#This Row],[Tech Start Date]],12),IF(Main[[#This Row],[Class]]="A",WORKDAY(Main[[#This Row],[Tech Start Date]],4),""))))</f>
        <v/>
      </c>
      <c r="O1250" s="104" t="str">
        <f>IF(Main[[#This Row],[Tech Start Date]]&lt;1/1/1990,"",IF(Main[[#This Row],[Class]]="C",WORKDAY(Main[[#This Row],[Tech Start Date]],23),IF(Main[[#This Row],[Class]]="B", WORKDAY(Main[[#This Row],[Tech Start Date]],15),IF(Main[[#This Row],[Class]]="A",WORKDAY(Main[[#This Row],[Tech Start Date]],5),""))))</f>
        <v/>
      </c>
      <c r="P1250" s="104" t="str">
        <f>IF(Main[[#This Row],[Tech Start Date]]&lt;1/1/1990,"",IF(Main[[#This Row],[Class]]="C",WORKDAY(Main[[#This Row],[Tech Start Date]],28),IF(Main[[#This Row],[Class]]="B", WORKDAY(Main[[#This Row],[Tech Start Date]],19),IF(Main[[#This Row],[Class]]="A",WORKDAY(Main[[#This Row],[Tech Start Date]],9),""))))</f>
        <v/>
      </c>
      <c r="Q1250" s="101">
        <v>40299</v>
      </c>
      <c r="R1250" s="101">
        <v>40291</v>
      </c>
      <c r="S1250" s="99" t="s">
        <v>17</v>
      </c>
      <c r="T1250" s="107" t="s">
        <v>4</v>
      </c>
      <c r="U1250" s="99" t="s">
        <v>14</v>
      </c>
      <c r="V1250" s="99" t="s">
        <v>1972</v>
      </c>
      <c r="W1250" s="99" t="s">
        <v>1967</v>
      </c>
    </row>
    <row r="1251" spans="1:23" ht="18.600000000000001" customHeight="1">
      <c r="A1251" s="123" t="str">
        <f>IF(priority(Main[[#This Row],[Comments]])&lt;&gt;0, priority(Main[[#This Row],[Comments]]),"")</f>
        <v/>
      </c>
      <c r="B1251" s="127" t="s">
        <v>1860</v>
      </c>
      <c r="C1251" s="99" t="s">
        <v>4</v>
      </c>
      <c r="D1251" s="100" t="s">
        <v>886</v>
      </c>
      <c r="E1251" s="101"/>
      <c r="F1251" s="101"/>
      <c r="G1251" s="102" t="str">
        <f>IF(stdProdLT(Main[[#This Row],[Comments]])=0.1,"N/A",IF(stdProdLT(Main[[#This Row],[Comments]])=0,"",stdProdLT(Main[[#This Row],[Comments]])))</f>
        <v/>
      </c>
      <c r="H1251" s="103" t="str">
        <f>IF(AND(Main[[#This Row],[In Stock Date]]&lt;&gt;"",Main[[#This Row],[Revised Due Date]]&lt;&gt;""),Main[[#This Row],[In Stock Date]]-Main[[#This Row],[Revised Due Date]],"")</f>
        <v/>
      </c>
      <c r="I1251" s="99" t="s">
        <v>404</v>
      </c>
      <c r="J1251" s="99" t="s">
        <v>75</v>
      </c>
      <c r="K1251" s="99" t="s">
        <v>1971</v>
      </c>
      <c r="L1251" s="101">
        <v>40288</v>
      </c>
      <c r="M1251" s="104">
        <f>IF(Main[[#This Row],[Tech Start Date]]&lt;1/1/1990,"",IF(Main[[#This Row],[Class]]="C",WORKDAY(Main[[#This Row],[Tech Start Date]],9),IF(Main[[#This Row],[Class]]="B", WORKDAY(Main[[#This Row],[Tech Start Date]],6),IF(Main[[#This Row],[Class]]="A",WORKDAY(Main[[#This Row],[Tech Start Date]],2),""))))</f>
        <v>40290</v>
      </c>
      <c r="N1251" s="104">
        <f>IF(Main[[#This Row],[Tech Start Date]]&lt;1/1/1990,"",IF(Main[[#This Row],[Class]]="C",WORKDAY(Main[[#This Row],[Tech Start Date]],19),IF(Main[[#This Row],[Class]]="B", WORKDAY(Main[[#This Row],[Tech Start Date]],12),IF(Main[[#This Row],[Class]]="A",WORKDAY(Main[[#This Row],[Tech Start Date]],4),""))))</f>
        <v>40294</v>
      </c>
      <c r="O1251" s="104">
        <f>IF(Main[[#This Row],[Tech Start Date]]&lt;1/1/1990,"",IF(Main[[#This Row],[Class]]="C",WORKDAY(Main[[#This Row],[Tech Start Date]],23),IF(Main[[#This Row],[Class]]="B", WORKDAY(Main[[#This Row],[Tech Start Date]],15),IF(Main[[#This Row],[Class]]="A",WORKDAY(Main[[#This Row],[Tech Start Date]],5),""))))</f>
        <v>40295</v>
      </c>
      <c r="P1251" s="104">
        <f>IF(Main[[#This Row],[Tech Start Date]]&lt;1/1/1990,"",IF(Main[[#This Row],[Class]]="C",WORKDAY(Main[[#This Row],[Tech Start Date]],28),IF(Main[[#This Row],[Class]]="B", WORKDAY(Main[[#This Row],[Tech Start Date]],19),IF(Main[[#This Row],[Class]]="A",WORKDAY(Main[[#This Row],[Tech Start Date]],9),""))))</f>
        <v>40301</v>
      </c>
      <c r="Q1251" s="101"/>
      <c r="R1251" s="101">
        <v>40309</v>
      </c>
      <c r="S1251" s="99" t="s">
        <v>6</v>
      </c>
      <c r="T1251" s="107" t="s">
        <v>4</v>
      </c>
      <c r="U1251" s="99" t="s">
        <v>14</v>
      </c>
      <c r="V1251" s="99" t="s">
        <v>1965</v>
      </c>
      <c r="W1251" s="99" t="s">
        <v>4</v>
      </c>
    </row>
    <row r="1252" spans="1:23" ht="18.600000000000001" customHeight="1">
      <c r="A1252" s="123" t="str">
        <f>IF(priority(Main[[#This Row],[Comments]])&lt;&gt;0, priority(Main[[#This Row],[Comments]]),"")</f>
        <v/>
      </c>
      <c r="B1252" s="127" t="s">
        <v>1862</v>
      </c>
      <c r="C1252" s="99" t="s">
        <v>4</v>
      </c>
      <c r="D1252" s="100" t="s">
        <v>888</v>
      </c>
      <c r="E1252" s="101"/>
      <c r="F1252" s="101"/>
      <c r="G1252" s="102" t="str">
        <f>IF(stdProdLT(Main[[#This Row],[Comments]])=0.1,"N/A",IF(stdProdLT(Main[[#This Row],[Comments]])=0,"",stdProdLT(Main[[#This Row],[Comments]])))</f>
        <v/>
      </c>
      <c r="H1252" s="103" t="str">
        <f>IF(AND(Main[[#This Row],[In Stock Date]]&lt;&gt;"",Main[[#This Row],[Revised Due Date]]&lt;&gt;""),Main[[#This Row],[In Stock Date]]-Main[[#This Row],[Revised Due Date]],"")</f>
        <v/>
      </c>
      <c r="I1252" s="99" t="s">
        <v>778</v>
      </c>
      <c r="J1252" s="99" t="s">
        <v>4</v>
      </c>
      <c r="K1252" s="108" t="s">
        <v>1969</v>
      </c>
      <c r="L1252" s="101">
        <v>40291</v>
      </c>
      <c r="M1252" s="104">
        <f>IF(Main[[#This Row],[Tech Start Date]]&lt;1/1/1990,"",IF(Main[[#This Row],[Class]]="C",WORKDAY(Main[[#This Row],[Tech Start Date]],9),IF(Main[[#This Row],[Class]]="B", WORKDAY(Main[[#This Row],[Tech Start Date]],6),IF(Main[[#This Row],[Class]]="A",WORKDAY(Main[[#This Row],[Tech Start Date]],2),""))))</f>
        <v>40301</v>
      </c>
      <c r="N1252" s="104">
        <f>IF(Main[[#This Row],[Tech Start Date]]&lt;1/1/1990,"",IF(Main[[#This Row],[Class]]="C",WORKDAY(Main[[#This Row],[Tech Start Date]],19),IF(Main[[#This Row],[Class]]="B", WORKDAY(Main[[#This Row],[Tech Start Date]],12),IF(Main[[#This Row],[Class]]="A",WORKDAY(Main[[#This Row],[Tech Start Date]],4),""))))</f>
        <v>40309</v>
      </c>
      <c r="O1252" s="104">
        <f>IF(Main[[#This Row],[Tech Start Date]]&lt;1/1/1990,"",IF(Main[[#This Row],[Class]]="C",WORKDAY(Main[[#This Row],[Tech Start Date]],23),IF(Main[[#This Row],[Class]]="B", WORKDAY(Main[[#This Row],[Tech Start Date]],15),IF(Main[[#This Row],[Class]]="A",WORKDAY(Main[[#This Row],[Tech Start Date]],5),""))))</f>
        <v>40312</v>
      </c>
      <c r="P1252" s="104">
        <f>IF(Main[[#This Row],[Tech Start Date]]&lt;1/1/1990,"",IF(Main[[#This Row],[Class]]="C",WORKDAY(Main[[#This Row],[Tech Start Date]],28),IF(Main[[#This Row],[Class]]="B", WORKDAY(Main[[#This Row],[Tech Start Date]],19),IF(Main[[#This Row],[Class]]="A",WORKDAY(Main[[#This Row],[Tech Start Date]],9),""))))</f>
        <v>40318</v>
      </c>
      <c r="Q1252" s="101">
        <v>40312</v>
      </c>
      <c r="R1252" s="101">
        <v>40312</v>
      </c>
      <c r="S1252" s="99" t="s">
        <v>6</v>
      </c>
      <c r="T1252" s="107" t="s">
        <v>4</v>
      </c>
      <c r="U1252" s="99" t="s">
        <v>14</v>
      </c>
      <c r="V1252" s="99" t="s">
        <v>1965</v>
      </c>
      <c r="W1252" s="99" t="s">
        <v>4</v>
      </c>
    </row>
    <row r="1253" spans="1:23" ht="18.600000000000001" customHeight="1">
      <c r="A1253" s="123" t="str">
        <f>IF(priority(Main[[#This Row],[Comments]])&lt;&gt;0, priority(Main[[#This Row],[Comments]]),"")</f>
        <v/>
      </c>
      <c r="B1253" s="127" t="s">
        <v>1864</v>
      </c>
      <c r="C1253" s="99" t="s">
        <v>4</v>
      </c>
      <c r="D1253" s="100" t="s">
        <v>2196</v>
      </c>
      <c r="E1253" s="101"/>
      <c r="F1253" s="101"/>
      <c r="G1253" s="102" t="str">
        <f>IF(stdProdLT(Main[[#This Row],[Comments]])=0.1,"N/A",IF(stdProdLT(Main[[#This Row],[Comments]])=0,"",stdProdLT(Main[[#This Row],[Comments]])))</f>
        <v/>
      </c>
      <c r="H1253" s="103" t="str">
        <f>IF(AND(Main[[#This Row],[In Stock Date]]&lt;&gt;"",Main[[#This Row],[Revised Due Date]]&lt;&gt;""),Main[[#This Row],[In Stock Date]]-Main[[#This Row],[Revised Due Date]],"")</f>
        <v/>
      </c>
      <c r="I1253" s="99" t="s">
        <v>536</v>
      </c>
      <c r="J1253" s="99" t="s">
        <v>28</v>
      </c>
      <c r="K1253" s="99" t="s">
        <v>1969</v>
      </c>
      <c r="L1253" s="101">
        <v>40294</v>
      </c>
      <c r="M1253" s="104">
        <f>IF(Main[[#This Row],[Tech Start Date]]&lt;1/1/1990,"",IF(Main[[#This Row],[Class]]="C",WORKDAY(Main[[#This Row],[Tech Start Date]],9),IF(Main[[#This Row],[Class]]="B", WORKDAY(Main[[#This Row],[Tech Start Date]],6),IF(Main[[#This Row],[Class]]="A",WORKDAY(Main[[#This Row],[Tech Start Date]],2),""))))</f>
        <v>40302</v>
      </c>
      <c r="N1253" s="104">
        <f>IF(Main[[#This Row],[Tech Start Date]]&lt;1/1/1990,"",IF(Main[[#This Row],[Class]]="C",WORKDAY(Main[[#This Row],[Tech Start Date]],19),IF(Main[[#This Row],[Class]]="B", WORKDAY(Main[[#This Row],[Tech Start Date]],12),IF(Main[[#This Row],[Class]]="A",WORKDAY(Main[[#This Row],[Tech Start Date]],4),""))))</f>
        <v>40310</v>
      </c>
      <c r="O1253" s="104">
        <f>IF(Main[[#This Row],[Tech Start Date]]&lt;1/1/1990,"",IF(Main[[#This Row],[Class]]="C",WORKDAY(Main[[#This Row],[Tech Start Date]],23),IF(Main[[#This Row],[Class]]="B", WORKDAY(Main[[#This Row],[Tech Start Date]],15),IF(Main[[#This Row],[Class]]="A",WORKDAY(Main[[#This Row],[Tech Start Date]],5),""))))</f>
        <v>40315</v>
      </c>
      <c r="P1253" s="104">
        <f>IF(Main[[#This Row],[Tech Start Date]]&lt;1/1/1990,"",IF(Main[[#This Row],[Class]]="C",WORKDAY(Main[[#This Row],[Tech Start Date]],28),IF(Main[[#This Row],[Class]]="B", WORKDAY(Main[[#This Row],[Tech Start Date]],19),IF(Main[[#This Row],[Class]]="A",WORKDAY(Main[[#This Row],[Tech Start Date]],9),""))))</f>
        <v>40319</v>
      </c>
      <c r="Q1253" s="101">
        <v>40329</v>
      </c>
      <c r="R1253" s="101">
        <v>40326</v>
      </c>
      <c r="S1253" s="99" t="s">
        <v>6</v>
      </c>
      <c r="T1253" s="107" t="s">
        <v>4</v>
      </c>
      <c r="U1253" s="99" t="s">
        <v>14</v>
      </c>
      <c r="V1253" s="99" t="s">
        <v>1965</v>
      </c>
      <c r="W1253" s="99" t="s">
        <v>1966</v>
      </c>
    </row>
    <row r="1254" spans="1:23" ht="18.600000000000001" customHeight="1">
      <c r="A1254" s="123" t="str">
        <f>IF(priority(Main[[#This Row],[Comments]])&lt;&gt;0, priority(Main[[#This Row],[Comments]]),"")</f>
        <v/>
      </c>
      <c r="B1254" s="127" t="s">
        <v>1863</v>
      </c>
      <c r="C1254" s="99" t="s">
        <v>4</v>
      </c>
      <c r="D1254" s="100" t="s">
        <v>889</v>
      </c>
      <c r="E1254" s="101"/>
      <c r="F1254" s="101"/>
      <c r="G1254" s="102" t="str">
        <f>IF(stdProdLT(Main[[#This Row],[Comments]])=0.1,"N/A",IF(stdProdLT(Main[[#This Row],[Comments]])=0,"",stdProdLT(Main[[#This Row],[Comments]])))</f>
        <v/>
      </c>
      <c r="H1254" s="103" t="str">
        <f>IF(AND(Main[[#This Row],[In Stock Date]]&lt;&gt;"",Main[[#This Row],[Revised Due Date]]&lt;&gt;""),Main[[#This Row],[In Stock Date]]-Main[[#This Row],[Revised Due Date]],"")</f>
        <v/>
      </c>
      <c r="I1254" s="99" t="s">
        <v>495</v>
      </c>
      <c r="J1254" s="99" t="s">
        <v>4</v>
      </c>
      <c r="K1254" s="99" t="s">
        <v>1969</v>
      </c>
      <c r="L1254" s="101">
        <v>40295</v>
      </c>
      <c r="M1254" s="104">
        <f>IF(Main[[#This Row],[Tech Start Date]]&lt;1/1/1990,"",IF(Main[[#This Row],[Class]]="C",WORKDAY(Main[[#This Row],[Tech Start Date]],9),IF(Main[[#This Row],[Class]]="B", WORKDAY(Main[[#This Row],[Tech Start Date]],6),IF(Main[[#This Row],[Class]]="A",WORKDAY(Main[[#This Row],[Tech Start Date]],2),""))))</f>
        <v>40303</v>
      </c>
      <c r="N1254" s="104">
        <f>IF(Main[[#This Row],[Tech Start Date]]&lt;1/1/1990,"",IF(Main[[#This Row],[Class]]="C",WORKDAY(Main[[#This Row],[Tech Start Date]],19),IF(Main[[#This Row],[Class]]="B", WORKDAY(Main[[#This Row],[Tech Start Date]],12),IF(Main[[#This Row],[Class]]="A",WORKDAY(Main[[#This Row],[Tech Start Date]],4),""))))</f>
        <v>40311</v>
      </c>
      <c r="O1254" s="104">
        <f>IF(Main[[#This Row],[Tech Start Date]]&lt;1/1/1990,"",IF(Main[[#This Row],[Class]]="C",WORKDAY(Main[[#This Row],[Tech Start Date]],23),IF(Main[[#This Row],[Class]]="B", WORKDAY(Main[[#This Row],[Tech Start Date]],15),IF(Main[[#This Row],[Class]]="A",WORKDAY(Main[[#This Row],[Tech Start Date]],5),""))))</f>
        <v>40316</v>
      </c>
      <c r="P1254" s="104">
        <f>IF(Main[[#This Row],[Tech Start Date]]&lt;1/1/1990,"",IF(Main[[#This Row],[Class]]="C",WORKDAY(Main[[#This Row],[Tech Start Date]],28),IF(Main[[#This Row],[Class]]="B", WORKDAY(Main[[#This Row],[Tech Start Date]],19),IF(Main[[#This Row],[Class]]="A",WORKDAY(Main[[#This Row],[Tech Start Date]],9),""))))</f>
        <v>40322</v>
      </c>
      <c r="Q1254" s="101">
        <v>40329</v>
      </c>
      <c r="R1254" s="101">
        <v>40325</v>
      </c>
      <c r="S1254" s="99" t="s">
        <v>6</v>
      </c>
      <c r="T1254" s="107" t="s">
        <v>4</v>
      </c>
      <c r="U1254" s="99" t="s">
        <v>14</v>
      </c>
      <c r="V1254" s="99" t="s">
        <v>1965</v>
      </c>
      <c r="W1254" s="99" t="s">
        <v>4</v>
      </c>
    </row>
    <row r="1255" spans="1:23" ht="18.600000000000001" customHeight="1">
      <c r="A1255" s="123" t="str">
        <f>IF(priority(Main[[#This Row],[Comments]])&lt;&gt;0, priority(Main[[#This Row],[Comments]]),"")</f>
        <v/>
      </c>
      <c r="B1255" s="127" t="s">
        <v>1914</v>
      </c>
      <c r="C1255" s="99" t="s">
        <v>33</v>
      </c>
      <c r="D1255" s="100" t="s">
        <v>943</v>
      </c>
      <c r="E1255" s="101">
        <v>40314.31863425926</v>
      </c>
      <c r="F1255" s="101">
        <v>40489</v>
      </c>
      <c r="G1255" s="102" t="str">
        <f>IF(stdProdLT(Main[[#This Row],[Comments]])=0.1,"N/A",IF(stdProdLT(Main[[#This Row],[Comments]])=0,"",stdProdLT(Main[[#This Row],[Comments]])))</f>
        <v/>
      </c>
      <c r="H1255" s="103">
        <f>IF(AND(Main[[#This Row],[In Stock Date]]&lt;&gt;"",Main[[#This Row],[Revised Due Date]]&lt;&gt;""),Main[[#This Row],[In Stock Date]]-Main[[#This Row],[Revised Due Date]],"")</f>
        <v>-373</v>
      </c>
      <c r="I1255" s="99" t="s">
        <v>165</v>
      </c>
      <c r="J1255" s="99" t="s">
        <v>4</v>
      </c>
      <c r="K1255" s="99" t="s">
        <v>1974</v>
      </c>
      <c r="L1255" s="101">
        <v>40331</v>
      </c>
      <c r="M1255" s="104" t="str">
        <f>IF(Main[[#This Row],[Tech Start Date]]&lt;1/1/1990,"",IF(Main[[#This Row],[Class]]="C",WORKDAY(Main[[#This Row],[Tech Start Date]],9),IF(Main[[#This Row],[Class]]="B", WORKDAY(Main[[#This Row],[Tech Start Date]],6),IF(Main[[#This Row],[Class]]="A",WORKDAY(Main[[#This Row],[Tech Start Date]],2),""))))</f>
        <v/>
      </c>
      <c r="N1255" s="104" t="str">
        <f>IF(Main[[#This Row],[Tech Start Date]]&lt;1/1/1990,"",IF(Main[[#This Row],[Class]]="C",WORKDAY(Main[[#This Row],[Tech Start Date]],19),IF(Main[[#This Row],[Class]]="B", WORKDAY(Main[[#This Row],[Tech Start Date]],12),IF(Main[[#This Row],[Class]]="A",WORKDAY(Main[[#This Row],[Tech Start Date]],4),""))))</f>
        <v/>
      </c>
      <c r="O1255" s="104" t="str">
        <f>IF(Main[[#This Row],[Tech Start Date]]&lt;1/1/1990,"",IF(Main[[#This Row],[Class]]="C",WORKDAY(Main[[#This Row],[Tech Start Date]],23),IF(Main[[#This Row],[Class]]="B", WORKDAY(Main[[#This Row],[Tech Start Date]],15),IF(Main[[#This Row],[Class]]="A",WORKDAY(Main[[#This Row],[Tech Start Date]],5),""))))</f>
        <v/>
      </c>
      <c r="P1255" s="104" t="str">
        <f>IF(Main[[#This Row],[Tech Start Date]]&lt;1/1/1990,"",IF(Main[[#This Row],[Class]]="C",WORKDAY(Main[[#This Row],[Tech Start Date]],28),IF(Main[[#This Row],[Class]]="B", WORKDAY(Main[[#This Row],[Tech Start Date]],19),IF(Main[[#This Row],[Class]]="A",WORKDAY(Main[[#This Row],[Tech Start Date]],9),""))))</f>
        <v/>
      </c>
      <c r="Q1255" s="101">
        <v>40349</v>
      </c>
      <c r="R1255" s="101">
        <v>40862</v>
      </c>
      <c r="S1255" s="99" t="s">
        <v>17</v>
      </c>
      <c r="T1255" s="107" t="s">
        <v>4</v>
      </c>
      <c r="U1255" s="99" t="s">
        <v>29</v>
      </c>
      <c r="V1255" s="99" t="s">
        <v>1965</v>
      </c>
      <c r="W1255" s="99" t="s">
        <v>1967</v>
      </c>
    </row>
    <row r="1256" spans="1:23" ht="18.600000000000001" customHeight="1">
      <c r="A1256" s="123" t="str">
        <f>IF(priority(Main[[#This Row],[Comments]])&lt;&gt;0, priority(Main[[#This Row],[Comments]]),"")</f>
        <v/>
      </c>
      <c r="B1256" s="127" t="s">
        <v>1873</v>
      </c>
      <c r="C1256" s="99" t="s">
        <v>183</v>
      </c>
      <c r="D1256" s="100" t="s">
        <v>898</v>
      </c>
      <c r="E1256" s="101"/>
      <c r="F1256" s="101">
        <v>40421</v>
      </c>
      <c r="G1256" s="102" t="str">
        <f>IF(stdProdLT(Main[[#This Row],[Comments]])=0.1,"N/A",IF(stdProdLT(Main[[#This Row],[Comments]])=0,"",stdProdLT(Main[[#This Row],[Comments]])))</f>
        <v/>
      </c>
      <c r="H1256" s="103">
        <f>IF(AND(Main[[#This Row],[In Stock Date]]&lt;&gt;"",Main[[#This Row],[Revised Due Date]]&lt;&gt;""),Main[[#This Row],[In Stock Date]]-Main[[#This Row],[Revised Due Date]],"")</f>
        <v>4</v>
      </c>
      <c r="I1256" s="99" t="s">
        <v>899</v>
      </c>
      <c r="J1256" s="99" t="s">
        <v>51</v>
      </c>
      <c r="K1256" s="99" t="s">
        <v>1971</v>
      </c>
      <c r="L1256" s="101">
        <v>40354</v>
      </c>
      <c r="M1256" s="104">
        <f>IF(Main[[#This Row],[Tech Start Date]]&lt;1/1/1990,"",IF(Main[[#This Row],[Class]]="C",WORKDAY(Main[[#This Row],[Tech Start Date]],9),IF(Main[[#This Row],[Class]]="B", WORKDAY(Main[[#This Row],[Tech Start Date]],6),IF(Main[[#This Row],[Class]]="A",WORKDAY(Main[[#This Row],[Tech Start Date]],2),""))))</f>
        <v>40358</v>
      </c>
      <c r="N1256" s="104">
        <f>IF(Main[[#This Row],[Tech Start Date]]&lt;1/1/1990,"",IF(Main[[#This Row],[Class]]="C",WORKDAY(Main[[#This Row],[Tech Start Date]],19),IF(Main[[#This Row],[Class]]="B", WORKDAY(Main[[#This Row],[Tech Start Date]],12),IF(Main[[#This Row],[Class]]="A",WORKDAY(Main[[#This Row],[Tech Start Date]],4),""))))</f>
        <v>40360</v>
      </c>
      <c r="O1256" s="104">
        <f>IF(Main[[#This Row],[Tech Start Date]]&lt;1/1/1990,"",IF(Main[[#This Row],[Class]]="C",WORKDAY(Main[[#This Row],[Tech Start Date]],23),IF(Main[[#This Row],[Class]]="B", WORKDAY(Main[[#This Row],[Tech Start Date]],15),IF(Main[[#This Row],[Class]]="A",WORKDAY(Main[[#This Row],[Tech Start Date]],5),""))))</f>
        <v>40361</v>
      </c>
      <c r="P1256" s="104">
        <f>IF(Main[[#This Row],[Tech Start Date]]&lt;1/1/1990,"",IF(Main[[#This Row],[Class]]="C",WORKDAY(Main[[#This Row],[Tech Start Date]],28),IF(Main[[#This Row],[Class]]="B", WORKDAY(Main[[#This Row],[Tech Start Date]],19),IF(Main[[#This Row],[Class]]="A",WORKDAY(Main[[#This Row],[Tech Start Date]],9),""))))</f>
        <v>40367</v>
      </c>
      <c r="Q1256" s="101">
        <v>40417</v>
      </c>
      <c r="R1256" s="101">
        <v>40417</v>
      </c>
      <c r="S1256" s="99" t="s">
        <v>11</v>
      </c>
      <c r="T1256" s="107" t="s">
        <v>4</v>
      </c>
      <c r="U1256" s="99" t="s">
        <v>14</v>
      </c>
      <c r="V1256" s="99" t="s">
        <v>1972</v>
      </c>
      <c r="W1256" s="99" t="s">
        <v>1968</v>
      </c>
    </row>
    <row r="1257" spans="1:23" ht="18.600000000000001" customHeight="1">
      <c r="A1257" s="123" t="str">
        <f>IF(priority(Main[[#This Row],[Comments]])&lt;&gt;0, priority(Main[[#This Row],[Comments]]),"")</f>
        <v/>
      </c>
      <c r="B1257" s="127" t="s">
        <v>1872</v>
      </c>
      <c r="C1257" s="99" t="s">
        <v>183</v>
      </c>
      <c r="D1257" s="100" t="s">
        <v>900</v>
      </c>
      <c r="E1257" s="101"/>
      <c r="F1257" s="101">
        <v>40421</v>
      </c>
      <c r="G1257" s="102" t="str">
        <f>IF(stdProdLT(Main[[#This Row],[Comments]])=0.1,"N/A",IF(stdProdLT(Main[[#This Row],[Comments]])=0,"",stdProdLT(Main[[#This Row],[Comments]])))</f>
        <v/>
      </c>
      <c r="H1257" s="103">
        <f>IF(AND(Main[[#This Row],[In Stock Date]]&lt;&gt;"",Main[[#This Row],[Revised Due Date]]&lt;&gt;""),Main[[#This Row],[In Stock Date]]-Main[[#This Row],[Revised Due Date]],"")</f>
        <v>4</v>
      </c>
      <c r="I1257" s="99" t="s">
        <v>899</v>
      </c>
      <c r="J1257" s="99" t="s">
        <v>51</v>
      </c>
      <c r="K1257" s="99" t="s">
        <v>1971</v>
      </c>
      <c r="L1257" s="101">
        <v>40354</v>
      </c>
      <c r="M1257" s="104">
        <f>IF(Main[[#This Row],[Tech Start Date]]&lt;1/1/1990,"",IF(Main[[#This Row],[Class]]="C",WORKDAY(Main[[#This Row],[Tech Start Date]],9),IF(Main[[#This Row],[Class]]="B", WORKDAY(Main[[#This Row],[Tech Start Date]],6),IF(Main[[#This Row],[Class]]="A",WORKDAY(Main[[#This Row],[Tech Start Date]],2),""))))</f>
        <v>40358</v>
      </c>
      <c r="N1257" s="104">
        <f>IF(Main[[#This Row],[Tech Start Date]]&lt;1/1/1990,"",IF(Main[[#This Row],[Class]]="C",WORKDAY(Main[[#This Row],[Tech Start Date]],19),IF(Main[[#This Row],[Class]]="B", WORKDAY(Main[[#This Row],[Tech Start Date]],12),IF(Main[[#This Row],[Class]]="A",WORKDAY(Main[[#This Row],[Tech Start Date]],4),""))))</f>
        <v>40360</v>
      </c>
      <c r="O1257" s="104">
        <f>IF(Main[[#This Row],[Tech Start Date]]&lt;1/1/1990,"",IF(Main[[#This Row],[Class]]="C",WORKDAY(Main[[#This Row],[Tech Start Date]],23),IF(Main[[#This Row],[Class]]="B", WORKDAY(Main[[#This Row],[Tech Start Date]],15),IF(Main[[#This Row],[Class]]="A",WORKDAY(Main[[#This Row],[Tech Start Date]],5),""))))</f>
        <v>40361</v>
      </c>
      <c r="P1257" s="104">
        <f>IF(Main[[#This Row],[Tech Start Date]]&lt;1/1/1990,"",IF(Main[[#This Row],[Class]]="C",WORKDAY(Main[[#This Row],[Tech Start Date]],28),IF(Main[[#This Row],[Class]]="B", WORKDAY(Main[[#This Row],[Tech Start Date]],19),IF(Main[[#This Row],[Class]]="A",WORKDAY(Main[[#This Row],[Tech Start Date]],9),""))))</f>
        <v>40367</v>
      </c>
      <c r="Q1257" s="101">
        <v>40417</v>
      </c>
      <c r="R1257" s="101">
        <v>40417</v>
      </c>
      <c r="S1257" s="99" t="s">
        <v>11</v>
      </c>
      <c r="T1257" s="107" t="s">
        <v>4</v>
      </c>
      <c r="U1257" s="99" t="s">
        <v>14</v>
      </c>
      <c r="V1257" s="99" t="s">
        <v>1972</v>
      </c>
      <c r="W1257" s="99" t="s">
        <v>1968</v>
      </c>
    </row>
    <row r="1258" spans="1:23" ht="18.600000000000001" customHeight="1">
      <c r="A1258" s="123" t="str">
        <f>IF(priority(Main[[#This Row],[Comments]])&lt;&gt;0, priority(Main[[#This Row],[Comments]]),"")</f>
        <v/>
      </c>
      <c r="B1258" s="127" t="s">
        <v>1870</v>
      </c>
      <c r="C1258" s="99" t="s">
        <v>895</v>
      </c>
      <c r="D1258" s="100" t="s">
        <v>896</v>
      </c>
      <c r="E1258" s="101"/>
      <c r="F1258" s="101">
        <v>40442</v>
      </c>
      <c r="G1258" s="102" t="str">
        <f>IF(stdProdLT(Main[[#This Row],[Comments]])=0.1,"N/A",IF(stdProdLT(Main[[#This Row],[Comments]])=0,"",stdProdLT(Main[[#This Row],[Comments]])))</f>
        <v/>
      </c>
      <c r="H1258" s="103">
        <f>IF(AND(Main[[#This Row],[In Stock Date]]&lt;&gt;"",Main[[#This Row],[Revised Due Date]]&lt;&gt;""),Main[[#This Row],[In Stock Date]]-Main[[#This Row],[Revised Due Date]],"")</f>
        <v>40</v>
      </c>
      <c r="I1258" s="99" t="s">
        <v>560</v>
      </c>
      <c r="J1258" s="99" t="s">
        <v>28</v>
      </c>
      <c r="K1258" s="99" t="s">
        <v>1974</v>
      </c>
      <c r="L1258" s="101">
        <v>40366</v>
      </c>
      <c r="M1258" s="104" t="str">
        <f>IF(Main[[#This Row],[Tech Start Date]]&lt;1/1/1990,"",IF(Main[[#This Row],[Class]]="C",WORKDAY(Main[[#This Row],[Tech Start Date]],9),IF(Main[[#This Row],[Class]]="B", WORKDAY(Main[[#This Row],[Tech Start Date]],6),IF(Main[[#This Row],[Class]]="A",WORKDAY(Main[[#This Row],[Tech Start Date]],2),""))))</f>
        <v/>
      </c>
      <c r="N1258" s="104" t="str">
        <f>IF(Main[[#This Row],[Tech Start Date]]&lt;1/1/1990,"",IF(Main[[#This Row],[Class]]="C",WORKDAY(Main[[#This Row],[Tech Start Date]],19),IF(Main[[#This Row],[Class]]="B", WORKDAY(Main[[#This Row],[Tech Start Date]],12),IF(Main[[#This Row],[Class]]="A",WORKDAY(Main[[#This Row],[Tech Start Date]],4),""))))</f>
        <v/>
      </c>
      <c r="O1258" s="104" t="str">
        <f>IF(Main[[#This Row],[Tech Start Date]]&lt;1/1/1990,"",IF(Main[[#This Row],[Class]]="C",WORKDAY(Main[[#This Row],[Tech Start Date]],23),IF(Main[[#This Row],[Class]]="B", WORKDAY(Main[[#This Row],[Tech Start Date]],15),IF(Main[[#This Row],[Class]]="A",WORKDAY(Main[[#This Row],[Tech Start Date]],5),""))))</f>
        <v/>
      </c>
      <c r="P1258" s="104" t="str">
        <f>IF(Main[[#This Row],[Tech Start Date]]&lt;1/1/1990,"",IF(Main[[#This Row],[Class]]="C",WORKDAY(Main[[#This Row],[Tech Start Date]],28),IF(Main[[#This Row],[Class]]="B", WORKDAY(Main[[#This Row],[Tech Start Date]],19),IF(Main[[#This Row],[Class]]="A",WORKDAY(Main[[#This Row],[Tech Start Date]],9),""))))</f>
        <v/>
      </c>
      <c r="Q1258" s="101">
        <v>40374</v>
      </c>
      <c r="R1258" s="101">
        <v>40402</v>
      </c>
      <c r="S1258" s="99" t="s">
        <v>11</v>
      </c>
      <c r="T1258" s="107" t="s">
        <v>4</v>
      </c>
      <c r="U1258" s="99" t="s">
        <v>14</v>
      </c>
      <c r="V1258" s="99" t="s">
        <v>1965</v>
      </c>
      <c r="W1258" s="99" t="s">
        <v>1967</v>
      </c>
    </row>
    <row r="1259" spans="1:23" ht="18.600000000000001" customHeight="1">
      <c r="A1259" s="123" t="str">
        <f>IF(priority(Main[[#This Row],[Comments]])&lt;&gt;0, priority(Main[[#This Row],[Comments]]),"")</f>
        <v/>
      </c>
      <c r="B1259" s="127" t="s">
        <v>1751</v>
      </c>
      <c r="C1259" s="99" t="s">
        <v>4</v>
      </c>
      <c r="D1259" s="100" t="s">
        <v>775</v>
      </c>
      <c r="E1259" s="101">
        <v>40395.395856481482</v>
      </c>
      <c r="F1259" s="101">
        <v>40574</v>
      </c>
      <c r="G1259" s="102" t="str">
        <f>IF(stdProdLT(Main[[#This Row],[Comments]])=0.1,"N/A",IF(stdProdLT(Main[[#This Row],[Comments]])=0,"",stdProdLT(Main[[#This Row],[Comments]])))</f>
        <v/>
      </c>
      <c r="H1259" s="103">
        <f>IF(AND(Main[[#This Row],[In Stock Date]]&lt;&gt;"",Main[[#This Row],[Revised Due Date]]&lt;&gt;""),Main[[#This Row],[In Stock Date]]-Main[[#This Row],[Revised Due Date]],"")</f>
        <v>-431</v>
      </c>
      <c r="I1259" s="99" t="s">
        <v>4</v>
      </c>
      <c r="J1259" s="99" t="s">
        <v>28</v>
      </c>
      <c r="K1259" s="99" t="s">
        <v>1974</v>
      </c>
      <c r="L1259" s="101">
        <v>40405</v>
      </c>
      <c r="M1259" s="104" t="str">
        <f>IF(Main[[#This Row],[Tech Start Date]]&lt;1/1/1990,"",IF(Main[[#This Row],[Class]]="C",WORKDAY(Main[[#This Row],[Tech Start Date]],9),IF(Main[[#This Row],[Class]]="B", WORKDAY(Main[[#This Row],[Tech Start Date]],6),IF(Main[[#This Row],[Class]]="A",WORKDAY(Main[[#This Row],[Tech Start Date]],2),""))))</f>
        <v/>
      </c>
      <c r="N1259" s="104" t="str">
        <f>IF(Main[[#This Row],[Tech Start Date]]&lt;1/1/1990,"",IF(Main[[#This Row],[Class]]="C",WORKDAY(Main[[#This Row],[Tech Start Date]],19),IF(Main[[#This Row],[Class]]="B", WORKDAY(Main[[#This Row],[Tech Start Date]],12),IF(Main[[#This Row],[Class]]="A",WORKDAY(Main[[#This Row],[Tech Start Date]],4),""))))</f>
        <v/>
      </c>
      <c r="O1259" s="104" t="str">
        <f>IF(Main[[#This Row],[Tech Start Date]]&lt;1/1/1990,"",IF(Main[[#This Row],[Class]]="C",WORKDAY(Main[[#This Row],[Tech Start Date]],23),IF(Main[[#This Row],[Class]]="B", WORKDAY(Main[[#This Row],[Tech Start Date]],15),IF(Main[[#This Row],[Class]]="A",WORKDAY(Main[[#This Row],[Tech Start Date]],5),""))))</f>
        <v/>
      </c>
      <c r="P1259" s="104" t="str">
        <f>IF(Main[[#This Row],[Tech Start Date]]&lt;1/1/1990,"",IF(Main[[#This Row],[Class]]="C",WORKDAY(Main[[#This Row],[Tech Start Date]],28),IF(Main[[#This Row],[Class]]="B", WORKDAY(Main[[#This Row],[Tech Start Date]],19),IF(Main[[#This Row],[Class]]="A",WORKDAY(Main[[#This Row],[Tech Start Date]],9),""))))</f>
        <v/>
      </c>
      <c r="Q1259" s="101"/>
      <c r="R1259" s="101">
        <v>41005</v>
      </c>
      <c r="S1259" s="99" t="s">
        <v>17</v>
      </c>
      <c r="T1259" s="107" t="s">
        <v>4</v>
      </c>
      <c r="U1259" s="99" t="s">
        <v>29</v>
      </c>
      <c r="V1259" s="99" t="s">
        <v>1965</v>
      </c>
      <c r="W1259" s="99" t="s">
        <v>1967</v>
      </c>
    </row>
    <row r="1260" spans="1:23" ht="18.600000000000001" customHeight="1">
      <c r="A1260" s="123" t="str">
        <f>IF(priority(Main[[#This Row],[Comments]])&lt;&gt;0, priority(Main[[#This Row],[Comments]]),"")</f>
        <v/>
      </c>
      <c r="B1260" s="127" t="s">
        <v>1280</v>
      </c>
      <c r="C1260" s="99" t="s">
        <v>4</v>
      </c>
      <c r="D1260" s="100" t="s">
        <v>314</v>
      </c>
      <c r="E1260" s="101">
        <v>40395.401192129626</v>
      </c>
      <c r="F1260" s="101">
        <v>40574</v>
      </c>
      <c r="G1260" s="102" t="str">
        <f>IF(stdProdLT(Main[[#This Row],[Comments]])=0.1,"N/A",IF(stdProdLT(Main[[#This Row],[Comments]])=0,"",stdProdLT(Main[[#This Row],[Comments]])))</f>
        <v/>
      </c>
      <c r="H1260" s="103">
        <f>IF(AND(Main[[#This Row],[In Stock Date]]&lt;&gt;"",Main[[#This Row],[Revised Due Date]]&lt;&gt;""),Main[[#This Row],[In Stock Date]]-Main[[#This Row],[Revised Due Date]],"")</f>
        <v>-465</v>
      </c>
      <c r="I1260" s="99" t="s">
        <v>4</v>
      </c>
      <c r="J1260" s="99" t="s">
        <v>28</v>
      </c>
      <c r="K1260" s="99" t="s">
        <v>1974</v>
      </c>
      <c r="L1260" s="101">
        <v>40405</v>
      </c>
      <c r="M1260" s="104" t="str">
        <f>IF(Main[[#This Row],[Tech Start Date]]&lt;1/1/1990,"",IF(Main[[#This Row],[Class]]="C",WORKDAY(Main[[#This Row],[Tech Start Date]],9),IF(Main[[#This Row],[Class]]="B", WORKDAY(Main[[#This Row],[Tech Start Date]],6),IF(Main[[#This Row],[Class]]="A",WORKDAY(Main[[#This Row],[Tech Start Date]],2),""))))</f>
        <v/>
      </c>
      <c r="N1260" s="104" t="str">
        <f>IF(Main[[#This Row],[Tech Start Date]]&lt;1/1/1990,"",IF(Main[[#This Row],[Class]]="C",WORKDAY(Main[[#This Row],[Tech Start Date]],19),IF(Main[[#This Row],[Class]]="B", WORKDAY(Main[[#This Row],[Tech Start Date]],12),IF(Main[[#This Row],[Class]]="A",WORKDAY(Main[[#This Row],[Tech Start Date]],4),""))))</f>
        <v/>
      </c>
      <c r="O1260" s="104" t="str">
        <f>IF(Main[[#This Row],[Tech Start Date]]&lt;1/1/1990,"",IF(Main[[#This Row],[Class]]="C",WORKDAY(Main[[#This Row],[Tech Start Date]],23),IF(Main[[#This Row],[Class]]="B", WORKDAY(Main[[#This Row],[Tech Start Date]],15),IF(Main[[#This Row],[Class]]="A",WORKDAY(Main[[#This Row],[Tech Start Date]],5),""))))</f>
        <v/>
      </c>
      <c r="P1260" s="104" t="str">
        <f>IF(Main[[#This Row],[Tech Start Date]]&lt;1/1/1990,"",IF(Main[[#This Row],[Class]]="C",WORKDAY(Main[[#This Row],[Tech Start Date]],28),IF(Main[[#This Row],[Class]]="B", WORKDAY(Main[[#This Row],[Tech Start Date]],19),IF(Main[[#This Row],[Class]]="A",WORKDAY(Main[[#This Row],[Tech Start Date]],9),""))))</f>
        <v/>
      </c>
      <c r="Q1260" s="101"/>
      <c r="R1260" s="101">
        <v>41039</v>
      </c>
      <c r="S1260" s="99" t="s">
        <v>17</v>
      </c>
      <c r="T1260" s="107" t="s">
        <v>4</v>
      </c>
      <c r="U1260" s="99" t="s">
        <v>29</v>
      </c>
      <c r="V1260" s="99" t="s">
        <v>1965</v>
      </c>
      <c r="W1260" s="99" t="s">
        <v>1967</v>
      </c>
    </row>
    <row r="1261" spans="1:23" ht="18.600000000000001" customHeight="1">
      <c r="A1261" s="123" t="str">
        <f>IF(priority(Main[[#This Row],[Comments]])&lt;&gt;0, priority(Main[[#This Row],[Comments]]),"")</f>
        <v/>
      </c>
      <c r="B1261" s="127" t="s">
        <v>1882</v>
      </c>
      <c r="C1261" s="99" t="s">
        <v>4</v>
      </c>
      <c r="D1261" s="100" t="s">
        <v>912</v>
      </c>
      <c r="E1261" s="101"/>
      <c r="F1261" s="101"/>
      <c r="G1261" s="102" t="str">
        <f>IF(stdProdLT(Main[[#This Row],[Comments]])=0.1,"N/A",IF(stdProdLT(Main[[#This Row],[Comments]])=0,"",stdProdLT(Main[[#This Row],[Comments]])))</f>
        <v/>
      </c>
      <c r="H1261" s="103" t="str">
        <f>IF(AND(Main[[#This Row],[In Stock Date]]&lt;&gt;"",Main[[#This Row],[Revised Due Date]]&lt;&gt;""),Main[[#This Row],[In Stock Date]]-Main[[#This Row],[Revised Due Date]],"")</f>
        <v/>
      </c>
      <c r="I1261" s="99" t="s">
        <v>719</v>
      </c>
      <c r="J1261" s="99" t="s">
        <v>4</v>
      </c>
      <c r="K1261" s="99" t="s">
        <v>4</v>
      </c>
      <c r="L1261" s="101">
        <v>40469</v>
      </c>
      <c r="M1261" s="104" t="str">
        <f>IF(Main[[#This Row],[Tech Start Date]]&lt;1/1/1990,"",IF(Main[[#This Row],[Class]]="C",WORKDAY(Main[[#This Row],[Tech Start Date]],9),IF(Main[[#This Row],[Class]]="B", WORKDAY(Main[[#This Row],[Tech Start Date]],6),IF(Main[[#This Row],[Class]]="A",WORKDAY(Main[[#This Row],[Tech Start Date]],2),""))))</f>
        <v/>
      </c>
      <c r="N1261" s="104" t="str">
        <f>IF(Main[[#This Row],[Tech Start Date]]&lt;1/1/1990,"",IF(Main[[#This Row],[Class]]="C",WORKDAY(Main[[#This Row],[Tech Start Date]],19),IF(Main[[#This Row],[Class]]="B", WORKDAY(Main[[#This Row],[Tech Start Date]],12),IF(Main[[#This Row],[Class]]="A",WORKDAY(Main[[#This Row],[Tech Start Date]],4),""))))</f>
        <v/>
      </c>
      <c r="O1261" s="104" t="str">
        <f>IF(Main[[#This Row],[Tech Start Date]]&lt;1/1/1990,"",IF(Main[[#This Row],[Class]]="C",WORKDAY(Main[[#This Row],[Tech Start Date]],23),IF(Main[[#This Row],[Class]]="B", WORKDAY(Main[[#This Row],[Tech Start Date]],15),IF(Main[[#This Row],[Class]]="A",WORKDAY(Main[[#This Row],[Tech Start Date]],5),""))))</f>
        <v/>
      </c>
      <c r="P1261" s="104" t="str">
        <f>IF(Main[[#This Row],[Tech Start Date]]&lt;1/1/1990,"",IF(Main[[#This Row],[Class]]="C",WORKDAY(Main[[#This Row],[Tech Start Date]],28),IF(Main[[#This Row],[Class]]="B", WORKDAY(Main[[#This Row],[Tech Start Date]],19),IF(Main[[#This Row],[Class]]="A",WORKDAY(Main[[#This Row],[Tech Start Date]],9),""))))</f>
        <v/>
      </c>
      <c r="Q1261" s="101"/>
      <c r="R1261" s="101">
        <v>40473</v>
      </c>
      <c r="S1261" s="99" t="s">
        <v>23</v>
      </c>
      <c r="T1261" s="107" t="s">
        <v>4</v>
      </c>
      <c r="U1261" s="99" t="s">
        <v>14</v>
      </c>
      <c r="V1261" s="99" t="s">
        <v>1962</v>
      </c>
      <c r="W1261" s="99" t="s">
        <v>1966</v>
      </c>
    </row>
    <row r="1262" spans="1:23" ht="18.600000000000001" customHeight="1">
      <c r="A1262" s="123" t="str">
        <f>IF(priority(Main[[#This Row],[Comments]])&lt;&gt;0, priority(Main[[#This Row],[Comments]]),"")</f>
        <v/>
      </c>
      <c r="B1262" s="127" t="s">
        <v>1121</v>
      </c>
      <c r="C1262" s="99" t="s">
        <v>4</v>
      </c>
      <c r="D1262" s="100" t="s">
        <v>2052</v>
      </c>
      <c r="E1262" s="101"/>
      <c r="F1262" s="101"/>
      <c r="G1262" s="102" t="str">
        <f>IF(stdProdLT(Main[[#This Row],[Comments]])=0.1,"N/A",IF(stdProdLT(Main[[#This Row],[Comments]])=0,"",stdProdLT(Main[[#This Row],[Comments]])))</f>
        <v/>
      </c>
      <c r="H1262" s="103" t="str">
        <f>IF(AND(Main[[#This Row],[In Stock Date]]&lt;&gt;"",Main[[#This Row],[Revised Due Date]]&lt;&gt;""),Main[[#This Row],[In Stock Date]]-Main[[#This Row],[Revised Due Date]],"")</f>
        <v/>
      </c>
      <c r="I1262" s="99" t="s">
        <v>30</v>
      </c>
      <c r="J1262" s="99" t="s">
        <v>28</v>
      </c>
      <c r="K1262" s="99" t="s">
        <v>1969</v>
      </c>
      <c r="L1262" s="101">
        <v>40486</v>
      </c>
      <c r="M1262" s="104">
        <f>IF(Main[[#This Row],[Tech Start Date]]&lt;1/1/1990,"",IF(Main[[#This Row],[Class]]="C",WORKDAY(Main[[#This Row],[Tech Start Date]],9),IF(Main[[#This Row],[Class]]="B", WORKDAY(Main[[#This Row],[Tech Start Date]],6),IF(Main[[#This Row],[Class]]="A",WORKDAY(Main[[#This Row],[Tech Start Date]],2),""))))</f>
        <v>40494</v>
      </c>
      <c r="N1262" s="104">
        <f>IF(Main[[#This Row],[Tech Start Date]]&lt;1/1/1990,"",IF(Main[[#This Row],[Class]]="C",WORKDAY(Main[[#This Row],[Tech Start Date]],19),IF(Main[[#This Row],[Class]]="B", WORKDAY(Main[[#This Row],[Tech Start Date]],12),IF(Main[[#This Row],[Class]]="A",WORKDAY(Main[[#This Row],[Tech Start Date]],4),""))))</f>
        <v>40504</v>
      </c>
      <c r="O1262" s="104">
        <f>IF(Main[[#This Row],[Tech Start Date]]&lt;1/1/1990,"",IF(Main[[#This Row],[Class]]="C",WORKDAY(Main[[#This Row],[Tech Start Date]],23),IF(Main[[#This Row],[Class]]="B", WORKDAY(Main[[#This Row],[Tech Start Date]],15),IF(Main[[#This Row],[Class]]="A",WORKDAY(Main[[#This Row],[Tech Start Date]],5),""))))</f>
        <v>40507</v>
      </c>
      <c r="P1262" s="104">
        <f>IF(Main[[#This Row],[Tech Start Date]]&lt;1/1/1990,"",IF(Main[[#This Row],[Class]]="C",WORKDAY(Main[[#This Row],[Tech Start Date]],28),IF(Main[[#This Row],[Class]]="B", WORKDAY(Main[[#This Row],[Tech Start Date]],19),IF(Main[[#This Row],[Class]]="A",WORKDAY(Main[[#This Row],[Tech Start Date]],9),""))))</f>
        <v>40513</v>
      </c>
      <c r="Q1262" s="101"/>
      <c r="R1262" s="101"/>
      <c r="S1262" s="99" t="s">
        <v>6</v>
      </c>
      <c r="T1262" s="107" t="s">
        <v>4</v>
      </c>
      <c r="U1262" s="99" t="s">
        <v>14</v>
      </c>
      <c r="V1262" s="99" t="s">
        <v>1965</v>
      </c>
      <c r="W1262" s="99" t="s">
        <v>1966</v>
      </c>
    </row>
    <row r="1263" spans="1:23" ht="18.600000000000001" customHeight="1">
      <c r="A1263" s="123" t="str">
        <f>IF(priority(Main[[#This Row],[Comments]])&lt;&gt;0, priority(Main[[#This Row],[Comments]]),"")</f>
        <v/>
      </c>
      <c r="B1263" s="127" t="s">
        <v>1752</v>
      </c>
      <c r="C1263" s="99" t="s">
        <v>4</v>
      </c>
      <c r="D1263" s="100" t="s">
        <v>776</v>
      </c>
      <c r="E1263" s="101"/>
      <c r="F1263" s="101"/>
      <c r="G1263" s="102" t="str">
        <f>IF(stdProdLT(Main[[#This Row],[Comments]])=0.1,"N/A",IF(stdProdLT(Main[[#This Row],[Comments]])=0,"",stdProdLT(Main[[#This Row],[Comments]])))</f>
        <v/>
      </c>
      <c r="H1263" s="103" t="str">
        <f>IF(AND(Main[[#This Row],[In Stock Date]]&lt;&gt;"",Main[[#This Row],[Revised Due Date]]&lt;&gt;""),Main[[#This Row],[In Stock Date]]-Main[[#This Row],[Revised Due Date]],"")</f>
        <v/>
      </c>
      <c r="I1263" s="99" t="s">
        <v>173</v>
      </c>
      <c r="J1263" s="99" t="s">
        <v>70</v>
      </c>
      <c r="K1263" s="99" t="s">
        <v>1969</v>
      </c>
      <c r="L1263" s="101">
        <v>40486</v>
      </c>
      <c r="M1263" s="104">
        <f>IF(Main[[#This Row],[Tech Start Date]]&lt;1/1/1990,"",IF(Main[[#This Row],[Class]]="C",WORKDAY(Main[[#This Row],[Tech Start Date]],9),IF(Main[[#This Row],[Class]]="B", WORKDAY(Main[[#This Row],[Tech Start Date]],6),IF(Main[[#This Row],[Class]]="A",WORKDAY(Main[[#This Row],[Tech Start Date]],2),""))))</f>
        <v>40494</v>
      </c>
      <c r="N1263" s="104">
        <f>IF(Main[[#This Row],[Tech Start Date]]&lt;1/1/1990,"",IF(Main[[#This Row],[Class]]="C",WORKDAY(Main[[#This Row],[Tech Start Date]],19),IF(Main[[#This Row],[Class]]="B", WORKDAY(Main[[#This Row],[Tech Start Date]],12),IF(Main[[#This Row],[Class]]="A",WORKDAY(Main[[#This Row],[Tech Start Date]],4),""))))</f>
        <v>40504</v>
      </c>
      <c r="O1263" s="104">
        <f>IF(Main[[#This Row],[Tech Start Date]]&lt;1/1/1990,"",IF(Main[[#This Row],[Class]]="C",WORKDAY(Main[[#This Row],[Tech Start Date]],23),IF(Main[[#This Row],[Class]]="B", WORKDAY(Main[[#This Row],[Tech Start Date]],15),IF(Main[[#This Row],[Class]]="A",WORKDAY(Main[[#This Row],[Tech Start Date]],5),""))))</f>
        <v>40507</v>
      </c>
      <c r="P1263" s="104">
        <f>IF(Main[[#This Row],[Tech Start Date]]&lt;1/1/1990,"",IF(Main[[#This Row],[Class]]="C",WORKDAY(Main[[#This Row],[Tech Start Date]],28),IF(Main[[#This Row],[Class]]="B", WORKDAY(Main[[#This Row],[Tech Start Date]],19),IF(Main[[#This Row],[Class]]="A",WORKDAY(Main[[#This Row],[Tech Start Date]],9),""))))</f>
        <v>40513</v>
      </c>
      <c r="Q1263" s="101">
        <v>40504</v>
      </c>
      <c r="R1263" s="101"/>
      <c r="S1263" s="99" t="s">
        <v>6</v>
      </c>
      <c r="T1263" s="107" t="s">
        <v>4</v>
      </c>
      <c r="U1263" s="99" t="s">
        <v>14</v>
      </c>
      <c r="V1263" s="99" t="s">
        <v>1965</v>
      </c>
      <c r="W1263" s="99" t="s">
        <v>1966</v>
      </c>
    </row>
    <row r="1264" spans="1:23" ht="18.600000000000001" customHeight="1">
      <c r="A1264" s="123" t="str">
        <f>IF(priority(Main[[#This Row],[Comments]])&lt;&gt;0, priority(Main[[#This Row],[Comments]]),"")</f>
        <v/>
      </c>
      <c r="B1264" s="127" t="s">
        <v>1138</v>
      </c>
      <c r="C1264" s="99" t="s">
        <v>4</v>
      </c>
      <c r="D1264" s="100" t="s">
        <v>130</v>
      </c>
      <c r="E1264" s="101">
        <v>40462.452245370368</v>
      </c>
      <c r="F1264" s="101"/>
      <c r="G1264" s="102" t="str">
        <f>IF(stdProdLT(Main[[#This Row],[Comments]])=0.1,"N/A",IF(stdProdLT(Main[[#This Row],[Comments]])=0,"",stdProdLT(Main[[#This Row],[Comments]])))</f>
        <v/>
      </c>
      <c r="H1264" s="103" t="str">
        <f>IF(AND(Main[[#This Row],[In Stock Date]]&lt;&gt;"",Main[[#This Row],[Revised Due Date]]&lt;&gt;""),Main[[#This Row],[In Stock Date]]-Main[[#This Row],[Revised Due Date]],"")</f>
        <v/>
      </c>
      <c r="I1264" s="99" t="s">
        <v>242</v>
      </c>
      <c r="J1264" s="99" t="s">
        <v>21</v>
      </c>
      <c r="K1264" s="99" t="s">
        <v>1969</v>
      </c>
      <c r="L1264" s="101">
        <v>40486</v>
      </c>
      <c r="M1264" s="104">
        <f>IF(Main[[#This Row],[Tech Start Date]]&lt;1/1/1990,"",IF(Main[[#This Row],[Class]]="C",WORKDAY(Main[[#This Row],[Tech Start Date]],9),IF(Main[[#This Row],[Class]]="B", WORKDAY(Main[[#This Row],[Tech Start Date]],6),IF(Main[[#This Row],[Class]]="A",WORKDAY(Main[[#This Row],[Tech Start Date]],2),""))))</f>
        <v>40494</v>
      </c>
      <c r="N1264" s="104">
        <f>IF(Main[[#This Row],[Tech Start Date]]&lt;1/1/1990,"",IF(Main[[#This Row],[Class]]="C",WORKDAY(Main[[#This Row],[Tech Start Date]],19),IF(Main[[#This Row],[Class]]="B", WORKDAY(Main[[#This Row],[Tech Start Date]],12),IF(Main[[#This Row],[Class]]="A",WORKDAY(Main[[#This Row],[Tech Start Date]],4),""))))</f>
        <v>40504</v>
      </c>
      <c r="O1264" s="104">
        <f>IF(Main[[#This Row],[Tech Start Date]]&lt;1/1/1990,"",IF(Main[[#This Row],[Class]]="C",WORKDAY(Main[[#This Row],[Tech Start Date]],23),IF(Main[[#This Row],[Class]]="B", WORKDAY(Main[[#This Row],[Tech Start Date]],15),IF(Main[[#This Row],[Class]]="A",WORKDAY(Main[[#This Row],[Tech Start Date]],5),""))))</f>
        <v>40507</v>
      </c>
      <c r="P1264" s="104">
        <f>IF(Main[[#This Row],[Tech Start Date]]&lt;1/1/1990,"",IF(Main[[#This Row],[Class]]="C",WORKDAY(Main[[#This Row],[Tech Start Date]],28),IF(Main[[#This Row],[Class]]="B", WORKDAY(Main[[#This Row],[Tech Start Date]],19),IF(Main[[#This Row],[Class]]="A",WORKDAY(Main[[#This Row],[Tech Start Date]],9),""))))</f>
        <v>40513</v>
      </c>
      <c r="Q1264" s="101">
        <v>40543</v>
      </c>
      <c r="R1264" s="101"/>
      <c r="S1264" s="99" t="s">
        <v>6</v>
      </c>
      <c r="T1264" s="107" t="s">
        <v>4</v>
      </c>
      <c r="U1264" s="99" t="s">
        <v>29</v>
      </c>
      <c r="V1264" s="99" t="s">
        <v>1965</v>
      </c>
      <c r="W1264" s="99" t="s">
        <v>1966</v>
      </c>
    </row>
    <row r="1265" spans="1:23" ht="18.600000000000001" customHeight="1">
      <c r="A1265" s="123" t="str">
        <f>IF(priority(Main[[#This Row],[Comments]])&lt;&gt;0, priority(Main[[#This Row],[Comments]]),"")</f>
        <v/>
      </c>
      <c r="B1265" s="127" t="s">
        <v>1765</v>
      </c>
      <c r="C1265" s="99" t="s">
        <v>4</v>
      </c>
      <c r="D1265" s="100" t="s">
        <v>2372</v>
      </c>
      <c r="E1265" s="101">
        <v>40462.421793981484</v>
      </c>
      <c r="F1265" s="101"/>
      <c r="G1265" s="102" t="str">
        <f>IF(stdProdLT(Main[[#This Row],[Comments]])=0.1,"N/A",IF(stdProdLT(Main[[#This Row],[Comments]])=0,"",stdProdLT(Main[[#This Row],[Comments]])))</f>
        <v/>
      </c>
      <c r="H1265" s="103" t="str">
        <f>IF(AND(Main[[#This Row],[In Stock Date]]&lt;&gt;"",Main[[#This Row],[Revised Due Date]]&lt;&gt;""),Main[[#This Row],[In Stock Date]]-Main[[#This Row],[Revised Due Date]],"")</f>
        <v/>
      </c>
      <c r="I1265" s="99" t="s">
        <v>911</v>
      </c>
      <c r="J1265" s="99" t="s">
        <v>52</v>
      </c>
      <c r="K1265" s="99" t="s">
        <v>1969</v>
      </c>
      <c r="L1265" s="101">
        <v>40486</v>
      </c>
      <c r="M1265" s="104">
        <f>IF(Main[[#This Row],[Tech Start Date]]&lt;1/1/1990,"",IF(Main[[#This Row],[Class]]="C",WORKDAY(Main[[#This Row],[Tech Start Date]],9),IF(Main[[#This Row],[Class]]="B", WORKDAY(Main[[#This Row],[Tech Start Date]],6),IF(Main[[#This Row],[Class]]="A",WORKDAY(Main[[#This Row],[Tech Start Date]],2),""))))</f>
        <v>40494</v>
      </c>
      <c r="N1265" s="104">
        <f>IF(Main[[#This Row],[Tech Start Date]]&lt;1/1/1990,"",IF(Main[[#This Row],[Class]]="C",WORKDAY(Main[[#This Row],[Tech Start Date]],19),IF(Main[[#This Row],[Class]]="B", WORKDAY(Main[[#This Row],[Tech Start Date]],12),IF(Main[[#This Row],[Class]]="A",WORKDAY(Main[[#This Row],[Tech Start Date]],4),""))))</f>
        <v>40504</v>
      </c>
      <c r="O1265" s="104">
        <f>IF(Main[[#This Row],[Tech Start Date]]&lt;1/1/1990,"",IF(Main[[#This Row],[Class]]="C",WORKDAY(Main[[#This Row],[Tech Start Date]],23),IF(Main[[#This Row],[Class]]="B", WORKDAY(Main[[#This Row],[Tech Start Date]],15),IF(Main[[#This Row],[Class]]="A",WORKDAY(Main[[#This Row],[Tech Start Date]],5),""))))</f>
        <v>40507</v>
      </c>
      <c r="P1265" s="104">
        <f>IF(Main[[#This Row],[Tech Start Date]]&lt;1/1/1990,"",IF(Main[[#This Row],[Class]]="C",WORKDAY(Main[[#This Row],[Tech Start Date]],28),IF(Main[[#This Row],[Class]]="B", WORKDAY(Main[[#This Row],[Tech Start Date]],19),IF(Main[[#This Row],[Class]]="A",WORKDAY(Main[[#This Row],[Tech Start Date]],9),""))))</f>
        <v>40513</v>
      </c>
      <c r="Q1265" s="101">
        <v>40543</v>
      </c>
      <c r="R1265" s="101"/>
      <c r="S1265" s="99" t="s">
        <v>6</v>
      </c>
      <c r="T1265" s="107" t="s">
        <v>4</v>
      </c>
      <c r="U1265" s="99" t="s">
        <v>29</v>
      </c>
      <c r="V1265" s="99" t="s">
        <v>1965</v>
      </c>
      <c r="W1265" s="99" t="s">
        <v>1966</v>
      </c>
    </row>
    <row r="1266" spans="1:23" ht="18.600000000000001" customHeight="1">
      <c r="A1266" s="123" t="str">
        <f>IF(priority(Main[[#This Row],[Comments]])&lt;&gt;0, priority(Main[[#This Row],[Comments]]),"")</f>
        <v/>
      </c>
      <c r="B1266" s="127" t="s">
        <v>1769</v>
      </c>
      <c r="C1266" s="99" t="s">
        <v>4</v>
      </c>
      <c r="D1266" s="100" t="s">
        <v>2072</v>
      </c>
      <c r="E1266" s="101">
        <v>40478.606620370374</v>
      </c>
      <c r="F1266" s="101"/>
      <c r="G1266" s="102" t="str">
        <f>IF(stdProdLT(Main[[#This Row],[Comments]])=0.1,"N/A",IF(stdProdLT(Main[[#This Row],[Comments]])=0,"",stdProdLT(Main[[#This Row],[Comments]])))</f>
        <v/>
      </c>
      <c r="H1266" s="103" t="str">
        <f>IF(AND(Main[[#This Row],[In Stock Date]]&lt;&gt;"",Main[[#This Row],[Revised Due Date]]&lt;&gt;""),Main[[#This Row],[In Stock Date]]-Main[[#This Row],[Revised Due Date]],"")</f>
        <v/>
      </c>
      <c r="I1266" s="99" t="s">
        <v>435</v>
      </c>
      <c r="J1266" s="99" t="s">
        <v>70</v>
      </c>
      <c r="K1266" s="108" t="s">
        <v>1974</v>
      </c>
      <c r="L1266" s="101">
        <v>40513</v>
      </c>
      <c r="M1266" s="104" t="str">
        <f>IF(Main[[#This Row],[Tech Start Date]]&lt;1/1/1990,"",IF(Main[[#This Row],[Class]]="C",WORKDAY(Main[[#This Row],[Tech Start Date]],9),IF(Main[[#This Row],[Class]]="B", WORKDAY(Main[[#This Row],[Tech Start Date]],6),IF(Main[[#This Row],[Class]]="A",WORKDAY(Main[[#This Row],[Tech Start Date]],2),""))))</f>
        <v/>
      </c>
      <c r="N1266" s="104" t="str">
        <f>IF(Main[[#This Row],[Tech Start Date]]&lt;1/1/1990,"",IF(Main[[#This Row],[Class]]="C",WORKDAY(Main[[#This Row],[Tech Start Date]],19),IF(Main[[#This Row],[Class]]="B", WORKDAY(Main[[#This Row],[Tech Start Date]],12),IF(Main[[#This Row],[Class]]="A",WORKDAY(Main[[#This Row],[Tech Start Date]],4),""))))</f>
        <v/>
      </c>
      <c r="O1266" s="104" t="str">
        <f>IF(Main[[#This Row],[Tech Start Date]]&lt;1/1/1990,"",IF(Main[[#This Row],[Class]]="C",WORKDAY(Main[[#This Row],[Tech Start Date]],23),IF(Main[[#This Row],[Class]]="B", WORKDAY(Main[[#This Row],[Tech Start Date]],15),IF(Main[[#This Row],[Class]]="A",WORKDAY(Main[[#This Row],[Tech Start Date]],5),""))))</f>
        <v/>
      </c>
      <c r="P1266" s="104" t="str">
        <f>IF(Main[[#This Row],[Tech Start Date]]&lt;1/1/1990,"",IF(Main[[#This Row],[Class]]="C",WORKDAY(Main[[#This Row],[Tech Start Date]],28),IF(Main[[#This Row],[Class]]="B", WORKDAY(Main[[#This Row],[Tech Start Date]],19),IF(Main[[#This Row],[Class]]="A",WORKDAY(Main[[#This Row],[Tech Start Date]],9),""))))</f>
        <v/>
      </c>
      <c r="Q1266" s="101">
        <v>40724</v>
      </c>
      <c r="R1266" s="101"/>
      <c r="S1266" s="99" t="s">
        <v>17</v>
      </c>
      <c r="T1266" s="107" t="s">
        <v>4</v>
      </c>
      <c r="U1266" s="99" t="s">
        <v>29</v>
      </c>
      <c r="V1266" s="99" t="s">
        <v>1965</v>
      </c>
      <c r="W1266" s="99" t="s">
        <v>1966</v>
      </c>
    </row>
    <row r="1267" spans="1:23" ht="18.600000000000001" customHeight="1">
      <c r="A1267" s="123" t="str">
        <f>IF(priority(Main[[#This Row],[Comments]])&lt;&gt;0, priority(Main[[#This Row],[Comments]]),"")</f>
        <v/>
      </c>
      <c r="B1267" s="127" t="s">
        <v>1763</v>
      </c>
      <c r="C1267" s="99" t="s">
        <v>72</v>
      </c>
      <c r="D1267" s="100" t="s">
        <v>791</v>
      </c>
      <c r="E1267" s="101"/>
      <c r="F1267" s="101">
        <v>40513</v>
      </c>
      <c r="G1267" s="102" t="str">
        <f>IF(stdProdLT(Main[[#This Row],[Comments]])=0.1,"N/A",IF(stdProdLT(Main[[#This Row],[Comments]])=0,"",stdProdLT(Main[[#This Row],[Comments]])))</f>
        <v/>
      </c>
      <c r="H1267" s="103" t="str">
        <f>IF(AND(Main[[#This Row],[In Stock Date]]&lt;&gt;"",Main[[#This Row],[Revised Due Date]]&lt;&gt;""),Main[[#This Row],[In Stock Date]]-Main[[#This Row],[Revised Due Date]],"")</f>
        <v/>
      </c>
      <c r="I1267" s="99" t="s">
        <v>30</v>
      </c>
      <c r="J1267" s="99" t="s">
        <v>28</v>
      </c>
      <c r="K1267" s="99" t="s">
        <v>1974</v>
      </c>
      <c r="L1267" s="101">
        <v>40547</v>
      </c>
      <c r="M1267" s="104" t="str">
        <f>IF(Main[[#This Row],[Tech Start Date]]&lt;1/1/1990,"",IF(Main[[#This Row],[Class]]="C",WORKDAY(Main[[#This Row],[Tech Start Date]],9),IF(Main[[#This Row],[Class]]="B", WORKDAY(Main[[#This Row],[Tech Start Date]],6),IF(Main[[#This Row],[Class]]="A",WORKDAY(Main[[#This Row],[Tech Start Date]],2),""))))</f>
        <v/>
      </c>
      <c r="N1267" s="104" t="str">
        <f>IF(Main[[#This Row],[Tech Start Date]]&lt;1/1/1990,"",IF(Main[[#This Row],[Class]]="C",WORKDAY(Main[[#This Row],[Tech Start Date]],19),IF(Main[[#This Row],[Class]]="B", WORKDAY(Main[[#This Row],[Tech Start Date]],12),IF(Main[[#This Row],[Class]]="A",WORKDAY(Main[[#This Row],[Tech Start Date]],4),""))))</f>
        <v/>
      </c>
      <c r="O1267" s="104" t="str">
        <f>IF(Main[[#This Row],[Tech Start Date]]&lt;1/1/1990,"",IF(Main[[#This Row],[Class]]="C",WORKDAY(Main[[#This Row],[Tech Start Date]],23),IF(Main[[#This Row],[Class]]="B", WORKDAY(Main[[#This Row],[Tech Start Date]],15),IF(Main[[#This Row],[Class]]="A",WORKDAY(Main[[#This Row],[Tech Start Date]],5),""))))</f>
        <v/>
      </c>
      <c r="P1267" s="104" t="str">
        <f>IF(Main[[#This Row],[Tech Start Date]]&lt;1/1/1990,"",IF(Main[[#This Row],[Class]]="C",WORKDAY(Main[[#This Row],[Tech Start Date]],28),IF(Main[[#This Row],[Class]]="B", WORKDAY(Main[[#This Row],[Tech Start Date]],19),IF(Main[[#This Row],[Class]]="A",WORKDAY(Main[[#This Row],[Tech Start Date]],9),""))))</f>
        <v/>
      </c>
      <c r="Q1267" s="101"/>
      <c r="R1267" s="101"/>
      <c r="S1267" s="99" t="s">
        <v>17</v>
      </c>
      <c r="T1267" s="107" t="s">
        <v>4</v>
      </c>
      <c r="U1267" s="99" t="s">
        <v>14</v>
      </c>
      <c r="V1267" s="99" t="s">
        <v>1965</v>
      </c>
      <c r="W1267" s="99" t="s">
        <v>1967</v>
      </c>
    </row>
    <row r="1268" spans="1:23" ht="18.600000000000001" customHeight="1">
      <c r="A1268" s="123" t="str">
        <f>IF(priority(Main[[#This Row],[Comments]])&lt;&gt;0, priority(Main[[#This Row],[Comments]]),"")</f>
        <v/>
      </c>
      <c r="B1268" s="127" t="s">
        <v>1958</v>
      </c>
      <c r="C1268" s="99" t="s">
        <v>4</v>
      </c>
      <c r="D1268" s="100" t="s">
        <v>984</v>
      </c>
      <c r="E1268" s="101"/>
      <c r="F1268" s="101"/>
      <c r="G1268" s="102" t="str">
        <f>IF(stdProdLT(Main[[#This Row],[Comments]])=0.1,"N/A",IF(stdProdLT(Main[[#This Row],[Comments]])=0,"",stdProdLT(Main[[#This Row],[Comments]])))</f>
        <v/>
      </c>
      <c r="H1268" s="103" t="str">
        <f>IF(AND(Main[[#This Row],[In Stock Date]]&lt;&gt;"",Main[[#This Row],[Revised Due Date]]&lt;&gt;""),Main[[#This Row],[In Stock Date]]-Main[[#This Row],[Revised Due Date]],"")</f>
        <v/>
      </c>
      <c r="I1268" s="99" t="s">
        <v>2112</v>
      </c>
      <c r="J1268" s="99" t="s">
        <v>4</v>
      </c>
      <c r="K1268" s="99" t="s">
        <v>1974</v>
      </c>
      <c r="L1268" s="101">
        <v>40549</v>
      </c>
      <c r="M1268" s="104" t="str">
        <f>IF(Main[[#This Row],[Tech Start Date]]&lt;1/1/1990,"",IF(Main[[#This Row],[Class]]="C",WORKDAY(Main[[#This Row],[Tech Start Date]],9),IF(Main[[#This Row],[Class]]="B", WORKDAY(Main[[#This Row],[Tech Start Date]],6),IF(Main[[#This Row],[Class]]="A",WORKDAY(Main[[#This Row],[Tech Start Date]],2),""))))</f>
        <v/>
      </c>
      <c r="N1268" s="104" t="str">
        <f>IF(Main[[#This Row],[Tech Start Date]]&lt;1/1/1990,"",IF(Main[[#This Row],[Class]]="C",WORKDAY(Main[[#This Row],[Tech Start Date]],19),IF(Main[[#This Row],[Class]]="B", WORKDAY(Main[[#This Row],[Tech Start Date]],12),IF(Main[[#This Row],[Class]]="A",WORKDAY(Main[[#This Row],[Tech Start Date]],4),""))))</f>
        <v/>
      </c>
      <c r="O1268" s="104" t="str">
        <f>IF(Main[[#This Row],[Tech Start Date]]&lt;1/1/1990,"",IF(Main[[#This Row],[Class]]="C",WORKDAY(Main[[#This Row],[Tech Start Date]],23),IF(Main[[#This Row],[Class]]="B", WORKDAY(Main[[#This Row],[Tech Start Date]],15),IF(Main[[#This Row],[Class]]="A",WORKDAY(Main[[#This Row],[Tech Start Date]],5),""))))</f>
        <v/>
      </c>
      <c r="P1268" s="104" t="str">
        <f>IF(Main[[#This Row],[Tech Start Date]]&lt;1/1/1990,"",IF(Main[[#This Row],[Class]]="C",WORKDAY(Main[[#This Row],[Tech Start Date]],28),IF(Main[[#This Row],[Class]]="B", WORKDAY(Main[[#This Row],[Tech Start Date]],19),IF(Main[[#This Row],[Class]]="A",WORKDAY(Main[[#This Row],[Tech Start Date]],9),""))))</f>
        <v/>
      </c>
      <c r="Q1268" s="101">
        <v>40939</v>
      </c>
      <c r="R1268" s="101">
        <v>40939</v>
      </c>
      <c r="S1268" s="99" t="s">
        <v>11</v>
      </c>
      <c r="T1268" s="107" t="s">
        <v>4</v>
      </c>
      <c r="U1268" s="99" t="s">
        <v>14</v>
      </c>
      <c r="V1268" s="99" t="s">
        <v>1963</v>
      </c>
      <c r="W1268" s="99" t="s">
        <v>1966</v>
      </c>
    </row>
    <row r="1269" spans="1:23" ht="18.600000000000001" customHeight="1">
      <c r="A1269" s="123" t="str">
        <f>IF(priority(Main[[#This Row],[Comments]])&lt;&gt;0, priority(Main[[#This Row],[Comments]]),"")</f>
        <v/>
      </c>
      <c r="B1269" s="127" t="s">
        <v>1957</v>
      </c>
      <c r="C1269" s="99" t="s">
        <v>4</v>
      </c>
      <c r="D1269" s="100" t="s">
        <v>982</v>
      </c>
      <c r="E1269" s="101">
        <v>40436.63890046296</v>
      </c>
      <c r="F1269" s="101"/>
      <c r="G1269" s="102" t="str">
        <f>IF(stdProdLT(Main[[#This Row],[Comments]])=0.1,"N/A",IF(stdProdLT(Main[[#This Row],[Comments]])=0,"",stdProdLT(Main[[#This Row],[Comments]])))</f>
        <v/>
      </c>
      <c r="H1269" s="103" t="str">
        <f>IF(AND(Main[[#This Row],[In Stock Date]]&lt;&gt;"",Main[[#This Row],[Revised Due Date]]&lt;&gt;""),Main[[#This Row],[In Stock Date]]-Main[[#This Row],[Revised Due Date]],"")</f>
        <v/>
      </c>
      <c r="I1269" s="99" t="s">
        <v>893</v>
      </c>
      <c r="J1269" s="99" t="s">
        <v>28</v>
      </c>
      <c r="K1269" s="99" t="s">
        <v>1974</v>
      </c>
      <c r="L1269" s="101">
        <v>40549</v>
      </c>
      <c r="M1269" s="104" t="str">
        <f>IF(Main[[#This Row],[Tech Start Date]]&lt;1/1/1990,"",IF(Main[[#This Row],[Class]]="C",WORKDAY(Main[[#This Row],[Tech Start Date]],9),IF(Main[[#This Row],[Class]]="B", WORKDAY(Main[[#This Row],[Tech Start Date]],6),IF(Main[[#This Row],[Class]]="A",WORKDAY(Main[[#This Row],[Tech Start Date]],2),""))))</f>
        <v/>
      </c>
      <c r="N1269" s="104" t="str">
        <f>IF(Main[[#This Row],[Tech Start Date]]&lt;1/1/1990,"",IF(Main[[#This Row],[Class]]="C",WORKDAY(Main[[#This Row],[Tech Start Date]],19),IF(Main[[#This Row],[Class]]="B", WORKDAY(Main[[#This Row],[Tech Start Date]],12),IF(Main[[#This Row],[Class]]="A",WORKDAY(Main[[#This Row],[Tech Start Date]],4),""))))</f>
        <v/>
      </c>
      <c r="O1269" s="104" t="str">
        <f>IF(Main[[#This Row],[Tech Start Date]]&lt;1/1/1990,"",IF(Main[[#This Row],[Class]]="C",WORKDAY(Main[[#This Row],[Tech Start Date]],23),IF(Main[[#This Row],[Class]]="B", WORKDAY(Main[[#This Row],[Tech Start Date]],15),IF(Main[[#This Row],[Class]]="A",WORKDAY(Main[[#This Row],[Tech Start Date]],5),""))))</f>
        <v/>
      </c>
      <c r="P1269" s="104" t="str">
        <f>IF(Main[[#This Row],[Tech Start Date]]&lt;1/1/1990,"",IF(Main[[#This Row],[Class]]="C",WORKDAY(Main[[#This Row],[Tech Start Date]],28),IF(Main[[#This Row],[Class]]="B", WORKDAY(Main[[#This Row],[Tech Start Date]],19),IF(Main[[#This Row],[Class]]="A",WORKDAY(Main[[#This Row],[Tech Start Date]],9),""))))</f>
        <v/>
      </c>
      <c r="Q1269" s="101">
        <v>40939</v>
      </c>
      <c r="R1269" s="101">
        <v>40939</v>
      </c>
      <c r="S1269" s="99" t="s">
        <v>17</v>
      </c>
      <c r="T1269" s="107" t="s">
        <v>983</v>
      </c>
      <c r="U1269" s="99" t="s">
        <v>29</v>
      </c>
      <c r="V1269" s="99" t="s">
        <v>1962</v>
      </c>
      <c r="W1269" s="99" t="s">
        <v>1966</v>
      </c>
    </row>
    <row r="1270" spans="1:23" ht="18.600000000000001" customHeight="1">
      <c r="A1270" s="123" t="str">
        <f>IF(priority(Main[[#This Row],[Comments]])&lt;&gt;0, priority(Main[[#This Row],[Comments]]),"")</f>
        <v/>
      </c>
      <c r="B1270" s="127" t="s">
        <v>1956</v>
      </c>
      <c r="C1270" s="99" t="s">
        <v>4</v>
      </c>
      <c r="D1270" s="100" t="s">
        <v>981</v>
      </c>
      <c r="E1270" s="101"/>
      <c r="F1270" s="101"/>
      <c r="G1270" s="102" t="str">
        <f>IF(stdProdLT(Main[[#This Row],[Comments]])=0.1,"N/A",IF(stdProdLT(Main[[#This Row],[Comments]])=0,"",stdProdLT(Main[[#This Row],[Comments]])))</f>
        <v/>
      </c>
      <c r="H1270" s="103" t="str">
        <f>IF(AND(Main[[#This Row],[In Stock Date]]&lt;&gt;"",Main[[#This Row],[Revised Due Date]]&lt;&gt;""),Main[[#This Row],[In Stock Date]]-Main[[#This Row],[Revised Due Date]],"")</f>
        <v/>
      </c>
      <c r="I1270" s="99" t="s">
        <v>893</v>
      </c>
      <c r="J1270" s="99" t="s">
        <v>28</v>
      </c>
      <c r="K1270" s="99" t="s">
        <v>1974</v>
      </c>
      <c r="L1270" s="101">
        <v>40549</v>
      </c>
      <c r="M1270" s="104" t="str">
        <f>IF(Main[[#This Row],[Tech Start Date]]&lt;1/1/1990,"",IF(Main[[#This Row],[Class]]="C",WORKDAY(Main[[#This Row],[Tech Start Date]],9),IF(Main[[#This Row],[Class]]="B", WORKDAY(Main[[#This Row],[Tech Start Date]],6),IF(Main[[#This Row],[Class]]="A",WORKDAY(Main[[#This Row],[Tech Start Date]],2),""))))</f>
        <v/>
      </c>
      <c r="N1270" s="104" t="str">
        <f>IF(Main[[#This Row],[Tech Start Date]]&lt;1/1/1990,"",IF(Main[[#This Row],[Class]]="C",WORKDAY(Main[[#This Row],[Tech Start Date]],19),IF(Main[[#This Row],[Class]]="B", WORKDAY(Main[[#This Row],[Tech Start Date]],12),IF(Main[[#This Row],[Class]]="A",WORKDAY(Main[[#This Row],[Tech Start Date]],4),""))))</f>
        <v/>
      </c>
      <c r="O1270" s="104" t="str">
        <f>IF(Main[[#This Row],[Tech Start Date]]&lt;1/1/1990,"",IF(Main[[#This Row],[Class]]="C",WORKDAY(Main[[#This Row],[Tech Start Date]],23),IF(Main[[#This Row],[Class]]="B", WORKDAY(Main[[#This Row],[Tech Start Date]],15),IF(Main[[#This Row],[Class]]="A",WORKDAY(Main[[#This Row],[Tech Start Date]],5),""))))</f>
        <v/>
      </c>
      <c r="P1270" s="104" t="str">
        <f>IF(Main[[#This Row],[Tech Start Date]]&lt;1/1/1990,"",IF(Main[[#This Row],[Class]]="C",WORKDAY(Main[[#This Row],[Tech Start Date]],28),IF(Main[[#This Row],[Class]]="B", WORKDAY(Main[[#This Row],[Tech Start Date]],19),IF(Main[[#This Row],[Class]]="A",WORKDAY(Main[[#This Row],[Tech Start Date]],9),""))))</f>
        <v/>
      </c>
      <c r="Q1270" s="101">
        <v>40939</v>
      </c>
      <c r="R1270" s="101">
        <v>40939</v>
      </c>
      <c r="S1270" s="99" t="s">
        <v>11</v>
      </c>
      <c r="T1270" s="107" t="s">
        <v>4</v>
      </c>
      <c r="U1270" s="99" t="s">
        <v>14</v>
      </c>
      <c r="V1270" s="99" t="s">
        <v>1962</v>
      </c>
      <c r="W1270" s="99" t="s">
        <v>1966</v>
      </c>
    </row>
    <row r="1271" spans="1:23" ht="18.600000000000001" customHeight="1">
      <c r="A1271" s="123" t="str">
        <f>IF(priority(Main[[#This Row],[Comments]])&lt;&gt;0, priority(Main[[#This Row],[Comments]]),"")</f>
        <v/>
      </c>
      <c r="B1271" s="127" t="s">
        <v>1959</v>
      </c>
      <c r="C1271" s="99" t="s">
        <v>4</v>
      </c>
      <c r="D1271" s="100" t="s">
        <v>985</v>
      </c>
      <c r="E1271" s="101"/>
      <c r="F1271" s="101"/>
      <c r="G1271" s="102" t="str">
        <f>IF(stdProdLT(Main[[#This Row],[Comments]])=0.1,"N/A",IF(stdProdLT(Main[[#This Row],[Comments]])=0,"",stdProdLT(Main[[#This Row],[Comments]])))</f>
        <v/>
      </c>
      <c r="H1271" s="103" t="str">
        <f>IF(AND(Main[[#This Row],[In Stock Date]]&lt;&gt;"",Main[[#This Row],[Revised Due Date]]&lt;&gt;""),Main[[#This Row],[In Stock Date]]-Main[[#This Row],[Revised Due Date]],"")</f>
        <v/>
      </c>
      <c r="I1271" s="99" t="s">
        <v>939</v>
      </c>
      <c r="J1271" s="99" t="s">
        <v>4</v>
      </c>
      <c r="K1271" s="99" t="s">
        <v>1974</v>
      </c>
      <c r="L1271" s="101">
        <v>40549</v>
      </c>
      <c r="M1271" s="104" t="str">
        <f>IF(Main[[#This Row],[Tech Start Date]]&lt;1/1/1990,"",IF(Main[[#This Row],[Class]]="C",WORKDAY(Main[[#This Row],[Tech Start Date]],9),IF(Main[[#This Row],[Class]]="B", WORKDAY(Main[[#This Row],[Tech Start Date]],6),IF(Main[[#This Row],[Class]]="A",WORKDAY(Main[[#This Row],[Tech Start Date]],2),""))))</f>
        <v/>
      </c>
      <c r="N1271" s="104" t="str">
        <f>IF(Main[[#This Row],[Tech Start Date]]&lt;1/1/1990,"",IF(Main[[#This Row],[Class]]="C",WORKDAY(Main[[#This Row],[Tech Start Date]],19),IF(Main[[#This Row],[Class]]="B", WORKDAY(Main[[#This Row],[Tech Start Date]],12),IF(Main[[#This Row],[Class]]="A",WORKDAY(Main[[#This Row],[Tech Start Date]],4),""))))</f>
        <v/>
      </c>
      <c r="O1271" s="104" t="str">
        <f>IF(Main[[#This Row],[Tech Start Date]]&lt;1/1/1990,"",IF(Main[[#This Row],[Class]]="C",WORKDAY(Main[[#This Row],[Tech Start Date]],23),IF(Main[[#This Row],[Class]]="B", WORKDAY(Main[[#This Row],[Tech Start Date]],15),IF(Main[[#This Row],[Class]]="A",WORKDAY(Main[[#This Row],[Tech Start Date]],5),""))))</f>
        <v/>
      </c>
      <c r="P1271" s="104" t="str">
        <f>IF(Main[[#This Row],[Tech Start Date]]&lt;1/1/1990,"",IF(Main[[#This Row],[Class]]="C",WORKDAY(Main[[#This Row],[Tech Start Date]],28),IF(Main[[#This Row],[Class]]="B", WORKDAY(Main[[#This Row],[Tech Start Date]],19),IF(Main[[#This Row],[Class]]="A",WORKDAY(Main[[#This Row],[Tech Start Date]],9),""))))</f>
        <v/>
      </c>
      <c r="Q1271" s="101">
        <v>40939</v>
      </c>
      <c r="R1271" s="101">
        <v>40939</v>
      </c>
      <c r="S1271" s="99" t="s">
        <v>11</v>
      </c>
      <c r="T1271" s="107" t="s">
        <v>4</v>
      </c>
      <c r="U1271" s="99" t="s">
        <v>14</v>
      </c>
      <c r="V1271" s="99" t="s">
        <v>1962</v>
      </c>
      <c r="W1271" s="99" t="s">
        <v>1966</v>
      </c>
    </row>
    <row r="1272" spans="1:23" ht="18.600000000000001" customHeight="1">
      <c r="A1272" s="123" t="str">
        <f>IF(priority(Main[[#This Row],[Comments]])&lt;&gt;0, priority(Main[[#This Row],[Comments]]),"")</f>
        <v/>
      </c>
      <c r="B1272" s="127" t="s">
        <v>1909</v>
      </c>
      <c r="C1272" s="99" t="s">
        <v>4</v>
      </c>
      <c r="D1272" s="100" t="s">
        <v>2073</v>
      </c>
      <c r="E1272" s="101">
        <v>40478.350138888891</v>
      </c>
      <c r="F1272" s="101"/>
      <c r="G1272" s="102" t="str">
        <f>IF(stdProdLT(Main[[#This Row],[Comments]])=0.1,"N/A",IF(stdProdLT(Main[[#This Row],[Comments]])=0,"",stdProdLT(Main[[#This Row],[Comments]])))</f>
        <v/>
      </c>
      <c r="H1272" s="103" t="str">
        <f>IF(AND(Main[[#This Row],[In Stock Date]]&lt;&gt;"",Main[[#This Row],[Revised Due Date]]&lt;&gt;""),Main[[#This Row],[In Stock Date]]-Main[[#This Row],[Revised Due Date]],"")</f>
        <v/>
      </c>
      <c r="I1272" s="99" t="s">
        <v>939</v>
      </c>
      <c r="J1272" s="99" t="s">
        <v>28</v>
      </c>
      <c r="K1272" s="99" t="s">
        <v>1974</v>
      </c>
      <c r="L1272" s="101">
        <v>40554</v>
      </c>
      <c r="M1272" s="104" t="str">
        <f>IF(Main[[#This Row],[Tech Start Date]]&lt;1/1/1990,"",IF(Main[[#This Row],[Class]]="C",WORKDAY(Main[[#This Row],[Tech Start Date]],9),IF(Main[[#This Row],[Class]]="B", WORKDAY(Main[[#This Row],[Tech Start Date]],6),IF(Main[[#This Row],[Class]]="A",WORKDAY(Main[[#This Row],[Tech Start Date]],2),""))))</f>
        <v/>
      </c>
      <c r="N1272" s="104" t="str">
        <f>IF(Main[[#This Row],[Tech Start Date]]&lt;1/1/1990,"",IF(Main[[#This Row],[Class]]="C",WORKDAY(Main[[#This Row],[Tech Start Date]],19),IF(Main[[#This Row],[Class]]="B", WORKDAY(Main[[#This Row],[Tech Start Date]],12),IF(Main[[#This Row],[Class]]="A",WORKDAY(Main[[#This Row],[Tech Start Date]],4),""))))</f>
        <v/>
      </c>
      <c r="O1272" s="104" t="str">
        <f>IF(Main[[#This Row],[Tech Start Date]]&lt;1/1/1990,"",IF(Main[[#This Row],[Class]]="C",WORKDAY(Main[[#This Row],[Tech Start Date]],23),IF(Main[[#This Row],[Class]]="B", WORKDAY(Main[[#This Row],[Tech Start Date]],15),IF(Main[[#This Row],[Class]]="A",WORKDAY(Main[[#This Row],[Tech Start Date]],5),""))))</f>
        <v/>
      </c>
      <c r="P1272" s="104" t="str">
        <f>IF(Main[[#This Row],[Tech Start Date]]&lt;1/1/1990,"",IF(Main[[#This Row],[Class]]="C",WORKDAY(Main[[#This Row],[Tech Start Date]],28),IF(Main[[#This Row],[Class]]="B", WORKDAY(Main[[#This Row],[Tech Start Date]],19),IF(Main[[#This Row],[Class]]="A",WORKDAY(Main[[#This Row],[Tech Start Date]],9),""))))</f>
        <v/>
      </c>
      <c r="Q1272" s="101">
        <v>40979</v>
      </c>
      <c r="R1272" s="101">
        <v>40979</v>
      </c>
      <c r="S1272" s="99" t="s">
        <v>17</v>
      </c>
      <c r="T1272" s="107" t="s">
        <v>940</v>
      </c>
      <c r="U1272" s="99" t="s">
        <v>29</v>
      </c>
      <c r="V1272" s="99" t="s">
        <v>1977</v>
      </c>
      <c r="W1272" s="99" t="s">
        <v>1966</v>
      </c>
    </row>
    <row r="1273" spans="1:23" ht="18.600000000000001" customHeight="1">
      <c r="A1273" s="123" t="str">
        <f>IF(priority(Main[[#This Row],[Comments]])&lt;&gt;0, priority(Main[[#This Row],[Comments]]),"")</f>
        <v/>
      </c>
      <c r="B1273" s="127" t="s">
        <v>1919</v>
      </c>
      <c r="C1273" s="99" t="s">
        <v>4</v>
      </c>
      <c r="D1273" s="100" t="s">
        <v>2875</v>
      </c>
      <c r="E1273" s="101">
        <v>40574.442175925928</v>
      </c>
      <c r="F1273" s="101">
        <v>40663</v>
      </c>
      <c r="G1273" s="102" t="str">
        <f>IF(stdProdLT(Main[[#This Row],[Comments]])=0.1,"N/A",IF(stdProdLT(Main[[#This Row],[Comments]])=0,"",stdProdLT(Main[[#This Row],[Comments]])))</f>
        <v/>
      </c>
      <c r="H1273" s="103">
        <f>IF(AND(Main[[#This Row],[In Stock Date]]&lt;&gt;"",Main[[#This Row],[Revised Due Date]]&lt;&gt;""),Main[[#This Row],[In Stock Date]]-Main[[#This Row],[Revised Due Date]],"")</f>
        <v>-276</v>
      </c>
      <c r="I1273" s="99" t="s">
        <v>924</v>
      </c>
      <c r="J1273" s="99" t="s">
        <v>28</v>
      </c>
      <c r="K1273" s="99" t="s">
        <v>1974</v>
      </c>
      <c r="L1273" s="101">
        <v>40574</v>
      </c>
      <c r="M1273" s="104" t="str">
        <f>IF(Main[[#This Row],[Tech Start Date]]&lt;1/1/1990,"",IF(Main[[#This Row],[Class]]="C",WORKDAY(Main[[#This Row],[Tech Start Date]],9),IF(Main[[#This Row],[Class]]="B", WORKDAY(Main[[#This Row],[Tech Start Date]],6),IF(Main[[#This Row],[Class]]="A",WORKDAY(Main[[#This Row],[Tech Start Date]],2),""))))</f>
        <v/>
      </c>
      <c r="N1273" s="104" t="str">
        <f>IF(Main[[#This Row],[Tech Start Date]]&lt;1/1/1990,"",IF(Main[[#This Row],[Class]]="C",WORKDAY(Main[[#This Row],[Tech Start Date]],19),IF(Main[[#This Row],[Class]]="B", WORKDAY(Main[[#This Row],[Tech Start Date]],12),IF(Main[[#This Row],[Class]]="A",WORKDAY(Main[[#This Row],[Tech Start Date]],4),""))))</f>
        <v/>
      </c>
      <c r="O1273" s="104" t="str">
        <f>IF(Main[[#This Row],[Tech Start Date]]&lt;1/1/1990,"",IF(Main[[#This Row],[Class]]="C",WORKDAY(Main[[#This Row],[Tech Start Date]],23),IF(Main[[#This Row],[Class]]="B", WORKDAY(Main[[#This Row],[Tech Start Date]],15),IF(Main[[#This Row],[Class]]="A",WORKDAY(Main[[#This Row],[Tech Start Date]],5),""))))</f>
        <v/>
      </c>
      <c r="P1273" s="104" t="str">
        <f>IF(Main[[#This Row],[Tech Start Date]]&lt;1/1/1990,"",IF(Main[[#This Row],[Class]]="C",WORKDAY(Main[[#This Row],[Tech Start Date]],28),IF(Main[[#This Row],[Class]]="B", WORKDAY(Main[[#This Row],[Tech Start Date]],19),IF(Main[[#This Row],[Class]]="A",WORKDAY(Main[[#This Row],[Tech Start Date]],9),""))))</f>
        <v/>
      </c>
      <c r="Q1273" s="101">
        <v>40939</v>
      </c>
      <c r="R1273" s="101">
        <v>40939</v>
      </c>
      <c r="S1273" s="99" t="s">
        <v>17</v>
      </c>
      <c r="T1273" s="107" t="s">
        <v>2406</v>
      </c>
      <c r="U1273" s="99" t="s">
        <v>29</v>
      </c>
      <c r="V1273" s="99" t="s">
        <v>1962</v>
      </c>
      <c r="W1273" s="99" t="s">
        <v>1964</v>
      </c>
    </row>
    <row r="1274" spans="1:23" ht="18.600000000000001" customHeight="1">
      <c r="A1274" s="123" t="str">
        <f>IF(priority(Main[[#This Row],[Comments]])&lt;&gt;0, priority(Main[[#This Row],[Comments]]),"")</f>
        <v/>
      </c>
      <c r="B1274" s="127" t="s">
        <v>1911</v>
      </c>
      <c r="C1274" s="99" t="s">
        <v>4</v>
      </c>
      <c r="D1274" s="100" t="s">
        <v>942</v>
      </c>
      <c r="E1274" s="101"/>
      <c r="F1274" s="101"/>
      <c r="G1274" s="102" t="str">
        <f>IF(stdProdLT(Main[[#This Row],[Comments]])=0.1,"N/A",IF(stdProdLT(Main[[#This Row],[Comments]])=0,"",stdProdLT(Main[[#This Row],[Comments]])))</f>
        <v/>
      </c>
      <c r="H1274" s="103" t="str">
        <f>IF(AND(Main[[#This Row],[In Stock Date]]&lt;&gt;"",Main[[#This Row],[Revised Due Date]]&lt;&gt;""),Main[[#This Row],[In Stock Date]]-Main[[#This Row],[Revised Due Date]],"")</f>
        <v/>
      </c>
      <c r="I1274" s="99" t="s">
        <v>30</v>
      </c>
      <c r="J1274" s="99" t="s">
        <v>52</v>
      </c>
      <c r="K1274" s="99" t="s">
        <v>1971</v>
      </c>
      <c r="L1274" s="101">
        <v>40589</v>
      </c>
      <c r="M1274" s="104">
        <f>IF(Main[[#This Row],[Tech Start Date]]&lt;1/1/1990,"",IF(Main[[#This Row],[Class]]="C",WORKDAY(Main[[#This Row],[Tech Start Date]],9),IF(Main[[#This Row],[Class]]="B", WORKDAY(Main[[#This Row],[Tech Start Date]],6),IF(Main[[#This Row],[Class]]="A",WORKDAY(Main[[#This Row],[Tech Start Date]],2),""))))</f>
        <v>40591</v>
      </c>
      <c r="N1274" s="104">
        <f>IF(Main[[#This Row],[Tech Start Date]]&lt;1/1/1990,"",IF(Main[[#This Row],[Class]]="C",WORKDAY(Main[[#This Row],[Tech Start Date]],19),IF(Main[[#This Row],[Class]]="B", WORKDAY(Main[[#This Row],[Tech Start Date]],12),IF(Main[[#This Row],[Class]]="A",WORKDAY(Main[[#This Row],[Tech Start Date]],4),""))))</f>
        <v>40595</v>
      </c>
      <c r="O1274" s="104">
        <f>IF(Main[[#This Row],[Tech Start Date]]&lt;1/1/1990,"",IF(Main[[#This Row],[Class]]="C",WORKDAY(Main[[#This Row],[Tech Start Date]],23),IF(Main[[#This Row],[Class]]="B", WORKDAY(Main[[#This Row],[Tech Start Date]],15),IF(Main[[#This Row],[Class]]="A",WORKDAY(Main[[#This Row],[Tech Start Date]],5),""))))</f>
        <v>40596</v>
      </c>
      <c r="P1274" s="104">
        <f>IF(Main[[#This Row],[Tech Start Date]]&lt;1/1/1990,"",IF(Main[[#This Row],[Class]]="C",WORKDAY(Main[[#This Row],[Tech Start Date]],28),IF(Main[[#This Row],[Class]]="B", WORKDAY(Main[[#This Row],[Tech Start Date]],19),IF(Main[[#This Row],[Class]]="A",WORKDAY(Main[[#This Row],[Tech Start Date]],9),""))))</f>
        <v>40602</v>
      </c>
      <c r="Q1274" s="101">
        <v>40592</v>
      </c>
      <c r="R1274" s="101">
        <v>40624</v>
      </c>
      <c r="S1274" s="99" t="s">
        <v>6</v>
      </c>
      <c r="T1274" s="107" t="s">
        <v>4</v>
      </c>
      <c r="U1274" s="99" t="s">
        <v>14</v>
      </c>
      <c r="V1274" s="99" t="s">
        <v>1965</v>
      </c>
      <c r="W1274" s="99" t="s">
        <v>1964</v>
      </c>
    </row>
    <row r="1275" spans="1:23" ht="18.600000000000001" customHeight="1">
      <c r="A1275" s="123" t="str">
        <f>IF(priority(Main[[#This Row],[Comments]])&lt;&gt;0, priority(Main[[#This Row],[Comments]]),"")</f>
        <v/>
      </c>
      <c r="B1275" s="127" t="s">
        <v>1908</v>
      </c>
      <c r="C1275" s="99" t="s">
        <v>4</v>
      </c>
      <c r="D1275" s="100" t="s">
        <v>938</v>
      </c>
      <c r="E1275" s="101">
        <v>40590.540578703702</v>
      </c>
      <c r="F1275" s="101"/>
      <c r="G1275" s="102" t="str">
        <f>IF(stdProdLT(Main[[#This Row],[Comments]])=0.1,"N/A",IF(stdProdLT(Main[[#This Row],[Comments]])=0,"",stdProdLT(Main[[#This Row],[Comments]])))</f>
        <v/>
      </c>
      <c r="H1275" s="103" t="str">
        <f>IF(AND(Main[[#This Row],[In Stock Date]]&lt;&gt;"",Main[[#This Row],[Revised Due Date]]&lt;&gt;""),Main[[#This Row],[In Stock Date]]-Main[[#This Row],[Revised Due Date]],"")</f>
        <v/>
      </c>
      <c r="I1275" s="99" t="s">
        <v>4</v>
      </c>
      <c r="J1275" s="99" t="s">
        <v>28</v>
      </c>
      <c r="K1275" s="108" t="s">
        <v>1971</v>
      </c>
      <c r="L1275" s="101">
        <v>40590</v>
      </c>
      <c r="M1275" s="104">
        <f>IF(Main[[#This Row],[Tech Start Date]]&lt;1/1/1990,"",IF(Main[[#This Row],[Class]]="C",WORKDAY(Main[[#This Row],[Tech Start Date]],9),IF(Main[[#This Row],[Class]]="B", WORKDAY(Main[[#This Row],[Tech Start Date]],6),IF(Main[[#This Row],[Class]]="A",WORKDAY(Main[[#This Row],[Tech Start Date]],2),""))))</f>
        <v>40592</v>
      </c>
      <c r="N1275" s="104">
        <f>IF(Main[[#This Row],[Tech Start Date]]&lt;1/1/1990,"",IF(Main[[#This Row],[Class]]="C",WORKDAY(Main[[#This Row],[Tech Start Date]],19),IF(Main[[#This Row],[Class]]="B", WORKDAY(Main[[#This Row],[Tech Start Date]],12),IF(Main[[#This Row],[Class]]="A",WORKDAY(Main[[#This Row],[Tech Start Date]],4),""))))</f>
        <v>40596</v>
      </c>
      <c r="O1275" s="104">
        <f>IF(Main[[#This Row],[Tech Start Date]]&lt;1/1/1990,"",IF(Main[[#This Row],[Class]]="C",WORKDAY(Main[[#This Row],[Tech Start Date]],23),IF(Main[[#This Row],[Class]]="B", WORKDAY(Main[[#This Row],[Tech Start Date]],15),IF(Main[[#This Row],[Class]]="A",WORKDAY(Main[[#This Row],[Tech Start Date]],5),""))))</f>
        <v>40597</v>
      </c>
      <c r="P1275" s="104">
        <f>IF(Main[[#This Row],[Tech Start Date]]&lt;1/1/1990,"",IF(Main[[#This Row],[Class]]="C",WORKDAY(Main[[#This Row],[Tech Start Date]],28),IF(Main[[#This Row],[Class]]="B", WORKDAY(Main[[#This Row],[Tech Start Date]],19),IF(Main[[#This Row],[Class]]="A",WORKDAY(Main[[#This Row],[Tech Start Date]],9),""))))</f>
        <v>40603</v>
      </c>
      <c r="Q1275" s="101">
        <v>40618</v>
      </c>
      <c r="R1275" s="101">
        <v>40604</v>
      </c>
      <c r="S1275" s="99" t="s">
        <v>6</v>
      </c>
      <c r="T1275" s="107" t="s">
        <v>4</v>
      </c>
      <c r="U1275" s="99" t="s">
        <v>29</v>
      </c>
      <c r="V1275" s="99" t="s">
        <v>1962</v>
      </c>
      <c r="W1275" s="99" t="s">
        <v>1966</v>
      </c>
    </row>
    <row r="1276" spans="1:23" ht="18.600000000000001" customHeight="1">
      <c r="A1276" s="123" t="str">
        <f>IF(priority(Main[[#This Row],[Comments]])&lt;&gt;0, priority(Main[[#This Row],[Comments]]),"")</f>
        <v/>
      </c>
      <c r="B1276" s="127" t="s">
        <v>1912</v>
      </c>
      <c r="C1276" s="99" t="s">
        <v>4</v>
      </c>
      <c r="D1276" s="100" t="s">
        <v>2321</v>
      </c>
      <c r="E1276" s="101">
        <v>40577.592002314814</v>
      </c>
      <c r="F1276" s="101"/>
      <c r="G1276" s="102" t="str">
        <f>IF(stdProdLT(Main[[#This Row],[Comments]])=0.1,"N/A",IF(stdProdLT(Main[[#This Row],[Comments]])=0,"",stdProdLT(Main[[#This Row],[Comments]])))</f>
        <v/>
      </c>
      <c r="H1276" s="103" t="str">
        <f>IF(AND(Main[[#This Row],[In Stock Date]]&lt;&gt;"",Main[[#This Row],[Revised Due Date]]&lt;&gt;""),Main[[#This Row],[In Stock Date]]-Main[[#This Row],[Revised Due Date]],"")</f>
        <v/>
      </c>
      <c r="I1276" s="99" t="s">
        <v>929</v>
      </c>
      <c r="J1276" s="99" t="s">
        <v>28</v>
      </c>
      <c r="K1276" s="99" t="s">
        <v>1971</v>
      </c>
      <c r="L1276" s="101">
        <v>40591</v>
      </c>
      <c r="M1276" s="104">
        <f>IF(Main[[#This Row],[Tech Start Date]]&lt;1/1/1990,"",IF(Main[[#This Row],[Class]]="C",WORKDAY(Main[[#This Row],[Tech Start Date]],9),IF(Main[[#This Row],[Class]]="B", WORKDAY(Main[[#This Row],[Tech Start Date]],6),IF(Main[[#This Row],[Class]]="A",WORKDAY(Main[[#This Row],[Tech Start Date]],2),""))))</f>
        <v>40595</v>
      </c>
      <c r="N1276" s="104">
        <f>IF(Main[[#This Row],[Tech Start Date]]&lt;1/1/1990,"",IF(Main[[#This Row],[Class]]="C",WORKDAY(Main[[#This Row],[Tech Start Date]],19),IF(Main[[#This Row],[Class]]="B", WORKDAY(Main[[#This Row],[Tech Start Date]],12),IF(Main[[#This Row],[Class]]="A",WORKDAY(Main[[#This Row],[Tech Start Date]],4),""))))</f>
        <v>40597</v>
      </c>
      <c r="O1276" s="104">
        <f>IF(Main[[#This Row],[Tech Start Date]]&lt;1/1/1990,"",IF(Main[[#This Row],[Class]]="C",WORKDAY(Main[[#This Row],[Tech Start Date]],23),IF(Main[[#This Row],[Class]]="B", WORKDAY(Main[[#This Row],[Tech Start Date]],15),IF(Main[[#This Row],[Class]]="A",WORKDAY(Main[[#This Row],[Tech Start Date]],5),""))))</f>
        <v>40598</v>
      </c>
      <c r="P1276" s="104">
        <f>IF(Main[[#This Row],[Tech Start Date]]&lt;1/1/1990,"",IF(Main[[#This Row],[Class]]="C",WORKDAY(Main[[#This Row],[Tech Start Date]],28),IF(Main[[#This Row],[Class]]="B", WORKDAY(Main[[#This Row],[Tech Start Date]],19),IF(Main[[#This Row],[Class]]="A",WORKDAY(Main[[#This Row],[Tech Start Date]],9),""))))</f>
        <v>40604</v>
      </c>
      <c r="Q1276" s="101">
        <v>40626</v>
      </c>
      <c r="R1276" s="101">
        <v>40626</v>
      </c>
      <c r="S1276" s="99" t="s">
        <v>6</v>
      </c>
      <c r="T1276" s="107" t="s">
        <v>4</v>
      </c>
      <c r="U1276" s="99" t="s">
        <v>29</v>
      </c>
      <c r="V1276" s="99" t="s">
        <v>1962</v>
      </c>
      <c r="W1276" s="99" t="s">
        <v>1964</v>
      </c>
    </row>
    <row r="1277" spans="1:23" ht="18.600000000000001" customHeight="1">
      <c r="A1277" s="123" t="str">
        <f>IF(priority(Main[[#This Row],[Comments]])&lt;&gt;0, priority(Main[[#This Row],[Comments]]),"")</f>
        <v/>
      </c>
      <c r="B1277" s="127" t="s">
        <v>1938</v>
      </c>
      <c r="C1277" s="99" t="s">
        <v>968</v>
      </c>
      <c r="D1277" s="100" t="s">
        <v>2010</v>
      </c>
      <c r="E1277" s="101"/>
      <c r="F1277" s="101">
        <v>40709</v>
      </c>
      <c r="G1277" s="102" t="str">
        <f>IF(stdProdLT(Main[[#This Row],[Comments]])=0.1,"N/A",IF(stdProdLT(Main[[#This Row],[Comments]])=0,"",stdProdLT(Main[[#This Row],[Comments]])))</f>
        <v/>
      </c>
      <c r="H1277" s="103">
        <f>IF(AND(Main[[#This Row],[In Stock Date]]&lt;&gt;"",Main[[#This Row],[Revised Due Date]]&lt;&gt;""),Main[[#This Row],[In Stock Date]]-Main[[#This Row],[Revised Due Date]],"")</f>
        <v>-44</v>
      </c>
      <c r="I1277" s="99" t="s">
        <v>924</v>
      </c>
      <c r="J1277" s="99" t="s">
        <v>28</v>
      </c>
      <c r="K1277" s="99" t="s">
        <v>1969</v>
      </c>
      <c r="L1277" s="101">
        <v>40612</v>
      </c>
      <c r="M1277" s="104">
        <f>IF(Main[[#This Row],[Tech Start Date]]&lt;1/1/1990,"",IF(Main[[#This Row],[Class]]="C",WORKDAY(Main[[#This Row],[Tech Start Date]],9),IF(Main[[#This Row],[Class]]="B", WORKDAY(Main[[#This Row],[Tech Start Date]],6),IF(Main[[#This Row],[Class]]="A",WORKDAY(Main[[#This Row],[Tech Start Date]],2),""))))</f>
        <v>40620</v>
      </c>
      <c r="N1277" s="104">
        <f>IF(Main[[#This Row],[Tech Start Date]]&lt;1/1/1990,"",IF(Main[[#This Row],[Class]]="C",WORKDAY(Main[[#This Row],[Tech Start Date]],19),IF(Main[[#This Row],[Class]]="B", WORKDAY(Main[[#This Row],[Tech Start Date]],12),IF(Main[[#This Row],[Class]]="A",WORKDAY(Main[[#This Row],[Tech Start Date]],4),""))))</f>
        <v>40630</v>
      </c>
      <c r="O1277" s="104">
        <f>IF(Main[[#This Row],[Tech Start Date]]&lt;1/1/1990,"",IF(Main[[#This Row],[Class]]="C",WORKDAY(Main[[#This Row],[Tech Start Date]],23),IF(Main[[#This Row],[Class]]="B", WORKDAY(Main[[#This Row],[Tech Start Date]],15),IF(Main[[#This Row],[Class]]="A",WORKDAY(Main[[#This Row],[Tech Start Date]],5),""))))</f>
        <v>40633</v>
      </c>
      <c r="P1277" s="104">
        <f>IF(Main[[#This Row],[Tech Start Date]]&lt;1/1/1990,"",IF(Main[[#This Row],[Class]]="C",WORKDAY(Main[[#This Row],[Tech Start Date]],28),IF(Main[[#This Row],[Class]]="B", WORKDAY(Main[[#This Row],[Tech Start Date]],19),IF(Main[[#This Row],[Class]]="A",WORKDAY(Main[[#This Row],[Tech Start Date]],9),""))))</f>
        <v>40639</v>
      </c>
      <c r="Q1277" s="101"/>
      <c r="R1277" s="101">
        <v>40753</v>
      </c>
      <c r="S1277" s="99" t="s">
        <v>11</v>
      </c>
      <c r="T1277" s="107" t="s">
        <v>2053</v>
      </c>
      <c r="U1277" s="99" t="s">
        <v>14</v>
      </c>
      <c r="V1277" s="99" t="s">
        <v>1962</v>
      </c>
      <c r="W1277" s="99" t="s">
        <v>1967</v>
      </c>
    </row>
    <row r="1278" spans="1:23" ht="18.600000000000001" customHeight="1">
      <c r="A1278" s="123" t="str">
        <f>IF(priority(Main[[#This Row],[Comments]])&lt;&gt;0, priority(Main[[#This Row],[Comments]]),"")</f>
        <v/>
      </c>
      <c r="B1278" s="127" t="s">
        <v>1944</v>
      </c>
      <c r="C1278" s="99" t="s">
        <v>972</v>
      </c>
      <c r="D1278" s="100" t="s">
        <v>973</v>
      </c>
      <c r="E1278" s="101"/>
      <c r="F1278" s="101">
        <v>40775</v>
      </c>
      <c r="G1278" s="102" t="str">
        <f>IF(stdProdLT(Main[[#This Row],[Comments]])=0.1,"N/A",IF(stdProdLT(Main[[#This Row],[Comments]])=0,"",stdProdLT(Main[[#This Row],[Comments]])))</f>
        <v/>
      </c>
      <c r="H1278" s="103">
        <f>IF(AND(Main[[#This Row],[In Stock Date]]&lt;&gt;"",Main[[#This Row],[Revised Due Date]]&lt;&gt;""),Main[[#This Row],[In Stock Date]]-Main[[#This Row],[Revised Due Date]],"")</f>
        <v>51</v>
      </c>
      <c r="I1278" s="99" t="s">
        <v>905</v>
      </c>
      <c r="J1278" s="99" t="s">
        <v>28</v>
      </c>
      <c r="K1278" s="99" t="s">
        <v>1974</v>
      </c>
      <c r="L1278" s="101">
        <v>40619</v>
      </c>
      <c r="M1278" s="104" t="str">
        <f>IF(Main[[#This Row],[Tech Start Date]]&lt;1/1/1990,"",IF(Main[[#This Row],[Class]]="C",WORKDAY(Main[[#This Row],[Tech Start Date]],9),IF(Main[[#This Row],[Class]]="B", WORKDAY(Main[[#This Row],[Tech Start Date]],6),IF(Main[[#This Row],[Class]]="A",WORKDAY(Main[[#This Row],[Tech Start Date]],2),""))))</f>
        <v/>
      </c>
      <c r="N1278" s="104" t="str">
        <f>IF(Main[[#This Row],[Tech Start Date]]&lt;1/1/1990,"",IF(Main[[#This Row],[Class]]="C",WORKDAY(Main[[#This Row],[Tech Start Date]],19),IF(Main[[#This Row],[Class]]="B", WORKDAY(Main[[#This Row],[Tech Start Date]],12),IF(Main[[#This Row],[Class]]="A",WORKDAY(Main[[#This Row],[Tech Start Date]],4),""))))</f>
        <v/>
      </c>
      <c r="O1278" s="104" t="str">
        <f>IF(Main[[#This Row],[Tech Start Date]]&lt;1/1/1990,"",IF(Main[[#This Row],[Class]]="C",WORKDAY(Main[[#This Row],[Tech Start Date]],23),IF(Main[[#This Row],[Class]]="B", WORKDAY(Main[[#This Row],[Tech Start Date]],15),IF(Main[[#This Row],[Class]]="A",WORKDAY(Main[[#This Row],[Tech Start Date]],5),""))))</f>
        <v/>
      </c>
      <c r="P1278" s="104" t="str">
        <f>IF(Main[[#This Row],[Tech Start Date]]&lt;1/1/1990,"",IF(Main[[#This Row],[Class]]="C",WORKDAY(Main[[#This Row],[Tech Start Date]],28),IF(Main[[#This Row],[Class]]="B", WORKDAY(Main[[#This Row],[Tech Start Date]],19),IF(Main[[#This Row],[Class]]="A",WORKDAY(Main[[#This Row],[Tech Start Date]],9),""))))</f>
        <v/>
      </c>
      <c r="Q1278" s="101">
        <v>40635</v>
      </c>
      <c r="R1278" s="101">
        <v>40724</v>
      </c>
      <c r="S1278" s="99" t="s">
        <v>11</v>
      </c>
      <c r="T1278" s="107" t="s">
        <v>4</v>
      </c>
      <c r="U1278" s="99" t="s">
        <v>14</v>
      </c>
      <c r="V1278" s="99" t="s">
        <v>1963</v>
      </c>
      <c r="W1278" s="99" t="s">
        <v>1970</v>
      </c>
    </row>
    <row r="1279" spans="1:23" ht="18.600000000000001" customHeight="1">
      <c r="A1279" s="123" t="str">
        <f>IF(priority(Main[[#This Row],[Comments]])&lt;&gt;0, priority(Main[[#This Row],[Comments]]),"")</f>
        <v/>
      </c>
      <c r="B1279" s="127" t="s">
        <v>1933</v>
      </c>
      <c r="C1279" s="99" t="s">
        <v>116</v>
      </c>
      <c r="D1279" s="100" t="s">
        <v>964</v>
      </c>
      <c r="E1279" s="101"/>
      <c r="F1279" s="101">
        <v>40725</v>
      </c>
      <c r="G1279" s="102" t="str">
        <f>IF(stdProdLT(Main[[#This Row],[Comments]])=0.1,"N/A",IF(stdProdLT(Main[[#This Row],[Comments]])=0,"",stdProdLT(Main[[#This Row],[Comments]])))</f>
        <v/>
      </c>
      <c r="H1279" s="103">
        <f>IF(AND(Main[[#This Row],[In Stock Date]]&lt;&gt;"",Main[[#This Row],[Revised Due Date]]&lt;&gt;""),Main[[#This Row],[In Stock Date]]-Main[[#This Row],[Revised Due Date]],"")</f>
        <v>11</v>
      </c>
      <c r="I1279" s="99" t="s">
        <v>173</v>
      </c>
      <c r="J1279" s="99" t="s">
        <v>28</v>
      </c>
      <c r="K1279" s="99" t="s">
        <v>1971</v>
      </c>
      <c r="L1279" s="101">
        <v>40623</v>
      </c>
      <c r="M1279" s="104">
        <f>IF(Main[[#This Row],[Tech Start Date]]&lt;1/1/1990,"",IF(Main[[#This Row],[Class]]="C",WORKDAY(Main[[#This Row],[Tech Start Date]],9),IF(Main[[#This Row],[Class]]="B", WORKDAY(Main[[#This Row],[Tech Start Date]],6),IF(Main[[#This Row],[Class]]="A",WORKDAY(Main[[#This Row],[Tech Start Date]],2),""))))</f>
        <v>40625</v>
      </c>
      <c r="N1279" s="104">
        <f>IF(Main[[#This Row],[Tech Start Date]]&lt;1/1/1990,"",IF(Main[[#This Row],[Class]]="C",WORKDAY(Main[[#This Row],[Tech Start Date]],19),IF(Main[[#This Row],[Class]]="B", WORKDAY(Main[[#This Row],[Tech Start Date]],12),IF(Main[[#This Row],[Class]]="A",WORKDAY(Main[[#This Row],[Tech Start Date]],4),""))))</f>
        <v>40627</v>
      </c>
      <c r="O1279" s="104">
        <f>IF(Main[[#This Row],[Tech Start Date]]&lt;1/1/1990,"",IF(Main[[#This Row],[Class]]="C",WORKDAY(Main[[#This Row],[Tech Start Date]],23),IF(Main[[#This Row],[Class]]="B", WORKDAY(Main[[#This Row],[Tech Start Date]],15),IF(Main[[#This Row],[Class]]="A",WORKDAY(Main[[#This Row],[Tech Start Date]],5),""))))</f>
        <v>40630</v>
      </c>
      <c r="P1279" s="104">
        <f>IF(Main[[#This Row],[Tech Start Date]]&lt;1/1/1990,"",IF(Main[[#This Row],[Class]]="C",WORKDAY(Main[[#This Row],[Tech Start Date]],28),IF(Main[[#This Row],[Class]]="B", WORKDAY(Main[[#This Row],[Tech Start Date]],19),IF(Main[[#This Row],[Class]]="A",WORKDAY(Main[[#This Row],[Tech Start Date]],9),""))))</f>
        <v>40634</v>
      </c>
      <c r="Q1279" s="101">
        <v>40714</v>
      </c>
      <c r="R1279" s="101">
        <v>40714</v>
      </c>
      <c r="S1279" s="99" t="s">
        <v>11</v>
      </c>
      <c r="T1279" s="107" t="s">
        <v>965</v>
      </c>
      <c r="U1279" s="99" t="s">
        <v>14</v>
      </c>
      <c r="V1279" s="99" t="s">
        <v>1965</v>
      </c>
      <c r="W1279" s="99" t="s">
        <v>1967</v>
      </c>
    </row>
    <row r="1280" spans="1:23" ht="18.600000000000001" customHeight="1">
      <c r="A1280" s="123" t="str">
        <f>IF(priority(Main[[#This Row],[Comments]])&lt;&gt;0, priority(Main[[#This Row],[Comments]]),"")</f>
        <v/>
      </c>
      <c r="B1280" s="127" t="s">
        <v>1473</v>
      </c>
      <c r="C1280" s="99" t="s">
        <v>4</v>
      </c>
      <c r="D1280" s="100" t="s">
        <v>520</v>
      </c>
      <c r="E1280" s="101">
        <v>40623.553414351853</v>
      </c>
      <c r="F1280" s="101"/>
      <c r="G1280" s="102" t="str">
        <f>IF(stdProdLT(Main[[#This Row],[Comments]])=0.1,"N/A",IF(stdProdLT(Main[[#This Row],[Comments]])=0,"",stdProdLT(Main[[#This Row],[Comments]])))</f>
        <v/>
      </c>
      <c r="H1280" s="103" t="str">
        <f>IF(AND(Main[[#This Row],[In Stock Date]]&lt;&gt;"",Main[[#This Row],[Revised Due Date]]&lt;&gt;""),Main[[#This Row],[In Stock Date]]-Main[[#This Row],[Revised Due Date]],"")</f>
        <v/>
      </c>
      <c r="I1280" s="99" t="s">
        <v>30</v>
      </c>
      <c r="J1280" s="99" t="s">
        <v>21</v>
      </c>
      <c r="K1280" s="99" t="s">
        <v>1971</v>
      </c>
      <c r="L1280" s="101">
        <v>40623</v>
      </c>
      <c r="M1280" s="104">
        <f>IF(Main[[#This Row],[Tech Start Date]]&lt;1/1/1990,"",IF(Main[[#This Row],[Class]]="C",WORKDAY(Main[[#This Row],[Tech Start Date]],9),IF(Main[[#This Row],[Class]]="B", WORKDAY(Main[[#This Row],[Tech Start Date]],6),IF(Main[[#This Row],[Class]]="A",WORKDAY(Main[[#This Row],[Tech Start Date]],2),""))))</f>
        <v>40625</v>
      </c>
      <c r="N1280" s="104">
        <f>IF(Main[[#This Row],[Tech Start Date]]&lt;1/1/1990,"",IF(Main[[#This Row],[Class]]="C",WORKDAY(Main[[#This Row],[Tech Start Date]],19),IF(Main[[#This Row],[Class]]="B", WORKDAY(Main[[#This Row],[Tech Start Date]],12),IF(Main[[#This Row],[Class]]="A",WORKDAY(Main[[#This Row],[Tech Start Date]],4),""))))</f>
        <v>40627</v>
      </c>
      <c r="O1280" s="104">
        <f>IF(Main[[#This Row],[Tech Start Date]]&lt;1/1/1990,"",IF(Main[[#This Row],[Class]]="C",WORKDAY(Main[[#This Row],[Tech Start Date]],23),IF(Main[[#This Row],[Class]]="B", WORKDAY(Main[[#This Row],[Tech Start Date]],15),IF(Main[[#This Row],[Class]]="A",WORKDAY(Main[[#This Row],[Tech Start Date]],5),""))))</f>
        <v>40630</v>
      </c>
      <c r="P1280" s="104">
        <f>IF(Main[[#This Row],[Tech Start Date]]&lt;1/1/1990,"",IF(Main[[#This Row],[Class]]="C",WORKDAY(Main[[#This Row],[Tech Start Date]],28),IF(Main[[#This Row],[Class]]="B", WORKDAY(Main[[#This Row],[Tech Start Date]],19),IF(Main[[#This Row],[Class]]="A",WORKDAY(Main[[#This Row],[Tech Start Date]],9),""))))</f>
        <v>40634</v>
      </c>
      <c r="Q1280" s="101">
        <v>40662</v>
      </c>
      <c r="R1280" s="101"/>
      <c r="S1280" s="99" t="s">
        <v>6</v>
      </c>
      <c r="T1280" s="107" t="s">
        <v>4</v>
      </c>
      <c r="U1280" s="99" t="s">
        <v>29</v>
      </c>
      <c r="V1280" s="99" t="s">
        <v>1972</v>
      </c>
      <c r="W1280" s="99" t="s">
        <v>1966</v>
      </c>
    </row>
    <row r="1281" spans="1:23" ht="18.600000000000001" customHeight="1">
      <c r="A1281" s="123" t="str">
        <f>IF(priority(Main[[#This Row],[Comments]])&lt;&gt;0, priority(Main[[#This Row],[Comments]]),"")</f>
        <v/>
      </c>
      <c r="B1281" s="127" t="s">
        <v>1917</v>
      </c>
      <c r="C1281" s="99" t="s">
        <v>31</v>
      </c>
      <c r="D1281" s="100" t="s">
        <v>944</v>
      </c>
      <c r="E1281" s="101"/>
      <c r="F1281" s="101">
        <v>40725</v>
      </c>
      <c r="G1281" s="102" t="str">
        <f>IF(stdProdLT(Main[[#This Row],[Comments]])=0.1,"N/A",IF(stdProdLT(Main[[#This Row],[Comments]])=0,"",stdProdLT(Main[[#This Row],[Comments]])))</f>
        <v/>
      </c>
      <c r="H1281" s="103">
        <f>IF(AND(Main[[#This Row],[In Stock Date]]&lt;&gt;"",Main[[#This Row],[Revised Due Date]]&lt;&gt;""),Main[[#This Row],[In Stock Date]]-Main[[#This Row],[Revised Due Date]],"")</f>
        <v>66</v>
      </c>
      <c r="I1281" s="99" t="s">
        <v>173</v>
      </c>
      <c r="J1281" s="99" t="s">
        <v>28</v>
      </c>
      <c r="K1281" s="99" t="s">
        <v>1971</v>
      </c>
      <c r="L1281" s="101">
        <v>40623</v>
      </c>
      <c r="M1281" s="104">
        <f>IF(Main[[#This Row],[Tech Start Date]]&lt;1/1/1990,"",IF(Main[[#This Row],[Class]]="C",WORKDAY(Main[[#This Row],[Tech Start Date]],9),IF(Main[[#This Row],[Class]]="B", WORKDAY(Main[[#This Row],[Tech Start Date]],6),IF(Main[[#This Row],[Class]]="A",WORKDAY(Main[[#This Row],[Tech Start Date]],2),""))))</f>
        <v>40625</v>
      </c>
      <c r="N1281" s="104">
        <f>IF(Main[[#This Row],[Tech Start Date]]&lt;1/1/1990,"",IF(Main[[#This Row],[Class]]="C",WORKDAY(Main[[#This Row],[Tech Start Date]],19),IF(Main[[#This Row],[Class]]="B", WORKDAY(Main[[#This Row],[Tech Start Date]],12),IF(Main[[#This Row],[Class]]="A",WORKDAY(Main[[#This Row],[Tech Start Date]],4),""))))</f>
        <v>40627</v>
      </c>
      <c r="O1281" s="104">
        <f>IF(Main[[#This Row],[Tech Start Date]]&lt;1/1/1990,"",IF(Main[[#This Row],[Class]]="C",WORKDAY(Main[[#This Row],[Tech Start Date]],23),IF(Main[[#This Row],[Class]]="B", WORKDAY(Main[[#This Row],[Tech Start Date]],15),IF(Main[[#This Row],[Class]]="A",WORKDAY(Main[[#This Row],[Tech Start Date]],5),""))))</f>
        <v>40630</v>
      </c>
      <c r="P1281" s="104">
        <f>IF(Main[[#This Row],[Tech Start Date]]&lt;1/1/1990,"",IF(Main[[#This Row],[Class]]="C",WORKDAY(Main[[#This Row],[Tech Start Date]],28),IF(Main[[#This Row],[Class]]="B", WORKDAY(Main[[#This Row],[Tech Start Date]],19),IF(Main[[#This Row],[Class]]="A",WORKDAY(Main[[#This Row],[Tech Start Date]],9),""))))</f>
        <v>40634</v>
      </c>
      <c r="Q1281" s="101">
        <v>40659</v>
      </c>
      <c r="R1281" s="101">
        <v>40659</v>
      </c>
      <c r="S1281" s="99" t="s">
        <v>11</v>
      </c>
      <c r="T1281" s="107" t="s">
        <v>4</v>
      </c>
      <c r="U1281" s="99" t="s">
        <v>14</v>
      </c>
      <c r="V1281" s="99" t="s">
        <v>1965</v>
      </c>
      <c r="W1281" s="99" t="s">
        <v>1968</v>
      </c>
    </row>
    <row r="1282" spans="1:23" ht="18.600000000000001" customHeight="1">
      <c r="A1282" s="123" t="str">
        <f>IF(priority(Main[[#This Row],[Comments]])&lt;&gt;0, priority(Main[[#This Row],[Comments]]),"")</f>
        <v/>
      </c>
      <c r="B1282" s="127" t="s">
        <v>1920</v>
      </c>
      <c r="C1282" s="99" t="s">
        <v>4</v>
      </c>
      <c r="D1282" s="100" t="s">
        <v>946</v>
      </c>
      <c r="E1282" s="101">
        <v>40624.55673611111</v>
      </c>
      <c r="F1282" s="101"/>
      <c r="G1282" s="102" t="str">
        <f>IF(stdProdLT(Main[[#This Row],[Comments]])=0.1,"N/A",IF(stdProdLT(Main[[#This Row],[Comments]])=0,"",stdProdLT(Main[[#This Row],[Comments]])))</f>
        <v/>
      </c>
      <c r="H1282" s="103" t="str">
        <f>IF(AND(Main[[#This Row],[In Stock Date]]&lt;&gt;"",Main[[#This Row],[Revised Due Date]]&lt;&gt;""),Main[[#This Row],[In Stock Date]]-Main[[#This Row],[Revised Due Date]],"")</f>
        <v/>
      </c>
      <c r="I1282" s="99" t="s">
        <v>242</v>
      </c>
      <c r="J1282" s="99" t="s">
        <v>28</v>
      </c>
      <c r="K1282" s="99" t="s">
        <v>1971</v>
      </c>
      <c r="L1282" s="101">
        <v>40638</v>
      </c>
      <c r="M1282" s="104">
        <f>IF(Main[[#This Row],[Tech Start Date]]&lt;1/1/1990,"",IF(Main[[#This Row],[Class]]="C",WORKDAY(Main[[#This Row],[Tech Start Date]],9),IF(Main[[#This Row],[Class]]="B", WORKDAY(Main[[#This Row],[Tech Start Date]],6),IF(Main[[#This Row],[Class]]="A",WORKDAY(Main[[#This Row],[Tech Start Date]],2),""))))</f>
        <v>40640</v>
      </c>
      <c r="N1282" s="104">
        <f>IF(Main[[#This Row],[Tech Start Date]]&lt;1/1/1990,"",IF(Main[[#This Row],[Class]]="C",WORKDAY(Main[[#This Row],[Tech Start Date]],19),IF(Main[[#This Row],[Class]]="B", WORKDAY(Main[[#This Row],[Tech Start Date]],12),IF(Main[[#This Row],[Class]]="A",WORKDAY(Main[[#This Row],[Tech Start Date]],4),""))))</f>
        <v>40644</v>
      </c>
      <c r="O1282" s="104">
        <f>IF(Main[[#This Row],[Tech Start Date]]&lt;1/1/1990,"",IF(Main[[#This Row],[Class]]="C",WORKDAY(Main[[#This Row],[Tech Start Date]],23),IF(Main[[#This Row],[Class]]="B", WORKDAY(Main[[#This Row],[Tech Start Date]],15),IF(Main[[#This Row],[Class]]="A",WORKDAY(Main[[#This Row],[Tech Start Date]],5),""))))</f>
        <v>40645</v>
      </c>
      <c r="P1282" s="104">
        <f>IF(Main[[#This Row],[Tech Start Date]]&lt;1/1/1990,"",IF(Main[[#This Row],[Class]]="C",WORKDAY(Main[[#This Row],[Tech Start Date]],28),IF(Main[[#This Row],[Class]]="B", WORKDAY(Main[[#This Row],[Tech Start Date]],19),IF(Main[[#This Row],[Class]]="A",WORKDAY(Main[[#This Row],[Tech Start Date]],9),""))))</f>
        <v>40651</v>
      </c>
      <c r="Q1282" s="101"/>
      <c r="R1282" s="101">
        <v>40675</v>
      </c>
      <c r="S1282" s="99" t="s">
        <v>6</v>
      </c>
      <c r="T1282" s="107" t="s">
        <v>4</v>
      </c>
      <c r="U1282" s="99" t="s">
        <v>29</v>
      </c>
      <c r="V1282" s="99" t="s">
        <v>1965</v>
      </c>
      <c r="W1282" s="99" t="s">
        <v>1966</v>
      </c>
    </row>
    <row r="1283" spans="1:23" ht="18.600000000000001" customHeight="1">
      <c r="A1283" s="123" t="str">
        <f>IF(priority(Main[[#This Row],[Comments]])&lt;&gt;0, priority(Main[[#This Row],[Comments]]),"")</f>
        <v/>
      </c>
      <c r="B1283" s="127" t="s">
        <v>1915</v>
      </c>
      <c r="C1283" s="99" t="s">
        <v>4</v>
      </c>
      <c r="D1283" s="100" t="s">
        <v>2878</v>
      </c>
      <c r="E1283" s="101">
        <v>40627.819594907407</v>
      </c>
      <c r="F1283" s="101"/>
      <c r="G1283" s="102" t="str">
        <f>IF(stdProdLT(Main[[#This Row],[Comments]])=0.1,"N/A",IF(stdProdLT(Main[[#This Row],[Comments]])=0,"",stdProdLT(Main[[#This Row],[Comments]])))</f>
        <v/>
      </c>
      <c r="H1283" s="103" t="str">
        <f>IF(AND(Main[[#This Row],[In Stock Date]]&lt;&gt;"",Main[[#This Row],[Revised Due Date]]&lt;&gt;""),Main[[#This Row],[In Stock Date]]-Main[[#This Row],[Revised Due Date]],"")</f>
        <v/>
      </c>
      <c r="I1283" s="99" t="s">
        <v>30</v>
      </c>
      <c r="J1283" s="99" t="s">
        <v>75</v>
      </c>
      <c r="K1283" s="99" t="s">
        <v>1971</v>
      </c>
      <c r="L1283" s="101">
        <v>40639</v>
      </c>
      <c r="M1283" s="104">
        <f>IF(Main[[#This Row],[Tech Start Date]]&lt;1/1/1990,"",IF(Main[[#This Row],[Class]]="C",WORKDAY(Main[[#This Row],[Tech Start Date]],9),IF(Main[[#This Row],[Class]]="B", WORKDAY(Main[[#This Row],[Tech Start Date]],6),IF(Main[[#This Row],[Class]]="A",WORKDAY(Main[[#This Row],[Tech Start Date]],2),""))))</f>
        <v>40641</v>
      </c>
      <c r="N1283" s="104">
        <f>IF(Main[[#This Row],[Tech Start Date]]&lt;1/1/1990,"",IF(Main[[#This Row],[Class]]="C",WORKDAY(Main[[#This Row],[Tech Start Date]],19),IF(Main[[#This Row],[Class]]="B", WORKDAY(Main[[#This Row],[Tech Start Date]],12),IF(Main[[#This Row],[Class]]="A",WORKDAY(Main[[#This Row],[Tech Start Date]],4),""))))</f>
        <v>40645</v>
      </c>
      <c r="O1283" s="104">
        <f>IF(Main[[#This Row],[Tech Start Date]]&lt;1/1/1990,"",IF(Main[[#This Row],[Class]]="C",WORKDAY(Main[[#This Row],[Tech Start Date]],23),IF(Main[[#This Row],[Class]]="B", WORKDAY(Main[[#This Row],[Tech Start Date]],15),IF(Main[[#This Row],[Class]]="A",WORKDAY(Main[[#This Row],[Tech Start Date]],5),""))))</f>
        <v>40646</v>
      </c>
      <c r="P1283" s="104">
        <f>IF(Main[[#This Row],[Tech Start Date]]&lt;1/1/1990,"",IF(Main[[#This Row],[Class]]="C",WORKDAY(Main[[#This Row],[Tech Start Date]],28),IF(Main[[#This Row],[Class]]="B", WORKDAY(Main[[#This Row],[Tech Start Date]],19),IF(Main[[#This Row],[Class]]="A",WORKDAY(Main[[#This Row],[Tech Start Date]],9),""))))</f>
        <v>40652</v>
      </c>
      <c r="Q1283" s="101">
        <v>40659</v>
      </c>
      <c r="R1283" s="101">
        <v>40646</v>
      </c>
      <c r="S1283" s="99" t="s">
        <v>6</v>
      </c>
      <c r="T1283" s="107" t="s">
        <v>4</v>
      </c>
      <c r="U1283" s="99" t="s">
        <v>29</v>
      </c>
      <c r="V1283" s="99" t="s">
        <v>1965</v>
      </c>
      <c r="W1283" s="99" t="s">
        <v>1966</v>
      </c>
    </row>
    <row r="1284" spans="1:23" ht="18.600000000000001" customHeight="1">
      <c r="A1284" s="123" t="str">
        <f>IF(priority(Main[[#This Row],[Comments]])&lt;&gt;0, priority(Main[[#This Row],[Comments]]),"")</f>
        <v/>
      </c>
      <c r="B1284" s="127" t="s">
        <v>1923</v>
      </c>
      <c r="C1284" s="99" t="s">
        <v>4</v>
      </c>
      <c r="D1284" s="100" t="s">
        <v>2198</v>
      </c>
      <c r="E1284" s="101"/>
      <c r="F1284" s="101"/>
      <c r="G1284" s="102" t="str">
        <f>IF(stdProdLT(Main[[#This Row],[Comments]])=0.1,"N/A",IF(stdProdLT(Main[[#This Row],[Comments]])=0,"",stdProdLT(Main[[#This Row],[Comments]])))</f>
        <v/>
      </c>
      <c r="H1284" s="103" t="str">
        <f>IF(AND(Main[[#This Row],[In Stock Date]]&lt;&gt;"",Main[[#This Row],[Revised Due Date]]&lt;&gt;""),Main[[#This Row],[In Stock Date]]-Main[[#This Row],[Revised Due Date]],"")</f>
        <v/>
      </c>
      <c r="I1284" s="99" t="s">
        <v>311</v>
      </c>
      <c r="J1284" s="99" t="s">
        <v>75</v>
      </c>
      <c r="K1284" s="99" t="s">
        <v>1971</v>
      </c>
      <c r="L1284" s="101">
        <v>40651</v>
      </c>
      <c r="M1284" s="104">
        <f>IF(Main[[#This Row],[Tech Start Date]]&lt;1/1/1990,"",IF(Main[[#This Row],[Class]]="C",WORKDAY(Main[[#This Row],[Tech Start Date]],9),IF(Main[[#This Row],[Class]]="B", WORKDAY(Main[[#This Row],[Tech Start Date]],6),IF(Main[[#This Row],[Class]]="A",WORKDAY(Main[[#This Row],[Tech Start Date]],2),""))))</f>
        <v>40653</v>
      </c>
      <c r="N1284" s="104">
        <f>IF(Main[[#This Row],[Tech Start Date]]&lt;1/1/1990,"",IF(Main[[#This Row],[Class]]="C",WORKDAY(Main[[#This Row],[Tech Start Date]],19),IF(Main[[#This Row],[Class]]="B", WORKDAY(Main[[#This Row],[Tech Start Date]],12),IF(Main[[#This Row],[Class]]="A",WORKDAY(Main[[#This Row],[Tech Start Date]],4),""))))</f>
        <v>40655</v>
      </c>
      <c r="O1284" s="104">
        <f>IF(Main[[#This Row],[Tech Start Date]]&lt;1/1/1990,"",IF(Main[[#This Row],[Class]]="C",WORKDAY(Main[[#This Row],[Tech Start Date]],23),IF(Main[[#This Row],[Class]]="B", WORKDAY(Main[[#This Row],[Tech Start Date]],15),IF(Main[[#This Row],[Class]]="A",WORKDAY(Main[[#This Row],[Tech Start Date]],5),""))))</f>
        <v>40658</v>
      </c>
      <c r="P1284" s="104">
        <f>IF(Main[[#This Row],[Tech Start Date]]&lt;1/1/1990,"",IF(Main[[#This Row],[Class]]="C",WORKDAY(Main[[#This Row],[Tech Start Date]],28),IF(Main[[#This Row],[Class]]="B", WORKDAY(Main[[#This Row],[Tech Start Date]],19),IF(Main[[#This Row],[Class]]="A",WORKDAY(Main[[#This Row],[Tech Start Date]],9),""))))</f>
        <v>40662</v>
      </c>
      <c r="Q1284" s="101">
        <v>40480</v>
      </c>
      <c r="R1284" s="101">
        <v>40689</v>
      </c>
      <c r="S1284" s="99" t="s">
        <v>6</v>
      </c>
      <c r="T1284" s="107" t="s">
        <v>4</v>
      </c>
      <c r="U1284" s="99" t="s">
        <v>14</v>
      </c>
      <c r="V1284" s="99" t="s">
        <v>1972</v>
      </c>
      <c r="W1284" s="99" t="s">
        <v>1966</v>
      </c>
    </row>
    <row r="1285" spans="1:23" ht="18.600000000000001" customHeight="1">
      <c r="A1285" s="123" t="str">
        <f>IF(priority(Main[[#This Row],[Comments]])&lt;&gt;0, priority(Main[[#This Row],[Comments]]),"")</f>
        <v/>
      </c>
      <c r="B1285" s="127" t="s">
        <v>1922</v>
      </c>
      <c r="C1285" s="99" t="s">
        <v>4</v>
      </c>
      <c r="D1285" s="100" t="s">
        <v>948</v>
      </c>
      <c r="E1285" s="101"/>
      <c r="F1285" s="101"/>
      <c r="G1285" s="102" t="str">
        <f>IF(stdProdLT(Main[[#This Row],[Comments]])=0.1,"N/A",IF(stdProdLT(Main[[#This Row],[Comments]])=0,"",stdProdLT(Main[[#This Row],[Comments]])))</f>
        <v/>
      </c>
      <c r="H1285" s="103" t="str">
        <f>IF(AND(Main[[#This Row],[In Stock Date]]&lt;&gt;"",Main[[#This Row],[Revised Due Date]]&lt;&gt;""),Main[[#This Row],[In Stock Date]]-Main[[#This Row],[Revised Due Date]],"")</f>
        <v/>
      </c>
      <c r="I1285" s="99" t="s">
        <v>44</v>
      </c>
      <c r="J1285" s="99" t="s">
        <v>28</v>
      </c>
      <c r="K1285" s="99" t="s">
        <v>1971</v>
      </c>
      <c r="L1285" s="101">
        <v>40651</v>
      </c>
      <c r="M1285" s="104">
        <f>IF(Main[[#This Row],[Tech Start Date]]&lt;1/1/1990,"",IF(Main[[#This Row],[Class]]="C",WORKDAY(Main[[#This Row],[Tech Start Date]],9),IF(Main[[#This Row],[Class]]="B", WORKDAY(Main[[#This Row],[Tech Start Date]],6),IF(Main[[#This Row],[Class]]="A",WORKDAY(Main[[#This Row],[Tech Start Date]],2),""))))</f>
        <v>40653</v>
      </c>
      <c r="N1285" s="104">
        <f>IF(Main[[#This Row],[Tech Start Date]]&lt;1/1/1990,"",IF(Main[[#This Row],[Class]]="C",WORKDAY(Main[[#This Row],[Tech Start Date]],19),IF(Main[[#This Row],[Class]]="B", WORKDAY(Main[[#This Row],[Tech Start Date]],12),IF(Main[[#This Row],[Class]]="A",WORKDAY(Main[[#This Row],[Tech Start Date]],4),""))))</f>
        <v>40655</v>
      </c>
      <c r="O1285" s="104">
        <f>IF(Main[[#This Row],[Tech Start Date]]&lt;1/1/1990,"",IF(Main[[#This Row],[Class]]="C",WORKDAY(Main[[#This Row],[Tech Start Date]],23),IF(Main[[#This Row],[Class]]="B", WORKDAY(Main[[#This Row],[Tech Start Date]],15),IF(Main[[#This Row],[Class]]="A",WORKDAY(Main[[#This Row],[Tech Start Date]],5),""))))</f>
        <v>40658</v>
      </c>
      <c r="P1285" s="104">
        <f>IF(Main[[#This Row],[Tech Start Date]]&lt;1/1/1990,"",IF(Main[[#This Row],[Class]]="C",WORKDAY(Main[[#This Row],[Tech Start Date]],28),IF(Main[[#This Row],[Class]]="B", WORKDAY(Main[[#This Row],[Tech Start Date]],19),IF(Main[[#This Row],[Class]]="A",WORKDAY(Main[[#This Row],[Tech Start Date]],9),""))))</f>
        <v>40662</v>
      </c>
      <c r="Q1285" s="101">
        <v>40494</v>
      </c>
      <c r="R1285" s="101">
        <v>40689</v>
      </c>
      <c r="S1285" s="99" t="s">
        <v>6</v>
      </c>
      <c r="T1285" s="107" t="s">
        <v>4</v>
      </c>
      <c r="U1285" s="99" t="s">
        <v>14</v>
      </c>
      <c r="V1285" s="99" t="s">
        <v>1965</v>
      </c>
      <c r="W1285" s="99" t="s">
        <v>1966</v>
      </c>
    </row>
    <row r="1286" spans="1:23" ht="18.600000000000001" customHeight="1">
      <c r="A1286" s="123" t="str">
        <f>IF(priority(Main[[#This Row],[Comments]])&lt;&gt;0, priority(Main[[#This Row],[Comments]]),"")</f>
        <v/>
      </c>
      <c r="B1286" s="127" t="s">
        <v>1921</v>
      </c>
      <c r="C1286" s="99" t="s">
        <v>4</v>
      </c>
      <c r="D1286" s="100" t="s">
        <v>947</v>
      </c>
      <c r="E1286" s="101"/>
      <c r="F1286" s="101"/>
      <c r="G1286" s="102" t="str">
        <f>IF(stdProdLT(Main[[#This Row],[Comments]])=0.1,"N/A",IF(stdProdLT(Main[[#This Row],[Comments]])=0,"",stdProdLT(Main[[#This Row],[Comments]])))</f>
        <v/>
      </c>
      <c r="H1286" s="103" t="str">
        <f>IF(AND(Main[[#This Row],[In Stock Date]]&lt;&gt;"",Main[[#This Row],[Revised Due Date]]&lt;&gt;""),Main[[#This Row],[In Stock Date]]-Main[[#This Row],[Revised Due Date]],"")</f>
        <v/>
      </c>
      <c r="I1286" s="99" t="s">
        <v>131</v>
      </c>
      <c r="J1286" s="99" t="s">
        <v>70</v>
      </c>
      <c r="K1286" s="99" t="s">
        <v>1971</v>
      </c>
      <c r="L1286" s="101">
        <v>40658</v>
      </c>
      <c r="M1286" s="104">
        <f>IF(Main[[#This Row],[Tech Start Date]]&lt;1/1/1990,"",IF(Main[[#This Row],[Class]]="C",WORKDAY(Main[[#This Row],[Tech Start Date]],9),IF(Main[[#This Row],[Class]]="B", WORKDAY(Main[[#This Row],[Tech Start Date]],6),IF(Main[[#This Row],[Class]]="A",WORKDAY(Main[[#This Row],[Tech Start Date]],2),""))))</f>
        <v>40660</v>
      </c>
      <c r="N1286" s="104">
        <f>IF(Main[[#This Row],[Tech Start Date]]&lt;1/1/1990,"",IF(Main[[#This Row],[Class]]="C",WORKDAY(Main[[#This Row],[Tech Start Date]],19),IF(Main[[#This Row],[Class]]="B", WORKDAY(Main[[#This Row],[Tech Start Date]],12),IF(Main[[#This Row],[Class]]="A",WORKDAY(Main[[#This Row],[Tech Start Date]],4),""))))</f>
        <v>40662</v>
      </c>
      <c r="O1286" s="104">
        <f>IF(Main[[#This Row],[Tech Start Date]]&lt;1/1/1990,"",IF(Main[[#This Row],[Class]]="C",WORKDAY(Main[[#This Row],[Tech Start Date]],23),IF(Main[[#This Row],[Class]]="B", WORKDAY(Main[[#This Row],[Tech Start Date]],15),IF(Main[[#This Row],[Class]]="A",WORKDAY(Main[[#This Row],[Tech Start Date]],5),""))))</f>
        <v>40665</v>
      </c>
      <c r="P1286" s="104">
        <f>IF(Main[[#This Row],[Tech Start Date]]&lt;1/1/1990,"",IF(Main[[#This Row],[Class]]="C",WORKDAY(Main[[#This Row],[Tech Start Date]],28),IF(Main[[#This Row],[Class]]="B", WORKDAY(Main[[#This Row],[Tech Start Date]],19),IF(Main[[#This Row],[Class]]="A",WORKDAY(Main[[#This Row],[Tech Start Date]],9),""))))</f>
        <v>40669</v>
      </c>
      <c r="Q1286" s="101">
        <v>40665</v>
      </c>
      <c r="R1286" s="101">
        <v>40686</v>
      </c>
      <c r="S1286" s="99" t="s">
        <v>6</v>
      </c>
      <c r="T1286" s="107" t="s">
        <v>4</v>
      </c>
      <c r="U1286" s="99" t="s">
        <v>14</v>
      </c>
      <c r="V1286" s="99" t="s">
        <v>1965</v>
      </c>
      <c r="W1286" s="99" t="s">
        <v>1964</v>
      </c>
    </row>
    <row r="1287" spans="1:23" ht="18.600000000000001" customHeight="1">
      <c r="A1287" s="123" t="str">
        <f>IF(priority(Main[[#This Row],[Comments]])&lt;&gt;0, priority(Main[[#This Row],[Comments]]),"")</f>
        <v/>
      </c>
      <c r="B1287" s="127" t="s">
        <v>1948</v>
      </c>
      <c r="C1287" s="99" t="s">
        <v>4</v>
      </c>
      <c r="D1287" s="100" t="s">
        <v>2879</v>
      </c>
      <c r="E1287" s="101">
        <v>40659.398043981484</v>
      </c>
      <c r="F1287" s="101"/>
      <c r="G1287" s="102" t="str">
        <f>IF(stdProdLT(Main[[#This Row],[Comments]])=0.1,"N/A",IF(stdProdLT(Main[[#This Row],[Comments]])=0,"",stdProdLT(Main[[#This Row],[Comments]])))</f>
        <v/>
      </c>
      <c r="H1287" s="103" t="str">
        <f>IF(AND(Main[[#This Row],[In Stock Date]]&lt;&gt;"",Main[[#This Row],[Revised Due Date]]&lt;&gt;""),Main[[#This Row],[In Stock Date]]-Main[[#This Row],[Revised Due Date]],"")</f>
        <v/>
      </c>
      <c r="I1287" s="99" t="s">
        <v>992</v>
      </c>
      <c r="J1287" s="99" t="s">
        <v>28</v>
      </c>
      <c r="K1287" s="99" t="s">
        <v>1974</v>
      </c>
      <c r="L1287" s="101">
        <v>40665</v>
      </c>
      <c r="M1287" s="104" t="str">
        <f>IF(Main[[#This Row],[Tech Start Date]]&lt;1/1/1990,"",IF(Main[[#This Row],[Class]]="C",WORKDAY(Main[[#This Row],[Tech Start Date]],9),IF(Main[[#This Row],[Class]]="B", WORKDAY(Main[[#This Row],[Tech Start Date]],6),IF(Main[[#This Row],[Class]]="A",WORKDAY(Main[[#This Row],[Tech Start Date]],2),""))))</f>
        <v/>
      </c>
      <c r="N1287" s="104" t="str">
        <f>IF(Main[[#This Row],[Tech Start Date]]&lt;1/1/1990,"",IF(Main[[#This Row],[Class]]="C",WORKDAY(Main[[#This Row],[Tech Start Date]],19),IF(Main[[#This Row],[Class]]="B", WORKDAY(Main[[#This Row],[Tech Start Date]],12),IF(Main[[#This Row],[Class]]="A",WORKDAY(Main[[#This Row],[Tech Start Date]],4),""))))</f>
        <v/>
      </c>
      <c r="O1287" s="104" t="str">
        <f>IF(Main[[#This Row],[Tech Start Date]]&lt;1/1/1990,"",IF(Main[[#This Row],[Class]]="C",WORKDAY(Main[[#This Row],[Tech Start Date]],23),IF(Main[[#This Row],[Class]]="B", WORKDAY(Main[[#This Row],[Tech Start Date]],15),IF(Main[[#This Row],[Class]]="A",WORKDAY(Main[[#This Row],[Tech Start Date]],5),""))))</f>
        <v/>
      </c>
      <c r="P1287" s="104" t="str">
        <f>IF(Main[[#This Row],[Tech Start Date]]&lt;1/1/1990,"",IF(Main[[#This Row],[Class]]="C",WORKDAY(Main[[#This Row],[Tech Start Date]],28),IF(Main[[#This Row],[Class]]="B", WORKDAY(Main[[#This Row],[Tech Start Date]],19),IF(Main[[#This Row],[Class]]="A",WORKDAY(Main[[#This Row],[Tech Start Date]],9),""))))</f>
        <v/>
      </c>
      <c r="Q1287" s="101">
        <v>40877</v>
      </c>
      <c r="R1287" s="101">
        <v>40900</v>
      </c>
      <c r="S1287" s="99" t="s">
        <v>17</v>
      </c>
      <c r="T1287" s="107" t="s">
        <v>2880</v>
      </c>
      <c r="U1287" s="99" t="s">
        <v>29</v>
      </c>
      <c r="V1287" s="99" t="s">
        <v>1962</v>
      </c>
      <c r="W1287" s="99" t="s">
        <v>1966</v>
      </c>
    </row>
    <row r="1288" spans="1:23" ht="18.600000000000001" customHeight="1">
      <c r="A1288" s="123" t="str">
        <f>IF(priority(Main[[#This Row],[Comments]])&lt;&gt;0, priority(Main[[#This Row],[Comments]]),"")</f>
        <v/>
      </c>
      <c r="B1288" s="127" t="s">
        <v>1927</v>
      </c>
      <c r="C1288" s="99" t="s">
        <v>113</v>
      </c>
      <c r="D1288" s="100" t="s">
        <v>2882</v>
      </c>
      <c r="E1288" s="101">
        <v>40596.601666666669</v>
      </c>
      <c r="F1288" s="101">
        <v>40605</v>
      </c>
      <c r="G1288" s="102" t="str">
        <f>IF(stdProdLT(Main[[#This Row],[Comments]])=0.1,"N/A",IF(stdProdLT(Main[[#This Row],[Comments]])=0,"",stdProdLT(Main[[#This Row],[Comments]])))</f>
        <v/>
      </c>
      <c r="H1288" s="103" t="str">
        <f>IF(AND(Main[[#This Row],[In Stock Date]]&lt;&gt;"",Main[[#This Row],[Revised Due Date]]&lt;&gt;""),Main[[#This Row],[In Stock Date]]-Main[[#This Row],[Revised Due Date]],"")</f>
        <v/>
      </c>
      <c r="I1288" s="99" t="s">
        <v>4</v>
      </c>
      <c r="J1288" s="99" t="s">
        <v>52</v>
      </c>
      <c r="K1288" s="99" t="s">
        <v>1975</v>
      </c>
      <c r="L1288" s="101">
        <v>40666</v>
      </c>
      <c r="M1288" s="104">
        <f>IF(Main[[#This Row],[Tech Start Date]]&lt;1/1/1990,"",IF(Main[[#This Row],[Class]]="C",WORKDAY(Main[[#This Row],[Tech Start Date]],9),IF(Main[[#This Row],[Class]]="B", WORKDAY(Main[[#This Row],[Tech Start Date]],6),IF(Main[[#This Row],[Class]]="A",WORKDAY(Main[[#This Row],[Tech Start Date]],2),""))))</f>
        <v>40679</v>
      </c>
      <c r="N1288" s="104">
        <f>IF(Main[[#This Row],[Tech Start Date]]&lt;1/1/1990,"",IF(Main[[#This Row],[Class]]="C",WORKDAY(Main[[#This Row],[Tech Start Date]],19),IF(Main[[#This Row],[Class]]="B", WORKDAY(Main[[#This Row],[Tech Start Date]],12),IF(Main[[#This Row],[Class]]="A",WORKDAY(Main[[#This Row],[Tech Start Date]],4),""))))</f>
        <v>40693</v>
      </c>
      <c r="O1288" s="104">
        <f>IF(Main[[#This Row],[Tech Start Date]]&lt;1/1/1990,"",IF(Main[[#This Row],[Class]]="C",WORKDAY(Main[[#This Row],[Tech Start Date]],23),IF(Main[[#This Row],[Class]]="B", WORKDAY(Main[[#This Row],[Tech Start Date]],15),IF(Main[[#This Row],[Class]]="A",WORKDAY(Main[[#This Row],[Tech Start Date]],5),""))))</f>
        <v>40697</v>
      </c>
      <c r="P1288" s="104">
        <f>IF(Main[[#This Row],[Tech Start Date]]&lt;1/1/1990,"",IF(Main[[#This Row],[Class]]="C",WORKDAY(Main[[#This Row],[Tech Start Date]],28),IF(Main[[#This Row],[Class]]="B", WORKDAY(Main[[#This Row],[Tech Start Date]],19),IF(Main[[#This Row],[Class]]="A",WORKDAY(Main[[#This Row],[Tech Start Date]],9),""))))</f>
        <v>40704</v>
      </c>
      <c r="Q1288" s="101">
        <v>40701</v>
      </c>
      <c r="R1288" s="101"/>
      <c r="S1288" s="99" t="s">
        <v>17</v>
      </c>
      <c r="T1288" s="107" t="s">
        <v>2054</v>
      </c>
      <c r="U1288" s="99" t="s">
        <v>29</v>
      </c>
      <c r="V1288" s="99" t="s">
        <v>1962</v>
      </c>
      <c r="W1288" s="99" t="s">
        <v>1973</v>
      </c>
    </row>
    <row r="1289" spans="1:23" ht="18.600000000000001" customHeight="1">
      <c r="A1289" s="123" t="str">
        <f>IF(priority(Main[[#This Row],[Comments]])&lt;&gt;0, priority(Main[[#This Row],[Comments]]),"")</f>
        <v/>
      </c>
      <c r="B1289" s="127" t="s">
        <v>1928</v>
      </c>
      <c r="C1289" s="99" t="s">
        <v>953</v>
      </c>
      <c r="D1289" s="100" t="s">
        <v>954</v>
      </c>
      <c r="E1289" s="101"/>
      <c r="F1289" s="101">
        <v>40701</v>
      </c>
      <c r="G1289" s="102" t="str">
        <f>IF(stdProdLT(Main[[#This Row],[Comments]])=0.1,"N/A",IF(stdProdLT(Main[[#This Row],[Comments]])=0,"",stdProdLT(Main[[#This Row],[Comments]])))</f>
        <v/>
      </c>
      <c r="H1289" s="103">
        <f>IF(AND(Main[[#This Row],[In Stock Date]]&lt;&gt;"",Main[[#This Row],[Revised Due Date]]&lt;&gt;""),Main[[#This Row],[In Stock Date]]-Main[[#This Row],[Revised Due Date]],"")</f>
        <v>0</v>
      </c>
      <c r="I1289" s="99" t="s">
        <v>955</v>
      </c>
      <c r="J1289" s="99" t="s">
        <v>28</v>
      </c>
      <c r="K1289" s="99" t="s">
        <v>1975</v>
      </c>
      <c r="L1289" s="101">
        <v>40666</v>
      </c>
      <c r="M1289" s="104">
        <f>IF(Main[[#This Row],[Tech Start Date]]&lt;1/1/1990,"",IF(Main[[#This Row],[Class]]="C",WORKDAY(Main[[#This Row],[Tech Start Date]],9),IF(Main[[#This Row],[Class]]="B", WORKDAY(Main[[#This Row],[Tech Start Date]],6),IF(Main[[#This Row],[Class]]="A",WORKDAY(Main[[#This Row],[Tech Start Date]],2),""))))</f>
        <v>40679</v>
      </c>
      <c r="N1289" s="104">
        <f>IF(Main[[#This Row],[Tech Start Date]]&lt;1/1/1990,"",IF(Main[[#This Row],[Class]]="C",WORKDAY(Main[[#This Row],[Tech Start Date]],19),IF(Main[[#This Row],[Class]]="B", WORKDAY(Main[[#This Row],[Tech Start Date]],12),IF(Main[[#This Row],[Class]]="A",WORKDAY(Main[[#This Row],[Tech Start Date]],4),""))))</f>
        <v>40693</v>
      </c>
      <c r="O1289" s="104">
        <f>IF(Main[[#This Row],[Tech Start Date]]&lt;1/1/1990,"",IF(Main[[#This Row],[Class]]="C",WORKDAY(Main[[#This Row],[Tech Start Date]],23),IF(Main[[#This Row],[Class]]="B", WORKDAY(Main[[#This Row],[Tech Start Date]],15),IF(Main[[#This Row],[Class]]="A",WORKDAY(Main[[#This Row],[Tech Start Date]],5),""))))</f>
        <v>40697</v>
      </c>
      <c r="P1289" s="104">
        <f>IF(Main[[#This Row],[Tech Start Date]]&lt;1/1/1990,"",IF(Main[[#This Row],[Class]]="C",WORKDAY(Main[[#This Row],[Tech Start Date]],28),IF(Main[[#This Row],[Class]]="B", WORKDAY(Main[[#This Row],[Tech Start Date]],19),IF(Main[[#This Row],[Class]]="A",WORKDAY(Main[[#This Row],[Tech Start Date]],9),""))))</f>
        <v>40704</v>
      </c>
      <c r="Q1289" s="101">
        <v>40701</v>
      </c>
      <c r="R1289" s="101">
        <v>40701</v>
      </c>
      <c r="S1289" s="99" t="s">
        <v>11</v>
      </c>
      <c r="T1289" s="107" t="s">
        <v>956</v>
      </c>
      <c r="U1289" s="99" t="s">
        <v>14</v>
      </c>
      <c r="V1289" s="99" t="s">
        <v>1962</v>
      </c>
      <c r="W1289" s="99" t="s">
        <v>1967</v>
      </c>
    </row>
    <row r="1290" spans="1:23" ht="18.600000000000001" customHeight="1">
      <c r="A1290" s="123" t="str">
        <f>IF(priority(Main[[#This Row],[Comments]])&lt;&gt;0, priority(Main[[#This Row],[Comments]]),"")</f>
        <v/>
      </c>
      <c r="B1290" s="127" t="s">
        <v>1729</v>
      </c>
      <c r="C1290" s="99" t="s">
        <v>524</v>
      </c>
      <c r="D1290" s="100" t="s">
        <v>757</v>
      </c>
      <c r="E1290" s="101">
        <v>40661.601064814815</v>
      </c>
      <c r="F1290" s="101">
        <v>40862</v>
      </c>
      <c r="G1290" s="102" t="str">
        <f>IF(stdProdLT(Main[[#This Row],[Comments]])=0.1,"N/A",IF(stdProdLT(Main[[#This Row],[Comments]])=0,"",stdProdLT(Main[[#This Row],[Comments]])))</f>
        <v/>
      </c>
      <c r="H1290" s="103">
        <f>IF(AND(Main[[#This Row],[In Stock Date]]&lt;&gt;"",Main[[#This Row],[Revised Due Date]]&lt;&gt;""),Main[[#This Row],[In Stock Date]]-Main[[#This Row],[Revised Due Date]],"")</f>
        <v>1</v>
      </c>
      <c r="I1290" s="99" t="s">
        <v>758</v>
      </c>
      <c r="J1290" s="99" t="s">
        <v>28</v>
      </c>
      <c r="K1290" s="99" t="s">
        <v>1974</v>
      </c>
      <c r="L1290" s="101">
        <v>40668</v>
      </c>
      <c r="M1290" s="104" t="str">
        <f>IF(Main[[#This Row],[Tech Start Date]]&lt;1/1/1990,"",IF(Main[[#This Row],[Class]]="C",WORKDAY(Main[[#This Row],[Tech Start Date]],9),IF(Main[[#This Row],[Class]]="B", WORKDAY(Main[[#This Row],[Tech Start Date]],6),IF(Main[[#This Row],[Class]]="A",WORKDAY(Main[[#This Row],[Tech Start Date]],2),""))))</f>
        <v/>
      </c>
      <c r="N1290" s="104" t="str">
        <f>IF(Main[[#This Row],[Tech Start Date]]&lt;1/1/1990,"",IF(Main[[#This Row],[Class]]="C",WORKDAY(Main[[#This Row],[Tech Start Date]],19),IF(Main[[#This Row],[Class]]="B", WORKDAY(Main[[#This Row],[Tech Start Date]],12),IF(Main[[#This Row],[Class]]="A",WORKDAY(Main[[#This Row],[Tech Start Date]],4),""))))</f>
        <v/>
      </c>
      <c r="O1290" s="104" t="str">
        <f>IF(Main[[#This Row],[Tech Start Date]]&lt;1/1/1990,"",IF(Main[[#This Row],[Class]]="C",WORKDAY(Main[[#This Row],[Tech Start Date]],23),IF(Main[[#This Row],[Class]]="B", WORKDAY(Main[[#This Row],[Tech Start Date]],15),IF(Main[[#This Row],[Class]]="A",WORKDAY(Main[[#This Row],[Tech Start Date]],5),""))))</f>
        <v/>
      </c>
      <c r="P1290" s="104" t="str">
        <f>IF(Main[[#This Row],[Tech Start Date]]&lt;1/1/1990,"",IF(Main[[#This Row],[Class]]="C",WORKDAY(Main[[#This Row],[Tech Start Date]],28),IF(Main[[#This Row],[Class]]="B", WORKDAY(Main[[#This Row],[Tech Start Date]],19),IF(Main[[#This Row],[Class]]="A",WORKDAY(Main[[#This Row],[Tech Start Date]],9),""))))</f>
        <v/>
      </c>
      <c r="Q1290" s="101">
        <v>40739</v>
      </c>
      <c r="R1290" s="101">
        <v>40861</v>
      </c>
      <c r="S1290" s="99" t="s">
        <v>17</v>
      </c>
      <c r="T1290" s="107" t="s">
        <v>4</v>
      </c>
      <c r="U1290" s="99" t="s">
        <v>29</v>
      </c>
      <c r="V1290" s="99" t="s">
        <v>1965</v>
      </c>
      <c r="W1290" s="99" t="s">
        <v>1967</v>
      </c>
    </row>
    <row r="1291" spans="1:23" ht="18.600000000000001" customHeight="1">
      <c r="A1291" s="123" t="str">
        <f>IF(priority(Main[[#This Row],[Comments]])&lt;&gt;0, priority(Main[[#This Row],[Comments]]),"")</f>
        <v/>
      </c>
      <c r="B1291" s="127" t="s">
        <v>1926</v>
      </c>
      <c r="C1291" s="99" t="s">
        <v>4</v>
      </c>
      <c r="D1291" s="100" t="s">
        <v>952</v>
      </c>
      <c r="E1291" s="101"/>
      <c r="F1291" s="101"/>
      <c r="G1291" s="102" t="str">
        <f>IF(stdProdLT(Main[[#This Row],[Comments]])=0.1,"N/A",IF(stdProdLT(Main[[#This Row],[Comments]])=0,"",stdProdLT(Main[[#This Row],[Comments]])))</f>
        <v/>
      </c>
      <c r="H1291" s="103" t="str">
        <f>IF(AND(Main[[#This Row],[In Stock Date]]&lt;&gt;"",Main[[#This Row],[Revised Due Date]]&lt;&gt;""),Main[[#This Row],[In Stock Date]]-Main[[#This Row],[Revised Due Date]],"")</f>
        <v/>
      </c>
      <c r="I1291" s="99" t="s">
        <v>30</v>
      </c>
      <c r="J1291" s="99" t="s">
        <v>28</v>
      </c>
      <c r="K1291" s="99" t="s">
        <v>1971</v>
      </c>
      <c r="L1291" s="101">
        <v>40686</v>
      </c>
      <c r="M1291" s="104">
        <f>IF(Main[[#This Row],[Tech Start Date]]&lt;1/1/1990,"",IF(Main[[#This Row],[Class]]="C",WORKDAY(Main[[#This Row],[Tech Start Date]],9),IF(Main[[#This Row],[Class]]="B", WORKDAY(Main[[#This Row],[Tech Start Date]],6),IF(Main[[#This Row],[Class]]="A",WORKDAY(Main[[#This Row],[Tech Start Date]],2),""))))</f>
        <v>40688</v>
      </c>
      <c r="N1291" s="104">
        <f>IF(Main[[#This Row],[Tech Start Date]]&lt;1/1/1990,"",IF(Main[[#This Row],[Class]]="C",WORKDAY(Main[[#This Row],[Tech Start Date]],19),IF(Main[[#This Row],[Class]]="B", WORKDAY(Main[[#This Row],[Tech Start Date]],12),IF(Main[[#This Row],[Class]]="A",WORKDAY(Main[[#This Row],[Tech Start Date]],4),""))))</f>
        <v>40690</v>
      </c>
      <c r="O1291" s="104">
        <f>IF(Main[[#This Row],[Tech Start Date]]&lt;1/1/1990,"",IF(Main[[#This Row],[Class]]="C",WORKDAY(Main[[#This Row],[Tech Start Date]],23),IF(Main[[#This Row],[Class]]="B", WORKDAY(Main[[#This Row],[Tech Start Date]],15),IF(Main[[#This Row],[Class]]="A",WORKDAY(Main[[#This Row],[Tech Start Date]],5),""))))</f>
        <v>40693</v>
      </c>
      <c r="P1291" s="104">
        <f>IF(Main[[#This Row],[Tech Start Date]]&lt;1/1/1990,"",IF(Main[[#This Row],[Class]]="C",WORKDAY(Main[[#This Row],[Tech Start Date]],28),IF(Main[[#This Row],[Class]]="B", WORKDAY(Main[[#This Row],[Tech Start Date]],19),IF(Main[[#This Row],[Class]]="A",WORKDAY(Main[[#This Row],[Tech Start Date]],9),""))))</f>
        <v>40697</v>
      </c>
      <c r="Q1291" s="101">
        <v>40669</v>
      </c>
      <c r="R1291" s="101">
        <v>40700</v>
      </c>
      <c r="S1291" s="99" t="s">
        <v>6</v>
      </c>
      <c r="T1291" s="107" t="s">
        <v>4</v>
      </c>
      <c r="U1291" s="99" t="s">
        <v>14</v>
      </c>
      <c r="V1291" s="99" t="s">
        <v>1965</v>
      </c>
      <c r="W1291" s="99" t="s">
        <v>1964</v>
      </c>
    </row>
    <row r="1292" spans="1:23" ht="18.600000000000001" customHeight="1">
      <c r="A1292" s="123" t="str">
        <f>IF(priority(Main[[#This Row],[Comments]])&lt;&gt;0, priority(Main[[#This Row],[Comments]]),"")</f>
        <v/>
      </c>
      <c r="B1292" s="127" t="s">
        <v>1246</v>
      </c>
      <c r="C1292" s="99" t="s">
        <v>4</v>
      </c>
      <c r="D1292" s="100" t="s">
        <v>276</v>
      </c>
      <c r="E1292" s="101">
        <v>40683.573206018518</v>
      </c>
      <c r="F1292" s="101"/>
      <c r="G1292" s="102" t="str">
        <f>IF(stdProdLT(Main[[#This Row],[Comments]])=0.1,"N/A",IF(stdProdLT(Main[[#This Row],[Comments]])=0,"",stdProdLT(Main[[#This Row],[Comments]])))</f>
        <v/>
      </c>
      <c r="H1292" s="103" t="str">
        <f>IF(AND(Main[[#This Row],[In Stock Date]]&lt;&gt;"",Main[[#This Row],[Revised Due Date]]&lt;&gt;""),Main[[#This Row],[In Stock Date]]-Main[[#This Row],[Revised Due Date]],"")</f>
        <v/>
      </c>
      <c r="I1292" s="99" t="s">
        <v>277</v>
      </c>
      <c r="J1292" s="99" t="s">
        <v>28</v>
      </c>
      <c r="K1292" s="108" t="s">
        <v>1974</v>
      </c>
      <c r="L1292" s="101">
        <v>40687</v>
      </c>
      <c r="M1292" s="104" t="str">
        <f>IF(Main[[#This Row],[Tech Start Date]]&lt;1/1/1990,"",IF(Main[[#This Row],[Class]]="C",WORKDAY(Main[[#This Row],[Tech Start Date]],9),IF(Main[[#This Row],[Class]]="B", WORKDAY(Main[[#This Row],[Tech Start Date]],6),IF(Main[[#This Row],[Class]]="A",WORKDAY(Main[[#This Row],[Tech Start Date]],2),""))))</f>
        <v/>
      </c>
      <c r="N1292" s="104" t="str">
        <f>IF(Main[[#This Row],[Tech Start Date]]&lt;1/1/1990,"",IF(Main[[#This Row],[Class]]="C",WORKDAY(Main[[#This Row],[Tech Start Date]],19),IF(Main[[#This Row],[Class]]="B", WORKDAY(Main[[#This Row],[Tech Start Date]],12),IF(Main[[#This Row],[Class]]="A",WORKDAY(Main[[#This Row],[Tech Start Date]],4),""))))</f>
        <v/>
      </c>
      <c r="O1292" s="104" t="str">
        <f>IF(Main[[#This Row],[Tech Start Date]]&lt;1/1/1990,"",IF(Main[[#This Row],[Class]]="C",WORKDAY(Main[[#This Row],[Tech Start Date]],23),IF(Main[[#This Row],[Class]]="B", WORKDAY(Main[[#This Row],[Tech Start Date]],15),IF(Main[[#This Row],[Class]]="A",WORKDAY(Main[[#This Row],[Tech Start Date]],5),""))))</f>
        <v/>
      </c>
      <c r="P1292" s="104" t="str">
        <f>IF(Main[[#This Row],[Tech Start Date]]&lt;1/1/1990,"",IF(Main[[#This Row],[Class]]="C",WORKDAY(Main[[#This Row],[Tech Start Date]],28),IF(Main[[#This Row],[Class]]="B", WORKDAY(Main[[#This Row],[Tech Start Date]],19),IF(Main[[#This Row],[Class]]="A",WORKDAY(Main[[#This Row],[Tech Start Date]],9),""))))</f>
        <v/>
      </c>
      <c r="Q1292" s="101">
        <v>41274</v>
      </c>
      <c r="R1292" s="101">
        <v>41241</v>
      </c>
      <c r="S1292" s="99" t="s">
        <v>17</v>
      </c>
      <c r="T1292" s="107" t="s">
        <v>4</v>
      </c>
      <c r="U1292" s="99" t="s">
        <v>29</v>
      </c>
      <c r="V1292" s="99" t="s">
        <v>1965</v>
      </c>
      <c r="W1292" s="99" t="s">
        <v>1967</v>
      </c>
    </row>
    <row r="1293" spans="1:23" ht="18.600000000000001" customHeight="1">
      <c r="A1293" s="123" t="str">
        <f>IF(priority(Main[[#This Row],[Comments]])&lt;&gt;0, priority(Main[[#This Row],[Comments]]),"")</f>
        <v/>
      </c>
      <c r="B1293" s="127" t="s">
        <v>1954</v>
      </c>
      <c r="C1293" s="99" t="s">
        <v>122</v>
      </c>
      <c r="D1293" s="100" t="s">
        <v>2004</v>
      </c>
      <c r="E1293" s="101">
        <v>40703.615451388891</v>
      </c>
      <c r="F1293" s="101">
        <v>40907</v>
      </c>
      <c r="G1293" s="102" t="str">
        <f>IF(stdProdLT(Main[[#This Row],[Comments]])=0.1,"N/A",IF(stdProdLT(Main[[#This Row],[Comments]])=0,"",stdProdLT(Main[[#This Row],[Comments]])))</f>
        <v/>
      </c>
      <c r="H1293" s="103">
        <f>IF(AND(Main[[#This Row],[In Stock Date]]&lt;&gt;"",Main[[#This Row],[Revised Due Date]]&lt;&gt;""),Main[[#This Row],[In Stock Date]]-Main[[#This Row],[Revised Due Date]],"")</f>
        <v>0</v>
      </c>
      <c r="I1293" s="99" t="s">
        <v>979</v>
      </c>
      <c r="J1293" s="99" t="s">
        <v>28</v>
      </c>
      <c r="K1293" s="99" t="s">
        <v>1974</v>
      </c>
      <c r="L1293" s="101">
        <v>40703</v>
      </c>
      <c r="M1293" s="104" t="str">
        <f>IF(Main[[#This Row],[Tech Start Date]]&lt;1/1/1990,"",IF(Main[[#This Row],[Class]]="C",WORKDAY(Main[[#This Row],[Tech Start Date]],9),IF(Main[[#This Row],[Class]]="B", WORKDAY(Main[[#This Row],[Tech Start Date]],6),IF(Main[[#This Row],[Class]]="A",WORKDAY(Main[[#This Row],[Tech Start Date]],2),""))))</f>
        <v/>
      </c>
      <c r="N1293" s="104" t="str">
        <f>IF(Main[[#This Row],[Tech Start Date]]&lt;1/1/1990,"",IF(Main[[#This Row],[Class]]="C",WORKDAY(Main[[#This Row],[Tech Start Date]],19),IF(Main[[#This Row],[Class]]="B", WORKDAY(Main[[#This Row],[Tech Start Date]],12),IF(Main[[#This Row],[Class]]="A",WORKDAY(Main[[#This Row],[Tech Start Date]],4),""))))</f>
        <v/>
      </c>
      <c r="O1293" s="104" t="str">
        <f>IF(Main[[#This Row],[Tech Start Date]]&lt;1/1/1990,"",IF(Main[[#This Row],[Class]]="C",WORKDAY(Main[[#This Row],[Tech Start Date]],23),IF(Main[[#This Row],[Class]]="B", WORKDAY(Main[[#This Row],[Tech Start Date]],15),IF(Main[[#This Row],[Class]]="A",WORKDAY(Main[[#This Row],[Tech Start Date]],5),""))))</f>
        <v/>
      </c>
      <c r="P1293" s="104" t="str">
        <f>IF(Main[[#This Row],[Tech Start Date]]&lt;1/1/1990,"",IF(Main[[#This Row],[Class]]="C",WORKDAY(Main[[#This Row],[Tech Start Date]],28),IF(Main[[#This Row],[Class]]="B", WORKDAY(Main[[#This Row],[Tech Start Date]],19),IF(Main[[#This Row],[Class]]="A",WORKDAY(Main[[#This Row],[Tech Start Date]],9),""))))</f>
        <v/>
      </c>
      <c r="Q1293" s="101">
        <v>40864</v>
      </c>
      <c r="R1293" s="101">
        <v>40907</v>
      </c>
      <c r="S1293" s="99" t="s">
        <v>17</v>
      </c>
      <c r="T1293" s="107" t="s">
        <v>2005</v>
      </c>
      <c r="U1293" s="99" t="s">
        <v>29</v>
      </c>
      <c r="V1293" s="99" t="s">
        <v>1963</v>
      </c>
      <c r="W1293" s="99" t="s">
        <v>1973</v>
      </c>
    </row>
    <row r="1294" spans="1:23" ht="18.600000000000001" customHeight="1">
      <c r="A1294" s="123" t="str">
        <f>IF(priority(Main[[#This Row],[Comments]])&lt;&gt;0, priority(Main[[#This Row],[Comments]]),"")</f>
        <v/>
      </c>
      <c r="B1294" s="127" t="s">
        <v>1937</v>
      </c>
      <c r="C1294" s="99" t="s">
        <v>67</v>
      </c>
      <c r="D1294" s="100" t="s">
        <v>969</v>
      </c>
      <c r="E1294" s="101">
        <v>40701.395416666666</v>
      </c>
      <c r="F1294" s="101">
        <v>40724</v>
      </c>
      <c r="G1294" s="102" t="str">
        <f>IF(stdProdLT(Main[[#This Row],[Comments]])=0.1,"N/A",IF(stdProdLT(Main[[#This Row],[Comments]])=0,"",stdProdLT(Main[[#This Row],[Comments]])))</f>
        <v/>
      </c>
      <c r="H1294" s="103">
        <f>IF(AND(Main[[#This Row],[In Stock Date]]&lt;&gt;"",Main[[#This Row],[Revised Due Date]]&lt;&gt;""),Main[[#This Row],[In Stock Date]]-Main[[#This Row],[Revised Due Date]],"")</f>
        <v>-113</v>
      </c>
      <c r="I1294" s="99" t="s">
        <v>437</v>
      </c>
      <c r="J1294" s="99" t="s">
        <v>28</v>
      </c>
      <c r="K1294" s="99" t="s">
        <v>1969</v>
      </c>
      <c r="L1294" s="101">
        <v>40708</v>
      </c>
      <c r="M1294" s="104">
        <f>IF(Main[[#This Row],[Tech Start Date]]&lt;1/1/1990,"",IF(Main[[#This Row],[Class]]="C",WORKDAY(Main[[#This Row],[Tech Start Date]],9),IF(Main[[#This Row],[Class]]="B", WORKDAY(Main[[#This Row],[Tech Start Date]],6),IF(Main[[#This Row],[Class]]="A",WORKDAY(Main[[#This Row],[Tech Start Date]],2),""))))</f>
        <v>40716</v>
      </c>
      <c r="N1294" s="104">
        <f>IF(Main[[#This Row],[Tech Start Date]]&lt;1/1/1990,"",IF(Main[[#This Row],[Class]]="C",WORKDAY(Main[[#This Row],[Tech Start Date]],19),IF(Main[[#This Row],[Class]]="B", WORKDAY(Main[[#This Row],[Tech Start Date]],12),IF(Main[[#This Row],[Class]]="A",WORKDAY(Main[[#This Row],[Tech Start Date]],4),""))))</f>
        <v>40724</v>
      </c>
      <c r="O1294" s="104">
        <f>IF(Main[[#This Row],[Tech Start Date]]&lt;1/1/1990,"",IF(Main[[#This Row],[Class]]="C",WORKDAY(Main[[#This Row],[Tech Start Date]],23),IF(Main[[#This Row],[Class]]="B", WORKDAY(Main[[#This Row],[Tech Start Date]],15),IF(Main[[#This Row],[Class]]="A",WORKDAY(Main[[#This Row],[Tech Start Date]],5),""))))</f>
        <v>40729</v>
      </c>
      <c r="P1294" s="104">
        <f>IF(Main[[#This Row],[Tech Start Date]]&lt;1/1/1990,"",IF(Main[[#This Row],[Class]]="C",WORKDAY(Main[[#This Row],[Tech Start Date]],28),IF(Main[[#This Row],[Class]]="B", WORKDAY(Main[[#This Row],[Tech Start Date]],19),IF(Main[[#This Row],[Class]]="A",WORKDAY(Main[[#This Row],[Tech Start Date]],9),""))))</f>
        <v>40735</v>
      </c>
      <c r="Q1294" s="101"/>
      <c r="R1294" s="101">
        <v>40837</v>
      </c>
      <c r="S1294" s="99" t="s">
        <v>17</v>
      </c>
      <c r="T1294" s="107" t="s">
        <v>4</v>
      </c>
      <c r="U1294" s="99" t="s">
        <v>29</v>
      </c>
      <c r="V1294" s="99" t="s">
        <v>1965</v>
      </c>
      <c r="W1294" s="99" t="s">
        <v>1970</v>
      </c>
    </row>
    <row r="1295" spans="1:23" ht="18.600000000000001" customHeight="1">
      <c r="A1295" s="123" t="str">
        <f>IF(priority(Main[[#This Row],[Comments]])&lt;&gt;0, priority(Main[[#This Row],[Comments]]),"")</f>
        <v/>
      </c>
      <c r="B1295" s="127" t="s">
        <v>1940</v>
      </c>
      <c r="C1295" s="99" t="s">
        <v>67</v>
      </c>
      <c r="D1295" s="100" t="s">
        <v>971</v>
      </c>
      <c r="E1295" s="101">
        <v>40708.582719907405</v>
      </c>
      <c r="F1295" s="101">
        <v>40724</v>
      </c>
      <c r="G1295" s="102" t="str">
        <f>IF(stdProdLT(Main[[#This Row],[Comments]])=0.1,"N/A",IF(stdProdLT(Main[[#This Row],[Comments]])=0,"",stdProdLT(Main[[#This Row],[Comments]])))</f>
        <v/>
      </c>
      <c r="H1295" s="103">
        <f>IF(AND(Main[[#This Row],[In Stock Date]]&lt;&gt;"",Main[[#This Row],[Revised Due Date]]&lt;&gt;""),Main[[#This Row],[In Stock Date]]-Main[[#This Row],[Revised Due Date]],"")</f>
        <v>-153</v>
      </c>
      <c r="I1295" s="99" t="s">
        <v>437</v>
      </c>
      <c r="J1295" s="99" t="s">
        <v>28</v>
      </c>
      <c r="K1295" s="99" t="s">
        <v>1969</v>
      </c>
      <c r="L1295" s="101">
        <v>40708</v>
      </c>
      <c r="M1295" s="104">
        <f>IF(Main[[#This Row],[Tech Start Date]]&lt;1/1/1990,"",IF(Main[[#This Row],[Class]]="C",WORKDAY(Main[[#This Row],[Tech Start Date]],9),IF(Main[[#This Row],[Class]]="B", WORKDAY(Main[[#This Row],[Tech Start Date]],6),IF(Main[[#This Row],[Class]]="A",WORKDAY(Main[[#This Row],[Tech Start Date]],2),""))))</f>
        <v>40716</v>
      </c>
      <c r="N1295" s="104">
        <f>IF(Main[[#This Row],[Tech Start Date]]&lt;1/1/1990,"",IF(Main[[#This Row],[Class]]="C",WORKDAY(Main[[#This Row],[Tech Start Date]],19),IF(Main[[#This Row],[Class]]="B", WORKDAY(Main[[#This Row],[Tech Start Date]],12),IF(Main[[#This Row],[Class]]="A",WORKDAY(Main[[#This Row],[Tech Start Date]],4),""))))</f>
        <v>40724</v>
      </c>
      <c r="O1295" s="104">
        <f>IF(Main[[#This Row],[Tech Start Date]]&lt;1/1/1990,"",IF(Main[[#This Row],[Class]]="C",WORKDAY(Main[[#This Row],[Tech Start Date]],23),IF(Main[[#This Row],[Class]]="B", WORKDAY(Main[[#This Row],[Tech Start Date]],15),IF(Main[[#This Row],[Class]]="A",WORKDAY(Main[[#This Row],[Tech Start Date]],5),""))))</f>
        <v>40729</v>
      </c>
      <c r="P1295" s="104">
        <f>IF(Main[[#This Row],[Tech Start Date]]&lt;1/1/1990,"",IF(Main[[#This Row],[Class]]="C",WORKDAY(Main[[#This Row],[Tech Start Date]],28),IF(Main[[#This Row],[Class]]="B", WORKDAY(Main[[#This Row],[Tech Start Date]],19),IF(Main[[#This Row],[Class]]="A",WORKDAY(Main[[#This Row],[Tech Start Date]],9),""))))</f>
        <v>40735</v>
      </c>
      <c r="Q1295" s="101"/>
      <c r="R1295" s="101">
        <v>40877</v>
      </c>
      <c r="S1295" s="99" t="s">
        <v>17</v>
      </c>
      <c r="T1295" s="107" t="s">
        <v>4</v>
      </c>
      <c r="U1295" s="99" t="s">
        <v>29</v>
      </c>
      <c r="V1295" s="99" t="s">
        <v>1965</v>
      </c>
      <c r="W1295" s="99" t="s">
        <v>1970</v>
      </c>
    </row>
    <row r="1296" spans="1:23" ht="18.600000000000001" customHeight="1">
      <c r="A1296" s="123" t="str">
        <f>IF(priority(Main[[#This Row],[Comments]])&lt;&gt;0, priority(Main[[#This Row],[Comments]]),"")</f>
        <v/>
      </c>
      <c r="B1296" s="127" t="s">
        <v>1726</v>
      </c>
      <c r="C1296" s="99" t="s">
        <v>754</v>
      </c>
      <c r="D1296" s="100" t="s">
        <v>2023</v>
      </c>
      <c r="E1296" s="101">
        <v>40681.50267361111</v>
      </c>
      <c r="F1296" s="101"/>
      <c r="G1296" s="102" t="str">
        <f>IF(stdProdLT(Main[[#This Row],[Comments]])=0.1,"N/A",IF(stdProdLT(Main[[#This Row],[Comments]])=0,"",stdProdLT(Main[[#This Row],[Comments]])))</f>
        <v/>
      </c>
      <c r="H1296" s="103" t="str">
        <f>IF(AND(Main[[#This Row],[In Stock Date]]&lt;&gt;"",Main[[#This Row],[Revised Due Date]]&lt;&gt;""),Main[[#This Row],[In Stock Date]]-Main[[#This Row],[Revised Due Date]],"")</f>
        <v/>
      </c>
      <c r="I1296" s="99" t="s">
        <v>758</v>
      </c>
      <c r="J1296" s="99" t="s">
        <v>28</v>
      </c>
      <c r="K1296" s="99" t="s">
        <v>1974</v>
      </c>
      <c r="L1296" s="101">
        <v>40742</v>
      </c>
      <c r="M1296" s="104" t="str">
        <f>IF(Main[[#This Row],[Tech Start Date]]&lt;1/1/1990,"",IF(Main[[#This Row],[Class]]="C",WORKDAY(Main[[#This Row],[Tech Start Date]],9),IF(Main[[#This Row],[Class]]="B", WORKDAY(Main[[#This Row],[Tech Start Date]],6),IF(Main[[#This Row],[Class]]="A",WORKDAY(Main[[#This Row],[Tech Start Date]],2),""))))</f>
        <v/>
      </c>
      <c r="N1296" s="104" t="str">
        <f>IF(Main[[#This Row],[Tech Start Date]]&lt;1/1/1990,"",IF(Main[[#This Row],[Class]]="C",WORKDAY(Main[[#This Row],[Tech Start Date]],19),IF(Main[[#This Row],[Class]]="B", WORKDAY(Main[[#This Row],[Tech Start Date]],12),IF(Main[[#This Row],[Class]]="A",WORKDAY(Main[[#This Row],[Tech Start Date]],4),""))))</f>
        <v/>
      </c>
      <c r="O1296" s="104" t="str">
        <f>IF(Main[[#This Row],[Tech Start Date]]&lt;1/1/1990,"",IF(Main[[#This Row],[Class]]="C",WORKDAY(Main[[#This Row],[Tech Start Date]],23),IF(Main[[#This Row],[Class]]="B", WORKDAY(Main[[#This Row],[Tech Start Date]],15),IF(Main[[#This Row],[Class]]="A",WORKDAY(Main[[#This Row],[Tech Start Date]],5),""))))</f>
        <v/>
      </c>
      <c r="P1296" s="104" t="str">
        <f>IF(Main[[#This Row],[Tech Start Date]]&lt;1/1/1990,"",IF(Main[[#This Row],[Class]]="C",WORKDAY(Main[[#This Row],[Tech Start Date]],28),IF(Main[[#This Row],[Class]]="B", WORKDAY(Main[[#This Row],[Tech Start Date]],19),IF(Main[[#This Row],[Class]]="A",WORKDAY(Main[[#This Row],[Tech Start Date]],9),""))))</f>
        <v/>
      </c>
      <c r="Q1296" s="101">
        <v>40939</v>
      </c>
      <c r="R1296" s="101">
        <v>40879</v>
      </c>
      <c r="S1296" s="99" t="s">
        <v>17</v>
      </c>
      <c r="T1296" s="107" t="s">
        <v>4</v>
      </c>
      <c r="U1296" s="99" t="s">
        <v>29</v>
      </c>
      <c r="V1296" s="99" t="s">
        <v>1965</v>
      </c>
      <c r="W1296" s="99" t="s">
        <v>1967</v>
      </c>
    </row>
    <row r="1297" spans="1:23" ht="18.600000000000001" customHeight="1">
      <c r="A1297" s="123" t="str">
        <f>IF(priority(Main[[#This Row],[Comments]])&lt;&gt;0, priority(Main[[#This Row],[Comments]]),"")</f>
        <v/>
      </c>
      <c r="B1297" s="127" t="s">
        <v>2059</v>
      </c>
      <c r="C1297" s="99" t="s">
        <v>2060</v>
      </c>
      <c r="D1297" s="100" t="s">
        <v>2075</v>
      </c>
      <c r="E1297" s="101">
        <v>40737.577511574076</v>
      </c>
      <c r="F1297" s="101"/>
      <c r="G1297" s="102" t="str">
        <f>IF(stdProdLT(Main[[#This Row],[Comments]])=0.1,"N/A",IF(stdProdLT(Main[[#This Row],[Comments]])=0,"",stdProdLT(Main[[#This Row],[Comments]])))</f>
        <v/>
      </c>
      <c r="H1297" s="103" t="str">
        <f>IF(AND(Main[[#This Row],[In Stock Date]]&lt;&gt;"",Main[[#This Row],[Revised Due Date]]&lt;&gt;""),Main[[#This Row],[In Stock Date]]-Main[[#This Row],[Revised Due Date]],"")</f>
        <v/>
      </c>
      <c r="I1297" s="99" t="s">
        <v>4</v>
      </c>
      <c r="J1297" s="99" t="s">
        <v>28</v>
      </c>
      <c r="K1297" s="99" t="s">
        <v>1974</v>
      </c>
      <c r="L1297" s="101">
        <v>40742</v>
      </c>
      <c r="M1297" s="104" t="str">
        <f>IF(Main[[#This Row],[Tech Start Date]]&lt;1/1/1990,"",IF(Main[[#This Row],[Class]]="C",WORKDAY(Main[[#This Row],[Tech Start Date]],9),IF(Main[[#This Row],[Class]]="B", WORKDAY(Main[[#This Row],[Tech Start Date]],6),IF(Main[[#This Row],[Class]]="A",WORKDAY(Main[[#This Row],[Tech Start Date]],2),""))))</f>
        <v/>
      </c>
      <c r="N1297" s="104" t="str">
        <f>IF(Main[[#This Row],[Tech Start Date]]&lt;1/1/1990,"",IF(Main[[#This Row],[Class]]="C",WORKDAY(Main[[#This Row],[Tech Start Date]],19),IF(Main[[#This Row],[Class]]="B", WORKDAY(Main[[#This Row],[Tech Start Date]],12),IF(Main[[#This Row],[Class]]="A",WORKDAY(Main[[#This Row],[Tech Start Date]],4),""))))</f>
        <v/>
      </c>
      <c r="O1297" s="104" t="str">
        <f>IF(Main[[#This Row],[Tech Start Date]]&lt;1/1/1990,"",IF(Main[[#This Row],[Class]]="C",WORKDAY(Main[[#This Row],[Tech Start Date]],23),IF(Main[[#This Row],[Class]]="B", WORKDAY(Main[[#This Row],[Tech Start Date]],15),IF(Main[[#This Row],[Class]]="A",WORKDAY(Main[[#This Row],[Tech Start Date]],5),""))))</f>
        <v/>
      </c>
      <c r="P1297" s="104" t="str">
        <f>IF(Main[[#This Row],[Tech Start Date]]&lt;1/1/1990,"",IF(Main[[#This Row],[Class]]="C",WORKDAY(Main[[#This Row],[Tech Start Date]],28),IF(Main[[#This Row],[Class]]="B", WORKDAY(Main[[#This Row],[Tech Start Date]],19),IF(Main[[#This Row],[Class]]="A",WORKDAY(Main[[#This Row],[Tech Start Date]],9),""))))</f>
        <v/>
      </c>
      <c r="Q1297" s="101"/>
      <c r="R1297" s="101"/>
      <c r="S1297" s="99" t="s">
        <v>17</v>
      </c>
      <c r="T1297" s="107" t="s">
        <v>4</v>
      </c>
      <c r="U1297" s="99" t="s">
        <v>29</v>
      </c>
      <c r="V1297" s="99" t="s">
        <v>1962</v>
      </c>
      <c r="W1297" s="99" t="s">
        <v>1970</v>
      </c>
    </row>
    <row r="1298" spans="1:23" ht="18.600000000000001" customHeight="1">
      <c r="A1298" s="123" t="str">
        <f>IF(priority(Main[[#This Row],[Comments]])&lt;&gt;0, priority(Main[[#This Row],[Comments]]),"")</f>
        <v/>
      </c>
      <c r="B1298" s="127" t="s">
        <v>2095</v>
      </c>
      <c r="C1298" s="99" t="s">
        <v>116</v>
      </c>
      <c r="D1298" s="100" t="s">
        <v>2322</v>
      </c>
      <c r="E1298" s="101">
        <v>40751.429224537038</v>
      </c>
      <c r="F1298" s="101"/>
      <c r="G1298" s="102" t="str">
        <f>IF(stdProdLT(Main[[#This Row],[Comments]])=0.1,"N/A",IF(stdProdLT(Main[[#This Row],[Comments]])=0,"",stdProdLT(Main[[#This Row],[Comments]])))</f>
        <v/>
      </c>
      <c r="H1298" s="103" t="str">
        <f>IF(AND(Main[[#This Row],[In Stock Date]]&lt;&gt;"",Main[[#This Row],[Revised Due Date]]&lt;&gt;""),Main[[#This Row],[In Stock Date]]-Main[[#This Row],[Revised Due Date]],"")</f>
        <v/>
      </c>
      <c r="I1298" s="99" t="s">
        <v>2099</v>
      </c>
      <c r="J1298" s="99" t="s">
        <v>28</v>
      </c>
      <c r="K1298" s="99" t="s">
        <v>1974</v>
      </c>
      <c r="L1298" s="101">
        <v>40742</v>
      </c>
      <c r="M1298" s="104" t="str">
        <f>IF(Main[[#This Row],[Tech Start Date]]&lt;1/1/1990,"",IF(Main[[#This Row],[Class]]="C",WORKDAY(Main[[#This Row],[Tech Start Date]],9),IF(Main[[#This Row],[Class]]="B", WORKDAY(Main[[#This Row],[Tech Start Date]],6),IF(Main[[#This Row],[Class]]="A",WORKDAY(Main[[#This Row],[Tech Start Date]],2),""))))</f>
        <v/>
      </c>
      <c r="N1298" s="104" t="str">
        <f>IF(Main[[#This Row],[Tech Start Date]]&lt;1/1/1990,"",IF(Main[[#This Row],[Class]]="C",WORKDAY(Main[[#This Row],[Tech Start Date]],19),IF(Main[[#This Row],[Class]]="B", WORKDAY(Main[[#This Row],[Tech Start Date]],12),IF(Main[[#This Row],[Class]]="A",WORKDAY(Main[[#This Row],[Tech Start Date]],4),""))))</f>
        <v/>
      </c>
      <c r="O1298" s="104" t="str">
        <f>IF(Main[[#This Row],[Tech Start Date]]&lt;1/1/1990,"",IF(Main[[#This Row],[Class]]="C",WORKDAY(Main[[#This Row],[Tech Start Date]],23),IF(Main[[#This Row],[Class]]="B", WORKDAY(Main[[#This Row],[Tech Start Date]],15),IF(Main[[#This Row],[Class]]="A",WORKDAY(Main[[#This Row],[Tech Start Date]],5),""))))</f>
        <v/>
      </c>
      <c r="P1298" s="104" t="str">
        <f>IF(Main[[#This Row],[Tech Start Date]]&lt;1/1/1990,"",IF(Main[[#This Row],[Class]]="C",WORKDAY(Main[[#This Row],[Tech Start Date]],28),IF(Main[[#This Row],[Class]]="B", WORKDAY(Main[[#This Row],[Tech Start Date]],19),IF(Main[[#This Row],[Class]]="A",WORKDAY(Main[[#This Row],[Tech Start Date]],9),""))))</f>
        <v/>
      </c>
      <c r="Q1298" s="101"/>
      <c r="R1298" s="101">
        <v>40868</v>
      </c>
      <c r="S1298" s="99" t="s">
        <v>17</v>
      </c>
      <c r="T1298" s="107" t="s">
        <v>4</v>
      </c>
      <c r="U1298" s="99" t="s">
        <v>29</v>
      </c>
      <c r="V1298" s="99" t="s">
        <v>1965</v>
      </c>
      <c r="W1298" s="99" t="s">
        <v>1967</v>
      </c>
    </row>
    <row r="1299" spans="1:23" ht="18.600000000000001" customHeight="1">
      <c r="A1299" s="123" t="str">
        <f>IF(priority(Main[[#This Row],[Comments]])&lt;&gt;0, priority(Main[[#This Row],[Comments]]),"")</f>
        <v/>
      </c>
      <c r="B1299" s="127" t="s">
        <v>1059</v>
      </c>
      <c r="C1299" s="99" t="s">
        <v>46</v>
      </c>
      <c r="D1299" s="100" t="s">
        <v>2201</v>
      </c>
      <c r="E1299" s="101">
        <v>40549.665949074071</v>
      </c>
      <c r="F1299" s="101">
        <v>40603</v>
      </c>
      <c r="G1299" s="102" t="str">
        <f>IF(stdProdLT(Main[[#This Row],[Comments]])=0.1,"N/A",IF(stdProdLT(Main[[#This Row],[Comments]])=0,"",stdProdLT(Main[[#This Row],[Comments]])))</f>
        <v/>
      </c>
      <c r="H1299" s="103" t="str">
        <f>IF(AND(Main[[#This Row],[In Stock Date]]&lt;&gt;"",Main[[#This Row],[Revised Due Date]]&lt;&gt;""),Main[[#This Row],[In Stock Date]]-Main[[#This Row],[Revised Due Date]],"")</f>
        <v/>
      </c>
      <c r="I1299" s="99" t="s">
        <v>173</v>
      </c>
      <c r="J1299" s="99" t="s">
        <v>70</v>
      </c>
      <c r="K1299" s="99" t="s">
        <v>1974</v>
      </c>
      <c r="L1299" s="101">
        <v>40751</v>
      </c>
      <c r="M1299" s="104" t="str">
        <f>IF(Main[[#This Row],[Tech Start Date]]&lt;1/1/1990,"",IF(Main[[#This Row],[Class]]="C",WORKDAY(Main[[#This Row],[Tech Start Date]],9),IF(Main[[#This Row],[Class]]="B", WORKDAY(Main[[#This Row],[Tech Start Date]],6),IF(Main[[#This Row],[Class]]="A",WORKDAY(Main[[#This Row],[Tech Start Date]],2),""))))</f>
        <v/>
      </c>
      <c r="N1299" s="104" t="str">
        <f>IF(Main[[#This Row],[Tech Start Date]]&lt;1/1/1990,"",IF(Main[[#This Row],[Class]]="C",WORKDAY(Main[[#This Row],[Tech Start Date]],19),IF(Main[[#This Row],[Class]]="B", WORKDAY(Main[[#This Row],[Tech Start Date]],12),IF(Main[[#This Row],[Class]]="A",WORKDAY(Main[[#This Row],[Tech Start Date]],4),""))))</f>
        <v/>
      </c>
      <c r="O1299" s="104" t="str">
        <f>IF(Main[[#This Row],[Tech Start Date]]&lt;1/1/1990,"",IF(Main[[#This Row],[Class]]="C",WORKDAY(Main[[#This Row],[Tech Start Date]],23),IF(Main[[#This Row],[Class]]="B", WORKDAY(Main[[#This Row],[Tech Start Date]],15),IF(Main[[#This Row],[Class]]="A",WORKDAY(Main[[#This Row],[Tech Start Date]],5),""))))</f>
        <v/>
      </c>
      <c r="P1299" s="104" t="str">
        <f>IF(Main[[#This Row],[Tech Start Date]]&lt;1/1/1990,"",IF(Main[[#This Row],[Class]]="C",WORKDAY(Main[[#This Row],[Tech Start Date]],28),IF(Main[[#This Row],[Class]]="B", WORKDAY(Main[[#This Row],[Tech Start Date]],19),IF(Main[[#This Row],[Class]]="A",WORKDAY(Main[[#This Row],[Tech Start Date]],9),""))))</f>
        <v/>
      </c>
      <c r="Q1299" s="101">
        <v>40603</v>
      </c>
      <c r="R1299" s="101"/>
      <c r="S1299" s="99" t="s">
        <v>17</v>
      </c>
      <c r="T1299" s="107" t="s">
        <v>4</v>
      </c>
      <c r="U1299" s="99" t="s">
        <v>29</v>
      </c>
      <c r="V1299" s="99" t="s">
        <v>1965</v>
      </c>
      <c r="W1299" s="99" t="s">
        <v>1967</v>
      </c>
    </row>
    <row r="1300" spans="1:23" ht="18.600000000000001" customHeight="1">
      <c r="A1300" s="123" t="str">
        <f>IF(priority(Main[[#This Row],[Comments]])&lt;&gt;0, priority(Main[[#This Row],[Comments]]),"")</f>
        <v/>
      </c>
      <c r="B1300" s="127" t="s">
        <v>2105</v>
      </c>
      <c r="C1300" s="99" t="s">
        <v>4</v>
      </c>
      <c r="D1300" s="100" t="s">
        <v>2113</v>
      </c>
      <c r="E1300" s="101"/>
      <c r="F1300" s="101"/>
      <c r="G1300" s="102" t="str">
        <f>IF(stdProdLT(Main[[#This Row],[Comments]])=0.1,"N/A",IF(stdProdLT(Main[[#This Row],[Comments]])=0,"",stdProdLT(Main[[#This Row],[Comments]])))</f>
        <v/>
      </c>
      <c r="H1300" s="103" t="str">
        <f>IF(AND(Main[[#This Row],[In Stock Date]]&lt;&gt;"",Main[[#This Row],[Revised Due Date]]&lt;&gt;""),Main[[#This Row],[In Stock Date]]-Main[[#This Row],[Revised Due Date]],"")</f>
        <v/>
      </c>
      <c r="I1300" s="99" t="s">
        <v>905</v>
      </c>
      <c r="J1300" s="99" t="s">
        <v>28</v>
      </c>
      <c r="K1300" s="99" t="s">
        <v>1971</v>
      </c>
      <c r="L1300" s="101">
        <v>40752</v>
      </c>
      <c r="M1300" s="104">
        <f>IF(Main[[#This Row],[Tech Start Date]]&lt;1/1/1990,"",IF(Main[[#This Row],[Class]]="C",WORKDAY(Main[[#This Row],[Tech Start Date]],9),IF(Main[[#This Row],[Class]]="B", WORKDAY(Main[[#This Row],[Tech Start Date]],6),IF(Main[[#This Row],[Class]]="A",WORKDAY(Main[[#This Row],[Tech Start Date]],2),""))))</f>
        <v>40756</v>
      </c>
      <c r="N1300" s="104">
        <f>IF(Main[[#This Row],[Tech Start Date]]&lt;1/1/1990,"",IF(Main[[#This Row],[Class]]="C",WORKDAY(Main[[#This Row],[Tech Start Date]],19),IF(Main[[#This Row],[Class]]="B", WORKDAY(Main[[#This Row],[Tech Start Date]],12),IF(Main[[#This Row],[Class]]="A",WORKDAY(Main[[#This Row],[Tech Start Date]],4),""))))</f>
        <v>40758</v>
      </c>
      <c r="O1300" s="104">
        <f>IF(Main[[#This Row],[Tech Start Date]]&lt;1/1/1990,"",IF(Main[[#This Row],[Class]]="C",WORKDAY(Main[[#This Row],[Tech Start Date]],23),IF(Main[[#This Row],[Class]]="B", WORKDAY(Main[[#This Row],[Tech Start Date]],15),IF(Main[[#This Row],[Class]]="A",WORKDAY(Main[[#This Row],[Tech Start Date]],5),""))))</f>
        <v>40759</v>
      </c>
      <c r="P1300" s="104">
        <f>IF(Main[[#This Row],[Tech Start Date]]&lt;1/1/1990,"",IF(Main[[#This Row],[Class]]="C",WORKDAY(Main[[#This Row],[Tech Start Date]],28),IF(Main[[#This Row],[Class]]="B", WORKDAY(Main[[#This Row],[Tech Start Date]],19),IF(Main[[#This Row],[Class]]="A",WORKDAY(Main[[#This Row],[Tech Start Date]],9),""))))</f>
        <v>40765</v>
      </c>
      <c r="Q1300" s="101">
        <v>40758</v>
      </c>
      <c r="R1300" s="101">
        <v>40786</v>
      </c>
      <c r="S1300" s="99" t="s">
        <v>6</v>
      </c>
      <c r="T1300" s="107" t="s">
        <v>4</v>
      </c>
      <c r="U1300" s="99" t="s">
        <v>14</v>
      </c>
      <c r="V1300" s="99" t="s">
        <v>1962</v>
      </c>
      <c r="W1300" s="99" t="s">
        <v>1966</v>
      </c>
    </row>
    <row r="1301" spans="1:23" ht="18.600000000000001" customHeight="1">
      <c r="A1301" s="123" t="str">
        <f>IF(priority(Main[[#This Row],[Comments]])&lt;&gt;0, priority(Main[[#This Row],[Comments]]),"")</f>
        <v/>
      </c>
      <c r="B1301" s="127" t="s">
        <v>1945</v>
      </c>
      <c r="C1301" s="99" t="s">
        <v>72</v>
      </c>
      <c r="D1301" s="100" t="s">
        <v>2202</v>
      </c>
      <c r="E1301" s="101">
        <v>40470.014479166668</v>
      </c>
      <c r="F1301" s="101">
        <v>40487</v>
      </c>
      <c r="G1301" s="102">
        <f>IF(stdProdLT(Main[[#This Row],[Comments]])=0.1,"N/A",IF(stdProdLT(Main[[#This Row],[Comments]])=0,"",stdProdLT(Main[[#This Row],[Comments]])))</f>
        <v>42</v>
      </c>
      <c r="H1301" s="103">
        <f>IF(AND(Main[[#This Row],[In Stock Date]]&lt;&gt;"",Main[[#This Row],[Revised Due Date]]&lt;&gt;""),Main[[#This Row],[In Stock Date]]-Main[[#This Row],[Revised Due Date]],"")</f>
        <v>-294</v>
      </c>
      <c r="I1301" s="99" t="s">
        <v>2112</v>
      </c>
      <c r="J1301" s="99" t="s">
        <v>52</v>
      </c>
      <c r="K1301" s="99" t="s">
        <v>1969</v>
      </c>
      <c r="L1301" s="101">
        <v>40756</v>
      </c>
      <c r="M1301" s="104">
        <f>IF(Main[[#This Row],[Tech Start Date]]&lt;1/1/1990,"",IF(Main[[#This Row],[Class]]="C",WORKDAY(Main[[#This Row],[Tech Start Date]],9),IF(Main[[#This Row],[Class]]="B", WORKDAY(Main[[#This Row],[Tech Start Date]],6),IF(Main[[#This Row],[Class]]="A",WORKDAY(Main[[#This Row],[Tech Start Date]],2),""))))</f>
        <v>40764</v>
      </c>
      <c r="N1301" s="104">
        <f>IF(Main[[#This Row],[Tech Start Date]]&lt;1/1/1990,"",IF(Main[[#This Row],[Class]]="C",WORKDAY(Main[[#This Row],[Tech Start Date]],19),IF(Main[[#This Row],[Class]]="B", WORKDAY(Main[[#This Row],[Tech Start Date]],12),IF(Main[[#This Row],[Class]]="A",WORKDAY(Main[[#This Row],[Tech Start Date]],4),""))))</f>
        <v>40772</v>
      </c>
      <c r="O1301" s="104">
        <f>IF(Main[[#This Row],[Tech Start Date]]&lt;1/1/1990,"",IF(Main[[#This Row],[Class]]="C",WORKDAY(Main[[#This Row],[Tech Start Date]],23),IF(Main[[#This Row],[Class]]="B", WORKDAY(Main[[#This Row],[Tech Start Date]],15),IF(Main[[#This Row],[Class]]="A",WORKDAY(Main[[#This Row],[Tech Start Date]],5),""))))</f>
        <v>40777</v>
      </c>
      <c r="P1301" s="104">
        <f>IF(Main[[#This Row],[Tech Start Date]]&lt;1/1/1990,"",IF(Main[[#This Row],[Class]]="C",WORKDAY(Main[[#This Row],[Tech Start Date]],28),IF(Main[[#This Row],[Class]]="B", WORKDAY(Main[[#This Row],[Tech Start Date]],19),IF(Main[[#This Row],[Class]]="A",WORKDAY(Main[[#This Row],[Tech Start Date]],9),""))))</f>
        <v>40781</v>
      </c>
      <c r="Q1301" s="101"/>
      <c r="R1301" s="101">
        <v>40781</v>
      </c>
      <c r="S1301" s="99" t="s">
        <v>6</v>
      </c>
      <c r="T1301" s="107" t="s">
        <v>2203</v>
      </c>
      <c r="U1301" s="99" t="s">
        <v>29</v>
      </c>
      <c r="V1301" s="99" t="s">
        <v>1963</v>
      </c>
      <c r="W1301" s="99" t="s">
        <v>1964</v>
      </c>
    </row>
    <row r="1302" spans="1:23" ht="18.600000000000001" customHeight="1">
      <c r="A1302" s="123" t="str">
        <f>IF(priority(Main[[#This Row],[Comments]])&lt;&gt;0, priority(Main[[#This Row],[Comments]]),"")</f>
        <v/>
      </c>
      <c r="B1302" s="127" t="s">
        <v>1335</v>
      </c>
      <c r="C1302" s="99" t="s">
        <v>379</v>
      </c>
      <c r="D1302" s="100" t="s">
        <v>2337</v>
      </c>
      <c r="E1302" s="101">
        <v>40711.60083333333</v>
      </c>
      <c r="F1302" s="101">
        <v>40877</v>
      </c>
      <c r="G1302" s="102" t="str">
        <f>IF(stdProdLT(Main[[#This Row],[Comments]])=0.1,"N/A",IF(stdProdLT(Main[[#This Row],[Comments]])=0,"",stdProdLT(Main[[#This Row],[Comments]])))</f>
        <v/>
      </c>
      <c r="H1302" s="103">
        <f>IF(AND(Main[[#This Row],[In Stock Date]]&lt;&gt;"",Main[[#This Row],[Revised Due Date]]&lt;&gt;""),Main[[#This Row],[In Stock Date]]-Main[[#This Row],[Revised Due Date]],"")</f>
        <v>0</v>
      </c>
      <c r="I1302" s="99" t="s">
        <v>2102</v>
      </c>
      <c r="J1302" s="99" t="s">
        <v>28</v>
      </c>
      <c r="K1302" s="99" t="s">
        <v>1974</v>
      </c>
      <c r="L1302" s="101">
        <v>40767</v>
      </c>
      <c r="M1302" s="104" t="str">
        <f>IF(Main[[#This Row],[Tech Start Date]]&lt;1/1/1990,"",IF(Main[[#This Row],[Class]]="C",WORKDAY(Main[[#This Row],[Tech Start Date]],9),IF(Main[[#This Row],[Class]]="B", WORKDAY(Main[[#This Row],[Tech Start Date]],6),IF(Main[[#This Row],[Class]]="A",WORKDAY(Main[[#This Row],[Tech Start Date]],2),""))))</f>
        <v/>
      </c>
      <c r="N1302" s="104" t="str">
        <f>IF(Main[[#This Row],[Tech Start Date]]&lt;1/1/1990,"",IF(Main[[#This Row],[Class]]="C",WORKDAY(Main[[#This Row],[Tech Start Date]],19),IF(Main[[#This Row],[Class]]="B", WORKDAY(Main[[#This Row],[Tech Start Date]],12),IF(Main[[#This Row],[Class]]="A",WORKDAY(Main[[#This Row],[Tech Start Date]],4),""))))</f>
        <v/>
      </c>
      <c r="O1302" s="104" t="str">
        <f>IF(Main[[#This Row],[Tech Start Date]]&lt;1/1/1990,"",IF(Main[[#This Row],[Class]]="C",WORKDAY(Main[[#This Row],[Tech Start Date]],23),IF(Main[[#This Row],[Class]]="B", WORKDAY(Main[[#This Row],[Tech Start Date]],15),IF(Main[[#This Row],[Class]]="A",WORKDAY(Main[[#This Row],[Tech Start Date]],5),""))))</f>
        <v/>
      </c>
      <c r="P1302" s="104" t="str">
        <f>IF(Main[[#This Row],[Tech Start Date]]&lt;1/1/1990,"",IF(Main[[#This Row],[Class]]="C",WORKDAY(Main[[#This Row],[Tech Start Date]],28),IF(Main[[#This Row],[Class]]="B", WORKDAY(Main[[#This Row],[Tech Start Date]],19),IF(Main[[#This Row],[Class]]="A",WORKDAY(Main[[#This Row],[Tech Start Date]],9),""))))</f>
        <v/>
      </c>
      <c r="Q1302" s="101">
        <v>40877</v>
      </c>
      <c r="R1302" s="101">
        <v>40877</v>
      </c>
      <c r="S1302" s="99" t="s">
        <v>17</v>
      </c>
      <c r="T1302" s="107" t="s">
        <v>4</v>
      </c>
      <c r="U1302" s="99" t="s">
        <v>29</v>
      </c>
      <c r="V1302" s="99" t="s">
        <v>1965</v>
      </c>
      <c r="W1302" s="99" t="s">
        <v>1970</v>
      </c>
    </row>
    <row r="1303" spans="1:23" ht="18.600000000000001" customHeight="1">
      <c r="A1303" s="123" t="str">
        <f>IF(priority(Main[[#This Row],[Comments]])&lt;&gt;0, priority(Main[[#This Row],[Comments]]),"")</f>
        <v/>
      </c>
      <c r="B1303" s="127" t="s">
        <v>2207</v>
      </c>
      <c r="C1303" s="99" t="s">
        <v>4</v>
      </c>
      <c r="D1303" s="100" t="s">
        <v>2896</v>
      </c>
      <c r="E1303" s="101">
        <v>40772.447592592594</v>
      </c>
      <c r="F1303" s="101"/>
      <c r="G1303" s="102" t="str">
        <f>IF(stdProdLT(Main[[#This Row],[Comments]])=0.1,"N/A",IF(stdProdLT(Main[[#This Row],[Comments]])=0,"",stdProdLT(Main[[#This Row],[Comments]])))</f>
        <v/>
      </c>
      <c r="H1303" s="103" t="str">
        <f>IF(AND(Main[[#This Row],[In Stock Date]]&lt;&gt;"",Main[[#This Row],[Revised Due Date]]&lt;&gt;""),Main[[#This Row],[In Stock Date]]-Main[[#This Row],[Revised Due Date]],"")</f>
        <v/>
      </c>
      <c r="I1303" s="99" t="s">
        <v>893</v>
      </c>
      <c r="J1303" s="99" t="s">
        <v>28</v>
      </c>
      <c r="K1303" s="99" t="s">
        <v>1975</v>
      </c>
      <c r="L1303" s="101">
        <v>40772</v>
      </c>
      <c r="M1303" s="104">
        <f>IF(Main[[#This Row],[Tech Start Date]]&lt;1/1/1990,"",IF(Main[[#This Row],[Class]]="C",WORKDAY(Main[[#This Row],[Tech Start Date]],9),IF(Main[[#This Row],[Class]]="B", WORKDAY(Main[[#This Row],[Tech Start Date]],6),IF(Main[[#This Row],[Class]]="A",WORKDAY(Main[[#This Row],[Tech Start Date]],2),""))))</f>
        <v>40785</v>
      </c>
      <c r="N1303" s="104">
        <f>IF(Main[[#This Row],[Tech Start Date]]&lt;1/1/1990,"",IF(Main[[#This Row],[Class]]="C",WORKDAY(Main[[#This Row],[Tech Start Date]],19),IF(Main[[#This Row],[Class]]="B", WORKDAY(Main[[#This Row],[Tech Start Date]],12),IF(Main[[#This Row],[Class]]="A",WORKDAY(Main[[#This Row],[Tech Start Date]],4),""))))</f>
        <v>40799</v>
      </c>
      <c r="O1303" s="104">
        <f>IF(Main[[#This Row],[Tech Start Date]]&lt;1/1/1990,"",IF(Main[[#This Row],[Class]]="C",WORKDAY(Main[[#This Row],[Tech Start Date]],23),IF(Main[[#This Row],[Class]]="B", WORKDAY(Main[[#This Row],[Tech Start Date]],15),IF(Main[[#This Row],[Class]]="A",WORKDAY(Main[[#This Row],[Tech Start Date]],5),""))))</f>
        <v>40805</v>
      </c>
      <c r="P1303" s="104">
        <f>IF(Main[[#This Row],[Tech Start Date]]&lt;1/1/1990,"",IF(Main[[#This Row],[Class]]="C",WORKDAY(Main[[#This Row],[Tech Start Date]],28),IF(Main[[#This Row],[Class]]="B", WORKDAY(Main[[#This Row],[Tech Start Date]],19),IF(Main[[#This Row],[Class]]="A",WORKDAY(Main[[#This Row],[Tech Start Date]],9),""))))</f>
        <v>40812</v>
      </c>
      <c r="Q1303" s="101">
        <v>40786</v>
      </c>
      <c r="R1303" s="101">
        <v>40907</v>
      </c>
      <c r="S1303" s="99" t="s">
        <v>17</v>
      </c>
      <c r="T1303" s="107" t="s">
        <v>2407</v>
      </c>
      <c r="U1303" s="99" t="s">
        <v>29</v>
      </c>
      <c r="V1303" s="99" t="s">
        <v>1962</v>
      </c>
      <c r="W1303" s="99" t="s">
        <v>1964</v>
      </c>
    </row>
    <row r="1304" spans="1:23" ht="18.600000000000001" customHeight="1">
      <c r="A1304" s="123" t="str">
        <f>IF(priority(Main[[#This Row],[Comments]])&lt;&gt;0, priority(Main[[#This Row],[Comments]]),"")</f>
        <v/>
      </c>
      <c r="B1304" s="127" t="s">
        <v>2206</v>
      </c>
      <c r="C1304" s="99" t="s">
        <v>4</v>
      </c>
      <c r="D1304" s="100" t="s">
        <v>2897</v>
      </c>
      <c r="E1304" s="101">
        <v>40772.344918981478</v>
      </c>
      <c r="F1304" s="101"/>
      <c r="G1304" s="102" t="str">
        <f>IF(stdProdLT(Main[[#This Row],[Comments]])=0.1,"N/A",IF(stdProdLT(Main[[#This Row],[Comments]])=0,"",stdProdLT(Main[[#This Row],[Comments]])))</f>
        <v/>
      </c>
      <c r="H1304" s="103" t="str">
        <f>IF(AND(Main[[#This Row],[In Stock Date]]&lt;&gt;"",Main[[#This Row],[Revised Due Date]]&lt;&gt;""),Main[[#This Row],[In Stock Date]]-Main[[#This Row],[Revised Due Date]],"")</f>
        <v/>
      </c>
      <c r="I1304" s="99" t="s">
        <v>893</v>
      </c>
      <c r="J1304" s="99" t="s">
        <v>28</v>
      </c>
      <c r="K1304" s="99" t="s">
        <v>1969</v>
      </c>
      <c r="L1304" s="101">
        <v>40772</v>
      </c>
      <c r="M1304" s="104">
        <f>IF(Main[[#This Row],[Tech Start Date]]&lt;1/1/1990,"",IF(Main[[#This Row],[Class]]="C",WORKDAY(Main[[#This Row],[Tech Start Date]],9),IF(Main[[#This Row],[Class]]="B", WORKDAY(Main[[#This Row],[Tech Start Date]],6),IF(Main[[#This Row],[Class]]="A",WORKDAY(Main[[#This Row],[Tech Start Date]],2),""))))</f>
        <v>40780</v>
      </c>
      <c r="N1304" s="104">
        <f>IF(Main[[#This Row],[Tech Start Date]]&lt;1/1/1990,"",IF(Main[[#This Row],[Class]]="C",WORKDAY(Main[[#This Row],[Tech Start Date]],19),IF(Main[[#This Row],[Class]]="B", WORKDAY(Main[[#This Row],[Tech Start Date]],12),IF(Main[[#This Row],[Class]]="A",WORKDAY(Main[[#This Row],[Tech Start Date]],4),""))))</f>
        <v>40788</v>
      </c>
      <c r="O1304" s="104">
        <f>IF(Main[[#This Row],[Tech Start Date]]&lt;1/1/1990,"",IF(Main[[#This Row],[Class]]="C",WORKDAY(Main[[#This Row],[Tech Start Date]],23),IF(Main[[#This Row],[Class]]="B", WORKDAY(Main[[#This Row],[Tech Start Date]],15),IF(Main[[#This Row],[Class]]="A",WORKDAY(Main[[#This Row],[Tech Start Date]],5),""))))</f>
        <v>40793</v>
      </c>
      <c r="P1304" s="104">
        <f>IF(Main[[#This Row],[Tech Start Date]]&lt;1/1/1990,"",IF(Main[[#This Row],[Class]]="C",WORKDAY(Main[[#This Row],[Tech Start Date]],28),IF(Main[[#This Row],[Class]]="B", WORKDAY(Main[[#This Row],[Tech Start Date]],19),IF(Main[[#This Row],[Class]]="A",WORKDAY(Main[[#This Row],[Tech Start Date]],9),""))))</f>
        <v>40799</v>
      </c>
      <c r="Q1304" s="101">
        <v>40779</v>
      </c>
      <c r="R1304" s="101">
        <v>40877</v>
      </c>
      <c r="S1304" s="99" t="s">
        <v>6</v>
      </c>
      <c r="T1304" s="107" t="s">
        <v>4</v>
      </c>
      <c r="U1304" s="99" t="s">
        <v>29</v>
      </c>
      <c r="V1304" s="99" t="s">
        <v>1962</v>
      </c>
      <c r="W1304" s="99" t="s">
        <v>1970</v>
      </c>
    </row>
    <row r="1305" spans="1:23" ht="18.600000000000001" customHeight="1">
      <c r="A1305" s="123" t="str">
        <f>IF(priority(Main[[#This Row],[Comments]])&lt;&gt;0, priority(Main[[#This Row],[Comments]]),"")</f>
        <v/>
      </c>
      <c r="B1305" s="127" t="s">
        <v>2211</v>
      </c>
      <c r="C1305" s="99" t="s">
        <v>53</v>
      </c>
      <c r="D1305" s="100" t="s">
        <v>2212</v>
      </c>
      <c r="E1305" s="101">
        <v>40774.327164351853</v>
      </c>
      <c r="F1305" s="101">
        <v>40786</v>
      </c>
      <c r="G1305" s="102" t="str">
        <f>IF(stdProdLT(Main[[#This Row],[Comments]])=0.1,"N/A",IF(stdProdLT(Main[[#This Row],[Comments]])=0,"",stdProdLT(Main[[#This Row],[Comments]])))</f>
        <v/>
      </c>
      <c r="H1305" s="103">
        <f>IF(AND(Main[[#This Row],[In Stock Date]]&lt;&gt;"",Main[[#This Row],[Revised Due Date]]&lt;&gt;""),Main[[#This Row],[In Stock Date]]-Main[[#This Row],[Revised Due Date]],"")</f>
        <v>-6</v>
      </c>
      <c r="I1305" s="99" t="s">
        <v>2112</v>
      </c>
      <c r="J1305" s="99" t="s">
        <v>52</v>
      </c>
      <c r="K1305" s="99" t="s">
        <v>1971</v>
      </c>
      <c r="L1305" s="101">
        <v>40777</v>
      </c>
      <c r="M1305" s="104">
        <f>IF(Main[[#This Row],[Tech Start Date]]&lt;1/1/1990,"",IF(Main[[#This Row],[Class]]="C",WORKDAY(Main[[#This Row],[Tech Start Date]],9),IF(Main[[#This Row],[Class]]="B", WORKDAY(Main[[#This Row],[Tech Start Date]],6),IF(Main[[#This Row],[Class]]="A",WORKDAY(Main[[#This Row],[Tech Start Date]],2),""))))</f>
        <v>40779</v>
      </c>
      <c r="N1305" s="104">
        <f>IF(Main[[#This Row],[Tech Start Date]]&lt;1/1/1990,"",IF(Main[[#This Row],[Class]]="C",WORKDAY(Main[[#This Row],[Tech Start Date]],19),IF(Main[[#This Row],[Class]]="B", WORKDAY(Main[[#This Row],[Tech Start Date]],12),IF(Main[[#This Row],[Class]]="A",WORKDAY(Main[[#This Row],[Tech Start Date]],4),""))))</f>
        <v>40781</v>
      </c>
      <c r="O1305" s="104">
        <f>IF(Main[[#This Row],[Tech Start Date]]&lt;1/1/1990,"",IF(Main[[#This Row],[Class]]="C",WORKDAY(Main[[#This Row],[Tech Start Date]],23),IF(Main[[#This Row],[Class]]="B", WORKDAY(Main[[#This Row],[Tech Start Date]],15),IF(Main[[#This Row],[Class]]="A",WORKDAY(Main[[#This Row],[Tech Start Date]],5),""))))</f>
        <v>40784</v>
      </c>
      <c r="P1305" s="104">
        <f>IF(Main[[#This Row],[Tech Start Date]]&lt;1/1/1990,"",IF(Main[[#This Row],[Class]]="C",WORKDAY(Main[[#This Row],[Tech Start Date]],28),IF(Main[[#This Row],[Class]]="B", WORKDAY(Main[[#This Row],[Tech Start Date]],19),IF(Main[[#This Row],[Class]]="A",WORKDAY(Main[[#This Row],[Tech Start Date]],9),""))))</f>
        <v>40788</v>
      </c>
      <c r="Q1305" s="101"/>
      <c r="R1305" s="101">
        <v>40792</v>
      </c>
      <c r="S1305" s="99" t="s">
        <v>6</v>
      </c>
      <c r="T1305" s="107" t="s">
        <v>4</v>
      </c>
      <c r="U1305" s="99" t="s">
        <v>29</v>
      </c>
      <c r="V1305" s="99" t="s">
        <v>1963</v>
      </c>
      <c r="W1305" s="99" t="s">
        <v>1964</v>
      </c>
    </row>
    <row r="1306" spans="1:23" ht="18.600000000000001" customHeight="1">
      <c r="A1306" s="123" t="str">
        <f>IF(priority(Main[[#This Row],[Comments]])&lt;&gt;0, priority(Main[[#This Row],[Comments]]),"")</f>
        <v/>
      </c>
      <c r="B1306" s="127" t="s">
        <v>2215</v>
      </c>
      <c r="C1306" s="99" t="s">
        <v>2216</v>
      </c>
      <c r="D1306" s="100" t="s">
        <v>2217</v>
      </c>
      <c r="E1306" s="101">
        <v>40778.69290509259</v>
      </c>
      <c r="F1306" s="101"/>
      <c r="G1306" s="102" t="str">
        <f>IF(stdProdLT(Main[[#This Row],[Comments]])=0.1,"N/A",IF(stdProdLT(Main[[#This Row],[Comments]])=0,"",stdProdLT(Main[[#This Row],[Comments]])))</f>
        <v/>
      </c>
      <c r="H1306" s="103" t="str">
        <f>IF(AND(Main[[#This Row],[In Stock Date]]&lt;&gt;"",Main[[#This Row],[Revised Due Date]]&lt;&gt;""),Main[[#This Row],[In Stock Date]]-Main[[#This Row],[Revised Due Date]],"")</f>
        <v/>
      </c>
      <c r="I1306" s="99" t="s">
        <v>959</v>
      </c>
      <c r="J1306" s="99" t="s">
        <v>28</v>
      </c>
      <c r="K1306" s="99" t="s">
        <v>1969</v>
      </c>
      <c r="L1306" s="101">
        <v>40778</v>
      </c>
      <c r="M1306" s="104">
        <f>IF(Main[[#This Row],[Tech Start Date]]&lt;1/1/1990,"",IF(Main[[#This Row],[Class]]="C",WORKDAY(Main[[#This Row],[Tech Start Date]],9),IF(Main[[#This Row],[Class]]="B", WORKDAY(Main[[#This Row],[Tech Start Date]],6),IF(Main[[#This Row],[Class]]="A",WORKDAY(Main[[#This Row],[Tech Start Date]],2),""))))</f>
        <v>40786</v>
      </c>
      <c r="N1306" s="104">
        <f>IF(Main[[#This Row],[Tech Start Date]]&lt;1/1/1990,"",IF(Main[[#This Row],[Class]]="C",WORKDAY(Main[[#This Row],[Tech Start Date]],19),IF(Main[[#This Row],[Class]]="B", WORKDAY(Main[[#This Row],[Tech Start Date]],12),IF(Main[[#This Row],[Class]]="A",WORKDAY(Main[[#This Row],[Tech Start Date]],4),""))))</f>
        <v>40794</v>
      </c>
      <c r="O1306" s="104">
        <f>IF(Main[[#This Row],[Tech Start Date]]&lt;1/1/1990,"",IF(Main[[#This Row],[Class]]="C",WORKDAY(Main[[#This Row],[Tech Start Date]],23),IF(Main[[#This Row],[Class]]="B", WORKDAY(Main[[#This Row],[Tech Start Date]],15),IF(Main[[#This Row],[Class]]="A",WORKDAY(Main[[#This Row],[Tech Start Date]],5),""))))</f>
        <v>40799</v>
      </c>
      <c r="P1306" s="104">
        <f>IF(Main[[#This Row],[Tech Start Date]]&lt;1/1/1990,"",IF(Main[[#This Row],[Class]]="C",WORKDAY(Main[[#This Row],[Tech Start Date]],28),IF(Main[[#This Row],[Class]]="B", WORKDAY(Main[[#This Row],[Tech Start Date]],19),IF(Main[[#This Row],[Class]]="A",WORKDAY(Main[[#This Row],[Tech Start Date]],9),""))))</f>
        <v>40805</v>
      </c>
      <c r="Q1306" s="101"/>
      <c r="R1306" s="101">
        <v>40807</v>
      </c>
      <c r="S1306" s="99" t="s">
        <v>6</v>
      </c>
      <c r="T1306" s="107" t="s">
        <v>4</v>
      </c>
      <c r="U1306" s="99" t="s">
        <v>29</v>
      </c>
      <c r="V1306" s="99" t="s">
        <v>1963</v>
      </c>
      <c r="W1306" s="99" t="s">
        <v>1966</v>
      </c>
    </row>
    <row r="1307" spans="1:23" ht="18.600000000000001" customHeight="1">
      <c r="A1307" s="123" t="str">
        <f>IF(priority(Main[[#This Row],[Comments]])&lt;&gt;0, priority(Main[[#This Row],[Comments]]),"")</f>
        <v/>
      </c>
      <c r="B1307" s="127" t="s">
        <v>2220</v>
      </c>
      <c r="C1307" s="99" t="s">
        <v>2216</v>
      </c>
      <c r="D1307" s="100" t="s">
        <v>2221</v>
      </c>
      <c r="E1307" s="101">
        <v>40778.690706018519</v>
      </c>
      <c r="F1307" s="101"/>
      <c r="G1307" s="102" t="str">
        <f>IF(stdProdLT(Main[[#This Row],[Comments]])=0.1,"N/A",IF(stdProdLT(Main[[#This Row],[Comments]])=0,"",stdProdLT(Main[[#This Row],[Comments]])))</f>
        <v/>
      </c>
      <c r="H1307" s="103" t="str">
        <f>IF(AND(Main[[#This Row],[In Stock Date]]&lt;&gt;"",Main[[#This Row],[Revised Due Date]]&lt;&gt;""),Main[[#This Row],[In Stock Date]]-Main[[#This Row],[Revised Due Date]],"")</f>
        <v/>
      </c>
      <c r="I1307" s="99" t="s">
        <v>959</v>
      </c>
      <c r="J1307" s="99" t="s">
        <v>28</v>
      </c>
      <c r="K1307" s="99" t="s">
        <v>1971</v>
      </c>
      <c r="L1307" s="101">
        <v>40778</v>
      </c>
      <c r="M1307" s="104">
        <f>IF(Main[[#This Row],[Tech Start Date]]&lt;1/1/1990,"",IF(Main[[#This Row],[Class]]="C",WORKDAY(Main[[#This Row],[Tech Start Date]],9),IF(Main[[#This Row],[Class]]="B", WORKDAY(Main[[#This Row],[Tech Start Date]],6),IF(Main[[#This Row],[Class]]="A",WORKDAY(Main[[#This Row],[Tech Start Date]],2),""))))</f>
        <v>40780</v>
      </c>
      <c r="N1307" s="104">
        <f>IF(Main[[#This Row],[Tech Start Date]]&lt;1/1/1990,"",IF(Main[[#This Row],[Class]]="C",WORKDAY(Main[[#This Row],[Tech Start Date]],19),IF(Main[[#This Row],[Class]]="B", WORKDAY(Main[[#This Row],[Tech Start Date]],12),IF(Main[[#This Row],[Class]]="A",WORKDAY(Main[[#This Row],[Tech Start Date]],4),""))))</f>
        <v>40784</v>
      </c>
      <c r="O1307" s="104">
        <f>IF(Main[[#This Row],[Tech Start Date]]&lt;1/1/1990,"",IF(Main[[#This Row],[Class]]="C",WORKDAY(Main[[#This Row],[Tech Start Date]],23),IF(Main[[#This Row],[Class]]="B", WORKDAY(Main[[#This Row],[Tech Start Date]],15),IF(Main[[#This Row],[Class]]="A",WORKDAY(Main[[#This Row],[Tech Start Date]],5),""))))</f>
        <v>40785</v>
      </c>
      <c r="P1307" s="104">
        <f>IF(Main[[#This Row],[Tech Start Date]]&lt;1/1/1990,"",IF(Main[[#This Row],[Class]]="C",WORKDAY(Main[[#This Row],[Tech Start Date]],28),IF(Main[[#This Row],[Class]]="B", WORKDAY(Main[[#This Row],[Tech Start Date]],19),IF(Main[[#This Row],[Class]]="A",WORKDAY(Main[[#This Row],[Tech Start Date]],9),""))))</f>
        <v>40791</v>
      </c>
      <c r="Q1307" s="101"/>
      <c r="R1307" s="101">
        <v>40807</v>
      </c>
      <c r="S1307" s="99" t="s">
        <v>6</v>
      </c>
      <c r="T1307" s="107" t="s">
        <v>4</v>
      </c>
      <c r="U1307" s="99" t="s">
        <v>29</v>
      </c>
      <c r="V1307" s="99" t="s">
        <v>1963</v>
      </c>
      <c r="W1307" s="99" t="s">
        <v>1964</v>
      </c>
    </row>
    <row r="1308" spans="1:23" ht="18.600000000000001" customHeight="1">
      <c r="A1308" s="123" t="str">
        <f>IF(priority(Main[[#This Row],[Comments]])&lt;&gt;0, priority(Main[[#This Row],[Comments]]),"")</f>
        <v/>
      </c>
      <c r="B1308" s="127" t="s">
        <v>2272</v>
      </c>
      <c r="C1308" s="99" t="s">
        <v>116</v>
      </c>
      <c r="D1308" s="100" t="s">
        <v>2273</v>
      </c>
      <c r="E1308" s="101">
        <v>40787.614270833335</v>
      </c>
      <c r="F1308" s="101"/>
      <c r="G1308" s="102" t="str">
        <f>IF(stdProdLT(Main[[#This Row],[Comments]])=0.1,"N/A",IF(stdProdLT(Main[[#This Row],[Comments]])=0,"",stdProdLT(Main[[#This Row],[Comments]])))</f>
        <v/>
      </c>
      <c r="H1308" s="103" t="str">
        <f>IF(AND(Main[[#This Row],[In Stock Date]]&lt;&gt;"",Main[[#This Row],[Revised Due Date]]&lt;&gt;""),Main[[#This Row],[In Stock Date]]-Main[[#This Row],[Revised Due Date]],"")</f>
        <v/>
      </c>
      <c r="I1308" s="99" t="s">
        <v>2324</v>
      </c>
      <c r="J1308" s="99" t="s">
        <v>28</v>
      </c>
      <c r="K1308" s="99" t="s">
        <v>1975</v>
      </c>
      <c r="L1308" s="101">
        <v>40798</v>
      </c>
      <c r="M1308" s="104">
        <f>IF(Main[[#This Row],[Tech Start Date]]&lt;1/1/1990,"",IF(Main[[#This Row],[Class]]="C",WORKDAY(Main[[#This Row],[Tech Start Date]],9),IF(Main[[#This Row],[Class]]="B", WORKDAY(Main[[#This Row],[Tech Start Date]],6),IF(Main[[#This Row],[Class]]="A",WORKDAY(Main[[#This Row],[Tech Start Date]],2),""))))</f>
        <v>40809</v>
      </c>
      <c r="N1308" s="104">
        <f>IF(Main[[#This Row],[Tech Start Date]]&lt;1/1/1990,"",IF(Main[[#This Row],[Class]]="C",WORKDAY(Main[[#This Row],[Tech Start Date]],19),IF(Main[[#This Row],[Class]]="B", WORKDAY(Main[[#This Row],[Tech Start Date]],12),IF(Main[[#This Row],[Class]]="A",WORKDAY(Main[[#This Row],[Tech Start Date]],4),""))))</f>
        <v>40823</v>
      </c>
      <c r="O1308" s="104">
        <f>IF(Main[[#This Row],[Tech Start Date]]&lt;1/1/1990,"",IF(Main[[#This Row],[Class]]="C",WORKDAY(Main[[#This Row],[Tech Start Date]],23),IF(Main[[#This Row],[Class]]="B", WORKDAY(Main[[#This Row],[Tech Start Date]],15),IF(Main[[#This Row],[Class]]="A",WORKDAY(Main[[#This Row],[Tech Start Date]],5),""))))</f>
        <v>40829</v>
      </c>
      <c r="P1308" s="104">
        <f>IF(Main[[#This Row],[Tech Start Date]]&lt;1/1/1990,"",IF(Main[[#This Row],[Class]]="C",WORKDAY(Main[[#This Row],[Tech Start Date]],28),IF(Main[[#This Row],[Class]]="B", WORKDAY(Main[[#This Row],[Tech Start Date]],19),IF(Main[[#This Row],[Class]]="A",WORKDAY(Main[[#This Row],[Tech Start Date]],9),""))))</f>
        <v>40836</v>
      </c>
      <c r="Q1308" s="101">
        <v>40914</v>
      </c>
      <c r="R1308" s="101">
        <v>40841</v>
      </c>
      <c r="S1308" s="99" t="s">
        <v>6</v>
      </c>
      <c r="T1308" s="107" t="s">
        <v>4</v>
      </c>
      <c r="U1308" s="99" t="s">
        <v>29</v>
      </c>
      <c r="V1308" s="99" t="s">
        <v>1963</v>
      </c>
      <c r="W1308" s="99" t="s">
        <v>1964</v>
      </c>
    </row>
    <row r="1309" spans="1:23" ht="18.600000000000001" customHeight="1">
      <c r="A1309" s="123" t="str">
        <f>IF(priority(Main[[#This Row],[Comments]])&lt;&gt;0, priority(Main[[#This Row],[Comments]]),"")</f>
        <v/>
      </c>
      <c r="B1309" s="127" t="s">
        <v>2246</v>
      </c>
      <c r="C1309" s="99" t="s">
        <v>4</v>
      </c>
      <c r="D1309" s="100" t="s">
        <v>2247</v>
      </c>
      <c r="E1309" s="101">
        <v>40787.619050925925</v>
      </c>
      <c r="F1309" s="101"/>
      <c r="G1309" s="102" t="str">
        <f>IF(stdProdLT(Main[[#This Row],[Comments]])=0.1,"N/A",IF(stdProdLT(Main[[#This Row],[Comments]])=0,"",stdProdLT(Main[[#This Row],[Comments]])))</f>
        <v/>
      </c>
      <c r="H1309" s="103" t="str">
        <f>IF(AND(Main[[#This Row],[In Stock Date]]&lt;&gt;"",Main[[#This Row],[Revised Due Date]]&lt;&gt;""),Main[[#This Row],[In Stock Date]]-Main[[#This Row],[Revised Due Date]],"")</f>
        <v/>
      </c>
      <c r="I1309" s="99" t="s">
        <v>958</v>
      </c>
      <c r="J1309" s="99" t="s">
        <v>28</v>
      </c>
      <c r="K1309" s="99" t="s">
        <v>1975</v>
      </c>
      <c r="L1309" s="101">
        <v>40798</v>
      </c>
      <c r="M1309" s="104">
        <f>IF(Main[[#This Row],[Tech Start Date]]&lt;1/1/1990,"",IF(Main[[#This Row],[Class]]="C",WORKDAY(Main[[#This Row],[Tech Start Date]],9),IF(Main[[#This Row],[Class]]="B", WORKDAY(Main[[#This Row],[Tech Start Date]],6),IF(Main[[#This Row],[Class]]="A",WORKDAY(Main[[#This Row],[Tech Start Date]],2),""))))</f>
        <v>40809</v>
      </c>
      <c r="N1309" s="104">
        <f>IF(Main[[#This Row],[Tech Start Date]]&lt;1/1/1990,"",IF(Main[[#This Row],[Class]]="C",WORKDAY(Main[[#This Row],[Tech Start Date]],19),IF(Main[[#This Row],[Class]]="B", WORKDAY(Main[[#This Row],[Tech Start Date]],12),IF(Main[[#This Row],[Class]]="A",WORKDAY(Main[[#This Row],[Tech Start Date]],4),""))))</f>
        <v>40823</v>
      </c>
      <c r="O1309" s="104">
        <f>IF(Main[[#This Row],[Tech Start Date]]&lt;1/1/1990,"",IF(Main[[#This Row],[Class]]="C",WORKDAY(Main[[#This Row],[Tech Start Date]],23),IF(Main[[#This Row],[Class]]="B", WORKDAY(Main[[#This Row],[Tech Start Date]],15),IF(Main[[#This Row],[Class]]="A",WORKDAY(Main[[#This Row],[Tech Start Date]],5),""))))</f>
        <v>40829</v>
      </c>
      <c r="P1309" s="104">
        <f>IF(Main[[#This Row],[Tech Start Date]]&lt;1/1/1990,"",IF(Main[[#This Row],[Class]]="C",WORKDAY(Main[[#This Row],[Tech Start Date]],28),IF(Main[[#This Row],[Class]]="B", WORKDAY(Main[[#This Row],[Tech Start Date]],19),IF(Main[[#This Row],[Class]]="A",WORKDAY(Main[[#This Row],[Tech Start Date]],9),""))))</f>
        <v>40836</v>
      </c>
      <c r="Q1309" s="101">
        <v>40914</v>
      </c>
      <c r="R1309" s="101">
        <v>40841</v>
      </c>
      <c r="S1309" s="99" t="s">
        <v>6</v>
      </c>
      <c r="T1309" s="107" t="s">
        <v>4</v>
      </c>
      <c r="U1309" s="99" t="s">
        <v>29</v>
      </c>
      <c r="V1309" s="99" t="s">
        <v>1963</v>
      </c>
      <c r="W1309" s="99" t="s">
        <v>1964</v>
      </c>
    </row>
    <row r="1310" spans="1:23" ht="18.600000000000001" customHeight="1">
      <c r="A1310" s="123" t="str">
        <f>IF(priority(Main[[#This Row],[Comments]])&lt;&gt;0, priority(Main[[#This Row],[Comments]]),"")</f>
        <v/>
      </c>
      <c r="B1310" s="127" t="s">
        <v>2303</v>
      </c>
      <c r="C1310" s="99" t="s">
        <v>2304</v>
      </c>
      <c r="D1310" s="100" t="s">
        <v>2305</v>
      </c>
      <c r="E1310" s="101"/>
      <c r="F1310" s="101">
        <v>40814</v>
      </c>
      <c r="G1310" s="102">
        <f>IF(stdProdLT(Main[[#This Row],[Comments]])=0.1,"N/A",IF(stdProdLT(Main[[#This Row],[Comments]])=0,"",stdProdLT(Main[[#This Row],[Comments]])))</f>
        <v>112</v>
      </c>
      <c r="H1310" s="103">
        <f>IF(AND(Main[[#This Row],[In Stock Date]]&lt;&gt;"",Main[[#This Row],[Revised Due Date]]&lt;&gt;""),Main[[#This Row],[In Stock Date]]-Main[[#This Row],[Revised Due Date]],"")</f>
        <v>-6</v>
      </c>
      <c r="I1310" s="99" t="s">
        <v>2102</v>
      </c>
      <c r="J1310" s="99" t="s">
        <v>28</v>
      </c>
      <c r="K1310" s="99" t="s">
        <v>1971</v>
      </c>
      <c r="L1310" s="101">
        <v>40805</v>
      </c>
      <c r="M1310" s="104">
        <f>IF(Main[[#This Row],[Tech Start Date]]&lt;1/1/1990,"",IF(Main[[#This Row],[Class]]="C",WORKDAY(Main[[#This Row],[Tech Start Date]],9),IF(Main[[#This Row],[Class]]="B", WORKDAY(Main[[#This Row],[Tech Start Date]],6),IF(Main[[#This Row],[Class]]="A",WORKDAY(Main[[#This Row],[Tech Start Date]],2),""))))</f>
        <v>40807</v>
      </c>
      <c r="N1310" s="104">
        <f>IF(Main[[#This Row],[Tech Start Date]]&lt;1/1/1990,"",IF(Main[[#This Row],[Class]]="C",WORKDAY(Main[[#This Row],[Tech Start Date]],19),IF(Main[[#This Row],[Class]]="B", WORKDAY(Main[[#This Row],[Tech Start Date]],12),IF(Main[[#This Row],[Class]]="A",WORKDAY(Main[[#This Row],[Tech Start Date]],4),""))))</f>
        <v>40809</v>
      </c>
      <c r="O1310" s="104">
        <f>IF(Main[[#This Row],[Tech Start Date]]&lt;1/1/1990,"",IF(Main[[#This Row],[Class]]="C",WORKDAY(Main[[#This Row],[Tech Start Date]],23),IF(Main[[#This Row],[Class]]="B", WORKDAY(Main[[#This Row],[Tech Start Date]],15),IF(Main[[#This Row],[Class]]="A",WORKDAY(Main[[#This Row],[Tech Start Date]],5),""))))</f>
        <v>40812</v>
      </c>
      <c r="P1310" s="104">
        <f>IF(Main[[#This Row],[Tech Start Date]]&lt;1/1/1990,"",IF(Main[[#This Row],[Class]]="C",WORKDAY(Main[[#This Row],[Tech Start Date]],28),IF(Main[[#This Row],[Class]]="B", WORKDAY(Main[[#This Row],[Tech Start Date]],19),IF(Main[[#This Row],[Class]]="A",WORKDAY(Main[[#This Row],[Tech Start Date]],9),""))))</f>
        <v>40816</v>
      </c>
      <c r="Q1310" s="101">
        <v>40819</v>
      </c>
      <c r="R1310" s="101">
        <v>40820</v>
      </c>
      <c r="S1310" s="99" t="s">
        <v>11</v>
      </c>
      <c r="T1310" s="107" t="s">
        <v>2338</v>
      </c>
      <c r="U1310" s="99" t="s">
        <v>14</v>
      </c>
      <c r="V1310" s="99" t="s">
        <v>1965</v>
      </c>
      <c r="W1310" s="99" t="s">
        <v>1970</v>
      </c>
    </row>
    <row r="1311" spans="1:23" ht="18.600000000000001" customHeight="1">
      <c r="A1311" s="123" t="str">
        <f>IF(priority(Main[[#This Row],[Comments]])&lt;&gt;0, priority(Main[[#This Row],[Comments]]),"")</f>
        <v/>
      </c>
      <c r="B1311" s="127" t="s">
        <v>2157</v>
      </c>
      <c r="C1311" s="99" t="s">
        <v>4</v>
      </c>
      <c r="D1311" s="100" t="s">
        <v>2900</v>
      </c>
      <c r="E1311" s="101">
        <v>40760.556030092594</v>
      </c>
      <c r="F1311" s="101"/>
      <c r="G1311" s="102" t="str">
        <f>IF(stdProdLT(Main[[#This Row],[Comments]])=0.1,"N/A",IF(stdProdLT(Main[[#This Row],[Comments]])=0,"",stdProdLT(Main[[#This Row],[Comments]])))</f>
        <v/>
      </c>
      <c r="H1311" s="103" t="str">
        <f>IF(AND(Main[[#This Row],[In Stock Date]]&lt;&gt;"",Main[[#This Row],[Revised Due Date]]&lt;&gt;""),Main[[#This Row],[In Stock Date]]-Main[[#This Row],[Revised Due Date]],"")</f>
        <v/>
      </c>
      <c r="I1311" s="99" t="s">
        <v>905</v>
      </c>
      <c r="J1311" s="99" t="s">
        <v>4</v>
      </c>
      <c r="K1311" s="99" t="s">
        <v>1974</v>
      </c>
      <c r="L1311" s="101">
        <v>40805</v>
      </c>
      <c r="M1311" s="104" t="str">
        <f>IF(Main[[#This Row],[Tech Start Date]]&lt;1/1/1990,"",IF(Main[[#This Row],[Class]]="C",WORKDAY(Main[[#This Row],[Tech Start Date]],9),IF(Main[[#This Row],[Class]]="B", WORKDAY(Main[[#This Row],[Tech Start Date]],6),IF(Main[[#This Row],[Class]]="A",WORKDAY(Main[[#This Row],[Tech Start Date]],2),""))))</f>
        <v/>
      </c>
      <c r="N1311" s="104" t="str">
        <f>IF(Main[[#This Row],[Tech Start Date]]&lt;1/1/1990,"",IF(Main[[#This Row],[Class]]="C",WORKDAY(Main[[#This Row],[Tech Start Date]],19),IF(Main[[#This Row],[Class]]="B", WORKDAY(Main[[#This Row],[Tech Start Date]],12),IF(Main[[#This Row],[Class]]="A",WORKDAY(Main[[#This Row],[Tech Start Date]],4),""))))</f>
        <v/>
      </c>
      <c r="O1311" s="104" t="str">
        <f>IF(Main[[#This Row],[Tech Start Date]]&lt;1/1/1990,"",IF(Main[[#This Row],[Class]]="C",WORKDAY(Main[[#This Row],[Tech Start Date]],23),IF(Main[[#This Row],[Class]]="B", WORKDAY(Main[[#This Row],[Tech Start Date]],15),IF(Main[[#This Row],[Class]]="A",WORKDAY(Main[[#This Row],[Tech Start Date]],5),""))))</f>
        <v/>
      </c>
      <c r="P1311" s="104" t="str">
        <f>IF(Main[[#This Row],[Tech Start Date]]&lt;1/1/1990,"",IF(Main[[#This Row],[Class]]="C",WORKDAY(Main[[#This Row],[Tech Start Date]],28),IF(Main[[#This Row],[Class]]="B", WORKDAY(Main[[#This Row],[Tech Start Date]],19),IF(Main[[#This Row],[Class]]="A",WORKDAY(Main[[#This Row],[Tech Start Date]],9),""))))</f>
        <v/>
      </c>
      <c r="Q1311" s="101"/>
      <c r="R1311" s="101">
        <v>41043</v>
      </c>
      <c r="S1311" s="99" t="s">
        <v>6</v>
      </c>
      <c r="T1311" s="107" t="s">
        <v>4</v>
      </c>
      <c r="U1311" s="99" t="s">
        <v>29</v>
      </c>
      <c r="V1311" s="99" t="s">
        <v>1962</v>
      </c>
      <c r="W1311" s="99" t="s">
        <v>1966</v>
      </c>
    </row>
    <row r="1312" spans="1:23" ht="18.600000000000001" customHeight="1">
      <c r="A1312" s="123" t="str">
        <f>IF(priority(Main[[#This Row],[Comments]])&lt;&gt;0, priority(Main[[#This Row],[Comments]]),"")</f>
        <v/>
      </c>
      <c r="B1312" s="127" t="s">
        <v>2904</v>
      </c>
      <c r="C1312" s="99" t="s">
        <v>524</v>
      </c>
      <c r="D1312" s="100" t="s">
        <v>2905</v>
      </c>
      <c r="E1312" s="101"/>
      <c r="F1312" s="101">
        <v>40854</v>
      </c>
      <c r="G1312" s="102">
        <f>IF(stdProdLT(Main[[#This Row],[Comments]])=0.1,"N/A",IF(stdProdLT(Main[[#This Row],[Comments]])=0,"",stdProdLT(Main[[#This Row],[Comments]])))</f>
        <v>98</v>
      </c>
      <c r="H1312" s="103">
        <f>IF(AND(Main[[#This Row],[In Stock Date]]&lt;&gt;"",Main[[#This Row],[Revised Due Date]]&lt;&gt;""),Main[[#This Row],[In Stock Date]]-Main[[#This Row],[Revised Due Date]],"")</f>
        <v>18</v>
      </c>
      <c r="I1312" s="99" t="s">
        <v>2102</v>
      </c>
      <c r="J1312" s="99" t="s">
        <v>28</v>
      </c>
      <c r="K1312" s="99" t="s">
        <v>1971</v>
      </c>
      <c r="L1312" s="101">
        <v>40821</v>
      </c>
      <c r="M1312" s="104">
        <f>IF(Main[[#This Row],[Tech Start Date]]&lt;1/1/1990,"",IF(Main[[#This Row],[Class]]="C",WORKDAY(Main[[#This Row],[Tech Start Date]],9),IF(Main[[#This Row],[Class]]="B", WORKDAY(Main[[#This Row],[Tech Start Date]],6),IF(Main[[#This Row],[Class]]="A",WORKDAY(Main[[#This Row],[Tech Start Date]],2),""))))</f>
        <v>40823</v>
      </c>
      <c r="N1312" s="104">
        <f>IF(Main[[#This Row],[Tech Start Date]]&lt;1/1/1990,"",IF(Main[[#This Row],[Class]]="C",WORKDAY(Main[[#This Row],[Tech Start Date]],19),IF(Main[[#This Row],[Class]]="B", WORKDAY(Main[[#This Row],[Tech Start Date]],12),IF(Main[[#This Row],[Class]]="A",WORKDAY(Main[[#This Row],[Tech Start Date]],4),""))))</f>
        <v>40827</v>
      </c>
      <c r="O1312" s="104">
        <f>IF(Main[[#This Row],[Tech Start Date]]&lt;1/1/1990,"",IF(Main[[#This Row],[Class]]="C",WORKDAY(Main[[#This Row],[Tech Start Date]],23),IF(Main[[#This Row],[Class]]="B", WORKDAY(Main[[#This Row],[Tech Start Date]],15),IF(Main[[#This Row],[Class]]="A",WORKDAY(Main[[#This Row],[Tech Start Date]],5),""))))</f>
        <v>40828</v>
      </c>
      <c r="P1312" s="104">
        <f>IF(Main[[#This Row],[Tech Start Date]]&lt;1/1/1990,"",IF(Main[[#This Row],[Class]]="C",WORKDAY(Main[[#This Row],[Tech Start Date]],28),IF(Main[[#This Row],[Class]]="B", WORKDAY(Main[[#This Row],[Tech Start Date]],19),IF(Main[[#This Row],[Class]]="A",WORKDAY(Main[[#This Row],[Tech Start Date]],9),""))))</f>
        <v>40834</v>
      </c>
      <c r="Q1312" s="101"/>
      <c r="R1312" s="101">
        <v>40836</v>
      </c>
      <c r="S1312" s="99" t="s">
        <v>11</v>
      </c>
      <c r="T1312" s="107" t="s">
        <v>2906</v>
      </c>
      <c r="U1312" s="99" t="s">
        <v>14</v>
      </c>
      <c r="V1312" s="99" t="s">
        <v>1965</v>
      </c>
      <c r="W1312" s="99" t="s">
        <v>1970</v>
      </c>
    </row>
    <row r="1313" spans="1:23" ht="18.600000000000001" customHeight="1">
      <c r="A1313" s="123" t="str">
        <f>IF(priority(Main[[#This Row],[Comments]])&lt;&gt;0, priority(Main[[#This Row],[Comments]]),"")</f>
        <v/>
      </c>
      <c r="B1313" s="127" t="s">
        <v>2907</v>
      </c>
      <c r="C1313" s="99" t="s">
        <v>116</v>
      </c>
      <c r="D1313" s="100" t="s">
        <v>2908</v>
      </c>
      <c r="E1313" s="101">
        <v>40823.419490740744</v>
      </c>
      <c r="F1313" s="101"/>
      <c r="G1313" s="102" t="str">
        <f>IF(stdProdLT(Main[[#This Row],[Comments]])=0.1,"N/A",IF(stdProdLT(Main[[#This Row],[Comments]])=0,"",stdProdLT(Main[[#This Row],[Comments]])))</f>
        <v/>
      </c>
      <c r="H1313" s="103" t="str">
        <f>IF(AND(Main[[#This Row],[In Stock Date]]&lt;&gt;"",Main[[#This Row],[Revised Due Date]]&lt;&gt;""),Main[[#This Row],[In Stock Date]]-Main[[#This Row],[Revised Due Date]],"")</f>
        <v/>
      </c>
      <c r="I1313" s="99" t="s">
        <v>242</v>
      </c>
      <c r="J1313" s="99" t="s">
        <v>21</v>
      </c>
      <c r="K1313" s="99" t="s">
        <v>1969</v>
      </c>
      <c r="L1313" s="101">
        <v>40823</v>
      </c>
      <c r="M1313" s="104">
        <f>IF(Main[[#This Row],[Tech Start Date]]&lt;1/1/1990,"",IF(Main[[#This Row],[Class]]="C",WORKDAY(Main[[#This Row],[Tech Start Date]],9),IF(Main[[#This Row],[Class]]="B", WORKDAY(Main[[#This Row],[Tech Start Date]],6),IF(Main[[#This Row],[Class]]="A",WORKDAY(Main[[#This Row],[Tech Start Date]],2),""))))</f>
        <v>40833</v>
      </c>
      <c r="N1313" s="104">
        <f>IF(Main[[#This Row],[Tech Start Date]]&lt;1/1/1990,"",IF(Main[[#This Row],[Class]]="C",WORKDAY(Main[[#This Row],[Tech Start Date]],19),IF(Main[[#This Row],[Class]]="B", WORKDAY(Main[[#This Row],[Tech Start Date]],12),IF(Main[[#This Row],[Class]]="A",WORKDAY(Main[[#This Row],[Tech Start Date]],4),""))))</f>
        <v>40841</v>
      </c>
      <c r="O1313" s="104">
        <f>IF(Main[[#This Row],[Tech Start Date]]&lt;1/1/1990,"",IF(Main[[#This Row],[Class]]="C",WORKDAY(Main[[#This Row],[Tech Start Date]],23),IF(Main[[#This Row],[Class]]="B", WORKDAY(Main[[#This Row],[Tech Start Date]],15),IF(Main[[#This Row],[Class]]="A",WORKDAY(Main[[#This Row],[Tech Start Date]],5),""))))</f>
        <v>40844</v>
      </c>
      <c r="P1313" s="104">
        <f>IF(Main[[#This Row],[Tech Start Date]]&lt;1/1/1990,"",IF(Main[[#This Row],[Class]]="C",WORKDAY(Main[[#This Row],[Tech Start Date]],28),IF(Main[[#This Row],[Class]]="B", WORKDAY(Main[[#This Row],[Tech Start Date]],19),IF(Main[[#This Row],[Class]]="A",WORKDAY(Main[[#This Row],[Tech Start Date]],9),""))))</f>
        <v>40850</v>
      </c>
      <c r="Q1313" s="101"/>
      <c r="R1313" s="101">
        <v>40837</v>
      </c>
      <c r="S1313" s="99" t="s">
        <v>6</v>
      </c>
      <c r="T1313" s="107" t="s">
        <v>4</v>
      </c>
      <c r="U1313" s="99" t="s">
        <v>29</v>
      </c>
      <c r="V1313" s="99" t="s">
        <v>1965</v>
      </c>
      <c r="W1313" s="99" t="s">
        <v>1966</v>
      </c>
    </row>
    <row r="1314" spans="1:23" ht="18.600000000000001" customHeight="1">
      <c r="A1314" s="123" t="str">
        <f>IF(priority(Main[[#This Row],[Comments]])&lt;&gt;0, priority(Main[[#This Row],[Comments]]),"")</f>
        <v/>
      </c>
      <c r="B1314" s="127" t="s">
        <v>2916</v>
      </c>
      <c r="C1314" s="99" t="s">
        <v>116</v>
      </c>
      <c r="D1314" s="100" t="s">
        <v>2917</v>
      </c>
      <c r="E1314" s="101"/>
      <c r="F1314" s="101"/>
      <c r="G1314" s="102" t="str">
        <f>IF(stdProdLT(Main[[#This Row],[Comments]])=0.1,"N/A",IF(stdProdLT(Main[[#This Row],[Comments]])=0,"",stdProdLT(Main[[#This Row],[Comments]])))</f>
        <v>N/A</v>
      </c>
      <c r="H1314" s="103" t="str">
        <f>IF(AND(Main[[#This Row],[In Stock Date]]&lt;&gt;"",Main[[#This Row],[Revised Due Date]]&lt;&gt;""),Main[[#This Row],[In Stock Date]]-Main[[#This Row],[Revised Due Date]],"")</f>
        <v/>
      </c>
      <c r="I1314" s="99" t="s">
        <v>173</v>
      </c>
      <c r="J1314" s="99" t="s">
        <v>2029</v>
      </c>
      <c r="K1314" s="99" t="s">
        <v>1971</v>
      </c>
      <c r="L1314" s="101">
        <v>40835</v>
      </c>
      <c r="M1314" s="104">
        <f>IF(Main[[#This Row],[Tech Start Date]]&lt;1/1/1990,"",IF(Main[[#This Row],[Class]]="C",WORKDAY(Main[[#This Row],[Tech Start Date]],9),IF(Main[[#This Row],[Class]]="B", WORKDAY(Main[[#This Row],[Tech Start Date]],6),IF(Main[[#This Row],[Class]]="A",WORKDAY(Main[[#This Row],[Tech Start Date]],2),""))))</f>
        <v>40837</v>
      </c>
      <c r="N1314" s="104">
        <f>IF(Main[[#This Row],[Tech Start Date]]&lt;1/1/1990,"",IF(Main[[#This Row],[Class]]="C",WORKDAY(Main[[#This Row],[Tech Start Date]],19),IF(Main[[#This Row],[Class]]="B", WORKDAY(Main[[#This Row],[Tech Start Date]],12),IF(Main[[#This Row],[Class]]="A",WORKDAY(Main[[#This Row],[Tech Start Date]],4),""))))</f>
        <v>40841</v>
      </c>
      <c r="O1314" s="104">
        <f>IF(Main[[#This Row],[Tech Start Date]]&lt;1/1/1990,"",IF(Main[[#This Row],[Class]]="C",WORKDAY(Main[[#This Row],[Tech Start Date]],23),IF(Main[[#This Row],[Class]]="B", WORKDAY(Main[[#This Row],[Tech Start Date]],15),IF(Main[[#This Row],[Class]]="A",WORKDAY(Main[[#This Row],[Tech Start Date]],5),""))))</f>
        <v>40842</v>
      </c>
      <c r="P1314" s="104">
        <f>IF(Main[[#This Row],[Tech Start Date]]&lt;1/1/1990,"",IF(Main[[#This Row],[Class]]="C",WORKDAY(Main[[#This Row],[Tech Start Date]],28),IF(Main[[#This Row],[Class]]="B", WORKDAY(Main[[#This Row],[Tech Start Date]],19),IF(Main[[#This Row],[Class]]="A",WORKDAY(Main[[#This Row],[Tech Start Date]],9),""))))</f>
        <v>40848</v>
      </c>
      <c r="Q1314" s="101">
        <v>40954</v>
      </c>
      <c r="R1314" s="101">
        <v>40850</v>
      </c>
      <c r="S1314" s="99" t="s">
        <v>11</v>
      </c>
      <c r="T1314" s="107" t="s">
        <v>2918</v>
      </c>
      <c r="U1314" s="99" t="s">
        <v>14</v>
      </c>
      <c r="V1314" s="99" t="s">
        <v>1965</v>
      </c>
      <c r="W1314" s="99" t="s">
        <v>1966</v>
      </c>
    </row>
    <row r="1315" spans="1:23" ht="18.600000000000001" customHeight="1">
      <c r="A1315" s="123" t="str">
        <f>IF(priority(Main[[#This Row],[Comments]])&lt;&gt;0, priority(Main[[#This Row],[Comments]]),"")</f>
        <v/>
      </c>
      <c r="B1315" s="127" t="s">
        <v>2930</v>
      </c>
      <c r="C1315" s="99" t="s">
        <v>4</v>
      </c>
      <c r="D1315" s="100" t="s">
        <v>2931</v>
      </c>
      <c r="E1315" s="101">
        <v>40848.357997685183</v>
      </c>
      <c r="F1315" s="101"/>
      <c r="G1315" s="102" t="str">
        <f>IF(stdProdLT(Main[[#This Row],[Comments]])=0.1,"N/A",IF(stdProdLT(Main[[#This Row],[Comments]])=0,"",stdProdLT(Main[[#This Row],[Comments]])))</f>
        <v/>
      </c>
      <c r="H1315" s="103" t="str">
        <f>IF(AND(Main[[#This Row],[In Stock Date]]&lt;&gt;"",Main[[#This Row],[Revised Due Date]]&lt;&gt;""),Main[[#This Row],[In Stock Date]]-Main[[#This Row],[Revised Due Date]],"")</f>
        <v/>
      </c>
      <c r="I1315" s="99" t="s">
        <v>2932</v>
      </c>
      <c r="J1315" s="99" t="s">
        <v>28</v>
      </c>
      <c r="K1315" s="99" t="s">
        <v>1974</v>
      </c>
      <c r="L1315" s="101">
        <v>40840</v>
      </c>
      <c r="M1315" s="104" t="str">
        <f>IF(Main[[#This Row],[Tech Start Date]]&lt;1/1/1990,"",IF(Main[[#This Row],[Class]]="C",WORKDAY(Main[[#This Row],[Tech Start Date]],9),IF(Main[[#This Row],[Class]]="B", WORKDAY(Main[[#This Row],[Tech Start Date]],6),IF(Main[[#This Row],[Class]]="A",WORKDAY(Main[[#This Row],[Tech Start Date]],2),""))))</f>
        <v/>
      </c>
      <c r="N1315" s="104" t="str">
        <f>IF(Main[[#This Row],[Tech Start Date]]&lt;1/1/1990,"",IF(Main[[#This Row],[Class]]="C",WORKDAY(Main[[#This Row],[Tech Start Date]],19),IF(Main[[#This Row],[Class]]="B", WORKDAY(Main[[#This Row],[Tech Start Date]],12),IF(Main[[#This Row],[Class]]="A",WORKDAY(Main[[#This Row],[Tech Start Date]],4),""))))</f>
        <v/>
      </c>
      <c r="O1315" s="104" t="str">
        <f>IF(Main[[#This Row],[Tech Start Date]]&lt;1/1/1990,"",IF(Main[[#This Row],[Class]]="C",WORKDAY(Main[[#This Row],[Tech Start Date]],23),IF(Main[[#This Row],[Class]]="B", WORKDAY(Main[[#This Row],[Tech Start Date]],15),IF(Main[[#This Row],[Class]]="A",WORKDAY(Main[[#This Row],[Tech Start Date]],5),""))))</f>
        <v/>
      </c>
      <c r="P1315" s="104" t="str">
        <f>IF(Main[[#This Row],[Tech Start Date]]&lt;1/1/1990,"",IF(Main[[#This Row],[Class]]="C",WORKDAY(Main[[#This Row],[Tech Start Date]],28),IF(Main[[#This Row],[Class]]="B", WORKDAY(Main[[#This Row],[Tech Start Date]],19),IF(Main[[#This Row],[Class]]="A",WORKDAY(Main[[#This Row],[Tech Start Date]],9),""))))</f>
        <v/>
      </c>
      <c r="Q1315" s="101">
        <v>40998</v>
      </c>
      <c r="R1315" s="101">
        <v>40998</v>
      </c>
      <c r="S1315" s="99" t="s">
        <v>17</v>
      </c>
      <c r="T1315" s="107" t="s">
        <v>4</v>
      </c>
      <c r="U1315" s="99" t="s">
        <v>29</v>
      </c>
      <c r="V1315" s="99" t="s">
        <v>1962</v>
      </c>
      <c r="W1315" s="99" t="s">
        <v>1967</v>
      </c>
    </row>
    <row r="1316" spans="1:23" ht="18.600000000000001" customHeight="1">
      <c r="A1316" s="123" t="str">
        <f>IF(priority(Main[[#This Row],[Comments]])&lt;&gt;0, priority(Main[[#This Row],[Comments]]),"")</f>
        <v/>
      </c>
      <c r="B1316" s="127" t="s">
        <v>2933</v>
      </c>
      <c r="C1316" s="99" t="s">
        <v>4</v>
      </c>
      <c r="D1316" s="100" t="s">
        <v>3173</v>
      </c>
      <c r="E1316" s="101">
        <v>40857.869537037041</v>
      </c>
      <c r="F1316" s="101"/>
      <c r="G1316" s="102" t="str">
        <f>IF(stdProdLT(Main[[#This Row],[Comments]])=0.1,"N/A",IF(stdProdLT(Main[[#This Row],[Comments]])=0,"",stdProdLT(Main[[#This Row],[Comments]])))</f>
        <v/>
      </c>
      <c r="H1316" s="103" t="str">
        <f>IF(AND(Main[[#This Row],[In Stock Date]]&lt;&gt;"",Main[[#This Row],[Revised Due Date]]&lt;&gt;""),Main[[#This Row],[In Stock Date]]-Main[[#This Row],[Revised Due Date]],"")</f>
        <v/>
      </c>
      <c r="I1316" s="99" t="s">
        <v>905</v>
      </c>
      <c r="J1316" s="99" t="s">
        <v>4</v>
      </c>
      <c r="K1316" s="99" t="s">
        <v>1974</v>
      </c>
      <c r="L1316" s="101">
        <v>40842</v>
      </c>
      <c r="M1316" s="104" t="str">
        <f>IF(Main[[#This Row],[Tech Start Date]]&lt;1/1/1990,"",IF(Main[[#This Row],[Class]]="C",WORKDAY(Main[[#This Row],[Tech Start Date]],9),IF(Main[[#This Row],[Class]]="B", WORKDAY(Main[[#This Row],[Tech Start Date]],6),IF(Main[[#This Row],[Class]]="A",WORKDAY(Main[[#This Row],[Tech Start Date]],2),""))))</f>
        <v/>
      </c>
      <c r="N1316" s="104" t="str">
        <f>IF(Main[[#This Row],[Tech Start Date]]&lt;1/1/1990,"",IF(Main[[#This Row],[Class]]="C",WORKDAY(Main[[#This Row],[Tech Start Date]],19),IF(Main[[#This Row],[Class]]="B", WORKDAY(Main[[#This Row],[Tech Start Date]],12),IF(Main[[#This Row],[Class]]="A",WORKDAY(Main[[#This Row],[Tech Start Date]],4),""))))</f>
        <v/>
      </c>
      <c r="O1316" s="104" t="str">
        <f>IF(Main[[#This Row],[Tech Start Date]]&lt;1/1/1990,"",IF(Main[[#This Row],[Class]]="C",WORKDAY(Main[[#This Row],[Tech Start Date]],23),IF(Main[[#This Row],[Class]]="B", WORKDAY(Main[[#This Row],[Tech Start Date]],15),IF(Main[[#This Row],[Class]]="A",WORKDAY(Main[[#This Row],[Tech Start Date]],5),""))))</f>
        <v/>
      </c>
      <c r="P1316" s="104" t="str">
        <f>IF(Main[[#This Row],[Tech Start Date]]&lt;1/1/1990,"",IF(Main[[#This Row],[Class]]="C",WORKDAY(Main[[#This Row],[Tech Start Date]],28),IF(Main[[#This Row],[Class]]="B", WORKDAY(Main[[#This Row],[Tech Start Date]],19),IF(Main[[#This Row],[Class]]="A",WORKDAY(Main[[#This Row],[Tech Start Date]],9),""))))</f>
        <v/>
      </c>
      <c r="Q1316" s="101">
        <v>40907</v>
      </c>
      <c r="R1316" s="101">
        <v>40907</v>
      </c>
      <c r="S1316" s="99" t="s">
        <v>6</v>
      </c>
      <c r="T1316" s="107" t="s">
        <v>4</v>
      </c>
      <c r="U1316" s="99" t="s">
        <v>29</v>
      </c>
      <c r="V1316" s="99" t="s">
        <v>1962</v>
      </c>
      <c r="W1316" s="99" t="s">
        <v>1966</v>
      </c>
    </row>
    <row r="1317" spans="1:23" ht="18.600000000000001" customHeight="1">
      <c r="A1317" s="123" t="str">
        <f>IF(priority(Main[[#This Row],[Comments]])&lt;&gt;0, priority(Main[[#This Row],[Comments]]),"")</f>
        <v/>
      </c>
      <c r="B1317" s="127" t="s">
        <v>2948</v>
      </c>
      <c r="C1317" s="99" t="s">
        <v>2949</v>
      </c>
      <c r="D1317" s="100" t="s">
        <v>2950</v>
      </c>
      <c r="E1317" s="101"/>
      <c r="F1317" s="101"/>
      <c r="G1317" s="102" t="str">
        <f>IF(stdProdLT(Main[[#This Row],[Comments]])=0.1,"N/A",IF(stdProdLT(Main[[#This Row],[Comments]])=0,"",stdProdLT(Main[[#This Row],[Comments]])))</f>
        <v/>
      </c>
      <c r="H1317" s="103" t="str">
        <f>IF(AND(Main[[#This Row],[In Stock Date]]&lt;&gt;"",Main[[#This Row],[Revised Due Date]]&lt;&gt;""),Main[[#This Row],[In Stock Date]]-Main[[#This Row],[Revised Due Date]],"")</f>
        <v/>
      </c>
      <c r="I1317" s="99" t="s">
        <v>2102</v>
      </c>
      <c r="J1317" s="99" t="s">
        <v>28</v>
      </c>
      <c r="K1317" s="99" t="s">
        <v>1971</v>
      </c>
      <c r="L1317" s="101">
        <v>40848</v>
      </c>
      <c r="M1317" s="104">
        <f>IF(Main[[#This Row],[Tech Start Date]]&lt;1/1/1990,"",IF(Main[[#This Row],[Class]]="C",WORKDAY(Main[[#This Row],[Tech Start Date]],9),IF(Main[[#This Row],[Class]]="B", WORKDAY(Main[[#This Row],[Tech Start Date]],6),IF(Main[[#This Row],[Class]]="A",WORKDAY(Main[[#This Row],[Tech Start Date]],2),""))))</f>
        <v>40850</v>
      </c>
      <c r="N1317" s="104">
        <f>IF(Main[[#This Row],[Tech Start Date]]&lt;1/1/1990,"",IF(Main[[#This Row],[Class]]="C",WORKDAY(Main[[#This Row],[Tech Start Date]],19),IF(Main[[#This Row],[Class]]="B", WORKDAY(Main[[#This Row],[Tech Start Date]],12),IF(Main[[#This Row],[Class]]="A",WORKDAY(Main[[#This Row],[Tech Start Date]],4),""))))</f>
        <v>40854</v>
      </c>
      <c r="O1317" s="104">
        <f>IF(Main[[#This Row],[Tech Start Date]]&lt;1/1/1990,"",IF(Main[[#This Row],[Class]]="C",WORKDAY(Main[[#This Row],[Tech Start Date]],23),IF(Main[[#This Row],[Class]]="B", WORKDAY(Main[[#This Row],[Tech Start Date]],15),IF(Main[[#This Row],[Class]]="A",WORKDAY(Main[[#This Row],[Tech Start Date]],5),""))))</f>
        <v>40855</v>
      </c>
      <c r="P1317" s="104">
        <f>IF(Main[[#This Row],[Tech Start Date]]&lt;1/1/1990,"",IF(Main[[#This Row],[Class]]="C",WORKDAY(Main[[#This Row],[Tech Start Date]],28),IF(Main[[#This Row],[Class]]="B", WORKDAY(Main[[#This Row],[Tech Start Date]],19),IF(Main[[#This Row],[Class]]="A",WORKDAY(Main[[#This Row],[Tech Start Date]],9),""))))</f>
        <v>40861</v>
      </c>
      <c r="Q1317" s="101">
        <v>40849</v>
      </c>
      <c r="R1317" s="101">
        <v>40863</v>
      </c>
      <c r="S1317" s="99" t="s">
        <v>11</v>
      </c>
      <c r="T1317" s="107" t="s">
        <v>4</v>
      </c>
      <c r="U1317" s="99" t="s">
        <v>14</v>
      </c>
      <c r="V1317" s="99" t="s">
        <v>1972</v>
      </c>
      <c r="W1317" s="99" t="s">
        <v>1970</v>
      </c>
    </row>
    <row r="1318" spans="1:23" ht="18.600000000000001" customHeight="1">
      <c r="A1318" s="123" t="str">
        <f>IF(priority(Main[[#This Row],[Comments]])&lt;&gt;0, priority(Main[[#This Row],[Comments]]),"")</f>
        <v/>
      </c>
      <c r="B1318" s="127" t="s">
        <v>2966</v>
      </c>
      <c r="C1318" s="99" t="s">
        <v>72</v>
      </c>
      <c r="D1318" s="100" t="s">
        <v>2967</v>
      </c>
      <c r="E1318" s="101">
        <v>40843.078125</v>
      </c>
      <c r="F1318" s="101">
        <v>41122</v>
      </c>
      <c r="G1318" s="102" t="str">
        <f>IF(stdProdLT(Main[[#This Row],[Comments]])=0.1,"N/A",IF(stdProdLT(Main[[#This Row],[Comments]])=0,"",stdProdLT(Main[[#This Row],[Comments]])))</f>
        <v/>
      </c>
      <c r="H1318" s="103">
        <f>IF(AND(Main[[#This Row],[In Stock Date]]&lt;&gt;"",Main[[#This Row],[Revised Due Date]]&lt;&gt;""),Main[[#This Row],[In Stock Date]]-Main[[#This Row],[Revised Due Date]],"")</f>
        <v>184</v>
      </c>
      <c r="I1318" s="99" t="s">
        <v>2920</v>
      </c>
      <c r="J1318" s="99" t="s">
        <v>28</v>
      </c>
      <c r="K1318" s="99" t="s">
        <v>1975</v>
      </c>
      <c r="L1318" s="101">
        <v>40849</v>
      </c>
      <c r="M1318" s="104">
        <f>IF(Main[[#This Row],[Tech Start Date]]&lt;1/1/1990,"",IF(Main[[#This Row],[Class]]="C",WORKDAY(Main[[#This Row],[Tech Start Date]],9),IF(Main[[#This Row],[Class]]="B", WORKDAY(Main[[#This Row],[Tech Start Date]],6),IF(Main[[#This Row],[Class]]="A",WORKDAY(Main[[#This Row],[Tech Start Date]],2),""))))</f>
        <v>40862</v>
      </c>
      <c r="N1318" s="104">
        <f>IF(Main[[#This Row],[Tech Start Date]]&lt;1/1/1990,"",IF(Main[[#This Row],[Class]]="C",WORKDAY(Main[[#This Row],[Tech Start Date]],19),IF(Main[[#This Row],[Class]]="B", WORKDAY(Main[[#This Row],[Tech Start Date]],12),IF(Main[[#This Row],[Class]]="A",WORKDAY(Main[[#This Row],[Tech Start Date]],4),""))))</f>
        <v>40876</v>
      </c>
      <c r="O1318" s="104">
        <f>IF(Main[[#This Row],[Tech Start Date]]&lt;1/1/1990,"",IF(Main[[#This Row],[Class]]="C",WORKDAY(Main[[#This Row],[Tech Start Date]],23),IF(Main[[#This Row],[Class]]="B", WORKDAY(Main[[#This Row],[Tech Start Date]],15),IF(Main[[#This Row],[Class]]="A",WORKDAY(Main[[#This Row],[Tech Start Date]],5),""))))</f>
        <v>40882</v>
      </c>
      <c r="P1318" s="104">
        <f>IF(Main[[#This Row],[Tech Start Date]]&lt;1/1/1990,"",IF(Main[[#This Row],[Class]]="C",WORKDAY(Main[[#This Row],[Tech Start Date]],28),IF(Main[[#This Row],[Class]]="B", WORKDAY(Main[[#This Row],[Tech Start Date]],19),IF(Main[[#This Row],[Class]]="A",WORKDAY(Main[[#This Row],[Tech Start Date]],9),""))))</f>
        <v>40889</v>
      </c>
      <c r="Q1318" s="101"/>
      <c r="R1318" s="101">
        <v>40938</v>
      </c>
      <c r="S1318" s="99" t="s">
        <v>11</v>
      </c>
      <c r="T1318" s="107" t="s">
        <v>2968</v>
      </c>
      <c r="U1318" s="99" t="s">
        <v>29</v>
      </c>
      <c r="V1318" s="99" t="s">
        <v>1963</v>
      </c>
      <c r="W1318" s="99" t="s">
        <v>1967</v>
      </c>
    </row>
    <row r="1319" spans="1:23" ht="18.600000000000001" customHeight="1">
      <c r="A1319" s="123" t="str">
        <f>IF(priority(Main[[#This Row],[Comments]])&lt;&gt;0, priority(Main[[#This Row],[Comments]]),"")</f>
        <v/>
      </c>
      <c r="B1319" s="127" t="s">
        <v>2976</v>
      </c>
      <c r="C1319" s="99" t="s">
        <v>2960</v>
      </c>
      <c r="D1319" s="100" t="s">
        <v>2977</v>
      </c>
      <c r="E1319" s="101">
        <v>40848.717314814814</v>
      </c>
      <c r="F1319" s="101"/>
      <c r="G1319" s="102" t="str">
        <f>IF(stdProdLT(Main[[#This Row],[Comments]])=0.1,"N/A",IF(stdProdLT(Main[[#This Row],[Comments]])=0,"",stdProdLT(Main[[#This Row],[Comments]])))</f>
        <v/>
      </c>
      <c r="H1319" s="103" t="str">
        <f>IF(AND(Main[[#This Row],[In Stock Date]]&lt;&gt;"",Main[[#This Row],[Revised Due Date]]&lt;&gt;""),Main[[#This Row],[In Stock Date]]-Main[[#This Row],[Revised Due Date]],"")</f>
        <v/>
      </c>
      <c r="I1319" s="99" t="s">
        <v>69</v>
      </c>
      <c r="J1319" s="99" t="s">
        <v>28</v>
      </c>
      <c r="K1319" s="108" t="s">
        <v>1971</v>
      </c>
      <c r="L1319" s="101">
        <v>40849</v>
      </c>
      <c r="M1319" s="104">
        <f>IF(Main[[#This Row],[Tech Start Date]]&lt;1/1/1990,"",IF(Main[[#This Row],[Class]]="C",WORKDAY(Main[[#This Row],[Tech Start Date]],9),IF(Main[[#This Row],[Class]]="B", WORKDAY(Main[[#This Row],[Tech Start Date]],6),IF(Main[[#This Row],[Class]]="A",WORKDAY(Main[[#This Row],[Tech Start Date]],2),""))))</f>
        <v>40851</v>
      </c>
      <c r="N1319" s="104">
        <f>IF(Main[[#This Row],[Tech Start Date]]&lt;1/1/1990,"",IF(Main[[#This Row],[Class]]="C",WORKDAY(Main[[#This Row],[Tech Start Date]],19),IF(Main[[#This Row],[Class]]="B", WORKDAY(Main[[#This Row],[Tech Start Date]],12),IF(Main[[#This Row],[Class]]="A",WORKDAY(Main[[#This Row],[Tech Start Date]],4),""))))</f>
        <v>40855</v>
      </c>
      <c r="O1319" s="104">
        <f>IF(Main[[#This Row],[Tech Start Date]]&lt;1/1/1990,"",IF(Main[[#This Row],[Class]]="C",WORKDAY(Main[[#This Row],[Tech Start Date]],23),IF(Main[[#This Row],[Class]]="B", WORKDAY(Main[[#This Row],[Tech Start Date]],15),IF(Main[[#This Row],[Class]]="A",WORKDAY(Main[[#This Row],[Tech Start Date]],5),""))))</f>
        <v>40856</v>
      </c>
      <c r="P1319" s="104">
        <f>IF(Main[[#This Row],[Tech Start Date]]&lt;1/1/1990,"",IF(Main[[#This Row],[Class]]="C",WORKDAY(Main[[#This Row],[Tech Start Date]],28),IF(Main[[#This Row],[Class]]="B", WORKDAY(Main[[#This Row],[Tech Start Date]],19),IF(Main[[#This Row],[Class]]="A",WORKDAY(Main[[#This Row],[Tech Start Date]],9),""))))</f>
        <v>40862</v>
      </c>
      <c r="Q1319" s="101"/>
      <c r="R1319" s="101">
        <v>40864</v>
      </c>
      <c r="S1319" s="99" t="s">
        <v>6</v>
      </c>
      <c r="T1319" s="107" t="s">
        <v>4</v>
      </c>
      <c r="U1319" s="99" t="s">
        <v>29</v>
      </c>
      <c r="V1319" s="99" t="s">
        <v>1972</v>
      </c>
      <c r="W1319" s="99" t="s">
        <v>1976</v>
      </c>
    </row>
    <row r="1320" spans="1:23" ht="18.600000000000001" customHeight="1">
      <c r="A1320" s="123" t="str">
        <f>IF(priority(Main[[#This Row],[Comments]])&lt;&gt;0, priority(Main[[#This Row],[Comments]]),"")</f>
        <v/>
      </c>
      <c r="B1320" s="127" t="s">
        <v>2978</v>
      </c>
      <c r="C1320" s="99" t="s">
        <v>4</v>
      </c>
      <c r="D1320" s="100" t="s">
        <v>2979</v>
      </c>
      <c r="E1320" s="101">
        <v>40848.726550925923</v>
      </c>
      <c r="F1320" s="101"/>
      <c r="G1320" s="102" t="str">
        <f>IF(stdProdLT(Main[[#This Row],[Comments]])=0.1,"N/A",IF(stdProdLT(Main[[#This Row],[Comments]])=0,"",stdProdLT(Main[[#This Row],[Comments]])))</f>
        <v/>
      </c>
      <c r="H1320" s="103" t="str">
        <f>IF(AND(Main[[#This Row],[In Stock Date]]&lt;&gt;"",Main[[#This Row],[Revised Due Date]]&lt;&gt;""),Main[[#This Row],[In Stock Date]]-Main[[#This Row],[Revised Due Date]],"")</f>
        <v/>
      </c>
      <c r="I1320" s="99" t="s">
        <v>69</v>
      </c>
      <c r="J1320" s="99" t="s">
        <v>28</v>
      </c>
      <c r="K1320" s="99" t="s">
        <v>1971</v>
      </c>
      <c r="L1320" s="101">
        <v>40849</v>
      </c>
      <c r="M1320" s="104">
        <f>IF(Main[[#This Row],[Tech Start Date]]&lt;1/1/1990,"",IF(Main[[#This Row],[Class]]="C",WORKDAY(Main[[#This Row],[Tech Start Date]],9),IF(Main[[#This Row],[Class]]="B", WORKDAY(Main[[#This Row],[Tech Start Date]],6),IF(Main[[#This Row],[Class]]="A",WORKDAY(Main[[#This Row],[Tech Start Date]],2),""))))</f>
        <v>40851</v>
      </c>
      <c r="N1320" s="104">
        <f>IF(Main[[#This Row],[Tech Start Date]]&lt;1/1/1990,"",IF(Main[[#This Row],[Class]]="C",WORKDAY(Main[[#This Row],[Tech Start Date]],19),IF(Main[[#This Row],[Class]]="B", WORKDAY(Main[[#This Row],[Tech Start Date]],12),IF(Main[[#This Row],[Class]]="A",WORKDAY(Main[[#This Row],[Tech Start Date]],4),""))))</f>
        <v>40855</v>
      </c>
      <c r="O1320" s="104">
        <f>IF(Main[[#This Row],[Tech Start Date]]&lt;1/1/1990,"",IF(Main[[#This Row],[Class]]="C",WORKDAY(Main[[#This Row],[Tech Start Date]],23),IF(Main[[#This Row],[Class]]="B", WORKDAY(Main[[#This Row],[Tech Start Date]],15),IF(Main[[#This Row],[Class]]="A",WORKDAY(Main[[#This Row],[Tech Start Date]],5),""))))</f>
        <v>40856</v>
      </c>
      <c r="P1320" s="104">
        <f>IF(Main[[#This Row],[Tech Start Date]]&lt;1/1/1990,"",IF(Main[[#This Row],[Class]]="C",WORKDAY(Main[[#This Row],[Tech Start Date]],28),IF(Main[[#This Row],[Class]]="B", WORKDAY(Main[[#This Row],[Tech Start Date]],19),IF(Main[[#This Row],[Class]]="A",WORKDAY(Main[[#This Row],[Tech Start Date]],9),""))))</f>
        <v>40862</v>
      </c>
      <c r="Q1320" s="101"/>
      <c r="R1320" s="101">
        <v>40864</v>
      </c>
      <c r="S1320" s="99" t="s">
        <v>6</v>
      </c>
      <c r="T1320" s="107" t="s">
        <v>4</v>
      </c>
      <c r="U1320" s="99" t="s">
        <v>29</v>
      </c>
      <c r="V1320" s="99" t="s">
        <v>1972</v>
      </c>
      <c r="W1320" s="99" t="s">
        <v>1976</v>
      </c>
    </row>
    <row r="1321" spans="1:23" ht="18.600000000000001" customHeight="1">
      <c r="A1321" s="123" t="str">
        <f>IF(priority(Main[[#This Row],[Comments]])&lt;&gt;0, priority(Main[[#This Row],[Comments]]),"")</f>
        <v/>
      </c>
      <c r="B1321" s="127" t="s">
        <v>1714</v>
      </c>
      <c r="C1321" s="99" t="s">
        <v>4</v>
      </c>
      <c r="D1321" s="100" t="s">
        <v>2986</v>
      </c>
      <c r="E1321" s="101">
        <v>40647.529861111114</v>
      </c>
      <c r="F1321" s="101"/>
      <c r="G1321" s="102" t="str">
        <f>IF(stdProdLT(Main[[#This Row],[Comments]])=0.1,"N/A",IF(stdProdLT(Main[[#This Row],[Comments]])=0,"",stdProdLT(Main[[#This Row],[Comments]])))</f>
        <v/>
      </c>
      <c r="H1321" s="103" t="str">
        <f>IF(AND(Main[[#This Row],[In Stock Date]]&lt;&gt;"",Main[[#This Row],[Revised Due Date]]&lt;&gt;""),Main[[#This Row],[In Stock Date]]-Main[[#This Row],[Revised Due Date]],"")</f>
        <v/>
      </c>
      <c r="I1321" s="99" t="s">
        <v>893</v>
      </c>
      <c r="J1321" s="99" t="s">
        <v>4</v>
      </c>
      <c r="K1321" s="108" t="s">
        <v>1971</v>
      </c>
      <c r="L1321" s="101">
        <v>40856</v>
      </c>
      <c r="M1321" s="104">
        <f>IF(Main[[#This Row],[Tech Start Date]]&lt;1/1/1990,"",IF(Main[[#This Row],[Class]]="C",WORKDAY(Main[[#This Row],[Tech Start Date]],9),IF(Main[[#This Row],[Class]]="B", WORKDAY(Main[[#This Row],[Tech Start Date]],6),IF(Main[[#This Row],[Class]]="A",WORKDAY(Main[[#This Row],[Tech Start Date]],2),""))))</f>
        <v>40858</v>
      </c>
      <c r="N1321" s="104">
        <f>IF(Main[[#This Row],[Tech Start Date]]&lt;1/1/1990,"",IF(Main[[#This Row],[Class]]="C",WORKDAY(Main[[#This Row],[Tech Start Date]],19),IF(Main[[#This Row],[Class]]="B", WORKDAY(Main[[#This Row],[Tech Start Date]],12),IF(Main[[#This Row],[Class]]="A",WORKDAY(Main[[#This Row],[Tech Start Date]],4),""))))</f>
        <v>40862</v>
      </c>
      <c r="O1321" s="104">
        <f>IF(Main[[#This Row],[Tech Start Date]]&lt;1/1/1990,"",IF(Main[[#This Row],[Class]]="C",WORKDAY(Main[[#This Row],[Tech Start Date]],23),IF(Main[[#This Row],[Class]]="B", WORKDAY(Main[[#This Row],[Tech Start Date]],15),IF(Main[[#This Row],[Class]]="A",WORKDAY(Main[[#This Row],[Tech Start Date]],5),""))))</f>
        <v>40863</v>
      </c>
      <c r="P1321" s="104">
        <f>IF(Main[[#This Row],[Tech Start Date]]&lt;1/1/1990,"",IF(Main[[#This Row],[Class]]="C",WORKDAY(Main[[#This Row],[Tech Start Date]],28),IF(Main[[#This Row],[Class]]="B", WORKDAY(Main[[#This Row],[Tech Start Date]],19),IF(Main[[#This Row],[Class]]="A",WORKDAY(Main[[#This Row],[Tech Start Date]],9),""))))</f>
        <v>40869</v>
      </c>
      <c r="Q1321" s="101">
        <v>40877</v>
      </c>
      <c r="R1321" s="101">
        <v>40883</v>
      </c>
      <c r="S1321" s="99" t="s">
        <v>6</v>
      </c>
      <c r="T1321" s="107" t="s">
        <v>2987</v>
      </c>
      <c r="U1321" s="99" t="s">
        <v>29</v>
      </c>
      <c r="V1321" s="99" t="s">
        <v>1962</v>
      </c>
      <c r="W1321" s="99" t="s">
        <v>1964</v>
      </c>
    </row>
    <row r="1322" spans="1:23" ht="18.600000000000001" customHeight="1">
      <c r="A1322" s="123" t="str">
        <f>IF(priority(Main[[#This Row],[Comments]])&lt;&gt;0, priority(Main[[#This Row],[Comments]]),"")</f>
        <v/>
      </c>
      <c r="B1322" s="127" t="s">
        <v>2772</v>
      </c>
      <c r="C1322" s="99" t="s">
        <v>2505</v>
      </c>
      <c r="D1322" s="100" t="s">
        <v>2773</v>
      </c>
      <c r="E1322" s="101">
        <v>40861.671018518522</v>
      </c>
      <c r="F1322" s="101">
        <v>41030</v>
      </c>
      <c r="G1322" s="102">
        <f>IF(stdProdLT(Main[[#This Row],[Comments]])=0.1,"N/A",IF(stdProdLT(Main[[#This Row],[Comments]])=0,"",stdProdLT(Main[[#This Row],[Comments]])))</f>
        <v>168</v>
      </c>
      <c r="H1322" s="103">
        <f>IF(AND(Main[[#This Row],[In Stock Date]]&lt;&gt;"",Main[[#This Row],[Revised Due Date]]&lt;&gt;""),Main[[#This Row],[In Stock Date]]-Main[[#This Row],[Revised Due Date]],"")</f>
        <v>133</v>
      </c>
      <c r="I1322" s="99" t="s">
        <v>568</v>
      </c>
      <c r="J1322" s="99" t="s">
        <v>28</v>
      </c>
      <c r="K1322" s="99" t="s">
        <v>1969</v>
      </c>
      <c r="L1322" s="101">
        <v>40862</v>
      </c>
      <c r="M1322" s="104">
        <f>IF(Main[[#This Row],[Tech Start Date]]&lt;1/1/1990,"",IF(Main[[#This Row],[Class]]="C",WORKDAY(Main[[#This Row],[Tech Start Date]],9),IF(Main[[#This Row],[Class]]="B", WORKDAY(Main[[#This Row],[Tech Start Date]],6),IF(Main[[#This Row],[Class]]="A",WORKDAY(Main[[#This Row],[Tech Start Date]],2),""))))</f>
        <v>40870</v>
      </c>
      <c r="N1322" s="104">
        <f>IF(Main[[#This Row],[Tech Start Date]]&lt;1/1/1990,"",IF(Main[[#This Row],[Class]]="C",WORKDAY(Main[[#This Row],[Tech Start Date]],19),IF(Main[[#This Row],[Class]]="B", WORKDAY(Main[[#This Row],[Tech Start Date]],12),IF(Main[[#This Row],[Class]]="A",WORKDAY(Main[[#This Row],[Tech Start Date]],4),""))))</f>
        <v>40878</v>
      </c>
      <c r="O1322" s="104">
        <f>IF(Main[[#This Row],[Tech Start Date]]&lt;1/1/1990,"",IF(Main[[#This Row],[Class]]="C",WORKDAY(Main[[#This Row],[Tech Start Date]],23),IF(Main[[#This Row],[Class]]="B", WORKDAY(Main[[#This Row],[Tech Start Date]],15),IF(Main[[#This Row],[Class]]="A",WORKDAY(Main[[#This Row],[Tech Start Date]],5),""))))</f>
        <v>40883</v>
      </c>
      <c r="P1322" s="104">
        <f>IF(Main[[#This Row],[Tech Start Date]]&lt;1/1/1990,"",IF(Main[[#This Row],[Class]]="C",WORKDAY(Main[[#This Row],[Tech Start Date]],28),IF(Main[[#This Row],[Class]]="B", WORKDAY(Main[[#This Row],[Tech Start Date]],19),IF(Main[[#This Row],[Class]]="A",WORKDAY(Main[[#This Row],[Tech Start Date]],9),""))))</f>
        <v>40889</v>
      </c>
      <c r="Q1322" s="101">
        <v>40907</v>
      </c>
      <c r="R1322" s="101">
        <v>40897</v>
      </c>
      <c r="S1322" s="99" t="s">
        <v>11</v>
      </c>
      <c r="T1322" s="107" t="s">
        <v>3090</v>
      </c>
      <c r="U1322" s="99" t="s">
        <v>29</v>
      </c>
      <c r="V1322" s="99" t="s">
        <v>1962</v>
      </c>
      <c r="W1322" s="99" t="s">
        <v>1967</v>
      </c>
    </row>
    <row r="1323" spans="1:23" ht="18.600000000000001" customHeight="1">
      <c r="A1323" s="123" t="str">
        <f>IF(priority(Main[[#This Row],[Comments]])&lt;&gt;0, priority(Main[[#This Row],[Comments]]),"")</f>
        <v/>
      </c>
      <c r="B1323" s="127" t="s">
        <v>2988</v>
      </c>
      <c r="C1323" s="99" t="s">
        <v>4</v>
      </c>
      <c r="D1323" s="100" t="s">
        <v>2989</v>
      </c>
      <c r="E1323" s="101">
        <v>40856.430023148147</v>
      </c>
      <c r="F1323" s="101">
        <v>40891</v>
      </c>
      <c r="G1323" s="102" t="str">
        <f>IF(stdProdLT(Main[[#This Row],[Comments]])=0.1,"N/A",IF(stdProdLT(Main[[#This Row],[Comments]])=0,"",stdProdLT(Main[[#This Row],[Comments]])))</f>
        <v/>
      </c>
      <c r="H1323" s="103">
        <f>IF(AND(Main[[#This Row],[In Stock Date]]&lt;&gt;"",Main[[#This Row],[Revised Due Date]]&lt;&gt;""),Main[[#This Row],[In Stock Date]]-Main[[#This Row],[Revised Due Date]],"")</f>
        <v>5</v>
      </c>
      <c r="I1323" s="99" t="s">
        <v>2324</v>
      </c>
      <c r="J1323" s="99" t="s">
        <v>28</v>
      </c>
      <c r="K1323" s="99" t="s">
        <v>1969</v>
      </c>
      <c r="L1323" s="101">
        <v>40862</v>
      </c>
      <c r="M1323" s="104">
        <f>IF(Main[[#This Row],[Tech Start Date]]&lt;1/1/1990,"",IF(Main[[#This Row],[Class]]="C",WORKDAY(Main[[#This Row],[Tech Start Date]],9),IF(Main[[#This Row],[Class]]="B", WORKDAY(Main[[#This Row],[Tech Start Date]],6),IF(Main[[#This Row],[Class]]="A",WORKDAY(Main[[#This Row],[Tech Start Date]],2),""))))</f>
        <v>40870</v>
      </c>
      <c r="N1323" s="104">
        <f>IF(Main[[#This Row],[Tech Start Date]]&lt;1/1/1990,"",IF(Main[[#This Row],[Class]]="C",WORKDAY(Main[[#This Row],[Tech Start Date]],19),IF(Main[[#This Row],[Class]]="B", WORKDAY(Main[[#This Row],[Tech Start Date]],12),IF(Main[[#This Row],[Class]]="A",WORKDAY(Main[[#This Row],[Tech Start Date]],4),""))))</f>
        <v>40878</v>
      </c>
      <c r="O1323" s="104">
        <f>IF(Main[[#This Row],[Tech Start Date]]&lt;1/1/1990,"",IF(Main[[#This Row],[Class]]="C",WORKDAY(Main[[#This Row],[Tech Start Date]],23),IF(Main[[#This Row],[Class]]="B", WORKDAY(Main[[#This Row],[Tech Start Date]],15),IF(Main[[#This Row],[Class]]="A",WORKDAY(Main[[#This Row],[Tech Start Date]],5),""))))</f>
        <v>40883</v>
      </c>
      <c r="P1323" s="104">
        <f>IF(Main[[#This Row],[Tech Start Date]]&lt;1/1/1990,"",IF(Main[[#This Row],[Class]]="C",WORKDAY(Main[[#This Row],[Tech Start Date]],28),IF(Main[[#This Row],[Class]]="B", WORKDAY(Main[[#This Row],[Tech Start Date]],19),IF(Main[[#This Row],[Class]]="A",WORKDAY(Main[[#This Row],[Tech Start Date]],9),""))))</f>
        <v>40889</v>
      </c>
      <c r="Q1323" s="101"/>
      <c r="R1323" s="101">
        <v>40886</v>
      </c>
      <c r="S1323" s="99" t="s">
        <v>11</v>
      </c>
      <c r="T1323" s="107" t="s">
        <v>2990</v>
      </c>
      <c r="U1323" s="99" t="s">
        <v>29</v>
      </c>
      <c r="V1323" s="99" t="s">
        <v>1963</v>
      </c>
      <c r="W1323" s="99" t="s">
        <v>1970</v>
      </c>
    </row>
    <row r="1324" spans="1:23" ht="18.600000000000001" customHeight="1">
      <c r="A1324" s="123" t="str">
        <f>IF(priority(Main[[#This Row],[Comments]])&lt;&gt;0, priority(Main[[#This Row],[Comments]]),"")</f>
        <v/>
      </c>
      <c r="B1324" s="127" t="s">
        <v>2991</v>
      </c>
      <c r="C1324" s="99" t="s">
        <v>4</v>
      </c>
      <c r="D1324" s="100" t="s">
        <v>2992</v>
      </c>
      <c r="E1324" s="101">
        <v>40864.413506944446</v>
      </c>
      <c r="F1324" s="101"/>
      <c r="G1324" s="102" t="str">
        <f>IF(stdProdLT(Main[[#This Row],[Comments]])=0.1,"N/A",IF(stdProdLT(Main[[#This Row],[Comments]])=0,"",stdProdLT(Main[[#This Row],[Comments]])))</f>
        <v/>
      </c>
      <c r="H1324" s="103" t="str">
        <f>IF(AND(Main[[#This Row],[In Stock Date]]&lt;&gt;"",Main[[#This Row],[Revised Due Date]]&lt;&gt;""),Main[[#This Row],[In Stock Date]]-Main[[#This Row],[Revised Due Date]],"")</f>
        <v/>
      </c>
      <c r="I1324" s="99" t="s">
        <v>959</v>
      </c>
      <c r="J1324" s="99" t="s">
        <v>28</v>
      </c>
      <c r="K1324" s="99" t="s">
        <v>1971</v>
      </c>
      <c r="L1324" s="101">
        <v>40864</v>
      </c>
      <c r="M1324" s="104">
        <f>IF(Main[[#This Row],[Tech Start Date]]&lt;1/1/1990,"",IF(Main[[#This Row],[Class]]="C",WORKDAY(Main[[#This Row],[Tech Start Date]],9),IF(Main[[#This Row],[Class]]="B", WORKDAY(Main[[#This Row],[Tech Start Date]],6),IF(Main[[#This Row],[Class]]="A",WORKDAY(Main[[#This Row],[Tech Start Date]],2),""))))</f>
        <v>40868</v>
      </c>
      <c r="N1324" s="104">
        <f>IF(Main[[#This Row],[Tech Start Date]]&lt;1/1/1990,"",IF(Main[[#This Row],[Class]]="C",WORKDAY(Main[[#This Row],[Tech Start Date]],19),IF(Main[[#This Row],[Class]]="B", WORKDAY(Main[[#This Row],[Tech Start Date]],12),IF(Main[[#This Row],[Class]]="A",WORKDAY(Main[[#This Row],[Tech Start Date]],4),""))))</f>
        <v>40870</v>
      </c>
      <c r="O1324" s="104">
        <f>IF(Main[[#This Row],[Tech Start Date]]&lt;1/1/1990,"",IF(Main[[#This Row],[Class]]="C",WORKDAY(Main[[#This Row],[Tech Start Date]],23),IF(Main[[#This Row],[Class]]="B", WORKDAY(Main[[#This Row],[Tech Start Date]],15),IF(Main[[#This Row],[Class]]="A",WORKDAY(Main[[#This Row],[Tech Start Date]],5),""))))</f>
        <v>40871</v>
      </c>
      <c r="P1324" s="104">
        <f>IF(Main[[#This Row],[Tech Start Date]]&lt;1/1/1990,"",IF(Main[[#This Row],[Class]]="C",WORKDAY(Main[[#This Row],[Tech Start Date]],28),IF(Main[[#This Row],[Class]]="B", WORKDAY(Main[[#This Row],[Tech Start Date]],19),IF(Main[[#This Row],[Class]]="A",WORKDAY(Main[[#This Row],[Tech Start Date]],9),""))))</f>
        <v>40877</v>
      </c>
      <c r="Q1324" s="101"/>
      <c r="R1324" s="101">
        <v>40877</v>
      </c>
      <c r="S1324" s="99" t="s">
        <v>6</v>
      </c>
      <c r="T1324" s="107" t="s">
        <v>4</v>
      </c>
      <c r="U1324" s="99" t="s">
        <v>29</v>
      </c>
      <c r="V1324" s="99" t="s">
        <v>1963</v>
      </c>
      <c r="W1324" s="99" t="s">
        <v>1966</v>
      </c>
    </row>
    <row r="1325" spans="1:23" ht="18.600000000000001" customHeight="1">
      <c r="A1325" s="123" t="str">
        <f>IF(priority(Main[[#This Row],[Comments]])&lt;&gt;0, priority(Main[[#This Row],[Comments]]),"")</f>
        <v/>
      </c>
      <c r="B1325" s="127" t="s">
        <v>2997</v>
      </c>
      <c r="C1325" s="99" t="s">
        <v>72</v>
      </c>
      <c r="D1325" s="100" t="s">
        <v>2998</v>
      </c>
      <c r="E1325" s="101">
        <v>40864.809571759259</v>
      </c>
      <c r="F1325" s="101"/>
      <c r="G1325" s="102" t="str">
        <f>IF(stdProdLT(Main[[#This Row],[Comments]])=0.1,"N/A",IF(stdProdLT(Main[[#This Row],[Comments]])=0,"",stdProdLT(Main[[#This Row],[Comments]])))</f>
        <v/>
      </c>
      <c r="H1325" s="103" t="str">
        <f>IF(AND(Main[[#This Row],[In Stock Date]]&lt;&gt;"",Main[[#This Row],[Revised Due Date]]&lt;&gt;""),Main[[#This Row],[In Stock Date]]-Main[[#This Row],[Revised Due Date]],"")</f>
        <v/>
      </c>
      <c r="I1325" s="99" t="s">
        <v>2324</v>
      </c>
      <c r="J1325" s="99" t="s">
        <v>28</v>
      </c>
      <c r="K1325" s="99" t="s">
        <v>1971</v>
      </c>
      <c r="L1325" s="101">
        <v>40865</v>
      </c>
      <c r="M1325" s="104">
        <f>IF(Main[[#This Row],[Tech Start Date]]&lt;1/1/1990,"",IF(Main[[#This Row],[Class]]="C",WORKDAY(Main[[#This Row],[Tech Start Date]],9),IF(Main[[#This Row],[Class]]="B", WORKDAY(Main[[#This Row],[Tech Start Date]],6),IF(Main[[#This Row],[Class]]="A",WORKDAY(Main[[#This Row],[Tech Start Date]],2),""))))</f>
        <v>40869</v>
      </c>
      <c r="N1325" s="104">
        <f>IF(Main[[#This Row],[Tech Start Date]]&lt;1/1/1990,"",IF(Main[[#This Row],[Class]]="C",WORKDAY(Main[[#This Row],[Tech Start Date]],19),IF(Main[[#This Row],[Class]]="B", WORKDAY(Main[[#This Row],[Tech Start Date]],12),IF(Main[[#This Row],[Class]]="A",WORKDAY(Main[[#This Row],[Tech Start Date]],4),""))))</f>
        <v>40871</v>
      </c>
      <c r="O1325" s="104">
        <f>IF(Main[[#This Row],[Tech Start Date]]&lt;1/1/1990,"",IF(Main[[#This Row],[Class]]="C",WORKDAY(Main[[#This Row],[Tech Start Date]],23),IF(Main[[#This Row],[Class]]="B", WORKDAY(Main[[#This Row],[Tech Start Date]],15),IF(Main[[#This Row],[Class]]="A",WORKDAY(Main[[#This Row],[Tech Start Date]],5),""))))</f>
        <v>40872</v>
      </c>
      <c r="P1325" s="104">
        <f>IF(Main[[#This Row],[Tech Start Date]]&lt;1/1/1990,"",IF(Main[[#This Row],[Class]]="C",WORKDAY(Main[[#This Row],[Tech Start Date]],28),IF(Main[[#This Row],[Class]]="B", WORKDAY(Main[[#This Row],[Tech Start Date]],19),IF(Main[[#This Row],[Class]]="A",WORKDAY(Main[[#This Row],[Tech Start Date]],9),""))))</f>
        <v>40878</v>
      </c>
      <c r="Q1325" s="101">
        <v>40882</v>
      </c>
      <c r="R1325" s="101">
        <v>40886</v>
      </c>
      <c r="S1325" s="99" t="s">
        <v>11</v>
      </c>
      <c r="T1325" s="107" t="s">
        <v>4</v>
      </c>
      <c r="U1325" s="99" t="s">
        <v>29</v>
      </c>
      <c r="V1325" s="99" t="s">
        <v>1963</v>
      </c>
      <c r="W1325" s="99" t="s">
        <v>1967</v>
      </c>
    </row>
    <row r="1326" spans="1:23" ht="18.600000000000001" customHeight="1">
      <c r="A1326" s="123" t="str">
        <f>IF(priority(Main[[#This Row],[Comments]])&lt;&gt;0, priority(Main[[#This Row],[Comments]]),"")</f>
        <v/>
      </c>
      <c r="B1326" s="127" t="s">
        <v>3000</v>
      </c>
      <c r="C1326" s="99" t="s">
        <v>72</v>
      </c>
      <c r="D1326" s="100" t="s">
        <v>3001</v>
      </c>
      <c r="E1326" s="101">
        <v>40864.813379629632</v>
      </c>
      <c r="F1326" s="101"/>
      <c r="G1326" s="102" t="str">
        <f>IF(stdProdLT(Main[[#This Row],[Comments]])=0.1,"N/A",IF(stdProdLT(Main[[#This Row],[Comments]])=0,"",stdProdLT(Main[[#This Row],[Comments]])))</f>
        <v>N/A</v>
      </c>
      <c r="H1326" s="103" t="str">
        <f>IF(AND(Main[[#This Row],[In Stock Date]]&lt;&gt;"",Main[[#This Row],[Revised Due Date]]&lt;&gt;""),Main[[#This Row],[In Stock Date]]-Main[[#This Row],[Revised Due Date]],"")</f>
        <v/>
      </c>
      <c r="I1326" s="99" t="s">
        <v>2324</v>
      </c>
      <c r="J1326" s="99" t="s">
        <v>28</v>
      </c>
      <c r="K1326" s="99" t="s">
        <v>1971</v>
      </c>
      <c r="L1326" s="101">
        <v>40865</v>
      </c>
      <c r="M1326" s="104">
        <f>IF(Main[[#This Row],[Tech Start Date]]&lt;1/1/1990,"",IF(Main[[#This Row],[Class]]="C",WORKDAY(Main[[#This Row],[Tech Start Date]],9),IF(Main[[#This Row],[Class]]="B", WORKDAY(Main[[#This Row],[Tech Start Date]],6),IF(Main[[#This Row],[Class]]="A",WORKDAY(Main[[#This Row],[Tech Start Date]],2),""))))</f>
        <v>40869</v>
      </c>
      <c r="N1326" s="104">
        <f>IF(Main[[#This Row],[Tech Start Date]]&lt;1/1/1990,"",IF(Main[[#This Row],[Class]]="C",WORKDAY(Main[[#This Row],[Tech Start Date]],19),IF(Main[[#This Row],[Class]]="B", WORKDAY(Main[[#This Row],[Tech Start Date]],12),IF(Main[[#This Row],[Class]]="A",WORKDAY(Main[[#This Row],[Tech Start Date]],4),""))))</f>
        <v>40871</v>
      </c>
      <c r="O1326" s="104">
        <f>IF(Main[[#This Row],[Tech Start Date]]&lt;1/1/1990,"",IF(Main[[#This Row],[Class]]="C",WORKDAY(Main[[#This Row],[Tech Start Date]],23),IF(Main[[#This Row],[Class]]="B", WORKDAY(Main[[#This Row],[Tech Start Date]],15),IF(Main[[#This Row],[Class]]="A",WORKDAY(Main[[#This Row],[Tech Start Date]],5),""))))</f>
        <v>40872</v>
      </c>
      <c r="P1326" s="104">
        <f>IF(Main[[#This Row],[Tech Start Date]]&lt;1/1/1990,"",IF(Main[[#This Row],[Class]]="C",WORKDAY(Main[[#This Row],[Tech Start Date]],28),IF(Main[[#This Row],[Class]]="B", WORKDAY(Main[[#This Row],[Tech Start Date]],19),IF(Main[[#This Row],[Class]]="A",WORKDAY(Main[[#This Row],[Tech Start Date]],9),""))))</f>
        <v>40878</v>
      </c>
      <c r="Q1326" s="101">
        <v>40882</v>
      </c>
      <c r="R1326" s="101">
        <v>40886</v>
      </c>
      <c r="S1326" s="99" t="s">
        <v>11</v>
      </c>
      <c r="T1326" s="107" t="s">
        <v>3002</v>
      </c>
      <c r="U1326" s="99" t="s">
        <v>29</v>
      </c>
      <c r="V1326" s="99" t="s">
        <v>1963</v>
      </c>
      <c r="W1326" s="99" t="s">
        <v>1967</v>
      </c>
    </row>
    <row r="1327" spans="1:23" ht="18.600000000000001" customHeight="1">
      <c r="A1327" s="123" t="str">
        <f>IF(priority(Main[[#This Row],[Comments]])&lt;&gt;0, priority(Main[[#This Row],[Comments]]),"")</f>
        <v/>
      </c>
      <c r="B1327" s="127" t="s">
        <v>3012</v>
      </c>
      <c r="C1327" s="99" t="s">
        <v>72</v>
      </c>
      <c r="D1327" s="100" t="s">
        <v>3013</v>
      </c>
      <c r="E1327" s="101">
        <v>40856.055046296293</v>
      </c>
      <c r="F1327" s="101"/>
      <c r="G1327" s="102" t="str">
        <f>IF(stdProdLT(Main[[#This Row],[Comments]])=0.1,"N/A",IF(stdProdLT(Main[[#This Row],[Comments]])=0,"",stdProdLT(Main[[#This Row],[Comments]])))</f>
        <v/>
      </c>
      <c r="H1327" s="103" t="str">
        <f>IF(AND(Main[[#This Row],[In Stock Date]]&lt;&gt;"",Main[[#This Row],[Revised Due Date]]&lt;&gt;""),Main[[#This Row],[In Stock Date]]-Main[[#This Row],[Revised Due Date]],"")</f>
        <v/>
      </c>
      <c r="I1327" s="99" t="s">
        <v>2324</v>
      </c>
      <c r="J1327" s="99" t="s">
        <v>28</v>
      </c>
      <c r="K1327" s="99" t="s">
        <v>1971</v>
      </c>
      <c r="L1327" s="101">
        <v>40869</v>
      </c>
      <c r="M1327" s="104">
        <f>IF(Main[[#This Row],[Tech Start Date]]&lt;1/1/1990,"",IF(Main[[#This Row],[Class]]="C",WORKDAY(Main[[#This Row],[Tech Start Date]],9),IF(Main[[#This Row],[Class]]="B", WORKDAY(Main[[#This Row],[Tech Start Date]],6),IF(Main[[#This Row],[Class]]="A",WORKDAY(Main[[#This Row],[Tech Start Date]],2),""))))</f>
        <v>40871</v>
      </c>
      <c r="N1327" s="104">
        <f>IF(Main[[#This Row],[Tech Start Date]]&lt;1/1/1990,"",IF(Main[[#This Row],[Class]]="C",WORKDAY(Main[[#This Row],[Tech Start Date]],19),IF(Main[[#This Row],[Class]]="B", WORKDAY(Main[[#This Row],[Tech Start Date]],12),IF(Main[[#This Row],[Class]]="A",WORKDAY(Main[[#This Row],[Tech Start Date]],4),""))))</f>
        <v>40875</v>
      </c>
      <c r="O1327" s="104">
        <f>IF(Main[[#This Row],[Tech Start Date]]&lt;1/1/1990,"",IF(Main[[#This Row],[Class]]="C",WORKDAY(Main[[#This Row],[Tech Start Date]],23),IF(Main[[#This Row],[Class]]="B", WORKDAY(Main[[#This Row],[Tech Start Date]],15),IF(Main[[#This Row],[Class]]="A",WORKDAY(Main[[#This Row],[Tech Start Date]],5),""))))</f>
        <v>40876</v>
      </c>
      <c r="P1327" s="104">
        <f>IF(Main[[#This Row],[Tech Start Date]]&lt;1/1/1990,"",IF(Main[[#This Row],[Class]]="C",WORKDAY(Main[[#This Row],[Tech Start Date]],28),IF(Main[[#This Row],[Class]]="B", WORKDAY(Main[[#This Row],[Tech Start Date]],19),IF(Main[[#This Row],[Class]]="A",WORKDAY(Main[[#This Row],[Tech Start Date]],9),""))))</f>
        <v>40882</v>
      </c>
      <c r="Q1327" s="101">
        <v>40882</v>
      </c>
      <c r="R1327" s="101">
        <v>40886</v>
      </c>
      <c r="S1327" s="99" t="s">
        <v>11</v>
      </c>
      <c r="T1327" s="107" t="s">
        <v>4</v>
      </c>
      <c r="U1327" s="99" t="s">
        <v>29</v>
      </c>
      <c r="V1327" s="99" t="s">
        <v>1963</v>
      </c>
      <c r="W1327" s="99" t="s">
        <v>1964</v>
      </c>
    </row>
    <row r="1328" spans="1:23" ht="18.600000000000001" customHeight="1">
      <c r="A1328" s="123" t="str">
        <f>IF(priority(Main[[#This Row],[Comments]])&lt;&gt;0, priority(Main[[#This Row],[Comments]]),"")</f>
        <v/>
      </c>
      <c r="B1328" s="127" t="s">
        <v>3003</v>
      </c>
      <c r="C1328" s="99" t="s">
        <v>72</v>
      </c>
      <c r="D1328" s="100" t="s">
        <v>3004</v>
      </c>
      <c r="E1328" s="101">
        <v>40856.077916666669</v>
      </c>
      <c r="F1328" s="101"/>
      <c r="G1328" s="102" t="str">
        <f>IF(stdProdLT(Main[[#This Row],[Comments]])=0.1,"N/A",IF(stdProdLT(Main[[#This Row],[Comments]])=0,"",stdProdLT(Main[[#This Row],[Comments]])))</f>
        <v/>
      </c>
      <c r="H1328" s="103" t="str">
        <f>IF(AND(Main[[#This Row],[In Stock Date]]&lt;&gt;"",Main[[#This Row],[Revised Due Date]]&lt;&gt;""),Main[[#This Row],[In Stock Date]]-Main[[#This Row],[Revised Due Date]],"")</f>
        <v/>
      </c>
      <c r="I1328" s="99" t="s">
        <v>2324</v>
      </c>
      <c r="J1328" s="99" t="s">
        <v>28</v>
      </c>
      <c r="K1328" s="99" t="s">
        <v>1971</v>
      </c>
      <c r="L1328" s="101">
        <v>40869</v>
      </c>
      <c r="M1328" s="104">
        <f>IF(Main[[#This Row],[Tech Start Date]]&lt;1/1/1990,"",IF(Main[[#This Row],[Class]]="C",WORKDAY(Main[[#This Row],[Tech Start Date]],9),IF(Main[[#This Row],[Class]]="B", WORKDAY(Main[[#This Row],[Tech Start Date]],6),IF(Main[[#This Row],[Class]]="A",WORKDAY(Main[[#This Row],[Tech Start Date]],2),""))))</f>
        <v>40871</v>
      </c>
      <c r="N1328" s="104">
        <f>IF(Main[[#This Row],[Tech Start Date]]&lt;1/1/1990,"",IF(Main[[#This Row],[Class]]="C",WORKDAY(Main[[#This Row],[Tech Start Date]],19),IF(Main[[#This Row],[Class]]="B", WORKDAY(Main[[#This Row],[Tech Start Date]],12),IF(Main[[#This Row],[Class]]="A",WORKDAY(Main[[#This Row],[Tech Start Date]],4),""))))</f>
        <v>40875</v>
      </c>
      <c r="O1328" s="104">
        <f>IF(Main[[#This Row],[Tech Start Date]]&lt;1/1/1990,"",IF(Main[[#This Row],[Class]]="C",WORKDAY(Main[[#This Row],[Tech Start Date]],23),IF(Main[[#This Row],[Class]]="B", WORKDAY(Main[[#This Row],[Tech Start Date]],15),IF(Main[[#This Row],[Class]]="A",WORKDAY(Main[[#This Row],[Tech Start Date]],5),""))))</f>
        <v>40876</v>
      </c>
      <c r="P1328" s="104">
        <f>IF(Main[[#This Row],[Tech Start Date]]&lt;1/1/1990,"",IF(Main[[#This Row],[Class]]="C",WORKDAY(Main[[#This Row],[Tech Start Date]],28),IF(Main[[#This Row],[Class]]="B", WORKDAY(Main[[#This Row],[Tech Start Date]],19),IF(Main[[#This Row],[Class]]="A",WORKDAY(Main[[#This Row],[Tech Start Date]],9),""))))</f>
        <v>40882</v>
      </c>
      <c r="Q1328" s="101">
        <v>40882</v>
      </c>
      <c r="R1328" s="101">
        <v>40886</v>
      </c>
      <c r="S1328" s="99" t="s">
        <v>11</v>
      </c>
      <c r="T1328" s="107" t="s">
        <v>4</v>
      </c>
      <c r="U1328" s="99" t="s">
        <v>29</v>
      </c>
      <c r="V1328" s="99" t="s">
        <v>1963</v>
      </c>
      <c r="W1328" s="99" t="s">
        <v>1964</v>
      </c>
    </row>
    <row r="1329" spans="1:23" ht="18.600000000000001" customHeight="1">
      <c r="A1329" s="123" t="str">
        <f>IF(priority(Main[[#This Row],[Comments]])&lt;&gt;0, priority(Main[[#This Row],[Comments]]),"")</f>
        <v/>
      </c>
      <c r="B1329" s="127" t="s">
        <v>3005</v>
      </c>
      <c r="C1329" s="99" t="s">
        <v>72</v>
      </c>
      <c r="D1329" s="100" t="s">
        <v>3006</v>
      </c>
      <c r="E1329" s="101"/>
      <c r="F1329" s="101"/>
      <c r="G1329" s="102" t="str">
        <f>IF(stdProdLT(Main[[#This Row],[Comments]])=0.1,"N/A",IF(stdProdLT(Main[[#This Row],[Comments]])=0,"",stdProdLT(Main[[#This Row],[Comments]])))</f>
        <v/>
      </c>
      <c r="H1329" s="103" t="str">
        <f>IF(AND(Main[[#This Row],[In Stock Date]]&lt;&gt;"",Main[[#This Row],[Revised Due Date]]&lt;&gt;""),Main[[#This Row],[In Stock Date]]-Main[[#This Row],[Revised Due Date]],"")</f>
        <v/>
      </c>
      <c r="I1329" s="99" t="s">
        <v>2920</v>
      </c>
      <c r="J1329" s="99" t="s">
        <v>28</v>
      </c>
      <c r="K1329" s="99" t="s">
        <v>1971</v>
      </c>
      <c r="L1329" s="101">
        <v>40869</v>
      </c>
      <c r="M1329" s="104">
        <f>IF(Main[[#This Row],[Tech Start Date]]&lt;1/1/1990,"",IF(Main[[#This Row],[Class]]="C",WORKDAY(Main[[#This Row],[Tech Start Date]],9),IF(Main[[#This Row],[Class]]="B", WORKDAY(Main[[#This Row],[Tech Start Date]],6),IF(Main[[#This Row],[Class]]="A",WORKDAY(Main[[#This Row],[Tech Start Date]],2),""))))</f>
        <v>40871</v>
      </c>
      <c r="N1329" s="104">
        <f>IF(Main[[#This Row],[Tech Start Date]]&lt;1/1/1990,"",IF(Main[[#This Row],[Class]]="C",WORKDAY(Main[[#This Row],[Tech Start Date]],19),IF(Main[[#This Row],[Class]]="B", WORKDAY(Main[[#This Row],[Tech Start Date]],12),IF(Main[[#This Row],[Class]]="A",WORKDAY(Main[[#This Row],[Tech Start Date]],4),""))))</f>
        <v>40875</v>
      </c>
      <c r="O1329" s="104">
        <f>IF(Main[[#This Row],[Tech Start Date]]&lt;1/1/1990,"",IF(Main[[#This Row],[Class]]="C",WORKDAY(Main[[#This Row],[Tech Start Date]],23),IF(Main[[#This Row],[Class]]="B", WORKDAY(Main[[#This Row],[Tech Start Date]],15),IF(Main[[#This Row],[Class]]="A",WORKDAY(Main[[#This Row],[Tech Start Date]],5),""))))</f>
        <v>40876</v>
      </c>
      <c r="P1329" s="104">
        <f>IF(Main[[#This Row],[Tech Start Date]]&lt;1/1/1990,"",IF(Main[[#This Row],[Class]]="C",WORKDAY(Main[[#This Row],[Tech Start Date]],28),IF(Main[[#This Row],[Class]]="B", WORKDAY(Main[[#This Row],[Tech Start Date]],19),IF(Main[[#This Row],[Class]]="A",WORKDAY(Main[[#This Row],[Tech Start Date]],9),""))))</f>
        <v>40882</v>
      </c>
      <c r="Q1329" s="101">
        <v>40882</v>
      </c>
      <c r="R1329" s="101">
        <v>40882</v>
      </c>
      <c r="S1329" s="99" t="s">
        <v>17</v>
      </c>
      <c r="T1329" s="107" t="s">
        <v>4</v>
      </c>
      <c r="U1329" s="99" t="s">
        <v>14</v>
      </c>
      <c r="V1329" s="99" t="s">
        <v>1963</v>
      </c>
      <c r="W1329" s="99" t="s">
        <v>1964</v>
      </c>
    </row>
    <row r="1330" spans="1:23" ht="18.600000000000001" customHeight="1">
      <c r="A1330" s="123" t="str">
        <f>IF(priority(Main[[#This Row],[Comments]])&lt;&gt;0, priority(Main[[#This Row],[Comments]]),"")</f>
        <v/>
      </c>
      <c r="B1330" s="127" t="s">
        <v>3014</v>
      </c>
      <c r="C1330" s="99" t="s">
        <v>72</v>
      </c>
      <c r="D1330" s="100" t="s">
        <v>3057</v>
      </c>
      <c r="E1330" s="101"/>
      <c r="F1330" s="101"/>
      <c r="G1330" s="102" t="str">
        <f>IF(stdProdLT(Main[[#This Row],[Comments]])=0.1,"N/A",IF(stdProdLT(Main[[#This Row],[Comments]])=0,"",stdProdLT(Main[[#This Row],[Comments]])))</f>
        <v/>
      </c>
      <c r="H1330" s="103" t="str">
        <f>IF(AND(Main[[#This Row],[In Stock Date]]&lt;&gt;"",Main[[#This Row],[Revised Due Date]]&lt;&gt;""),Main[[#This Row],[In Stock Date]]-Main[[#This Row],[Revised Due Date]],"")</f>
        <v/>
      </c>
      <c r="I1330" s="99" t="s">
        <v>2324</v>
      </c>
      <c r="J1330" s="99" t="s">
        <v>28</v>
      </c>
      <c r="K1330" s="99" t="s">
        <v>1971</v>
      </c>
      <c r="L1330" s="101">
        <v>40869</v>
      </c>
      <c r="M1330" s="104">
        <f>IF(Main[[#This Row],[Tech Start Date]]&lt;1/1/1990,"",IF(Main[[#This Row],[Class]]="C",WORKDAY(Main[[#This Row],[Tech Start Date]],9),IF(Main[[#This Row],[Class]]="B", WORKDAY(Main[[#This Row],[Tech Start Date]],6),IF(Main[[#This Row],[Class]]="A",WORKDAY(Main[[#This Row],[Tech Start Date]],2),""))))</f>
        <v>40871</v>
      </c>
      <c r="N1330" s="104">
        <f>IF(Main[[#This Row],[Tech Start Date]]&lt;1/1/1990,"",IF(Main[[#This Row],[Class]]="C",WORKDAY(Main[[#This Row],[Tech Start Date]],19),IF(Main[[#This Row],[Class]]="B", WORKDAY(Main[[#This Row],[Tech Start Date]],12),IF(Main[[#This Row],[Class]]="A",WORKDAY(Main[[#This Row],[Tech Start Date]],4),""))))</f>
        <v>40875</v>
      </c>
      <c r="O1330" s="104">
        <f>IF(Main[[#This Row],[Tech Start Date]]&lt;1/1/1990,"",IF(Main[[#This Row],[Class]]="C",WORKDAY(Main[[#This Row],[Tech Start Date]],23),IF(Main[[#This Row],[Class]]="B", WORKDAY(Main[[#This Row],[Tech Start Date]],15),IF(Main[[#This Row],[Class]]="A",WORKDAY(Main[[#This Row],[Tech Start Date]],5),""))))</f>
        <v>40876</v>
      </c>
      <c r="P1330" s="104">
        <f>IF(Main[[#This Row],[Tech Start Date]]&lt;1/1/1990,"",IF(Main[[#This Row],[Class]]="C",WORKDAY(Main[[#This Row],[Tech Start Date]],28),IF(Main[[#This Row],[Class]]="B", WORKDAY(Main[[#This Row],[Tech Start Date]],19),IF(Main[[#This Row],[Class]]="A",WORKDAY(Main[[#This Row],[Tech Start Date]],9),""))))</f>
        <v>40882</v>
      </c>
      <c r="Q1330" s="101">
        <v>40882</v>
      </c>
      <c r="R1330" s="101"/>
      <c r="S1330" s="99" t="s">
        <v>11</v>
      </c>
      <c r="T1330" s="107" t="s">
        <v>4</v>
      </c>
      <c r="U1330" s="99" t="s">
        <v>14</v>
      </c>
      <c r="V1330" s="99" t="s">
        <v>1963</v>
      </c>
      <c r="W1330" s="99" t="s">
        <v>1964</v>
      </c>
    </row>
    <row r="1331" spans="1:23" ht="18.600000000000001" customHeight="1">
      <c r="A1331" s="124" t="str">
        <f>IF(priority(Main[[#This Row],[Comments]])&lt;&gt;0, priority(Main[[#This Row],[Comments]]),"")</f>
        <v/>
      </c>
      <c r="B1331" s="127" t="s">
        <v>3010</v>
      </c>
      <c r="C1331" s="110" t="s">
        <v>72</v>
      </c>
      <c r="D1331" s="111" t="s">
        <v>3011</v>
      </c>
      <c r="E1331" s="112"/>
      <c r="F1331" s="112"/>
      <c r="G1331" s="110" t="str">
        <f>IF(stdProdLT(Main[[#This Row],[Comments]])=0.1,"N/A",IF(stdProdLT(Main[[#This Row],[Comments]])=0,"",stdProdLT(Main[[#This Row],[Comments]])))</f>
        <v/>
      </c>
      <c r="H1331" s="113" t="str">
        <f>IF(AND(Main[[#This Row],[In Stock Date]]&lt;&gt;"",Main[[#This Row],[Revised Due Date]]&lt;&gt;""),Main[[#This Row],[In Stock Date]]-Main[[#This Row],[Revised Due Date]],"")</f>
        <v/>
      </c>
      <c r="I1331" s="110" t="s">
        <v>2920</v>
      </c>
      <c r="J1331" s="110" t="s">
        <v>28</v>
      </c>
      <c r="K1331" s="110" t="s">
        <v>1971</v>
      </c>
      <c r="L1331" s="112">
        <v>40869</v>
      </c>
      <c r="M1331" s="114">
        <f>IF(Main[[#This Row],[Tech Start Date]]&lt;1/1/1990,"",IF(Main[[#This Row],[Class]]="C",WORKDAY(Main[[#This Row],[Tech Start Date]],9),IF(Main[[#This Row],[Class]]="B", WORKDAY(Main[[#This Row],[Tech Start Date]],6),IF(Main[[#This Row],[Class]]="A",WORKDAY(Main[[#This Row],[Tech Start Date]],2),""))))</f>
        <v>40871</v>
      </c>
      <c r="N1331" s="114">
        <f>IF(Main[[#This Row],[Tech Start Date]]&lt;1/1/1990,"",IF(Main[[#This Row],[Class]]="C",WORKDAY(Main[[#This Row],[Tech Start Date]],19),IF(Main[[#This Row],[Class]]="B", WORKDAY(Main[[#This Row],[Tech Start Date]],12),IF(Main[[#This Row],[Class]]="A",WORKDAY(Main[[#This Row],[Tech Start Date]],4),""))))</f>
        <v>40875</v>
      </c>
      <c r="O1331" s="114">
        <f>IF(Main[[#This Row],[Tech Start Date]]&lt;1/1/1990,"",IF(Main[[#This Row],[Class]]="C",WORKDAY(Main[[#This Row],[Tech Start Date]],23),IF(Main[[#This Row],[Class]]="B", WORKDAY(Main[[#This Row],[Tech Start Date]],15),IF(Main[[#This Row],[Class]]="A",WORKDAY(Main[[#This Row],[Tech Start Date]],5),""))))</f>
        <v>40876</v>
      </c>
      <c r="P1331" s="114">
        <f>IF(Main[[#This Row],[Tech Start Date]]&lt;1/1/1990,"",IF(Main[[#This Row],[Class]]="C",WORKDAY(Main[[#This Row],[Tech Start Date]],28),IF(Main[[#This Row],[Class]]="B", WORKDAY(Main[[#This Row],[Tech Start Date]],19),IF(Main[[#This Row],[Class]]="A",WORKDAY(Main[[#This Row],[Tech Start Date]],9),""))))</f>
        <v>40882</v>
      </c>
      <c r="Q1331" s="112">
        <v>40882</v>
      </c>
      <c r="R1331" s="112">
        <v>40882</v>
      </c>
      <c r="S1331" s="110" t="s">
        <v>11</v>
      </c>
      <c r="T1331" s="115" t="s">
        <v>4</v>
      </c>
      <c r="U1331" s="110" t="s">
        <v>14</v>
      </c>
      <c r="V1331" s="110" t="s">
        <v>1963</v>
      </c>
      <c r="W1331" s="110" t="s">
        <v>1964</v>
      </c>
    </row>
    <row r="1332" spans="1:23" ht="18.600000000000001" customHeight="1">
      <c r="A1332" s="124" t="str">
        <f>IF(priority(Main[[#This Row],[Comments]])&lt;&gt;0, priority(Main[[#This Row],[Comments]]),"")</f>
        <v/>
      </c>
      <c r="B1332" s="127" t="s">
        <v>3009</v>
      </c>
      <c r="C1332" s="110" t="s">
        <v>72</v>
      </c>
      <c r="D1332" s="111" t="s">
        <v>3056</v>
      </c>
      <c r="E1332" s="112">
        <v>40856.08053240741</v>
      </c>
      <c r="F1332" s="112"/>
      <c r="G1332" s="110" t="str">
        <f>IF(stdProdLT(Main[[#This Row],[Comments]])=0.1,"N/A",IF(stdProdLT(Main[[#This Row],[Comments]])=0,"",stdProdLT(Main[[#This Row],[Comments]])))</f>
        <v/>
      </c>
      <c r="H1332" s="113" t="str">
        <f>IF(AND(Main[[#This Row],[In Stock Date]]&lt;&gt;"",Main[[#This Row],[Revised Due Date]]&lt;&gt;""),Main[[#This Row],[In Stock Date]]-Main[[#This Row],[Revised Due Date]],"")</f>
        <v/>
      </c>
      <c r="I1332" s="110" t="s">
        <v>2324</v>
      </c>
      <c r="J1332" s="110" t="s">
        <v>28</v>
      </c>
      <c r="K1332" s="110" t="s">
        <v>1971</v>
      </c>
      <c r="L1332" s="112">
        <v>40869</v>
      </c>
      <c r="M1332" s="114">
        <f>IF(Main[[#This Row],[Tech Start Date]]&lt;1/1/1990,"",IF(Main[[#This Row],[Class]]="C",WORKDAY(Main[[#This Row],[Tech Start Date]],9),IF(Main[[#This Row],[Class]]="B", WORKDAY(Main[[#This Row],[Tech Start Date]],6),IF(Main[[#This Row],[Class]]="A",WORKDAY(Main[[#This Row],[Tech Start Date]],2),""))))</f>
        <v>40871</v>
      </c>
      <c r="N1332" s="114">
        <f>IF(Main[[#This Row],[Tech Start Date]]&lt;1/1/1990,"",IF(Main[[#This Row],[Class]]="C",WORKDAY(Main[[#This Row],[Tech Start Date]],19),IF(Main[[#This Row],[Class]]="B", WORKDAY(Main[[#This Row],[Tech Start Date]],12),IF(Main[[#This Row],[Class]]="A",WORKDAY(Main[[#This Row],[Tech Start Date]],4),""))))</f>
        <v>40875</v>
      </c>
      <c r="O1332" s="114">
        <f>IF(Main[[#This Row],[Tech Start Date]]&lt;1/1/1990,"",IF(Main[[#This Row],[Class]]="C",WORKDAY(Main[[#This Row],[Tech Start Date]],23),IF(Main[[#This Row],[Class]]="B", WORKDAY(Main[[#This Row],[Tech Start Date]],15),IF(Main[[#This Row],[Class]]="A",WORKDAY(Main[[#This Row],[Tech Start Date]],5),""))))</f>
        <v>40876</v>
      </c>
      <c r="P1332" s="114">
        <f>IF(Main[[#This Row],[Tech Start Date]]&lt;1/1/1990,"",IF(Main[[#This Row],[Class]]="C",WORKDAY(Main[[#This Row],[Tech Start Date]],28),IF(Main[[#This Row],[Class]]="B", WORKDAY(Main[[#This Row],[Tech Start Date]],19),IF(Main[[#This Row],[Class]]="A",WORKDAY(Main[[#This Row],[Tech Start Date]],9),""))))</f>
        <v>40882</v>
      </c>
      <c r="Q1332" s="112">
        <v>40882</v>
      </c>
      <c r="R1332" s="112">
        <v>40886</v>
      </c>
      <c r="S1332" s="110" t="s">
        <v>11</v>
      </c>
      <c r="T1332" s="115" t="s">
        <v>4</v>
      </c>
      <c r="U1332" s="110" t="s">
        <v>29</v>
      </c>
      <c r="V1332" s="110" t="s">
        <v>1963</v>
      </c>
      <c r="W1332" s="110" t="s">
        <v>1964</v>
      </c>
    </row>
    <row r="1333" spans="1:23" ht="18.600000000000001" customHeight="1">
      <c r="A1333" s="124" t="str">
        <f>IF(priority(Main[[#This Row],[Comments]])&lt;&gt;0, priority(Main[[#This Row],[Comments]]),"")</f>
        <v/>
      </c>
      <c r="B1333" s="127" t="s">
        <v>2764</v>
      </c>
      <c r="C1333" s="110" t="s">
        <v>2765</v>
      </c>
      <c r="D1333" s="111" t="s">
        <v>3086</v>
      </c>
      <c r="E1333" s="112">
        <v>40876.663738425923</v>
      </c>
      <c r="F1333" s="112">
        <v>40933</v>
      </c>
      <c r="G1333" s="110" t="str">
        <f>IF(stdProdLT(Main[[#This Row],[Comments]])=0.1,"N/A",IF(stdProdLT(Main[[#This Row],[Comments]])=0,"",stdProdLT(Main[[#This Row],[Comments]])))</f>
        <v/>
      </c>
      <c r="H1333" s="113">
        <f>IF(AND(Main[[#This Row],[In Stock Date]]&lt;&gt;"",Main[[#This Row],[Revised Due Date]]&lt;&gt;""),Main[[#This Row],[In Stock Date]]-Main[[#This Row],[Revised Due Date]],"")</f>
        <v>34</v>
      </c>
      <c r="I1333" s="110" t="s">
        <v>2280</v>
      </c>
      <c r="J1333" s="110" t="s">
        <v>75</v>
      </c>
      <c r="K1333" s="110" t="s">
        <v>1971</v>
      </c>
      <c r="L1333" s="112">
        <v>40878</v>
      </c>
      <c r="M1333" s="114">
        <f>IF(Main[[#This Row],[Tech Start Date]]&lt;1/1/1990,"",IF(Main[[#This Row],[Class]]="C",WORKDAY(Main[[#This Row],[Tech Start Date]],9),IF(Main[[#This Row],[Class]]="B", WORKDAY(Main[[#This Row],[Tech Start Date]],6),IF(Main[[#This Row],[Class]]="A",WORKDAY(Main[[#This Row],[Tech Start Date]],2),""))))</f>
        <v>40882</v>
      </c>
      <c r="N1333" s="114">
        <f>IF(Main[[#This Row],[Tech Start Date]]&lt;1/1/1990,"",IF(Main[[#This Row],[Class]]="C",WORKDAY(Main[[#This Row],[Tech Start Date]],19),IF(Main[[#This Row],[Class]]="B", WORKDAY(Main[[#This Row],[Tech Start Date]],12),IF(Main[[#This Row],[Class]]="A",WORKDAY(Main[[#This Row],[Tech Start Date]],4),""))))</f>
        <v>40884</v>
      </c>
      <c r="O1333" s="114">
        <f>IF(Main[[#This Row],[Tech Start Date]]&lt;1/1/1990,"",IF(Main[[#This Row],[Class]]="C",WORKDAY(Main[[#This Row],[Tech Start Date]],23),IF(Main[[#This Row],[Class]]="B", WORKDAY(Main[[#This Row],[Tech Start Date]],15),IF(Main[[#This Row],[Class]]="A",WORKDAY(Main[[#This Row],[Tech Start Date]],5),""))))</f>
        <v>40885</v>
      </c>
      <c r="P1333" s="114">
        <f>IF(Main[[#This Row],[Tech Start Date]]&lt;1/1/1990,"",IF(Main[[#This Row],[Class]]="C",WORKDAY(Main[[#This Row],[Tech Start Date]],28),IF(Main[[#This Row],[Class]]="B", WORKDAY(Main[[#This Row],[Tech Start Date]],19),IF(Main[[#This Row],[Class]]="A",WORKDAY(Main[[#This Row],[Tech Start Date]],9),""))))</f>
        <v>40891</v>
      </c>
      <c r="Q1333" s="112">
        <v>41249</v>
      </c>
      <c r="R1333" s="112">
        <v>40899</v>
      </c>
      <c r="S1333" s="110" t="s">
        <v>6</v>
      </c>
      <c r="T1333" s="115" t="s">
        <v>4</v>
      </c>
      <c r="U1333" s="110" t="s">
        <v>29</v>
      </c>
      <c r="V1333" s="110" t="s">
        <v>1972</v>
      </c>
      <c r="W1333" s="110" t="s">
        <v>1970</v>
      </c>
    </row>
    <row r="1334" spans="1:23" ht="18.600000000000001" customHeight="1">
      <c r="A1334" s="124" t="str">
        <f>IF(priority(Main[[#This Row],[Comments]])&lt;&gt;0, priority(Main[[#This Row],[Comments]]),"")</f>
        <v/>
      </c>
      <c r="B1334" s="127" t="s">
        <v>3063</v>
      </c>
      <c r="C1334" s="110" t="s">
        <v>53</v>
      </c>
      <c r="D1334" s="111" t="s">
        <v>3064</v>
      </c>
      <c r="E1334" s="112">
        <v>40878.414189814815</v>
      </c>
      <c r="F1334" s="112"/>
      <c r="G1334" s="110" t="str">
        <f>IF(stdProdLT(Main[[#This Row],[Comments]])=0.1,"N/A",IF(stdProdLT(Main[[#This Row],[Comments]])=0,"",stdProdLT(Main[[#This Row],[Comments]])))</f>
        <v/>
      </c>
      <c r="H1334" s="113" t="str">
        <f>IF(AND(Main[[#This Row],[In Stock Date]]&lt;&gt;"",Main[[#This Row],[Revised Due Date]]&lt;&gt;""),Main[[#This Row],[In Stock Date]]-Main[[#This Row],[Revised Due Date]],"")</f>
        <v/>
      </c>
      <c r="I1334" s="110" t="s">
        <v>959</v>
      </c>
      <c r="J1334" s="110" t="s">
        <v>28</v>
      </c>
      <c r="K1334" s="110" t="s">
        <v>1971</v>
      </c>
      <c r="L1334" s="112">
        <v>40878</v>
      </c>
      <c r="M1334" s="114">
        <f>IF(Main[[#This Row],[Tech Start Date]]&lt;1/1/1990,"",IF(Main[[#This Row],[Class]]="C",WORKDAY(Main[[#This Row],[Tech Start Date]],9),IF(Main[[#This Row],[Class]]="B", WORKDAY(Main[[#This Row],[Tech Start Date]],6),IF(Main[[#This Row],[Class]]="A",WORKDAY(Main[[#This Row],[Tech Start Date]],2),""))))</f>
        <v>40882</v>
      </c>
      <c r="N1334" s="114">
        <f>IF(Main[[#This Row],[Tech Start Date]]&lt;1/1/1990,"",IF(Main[[#This Row],[Class]]="C",WORKDAY(Main[[#This Row],[Tech Start Date]],19),IF(Main[[#This Row],[Class]]="B", WORKDAY(Main[[#This Row],[Tech Start Date]],12),IF(Main[[#This Row],[Class]]="A",WORKDAY(Main[[#This Row],[Tech Start Date]],4),""))))</f>
        <v>40884</v>
      </c>
      <c r="O1334" s="114">
        <f>IF(Main[[#This Row],[Tech Start Date]]&lt;1/1/1990,"",IF(Main[[#This Row],[Class]]="C",WORKDAY(Main[[#This Row],[Tech Start Date]],23),IF(Main[[#This Row],[Class]]="B", WORKDAY(Main[[#This Row],[Tech Start Date]],15),IF(Main[[#This Row],[Class]]="A",WORKDAY(Main[[#This Row],[Tech Start Date]],5),""))))</f>
        <v>40885</v>
      </c>
      <c r="P1334" s="114">
        <f>IF(Main[[#This Row],[Tech Start Date]]&lt;1/1/1990,"",IF(Main[[#This Row],[Class]]="C",WORKDAY(Main[[#This Row],[Tech Start Date]],28),IF(Main[[#This Row],[Class]]="B", WORKDAY(Main[[#This Row],[Tech Start Date]],19),IF(Main[[#This Row],[Class]]="A",WORKDAY(Main[[#This Row],[Tech Start Date]],9),""))))</f>
        <v>40891</v>
      </c>
      <c r="Q1334" s="112">
        <v>40885</v>
      </c>
      <c r="R1334" s="112">
        <v>40885</v>
      </c>
      <c r="S1334" s="110" t="s">
        <v>11</v>
      </c>
      <c r="T1334" s="115" t="s">
        <v>4</v>
      </c>
      <c r="U1334" s="110" t="s">
        <v>29</v>
      </c>
      <c r="V1334" s="110" t="s">
        <v>1963</v>
      </c>
      <c r="W1334" s="110" t="s">
        <v>1964</v>
      </c>
    </row>
    <row r="1335" spans="1:23" ht="18.600000000000001" customHeight="1">
      <c r="A1335" s="124" t="str">
        <f>IF(priority(Main[[#This Row],[Comments]])&lt;&gt;0, priority(Main[[#This Row],[Comments]]),"")</f>
        <v/>
      </c>
      <c r="B1335" s="127" t="s">
        <v>2523</v>
      </c>
      <c r="C1335" s="110" t="s">
        <v>2524</v>
      </c>
      <c r="D1335" s="111" t="s">
        <v>2525</v>
      </c>
      <c r="E1335" s="112">
        <v>40864.56318287037</v>
      </c>
      <c r="F1335" s="112"/>
      <c r="G1335" s="110" t="str">
        <f>IF(stdProdLT(Main[[#This Row],[Comments]])=0.1,"N/A",IF(stdProdLT(Main[[#This Row],[Comments]])=0,"",stdProdLT(Main[[#This Row],[Comments]])))</f>
        <v/>
      </c>
      <c r="H1335" s="113" t="str">
        <f>IF(AND(Main[[#This Row],[In Stock Date]]&lt;&gt;"",Main[[#This Row],[Revised Due Date]]&lt;&gt;""),Main[[#This Row],[In Stock Date]]-Main[[#This Row],[Revised Due Date]],"")</f>
        <v/>
      </c>
      <c r="I1335" s="110" t="s">
        <v>959</v>
      </c>
      <c r="J1335" s="110" t="s">
        <v>28</v>
      </c>
      <c r="K1335" s="110" t="s">
        <v>1969</v>
      </c>
      <c r="L1335" s="112">
        <v>40878</v>
      </c>
      <c r="M1335" s="114">
        <f>IF(Main[[#This Row],[Tech Start Date]]&lt;1/1/1990,"",IF(Main[[#This Row],[Class]]="C",WORKDAY(Main[[#This Row],[Tech Start Date]],9),IF(Main[[#This Row],[Class]]="B", WORKDAY(Main[[#This Row],[Tech Start Date]],6),IF(Main[[#This Row],[Class]]="A",WORKDAY(Main[[#This Row],[Tech Start Date]],2),""))))</f>
        <v>40886</v>
      </c>
      <c r="N1335" s="114">
        <f>IF(Main[[#This Row],[Tech Start Date]]&lt;1/1/1990,"",IF(Main[[#This Row],[Class]]="C",WORKDAY(Main[[#This Row],[Tech Start Date]],19),IF(Main[[#This Row],[Class]]="B", WORKDAY(Main[[#This Row],[Tech Start Date]],12),IF(Main[[#This Row],[Class]]="A",WORKDAY(Main[[#This Row],[Tech Start Date]],4),""))))</f>
        <v>40896</v>
      </c>
      <c r="O1335" s="114">
        <f>IF(Main[[#This Row],[Tech Start Date]]&lt;1/1/1990,"",IF(Main[[#This Row],[Class]]="C",WORKDAY(Main[[#This Row],[Tech Start Date]],23),IF(Main[[#This Row],[Class]]="B", WORKDAY(Main[[#This Row],[Tech Start Date]],15),IF(Main[[#This Row],[Class]]="A",WORKDAY(Main[[#This Row],[Tech Start Date]],5),""))))</f>
        <v>40899</v>
      </c>
      <c r="P1335" s="114">
        <f>IF(Main[[#This Row],[Tech Start Date]]&lt;1/1/1990,"",IF(Main[[#This Row],[Class]]="C",WORKDAY(Main[[#This Row],[Tech Start Date]],28),IF(Main[[#This Row],[Class]]="B", WORKDAY(Main[[#This Row],[Tech Start Date]],19),IF(Main[[#This Row],[Class]]="A",WORKDAY(Main[[#This Row],[Tech Start Date]],9),""))))</f>
        <v>40905</v>
      </c>
      <c r="Q1335" s="112"/>
      <c r="R1335" s="112">
        <v>40891</v>
      </c>
      <c r="S1335" s="110" t="s">
        <v>11</v>
      </c>
      <c r="T1335" s="115" t="s">
        <v>2526</v>
      </c>
      <c r="U1335" s="110" t="s">
        <v>29</v>
      </c>
      <c r="V1335" s="110" t="s">
        <v>1963</v>
      </c>
      <c r="W1335" s="110" t="s">
        <v>1964</v>
      </c>
    </row>
    <row r="1336" spans="1:23" ht="18.600000000000001" customHeight="1">
      <c r="A1336" s="124" t="str">
        <f>IF(priority(Main[[#This Row],[Comments]])&lt;&gt;0, priority(Main[[#This Row],[Comments]]),"")</f>
        <v/>
      </c>
      <c r="B1336" s="127" t="s">
        <v>3046</v>
      </c>
      <c r="C1336" s="110" t="s">
        <v>3047</v>
      </c>
      <c r="D1336" s="111" t="s">
        <v>3072</v>
      </c>
      <c r="E1336" s="112">
        <v>40879.092673611114</v>
      </c>
      <c r="F1336" s="112">
        <v>40983</v>
      </c>
      <c r="G1336" s="110">
        <f>IF(stdProdLT(Main[[#This Row],[Comments]])=0.1,"N/A",IF(stdProdLT(Main[[#This Row],[Comments]])=0,"",stdProdLT(Main[[#This Row],[Comments]])))</f>
        <v>182</v>
      </c>
      <c r="H1336" s="113">
        <f>IF(AND(Main[[#This Row],[In Stock Date]]&lt;&gt;"",Main[[#This Row],[Revised Due Date]]&lt;&gt;""),Main[[#This Row],[In Stock Date]]-Main[[#This Row],[Revised Due Date]],"")</f>
        <v>83</v>
      </c>
      <c r="I1336" s="110" t="s">
        <v>242</v>
      </c>
      <c r="J1336" s="110" t="s">
        <v>28</v>
      </c>
      <c r="K1336" s="110" t="s">
        <v>1971</v>
      </c>
      <c r="L1336" s="112">
        <v>40879</v>
      </c>
      <c r="M1336" s="114">
        <f>IF(Main[[#This Row],[Tech Start Date]]&lt;1/1/1990,"",IF(Main[[#This Row],[Class]]="C",WORKDAY(Main[[#This Row],[Tech Start Date]],9),IF(Main[[#This Row],[Class]]="B", WORKDAY(Main[[#This Row],[Tech Start Date]],6),IF(Main[[#This Row],[Class]]="A",WORKDAY(Main[[#This Row],[Tech Start Date]],2),""))))</f>
        <v>40883</v>
      </c>
      <c r="N1336" s="114">
        <f>IF(Main[[#This Row],[Tech Start Date]]&lt;1/1/1990,"",IF(Main[[#This Row],[Class]]="C",WORKDAY(Main[[#This Row],[Tech Start Date]],19),IF(Main[[#This Row],[Class]]="B", WORKDAY(Main[[#This Row],[Tech Start Date]],12),IF(Main[[#This Row],[Class]]="A",WORKDAY(Main[[#This Row],[Tech Start Date]],4),""))))</f>
        <v>40885</v>
      </c>
      <c r="O1336" s="114">
        <f>IF(Main[[#This Row],[Tech Start Date]]&lt;1/1/1990,"",IF(Main[[#This Row],[Class]]="C",WORKDAY(Main[[#This Row],[Tech Start Date]],23),IF(Main[[#This Row],[Class]]="B", WORKDAY(Main[[#This Row],[Tech Start Date]],15),IF(Main[[#This Row],[Class]]="A",WORKDAY(Main[[#This Row],[Tech Start Date]],5),""))))</f>
        <v>40886</v>
      </c>
      <c r="P1336" s="114">
        <f>IF(Main[[#This Row],[Tech Start Date]]&lt;1/1/1990,"",IF(Main[[#This Row],[Class]]="C",WORKDAY(Main[[#This Row],[Tech Start Date]],28),IF(Main[[#This Row],[Class]]="B", WORKDAY(Main[[#This Row],[Tech Start Date]],19),IF(Main[[#This Row],[Class]]="A",WORKDAY(Main[[#This Row],[Tech Start Date]],9),""))))</f>
        <v>40892</v>
      </c>
      <c r="Q1336" s="112">
        <v>40909</v>
      </c>
      <c r="R1336" s="112">
        <v>40900</v>
      </c>
      <c r="S1336" s="110" t="s">
        <v>11</v>
      </c>
      <c r="T1336" s="115" t="s">
        <v>3048</v>
      </c>
      <c r="U1336" s="110" t="s">
        <v>29</v>
      </c>
      <c r="V1336" s="110" t="s">
        <v>1972</v>
      </c>
      <c r="W1336" s="110" t="s">
        <v>1968</v>
      </c>
    </row>
    <row r="1337" spans="1:23" ht="18.600000000000001" customHeight="1">
      <c r="A1337" s="125" t="str">
        <f>IF(priority(Main[[#This Row],[Comments]])&lt;&gt;0, priority(Main[[#This Row],[Comments]]),"")</f>
        <v/>
      </c>
      <c r="B1337" s="128" t="s">
        <v>2530</v>
      </c>
      <c r="C1337" s="116" t="s">
        <v>2531</v>
      </c>
      <c r="D1337" s="117" t="s">
        <v>2532</v>
      </c>
      <c r="E1337" s="118">
        <v>40849.653923611113</v>
      </c>
      <c r="F1337" s="118">
        <v>41061</v>
      </c>
      <c r="G1337" s="116">
        <f>IF(stdProdLT(Main[[#This Row],[Comments]])=0.1,"N/A",IF(stdProdLT(Main[[#This Row],[Comments]])=0,"",stdProdLT(Main[[#This Row],[Comments]])))</f>
        <v>112</v>
      </c>
      <c r="H1337" s="119">
        <f>IF(AND(Main[[#This Row],[In Stock Date]]&lt;&gt;"",Main[[#This Row],[Revised Due Date]]&lt;&gt;""),Main[[#This Row],[In Stock Date]]-Main[[#This Row],[Revised Due Date]],"")</f>
        <v>151</v>
      </c>
      <c r="I1337" s="116" t="s">
        <v>568</v>
      </c>
      <c r="J1337" s="116" t="s">
        <v>28</v>
      </c>
      <c r="K1337" s="116" t="s">
        <v>1969</v>
      </c>
      <c r="L1337" s="118">
        <v>40879</v>
      </c>
      <c r="M1337" s="120">
        <f>IF(Main[[#This Row],[Tech Start Date]]&lt;1/1/1990,"",IF(Main[[#This Row],[Class]]="C",WORKDAY(Main[[#This Row],[Tech Start Date]],9),IF(Main[[#This Row],[Class]]="B", WORKDAY(Main[[#This Row],[Tech Start Date]],6),IF(Main[[#This Row],[Class]]="A",WORKDAY(Main[[#This Row],[Tech Start Date]],2),""))))</f>
        <v>40889</v>
      </c>
      <c r="N1337" s="120">
        <f>IF(Main[[#This Row],[Tech Start Date]]&lt;1/1/1990,"",IF(Main[[#This Row],[Class]]="C",WORKDAY(Main[[#This Row],[Tech Start Date]],19),IF(Main[[#This Row],[Class]]="B", WORKDAY(Main[[#This Row],[Tech Start Date]],12),IF(Main[[#This Row],[Class]]="A",WORKDAY(Main[[#This Row],[Tech Start Date]],4),""))))</f>
        <v>40897</v>
      </c>
      <c r="O1337" s="120">
        <f>IF(Main[[#This Row],[Tech Start Date]]&lt;1/1/1990,"",IF(Main[[#This Row],[Class]]="C",WORKDAY(Main[[#This Row],[Tech Start Date]],23),IF(Main[[#This Row],[Class]]="B", WORKDAY(Main[[#This Row],[Tech Start Date]],15),IF(Main[[#This Row],[Class]]="A",WORKDAY(Main[[#This Row],[Tech Start Date]],5),""))))</f>
        <v>40900</v>
      </c>
      <c r="P1337" s="120">
        <f>IF(Main[[#This Row],[Tech Start Date]]&lt;1/1/1990,"",IF(Main[[#This Row],[Class]]="C",WORKDAY(Main[[#This Row],[Tech Start Date]],28),IF(Main[[#This Row],[Class]]="B", WORKDAY(Main[[#This Row],[Tech Start Date]],19),IF(Main[[#This Row],[Class]]="A",WORKDAY(Main[[#This Row],[Tech Start Date]],9),""))))</f>
        <v>40906</v>
      </c>
      <c r="Q1337" s="118"/>
      <c r="R1337" s="118">
        <v>40910</v>
      </c>
      <c r="S1337" s="116" t="s">
        <v>11</v>
      </c>
      <c r="T1337" s="121" t="s">
        <v>2533</v>
      </c>
      <c r="U1337" s="116" t="s">
        <v>29</v>
      </c>
      <c r="V1337" s="116" t="s">
        <v>1962</v>
      </c>
      <c r="W1337" s="116" t="s">
        <v>1970</v>
      </c>
    </row>
    <row r="1338" spans="1:23" ht="18.600000000000001" customHeight="1">
      <c r="A1338" s="129" t="str">
        <f>IF(priority(Main[[#This Row],[Comments]])&lt;&gt;0, priority(Main[[#This Row],[Comments]]),"")</f>
        <v/>
      </c>
      <c r="B1338" s="130" t="s">
        <v>3167</v>
      </c>
      <c r="C1338" s="131" t="s">
        <v>3168</v>
      </c>
      <c r="D1338" s="132" t="s">
        <v>3169</v>
      </c>
      <c r="E1338" s="133">
        <v>40882.540486111109</v>
      </c>
      <c r="F1338" s="133">
        <v>40892</v>
      </c>
      <c r="G1338" s="131" t="str">
        <f>IF(stdProdLT(Main[[#This Row],[Comments]])=0.1,"N/A",IF(stdProdLT(Main[[#This Row],[Comments]])=0,"",stdProdLT(Main[[#This Row],[Comments]])))</f>
        <v/>
      </c>
      <c r="H1338" s="134">
        <f>IF(AND(Main[[#This Row],[In Stock Date]]&lt;&gt;"",Main[[#This Row],[Revised Due Date]]&lt;&gt;""),Main[[#This Row],[In Stock Date]]-Main[[#This Row],[Revised Due Date]],"")</f>
        <v>0</v>
      </c>
      <c r="I1338" s="131" t="s">
        <v>958</v>
      </c>
      <c r="J1338" s="131" t="s">
        <v>28</v>
      </c>
      <c r="K1338" s="131" t="s">
        <v>1971</v>
      </c>
      <c r="L1338" s="133">
        <v>40882</v>
      </c>
      <c r="M1338" s="135">
        <f>IF(Main[[#This Row],[Tech Start Date]]&lt;1/1/1990,"",IF(Main[[#This Row],[Class]]="C",WORKDAY(Main[[#This Row],[Tech Start Date]],9),IF(Main[[#This Row],[Class]]="B", WORKDAY(Main[[#This Row],[Tech Start Date]],6),IF(Main[[#This Row],[Class]]="A",WORKDAY(Main[[#This Row],[Tech Start Date]],2),""))))</f>
        <v>40884</v>
      </c>
      <c r="N1338" s="135">
        <f>IF(Main[[#This Row],[Tech Start Date]]&lt;1/1/1990,"",IF(Main[[#This Row],[Class]]="C",WORKDAY(Main[[#This Row],[Tech Start Date]],19),IF(Main[[#This Row],[Class]]="B", WORKDAY(Main[[#This Row],[Tech Start Date]],12),IF(Main[[#This Row],[Class]]="A",WORKDAY(Main[[#This Row],[Tech Start Date]],4),""))))</f>
        <v>40886</v>
      </c>
      <c r="O1338" s="135">
        <f>IF(Main[[#This Row],[Tech Start Date]]&lt;1/1/1990,"",IF(Main[[#This Row],[Class]]="C",WORKDAY(Main[[#This Row],[Tech Start Date]],23),IF(Main[[#This Row],[Class]]="B", WORKDAY(Main[[#This Row],[Tech Start Date]],15),IF(Main[[#This Row],[Class]]="A",WORKDAY(Main[[#This Row],[Tech Start Date]],5),""))))</f>
        <v>40889</v>
      </c>
      <c r="P1338" s="135">
        <f>IF(Main[[#This Row],[Tech Start Date]]&lt;1/1/1990,"",IF(Main[[#This Row],[Class]]="C",WORKDAY(Main[[#This Row],[Tech Start Date]],28),IF(Main[[#This Row],[Class]]="B", WORKDAY(Main[[#This Row],[Tech Start Date]],19),IF(Main[[#This Row],[Class]]="A",WORKDAY(Main[[#This Row],[Tech Start Date]],9),""))))</f>
        <v>40893</v>
      </c>
      <c r="Q1338" s="133"/>
      <c r="R1338" s="133">
        <v>40892</v>
      </c>
      <c r="S1338" s="131" t="s">
        <v>6</v>
      </c>
      <c r="T1338" s="136" t="s">
        <v>4</v>
      </c>
      <c r="U1338" s="131" t="s">
        <v>29</v>
      </c>
      <c r="V1338" s="131" t="s">
        <v>1963</v>
      </c>
      <c r="W1338" s="131" t="s">
        <v>1970</v>
      </c>
    </row>
  </sheetData>
  <sheetProtection formatCells="0" formatColumns="0" formatRows="0" insertColumns="0" insertRows="0" insertHyperlinks="0" deleteColumns="0" deleteRows="0" selectLockedCells="1" sort="0" autoFilter="0" pivotTables="0"/>
  <dataConsolidate/>
  <mergeCells count="4">
    <mergeCell ref="X5:AE5"/>
    <mergeCell ref="A1:B1"/>
    <mergeCell ref="C2:C4"/>
    <mergeCell ref="A2:B4"/>
  </mergeCells>
  <conditionalFormatting sqref="B6:B1338">
    <cfRule type="expression" dxfId="67" priority="16">
      <formula>atat($T6)=TRUE</formula>
    </cfRule>
  </conditionalFormatting>
  <conditionalFormatting sqref="M6:P1338">
    <cfRule type="colorScale" priority="10">
      <colorScale>
        <cfvo type="num" val="TODAY()"/>
        <cfvo type="num" val="TODAY()+2"/>
        <cfvo type="num" val="TODAY()+4"/>
        <color rgb="FFD36767"/>
        <color rgb="FFFFFFD1"/>
        <color rgb="FFC0E391"/>
      </colorScale>
    </cfRule>
  </conditionalFormatting>
  <conditionalFormatting sqref="R6:R1338">
    <cfRule type="expression" dxfId="66" priority="5">
      <formula>AND($R6&lt;=TODAY(), TRIM($R6)&lt;&gt; "")</formula>
    </cfRule>
  </conditionalFormatting>
  <conditionalFormatting sqref="H6:H1338">
    <cfRule type="expression" priority="1" stopIfTrue="1">
      <formula>OR($G6="",$G6="N/A",$H6="")</formula>
    </cfRule>
    <cfRule type="cellIs" dxfId="65" priority="2" stopIfTrue="1" operator="greaterThan">
      <formula>$G6</formula>
    </cfRule>
    <cfRule type="cellIs" dxfId="64" priority="3" operator="between">
      <formula>$G6-7</formula>
      <formula>$G6</formula>
    </cfRule>
    <cfRule type="cellIs" dxfId="63" priority="4" operator="lessThan">
      <formula>$G6</formula>
    </cfRule>
  </conditionalFormatting>
  <conditionalFormatting sqref="C6:R1048576">
    <cfRule type="expression" dxfId="62" priority="607">
      <formula>OR($J6="Document Control", $J6="Quality")</formula>
    </cfRule>
  </conditionalFormatting>
  <conditionalFormatting sqref="C6:U1048576">
    <cfRule type="expression" dxfId="61" priority="620">
      <formula>OR($U6="Design Hold", $U6="Define Requirements")</formula>
    </cfRule>
  </conditionalFormatting>
  <conditionalFormatting sqref="Q6:Q1338">
    <cfRule type="iconSet" priority="1226">
      <iconSet>
        <cfvo type="percent" val="0"/>
        <cfvo type="num" val="TODAY()" gte="0"/>
        <cfvo type="num" val="TODAY()+4" gte="0"/>
      </iconSet>
    </cfRule>
  </conditionalFormatting>
  <printOptions horizontalCentered="1"/>
  <pageMargins left="0.05" right="0.05" top="0.5" bottom="0.2" header="0.15" footer="0.1"/>
  <pageSetup paperSize="119" scale="65" orientation="landscape" r:id="rId1"/>
  <headerFooter alignWithMargins="0">
    <oddHeader>&amp;L&amp;G
&amp;C&amp;G&amp;R&amp;D Flow Control Sustaining Priorities</oddHeader>
    <oddFooter>&amp;R&amp;P of &amp;N</oddFooter>
  </headerFooter>
  <drawing r:id="rId2"/>
  <legacyDrawing r:id="rId3"/>
  <legacyDrawingHF r:id="rId4"/>
  <controls>
    <mc:AlternateContent xmlns:mc="http://schemas.openxmlformats.org/markup-compatibility/2006">
      <mc:Choice Requires="x14">
        <control shapeId="1055" r:id="rId5" name="sheetView">
          <controlPr defaultSize="0" print="0" autoLine="0" r:id="rId6">
            <anchor>
              <from>
                <xdr:col>3</xdr:col>
                <xdr:colOff>133350</xdr:colOff>
                <xdr:row>0</xdr:row>
                <xdr:rowOff>57150</xdr:rowOff>
              </from>
              <to>
                <xdr:col>3</xdr:col>
                <xdr:colOff>2819400</xdr:colOff>
                <xdr:row>1</xdr:row>
                <xdr:rowOff>142875</xdr:rowOff>
              </to>
            </anchor>
          </controlPr>
        </control>
      </mc:Choice>
      <mc:Fallback>
        <control shapeId="1055" r:id="rId5" name="sheetView"/>
      </mc:Fallback>
    </mc:AlternateContent>
    <mc:AlternateContent xmlns:mc="http://schemas.openxmlformats.org/markup-compatibility/2006">
      <mc:Choice Requires="x14">
        <control shapeId="1048" r:id="rId7" name="soft">
          <controlPr defaultSize="0" print="0" autoFill="0" autoLine="0" r:id="rId8">
            <anchor moveWithCells="1">
              <from>
                <xdr:col>3</xdr:col>
                <xdr:colOff>247650</xdr:colOff>
                <xdr:row>2</xdr:row>
                <xdr:rowOff>561975</xdr:rowOff>
              </from>
              <to>
                <xdr:col>3</xdr:col>
                <xdr:colOff>2438400</xdr:colOff>
                <xdr:row>3</xdr:row>
                <xdr:rowOff>9525</xdr:rowOff>
              </to>
            </anchor>
          </controlPr>
        </control>
      </mc:Choice>
      <mc:Fallback>
        <control shapeId="1048" r:id="rId7" name="soft"/>
      </mc:Fallback>
    </mc:AlternateContent>
    <mc:AlternateContent xmlns:mc="http://schemas.openxmlformats.org/markup-compatibility/2006">
      <mc:Choice Requires="x14">
        <control shapeId="1047" r:id="rId9" name="di">
          <controlPr defaultSize="0" print="0" autoFill="0" autoLine="0" r:id="rId10">
            <anchor moveWithCells="1">
              <from>
                <xdr:col>3</xdr:col>
                <xdr:colOff>247650</xdr:colOff>
                <xdr:row>2</xdr:row>
                <xdr:rowOff>171450</xdr:rowOff>
              </from>
              <to>
                <xdr:col>3</xdr:col>
                <xdr:colOff>2438400</xdr:colOff>
                <xdr:row>2</xdr:row>
                <xdr:rowOff>495300</xdr:rowOff>
              </to>
            </anchor>
          </controlPr>
        </control>
      </mc:Choice>
      <mc:Fallback>
        <control shapeId="1047" r:id="rId9" name="di"/>
      </mc:Fallback>
    </mc:AlternateContent>
    <mc:AlternateContent xmlns:mc="http://schemas.openxmlformats.org/markup-compatibility/2006">
      <mc:Choice Requires="x14">
        <control shapeId="1046" r:id="rId11" name="fc">
          <controlPr defaultSize="0" print="0" autoFill="0" autoLine="0" r:id="rId12">
            <anchor moveWithCells="1">
              <from>
                <xdr:col>3</xdr:col>
                <xdr:colOff>247650</xdr:colOff>
                <xdr:row>1</xdr:row>
                <xdr:rowOff>609600</xdr:rowOff>
              </from>
              <to>
                <xdr:col>3</xdr:col>
                <xdr:colOff>2438400</xdr:colOff>
                <xdr:row>2</xdr:row>
                <xdr:rowOff>114300</xdr:rowOff>
              </to>
            </anchor>
          </controlPr>
        </control>
      </mc:Choice>
      <mc:Fallback>
        <control shapeId="1046" r:id="rId11" name="fc"/>
      </mc:Fallback>
    </mc:AlternateContent>
    <mc:AlternateContent xmlns:mc="http://schemas.openxmlformats.org/markup-compatibility/2006">
      <mc:Choice Requires="x14">
        <control shapeId="1045" r:id="rId13" name="PM">
          <controlPr defaultSize="0" print="0" autoFill="0" autoLine="0" r:id="rId14">
            <anchor moveWithCells="1">
              <from>
                <xdr:col>3</xdr:col>
                <xdr:colOff>247650</xdr:colOff>
                <xdr:row>1</xdr:row>
                <xdr:rowOff>228600</xdr:rowOff>
              </from>
              <to>
                <xdr:col>3</xdr:col>
                <xdr:colOff>2438400</xdr:colOff>
                <xdr:row>1</xdr:row>
                <xdr:rowOff>552450</xdr:rowOff>
              </to>
            </anchor>
          </controlPr>
        </control>
      </mc:Choice>
      <mc:Fallback>
        <control shapeId="1045" r:id="rId13" name="PM"/>
      </mc:Fallback>
    </mc:AlternateContent>
    <mc:AlternateContent xmlns:mc="http://schemas.openxmlformats.org/markup-compatibility/2006">
      <mc:Choice Requires="x14">
        <control shapeId="9961" r:id="rId15" name="rtasearch">
          <controlPr defaultSize="0" autoLine="0" listFillRange="B6:B2151" r:id="rId16">
            <anchor moveWithCells="1">
              <from>
                <xdr:col>2</xdr:col>
                <xdr:colOff>133350</xdr:colOff>
                <xdr:row>2</xdr:row>
                <xdr:rowOff>714375</xdr:rowOff>
              </from>
              <to>
                <xdr:col>2</xdr:col>
                <xdr:colOff>971550</xdr:colOff>
                <xdr:row>3</xdr:row>
                <xdr:rowOff>104775</xdr:rowOff>
              </to>
            </anchor>
          </controlPr>
        </control>
      </mc:Choice>
      <mc:Fallback>
        <control shapeId="9961" r:id="rId15" name="rtasearch"/>
      </mc:Fallback>
    </mc:AlternateContent>
    <mc:AlternateContent xmlns:mc="http://schemas.openxmlformats.org/markup-compatibility/2006">
      <mc:Choice Requires="x14">
        <control shapeId="9967" r:id="rId17" name="searchButton">
          <controlPr defaultSize="0" print="0" autoLine="0" r:id="rId18">
            <anchor moveWithCells="1">
              <from>
                <xdr:col>2</xdr:col>
                <xdr:colOff>971550</xdr:colOff>
                <xdr:row>2</xdr:row>
                <xdr:rowOff>647700</xdr:rowOff>
              </from>
              <to>
                <xdr:col>2</xdr:col>
                <xdr:colOff>1352550</xdr:colOff>
                <xdr:row>3</xdr:row>
                <xdr:rowOff>123825</xdr:rowOff>
              </to>
            </anchor>
          </controlPr>
        </control>
      </mc:Choice>
      <mc:Fallback>
        <control shapeId="9967" r:id="rId17" name="searchButton"/>
      </mc:Fallback>
    </mc:AlternateContent>
    <mc:AlternateContent xmlns:mc="http://schemas.openxmlformats.org/markup-compatibility/2006">
      <mc:Choice Requires="x14">
        <control shapeId="9968" r:id="rId19" name="tools">
          <controlPr defaultSize="0" autoLine="0" r:id="rId20">
            <anchor moveWithCells="1" sizeWithCells="1">
              <from>
                <xdr:col>2</xdr:col>
                <xdr:colOff>57150</xdr:colOff>
                <xdr:row>1</xdr:row>
                <xdr:rowOff>361950</xdr:rowOff>
              </from>
              <to>
                <xdr:col>2</xdr:col>
                <xdr:colOff>1314450</xdr:colOff>
                <xdr:row>1</xdr:row>
                <xdr:rowOff>666750</xdr:rowOff>
              </to>
            </anchor>
          </controlPr>
        </control>
      </mc:Choice>
      <mc:Fallback>
        <control shapeId="9968" r:id="rId19" name="tools"/>
      </mc:Fallback>
    </mc:AlternateContent>
    <mc:AlternateContent xmlns:mc="http://schemas.openxmlformats.org/markup-compatibility/2006">
      <mc:Choice Requires="x14">
        <control shapeId="9969" r:id="rId21" name="printReport">
          <controlPr defaultSize="0" autoLine="0" r:id="rId22">
            <anchor moveWithCells="1" sizeWithCells="1">
              <from>
                <xdr:col>2</xdr:col>
                <xdr:colOff>57150</xdr:colOff>
                <xdr:row>1</xdr:row>
                <xdr:rowOff>733425</xdr:rowOff>
              </from>
              <to>
                <xdr:col>2</xdr:col>
                <xdr:colOff>1314450</xdr:colOff>
                <xdr:row>2</xdr:row>
                <xdr:rowOff>219075</xdr:rowOff>
              </to>
            </anchor>
          </controlPr>
        </control>
      </mc:Choice>
      <mc:Fallback>
        <control shapeId="9969" r:id="rId21" name="printReport"/>
      </mc:Fallback>
    </mc:AlternateContent>
    <mc:AlternateContent xmlns:mc="http://schemas.openxmlformats.org/markup-compatibility/2006">
      <mc:Choice Requires="x14">
        <control shapeId="9970" r:id="rId23" name="prioritizer">
          <controlPr defaultSize="0" autoLine="0" r:id="rId24">
            <anchor moveWithCells="1" sizeWithCells="1">
              <from>
                <xdr:col>2</xdr:col>
                <xdr:colOff>47625</xdr:colOff>
                <xdr:row>2</xdr:row>
                <xdr:rowOff>276225</xdr:rowOff>
              </from>
              <to>
                <xdr:col>2</xdr:col>
                <xdr:colOff>1285875</xdr:colOff>
                <xdr:row>2</xdr:row>
                <xdr:rowOff>590550</xdr:rowOff>
              </to>
            </anchor>
          </controlPr>
        </control>
      </mc:Choice>
      <mc:Fallback>
        <control shapeId="9970" r:id="rId23" name="prioritizer"/>
      </mc:Fallback>
    </mc:AlternateContent>
    <mc:AlternateContent xmlns:mc="http://schemas.openxmlformats.org/markup-compatibility/2006">
      <mc:Choice Requires="x14">
        <control shapeId="9971" r:id="rId25" name="gotoDept">
          <controlPr defaultSize="0" autoLine="0" r:id="rId26">
            <anchor moveWithCells="1">
              <from>
                <xdr:col>0</xdr:col>
                <xdr:colOff>161925</xdr:colOff>
                <xdr:row>1</xdr:row>
                <xdr:rowOff>514350</xdr:rowOff>
              </from>
              <to>
                <xdr:col>1</xdr:col>
                <xdr:colOff>581025</xdr:colOff>
                <xdr:row>2</xdr:row>
                <xdr:rowOff>200025</xdr:rowOff>
              </to>
            </anchor>
          </controlPr>
        </control>
      </mc:Choice>
      <mc:Fallback>
        <control shapeId="9971" r:id="rId25" name="gotoDept"/>
      </mc:Fallback>
    </mc:AlternateContent>
    <mc:AlternateContent xmlns:mc="http://schemas.openxmlformats.org/markup-compatibility/2006">
      <mc:Choice Requires="x14">
        <control shapeId="9972" r:id="rId27" name="ClearSort">
          <controlPr defaultSize="0" autoLine="0" r:id="rId28">
            <anchor moveWithCells="1">
              <from>
                <xdr:col>0</xdr:col>
                <xdr:colOff>209550</xdr:colOff>
                <xdr:row>1</xdr:row>
                <xdr:rowOff>95250</xdr:rowOff>
              </from>
              <to>
                <xdr:col>1</xdr:col>
                <xdr:colOff>495300</xdr:colOff>
                <xdr:row>1</xdr:row>
                <xdr:rowOff>438150</xdr:rowOff>
              </to>
            </anchor>
          </controlPr>
        </control>
      </mc:Choice>
      <mc:Fallback>
        <control shapeId="9972" r:id="rId27" name="ClearSort"/>
      </mc:Fallback>
    </mc:AlternateContent>
    <mc:AlternateContent xmlns:mc="http://schemas.openxmlformats.org/markup-compatibility/2006">
      <mc:Choice Requires="x14">
        <control shapeId="9973" r:id="rId29" name="refreshMain">
          <controlPr defaultSize="0" autoLine="0" r:id="rId30">
            <anchor moveWithCells="1">
              <from>
                <xdr:col>0</xdr:col>
                <xdr:colOff>114300</xdr:colOff>
                <xdr:row>2</xdr:row>
                <xdr:rowOff>266700</xdr:rowOff>
              </from>
              <to>
                <xdr:col>1</xdr:col>
                <xdr:colOff>590550</xdr:colOff>
                <xdr:row>2</xdr:row>
                <xdr:rowOff>619125</xdr:rowOff>
              </to>
            </anchor>
          </controlPr>
        </control>
      </mc:Choice>
      <mc:Fallback>
        <control shapeId="9973" r:id="rId29" name="refreshMain"/>
      </mc:Fallback>
    </mc:AlternateContent>
    <mc:AlternateContent xmlns:mc="http://schemas.openxmlformats.org/markup-compatibility/2006">
      <mc:Choice Requires="x14">
        <control shapeId="9974" r:id="rId31" name="posReturn">
          <controlPr defaultSize="0" autoLine="0" r:id="rId32">
            <anchor moveWithCells="1">
              <from>
                <xdr:col>0</xdr:col>
                <xdr:colOff>104775</xdr:colOff>
                <xdr:row>2</xdr:row>
                <xdr:rowOff>657225</xdr:rowOff>
              </from>
              <to>
                <xdr:col>1</xdr:col>
                <xdr:colOff>647700</xdr:colOff>
                <xdr:row>3</xdr:row>
                <xdr:rowOff>161925</xdr:rowOff>
              </to>
            </anchor>
          </controlPr>
        </control>
      </mc:Choice>
      <mc:Fallback>
        <control shapeId="9974" r:id="rId31" name="posReturn"/>
      </mc:Fallback>
    </mc:AlternateContent>
    <mc:AlternateContent xmlns:mc="http://schemas.openxmlformats.org/markup-compatibility/2006">
      <mc:Choice Requires="x14">
        <control shapeId="9975" r:id="rId33" name="fullScreenMode">
          <controlPr defaultSize="0" print="0" autoLine="0" r:id="rId34">
            <anchor moveWithCells="1">
              <from>
                <xdr:col>2</xdr:col>
                <xdr:colOff>152400</xdr:colOff>
                <xdr:row>1</xdr:row>
                <xdr:rowOff>76200</xdr:rowOff>
              </from>
              <to>
                <xdr:col>2</xdr:col>
                <xdr:colOff>1352550</xdr:colOff>
                <xdr:row>1</xdr:row>
                <xdr:rowOff>333375</xdr:rowOff>
              </to>
            </anchor>
          </controlPr>
        </control>
      </mc:Choice>
      <mc:Fallback>
        <control shapeId="9975" r:id="rId33" name="fullScreenMode"/>
      </mc:Fallback>
    </mc:AlternateContent>
    <mc:AlternateContent xmlns:mc="http://schemas.openxmlformats.org/markup-compatibility/2006">
      <mc:Choice Requires="x14">
        <control shapeId="9976" r:id="rId35" name="pmSht">
          <controlPr defaultSize="0" autoLine="0" r:id="rId36">
            <anchor moveWithCells="1">
              <from>
                <xdr:col>3</xdr:col>
                <xdr:colOff>2486025</xdr:colOff>
                <xdr:row>1</xdr:row>
                <xdr:rowOff>228600</xdr:rowOff>
              </from>
              <to>
                <xdr:col>3</xdr:col>
                <xdr:colOff>2800350</xdr:colOff>
                <xdr:row>1</xdr:row>
                <xdr:rowOff>552450</xdr:rowOff>
              </to>
            </anchor>
          </controlPr>
        </control>
      </mc:Choice>
      <mc:Fallback>
        <control shapeId="9976" r:id="rId35" name="pmSht"/>
      </mc:Fallback>
    </mc:AlternateContent>
    <mc:AlternateContent xmlns:mc="http://schemas.openxmlformats.org/markup-compatibility/2006">
      <mc:Choice Requires="x14">
        <control shapeId="9978" r:id="rId37" name="fcSht">
          <controlPr defaultSize="0" autoLine="0" r:id="rId36">
            <anchor moveWithCells="1">
              <from>
                <xdr:col>3</xdr:col>
                <xdr:colOff>2486025</xdr:colOff>
                <xdr:row>1</xdr:row>
                <xdr:rowOff>609600</xdr:rowOff>
              </from>
              <to>
                <xdr:col>3</xdr:col>
                <xdr:colOff>2800350</xdr:colOff>
                <xdr:row>2</xdr:row>
                <xdr:rowOff>114300</xdr:rowOff>
              </to>
            </anchor>
          </controlPr>
        </control>
      </mc:Choice>
      <mc:Fallback>
        <control shapeId="9978" r:id="rId37" name="fcSht"/>
      </mc:Fallback>
    </mc:AlternateContent>
    <mc:AlternateContent xmlns:mc="http://schemas.openxmlformats.org/markup-compatibility/2006">
      <mc:Choice Requires="x14">
        <control shapeId="9979" r:id="rId38" name="diSht">
          <controlPr defaultSize="0" autoLine="0" r:id="rId36">
            <anchor moveWithCells="1">
              <from>
                <xdr:col>3</xdr:col>
                <xdr:colOff>2486025</xdr:colOff>
                <xdr:row>2</xdr:row>
                <xdr:rowOff>171450</xdr:rowOff>
              </from>
              <to>
                <xdr:col>3</xdr:col>
                <xdr:colOff>2800350</xdr:colOff>
                <xdr:row>2</xdr:row>
                <xdr:rowOff>495300</xdr:rowOff>
              </to>
            </anchor>
          </controlPr>
        </control>
      </mc:Choice>
      <mc:Fallback>
        <control shapeId="9979" r:id="rId38" name="diSht"/>
      </mc:Fallback>
    </mc:AlternateContent>
    <mc:AlternateContent xmlns:mc="http://schemas.openxmlformats.org/markup-compatibility/2006">
      <mc:Choice Requires="x14">
        <control shapeId="9980" r:id="rId39" name="softSht">
          <controlPr defaultSize="0" autoLine="0" r:id="rId36">
            <anchor moveWithCells="1">
              <from>
                <xdr:col>3</xdr:col>
                <xdr:colOff>2486025</xdr:colOff>
                <xdr:row>2</xdr:row>
                <xdr:rowOff>561975</xdr:rowOff>
              </from>
              <to>
                <xdr:col>3</xdr:col>
                <xdr:colOff>2800350</xdr:colOff>
                <xdr:row>3</xdr:row>
                <xdr:rowOff>9525</xdr:rowOff>
              </to>
            </anchor>
          </controlPr>
        </control>
      </mc:Choice>
      <mc:Fallback>
        <control shapeId="9980" r:id="rId39" name="softSht"/>
      </mc:Fallback>
    </mc:AlternateContent>
  </controls>
  <tableParts count="1">
    <tablePart r:id="rId40"/>
  </tableParts>
  <extLst>
    <ext xmlns:x14="http://schemas.microsoft.com/office/spreadsheetml/2009/9/main" uri="{78C0D931-6437-407d-A8EE-F0AAD7539E65}">
      <x14:conditionalFormattings>
        <x14:conditionalFormatting xmlns:xm="http://schemas.microsoft.com/office/excel/2006/main">
          <x14:cfRule type="colorScale" priority="6" id="{CAB80E75-2909-44E5-A760-AD4C4C5BDB81}">
            <x14:colorScale>
              <x14:cfvo type="num">
                <xm:f>Settings!#REF!</xm:f>
              </x14:cfvo>
              <x14:cfvo type="percentile">
                <xm:f>65</xm:f>
              </x14:cfvo>
              <x14:cfvo type="num">
                <xm:f>Settings!#REF!</xm:f>
              </x14:cfvo>
              <x14:color rgb="FFD87674"/>
              <x14:color rgb="FFFFFFC5"/>
              <x14:color rgb="FFC0E391"/>
            </x14:colorScale>
          </x14:cfRule>
          <xm:sqref>H6:H1338</xm:sqref>
        </x14:conditionalFormatting>
        <x14:conditionalFormatting xmlns:xm="http://schemas.microsoft.com/office/excel/2006/main">
          <x14:cfRule type="colorScale" priority="1230" id="{4B0BC6B7-F52E-48C0-A0DE-8DA28A8CD3F2}">
            <x14:colorScale>
              <x14:cfvo type="formula">
                <xm:f>Settings!#REF!</xm:f>
              </x14:cfvo>
              <x14:cfvo type="percent">
                <xm:f>65</xm:f>
              </x14:cfvo>
              <x14:cfvo type="formula">
                <xm:f>Settings!#REF!</xm:f>
              </x14:cfvo>
              <x14:color rgb="FFD7796F"/>
              <x14:color rgb="FFFFEB84"/>
              <x14:color rgb="FFC0E391"/>
            </x14:colorScale>
          </x14:cfRule>
          <xm:sqref>G6:G1338</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Y92"/>
  <sheetViews>
    <sheetView topLeftCell="E1" zoomScale="70" zoomScaleNormal="70" workbookViewId="0">
      <selection activeCell="Q10" sqref="Q10:R10"/>
    </sheetView>
  </sheetViews>
  <sheetFormatPr defaultColWidth="15.5" defaultRowHeight="17.25" customHeight="1"/>
  <cols>
    <col min="1" max="1" width="3.5" style="6" customWidth="1"/>
    <col min="2" max="2" width="5.75" style="6" customWidth="1"/>
    <col min="3" max="3" width="13.5" style="6" customWidth="1"/>
    <col min="4" max="6" width="20.25" style="6" customWidth="1"/>
    <col min="7" max="7" width="20.25" style="9" customWidth="1"/>
    <col min="8" max="8" width="28.375" style="9" customWidth="1"/>
    <col min="9" max="10" width="20.25" style="9" customWidth="1"/>
    <col min="11" max="13" width="20.25" style="6" customWidth="1"/>
    <col min="14" max="14" width="19.75" style="9" customWidth="1"/>
    <col min="15" max="15" width="18.75" style="4" customWidth="1"/>
    <col min="16" max="16" width="15.5" style="4" customWidth="1"/>
    <col min="17" max="18" width="19.375" style="4" customWidth="1"/>
    <col min="19" max="26" width="15.5" style="4" customWidth="1"/>
    <col min="27" max="16384" width="15.5" style="4"/>
  </cols>
  <sheetData>
    <row r="1" spans="2:18" ht="15" customHeight="1" thickBot="1"/>
    <row r="2" spans="2:18" ht="54" customHeight="1" thickTop="1" thickBot="1">
      <c r="B2" s="161" t="s">
        <v>1029</v>
      </c>
      <c r="C2" s="162"/>
      <c r="D2" s="162"/>
      <c r="E2" s="162"/>
      <c r="F2" s="162"/>
      <c r="G2" s="162"/>
      <c r="H2" s="162"/>
      <c r="I2" s="162"/>
      <c r="J2" s="162"/>
      <c r="K2" s="162"/>
      <c r="L2" s="162"/>
      <c r="M2" s="163"/>
      <c r="O2" s="151" t="s">
        <v>1980</v>
      </c>
      <c r="P2" s="152"/>
      <c r="Q2" s="151" t="s">
        <v>1993</v>
      </c>
      <c r="R2" s="152"/>
    </row>
    <row r="3" spans="2:18" s="7" customFormat="1" ht="16.5" customHeight="1" thickTop="1">
      <c r="B3" s="164" t="s">
        <v>1005</v>
      </c>
      <c r="C3" s="25" t="s">
        <v>1009</v>
      </c>
      <c r="D3" s="17" t="s">
        <v>11</v>
      </c>
      <c r="E3" s="18"/>
      <c r="F3" s="18"/>
      <c r="G3" s="18"/>
      <c r="H3" s="18"/>
      <c r="I3" s="18"/>
      <c r="J3" s="18"/>
      <c r="K3" s="18"/>
      <c r="L3" s="18"/>
      <c r="M3" s="19"/>
      <c r="N3" s="9"/>
      <c r="O3" s="153" t="s">
        <v>3170</v>
      </c>
      <c r="P3" s="153"/>
      <c r="Q3" s="153" t="s">
        <v>3022</v>
      </c>
      <c r="R3" s="153"/>
    </row>
    <row r="4" spans="2:18" s="7" customFormat="1" ht="16.5" customHeight="1">
      <c r="B4" s="165"/>
      <c r="C4" s="26" t="s">
        <v>1985</v>
      </c>
      <c r="D4" s="41" t="s">
        <v>1962</v>
      </c>
      <c r="E4" s="42"/>
      <c r="F4" s="42"/>
      <c r="G4" s="42"/>
      <c r="H4" s="42"/>
      <c r="I4" s="42"/>
      <c r="J4" s="42"/>
      <c r="K4" s="42"/>
      <c r="L4" s="42"/>
      <c r="M4" s="43"/>
      <c r="N4" s="9"/>
      <c r="O4" s="154"/>
      <c r="P4" s="154"/>
      <c r="Q4" s="154"/>
      <c r="R4" s="154"/>
    </row>
    <row r="5" spans="2:18" s="8" customFormat="1" ht="15">
      <c r="B5" s="165"/>
      <c r="C5" s="26" t="s">
        <v>1010</v>
      </c>
      <c r="D5" s="20">
        <v>1</v>
      </c>
      <c r="E5" s="21">
        <v>2</v>
      </c>
      <c r="F5" s="21">
        <v>3</v>
      </c>
      <c r="G5" s="21">
        <v>4</v>
      </c>
      <c r="H5" s="21">
        <v>5</v>
      </c>
      <c r="I5" s="21">
        <v>6</v>
      </c>
      <c r="J5" s="21">
        <v>7</v>
      </c>
      <c r="K5" s="21">
        <v>0</v>
      </c>
      <c r="L5" s="21">
        <v>0</v>
      </c>
      <c r="M5" s="22">
        <v>0</v>
      </c>
      <c r="N5" s="9"/>
      <c r="O5" s="154"/>
      <c r="P5" s="154"/>
      <c r="Q5" s="154"/>
      <c r="R5" s="154"/>
    </row>
    <row r="6" spans="2:18" ht="15">
      <c r="B6" s="165"/>
      <c r="C6" s="26" t="s">
        <v>1011</v>
      </c>
      <c r="D6" s="20" t="s">
        <v>7</v>
      </c>
      <c r="E6" s="21" t="s">
        <v>29</v>
      </c>
      <c r="F6" s="21" t="s">
        <v>540</v>
      </c>
      <c r="G6" s="21" t="s">
        <v>704</v>
      </c>
      <c r="H6" s="21"/>
      <c r="I6" s="21"/>
      <c r="J6" s="21"/>
      <c r="K6" s="21"/>
      <c r="L6" s="21"/>
      <c r="M6" s="22"/>
      <c r="O6" s="154"/>
      <c r="P6" s="154"/>
      <c r="Q6" s="154"/>
      <c r="R6" s="154"/>
    </row>
    <row r="7" spans="2:18" ht="15.75" thickBot="1">
      <c r="B7" s="165"/>
      <c r="C7" s="26" t="s">
        <v>1012</v>
      </c>
      <c r="D7" s="37">
        <v>0</v>
      </c>
      <c r="E7" s="38">
        <v>0</v>
      </c>
      <c r="F7" s="28"/>
      <c r="G7" s="29"/>
      <c r="H7" s="29"/>
      <c r="I7" s="29"/>
      <c r="J7" s="29"/>
      <c r="K7" s="29"/>
      <c r="L7" s="29"/>
      <c r="M7" s="30"/>
      <c r="O7" s="154"/>
      <c r="P7" s="154"/>
      <c r="Q7" s="154"/>
      <c r="R7" s="154"/>
    </row>
    <row r="8" spans="2:18" ht="24" customHeight="1" thickTop="1" thickBot="1">
      <c r="B8" s="166"/>
      <c r="C8" s="27" t="s">
        <v>1013</v>
      </c>
      <c r="D8" s="39">
        <v>0</v>
      </c>
      <c r="E8" s="40">
        <v>0</v>
      </c>
      <c r="F8" s="31"/>
      <c r="G8" s="32"/>
      <c r="H8" s="32"/>
      <c r="I8" s="32"/>
      <c r="J8" s="32"/>
      <c r="K8" s="32"/>
      <c r="L8" s="32"/>
      <c r="M8" s="33"/>
      <c r="O8" s="150" t="s">
        <v>2222</v>
      </c>
      <c r="P8" s="150"/>
      <c r="Q8" s="150" t="s">
        <v>2223</v>
      </c>
      <c r="R8" s="150"/>
    </row>
    <row r="9" spans="2:18" ht="21.75" customHeight="1" thickTop="1" thickBot="1">
      <c r="B9" s="164" t="s">
        <v>1006</v>
      </c>
      <c r="C9" s="25" t="s">
        <v>1014</v>
      </c>
      <c r="D9" s="17" t="s">
        <v>11</v>
      </c>
      <c r="E9" s="18"/>
      <c r="F9" s="18"/>
      <c r="G9" s="18"/>
      <c r="H9" s="18"/>
      <c r="I9" s="18"/>
      <c r="J9" s="18"/>
      <c r="K9" s="18"/>
      <c r="L9" s="18"/>
      <c r="M9" s="19"/>
      <c r="O9" s="149">
        <v>0</v>
      </c>
      <c r="P9" s="149"/>
      <c r="Q9" s="149" t="b">
        <v>0</v>
      </c>
      <c r="R9" s="149"/>
    </row>
    <row r="10" spans="2:18" s="7" customFormat="1" ht="22.5" customHeight="1" thickTop="1" thickBot="1">
      <c r="B10" s="165"/>
      <c r="C10" s="26" t="s">
        <v>1988</v>
      </c>
      <c r="D10" s="41" t="s">
        <v>1965</v>
      </c>
      <c r="E10" s="42" t="s">
        <v>1972</v>
      </c>
      <c r="F10" s="42"/>
      <c r="G10" s="42"/>
      <c r="H10" s="42"/>
      <c r="I10" s="42"/>
      <c r="J10" s="42"/>
      <c r="K10" s="42"/>
      <c r="L10" s="42"/>
      <c r="M10" s="43"/>
      <c r="N10" s="9"/>
      <c r="O10" s="150" t="s">
        <v>2339</v>
      </c>
      <c r="P10" s="150"/>
      <c r="Q10" s="150" t="s">
        <v>2340</v>
      </c>
      <c r="R10" s="150"/>
    </row>
    <row r="11" spans="2:18" ht="22.5" customHeight="1" thickTop="1" thickBot="1">
      <c r="B11" s="165"/>
      <c r="C11" s="26" t="s">
        <v>1015</v>
      </c>
      <c r="D11" s="20">
        <v>1</v>
      </c>
      <c r="E11" s="21">
        <v>2</v>
      </c>
      <c r="F11" s="21">
        <v>3</v>
      </c>
      <c r="G11" s="21">
        <v>4</v>
      </c>
      <c r="H11" s="21">
        <v>5</v>
      </c>
      <c r="I11" s="21">
        <v>6</v>
      </c>
      <c r="J11" s="21">
        <v>7</v>
      </c>
      <c r="K11" s="21">
        <v>0</v>
      </c>
      <c r="L11" s="21">
        <v>0</v>
      </c>
      <c r="M11" s="22">
        <v>0</v>
      </c>
      <c r="O11" s="149" t="s">
        <v>86</v>
      </c>
      <c r="P11" s="149"/>
      <c r="Q11" s="149" t="s">
        <v>1971</v>
      </c>
      <c r="R11" s="149"/>
    </row>
    <row r="12" spans="2:18" ht="15.75" thickTop="1">
      <c r="B12" s="165"/>
      <c r="C12" s="26" t="s">
        <v>1016</v>
      </c>
      <c r="D12" s="20" t="s">
        <v>7</v>
      </c>
      <c r="E12" s="21" t="s">
        <v>29</v>
      </c>
      <c r="F12" s="21" t="s">
        <v>540</v>
      </c>
      <c r="G12" s="21" t="s">
        <v>704</v>
      </c>
      <c r="H12" s="21"/>
      <c r="I12" s="21"/>
      <c r="J12" s="21"/>
      <c r="K12" s="21"/>
      <c r="L12" s="21"/>
      <c r="M12" s="22"/>
    </row>
    <row r="13" spans="2:18" ht="15">
      <c r="B13" s="165"/>
      <c r="C13" s="26" t="s">
        <v>1017</v>
      </c>
      <c r="D13" s="37">
        <v>0</v>
      </c>
      <c r="E13" s="38">
        <v>0</v>
      </c>
      <c r="F13" s="28"/>
      <c r="G13" s="29"/>
      <c r="H13" s="29"/>
      <c r="I13" s="29"/>
      <c r="J13" s="29"/>
      <c r="K13" s="29"/>
      <c r="L13" s="29"/>
      <c r="M13" s="30"/>
    </row>
    <row r="14" spans="2:18" ht="15.75" thickBot="1">
      <c r="B14" s="166"/>
      <c r="C14" s="27" t="s">
        <v>1018</v>
      </c>
      <c r="D14" s="39">
        <v>0</v>
      </c>
      <c r="E14" s="40">
        <v>0</v>
      </c>
      <c r="F14" s="31"/>
      <c r="G14" s="32"/>
      <c r="H14" s="32"/>
      <c r="I14" s="32"/>
      <c r="J14" s="32"/>
      <c r="K14" s="32"/>
      <c r="L14" s="32"/>
      <c r="M14" s="33"/>
    </row>
    <row r="15" spans="2:18" ht="15.75" thickTop="1">
      <c r="B15" s="164" t="s">
        <v>1007</v>
      </c>
      <c r="C15" s="25" t="s">
        <v>1019</v>
      </c>
      <c r="D15" s="17" t="s">
        <v>11</v>
      </c>
      <c r="E15" s="18"/>
      <c r="F15" s="18"/>
      <c r="G15" s="18"/>
      <c r="H15" s="18"/>
      <c r="I15" s="18"/>
      <c r="J15" s="18"/>
      <c r="K15" s="18"/>
      <c r="L15" s="18"/>
      <c r="M15" s="19"/>
    </row>
    <row r="16" spans="2:18" ht="15">
      <c r="B16" s="165"/>
      <c r="C16" s="26" t="s">
        <v>1987</v>
      </c>
      <c r="D16" s="41" t="s">
        <v>1963</v>
      </c>
      <c r="E16" s="42"/>
      <c r="F16" s="42"/>
      <c r="G16" s="42"/>
      <c r="H16" s="42"/>
      <c r="I16" s="42"/>
      <c r="J16" s="42"/>
      <c r="K16" s="42"/>
      <c r="L16" s="42"/>
      <c r="M16" s="43"/>
    </row>
    <row r="17" spans="1:24" ht="15">
      <c r="B17" s="165"/>
      <c r="C17" s="26" t="s">
        <v>1020</v>
      </c>
      <c r="D17" s="20">
        <v>1</v>
      </c>
      <c r="E17" s="21">
        <v>2</v>
      </c>
      <c r="F17" s="21">
        <v>3</v>
      </c>
      <c r="G17" s="21">
        <v>4</v>
      </c>
      <c r="H17" s="21">
        <v>5</v>
      </c>
      <c r="I17" s="21">
        <v>6</v>
      </c>
      <c r="J17" s="21">
        <v>7</v>
      </c>
      <c r="K17" s="21">
        <v>0</v>
      </c>
      <c r="L17" s="21">
        <v>0</v>
      </c>
      <c r="M17" s="22">
        <v>0</v>
      </c>
    </row>
    <row r="18" spans="1:24" ht="15">
      <c r="B18" s="165"/>
      <c r="C18" s="26" t="s">
        <v>1021</v>
      </c>
      <c r="D18" s="20" t="s">
        <v>7</v>
      </c>
      <c r="E18" s="21" t="s">
        <v>29</v>
      </c>
      <c r="F18" s="21" t="s">
        <v>540</v>
      </c>
      <c r="G18" s="21" t="s">
        <v>704</v>
      </c>
      <c r="H18" s="21"/>
      <c r="I18" s="21"/>
      <c r="J18" s="21"/>
      <c r="K18" s="21"/>
      <c r="L18" s="21"/>
      <c r="M18" s="22"/>
    </row>
    <row r="19" spans="1:24" ht="16.5" customHeight="1">
      <c r="B19" s="165"/>
      <c r="C19" s="26" t="s">
        <v>1022</v>
      </c>
      <c r="D19" s="20">
        <v>140</v>
      </c>
      <c r="E19" s="21">
        <v>176</v>
      </c>
      <c r="F19" s="28"/>
      <c r="G19" s="29"/>
      <c r="H19" s="29"/>
      <c r="I19" s="29"/>
      <c r="J19" s="29"/>
      <c r="K19" s="29"/>
      <c r="L19" s="29"/>
      <c r="M19" s="30"/>
    </row>
    <row r="20" spans="1:24" ht="16.5" customHeight="1" thickBot="1">
      <c r="B20" s="166"/>
      <c r="C20" s="27" t="s">
        <v>1023</v>
      </c>
      <c r="D20" s="23">
        <v>176</v>
      </c>
      <c r="E20" s="24">
        <v>218</v>
      </c>
      <c r="F20" s="31"/>
      <c r="G20" s="32"/>
      <c r="H20" s="32"/>
      <c r="I20" s="32"/>
      <c r="J20" s="32"/>
      <c r="K20" s="32"/>
      <c r="L20" s="32"/>
      <c r="M20" s="33"/>
    </row>
    <row r="21" spans="1:24" ht="16.5" customHeight="1" thickTop="1">
      <c r="B21" s="164" t="s">
        <v>1008</v>
      </c>
      <c r="C21" s="25" t="s">
        <v>1024</v>
      </c>
      <c r="D21" s="17" t="s">
        <v>11</v>
      </c>
      <c r="E21" s="18"/>
      <c r="F21" s="18"/>
      <c r="G21" s="18"/>
      <c r="H21" s="18"/>
      <c r="I21" s="18"/>
      <c r="J21" s="18"/>
      <c r="K21" s="18"/>
      <c r="L21" s="18"/>
      <c r="M21" s="19"/>
    </row>
    <row r="22" spans="1:24" ht="16.5" customHeight="1">
      <c r="B22" s="165"/>
      <c r="C22" s="26" t="s">
        <v>1986</v>
      </c>
      <c r="D22" s="41" t="s">
        <v>1977</v>
      </c>
      <c r="E22" s="42"/>
      <c r="F22" s="42"/>
      <c r="G22" s="42"/>
      <c r="H22" s="42"/>
      <c r="I22" s="42"/>
      <c r="J22" s="42"/>
      <c r="K22" s="42"/>
      <c r="L22" s="42"/>
      <c r="M22" s="43"/>
    </row>
    <row r="23" spans="1:24" ht="16.5" customHeight="1">
      <c r="B23" s="165"/>
      <c r="C23" s="26" t="s">
        <v>1025</v>
      </c>
      <c r="D23" s="20">
        <v>1</v>
      </c>
      <c r="E23" s="21">
        <v>2</v>
      </c>
      <c r="F23" s="21">
        <v>3</v>
      </c>
      <c r="G23" s="21">
        <v>4</v>
      </c>
      <c r="H23" s="21">
        <v>5</v>
      </c>
      <c r="I23" s="21">
        <v>6</v>
      </c>
      <c r="J23" s="21">
        <v>7</v>
      </c>
      <c r="K23" s="21">
        <v>0</v>
      </c>
      <c r="L23" s="21">
        <v>0</v>
      </c>
      <c r="M23" s="22">
        <v>0</v>
      </c>
    </row>
    <row r="24" spans="1:24" ht="16.5" customHeight="1">
      <c r="B24" s="165"/>
      <c r="C24" s="26" t="s">
        <v>1026</v>
      </c>
      <c r="D24" s="20" t="s">
        <v>7</v>
      </c>
      <c r="E24" s="21" t="s">
        <v>29</v>
      </c>
      <c r="F24" s="21" t="s">
        <v>540</v>
      </c>
      <c r="G24" s="21" t="s">
        <v>704</v>
      </c>
      <c r="H24" s="21"/>
      <c r="I24" s="21"/>
      <c r="J24" s="21"/>
      <c r="K24" s="21"/>
      <c r="L24" s="21"/>
      <c r="M24" s="22"/>
    </row>
    <row r="25" spans="1:24" ht="16.5" customHeight="1">
      <c r="B25" s="165"/>
      <c r="C25" s="26" t="s">
        <v>1027</v>
      </c>
      <c r="D25" s="37">
        <v>165</v>
      </c>
      <c r="E25" s="38">
        <v>180</v>
      </c>
      <c r="F25" s="28"/>
      <c r="G25" s="29"/>
      <c r="H25" s="29"/>
      <c r="I25" s="29"/>
      <c r="J25" s="29"/>
      <c r="K25" s="29"/>
      <c r="L25" s="29"/>
      <c r="M25" s="30"/>
    </row>
    <row r="26" spans="1:24" ht="16.5" customHeight="1" thickBot="1">
      <c r="B26" s="166"/>
      <c r="C26" s="27" t="s">
        <v>1028</v>
      </c>
      <c r="D26" s="39">
        <v>180</v>
      </c>
      <c r="E26" s="40">
        <v>200</v>
      </c>
      <c r="F26" s="31"/>
      <c r="G26" s="32"/>
      <c r="H26" s="32"/>
      <c r="I26" s="32"/>
      <c r="J26" s="32"/>
      <c r="K26" s="35"/>
      <c r="L26" s="35"/>
      <c r="M26" s="36"/>
    </row>
    <row r="27" spans="1:24" ht="35.25" customHeight="1" thickTop="1" thickBot="1">
      <c r="C27" s="155" t="s">
        <v>999</v>
      </c>
      <c r="D27" s="156"/>
      <c r="E27" s="156"/>
      <c r="F27" s="157"/>
      <c r="G27" s="155" t="s">
        <v>1004</v>
      </c>
      <c r="H27" s="156"/>
      <c r="I27" s="156"/>
      <c r="J27" s="156"/>
      <c r="K27" s="158" t="s">
        <v>1978</v>
      </c>
      <c r="L27" s="159"/>
      <c r="M27" s="159"/>
      <c r="N27" s="159"/>
      <c r="O27" s="160"/>
    </row>
    <row r="28" spans="1:24" s="11" customFormat="1" ht="21" thickTop="1">
      <c r="A28" s="10"/>
      <c r="B28" s="10"/>
      <c r="C28" s="13" t="s">
        <v>1005</v>
      </c>
      <c r="D28" s="13" t="s">
        <v>1006</v>
      </c>
      <c r="E28" s="13" t="s">
        <v>1007</v>
      </c>
      <c r="F28" s="13" t="s">
        <v>1030</v>
      </c>
      <c r="G28" s="16" t="s">
        <v>1032</v>
      </c>
      <c r="H28" s="14" t="s">
        <v>990</v>
      </c>
      <c r="I28" s="14" t="s">
        <v>3</v>
      </c>
      <c r="J28" s="15" t="s">
        <v>1038</v>
      </c>
      <c r="K28" s="34" t="s">
        <v>989</v>
      </c>
      <c r="L28" s="12" t="s">
        <v>987</v>
      </c>
      <c r="M28" s="12" t="s">
        <v>988</v>
      </c>
      <c r="N28" s="12" t="s">
        <v>1000</v>
      </c>
      <c r="O28" s="12" t="s">
        <v>1001</v>
      </c>
      <c r="X28" s="4"/>
    </row>
    <row r="29" spans="1:24" ht="17.25" customHeight="1">
      <c r="C29" s="2" t="s">
        <v>893</v>
      </c>
      <c r="D29" s="2" t="s">
        <v>2027</v>
      </c>
      <c r="E29" s="2" t="s">
        <v>979</v>
      </c>
      <c r="F29" s="12" t="s">
        <v>2283</v>
      </c>
      <c r="G29" t="s">
        <v>2876</v>
      </c>
      <c r="H29" s="2" t="s">
        <v>11</v>
      </c>
      <c r="I29" s="2" t="s">
        <v>14</v>
      </c>
      <c r="J29" s="12" t="s">
        <v>1970</v>
      </c>
      <c r="K29" s="12" t="s">
        <v>1971</v>
      </c>
      <c r="L29" s="12">
        <v>2</v>
      </c>
      <c r="M29" s="12">
        <v>4</v>
      </c>
      <c r="N29" s="12">
        <v>5</v>
      </c>
      <c r="O29" s="12">
        <v>9</v>
      </c>
      <c r="X29" s="11"/>
    </row>
    <row r="30" spans="1:24" ht="17.25" customHeight="1">
      <c r="C30" s="2" t="s">
        <v>50</v>
      </c>
      <c r="D30" s="2" t="s">
        <v>994</v>
      </c>
      <c r="E30" s="2" t="s">
        <v>50</v>
      </c>
      <c r="F30" s="12" t="s">
        <v>2065</v>
      </c>
      <c r="G30" t="s">
        <v>2079</v>
      </c>
      <c r="H30" s="2" t="s">
        <v>17</v>
      </c>
      <c r="I30" s="2" t="s">
        <v>1002</v>
      </c>
      <c r="J30" s="12" t="s">
        <v>1968</v>
      </c>
      <c r="K30" s="12" t="s">
        <v>1969</v>
      </c>
      <c r="L30" s="12">
        <v>6</v>
      </c>
      <c r="M30" s="12">
        <v>12</v>
      </c>
      <c r="N30" s="12">
        <v>15</v>
      </c>
      <c r="O30" s="12">
        <v>19</v>
      </c>
    </row>
    <row r="31" spans="1:24" ht="17.25" customHeight="1">
      <c r="C31" s="2" t="s">
        <v>991</v>
      </c>
      <c r="D31" s="2" t="s">
        <v>2110</v>
      </c>
      <c r="E31" s="2" t="s">
        <v>2920</v>
      </c>
      <c r="F31" s="12" t="s">
        <v>2277</v>
      </c>
      <c r="G31" t="s">
        <v>75</v>
      </c>
      <c r="H31" s="2" t="s">
        <v>417</v>
      </c>
      <c r="I31" s="3" t="s">
        <v>12</v>
      </c>
      <c r="J31" s="12" t="s">
        <v>1976</v>
      </c>
      <c r="K31" s="12" t="s">
        <v>1975</v>
      </c>
      <c r="L31" s="12">
        <v>9</v>
      </c>
      <c r="M31" s="12">
        <v>19</v>
      </c>
      <c r="N31" s="12">
        <v>23</v>
      </c>
      <c r="O31" s="12">
        <v>28</v>
      </c>
    </row>
    <row r="32" spans="1:24" ht="17.25" customHeight="1">
      <c r="C32" s="2" t="s">
        <v>311</v>
      </c>
      <c r="D32" s="2" t="s">
        <v>242</v>
      </c>
      <c r="E32" s="2" t="s">
        <v>311</v>
      </c>
      <c r="F32" s="12" t="s">
        <v>404</v>
      </c>
      <c r="G32" t="s">
        <v>2029</v>
      </c>
      <c r="H32" s="2" t="s">
        <v>6</v>
      </c>
      <c r="I32" s="2" t="s">
        <v>704</v>
      </c>
      <c r="J32" s="12" t="s">
        <v>1964</v>
      </c>
      <c r="K32" s="12" t="s">
        <v>1974</v>
      </c>
      <c r="L32" s="12">
        <v>15</v>
      </c>
      <c r="M32" s="12">
        <v>19</v>
      </c>
      <c r="N32" s="12">
        <v>35</v>
      </c>
      <c r="O32" s="12">
        <v>60</v>
      </c>
    </row>
    <row r="33" spans="3:14" ht="17.25" customHeight="1">
      <c r="C33" s="2" t="s">
        <v>44</v>
      </c>
      <c r="D33" s="2" t="s">
        <v>2102</v>
      </c>
      <c r="E33" s="2" t="s">
        <v>404</v>
      </c>
      <c r="F33" s="12" t="s">
        <v>967</v>
      </c>
      <c r="G33" t="s">
        <v>70</v>
      </c>
      <c r="H33" s="3" t="s">
        <v>301</v>
      </c>
      <c r="I33" s="2" t="s">
        <v>540</v>
      </c>
      <c r="J33" s="12" t="s">
        <v>1966</v>
      </c>
      <c r="K33" s="9"/>
      <c r="L33" s="4"/>
      <c r="M33" s="4"/>
      <c r="N33" s="4"/>
    </row>
    <row r="34" spans="3:14" ht="17.25" customHeight="1">
      <c r="C34" s="2" t="s">
        <v>404</v>
      </c>
      <c r="D34" s="2" t="s">
        <v>81</v>
      </c>
      <c r="E34" s="2" t="s">
        <v>423</v>
      </c>
      <c r="F34" s="51" t="s">
        <v>102</v>
      </c>
      <c r="G34" t="s">
        <v>2284</v>
      </c>
      <c r="H34" s="2" t="s">
        <v>323</v>
      </c>
      <c r="I34" s="2" t="s">
        <v>103</v>
      </c>
      <c r="J34" s="12" t="s">
        <v>1967</v>
      </c>
      <c r="K34" s="9"/>
      <c r="L34" s="4"/>
      <c r="M34" s="4"/>
      <c r="N34" s="4"/>
    </row>
    <row r="35" spans="3:14" ht="17.25" customHeight="1">
      <c r="C35" s="2" t="s">
        <v>423</v>
      </c>
      <c r="D35" s="2" t="s">
        <v>50</v>
      </c>
      <c r="E35" s="2" t="s">
        <v>2324</v>
      </c>
      <c r="F35" s="51" t="s">
        <v>2280</v>
      </c>
      <c r="G35" t="s">
        <v>51</v>
      </c>
      <c r="H35" s="2" t="s">
        <v>23</v>
      </c>
      <c r="I35" s="2" t="s">
        <v>7</v>
      </c>
      <c r="J35" s="12" t="s">
        <v>1973</v>
      </c>
      <c r="K35" s="9"/>
      <c r="L35" s="4"/>
      <c r="M35" s="4"/>
      <c r="N35" s="4"/>
    </row>
    <row r="36" spans="3:14" ht="17.25" customHeight="1">
      <c r="C36" s="2" t="s">
        <v>924</v>
      </c>
      <c r="D36" s="2" t="s">
        <v>758</v>
      </c>
      <c r="E36" s="2" t="s">
        <v>967</v>
      </c>
      <c r="F36" s="52" t="s">
        <v>939</v>
      </c>
      <c r="G36" t="s">
        <v>1003</v>
      </c>
      <c r="H36" s="2" t="s">
        <v>49</v>
      </c>
      <c r="I36" s="2" t="s">
        <v>29</v>
      </c>
      <c r="K36" s="9"/>
      <c r="L36" s="4"/>
      <c r="M36" s="4"/>
      <c r="N36" s="4"/>
    </row>
    <row r="37" spans="3:14" ht="17.25" customHeight="1">
      <c r="C37" s="2" t="s">
        <v>568</v>
      </c>
      <c r="D37" s="2" t="s">
        <v>991</v>
      </c>
      <c r="E37" s="2" t="s">
        <v>960</v>
      </c>
      <c r="F37" s="52" t="s">
        <v>2066</v>
      </c>
      <c r="G37" t="s">
        <v>52</v>
      </c>
      <c r="K37" s="9"/>
      <c r="L37" s="4"/>
      <c r="M37" s="4"/>
      <c r="N37" s="4"/>
    </row>
    <row r="38" spans="3:14" ht="17.25" customHeight="1">
      <c r="C38" s="2" t="s">
        <v>102</v>
      </c>
      <c r="D38" s="2" t="s">
        <v>899</v>
      </c>
      <c r="E38" s="2" t="s">
        <v>102</v>
      </c>
      <c r="F38" s="52" t="s">
        <v>2071</v>
      </c>
      <c r="G38" t="s">
        <v>21</v>
      </c>
      <c r="H38" s="5"/>
      <c r="K38" s="9"/>
      <c r="L38" s="4"/>
      <c r="M38" s="4"/>
      <c r="N38" s="4"/>
    </row>
    <row r="39" spans="3:14" ht="17.25" customHeight="1">
      <c r="C39" s="2" t="s">
        <v>719</v>
      </c>
      <c r="D39" s="2" t="s">
        <v>311</v>
      </c>
      <c r="E39" s="2" t="s">
        <v>958</v>
      </c>
      <c r="F39" s="4"/>
      <c r="G39" t="s">
        <v>28</v>
      </c>
      <c r="K39" s="9"/>
      <c r="L39" s="4"/>
      <c r="M39" s="4"/>
      <c r="N39" s="4"/>
    </row>
    <row r="40" spans="3:14" ht="17.25" customHeight="1">
      <c r="C40" s="2" t="s">
        <v>2280</v>
      </c>
      <c r="D40" s="2" t="s">
        <v>44</v>
      </c>
      <c r="E40" s="2" t="s">
        <v>2280</v>
      </c>
      <c r="K40" s="9"/>
      <c r="L40" s="4"/>
      <c r="M40" s="4"/>
      <c r="N40" s="4"/>
    </row>
    <row r="41" spans="3:14" ht="17.25" customHeight="1">
      <c r="C41" s="2" t="s">
        <v>905</v>
      </c>
      <c r="D41" s="2" t="s">
        <v>2078</v>
      </c>
      <c r="E41" s="2" t="s">
        <v>905</v>
      </c>
      <c r="K41" s="9"/>
      <c r="L41" s="4"/>
      <c r="M41" s="4"/>
      <c r="N41" s="4"/>
    </row>
    <row r="42" spans="3:14" ht="17.25" customHeight="1">
      <c r="C42" s="2" t="s">
        <v>2111</v>
      </c>
      <c r="D42" s="2" t="s">
        <v>404</v>
      </c>
      <c r="E42" s="2" t="s">
        <v>108</v>
      </c>
      <c r="K42" s="9"/>
      <c r="L42" s="4"/>
      <c r="M42" s="4"/>
      <c r="N42" s="4"/>
    </row>
    <row r="43" spans="3:14" ht="17.25" customHeight="1">
      <c r="C43" s="2" t="s">
        <v>126</v>
      </c>
      <c r="D43" s="2" t="s">
        <v>421</v>
      </c>
      <c r="E43" s="46" t="s">
        <v>998</v>
      </c>
      <c r="K43" s="9"/>
    </row>
    <row r="44" spans="3:14" ht="17.25" customHeight="1">
      <c r="C44" s="2" t="s">
        <v>129</v>
      </c>
      <c r="D44" s="2" t="s">
        <v>423</v>
      </c>
      <c r="E44" s="46" t="s">
        <v>959</v>
      </c>
      <c r="K44" s="9"/>
    </row>
    <row r="45" spans="3:14" ht="17.25" customHeight="1">
      <c r="C45" s="2" t="s">
        <v>939</v>
      </c>
      <c r="D45" s="2" t="s">
        <v>995</v>
      </c>
      <c r="E45" s="46" t="s">
        <v>2112</v>
      </c>
      <c r="J45" s="5"/>
      <c r="K45" s="9"/>
    </row>
    <row r="46" spans="3:14" ht="17.25" customHeight="1">
      <c r="C46" s="2" t="s">
        <v>911</v>
      </c>
      <c r="D46" s="2" t="s">
        <v>165</v>
      </c>
      <c r="E46" s="46" t="s">
        <v>992</v>
      </c>
      <c r="H46" s="1"/>
      <c r="I46" s="5"/>
      <c r="J46" s="5"/>
      <c r="K46" s="9"/>
    </row>
    <row r="47" spans="3:14" ht="17.25" customHeight="1">
      <c r="C47" s="2" t="s">
        <v>437</v>
      </c>
      <c r="D47" s="2" t="s">
        <v>131</v>
      </c>
      <c r="E47" s="4"/>
      <c r="H47" s="1"/>
    </row>
    <row r="48" spans="3:14" ht="17.25" customHeight="1">
      <c r="C48" s="2" t="s">
        <v>929</v>
      </c>
      <c r="D48" s="2" t="s">
        <v>102</v>
      </c>
      <c r="H48" s="1"/>
    </row>
    <row r="49" spans="3:25" ht="17.25" customHeight="1">
      <c r="C49" s="2" t="s">
        <v>2932</v>
      </c>
      <c r="D49" s="2" t="s">
        <v>65</v>
      </c>
      <c r="H49" s="1"/>
    </row>
    <row r="50" spans="3:25" ht="17.25" customHeight="1">
      <c r="C50" s="2" t="s">
        <v>955</v>
      </c>
      <c r="D50" s="2" t="s">
        <v>2280</v>
      </c>
      <c r="G50" s="5"/>
      <c r="H50" s="1"/>
    </row>
    <row r="51" spans="3:25" ht="17.25" customHeight="1">
      <c r="C51" s="2" t="s">
        <v>992</v>
      </c>
      <c r="D51" s="2" t="s">
        <v>2111</v>
      </c>
      <c r="H51" s="1"/>
      <c r="N51" s="1"/>
      <c r="O51" s="1"/>
    </row>
    <row r="52" spans="3:25" ht="17.25" customHeight="1">
      <c r="C52" s="2" t="s">
        <v>902</v>
      </c>
      <c r="D52" s="2" t="s">
        <v>660</v>
      </c>
      <c r="H52" s="1"/>
      <c r="L52" s="1"/>
      <c r="M52" s="1"/>
      <c r="N52" s="1"/>
      <c r="O52" s="1"/>
    </row>
    <row r="53" spans="3:25" ht="17.25" customHeight="1">
      <c r="C53" s="46" t="s">
        <v>993</v>
      </c>
      <c r="D53" s="2" t="s">
        <v>868</v>
      </c>
      <c r="H53" s="1"/>
      <c r="J53" s="1"/>
      <c r="L53" s="1"/>
      <c r="M53" s="1"/>
      <c r="N53" s="1"/>
      <c r="O53" s="1"/>
    </row>
    <row r="54" spans="3:25" ht="17.25" customHeight="1">
      <c r="C54" s="4"/>
      <c r="D54" s="2" t="s">
        <v>30</v>
      </c>
      <c r="H54" s="1"/>
      <c r="I54" s="1"/>
      <c r="J54" s="1"/>
      <c r="L54" s="1"/>
      <c r="M54" s="1"/>
      <c r="N54" s="1"/>
      <c r="O54" s="1"/>
      <c r="P54" s="1"/>
      <c r="Q54" s="1"/>
      <c r="R54" s="1"/>
      <c r="S54" s="1"/>
      <c r="T54" s="1"/>
      <c r="U54" s="1"/>
      <c r="V54" s="1"/>
      <c r="W54" s="1"/>
      <c r="X54" s="1"/>
      <c r="Y54" s="1"/>
    </row>
    <row r="55" spans="3:25" ht="17.25" customHeight="1">
      <c r="D55" s="2" t="s">
        <v>911</v>
      </c>
      <c r="H55" s="1"/>
      <c r="I55" s="1"/>
      <c r="J55" s="1"/>
      <c r="K55" s="1"/>
      <c r="L55" s="1"/>
      <c r="M55" s="1"/>
      <c r="N55" s="1"/>
      <c r="O55" s="1"/>
      <c r="P55" s="1"/>
      <c r="Q55" s="1"/>
      <c r="R55" s="1"/>
      <c r="S55" s="1"/>
      <c r="T55" s="1"/>
      <c r="U55" s="1"/>
      <c r="V55" s="1"/>
      <c r="W55" s="1"/>
      <c r="X55" s="1"/>
      <c r="Y55" s="1"/>
    </row>
    <row r="56" spans="3:25" ht="17.25" customHeight="1">
      <c r="D56" s="2" t="s">
        <v>536</v>
      </c>
      <c r="H56" s="1"/>
      <c r="I56" s="1"/>
      <c r="J56" s="1"/>
      <c r="K56" s="1"/>
      <c r="L56" s="1"/>
      <c r="M56" s="1"/>
      <c r="N56" s="1"/>
      <c r="O56" s="1"/>
      <c r="P56" s="1"/>
      <c r="Q56" s="1"/>
      <c r="R56" s="1"/>
      <c r="S56" s="1"/>
      <c r="T56" s="1"/>
      <c r="U56" s="1"/>
      <c r="V56" s="1"/>
      <c r="W56" s="1"/>
      <c r="X56" s="1"/>
      <c r="Y56" s="1"/>
    </row>
    <row r="57" spans="3:25" ht="17.25" customHeight="1">
      <c r="D57" s="2" t="s">
        <v>437</v>
      </c>
      <c r="H57" s="1"/>
      <c r="I57" s="1"/>
      <c r="J57" s="1"/>
      <c r="K57" s="1"/>
      <c r="L57" s="1"/>
      <c r="M57" s="1"/>
      <c r="N57" s="1"/>
      <c r="O57" s="1"/>
      <c r="P57" s="1"/>
      <c r="Q57" s="1"/>
      <c r="R57" s="1"/>
      <c r="S57" s="1"/>
      <c r="T57" s="1"/>
      <c r="U57" s="1"/>
      <c r="V57" s="1"/>
      <c r="W57" s="1"/>
      <c r="X57" s="1"/>
      <c r="Y57" s="1"/>
    </row>
    <row r="58" spans="3:25" ht="17.25" customHeight="1">
      <c r="D58" s="2" t="s">
        <v>74</v>
      </c>
      <c r="G58" s="1"/>
      <c r="H58" s="1"/>
      <c r="I58" s="1"/>
      <c r="J58" s="1"/>
      <c r="K58" s="1"/>
      <c r="L58" s="1"/>
      <c r="M58" s="1"/>
      <c r="N58" s="1"/>
      <c r="O58" s="1"/>
      <c r="P58" s="1"/>
      <c r="Q58" s="1"/>
      <c r="R58" s="1"/>
      <c r="S58" s="1"/>
      <c r="T58" s="1"/>
      <c r="U58" s="1"/>
      <c r="V58" s="1"/>
      <c r="W58" s="1"/>
      <c r="X58" s="1"/>
      <c r="Y58" s="1"/>
    </row>
    <row r="59" spans="3:25" ht="17.25" customHeight="1">
      <c r="D59" s="2" t="s">
        <v>915</v>
      </c>
      <c r="G59" s="1"/>
      <c r="H59" s="1"/>
      <c r="I59" s="1"/>
      <c r="J59" s="1"/>
      <c r="K59" s="1"/>
      <c r="L59" s="1"/>
      <c r="M59" s="1"/>
      <c r="N59" s="1"/>
      <c r="O59" s="1"/>
      <c r="P59" s="1"/>
      <c r="Q59" s="1"/>
      <c r="R59" s="1"/>
      <c r="S59" s="1"/>
      <c r="T59" s="1"/>
      <c r="U59" s="1"/>
      <c r="V59" s="1"/>
      <c r="W59" s="1"/>
      <c r="X59" s="1"/>
      <c r="Y59" s="1"/>
    </row>
    <row r="60" spans="3:25" ht="17.25" customHeight="1">
      <c r="D60" s="2" t="s">
        <v>2099</v>
      </c>
      <c r="G60" s="1"/>
      <c r="H60" s="1"/>
      <c r="I60" s="1"/>
      <c r="J60" s="1"/>
      <c r="K60" s="1"/>
      <c r="L60" s="1"/>
      <c r="M60" s="1"/>
      <c r="N60" s="1"/>
      <c r="O60" s="1"/>
      <c r="P60" s="1"/>
      <c r="Q60" s="1"/>
      <c r="R60" s="1"/>
      <c r="S60" s="1"/>
      <c r="T60" s="1"/>
      <c r="U60" s="1"/>
      <c r="V60" s="1"/>
      <c r="W60" s="1"/>
      <c r="X60" s="1"/>
      <c r="Y60" s="1"/>
    </row>
    <row r="61" spans="3:25" ht="17.25" customHeight="1">
      <c r="D61" s="2" t="s">
        <v>277</v>
      </c>
      <c r="G61" s="1"/>
      <c r="H61" s="1"/>
      <c r="I61" s="1"/>
      <c r="J61" s="1"/>
      <c r="K61" s="1"/>
      <c r="L61" s="1"/>
      <c r="M61" s="1"/>
      <c r="N61" s="1"/>
      <c r="O61" s="1"/>
      <c r="P61" s="1"/>
      <c r="Q61" s="1"/>
      <c r="R61" s="1"/>
      <c r="S61" s="1"/>
      <c r="T61" s="1"/>
      <c r="U61" s="1"/>
      <c r="V61" s="1"/>
      <c r="W61" s="1"/>
      <c r="X61" s="1"/>
      <c r="Y61" s="1"/>
    </row>
    <row r="62" spans="3:25" ht="17.25" customHeight="1">
      <c r="D62" s="2" t="s">
        <v>996</v>
      </c>
      <c r="G62" s="1"/>
      <c r="H62" s="1"/>
      <c r="I62" s="1"/>
      <c r="J62" s="1"/>
      <c r="K62" s="1"/>
      <c r="L62" s="1"/>
      <c r="M62" s="1"/>
      <c r="N62" s="1"/>
      <c r="O62" s="1"/>
      <c r="P62" s="1"/>
      <c r="Q62" s="1"/>
      <c r="R62" s="1"/>
      <c r="S62" s="1"/>
      <c r="T62" s="1"/>
      <c r="U62" s="1"/>
      <c r="V62" s="1"/>
      <c r="W62" s="1"/>
      <c r="X62" s="1"/>
      <c r="Y62" s="1"/>
    </row>
    <row r="63" spans="3:25" ht="17.25" customHeight="1">
      <c r="D63" s="2" t="s">
        <v>560</v>
      </c>
      <c r="F63" s="1"/>
      <c r="G63" s="1"/>
      <c r="H63" s="1"/>
      <c r="I63" s="1"/>
      <c r="J63" s="1"/>
      <c r="K63" s="1"/>
      <c r="L63" s="1"/>
      <c r="M63" s="1"/>
      <c r="N63" s="1"/>
      <c r="O63" s="1"/>
      <c r="P63" s="1"/>
      <c r="Q63" s="1"/>
      <c r="R63" s="1"/>
      <c r="S63" s="1"/>
      <c r="T63" s="1"/>
      <c r="U63" s="1"/>
      <c r="V63" s="1"/>
      <c r="W63" s="1"/>
      <c r="X63" s="1"/>
      <c r="Y63" s="1"/>
    </row>
    <row r="64" spans="3:25" ht="17.25" customHeight="1">
      <c r="D64" s="2" t="s">
        <v>495</v>
      </c>
      <c r="F64" s="1"/>
      <c r="G64" s="1"/>
      <c r="H64" s="1"/>
      <c r="I64" s="1"/>
      <c r="J64" s="1"/>
      <c r="K64" s="1"/>
      <c r="L64" s="1"/>
      <c r="M64" s="1"/>
      <c r="N64" s="1"/>
      <c r="O64" s="1"/>
      <c r="P64" s="1"/>
      <c r="Q64" s="1"/>
      <c r="R64" s="1"/>
      <c r="S64" s="1"/>
      <c r="T64" s="1"/>
      <c r="U64" s="1"/>
      <c r="V64" s="1"/>
      <c r="W64" s="1"/>
      <c r="X64" s="1"/>
      <c r="Y64" s="1"/>
    </row>
    <row r="65" spans="4:25" ht="17.25" customHeight="1">
      <c r="D65" s="2" t="s">
        <v>778</v>
      </c>
      <c r="F65" s="1"/>
      <c r="G65" s="1"/>
      <c r="H65" s="1"/>
      <c r="I65" s="1"/>
      <c r="J65" s="1"/>
      <c r="K65" s="1"/>
      <c r="L65" s="1"/>
      <c r="M65" s="1"/>
      <c r="N65" s="1"/>
      <c r="O65" s="1"/>
      <c r="P65" s="1"/>
      <c r="Q65" s="1"/>
      <c r="R65" s="1"/>
      <c r="S65" s="1"/>
      <c r="T65" s="1"/>
      <c r="U65" s="1"/>
      <c r="V65" s="1"/>
      <c r="W65" s="1"/>
      <c r="X65" s="1"/>
      <c r="Y65" s="1"/>
    </row>
    <row r="66" spans="4:25" ht="17.25" customHeight="1">
      <c r="D66" s="46" t="s">
        <v>435</v>
      </c>
      <c r="F66" s="1"/>
      <c r="G66" s="1"/>
      <c r="H66" s="1"/>
      <c r="I66" s="1"/>
      <c r="J66" s="1"/>
      <c r="K66" s="1"/>
      <c r="L66" s="1"/>
      <c r="M66" s="1"/>
      <c r="N66" s="1"/>
      <c r="O66" s="1"/>
      <c r="P66" s="1"/>
      <c r="Q66" s="1"/>
      <c r="R66" s="1"/>
      <c r="S66" s="1"/>
      <c r="T66" s="1"/>
      <c r="U66" s="1"/>
      <c r="V66" s="1"/>
      <c r="W66" s="1"/>
      <c r="X66" s="1"/>
      <c r="Y66" s="1"/>
    </row>
    <row r="67" spans="4:25" ht="17.25" customHeight="1">
      <c r="D67" s="46" t="s">
        <v>997</v>
      </c>
      <c r="F67" s="1"/>
      <c r="G67" s="1"/>
      <c r="H67" s="1"/>
      <c r="I67" s="1"/>
      <c r="J67" s="1"/>
      <c r="K67" s="1"/>
      <c r="L67" s="1"/>
      <c r="M67" s="1"/>
      <c r="N67" s="1"/>
      <c r="O67" s="1"/>
      <c r="P67" s="1"/>
      <c r="Q67" s="1"/>
      <c r="R67" s="1"/>
      <c r="S67" s="1"/>
      <c r="T67" s="1"/>
      <c r="U67" s="1"/>
      <c r="V67" s="1"/>
      <c r="W67" s="1"/>
      <c r="X67" s="1"/>
      <c r="Y67" s="1"/>
    </row>
    <row r="68" spans="4:25" ht="17.25" customHeight="1">
      <c r="D68" s="46" t="s">
        <v>2554</v>
      </c>
      <c r="F68" s="1"/>
      <c r="G68" s="1"/>
      <c r="H68" s="1"/>
      <c r="I68" s="1"/>
      <c r="J68" s="1"/>
      <c r="K68" s="1"/>
      <c r="L68" s="1"/>
      <c r="M68" s="1"/>
      <c r="N68" s="1"/>
      <c r="O68" s="1"/>
      <c r="P68" s="1"/>
      <c r="Q68" s="1"/>
      <c r="R68" s="1"/>
      <c r="S68" s="1"/>
      <c r="T68" s="1"/>
      <c r="U68" s="1"/>
      <c r="V68" s="1"/>
      <c r="W68" s="1"/>
      <c r="X68" s="1"/>
      <c r="Y68" s="1"/>
    </row>
    <row r="69" spans="4:25" ht="17.25" customHeight="1">
      <c r="D69" s="46" t="s">
        <v>69</v>
      </c>
      <c r="F69" s="1"/>
      <c r="G69" s="1"/>
      <c r="H69" s="1"/>
      <c r="I69" s="1"/>
      <c r="J69" s="1"/>
      <c r="K69" s="1"/>
      <c r="L69" s="1"/>
      <c r="M69" s="1"/>
      <c r="N69" s="1"/>
      <c r="O69" s="1"/>
      <c r="P69" s="1"/>
      <c r="Q69" s="1"/>
      <c r="R69" s="1"/>
      <c r="S69" s="1"/>
      <c r="T69" s="1"/>
      <c r="U69" s="1"/>
      <c r="V69" s="1"/>
      <c r="W69" s="1"/>
      <c r="X69" s="1"/>
      <c r="Y69" s="1"/>
    </row>
    <row r="70" spans="4:25" ht="17.25" customHeight="1">
      <c r="D70" s="46" t="s">
        <v>993</v>
      </c>
      <c r="F70" s="1"/>
      <c r="G70" s="1"/>
      <c r="H70" s="1"/>
      <c r="I70" s="1"/>
      <c r="J70" s="1"/>
      <c r="K70" s="1"/>
      <c r="L70" s="1"/>
      <c r="M70" s="1"/>
      <c r="N70" s="1"/>
      <c r="O70" s="1"/>
      <c r="P70" s="1"/>
      <c r="Q70" s="1"/>
      <c r="R70" s="1"/>
      <c r="S70" s="1"/>
      <c r="T70" s="1"/>
      <c r="U70" s="1"/>
      <c r="V70" s="1"/>
      <c r="W70" s="1"/>
      <c r="X70" s="1"/>
      <c r="Y70" s="1"/>
    </row>
    <row r="71" spans="4:25" ht="17.25" customHeight="1">
      <c r="D71" s="46" t="s">
        <v>375</v>
      </c>
      <c r="F71" s="1"/>
      <c r="G71" s="1"/>
      <c r="H71" s="1"/>
      <c r="I71" s="1"/>
      <c r="J71" s="1"/>
      <c r="K71" s="1"/>
      <c r="L71" s="1"/>
      <c r="M71" s="1"/>
      <c r="N71" s="1"/>
      <c r="O71" s="1"/>
      <c r="P71" s="1"/>
      <c r="Q71" s="1"/>
      <c r="R71" s="1"/>
      <c r="S71" s="1"/>
      <c r="T71" s="1"/>
      <c r="U71" s="1"/>
      <c r="V71" s="1"/>
      <c r="W71" s="1"/>
      <c r="X71" s="1"/>
      <c r="Y71" s="1"/>
    </row>
    <row r="72" spans="4:25" ht="17.25" customHeight="1">
      <c r="D72" s="46" t="s">
        <v>173</v>
      </c>
      <c r="F72" s="1"/>
      <c r="G72" s="1"/>
      <c r="H72" s="1"/>
      <c r="I72" s="1"/>
      <c r="J72" s="1"/>
      <c r="K72" s="1"/>
      <c r="L72" s="1"/>
      <c r="M72" s="1"/>
      <c r="N72" s="1"/>
      <c r="O72" s="1"/>
      <c r="P72" s="1"/>
      <c r="Q72" s="1"/>
      <c r="R72" s="1"/>
      <c r="S72" s="1"/>
      <c r="T72" s="1"/>
      <c r="U72" s="1"/>
      <c r="V72" s="1"/>
      <c r="W72" s="1"/>
      <c r="X72" s="1"/>
      <c r="Y72" s="1"/>
    </row>
    <row r="73" spans="4:25" ht="17.25" customHeight="1">
      <c r="D73" s="4"/>
      <c r="F73" s="1"/>
      <c r="G73" s="1"/>
      <c r="H73" s="1"/>
      <c r="I73" s="1"/>
      <c r="J73" s="1"/>
      <c r="K73" s="1"/>
      <c r="L73" s="1"/>
      <c r="M73" s="1"/>
      <c r="N73" s="1"/>
      <c r="O73" s="1"/>
      <c r="P73" s="1"/>
      <c r="Q73" s="1"/>
      <c r="R73" s="1"/>
      <c r="S73" s="1"/>
      <c r="T73" s="1"/>
      <c r="U73" s="1"/>
      <c r="V73" s="1"/>
      <c r="W73" s="1"/>
      <c r="X73" s="1"/>
      <c r="Y73" s="1"/>
    </row>
    <row r="74" spans="4:25" ht="17.25" customHeight="1">
      <c r="F74" s="1"/>
      <c r="G74" s="1"/>
      <c r="H74" s="1"/>
      <c r="I74" s="1"/>
      <c r="J74" s="1"/>
      <c r="K74" s="1"/>
      <c r="L74" s="1"/>
      <c r="M74" s="1"/>
      <c r="N74" s="1"/>
      <c r="O74" s="1"/>
      <c r="P74" s="1"/>
      <c r="Q74" s="1"/>
      <c r="R74" s="1"/>
      <c r="S74" s="1"/>
      <c r="T74" s="1"/>
      <c r="U74" s="1"/>
      <c r="V74" s="1"/>
      <c r="W74" s="1"/>
      <c r="X74" s="1"/>
      <c r="Y74" s="1"/>
    </row>
    <row r="75" spans="4:25" ht="17.25" customHeight="1">
      <c r="F75" s="1"/>
      <c r="G75" s="1"/>
      <c r="H75" s="1"/>
      <c r="I75" s="1"/>
      <c r="J75" s="1"/>
      <c r="K75" s="1"/>
      <c r="L75" s="1"/>
      <c r="M75" s="1"/>
      <c r="N75" s="1"/>
      <c r="O75" s="1"/>
      <c r="P75" s="1"/>
      <c r="Q75" s="1"/>
      <c r="R75" s="1"/>
      <c r="S75" s="1"/>
      <c r="T75" s="1"/>
      <c r="U75" s="1"/>
      <c r="V75" s="1"/>
      <c r="W75" s="1"/>
      <c r="X75" s="1"/>
      <c r="Y75" s="1"/>
    </row>
    <row r="76" spans="4:25" ht="17.25" customHeight="1">
      <c r="F76" s="1"/>
      <c r="G76" s="1"/>
      <c r="I76" s="1"/>
      <c r="J76" s="1"/>
      <c r="K76" s="1"/>
      <c r="L76" s="1"/>
      <c r="M76" s="1"/>
      <c r="N76" s="1"/>
      <c r="O76" s="1"/>
      <c r="P76" s="1"/>
      <c r="Q76" s="1"/>
      <c r="R76" s="1"/>
      <c r="S76" s="1"/>
      <c r="T76" s="1"/>
      <c r="U76" s="1"/>
      <c r="V76" s="1"/>
      <c r="W76" s="1"/>
      <c r="X76" s="1"/>
      <c r="Y76" s="1"/>
    </row>
    <row r="77" spans="4:25" ht="17.25" customHeight="1">
      <c r="F77" s="1"/>
      <c r="G77" s="1"/>
      <c r="I77" s="1"/>
      <c r="J77" s="1"/>
      <c r="K77" s="1"/>
      <c r="L77" s="1"/>
      <c r="M77" s="1"/>
      <c r="N77" s="1"/>
      <c r="O77" s="1"/>
      <c r="P77" s="1"/>
      <c r="Q77" s="1"/>
      <c r="R77" s="1"/>
      <c r="S77" s="1"/>
      <c r="T77" s="1"/>
      <c r="U77" s="1"/>
      <c r="V77" s="1"/>
      <c r="W77" s="1"/>
      <c r="X77" s="1"/>
      <c r="Y77" s="1"/>
    </row>
    <row r="78" spans="4:25" ht="17.25" customHeight="1">
      <c r="F78" s="1"/>
      <c r="G78" s="1"/>
      <c r="I78" s="1"/>
      <c r="J78" s="1"/>
      <c r="K78" s="1"/>
      <c r="L78" s="1"/>
      <c r="M78" s="1"/>
      <c r="N78" s="1"/>
      <c r="O78" s="1"/>
      <c r="P78" s="1"/>
      <c r="Q78" s="1"/>
      <c r="R78" s="1"/>
      <c r="S78" s="1"/>
      <c r="T78" s="1"/>
      <c r="U78" s="1"/>
      <c r="V78" s="1"/>
      <c r="W78" s="1"/>
      <c r="X78" s="1"/>
      <c r="Y78" s="1"/>
    </row>
    <row r="79" spans="4:25" ht="17.25" customHeight="1">
      <c r="F79" s="1"/>
      <c r="G79" s="1"/>
      <c r="I79" s="1"/>
      <c r="J79" s="1"/>
      <c r="K79" s="1"/>
      <c r="L79" s="1"/>
      <c r="M79" s="1"/>
      <c r="N79" s="1"/>
      <c r="O79" s="1"/>
      <c r="P79" s="1"/>
      <c r="Q79" s="1"/>
      <c r="R79" s="1"/>
      <c r="S79" s="1"/>
      <c r="T79" s="1"/>
      <c r="U79" s="1"/>
      <c r="V79" s="1"/>
      <c r="W79" s="1"/>
      <c r="X79" s="1"/>
      <c r="Y79" s="1"/>
    </row>
    <row r="80" spans="4:25" ht="17.25" customHeight="1">
      <c r="F80" s="1"/>
      <c r="G80" s="1"/>
      <c r="I80" s="1"/>
      <c r="J80" s="1"/>
      <c r="K80" s="1"/>
      <c r="L80" s="1"/>
      <c r="M80" s="1"/>
      <c r="N80" s="1"/>
      <c r="O80" s="1"/>
      <c r="P80" s="1"/>
      <c r="Q80" s="1"/>
      <c r="R80" s="1"/>
      <c r="S80" s="1"/>
      <c r="T80" s="1"/>
      <c r="U80" s="1"/>
      <c r="V80" s="1"/>
      <c r="W80" s="1"/>
      <c r="X80" s="1"/>
      <c r="Y80" s="1"/>
    </row>
    <row r="81" spans="6:25" ht="17.25" customHeight="1">
      <c r="F81" s="1"/>
      <c r="G81" s="1"/>
      <c r="I81" s="1"/>
      <c r="J81" s="1"/>
      <c r="K81" s="1"/>
      <c r="L81" s="1"/>
      <c r="M81" s="1"/>
      <c r="P81" s="1"/>
      <c r="Q81" s="1"/>
      <c r="R81" s="1"/>
      <c r="S81" s="1"/>
      <c r="T81" s="1"/>
      <c r="U81" s="1"/>
      <c r="V81" s="1"/>
      <c r="W81" s="1"/>
      <c r="X81" s="1"/>
      <c r="Y81" s="1"/>
    </row>
    <row r="82" spans="6:25" ht="17.25" customHeight="1">
      <c r="F82" s="1"/>
      <c r="G82" s="1"/>
      <c r="I82" s="1"/>
      <c r="J82" s="1"/>
      <c r="K82" s="1"/>
      <c r="P82" s="1"/>
      <c r="Q82" s="1"/>
      <c r="R82" s="1"/>
      <c r="S82" s="1"/>
      <c r="T82" s="1"/>
      <c r="U82" s="1"/>
      <c r="V82" s="1"/>
      <c r="W82" s="1"/>
      <c r="X82" s="1"/>
      <c r="Y82" s="1"/>
    </row>
    <row r="83" spans="6:25" ht="17.25" customHeight="1">
      <c r="F83" s="1"/>
      <c r="G83" s="1"/>
      <c r="I83" s="1"/>
      <c r="K83" s="1"/>
      <c r="P83" s="1"/>
      <c r="Q83" s="1"/>
      <c r="R83" s="1"/>
      <c r="S83" s="1"/>
      <c r="T83" s="1"/>
      <c r="U83" s="1"/>
      <c r="V83" s="1"/>
      <c r="W83" s="1"/>
      <c r="X83" s="1"/>
      <c r="Y83" s="1"/>
    </row>
    <row r="84" spans="6:25" ht="17.25" customHeight="1">
      <c r="F84" s="1"/>
      <c r="G84" s="1"/>
      <c r="K84" s="1"/>
    </row>
    <row r="85" spans="6:25" ht="17.25" customHeight="1">
      <c r="F85" s="1"/>
      <c r="G85" s="1"/>
    </row>
    <row r="86" spans="6:25" ht="17.25" customHeight="1">
      <c r="F86" s="1"/>
      <c r="G86" s="1"/>
    </row>
    <row r="87" spans="6:25" ht="17.25" customHeight="1">
      <c r="F87" s="1"/>
      <c r="G87" s="1"/>
    </row>
    <row r="88" spans="6:25" ht="17.25" customHeight="1">
      <c r="F88" s="1"/>
    </row>
    <row r="89" spans="6:25" ht="17.25" customHeight="1">
      <c r="F89" s="1"/>
    </row>
    <row r="90" spans="6:25" ht="17.25" customHeight="1">
      <c r="F90" s="1"/>
    </row>
    <row r="91" spans="6:25" ht="17.25" customHeight="1">
      <c r="F91" s="1"/>
    </row>
    <row r="92" spans="6:25" ht="17.25" customHeight="1">
      <c r="F92" s="1"/>
    </row>
  </sheetData>
  <dataConsolidate/>
  <mergeCells count="20">
    <mergeCell ref="C27:F27"/>
    <mergeCell ref="G27:J27"/>
    <mergeCell ref="K27:O27"/>
    <mergeCell ref="B2:M2"/>
    <mergeCell ref="B3:B8"/>
    <mergeCell ref="B9:B14"/>
    <mergeCell ref="B15:B20"/>
    <mergeCell ref="B21:B26"/>
    <mergeCell ref="O2:P2"/>
    <mergeCell ref="O3:P7"/>
    <mergeCell ref="O9:P9"/>
    <mergeCell ref="O8:P8"/>
    <mergeCell ref="O10:P10"/>
    <mergeCell ref="O11:P11"/>
    <mergeCell ref="Q11:R11"/>
    <mergeCell ref="Q8:R8"/>
    <mergeCell ref="Q9:R9"/>
    <mergeCell ref="Q2:R2"/>
    <mergeCell ref="Q3:R7"/>
    <mergeCell ref="Q10:R10"/>
  </mergeCells>
  <pageMargins left="0.7" right="0.7" top="0.75" bottom="0.75" header="0.3" footer="0.3"/>
  <pageSetup paperSize="3" orientation="portrait" verticalDpi="300"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
  <sheetViews>
    <sheetView zoomScale="85" zoomScaleNormal="85" workbookViewId="0">
      <selection activeCell="A2" sqref="A2"/>
    </sheetView>
  </sheetViews>
  <sheetFormatPr defaultColWidth="15.875" defaultRowHeight="20.100000000000001" customHeight="1"/>
  <cols>
    <col min="1" max="1" width="8.25" style="44" customWidth="1"/>
    <col min="2" max="2" width="20.5" style="44" customWidth="1"/>
    <col min="3" max="3" width="64.375" style="44" customWidth="1"/>
    <col min="4" max="4" width="37.25" style="44" customWidth="1"/>
    <col min="5" max="7" width="15.875" style="44"/>
    <col min="8" max="8" width="16.625" style="45" customWidth="1"/>
    <col min="9" max="16384" width="15.875" style="44"/>
  </cols>
  <sheetData>
    <row r="1" spans="1:8" s="46" customFormat="1" ht="30" customHeight="1">
      <c r="A1" s="48" t="s">
        <v>990</v>
      </c>
      <c r="B1" s="48" t="s">
        <v>1989</v>
      </c>
      <c r="C1" s="48" t="s">
        <v>0</v>
      </c>
      <c r="D1" s="48" t="s">
        <v>2</v>
      </c>
      <c r="E1" s="48" t="s">
        <v>1990</v>
      </c>
      <c r="F1" s="48" t="s">
        <v>1961</v>
      </c>
      <c r="G1" s="48" t="s">
        <v>1991</v>
      </c>
      <c r="H1" s="49" t="s">
        <v>1992</v>
      </c>
    </row>
    <row r="2" spans="1:8" ht="14.25">
      <c r="A2" s="50"/>
      <c r="B2" s="50"/>
      <c r="C2" s="47"/>
      <c r="D2" s="47"/>
    </row>
    <row r="3" spans="1:8" ht="14.25">
      <c r="A3" s="50"/>
      <c r="B3" s="50"/>
      <c r="C3" s="47"/>
      <c r="D3" s="47"/>
    </row>
    <row r="4" spans="1:8" ht="20.100000000000001" customHeight="1">
      <c r="A4" s="50"/>
      <c r="B4" s="50"/>
      <c r="C4" s="47"/>
      <c r="D4" s="47"/>
    </row>
    <row r="5" spans="1:8" ht="20.100000000000001" customHeight="1">
      <c r="A5" s="50"/>
      <c r="B5" s="50"/>
      <c r="C5" s="47"/>
      <c r="D5" s="47"/>
    </row>
    <row r="6" spans="1:8" ht="20.100000000000001" customHeight="1">
      <c r="A6" s="50"/>
      <c r="B6" s="50"/>
      <c r="C6" s="47"/>
      <c r="D6" s="47"/>
    </row>
    <row r="7" spans="1:8" ht="20.100000000000001" customHeight="1">
      <c r="A7" s="50"/>
      <c r="B7" s="50"/>
      <c r="C7" s="47"/>
      <c r="D7" s="47"/>
    </row>
    <row r="8" spans="1:8" ht="20.100000000000001" customHeight="1">
      <c r="A8" s="50"/>
      <c r="B8" s="50"/>
      <c r="C8" s="47"/>
      <c r="D8" s="47"/>
    </row>
    <row r="9" spans="1:8" ht="20.100000000000001" customHeight="1">
      <c r="A9" s="50"/>
      <c r="B9" s="50"/>
      <c r="C9" s="47"/>
      <c r="D9" s="47"/>
    </row>
    <row r="10" spans="1:8" ht="20.100000000000001" customHeight="1">
      <c r="A10" s="50"/>
      <c r="B10" s="50"/>
      <c r="C10" s="47"/>
      <c r="D10" s="47"/>
    </row>
    <row r="11" spans="1:8" ht="20.100000000000001" customHeight="1">
      <c r="A11" s="50"/>
      <c r="B11" s="50"/>
      <c r="C11" s="47"/>
      <c r="D11" s="47"/>
    </row>
    <row r="12" spans="1:8" ht="20.100000000000001" customHeight="1">
      <c r="A12" s="50"/>
      <c r="B12" s="50"/>
      <c r="C12" s="47"/>
      <c r="D12" s="47"/>
    </row>
    <row r="13" spans="1:8" ht="20.100000000000001" customHeight="1">
      <c r="A13" s="50"/>
      <c r="B13" s="50"/>
      <c r="C13" s="47"/>
      <c r="D13" s="47"/>
    </row>
    <row r="14" spans="1:8" ht="20.100000000000001" customHeight="1">
      <c r="A14" s="50"/>
      <c r="B14" s="50"/>
      <c r="C14" s="47"/>
      <c r="D14" s="47"/>
    </row>
    <row r="15" spans="1:8" ht="20.100000000000001" customHeight="1">
      <c r="A15" s="50"/>
      <c r="B15" s="50"/>
      <c r="C15" s="47"/>
      <c r="D15" s="47"/>
    </row>
    <row r="16" spans="1:8" ht="20.100000000000001" customHeight="1">
      <c r="A16" s="50"/>
      <c r="B16" s="50"/>
      <c r="C16" s="47"/>
      <c r="D16" s="47"/>
    </row>
    <row r="17" spans="1:4" ht="20.100000000000001" customHeight="1">
      <c r="A17" s="50"/>
      <c r="B17" s="50"/>
      <c r="C17" s="47"/>
      <c r="D17" s="47"/>
    </row>
    <row r="18" spans="1:4" ht="20.100000000000001" customHeight="1">
      <c r="A18" s="50"/>
      <c r="B18" s="50"/>
      <c r="C18" s="47"/>
      <c r="D18" s="47"/>
    </row>
    <row r="19" spans="1:4" ht="20.100000000000001" customHeight="1">
      <c r="C19" s="47"/>
      <c r="D19" s="47"/>
    </row>
    <row r="20" spans="1:4" ht="20.100000000000001" customHeight="1">
      <c r="C20" s="47"/>
      <c r="D20" s="47"/>
    </row>
    <row r="21" spans="1:4" ht="20.100000000000001" customHeight="1">
      <c r="C21" s="47"/>
      <c r="D21" s="47"/>
    </row>
    <row r="22" spans="1:4" ht="20.100000000000001" customHeight="1">
      <c r="C22" s="47"/>
      <c r="D22" s="47"/>
    </row>
  </sheetData>
  <dataConsolid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3"/>
  <sheetViews>
    <sheetView zoomScaleNormal="100" workbookViewId="0">
      <selection activeCell="A2" sqref="A2"/>
    </sheetView>
  </sheetViews>
  <sheetFormatPr defaultRowHeight="15.95" customHeight="1"/>
  <cols>
    <col min="1" max="1" width="3.875" style="54" customWidth="1"/>
    <col min="2" max="2" width="9.625" style="54" customWidth="1"/>
    <col min="3" max="3" width="13" style="54" customWidth="1"/>
    <col min="4" max="4" width="32.125" style="54" customWidth="1"/>
    <col min="5" max="5" width="11.875" style="54" customWidth="1"/>
    <col min="6" max="6" width="19.875" style="54" customWidth="1"/>
    <col min="7" max="7" width="14.25" style="54" customWidth="1"/>
    <col min="8" max="8" width="12" style="54" customWidth="1"/>
    <col min="9" max="16384" width="9" style="54"/>
  </cols>
  <sheetData>
    <row r="1" spans="1:8" ht="68.25" customHeight="1">
      <c r="A1" s="167" t="s">
        <v>3159</v>
      </c>
      <c r="B1" s="167"/>
      <c r="C1" s="167"/>
      <c r="D1" s="167"/>
      <c r="E1" s="167"/>
      <c r="F1" s="53"/>
    </row>
    <row r="2" spans="1:8" ht="33.75" customHeight="1">
      <c r="A2" s="46" t="s">
        <v>2020</v>
      </c>
      <c r="B2" s="46" t="s">
        <v>986</v>
      </c>
      <c r="C2" s="46" t="s">
        <v>1033</v>
      </c>
      <c r="D2" s="46" t="s">
        <v>0</v>
      </c>
      <c r="E2" s="46" t="s">
        <v>2021</v>
      </c>
      <c r="F2" s="46" t="s">
        <v>1961</v>
      </c>
      <c r="G2" s="46" t="s">
        <v>2019</v>
      </c>
      <c r="H2" s="46" t="s">
        <v>2022</v>
      </c>
    </row>
    <row r="3" spans="1:8" ht="15.95" customHeight="1">
      <c r="A3" s="55"/>
      <c r="B3" s="55"/>
      <c r="C3" s="55"/>
      <c r="D3" s="78"/>
      <c r="E3" s="56"/>
      <c r="F3" s="55"/>
      <c r="G3" s="55"/>
      <c r="H3" s="56"/>
    </row>
  </sheetData>
  <dataConsolidate/>
  <mergeCells count="1">
    <mergeCell ref="A1:E1"/>
  </mergeCells>
  <printOptions horizontalCentered="1"/>
  <pageMargins left="0.15" right="0.15" top="0.5" bottom="0.45" header="0.2" footer="0.3"/>
  <pageSetup orientation="landscape" verticalDpi="0" r:id="rId1"/>
  <headerFooter differentFirst="1">
    <oddFooter>&amp;RPage | &amp;P of &amp;N</oddFooter>
    <firstHeader>&amp;L&amp;G</firstHeader>
    <firstFooter>&amp;RPage | &amp;P of &amp;N</firstFooter>
  </headerFooter>
  <legacyDrawingHF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22"/>
  <sheetViews>
    <sheetView workbookViewId="0">
      <selection activeCell="A2" sqref="A2"/>
    </sheetView>
  </sheetViews>
  <sheetFormatPr defaultColWidth="15.875" defaultRowHeight="20.100000000000001" customHeight="1"/>
  <cols>
    <col min="1" max="1" width="8.25" style="44" customWidth="1"/>
    <col min="2" max="2" width="20.5" style="44" customWidth="1"/>
    <col min="3" max="3" width="79.625" style="44" customWidth="1"/>
    <col min="4" max="16384" width="15.875" style="44"/>
  </cols>
  <sheetData>
    <row r="1" spans="1:3" s="46" customFormat="1" ht="30" customHeight="1">
      <c r="A1" s="48" t="s">
        <v>990</v>
      </c>
      <c r="B1" s="48" t="s">
        <v>1989</v>
      </c>
      <c r="C1" s="48" t="s">
        <v>2</v>
      </c>
    </row>
    <row r="2" spans="1:3" ht="20.100000000000001" customHeight="1">
      <c r="A2" s="50"/>
      <c r="B2" s="50"/>
      <c r="C2" s="47"/>
    </row>
    <row r="3" spans="1:3" ht="20.100000000000001" customHeight="1">
      <c r="A3" s="50"/>
      <c r="B3" s="50"/>
      <c r="C3" s="47"/>
    </row>
    <row r="4" spans="1:3" ht="20.100000000000001" customHeight="1">
      <c r="A4" s="50"/>
      <c r="B4" s="50"/>
      <c r="C4" s="47"/>
    </row>
    <row r="5" spans="1:3" ht="20.100000000000001" customHeight="1">
      <c r="A5" s="50"/>
      <c r="B5" s="50"/>
      <c r="C5" s="47"/>
    </row>
    <row r="6" spans="1:3" ht="20.100000000000001" customHeight="1">
      <c r="A6" s="50"/>
      <c r="B6" s="50"/>
      <c r="C6" s="47"/>
    </row>
    <row r="7" spans="1:3" ht="20.100000000000001" customHeight="1">
      <c r="A7" s="50"/>
      <c r="B7" s="50"/>
      <c r="C7" s="47"/>
    </row>
    <row r="8" spans="1:3" ht="20.100000000000001" customHeight="1">
      <c r="A8" s="50"/>
      <c r="B8" s="50"/>
      <c r="C8" s="47"/>
    </row>
    <row r="9" spans="1:3" ht="20.100000000000001" customHeight="1">
      <c r="A9" s="50"/>
      <c r="B9" s="50"/>
      <c r="C9" s="47"/>
    </row>
    <row r="10" spans="1:3" ht="20.100000000000001" customHeight="1">
      <c r="A10" s="50"/>
      <c r="B10" s="50"/>
      <c r="C10" s="47"/>
    </row>
    <row r="11" spans="1:3" ht="20.100000000000001" customHeight="1">
      <c r="A11" s="50"/>
      <c r="B11" s="50"/>
      <c r="C11" s="47"/>
    </row>
    <row r="12" spans="1:3" ht="20.100000000000001" customHeight="1">
      <c r="A12" s="50"/>
      <c r="B12" s="50"/>
      <c r="C12" s="47"/>
    </row>
    <row r="13" spans="1:3" ht="20.100000000000001" customHeight="1">
      <c r="A13" s="50"/>
      <c r="B13" s="50"/>
      <c r="C13" s="47"/>
    </row>
    <row r="14" spans="1:3" ht="20.100000000000001" customHeight="1">
      <c r="A14" s="50"/>
      <c r="B14" s="50"/>
      <c r="C14" s="47"/>
    </row>
    <row r="15" spans="1:3" ht="20.100000000000001" customHeight="1">
      <c r="A15" s="50"/>
      <c r="B15" s="50"/>
      <c r="C15" s="47"/>
    </row>
    <row r="16" spans="1:3" ht="20.100000000000001" customHeight="1">
      <c r="A16" s="50"/>
      <c r="B16" s="50"/>
      <c r="C16" s="47"/>
    </row>
    <row r="17" spans="1:3" ht="20.100000000000001" customHeight="1">
      <c r="A17" s="50"/>
      <c r="B17" s="50"/>
      <c r="C17" s="47"/>
    </row>
    <row r="18" spans="1:3" ht="20.100000000000001" customHeight="1">
      <c r="A18" s="50"/>
      <c r="B18" s="50"/>
      <c r="C18" s="47"/>
    </row>
    <row r="19" spans="1:3" ht="20.100000000000001" customHeight="1">
      <c r="C19" s="47"/>
    </row>
    <row r="20" spans="1:3" ht="20.100000000000001" customHeight="1">
      <c r="C20" s="47"/>
    </row>
    <row r="21" spans="1:3" ht="20.100000000000001" customHeight="1">
      <c r="C21" s="47"/>
    </row>
    <row r="22" spans="1:3" ht="20.100000000000001" customHeight="1">
      <c r="C22" s="4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37</vt:i4>
      </vt:variant>
    </vt:vector>
  </HeadingPairs>
  <TitlesOfParts>
    <vt:vector size="43" baseType="lpstr">
      <vt:lpstr>Intro Checker</vt:lpstr>
      <vt:lpstr>RTA Manager</vt:lpstr>
      <vt:lpstr>Settings</vt:lpstr>
      <vt:lpstr>RTAimport</vt:lpstr>
      <vt:lpstr>Report</vt:lpstr>
      <vt:lpstr>PriorityLoad</vt:lpstr>
      <vt:lpstr>aisHide</vt:lpstr>
      <vt:lpstr>ATTRclass</vt:lpstr>
      <vt:lpstr>cFilt</vt:lpstr>
      <vt:lpstr>deptHide</vt:lpstr>
      <vt:lpstr>DIcode</vt:lpstr>
      <vt:lpstr>DIlab</vt:lpstr>
      <vt:lpstr>DIlt</vt:lpstr>
      <vt:lpstr>DIplt</vt:lpstr>
      <vt:lpstr>DIstate</vt:lpstr>
      <vt:lpstr>DItype</vt:lpstr>
      <vt:lpstr>FCcode</vt:lpstr>
      <vt:lpstr>FClab</vt:lpstr>
      <vt:lpstr>FClt</vt:lpstr>
      <vt:lpstr>FCplt</vt:lpstr>
      <vt:lpstr>FCstate</vt:lpstr>
      <vt:lpstr>FCtype</vt:lpstr>
      <vt:lpstr>FullScreenMode</vt:lpstr>
      <vt:lpstr>inProc</vt:lpstr>
      <vt:lpstr>nameQuery</vt:lpstr>
      <vt:lpstr>PMcode</vt:lpstr>
      <vt:lpstr>PMlab</vt:lpstr>
      <vt:lpstr>PMlt</vt:lpstr>
      <vt:lpstr>PMplt</vt:lpstr>
      <vt:lpstr>PMstate</vt:lpstr>
      <vt:lpstr>PMThide</vt:lpstr>
      <vt:lpstr>PMtype</vt:lpstr>
      <vt:lpstr>'RTA Manager'!Print_Area</vt:lpstr>
      <vt:lpstr>schedHide</vt:lpstr>
      <vt:lpstr>Scode</vt:lpstr>
      <vt:lpstr>sheetViewMode</vt:lpstr>
      <vt:lpstr>Slab</vt:lpstr>
      <vt:lpstr>Slt</vt:lpstr>
      <vt:lpstr>sortCol</vt:lpstr>
      <vt:lpstr>sortOrder</vt:lpstr>
      <vt:lpstr>Splt</vt:lpstr>
      <vt:lpstr>Sstate</vt:lpstr>
      <vt:lpstr>Stype</vt:lpstr>
    </vt:vector>
  </TitlesOfParts>
  <Company>Halliburton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Rameen Bakhtiary</dc:creator>
  <cp:lastModifiedBy>Rameen B</cp:lastModifiedBy>
  <cp:lastPrinted>2011-12-05T17:27:11Z</cp:lastPrinted>
  <dcterms:created xsi:type="dcterms:W3CDTF">2011-06-24T10:58:18Z</dcterms:created>
  <dcterms:modified xsi:type="dcterms:W3CDTF">2011-12-05T20:24:29Z</dcterms:modified>
</cp:coreProperties>
</file>